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saavedra\Desktop\"/>
    </mc:Choice>
  </mc:AlternateContent>
  <xr:revisionPtr revIDLastSave="0" documentId="13_ncr:1_{2E6C0A27-1F3B-41FC-8F91-C5C86A06DBD2}" xr6:coauthVersionLast="47" xr6:coauthVersionMax="47" xr10:uidLastSave="{00000000-0000-0000-0000-000000000000}"/>
  <bookViews>
    <workbookView xWindow="435" yWindow="2640" windowWidth="26025" windowHeight="12675" firstSheet="1" activeTab="2" xr2:uid="{D48E796A-11E7-4B40-8B96-FAE275089BFB}"/>
  </bookViews>
  <sheets>
    <sheet name="Hoja1" sheetId="6" state="hidden" r:id="rId1"/>
    <sheet name="BD APROBADA (2)" sheetId="3" r:id="rId2"/>
    <sheet name="BIENES Y SERVICIOS" sheetId="1" r:id="rId3"/>
    <sheet name="RES. EJECUCION" sheetId="5" r:id="rId4"/>
    <sheet name="CONFORMIDAD DE SERVICIOS" sheetId="12" r:id="rId5"/>
    <sheet name="LOCADORES" sheetId="4" r:id="rId6"/>
    <sheet name="reporte LS" sheetId="9" r:id="rId7"/>
    <sheet name="modifi-priorizacio" sheetId="7" r:id="rId8"/>
    <sheet name="Hoja2" sheetId="10" state="hidden" r:id="rId9"/>
    <sheet name="RESUMEN SEG LS-SEP" sheetId="8" r:id="rId10"/>
    <sheet name="RESUMEN DE LS POR META" sheetId="11" r:id="rId11"/>
    <sheet name="Hoja3" sheetId="13" r:id="rId12"/>
  </sheets>
  <definedNames>
    <definedName name="_xlnm._FilterDatabase" localSheetId="1" hidden="1">'BD APROBADA (2)'!$A$1:$BC$392</definedName>
    <definedName name="_xlnm._FilterDatabase" localSheetId="2" hidden="1">'BIENES Y SERVICIOS'!$A$1:$XFA$41</definedName>
    <definedName name="_xlnm._FilterDatabase" localSheetId="4" hidden="1">'CONFORMIDAD DE SERVICIOS'!$A$2:$AP$17</definedName>
    <definedName name="_xlnm._FilterDatabase" localSheetId="5" hidden="1">LOCADORES!$A$2:$XEX$2</definedName>
  </definedNames>
  <calcPr calcId="191029"/>
  <pivotCaches>
    <pivotCache cacheId="0" r:id="rId13"/>
    <pivotCache cacheId="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Z3" i="1" l="1"/>
  <c r="H19" i="5"/>
  <c r="G42" i="5" l="1"/>
  <c r="BZ42" i="1"/>
  <c r="BY39" i="1"/>
  <c r="CA39" i="1" s="1"/>
  <c r="S11" i="12"/>
  <c r="AI9" i="12"/>
  <c r="AI8" i="12"/>
  <c r="AI5" i="12"/>
  <c r="S3" i="12"/>
  <c r="M53" i="11"/>
  <c r="K53" i="11"/>
  <c r="I53" i="11"/>
  <c r="O52" i="11"/>
  <c r="L52" i="11"/>
  <c r="O51" i="11"/>
  <c r="N51" i="11"/>
  <c r="L51" i="11"/>
  <c r="O50" i="11"/>
  <c r="N50" i="11"/>
  <c r="L50" i="11"/>
  <c r="O49" i="11"/>
  <c r="N49" i="11"/>
  <c r="L49" i="11"/>
  <c r="N48" i="11"/>
  <c r="L48" i="11"/>
  <c r="J47" i="11"/>
  <c r="H47" i="11"/>
  <c r="O46" i="11"/>
  <c r="N46" i="11"/>
  <c r="L46" i="11"/>
  <c r="O45" i="11"/>
  <c r="L45" i="11"/>
  <c r="H45" i="11"/>
  <c r="N66" i="11"/>
  <c r="N68" i="11"/>
  <c r="CQ144" i="4"/>
  <c r="CH470" i="4"/>
  <c r="CF470" i="4"/>
  <c r="CJ470" i="4"/>
  <c r="CQ471" i="4"/>
  <c r="CW144" i="4"/>
  <c r="H65" i="11"/>
  <c r="H73" i="11" s="1"/>
  <c r="L65" i="11"/>
  <c r="N65" i="11"/>
  <c r="O65" i="11"/>
  <c r="O73" i="11" s="1"/>
  <c r="L66" i="11"/>
  <c r="O66" i="11"/>
  <c r="H67" i="11"/>
  <c r="J67" i="11"/>
  <c r="L67" i="11"/>
  <c r="L68" i="11"/>
  <c r="L69" i="11"/>
  <c r="N69" i="11"/>
  <c r="O69" i="11"/>
  <c r="L70" i="11"/>
  <c r="N70" i="11"/>
  <c r="O70" i="11"/>
  <c r="L71" i="11"/>
  <c r="N71" i="11"/>
  <c r="O71" i="11"/>
  <c r="L72" i="11"/>
  <c r="O72" i="11"/>
  <c r="I73" i="11"/>
  <c r="J73" i="11"/>
  <c r="K73" i="11"/>
  <c r="M73" i="11"/>
  <c r="M16" i="11"/>
  <c r="N13" i="11"/>
  <c r="L11" i="11"/>
  <c r="P20" i="8"/>
  <c r="CF49" i="4"/>
  <c r="CW49" i="4"/>
  <c r="CS49" i="4"/>
  <c r="CQ49" i="4"/>
  <c r="CO49" i="4"/>
  <c r="CN49" i="4"/>
  <c r="CJ49" i="4"/>
  <c r="CH49" i="4"/>
  <c r="CX49" i="4" s="1"/>
  <c r="CE49" i="4"/>
  <c r="P28" i="8"/>
  <c r="P45" i="8"/>
  <c r="CS512" i="4"/>
  <c r="CQ512" i="4"/>
  <c r="CO512" i="4"/>
  <c r="CF512" i="4"/>
  <c r="M48" i="8"/>
  <c r="P19" i="8"/>
  <c r="BT42" i="1"/>
  <c r="P17" i="8"/>
  <c r="N29" i="11"/>
  <c r="P47" i="8"/>
  <c r="CS510" i="4"/>
  <c r="CQ510" i="4"/>
  <c r="N32" i="11"/>
  <c r="G28" i="8"/>
  <c r="J28" i="8" s="1"/>
  <c r="L32" i="11"/>
  <c r="M34" i="11"/>
  <c r="P46" i="8"/>
  <c r="CS345" i="4"/>
  <c r="CS350" i="4"/>
  <c r="CY350" i="4" s="1"/>
  <c r="CS393" i="4"/>
  <c r="CQ345" i="4"/>
  <c r="CQ393" i="4"/>
  <c r="CQ350" i="4"/>
  <c r="CE587" i="4"/>
  <c r="CF587" i="4"/>
  <c r="CO393" i="4"/>
  <c r="CF393" i="4"/>
  <c r="K34" i="11"/>
  <c r="I34" i="11"/>
  <c r="O33" i="11"/>
  <c r="L33" i="11"/>
  <c r="O32" i="11"/>
  <c r="O31" i="11"/>
  <c r="N31" i="11"/>
  <c r="L31" i="11"/>
  <c r="O30" i="11"/>
  <c r="N30" i="11"/>
  <c r="L30" i="11"/>
  <c r="L29" i="11"/>
  <c r="J28" i="11"/>
  <c r="J34" i="11" s="1"/>
  <c r="H28" i="11"/>
  <c r="O27" i="11"/>
  <c r="N27" i="11"/>
  <c r="L27" i="11"/>
  <c r="O26" i="11"/>
  <c r="L26" i="11"/>
  <c r="H26" i="11"/>
  <c r="P41" i="8"/>
  <c r="O48" i="8"/>
  <c r="N44" i="8"/>
  <c r="N48" i="8" s="1"/>
  <c r="P44" i="8"/>
  <c r="L9" i="11"/>
  <c r="L12" i="11"/>
  <c r="L13" i="11"/>
  <c r="L14" i="11"/>
  <c r="L15" i="11"/>
  <c r="L8" i="11"/>
  <c r="J10" i="11"/>
  <c r="K16" i="11"/>
  <c r="O15" i="11"/>
  <c r="CS389" i="4"/>
  <c r="CQ389" i="4"/>
  <c r="I16" i="11"/>
  <c r="O14" i="11"/>
  <c r="O12" i="11"/>
  <c r="N14" i="11"/>
  <c r="N11" i="11"/>
  <c r="N9" i="11"/>
  <c r="N12" i="11"/>
  <c r="H10" i="11"/>
  <c r="O9" i="11"/>
  <c r="O8" i="11"/>
  <c r="H8" i="11"/>
  <c r="CS388" i="4"/>
  <c r="CS392" i="4"/>
  <c r="CQ392" i="4"/>
  <c r="CO392" i="4"/>
  <c r="CQ388" i="4"/>
  <c r="R5" i="8"/>
  <c r="R48" i="8" s="1"/>
  <c r="H48" i="8"/>
  <c r="D43" i="5"/>
  <c r="F48" i="8"/>
  <c r="G9" i="8"/>
  <c r="J9" i="8" s="1"/>
  <c r="S9" i="8" s="1"/>
  <c r="G21" i="8"/>
  <c r="P29" i="8"/>
  <c r="P30" i="8"/>
  <c r="P31" i="8"/>
  <c r="P32" i="8"/>
  <c r="P33" i="8"/>
  <c r="P34" i="8"/>
  <c r="P35" i="8"/>
  <c r="P36" i="8"/>
  <c r="P37" i="8"/>
  <c r="P38" i="8"/>
  <c r="P42" i="8"/>
  <c r="P43" i="8"/>
  <c r="P27" i="8"/>
  <c r="P22" i="8"/>
  <c r="P23" i="8"/>
  <c r="P24" i="8"/>
  <c r="P25" i="8"/>
  <c r="P26" i="8"/>
  <c r="P21" i="8"/>
  <c r="Q21" i="8" s="1"/>
  <c r="P10" i="8"/>
  <c r="P11" i="8"/>
  <c r="P12" i="8"/>
  <c r="P13" i="8"/>
  <c r="P14" i="8"/>
  <c r="P15" i="8"/>
  <c r="P16" i="8"/>
  <c r="P18" i="8"/>
  <c r="P9" i="8"/>
  <c r="V29" i="8"/>
  <c r="V30" i="8"/>
  <c r="V31" i="8"/>
  <c r="V32" i="8"/>
  <c r="V33" i="8"/>
  <c r="V34" i="8"/>
  <c r="V35" i="8"/>
  <c r="V36" i="8"/>
  <c r="V37" i="8"/>
  <c r="V38" i="8"/>
  <c r="V39" i="8"/>
  <c r="V40" i="8"/>
  <c r="V41" i="8"/>
  <c r="V42" i="8"/>
  <c r="V43" i="8"/>
  <c r="U22" i="8"/>
  <c r="U23" i="8"/>
  <c r="U24" i="8"/>
  <c r="U25" i="8"/>
  <c r="U26" i="8"/>
  <c r="U27" i="8"/>
  <c r="U21" i="8"/>
  <c r="V28" i="8"/>
  <c r="V9" i="8"/>
  <c r="P5" i="8"/>
  <c r="V10" i="8"/>
  <c r="V11" i="8"/>
  <c r="V12" i="8"/>
  <c r="V13" i="8"/>
  <c r="V14" i="8"/>
  <c r="V15" i="8"/>
  <c r="V16" i="8"/>
  <c r="V17" i="8"/>
  <c r="V18" i="8"/>
  <c r="P8" i="8"/>
  <c r="CW540" i="4"/>
  <c r="CW392" i="4"/>
  <c r="CF540" i="4"/>
  <c r="CF392" i="4"/>
  <c r="H20" i="5"/>
  <c r="G48" i="5" s="1"/>
  <c r="AX613" i="4"/>
  <c r="AX638" i="4" s="1"/>
  <c r="AK638" i="4"/>
  <c r="BU13" i="1"/>
  <c r="CS634" i="4"/>
  <c r="CS635" i="4"/>
  <c r="CQ634" i="4"/>
  <c r="CQ635" i="4"/>
  <c r="CH634" i="4"/>
  <c r="CW633" i="4"/>
  <c r="CW632" i="4"/>
  <c r="CO622" i="4"/>
  <c r="CL633" i="4"/>
  <c r="CL632" i="4"/>
  <c r="N18" i="10"/>
  <c r="CH34" i="4"/>
  <c r="CO79" i="4"/>
  <c r="K9" i="8"/>
  <c r="CW257" i="4"/>
  <c r="CS257" i="4"/>
  <c r="CQ257" i="4"/>
  <c r="CN257" i="4"/>
  <c r="CJ257" i="4"/>
  <c r="CY257" i="4" s="1"/>
  <c r="CH257" i="4"/>
  <c r="CX257" i="4" s="1"/>
  <c r="CF257" i="4"/>
  <c r="CE257" i="4"/>
  <c r="CW258" i="4"/>
  <c r="CS258" i="4"/>
  <c r="CQ258" i="4"/>
  <c r="CN258" i="4"/>
  <c r="CJ258" i="4"/>
  <c r="CY258" i="4" s="1"/>
  <c r="CH258" i="4"/>
  <c r="CX258" i="4" s="1"/>
  <c r="CF258" i="4"/>
  <c r="CE258" i="4"/>
  <c r="CW259" i="4"/>
  <c r="CS259" i="4"/>
  <c r="CQ259" i="4"/>
  <c r="CN259" i="4"/>
  <c r="CJ259" i="4"/>
  <c r="CY259" i="4" s="1"/>
  <c r="CH259" i="4"/>
  <c r="CX259" i="4" s="1"/>
  <c r="CF259" i="4"/>
  <c r="CE259" i="4"/>
  <c r="CW260" i="4"/>
  <c r="CS260" i="4"/>
  <c r="CQ260" i="4"/>
  <c r="CN260" i="4"/>
  <c r="CJ260" i="4"/>
  <c r="CY260" i="4" s="1"/>
  <c r="CH260" i="4"/>
  <c r="CX260" i="4" s="1"/>
  <c r="CF260" i="4"/>
  <c r="CE260" i="4"/>
  <c r="CW261" i="4"/>
  <c r="CS261" i="4"/>
  <c r="CQ261" i="4"/>
  <c r="CN261" i="4"/>
  <c r="CJ261" i="4"/>
  <c r="CY261" i="4" s="1"/>
  <c r="CH261" i="4"/>
  <c r="CX261" i="4" s="1"/>
  <c r="CF261" i="4"/>
  <c r="CE261" i="4"/>
  <c r="CW262" i="4"/>
  <c r="CS262" i="4"/>
  <c r="CQ262" i="4"/>
  <c r="CN262" i="4"/>
  <c r="CJ262" i="4"/>
  <c r="CY262" i="4" s="1"/>
  <c r="CH262" i="4"/>
  <c r="CX262" i="4" s="1"/>
  <c r="CF262" i="4"/>
  <c r="CE262" i="4"/>
  <c r="CW263" i="4"/>
  <c r="CS263" i="4"/>
  <c r="CQ263" i="4"/>
  <c r="CN263" i="4"/>
  <c r="CJ263" i="4"/>
  <c r="CY263" i="4" s="1"/>
  <c r="CH263" i="4"/>
  <c r="CX263" i="4" s="1"/>
  <c r="CF263" i="4"/>
  <c r="CE263" i="4"/>
  <c r="CW264" i="4"/>
  <c r="CS264" i="4"/>
  <c r="CQ264" i="4"/>
  <c r="CN264" i="4"/>
  <c r="CJ264" i="4"/>
  <c r="CY264" i="4" s="1"/>
  <c r="CH264" i="4"/>
  <c r="CX264" i="4" s="1"/>
  <c r="CF264" i="4"/>
  <c r="CE264" i="4"/>
  <c r="CW265" i="4"/>
  <c r="CS265" i="4"/>
  <c r="CQ265" i="4"/>
  <c r="CN265" i="4"/>
  <c r="CJ265" i="4"/>
  <c r="CY265" i="4" s="1"/>
  <c r="CH265" i="4"/>
  <c r="CX265" i="4" s="1"/>
  <c r="CF265" i="4"/>
  <c r="CE265" i="4"/>
  <c r="CW266" i="4"/>
  <c r="CS266" i="4"/>
  <c r="CQ266" i="4"/>
  <c r="CN266" i="4"/>
  <c r="CJ266" i="4"/>
  <c r="CY266" i="4" s="1"/>
  <c r="CH266" i="4"/>
  <c r="CX266" i="4" s="1"/>
  <c r="CF266" i="4"/>
  <c r="CE266" i="4"/>
  <c r="CW267" i="4"/>
  <c r="CS267" i="4"/>
  <c r="CQ267" i="4"/>
  <c r="CN267" i="4"/>
  <c r="CJ267" i="4"/>
  <c r="CY267" i="4" s="1"/>
  <c r="CH267" i="4"/>
  <c r="CX267" i="4" s="1"/>
  <c r="CF267" i="4"/>
  <c r="CE267" i="4"/>
  <c r="CW268" i="4"/>
  <c r="CS268" i="4"/>
  <c r="CQ268" i="4"/>
  <c r="CN268" i="4"/>
  <c r="CJ268" i="4"/>
  <c r="CY268" i="4" s="1"/>
  <c r="CH268" i="4"/>
  <c r="CX268" i="4" s="1"/>
  <c r="CF268" i="4"/>
  <c r="CE268" i="4"/>
  <c r="G4" i="10"/>
  <c r="CW4" i="4"/>
  <c r="CW5" i="4"/>
  <c r="CW6" i="4"/>
  <c r="CW7" i="4"/>
  <c r="CW8" i="4"/>
  <c r="CW9" i="4"/>
  <c r="CW10" i="4"/>
  <c r="CW11" i="4"/>
  <c r="CW12" i="4"/>
  <c r="CW13" i="4"/>
  <c r="CW14" i="4"/>
  <c r="CW15" i="4"/>
  <c r="CW16" i="4"/>
  <c r="CW17" i="4"/>
  <c r="CW18" i="4"/>
  <c r="CW19" i="4"/>
  <c r="CW20" i="4"/>
  <c r="CW21" i="4"/>
  <c r="CW22" i="4"/>
  <c r="CW23" i="4"/>
  <c r="CW24" i="4"/>
  <c r="CW25" i="4"/>
  <c r="CW26" i="4"/>
  <c r="CW27" i="4"/>
  <c r="CW28" i="4"/>
  <c r="CW29" i="4"/>
  <c r="CW30" i="4"/>
  <c r="CW31" i="4"/>
  <c r="CW32" i="4"/>
  <c r="CW33" i="4"/>
  <c r="CW34" i="4"/>
  <c r="CW35" i="4"/>
  <c r="CW36" i="4"/>
  <c r="CW37" i="4"/>
  <c r="CW38" i="4"/>
  <c r="CW39" i="4"/>
  <c r="CW40" i="4"/>
  <c r="CW41" i="4"/>
  <c r="CW42" i="4"/>
  <c r="CW43" i="4"/>
  <c r="CW44" i="4"/>
  <c r="CW45" i="4"/>
  <c r="CW46" i="4"/>
  <c r="CW47" i="4"/>
  <c r="CW48" i="4"/>
  <c r="CW50" i="4"/>
  <c r="CW51" i="4"/>
  <c r="CW52" i="4"/>
  <c r="CW53" i="4"/>
  <c r="CW54" i="4"/>
  <c r="CW55" i="4"/>
  <c r="CW56" i="4"/>
  <c r="CW57" i="4"/>
  <c r="CW58" i="4"/>
  <c r="CW59" i="4"/>
  <c r="CW60" i="4"/>
  <c r="CW61" i="4"/>
  <c r="CW62" i="4"/>
  <c r="CW63" i="4"/>
  <c r="CW64" i="4"/>
  <c r="CW65" i="4"/>
  <c r="CW66" i="4"/>
  <c r="CW67" i="4"/>
  <c r="CW68" i="4"/>
  <c r="CW69" i="4"/>
  <c r="CW70" i="4"/>
  <c r="CW71" i="4"/>
  <c r="CW72" i="4"/>
  <c r="CW73" i="4"/>
  <c r="CW74" i="4"/>
  <c r="CW75" i="4"/>
  <c r="CW76" i="4"/>
  <c r="CW77" i="4"/>
  <c r="CW78" i="4"/>
  <c r="CW79" i="4"/>
  <c r="CW80" i="4"/>
  <c r="CW81" i="4"/>
  <c r="CW82" i="4"/>
  <c r="CW83" i="4"/>
  <c r="CW84" i="4"/>
  <c r="CW85" i="4"/>
  <c r="CW86" i="4"/>
  <c r="CW87" i="4"/>
  <c r="CW88" i="4"/>
  <c r="CW89" i="4"/>
  <c r="CW90" i="4"/>
  <c r="CW91" i="4"/>
  <c r="CW92" i="4"/>
  <c r="CW93" i="4"/>
  <c r="CW94" i="4"/>
  <c r="CW95" i="4"/>
  <c r="CW96" i="4"/>
  <c r="CW97" i="4"/>
  <c r="CW98" i="4"/>
  <c r="CW99" i="4"/>
  <c r="CW100" i="4"/>
  <c r="CW101" i="4"/>
  <c r="CW102" i="4"/>
  <c r="CW103" i="4"/>
  <c r="CW104" i="4"/>
  <c r="CW105" i="4"/>
  <c r="CW106" i="4"/>
  <c r="CW107" i="4"/>
  <c r="CW108" i="4"/>
  <c r="CW109" i="4"/>
  <c r="CW110" i="4"/>
  <c r="CW111" i="4"/>
  <c r="CW112" i="4"/>
  <c r="CW113" i="4"/>
  <c r="CW114" i="4"/>
  <c r="CW115" i="4"/>
  <c r="CW116" i="4"/>
  <c r="CW117" i="4"/>
  <c r="CW118" i="4"/>
  <c r="CW119" i="4"/>
  <c r="CW120" i="4"/>
  <c r="CW121" i="4"/>
  <c r="CW122" i="4"/>
  <c r="CW123" i="4"/>
  <c r="CW124" i="4"/>
  <c r="CW125" i="4"/>
  <c r="CW126" i="4"/>
  <c r="CW127" i="4"/>
  <c r="CW128" i="4"/>
  <c r="CW129" i="4"/>
  <c r="CW130" i="4"/>
  <c r="CW131" i="4"/>
  <c r="CW132" i="4"/>
  <c r="CW133" i="4"/>
  <c r="CW134" i="4"/>
  <c r="CW135" i="4"/>
  <c r="CW136" i="4"/>
  <c r="CW137" i="4"/>
  <c r="CW138" i="4"/>
  <c r="CW139" i="4"/>
  <c r="CW140" i="4"/>
  <c r="CW141" i="4"/>
  <c r="CW142" i="4"/>
  <c r="CW143" i="4"/>
  <c r="CW145" i="4"/>
  <c r="CW146" i="4"/>
  <c r="CW147" i="4"/>
  <c r="CW148" i="4"/>
  <c r="CW149" i="4"/>
  <c r="CW150" i="4"/>
  <c r="CW151" i="4"/>
  <c r="CW152" i="4"/>
  <c r="CW153" i="4"/>
  <c r="CW154" i="4"/>
  <c r="CW155" i="4"/>
  <c r="CW156" i="4"/>
  <c r="CW157" i="4"/>
  <c r="CW158" i="4"/>
  <c r="CW159" i="4"/>
  <c r="CW160" i="4"/>
  <c r="CW161" i="4"/>
  <c r="CW162" i="4"/>
  <c r="CW163" i="4"/>
  <c r="CW164" i="4"/>
  <c r="CW165" i="4"/>
  <c r="CW166" i="4"/>
  <c r="CW167" i="4"/>
  <c r="CW168" i="4"/>
  <c r="CW169" i="4"/>
  <c r="CW170" i="4"/>
  <c r="CW171" i="4"/>
  <c r="CW172" i="4"/>
  <c r="CW173" i="4"/>
  <c r="CW174" i="4"/>
  <c r="CW175" i="4"/>
  <c r="CW176" i="4"/>
  <c r="CW177" i="4"/>
  <c r="CW178" i="4"/>
  <c r="CW179" i="4"/>
  <c r="CW180" i="4"/>
  <c r="CW181" i="4"/>
  <c r="CW182" i="4"/>
  <c r="CW183" i="4"/>
  <c r="CW184" i="4"/>
  <c r="CW185" i="4"/>
  <c r="CW186" i="4"/>
  <c r="CW187" i="4"/>
  <c r="CW188" i="4"/>
  <c r="CW189" i="4"/>
  <c r="CW190" i="4"/>
  <c r="CW191" i="4"/>
  <c r="CW192" i="4"/>
  <c r="CW193" i="4"/>
  <c r="CW194" i="4"/>
  <c r="CW195" i="4"/>
  <c r="CW196" i="4"/>
  <c r="CW197" i="4"/>
  <c r="CW198" i="4"/>
  <c r="CW199" i="4"/>
  <c r="CW200" i="4"/>
  <c r="CW201" i="4"/>
  <c r="CW202" i="4"/>
  <c r="CW203" i="4"/>
  <c r="CW204" i="4"/>
  <c r="CW205" i="4"/>
  <c r="CW206" i="4"/>
  <c r="CW207" i="4"/>
  <c r="CW208" i="4"/>
  <c r="CW209" i="4"/>
  <c r="CW210" i="4"/>
  <c r="CW211" i="4"/>
  <c r="CW212" i="4"/>
  <c r="CW213" i="4"/>
  <c r="CW214" i="4"/>
  <c r="CW215" i="4"/>
  <c r="CW216" i="4"/>
  <c r="CW217" i="4"/>
  <c r="CW218" i="4"/>
  <c r="CW219" i="4"/>
  <c r="CW220" i="4"/>
  <c r="CW221" i="4"/>
  <c r="CW222" i="4"/>
  <c r="CW223" i="4"/>
  <c r="CW224" i="4"/>
  <c r="CW225" i="4"/>
  <c r="CW226" i="4"/>
  <c r="CW227" i="4"/>
  <c r="CW228" i="4"/>
  <c r="CW229" i="4"/>
  <c r="CW230" i="4"/>
  <c r="CW231" i="4"/>
  <c r="CW232" i="4"/>
  <c r="CW233" i="4"/>
  <c r="CW234" i="4"/>
  <c r="CW235" i="4"/>
  <c r="CW236" i="4"/>
  <c r="CW237" i="4"/>
  <c r="CW238" i="4"/>
  <c r="CW239" i="4"/>
  <c r="CW240" i="4"/>
  <c r="CW241" i="4"/>
  <c r="CW242" i="4"/>
  <c r="CW243" i="4"/>
  <c r="CW244" i="4"/>
  <c r="CW245" i="4"/>
  <c r="CW246" i="4"/>
  <c r="CW247" i="4"/>
  <c r="CW248" i="4"/>
  <c r="CW249" i="4"/>
  <c r="CW250" i="4"/>
  <c r="CW251" i="4"/>
  <c r="CW252" i="4"/>
  <c r="CW253" i="4"/>
  <c r="CW254" i="4"/>
  <c r="CW256" i="4"/>
  <c r="CW269" i="4"/>
  <c r="CW270" i="4"/>
  <c r="CW271" i="4"/>
  <c r="CW272" i="4"/>
  <c r="CW273" i="4"/>
  <c r="CW274" i="4"/>
  <c r="CW275" i="4"/>
  <c r="CW276" i="4"/>
  <c r="CW277" i="4"/>
  <c r="CW278" i="4"/>
  <c r="CW279" i="4"/>
  <c r="CW280" i="4"/>
  <c r="CW281" i="4"/>
  <c r="CW282" i="4"/>
  <c r="CW283" i="4"/>
  <c r="CW284" i="4"/>
  <c r="CW285" i="4"/>
  <c r="CW286" i="4"/>
  <c r="CW287" i="4"/>
  <c r="CW288" i="4"/>
  <c r="CW289" i="4"/>
  <c r="CW290" i="4"/>
  <c r="CW291" i="4"/>
  <c r="CW292" i="4"/>
  <c r="CW293" i="4"/>
  <c r="CW294" i="4"/>
  <c r="CW295" i="4"/>
  <c r="CW296" i="4"/>
  <c r="CW297" i="4"/>
  <c r="CW298" i="4"/>
  <c r="CW299" i="4"/>
  <c r="CW300" i="4"/>
  <c r="CW301" i="4"/>
  <c r="CW302" i="4"/>
  <c r="CW303" i="4"/>
  <c r="CW304" i="4"/>
  <c r="CW305" i="4"/>
  <c r="CW306" i="4"/>
  <c r="CW307" i="4"/>
  <c r="CW308" i="4"/>
  <c r="CW309" i="4"/>
  <c r="CW310" i="4"/>
  <c r="CW311" i="4"/>
  <c r="CW312" i="4"/>
  <c r="CW313" i="4"/>
  <c r="CW314" i="4"/>
  <c r="CW315" i="4"/>
  <c r="CW316" i="4"/>
  <c r="CW317" i="4"/>
  <c r="CW318" i="4"/>
  <c r="CW319" i="4"/>
  <c r="CW320" i="4"/>
  <c r="CW321" i="4"/>
  <c r="CW322" i="4"/>
  <c r="CW323" i="4"/>
  <c r="CW324" i="4"/>
  <c r="CW325" i="4"/>
  <c r="CW326" i="4"/>
  <c r="CW327" i="4"/>
  <c r="CW328" i="4"/>
  <c r="CW329" i="4"/>
  <c r="CW330" i="4"/>
  <c r="CW331" i="4"/>
  <c r="CW332" i="4"/>
  <c r="CW333" i="4"/>
  <c r="CW334" i="4"/>
  <c r="CW335" i="4"/>
  <c r="CW336" i="4"/>
  <c r="CW337" i="4"/>
  <c r="CW338" i="4"/>
  <c r="CW339" i="4"/>
  <c r="CW340" i="4"/>
  <c r="CW341" i="4"/>
  <c r="CW342" i="4"/>
  <c r="CW343" i="4"/>
  <c r="CW344" i="4"/>
  <c r="CW345" i="4"/>
  <c r="CW346" i="4"/>
  <c r="CW347" i="4"/>
  <c r="CW348" i="4"/>
  <c r="CW349" i="4"/>
  <c r="CW350" i="4"/>
  <c r="CX350" i="4"/>
  <c r="CW351" i="4"/>
  <c r="CW352" i="4"/>
  <c r="CW353" i="4"/>
  <c r="CW354" i="4"/>
  <c r="CW355" i="4"/>
  <c r="CW356" i="4"/>
  <c r="CW357" i="4"/>
  <c r="CW358" i="4"/>
  <c r="CW359" i="4"/>
  <c r="CW360" i="4"/>
  <c r="CW361" i="4"/>
  <c r="CW362" i="4"/>
  <c r="CW363" i="4"/>
  <c r="CW364" i="4"/>
  <c r="CW365" i="4"/>
  <c r="CW366" i="4"/>
  <c r="CW367" i="4"/>
  <c r="CW368" i="4"/>
  <c r="CW369" i="4"/>
  <c r="CW370" i="4"/>
  <c r="CW371" i="4"/>
  <c r="CW372" i="4"/>
  <c r="CW373" i="4"/>
  <c r="CW374" i="4"/>
  <c r="CW375" i="4"/>
  <c r="CW376" i="4"/>
  <c r="CW377" i="4"/>
  <c r="CW378" i="4"/>
  <c r="CW379" i="4"/>
  <c r="CW380" i="4"/>
  <c r="CW381" i="4"/>
  <c r="CW382" i="4"/>
  <c r="CW383" i="4"/>
  <c r="CW384" i="4"/>
  <c r="CW385" i="4"/>
  <c r="CW386" i="4"/>
  <c r="CW387" i="4"/>
  <c r="CW388" i="4"/>
  <c r="CW389" i="4"/>
  <c r="CW390" i="4"/>
  <c r="CW391" i="4"/>
  <c r="CW393" i="4"/>
  <c r="CX393" i="4"/>
  <c r="CY393" i="4"/>
  <c r="CZ393" i="4"/>
  <c r="CW394" i="4"/>
  <c r="CW395" i="4"/>
  <c r="CW396" i="4"/>
  <c r="CW397" i="4"/>
  <c r="CW398" i="4"/>
  <c r="CW399" i="4"/>
  <c r="CW400" i="4"/>
  <c r="CW401" i="4"/>
  <c r="CW402" i="4"/>
  <c r="CW403" i="4"/>
  <c r="CW404" i="4"/>
  <c r="CW405" i="4"/>
  <c r="CW406" i="4"/>
  <c r="CW407" i="4"/>
  <c r="CW408" i="4"/>
  <c r="CW409" i="4"/>
  <c r="CW410" i="4"/>
  <c r="CW411" i="4"/>
  <c r="CW412" i="4"/>
  <c r="CW413" i="4"/>
  <c r="CW414" i="4"/>
  <c r="CW415" i="4"/>
  <c r="CW416" i="4"/>
  <c r="CW417" i="4"/>
  <c r="CW418" i="4"/>
  <c r="CW419" i="4"/>
  <c r="CW420" i="4"/>
  <c r="CW421" i="4"/>
  <c r="CW422" i="4"/>
  <c r="CW423" i="4"/>
  <c r="CW424" i="4"/>
  <c r="CW425" i="4"/>
  <c r="CW426" i="4"/>
  <c r="CW427" i="4"/>
  <c r="CW428" i="4"/>
  <c r="CW429" i="4"/>
  <c r="CW430" i="4"/>
  <c r="CW431" i="4"/>
  <c r="CW432" i="4"/>
  <c r="CW433" i="4"/>
  <c r="CW434" i="4"/>
  <c r="CW435" i="4"/>
  <c r="CW436" i="4"/>
  <c r="CW437" i="4"/>
  <c r="CW438" i="4"/>
  <c r="CW439" i="4"/>
  <c r="CW440" i="4"/>
  <c r="CW441" i="4"/>
  <c r="CW442" i="4"/>
  <c r="CW443" i="4"/>
  <c r="CW444" i="4"/>
  <c r="CW445" i="4"/>
  <c r="CW446" i="4"/>
  <c r="CW447" i="4"/>
  <c r="CW448" i="4"/>
  <c r="CW449" i="4"/>
  <c r="CW450" i="4"/>
  <c r="CW451" i="4"/>
  <c r="CW452" i="4"/>
  <c r="CW453" i="4"/>
  <c r="CW454" i="4"/>
  <c r="CW455" i="4"/>
  <c r="CW456" i="4"/>
  <c r="CW457" i="4"/>
  <c r="CW458" i="4"/>
  <c r="CW459" i="4"/>
  <c r="CW460" i="4"/>
  <c r="CW461" i="4"/>
  <c r="CW462" i="4"/>
  <c r="CW463" i="4"/>
  <c r="CW464" i="4"/>
  <c r="CW465" i="4"/>
  <c r="CW466" i="4"/>
  <c r="CW467" i="4"/>
  <c r="CW468" i="4"/>
  <c r="CW469" i="4"/>
  <c r="CW470" i="4"/>
  <c r="CW471" i="4"/>
  <c r="CW472" i="4"/>
  <c r="CW473" i="4"/>
  <c r="CW474" i="4"/>
  <c r="CW475" i="4"/>
  <c r="CW476" i="4"/>
  <c r="CW477" i="4"/>
  <c r="CW478" i="4"/>
  <c r="CW479" i="4"/>
  <c r="CW480" i="4"/>
  <c r="CW481" i="4"/>
  <c r="CW482" i="4"/>
  <c r="CW483" i="4"/>
  <c r="CW484" i="4"/>
  <c r="CW485" i="4"/>
  <c r="CW486" i="4"/>
  <c r="CW487" i="4"/>
  <c r="CW488" i="4"/>
  <c r="CW489" i="4"/>
  <c r="CW490" i="4"/>
  <c r="CW491" i="4"/>
  <c r="CW492" i="4"/>
  <c r="CW493" i="4"/>
  <c r="CW494" i="4"/>
  <c r="CW495" i="4"/>
  <c r="CW496" i="4"/>
  <c r="CW497" i="4"/>
  <c r="CW498" i="4"/>
  <c r="CW499" i="4"/>
  <c r="CW500" i="4"/>
  <c r="CW501" i="4"/>
  <c r="CW502" i="4"/>
  <c r="CW503" i="4"/>
  <c r="CW504" i="4"/>
  <c r="CW505" i="4"/>
  <c r="CW506" i="4"/>
  <c r="CW507" i="4"/>
  <c r="CW508" i="4"/>
  <c r="CW509" i="4"/>
  <c r="CW510" i="4"/>
  <c r="CW511" i="4"/>
  <c r="CW512" i="4"/>
  <c r="CW513" i="4"/>
  <c r="CW514" i="4"/>
  <c r="CW515" i="4"/>
  <c r="CW516" i="4"/>
  <c r="CW517" i="4"/>
  <c r="CW518" i="4"/>
  <c r="CW519" i="4"/>
  <c r="CW520" i="4"/>
  <c r="CW521" i="4"/>
  <c r="CW522" i="4"/>
  <c r="CW523" i="4"/>
  <c r="CW524" i="4"/>
  <c r="CW525" i="4"/>
  <c r="CW526" i="4"/>
  <c r="CW527" i="4"/>
  <c r="CW528" i="4"/>
  <c r="CW529" i="4"/>
  <c r="CW530" i="4"/>
  <c r="CW531" i="4"/>
  <c r="CW532" i="4"/>
  <c r="CW533" i="4"/>
  <c r="CW534" i="4"/>
  <c r="CW535" i="4"/>
  <c r="CW536" i="4"/>
  <c r="CW537" i="4"/>
  <c r="CW538" i="4"/>
  <c r="CW539" i="4"/>
  <c r="CW541" i="4"/>
  <c r="CW542" i="4"/>
  <c r="CW543" i="4"/>
  <c r="CW544" i="4"/>
  <c r="CW545" i="4"/>
  <c r="CW546" i="4"/>
  <c r="CW547" i="4"/>
  <c r="CW548" i="4"/>
  <c r="CW549" i="4"/>
  <c r="CW550" i="4"/>
  <c r="CW551" i="4"/>
  <c r="CW552" i="4"/>
  <c r="CW553" i="4"/>
  <c r="CW554" i="4"/>
  <c r="CW555" i="4"/>
  <c r="CW556" i="4"/>
  <c r="CW557" i="4"/>
  <c r="CW558" i="4"/>
  <c r="CW559" i="4"/>
  <c r="CW560" i="4"/>
  <c r="CW561" i="4"/>
  <c r="CW562" i="4"/>
  <c r="CW563" i="4"/>
  <c r="CW564" i="4"/>
  <c r="CW565" i="4"/>
  <c r="CW566" i="4"/>
  <c r="CW567" i="4"/>
  <c r="CW568" i="4"/>
  <c r="CW569" i="4"/>
  <c r="CW570" i="4"/>
  <c r="CX570" i="4"/>
  <c r="CZ570" i="4"/>
  <c r="CW571" i="4"/>
  <c r="CW572" i="4"/>
  <c r="CW573" i="4"/>
  <c r="CW574" i="4"/>
  <c r="CW575" i="4"/>
  <c r="CW576" i="4"/>
  <c r="CW577" i="4"/>
  <c r="CW578" i="4"/>
  <c r="CW579" i="4"/>
  <c r="CW580" i="4"/>
  <c r="CW581" i="4"/>
  <c r="CW582" i="4"/>
  <c r="CW583" i="4"/>
  <c r="CW584" i="4"/>
  <c r="CW585" i="4"/>
  <c r="CW586" i="4"/>
  <c r="CW587" i="4"/>
  <c r="CW588" i="4"/>
  <c r="CW589" i="4"/>
  <c r="CW590" i="4"/>
  <c r="CW591" i="4"/>
  <c r="CW592" i="4"/>
  <c r="CW593" i="4"/>
  <c r="CW594" i="4"/>
  <c r="CW595" i="4"/>
  <c r="CW596" i="4"/>
  <c r="CW597" i="4"/>
  <c r="CW598" i="4"/>
  <c r="CW599" i="4"/>
  <c r="CW600" i="4"/>
  <c r="CW601" i="4"/>
  <c r="CW602" i="4"/>
  <c r="CW603" i="4"/>
  <c r="CW604" i="4"/>
  <c r="CW605" i="4"/>
  <c r="CW606" i="4"/>
  <c r="CW607" i="4"/>
  <c r="CW608" i="4"/>
  <c r="CW609" i="4"/>
  <c r="CW610" i="4"/>
  <c r="CW611" i="4"/>
  <c r="CW612" i="4"/>
  <c r="CW614" i="4"/>
  <c r="CW615" i="4"/>
  <c r="CW616" i="4"/>
  <c r="CW617" i="4"/>
  <c r="CW618" i="4"/>
  <c r="CW619" i="4"/>
  <c r="CW620" i="4"/>
  <c r="CW621" i="4"/>
  <c r="CW622" i="4"/>
  <c r="CW623" i="4"/>
  <c r="CW624" i="4"/>
  <c r="CW625" i="4"/>
  <c r="CW626" i="4"/>
  <c r="CW627" i="4"/>
  <c r="CW628" i="4"/>
  <c r="CW629" i="4"/>
  <c r="CW630" i="4"/>
  <c r="CW631" i="4"/>
  <c r="CW634" i="4"/>
  <c r="CW635" i="4"/>
  <c r="CW636" i="4"/>
  <c r="CW637" i="4"/>
  <c r="CW3" i="4"/>
  <c r="CJ634" i="4"/>
  <c r="CX634" i="4"/>
  <c r="E48" i="8"/>
  <c r="I48" i="8"/>
  <c r="CS208" i="4"/>
  <c r="CS209" i="4"/>
  <c r="CS210" i="4"/>
  <c r="CS211" i="4"/>
  <c r="CS212" i="4"/>
  <c r="CS213" i="4"/>
  <c r="CS214" i="4"/>
  <c r="CS215" i="4"/>
  <c r="CS216" i="4"/>
  <c r="CS217" i="4"/>
  <c r="CS218" i="4"/>
  <c r="CS219" i="4"/>
  <c r="CS220" i="4"/>
  <c r="CQ208" i="4"/>
  <c r="CQ209" i="4"/>
  <c r="CQ210" i="4"/>
  <c r="CQ211" i="4"/>
  <c r="CQ212" i="4"/>
  <c r="CQ213" i="4"/>
  <c r="CQ214" i="4"/>
  <c r="CQ215" i="4"/>
  <c r="CQ216" i="4"/>
  <c r="CQ217" i="4"/>
  <c r="CQ218" i="4"/>
  <c r="CQ219" i="4"/>
  <c r="CQ220" i="4"/>
  <c r="CN209" i="4"/>
  <c r="CN210" i="4"/>
  <c r="CN211" i="4"/>
  <c r="CN212" i="4"/>
  <c r="CN213" i="4"/>
  <c r="CN214" i="4"/>
  <c r="CN215" i="4"/>
  <c r="CN216" i="4"/>
  <c r="CN217" i="4"/>
  <c r="CN218" i="4"/>
  <c r="CN219" i="4"/>
  <c r="CN220" i="4"/>
  <c r="CO208" i="4"/>
  <c r="CO209" i="4"/>
  <c r="CO210" i="4"/>
  <c r="CO211" i="4"/>
  <c r="CO212" i="4"/>
  <c r="CO213" i="4"/>
  <c r="CO214" i="4"/>
  <c r="CO215" i="4"/>
  <c r="CO216" i="4"/>
  <c r="CO217" i="4"/>
  <c r="CO218" i="4"/>
  <c r="CO219" i="4"/>
  <c r="CO220" i="4"/>
  <c r="CJ220" i="4"/>
  <c r="CH220" i="4"/>
  <c r="CX220" i="4" s="1"/>
  <c r="CZ220" i="4" s="1"/>
  <c r="CF220" i="4"/>
  <c r="CE220" i="4"/>
  <c r="CJ219" i="4"/>
  <c r="CY219" i="4" s="1"/>
  <c r="DA219" i="4" s="1"/>
  <c r="CH219" i="4"/>
  <c r="CX219" i="4" s="1"/>
  <c r="CZ219" i="4" s="1"/>
  <c r="CF219" i="4"/>
  <c r="CE219" i="4"/>
  <c r="CJ218" i="4"/>
  <c r="CH218" i="4"/>
  <c r="CF218" i="4"/>
  <c r="CE218" i="4"/>
  <c r="CJ217" i="4"/>
  <c r="CY217" i="4" s="1"/>
  <c r="DA217" i="4" s="1"/>
  <c r="CH217" i="4"/>
  <c r="CF217" i="4"/>
  <c r="CE217" i="4"/>
  <c r="CJ216" i="4"/>
  <c r="CH216" i="4"/>
  <c r="CF216" i="4"/>
  <c r="CE216" i="4"/>
  <c r="CJ215" i="4"/>
  <c r="CY215" i="4" s="1"/>
  <c r="DA215" i="4" s="1"/>
  <c r="CH215" i="4"/>
  <c r="CF215" i="4"/>
  <c r="CE215" i="4"/>
  <c r="CJ214" i="4"/>
  <c r="CH214" i="4"/>
  <c r="CX214" i="4" s="1"/>
  <c r="CZ214" i="4" s="1"/>
  <c r="CF214" i="4"/>
  <c r="CE214" i="4"/>
  <c r="CJ213" i="4"/>
  <c r="CY213" i="4" s="1"/>
  <c r="DA213" i="4" s="1"/>
  <c r="CH213" i="4"/>
  <c r="CF213" i="4"/>
  <c r="CE213" i="4"/>
  <c r="CJ212" i="4"/>
  <c r="CH212" i="4"/>
  <c r="CX212" i="4" s="1"/>
  <c r="CZ212" i="4" s="1"/>
  <c r="CF212" i="4"/>
  <c r="CE212" i="4"/>
  <c r="CJ211" i="4"/>
  <c r="CY211" i="4" s="1"/>
  <c r="DA211" i="4" s="1"/>
  <c r="CH211" i="4"/>
  <c r="CX211" i="4" s="1"/>
  <c r="CZ211" i="4" s="1"/>
  <c r="CF211" i="4"/>
  <c r="CE211" i="4"/>
  <c r="CJ210" i="4"/>
  <c r="CH210" i="4"/>
  <c r="CF210" i="4"/>
  <c r="CE210" i="4"/>
  <c r="CJ209" i="4"/>
  <c r="CY209" i="4" s="1"/>
  <c r="DA209" i="4" s="1"/>
  <c r="CH209" i="4"/>
  <c r="CF209" i="4"/>
  <c r="CE209" i="4"/>
  <c r="CN208" i="4"/>
  <c r="CJ208" i="4"/>
  <c r="CY208" i="4" s="1"/>
  <c r="CH208" i="4"/>
  <c r="CX208" i="4" s="1"/>
  <c r="CZ208" i="4" s="1"/>
  <c r="CF208" i="4"/>
  <c r="CE208" i="4"/>
  <c r="CS207" i="4"/>
  <c r="CQ207" i="4"/>
  <c r="CS206" i="4"/>
  <c r="CQ206" i="4"/>
  <c r="CS205" i="4"/>
  <c r="CQ205" i="4"/>
  <c r="CS204" i="4"/>
  <c r="CQ204" i="4"/>
  <c r="CS203" i="4"/>
  <c r="CQ203" i="4"/>
  <c r="CS202" i="4"/>
  <c r="CQ202" i="4"/>
  <c r="CS201" i="4"/>
  <c r="CQ201" i="4"/>
  <c r="CS200" i="4"/>
  <c r="CQ200" i="4"/>
  <c r="CS199" i="4"/>
  <c r="CQ199" i="4"/>
  <c r="CS198" i="4"/>
  <c r="CQ198" i="4"/>
  <c r="CS197" i="4"/>
  <c r="CQ197" i="4"/>
  <c r="CS196" i="4"/>
  <c r="CQ196" i="4"/>
  <c r="CS195" i="4"/>
  <c r="CQ195" i="4"/>
  <c r="CS194" i="4"/>
  <c r="CQ194" i="4"/>
  <c r="CS193" i="4"/>
  <c r="CQ193" i="4"/>
  <c r="CS192" i="4"/>
  <c r="CQ192" i="4"/>
  <c r="CS191" i="4"/>
  <c r="CQ191" i="4"/>
  <c r="CS190" i="4"/>
  <c r="CQ190" i="4"/>
  <c r="CS189" i="4"/>
  <c r="CQ189" i="4"/>
  <c r="CS188" i="4"/>
  <c r="CQ188" i="4"/>
  <c r="CS187" i="4"/>
  <c r="CQ187" i="4"/>
  <c r="CS186" i="4"/>
  <c r="CQ186" i="4"/>
  <c r="CS185" i="4"/>
  <c r="CQ185" i="4"/>
  <c r="CS184" i="4"/>
  <c r="CQ184" i="4"/>
  <c r="CS183" i="4"/>
  <c r="CQ183" i="4"/>
  <c r="CS182" i="4"/>
  <c r="CQ182" i="4"/>
  <c r="CS181" i="4"/>
  <c r="CQ181" i="4"/>
  <c r="CS180" i="4"/>
  <c r="CQ180" i="4"/>
  <c r="CS179" i="4"/>
  <c r="CQ179" i="4"/>
  <c r="CS178" i="4"/>
  <c r="CQ178" i="4"/>
  <c r="CS177" i="4"/>
  <c r="CQ177" i="4"/>
  <c r="CS176" i="4"/>
  <c r="CQ176" i="4"/>
  <c r="CS175" i="4"/>
  <c r="CQ175" i="4"/>
  <c r="CS174" i="4"/>
  <c r="CQ174" i="4"/>
  <c r="CS173" i="4"/>
  <c r="CQ173" i="4"/>
  <c r="CS172" i="4"/>
  <c r="CQ172" i="4"/>
  <c r="CS171" i="4"/>
  <c r="CQ171" i="4"/>
  <c r="CS170" i="4"/>
  <c r="CQ170" i="4"/>
  <c r="CS169" i="4"/>
  <c r="CQ169" i="4"/>
  <c r="CS168" i="4"/>
  <c r="CQ168" i="4"/>
  <c r="CS167" i="4"/>
  <c r="CQ167" i="4"/>
  <c r="CS166" i="4"/>
  <c r="CQ166" i="4"/>
  <c r="CS165" i="4"/>
  <c r="CQ165" i="4"/>
  <c r="CS164" i="4"/>
  <c r="CQ164" i="4"/>
  <c r="CS163" i="4"/>
  <c r="CQ163" i="4"/>
  <c r="CS162" i="4"/>
  <c r="CQ162" i="4"/>
  <c r="CS161" i="4"/>
  <c r="CQ161" i="4"/>
  <c r="CS160" i="4"/>
  <c r="CQ160" i="4"/>
  <c r="CS159" i="4"/>
  <c r="CQ159" i="4"/>
  <c r="CS158" i="4"/>
  <c r="CQ158" i="4"/>
  <c r="CS157" i="4"/>
  <c r="CQ157" i="4"/>
  <c r="CS156" i="4"/>
  <c r="CQ156" i="4"/>
  <c r="CS155" i="4"/>
  <c r="CQ155" i="4"/>
  <c r="CS154" i="4"/>
  <c r="CQ154" i="4"/>
  <c r="CS153" i="4"/>
  <c r="CQ153" i="4"/>
  <c r="CS152" i="4"/>
  <c r="CQ152" i="4"/>
  <c r="CS151" i="4"/>
  <c r="CQ151" i="4"/>
  <c r="CS150" i="4"/>
  <c r="CQ150" i="4"/>
  <c r="CS149" i="4"/>
  <c r="CQ149" i="4"/>
  <c r="CS148" i="4"/>
  <c r="CQ148" i="4"/>
  <c r="CS147" i="4"/>
  <c r="CQ147" i="4"/>
  <c r="CS146" i="4"/>
  <c r="CQ146" i="4"/>
  <c r="CS145" i="4"/>
  <c r="CQ145" i="4"/>
  <c r="CS144" i="4"/>
  <c r="CS143" i="4"/>
  <c r="CQ143" i="4"/>
  <c r="CS142" i="4"/>
  <c r="CQ142" i="4"/>
  <c r="CS141" i="4"/>
  <c r="CQ141" i="4"/>
  <c r="CS140" i="4"/>
  <c r="CQ140" i="4"/>
  <c r="CS139" i="4"/>
  <c r="CQ139" i="4"/>
  <c r="CS138" i="4"/>
  <c r="CQ138" i="4"/>
  <c r="CS137" i="4"/>
  <c r="CQ137" i="4"/>
  <c r="CS136" i="4"/>
  <c r="CQ136" i="4"/>
  <c r="CS135" i="4"/>
  <c r="CQ135" i="4"/>
  <c r="CS134" i="4"/>
  <c r="CQ134" i="4"/>
  <c r="CO222" i="4"/>
  <c r="CO223" i="4"/>
  <c r="CO224" i="4"/>
  <c r="CO225" i="4"/>
  <c r="CO226" i="4"/>
  <c r="CT226" i="4" s="1"/>
  <c r="CO227" i="4"/>
  <c r="CO228" i="4"/>
  <c r="CO229" i="4"/>
  <c r="CO230" i="4"/>
  <c r="CO231" i="4"/>
  <c r="CO232" i="4"/>
  <c r="CO233" i="4"/>
  <c r="CT233" i="4" s="1"/>
  <c r="CO234" i="4"/>
  <c r="CT234" i="4" s="1"/>
  <c r="CO235" i="4"/>
  <c r="CO236" i="4"/>
  <c r="CO237" i="4"/>
  <c r="CO238" i="4"/>
  <c r="CO239" i="4"/>
  <c r="CO240" i="4"/>
  <c r="CO241" i="4"/>
  <c r="CU241" i="4" s="1"/>
  <c r="CO242" i="4"/>
  <c r="CT242" i="4" s="1"/>
  <c r="CO243" i="4"/>
  <c r="CO244" i="4"/>
  <c r="CO245" i="4"/>
  <c r="CO246" i="4"/>
  <c r="CO247" i="4"/>
  <c r="CO248" i="4"/>
  <c r="CO249" i="4"/>
  <c r="CU249" i="4" s="1"/>
  <c r="CO250" i="4"/>
  <c r="CT250" i="4" s="1"/>
  <c r="CO251" i="4"/>
  <c r="CO252" i="4"/>
  <c r="CO253" i="4"/>
  <c r="CO254" i="4"/>
  <c r="CO221" i="4"/>
  <c r="CN134" i="4"/>
  <c r="CO134" i="4"/>
  <c r="CN135" i="4"/>
  <c r="CO135" i="4"/>
  <c r="CN136" i="4"/>
  <c r="CO136" i="4"/>
  <c r="CN137" i="4"/>
  <c r="CO137" i="4"/>
  <c r="CN138" i="4"/>
  <c r="CO138" i="4"/>
  <c r="CN139" i="4"/>
  <c r="CO139" i="4"/>
  <c r="CN140" i="4"/>
  <c r="CO140" i="4"/>
  <c r="CN141" i="4"/>
  <c r="CO141" i="4"/>
  <c r="CN142" i="4"/>
  <c r="CO142" i="4"/>
  <c r="CN143" i="4"/>
  <c r="CO143" i="4"/>
  <c r="CN144" i="4"/>
  <c r="CO144" i="4"/>
  <c r="CN145" i="4"/>
  <c r="CO145" i="4"/>
  <c r="CN146" i="4"/>
  <c r="CO146" i="4"/>
  <c r="CN147" i="4"/>
  <c r="CO147" i="4"/>
  <c r="CN148" i="4"/>
  <c r="CO148" i="4"/>
  <c r="CN149" i="4"/>
  <c r="CO149" i="4"/>
  <c r="CN150" i="4"/>
  <c r="CO150" i="4"/>
  <c r="CN151" i="4"/>
  <c r="CO151" i="4"/>
  <c r="CN152" i="4"/>
  <c r="CO152" i="4"/>
  <c r="CN153" i="4"/>
  <c r="CO153" i="4"/>
  <c r="CN154" i="4"/>
  <c r="CO154" i="4"/>
  <c r="CN155" i="4"/>
  <c r="CO155" i="4"/>
  <c r="CN156" i="4"/>
  <c r="CO156" i="4"/>
  <c r="CN157" i="4"/>
  <c r="CO157" i="4"/>
  <c r="CN158" i="4"/>
  <c r="CO158" i="4"/>
  <c r="CN159" i="4"/>
  <c r="CO159" i="4"/>
  <c r="CN160" i="4"/>
  <c r="CO160" i="4"/>
  <c r="CN161" i="4"/>
  <c r="CO161" i="4"/>
  <c r="CN162" i="4"/>
  <c r="CO162" i="4"/>
  <c r="CN163" i="4"/>
  <c r="CO163" i="4"/>
  <c r="CN164" i="4"/>
  <c r="CO164" i="4"/>
  <c r="CN165" i="4"/>
  <c r="CO165" i="4"/>
  <c r="CN166" i="4"/>
  <c r="CO166" i="4"/>
  <c r="CN167" i="4"/>
  <c r="CO167" i="4"/>
  <c r="CN168" i="4"/>
  <c r="CO168" i="4"/>
  <c r="CN169" i="4"/>
  <c r="CO169" i="4"/>
  <c r="CN170" i="4"/>
  <c r="CO170" i="4"/>
  <c r="CN171" i="4"/>
  <c r="CO171" i="4"/>
  <c r="CN172" i="4"/>
  <c r="CO172" i="4"/>
  <c r="CN173" i="4"/>
  <c r="CO173" i="4"/>
  <c r="CN174" i="4"/>
  <c r="CO174" i="4"/>
  <c r="CN175" i="4"/>
  <c r="CO175" i="4"/>
  <c r="CN176" i="4"/>
  <c r="CO176" i="4"/>
  <c r="CN177" i="4"/>
  <c r="CO177" i="4"/>
  <c r="CN178" i="4"/>
  <c r="CO178" i="4"/>
  <c r="CN179" i="4"/>
  <c r="CO179" i="4"/>
  <c r="CN180" i="4"/>
  <c r="CO180" i="4"/>
  <c r="CN181" i="4"/>
  <c r="CO181" i="4"/>
  <c r="CN182" i="4"/>
  <c r="CO182" i="4"/>
  <c r="CN183" i="4"/>
  <c r="CO183" i="4"/>
  <c r="CN184" i="4"/>
  <c r="CO184" i="4"/>
  <c r="CN185" i="4"/>
  <c r="CO185" i="4"/>
  <c r="CN186" i="4"/>
  <c r="CO186" i="4"/>
  <c r="CN187" i="4"/>
  <c r="CO187" i="4"/>
  <c r="CN188" i="4"/>
  <c r="CO188" i="4"/>
  <c r="CN189" i="4"/>
  <c r="CO189" i="4"/>
  <c r="CN190" i="4"/>
  <c r="CO190" i="4"/>
  <c r="CN191" i="4"/>
  <c r="CO191" i="4"/>
  <c r="CN192" i="4"/>
  <c r="CO192" i="4"/>
  <c r="CN193" i="4"/>
  <c r="CO193" i="4"/>
  <c r="CN194" i="4"/>
  <c r="CO194" i="4"/>
  <c r="CN195" i="4"/>
  <c r="CO195" i="4"/>
  <c r="CN196" i="4"/>
  <c r="CO196" i="4"/>
  <c r="CN197" i="4"/>
  <c r="CO197" i="4"/>
  <c r="CN198" i="4"/>
  <c r="CO198" i="4"/>
  <c r="CN199" i="4"/>
  <c r="CO199" i="4"/>
  <c r="CN200" i="4"/>
  <c r="CO200" i="4"/>
  <c r="CN201" i="4"/>
  <c r="CO201" i="4"/>
  <c r="CN202" i="4"/>
  <c r="CO202" i="4"/>
  <c r="CN203" i="4"/>
  <c r="CO203" i="4"/>
  <c r="CN204" i="4"/>
  <c r="CO204" i="4"/>
  <c r="CN205" i="4"/>
  <c r="CO205" i="4"/>
  <c r="CN206" i="4"/>
  <c r="CO206" i="4"/>
  <c r="CN207" i="4"/>
  <c r="CO207" i="4"/>
  <c r="CE134" i="4"/>
  <c r="CF134" i="4"/>
  <c r="CH134" i="4"/>
  <c r="CJ134" i="4"/>
  <c r="CY134" i="4" s="1"/>
  <c r="DA134" i="4" s="1"/>
  <c r="CK134" i="4"/>
  <c r="CL134" i="4"/>
  <c r="CE135" i="4"/>
  <c r="CF135" i="4"/>
  <c r="CK135" i="4" s="1"/>
  <c r="CH135" i="4"/>
  <c r="CX135" i="4" s="1"/>
  <c r="CJ135" i="4"/>
  <c r="CL135" i="4"/>
  <c r="CE136" i="4"/>
  <c r="CF136" i="4"/>
  <c r="CH136" i="4"/>
  <c r="CX136" i="4" s="1"/>
  <c r="CZ136" i="4" s="1"/>
  <c r="CJ136" i="4"/>
  <c r="CE137" i="4"/>
  <c r="CF137" i="4"/>
  <c r="CH137" i="4"/>
  <c r="CX137" i="4" s="1"/>
  <c r="CJ137" i="4"/>
  <c r="CY137" i="4" s="1"/>
  <c r="DA137" i="4" s="1"/>
  <c r="CE138" i="4"/>
  <c r="CF138" i="4"/>
  <c r="CH138" i="4"/>
  <c r="CJ138" i="4"/>
  <c r="CY138" i="4" s="1"/>
  <c r="DA138" i="4" s="1"/>
  <c r="CK138" i="4"/>
  <c r="CE139" i="4"/>
  <c r="CF139" i="4"/>
  <c r="CK139" i="4" s="1"/>
  <c r="CH139" i="4"/>
  <c r="CX139" i="4" s="1"/>
  <c r="CZ139" i="4" s="1"/>
  <c r="CJ139" i="4"/>
  <c r="CL139" i="4"/>
  <c r="CE140" i="4"/>
  <c r="CF140" i="4"/>
  <c r="CH140" i="4"/>
  <c r="CJ140" i="4"/>
  <c r="CE141" i="4"/>
  <c r="CF141" i="4"/>
  <c r="CH141" i="4"/>
  <c r="CX141" i="4" s="1"/>
  <c r="CZ141" i="4" s="1"/>
  <c r="CJ141" i="4"/>
  <c r="CY141" i="4" s="1"/>
  <c r="DA141" i="4" s="1"/>
  <c r="CK141" i="4"/>
  <c r="CE142" i="4"/>
  <c r="CF142" i="4"/>
  <c r="CH142" i="4"/>
  <c r="CJ142" i="4"/>
  <c r="CY142" i="4" s="1"/>
  <c r="DA142" i="4" s="1"/>
  <c r="CK142" i="4"/>
  <c r="CL142" i="4"/>
  <c r="CE143" i="4"/>
  <c r="CF143" i="4"/>
  <c r="CK143" i="4" s="1"/>
  <c r="CH143" i="4"/>
  <c r="CX143" i="4" s="1"/>
  <c r="CJ143" i="4"/>
  <c r="CL143" i="4"/>
  <c r="CE144" i="4"/>
  <c r="CF144" i="4"/>
  <c r="CH144" i="4"/>
  <c r="CX144" i="4" s="1"/>
  <c r="CZ144" i="4" s="1"/>
  <c r="CJ144" i="4"/>
  <c r="CE145" i="4"/>
  <c r="CF145" i="4"/>
  <c r="CH145" i="4"/>
  <c r="CK145" i="4" s="1"/>
  <c r="CJ145" i="4"/>
  <c r="CY145" i="4" s="1"/>
  <c r="DA145" i="4" s="1"/>
  <c r="CE146" i="4"/>
  <c r="CF146" i="4"/>
  <c r="CH146" i="4"/>
  <c r="CX146" i="4" s="1"/>
  <c r="CJ146" i="4"/>
  <c r="CY146" i="4" s="1"/>
  <c r="DA146" i="4" s="1"/>
  <c r="CK146" i="4"/>
  <c r="CE147" i="4"/>
  <c r="CF147" i="4"/>
  <c r="CK147" i="4" s="1"/>
  <c r="CH147" i="4"/>
  <c r="CX147" i="4" s="1"/>
  <c r="CZ147" i="4" s="1"/>
  <c r="CJ147" i="4"/>
  <c r="CY147" i="4" s="1"/>
  <c r="DA147" i="4" s="1"/>
  <c r="CL147" i="4"/>
  <c r="CE148" i="4"/>
  <c r="CF148" i="4"/>
  <c r="CH148" i="4"/>
  <c r="CJ148" i="4"/>
  <c r="CE149" i="4"/>
  <c r="CF149" i="4"/>
  <c r="CH149" i="4"/>
  <c r="CX149" i="4" s="1"/>
  <c r="CZ149" i="4" s="1"/>
  <c r="CJ149" i="4"/>
  <c r="CY149" i="4" s="1"/>
  <c r="DA149" i="4" s="1"/>
  <c r="CK149" i="4"/>
  <c r="CE150" i="4"/>
  <c r="CF150" i="4"/>
  <c r="CH150" i="4"/>
  <c r="CX150" i="4" s="1"/>
  <c r="CZ150" i="4" s="1"/>
  <c r="CJ150" i="4"/>
  <c r="CY150" i="4" s="1"/>
  <c r="DA150" i="4" s="1"/>
  <c r="CK150" i="4"/>
  <c r="CL150" i="4"/>
  <c r="CE151" i="4"/>
  <c r="CF151" i="4"/>
  <c r="CK151" i="4" s="1"/>
  <c r="CH151" i="4"/>
  <c r="CX151" i="4" s="1"/>
  <c r="CJ151" i="4"/>
  <c r="CY151" i="4" s="1"/>
  <c r="DA151" i="4" s="1"/>
  <c r="CL151" i="4"/>
  <c r="CE152" i="4"/>
  <c r="CF152" i="4"/>
  <c r="CH152" i="4"/>
  <c r="CJ152" i="4"/>
  <c r="CE153" i="4"/>
  <c r="CF153" i="4"/>
  <c r="CH153" i="4"/>
  <c r="CK153" i="4" s="1"/>
  <c r="CJ153" i="4"/>
  <c r="CY153" i="4" s="1"/>
  <c r="DA153" i="4" s="1"/>
  <c r="CE154" i="4"/>
  <c r="CF154" i="4"/>
  <c r="CK154" i="4" s="1"/>
  <c r="CH154" i="4"/>
  <c r="CX154" i="4" s="1"/>
  <c r="CJ154" i="4"/>
  <c r="CY154" i="4" s="1"/>
  <c r="DA154" i="4" s="1"/>
  <c r="CE155" i="4"/>
  <c r="CF155" i="4"/>
  <c r="CK155" i="4" s="1"/>
  <c r="CH155" i="4"/>
  <c r="CX155" i="4" s="1"/>
  <c r="CZ155" i="4" s="1"/>
  <c r="CJ155" i="4"/>
  <c r="CY155" i="4" s="1"/>
  <c r="DA155" i="4" s="1"/>
  <c r="CL155" i="4"/>
  <c r="CE156" i="4"/>
  <c r="CF156" i="4"/>
  <c r="CH156" i="4"/>
  <c r="CJ156" i="4"/>
  <c r="CL156" i="4"/>
  <c r="CE157" i="4"/>
  <c r="CF157" i="4"/>
  <c r="CH157" i="4"/>
  <c r="CX157" i="4" s="1"/>
  <c r="CZ157" i="4" s="1"/>
  <c r="CJ157" i="4"/>
  <c r="CY157" i="4" s="1"/>
  <c r="DA157" i="4" s="1"/>
  <c r="CE158" i="4"/>
  <c r="CF158" i="4"/>
  <c r="CH158" i="4"/>
  <c r="CX158" i="4" s="1"/>
  <c r="CZ158" i="4" s="1"/>
  <c r="CJ158" i="4"/>
  <c r="CY158" i="4" s="1"/>
  <c r="DA158" i="4" s="1"/>
  <c r="CK158" i="4"/>
  <c r="CL158" i="4"/>
  <c r="CE159" i="4"/>
  <c r="CF159" i="4"/>
  <c r="CK159" i="4" s="1"/>
  <c r="CH159" i="4"/>
  <c r="CX159" i="4" s="1"/>
  <c r="CJ159" i="4"/>
  <c r="CY159" i="4" s="1"/>
  <c r="DA159" i="4" s="1"/>
  <c r="CE160" i="4"/>
  <c r="CF160" i="4"/>
  <c r="CH160" i="4"/>
  <c r="CX160" i="4" s="1"/>
  <c r="CZ160" i="4" s="1"/>
  <c r="CJ160" i="4"/>
  <c r="CE161" i="4"/>
  <c r="CF161" i="4"/>
  <c r="CL161" i="4" s="1"/>
  <c r="CH161" i="4"/>
  <c r="CJ161" i="4"/>
  <c r="CY161" i="4" s="1"/>
  <c r="DA161" i="4" s="1"/>
  <c r="CK161" i="4"/>
  <c r="CE162" i="4"/>
  <c r="CF162" i="4"/>
  <c r="CK162" i="4" s="1"/>
  <c r="CH162" i="4"/>
  <c r="CX162" i="4" s="1"/>
  <c r="CJ162" i="4"/>
  <c r="CY162" i="4" s="1"/>
  <c r="CE163" i="4"/>
  <c r="CF163" i="4"/>
  <c r="CK163" i="4" s="1"/>
  <c r="CH163" i="4"/>
  <c r="CX163" i="4" s="1"/>
  <c r="CZ163" i="4" s="1"/>
  <c r="CJ163" i="4"/>
  <c r="CY163" i="4" s="1"/>
  <c r="DA163" i="4" s="1"/>
  <c r="CE164" i="4"/>
  <c r="CF164" i="4"/>
  <c r="CK164" i="4" s="1"/>
  <c r="CH164" i="4"/>
  <c r="CJ164" i="4"/>
  <c r="CL164" i="4"/>
  <c r="CE165" i="4"/>
  <c r="CF165" i="4"/>
  <c r="CL165" i="4" s="1"/>
  <c r="CH165" i="4"/>
  <c r="CJ165" i="4"/>
  <c r="CY165" i="4" s="1"/>
  <c r="DA165" i="4" s="1"/>
  <c r="CE166" i="4"/>
  <c r="CF166" i="4"/>
  <c r="CL166" i="4" s="1"/>
  <c r="CH166" i="4"/>
  <c r="CX166" i="4" s="1"/>
  <c r="CZ166" i="4" s="1"/>
  <c r="CJ166" i="4"/>
  <c r="CY166" i="4" s="1"/>
  <c r="DA166" i="4" s="1"/>
  <c r="CK166" i="4"/>
  <c r="CE167" i="4"/>
  <c r="CF167" i="4"/>
  <c r="CK167" i="4" s="1"/>
  <c r="CH167" i="4"/>
  <c r="CX167" i="4" s="1"/>
  <c r="CJ167" i="4"/>
  <c r="CY167" i="4" s="1"/>
  <c r="DA167" i="4" s="1"/>
  <c r="CL167" i="4"/>
  <c r="CE168" i="4"/>
  <c r="CF168" i="4"/>
  <c r="CK168" i="4" s="1"/>
  <c r="CH168" i="4"/>
  <c r="CJ168" i="4"/>
  <c r="CE169" i="4"/>
  <c r="CF169" i="4"/>
  <c r="CH169" i="4"/>
  <c r="CX169" i="4" s="1"/>
  <c r="CZ169" i="4" s="1"/>
  <c r="CJ169" i="4"/>
  <c r="CY169" i="4" s="1"/>
  <c r="DA169" i="4" s="1"/>
  <c r="CK169" i="4"/>
  <c r="CE170" i="4"/>
  <c r="CF170" i="4"/>
  <c r="CH170" i="4"/>
  <c r="CX170" i="4" s="1"/>
  <c r="CJ170" i="4"/>
  <c r="CY170" i="4" s="1"/>
  <c r="CK170" i="4"/>
  <c r="CL170" i="4"/>
  <c r="CE171" i="4"/>
  <c r="CF171" i="4"/>
  <c r="CK171" i="4" s="1"/>
  <c r="CH171" i="4"/>
  <c r="CX171" i="4" s="1"/>
  <c r="CZ171" i="4" s="1"/>
  <c r="CJ171" i="4"/>
  <c r="CY171" i="4" s="1"/>
  <c r="DA171" i="4" s="1"/>
  <c r="CL171" i="4"/>
  <c r="CE172" i="4"/>
  <c r="CF172" i="4"/>
  <c r="CH172" i="4"/>
  <c r="CJ172" i="4"/>
  <c r="CL172" i="4"/>
  <c r="CE173" i="4"/>
  <c r="CF173" i="4"/>
  <c r="CL173" i="4" s="1"/>
  <c r="CH173" i="4"/>
  <c r="CX173" i="4" s="1"/>
  <c r="CZ173" i="4" s="1"/>
  <c r="CJ173" i="4"/>
  <c r="CY173" i="4" s="1"/>
  <c r="DA173" i="4" s="1"/>
  <c r="CE174" i="4"/>
  <c r="CF174" i="4"/>
  <c r="CK174" i="4" s="1"/>
  <c r="CH174" i="4"/>
  <c r="CX174" i="4" s="1"/>
  <c r="CZ174" i="4" s="1"/>
  <c r="CJ174" i="4"/>
  <c r="CY174" i="4" s="1"/>
  <c r="DA174" i="4" s="1"/>
  <c r="CE175" i="4"/>
  <c r="CF175" i="4"/>
  <c r="CK175" i="4" s="1"/>
  <c r="CH175" i="4"/>
  <c r="CX175" i="4" s="1"/>
  <c r="CJ175" i="4"/>
  <c r="CY175" i="4" s="1"/>
  <c r="DA175" i="4" s="1"/>
  <c r="CL175" i="4"/>
  <c r="CE176" i="4"/>
  <c r="CF176" i="4"/>
  <c r="CH176" i="4"/>
  <c r="CJ176" i="4"/>
  <c r="CL176" i="4"/>
  <c r="CE177" i="4"/>
  <c r="CF177" i="4"/>
  <c r="CL177" i="4" s="1"/>
  <c r="CH177" i="4"/>
  <c r="CX177" i="4" s="1"/>
  <c r="CZ177" i="4" s="1"/>
  <c r="CJ177" i="4"/>
  <c r="CY177" i="4" s="1"/>
  <c r="CE178" i="4"/>
  <c r="CF178" i="4"/>
  <c r="CH178" i="4"/>
  <c r="CX178" i="4" s="1"/>
  <c r="CJ178" i="4"/>
  <c r="CY178" i="4" s="1"/>
  <c r="DA178" i="4" s="1"/>
  <c r="CK178" i="4"/>
  <c r="CL178" i="4"/>
  <c r="CE179" i="4"/>
  <c r="CF179" i="4"/>
  <c r="CK179" i="4" s="1"/>
  <c r="CH179" i="4"/>
  <c r="CX179" i="4" s="1"/>
  <c r="CZ179" i="4" s="1"/>
  <c r="CJ179" i="4"/>
  <c r="CY179" i="4" s="1"/>
  <c r="DA179" i="4" s="1"/>
  <c r="CL179" i="4"/>
  <c r="CE180" i="4"/>
  <c r="CF180" i="4"/>
  <c r="CL180" i="4" s="1"/>
  <c r="CH180" i="4"/>
  <c r="CX180" i="4" s="1"/>
  <c r="CZ180" i="4" s="1"/>
  <c r="CJ180" i="4"/>
  <c r="CE181" i="4"/>
  <c r="CF181" i="4"/>
  <c r="CH181" i="4"/>
  <c r="CX181" i="4" s="1"/>
  <c r="CZ181" i="4" s="1"/>
  <c r="CJ181" i="4"/>
  <c r="CY181" i="4" s="1"/>
  <c r="DA181" i="4" s="1"/>
  <c r="CK181" i="4"/>
  <c r="CE182" i="4"/>
  <c r="CF182" i="4"/>
  <c r="CH182" i="4"/>
  <c r="CX182" i="4" s="1"/>
  <c r="CZ182" i="4" s="1"/>
  <c r="CJ182" i="4"/>
  <c r="CY182" i="4" s="1"/>
  <c r="DA182" i="4" s="1"/>
  <c r="CK182" i="4"/>
  <c r="CE183" i="4"/>
  <c r="CF183" i="4"/>
  <c r="CK183" i="4" s="1"/>
  <c r="CH183" i="4"/>
  <c r="CX183" i="4" s="1"/>
  <c r="CJ183" i="4"/>
  <c r="CY183" i="4" s="1"/>
  <c r="DA183" i="4" s="1"/>
  <c r="CL183" i="4"/>
  <c r="CE184" i="4"/>
  <c r="CF184" i="4"/>
  <c r="CH184" i="4"/>
  <c r="CJ184" i="4"/>
  <c r="CL184" i="4"/>
  <c r="CE185" i="4"/>
  <c r="CF185" i="4"/>
  <c r="CH185" i="4"/>
  <c r="CX185" i="4" s="1"/>
  <c r="CZ185" i="4" s="1"/>
  <c r="CJ185" i="4"/>
  <c r="CY185" i="4" s="1"/>
  <c r="DA185" i="4" s="1"/>
  <c r="CE186" i="4"/>
  <c r="CF186" i="4"/>
  <c r="CK186" i="4" s="1"/>
  <c r="CH186" i="4"/>
  <c r="CX186" i="4" s="1"/>
  <c r="CJ186" i="4"/>
  <c r="CY186" i="4" s="1"/>
  <c r="DA186" i="4" s="1"/>
  <c r="CE187" i="4"/>
  <c r="CF187" i="4"/>
  <c r="CK187" i="4" s="1"/>
  <c r="CH187" i="4"/>
  <c r="CX187" i="4" s="1"/>
  <c r="CZ187" i="4" s="1"/>
  <c r="CJ187" i="4"/>
  <c r="CY187" i="4" s="1"/>
  <c r="DA187" i="4" s="1"/>
  <c r="CL187" i="4"/>
  <c r="CE188" i="4"/>
  <c r="CF188" i="4"/>
  <c r="CH188" i="4"/>
  <c r="CJ188" i="4"/>
  <c r="CL188" i="4"/>
  <c r="CE189" i="4"/>
  <c r="CF189" i="4"/>
  <c r="CH189" i="4"/>
  <c r="CX189" i="4" s="1"/>
  <c r="CZ189" i="4" s="1"/>
  <c r="CJ189" i="4"/>
  <c r="CY189" i="4" s="1"/>
  <c r="DA189" i="4" s="1"/>
  <c r="CE190" i="4"/>
  <c r="CF190" i="4"/>
  <c r="CH190" i="4"/>
  <c r="CX190" i="4" s="1"/>
  <c r="CZ190" i="4" s="1"/>
  <c r="CJ190" i="4"/>
  <c r="CY190" i="4" s="1"/>
  <c r="DA190" i="4" s="1"/>
  <c r="CK190" i="4"/>
  <c r="CL190" i="4"/>
  <c r="CE191" i="4"/>
  <c r="CF191" i="4"/>
  <c r="CK191" i="4" s="1"/>
  <c r="CH191" i="4"/>
  <c r="CX191" i="4" s="1"/>
  <c r="CJ191" i="4"/>
  <c r="CY191" i="4" s="1"/>
  <c r="DA191" i="4" s="1"/>
  <c r="CE192" i="4"/>
  <c r="CF192" i="4"/>
  <c r="CH192" i="4"/>
  <c r="CX192" i="4" s="1"/>
  <c r="CZ192" i="4" s="1"/>
  <c r="CJ192" i="4"/>
  <c r="CE193" i="4"/>
  <c r="CF193" i="4"/>
  <c r="CL193" i="4" s="1"/>
  <c r="CH193" i="4"/>
  <c r="CX193" i="4" s="1"/>
  <c r="CZ193" i="4" s="1"/>
  <c r="CJ193" i="4"/>
  <c r="CY193" i="4" s="1"/>
  <c r="DA193" i="4" s="1"/>
  <c r="CK193" i="4"/>
  <c r="CE194" i="4"/>
  <c r="CF194" i="4"/>
  <c r="CK194" i="4" s="1"/>
  <c r="CH194" i="4"/>
  <c r="CX194" i="4" s="1"/>
  <c r="CJ194" i="4"/>
  <c r="CY194" i="4" s="1"/>
  <c r="CE195" i="4"/>
  <c r="CF195" i="4"/>
  <c r="CK195" i="4" s="1"/>
  <c r="CH195" i="4"/>
  <c r="CX195" i="4" s="1"/>
  <c r="CZ195" i="4" s="1"/>
  <c r="CJ195" i="4"/>
  <c r="CY195" i="4" s="1"/>
  <c r="DA195" i="4" s="1"/>
  <c r="CE196" i="4"/>
  <c r="CF196" i="4"/>
  <c r="CK196" i="4" s="1"/>
  <c r="CH196" i="4"/>
  <c r="CJ196" i="4"/>
  <c r="CL196" i="4"/>
  <c r="CE197" i="4"/>
  <c r="CF197" i="4"/>
  <c r="CL197" i="4" s="1"/>
  <c r="CH197" i="4"/>
  <c r="CJ197" i="4"/>
  <c r="CY197" i="4" s="1"/>
  <c r="DA197" i="4" s="1"/>
  <c r="CE198" i="4"/>
  <c r="CF198" i="4"/>
  <c r="CL198" i="4" s="1"/>
  <c r="CH198" i="4"/>
  <c r="CX198" i="4" s="1"/>
  <c r="CZ198" i="4" s="1"/>
  <c r="CJ198" i="4"/>
  <c r="CY198" i="4" s="1"/>
  <c r="DA198" i="4" s="1"/>
  <c r="CK198" i="4"/>
  <c r="CE199" i="4"/>
  <c r="CF199" i="4"/>
  <c r="CK199" i="4" s="1"/>
  <c r="CH199" i="4"/>
  <c r="CX199" i="4" s="1"/>
  <c r="CJ199" i="4"/>
  <c r="CY199" i="4" s="1"/>
  <c r="DA199" i="4" s="1"/>
  <c r="CL199" i="4"/>
  <c r="CE200" i="4"/>
  <c r="CF200" i="4"/>
  <c r="CK200" i="4" s="1"/>
  <c r="CH200" i="4"/>
  <c r="CJ200" i="4"/>
  <c r="CE201" i="4"/>
  <c r="CF201" i="4"/>
  <c r="CH201" i="4"/>
  <c r="CX201" i="4" s="1"/>
  <c r="CZ201" i="4" s="1"/>
  <c r="CJ201" i="4"/>
  <c r="CY201" i="4" s="1"/>
  <c r="DA201" i="4" s="1"/>
  <c r="CK201" i="4"/>
  <c r="CE202" i="4"/>
  <c r="CF202" i="4"/>
  <c r="CH202" i="4"/>
  <c r="CX202" i="4" s="1"/>
  <c r="CJ202" i="4"/>
  <c r="CY202" i="4" s="1"/>
  <c r="CK202" i="4"/>
  <c r="CL202" i="4"/>
  <c r="CE203" i="4"/>
  <c r="CF203" i="4"/>
  <c r="CK203" i="4" s="1"/>
  <c r="CH203" i="4"/>
  <c r="CX203" i="4" s="1"/>
  <c r="CZ203" i="4" s="1"/>
  <c r="CJ203" i="4"/>
  <c r="CY203" i="4" s="1"/>
  <c r="DA203" i="4" s="1"/>
  <c r="CL203" i="4"/>
  <c r="CE204" i="4"/>
  <c r="CF204" i="4"/>
  <c r="CH204" i="4"/>
  <c r="CJ204" i="4"/>
  <c r="CL204" i="4"/>
  <c r="CE205" i="4"/>
  <c r="CF205" i="4"/>
  <c r="CL205" i="4" s="1"/>
  <c r="CH205" i="4"/>
  <c r="CX205" i="4" s="1"/>
  <c r="CZ205" i="4" s="1"/>
  <c r="CJ205" i="4"/>
  <c r="CY205" i="4" s="1"/>
  <c r="DA205" i="4" s="1"/>
  <c r="CE206" i="4"/>
  <c r="CF206" i="4"/>
  <c r="CK206" i="4" s="1"/>
  <c r="CH206" i="4"/>
  <c r="CX206" i="4" s="1"/>
  <c r="CZ206" i="4" s="1"/>
  <c r="CJ206" i="4"/>
  <c r="CY206" i="4" s="1"/>
  <c r="DA206" i="4" s="1"/>
  <c r="CE207" i="4"/>
  <c r="CF207" i="4"/>
  <c r="CK207" i="4" s="1"/>
  <c r="CH207" i="4"/>
  <c r="CX207" i="4" s="1"/>
  <c r="CJ207" i="4"/>
  <c r="CY207" i="4" s="1"/>
  <c r="DA207" i="4" s="1"/>
  <c r="CL207" i="4"/>
  <c r="CE237" i="4"/>
  <c r="CF237" i="4"/>
  <c r="CH237" i="4"/>
  <c r="CJ237" i="4"/>
  <c r="CL237" i="4"/>
  <c r="CN237" i="4"/>
  <c r="CQ237" i="4"/>
  <c r="CT237" i="4" s="1"/>
  <c r="CS237" i="4"/>
  <c r="CU237" i="4" s="1"/>
  <c r="CE238" i="4"/>
  <c r="CF238" i="4"/>
  <c r="CH238" i="4"/>
  <c r="CJ238" i="4"/>
  <c r="CK238" i="4"/>
  <c r="CL238" i="4"/>
  <c r="CN238" i="4"/>
  <c r="CQ238" i="4"/>
  <c r="CT238" i="4" s="1"/>
  <c r="CS238" i="4"/>
  <c r="CU238" i="4"/>
  <c r="CE239" i="4"/>
  <c r="CF239" i="4"/>
  <c r="CH239" i="4"/>
  <c r="CJ239" i="4"/>
  <c r="CN239" i="4"/>
  <c r="CQ239" i="4"/>
  <c r="CT239" i="4" s="1"/>
  <c r="CS239" i="4"/>
  <c r="CU239" i="4"/>
  <c r="CE240" i="4"/>
  <c r="CF240" i="4"/>
  <c r="CL240" i="4" s="1"/>
  <c r="CH240" i="4"/>
  <c r="CJ240" i="4"/>
  <c r="CN240" i="4"/>
  <c r="CQ240" i="4"/>
  <c r="CS240" i="4"/>
  <c r="CT240" i="4"/>
  <c r="CE241" i="4"/>
  <c r="CF241" i="4"/>
  <c r="CH241" i="4"/>
  <c r="CJ241" i="4"/>
  <c r="CL241" i="4" s="1"/>
  <c r="CK241" i="4"/>
  <c r="CN241" i="4"/>
  <c r="CQ241" i="4"/>
  <c r="CS241" i="4"/>
  <c r="CE242" i="4"/>
  <c r="CF242" i="4"/>
  <c r="CH242" i="4"/>
  <c r="CJ242" i="4"/>
  <c r="CN242" i="4"/>
  <c r="CQ242" i="4"/>
  <c r="CS242" i="4"/>
  <c r="CE243" i="4"/>
  <c r="CF243" i="4"/>
  <c r="CK243" i="4" s="1"/>
  <c r="CH243" i="4"/>
  <c r="CJ243" i="4"/>
  <c r="CL243" i="4"/>
  <c r="CN243" i="4"/>
  <c r="CQ243" i="4"/>
  <c r="CT243" i="4" s="1"/>
  <c r="CS243" i="4"/>
  <c r="CU243" i="4" s="1"/>
  <c r="CE244" i="4"/>
  <c r="CF244" i="4"/>
  <c r="CH244" i="4"/>
  <c r="CJ244" i="4"/>
  <c r="CK244" i="4"/>
  <c r="CL244" i="4"/>
  <c r="CN244" i="4"/>
  <c r="CQ244" i="4"/>
  <c r="CT244" i="4" s="1"/>
  <c r="CS244" i="4"/>
  <c r="CU244" i="4" s="1"/>
  <c r="CE245" i="4"/>
  <c r="CF245" i="4"/>
  <c r="CH245" i="4"/>
  <c r="CJ245" i="4"/>
  <c r="CN245" i="4"/>
  <c r="CQ245" i="4"/>
  <c r="CT245" i="4" s="1"/>
  <c r="CS245" i="4"/>
  <c r="CU245" i="4"/>
  <c r="CE246" i="4"/>
  <c r="CF246" i="4"/>
  <c r="CH246" i="4"/>
  <c r="CJ246" i="4"/>
  <c r="CK246" i="4"/>
  <c r="CL246" i="4"/>
  <c r="CN246" i="4"/>
  <c r="CQ246" i="4"/>
  <c r="CT246" i="4" s="1"/>
  <c r="CS246" i="4"/>
  <c r="CU246" i="4"/>
  <c r="CE247" i="4"/>
  <c r="CF247" i="4"/>
  <c r="CL247" i="4" s="1"/>
  <c r="CH247" i="4"/>
  <c r="CK247" i="4" s="1"/>
  <c r="CJ247" i="4"/>
  <c r="CN247" i="4"/>
  <c r="CQ247" i="4"/>
  <c r="CT247" i="4" s="1"/>
  <c r="CS247" i="4"/>
  <c r="CU247" i="4"/>
  <c r="CE248" i="4"/>
  <c r="CF248" i="4"/>
  <c r="CL248" i="4" s="1"/>
  <c r="CH248" i="4"/>
  <c r="CJ248" i="4"/>
  <c r="CK248" i="4"/>
  <c r="CN248" i="4"/>
  <c r="CQ248" i="4"/>
  <c r="CS248" i="4"/>
  <c r="CT248" i="4"/>
  <c r="CE249" i="4"/>
  <c r="CF249" i="4"/>
  <c r="CL249" i="4" s="1"/>
  <c r="CH249" i="4"/>
  <c r="CJ249" i="4"/>
  <c r="CK249" i="4"/>
  <c r="CN249" i="4"/>
  <c r="CQ249" i="4"/>
  <c r="CS249" i="4"/>
  <c r="CE250" i="4"/>
  <c r="CF250" i="4"/>
  <c r="CH250" i="4"/>
  <c r="CJ250" i="4"/>
  <c r="CN250" i="4"/>
  <c r="CQ250" i="4"/>
  <c r="CS250" i="4"/>
  <c r="CE251" i="4"/>
  <c r="CF251" i="4"/>
  <c r="CK251" i="4" s="1"/>
  <c r="CH251" i="4"/>
  <c r="CJ251" i="4"/>
  <c r="CL251" i="4"/>
  <c r="CN251" i="4"/>
  <c r="CQ251" i="4"/>
  <c r="CT251" i="4" s="1"/>
  <c r="CS251" i="4"/>
  <c r="CU251" i="4" s="1"/>
  <c r="CE252" i="4"/>
  <c r="CF252" i="4"/>
  <c r="CH252" i="4"/>
  <c r="CJ252" i="4"/>
  <c r="CL252" i="4" s="1"/>
  <c r="CK252" i="4"/>
  <c r="CN252" i="4"/>
  <c r="CQ252" i="4"/>
  <c r="CT252" i="4" s="1"/>
  <c r="CS252" i="4"/>
  <c r="CU252" i="4"/>
  <c r="CE253" i="4"/>
  <c r="CF253" i="4"/>
  <c r="CH253" i="4"/>
  <c r="CJ253" i="4"/>
  <c r="CL253" i="4"/>
  <c r="CN253" i="4"/>
  <c r="CQ253" i="4"/>
  <c r="CT253" i="4" s="1"/>
  <c r="CS253" i="4"/>
  <c r="CU253" i="4" s="1"/>
  <c r="CE254" i="4"/>
  <c r="CF254" i="4"/>
  <c r="CH254" i="4"/>
  <c r="CJ254" i="4"/>
  <c r="CK254" i="4"/>
  <c r="CL254" i="4"/>
  <c r="CN254" i="4"/>
  <c r="CQ254" i="4"/>
  <c r="CT254" i="4" s="1"/>
  <c r="CS254" i="4"/>
  <c r="CU254" i="4"/>
  <c r="CE256" i="4"/>
  <c r="CF256" i="4"/>
  <c r="CH256" i="4"/>
  <c r="CJ256" i="4"/>
  <c r="CN256" i="4"/>
  <c r="CQ256" i="4"/>
  <c r="CT256" i="4" s="1"/>
  <c r="CS256" i="4"/>
  <c r="CE226" i="4"/>
  <c r="CF226" i="4"/>
  <c r="CH226" i="4"/>
  <c r="CJ226" i="4"/>
  <c r="CN226" i="4"/>
  <c r="CQ226" i="4"/>
  <c r="CS226" i="4"/>
  <c r="CU226" i="4"/>
  <c r="CE227" i="4"/>
  <c r="CF227" i="4"/>
  <c r="CH227" i="4"/>
  <c r="CK227" i="4" s="1"/>
  <c r="CJ227" i="4"/>
  <c r="CL227" i="4"/>
  <c r="CN227" i="4"/>
  <c r="CQ227" i="4"/>
  <c r="CT227" i="4" s="1"/>
  <c r="CS227" i="4"/>
  <c r="CU227" i="4"/>
  <c r="CE228" i="4"/>
  <c r="CF228" i="4"/>
  <c r="CL228" i="4" s="1"/>
  <c r="CH228" i="4"/>
  <c r="CJ228" i="4"/>
  <c r="CK228" i="4"/>
  <c r="CN228" i="4"/>
  <c r="CQ228" i="4"/>
  <c r="CT228" i="4" s="1"/>
  <c r="CS228" i="4"/>
  <c r="CU228" i="4"/>
  <c r="CE229" i="4"/>
  <c r="CF229" i="4"/>
  <c r="CL229" i="4" s="1"/>
  <c r="CH229" i="4"/>
  <c r="CJ229" i="4"/>
  <c r="CK229" i="4"/>
  <c r="CN229" i="4"/>
  <c r="CQ229" i="4"/>
  <c r="CT229" i="4" s="1"/>
  <c r="CS229" i="4"/>
  <c r="CE230" i="4"/>
  <c r="CF230" i="4"/>
  <c r="CK230" i="4" s="1"/>
  <c r="CH230" i="4"/>
  <c r="CJ230" i="4"/>
  <c r="CN230" i="4"/>
  <c r="CQ230" i="4"/>
  <c r="CS230" i="4"/>
  <c r="CU230" i="4" s="1"/>
  <c r="CT230" i="4"/>
  <c r="CE231" i="4"/>
  <c r="CF231" i="4"/>
  <c r="CH231" i="4"/>
  <c r="CJ231" i="4"/>
  <c r="CN231" i="4"/>
  <c r="CQ231" i="4"/>
  <c r="CS231" i="4"/>
  <c r="CT231" i="4"/>
  <c r="CU231" i="4"/>
  <c r="CE232" i="4"/>
  <c r="CF232" i="4"/>
  <c r="CK232" i="4" s="1"/>
  <c r="CH232" i="4"/>
  <c r="CJ232" i="4"/>
  <c r="CL232" i="4" s="1"/>
  <c r="CN232" i="4"/>
  <c r="CQ232" i="4"/>
  <c r="CS232" i="4"/>
  <c r="CE233" i="4"/>
  <c r="CF233" i="4"/>
  <c r="CH233" i="4"/>
  <c r="CK233" i="4" s="1"/>
  <c r="CJ233" i="4"/>
  <c r="CL233" i="4" s="1"/>
  <c r="CN233" i="4"/>
  <c r="CQ233" i="4"/>
  <c r="CS233" i="4"/>
  <c r="CE234" i="4"/>
  <c r="CF234" i="4"/>
  <c r="CK234" i="4" s="1"/>
  <c r="CH234" i="4"/>
  <c r="CJ234" i="4"/>
  <c r="CL234" i="4"/>
  <c r="CN234" i="4"/>
  <c r="CQ234" i="4"/>
  <c r="CS234" i="4"/>
  <c r="CE235" i="4"/>
  <c r="CF235" i="4"/>
  <c r="CH235" i="4"/>
  <c r="CJ235" i="4"/>
  <c r="CK235" i="4"/>
  <c r="CL235" i="4"/>
  <c r="CN235" i="4"/>
  <c r="CQ235" i="4"/>
  <c r="CT235" i="4" s="1"/>
  <c r="CS235" i="4"/>
  <c r="CU235" i="4"/>
  <c r="CE236" i="4"/>
  <c r="CF236" i="4"/>
  <c r="CL236" i="4" s="1"/>
  <c r="CH236" i="4"/>
  <c r="CJ236" i="4"/>
  <c r="CN236" i="4"/>
  <c r="CQ236" i="4"/>
  <c r="CS236" i="4"/>
  <c r="CT236" i="4"/>
  <c r="CU236" i="4"/>
  <c r="CS225" i="4"/>
  <c r="CQ225" i="4"/>
  <c r="CN225" i="4"/>
  <c r="CJ225" i="4"/>
  <c r="CH225" i="4"/>
  <c r="CX225" i="4" s="1"/>
  <c r="CZ225" i="4" s="1"/>
  <c r="CE225" i="4"/>
  <c r="CF225" i="4"/>
  <c r="CS224" i="4"/>
  <c r="CQ224" i="4"/>
  <c r="CN224" i="4"/>
  <c r="CJ224" i="4"/>
  <c r="CH224" i="4"/>
  <c r="CE224" i="4"/>
  <c r="CF224" i="4"/>
  <c r="CS223" i="4"/>
  <c r="CQ223" i="4"/>
  <c r="CN223" i="4"/>
  <c r="CJ223" i="4"/>
  <c r="CH223" i="4"/>
  <c r="CE223" i="4"/>
  <c r="CF223" i="4"/>
  <c r="CS222" i="4"/>
  <c r="CQ222" i="4"/>
  <c r="CN222" i="4"/>
  <c r="CJ222" i="4"/>
  <c r="CY222" i="4" s="1"/>
  <c r="DA222" i="4" s="1"/>
  <c r="CH222" i="4"/>
  <c r="CE222" i="4"/>
  <c r="CF222" i="4"/>
  <c r="BU21" i="1"/>
  <c r="BU23" i="1"/>
  <c r="BU24" i="1"/>
  <c r="BU25" i="1"/>
  <c r="BU26" i="1"/>
  <c r="BU27" i="1"/>
  <c r="BU29" i="1"/>
  <c r="BU30" i="1"/>
  <c r="BU31" i="1"/>
  <c r="BY4" i="1"/>
  <c r="CA4" i="1" s="1"/>
  <c r="CS471" i="4"/>
  <c r="CN471" i="4"/>
  <c r="CO471" i="4"/>
  <c r="CF471" i="4"/>
  <c r="CK471" i="4" s="1"/>
  <c r="CH471" i="4"/>
  <c r="CJ471" i="4"/>
  <c r="CL471" i="4"/>
  <c r="AX5" i="1"/>
  <c r="BY5" i="1" s="1"/>
  <c r="CA5" i="1" s="1"/>
  <c r="K21" i="8"/>
  <c r="CS637" i="4"/>
  <c r="CS636" i="4"/>
  <c r="CQ637" i="4"/>
  <c r="CQ636" i="4"/>
  <c r="CO637" i="4"/>
  <c r="CO636" i="4"/>
  <c r="CT636" i="4" s="1"/>
  <c r="CO635" i="4"/>
  <c r="CT635" i="4" s="1"/>
  <c r="CO634" i="4"/>
  <c r="CT634" i="4" s="1"/>
  <c r="CJ637" i="4"/>
  <c r="CY637" i="4" s="1"/>
  <c r="CJ636" i="4"/>
  <c r="CY636" i="4" s="1"/>
  <c r="DA636" i="4" s="1"/>
  <c r="CJ635" i="4"/>
  <c r="CY635" i="4" s="1"/>
  <c r="DA635" i="4" s="1"/>
  <c r="CH637" i="4"/>
  <c r="CH636" i="4"/>
  <c r="CX636" i="4" s="1"/>
  <c r="CZ636" i="4" s="1"/>
  <c r="CH635" i="4"/>
  <c r="CX635" i="4" s="1"/>
  <c r="CZ635" i="4" s="1"/>
  <c r="CF637" i="4"/>
  <c r="CF636" i="4"/>
  <c r="CF635" i="4"/>
  <c r="CF634" i="4"/>
  <c r="CE637" i="4"/>
  <c r="CE636" i="4"/>
  <c r="CE635" i="4"/>
  <c r="CE634" i="4"/>
  <c r="BU4" i="1"/>
  <c r="D51" i="5"/>
  <c r="D48" i="5"/>
  <c r="AX3" i="1"/>
  <c r="AX37" i="1"/>
  <c r="BY37" i="1" s="1"/>
  <c r="CA37" i="1" s="1"/>
  <c r="AK42" i="1"/>
  <c r="AX2" i="1"/>
  <c r="BY2" i="1" s="1"/>
  <c r="CS553" i="4"/>
  <c r="CQ553" i="4"/>
  <c r="CO553" i="4"/>
  <c r="CN553" i="4"/>
  <c r="CJ553" i="4"/>
  <c r="CY553" i="4" s="1"/>
  <c r="CH553" i="4"/>
  <c r="CX553" i="4" s="1"/>
  <c r="CF553" i="4"/>
  <c r="CE553" i="4"/>
  <c r="D30" i="5"/>
  <c r="BU11" i="1"/>
  <c r="BY6" i="1"/>
  <c r="CA6" i="1" s="1"/>
  <c r="BY7" i="1"/>
  <c r="CA7" i="1" s="1"/>
  <c r="BY8" i="1"/>
  <c r="CA8" i="1" s="1"/>
  <c r="BY9" i="1"/>
  <c r="CA9" i="1" s="1"/>
  <c r="BY11" i="1"/>
  <c r="CA11" i="1" s="1"/>
  <c r="BY12" i="1"/>
  <c r="CA12" i="1" s="1"/>
  <c r="BY13" i="1"/>
  <c r="CA13" i="1" s="1"/>
  <c r="BY14" i="1"/>
  <c r="CA14" i="1" s="1"/>
  <c r="BY15" i="1"/>
  <c r="CA15" i="1" s="1"/>
  <c r="BY16" i="1"/>
  <c r="CA16" i="1" s="1"/>
  <c r="BY17" i="1"/>
  <c r="CA17" i="1" s="1"/>
  <c r="BY18" i="1"/>
  <c r="CA18" i="1" s="1"/>
  <c r="BY19" i="1"/>
  <c r="CA19" i="1" s="1"/>
  <c r="BY20" i="1"/>
  <c r="CA20" i="1" s="1"/>
  <c r="BY21" i="1"/>
  <c r="CA21" i="1" s="1"/>
  <c r="BY23" i="1"/>
  <c r="CA23" i="1" s="1"/>
  <c r="BY24" i="1"/>
  <c r="CA24" i="1" s="1"/>
  <c r="BY25" i="1"/>
  <c r="CA25" i="1" s="1"/>
  <c r="BY26" i="1"/>
  <c r="CA26" i="1" s="1"/>
  <c r="BY27" i="1"/>
  <c r="CA27" i="1" s="1"/>
  <c r="BY29" i="1"/>
  <c r="CA29" i="1" s="1"/>
  <c r="BY30" i="1"/>
  <c r="CA30" i="1" s="1"/>
  <c r="BY31" i="1"/>
  <c r="CA31" i="1" s="1"/>
  <c r="BY32" i="1"/>
  <c r="CA32" i="1" s="1"/>
  <c r="BY33" i="1"/>
  <c r="CA33" i="1" s="1"/>
  <c r="BY34" i="1"/>
  <c r="CA34" i="1" s="1"/>
  <c r="BY35" i="1"/>
  <c r="CA35" i="1" s="1"/>
  <c r="BY36" i="1"/>
  <c r="CA36" i="1" s="1"/>
  <c r="BY38" i="1"/>
  <c r="CA38" i="1" s="1"/>
  <c r="BU5" i="1"/>
  <c r="BU6" i="1"/>
  <c r="BU7" i="1"/>
  <c r="BU8" i="1"/>
  <c r="BU9" i="1"/>
  <c r="BU12" i="1"/>
  <c r="BU14" i="1"/>
  <c r="BU15" i="1"/>
  <c r="BU16" i="1"/>
  <c r="BU17" i="1"/>
  <c r="BU18" i="1"/>
  <c r="BU19" i="1"/>
  <c r="BU20" i="1"/>
  <c r="BU32" i="1"/>
  <c r="BU33" i="1"/>
  <c r="BU34" i="1"/>
  <c r="BU35" i="1"/>
  <c r="BU36" i="1"/>
  <c r="BU38" i="1"/>
  <c r="BU2" i="1"/>
  <c r="CB42" i="1"/>
  <c r="E30" i="5"/>
  <c r="G30" i="5"/>
  <c r="AX28" i="1"/>
  <c r="BU28" i="1" s="1"/>
  <c r="AX22" i="1"/>
  <c r="BU22" i="1" s="1"/>
  <c r="CS633" i="4"/>
  <c r="CQ633" i="4"/>
  <c r="CJ633" i="4"/>
  <c r="CY633" i="4" s="1"/>
  <c r="DA633" i="4" s="1"/>
  <c r="CH633" i="4"/>
  <c r="CF633" i="4"/>
  <c r="CF34" i="4"/>
  <c r="CJ122" i="4"/>
  <c r="CH122" i="4"/>
  <c r="CF125" i="4"/>
  <c r="CF126" i="4"/>
  <c r="CL126" i="4" s="1"/>
  <c r="CF127" i="4"/>
  <c r="CF128" i="4"/>
  <c r="CF129" i="4"/>
  <c r="CF130" i="4"/>
  <c r="CF131" i="4"/>
  <c r="CK131" i="4" s="1"/>
  <c r="CN126" i="4"/>
  <c r="CO126" i="4"/>
  <c r="CQ126" i="4"/>
  <c r="CT126" i="4" s="1"/>
  <c r="CS126" i="4"/>
  <c r="CN127" i="4"/>
  <c r="CO127" i="4"/>
  <c r="CT127" i="4" s="1"/>
  <c r="CQ127" i="4"/>
  <c r="CS127" i="4"/>
  <c r="CN128" i="4"/>
  <c r="CO128" i="4"/>
  <c r="CT128" i="4" s="1"/>
  <c r="CQ128" i="4"/>
  <c r="CS128" i="4"/>
  <c r="CU128" i="4"/>
  <c r="CN129" i="4"/>
  <c r="CO129" i="4"/>
  <c r="CQ129" i="4"/>
  <c r="CS129" i="4"/>
  <c r="CU129" i="4"/>
  <c r="CN130" i="4"/>
  <c r="CO130" i="4"/>
  <c r="CQ130" i="4"/>
  <c r="CS130" i="4"/>
  <c r="CN131" i="4"/>
  <c r="CO131" i="4"/>
  <c r="CQ131" i="4"/>
  <c r="CS131" i="4"/>
  <c r="CT131" i="4"/>
  <c r="CU131" i="4"/>
  <c r="CE126" i="4"/>
  <c r="CH126" i="4"/>
  <c r="CJ126" i="4"/>
  <c r="CK126" i="4"/>
  <c r="CE127" i="4"/>
  <c r="CH127" i="4"/>
  <c r="CX127" i="4" s="1"/>
  <c r="CZ127" i="4" s="1"/>
  <c r="CJ127" i="4"/>
  <c r="CK127" i="4"/>
  <c r="CE128" i="4"/>
  <c r="CH128" i="4"/>
  <c r="CX128" i="4" s="1"/>
  <c r="CZ128" i="4" s="1"/>
  <c r="CJ128" i="4"/>
  <c r="CK128" i="4"/>
  <c r="CL128" i="4"/>
  <c r="CE129" i="4"/>
  <c r="CH129" i="4"/>
  <c r="CX129" i="4" s="1"/>
  <c r="CZ129" i="4" s="1"/>
  <c r="CJ129" i="4"/>
  <c r="CY129" i="4" s="1"/>
  <c r="CL129" i="4"/>
  <c r="CE130" i="4"/>
  <c r="CH130" i="4"/>
  <c r="CK130" i="4" s="1"/>
  <c r="CJ130" i="4"/>
  <c r="CL130" i="4" s="1"/>
  <c r="CE131" i="4"/>
  <c r="CH131" i="4"/>
  <c r="CX131" i="4" s="1"/>
  <c r="CZ131" i="4" s="1"/>
  <c r="CJ131" i="4"/>
  <c r="CY131" i="4" s="1"/>
  <c r="DA131" i="4" s="1"/>
  <c r="CS632" i="4"/>
  <c r="CQ632" i="4"/>
  <c r="CJ632" i="4"/>
  <c r="CH632" i="4"/>
  <c r="CF632" i="4"/>
  <c r="AX10" i="1"/>
  <c r="CQ344" i="4"/>
  <c r="CH405" i="4"/>
  <c r="CS573" i="4"/>
  <c r="CS574" i="4"/>
  <c r="CS575" i="4"/>
  <c r="CS576" i="4"/>
  <c r="CS577" i="4"/>
  <c r="CS578" i="4"/>
  <c r="CS579" i="4"/>
  <c r="CS580" i="4"/>
  <c r="CS581" i="4"/>
  <c r="CS582" i="4"/>
  <c r="CS583" i="4"/>
  <c r="CS584" i="4"/>
  <c r="CS585" i="4"/>
  <c r="CQ574" i="4"/>
  <c r="CQ575" i="4"/>
  <c r="CQ576" i="4"/>
  <c r="CQ577" i="4"/>
  <c r="CQ578" i="4"/>
  <c r="CQ579" i="4"/>
  <c r="CQ580" i="4"/>
  <c r="CQ581" i="4"/>
  <c r="CQ582" i="4"/>
  <c r="CQ583" i="4"/>
  <c r="CQ584" i="4"/>
  <c r="CQ585" i="4"/>
  <c r="CO574" i="4"/>
  <c r="CO575" i="4"/>
  <c r="CO576" i="4"/>
  <c r="CO577" i="4"/>
  <c r="CO578" i="4"/>
  <c r="CO579" i="4"/>
  <c r="CO580" i="4"/>
  <c r="CO581" i="4"/>
  <c r="CO582" i="4"/>
  <c r="CO583" i="4"/>
  <c r="CO584" i="4"/>
  <c r="CO585" i="4"/>
  <c r="CN574" i="4"/>
  <c r="CN575" i="4"/>
  <c r="CN576" i="4"/>
  <c r="CN577" i="4"/>
  <c r="CN578" i="4"/>
  <c r="CN579" i="4"/>
  <c r="CN580" i="4"/>
  <c r="CN581" i="4"/>
  <c r="CN582" i="4"/>
  <c r="CN583" i="4"/>
  <c r="CN584" i="4"/>
  <c r="CN585" i="4"/>
  <c r="CJ574" i="4"/>
  <c r="CY574" i="4" s="1"/>
  <c r="CJ575" i="4"/>
  <c r="CY575" i="4" s="1"/>
  <c r="CJ576" i="4"/>
  <c r="CY576" i="4" s="1"/>
  <c r="DA576" i="4" s="1"/>
  <c r="CJ577" i="4"/>
  <c r="CY577" i="4" s="1"/>
  <c r="DA577" i="4" s="1"/>
  <c r="CJ578" i="4"/>
  <c r="CY578" i="4" s="1"/>
  <c r="DA578" i="4" s="1"/>
  <c r="CJ579" i="4"/>
  <c r="CY579" i="4" s="1"/>
  <c r="DA579" i="4" s="1"/>
  <c r="CJ580" i="4"/>
  <c r="CY580" i="4" s="1"/>
  <c r="DA580" i="4" s="1"/>
  <c r="CJ581" i="4"/>
  <c r="CY581" i="4" s="1"/>
  <c r="DA581" i="4" s="1"/>
  <c r="CJ582" i="4"/>
  <c r="CY582" i="4" s="1"/>
  <c r="CJ583" i="4"/>
  <c r="CY583" i="4" s="1"/>
  <c r="CJ584" i="4"/>
  <c r="CY584" i="4" s="1"/>
  <c r="DA584" i="4" s="1"/>
  <c r="CJ585" i="4"/>
  <c r="CY585" i="4" s="1"/>
  <c r="DA585" i="4" s="1"/>
  <c r="CH572" i="4"/>
  <c r="CH573" i="4"/>
  <c r="CH574" i="4"/>
  <c r="CH575" i="4"/>
  <c r="CX575" i="4" s="1"/>
  <c r="CH576" i="4"/>
  <c r="CH577" i="4"/>
  <c r="CH578" i="4"/>
  <c r="CX578" i="4" s="1"/>
  <c r="CZ578" i="4" s="1"/>
  <c r="CH579" i="4"/>
  <c r="CX579" i="4" s="1"/>
  <c r="CZ579" i="4" s="1"/>
  <c r="CH580" i="4"/>
  <c r="CX580" i="4" s="1"/>
  <c r="CZ580" i="4" s="1"/>
  <c r="CH581" i="4"/>
  <c r="CX581" i="4" s="1"/>
  <c r="CZ581" i="4" s="1"/>
  <c r="CH582" i="4"/>
  <c r="CH583" i="4"/>
  <c r="CX583" i="4" s="1"/>
  <c r="CH584" i="4"/>
  <c r="CH585" i="4"/>
  <c r="CF574" i="4"/>
  <c r="CF575" i="4"/>
  <c r="CF576" i="4"/>
  <c r="CF577" i="4"/>
  <c r="CF578" i="4"/>
  <c r="CF579" i="4"/>
  <c r="CF580" i="4"/>
  <c r="CF581" i="4"/>
  <c r="CF582" i="4"/>
  <c r="CF583" i="4"/>
  <c r="CF584" i="4"/>
  <c r="CF585" i="4"/>
  <c r="CE574" i="4"/>
  <c r="CE575" i="4"/>
  <c r="CE576" i="4"/>
  <c r="CE577" i="4"/>
  <c r="CE578" i="4"/>
  <c r="CE579" i="4"/>
  <c r="CE580" i="4"/>
  <c r="CE581" i="4"/>
  <c r="CE582" i="4"/>
  <c r="CE583" i="4"/>
  <c r="CE584" i="4"/>
  <c r="CE585" i="4"/>
  <c r="CN572" i="4"/>
  <c r="CO572" i="4"/>
  <c r="CQ572" i="4"/>
  <c r="CT572" i="4" s="1"/>
  <c r="CS572" i="4"/>
  <c r="CU572" i="4"/>
  <c r="CH569" i="4"/>
  <c r="CH568" i="4"/>
  <c r="CH571" i="4"/>
  <c r="CE572" i="4"/>
  <c r="CF572" i="4"/>
  <c r="CK572" i="4" s="1"/>
  <c r="CJ572" i="4"/>
  <c r="CY572" i="4" s="1"/>
  <c r="DA572" i="4" s="1"/>
  <c r="CS323" i="4"/>
  <c r="CS324" i="4"/>
  <c r="CS325" i="4"/>
  <c r="CQ313" i="4"/>
  <c r="CS313" i="4"/>
  <c r="CQ314" i="4"/>
  <c r="CS314" i="4"/>
  <c r="CQ315" i="4"/>
  <c r="CS315" i="4"/>
  <c r="CQ316" i="4"/>
  <c r="CS316" i="4"/>
  <c r="CQ317" i="4"/>
  <c r="CS317" i="4"/>
  <c r="CQ318" i="4"/>
  <c r="CS318" i="4"/>
  <c r="CQ319" i="4"/>
  <c r="CS319" i="4"/>
  <c r="CQ320" i="4"/>
  <c r="CS320" i="4"/>
  <c r="CQ321" i="4"/>
  <c r="CS321" i="4"/>
  <c r="CO313" i="4"/>
  <c r="CO314" i="4"/>
  <c r="CO315" i="4"/>
  <c r="CO316" i="4"/>
  <c r="CO317" i="4"/>
  <c r="CO318" i="4"/>
  <c r="CO319" i="4"/>
  <c r="CO320" i="4"/>
  <c r="CO321" i="4"/>
  <c r="CN313" i="4"/>
  <c r="CN314" i="4"/>
  <c r="CN315" i="4"/>
  <c r="CN316" i="4"/>
  <c r="CN317" i="4"/>
  <c r="CN318" i="4"/>
  <c r="CN319" i="4"/>
  <c r="CN320" i="4"/>
  <c r="CN321" i="4"/>
  <c r="CH313" i="4"/>
  <c r="CX313" i="4" s="1"/>
  <c r="CZ313" i="4" s="1"/>
  <c r="CJ313" i="4"/>
  <c r="CH314" i="4"/>
  <c r="CJ314" i="4"/>
  <c r="CY314" i="4" s="1"/>
  <c r="DA314" i="4" s="1"/>
  <c r="CH315" i="4"/>
  <c r="CJ315" i="4"/>
  <c r="CY315" i="4" s="1"/>
  <c r="DA315" i="4" s="1"/>
  <c r="CH316" i="4"/>
  <c r="CX316" i="4" s="1"/>
  <c r="CZ316" i="4" s="1"/>
  <c r="CJ316" i="4"/>
  <c r="CH317" i="4"/>
  <c r="CX317" i="4" s="1"/>
  <c r="CZ317" i="4" s="1"/>
  <c r="CJ317" i="4"/>
  <c r="CH318" i="4"/>
  <c r="CJ318" i="4"/>
  <c r="CY318" i="4" s="1"/>
  <c r="DA318" i="4" s="1"/>
  <c r="CH319" i="4"/>
  <c r="CJ319" i="4"/>
  <c r="CY319" i="4" s="1"/>
  <c r="DA319" i="4" s="1"/>
  <c r="CH320" i="4"/>
  <c r="CX320" i="4" s="1"/>
  <c r="CZ320" i="4" s="1"/>
  <c r="CJ320" i="4"/>
  <c r="CH321" i="4"/>
  <c r="CX321" i="4" s="1"/>
  <c r="CZ321" i="4" s="1"/>
  <c r="CJ321" i="4"/>
  <c r="CF313" i="4"/>
  <c r="CF314" i="4"/>
  <c r="CF315" i="4"/>
  <c r="CF316" i="4"/>
  <c r="CF317" i="4"/>
  <c r="CF318" i="4"/>
  <c r="CF319" i="4"/>
  <c r="CF320" i="4"/>
  <c r="CF321" i="4"/>
  <c r="CE313" i="4"/>
  <c r="CE314" i="4"/>
  <c r="CE315" i="4"/>
  <c r="CE316" i="4"/>
  <c r="CE317" i="4"/>
  <c r="CE318" i="4"/>
  <c r="CE319" i="4"/>
  <c r="CE320" i="4"/>
  <c r="CE321" i="4"/>
  <c r="CQ623" i="4"/>
  <c r="CX623" i="4" s="1"/>
  <c r="CS623" i="4"/>
  <c r="CY623" i="4" s="1"/>
  <c r="DA623" i="4" s="1"/>
  <c r="CN623" i="4"/>
  <c r="CF623" i="4"/>
  <c r="CE623" i="4"/>
  <c r="CN282" i="4"/>
  <c r="CO282" i="4"/>
  <c r="CQ282" i="4"/>
  <c r="CS282" i="4"/>
  <c r="CE282" i="4"/>
  <c r="CF282" i="4"/>
  <c r="CH282" i="4"/>
  <c r="CJ282" i="4"/>
  <c r="CY282" i="4" s="1"/>
  <c r="DA282" i="4" s="1"/>
  <c r="CO336" i="4"/>
  <c r="CO337" i="4"/>
  <c r="CN336" i="4"/>
  <c r="CN337" i="4"/>
  <c r="CJ336" i="4"/>
  <c r="CY336" i="4" s="1"/>
  <c r="DA336" i="4" s="1"/>
  <c r="CJ337" i="4"/>
  <c r="CY337" i="4" s="1"/>
  <c r="DA337" i="4" s="1"/>
  <c r="CH336" i="4"/>
  <c r="CX336" i="4" s="1"/>
  <c r="CZ336" i="4" s="1"/>
  <c r="CH337" i="4"/>
  <c r="CX337" i="4" s="1"/>
  <c r="CZ337" i="4" s="1"/>
  <c r="CF336" i="4"/>
  <c r="CF337" i="4"/>
  <c r="CE336" i="4"/>
  <c r="CE337" i="4"/>
  <c r="CS328" i="4"/>
  <c r="CS329" i="4"/>
  <c r="CS330" i="4"/>
  <c r="CS331" i="4"/>
  <c r="CS332" i="4"/>
  <c r="CS333" i="4"/>
  <c r="CS334" i="4"/>
  <c r="CQ328" i="4"/>
  <c r="CQ329" i="4"/>
  <c r="CQ330" i="4"/>
  <c r="CQ331" i="4"/>
  <c r="CQ332" i="4"/>
  <c r="CQ333" i="4"/>
  <c r="CQ334" i="4"/>
  <c r="CO328" i="4"/>
  <c r="CO329" i="4"/>
  <c r="CO330" i="4"/>
  <c r="CO331" i="4"/>
  <c r="CO332" i="4"/>
  <c r="CO333" i="4"/>
  <c r="CO334" i="4"/>
  <c r="CN328" i="4"/>
  <c r="CN329" i="4"/>
  <c r="CN330" i="4"/>
  <c r="CN331" i="4"/>
  <c r="CN332" i="4"/>
  <c r="CN333" i="4"/>
  <c r="CN334" i="4"/>
  <c r="CJ328" i="4"/>
  <c r="CJ329" i="4"/>
  <c r="CJ330" i="4"/>
  <c r="CY330" i="4" s="1"/>
  <c r="DA330" i="4" s="1"/>
  <c r="CJ331" i="4"/>
  <c r="CY331" i="4" s="1"/>
  <c r="DA331" i="4" s="1"/>
  <c r="CJ332" i="4"/>
  <c r="CY332" i="4" s="1"/>
  <c r="DA332" i="4" s="1"/>
  <c r="CJ333" i="4"/>
  <c r="CY333" i="4" s="1"/>
  <c r="DA333" i="4" s="1"/>
  <c r="CJ334" i="4"/>
  <c r="CH328" i="4"/>
  <c r="CH329" i="4"/>
  <c r="CH330" i="4"/>
  <c r="CH331" i="4"/>
  <c r="CX331" i="4" s="1"/>
  <c r="CZ331" i="4" s="1"/>
  <c r="CH332" i="4"/>
  <c r="CX332" i="4" s="1"/>
  <c r="CZ332" i="4" s="1"/>
  <c r="CH333" i="4"/>
  <c r="CX333" i="4" s="1"/>
  <c r="CZ333" i="4" s="1"/>
  <c r="CH334" i="4"/>
  <c r="CX334" i="4" s="1"/>
  <c r="CZ334" i="4" s="1"/>
  <c r="CF328" i="4"/>
  <c r="CF329" i="4"/>
  <c r="CF330" i="4"/>
  <c r="CF331" i="4"/>
  <c r="CF332" i="4"/>
  <c r="CF333" i="4"/>
  <c r="CF334" i="4"/>
  <c r="CE328" i="4"/>
  <c r="CE329" i="4"/>
  <c r="CE330" i="4"/>
  <c r="CE331" i="4"/>
  <c r="CE332" i="4"/>
  <c r="CE333" i="4"/>
  <c r="CE334" i="4"/>
  <c r="CQ323" i="4"/>
  <c r="CQ324" i="4"/>
  <c r="CQ325" i="4"/>
  <c r="CO323" i="4"/>
  <c r="CO324" i="4"/>
  <c r="CO325" i="4"/>
  <c r="CN323" i="4"/>
  <c r="CN324" i="4"/>
  <c r="CN325" i="4"/>
  <c r="CJ323" i="4"/>
  <c r="CY323" i="4" s="1"/>
  <c r="DA323" i="4" s="1"/>
  <c r="CJ324" i="4"/>
  <c r="CY324" i="4" s="1"/>
  <c r="DA324" i="4" s="1"/>
  <c r="CJ325" i="4"/>
  <c r="CH323" i="4"/>
  <c r="CH324" i="4"/>
  <c r="CH325" i="4"/>
  <c r="CX325" i="4" s="1"/>
  <c r="CZ325" i="4" s="1"/>
  <c r="CF323" i="4"/>
  <c r="CF324" i="4"/>
  <c r="CF325" i="4"/>
  <c r="CE323" i="4"/>
  <c r="CE324" i="4"/>
  <c r="CE325" i="4"/>
  <c r="J21" i="8"/>
  <c r="S21" i="8" s="1"/>
  <c r="AK392" i="3"/>
  <c r="G5" i="8"/>
  <c r="CN307" i="4"/>
  <c r="CO307" i="4"/>
  <c r="CQ307" i="4"/>
  <c r="CS307" i="4"/>
  <c r="CE307" i="4"/>
  <c r="CF307" i="4"/>
  <c r="CH307" i="4"/>
  <c r="CX307" i="4" s="1"/>
  <c r="CZ307" i="4" s="1"/>
  <c r="CJ307" i="4"/>
  <c r="CY307" i="4" s="1"/>
  <c r="DA307" i="4" s="1"/>
  <c r="CK307" i="4"/>
  <c r="CS551" i="4"/>
  <c r="CQ551" i="4"/>
  <c r="CN551" i="4"/>
  <c r="CO551" i="4"/>
  <c r="CJ551" i="4"/>
  <c r="CY551" i="4" s="1"/>
  <c r="DA551" i="4" s="1"/>
  <c r="CH551" i="4"/>
  <c r="CX551" i="4" s="1"/>
  <c r="CZ551" i="4" s="1"/>
  <c r="CE551" i="4"/>
  <c r="CF551" i="4"/>
  <c r="CS549" i="4"/>
  <c r="CQ549" i="4"/>
  <c r="CN549" i="4"/>
  <c r="CO549" i="4"/>
  <c r="CS548" i="4"/>
  <c r="CQ548" i="4"/>
  <c r="CN548" i="4"/>
  <c r="CO548" i="4"/>
  <c r="CJ549" i="4"/>
  <c r="CY549" i="4" s="1"/>
  <c r="DA549" i="4" s="1"/>
  <c r="CH549" i="4"/>
  <c r="CX549" i="4" s="1"/>
  <c r="CZ549" i="4" s="1"/>
  <c r="CE549" i="4"/>
  <c r="CF549" i="4"/>
  <c r="CJ548" i="4"/>
  <c r="CY548" i="4" s="1"/>
  <c r="DA548" i="4" s="1"/>
  <c r="CH548" i="4"/>
  <c r="CX548" i="4" s="1"/>
  <c r="CZ548" i="4" s="1"/>
  <c r="CE548" i="4"/>
  <c r="CF548" i="4"/>
  <c r="CS473" i="4"/>
  <c r="CN311" i="4"/>
  <c r="CO311" i="4"/>
  <c r="CQ311" i="4"/>
  <c r="CS311" i="4"/>
  <c r="CT311" i="4"/>
  <c r="CU311" i="4"/>
  <c r="CE311" i="4"/>
  <c r="CF311" i="4"/>
  <c r="CK311" i="4" s="1"/>
  <c r="CH311" i="4"/>
  <c r="CX311" i="4" s="1"/>
  <c r="CJ311" i="4"/>
  <c r="CL311" i="4"/>
  <c r="CN304" i="4"/>
  <c r="CO304" i="4"/>
  <c r="CQ304" i="4"/>
  <c r="CS304" i="4"/>
  <c r="CN305" i="4"/>
  <c r="CO305" i="4"/>
  <c r="CQ305" i="4"/>
  <c r="CS305" i="4"/>
  <c r="CT305" i="4"/>
  <c r="CE304" i="4"/>
  <c r="CF304" i="4"/>
  <c r="CH304" i="4"/>
  <c r="CJ304" i="4"/>
  <c r="CY304" i="4" s="1"/>
  <c r="DA304" i="4" s="1"/>
  <c r="CK304" i="4"/>
  <c r="CE305" i="4"/>
  <c r="CF305" i="4"/>
  <c r="CK305" i="4" s="1"/>
  <c r="CH305" i="4"/>
  <c r="CJ305" i="4"/>
  <c r="CL305" i="4"/>
  <c r="CS310" i="4"/>
  <c r="CQ310" i="4"/>
  <c r="CN310" i="4"/>
  <c r="CO310" i="4"/>
  <c r="CN301" i="4"/>
  <c r="CO301" i="4"/>
  <c r="CT301" i="4" s="1"/>
  <c r="CQ301" i="4"/>
  <c r="CS301" i="4"/>
  <c r="CN302" i="4"/>
  <c r="CO302" i="4"/>
  <c r="CT302" i="4" s="1"/>
  <c r="CQ302" i="4"/>
  <c r="CS302" i="4"/>
  <c r="CU302" i="4" s="1"/>
  <c r="CJ310" i="4"/>
  <c r="CH310" i="4"/>
  <c r="CX310" i="4" s="1"/>
  <c r="CZ310" i="4" s="1"/>
  <c r="CE310" i="4"/>
  <c r="CF310" i="4"/>
  <c r="CE301" i="4"/>
  <c r="CF301" i="4"/>
  <c r="CK301" i="4" s="1"/>
  <c r="CH301" i="4"/>
  <c r="CX301" i="4" s="1"/>
  <c r="CJ301" i="4"/>
  <c r="CE302" i="4"/>
  <c r="CF302" i="4"/>
  <c r="CK302" i="4" s="1"/>
  <c r="CH302" i="4"/>
  <c r="CX302" i="4" s="1"/>
  <c r="CJ302" i="4"/>
  <c r="CL302" i="4"/>
  <c r="CS298" i="4"/>
  <c r="CQ298" i="4"/>
  <c r="CO298" i="4"/>
  <c r="CN298" i="4"/>
  <c r="CJ298" i="4"/>
  <c r="CH298" i="4"/>
  <c r="CX298" i="4" s="1"/>
  <c r="CZ298" i="4" s="1"/>
  <c r="CF298" i="4"/>
  <c r="CE298" i="4"/>
  <c r="CH293" i="4"/>
  <c r="CK293" i="4" s="1"/>
  <c r="CH294" i="4"/>
  <c r="CK294" i="4" s="1"/>
  <c r="CH295" i="4"/>
  <c r="CF293" i="4"/>
  <c r="CF294" i="4"/>
  <c r="CF295" i="4"/>
  <c r="CK295" i="4" s="1"/>
  <c r="CS476" i="4"/>
  <c r="CF442" i="4"/>
  <c r="CF437" i="4"/>
  <c r="CE293" i="4"/>
  <c r="CJ293" i="4"/>
  <c r="CN293" i="4"/>
  <c r="CO293" i="4"/>
  <c r="CQ293" i="4"/>
  <c r="CS293" i="4"/>
  <c r="CU293" i="4" s="1"/>
  <c r="CT293" i="4"/>
  <c r="CE294" i="4"/>
  <c r="CJ294" i="4"/>
  <c r="CL294" i="4" s="1"/>
  <c r="CN294" i="4"/>
  <c r="CO294" i="4"/>
  <c r="CQ294" i="4"/>
  <c r="CS294" i="4"/>
  <c r="CE295" i="4"/>
  <c r="CJ295" i="4"/>
  <c r="CN295" i="4"/>
  <c r="CO295" i="4"/>
  <c r="CU295" i="4" s="1"/>
  <c r="CQ295" i="4"/>
  <c r="CS295" i="4"/>
  <c r="CS308" i="4"/>
  <c r="CS309" i="4"/>
  <c r="CQ308" i="4"/>
  <c r="CQ309" i="4"/>
  <c r="CO308" i="4"/>
  <c r="CO309" i="4"/>
  <c r="CN308" i="4"/>
  <c r="CN309" i="4"/>
  <c r="CJ308" i="4"/>
  <c r="CY308" i="4" s="1"/>
  <c r="DA308" i="4" s="1"/>
  <c r="CJ309" i="4"/>
  <c r="CH308" i="4"/>
  <c r="CX308" i="4" s="1"/>
  <c r="CZ308" i="4" s="1"/>
  <c r="CH309" i="4"/>
  <c r="CX309" i="4" s="1"/>
  <c r="CZ309" i="4" s="1"/>
  <c r="CF308" i="4"/>
  <c r="CF309" i="4"/>
  <c r="CE308" i="4"/>
  <c r="CE309" i="4"/>
  <c r="CQ624" i="4"/>
  <c r="CX624" i="4" s="1"/>
  <c r="CS624" i="4"/>
  <c r="CY624" i="4" s="1"/>
  <c r="CL624" i="4"/>
  <c r="CK624" i="4"/>
  <c r="CS326" i="4"/>
  <c r="CQ326" i="4"/>
  <c r="CO326" i="4"/>
  <c r="CN326" i="4"/>
  <c r="CJ326" i="4"/>
  <c r="CY326" i="4" s="1"/>
  <c r="DA326" i="4" s="1"/>
  <c r="CH326" i="4"/>
  <c r="CX326" i="4" s="1"/>
  <c r="CZ326" i="4" s="1"/>
  <c r="CF326" i="4"/>
  <c r="CE326" i="4"/>
  <c r="CK231" i="4" l="1"/>
  <c r="CL231" i="4"/>
  <c r="CK250" i="4"/>
  <c r="CL250" i="4"/>
  <c r="CT294" i="4"/>
  <c r="CU294" i="4"/>
  <c r="CL256" i="4"/>
  <c r="CU250" i="4"/>
  <c r="CL239" i="4"/>
  <c r="CX204" i="4"/>
  <c r="CZ204" i="4" s="1"/>
  <c r="CK192" i="4"/>
  <c r="CX172" i="4"/>
  <c r="CZ172" i="4" s="1"/>
  <c r="CK160" i="4"/>
  <c r="CL157" i="4"/>
  <c r="CX152" i="4"/>
  <c r="CZ152" i="4" s="1"/>
  <c r="CL304" i="4"/>
  <c r="CK129" i="4"/>
  <c r="CZ553" i="4"/>
  <c r="CT637" i="4"/>
  <c r="CT249" i="4"/>
  <c r="CK205" i="4"/>
  <c r="CK204" i="4"/>
  <c r="CL201" i="4"/>
  <c r="CX184" i="4"/>
  <c r="CZ184" i="4" s="1"/>
  <c r="CL182" i="4"/>
  <c r="CK173" i="4"/>
  <c r="CK172" i="4"/>
  <c r="CL169" i="4"/>
  <c r="CL152" i="4"/>
  <c r="CK152" i="4"/>
  <c r="CL149" i="4"/>
  <c r="CK144" i="4"/>
  <c r="CL144" i="4"/>
  <c r="CL141" i="4"/>
  <c r="CL136" i="4"/>
  <c r="CK136" i="4"/>
  <c r="CU248" i="4"/>
  <c r="CU240" i="4"/>
  <c r="CT232" i="4"/>
  <c r="CU232" i="4"/>
  <c r="CZ634" i="4"/>
  <c r="DA393" i="4"/>
  <c r="CK226" i="4"/>
  <c r="CU130" i="4"/>
  <c r="CK245" i="4"/>
  <c r="CL189" i="4"/>
  <c r="CL295" i="4"/>
  <c r="CL293" i="4"/>
  <c r="CU301" i="4"/>
  <c r="CU305" i="4"/>
  <c r="CY311" i="4"/>
  <c r="DA311" i="4" s="1"/>
  <c r="CX323" i="4"/>
  <c r="CZ323" i="4" s="1"/>
  <c r="CX329" i="4"/>
  <c r="CZ329" i="4" s="1"/>
  <c r="CY328" i="4"/>
  <c r="DA328" i="4" s="1"/>
  <c r="CY632" i="4"/>
  <c r="DA632" i="4" s="1"/>
  <c r="CX633" i="4"/>
  <c r="CZ633" i="4" s="1"/>
  <c r="DA553" i="4"/>
  <c r="CY471" i="4"/>
  <c r="DA471" i="4" s="1"/>
  <c r="DA202" i="4"/>
  <c r="CX196" i="4"/>
  <c r="CZ196" i="4" s="1"/>
  <c r="CL194" i="4"/>
  <c r="CL191" i="4"/>
  <c r="CK185" i="4"/>
  <c r="CK184" i="4"/>
  <c r="CL181" i="4"/>
  <c r="DA170" i="4"/>
  <c r="CX164" i="4"/>
  <c r="CZ164" i="4" s="1"/>
  <c r="CL162" i="4"/>
  <c r="CX161" i="4"/>
  <c r="CZ161" i="4" s="1"/>
  <c r="CL159" i="4"/>
  <c r="CK137" i="4"/>
  <c r="Q9" i="8"/>
  <c r="O16" i="11"/>
  <c r="L73" i="11"/>
  <c r="CY127" i="4"/>
  <c r="DA127" i="4" s="1"/>
  <c r="DA624" i="4"/>
  <c r="CZ575" i="4"/>
  <c r="CY130" i="4"/>
  <c r="DA130" i="4" s="1"/>
  <c r="CL127" i="4"/>
  <c r="CL206" i="4"/>
  <c r="CK197" i="4"/>
  <c r="CX176" i="4"/>
  <c r="CZ176" i="4" s="1"/>
  <c r="CL174" i="4"/>
  <c r="CL168" i="4"/>
  <c r="CY302" i="4"/>
  <c r="DA302" i="4" s="1"/>
  <c r="CT304" i="4"/>
  <c r="CY309" i="4"/>
  <c r="DA309" i="4" s="1"/>
  <c r="CL301" i="4"/>
  <c r="CL572" i="4"/>
  <c r="CU234" i="4"/>
  <c r="CK242" i="4"/>
  <c r="CL242" i="4"/>
  <c r="CK240" i="4"/>
  <c r="CL200" i="4"/>
  <c r="CK165" i="4"/>
  <c r="CY310" i="4"/>
  <c r="DA310" i="4" s="1"/>
  <c r="CU304" i="4"/>
  <c r="CY320" i="4"/>
  <c r="DA320" i="4" s="1"/>
  <c r="CX574" i="4"/>
  <c r="CZ574" i="4" s="1"/>
  <c r="CU127" i="4"/>
  <c r="BU3" i="1"/>
  <c r="BY3" i="1"/>
  <c r="CA3" i="1" s="1"/>
  <c r="CK236" i="4"/>
  <c r="CL230" i="4"/>
  <c r="CL226" i="4"/>
  <c r="CK253" i="4"/>
  <c r="CU242" i="4"/>
  <c r="CK237" i="4"/>
  <c r="DA194" i="4"/>
  <c r="CX188" i="4"/>
  <c r="CZ188" i="4" s="1"/>
  <c r="CL186" i="4"/>
  <c r="CK177" i="4"/>
  <c r="CK176" i="4"/>
  <c r="DA162" i="4"/>
  <c r="CX156" i="4"/>
  <c r="CZ156" i="4" s="1"/>
  <c r="CL154" i="4"/>
  <c r="CX153" i="4"/>
  <c r="CZ153" i="4" s="1"/>
  <c r="CX148" i="4"/>
  <c r="CZ148" i="4" s="1"/>
  <c r="CL146" i="4"/>
  <c r="CX145" i="4"/>
  <c r="CZ145" i="4" s="1"/>
  <c r="CX140" i="4"/>
  <c r="CZ140" i="4" s="1"/>
  <c r="CL138" i="4"/>
  <c r="CZ137" i="4"/>
  <c r="CU229" i="4"/>
  <c r="CZ350" i="4"/>
  <c r="DA350" i="4"/>
  <c r="CK180" i="4"/>
  <c r="CZ583" i="4"/>
  <c r="CZ624" i="4"/>
  <c r="CX282" i="4"/>
  <c r="CZ282" i="4" s="1"/>
  <c r="CY316" i="4"/>
  <c r="DA316" i="4" s="1"/>
  <c r="CX582" i="4"/>
  <c r="CZ582" i="4" s="1"/>
  <c r="CX130" i="4"/>
  <c r="CZ130" i="4" s="1"/>
  <c r="CT295" i="4"/>
  <c r="CY301" i="4"/>
  <c r="DA301" i="4" s="1"/>
  <c r="CY305" i="4"/>
  <c r="DA305" i="4" s="1"/>
  <c r="CL307" i="4"/>
  <c r="CK282" i="4"/>
  <c r="CL282" i="4"/>
  <c r="CL131" i="4"/>
  <c r="CT130" i="4"/>
  <c r="CT129" i="4"/>
  <c r="CU126" i="4"/>
  <c r="BU37" i="1"/>
  <c r="CX222" i="4"/>
  <c r="CZ222" i="4" s="1"/>
  <c r="CY223" i="4"/>
  <c r="DA223" i="4" s="1"/>
  <c r="CU233" i="4"/>
  <c r="CK256" i="4"/>
  <c r="CL245" i="4"/>
  <c r="CT241" i="4"/>
  <c r="CK239" i="4"/>
  <c r="CX200" i="4"/>
  <c r="CZ200" i="4" s="1"/>
  <c r="CX197" i="4"/>
  <c r="CZ197" i="4" s="1"/>
  <c r="CL195" i="4"/>
  <c r="CL192" i="4"/>
  <c r="CK189" i="4"/>
  <c r="CK188" i="4"/>
  <c r="CL185" i="4"/>
  <c r="DA177" i="4"/>
  <c r="CX168" i="4"/>
  <c r="CZ168" i="4" s="1"/>
  <c r="CX165" i="4"/>
  <c r="CZ165" i="4" s="1"/>
  <c r="CL163" i="4"/>
  <c r="CL160" i="4"/>
  <c r="CK157" i="4"/>
  <c r="CK156" i="4"/>
  <c r="CL153" i="4"/>
  <c r="CK148" i="4"/>
  <c r="CL148" i="4"/>
  <c r="CL145" i="4"/>
  <c r="CL140" i="4"/>
  <c r="CK140" i="4"/>
  <c r="CL137" i="4"/>
  <c r="DA208" i="4"/>
  <c r="CX210" i="4"/>
  <c r="CZ210" i="4" s="1"/>
  <c r="CX216" i="4"/>
  <c r="CZ216" i="4" s="1"/>
  <c r="CX218" i="4"/>
  <c r="CZ218" i="4" s="1"/>
  <c r="O34" i="11"/>
  <c r="CZ301" i="4"/>
  <c r="CX304" i="4"/>
  <c r="CZ304" i="4" s="1"/>
  <c r="CX324" i="4"/>
  <c r="CZ324" i="4" s="1"/>
  <c r="CX330" i="4"/>
  <c r="CZ330" i="4" s="1"/>
  <c r="CY329" i="4"/>
  <c r="DA329" i="4" s="1"/>
  <c r="CZ623" i="4"/>
  <c r="CX319" i="4"/>
  <c r="CZ319" i="4" s="1"/>
  <c r="CX315" i="4"/>
  <c r="CZ315" i="4" s="1"/>
  <c r="CY128" i="4"/>
  <c r="DA128" i="4" s="1"/>
  <c r="CX637" i="4"/>
  <c r="CZ637" i="4" s="1"/>
  <c r="CZ202" i="4"/>
  <c r="CZ194" i="4"/>
  <c r="CZ186" i="4"/>
  <c r="CZ178" i="4"/>
  <c r="CZ170" i="4"/>
  <c r="CZ162" i="4"/>
  <c r="CZ154" i="4"/>
  <c r="CZ146" i="4"/>
  <c r="CX142" i="4"/>
  <c r="CZ142" i="4" s="1"/>
  <c r="CX138" i="4"/>
  <c r="CZ138" i="4" s="1"/>
  <c r="CX134" i="4"/>
  <c r="CZ134" i="4" s="1"/>
  <c r="CY210" i="4"/>
  <c r="DA210" i="4" s="1"/>
  <c r="CY212" i="4"/>
  <c r="DA212" i="4" s="1"/>
  <c r="CY214" i="4"/>
  <c r="DA214" i="4" s="1"/>
  <c r="CY216" i="4"/>
  <c r="DA216" i="4" s="1"/>
  <c r="CY218" i="4"/>
  <c r="DA218" i="4" s="1"/>
  <c r="CY220" i="4"/>
  <c r="DA220" i="4" s="1"/>
  <c r="CY49" i="4"/>
  <c r="DA49" i="4" s="1"/>
  <c r="CY139" i="4"/>
  <c r="DA139" i="4" s="1"/>
  <c r="CY135" i="4"/>
  <c r="DA135" i="4" s="1"/>
  <c r="CY298" i="4"/>
  <c r="DA298" i="4" s="1"/>
  <c r="CZ302" i="4"/>
  <c r="CX305" i="4"/>
  <c r="CZ305" i="4" s="1"/>
  <c r="CZ311" i="4"/>
  <c r="CY325" i="4"/>
  <c r="DA325" i="4" s="1"/>
  <c r="CX328" i="4"/>
  <c r="CZ328" i="4" s="1"/>
  <c r="CX318" i="4"/>
  <c r="CZ318" i="4" s="1"/>
  <c r="CX314" i="4"/>
  <c r="CZ314" i="4" s="1"/>
  <c r="CX585" i="4"/>
  <c r="CZ585" i="4" s="1"/>
  <c r="CX577" i="4"/>
  <c r="CZ577" i="4" s="1"/>
  <c r="DA583" i="4"/>
  <c r="DA575" i="4"/>
  <c r="CK632" i="4"/>
  <c r="CY126" i="4"/>
  <c r="DA126" i="4" s="1"/>
  <c r="CX471" i="4"/>
  <c r="CZ471" i="4" s="1"/>
  <c r="CX224" i="4"/>
  <c r="CZ224" i="4" s="1"/>
  <c r="CY225" i="4"/>
  <c r="DA225" i="4" s="1"/>
  <c r="CZ207" i="4"/>
  <c r="CZ199" i="4"/>
  <c r="CZ191" i="4"/>
  <c r="CZ183" i="4"/>
  <c r="CZ175" i="4"/>
  <c r="CZ167" i="4"/>
  <c r="CZ159" i="4"/>
  <c r="CZ151" i="4"/>
  <c r="CZ143" i="4"/>
  <c r="CZ135" i="4"/>
  <c r="CY143" i="4"/>
  <c r="DA143" i="4" s="1"/>
  <c r="CY334" i="4"/>
  <c r="DA334" i="4" s="1"/>
  <c r="CY321" i="4"/>
  <c r="DA321" i="4" s="1"/>
  <c r="CY317" i="4"/>
  <c r="DA317" i="4" s="1"/>
  <c r="CY313" i="4"/>
  <c r="DA313" i="4" s="1"/>
  <c r="CX584" i="4"/>
  <c r="CZ584" i="4" s="1"/>
  <c r="CX576" i="4"/>
  <c r="CZ576" i="4" s="1"/>
  <c r="DA582" i="4"/>
  <c r="DA574" i="4"/>
  <c r="CX632" i="4"/>
  <c r="CZ632" i="4" s="1"/>
  <c r="DA129" i="4"/>
  <c r="CX126" i="4"/>
  <c r="CZ126" i="4" s="1"/>
  <c r="CK633" i="4"/>
  <c r="DA637" i="4"/>
  <c r="CX223" i="4"/>
  <c r="CZ223" i="4" s="1"/>
  <c r="CY224" i="4"/>
  <c r="DA224" i="4" s="1"/>
  <c r="CY204" i="4"/>
  <c r="DA204" i="4" s="1"/>
  <c r="CY200" i="4"/>
  <c r="DA200" i="4" s="1"/>
  <c r="CY196" i="4"/>
  <c r="DA196" i="4" s="1"/>
  <c r="CY192" i="4"/>
  <c r="DA192" i="4" s="1"/>
  <c r="CY188" i="4"/>
  <c r="DA188" i="4" s="1"/>
  <c r="CY184" i="4"/>
  <c r="DA184" i="4" s="1"/>
  <c r="CY180" i="4"/>
  <c r="DA180" i="4" s="1"/>
  <c r="CY176" i="4"/>
  <c r="DA176" i="4" s="1"/>
  <c r="CY172" i="4"/>
  <c r="DA172" i="4" s="1"/>
  <c r="CY168" i="4"/>
  <c r="DA168" i="4" s="1"/>
  <c r="CY164" i="4"/>
  <c r="DA164" i="4" s="1"/>
  <c r="CY160" i="4"/>
  <c r="DA160" i="4" s="1"/>
  <c r="CY156" i="4"/>
  <c r="DA156" i="4" s="1"/>
  <c r="CY152" i="4"/>
  <c r="DA152" i="4" s="1"/>
  <c r="CY148" i="4"/>
  <c r="DA148" i="4" s="1"/>
  <c r="CY144" i="4"/>
  <c r="DA144" i="4" s="1"/>
  <c r="CY140" i="4"/>
  <c r="DA140" i="4" s="1"/>
  <c r="CY136" i="4"/>
  <c r="DA136" i="4" s="1"/>
  <c r="CX209" i="4"/>
  <c r="CZ209" i="4" s="1"/>
  <c r="CX213" i="4"/>
  <c r="CZ213" i="4" s="1"/>
  <c r="CX215" i="4"/>
  <c r="CZ215" i="4" s="1"/>
  <c r="CX217" i="4"/>
  <c r="CZ217" i="4" s="1"/>
  <c r="O53" i="11"/>
  <c r="AX42" i="1"/>
  <c r="CA2" i="1"/>
  <c r="H53" i="11"/>
  <c r="N45" i="11"/>
  <c r="N53" i="11" s="1"/>
  <c r="J53" i="11"/>
  <c r="L47" i="11"/>
  <c r="L53" i="11" s="1"/>
  <c r="N73" i="11"/>
  <c r="L10" i="11"/>
  <c r="J16" i="11"/>
  <c r="Q28" i="8"/>
  <c r="S28" i="8"/>
  <c r="CL49" i="4"/>
  <c r="CK49" i="4"/>
  <c r="CU49" i="4"/>
  <c r="CT49" i="4"/>
  <c r="CZ49" i="4"/>
  <c r="CK393" i="4"/>
  <c r="CL393" i="4"/>
  <c r="CU393" i="4"/>
  <c r="CT393" i="4"/>
  <c r="P48" i="8"/>
  <c r="H34" i="11"/>
  <c r="N26" i="11"/>
  <c r="N34" i="11" s="1"/>
  <c r="L28" i="11"/>
  <c r="L34" i="11" s="1"/>
  <c r="L16" i="11"/>
  <c r="N8" i="11"/>
  <c r="N16" i="11" s="1"/>
  <c r="H16" i="11"/>
  <c r="J5" i="8"/>
  <c r="W5" i="8" s="1"/>
  <c r="W48" i="8" s="1"/>
  <c r="G48" i="8"/>
  <c r="Q5" i="8"/>
  <c r="W28" i="8"/>
  <c r="W21" i="8"/>
  <c r="W9" i="8"/>
  <c r="CU256" i="4"/>
  <c r="CL257" i="4"/>
  <c r="CK257" i="4"/>
  <c r="CU257" i="4"/>
  <c r="CT257" i="4"/>
  <c r="DA257" i="4"/>
  <c r="CZ257" i="4"/>
  <c r="CL258" i="4"/>
  <c r="CK258" i="4"/>
  <c r="CU258" i="4"/>
  <c r="CT258" i="4"/>
  <c r="DA258" i="4"/>
  <c r="CZ258" i="4"/>
  <c r="CL259" i="4"/>
  <c r="CK259" i="4"/>
  <c r="CU259" i="4"/>
  <c r="CT259" i="4"/>
  <c r="DA259" i="4"/>
  <c r="CZ259" i="4"/>
  <c r="CL260" i="4"/>
  <c r="CK260" i="4"/>
  <c r="CU260" i="4"/>
  <c r="CT260" i="4"/>
  <c r="DA260" i="4"/>
  <c r="CZ260" i="4"/>
  <c r="CL261" i="4"/>
  <c r="CK261" i="4"/>
  <c r="CU261" i="4"/>
  <c r="CT261" i="4"/>
  <c r="DA261" i="4"/>
  <c r="CZ261" i="4"/>
  <c r="CL262" i="4"/>
  <c r="CK262" i="4"/>
  <c r="CU262" i="4"/>
  <c r="CT262" i="4"/>
  <c r="DA262" i="4"/>
  <c r="CZ262" i="4"/>
  <c r="CL263" i="4"/>
  <c r="CK263" i="4"/>
  <c r="CU263" i="4"/>
  <c r="CT263" i="4"/>
  <c r="DA263" i="4"/>
  <c r="CZ263" i="4"/>
  <c r="CL264" i="4"/>
  <c r="CK264" i="4"/>
  <c r="CU264" i="4"/>
  <c r="CT264" i="4"/>
  <c r="DA264" i="4"/>
  <c r="CZ264" i="4"/>
  <c r="CL265" i="4"/>
  <c r="CK265" i="4"/>
  <c r="CU265" i="4"/>
  <c r="CT265" i="4"/>
  <c r="DA265" i="4"/>
  <c r="CZ265" i="4"/>
  <c r="CL266" i="4"/>
  <c r="CK266" i="4"/>
  <c r="CU266" i="4"/>
  <c r="CT266" i="4"/>
  <c r="DA266" i="4"/>
  <c r="CZ266" i="4"/>
  <c r="CL267" i="4"/>
  <c r="CK267" i="4"/>
  <c r="CU267" i="4"/>
  <c r="CT267" i="4"/>
  <c r="DA267" i="4"/>
  <c r="CZ267" i="4"/>
  <c r="CL268" i="4"/>
  <c r="CK268" i="4"/>
  <c r="CU268" i="4"/>
  <c r="CT268" i="4"/>
  <c r="DA268" i="4"/>
  <c r="CZ268" i="4"/>
  <c r="CW613" i="4"/>
  <c r="CW638" i="4" s="1"/>
  <c r="CY295" i="4"/>
  <c r="DA295" i="4" s="1"/>
  <c r="CY294" i="4"/>
  <c r="DA294" i="4" s="1"/>
  <c r="CY293" i="4"/>
  <c r="DA293" i="4" s="1"/>
  <c r="CX295" i="4"/>
  <c r="CZ295" i="4" s="1"/>
  <c r="CX294" i="4"/>
  <c r="CZ294" i="4" s="1"/>
  <c r="CX293" i="4"/>
  <c r="CZ293" i="4" s="1"/>
  <c r="CX572" i="4"/>
  <c r="CZ572" i="4" s="1"/>
  <c r="CY236" i="4"/>
  <c r="DA236" i="4" s="1"/>
  <c r="CX236" i="4"/>
  <c r="CZ236" i="4" s="1"/>
  <c r="CY235" i="4"/>
  <c r="DA235" i="4" s="1"/>
  <c r="CX235" i="4"/>
  <c r="CZ235" i="4" s="1"/>
  <c r="CY234" i="4"/>
  <c r="DA234" i="4" s="1"/>
  <c r="CX234" i="4"/>
  <c r="CZ234" i="4" s="1"/>
  <c r="CY233" i="4"/>
  <c r="DA233" i="4" s="1"/>
  <c r="CX233" i="4"/>
  <c r="CZ233" i="4" s="1"/>
  <c r="CY232" i="4"/>
  <c r="DA232" i="4" s="1"/>
  <c r="CX232" i="4"/>
  <c r="CZ232" i="4" s="1"/>
  <c r="CY231" i="4"/>
  <c r="DA231" i="4" s="1"/>
  <c r="CX231" i="4"/>
  <c r="CZ231" i="4" s="1"/>
  <c r="CY230" i="4"/>
  <c r="DA230" i="4" s="1"/>
  <c r="CX230" i="4"/>
  <c r="CZ230" i="4" s="1"/>
  <c r="CY229" i="4"/>
  <c r="DA229" i="4" s="1"/>
  <c r="CX229" i="4"/>
  <c r="CZ229" i="4" s="1"/>
  <c r="CY228" i="4"/>
  <c r="DA228" i="4" s="1"/>
  <c r="CX228" i="4"/>
  <c r="CZ228" i="4" s="1"/>
  <c r="CY227" i="4"/>
  <c r="DA227" i="4" s="1"/>
  <c r="CX227" i="4"/>
  <c r="CZ227" i="4" s="1"/>
  <c r="CY226" i="4"/>
  <c r="DA226" i="4" s="1"/>
  <c r="CX226" i="4"/>
  <c r="CZ226" i="4" s="1"/>
  <c r="CY256" i="4"/>
  <c r="DA256" i="4" s="1"/>
  <c r="CX256" i="4"/>
  <c r="CZ256" i="4" s="1"/>
  <c r="CY254" i="4"/>
  <c r="DA254" i="4" s="1"/>
  <c r="CX254" i="4"/>
  <c r="CZ254" i="4" s="1"/>
  <c r="CY253" i="4"/>
  <c r="DA253" i="4" s="1"/>
  <c r="CX253" i="4"/>
  <c r="CZ253" i="4" s="1"/>
  <c r="CY252" i="4"/>
  <c r="DA252" i="4" s="1"/>
  <c r="CX252" i="4"/>
  <c r="CZ252" i="4" s="1"/>
  <c r="CY251" i="4"/>
  <c r="DA251" i="4" s="1"/>
  <c r="CX251" i="4"/>
  <c r="CZ251" i="4" s="1"/>
  <c r="CY250" i="4"/>
  <c r="DA250" i="4" s="1"/>
  <c r="CX250" i="4"/>
  <c r="CZ250" i="4" s="1"/>
  <c r="CY249" i="4"/>
  <c r="DA249" i="4" s="1"/>
  <c r="CX249" i="4"/>
  <c r="CZ249" i="4" s="1"/>
  <c r="CY248" i="4"/>
  <c r="DA248" i="4" s="1"/>
  <c r="CX248" i="4"/>
  <c r="CZ248" i="4" s="1"/>
  <c r="CY247" i="4"/>
  <c r="DA247" i="4" s="1"/>
  <c r="CX247" i="4"/>
  <c r="CZ247" i="4" s="1"/>
  <c r="CY246" i="4"/>
  <c r="DA246" i="4" s="1"/>
  <c r="CX246" i="4"/>
  <c r="CZ246" i="4" s="1"/>
  <c r="CY245" i="4"/>
  <c r="DA245" i="4" s="1"/>
  <c r="CX245" i="4"/>
  <c r="CZ245" i="4" s="1"/>
  <c r="CY244" i="4"/>
  <c r="DA244" i="4" s="1"/>
  <c r="CX244" i="4"/>
  <c r="CZ244" i="4" s="1"/>
  <c r="CY243" i="4"/>
  <c r="DA243" i="4" s="1"/>
  <c r="CX243" i="4"/>
  <c r="CZ243" i="4" s="1"/>
  <c r="CY242" i="4"/>
  <c r="DA242" i="4" s="1"/>
  <c r="CX242" i="4"/>
  <c r="CZ242" i="4" s="1"/>
  <c r="CY241" i="4"/>
  <c r="DA241" i="4" s="1"/>
  <c r="CX241" i="4"/>
  <c r="CZ241" i="4" s="1"/>
  <c r="CY240" i="4"/>
  <c r="DA240" i="4" s="1"/>
  <c r="CX240" i="4"/>
  <c r="CZ240" i="4" s="1"/>
  <c r="CY239" i="4"/>
  <c r="DA239" i="4" s="1"/>
  <c r="CX239" i="4"/>
  <c r="CZ239" i="4" s="1"/>
  <c r="CY238" i="4"/>
  <c r="DA238" i="4" s="1"/>
  <c r="CX238" i="4"/>
  <c r="CZ238" i="4" s="1"/>
  <c r="CY237" i="4"/>
  <c r="DA237" i="4" s="1"/>
  <c r="CX237" i="4"/>
  <c r="CZ237" i="4" s="1"/>
  <c r="CT207" i="4"/>
  <c r="CU207" i="4"/>
  <c r="CT206" i="4"/>
  <c r="CU206" i="4"/>
  <c r="CT205" i="4"/>
  <c r="CU205" i="4"/>
  <c r="CT204" i="4"/>
  <c r="CU204" i="4"/>
  <c r="CT203" i="4"/>
  <c r="CU203" i="4"/>
  <c r="CT202" i="4"/>
  <c r="CU202" i="4"/>
  <c r="CT201" i="4"/>
  <c r="CU201" i="4"/>
  <c r="CT200" i="4"/>
  <c r="CU200" i="4"/>
  <c r="CT199" i="4"/>
  <c r="CU199" i="4"/>
  <c r="CT198" i="4"/>
  <c r="CU198" i="4"/>
  <c r="CT197" i="4"/>
  <c r="CU197" i="4"/>
  <c r="CT196" i="4"/>
  <c r="CU196" i="4"/>
  <c r="CT195" i="4"/>
  <c r="CU195" i="4"/>
  <c r="CT194" i="4"/>
  <c r="CU194" i="4"/>
  <c r="CT193" i="4"/>
  <c r="CU193" i="4"/>
  <c r="CT192" i="4"/>
  <c r="CU192" i="4"/>
  <c r="CT191" i="4"/>
  <c r="CU191" i="4"/>
  <c r="CT190" i="4"/>
  <c r="CU190" i="4"/>
  <c r="CT189" i="4"/>
  <c r="CU189" i="4"/>
  <c r="CT188" i="4"/>
  <c r="CU188" i="4"/>
  <c r="CT187" i="4"/>
  <c r="CU187" i="4"/>
  <c r="CT186" i="4"/>
  <c r="CU186" i="4"/>
  <c r="CT185" i="4"/>
  <c r="CU185" i="4"/>
  <c r="CT184" i="4"/>
  <c r="CU184" i="4"/>
  <c r="CT183" i="4"/>
  <c r="CU183" i="4"/>
  <c r="CT182" i="4"/>
  <c r="CU182" i="4"/>
  <c r="CT181" i="4"/>
  <c r="CU181" i="4"/>
  <c r="CT180" i="4"/>
  <c r="CU180" i="4"/>
  <c r="CT179" i="4"/>
  <c r="CU179" i="4"/>
  <c r="CT178" i="4"/>
  <c r="CU178" i="4"/>
  <c r="CT177" i="4"/>
  <c r="CU177" i="4"/>
  <c r="CT176" i="4"/>
  <c r="CU176" i="4"/>
  <c r="CT175" i="4"/>
  <c r="CU175" i="4"/>
  <c r="CT174" i="4"/>
  <c r="CU174" i="4"/>
  <c r="CT173" i="4"/>
  <c r="CU173" i="4"/>
  <c r="CT172" i="4"/>
  <c r="CU172" i="4"/>
  <c r="CT171" i="4"/>
  <c r="CU171" i="4"/>
  <c r="CT170" i="4"/>
  <c r="CU170" i="4"/>
  <c r="CT169" i="4"/>
  <c r="CU169" i="4"/>
  <c r="CT168" i="4"/>
  <c r="CU168" i="4"/>
  <c r="CT167" i="4"/>
  <c r="CU167" i="4"/>
  <c r="CT166" i="4"/>
  <c r="CU166" i="4"/>
  <c r="CT165" i="4"/>
  <c r="CU165" i="4"/>
  <c r="CT164" i="4"/>
  <c r="CU164" i="4"/>
  <c r="CT163" i="4"/>
  <c r="CU163" i="4"/>
  <c r="CT162" i="4"/>
  <c r="CU162" i="4"/>
  <c r="CT161" i="4"/>
  <c r="CU161" i="4"/>
  <c r="CT160" i="4"/>
  <c r="CU160" i="4"/>
  <c r="CT159" i="4"/>
  <c r="CU159" i="4"/>
  <c r="CT158" i="4"/>
  <c r="CU158" i="4"/>
  <c r="CT157" i="4"/>
  <c r="CU157" i="4"/>
  <c r="CT156" i="4"/>
  <c r="CU156" i="4"/>
  <c r="CT155" i="4"/>
  <c r="CU155" i="4"/>
  <c r="CT154" i="4"/>
  <c r="CU154" i="4"/>
  <c r="CT153" i="4"/>
  <c r="CU153" i="4"/>
  <c r="CT152" i="4"/>
  <c r="CU152" i="4"/>
  <c r="CT151" i="4"/>
  <c r="CU151" i="4"/>
  <c r="CT150" i="4"/>
  <c r="CU150" i="4"/>
  <c r="CT149" i="4"/>
  <c r="CU149" i="4"/>
  <c r="CT148" i="4"/>
  <c r="CU148" i="4"/>
  <c r="CT147" i="4"/>
  <c r="CU147" i="4"/>
  <c r="CT146" i="4"/>
  <c r="CU146" i="4"/>
  <c r="CT145" i="4"/>
  <c r="CU145" i="4"/>
  <c r="CT144" i="4"/>
  <c r="CU144" i="4"/>
  <c r="CT143" i="4"/>
  <c r="CU143" i="4"/>
  <c r="CT142" i="4"/>
  <c r="CU142" i="4"/>
  <c r="CT141" i="4"/>
  <c r="CU141" i="4"/>
  <c r="CT140" i="4"/>
  <c r="CU140" i="4"/>
  <c r="CT139" i="4"/>
  <c r="CU139" i="4"/>
  <c r="CT138" i="4"/>
  <c r="CU138" i="4"/>
  <c r="CT137" i="4"/>
  <c r="CU137" i="4"/>
  <c r="CT136" i="4"/>
  <c r="CU136" i="4"/>
  <c r="CT135" i="4"/>
  <c r="CU135" i="4"/>
  <c r="CT134" i="4"/>
  <c r="CU134" i="4"/>
  <c r="CT220" i="4"/>
  <c r="CU220" i="4"/>
  <c r="CT219" i="4"/>
  <c r="CU219" i="4"/>
  <c r="CT218" i="4"/>
  <c r="CU218" i="4"/>
  <c r="CT217" i="4"/>
  <c r="CU217" i="4"/>
  <c r="CT216" i="4"/>
  <c r="CU216" i="4"/>
  <c r="CT215" i="4"/>
  <c r="CU215" i="4"/>
  <c r="CT214" i="4"/>
  <c r="CU214" i="4"/>
  <c r="CT213" i="4"/>
  <c r="CU213" i="4"/>
  <c r="CT212" i="4"/>
  <c r="CU212" i="4"/>
  <c r="CT211" i="4"/>
  <c r="CU211" i="4"/>
  <c r="CT210" i="4"/>
  <c r="CU210" i="4"/>
  <c r="CT209" i="4"/>
  <c r="CU209" i="4"/>
  <c r="CT208" i="4"/>
  <c r="CU208" i="4"/>
  <c r="CL209" i="4"/>
  <c r="CK209" i="4"/>
  <c r="CL210" i="4"/>
  <c r="CK210" i="4"/>
  <c r="CL211" i="4"/>
  <c r="CK211" i="4"/>
  <c r="CL212" i="4"/>
  <c r="CK212" i="4"/>
  <c r="CL213" i="4"/>
  <c r="CK213" i="4"/>
  <c r="CL214" i="4"/>
  <c r="CK214" i="4"/>
  <c r="CL215" i="4"/>
  <c r="CK215" i="4"/>
  <c r="CL216" i="4"/>
  <c r="CK216" i="4"/>
  <c r="CL217" i="4"/>
  <c r="CK217" i="4"/>
  <c r="CL218" i="4"/>
  <c r="CK218" i="4"/>
  <c r="CL219" i="4"/>
  <c r="CK219" i="4"/>
  <c r="CL220" i="4"/>
  <c r="CK220" i="4"/>
  <c r="CL208" i="4"/>
  <c r="CK208" i="4"/>
  <c r="CK225" i="4"/>
  <c r="CL225" i="4"/>
  <c r="CT225" i="4"/>
  <c r="CU225" i="4"/>
  <c r="CK224" i="4"/>
  <c r="CL224" i="4"/>
  <c r="CT224" i="4"/>
  <c r="CU224" i="4"/>
  <c r="CK223" i="4"/>
  <c r="CL223" i="4"/>
  <c r="CT223" i="4"/>
  <c r="CU223" i="4"/>
  <c r="CK222" i="4"/>
  <c r="CL222" i="4"/>
  <c r="CT222" i="4"/>
  <c r="CU222" i="4"/>
  <c r="CT471" i="4"/>
  <c r="CU471" i="4"/>
  <c r="K48" i="8"/>
  <c r="CL634" i="4"/>
  <c r="CK634" i="4"/>
  <c r="CL635" i="4"/>
  <c r="CK635" i="4"/>
  <c r="CL636" i="4"/>
  <c r="CK636" i="4"/>
  <c r="CL637" i="4"/>
  <c r="CK637" i="4"/>
  <c r="CU635" i="4"/>
  <c r="CU636" i="4"/>
  <c r="CU637" i="4"/>
  <c r="BY10" i="1"/>
  <c r="BU10" i="1"/>
  <c r="BY22" i="1"/>
  <c r="CA22" i="1" s="1"/>
  <c r="BY28" i="1"/>
  <c r="CA28" i="1" s="1"/>
  <c r="CL553" i="4"/>
  <c r="CK553" i="4"/>
  <c r="CU553" i="4"/>
  <c r="CT553" i="4"/>
  <c r="CK585" i="4"/>
  <c r="CL585" i="4"/>
  <c r="CK584" i="4"/>
  <c r="CL584" i="4"/>
  <c r="CK583" i="4"/>
  <c r="CL583" i="4"/>
  <c r="CK582" i="4"/>
  <c r="CL582" i="4"/>
  <c r="CK581" i="4"/>
  <c r="CL581" i="4"/>
  <c r="CK580" i="4"/>
  <c r="CL580" i="4"/>
  <c r="CK579" i="4"/>
  <c r="CL579" i="4"/>
  <c r="CK578" i="4"/>
  <c r="CL578" i="4"/>
  <c r="CK577" i="4"/>
  <c r="CL577" i="4"/>
  <c r="CK576" i="4"/>
  <c r="CL576" i="4"/>
  <c r="CK575" i="4"/>
  <c r="CL575" i="4"/>
  <c r="CK574" i="4"/>
  <c r="CL574" i="4"/>
  <c r="CT585" i="4"/>
  <c r="CU585" i="4"/>
  <c r="CT584" i="4"/>
  <c r="CU584" i="4"/>
  <c r="CT583" i="4"/>
  <c r="CU583" i="4"/>
  <c r="CT582" i="4"/>
  <c r="CU582" i="4"/>
  <c r="CT581" i="4"/>
  <c r="CU581" i="4"/>
  <c r="CT580" i="4"/>
  <c r="CU580" i="4"/>
  <c r="CT579" i="4"/>
  <c r="CU579" i="4"/>
  <c r="CT578" i="4"/>
  <c r="CU578" i="4"/>
  <c r="CT577" i="4"/>
  <c r="CU577" i="4"/>
  <c r="CT576" i="4"/>
  <c r="CU576" i="4"/>
  <c r="CT575" i="4"/>
  <c r="CU575" i="4"/>
  <c r="CT574" i="4"/>
  <c r="CU574" i="4"/>
  <c r="CU309" i="4"/>
  <c r="CT309" i="4"/>
  <c r="CU308" i="4"/>
  <c r="CT308" i="4"/>
  <c r="CU307" i="4"/>
  <c r="CT307" i="4"/>
  <c r="CT325" i="4"/>
  <c r="CU325" i="4"/>
  <c r="CT324" i="4"/>
  <c r="CU324" i="4"/>
  <c r="CT323" i="4"/>
  <c r="CU323" i="4"/>
  <c r="CU282" i="4"/>
  <c r="CT282" i="4"/>
  <c r="CK623" i="4"/>
  <c r="CL623" i="4"/>
  <c r="CK321" i="4"/>
  <c r="CL321" i="4"/>
  <c r="CK320" i="4"/>
  <c r="CL320" i="4"/>
  <c r="CK319" i="4"/>
  <c r="CL319" i="4"/>
  <c r="CK318" i="4"/>
  <c r="CL318" i="4"/>
  <c r="CK317" i="4"/>
  <c r="CL317" i="4"/>
  <c r="CK316" i="4"/>
  <c r="CL316" i="4"/>
  <c r="CK315" i="4"/>
  <c r="CL315" i="4"/>
  <c r="CK314" i="4"/>
  <c r="CL314" i="4"/>
  <c r="CK313" i="4"/>
  <c r="CL313" i="4"/>
  <c r="CT321" i="4"/>
  <c r="CU321" i="4"/>
  <c r="CT320" i="4"/>
  <c r="CU320" i="4"/>
  <c r="CT319" i="4"/>
  <c r="CU319" i="4"/>
  <c r="CT318" i="4"/>
  <c r="CU318" i="4"/>
  <c r="CT317" i="4"/>
  <c r="CU317" i="4"/>
  <c r="CT316" i="4"/>
  <c r="CU316" i="4"/>
  <c r="CT315" i="4"/>
  <c r="CU315" i="4"/>
  <c r="CT314" i="4"/>
  <c r="CU314" i="4"/>
  <c r="CT313" i="4"/>
  <c r="CU313" i="4"/>
  <c r="CK337" i="4"/>
  <c r="CL337" i="4"/>
  <c r="CK336" i="4"/>
  <c r="CL336" i="4"/>
  <c r="CT337" i="4"/>
  <c r="CU337" i="4"/>
  <c r="CT336" i="4"/>
  <c r="CU336" i="4"/>
  <c r="CK334" i="4"/>
  <c r="CL334" i="4"/>
  <c r="CK333" i="4"/>
  <c r="CL333" i="4"/>
  <c r="CK332" i="4"/>
  <c r="CL332" i="4"/>
  <c r="CK331" i="4"/>
  <c r="CL331" i="4"/>
  <c r="CK330" i="4"/>
  <c r="CL330" i="4"/>
  <c r="CK329" i="4"/>
  <c r="CL329" i="4"/>
  <c r="CK328" i="4"/>
  <c r="CL328" i="4"/>
  <c r="CT334" i="4"/>
  <c r="CU334" i="4"/>
  <c r="CT333" i="4"/>
  <c r="CU333" i="4"/>
  <c r="CT332" i="4"/>
  <c r="CU332" i="4"/>
  <c r="CT331" i="4"/>
  <c r="CU331" i="4"/>
  <c r="CT330" i="4"/>
  <c r="CU330" i="4"/>
  <c r="CT329" i="4"/>
  <c r="CU329" i="4"/>
  <c r="CT328" i="4"/>
  <c r="CU328" i="4"/>
  <c r="CK325" i="4"/>
  <c r="CL325" i="4"/>
  <c r="CK324" i="4"/>
  <c r="CL324" i="4"/>
  <c r="CK323" i="4"/>
  <c r="CL323" i="4"/>
  <c r="CK551" i="4"/>
  <c r="CL551" i="4"/>
  <c r="CT551" i="4"/>
  <c r="CU551" i="4"/>
  <c r="CK548" i="4"/>
  <c r="CL548" i="4"/>
  <c r="CK549" i="4"/>
  <c r="CL549" i="4"/>
  <c r="CT548" i="4"/>
  <c r="CU548" i="4"/>
  <c r="CT549" i="4"/>
  <c r="CU549" i="4"/>
  <c r="CT310" i="4"/>
  <c r="CU310" i="4"/>
  <c r="CK310" i="4"/>
  <c r="CL310" i="4"/>
  <c r="CK298" i="4"/>
  <c r="CL298" i="4"/>
  <c r="CT298" i="4"/>
  <c r="CU298" i="4"/>
  <c r="CU326" i="4"/>
  <c r="CL326" i="4"/>
  <c r="CT326" i="4"/>
  <c r="CK326" i="4"/>
  <c r="BU42" i="1" l="1"/>
  <c r="S73" i="11"/>
  <c r="CA10" i="1"/>
  <c r="CA42" i="1" s="1"/>
  <c r="BY42" i="1"/>
  <c r="Q48" i="8"/>
  <c r="Q53" i="8" s="1"/>
  <c r="S5" i="8"/>
  <c r="S48" i="8" s="1"/>
  <c r="J48" i="8"/>
  <c r="CH429" i="4"/>
  <c r="CF365" i="4"/>
  <c r="CO417" i="4"/>
  <c r="CH408" i="4"/>
  <c r="CS408" i="4"/>
  <c r="CQ408" i="4"/>
  <c r="CO408" i="4"/>
  <c r="CN408" i="4"/>
  <c r="CJ408" i="4"/>
  <c r="CY408" i="4" s="1"/>
  <c r="DA408" i="4" s="1"/>
  <c r="CF408" i="4"/>
  <c r="CS383" i="4"/>
  <c r="CS382" i="4"/>
  <c r="CQ383" i="4"/>
  <c r="CQ382" i="4"/>
  <c r="CO382" i="4"/>
  <c r="CN382" i="4"/>
  <c r="CO383" i="4"/>
  <c r="CN383" i="4"/>
  <c r="CN384" i="4"/>
  <c r="CF382" i="4"/>
  <c r="CF383" i="4"/>
  <c r="CF384" i="4"/>
  <c r="CJ383" i="4"/>
  <c r="CY383" i="4" s="1"/>
  <c r="DA383" i="4" s="1"/>
  <c r="CJ382" i="4"/>
  <c r="CY382" i="4" s="1"/>
  <c r="DA382" i="4" s="1"/>
  <c r="CH383" i="4"/>
  <c r="CX383" i="4" s="1"/>
  <c r="CZ383" i="4" s="1"/>
  <c r="CH382" i="4"/>
  <c r="CX382" i="4" s="1"/>
  <c r="CZ382" i="4" s="1"/>
  <c r="CX408" i="4" l="1"/>
  <c r="CZ408" i="4" s="1"/>
  <c r="CT382" i="4"/>
  <c r="CU408" i="4"/>
  <c r="CL408" i="4"/>
  <c r="CT408" i="4"/>
  <c r="CK408" i="4"/>
  <c r="CT383" i="4"/>
  <c r="CK382" i="4"/>
  <c r="CK383" i="4"/>
  <c r="CU382" i="4"/>
  <c r="CU383" i="4"/>
  <c r="CL383" i="4"/>
  <c r="CL382" i="4"/>
  <c r="CS631" i="4" l="1"/>
  <c r="CS630" i="4"/>
  <c r="CS629" i="4"/>
  <c r="CS628" i="4"/>
  <c r="CS627" i="4"/>
  <c r="CS626" i="4"/>
  <c r="CS625" i="4"/>
  <c r="CQ631" i="4"/>
  <c r="CQ630" i="4"/>
  <c r="CQ629" i="4"/>
  <c r="CQ628" i="4"/>
  <c r="CQ627" i="4"/>
  <c r="CQ626" i="4"/>
  <c r="CQ625" i="4"/>
  <c r="CJ631" i="4"/>
  <c r="CY631" i="4" s="1"/>
  <c r="DA631" i="4" s="1"/>
  <c r="CJ630" i="4"/>
  <c r="CY630" i="4" s="1"/>
  <c r="DA630" i="4" s="1"/>
  <c r="CJ629" i="4"/>
  <c r="CJ628" i="4"/>
  <c r="CJ627" i="4"/>
  <c r="CJ626" i="4"/>
  <c r="CJ625" i="4"/>
  <c r="CH626" i="4"/>
  <c r="CX626" i="4" s="1"/>
  <c r="CZ626" i="4" s="1"/>
  <c r="CH627" i="4"/>
  <c r="CX627" i="4" s="1"/>
  <c r="CZ627" i="4" s="1"/>
  <c r="CH628" i="4"/>
  <c r="CX628" i="4" s="1"/>
  <c r="CZ628" i="4" s="1"/>
  <c r="CH629" i="4"/>
  <c r="CH630" i="4"/>
  <c r="CX630" i="4" s="1"/>
  <c r="CZ630" i="4" s="1"/>
  <c r="CH631" i="4"/>
  <c r="CH625" i="4"/>
  <c r="CF631" i="4"/>
  <c r="CF630" i="4"/>
  <c r="CF629" i="4"/>
  <c r="CF628" i="4"/>
  <c r="CF627" i="4"/>
  <c r="CF626" i="4"/>
  <c r="CF625" i="4"/>
  <c r="CS287" i="4"/>
  <c r="CQ287" i="4"/>
  <c r="CO287" i="4"/>
  <c r="CN287" i="4"/>
  <c r="CJ287" i="4"/>
  <c r="CY287" i="4" s="1"/>
  <c r="DA287" i="4" s="1"/>
  <c r="CH287" i="4"/>
  <c r="CF287" i="4"/>
  <c r="CE287" i="4"/>
  <c r="CS290" i="4"/>
  <c r="CQ290" i="4"/>
  <c r="CN290" i="4"/>
  <c r="CJ290" i="4"/>
  <c r="CY290" i="4" s="1"/>
  <c r="DA290" i="4" s="1"/>
  <c r="CH290" i="4"/>
  <c r="CX290" i="4" s="1"/>
  <c r="CZ290" i="4" s="1"/>
  <c r="CE290" i="4"/>
  <c r="H7" i="5"/>
  <c r="S9" i="7"/>
  <c r="S11" i="7" s="1"/>
  <c r="S14" i="7" s="1"/>
  <c r="S16" i="7" s="1"/>
  <c r="AQ638" i="4"/>
  <c r="AP638" i="4"/>
  <c r="CY625" i="4" l="1"/>
  <c r="DA625" i="4" s="1"/>
  <c r="CY626" i="4"/>
  <c r="DA626" i="4" s="1"/>
  <c r="CY627" i="4"/>
  <c r="DA627" i="4" s="1"/>
  <c r="CX631" i="4"/>
  <c r="CZ631" i="4" s="1"/>
  <c r="CX625" i="4"/>
  <c r="CZ625" i="4" s="1"/>
  <c r="CY628" i="4"/>
  <c r="DA628" i="4" s="1"/>
  <c r="CX287" i="4"/>
  <c r="CZ287" i="4" s="1"/>
  <c r="CX629" i="4"/>
  <c r="CZ629" i="4" s="1"/>
  <c r="CY629" i="4"/>
  <c r="DA629" i="4" s="1"/>
  <c r="H21" i="5"/>
  <c r="CK628" i="4"/>
  <c r="CL629" i="4"/>
  <c r="CL625" i="4"/>
  <c r="CL630" i="4"/>
  <c r="CL631" i="4"/>
  <c r="CK631" i="4"/>
  <c r="CL626" i="4"/>
  <c r="CK630" i="4"/>
  <c r="CL628" i="4"/>
  <c r="CL627" i="4"/>
  <c r="CK626" i="4"/>
  <c r="CK627" i="4"/>
  <c r="CK625" i="4"/>
  <c r="CK629" i="4"/>
  <c r="CL287" i="4"/>
  <c r="CU287" i="4"/>
  <c r="CT287" i="4"/>
  <c r="CK287" i="4"/>
  <c r="AL42" i="1"/>
  <c r="AM42" i="1"/>
  <c r="AN42" i="1"/>
  <c r="AO42" i="1"/>
  <c r="AP42" i="1"/>
  <c r="AQ42" i="1"/>
  <c r="AR42" i="1"/>
  <c r="AS42" i="1"/>
  <c r="AT42" i="1"/>
  <c r="AU42" i="1"/>
  <c r="AV42" i="1"/>
  <c r="AW42" i="1"/>
  <c r="CS4" i="4"/>
  <c r="CQ4" i="4"/>
  <c r="CO4" i="4"/>
  <c r="CN4" i="4"/>
  <c r="CJ4" i="4"/>
  <c r="CY4" i="4" s="1"/>
  <c r="DA4" i="4" s="1"/>
  <c r="CH4" i="4"/>
  <c r="CX4" i="4" s="1"/>
  <c r="CZ4" i="4" s="1"/>
  <c r="CF4" i="4"/>
  <c r="CE4" i="4"/>
  <c r="CS5" i="4"/>
  <c r="CQ5" i="4"/>
  <c r="CO5" i="4"/>
  <c r="CN5" i="4"/>
  <c r="CJ5" i="4"/>
  <c r="CY5" i="4" s="1"/>
  <c r="DA5" i="4" s="1"/>
  <c r="CH5" i="4"/>
  <c r="CX5" i="4" s="1"/>
  <c r="CZ5" i="4" s="1"/>
  <c r="CF5" i="4"/>
  <c r="CE5" i="4"/>
  <c r="K9" i="7"/>
  <c r="K11" i="7" s="1"/>
  <c r="K13" i="7" s="1"/>
  <c r="K15" i="7" s="1"/>
  <c r="K17" i="7" s="1"/>
  <c r="K19" i="7" s="1"/>
  <c r="K21" i="7" s="1"/>
  <c r="K23" i="7" s="1"/>
  <c r="K25" i="7" s="1"/>
  <c r="CS109" i="4"/>
  <c r="CQ109" i="4"/>
  <c r="CO109" i="4"/>
  <c r="CN109" i="4"/>
  <c r="CJ109" i="4"/>
  <c r="CY109" i="4" s="1"/>
  <c r="DA109" i="4" s="1"/>
  <c r="CH109" i="4"/>
  <c r="CX109" i="4" s="1"/>
  <c r="CZ109" i="4" s="1"/>
  <c r="CF109" i="4"/>
  <c r="CE109" i="4"/>
  <c r="CS102" i="4"/>
  <c r="CQ102" i="4"/>
  <c r="CO102" i="4"/>
  <c r="CN102" i="4"/>
  <c r="CJ102" i="4"/>
  <c r="CY102" i="4" s="1"/>
  <c r="DA102" i="4" s="1"/>
  <c r="CH102" i="4"/>
  <c r="CX102" i="4" s="1"/>
  <c r="CZ102" i="4" s="1"/>
  <c r="CF102" i="4"/>
  <c r="CE102" i="4"/>
  <c r="CS101" i="4"/>
  <c r="CQ101" i="4"/>
  <c r="CO101" i="4"/>
  <c r="CN101" i="4"/>
  <c r="CJ101" i="4"/>
  <c r="CY101" i="4" s="1"/>
  <c r="DA101" i="4" s="1"/>
  <c r="CH101" i="4"/>
  <c r="CX101" i="4" s="1"/>
  <c r="CZ101" i="4" s="1"/>
  <c r="CF101" i="4"/>
  <c r="CE101" i="4"/>
  <c r="CO80" i="4"/>
  <c r="CF80" i="4"/>
  <c r="CS99" i="4"/>
  <c r="CQ99" i="4"/>
  <c r="CO99" i="4"/>
  <c r="CN99" i="4"/>
  <c r="CJ99" i="4"/>
  <c r="CY99" i="4" s="1"/>
  <c r="DA99" i="4" s="1"/>
  <c r="CH99" i="4"/>
  <c r="CF99" i="4"/>
  <c r="CE99" i="4"/>
  <c r="CS98" i="4"/>
  <c r="CQ98" i="4"/>
  <c r="CO98" i="4"/>
  <c r="CN98" i="4"/>
  <c r="CJ98" i="4"/>
  <c r="CY98" i="4" s="1"/>
  <c r="DA98" i="4" s="1"/>
  <c r="CH98" i="4"/>
  <c r="CF98" i="4"/>
  <c r="CE98" i="4"/>
  <c r="CS97" i="4"/>
  <c r="CQ97" i="4"/>
  <c r="CO97" i="4"/>
  <c r="CN97" i="4"/>
  <c r="CJ97" i="4"/>
  <c r="CY97" i="4" s="1"/>
  <c r="DA97" i="4" s="1"/>
  <c r="CH97" i="4"/>
  <c r="CF97" i="4"/>
  <c r="CE97" i="4"/>
  <c r="CS96" i="4"/>
  <c r="CQ96" i="4"/>
  <c r="CO96" i="4"/>
  <c r="CN96" i="4"/>
  <c r="CJ96" i="4"/>
  <c r="CY96" i="4" s="1"/>
  <c r="DA96" i="4" s="1"/>
  <c r="CH96" i="4"/>
  <c r="CF96" i="4"/>
  <c r="CE96" i="4"/>
  <c r="CS95" i="4"/>
  <c r="CQ95" i="4"/>
  <c r="CO95" i="4"/>
  <c r="CN95" i="4"/>
  <c r="CJ95" i="4"/>
  <c r="CY95" i="4" s="1"/>
  <c r="DA95" i="4" s="1"/>
  <c r="CH95" i="4"/>
  <c r="CF95" i="4"/>
  <c r="CE95" i="4"/>
  <c r="CS94" i="4"/>
  <c r="CQ94" i="4"/>
  <c r="CO94" i="4"/>
  <c r="CN94" i="4"/>
  <c r="CJ94" i="4"/>
  <c r="CY94" i="4" s="1"/>
  <c r="DA94" i="4" s="1"/>
  <c r="CH94" i="4"/>
  <c r="CF94" i="4"/>
  <c r="CE94" i="4"/>
  <c r="CS93" i="4"/>
  <c r="CQ93" i="4"/>
  <c r="CO93" i="4"/>
  <c r="CN93" i="4"/>
  <c r="CJ93" i="4"/>
  <c r="CY93" i="4" s="1"/>
  <c r="DA93" i="4" s="1"/>
  <c r="CH93" i="4"/>
  <c r="CF93" i="4"/>
  <c r="CE93" i="4"/>
  <c r="CS92" i="4"/>
  <c r="CQ92" i="4"/>
  <c r="CO92" i="4"/>
  <c r="CN92" i="4"/>
  <c r="CJ92" i="4"/>
  <c r="CY92" i="4" s="1"/>
  <c r="DA92" i="4" s="1"/>
  <c r="CH92" i="4"/>
  <c r="CF92" i="4"/>
  <c r="CE92" i="4"/>
  <c r="CS91" i="4"/>
  <c r="CQ91" i="4"/>
  <c r="CO91" i="4"/>
  <c r="CN91" i="4"/>
  <c r="CJ91" i="4"/>
  <c r="CY91" i="4" s="1"/>
  <c r="DA91" i="4" s="1"/>
  <c r="CH91" i="4"/>
  <c r="CF91" i="4"/>
  <c r="CE91" i="4"/>
  <c r="CS90" i="4"/>
  <c r="CQ90" i="4"/>
  <c r="CO90" i="4"/>
  <c r="CN90" i="4"/>
  <c r="CJ90" i="4"/>
  <c r="CY90" i="4" s="1"/>
  <c r="DA90" i="4" s="1"/>
  <c r="CH90" i="4"/>
  <c r="CF90" i="4"/>
  <c r="CE90" i="4"/>
  <c r="CS89" i="4"/>
  <c r="CQ89" i="4"/>
  <c r="CO89" i="4"/>
  <c r="CN89" i="4"/>
  <c r="CJ89" i="4"/>
  <c r="CY89" i="4" s="1"/>
  <c r="DA89" i="4" s="1"/>
  <c r="CH89" i="4"/>
  <c r="CF89" i="4"/>
  <c r="CE89" i="4"/>
  <c r="CS88" i="4"/>
  <c r="CQ88" i="4"/>
  <c r="CO88" i="4"/>
  <c r="CN88" i="4"/>
  <c r="CJ88" i="4"/>
  <c r="CY88" i="4" s="1"/>
  <c r="DA88" i="4" s="1"/>
  <c r="CH88" i="4"/>
  <c r="CF88" i="4"/>
  <c r="CE88" i="4"/>
  <c r="CS87" i="4"/>
  <c r="CQ87" i="4"/>
  <c r="CO87" i="4"/>
  <c r="CN87" i="4"/>
  <c r="CJ87" i="4"/>
  <c r="CY87" i="4" s="1"/>
  <c r="DA87" i="4" s="1"/>
  <c r="CH87" i="4"/>
  <c r="CF87" i="4"/>
  <c r="CE87" i="4"/>
  <c r="CS86" i="4"/>
  <c r="CQ86" i="4"/>
  <c r="CO86" i="4"/>
  <c r="CN86" i="4"/>
  <c r="CJ86" i="4"/>
  <c r="CY86" i="4" s="1"/>
  <c r="DA86" i="4" s="1"/>
  <c r="CH86" i="4"/>
  <c r="CF86" i="4"/>
  <c r="CE86" i="4"/>
  <c r="CS85" i="4"/>
  <c r="CQ85" i="4"/>
  <c r="CO85" i="4"/>
  <c r="CN85" i="4"/>
  <c r="CJ85" i="4"/>
  <c r="CY85" i="4" s="1"/>
  <c r="DA85" i="4" s="1"/>
  <c r="CH85" i="4"/>
  <c r="CF85" i="4"/>
  <c r="CE85" i="4"/>
  <c r="CS84" i="4"/>
  <c r="CQ84" i="4"/>
  <c r="CO84" i="4"/>
  <c r="CN84" i="4"/>
  <c r="CJ84" i="4"/>
  <c r="CY84" i="4" s="1"/>
  <c r="DA84" i="4" s="1"/>
  <c r="CH84" i="4"/>
  <c r="CF84" i="4"/>
  <c r="CE84" i="4"/>
  <c r="CS83" i="4"/>
  <c r="CQ83" i="4"/>
  <c r="CO83" i="4"/>
  <c r="CN83" i="4"/>
  <c r="CJ83" i="4"/>
  <c r="CY83" i="4" s="1"/>
  <c r="DA83" i="4" s="1"/>
  <c r="CH83" i="4"/>
  <c r="CF83" i="4"/>
  <c r="CE83" i="4"/>
  <c r="CS82" i="4"/>
  <c r="CQ82" i="4"/>
  <c r="CO82" i="4"/>
  <c r="CN82" i="4"/>
  <c r="CJ82" i="4"/>
  <c r="CY82" i="4" s="1"/>
  <c r="DA82" i="4" s="1"/>
  <c r="CH82" i="4"/>
  <c r="CF82" i="4"/>
  <c r="CE82" i="4"/>
  <c r="CS81" i="4"/>
  <c r="CQ81" i="4"/>
  <c r="CO81" i="4"/>
  <c r="CN81" i="4"/>
  <c r="CJ81" i="4"/>
  <c r="CY81" i="4" s="1"/>
  <c r="DA81" i="4" s="1"/>
  <c r="CH81" i="4"/>
  <c r="CF81" i="4"/>
  <c r="CE81" i="4"/>
  <c r="CS80" i="4"/>
  <c r="CQ80" i="4"/>
  <c r="CN80" i="4"/>
  <c r="CJ80" i="4"/>
  <c r="CY80" i="4" s="1"/>
  <c r="DA80" i="4" s="1"/>
  <c r="CH80" i="4"/>
  <c r="CX80" i="4" s="1"/>
  <c r="CZ80" i="4" s="1"/>
  <c r="CE80" i="4"/>
  <c r="CS48" i="4"/>
  <c r="CQ48" i="4"/>
  <c r="CO48" i="4"/>
  <c r="CN48" i="4"/>
  <c r="CJ48" i="4"/>
  <c r="CY48" i="4" s="1"/>
  <c r="DA48" i="4" s="1"/>
  <c r="CH48" i="4"/>
  <c r="CX48" i="4" s="1"/>
  <c r="CZ48" i="4" s="1"/>
  <c r="CF48" i="4"/>
  <c r="CE48" i="4"/>
  <c r="CS115" i="4"/>
  <c r="CQ115" i="4"/>
  <c r="CO115" i="4"/>
  <c r="CN115" i="4"/>
  <c r="CJ115" i="4"/>
  <c r="CY115" i="4" s="1"/>
  <c r="DA115" i="4" s="1"/>
  <c r="CH115" i="4"/>
  <c r="CX115" i="4" s="1"/>
  <c r="CZ115" i="4" s="1"/>
  <c r="CF115" i="4"/>
  <c r="CE115" i="4"/>
  <c r="CS114" i="4"/>
  <c r="CQ114" i="4"/>
  <c r="CO114" i="4"/>
  <c r="CN114" i="4"/>
  <c r="CJ114" i="4"/>
  <c r="CY114" i="4" s="1"/>
  <c r="DA114" i="4" s="1"/>
  <c r="CH114" i="4"/>
  <c r="CX114" i="4" s="1"/>
  <c r="CZ114" i="4" s="1"/>
  <c r="CF114" i="4"/>
  <c r="CE114" i="4"/>
  <c r="CS113" i="4"/>
  <c r="CQ113" i="4"/>
  <c r="CO113" i="4"/>
  <c r="CN113" i="4"/>
  <c r="CJ113" i="4"/>
  <c r="CY113" i="4" s="1"/>
  <c r="DA113" i="4" s="1"/>
  <c r="CH113" i="4"/>
  <c r="CX113" i="4" s="1"/>
  <c r="CZ113" i="4" s="1"/>
  <c r="CF113" i="4"/>
  <c r="CE113" i="4"/>
  <c r="CS112" i="4"/>
  <c r="CQ112" i="4"/>
  <c r="CO112" i="4"/>
  <c r="CN112" i="4"/>
  <c r="CJ112" i="4"/>
  <c r="CY112" i="4" s="1"/>
  <c r="DA112" i="4" s="1"/>
  <c r="CH112" i="4"/>
  <c r="CX112" i="4" s="1"/>
  <c r="CZ112" i="4" s="1"/>
  <c r="CF112" i="4"/>
  <c r="CE112" i="4"/>
  <c r="CS111" i="4"/>
  <c r="CQ111" i="4"/>
  <c r="CO111" i="4"/>
  <c r="CN111" i="4"/>
  <c r="CJ111" i="4"/>
  <c r="CY111" i="4" s="1"/>
  <c r="DA111" i="4" s="1"/>
  <c r="CH111" i="4"/>
  <c r="CX111" i="4" s="1"/>
  <c r="CZ111" i="4" s="1"/>
  <c r="CF111" i="4"/>
  <c r="CE111" i="4"/>
  <c r="CS10" i="4"/>
  <c r="CQ10" i="4"/>
  <c r="CO10" i="4"/>
  <c r="CN10" i="4"/>
  <c r="CJ10" i="4"/>
  <c r="CY10" i="4" s="1"/>
  <c r="DA10" i="4" s="1"/>
  <c r="CH10" i="4"/>
  <c r="CX10" i="4" s="1"/>
  <c r="CZ10" i="4" s="1"/>
  <c r="CF10" i="4"/>
  <c r="CE10" i="4"/>
  <c r="CS9" i="4"/>
  <c r="CQ9" i="4"/>
  <c r="CO9" i="4"/>
  <c r="CN9" i="4"/>
  <c r="CJ9" i="4"/>
  <c r="CY9" i="4" s="1"/>
  <c r="DA9" i="4" s="1"/>
  <c r="CH9" i="4"/>
  <c r="CX9" i="4" s="1"/>
  <c r="CZ9" i="4" s="1"/>
  <c r="CF9" i="4"/>
  <c r="CE9" i="4"/>
  <c r="CS12" i="4"/>
  <c r="CQ12" i="4"/>
  <c r="CO12" i="4"/>
  <c r="CN12" i="4"/>
  <c r="CJ12" i="4"/>
  <c r="CY12" i="4" s="1"/>
  <c r="DA12" i="4" s="1"/>
  <c r="CH12" i="4"/>
  <c r="CX12" i="4" s="1"/>
  <c r="CZ12" i="4" s="1"/>
  <c r="CF12" i="4"/>
  <c r="CE12" i="4"/>
  <c r="CS124" i="4"/>
  <c r="CQ124" i="4"/>
  <c r="CO124" i="4"/>
  <c r="CN124" i="4"/>
  <c r="CJ124" i="4"/>
  <c r="CY124" i="4" s="1"/>
  <c r="DA124" i="4" s="1"/>
  <c r="CH124" i="4"/>
  <c r="CX124" i="4" s="1"/>
  <c r="CZ124" i="4" s="1"/>
  <c r="CF124" i="4"/>
  <c r="CE124" i="4"/>
  <c r="CS123" i="4"/>
  <c r="CQ123" i="4"/>
  <c r="CO123" i="4"/>
  <c r="CN123" i="4"/>
  <c r="CJ123" i="4"/>
  <c r="CY123" i="4" s="1"/>
  <c r="DA123" i="4" s="1"/>
  <c r="CH123" i="4"/>
  <c r="CX123" i="4" s="1"/>
  <c r="CZ123" i="4" s="1"/>
  <c r="CF123" i="4"/>
  <c r="CE123" i="4"/>
  <c r="CS122" i="4"/>
  <c r="CY122" i="4" s="1"/>
  <c r="DA122" i="4" s="1"/>
  <c r="CQ122" i="4"/>
  <c r="CX122" i="4" s="1"/>
  <c r="CZ122" i="4" s="1"/>
  <c r="CO122" i="4"/>
  <c r="CN122" i="4"/>
  <c r="CF122" i="4"/>
  <c r="CE122" i="4"/>
  <c r="CS121" i="4"/>
  <c r="CQ121" i="4"/>
  <c r="CO121" i="4"/>
  <c r="CN121" i="4"/>
  <c r="CJ121" i="4"/>
  <c r="CH121" i="4"/>
  <c r="CX121" i="4" s="1"/>
  <c r="CZ121" i="4" s="1"/>
  <c r="CF121" i="4"/>
  <c r="CE121" i="4"/>
  <c r="CS120" i="4"/>
  <c r="CQ120" i="4"/>
  <c r="CO120" i="4"/>
  <c r="CN120" i="4"/>
  <c r="CJ120" i="4"/>
  <c r="CH120" i="4"/>
  <c r="CX120" i="4" s="1"/>
  <c r="CZ120" i="4" s="1"/>
  <c r="CF120" i="4"/>
  <c r="CE120" i="4"/>
  <c r="CS119" i="4"/>
  <c r="CQ119" i="4"/>
  <c r="CO119" i="4"/>
  <c r="CN119" i="4"/>
  <c r="CJ119" i="4"/>
  <c r="CH119" i="4"/>
  <c r="CX119" i="4" s="1"/>
  <c r="CZ119" i="4" s="1"/>
  <c r="CF119" i="4"/>
  <c r="CE119" i="4"/>
  <c r="CS118" i="4"/>
  <c r="CQ118" i="4"/>
  <c r="CO118" i="4"/>
  <c r="CN118" i="4"/>
  <c r="CJ118" i="4"/>
  <c r="CH118" i="4"/>
  <c r="CX118" i="4" s="1"/>
  <c r="CZ118" i="4" s="1"/>
  <c r="CF118" i="4"/>
  <c r="CE118" i="4"/>
  <c r="CS117" i="4"/>
  <c r="CQ117" i="4"/>
  <c r="CO117" i="4"/>
  <c r="CN117" i="4"/>
  <c r="CJ117" i="4"/>
  <c r="CH117" i="4"/>
  <c r="CX117" i="4" s="1"/>
  <c r="CZ117" i="4" s="1"/>
  <c r="CF117" i="4"/>
  <c r="CE117" i="4"/>
  <c r="CS74" i="4"/>
  <c r="CQ74" i="4"/>
  <c r="CO74" i="4"/>
  <c r="CN74" i="4"/>
  <c r="CJ74" i="4"/>
  <c r="CH74" i="4"/>
  <c r="CX74" i="4" s="1"/>
  <c r="CZ74" i="4" s="1"/>
  <c r="CF74" i="4"/>
  <c r="CE74" i="4"/>
  <c r="CS73" i="4"/>
  <c r="CQ73" i="4"/>
  <c r="CO73" i="4"/>
  <c r="CN73" i="4"/>
  <c r="CJ73" i="4"/>
  <c r="CH73" i="4"/>
  <c r="CX73" i="4" s="1"/>
  <c r="CZ73" i="4" s="1"/>
  <c r="CF73" i="4"/>
  <c r="CE73" i="4"/>
  <c r="CS72" i="4"/>
  <c r="CQ72" i="4"/>
  <c r="CO72" i="4"/>
  <c r="CN72" i="4"/>
  <c r="CJ72" i="4"/>
  <c r="CH72" i="4"/>
  <c r="CX72" i="4" s="1"/>
  <c r="CZ72" i="4" s="1"/>
  <c r="CF72" i="4"/>
  <c r="CE72" i="4"/>
  <c r="CS71" i="4"/>
  <c r="CQ71" i="4"/>
  <c r="CO71" i="4"/>
  <c r="CN71" i="4"/>
  <c r="CJ71" i="4"/>
  <c r="CH71" i="4"/>
  <c r="CX71" i="4" s="1"/>
  <c r="CZ71" i="4" s="1"/>
  <c r="CF71" i="4"/>
  <c r="CE71" i="4"/>
  <c r="CS70" i="4"/>
  <c r="CQ70" i="4"/>
  <c r="CO70" i="4"/>
  <c r="CN70" i="4"/>
  <c r="CJ70" i="4"/>
  <c r="CH70" i="4"/>
  <c r="CX70" i="4" s="1"/>
  <c r="CZ70" i="4" s="1"/>
  <c r="CF70" i="4"/>
  <c r="CE70" i="4"/>
  <c r="CS69" i="4"/>
  <c r="CQ69" i="4"/>
  <c r="CO69" i="4"/>
  <c r="CN69" i="4"/>
  <c r="CJ69" i="4"/>
  <c r="CH69" i="4"/>
  <c r="CX69" i="4" s="1"/>
  <c r="CZ69" i="4" s="1"/>
  <c r="CF69" i="4"/>
  <c r="CE69" i="4"/>
  <c r="CS106" i="4"/>
  <c r="CQ106" i="4"/>
  <c r="CO106" i="4"/>
  <c r="CN106" i="4"/>
  <c r="CJ106" i="4"/>
  <c r="CH106" i="4"/>
  <c r="CX106" i="4" s="1"/>
  <c r="CZ106" i="4" s="1"/>
  <c r="CF106" i="4"/>
  <c r="CE106" i="4"/>
  <c r="CS31" i="4"/>
  <c r="CQ31" i="4"/>
  <c r="CO31" i="4"/>
  <c r="CN31" i="4"/>
  <c r="CJ31" i="4"/>
  <c r="CH31" i="4"/>
  <c r="CX31" i="4" s="1"/>
  <c r="CZ31" i="4" s="1"/>
  <c r="CF31" i="4"/>
  <c r="CE31" i="4"/>
  <c r="CS30" i="4"/>
  <c r="CQ30" i="4"/>
  <c r="CO30" i="4"/>
  <c r="CN30" i="4"/>
  <c r="CJ30" i="4"/>
  <c r="CH30" i="4"/>
  <c r="CX30" i="4" s="1"/>
  <c r="CZ30" i="4" s="1"/>
  <c r="CF30" i="4"/>
  <c r="CE30" i="4"/>
  <c r="CS67" i="4"/>
  <c r="CQ67" i="4"/>
  <c r="CO67" i="4"/>
  <c r="CN67" i="4"/>
  <c r="CJ67" i="4"/>
  <c r="CH67" i="4"/>
  <c r="CX67" i="4" s="1"/>
  <c r="CZ67" i="4" s="1"/>
  <c r="CF67" i="4"/>
  <c r="CE67" i="4"/>
  <c r="CS25" i="4"/>
  <c r="CQ25" i="4"/>
  <c r="CO25" i="4"/>
  <c r="CN25" i="4"/>
  <c r="CJ25" i="4"/>
  <c r="CH25" i="4"/>
  <c r="CX25" i="4" s="1"/>
  <c r="CZ25" i="4" s="1"/>
  <c r="CF25" i="4"/>
  <c r="CE25" i="4"/>
  <c r="CS7" i="4"/>
  <c r="CQ7" i="4"/>
  <c r="CO7" i="4"/>
  <c r="CN7" i="4"/>
  <c r="CJ7" i="4"/>
  <c r="CH7" i="4"/>
  <c r="CX7" i="4" s="1"/>
  <c r="CZ7" i="4" s="1"/>
  <c r="CF7" i="4"/>
  <c r="CE7" i="4"/>
  <c r="CS56" i="4"/>
  <c r="CQ56" i="4"/>
  <c r="CO56" i="4"/>
  <c r="CN56" i="4"/>
  <c r="CJ56" i="4"/>
  <c r="CH56" i="4"/>
  <c r="CX56" i="4" s="1"/>
  <c r="CZ56" i="4" s="1"/>
  <c r="CF56" i="4"/>
  <c r="CE56" i="4"/>
  <c r="CS55" i="4"/>
  <c r="CQ55" i="4"/>
  <c r="CO55" i="4"/>
  <c r="CN55" i="4"/>
  <c r="CJ55" i="4"/>
  <c r="CH55" i="4"/>
  <c r="CX55" i="4" s="1"/>
  <c r="CZ55" i="4" s="1"/>
  <c r="CF55" i="4"/>
  <c r="CE55" i="4"/>
  <c r="CS54" i="4"/>
  <c r="CQ54" i="4"/>
  <c r="CO54" i="4"/>
  <c r="CN54" i="4"/>
  <c r="CJ54" i="4"/>
  <c r="CH54" i="4"/>
  <c r="CX54" i="4" s="1"/>
  <c r="CZ54" i="4" s="1"/>
  <c r="CF54" i="4"/>
  <c r="CE54" i="4"/>
  <c r="CS53" i="4"/>
  <c r="CQ53" i="4"/>
  <c r="CO53" i="4"/>
  <c r="CN53" i="4"/>
  <c r="CJ53" i="4"/>
  <c r="CH53" i="4"/>
  <c r="CX53" i="4" s="1"/>
  <c r="CZ53" i="4" s="1"/>
  <c r="CF53" i="4"/>
  <c r="CE53" i="4"/>
  <c r="CS52" i="4"/>
  <c r="CQ52" i="4"/>
  <c r="CO52" i="4"/>
  <c r="CN52" i="4"/>
  <c r="CJ52" i="4"/>
  <c r="CH52" i="4"/>
  <c r="CX52" i="4" s="1"/>
  <c r="CZ52" i="4" s="1"/>
  <c r="CF52" i="4"/>
  <c r="CE52" i="4"/>
  <c r="CS51" i="4"/>
  <c r="CQ51" i="4"/>
  <c r="CO51" i="4"/>
  <c r="CN51" i="4"/>
  <c r="CJ51" i="4"/>
  <c r="CH51" i="4"/>
  <c r="CX51" i="4" s="1"/>
  <c r="CZ51" i="4" s="1"/>
  <c r="CF51" i="4"/>
  <c r="CE51" i="4"/>
  <c r="CS40" i="4"/>
  <c r="CQ40" i="4"/>
  <c r="CO40" i="4"/>
  <c r="CN40" i="4"/>
  <c r="CS41" i="4"/>
  <c r="CQ41" i="4"/>
  <c r="CO41" i="4"/>
  <c r="CN41" i="4"/>
  <c r="CJ40" i="4"/>
  <c r="CY40" i="4" s="1"/>
  <c r="DA40" i="4" s="1"/>
  <c r="CH40" i="4"/>
  <c r="CX40" i="4" s="1"/>
  <c r="CZ40" i="4" s="1"/>
  <c r="CF40" i="4"/>
  <c r="CE40" i="4"/>
  <c r="CJ41" i="4"/>
  <c r="CY41" i="4" s="1"/>
  <c r="DA41" i="4" s="1"/>
  <c r="CH41" i="4"/>
  <c r="CX41" i="4" s="1"/>
  <c r="CZ41" i="4" s="1"/>
  <c r="CF41" i="4"/>
  <c r="CE41" i="4"/>
  <c r="CS35" i="4"/>
  <c r="CQ35" i="4"/>
  <c r="CO35" i="4"/>
  <c r="CN35" i="4"/>
  <c r="CJ35" i="4"/>
  <c r="CH35" i="4"/>
  <c r="CX35" i="4" s="1"/>
  <c r="CZ35" i="4" s="1"/>
  <c r="CF35" i="4"/>
  <c r="CE35" i="4"/>
  <c r="CS34" i="4"/>
  <c r="CQ34" i="4"/>
  <c r="CO34" i="4"/>
  <c r="CN34" i="4"/>
  <c r="CJ34" i="4"/>
  <c r="CX34" i="4"/>
  <c r="CZ34" i="4" s="1"/>
  <c r="CE34" i="4"/>
  <c r="CS65" i="4"/>
  <c r="CQ65" i="4"/>
  <c r="CO65" i="4"/>
  <c r="CN65" i="4"/>
  <c r="CJ65" i="4"/>
  <c r="CH65" i="4"/>
  <c r="CF65" i="4"/>
  <c r="CE65" i="4"/>
  <c r="CS64" i="4"/>
  <c r="CQ64" i="4"/>
  <c r="CO64" i="4"/>
  <c r="CN64" i="4"/>
  <c r="CJ64" i="4"/>
  <c r="CH64" i="4"/>
  <c r="CF64" i="4"/>
  <c r="CE64" i="4"/>
  <c r="CS63" i="4"/>
  <c r="CQ63" i="4"/>
  <c r="CO63" i="4"/>
  <c r="CN63" i="4"/>
  <c r="CJ63" i="4"/>
  <c r="CH63" i="4"/>
  <c r="CF63" i="4"/>
  <c r="CE63" i="4"/>
  <c r="CS62" i="4"/>
  <c r="CQ62" i="4"/>
  <c r="CO62" i="4"/>
  <c r="CN62" i="4"/>
  <c r="CJ62" i="4"/>
  <c r="CH62" i="4"/>
  <c r="CF62" i="4"/>
  <c r="CE62" i="4"/>
  <c r="CS61" i="4"/>
  <c r="CQ61" i="4"/>
  <c r="CO61" i="4"/>
  <c r="CN61" i="4"/>
  <c r="CJ61" i="4"/>
  <c r="CH61" i="4"/>
  <c r="CF61" i="4"/>
  <c r="CE61" i="4"/>
  <c r="CX62" i="4" l="1"/>
  <c r="CZ62" i="4" s="1"/>
  <c r="CY34" i="4"/>
  <c r="DA34" i="4" s="1"/>
  <c r="CY35" i="4"/>
  <c r="DA35" i="4" s="1"/>
  <c r="CY51" i="4"/>
  <c r="DA51" i="4" s="1"/>
  <c r="CY52" i="4"/>
  <c r="DA52" i="4" s="1"/>
  <c r="CY53" i="4"/>
  <c r="DA53" i="4" s="1"/>
  <c r="CY54" i="4"/>
  <c r="DA54" i="4" s="1"/>
  <c r="CY55" i="4"/>
  <c r="DA55" i="4" s="1"/>
  <c r="CY56" i="4"/>
  <c r="DA56" i="4" s="1"/>
  <c r="CY7" i="4"/>
  <c r="DA7" i="4" s="1"/>
  <c r="CY25" i="4"/>
  <c r="DA25" i="4" s="1"/>
  <c r="CY67" i="4"/>
  <c r="DA67" i="4" s="1"/>
  <c r="CY30" i="4"/>
  <c r="DA30" i="4" s="1"/>
  <c r="CY31" i="4"/>
  <c r="DA31" i="4" s="1"/>
  <c r="CY106" i="4"/>
  <c r="DA106" i="4" s="1"/>
  <c r="CY69" i="4"/>
  <c r="DA69" i="4" s="1"/>
  <c r="CY70" i="4"/>
  <c r="DA70" i="4" s="1"/>
  <c r="CY71" i="4"/>
  <c r="DA71" i="4" s="1"/>
  <c r="CY72" i="4"/>
  <c r="DA72" i="4" s="1"/>
  <c r="CY73" i="4"/>
  <c r="DA73" i="4" s="1"/>
  <c r="CY74" i="4"/>
  <c r="DA74" i="4" s="1"/>
  <c r="CY117" i="4"/>
  <c r="DA117" i="4" s="1"/>
  <c r="CY118" i="4"/>
  <c r="DA118" i="4" s="1"/>
  <c r="CY119" i="4"/>
  <c r="DA119" i="4" s="1"/>
  <c r="CY120" i="4"/>
  <c r="DA120" i="4" s="1"/>
  <c r="CY121" i="4"/>
  <c r="DA121" i="4" s="1"/>
  <c r="CX63" i="4"/>
  <c r="CZ63" i="4" s="1"/>
  <c r="CY61" i="4"/>
  <c r="DA61" i="4" s="1"/>
  <c r="CY63" i="4"/>
  <c r="DA63" i="4" s="1"/>
  <c r="CY64" i="4"/>
  <c r="DA64" i="4" s="1"/>
  <c r="CY65" i="4"/>
  <c r="DA65" i="4" s="1"/>
  <c r="CX64" i="4"/>
  <c r="CZ64" i="4" s="1"/>
  <c r="CY62" i="4"/>
  <c r="DA62" i="4" s="1"/>
  <c r="CX61" i="4"/>
  <c r="CZ61" i="4" s="1"/>
  <c r="CX65" i="4"/>
  <c r="CZ65" i="4" s="1"/>
  <c r="CX81" i="4"/>
  <c r="CZ81" i="4" s="1"/>
  <c r="CX82" i="4"/>
  <c r="CZ82" i="4" s="1"/>
  <c r="CX83" i="4"/>
  <c r="CZ83" i="4" s="1"/>
  <c r="CX84" i="4"/>
  <c r="CZ84" i="4" s="1"/>
  <c r="CX85" i="4"/>
  <c r="CZ85" i="4" s="1"/>
  <c r="CX86" i="4"/>
  <c r="CZ86" i="4" s="1"/>
  <c r="CX87" i="4"/>
  <c r="CZ87" i="4" s="1"/>
  <c r="CX88" i="4"/>
  <c r="CZ88" i="4" s="1"/>
  <c r="CX89" i="4"/>
  <c r="CZ89" i="4" s="1"/>
  <c r="CX90" i="4"/>
  <c r="CZ90" i="4" s="1"/>
  <c r="CX91" i="4"/>
  <c r="CZ91" i="4" s="1"/>
  <c r="CX92" i="4"/>
  <c r="CZ92" i="4" s="1"/>
  <c r="CX93" i="4"/>
  <c r="CZ93" i="4" s="1"/>
  <c r="CX94" i="4"/>
  <c r="CZ94" i="4" s="1"/>
  <c r="CX95" i="4"/>
  <c r="CZ95" i="4" s="1"/>
  <c r="CX96" i="4"/>
  <c r="CZ96" i="4" s="1"/>
  <c r="CX97" i="4"/>
  <c r="CZ97" i="4" s="1"/>
  <c r="CX98" i="4"/>
  <c r="CZ98" i="4" s="1"/>
  <c r="CX99" i="4"/>
  <c r="CZ99" i="4" s="1"/>
  <c r="CU4" i="4"/>
  <c r="CT4" i="4"/>
  <c r="CL4" i="4"/>
  <c r="CK4" i="4"/>
  <c r="CL5" i="4"/>
  <c r="CU5" i="4"/>
  <c r="CT5" i="4"/>
  <c r="CK5" i="4"/>
  <c r="CU109" i="4"/>
  <c r="CL109" i="4"/>
  <c r="CK109" i="4"/>
  <c r="CT109" i="4"/>
  <c r="CL101" i="4"/>
  <c r="CL102" i="4"/>
  <c r="CU102" i="4"/>
  <c r="CU91" i="4"/>
  <c r="CT95" i="4"/>
  <c r="CT101" i="4"/>
  <c r="CU101" i="4"/>
  <c r="CT102" i="4"/>
  <c r="CK102" i="4"/>
  <c r="CK101" i="4"/>
  <c r="CL92" i="4"/>
  <c r="CT80" i="4"/>
  <c r="CT86" i="4"/>
  <c r="CU80" i="4"/>
  <c r="CU81" i="4"/>
  <c r="CU92" i="4"/>
  <c r="CU94" i="4"/>
  <c r="CU97" i="4"/>
  <c r="CU98" i="4"/>
  <c r="CL93" i="4"/>
  <c r="CU86" i="4"/>
  <c r="CT87" i="4"/>
  <c r="CT88" i="4"/>
  <c r="CT89" i="4"/>
  <c r="CT92" i="4"/>
  <c r="CT93" i="4"/>
  <c r="CK98" i="4"/>
  <c r="CU87" i="4"/>
  <c r="CU88" i="4"/>
  <c r="CU89" i="4"/>
  <c r="CT94" i="4"/>
  <c r="CT98" i="4"/>
  <c r="CT81" i="4"/>
  <c r="CK84" i="4"/>
  <c r="CT96" i="4"/>
  <c r="CL83" i="4"/>
  <c r="CL84" i="4"/>
  <c r="CK85" i="4"/>
  <c r="CU96" i="4"/>
  <c r="CT97" i="4"/>
  <c r="CK90" i="4"/>
  <c r="CT114" i="4"/>
  <c r="CT48" i="4"/>
  <c r="CL90" i="4"/>
  <c r="CL91" i="4"/>
  <c r="CL81" i="4"/>
  <c r="CU93" i="4"/>
  <c r="CL96" i="4"/>
  <c r="CL82" i="4"/>
  <c r="CU85" i="4"/>
  <c r="CU99" i="4"/>
  <c r="CU82" i="4"/>
  <c r="CU95" i="4"/>
  <c r="CU83" i="4"/>
  <c r="CU84" i="4"/>
  <c r="CT91" i="4"/>
  <c r="CT85" i="4"/>
  <c r="CL88" i="4"/>
  <c r="CL89" i="4"/>
  <c r="CL97" i="4"/>
  <c r="CL94" i="4"/>
  <c r="CL98" i="4"/>
  <c r="CL87" i="4"/>
  <c r="CL95" i="4"/>
  <c r="CL99" i="4"/>
  <c r="CK99" i="4"/>
  <c r="CK93" i="4"/>
  <c r="CK92" i="4"/>
  <c r="CK91" i="4"/>
  <c r="CL80" i="4"/>
  <c r="CK96" i="4"/>
  <c r="CK97" i="4"/>
  <c r="CT99" i="4"/>
  <c r="CK94" i="4"/>
  <c r="CK95" i="4"/>
  <c r="CT90" i="4"/>
  <c r="CU90" i="4"/>
  <c r="CK89" i="4"/>
  <c r="CL85" i="4"/>
  <c r="CK86" i="4"/>
  <c r="CL86" i="4"/>
  <c r="CK87" i="4"/>
  <c r="CT82" i="4"/>
  <c r="CK88" i="4"/>
  <c r="CT83" i="4"/>
  <c r="CK82" i="4"/>
  <c r="CT84" i="4"/>
  <c r="CK83" i="4"/>
  <c r="CK81" i="4"/>
  <c r="CK80" i="4"/>
  <c r="CU114" i="4"/>
  <c r="CU115" i="4"/>
  <c r="CU48" i="4"/>
  <c r="CK48" i="4"/>
  <c r="CL48" i="4"/>
  <c r="CL115" i="4"/>
  <c r="CK112" i="4"/>
  <c r="CL114" i="4"/>
  <c r="CL112" i="4"/>
  <c r="CK114" i="4"/>
  <c r="CT112" i="4"/>
  <c r="CT113" i="4"/>
  <c r="CU112" i="4"/>
  <c r="CU111" i="4"/>
  <c r="CL113" i="4"/>
  <c r="CK115" i="4"/>
  <c r="CK111" i="4"/>
  <c r="CT111" i="4"/>
  <c r="CL111" i="4"/>
  <c r="CU113" i="4"/>
  <c r="CK113" i="4"/>
  <c r="CT115" i="4"/>
  <c r="CL10" i="4"/>
  <c r="CU9" i="4"/>
  <c r="CK9" i="4"/>
  <c r="CL9" i="4"/>
  <c r="CK10" i="4"/>
  <c r="CT9" i="4"/>
  <c r="CT10" i="4"/>
  <c r="CU10" i="4"/>
  <c r="CU12" i="4"/>
  <c r="CK12" i="4"/>
  <c r="CT12" i="4"/>
  <c r="CL12" i="4"/>
  <c r="CL118" i="4"/>
  <c r="CL119" i="4"/>
  <c r="CK121" i="4"/>
  <c r="CU118" i="4"/>
  <c r="CL121" i="4"/>
  <c r="CT72" i="4"/>
  <c r="CT73" i="4"/>
  <c r="CU121" i="4"/>
  <c r="CU70" i="4"/>
  <c r="CU72" i="4"/>
  <c r="CU73" i="4"/>
  <c r="CU124" i="4"/>
  <c r="CK120" i="4"/>
  <c r="CU122" i="4"/>
  <c r="CU119" i="4"/>
  <c r="CL124" i="4"/>
  <c r="CL123" i="4"/>
  <c r="CL122" i="4"/>
  <c r="CL120" i="4"/>
  <c r="CL117" i="4"/>
  <c r="CT123" i="4"/>
  <c r="CT121" i="4"/>
  <c r="CT117" i="4"/>
  <c r="CK119" i="4"/>
  <c r="CT122" i="4"/>
  <c r="CU123" i="4"/>
  <c r="CK122" i="4"/>
  <c r="CT124" i="4"/>
  <c r="CK123" i="4"/>
  <c r="CU117" i="4"/>
  <c r="CT118" i="4"/>
  <c r="CK124" i="4"/>
  <c r="CK117" i="4"/>
  <c r="CT119" i="4"/>
  <c r="CK118" i="4"/>
  <c r="CT120" i="4"/>
  <c r="CU120" i="4"/>
  <c r="CL69" i="4"/>
  <c r="CK70" i="4"/>
  <c r="CK69" i="4"/>
  <c r="CU71" i="4"/>
  <c r="CT70" i="4"/>
  <c r="CT71" i="4"/>
  <c r="CL73" i="4"/>
  <c r="CL72" i="4"/>
  <c r="CK74" i="4"/>
  <c r="CU74" i="4"/>
  <c r="CU69" i="4"/>
  <c r="CL70" i="4"/>
  <c r="CK71" i="4"/>
  <c r="CL71" i="4"/>
  <c r="CK72" i="4"/>
  <c r="CT74" i="4"/>
  <c r="CT69" i="4"/>
  <c r="CL74" i="4"/>
  <c r="CK73" i="4"/>
  <c r="CT106" i="4"/>
  <c r="CL106" i="4"/>
  <c r="CU106" i="4"/>
  <c r="CK106" i="4"/>
  <c r="CT55" i="4"/>
  <c r="CT25" i="4"/>
  <c r="CT30" i="4"/>
  <c r="CT31" i="4"/>
  <c r="CU55" i="4"/>
  <c r="CU7" i="4"/>
  <c r="CU25" i="4"/>
  <c r="CU30" i="4"/>
  <c r="CU31" i="4"/>
  <c r="CL67" i="4"/>
  <c r="CK31" i="4"/>
  <c r="CL31" i="4"/>
  <c r="CK30" i="4"/>
  <c r="CL30" i="4"/>
  <c r="CK67" i="4"/>
  <c r="CU67" i="4"/>
  <c r="CT67" i="4"/>
  <c r="CK25" i="4"/>
  <c r="CL25" i="4"/>
  <c r="CL7" i="4"/>
  <c r="CT7" i="4"/>
  <c r="CK7" i="4"/>
  <c r="CT56" i="4"/>
  <c r="CU56" i="4"/>
  <c r="CU51" i="4"/>
  <c r="CU54" i="4"/>
  <c r="CK52" i="4"/>
  <c r="CT53" i="4"/>
  <c r="CL55" i="4"/>
  <c r="CU40" i="4"/>
  <c r="CU52" i="4"/>
  <c r="CL56" i="4"/>
  <c r="CL52" i="4"/>
  <c r="CK53" i="4"/>
  <c r="CU53" i="4"/>
  <c r="CT54" i="4"/>
  <c r="CL51" i="4"/>
  <c r="CL53" i="4"/>
  <c r="CK54" i="4"/>
  <c r="CL54" i="4"/>
  <c r="CK55" i="4"/>
  <c r="CK56" i="4"/>
  <c r="CT51" i="4"/>
  <c r="CT52" i="4"/>
  <c r="CK51" i="4"/>
  <c r="CK40" i="4"/>
  <c r="CT40" i="4"/>
  <c r="CU41" i="4"/>
  <c r="CL41" i="4"/>
  <c r="CK41" i="4"/>
  <c r="CL40" i="4"/>
  <c r="CT41" i="4"/>
  <c r="CT63" i="4"/>
  <c r="CU63" i="4"/>
  <c r="CT64" i="4"/>
  <c r="CU64" i="4"/>
  <c r="CU35" i="4"/>
  <c r="CT34" i="4"/>
  <c r="CU34" i="4"/>
  <c r="CL35" i="4"/>
  <c r="CL34" i="4"/>
  <c r="CT35" i="4"/>
  <c r="CK34" i="4"/>
  <c r="CK35" i="4"/>
  <c r="CU62" i="4"/>
  <c r="CL63" i="4"/>
  <c r="CT61" i="4"/>
  <c r="CL64" i="4"/>
  <c r="CK65" i="4"/>
  <c r="CU61" i="4"/>
  <c r="CK61" i="4"/>
  <c r="CU65" i="4"/>
  <c r="CT62" i="4"/>
  <c r="CL61" i="4"/>
  <c r="CK62" i="4"/>
  <c r="CL62" i="4"/>
  <c r="CK63" i="4"/>
  <c r="CT65" i="4"/>
  <c r="CL65" i="4"/>
  <c r="CK64" i="4"/>
  <c r="CN269" i="4"/>
  <c r="CO269" i="4"/>
  <c r="CQ269" i="4"/>
  <c r="CS269" i="4"/>
  <c r="CH279" i="4"/>
  <c r="CT269" i="4" l="1"/>
  <c r="CU269" i="4"/>
  <c r="AP394" i="3"/>
  <c r="AP398" i="3" s="1"/>
  <c r="AL638" i="4"/>
  <c r="AM638" i="4"/>
  <c r="AN638" i="4"/>
  <c r="AO638" i="4"/>
  <c r="AR638" i="4"/>
  <c r="AS638" i="4"/>
  <c r="AT638" i="4"/>
  <c r="AU638" i="4"/>
  <c r="AV638" i="4"/>
  <c r="AW638" i="4"/>
  <c r="CS285" i="4"/>
  <c r="CQ285" i="4"/>
  <c r="CO285" i="4"/>
  <c r="CN285" i="4"/>
  <c r="CJ285" i="4"/>
  <c r="CH285" i="4"/>
  <c r="CF285" i="4"/>
  <c r="CE285" i="4"/>
  <c r="CS283" i="4"/>
  <c r="CQ283" i="4"/>
  <c r="CO283" i="4"/>
  <c r="CN283" i="4"/>
  <c r="CJ283" i="4"/>
  <c r="CH283" i="4"/>
  <c r="CF283" i="4"/>
  <c r="CE283" i="4"/>
  <c r="CS496" i="4"/>
  <c r="CQ496" i="4"/>
  <c r="CO496" i="4"/>
  <c r="CN496" i="4"/>
  <c r="CJ496" i="4"/>
  <c r="CH496" i="4"/>
  <c r="CF496" i="4"/>
  <c r="CE496" i="4"/>
  <c r="CS413" i="4"/>
  <c r="CQ413" i="4"/>
  <c r="CO413" i="4"/>
  <c r="CN413" i="4"/>
  <c r="CJ413" i="4"/>
  <c r="CH413" i="4"/>
  <c r="CF413" i="4"/>
  <c r="CE413" i="4"/>
  <c r="G51" i="5"/>
  <c r="D49" i="5"/>
  <c r="G43" i="5"/>
  <c r="F43" i="5"/>
  <c r="E43" i="5"/>
  <c r="F30" i="5"/>
  <c r="H30" i="5" s="1"/>
  <c r="CX413" i="4" l="1"/>
  <c r="CZ413" i="4" s="1"/>
  <c r="CX283" i="4"/>
  <c r="CZ283" i="4" s="1"/>
  <c r="CY496" i="4"/>
  <c r="DA496" i="4" s="1"/>
  <c r="CY283" i="4"/>
  <c r="DA283" i="4" s="1"/>
  <c r="CY285" i="4"/>
  <c r="DA285" i="4" s="1"/>
  <c r="CX496" i="4"/>
  <c r="CZ496" i="4" s="1"/>
  <c r="CX285" i="4"/>
  <c r="CZ285" i="4" s="1"/>
  <c r="CY413" i="4"/>
  <c r="DA413" i="4" s="1"/>
  <c r="H43" i="5"/>
  <c r="F44" i="5"/>
  <c r="G50" i="5" s="1"/>
  <c r="CU283" i="4"/>
  <c r="CT283" i="4"/>
  <c r="H48" i="5"/>
  <c r="CT285" i="4"/>
  <c r="CL285" i="4"/>
  <c r="CU285" i="4"/>
  <c r="CK285" i="4"/>
  <c r="CK283" i="4"/>
  <c r="CL283" i="4"/>
  <c r="CK496" i="4"/>
  <c r="CL496" i="4"/>
  <c r="CT496" i="4"/>
  <c r="CL413" i="4"/>
  <c r="CT413" i="4"/>
  <c r="CU413" i="4"/>
  <c r="CK413" i="4"/>
  <c r="H51" i="5"/>
  <c r="F31" i="5"/>
  <c r="D50" i="5" s="1"/>
  <c r="G49" i="5"/>
  <c r="H49" i="5" s="1"/>
  <c r="I51" i="5" l="1"/>
  <c r="H52" i="5"/>
  <c r="H50" i="5"/>
  <c r="H45" i="5"/>
  <c r="CN6" i="4" l="1"/>
  <c r="CO6" i="4"/>
  <c r="CQ6" i="4"/>
  <c r="CS6" i="4"/>
  <c r="CN8" i="4"/>
  <c r="CO8" i="4"/>
  <c r="CQ8" i="4"/>
  <c r="CS8" i="4"/>
  <c r="CN11" i="4"/>
  <c r="CO11" i="4"/>
  <c r="CQ11" i="4"/>
  <c r="CS11" i="4"/>
  <c r="CN13" i="4"/>
  <c r="CO13" i="4"/>
  <c r="CQ13" i="4"/>
  <c r="CS13" i="4"/>
  <c r="CN14" i="4"/>
  <c r="CO14" i="4"/>
  <c r="CQ14" i="4"/>
  <c r="CS14" i="4"/>
  <c r="CN15" i="4"/>
  <c r="CO15" i="4"/>
  <c r="CQ15" i="4"/>
  <c r="CS15" i="4"/>
  <c r="CN16" i="4"/>
  <c r="CO16" i="4"/>
  <c r="CQ16" i="4"/>
  <c r="CS16" i="4"/>
  <c r="CN17" i="4"/>
  <c r="CO17" i="4"/>
  <c r="CQ17" i="4"/>
  <c r="CS17" i="4"/>
  <c r="CN18" i="4"/>
  <c r="CO18" i="4"/>
  <c r="CQ18" i="4"/>
  <c r="CS18" i="4"/>
  <c r="CN19" i="4"/>
  <c r="CO19" i="4"/>
  <c r="CQ19" i="4"/>
  <c r="CS19" i="4"/>
  <c r="CN20" i="4"/>
  <c r="CO20" i="4"/>
  <c r="CQ20" i="4"/>
  <c r="CS20" i="4"/>
  <c r="CN21" i="4"/>
  <c r="CO21" i="4"/>
  <c r="CQ21" i="4"/>
  <c r="CS21" i="4"/>
  <c r="CN22" i="4"/>
  <c r="CO22" i="4"/>
  <c r="CQ22" i="4"/>
  <c r="CS22" i="4"/>
  <c r="CN23" i="4"/>
  <c r="CO23" i="4"/>
  <c r="CQ23" i="4"/>
  <c r="CS23" i="4"/>
  <c r="CN24" i="4"/>
  <c r="CO24" i="4"/>
  <c r="CQ24" i="4"/>
  <c r="CS24" i="4"/>
  <c r="CN26" i="4"/>
  <c r="CO26" i="4"/>
  <c r="CQ26" i="4"/>
  <c r="CS26" i="4"/>
  <c r="CN27" i="4"/>
  <c r="CO27" i="4"/>
  <c r="CQ27" i="4"/>
  <c r="CS27" i="4"/>
  <c r="CN28" i="4"/>
  <c r="CO28" i="4"/>
  <c r="CQ28" i="4"/>
  <c r="CS28" i="4"/>
  <c r="CN29" i="4"/>
  <c r="CO29" i="4"/>
  <c r="CQ29" i="4"/>
  <c r="CS29" i="4"/>
  <c r="CN32" i="4"/>
  <c r="CO32" i="4"/>
  <c r="CQ32" i="4"/>
  <c r="CS32" i="4"/>
  <c r="CN33" i="4"/>
  <c r="CO33" i="4"/>
  <c r="CQ33" i="4"/>
  <c r="CS33" i="4"/>
  <c r="CN36" i="4"/>
  <c r="CO36" i="4"/>
  <c r="CQ36" i="4"/>
  <c r="CS36" i="4"/>
  <c r="CN37" i="4"/>
  <c r="CO37" i="4"/>
  <c r="CQ37" i="4"/>
  <c r="CS37" i="4"/>
  <c r="CN38" i="4"/>
  <c r="CO38" i="4"/>
  <c r="CQ38" i="4"/>
  <c r="CS38" i="4"/>
  <c r="CN39" i="4"/>
  <c r="CO39" i="4"/>
  <c r="CQ39" i="4"/>
  <c r="CS39" i="4"/>
  <c r="CN42" i="4"/>
  <c r="CO42" i="4"/>
  <c r="CQ42" i="4"/>
  <c r="CS42" i="4"/>
  <c r="CN43" i="4"/>
  <c r="CO43" i="4"/>
  <c r="CQ43" i="4"/>
  <c r="CS43" i="4"/>
  <c r="CN44" i="4"/>
  <c r="CO44" i="4"/>
  <c r="CQ44" i="4"/>
  <c r="CS44" i="4"/>
  <c r="CN45" i="4"/>
  <c r="CO45" i="4"/>
  <c r="CQ45" i="4"/>
  <c r="CS45" i="4"/>
  <c r="CN46" i="4"/>
  <c r="CO46" i="4"/>
  <c r="CQ46" i="4"/>
  <c r="CS46" i="4"/>
  <c r="CN47" i="4"/>
  <c r="CO47" i="4"/>
  <c r="CQ47" i="4"/>
  <c r="CS47" i="4"/>
  <c r="CN50" i="4"/>
  <c r="CO50" i="4"/>
  <c r="CQ50" i="4"/>
  <c r="CS50" i="4"/>
  <c r="CN57" i="4"/>
  <c r="CO57" i="4"/>
  <c r="CQ57" i="4"/>
  <c r="CS57" i="4"/>
  <c r="CN58" i="4"/>
  <c r="CO58" i="4"/>
  <c r="CQ58" i="4"/>
  <c r="CS58" i="4"/>
  <c r="CN59" i="4"/>
  <c r="CO59" i="4"/>
  <c r="CQ59" i="4"/>
  <c r="CS59" i="4"/>
  <c r="CN60" i="4"/>
  <c r="CO60" i="4"/>
  <c r="CQ60" i="4"/>
  <c r="CS60" i="4"/>
  <c r="CN66" i="4"/>
  <c r="CO66" i="4"/>
  <c r="CQ66" i="4"/>
  <c r="CS66" i="4"/>
  <c r="CN68" i="4"/>
  <c r="CO68" i="4"/>
  <c r="CQ68" i="4"/>
  <c r="CS68" i="4"/>
  <c r="CN78" i="4"/>
  <c r="CO78" i="4"/>
  <c r="CQ78" i="4"/>
  <c r="CS78" i="4"/>
  <c r="CN75" i="4"/>
  <c r="CO75" i="4"/>
  <c r="CQ75" i="4"/>
  <c r="CS75" i="4"/>
  <c r="CN76" i="4"/>
  <c r="CO76" i="4"/>
  <c r="CQ76" i="4"/>
  <c r="CS76" i="4"/>
  <c r="CN77" i="4"/>
  <c r="CO77" i="4"/>
  <c r="CQ77" i="4"/>
  <c r="CS77" i="4"/>
  <c r="CN79" i="4"/>
  <c r="CQ79" i="4"/>
  <c r="CS79" i="4"/>
  <c r="CN100" i="4"/>
  <c r="CO100" i="4"/>
  <c r="CQ100" i="4"/>
  <c r="CS100" i="4"/>
  <c r="CN103" i="4"/>
  <c r="CO103" i="4"/>
  <c r="CQ103" i="4"/>
  <c r="CS103" i="4"/>
  <c r="CN104" i="4"/>
  <c r="CO104" i="4"/>
  <c r="CQ104" i="4"/>
  <c r="CS104" i="4"/>
  <c r="CN105" i="4"/>
  <c r="CO105" i="4"/>
  <c r="CQ105" i="4"/>
  <c r="CS105" i="4"/>
  <c r="CN107" i="4"/>
  <c r="CO107" i="4"/>
  <c r="CQ107" i="4"/>
  <c r="CS107" i="4"/>
  <c r="CN108" i="4"/>
  <c r="CO108" i="4"/>
  <c r="CQ108" i="4"/>
  <c r="CS108" i="4"/>
  <c r="CN110" i="4"/>
  <c r="CO110" i="4"/>
  <c r="CQ110" i="4"/>
  <c r="CS110" i="4"/>
  <c r="CN116" i="4"/>
  <c r="CO116" i="4"/>
  <c r="CQ116" i="4"/>
  <c r="CS116" i="4"/>
  <c r="CN125" i="4"/>
  <c r="CO125" i="4"/>
  <c r="CQ125" i="4"/>
  <c r="CS125" i="4"/>
  <c r="CN132" i="4"/>
  <c r="CO132" i="4"/>
  <c r="CQ132" i="4"/>
  <c r="CS132" i="4"/>
  <c r="CN133" i="4"/>
  <c r="CO133" i="4"/>
  <c r="CQ133" i="4"/>
  <c r="CS133" i="4"/>
  <c r="CN221" i="4"/>
  <c r="CQ221" i="4"/>
  <c r="CS221" i="4"/>
  <c r="CN270" i="4"/>
  <c r="CO270" i="4"/>
  <c r="CQ270" i="4"/>
  <c r="CS270" i="4"/>
  <c r="CN271" i="4"/>
  <c r="CO271" i="4"/>
  <c r="CQ271" i="4"/>
  <c r="CS271" i="4"/>
  <c r="CN272" i="4"/>
  <c r="CO272" i="4"/>
  <c r="CQ272" i="4"/>
  <c r="CS272" i="4"/>
  <c r="CN273" i="4"/>
  <c r="CO273" i="4"/>
  <c r="CQ273" i="4"/>
  <c r="CS273" i="4"/>
  <c r="CN274" i="4"/>
  <c r="CO274" i="4"/>
  <c r="CQ274" i="4"/>
  <c r="CS274" i="4"/>
  <c r="CN275" i="4"/>
  <c r="CO275" i="4"/>
  <c r="CQ275" i="4"/>
  <c r="CS275" i="4"/>
  <c r="CN276" i="4"/>
  <c r="CO276" i="4"/>
  <c r="CQ276" i="4"/>
  <c r="CS276" i="4"/>
  <c r="CN277" i="4"/>
  <c r="CO277" i="4"/>
  <c r="CQ277" i="4"/>
  <c r="CS277" i="4"/>
  <c r="CN278" i="4"/>
  <c r="CO278" i="4"/>
  <c r="CQ278" i="4"/>
  <c r="CS278" i="4"/>
  <c r="CN279" i="4"/>
  <c r="CO279" i="4"/>
  <c r="CQ279" i="4"/>
  <c r="CX279" i="4" s="1"/>
  <c r="CZ279" i="4" s="1"/>
  <c r="CS279" i="4"/>
  <c r="CN280" i="4"/>
  <c r="CO280" i="4"/>
  <c r="CQ280" i="4"/>
  <c r="CS280" i="4"/>
  <c r="CN281" i="4"/>
  <c r="CO281" i="4"/>
  <c r="CQ281" i="4"/>
  <c r="CS281" i="4"/>
  <c r="CN284" i="4"/>
  <c r="CO284" i="4"/>
  <c r="CQ284" i="4"/>
  <c r="CS284" i="4"/>
  <c r="CN286" i="4"/>
  <c r="CO286" i="4"/>
  <c r="CQ286" i="4"/>
  <c r="CS286" i="4"/>
  <c r="CN288" i="4"/>
  <c r="CO288" i="4"/>
  <c r="CQ288" i="4"/>
  <c r="CS288" i="4"/>
  <c r="CN289" i="4"/>
  <c r="CQ289" i="4"/>
  <c r="CS289" i="4"/>
  <c r="CN291" i="4"/>
  <c r="CO291" i="4"/>
  <c r="CQ291" i="4"/>
  <c r="CS291" i="4"/>
  <c r="CN292" i="4"/>
  <c r="CO292" i="4"/>
  <c r="CQ292" i="4"/>
  <c r="CS292" i="4"/>
  <c r="CN296" i="4"/>
  <c r="CO296" i="4"/>
  <c r="CQ296" i="4"/>
  <c r="CS296" i="4"/>
  <c r="CN297" i="4"/>
  <c r="CO297" i="4"/>
  <c r="CQ297" i="4"/>
  <c r="CS297" i="4"/>
  <c r="CN299" i="4"/>
  <c r="CO299" i="4"/>
  <c r="CQ299" i="4"/>
  <c r="CS299" i="4"/>
  <c r="CN300" i="4"/>
  <c r="CO300" i="4"/>
  <c r="CQ300" i="4"/>
  <c r="CS300" i="4"/>
  <c r="CN303" i="4"/>
  <c r="CO303" i="4"/>
  <c r="CQ303" i="4"/>
  <c r="CS303" i="4"/>
  <c r="CN306" i="4"/>
  <c r="CO306" i="4"/>
  <c r="CQ306" i="4"/>
  <c r="CS306" i="4"/>
  <c r="CN312" i="4"/>
  <c r="CO312" i="4"/>
  <c r="CQ312" i="4"/>
  <c r="CS312" i="4"/>
  <c r="CN322" i="4"/>
  <c r="CO322" i="4"/>
  <c r="CQ322" i="4"/>
  <c r="CS322" i="4"/>
  <c r="CN327" i="4"/>
  <c r="CO327" i="4"/>
  <c r="CQ327" i="4"/>
  <c r="CS327" i="4"/>
  <c r="CN335" i="4"/>
  <c r="CO335" i="4"/>
  <c r="CQ335" i="4"/>
  <c r="CS335" i="4"/>
  <c r="CN338" i="4"/>
  <c r="CO338" i="4"/>
  <c r="CQ338" i="4"/>
  <c r="CS338" i="4"/>
  <c r="CN339" i="4"/>
  <c r="CO339" i="4"/>
  <c r="CQ339" i="4"/>
  <c r="CS339" i="4"/>
  <c r="CN340" i="4"/>
  <c r="CO340" i="4"/>
  <c r="CQ340" i="4"/>
  <c r="CS340" i="4"/>
  <c r="CN341" i="4"/>
  <c r="CO341" i="4"/>
  <c r="CQ341" i="4"/>
  <c r="CS341" i="4"/>
  <c r="CN342" i="4"/>
  <c r="CO342" i="4"/>
  <c r="CQ342" i="4"/>
  <c r="CS342" i="4"/>
  <c r="CN343" i="4"/>
  <c r="CO343" i="4"/>
  <c r="CQ343" i="4"/>
  <c r="CS343" i="4"/>
  <c r="CN344" i="4"/>
  <c r="CO344" i="4"/>
  <c r="CS344" i="4"/>
  <c r="CN345" i="4"/>
  <c r="CO345" i="4"/>
  <c r="CN346" i="4"/>
  <c r="CO346" i="4"/>
  <c r="CQ346" i="4"/>
  <c r="CS346" i="4"/>
  <c r="CN347" i="4"/>
  <c r="CO347" i="4"/>
  <c r="CQ347" i="4"/>
  <c r="CS347" i="4"/>
  <c r="CN348" i="4"/>
  <c r="CO348" i="4"/>
  <c r="CQ348" i="4"/>
  <c r="CS348" i="4"/>
  <c r="CN349" i="4"/>
  <c r="CO349" i="4"/>
  <c r="CQ349" i="4"/>
  <c r="CS349" i="4"/>
  <c r="CN494" i="4"/>
  <c r="CO494" i="4"/>
  <c r="CQ494" i="4"/>
  <c r="CS494" i="4"/>
  <c r="CN350" i="4"/>
  <c r="CO350" i="4"/>
  <c r="CN351" i="4"/>
  <c r="CO351" i="4"/>
  <c r="CQ351" i="4"/>
  <c r="CS351" i="4"/>
  <c r="CN352" i="4"/>
  <c r="CO352" i="4"/>
  <c r="CQ352" i="4"/>
  <c r="CS352" i="4"/>
  <c r="CN353" i="4"/>
  <c r="CO353" i="4"/>
  <c r="CQ353" i="4"/>
  <c r="CS353" i="4"/>
  <c r="CN354" i="4"/>
  <c r="CO354" i="4"/>
  <c r="CQ354" i="4"/>
  <c r="CS354" i="4"/>
  <c r="CN355" i="4"/>
  <c r="CO355" i="4"/>
  <c r="CQ355" i="4"/>
  <c r="CS355" i="4"/>
  <c r="CN356" i="4"/>
  <c r="CO356" i="4"/>
  <c r="CQ356" i="4"/>
  <c r="CS356" i="4"/>
  <c r="CN357" i="4"/>
  <c r="CO357" i="4"/>
  <c r="CQ357" i="4"/>
  <c r="CS357" i="4"/>
  <c r="CN358" i="4"/>
  <c r="CO358" i="4"/>
  <c r="CQ358" i="4"/>
  <c r="CS358" i="4"/>
  <c r="CN359" i="4"/>
  <c r="CO359" i="4"/>
  <c r="CQ359" i="4"/>
  <c r="CS359" i="4"/>
  <c r="CN360" i="4"/>
  <c r="CO360" i="4"/>
  <c r="CQ360" i="4"/>
  <c r="CS360" i="4"/>
  <c r="CN361" i="4"/>
  <c r="CO361" i="4"/>
  <c r="CQ361" i="4"/>
  <c r="CS361" i="4"/>
  <c r="CN362" i="4"/>
  <c r="CO362" i="4"/>
  <c r="CQ362" i="4"/>
  <c r="CS362" i="4"/>
  <c r="CN363" i="4"/>
  <c r="CO363" i="4"/>
  <c r="CQ363" i="4"/>
  <c r="CS363" i="4"/>
  <c r="CN364" i="4"/>
  <c r="CO364" i="4"/>
  <c r="CQ364" i="4"/>
  <c r="CS364" i="4"/>
  <c r="CN365" i="4"/>
  <c r="CO365" i="4"/>
  <c r="CQ365" i="4"/>
  <c r="CS365" i="4"/>
  <c r="CN366" i="4"/>
  <c r="CO366" i="4"/>
  <c r="CQ366" i="4"/>
  <c r="CS366" i="4"/>
  <c r="CN367" i="4"/>
  <c r="CO367" i="4"/>
  <c r="CQ367" i="4"/>
  <c r="CS367" i="4"/>
  <c r="CN368" i="4"/>
  <c r="CO368" i="4"/>
  <c r="CQ368" i="4"/>
  <c r="CS368" i="4"/>
  <c r="CN369" i="4"/>
  <c r="CO369" i="4"/>
  <c r="CQ369" i="4"/>
  <c r="CS369" i="4"/>
  <c r="CN370" i="4"/>
  <c r="CO370" i="4"/>
  <c r="CQ370" i="4"/>
  <c r="CS370" i="4"/>
  <c r="CN371" i="4"/>
  <c r="CO371" i="4"/>
  <c r="CQ371" i="4"/>
  <c r="CS371" i="4"/>
  <c r="CN372" i="4"/>
  <c r="CO372" i="4"/>
  <c r="CQ372" i="4"/>
  <c r="CS372" i="4"/>
  <c r="CN373" i="4"/>
  <c r="CO373" i="4"/>
  <c r="CQ373" i="4"/>
  <c r="CS373" i="4"/>
  <c r="CN374" i="4"/>
  <c r="CO374" i="4"/>
  <c r="CQ374" i="4"/>
  <c r="CS374" i="4"/>
  <c r="CN375" i="4"/>
  <c r="CO375" i="4"/>
  <c r="CQ375" i="4"/>
  <c r="CS375" i="4"/>
  <c r="CN376" i="4"/>
  <c r="CO376" i="4"/>
  <c r="CQ376" i="4"/>
  <c r="CS376" i="4"/>
  <c r="CN377" i="4"/>
  <c r="CO377" i="4"/>
  <c r="CQ377" i="4"/>
  <c r="CS377" i="4"/>
  <c r="CN378" i="4"/>
  <c r="CO378" i="4"/>
  <c r="CQ378" i="4"/>
  <c r="CS378" i="4"/>
  <c r="CN379" i="4"/>
  <c r="CO379" i="4"/>
  <c r="CQ379" i="4"/>
  <c r="CS379" i="4"/>
  <c r="CN380" i="4"/>
  <c r="CO380" i="4"/>
  <c r="CQ380" i="4"/>
  <c r="CS380" i="4"/>
  <c r="CN381" i="4"/>
  <c r="CO381" i="4"/>
  <c r="CQ381" i="4"/>
  <c r="CS381" i="4"/>
  <c r="CO384" i="4"/>
  <c r="CQ384" i="4"/>
  <c r="CS384" i="4"/>
  <c r="CN385" i="4"/>
  <c r="CO385" i="4"/>
  <c r="CQ385" i="4"/>
  <c r="CS385" i="4"/>
  <c r="CN386" i="4"/>
  <c r="CO386" i="4"/>
  <c r="CQ386" i="4"/>
  <c r="CS386" i="4"/>
  <c r="CN387" i="4"/>
  <c r="CO387" i="4"/>
  <c r="CQ387" i="4"/>
  <c r="CS387" i="4"/>
  <c r="CN388" i="4"/>
  <c r="CO388" i="4"/>
  <c r="CN389" i="4"/>
  <c r="CN390" i="4"/>
  <c r="CO390" i="4"/>
  <c r="CQ390" i="4"/>
  <c r="CS390" i="4"/>
  <c r="CN391" i="4"/>
  <c r="CO391" i="4"/>
  <c r="CQ391" i="4"/>
  <c r="CS391" i="4"/>
  <c r="CN392" i="4"/>
  <c r="CN394" i="4"/>
  <c r="CO394" i="4"/>
  <c r="CQ394" i="4"/>
  <c r="CX394" i="4" s="1"/>
  <c r="CZ394" i="4" s="1"/>
  <c r="CS394" i="4"/>
  <c r="CN395" i="4"/>
  <c r="CO395" i="4"/>
  <c r="CQ395" i="4"/>
  <c r="CS395" i="4"/>
  <c r="CN396" i="4"/>
  <c r="CO396" i="4"/>
  <c r="CQ396" i="4"/>
  <c r="CS396" i="4"/>
  <c r="CN397" i="4"/>
  <c r="CO397" i="4"/>
  <c r="CQ397" i="4"/>
  <c r="CS397" i="4"/>
  <c r="CN398" i="4"/>
  <c r="CO398" i="4"/>
  <c r="CQ398" i="4"/>
  <c r="CS398" i="4"/>
  <c r="CN399" i="4"/>
  <c r="CO399" i="4"/>
  <c r="CQ399" i="4"/>
  <c r="CS399" i="4"/>
  <c r="CN400" i="4"/>
  <c r="CO400" i="4"/>
  <c r="CQ400" i="4"/>
  <c r="CS400" i="4"/>
  <c r="CN401" i="4"/>
  <c r="CO401" i="4"/>
  <c r="CQ401" i="4"/>
  <c r="CS401" i="4"/>
  <c r="CN402" i="4"/>
  <c r="CO402" i="4"/>
  <c r="CQ402" i="4"/>
  <c r="CS402" i="4"/>
  <c r="CN403" i="4"/>
  <c r="CO403" i="4"/>
  <c r="CQ403" i="4"/>
  <c r="CS403" i="4"/>
  <c r="CN404" i="4"/>
  <c r="CO404" i="4"/>
  <c r="CQ404" i="4"/>
  <c r="CS404" i="4"/>
  <c r="CN405" i="4"/>
  <c r="CO405" i="4"/>
  <c r="CQ405" i="4"/>
  <c r="CX405" i="4" s="1"/>
  <c r="CZ405" i="4" s="1"/>
  <c r="CS405" i="4"/>
  <c r="CY405" i="4" s="1"/>
  <c r="DA405" i="4" s="1"/>
  <c r="CN406" i="4"/>
  <c r="CO406" i="4"/>
  <c r="CQ406" i="4"/>
  <c r="CS406" i="4"/>
  <c r="CN407" i="4"/>
  <c r="CO407" i="4"/>
  <c r="CQ407" i="4"/>
  <c r="CS407" i="4"/>
  <c r="CN409" i="4"/>
  <c r="CO409" i="4"/>
  <c r="CQ409" i="4"/>
  <c r="CS409" i="4"/>
  <c r="CN410" i="4"/>
  <c r="CO410" i="4"/>
  <c r="CQ410" i="4"/>
  <c r="CS410" i="4"/>
  <c r="CN411" i="4"/>
  <c r="CO411" i="4"/>
  <c r="CQ411" i="4"/>
  <c r="CS411" i="4"/>
  <c r="CN412" i="4"/>
  <c r="CO412" i="4"/>
  <c r="CQ412" i="4"/>
  <c r="CS412" i="4"/>
  <c r="CN414" i="4"/>
  <c r="CO414" i="4"/>
  <c r="CQ414" i="4"/>
  <c r="CS414" i="4"/>
  <c r="CN415" i="4"/>
  <c r="CO415" i="4"/>
  <c r="CQ415" i="4"/>
  <c r="CS415" i="4"/>
  <c r="CN416" i="4"/>
  <c r="CO416" i="4"/>
  <c r="CQ416" i="4"/>
  <c r="CS416" i="4"/>
  <c r="CN417" i="4"/>
  <c r="CQ417" i="4"/>
  <c r="CS417" i="4"/>
  <c r="CN418" i="4"/>
  <c r="CO418" i="4"/>
  <c r="CQ418" i="4"/>
  <c r="CS418" i="4"/>
  <c r="CN419" i="4"/>
  <c r="CO419" i="4"/>
  <c r="CQ419" i="4"/>
  <c r="CS419" i="4"/>
  <c r="CN420" i="4"/>
  <c r="CO420" i="4"/>
  <c r="CQ420" i="4"/>
  <c r="CS420" i="4"/>
  <c r="CN421" i="4"/>
  <c r="CO421" i="4"/>
  <c r="CQ421" i="4"/>
  <c r="CS421" i="4"/>
  <c r="CN422" i="4"/>
  <c r="CO422" i="4"/>
  <c r="CQ422" i="4"/>
  <c r="CS422" i="4"/>
  <c r="CN423" i="4"/>
  <c r="CO423" i="4"/>
  <c r="CQ423" i="4"/>
  <c r="CS423" i="4"/>
  <c r="CN424" i="4"/>
  <c r="CO424" i="4"/>
  <c r="CQ424" i="4"/>
  <c r="CS424" i="4"/>
  <c r="CN425" i="4"/>
  <c r="CO425" i="4"/>
  <c r="CQ425" i="4"/>
  <c r="CS425" i="4"/>
  <c r="CN426" i="4"/>
  <c r="CO426" i="4"/>
  <c r="CQ426" i="4"/>
  <c r="CS426" i="4"/>
  <c r="CN427" i="4"/>
  <c r="CO427" i="4"/>
  <c r="CQ427" i="4"/>
  <c r="CS427" i="4"/>
  <c r="CN428" i="4"/>
  <c r="CO428" i="4"/>
  <c r="CQ428" i="4"/>
  <c r="CS428" i="4"/>
  <c r="CN429" i="4"/>
  <c r="CO429" i="4"/>
  <c r="CQ429" i="4"/>
  <c r="CX429" i="4" s="1"/>
  <c r="CZ429" i="4" s="1"/>
  <c r="CS429" i="4"/>
  <c r="CN430" i="4"/>
  <c r="CO430" i="4"/>
  <c r="CQ430" i="4"/>
  <c r="CS430" i="4"/>
  <c r="CN431" i="4"/>
  <c r="CO431" i="4"/>
  <c r="CQ431" i="4"/>
  <c r="CS431" i="4"/>
  <c r="CN432" i="4"/>
  <c r="CO432" i="4"/>
  <c r="CQ432" i="4"/>
  <c r="CS432" i="4"/>
  <c r="CN433" i="4"/>
  <c r="CO433" i="4"/>
  <c r="CQ433" i="4"/>
  <c r="CS433" i="4"/>
  <c r="CN434" i="4"/>
  <c r="CO434" i="4"/>
  <c r="CQ434" i="4"/>
  <c r="CS434" i="4"/>
  <c r="CN435" i="4"/>
  <c r="CO435" i="4"/>
  <c r="CQ435" i="4"/>
  <c r="CS435" i="4"/>
  <c r="CN436" i="4"/>
  <c r="CO436" i="4"/>
  <c r="CQ436" i="4"/>
  <c r="CS436" i="4"/>
  <c r="CN437" i="4"/>
  <c r="CO437" i="4"/>
  <c r="CQ437" i="4"/>
  <c r="CS437" i="4"/>
  <c r="CN438" i="4"/>
  <c r="CO438" i="4"/>
  <c r="CQ438" i="4"/>
  <c r="CS438" i="4"/>
  <c r="CN439" i="4"/>
  <c r="CO439" i="4"/>
  <c r="CQ439" i="4"/>
  <c r="CS439" i="4"/>
  <c r="CN440" i="4"/>
  <c r="CO440" i="4"/>
  <c r="CQ440" i="4"/>
  <c r="CS440" i="4"/>
  <c r="CN441" i="4"/>
  <c r="CO441" i="4"/>
  <c r="CQ441" i="4"/>
  <c r="CS441" i="4"/>
  <c r="CN442" i="4"/>
  <c r="CO442" i="4"/>
  <c r="CQ442" i="4"/>
  <c r="CS442" i="4"/>
  <c r="CN443" i="4"/>
  <c r="CO443" i="4"/>
  <c r="CQ443" i="4"/>
  <c r="CS443" i="4"/>
  <c r="CN444" i="4"/>
  <c r="CO444" i="4"/>
  <c r="CQ444" i="4"/>
  <c r="CS444" i="4"/>
  <c r="CN445" i="4"/>
  <c r="CO445" i="4"/>
  <c r="CQ445" i="4"/>
  <c r="CS445" i="4"/>
  <c r="CN446" i="4"/>
  <c r="CO446" i="4"/>
  <c r="CQ446" i="4"/>
  <c r="CS446" i="4"/>
  <c r="CN447" i="4"/>
  <c r="CO447" i="4"/>
  <c r="CQ447" i="4"/>
  <c r="CS447" i="4"/>
  <c r="CN448" i="4"/>
  <c r="CO448" i="4"/>
  <c r="CQ448" i="4"/>
  <c r="CS448" i="4"/>
  <c r="CN449" i="4"/>
  <c r="CO449" i="4"/>
  <c r="CQ449" i="4"/>
  <c r="CS449" i="4"/>
  <c r="CN450" i="4"/>
  <c r="CO450" i="4"/>
  <c r="CQ450" i="4"/>
  <c r="CS450" i="4"/>
  <c r="CN451" i="4"/>
  <c r="CO451" i="4"/>
  <c r="CQ451" i="4"/>
  <c r="CS451" i="4"/>
  <c r="CN452" i="4"/>
  <c r="CO452" i="4"/>
  <c r="CQ452" i="4"/>
  <c r="CS452" i="4"/>
  <c r="CN453" i="4"/>
  <c r="CO453" i="4"/>
  <c r="CQ453" i="4"/>
  <c r="CS453" i="4"/>
  <c r="CN454" i="4"/>
  <c r="CO454" i="4"/>
  <c r="CQ454" i="4"/>
  <c r="CS454" i="4"/>
  <c r="CN455" i="4"/>
  <c r="CO455" i="4"/>
  <c r="CQ455" i="4"/>
  <c r="CS455" i="4"/>
  <c r="CN456" i="4"/>
  <c r="CO456" i="4"/>
  <c r="CQ456" i="4"/>
  <c r="CS456" i="4"/>
  <c r="CN457" i="4"/>
  <c r="CO457" i="4"/>
  <c r="CQ457" i="4"/>
  <c r="CS457" i="4"/>
  <c r="CN458" i="4"/>
  <c r="CO458" i="4"/>
  <c r="CQ458" i="4"/>
  <c r="CS458" i="4"/>
  <c r="CN459" i="4"/>
  <c r="CO459" i="4"/>
  <c r="CQ459" i="4"/>
  <c r="CS459" i="4"/>
  <c r="CN460" i="4"/>
  <c r="CO460" i="4"/>
  <c r="CQ460" i="4"/>
  <c r="CS460" i="4"/>
  <c r="CN461" i="4"/>
  <c r="CO461" i="4"/>
  <c r="CQ461" i="4"/>
  <c r="CS461" i="4"/>
  <c r="CN462" i="4"/>
  <c r="CO462" i="4"/>
  <c r="CQ462" i="4"/>
  <c r="CS462" i="4"/>
  <c r="CN463" i="4"/>
  <c r="CO463" i="4"/>
  <c r="CQ463" i="4"/>
  <c r="CS463" i="4"/>
  <c r="CN464" i="4"/>
  <c r="CO464" i="4"/>
  <c r="CQ464" i="4"/>
  <c r="CS464" i="4"/>
  <c r="CN465" i="4"/>
  <c r="CO465" i="4"/>
  <c r="CQ465" i="4"/>
  <c r="CS465" i="4"/>
  <c r="CN466" i="4"/>
  <c r="CO466" i="4"/>
  <c r="CQ466" i="4"/>
  <c r="CS466" i="4"/>
  <c r="CN467" i="4"/>
  <c r="CO467" i="4"/>
  <c r="CQ467" i="4"/>
  <c r="CS467" i="4"/>
  <c r="CN468" i="4"/>
  <c r="CO468" i="4"/>
  <c r="CQ468" i="4"/>
  <c r="CS468" i="4"/>
  <c r="CN469" i="4"/>
  <c r="CO469" i="4"/>
  <c r="CQ469" i="4"/>
  <c r="CS469" i="4"/>
  <c r="CN470" i="4"/>
  <c r="CO470" i="4"/>
  <c r="CQ470" i="4"/>
  <c r="CS470" i="4"/>
  <c r="CN472" i="4"/>
  <c r="CO472" i="4"/>
  <c r="CQ472" i="4"/>
  <c r="CS472" i="4"/>
  <c r="CN473" i="4"/>
  <c r="CO473" i="4"/>
  <c r="CQ473" i="4"/>
  <c r="CN474" i="4"/>
  <c r="CO474" i="4"/>
  <c r="CQ474" i="4"/>
  <c r="CS474" i="4"/>
  <c r="CN475" i="4"/>
  <c r="CO475" i="4"/>
  <c r="CQ475" i="4"/>
  <c r="CS475" i="4"/>
  <c r="CN476" i="4"/>
  <c r="CO476" i="4"/>
  <c r="CQ476" i="4"/>
  <c r="CN477" i="4"/>
  <c r="CO477" i="4"/>
  <c r="CQ477" i="4"/>
  <c r="CS477" i="4"/>
  <c r="CN478" i="4"/>
  <c r="CO478" i="4"/>
  <c r="CQ478" i="4"/>
  <c r="CS478" i="4"/>
  <c r="CN479" i="4"/>
  <c r="CO479" i="4"/>
  <c r="CQ479" i="4"/>
  <c r="CS479" i="4"/>
  <c r="CN480" i="4"/>
  <c r="CO480" i="4"/>
  <c r="CQ480" i="4"/>
  <c r="CS480" i="4"/>
  <c r="CN481" i="4"/>
  <c r="CO481" i="4"/>
  <c r="CQ481" i="4"/>
  <c r="CS481" i="4"/>
  <c r="CN482" i="4"/>
  <c r="CO482" i="4"/>
  <c r="CQ482" i="4"/>
  <c r="CS482" i="4"/>
  <c r="CN483" i="4"/>
  <c r="CO483" i="4"/>
  <c r="CQ483" i="4"/>
  <c r="CS483" i="4"/>
  <c r="CN484" i="4"/>
  <c r="CO484" i="4"/>
  <c r="CQ484" i="4"/>
  <c r="CS484" i="4"/>
  <c r="CN485" i="4"/>
  <c r="CO485" i="4"/>
  <c r="CQ485" i="4"/>
  <c r="CS485" i="4"/>
  <c r="CN486" i="4"/>
  <c r="CO486" i="4"/>
  <c r="CQ486" i="4"/>
  <c r="CS486" i="4"/>
  <c r="CN487" i="4"/>
  <c r="CO487" i="4"/>
  <c r="CQ487" i="4"/>
  <c r="CS487" i="4"/>
  <c r="CN488" i="4"/>
  <c r="CO488" i="4"/>
  <c r="CQ488" i="4"/>
  <c r="CS488" i="4"/>
  <c r="CN489" i="4"/>
  <c r="CO489" i="4"/>
  <c r="CQ489" i="4"/>
  <c r="CS489" i="4"/>
  <c r="CN490" i="4"/>
  <c r="CO490" i="4"/>
  <c r="CQ490" i="4"/>
  <c r="CS490" i="4"/>
  <c r="CN491" i="4"/>
  <c r="CO491" i="4"/>
  <c r="CQ491" i="4"/>
  <c r="CS491" i="4"/>
  <c r="CN492" i="4"/>
  <c r="CO492" i="4"/>
  <c r="CQ492" i="4"/>
  <c r="CS492" i="4"/>
  <c r="CN493" i="4"/>
  <c r="CO493" i="4"/>
  <c r="CQ493" i="4"/>
  <c r="CS493" i="4"/>
  <c r="CN495" i="4"/>
  <c r="CO495" i="4"/>
  <c r="CQ495" i="4"/>
  <c r="CS495" i="4"/>
  <c r="CN497" i="4"/>
  <c r="CO497" i="4"/>
  <c r="CQ497" i="4"/>
  <c r="CS497" i="4"/>
  <c r="CN498" i="4"/>
  <c r="CO498" i="4"/>
  <c r="CQ498" i="4"/>
  <c r="CS498" i="4"/>
  <c r="CN499" i="4"/>
  <c r="CO499" i="4"/>
  <c r="CQ499" i="4"/>
  <c r="CS499" i="4"/>
  <c r="CN500" i="4"/>
  <c r="CO500" i="4"/>
  <c r="CQ500" i="4"/>
  <c r="CS500" i="4"/>
  <c r="CN501" i="4"/>
  <c r="CO501" i="4"/>
  <c r="CQ501" i="4"/>
  <c r="CS501" i="4"/>
  <c r="CN502" i="4"/>
  <c r="CO502" i="4"/>
  <c r="CQ502" i="4"/>
  <c r="CS502" i="4"/>
  <c r="CN503" i="4"/>
  <c r="CO503" i="4"/>
  <c r="CQ503" i="4"/>
  <c r="CS503" i="4"/>
  <c r="CN504" i="4"/>
  <c r="CO504" i="4"/>
  <c r="CQ504" i="4"/>
  <c r="CS504" i="4"/>
  <c r="CN505" i="4"/>
  <c r="CO505" i="4"/>
  <c r="CQ505" i="4"/>
  <c r="CS505" i="4"/>
  <c r="CN506" i="4"/>
  <c r="CO506" i="4"/>
  <c r="CQ506" i="4"/>
  <c r="CS506" i="4"/>
  <c r="CN507" i="4"/>
  <c r="CO507" i="4"/>
  <c r="CQ507" i="4"/>
  <c r="CS507" i="4"/>
  <c r="CN508" i="4"/>
  <c r="CO508" i="4"/>
  <c r="CQ508" i="4"/>
  <c r="CS508" i="4"/>
  <c r="CN509" i="4"/>
  <c r="CO509" i="4"/>
  <c r="CQ509" i="4"/>
  <c r="CS509" i="4"/>
  <c r="CN510" i="4"/>
  <c r="CO510" i="4"/>
  <c r="CN511" i="4"/>
  <c r="CO511" i="4"/>
  <c r="CQ511" i="4"/>
  <c r="CS511" i="4"/>
  <c r="CN512" i="4"/>
  <c r="CN513" i="4"/>
  <c r="CO513" i="4"/>
  <c r="CQ513" i="4"/>
  <c r="CS513" i="4"/>
  <c r="CN514" i="4"/>
  <c r="CO514" i="4"/>
  <c r="CQ514" i="4"/>
  <c r="CS514" i="4"/>
  <c r="CN515" i="4"/>
  <c r="CO515" i="4"/>
  <c r="CQ515" i="4"/>
  <c r="CS515" i="4"/>
  <c r="CN516" i="4"/>
  <c r="CO516" i="4"/>
  <c r="CQ516" i="4"/>
  <c r="CS516" i="4"/>
  <c r="CY516" i="4" s="1"/>
  <c r="DA516" i="4" s="1"/>
  <c r="CN517" i="4"/>
  <c r="CO517" i="4"/>
  <c r="CQ517" i="4"/>
  <c r="CS517" i="4"/>
  <c r="CN518" i="4"/>
  <c r="CO518" i="4"/>
  <c r="CQ518" i="4"/>
  <c r="CS518" i="4"/>
  <c r="CN519" i="4"/>
  <c r="CO519" i="4"/>
  <c r="CQ519" i="4"/>
  <c r="CS519" i="4"/>
  <c r="CN520" i="4"/>
  <c r="CO520" i="4"/>
  <c r="CQ520" i="4"/>
  <c r="CS520" i="4"/>
  <c r="CN521" i="4"/>
  <c r="CO521" i="4"/>
  <c r="CQ521" i="4"/>
  <c r="CS521" i="4"/>
  <c r="CN522" i="4"/>
  <c r="CO522" i="4"/>
  <c r="CQ522" i="4"/>
  <c r="CS522" i="4"/>
  <c r="CN523" i="4"/>
  <c r="CO523" i="4"/>
  <c r="CQ523" i="4"/>
  <c r="CS523" i="4"/>
  <c r="CN524" i="4"/>
  <c r="CO524" i="4"/>
  <c r="CQ524" i="4"/>
  <c r="CS524" i="4"/>
  <c r="CN525" i="4"/>
  <c r="CO525" i="4"/>
  <c r="CQ525" i="4"/>
  <c r="CS525" i="4"/>
  <c r="CN526" i="4"/>
  <c r="CO526" i="4"/>
  <c r="CQ526" i="4"/>
  <c r="CS526" i="4"/>
  <c r="CN527" i="4"/>
  <c r="CO527" i="4"/>
  <c r="CQ527" i="4"/>
  <c r="CS527" i="4"/>
  <c r="CN528" i="4"/>
  <c r="CO528" i="4"/>
  <c r="CQ528" i="4"/>
  <c r="CS528" i="4"/>
  <c r="CN529" i="4"/>
  <c r="CO529" i="4"/>
  <c r="CQ529" i="4"/>
  <c r="CS529" i="4"/>
  <c r="CO530" i="4"/>
  <c r="CQ530" i="4"/>
  <c r="CS530" i="4"/>
  <c r="CN531" i="4"/>
  <c r="CO531" i="4"/>
  <c r="CQ531" i="4"/>
  <c r="CS531" i="4"/>
  <c r="CN532" i="4"/>
  <c r="CO532" i="4"/>
  <c r="CQ532" i="4"/>
  <c r="CS532" i="4"/>
  <c r="CN533" i="4"/>
  <c r="CO533" i="4"/>
  <c r="CQ533" i="4"/>
  <c r="CS533" i="4"/>
  <c r="CN534" i="4"/>
  <c r="CO534" i="4"/>
  <c r="CQ534" i="4"/>
  <c r="CS534" i="4"/>
  <c r="CN535" i="4"/>
  <c r="CO535" i="4"/>
  <c r="CQ535" i="4"/>
  <c r="CS535" i="4"/>
  <c r="CN536" i="4"/>
  <c r="CO536" i="4"/>
  <c r="CQ536" i="4"/>
  <c r="CS536" i="4"/>
  <c r="CN537" i="4"/>
  <c r="CO537" i="4"/>
  <c r="CQ537" i="4"/>
  <c r="CS537" i="4"/>
  <c r="CN538" i="4"/>
  <c r="CO538" i="4"/>
  <c r="CQ538" i="4"/>
  <c r="CS538" i="4"/>
  <c r="CN539" i="4"/>
  <c r="CO539" i="4"/>
  <c r="CQ539" i="4"/>
  <c r="CS539" i="4"/>
  <c r="CN540" i="4"/>
  <c r="CO540" i="4"/>
  <c r="CQ540" i="4"/>
  <c r="CS540" i="4"/>
  <c r="CN541" i="4"/>
  <c r="CO541" i="4"/>
  <c r="CQ541" i="4"/>
  <c r="CS541" i="4"/>
  <c r="CN542" i="4"/>
  <c r="CO542" i="4"/>
  <c r="CQ542" i="4"/>
  <c r="CS542" i="4"/>
  <c r="CN543" i="4"/>
  <c r="CO543" i="4"/>
  <c r="CQ543" i="4"/>
  <c r="CS543" i="4"/>
  <c r="CN544" i="4"/>
  <c r="CO544" i="4"/>
  <c r="CQ544" i="4"/>
  <c r="CS544" i="4"/>
  <c r="CN545" i="4"/>
  <c r="CO545" i="4"/>
  <c r="CQ545" i="4"/>
  <c r="CS545" i="4"/>
  <c r="CN546" i="4"/>
  <c r="CO546" i="4"/>
  <c r="CQ546" i="4"/>
  <c r="CS546" i="4"/>
  <c r="CN547" i="4"/>
  <c r="CO547" i="4"/>
  <c r="CQ547" i="4"/>
  <c r="CS547" i="4"/>
  <c r="CN550" i="4"/>
  <c r="CO550" i="4"/>
  <c r="CQ550" i="4"/>
  <c r="CS550" i="4"/>
  <c r="CN552" i="4"/>
  <c r="CO552" i="4"/>
  <c r="CQ552" i="4"/>
  <c r="CS552" i="4"/>
  <c r="CN554" i="4"/>
  <c r="CO554" i="4"/>
  <c r="CQ554" i="4"/>
  <c r="CS554" i="4"/>
  <c r="CN555" i="4"/>
  <c r="CO555" i="4"/>
  <c r="CQ555" i="4"/>
  <c r="CS555" i="4"/>
  <c r="CN556" i="4"/>
  <c r="CO556" i="4"/>
  <c r="CQ556" i="4"/>
  <c r="CS556" i="4"/>
  <c r="CN557" i="4"/>
  <c r="CO557" i="4"/>
  <c r="CQ557" i="4"/>
  <c r="CS557" i="4"/>
  <c r="CN558" i="4"/>
  <c r="CO558" i="4"/>
  <c r="CQ558" i="4"/>
  <c r="CS558" i="4"/>
  <c r="CN559" i="4"/>
  <c r="CO559" i="4"/>
  <c r="CQ559" i="4"/>
  <c r="CS559" i="4"/>
  <c r="CN560" i="4"/>
  <c r="CO560" i="4"/>
  <c r="CQ560" i="4"/>
  <c r="CS560" i="4"/>
  <c r="CN561" i="4"/>
  <c r="CO561" i="4"/>
  <c r="CQ561" i="4"/>
  <c r="CS561" i="4"/>
  <c r="CN562" i="4"/>
  <c r="CO562" i="4"/>
  <c r="CQ562" i="4"/>
  <c r="CS562" i="4"/>
  <c r="CN563" i="4"/>
  <c r="CO563" i="4"/>
  <c r="CQ563" i="4"/>
  <c r="CS563" i="4"/>
  <c r="CN564" i="4"/>
  <c r="CO564" i="4"/>
  <c r="CQ564" i="4"/>
  <c r="CS564" i="4"/>
  <c r="CN565" i="4"/>
  <c r="CO565" i="4"/>
  <c r="CQ565" i="4"/>
  <c r="CS565" i="4"/>
  <c r="CN566" i="4"/>
  <c r="CO566" i="4"/>
  <c r="CQ566" i="4"/>
  <c r="CS566" i="4"/>
  <c r="CN567" i="4"/>
  <c r="CO567" i="4"/>
  <c r="CQ567" i="4"/>
  <c r="CS567" i="4"/>
  <c r="CN568" i="4"/>
  <c r="CO568" i="4"/>
  <c r="CQ568" i="4"/>
  <c r="CX568" i="4" s="1"/>
  <c r="CZ568" i="4" s="1"/>
  <c r="CS568" i="4"/>
  <c r="CN569" i="4"/>
  <c r="CO569" i="4"/>
  <c r="CQ569" i="4"/>
  <c r="CX569" i="4" s="1"/>
  <c r="CZ569" i="4" s="1"/>
  <c r="CS569" i="4"/>
  <c r="CN570" i="4"/>
  <c r="CO570" i="4"/>
  <c r="CN571" i="4"/>
  <c r="CO571" i="4"/>
  <c r="CQ571" i="4"/>
  <c r="CX571" i="4" s="1"/>
  <c r="CZ571" i="4" s="1"/>
  <c r="CS571" i="4"/>
  <c r="CN573" i="4"/>
  <c r="CO573" i="4"/>
  <c r="CQ573" i="4"/>
  <c r="CX573" i="4" s="1"/>
  <c r="CZ573" i="4" s="1"/>
  <c r="CN586" i="4"/>
  <c r="CO586" i="4"/>
  <c r="CQ586" i="4"/>
  <c r="CS586" i="4"/>
  <c r="CN587" i="4"/>
  <c r="CO587" i="4"/>
  <c r="CQ587" i="4"/>
  <c r="CS587" i="4"/>
  <c r="CN588" i="4"/>
  <c r="CO588" i="4"/>
  <c r="CQ588" i="4"/>
  <c r="CS588" i="4"/>
  <c r="CN589" i="4"/>
  <c r="CO589" i="4"/>
  <c r="CQ589" i="4"/>
  <c r="CS589" i="4"/>
  <c r="CN590" i="4"/>
  <c r="CO590" i="4"/>
  <c r="CQ590" i="4"/>
  <c r="CS590" i="4"/>
  <c r="CN591" i="4"/>
  <c r="CO591" i="4"/>
  <c r="CQ591" i="4"/>
  <c r="CS591" i="4"/>
  <c r="CN592" i="4"/>
  <c r="CO592" i="4"/>
  <c r="CQ592" i="4"/>
  <c r="CS592" i="4"/>
  <c r="CN593" i="4"/>
  <c r="CO593" i="4"/>
  <c r="CQ593" i="4"/>
  <c r="CS593" i="4"/>
  <c r="CN594" i="4"/>
  <c r="CO594" i="4"/>
  <c r="CQ594" i="4"/>
  <c r="CS594" i="4"/>
  <c r="CN595" i="4"/>
  <c r="CO595" i="4"/>
  <c r="CQ595" i="4"/>
  <c r="CS595" i="4"/>
  <c r="CN596" i="4"/>
  <c r="CO596" i="4"/>
  <c r="CQ596" i="4"/>
  <c r="CS596" i="4"/>
  <c r="CN597" i="4"/>
  <c r="CO597" i="4"/>
  <c r="CQ597" i="4"/>
  <c r="CS597" i="4"/>
  <c r="CN598" i="4"/>
  <c r="CO598" i="4"/>
  <c r="CQ598" i="4"/>
  <c r="CS598" i="4"/>
  <c r="CN599" i="4"/>
  <c r="CO599" i="4"/>
  <c r="CQ599" i="4"/>
  <c r="CS599" i="4"/>
  <c r="CN600" i="4"/>
  <c r="CO600" i="4"/>
  <c r="CQ600" i="4"/>
  <c r="CS600" i="4"/>
  <c r="CN601" i="4"/>
  <c r="CO601" i="4"/>
  <c r="CQ601" i="4"/>
  <c r="CS601" i="4"/>
  <c r="CN602" i="4"/>
  <c r="CO602" i="4"/>
  <c r="CQ602" i="4"/>
  <c r="CS602" i="4"/>
  <c r="CN603" i="4"/>
  <c r="CO603" i="4"/>
  <c r="CQ603" i="4"/>
  <c r="CS603" i="4"/>
  <c r="CO604" i="4"/>
  <c r="CQ604" i="4"/>
  <c r="CS604" i="4"/>
  <c r="CN605" i="4"/>
  <c r="CO605" i="4"/>
  <c r="CQ605" i="4"/>
  <c r="CS605" i="4"/>
  <c r="CN606" i="4"/>
  <c r="CO606" i="4"/>
  <c r="CQ606" i="4"/>
  <c r="CS606" i="4"/>
  <c r="CN607" i="4"/>
  <c r="CO607" i="4"/>
  <c r="CQ607" i="4"/>
  <c r="CS607" i="4"/>
  <c r="CN608" i="4"/>
  <c r="CO608" i="4"/>
  <c r="CQ608" i="4"/>
  <c r="CS608" i="4"/>
  <c r="CN609" i="4"/>
  <c r="CO609" i="4"/>
  <c r="CQ609" i="4"/>
  <c r="CS609" i="4"/>
  <c r="CN610" i="4"/>
  <c r="CO610" i="4"/>
  <c r="CQ610" i="4"/>
  <c r="CS610" i="4"/>
  <c r="CN611" i="4"/>
  <c r="CO611" i="4"/>
  <c r="CQ611" i="4"/>
  <c r="CS611" i="4"/>
  <c r="CN612" i="4"/>
  <c r="CO612" i="4"/>
  <c r="CQ612" i="4"/>
  <c r="CS612" i="4"/>
  <c r="CN613" i="4"/>
  <c r="CO613" i="4"/>
  <c r="CQ613" i="4"/>
  <c r="CS613" i="4"/>
  <c r="CN614" i="4"/>
  <c r="CO614" i="4"/>
  <c r="CQ614" i="4"/>
  <c r="CS614" i="4"/>
  <c r="CN615" i="4"/>
  <c r="CO615" i="4"/>
  <c r="CQ615" i="4"/>
  <c r="CS615" i="4"/>
  <c r="CN616" i="4"/>
  <c r="CO616" i="4"/>
  <c r="CQ616" i="4"/>
  <c r="CS616" i="4"/>
  <c r="CN617" i="4"/>
  <c r="CO617" i="4"/>
  <c r="CQ617" i="4"/>
  <c r="CS617" i="4"/>
  <c r="CN618" i="4"/>
  <c r="CO618" i="4"/>
  <c r="CQ618" i="4"/>
  <c r="CS618" i="4"/>
  <c r="CN619" i="4"/>
  <c r="CO619" i="4"/>
  <c r="CQ619" i="4"/>
  <c r="CS619" i="4"/>
  <c r="CN620" i="4"/>
  <c r="CO620" i="4"/>
  <c r="CQ620" i="4"/>
  <c r="CS620" i="4"/>
  <c r="CN621" i="4"/>
  <c r="CO621" i="4"/>
  <c r="CQ621" i="4"/>
  <c r="CS621" i="4"/>
  <c r="CN622" i="4"/>
  <c r="CQ622" i="4"/>
  <c r="CS622" i="4"/>
  <c r="CS3" i="4"/>
  <c r="CQ3" i="4"/>
  <c r="CO3" i="4"/>
  <c r="CN3" i="4"/>
  <c r="CH6" i="4"/>
  <c r="CX6" i="4" s="1"/>
  <c r="CZ6" i="4" s="1"/>
  <c r="CJ6" i="4"/>
  <c r="CH8" i="4"/>
  <c r="CJ8" i="4"/>
  <c r="CH11" i="4"/>
  <c r="CX11" i="4" s="1"/>
  <c r="CZ11" i="4" s="1"/>
  <c r="CJ11" i="4"/>
  <c r="CY11" i="4" s="1"/>
  <c r="DA11" i="4" s="1"/>
  <c r="CH13" i="4"/>
  <c r="CJ13" i="4"/>
  <c r="CH14" i="4"/>
  <c r="CX14" i="4" s="1"/>
  <c r="CZ14" i="4" s="1"/>
  <c r="CJ14" i="4"/>
  <c r="CY14" i="4" s="1"/>
  <c r="DA14" i="4" s="1"/>
  <c r="CH15" i="4"/>
  <c r="CJ15" i="4"/>
  <c r="CH16" i="4"/>
  <c r="CX16" i="4" s="1"/>
  <c r="CZ16" i="4" s="1"/>
  <c r="CJ16" i="4"/>
  <c r="CY16" i="4" s="1"/>
  <c r="DA16" i="4" s="1"/>
  <c r="CH17" i="4"/>
  <c r="CJ17" i="4"/>
  <c r="CH18" i="4"/>
  <c r="CX18" i="4" s="1"/>
  <c r="CZ18" i="4" s="1"/>
  <c r="CJ18" i="4"/>
  <c r="CY18" i="4" s="1"/>
  <c r="DA18" i="4" s="1"/>
  <c r="CH19" i="4"/>
  <c r="CJ19" i="4"/>
  <c r="CH20" i="4"/>
  <c r="CX20" i="4" s="1"/>
  <c r="CZ20" i="4" s="1"/>
  <c r="CJ20" i="4"/>
  <c r="CY20" i="4" s="1"/>
  <c r="DA20" i="4" s="1"/>
  <c r="CH21" i="4"/>
  <c r="CJ21" i="4"/>
  <c r="CH22" i="4"/>
  <c r="CX22" i="4" s="1"/>
  <c r="CZ22" i="4" s="1"/>
  <c r="CJ22" i="4"/>
  <c r="CY22" i="4" s="1"/>
  <c r="DA22" i="4" s="1"/>
  <c r="CH23" i="4"/>
  <c r="CJ23" i="4"/>
  <c r="CH24" i="4"/>
  <c r="CX24" i="4" s="1"/>
  <c r="CZ24" i="4" s="1"/>
  <c r="CJ24" i="4"/>
  <c r="CY24" i="4" s="1"/>
  <c r="DA24" i="4" s="1"/>
  <c r="CH26" i="4"/>
  <c r="CJ26" i="4"/>
  <c r="CH27" i="4"/>
  <c r="CX27" i="4" s="1"/>
  <c r="CZ27" i="4" s="1"/>
  <c r="CJ27" i="4"/>
  <c r="CY27" i="4" s="1"/>
  <c r="DA27" i="4" s="1"/>
  <c r="CH28" i="4"/>
  <c r="CJ28" i="4"/>
  <c r="CH29" i="4"/>
  <c r="CX29" i="4" s="1"/>
  <c r="CZ29" i="4" s="1"/>
  <c r="CJ29" i="4"/>
  <c r="CY29" i="4" s="1"/>
  <c r="DA29" i="4" s="1"/>
  <c r="CH32" i="4"/>
  <c r="CJ32" i="4"/>
  <c r="CH33" i="4"/>
  <c r="CX33" i="4" s="1"/>
  <c r="CZ33" i="4" s="1"/>
  <c r="CJ33" i="4"/>
  <c r="CY33" i="4" s="1"/>
  <c r="DA33" i="4" s="1"/>
  <c r="CH36" i="4"/>
  <c r="CJ36" i="4"/>
  <c r="CH37" i="4"/>
  <c r="CX37" i="4" s="1"/>
  <c r="CZ37" i="4" s="1"/>
  <c r="CJ37" i="4"/>
  <c r="CY37" i="4" s="1"/>
  <c r="DA37" i="4" s="1"/>
  <c r="CH38" i="4"/>
  <c r="CJ38" i="4"/>
  <c r="CH39" i="4"/>
  <c r="CX39" i="4" s="1"/>
  <c r="CZ39" i="4" s="1"/>
  <c r="CJ39" i="4"/>
  <c r="CY39" i="4" s="1"/>
  <c r="DA39" i="4" s="1"/>
  <c r="CH42" i="4"/>
  <c r="CJ42" i="4"/>
  <c r="CH43" i="4"/>
  <c r="CX43" i="4" s="1"/>
  <c r="CZ43" i="4" s="1"/>
  <c r="CJ43" i="4"/>
  <c r="CY43" i="4" s="1"/>
  <c r="DA43" i="4" s="1"/>
  <c r="CH44" i="4"/>
  <c r="CJ44" i="4"/>
  <c r="CH45" i="4"/>
  <c r="CX45" i="4" s="1"/>
  <c r="CZ45" i="4" s="1"/>
  <c r="CJ45" i="4"/>
  <c r="CY45" i="4" s="1"/>
  <c r="DA45" i="4" s="1"/>
  <c r="CH46" i="4"/>
  <c r="CJ46" i="4"/>
  <c r="CH47" i="4"/>
  <c r="CX47" i="4" s="1"/>
  <c r="CZ47" i="4" s="1"/>
  <c r="CJ47" i="4"/>
  <c r="CY47" i="4" s="1"/>
  <c r="DA47" i="4" s="1"/>
  <c r="CH50" i="4"/>
  <c r="CJ50" i="4"/>
  <c r="CH57" i="4"/>
  <c r="CX57" i="4" s="1"/>
  <c r="CZ57" i="4" s="1"/>
  <c r="CJ57" i="4"/>
  <c r="CY57" i="4" s="1"/>
  <c r="DA57" i="4" s="1"/>
  <c r="CH58" i="4"/>
  <c r="CJ58" i="4"/>
  <c r="CH59" i="4"/>
  <c r="CX59" i="4" s="1"/>
  <c r="CZ59" i="4" s="1"/>
  <c r="CJ59" i="4"/>
  <c r="CY59" i="4" s="1"/>
  <c r="DA59" i="4" s="1"/>
  <c r="CH60" i="4"/>
  <c r="CJ60" i="4"/>
  <c r="CH66" i="4"/>
  <c r="CX66" i="4" s="1"/>
  <c r="CZ66" i="4" s="1"/>
  <c r="CJ66" i="4"/>
  <c r="CY66" i="4" s="1"/>
  <c r="DA66" i="4" s="1"/>
  <c r="CH68" i="4"/>
  <c r="CJ68" i="4"/>
  <c r="CH78" i="4"/>
  <c r="CX78" i="4" s="1"/>
  <c r="CZ78" i="4" s="1"/>
  <c r="CJ78" i="4"/>
  <c r="CY78" i="4" s="1"/>
  <c r="DA78" i="4" s="1"/>
  <c r="CH75" i="4"/>
  <c r="CJ75" i="4"/>
  <c r="CH76" i="4"/>
  <c r="CX76" i="4" s="1"/>
  <c r="CZ76" i="4" s="1"/>
  <c r="CJ76" i="4"/>
  <c r="CY76" i="4" s="1"/>
  <c r="DA76" i="4" s="1"/>
  <c r="CH77" i="4"/>
  <c r="CJ77" i="4"/>
  <c r="CH79" i="4"/>
  <c r="CX79" i="4" s="1"/>
  <c r="CZ79" i="4" s="1"/>
  <c r="CJ79" i="4"/>
  <c r="CY79" i="4" s="1"/>
  <c r="DA79" i="4" s="1"/>
  <c r="CH100" i="4"/>
  <c r="CJ100" i="4"/>
  <c r="CH103" i="4"/>
  <c r="CX103" i="4" s="1"/>
  <c r="CZ103" i="4" s="1"/>
  <c r="CJ103" i="4"/>
  <c r="CY103" i="4" s="1"/>
  <c r="DA103" i="4" s="1"/>
  <c r="CH104" i="4"/>
  <c r="CX104" i="4" s="1"/>
  <c r="CZ104" i="4" s="1"/>
  <c r="CJ104" i="4"/>
  <c r="CH105" i="4"/>
  <c r="CX105" i="4" s="1"/>
  <c r="CZ105" i="4" s="1"/>
  <c r="CJ105" i="4"/>
  <c r="CY105" i="4" s="1"/>
  <c r="DA105" i="4" s="1"/>
  <c r="CH107" i="4"/>
  <c r="CJ107" i="4"/>
  <c r="CH108" i="4"/>
  <c r="CX108" i="4" s="1"/>
  <c r="CZ108" i="4" s="1"/>
  <c r="CJ108" i="4"/>
  <c r="CY108" i="4" s="1"/>
  <c r="DA108" i="4" s="1"/>
  <c r="CH110" i="4"/>
  <c r="CX110" i="4" s="1"/>
  <c r="CZ110" i="4" s="1"/>
  <c r="CJ110" i="4"/>
  <c r="CH116" i="4"/>
  <c r="CX116" i="4" s="1"/>
  <c r="CZ116" i="4" s="1"/>
  <c r="CJ116" i="4"/>
  <c r="CY116" i="4" s="1"/>
  <c r="DA116" i="4" s="1"/>
  <c r="CH125" i="4"/>
  <c r="CJ125" i="4"/>
  <c r="CH132" i="4"/>
  <c r="CX132" i="4" s="1"/>
  <c r="CZ132" i="4" s="1"/>
  <c r="CJ132" i="4"/>
  <c r="CY132" i="4" s="1"/>
  <c r="DA132" i="4" s="1"/>
  <c r="CH133" i="4"/>
  <c r="CX133" i="4" s="1"/>
  <c r="CZ133" i="4" s="1"/>
  <c r="CJ133" i="4"/>
  <c r="CH221" i="4"/>
  <c r="CX221" i="4" s="1"/>
  <c r="CJ221" i="4"/>
  <c r="CY221" i="4" s="1"/>
  <c r="DA221" i="4" s="1"/>
  <c r="CH269" i="4"/>
  <c r="CX269" i="4" s="1"/>
  <c r="CZ269" i="4" s="1"/>
  <c r="CJ269" i="4"/>
  <c r="CY269" i="4" s="1"/>
  <c r="DA269" i="4" s="1"/>
  <c r="CH270" i="4"/>
  <c r="CX270" i="4" s="1"/>
  <c r="CZ270" i="4" s="1"/>
  <c r="CJ270" i="4"/>
  <c r="CY270" i="4" s="1"/>
  <c r="DA270" i="4" s="1"/>
  <c r="CH271" i="4"/>
  <c r="CX271" i="4" s="1"/>
  <c r="CZ271" i="4" s="1"/>
  <c r="CJ271" i="4"/>
  <c r="CY271" i="4" s="1"/>
  <c r="DA271" i="4" s="1"/>
  <c r="CH272" i="4"/>
  <c r="CX272" i="4" s="1"/>
  <c r="CZ272" i="4" s="1"/>
  <c r="CJ272" i="4"/>
  <c r="CH273" i="4"/>
  <c r="CX273" i="4" s="1"/>
  <c r="CZ273" i="4" s="1"/>
  <c r="CJ273" i="4"/>
  <c r="CY273" i="4" s="1"/>
  <c r="DA273" i="4" s="1"/>
  <c r="CH274" i="4"/>
  <c r="CX274" i="4" s="1"/>
  <c r="CZ274" i="4" s="1"/>
  <c r="CJ274" i="4"/>
  <c r="CY274" i="4" s="1"/>
  <c r="DA274" i="4" s="1"/>
  <c r="CH275" i="4"/>
  <c r="CX275" i="4" s="1"/>
  <c r="CZ275" i="4" s="1"/>
  <c r="CJ275" i="4"/>
  <c r="CY275" i="4" s="1"/>
  <c r="DA275" i="4" s="1"/>
  <c r="CH276" i="4"/>
  <c r="CX276" i="4" s="1"/>
  <c r="CZ276" i="4" s="1"/>
  <c r="CJ276" i="4"/>
  <c r="CH277" i="4"/>
  <c r="CX277" i="4" s="1"/>
  <c r="CZ277" i="4" s="1"/>
  <c r="CJ277" i="4"/>
  <c r="CY277" i="4" s="1"/>
  <c r="DA277" i="4" s="1"/>
  <c r="CH278" i="4"/>
  <c r="CX278" i="4" s="1"/>
  <c r="CZ278" i="4" s="1"/>
  <c r="CJ278" i="4"/>
  <c r="CY278" i="4" s="1"/>
  <c r="DA278" i="4" s="1"/>
  <c r="CJ279" i="4"/>
  <c r="CY279" i="4" s="1"/>
  <c r="DA279" i="4" s="1"/>
  <c r="CH280" i="4"/>
  <c r="CX280" i="4" s="1"/>
  <c r="CZ280" i="4" s="1"/>
  <c r="CJ280" i="4"/>
  <c r="CH281" i="4"/>
  <c r="CX281" i="4" s="1"/>
  <c r="CZ281" i="4" s="1"/>
  <c r="CJ281" i="4"/>
  <c r="CY281" i="4" s="1"/>
  <c r="DA281" i="4" s="1"/>
  <c r="CH284" i="4"/>
  <c r="CX284" i="4" s="1"/>
  <c r="CZ284" i="4" s="1"/>
  <c r="CJ284" i="4"/>
  <c r="CY284" i="4" s="1"/>
  <c r="DA284" i="4" s="1"/>
  <c r="CH286" i="4"/>
  <c r="CX286" i="4" s="1"/>
  <c r="CZ286" i="4" s="1"/>
  <c r="CJ286" i="4"/>
  <c r="CY286" i="4" s="1"/>
  <c r="DA286" i="4" s="1"/>
  <c r="CH288" i="4"/>
  <c r="CX288" i="4" s="1"/>
  <c r="CZ288" i="4" s="1"/>
  <c r="CJ288" i="4"/>
  <c r="CH289" i="4"/>
  <c r="CJ289" i="4"/>
  <c r="CY289" i="4" s="1"/>
  <c r="DA289" i="4" s="1"/>
  <c r="CH291" i="4"/>
  <c r="CX291" i="4" s="1"/>
  <c r="CZ291" i="4" s="1"/>
  <c r="CJ291" i="4"/>
  <c r="CY291" i="4" s="1"/>
  <c r="DA291" i="4" s="1"/>
  <c r="CH292" i="4"/>
  <c r="CX292" i="4" s="1"/>
  <c r="CZ292" i="4" s="1"/>
  <c r="CJ292" i="4"/>
  <c r="CY292" i="4" s="1"/>
  <c r="DA292" i="4" s="1"/>
  <c r="CH296" i="4"/>
  <c r="CX296" i="4" s="1"/>
  <c r="CZ296" i="4" s="1"/>
  <c r="CJ296" i="4"/>
  <c r="CY296" i="4" s="1"/>
  <c r="DA296" i="4" s="1"/>
  <c r="CH297" i="4"/>
  <c r="CJ297" i="4"/>
  <c r="CY297" i="4" s="1"/>
  <c r="DA297" i="4" s="1"/>
  <c r="CH299" i="4"/>
  <c r="CX299" i="4" s="1"/>
  <c r="CZ299" i="4" s="1"/>
  <c r="CJ299" i="4"/>
  <c r="CY299" i="4" s="1"/>
  <c r="DA299" i="4" s="1"/>
  <c r="CH300" i="4"/>
  <c r="CX300" i="4" s="1"/>
  <c r="CZ300" i="4" s="1"/>
  <c r="CJ300" i="4"/>
  <c r="CY300" i="4" s="1"/>
  <c r="DA300" i="4" s="1"/>
  <c r="CH303" i="4"/>
  <c r="CX303" i="4" s="1"/>
  <c r="CZ303" i="4" s="1"/>
  <c r="CJ303" i="4"/>
  <c r="CY303" i="4" s="1"/>
  <c r="DA303" i="4" s="1"/>
  <c r="CH306" i="4"/>
  <c r="CJ306" i="4"/>
  <c r="CY306" i="4" s="1"/>
  <c r="DA306" i="4" s="1"/>
  <c r="CH312" i="4"/>
  <c r="CX312" i="4" s="1"/>
  <c r="CZ312" i="4" s="1"/>
  <c r="CJ312" i="4"/>
  <c r="CY312" i="4" s="1"/>
  <c r="DA312" i="4" s="1"/>
  <c r="CH322" i="4"/>
  <c r="CX322" i="4" s="1"/>
  <c r="CZ322" i="4" s="1"/>
  <c r="CJ322" i="4"/>
  <c r="CY322" i="4" s="1"/>
  <c r="DA322" i="4" s="1"/>
  <c r="CH327" i="4"/>
  <c r="CX327" i="4" s="1"/>
  <c r="CZ327" i="4" s="1"/>
  <c r="CJ327" i="4"/>
  <c r="CY327" i="4" s="1"/>
  <c r="DA327" i="4" s="1"/>
  <c r="CH335" i="4"/>
  <c r="CJ335" i="4"/>
  <c r="CY335" i="4" s="1"/>
  <c r="DA335" i="4" s="1"/>
  <c r="CH338" i="4"/>
  <c r="CX338" i="4" s="1"/>
  <c r="CZ338" i="4" s="1"/>
  <c r="CJ338" i="4"/>
  <c r="CY338" i="4" s="1"/>
  <c r="DA338" i="4" s="1"/>
  <c r="CH339" i="4"/>
  <c r="CX339" i="4" s="1"/>
  <c r="CZ339" i="4" s="1"/>
  <c r="CJ339" i="4"/>
  <c r="CY339" i="4" s="1"/>
  <c r="DA339" i="4" s="1"/>
  <c r="CH340" i="4"/>
  <c r="CX340" i="4" s="1"/>
  <c r="CZ340" i="4" s="1"/>
  <c r="CJ340" i="4"/>
  <c r="CY340" i="4" s="1"/>
  <c r="DA340" i="4" s="1"/>
  <c r="CH341" i="4"/>
  <c r="CJ341" i="4"/>
  <c r="CY341" i="4" s="1"/>
  <c r="DA341" i="4" s="1"/>
  <c r="CH342" i="4"/>
  <c r="CX342" i="4" s="1"/>
  <c r="CZ342" i="4" s="1"/>
  <c r="CJ342" i="4"/>
  <c r="CY342" i="4" s="1"/>
  <c r="DA342" i="4" s="1"/>
  <c r="CH343" i="4"/>
  <c r="CX343" i="4" s="1"/>
  <c r="CZ343" i="4" s="1"/>
  <c r="CJ343" i="4"/>
  <c r="CY343" i="4" s="1"/>
  <c r="DA343" i="4" s="1"/>
  <c r="CH344" i="4"/>
  <c r="CX344" i="4" s="1"/>
  <c r="CZ344" i="4" s="1"/>
  <c r="CJ344" i="4"/>
  <c r="CY344" i="4" s="1"/>
  <c r="DA344" i="4" s="1"/>
  <c r="CH345" i="4"/>
  <c r="CX345" i="4" s="1"/>
  <c r="CJ345" i="4"/>
  <c r="CY345" i="4" s="1"/>
  <c r="DA345" i="4" s="1"/>
  <c r="CH346" i="4"/>
  <c r="CX346" i="4" s="1"/>
  <c r="CZ346" i="4" s="1"/>
  <c r="CJ346" i="4"/>
  <c r="CY346" i="4" s="1"/>
  <c r="DA346" i="4" s="1"/>
  <c r="CH347" i="4"/>
  <c r="CX347" i="4" s="1"/>
  <c r="CZ347" i="4" s="1"/>
  <c r="CJ347" i="4"/>
  <c r="CY347" i="4" s="1"/>
  <c r="DA347" i="4" s="1"/>
  <c r="CH348" i="4"/>
  <c r="CX348" i="4" s="1"/>
  <c r="CZ348" i="4" s="1"/>
  <c r="CJ348" i="4"/>
  <c r="CY348" i="4" s="1"/>
  <c r="DA348" i="4" s="1"/>
  <c r="CH349" i="4"/>
  <c r="CX349" i="4" s="1"/>
  <c r="CZ349" i="4" s="1"/>
  <c r="CJ349" i="4"/>
  <c r="CH494" i="4"/>
  <c r="CX494" i="4" s="1"/>
  <c r="CZ494" i="4" s="1"/>
  <c r="CJ494" i="4"/>
  <c r="CY494" i="4" s="1"/>
  <c r="DA494" i="4" s="1"/>
  <c r="CH351" i="4"/>
  <c r="CX351" i="4" s="1"/>
  <c r="CZ351" i="4" s="1"/>
  <c r="CJ351" i="4"/>
  <c r="CY351" i="4" s="1"/>
  <c r="DA351" i="4" s="1"/>
  <c r="CH352" i="4"/>
  <c r="CX352" i="4" s="1"/>
  <c r="CZ352" i="4" s="1"/>
  <c r="CJ352" i="4"/>
  <c r="CY352" i="4" s="1"/>
  <c r="DA352" i="4" s="1"/>
  <c r="CH353" i="4"/>
  <c r="CJ353" i="4"/>
  <c r="CH354" i="4"/>
  <c r="CX354" i="4" s="1"/>
  <c r="CZ354" i="4" s="1"/>
  <c r="CJ354" i="4"/>
  <c r="CY354" i="4" s="1"/>
  <c r="DA354" i="4" s="1"/>
  <c r="CH355" i="4"/>
  <c r="CX355" i="4" s="1"/>
  <c r="CZ355" i="4" s="1"/>
  <c r="CJ355" i="4"/>
  <c r="CY355" i="4" s="1"/>
  <c r="DA355" i="4" s="1"/>
  <c r="CH356" i="4"/>
  <c r="CX356" i="4" s="1"/>
  <c r="CZ356" i="4" s="1"/>
  <c r="CJ356" i="4"/>
  <c r="CY356" i="4" s="1"/>
  <c r="DA356" i="4" s="1"/>
  <c r="CH357" i="4"/>
  <c r="CJ357" i="4"/>
  <c r="CH358" i="4"/>
  <c r="CX358" i="4" s="1"/>
  <c r="CZ358" i="4" s="1"/>
  <c r="CJ358" i="4"/>
  <c r="CY358" i="4" s="1"/>
  <c r="DA358" i="4" s="1"/>
  <c r="CH359" i="4"/>
  <c r="CX359" i="4" s="1"/>
  <c r="CZ359" i="4" s="1"/>
  <c r="CJ359" i="4"/>
  <c r="CY359" i="4" s="1"/>
  <c r="DA359" i="4" s="1"/>
  <c r="CH360" i="4"/>
  <c r="CX360" i="4" s="1"/>
  <c r="CZ360" i="4" s="1"/>
  <c r="CJ360" i="4"/>
  <c r="CY360" i="4" s="1"/>
  <c r="DA360" i="4" s="1"/>
  <c r="CH361" i="4"/>
  <c r="CJ361" i="4"/>
  <c r="CH362" i="4"/>
  <c r="CX362" i="4" s="1"/>
  <c r="CZ362" i="4" s="1"/>
  <c r="CJ362" i="4"/>
  <c r="CY362" i="4" s="1"/>
  <c r="DA362" i="4" s="1"/>
  <c r="CH363" i="4"/>
  <c r="CX363" i="4" s="1"/>
  <c r="CZ363" i="4" s="1"/>
  <c r="CJ363" i="4"/>
  <c r="CY363" i="4" s="1"/>
  <c r="DA363" i="4" s="1"/>
  <c r="CH364" i="4"/>
  <c r="CX364" i="4" s="1"/>
  <c r="CZ364" i="4" s="1"/>
  <c r="CJ364" i="4"/>
  <c r="CY364" i="4" s="1"/>
  <c r="DA364" i="4" s="1"/>
  <c r="CH365" i="4"/>
  <c r="CJ365" i="4"/>
  <c r="CH366" i="4"/>
  <c r="CX366" i="4" s="1"/>
  <c r="CZ366" i="4" s="1"/>
  <c r="CJ366" i="4"/>
  <c r="CY366" i="4" s="1"/>
  <c r="DA366" i="4" s="1"/>
  <c r="CH367" i="4"/>
  <c r="CX367" i="4" s="1"/>
  <c r="CZ367" i="4" s="1"/>
  <c r="CJ367" i="4"/>
  <c r="CY367" i="4" s="1"/>
  <c r="DA367" i="4" s="1"/>
  <c r="CH368" i="4"/>
  <c r="CX368" i="4" s="1"/>
  <c r="CZ368" i="4" s="1"/>
  <c r="CJ368" i="4"/>
  <c r="CY368" i="4" s="1"/>
  <c r="DA368" i="4" s="1"/>
  <c r="CH369" i="4"/>
  <c r="CJ369" i="4"/>
  <c r="CH370" i="4"/>
  <c r="CX370" i="4" s="1"/>
  <c r="CZ370" i="4" s="1"/>
  <c r="CJ370" i="4"/>
  <c r="CY370" i="4" s="1"/>
  <c r="DA370" i="4" s="1"/>
  <c r="CH371" i="4"/>
  <c r="CX371" i="4" s="1"/>
  <c r="CZ371" i="4" s="1"/>
  <c r="CJ371" i="4"/>
  <c r="CY371" i="4" s="1"/>
  <c r="DA371" i="4" s="1"/>
  <c r="CH372" i="4"/>
  <c r="CX372" i="4" s="1"/>
  <c r="CZ372" i="4" s="1"/>
  <c r="CJ372" i="4"/>
  <c r="CY372" i="4" s="1"/>
  <c r="DA372" i="4" s="1"/>
  <c r="CH373" i="4"/>
  <c r="CJ373" i="4"/>
  <c r="CH374" i="4"/>
  <c r="CX374" i="4" s="1"/>
  <c r="CZ374" i="4" s="1"/>
  <c r="CJ374" i="4"/>
  <c r="CY374" i="4" s="1"/>
  <c r="DA374" i="4" s="1"/>
  <c r="CH375" i="4"/>
  <c r="CX375" i="4" s="1"/>
  <c r="CZ375" i="4" s="1"/>
  <c r="CJ375" i="4"/>
  <c r="CY375" i="4" s="1"/>
  <c r="DA375" i="4" s="1"/>
  <c r="CH376" i="4"/>
  <c r="CX376" i="4" s="1"/>
  <c r="CZ376" i="4" s="1"/>
  <c r="CJ376" i="4"/>
  <c r="CY376" i="4" s="1"/>
  <c r="DA376" i="4" s="1"/>
  <c r="CH377" i="4"/>
  <c r="CJ377" i="4"/>
  <c r="CH378" i="4"/>
  <c r="CX378" i="4" s="1"/>
  <c r="CZ378" i="4" s="1"/>
  <c r="CJ378" i="4"/>
  <c r="CY378" i="4" s="1"/>
  <c r="DA378" i="4" s="1"/>
  <c r="CH379" i="4"/>
  <c r="CX379" i="4" s="1"/>
  <c r="CZ379" i="4" s="1"/>
  <c r="CJ379" i="4"/>
  <c r="CY379" i="4" s="1"/>
  <c r="DA379" i="4" s="1"/>
  <c r="CH380" i="4"/>
  <c r="CX380" i="4" s="1"/>
  <c r="CZ380" i="4" s="1"/>
  <c r="CJ380" i="4"/>
  <c r="CY380" i="4" s="1"/>
  <c r="DA380" i="4" s="1"/>
  <c r="CH381" i="4"/>
  <c r="CJ381" i="4"/>
  <c r="CH384" i="4"/>
  <c r="CX384" i="4" s="1"/>
  <c r="CZ384" i="4" s="1"/>
  <c r="CJ384" i="4"/>
  <c r="CY384" i="4" s="1"/>
  <c r="DA384" i="4" s="1"/>
  <c r="CH385" i="4"/>
  <c r="CX385" i="4" s="1"/>
  <c r="CZ385" i="4" s="1"/>
  <c r="CJ385" i="4"/>
  <c r="CH386" i="4"/>
  <c r="CX386" i="4" s="1"/>
  <c r="CZ386" i="4" s="1"/>
  <c r="CJ386" i="4"/>
  <c r="CY386" i="4" s="1"/>
  <c r="DA386" i="4" s="1"/>
  <c r="CH387" i="4"/>
  <c r="CJ387" i="4"/>
  <c r="CH388" i="4"/>
  <c r="CX388" i="4" s="1"/>
  <c r="CZ388" i="4" s="1"/>
  <c r="CJ388" i="4"/>
  <c r="CY388" i="4" s="1"/>
  <c r="DA388" i="4" s="1"/>
  <c r="CH389" i="4"/>
  <c r="CX389" i="4" s="1"/>
  <c r="CZ389" i="4" s="1"/>
  <c r="CJ389" i="4"/>
  <c r="CY389" i="4" s="1"/>
  <c r="DA389" i="4" s="1"/>
  <c r="CH390" i="4"/>
  <c r="CX390" i="4" s="1"/>
  <c r="CZ390" i="4" s="1"/>
  <c r="CJ390" i="4"/>
  <c r="CH391" i="4"/>
  <c r="CX391" i="4" s="1"/>
  <c r="CZ391" i="4" s="1"/>
  <c r="CJ391" i="4"/>
  <c r="CY391" i="4" s="1"/>
  <c r="DA391" i="4" s="1"/>
  <c r="CH392" i="4"/>
  <c r="CX392" i="4" s="1"/>
  <c r="CJ392" i="4"/>
  <c r="CY392" i="4" s="1"/>
  <c r="CJ394" i="4"/>
  <c r="CY394" i="4" s="1"/>
  <c r="DA394" i="4" s="1"/>
  <c r="CH395" i="4"/>
  <c r="CX395" i="4" s="1"/>
  <c r="CZ395" i="4" s="1"/>
  <c r="CJ395" i="4"/>
  <c r="CY395" i="4" s="1"/>
  <c r="DA395" i="4" s="1"/>
  <c r="CH396" i="4"/>
  <c r="CJ396" i="4"/>
  <c r="CH397" i="4"/>
  <c r="CX397" i="4" s="1"/>
  <c r="CZ397" i="4" s="1"/>
  <c r="CJ397" i="4"/>
  <c r="CY397" i="4" s="1"/>
  <c r="DA397" i="4" s="1"/>
  <c r="CH398" i="4"/>
  <c r="CX398" i="4" s="1"/>
  <c r="CZ398" i="4" s="1"/>
  <c r="CJ398" i="4"/>
  <c r="CY398" i="4" s="1"/>
  <c r="DA398" i="4" s="1"/>
  <c r="CH399" i="4"/>
  <c r="CX399" i="4" s="1"/>
  <c r="CZ399" i="4" s="1"/>
  <c r="CJ399" i="4"/>
  <c r="CY399" i="4" s="1"/>
  <c r="DA399" i="4" s="1"/>
  <c r="CH400" i="4"/>
  <c r="CJ400" i="4"/>
  <c r="CH401" i="4"/>
  <c r="CX401" i="4" s="1"/>
  <c r="CZ401" i="4" s="1"/>
  <c r="CJ401" i="4"/>
  <c r="CY401" i="4" s="1"/>
  <c r="DA401" i="4" s="1"/>
  <c r="CH402" i="4"/>
  <c r="CX402" i="4" s="1"/>
  <c r="CZ402" i="4" s="1"/>
  <c r="CJ402" i="4"/>
  <c r="CY402" i="4" s="1"/>
  <c r="DA402" i="4" s="1"/>
  <c r="CH403" i="4"/>
  <c r="CX403" i="4" s="1"/>
  <c r="CZ403" i="4" s="1"/>
  <c r="CJ403" i="4"/>
  <c r="CY403" i="4" s="1"/>
  <c r="DA403" i="4" s="1"/>
  <c r="CH404" i="4"/>
  <c r="CJ404" i="4"/>
  <c r="CH406" i="4"/>
  <c r="CJ406" i="4"/>
  <c r="CH407" i="4"/>
  <c r="CX407" i="4" s="1"/>
  <c r="CZ407" i="4" s="1"/>
  <c r="CJ407" i="4"/>
  <c r="CY407" i="4" s="1"/>
  <c r="DA407" i="4" s="1"/>
  <c r="CH409" i="4"/>
  <c r="CX409" i="4" s="1"/>
  <c r="CZ409" i="4" s="1"/>
  <c r="CJ409" i="4"/>
  <c r="CH410" i="4"/>
  <c r="CX410" i="4" s="1"/>
  <c r="CZ410" i="4" s="1"/>
  <c r="CJ410" i="4"/>
  <c r="CY410" i="4" s="1"/>
  <c r="DA410" i="4" s="1"/>
  <c r="CH411" i="4"/>
  <c r="CJ411" i="4"/>
  <c r="CH412" i="4"/>
  <c r="CX412" i="4" s="1"/>
  <c r="CZ412" i="4" s="1"/>
  <c r="CJ412" i="4"/>
  <c r="CY412" i="4" s="1"/>
  <c r="DA412" i="4" s="1"/>
  <c r="CH414" i="4"/>
  <c r="CX414" i="4" s="1"/>
  <c r="CZ414" i="4" s="1"/>
  <c r="CJ414" i="4"/>
  <c r="CH415" i="4"/>
  <c r="CX415" i="4" s="1"/>
  <c r="CZ415" i="4" s="1"/>
  <c r="CJ415" i="4"/>
  <c r="CY415" i="4" s="1"/>
  <c r="DA415" i="4" s="1"/>
  <c r="CH416" i="4"/>
  <c r="CJ416" i="4"/>
  <c r="CH417" i="4"/>
  <c r="CX417" i="4" s="1"/>
  <c r="CZ417" i="4" s="1"/>
  <c r="CJ417" i="4"/>
  <c r="CY417" i="4" s="1"/>
  <c r="DA417" i="4" s="1"/>
  <c r="CH418" i="4"/>
  <c r="CX418" i="4" s="1"/>
  <c r="CZ418" i="4" s="1"/>
  <c r="CJ418" i="4"/>
  <c r="CH419" i="4"/>
  <c r="CX419" i="4" s="1"/>
  <c r="CZ419" i="4" s="1"/>
  <c r="CJ419" i="4"/>
  <c r="CY419" i="4" s="1"/>
  <c r="DA419" i="4" s="1"/>
  <c r="CH420" i="4"/>
  <c r="CX420" i="4" s="1"/>
  <c r="CZ420" i="4" s="1"/>
  <c r="CJ420" i="4"/>
  <c r="CH421" i="4"/>
  <c r="CX421" i="4" s="1"/>
  <c r="CZ421" i="4" s="1"/>
  <c r="CJ421" i="4"/>
  <c r="CY421" i="4" s="1"/>
  <c r="DA421" i="4" s="1"/>
  <c r="CH422" i="4"/>
  <c r="CX422" i="4" s="1"/>
  <c r="CZ422" i="4" s="1"/>
  <c r="CJ422" i="4"/>
  <c r="CH423" i="4"/>
  <c r="CX423" i="4" s="1"/>
  <c r="CZ423" i="4" s="1"/>
  <c r="CJ423" i="4"/>
  <c r="CY423" i="4" s="1"/>
  <c r="DA423" i="4" s="1"/>
  <c r="CH424" i="4"/>
  <c r="CX424" i="4" s="1"/>
  <c r="CZ424" i="4" s="1"/>
  <c r="CJ424" i="4"/>
  <c r="CH425" i="4"/>
  <c r="CX425" i="4" s="1"/>
  <c r="CZ425" i="4" s="1"/>
  <c r="CJ425" i="4"/>
  <c r="CY425" i="4" s="1"/>
  <c r="DA425" i="4" s="1"/>
  <c r="CH426" i="4"/>
  <c r="CX426" i="4" s="1"/>
  <c r="CZ426" i="4" s="1"/>
  <c r="CJ426" i="4"/>
  <c r="CH427" i="4"/>
  <c r="CX427" i="4" s="1"/>
  <c r="CZ427" i="4" s="1"/>
  <c r="CJ427" i="4"/>
  <c r="CY427" i="4" s="1"/>
  <c r="DA427" i="4" s="1"/>
  <c r="CH428" i="4"/>
  <c r="CX428" i="4" s="1"/>
  <c r="CZ428" i="4" s="1"/>
  <c r="CJ428" i="4"/>
  <c r="CJ429" i="4"/>
  <c r="CY429" i="4" s="1"/>
  <c r="DA429" i="4" s="1"/>
  <c r="CH430" i="4"/>
  <c r="CX430" i="4" s="1"/>
  <c r="CZ430" i="4" s="1"/>
  <c r="CJ430" i="4"/>
  <c r="CY430" i="4" s="1"/>
  <c r="DA430" i="4" s="1"/>
  <c r="CH431" i="4"/>
  <c r="CX431" i="4" s="1"/>
  <c r="CZ431" i="4" s="1"/>
  <c r="CJ431" i="4"/>
  <c r="CY431" i="4" s="1"/>
  <c r="DA431" i="4" s="1"/>
  <c r="CH432" i="4"/>
  <c r="CX432" i="4" s="1"/>
  <c r="CZ432" i="4" s="1"/>
  <c r="CJ432" i="4"/>
  <c r="CH433" i="4"/>
  <c r="CX433" i="4" s="1"/>
  <c r="CZ433" i="4" s="1"/>
  <c r="CJ433" i="4"/>
  <c r="CY433" i="4" s="1"/>
  <c r="DA433" i="4" s="1"/>
  <c r="CH434" i="4"/>
  <c r="CX434" i="4" s="1"/>
  <c r="CZ434" i="4" s="1"/>
  <c r="CJ434" i="4"/>
  <c r="CY434" i="4" s="1"/>
  <c r="DA434" i="4" s="1"/>
  <c r="CH435" i="4"/>
  <c r="CX435" i="4" s="1"/>
  <c r="CZ435" i="4" s="1"/>
  <c r="CJ435" i="4"/>
  <c r="CY435" i="4" s="1"/>
  <c r="DA435" i="4" s="1"/>
  <c r="CH436" i="4"/>
  <c r="CX436" i="4" s="1"/>
  <c r="CZ436" i="4" s="1"/>
  <c r="CJ436" i="4"/>
  <c r="CH437" i="4"/>
  <c r="CX437" i="4" s="1"/>
  <c r="CZ437" i="4" s="1"/>
  <c r="CJ437" i="4"/>
  <c r="CY437" i="4" s="1"/>
  <c r="DA437" i="4" s="1"/>
  <c r="CH438" i="4"/>
  <c r="CX438" i="4" s="1"/>
  <c r="CZ438" i="4" s="1"/>
  <c r="CJ438" i="4"/>
  <c r="CY438" i="4" s="1"/>
  <c r="DA438" i="4" s="1"/>
  <c r="CH439" i="4"/>
  <c r="CX439" i="4" s="1"/>
  <c r="CZ439" i="4" s="1"/>
  <c r="CJ439" i="4"/>
  <c r="CY439" i="4" s="1"/>
  <c r="DA439" i="4" s="1"/>
  <c r="CH440" i="4"/>
  <c r="CX440" i="4" s="1"/>
  <c r="CZ440" i="4" s="1"/>
  <c r="CJ440" i="4"/>
  <c r="CH441" i="4"/>
  <c r="CX441" i="4" s="1"/>
  <c r="CZ441" i="4" s="1"/>
  <c r="CJ441" i="4"/>
  <c r="CY441" i="4" s="1"/>
  <c r="DA441" i="4" s="1"/>
  <c r="CH442" i="4"/>
  <c r="CX442" i="4" s="1"/>
  <c r="CZ442" i="4" s="1"/>
  <c r="CJ442" i="4"/>
  <c r="CY442" i="4" s="1"/>
  <c r="DA442" i="4" s="1"/>
  <c r="CH443" i="4"/>
  <c r="CX443" i="4" s="1"/>
  <c r="CZ443" i="4" s="1"/>
  <c r="CJ443" i="4"/>
  <c r="CY443" i="4" s="1"/>
  <c r="DA443" i="4" s="1"/>
  <c r="CH444" i="4"/>
  <c r="CX444" i="4" s="1"/>
  <c r="CZ444" i="4" s="1"/>
  <c r="CJ444" i="4"/>
  <c r="CH445" i="4"/>
  <c r="CX445" i="4" s="1"/>
  <c r="CZ445" i="4" s="1"/>
  <c r="CJ445" i="4"/>
  <c r="CY445" i="4" s="1"/>
  <c r="DA445" i="4" s="1"/>
  <c r="CH446" i="4"/>
  <c r="CX446" i="4" s="1"/>
  <c r="CZ446" i="4" s="1"/>
  <c r="CJ446" i="4"/>
  <c r="CY446" i="4" s="1"/>
  <c r="DA446" i="4" s="1"/>
  <c r="CH447" i="4"/>
  <c r="CX447" i="4" s="1"/>
  <c r="CZ447" i="4" s="1"/>
  <c r="CJ447" i="4"/>
  <c r="CY447" i="4" s="1"/>
  <c r="DA447" i="4" s="1"/>
  <c r="CH448" i="4"/>
  <c r="CX448" i="4" s="1"/>
  <c r="CZ448" i="4" s="1"/>
  <c r="CJ448" i="4"/>
  <c r="CH449" i="4"/>
  <c r="CX449" i="4" s="1"/>
  <c r="CZ449" i="4" s="1"/>
  <c r="CJ449" i="4"/>
  <c r="CY449" i="4" s="1"/>
  <c r="DA449" i="4" s="1"/>
  <c r="CH450" i="4"/>
  <c r="CX450" i="4" s="1"/>
  <c r="CZ450" i="4" s="1"/>
  <c r="CJ450" i="4"/>
  <c r="CY450" i="4" s="1"/>
  <c r="DA450" i="4" s="1"/>
  <c r="CH451" i="4"/>
  <c r="CX451" i="4" s="1"/>
  <c r="CZ451" i="4" s="1"/>
  <c r="CJ451" i="4"/>
  <c r="CY451" i="4" s="1"/>
  <c r="DA451" i="4" s="1"/>
  <c r="CH452" i="4"/>
  <c r="CX452" i="4" s="1"/>
  <c r="CZ452" i="4" s="1"/>
  <c r="CJ452" i="4"/>
  <c r="CH453" i="4"/>
  <c r="CX453" i="4" s="1"/>
  <c r="CZ453" i="4" s="1"/>
  <c r="CJ453" i="4"/>
  <c r="CY453" i="4" s="1"/>
  <c r="DA453" i="4" s="1"/>
  <c r="CH454" i="4"/>
  <c r="CX454" i="4" s="1"/>
  <c r="CZ454" i="4" s="1"/>
  <c r="CJ454" i="4"/>
  <c r="CY454" i="4" s="1"/>
  <c r="DA454" i="4" s="1"/>
  <c r="CH455" i="4"/>
  <c r="CX455" i="4" s="1"/>
  <c r="CZ455" i="4" s="1"/>
  <c r="CJ455" i="4"/>
  <c r="CY455" i="4" s="1"/>
  <c r="DA455" i="4" s="1"/>
  <c r="CH456" i="4"/>
  <c r="CX456" i="4" s="1"/>
  <c r="CZ456" i="4" s="1"/>
  <c r="CJ456" i="4"/>
  <c r="CH457" i="4"/>
  <c r="CX457" i="4" s="1"/>
  <c r="CZ457" i="4" s="1"/>
  <c r="CJ457" i="4"/>
  <c r="CY457" i="4" s="1"/>
  <c r="DA457" i="4" s="1"/>
  <c r="CH458" i="4"/>
  <c r="CX458" i="4" s="1"/>
  <c r="CZ458" i="4" s="1"/>
  <c r="CJ458" i="4"/>
  <c r="CY458" i="4" s="1"/>
  <c r="DA458" i="4" s="1"/>
  <c r="CH459" i="4"/>
  <c r="CX459" i="4" s="1"/>
  <c r="CZ459" i="4" s="1"/>
  <c r="CJ459" i="4"/>
  <c r="CY459" i="4" s="1"/>
  <c r="DA459" i="4" s="1"/>
  <c r="CH460" i="4"/>
  <c r="CX460" i="4" s="1"/>
  <c r="CZ460" i="4" s="1"/>
  <c r="CJ460" i="4"/>
  <c r="CH461" i="4"/>
  <c r="CX461" i="4" s="1"/>
  <c r="CZ461" i="4" s="1"/>
  <c r="CJ461" i="4"/>
  <c r="CY461" i="4" s="1"/>
  <c r="DA461" i="4" s="1"/>
  <c r="CH462" i="4"/>
  <c r="CX462" i="4" s="1"/>
  <c r="CZ462" i="4" s="1"/>
  <c r="CJ462" i="4"/>
  <c r="CY462" i="4" s="1"/>
  <c r="DA462" i="4" s="1"/>
  <c r="CH463" i="4"/>
  <c r="CX463" i="4" s="1"/>
  <c r="CZ463" i="4" s="1"/>
  <c r="CJ463" i="4"/>
  <c r="CY463" i="4" s="1"/>
  <c r="DA463" i="4" s="1"/>
  <c r="CH464" i="4"/>
  <c r="CX464" i="4" s="1"/>
  <c r="CZ464" i="4" s="1"/>
  <c r="CJ464" i="4"/>
  <c r="CH465" i="4"/>
  <c r="CX465" i="4" s="1"/>
  <c r="CZ465" i="4" s="1"/>
  <c r="CJ465" i="4"/>
  <c r="CY465" i="4" s="1"/>
  <c r="DA465" i="4" s="1"/>
  <c r="CH466" i="4"/>
  <c r="CX466" i="4" s="1"/>
  <c r="CZ466" i="4" s="1"/>
  <c r="CJ466" i="4"/>
  <c r="CY466" i="4" s="1"/>
  <c r="DA466" i="4" s="1"/>
  <c r="CH467" i="4"/>
  <c r="CX467" i="4" s="1"/>
  <c r="CZ467" i="4" s="1"/>
  <c r="CJ467" i="4"/>
  <c r="CY467" i="4" s="1"/>
  <c r="DA467" i="4" s="1"/>
  <c r="CH468" i="4"/>
  <c r="CX468" i="4" s="1"/>
  <c r="CZ468" i="4" s="1"/>
  <c r="CJ468" i="4"/>
  <c r="CH469" i="4"/>
  <c r="CX469" i="4" s="1"/>
  <c r="CZ469" i="4" s="1"/>
  <c r="CJ469" i="4"/>
  <c r="CY469" i="4" s="1"/>
  <c r="DA469" i="4" s="1"/>
  <c r="CX470" i="4"/>
  <c r="CZ470" i="4" s="1"/>
  <c r="CY470" i="4"/>
  <c r="DA470" i="4" s="1"/>
  <c r="CH472" i="4"/>
  <c r="CX472" i="4" s="1"/>
  <c r="CZ472" i="4" s="1"/>
  <c r="CJ472" i="4"/>
  <c r="CY472" i="4" s="1"/>
  <c r="DA472" i="4" s="1"/>
  <c r="CH473" i="4"/>
  <c r="CX473" i="4" s="1"/>
  <c r="CZ473" i="4" s="1"/>
  <c r="CJ473" i="4"/>
  <c r="CY473" i="4" s="1"/>
  <c r="DA473" i="4" s="1"/>
  <c r="CH474" i="4"/>
  <c r="CJ474" i="4"/>
  <c r="CY474" i="4" s="1"/>
  <c r="DA474" i="4" s="1"/>
  <c r="CH475" i="4"/>
  <c r="CX475" i="4" s="1"/>
  <c r="CZ475" i="4" s="1"/>
  <c r="CJ475" i="4"/>
  <c r="CY475" i="4" s="1"/>
  <c r="DA475" i="4" s="1"/>
  <c r="CH476" i="4"/>
  <c r="CJ476" i="4"/>
  <c r="CY476" i="4" s="1"/>
  <c r="DA476" i="4" s="1"/>
  <c r="CH477" i="4"/>
  <c r="CX477" i="4" s="1"/>
  <c r="CZ477" i="4" s="1"/>
  <c r="CJ477" i="4"/>
  <c r="CY477" i="4" s="1"/>
  <c r="DA477" i="4" s="1"/>
  <c r="CH478" i="4"/>
  <c r="CJ478" i="4"/>
  <c r="CY478" i="4" s="1"/>
  <c r="DA478" i="4" s="1"/>
  <c r="CH479" i="4"/>
  <c r="CX479" i="4" s="1"/>
  <c r="CZ479" i="4" s="1"/>
  <c r="CJ479" i="4"/>
  <c r="CY479" i="4" s="1"/>
  <c r="DA479" i="4" s="1"/>
  <c r="CH480" i="4"/>
  <c r="CJ480" i="4"/>
  <c r="CH481" i="4"/>
  <c r="CX481" i="4" s="1"/>
  <c r="CZ481" i="4" s="1"/>
  <c r="CJ481" i="4"/>
  <c r="CY481" i="4" s="1"/>
  <c r="DA481" i="4" s="1"/>
  <c r="CH482" i="4"/>
  <c r="CJ482" i="4"/>
  <c r="CY482" i="4" s="1"/>
  <c r="DA482" i="4" s="1"/>
  <c r="CH483" i="4"/>
  <c r="CX483" i="4" s="1"/>
  <c r="CZ483" i="4" s="1"/>
  <c r="CJ483" i="4"/>
  <c r="CY483" i="4" s="1"/>
  <c r="DA483" i="4" s="1"/>
  <c r="CH484" i="4"/>
  <c r="CJ484" i="4"/>
  <c r="CH485" i="4"/>
  <c r="CX485" i="4" s="1"/>
  <c r="CZ485" i="4" s="1"/>
  <c r="CJ485" i="4"/>
  <c r="CY485" i="4" s="1"/>
  <c r="DA485" i="4" s="1"/>
  <c r="CH486" i="4"/>
  <c r="CJ486" i="4"/>
  <c r="CY486" i="4" s="1"/>
  <c r="DA486" i="4" s="1"/>
  <c r="CH487" i="4"/>
  <c r="CX487" i="4" s="1"/>
  <c r="CZ487" i="4" s="1"/>
  <c r="CJ487" i="4"/>
  <c r="CY487" i="4" s="1"/>
  <c r="DA487" i="4" s="1"/>
  <c r="CH488" i="4"/>
  <c r="CJ488" i="4"/>
  <c r="CH489" i="4"/>
  <c r="CX489" i="4" s="1"/>
  <c r="CZ489" i="4" s="1"/>
  <c r="CJ489" i="4"/>
  <c r="CY489" i="4" s="1"/>
  <c r="DA489" i="4" s="1"/>
  <c r="CH490" i="4"/>
  <c r="CJ490" i="4"/>
  <c r="CY490" i="4" s="1"/>
  <c r="DA490" i="4" s="1"/>
  <c r="CH491" i="4"/>
  <c r="CX491" i="4" s="1"/>
  <c r="CZ491" i="4" s="1"/>
  <c r="CJ491" i="4"/>
  <c r="CY491" i="4" s="1"/>
  <c r="DA491" i="4" s="1"/>
  <c r="CH492" i="4"/>
  <c r="CJ492" i="4"/>
  <c r="CH493" i="4"/>
  <c r="CX493" i="4" s="1"/>
  <c r="CZ493" i="4" s="1"/>
  <c r="CJ493" i="4"/>
  <c r="CY493" i="4" s="1"/>
  <c r="DA493" i="4" s="1"/>
  <c r="CH495" i="4"/>
  <c r="CJ495" i="4"/>
  <c r="CY495" i="4" s="1"/>
  <c r="DA495" i="4" s="1"/>
  <c r="CH497" i="4"/>
  <c r="CX497" i="4" s="1"/>
  <c r="CZ497" i="4" s="1"/>
  <c r="CJ497" i="4"/>
  <c r="CY497" i="4" s="1"/>
  <c r="DA497" i="4" s="1"/>
  <c r="CH498" i="4"/>
  <c r="CJ498" i="4"/>
  <c r="CH499" i="4"/>
  <c r="CX499" i="4" s="1"/>
  <c r="CZ499" i="4" s="1"/>
  <c r="CJ499" i="4"/>
  <c r="CY499" i="4" s="1"/>
  <c r="DA499" i="4" s="1"/>
  <c r="CH500" i="4"/>
  <c r="CJ500" i="4"/>
  <c r="CY500" i="4" s="1"/>
  <c r="DA500" i="4" s="1"/>
  <c r="CH501" i="4"/>
  <c r="CX501" i="4" s="1"/>
  <c r="CZ501" i="4" s="1"/>
  <c r="CJ501" i="4"/>
  <c r="CY501" i="4" s="1"/>
  <c r="DA501" i="4" s="1"/>
  <c r="CH502" i="4"/>
  <c r="CJ502" i="4"/>
  <c r="CH503" i="4"/>
  <c r="CX503" i="4" s="1"/>
  <c r="CZ503" i="4" s="1"/>
  <c r="CJ503" i="4"/>
  <c r="CY503" i="4" s="1"/>
  <c r="DA503" i="4" s="1"/>
  <c r="CH504" i="4"/>
  <c r="CJ504" i="4"/>
  <c r="CY504" i="4" s="1"/>
  <c r="DA504" i="4" s="1"/>
  <c r="CH505" i="4"/>
  <c r="CX505" i="4" s="1"/>
  <c r="CZ505" i="4" s="1"/>
  <c r="CJ505" i="4"/>
  <c r="CY505" i="4" s="1"/>
  <c r="DA505" i="4" s="1"/>
  <c r="CH506" i="4"/>
  <c r="CJ506" i="4"/>
  <c r="CH507" i="4"/>
  <c r="CX507" i="4" s="1"/>
  <c r="CZ507" i="4" s="1"/>
  <c r="CJ507" i="4"/>
  <c r="CY507" i="4" s="1"/>
  <c r="DA507" i="4" s="1"/>
  <c r="CH508" i="4"/>
  <c r="CJ508" i="4"/>
  <c r="CY508" i="4" s="1"/>
  <c r="DA508" i="4" s="1"/>
  <c r="CH509" i="4"/>
  <c r="CX509" i="4" s="1"/>
  <c r="CZ509" i="4" s="1"/>
  <c r="CJ509" i="4"/>
  <c r="CY509" i="4" s="1"/>
  <c r="DA509" i="4" s="1"/>
  <c r="CH510" i="4"/>
  <c r="CX510" i="4" s="1"/>
  <c r="CZ510" i="4" s="1"/>
  <c r="CJ510" i="4"/>
  <c r="CY510" i="4" s="1"/>
  <c r="DA510" i="4" s="1"/>
  <c r="CH511" i="4"/>
  <c r="CX511" i="4" s="1"/>
  <c r="CZ511" i="4" s="1"/>
  <c r="CJ511" i="4"/>
  <c r="CY511" i="4" s="1"/>
  <c r="DA511" i="4" s="1"/>
  <c r="CH512" i="4"/>
  <c r="CX512" i="4" s="1"/>
  <c r="CZ512" i="4" s="1"/>
  <c r="CJ512" i="4"/>
  <c r="CY512" i="4" s="1"/>
  <c r="CH513" i="4"/>
  <c r="CX513" i="4" s="1"/>
  <c r="CZ513" i="4" s="1"/>
  <c r="CJ513" i="4"/>
  <c r="CH514" i="4"/>
  <c r="CX514" i="4" s="1"/>
  <c r="CZ514" i="4" s="1"/>
  <c r="CJ514" i="4"/>
  <c r="CY514" i="4" s="1"/>
  <c r="DA514" i="4" s="1"/>
  <c r="CH515" i="4"/>
  <c r="CJ515" i="4"/>
  <c r="CH516" i="4"/>
  <c r="CX516" i="4" s="1"/>
  <c r="CZ516" i="4" s="1"/>
  <c r="CH517" i="4"/>
  <c r="CX517" i="4" s="1"/>
  <c r="CZ517" i="4" s="1"/>
  <c r="CJ517" i="4"/>
  <c r="CY517" i="4" s="1"/>
  <c r="DA517" i="4" s="1"/>
  <c r="CH518" i="4"/>
  <c r="CX518" i="4" s="1"/>
  <c r="CZ518" i="4" s="1"/>
  <c r="CJ518" i="4"/>
  <c r="CY518" i="4" s="1"/>
  <c r="DA518" i="4" s="1"/>
  <c r="CH519" i="4"/>
  <c r="CJ519" i="4"/>
  <c r="CH520" i="4"/>
  <c r="CX520" i="4" s="1"/>
  <c r="CZ520" i="4" s="1"/>
  <c r="CJ520" i="4"/>
  <c r="CY520" i="4" s="1"/>
  <c r="DA520" i="4" s="1"/>
  <c r="CH521" i="4"/>
  <c r="CX521" i="4" s="1"/>
  <c r="CZ521" i="4" s="1"/>
  <c r="CJ521" i="4"/>
  <c r="CY521" i="4" s="1"/>
  <c r="DA521" i="4" s="1"/>
  <c r="CH522" i="4"/>
  <c r="CX522" i="4" s="1"/>
  <c r="CZ522" i="4" s="1"/>
  <c r="CJ522" i="4"/>
  <c r="CY522" i="4" s="1"/>
  <c r="DA522" i="4" s="1"/>
  <c r="CH523" i="4"/>
  <c r="CJ523" i="4"/>
  <c r="CH524" i="4"/>
  <c r="CX524" i="4" s="1"/>
  <c r="CZ524" i="4" s="1"/>
  <c r="CJ524" i="4"/>
  <c r="CY524" i="4" s="1"/>
  <c r="DA524" i="4" s="1"/>
  <c r="CH525" i="4"/>
  <c r="CX525" i="4" s="1"/>
  <c r="CZ525" i="4" s="1"/>
  <c r="CJ525" i="4"/>
  <c r="CY525" i="4" s="1"/>
  <c r="DA525" i="4" s="1"/>
  <c r="CH526" i="4"/>
  <c r="CX526" i="4" s="1"/>
  <c r="CZ526" i="4" s="1"/>
  <c r="CJ526" i="4"/>
  <c r="CY526" i="4" s="1"/>
  <c r="DA526" i="4" s="1"/>
  <c r="CH527" i="4"/>
  <c r="CJ527" i="4"/>
  <c r="CH528" i="4"/>
  <c r="CX528" i="4" s="1"/>
  <c r="CZ528" i="4" s="1"/>
  <c r="CJ528" i="4"/>
  <c r="CY528" i="4" s="1"/>
  <c r="DA528" i="4" s="1"/>
  <c r="CH529" i="4"/>
  <c r="CX529" i="4" s="1"/>
  <c r="CZ529" i="4" s="1"/>
  <c r="CJ529" i="4"/>
  <c r="CY529" i="4" s="1"/>
  <c r="DA529" i="4" s="1"/>
  <c r="CH530" i="4"/>
  <c r="CX530" i="4" s="1"/>
  <c r="CZ530" i="4" s="1"/>
  <c r="CJ530" i="4"/>
  <c r="CY530" i="4" s="1"/>
  <c r="DA530" i="4" s="1"/>
  <c r="CH531" i="4"/>
  <c r="CX531" i="4" s="1"/>
  <c r="CZ531" i="4" s="1"/>
  <c r="CJ531" i="4"/>
  <c r="CH532" i="4"/>
  <c r="CX532" i="4" s="1"/>
  <c r="CZ532" i="4" s="1"/>
  <c r="CJ532" i="4"/>
  <c r="CY532" i="4" s="1"/>
  <c r="DA532" i="4" s="1"/>
  <c r="CH533" i="4"/>
  <c r="CX533" i="4" s="1"/>
  <c r="CZ533" i="4" s="1"/>
  <c r="CJ533" i="4"/>
  <c r="CY533" i="4" s="1"/>
  <c r="DA533" i="4" s="1"/>
  <c r="CH534" i="4"/>
  <c r="CX534" i="4" s="1"/>
  <c r="CZ534" i="4" s="1"/>
  <c r="CJ534" i="4"/>
  <c r="CY534" i="4" s="1"/>
  <c r="DA534" i="4" s="1"/>
  <c r="CH535" i="4"/>
  <c r="CX535" i="4" s="1"/>
  <c r="CZ535" i="4" s="1"/>
  <c r="CJ535" i="4"/>
  <c r="CH536" i="4"/>
  <c r="CX536" i="4" s="1"/>
  <c r="CZ536" i="4" s="1"/>
  <c r="CJ536" i="4"/>
  <c r="CY536" i="4" s="1"/>
  <c r="DA536" i="4" s="1"/>
  <c r="CH537" i="4"/>
  <c r="CX537" i="4" s="1"/>
  <c r="CZ537" i="4" s="1"/>
  <c r="CJ537" i="4"/>
  <c r="CY537" i="4" s="1"/>
  <c r="DA537" i="4" s="1"/>
  <c r="CH538" i="4"/>
  <c r="CX538" i="4" s="1"/>
  <c r="CZ538" i="4" s="1"/>
  <c r="CJ538" i="4"/>
  <c r="CY538" i="4" s="1"/>
  <c r="DA538" i="4" s="1"/>
  <c r="CH539" i="4"/>
  <c r="CX539" i="4" s="1"/>
  <c r="CZ539" i="4" s="1"/>
  <c r="CJ539" i="4"/>
  <c r="CH540" i="4"/>
  <c r="CX540" i="4" s="1"/>
  <c r="CZ540" i="4" s="1"/>
  <c r="CJ540" i="4"/>
  <c r="CY540" i="4" s="1"/>
  <c r="DA540" i="4" s="1"/>
  <c r="CH541" i="4"/>
  <c r="CX541" i="4" s="1"/>
  <c r="CZ541" i="4" s="1"/>
  <c r="CJ541" i="4"/>
  <c r="CY541" i="4" s="1"/>
  <c r="DA541" i="4" s="1"/>
  <c r="CH542" i="4"/>
  <c r="CX542" i="4" s="1"/>
  <c r="CZ542" i="4" s="1"/>
  <c r="CJ542" i="4"/>
  <c r="CY542" i="4" s="1"/>
  <c r="DA542" i="4" s="1"/>
  <c r="CH543" i="4"/>
  <c r="CX543" i="4" s="1"/>
  <c r="CZ543" i="4" s="1"/>
  <c r="CJ543" i="4"/>
  <c r="CH544" i="4"/>
  <c r="CX544" i="4" s="1"/>
  <c r="CZ544" i="4" s="1"/>
  <c r="CJ544" i="4"/>
  <c r="CY544" i="4" s="1"/>
  <c r="DA544" i="4" s="1"/>
  <c r="CH545" i="4"/>
  <c r="CX545" i="4" s="1"/>
  <c r="CZ545" i="4" s="1"/>
  <c r="CJ545" i="4"/>
  <c r="CY545" i="4" s="1"/>
  <c r="DA545" i="4" s="1"/>
  <c r="CH546" i="4"/>
  <c r="CX546" i="4" s="1"/>
  <c r="CZ546" i="4" s="1"/>
  <c r="CJ546" i="4"/>
  <c r="CY546" i="4" s="1"/>
  <c r="DA546" i="4" s="1"/>
  <c r="CH547" i="4"/>
  <c r="CX547" i="4" s="1"/>
  <c r="CZ547" i="4" s="1"/>
  <c r="CJ547" i="4"/>
  <c r="CH550" i="4"/>
  <c r="CX550" i="4" s="1"/>
  <c r="CZ550" i="4" s="1"/>
  <c r="CJ550" i="4"/>
  <c r="CY550" i="4" s="1"/>
  <c r="DA550" i="4" s="1"/>
  <c r="CH552" i="4"/>
  <c r="CX552" i="4" s="1"/>
  <c r="CZ552" i="4" s="1"/>
  <c r="CJ552" i="4"/>
  <c r="CY552" i="4" s="1"/>
  <c r="DA552" i="4" s="1"/>
  <c r="CH554" i="4"/>
  <c r="CX554" i="4" s="1"/>
  <c r="CZ554" i="4" s="1"/>
  <c r="CJ554" i="4"/>
  <c r="CY554" i="4" s="1"/>
  <c r="DA554" i="4" s="1"/>
  <c r="CH555" i="4"/>
  <c r="CX555" i="4" s="1"/>
  <c r="CZ555" i="4" s="1"/>
  <c r="CJ555" i="4"/>
  <c r="CH556" i="4"/>
  <c r="CX556" i="4" s="1"/>
  <c r="CZ556" i="4" s="1"/>
  <c r="CJ556" i="4"/>
  <c r="CY556" i="4" s="1"/>
  <c r="DA556" i="4" s="1"/>
  <c r="CH557" i="4"/>
  <c r="CX557" i="4" s="1"/>
  <c r="CZ557" i="4" s="1"/>
  <c r="CJ557" i="4"/>
  <c r="CY557" i="4" s="1"/>
  <c r="DA557" i="4" s="1"/>
  <c r="CH558" i="4"/>
  <c r="CX558" i="4" s="1"/>
  <c r="CZ558" i="4" s="1"/>
  <c r="CJ558" i="4"/>
  <c r="CY558" i="4" s="1"/>
  <c r="DA558" i="4" s="1"/>
  <c r="CH559" i="4"/>
  <c r="CX559" i="4" s="1"/>
  <c r="CZ559" i="4" s="1"/>
  <c r="CJ559" i="4"/>
  <c r="CH560" i="4"/>
  <c r="CX560" i="4" s="1"/>
  <c r="CZ560" i="4" s="1"/>
  <c r="CJ560" i="4"/>
  <c r="CY560" i="4" s="1"/>
  <c r="DA560" i="4" s="1"/>
  <c r="CH561" i="4"/>
  <c r="CX561" i="4" s="1"/>
  <c r="CZ561" i="4" s="1"/>
  <c r="CJ561" i="4"/>
  <c r="CY561" i="4" s="1"/>
  <c r="DA561" i="4" s="1"/>
  <c r="CH562" i="4"/>
  <c r="CX562" i="4" s="1"/>
  <c r="CZ562" i="4" s="1"/>
  <c r="CJ562" i="4"/>
  <c r="CY562" i="4" s="1"/>
  <c r="DA562" i="4" s="1"/>
  <c r="CH563" i="4"/>
  <c r="CX563" i="4" s="1"/>
  <c r="CZ563" i="4" s="1"/>
  <c r="CJ563" i="4"/>
  <c r="CH564" i="4"/>
  <c r="CX564" i="4" s="1"/>
  <c r="CZ564" i="4" s="1"/>
  <c r="CJ564" i="4"/>
  <c r="CY564" i="4" s="1"/>
  <c r="DA564" i="4" s="1"/>
  <c r="CH565" i="4"/>
  <c r="CX565" i="4" s="1"/>
  <c r="CZ565" i="4" s="1"/>
  <c r="CJ565" i="4"/>
  <c r="CY565" i="4" s="1"/>
  <c r="DA565" i="4" s="1"/>
  <c r="CH566" i="4"/>
  <c r="CX566" i="4" s="1"/>
  <c r="CZ566" i="4" s="1"/>
  <c r="CJ566" i="4"/>
  <c r="CY566" i="4" s="1"/>
  <c r="DA566" i="4" s="1"/>
  <c r="CH567" i="4"/>
  <c r="CX567" i="4" s="1"/>
  <c r="CZ567" i="4" s="1"/>
  <c r="CJ567" i="4"/>
  <c r="CJ568" i="4"/>
  <c r="CY568" i="4" s="1"/>
  <c r="DA568" i="4" s="1"/>
  <c r="CJ569" i="4"/>
  <c r="CJ570" i="4"/>
  <c r="CY570" i="4" s="1"/>
  <c r="DA570" i="4" s="1"/>
  <c r="CJ571" i="4"/>
  <c r="CY571" i="4" s="1"/>
  <c r="DA571" i="4" s="1"/>
  <c r="CJ573" i="4"/>
  <c r="CY573" i="4" s="1"/>
  <c r="DA573" i="4" s="1"/>
  <c r="CH586" i="4"/>
  <c r="CX586" i="4" s="1"/>
  <c r="CZ586" i="4" s="1"/>
  <c r="CJ586" i="4"/>
  <c r="CY586" i="4" s="1"/>
  <c r="DA586" i="4" s="1"/>
  <c r="CH587" i="4"/>
  <c r="CJ587" i="4"/>
  <c r="CH588" i="4"/>
  <c r="CX588" i="4" s="1"/>
  <c r="CZ588" i="4" s="1"/>
  <c r="CJ588" i="4"/>
  <c r="CY588" i="4" s="1"/>
  <c r="DA588" i="4" s="1"/>
  <c r="CH589" i="4"/>
  <c r="CX589" i="4" s="1"/>
  <c r="CZ589" i="4" s="1"/>
  <c r="CJ589" i="4"/>
  <c r="CH590" i="4"/>
  <c r="CX590" i="4" s="1"/>
  <c r="CZ590" i="4" s="1"/>
  <c r="CJ590" i="4"/>
  <c r="CY590" i="4" s="1"/>
  <c r="DA590" i="4" s="1"/>
  <c r="CH591" i="4"/>
  <c r="CJ591" i="4"/>
  <c r="CH592" i="4"/>
  <c r="CX592" i="4" s="1"/>
  <c r="CZ592" i="4" s="1"/>
  <c r="CJ592" i="4"/>
  <c r="CY592" i="4" s="1"/>
  <c r="DA592" i="4" s="1"/>
  <c r="CH593" i="4"/>
  <c r="CX593" i="4" s="1"/>
  <c r="CZ593" i="4" s="1"/>
  <c r="CJ593" i="4"/>
  <c r="CH594" i="4"/>
  <c r="CX594" i="4" s="1"/>
  <c r="CZ594" i="4" s="1"/>
  <c r="CJ594" i="4"/>
  <c r="CY594" i="4" s="1"/>
  <c r="DA594" i="4" s="1"/>
  <c r="CH595" i="4"/>
  <c r="CJ595" i="4"/>
  <c r="CH596" i="4"/>
  <c r="CX596" i="4" s="1"/>
  <c r="CZ596" i="4" s="1"/>
  <c r="CJ596" i="4"/>
  <c r="CY596" i="4" s="1"/>
  <c r="DA596" i="4" s="1"/>
  <c r="CH597" i="4"/>
  <c r="CX597" i="4" s="1"/>
  <c r="CZ597" i="4" s="1"/>
  <c r="CJ597" i="4"/>
  <c r="CH598" i="4"/>
  <c r="CX598" i="4" s="1"/>
  <c r="CZ598" i="4" s="1"/>
  <c r="CJ598" i="4"/>
  <c r="CY598" i="4" s="1"/>
  <c r="DA598" i="4" s="1"/>
  <c r="CH599" i="4"/>
  <c r="CJ599" i="4"/>
  <c r="CH600" i="4"/>
  <c r="CX600" i="4" s="1"/>
  <c r="CZ600" i="4" s="1"/>
  <c r="CJ600" i="4"/>
  <c r="CY600" i="4" s="1"/>
  <c r="DA600" i="4" s="1"/>
  <c r="CH601" i="4"/>
  <c r="CX601" i="4" s="1"/>
  <c r="CZ601" i="4" s="1"/>
  <c r="CJ601" i="4"/>
  <c r="CH602" i="4"/>
  <c r="CX602" i="4" s="1"/>
  <c r="CZ602" i="4" s="1"/>
  <c r="CJ602" i="4"/>
  <c r="CY602" i="4" s="1"/>
  <c r="DA602" i="4" s="1"/>
  <c r="CH603" i="4"/>
  <c r="CJ603" i="4"/>
  <c r="CH604" i="4"/>
  <c r="CX604" i="4" s="1"/>
  <c r="CZ604" i="4" s="1"/>
  <c r="CJ604" i="4"/>
  <c r="CY604" i="4" s="1"/>
  <c r="DA604" i="4" s="1"/>
  <c r="CH605" i="4"/>
  <c r="CX605" i="4" s="1"/>
  <c r="CZ605" i="4" s="1"/>
  <c r="CJ605" i="4"/>
  <c r="CY605" i="4" s="1"/>
  <c r="DA605" i="4" s="1"/>
  <c r="CH606" i="4"/>
  <c r="CX606" i="4" s="1"/>
  <c r="CZ606" i="4" s="1"/>
  <c r="CJ606" i="4"/>
  <c r="CY606" i="4" s="1"/>
  <c r="DA606" i="4" s="1"/>
  <c r="CH607" i="4"/>
  <c r="CX607" i="4" s="1"/>
  <c r="CZ607" i="4" s="1"/>
  <c r="CJ607" i="4"/>
  <c r="CH608" i="4"/>
  <c r="CX608" i="4" s="1"/>
  <c r="CZ608" i="4" s="1"/>
  <c r="CJ608" i="4"/>
  <c r="CY608" i="4" s="1"/>
  <c r="DA608" i="4" s="1"/>
  <c r="CH609" i="4"/>
  <c r="CX609" i="4" s="1"/>
  <c r="CZ609" i="4" s="1"/>
  <c r="CJ609" i="4"/>
  <c r="CY609" i="4" s="1"/>
  <c r="DA609" i="4" s="1"/>
  <c r="CH610" i="4"/>
  <c r="CX610" i="4" s="1"/>
  <c r="CZ610" i="4" s="1"/>
  <c r="CJ610" i="4"/>
  <c r="CY610" i="4" s="1"/>
  <c r="DA610" i="4" s="1"/>
  <c r="CH611" i="4"/>
  <c r="CX611" i="4" s="1"/>
  <c r="CZ611" i="4" s="1"/>
  <c r="CJ611" i="4"/>
  <c r="CH612" i="4"/>
  <c r="CX612" i="4" s="1"/>
  <c r="CZ612" i="4" s="1"/>
  <c r="CJ612" i="4"/>
  <c r="CY612" i="4" s="1"/>
  <c r="DA612" i="4" s="1"/>
  <c r="CH613" i="4"/>
  <c r="CX613" i="4" s="1"/>
  <c r="CZ613" i="4" s="1"/>
  <c r="CJ613" i="4"/>
  <c r="CY613" i="4" s="1"/>
  <c r="DA613" i="4" s="1"/>
  <c r="CH614" i="4"/>
  <c r="CX614" i="4" s="1"/>
  <c r="CZ614" i="4" s="1"/>
  <c r="CJ614" i="4"/>
  <c r="CY614" i="4" s="1"/>
  <c r="DA614" i="4" s="1"/>
  <c r="CH615" i="4"/>
  <c r="CX615" i="4" s="1"/>
  <c r="CZ615" i="4" s="1"/>
  <c r="CJ615" i="4"/>
  <c r="CH616" i="4"/>
  <c r="CX616" i="4" s="1"/>
  <c r="CZ616" i="4" s="1"/>
  <c r="CJ616" i="4"/>
  <c r="CY616" i="4" s="1"/>
  <c r="DA616" i="4" s="1"/>
  <c r="CH617" i="4"/>
  <c r="CX617" i="4" s="1"/>
  <c r="CZ617" i="4" s="1"/>
  <c r="CJ617" i="4"/>
  <c r="CY617" i="4" s="1"/>
  <c r="DA617" i="4" s="1"/>
  <c r="CH618" i="4"/>
  <c r="CX618" i="4" s="1"/>
  <c r="CZ618" i="4" s="1"/>
  <c r="CJ618" i="4"/>
  <c r="CY618" i="4" s="1"/>
  <c r="DA618" i="4" s="1"/>
  <c r="CH619" i="4"/>
  <c r="CX619" i="4" s="1"/>
  <c r="CZ619" i="4" s="1"/>
  <c r="CJ619" i="4"/>
  <c r="CH620" i="4"/>
  <c r="CX620" i="4" s="1"/>
  <c r="CZ620" i="4" s="1"/>
  <c r="CJ620" i="4"/>
  <c r="CY620" i="4" s="1"/>
  <c r="DA620" i="4" s="1"/>
  <c r="CH621" i="4"/>
  <c r="CX621" i="4" s="1"/>
  <c r="CZ621" i="4" s="1"/>
  <c r="CJ621" i="4"/>
  <c r="CY621" i="4" s="1"/>
  <c r="DA621" i="4" s="1"/>
  <c r="CH622" i="4"/>
  <c r="CJ622" i="4"/>
  <c r="CY622" i="4" s="1"/>
  <c r="DA622" i="4" s="1"/>
  <c r="CJ3" i="4"/>
  <c r="CH3" i="4"/>
  <c r="CF6" i="4"/>
  <c r="CF8" i="4"/>
  <c r="CF11" i="4"/>
  <c r="CF13" i="4"/>
  <c r="CF14" i="4"/>
  <c r="CF15" i="4"/>
  <c r="CF16" i="4"/>
  <c r="CF17" i="4"/>
  <c r="CF18" i="4"/>
  <c r="CF19" i="4"/>
  <c r="CF20" i="4"/>
  <c r="CF21" i="4"/>
  <c r="CF22" i="4"/>
  <c r="CF23" i="4"/>
  <c r="CF24" i="4"/>
  <c r="CF26" i="4"/>
  <c r="CF27" i="4"/>
  <c r="CF28" i="4"/>
  <c r="CF29" i="4"/>
  <c r="CF32" i="4"/>
  <c r="CF33" i="4"/>
  <c r="CF36" i="4"/>
  <c r="CF37" i="4"/>
  <c r="CF38" i="4"/>
  <c r="CF39" i="4"/>
  <c r="CF42" i="4"/>
  <c r="CF43" i="4"/>
  <c r="CF44" i="4"/>
  <c r="CF45" i="4"/>
  <c r="CF46" i="4"/>
  <c r="CF47" i="4"/>
  <c r="CF50" i="4"/>
  <c r="CF57" i="4"/>
  <c r="CF58" i="4"/>
  <c r="CF59" i="4"/>
  <c r="CF60" i="4"/>
  <c r="CF66" i="4"/>
  <c r="CF68" i="4"/>
  <c r="CF78" i="4"/>
  <c r="CF75" i="4"/>
  <c r="CF76" i="4"/>
  <c r="CF77" i="4"/>
  <c r="CF79" i="4"/>
  <c r="CF100" i="4"/>
  <c r="CF103" i="4"/>
  <c r="CF104" i="4"/>
  <c r="CF105" i="4"/>
  <c r="CF107" i="4"/>
  <c r="CF108" i="4"/>
  <c r="CF110" i="4"/>
  <c r="CF116" i="4"/>
  <c r="CF132" i="4"/>
  <c r="CF133" i="4"/>
  <c r="CF221" i="4"/>
  <c r="CF269" i="4"/>
  <c r="CF270" i="4"/>
  <c r="CF271" i="4"/>
  <c r="CF272" i="4"/>
  <c r="CF273" i="4"/>
  <c r="CF274" i="4"/>
  <c r="CF275" i="4"/>
  <c r="CF276" i="4"/>
  <c r="CF277" i="4"/>
  <c r="CF278" i="4"/>
  <c r="CF279" i="4"/>
  <c r="CF280" i="4"/>
  <c r="CF281" i="4"/>
  <c r="CF284" i="4"/>
  <c r="CF286" i="4"/>
  <c r="CF288" i="4"/>
  <c r="CF291" i="4"/>
  <c r="CF292" i="4"/>
  <c r="CF296" i="4"/>
  <c r="CF297" i="4"/>
  <c r="CF299" i="4"/>
  <c r="CF300" i="4"/>
  <c r="CF303" i="4"/>
  <c r="CF306" i="4"/>
  <c r="CF312" i="4"/>
  <c r="CF322" i="4"/>
  <c r="CF327" i="4"/>
  <c r="CF335" i="4"/>
  <c r="CF338" i="4"/>
  <c r="CF339" i="4"/>
  <c r="CF340" i="4"/>
  <c r="CF341" i="4"/>
  <c r="CF342" i="4"/>
  <c r="CF343" i="4"/>
  <c r="CF344" i="4"/>
  <c r="CF345" i="4"/>
  <c r="CF346" i="4"/>
  <c r="CF347" i="4"/>
  <c r="CF348" i="4"/>
  <c r="CF349" i="4"/>
  <c r="CF494" i="4"/>
  <c r="CF350" i="4"/>
  <c r="CF351" i="4"/>
  <c r="CF352" i="4"/>
  <c r="CF353" i="4"/>
  <c r="CF354" i="4"/>
  <c r="CF355" i="4"/>
  <c r="CF356" i="4"/>
  <c r="CF357" i="4"/>
  <c r="CF358" i="4"/>
  <c r="CF359" i="4"/>
  <c r="CF360" i="4"/>
  <c r="CF361" i="4"/>
  <c r="CF362" i="4"/>
  <c r="CF363" i="4"/>
  <c r="CF364" i="4"/>
  <c r="CF366" i="4"/>
  <c r="CF367" i="4"/>
  <c r="CF368" i="4"/>
  <c r="CF369" i="4"/>
  <c r="CF370" i="4"/>
  <c r="CF371" i="4"/>
  <c r="CF372" i="4"/>
  <c r="CF373" i="4"/>
  <c r="CF374" i="4"/>
  <c r="CF375" i="4"/>
  <c r="CF376" i="4"/>
  <c r="CF377" i="4"/>
  <c r="CF378" i="4"/>
  <c r="CF379" i="4"/>
  <c r="CF380" i="4"/>
  <c r="CF381" i="4"/>
  <c r="CF385" i="4"/>
  <c r="CF386" i="4"/>
  <c r="CF387" i="4"/>
  <c r="CF388" i="4"/>
  <c r="CF389" i="4"/>
  <c r="CF390" i="4"/>
  <c r="CF391" i="4"/>
  <c r="CF394" i="4"/>
  <c r="CF395" i="4"/>
  <c r="CF396" i="4"/>
  <c r="CF397" i="4"/>
  <c r="CF398" i="4"/>
  <c r="CF399" i="4"/>
  <c r="CF400" i="4"/>
  <c r="CF401" i="4"/>
  <c r="CF402" i="4"/>
  <c r="CF403" i="4"/>
  <c r="CF404" i="4"/>
  <c r="CF405" i="4"/>
  <c r="CF406" i="4"/>
  <c r="CF407" i="4"/>
  <c r="CF409" i="4"/>
  <c r="CF410" i="4"/>
  <c r="CF411" i="4"/>
  <c r="CF412" i="4"/>
  <c r="CF414" i="4"/>
  <c r="CF415" i="4"/>
  <c r="CF416" i="4"/>
  <c r="CF417" i="4"/>
  <c r="CF418" i="4"/>
  <c r="CF419" i="4"/>
  <c r="CF420" i="4"/>
  <c r="CF421" i="4"/>
  <c r="CF422" i="4"/>
  <c r="CF423" i="4"/>
  <c r="CF424" i="4"/>
  <c r="CF425" i="4"/>
  <c r="CF426" i="4"/>
  <c r="CF427" i="4"/>
  <c r="CF428" i="4"/>
  <c r="CF429" i="4"/>
  <c r="CF430" i="4"/>
  <c r="CF431" i="4"/>
  <c r="CF432" i="4"/>
  <c r="CF433" i="4"/>
  <c r="CF434" i="4"/>
  <c r="CF435" i="4"/>
  <c r="CF436" i="4"/>
  <c r="CF438" i="4"/>
  <c r="CF439" i="4"/>
  <c r="CF440" i="4"/>
  <c r="CF441" i="4"/>
  <c r="CF443" i="4"/>
  <c r="CF444" i="4"/>
  <c r="CF445" i="4"/>
  <c r="CF446" i="4"/>
  <c r="CF447" i="4"/>
  <c r="CF448" i="4"/>
  <c r="CF449" i="4"/>
  <c r="CF450" i="4"/>
  <c r="CF451" i="4"/>
  <c r="CF452" i="4"/>
  <c r="CF453" i="4"/>
  <c r="CF454" i="4"/>
  <c r="CF455" i="4"/>
  <c r="CF456" i="4"/>
  <c r="CF457" i="4"/>
  <c r="CF458" i="4"/>
  <c r="CF459" i="4"/>
  <c r="CF460" i="4"/>
  <c r="CF461" i="4"/>
  <c r="CF462" i="4"/>
  <c r="CF463" i="4"/>
  <c r="CF464" i="4"/>
  <c r="CF465" i="4"/>
  <c r="CF466" i="4"/>
  <c r="CF467" i="4"/>
  <c r="CF468" i="4"/>
  <c r="CF469" i="4"/>
  <c r="CF472" i="4"/>
  <c r="CF473" i="4"/>
  <c r="CF474" i="4"/>
  <c r="CF475" i="4"/>
  <c r="CF476" i="4"/>
  <c r="CF477" i="4"/>
  <c r="CF478" i="4"/>
  <c r="CF479" i="4"/>
  <c r="CF480" i="4"/>
  <c r="CF481" i="4"/>
  <c r="CF482" i="4"/>
  <c r="CF483" i="4"/>
  <c r="CF484" i="4"/>
  <c r="CF485" i="4"/>
  <c r="CF486" i="4"/>
  <c r="CF487" i="4"/>
  <c r="CF488" i="4"/>
  <c r="CF489" i="4"/>
  <c r="CF490" i="4"/>
  <c r="CF491" i="4"/>
  <c r="CF492" i="4"/>
  <c r="CF493" i="4"/>
  <c r="CF495" i="4"/>
  <c r="CF497" i="4"/>
  <c r="CF498" i="4"/>
  <c r="CF499" i="4"/>
  <c r="CF500" i="4"/>
  <c r="CF501" i="4"/>
  <c r="CF502" i="4"/>
  <c r="CF503" i="4"/>
  <c r="CF504" i="4"/>
  <c r="CF505" i="4"/>
  <c r="CF506" i="4"/>
  <c r="CF507" i="4"/>
  <c r="CF508" i="4"/>
  <c r="CF509" i="4"/>
  <c r="CF510" i="4"/>
  <c r="CF511" i="4"/>
  <c r="CF513" i="4"/>
  <c r="CF514" i="4"/>
  <c r="CF515" i="4"/>
  <c r="CF516" i="4"/>
  <c r="CF517" i="4"/>
  <c r="CF518" i="4"/>
  <c r="CF519" i="4"/>
  <c r="CF520" i="4"/>
  <c r="CF521" i="4"/>
  <c r="CF522" i="4"/>
  <c r="CF523" i="4"/>
  <c r="CF524" i="4"/>
  <c r="CF525" i="4"/>
  <c r="CF526" i="4"/>
  <c r="CF527" i="4"/>
  <c r="CF528" i="4"/>
  <c r="CF529" i="4"/>
  <c r="CF530" i="4"/>
  <c r="CF531" i="4"/>
  <c r="CF532" i="4"/>
  <c r="CF533" i="4"/>
  <c r="CF534" i="4"/>
  <c r="CF535" i="4"/>
  <c r="CF536" i="4"/>
  <c r="CF537" i="4"/>
  <c r="CF538" i="4"/>
  <c r="CF539" i="4"/>
  <c r="CF541" i="4"/>
  <c r="CF542" i="4"/>
  <c r="CF543" i="4"/>
  <c r="CF544" i="4"/>
  <c r="CF545" i="4"/>
  <c r="CF546" i="4"/>
  <c r="CF547" i="4"/>
  <c r="CF550" i="4"/>
  <c r="CF552" i="4"/>
  <c r="CF554" i="4"/>
  <c r="CF555" i="4"/>
  <c r="CF556" i="4"/>
  <c r="CF557" i="4"/>
  <c r="CF558" i="4"/>
  <c r="CF559" i="4"/>
  <c r="CF560" i="4"/>
  <c r="CF561" i="4"/>
  <c r="CF562" i="4"/>
  <c r="CF563" i="4"/>
  <c r="CF564" i="4"/>
  <c r="CF565" i="4"/>
  <c r="CF566" i="4"/>
  <c r="CF567" i="4"/>
  <c r="CF568" i="4"/>
  <c r="CF569" i="4"/>
  <c r="CF570" i="4"/>
  <c r="CF571" i="4"/>
  <c r="CF573" i="4"/>
  <c r="CF586" i="4"/>
  <c r="CF588" i="4"/>
  <c r="CF589" i="4"/>
  <c r="CF590" i="4"/>
  <c r="CF591" i="4"/>
  <c r="CF592" i="4"/>
  <c r="CF593" i="4"/>
  <c r="CF594" i="4"/>
  <c r="CF595" i="4"/>
  <c r="CF596" i="4"/>
  <c r="CF597" i="4"/>
  <c r="CF598" i="4"/>
  <c r="CF599" i="4"/>
  <c r="CF600" i="4"/>
  <c r="CF601" i="4"/>
  <c r="CF602" i="4"/>
  <c r="CF603" i="4"/>
  <c r="CF604" i="4"/>
  <c r="CF605" i="4"/>
  <c r="CF606" i="4"/>
  <c r="CF607" i="4"/>
  <c r="CF608" i="4"/>
  <c r="CF609" i="4"/>
  <c r="CF610" i="4"/>
  <c r="CF611" i="4"/>
  <c r="CF612" i="4"/>
  <c r="CF613" i="4"/>
  <c r="CF614" i="4"/>
  <c r="CF615" i="4"/>
  <c r="CF616" i="4"/>
  <c r="CF617" i="4"/>
  <c r="CF618" i="4"/>
  <c r="CF619" i="4"/>
  <c r="CF620" i="4"/>
  <c r="CF621" i="4"/>
  <c r="CF622" i="4"/>
  <c r="CF3" i="4"/>
  <c r="CE6" i="4"/>
  <c r="CE8" i="4"/>
  <c r="CE11" i="4"/>
  <c r="CE13" i="4"/>
  <c r="CE14" i="4"/>
  <c r="CE15" i="4"/>
  <c r="CE16" i="4"/>
  <c r="CE17" i="4"/>
  <c r="CE18" i="4"/>
  <c r="CE19" i="4"/>
  <c r="CE20" i="4"/>
  <c r="CE21" i="4"/>
  <c r="CE22" i="4"/>
  <c r="CE23" i="4"/>
  <c r="CE24" i="4"/>
  <c r="CE26" i="4"/>
  <c r="CE27" i="4"/>
  <c r="CE28" i="4"/>
  <c r="CE29" i="4"/>
  <c r="CE32" i="4"/>
  <c r="CE33" i="4"/>
  <c r="CE36" i="4"/>
  <c r="CE37" i="4"/>
  <c r="CE38" i="4"/>
  <c r="CE39" i="4"/>
  <c r="CE42" i="4"/>
  <c r="CE43" i="4"/>
  <c r="CE44" i="4"/>
  <c r="CE45" i="4"/>
  <c r="CE46" i="4"/>
  <c r="CE47" i="4"/>
  <c r="CE50" i="4"/>
  <c r="CE57" i="4"/>
  <c r="CE58" i="4"/>
  <c r="CE59" i="4"/>
  <c r="CE60" i="4"/>
  <c r="CE66" i="4"/>
  <c r="CE68" i="4"/>
  <c r="CE78" i="4"/>
  <c r="CE75" i="4"/>
  <c r="CE76" i="4"/>
  <c r="CE77" i="4"/>
  <c r="CE79" i="4"/>
  <c r="CE100" i="4"/>
  <c r="CE103" i="4"/>
  <c r="CE104" i="4"/>
  <c r="CE105" i="4"/>
  <c r="CE107" i="4"/>
  <c r="CE108" i="4"/>
  <c r="CE110" i="4"/>
  <c r="CE116" i="4"/>
  <c r="CE125" i="4"/>
  <c r="CE132" i="4"/>
  <c r="CE133" i="4"/>
  <c r="CE221" i="4"/>
  <c r="CE269" i="4"/>
  <c r="CE270" i="4"/>
  <c r="CE271" i="4"/>
  <c r="CE272" i="4"/>
  <c r="CE273" i="4"/>
  <c r="CE274" i="4"/>
  <c r="CE275" i="4"/>
  <c r="CE276" i="4"/>
  <c r="CE277" i="4"/>
  <c r="CE278" i="4"/>
  <c r="CE279" i="4"/>
  <c r="CE280" i="4"/>
  <c r="CE281" i="4"/>
  <c r="CE284" i="4"/>
  <c r="CE286" i="4"/>
  <c r="CE288" i="4"/>
  <c r="CE289" i="4"/>
  <c r="CE291" i="4"/>
  <c r="CE292" i="4"/>
  <c r="CE296" i="4"/>
  <c r="CE297" i="4"/>
  <c r="CE299" i="4"/>
  <c r="CE300" i="4"/>
  <c r="CE303" i="4"/>
  <c r="CE306" i="4"/>
  <c r="CE312" i="4"/>
  <c r="CE322" i="4"/>
  <c r="CE327" i="4"/>
  <c r="CE335" i="4"/>
  <c r="CE338" i="4"/>
  <c r="CE339" i="4"/>
  <c r="CE340" i="4"/>
  <c r="CE341" i="4"/>
  <c r="CE342" i="4"/>
  <c r="CE343" i="4"/>
  <c r="CE344" i="4"/>
  <c r="CE345" i="4"/>
  <c r="CE346" i="4"/>
  <c r="CE347" i="4"/>
  <c r="CE348" i="4"/>
  <c r="CE349" i="4"/>
  <c r="CE494" i="4"/>
  <c r="CE350" i="4"/>
  <c r="CE351" i="4"/>
  <c r="CE352" i="4"/>
  <c r="CE353" i="4"/>
  <c r="CE354" i="4"/>
  <c r="CE355" i="4"/>
  <c r="CE356" i="4"/>
  <c r="CE357" i="4"/>
  <c r="CE358" i="4"/>
  <c r="CE359" i="4"/>
  <c r="CE360" i="4"/>
  <c r="CE361" i="4"/>
  <c r="CE362" i="4"/>
  <c r="CE363" i="4"/>
  <c r="CE364" i="4"/>
  <c r="CE365" i="4"/>
  <c r="CE366" i="4"/>
  <c r="CE367" i="4"/>
  <c r="CE368" i="4"/>
  <c r="CE369" i="4"/>
  <c r="CE370" i="4"/>
  <c r="CE371" i="4"/>
  <c r="CE372" i="4"/>
  <c r="CE373" i="4"/>
  <c r="CE374" i="4"/>
  <c r="CE375" i="4"/>
  <c r="CE376" i="4"/>
  <c r="CE377" i="4"/>
  <c r="CE378" i="4"/>
  <c r="CE379" i="4"/>
  <c r="CE380" i="4"/>
  <c r="CE381" i="4"/>
  <c r="CE384" i="4"/>
  <c r="CE385" i="4"/>
  <c r="CE386" i="4"/>
  <c r="CE387" i="4"/>
  <c r="CE388" i="4"/>
  <c r="CE389" i="4"/>
  <c r="CE390" i="4"/>
  <c r="CE391" i="4"/>
  <c r="CE392" i="4"/>
  <c r="CE394" i="4"/>
  <c r="CE395" i="4"/>
  <c r="CE396" i="4"/>
  <c r="CE397" i="4"/>
  <c r="CE398" i="4"/>
  <c r="CE399" i="4"/>
  <c r="CE400" i="4"/>
  <c r="CE401" i="4"/>
  <c r="CE402" i="4"/>
  <c r="CE403" i="4"/>
  <c r="CE404" i="4"/>
  <c r="CE405" i="4"/>
  <c r="CE406" i="4"/>
  <c r="CE407" i="4"/>
  <c r="CE409" i="4"/>
  <c r="CE410" i="4"/>
  <c r="CE411" i="4"/>
  <c r="CE412" i="4"/>
  <c r="CE414" i="4"/>
  <c r="CE415" i="4"/>
  <c r="CE416" i="4"/>
  <c r="CE417" i="4"/>
  <c r="CE418" i="4"/>
  <c r="CE419" i="4"/>
  <c r="CE420" i="4"/>
  <c r="CE421" i="4"/>
  <c r="CE422" i="4"/>
  <c r="CE423" i="4"/>
  <c r="CE424" i="4"/>
  <c r="CE425" i="4"/>
  <c r="CE426" i="4"/>
  <c r="CE427" i="4"/>
  <c r="CE428" i="4"/>
  <c r="CE429" i="4"/>
  <c r="CE430" i="4"/>
  <c r="CE431" i="4"/>
  <c r="CE432" i="4"/>
  <c r="CE433" i="4"/>
  <c r="CE434" i="4"/>
  <c r="CE435" i="4"/>
  <c r="CE436" i="4"/>
  <c r="CE437" i="4"/>
  <c r="CE438" i="4"/>
  <c r="CE439" i="4"/>
  <c r="CE440" i="4"/>
  <c r="CE441" i="4"/>
  <c r="CE442" i="4"/>
  <c r="CE443" i="4"/>
  <c r="CE444" i="4"/>
  <c r="CE445" i="4"/>
  <c r="CE446" i="4"/>
  <c r="CE447" i="4"/>
  <c r="CE448" i="4"/>
  <c r="CE449" i="4"/>
  <c r="CE450" i="4"/>
  <c r="CE451" i="4"/>
  <c r="CE452" i="4"/>
  <c r="CE453" i="4"/>
  <c r="CE454" i="4"/>
  <c r="CE455" i="4"/>
  <c r="CE456" i="4"/>
  <c r="CE457" i="4"/>
  <c r="CE458" i="4"/>
  <c r="CE459" i="4"/>
  <c r="CE460" i="4"/>
  <c r="CE461" i="4"/>
  <c r="CE462" i="4"/>
  <c r="CE463" i="4"/>
  <c r="CE464" i="4"/>
  <c r="CE465" i="4"/>
  <c r="CE466" i="4"/>
  <c r="CE467" i="4"/>
  <c r="CE468" i="4"/>
  <c r="CE469" i="4"/>
  <c r="CE470" i="4"/>
  <c r="CE472" i="4"/>
  <c r="CE473" i="4"/>
  <c r="CE474" i="4"/>
  <c r="CE475" i="4"/>
  <c r="CE476" i="4"/>
  <c r="CE477" i="4"/>
  <c r="CE478" i="4"/>
  <c r="CE479" i="4"/>
  <c r="CE480" i="4"/>
  <c r="CE481" i="4"/>
  <c r="CE482" i="4"/>
  <c r="CE483" i="4"/>
  <c r="CE484" i="4"/>
  <c r="CE485" i="4"/>
  <c r="CE486" i="4"/>
  <c r="CE487" i="4"/>
  <c r="CE488" i="4"/>
  <c r="CE489" i="4"/>
  <c r="CE490" i="4"/>
  <c r="CE491" i="4"/>
  <c r="CE492" i="4"/>
  <c r="CE493" i="4"/>
  <c r="CE495" i="4"/>
  <c r="CE497" i="4"/>
  <c r="CE498" i="4"/>
  <c r="CE499" i="4"/>
  <c r="CE500" i="4"/>
  <c r="CE501" i="4"/>
  <c r="CE502" i="4"/>
  <c r="CE503" i="4"/>
  <c r="CE504" i="4"/>
  <c r="CE505" i="4"/>
  <c r="CE506" i="4"/>
  <c r="CE507" i="4"/>
  <c r="CE508" i="4"/>
  <c r="CE509" i="4"/>
  <c r="CE510" i="4"/>
  <c r="CE511" i="4"/>
  <c r="CE512" i="4"/>
  <c r="CE513" i="4"/>
  <c r="CE514" i="4"/>
  <c r="CE515" i="4"/>
  <c r="CE516" i="4"/>
  <c r="CE517" i="4"/>
  <c r="CE518" i="4"/>
  <c r="CE519" i="4"/>
  <c r="CE520" i="4"/>
  <c r="CE521" i="4"/>
  <c r="CE522" i="4"/>
  <c r="CE523" i="4"/>
  <c r="CE524" i="4"/>
  <c r="CE525" i="4"/>
  <c r="CE526" i="4"/>
  <c r="CE528" i="4"/>
  <c r="CE529" i="4"/>
  <c r="CE530" i="4"/>
  <c r="CE531" i="4"/>
  <c r="CE532" i="4"/>
  <c r="CE533" i="4"/>
  <c r="CE534" i="4"/>
  <c r="CE535" i="4"/>
  <c r="CE536" i="4"/>
  <c r="CE537" i="4"/>
  <c r="CE538" i="4"/>
  <c r="CE539" i="4"/>
  <c r="CE540" i="4"/>
  <c r="CE541" i="4"/>
  <c r="CE542" i="4"/>
  <c r="CE543" i="4"/>
  <c r="CE544" i="4"/>
  <c r="CE545" i="4"/>
  <c r="CE546" i="4"/>
  <c r="CE547" i="4"/>
  <c r="CE550" i="4"/>
  <c r="CE552" i="4"/>
  <c r="CE554" i="4"/>
  <c r="CE555" i="4"/>
  <c r="CE556" i="4"/>
  <c r="CE557" i="4"/>
  <c r="CE558" i="4"/>
  <c r="CE559" i="4"/>
  <c r="CE560" i="4"/>
  <c r="CE561" i="4"/>
  <c r="CE562" i="4"/>
  <c r="CE563" i="4"/>
  <c r="CE564" i="4"/>
  <c r="CE565" i="4"/>
  <c r="CE566" i="4"/>
  <c r="CE567" i="4"/>
  <c r="CE568" i="4"/>
  <c r="CE569" i="4"/>
  <c r="CE570" i="4"/>
  <c r="CE571" i="4"/>
  <c r="CE573" i="4"/>
  <c r="CE586" i="4"/>
  <c r="CE588" i="4"/>
  <c r="CE589" i="4"/>
  <c r="CE590" i="4"/>
  <c r="CE591" i="4"/>
  <c r="CE592" i="4"/>
  <c r="CE593" i="4"/>
  <c r="CE594" i="4"/>
  <c r="CE595" i="4"/>
  <c r="CE596" i="4"/>
  <c r="CE597" i="4"/>
  <c r="CE598" i="4"/>
  <c r="CE599" i="4"/>
  <c r="CE600" i="4"/>
  <c r="CE601" i="4"/>
  <c r="CE602" i="4"/>
  <c r="CE603" i="4"/>
  <c r="CE604" i="4"/>
  <c r="CE605" i="4"/>
  <c r="CE606" i="4"/>
  <c r="CE607" i="4"/>
  <c r="CE608" i="4"/>
  <c r="CE609" i="4"/>
  <c r="CE610" i="4"/>
  <c r="CE611" i="4"/>
  <c r="CE612" i="4"/>
  <c r="CE613" i="4"/>
  <c r="CE614" i="4"/>
  <c r="CE615" i="4"/>
  <c r="CE616" i="4"/>
  <c r="CE617" i="4"/>
  <c r="CE618" i="4"/>
  <c r="CE619" i="4"/>
  <c r="CE620" i="4"/>
  <c r="CE621" i="4"/>
  <c r="CE622" i="4"/>
  <c r="CE3" i="4"/>
  <c r="CY601" i="4" l="1"/>
  <c r="DA601" i="4" s="1"/>
  <c r="CY597" i="4"/>
  <c r="DA597" i="4" s="1"/>
  <c r="CY593" i="4"/>
  <c r="DA593" i="4" s="1"/>
  <c r="CY589" i="4"/>
  <c r="DA589" i="4" s="1"/>
  <c r="CY513" i="4"/>
  <c r="DA513" i="4" s="1"/>
  <c r="CY385" i="4"/>
  <c r="DA385" i="4" s="1"/>
  <c r="CX77" i="4"/>
  <c r="CZ77" i="4" s="1"/>
  <c r="CX68" i="4"/>
  <c r="CZ68" i="4" s="1"/>
  <c r="CX58" i="4"/>
  <c r="CZ58" i="4" s="1"/>
  <c r="CX46" i="4"/>
  <c r="CZ46" i="4" s="1"/>
  <c r="CX42" i="4"/>
  <c r="CZ42" i="4" s="1"/>
  <c r="CX36" i="4"/>
  <c r="CZ36" i="4" s="1"/>
  <c r="CX28" i="4"/>
  <c r="CZ28" i="4" s="1"/>
  <c r="CX23" i="4"/>
  <c r="CZ23" i="4" s="1"/>
  <c r="CX19" i="4"/>
  <c r="CZ19" i="4" s="1"/>
  <c r="CX15" i="4"/>
  <c r="CZ15" i="4" s="1"/>
  <c r="CX8" i="4"/>
  <c r="CZ8" i="4" s="1"/>
  <c r="CY569" i="4"/>
  <c r="DA569" i="4" s="1"/>
  <c r="CX508" i="4"/>
  <c r="CZ508" i="4" s="1"/>
  <c r="CX504" i="4"/>
  <c r="CZ504" i="4" s="1"/>
  <c r="CX500" i="4"/>
  <c r="CZ500" i="4" s="1"/>
  <c r="CX495" i="4"/>
  <c r="CZ495" i="4" s="1"/>
  <c r="CX490" i="4"/>
  <c r="CZ490" i="4" s="1"/>
  <c r="CX486" i="4"/>
  <c r="CZ486" i="4" s="1"/>
  <c r="CX482" i="4"/>
  <c r="CZ482" i="4" s="1"/>
  <c r="CX478" i="4"/>
  <c r="CZ478" i="4" s="1"/>
  <c r="CX474" i="4"/>
  <c r="CZ474" i="4" s="1"/>
  <c r="CY428" i="4"/>
  <c r="DA428" i="4" s="1"/>
  <c r="CY424" i="4"/>
  <c r="DA424" i="4" s="1"/>
  <c r="CY420" i="4"/>
  <c r="DA420" i="4" s="1"/>
  <c r="CY416" i="4"/>
  <c r="DA416" i="4" s="1"/>
  <c r="CY411" i="4"/>
  <c r="DA411" i="4" s="1"/>
  <c r="CY406" i="4"/>
  <c r="DA406" i="4" s="1"/>
  <c r="CY125" i="4"/>
  <c r="DA125" i="4" s="1"/>
  <c r="CY107" i="4"/>
  <c r="DA107" i="4" s="1"/>
  <c r="CY100" i="4"/>
  <c r="DA100" i="4" s="1"/>
  <c r="CY75" i="4"/>
  <c r="DA75" i="4" s="1"/>
  <c r="CY60" i="4"/>
  <c r="DA60" i="4" s="1"/>
  <c r="CY50" i="4"/>
  <c r="DA50" i="4" s="1"/>
  <c r="CY44" i="4"/>
  <c r="DA44" i="4" s="1"/>
  <c r="CY38" i="4"/>
  <c r="DA38" i="4" s="1"/>
  <c r="CY32" i="4"/>
  <c r="DA32" i="4" s="1"/>
  <c r="CY26" i="4"/>
  <c r="DA26" i="4" s="1"/>
  <c r="CY21" i="4"/>
  <c r="DA21" i="4" s="1"/>
  <c r="CY17" i="4"/>
  <c r="DA17" i="4" s="1"/>
  <c r="CY13" i="4"/>
  <c r="DA13" i="4" s="1"/>
  <c r="CY619" i="4"/>
  <c r="DA619" i="4" s="1"/>
  <c r="CY615" i="4"/>
  <c r="DA615" i="4" s="1"/>
  <c r="CY611" i="4"/>
  <c r="DA611" i="4" s="1"/>
  <c r="CY607" i="4"/>
  <c r="DA607" i="4" s="1"/>
  <c r="CY603" i="4"/>
  <c r="DA603" i="4" s="1"/>
  <c r="CY599" i="4"/>
  <c r="DA599" i="4" s="1"/>
  <c r="CY595" i="4"/>
  <c r="DA595" i="4" s="1"/>
  <c r="CY591" i="4"/>
  <c r="DA591" i="4" s="1"/>
  <c r="CY587" i="4"/>
  <c r="DA587" i="4" s="1"/>
  <c r="CY515" i="4"/>
  <c r="DA515" i="4" s="1"/>
  <c r="CY468" i="4"/>
  <c r="DA468" i="4" s="1"/>
  <c r="CY464" i="4"/>
  <c r="DA464" i="4" s="1"/>
  <c r="CY460" i="4"/>
  <c r="DA460" i="4" s="1"/>
  <c r="CY456" i="4"/>
  <c r="DA456" i="4" s="1"/>
  <c r="CY452" i="4"/>
  <c r="DA452" i="4" s="1"/>
  <c r="CY448" i="4"/>
  <c r="DA448" i="4" s="1"/>
  <c r="CY444" i="4"/>
  <c r="DA444" i="4" s="1"/>
  <c r="CY440" i="4"/>
  <c r="DA440" i="4" s="1"/>
  <c r="CY436" i="4"/>
  <c r="DA436" i="4" s="1"/>
  <c r="CY432" i="4"/>
  <c r="DA432" i="4" s="1"/>
  <c r="CX416" i="4"/>
  <c r="CZ416" i="4" s="1"/>
  <c r="CX411" i="4"/>
  <c r="CZ411" i="4" s="1"/>
  <c r="CX406" i="4"/>
  <c r="CZ406" i="4" s="1"/>
  <c r="CY387" i="4"/>
  <c r="DA387" i="4" s="1"/>
  <c r="CY381" i="4"/>
  <c r="DA381" i="4" s="1"/>
  <c r="CY377" i="4"/>
  <c r="DA377" i="4" s="1"/>
  <c r="CY373" i="4"/>
  <c r="DA373" i="4" s="1"/>
  <c r="CY369" i="4"/>
  <c r="DA369" i="4" s="1"/>
  <c r="CY365" i="4"/>
  <c r="DA365" i="4" s="1"/>
  <c r="CY361" i="4"/>
  <c r="DA361" i="4" s="1"/>
  <c r="CY357" i="4"/>
  <c r="DA357" i="4" s="1"/>
  <c r="CY353" i="4"/>
  <c r="DA353" i="4" s="1"/>
  <c r="CY349" i="4"/>
  <c r="DA349" i="4" s="1"/>
  <c r="CX125" i="4"/>
  <c r="CZ125" i="4" s="1"/>
  <c r="CX107" i="4"/>
  <c r="CZ107" i="4" s="1"/>
  <c r="CX100" i="4"/>
  <c r="CZ100" i="4" s="1"/>
  <c r="CX75" i="4"/>
  <c r="CZ75" i="4" s="1"/>
  <c r="CX60" i="4"/>
  <c r="CZ60" i="4" s="1"/>
  <c r="CX50" i="4"/>
  <c r="CZ50" i="4" s="1"/>
  <c r="CX44" i="4"/>
  <c r="CZ44" i="4" s="1"/>
  <c r="CX38" i="4"/>
  <c r="CZ38" i="4" s="1"/>
  <c r="CX32" i="4"/>
  <c r="CZ32" i="4" s="1"/>
  <c r="CX26" i="4"/>
  <c r="CZ26" i="4" s="1"/>
  <c r="CX21" i="4"/>
  <c r="CZ21" i="4" s="1"/>
  <c r="CX17" i="4"/>
  <c r="CZ17" i="4" s="1"/>
  <c r="CX13" i="4"/>
  <c r="CZ13" i="4" s="1"/>
  <c r="CF638" i="4"/>
  <c r="CX603" i="4"/>
  <c r="CZ603" i="4" s="1"/>
  <c r="CX599" i="4"/>
  <c r="CZ599" i="4" s="1"/>
  <c r="CX595" i="4"/>
  <c r="CZ595" i="4" s="1"/>
  <c r="CX591" i="4"/>
  <c r="CZ591" i="4" s="1"/>
  <c r="CX587" i="4"/>
  <c r="CZ587" i="4" s="1"/>
  <c r="CY567" i="4"/>
  <c r="DA567" i="4" s="1"/>
  <c r="CY563" i="4"/>
  <c r="DA563" i="4" s="1"/>
  <c r="CY559" i="4"/>
  <c r="DA559" i="4" s="1"/>
  <c r="CY555" i="4"/>
  <c r="DA555" i="4" s="1"/>
  <c r="CY547" i="4"/>
  <c r="DA547" i="4" s="1"/>
  <c r="CY543" i="4"/>
  <c r="DA543" i="4" s="1"/>
  <c r="CY539" i="4"/>
  <c r="DA539" i="4" s="1"/>
  <c r="CY535" i="4"/>
  <c r="DA535" i="4" s="1"/>
  <c r="CY531" i="4"/>
  <c r="DA531" i="4" s="1"/>
  <c r="CY527" i="4"/>
  <c r="DA527" i="4" s="1"/>
  <c r="CY523" i="4"/>
  <c r="DA523" i="4" s="1"/>
  <c r="CY519" i="4"/>
  <c r="DA519" i="4" s="1"/>
  <c r="CX515" i="4"/>
  <c r="CZ515" i="4" s="1"/>
  <c r="CY404" i="4"/>
  <c r="DA404" i="4" s="1"/>
  <c r="CY400" i="4"/>
  <c r="DA400" i="4" s="1"/>
  <c r="CY396" i="4"/>
  <c r="DA396" i="4" s="1"/>
  <c r="CX387" i="4"/>
  <c r="CZ387" i="4" s="1"/>
  <c r="CX381" i="4"/>
  <c r="CZ381" i="4" s="1"/>
  <c r="CX377" i="4"/>
  <c r="CZ377" i="4" s="1"/>
  <c r="CX373" i="4"/>
  <c r="CZ373" i="4" s="1"/>
  <c r="CX369" i="4"/>
  <c r="CZ369" i="4" s="1"/>
  <c r="CX365" i="4"/>
  <c r="CZ365" i="4" s="1"/>
  <c r="CX361" i="4"/>
  <c r="CZ361" i="4" s="1"/>
  <c r="CX357" i="4"/>
  <c r="CZ357" i="4" s="1"/>
  <c r="CX353" i="4"/>
  <c r="CZ353" i="4" s="1"/>
  <c r="CX341" i="4"/>
  <c r="CZ341" i="4" s="1"/>
  <c r="CX335" i="4"/>
  <c r="CZ335" i="4" s="1"/>
  <c r="CX306" i="4"/>
  <c r="CZ306" i="4" s="1"/>
  <c r="CX297" i="4"/>
  <c r="CZ297" i="4" s="1"/>
  <c r="CX289" i="4"/>
  <c r="CZ289" i="4" s="1"/>
  <c r="CY276" i="4"/>
  <c r="DA276" i="4" s="1"/>
  <c r="CY272" i="4"/>
  <c r="DA272" i="4" s="1"/>
  <c r="CX527" i="4"/>
  <c r="CZ527" i="4" s="1"/>
  <c r="CX523" i="4"/>
  <c r="CZ523" i="4" s="1"/>
  <c r="CX519" i="4"/>
  <c r="CZ519" i="4" s="1"/>
  <c r="CY506" i="4"/>
  <c r="DA506" i="4" s="1"/>
  <c r="CY502" i="4"/>
  <c r="DA502" i="4" s="1"/>
  <c r="CY498" i="4"/>
  <c r="DA498" i="4" s="1"/>
  <c r="CY492" i="4"/>
  <c r="DA492" i="4" s="1"/>
  <c r="CY488" i="4"/>
  <c r="DA488" i="4" s="1"/>
  <c r="CY484" i="4"/>
  <c r="DA484" i="4" s="1"/>
  <c r="CY480" i="4"/>
  <c r="DA480" i="4" s="1"/>
  <c r="CX404" i="4"/>
  <c r="CZ404" i="4" s="1"/>
  <c r="CX400" i="4"/>
  <c r="CZ400" i="4" s="1"/>
  <c r="CX396" i="4"/>
  <c r="CZ396" i="4" s="1"/>
  <c r="CY390" i="4"/>
  <c r="DA390" i="4" s="1"/>
  <c r="CY288" i="4"/>
  <c r="DA288" i="4" s="1"/>
  <c r="CY280" i="4"/>
  <c r="DA280" i="4" s="1"/>
  <c r="CK621" i="4"/>
  <c r="CX622" i="4"/>
  <c r="CZ622" i="4" s="1"/>
  <c r="CX506" i="4"/>
  <c r="CZ506" i="4" s="1"/>
  <c r="CX502" i="4"/>
  <c r="CZ502" i="4" s="1"/>
  <c r="CX498" i="4"/>
  <c r="CZ498" i="4" s="1"/>
  <c r="CX492" i="4"/>
  <c r="CZ492" i="4" s="1"/>
  <c r="CX488" i="4"/>
  <c r="CZ488" i="4" s="1"/>
  <c r="CX484" i="4"/>
  <c r="CZ484" i="4" s="1"/>
  <c r="CX480" i="4"/>
  <c r="CZ480" i="4" s="1"/>
  <c r="CX476" i="4"/>
  <c r="CZ476" i="4" s="1"/>
  <c r="CY426" i="4"/>
  <c r="DA426" i="4" s="1"/>
  <c r="CY422" i="4"/>
  <c r="DA422" i="4" s="1"/>
  <c r="CY418" i="4"/>
  <c r="DA418" i="4" s="1"/>
  <c r="CY414" i="4"/>
  <c r="DA414" i="4" s="1"/>
  <c r="CY409" i="4"/>
  <c r="DA409" i="4" s="1"/>
  <c r="CY133" i="4"/>
  <c r="DA133" i="4" s="1"/>
  <c r="CY110" i="4"/>
  <c r="DA110" i="4" s="1"/>
  <c r="CY104" i="4"/>
  <c r="DA104" i="4" s="1"/>
  <c r="CY77" i="4"/>
  <c r="DA77" i="4" s="1"/>
  <c r="CY68" i="4"/>
  <c r="DA68" i="4" s="1"/>
  <c r="CY58" i="4"/>
  <c r="DA58" i="4" s="1"/>
  <c r="CY46" i="4"/>
  <c r="DA46" i="4" s="1"/>
  <c r="CY42" i="4"/>
  <c r="DA42" i="4" s="1"/>
  <c r="CY36" i="4"/>
  <c r="DA36" i="4" s="1"/>
  <c r="CY28" i="4"/>
  <c r="DA28" i="4" s="1"/>
  <c r="CY23" i="4"/>
  <c r="DA23" i="4" s="1"/>
  <c r="CY19" i="4"/>
  <c r="DA19" i="4" s="1"/>
  <c r="CY15" i="4"/>
  <c r="DA15" i="4" s="1"/>
  <c r="CY8" i="4"/>
  <c r="DA8" i="4" s="1"/>
  <c r="DA512" i="4"/>
  <c r="CZ221" i="4"/>
  <c r="CU401" i="4"/>
  <c r="CZ345" i="4"/>
  <c r="DA392" i="4"/>
  <c r="CZ392" i="4"/>
  <c r="CY6" i="4"/>
  <c r="DA6" i="4" s="1"/>
  <c r="CQ638" i="4"/>
  <c r="CT573" i="4"/>
  <c r="CU573" i="4"/>
  <c r="CU306" i="4"/>
  <c r="CT306" i="4"/>
  <c r="CY3" i="4"/>
  <c r="CT341" i="4"/>
  <c r="CK619" i="4"/>
  <c r="CK611" i="4"/>
  <c r="CK595" i="4"/>
  <c r="CK587" i="4"/>
  <c r="CK557" i="4"/>
  <c r="CK545" i="4"/>
  <c r="CK537" i="4"/>
  <c r="CK565" i="4"/>
  <c r="CT603" i="4"/>
  <c r="CS638" i="4"/>
  <c r="CT46" i="4"/>
  <c r="CO638" i="4"/>
  <c r="CK513" i="4"/>
  <c r="CL470" i="4"/>
  <c r="CL396" i="4"/>
  <c r="CL353" i="4"/>
  <c r="CL594" i="4"/>
  <c r="CL479" i="4"/>
  <c r="CL438" i="4"/>
  <c r="CL377" i="4"/>
  <c r="CJ638" i="4"/>
  <c r="CL487" i="4"/>
  <c r="CL404" i="4"/>
  <c r="CL610" i="4"/>
  <c r="CK616" i="4"/>
  <c r="CL600" i="4"/>
  <c r="CL554" i="4"/>
  <c r="CL526" i="4"/>
  <c r="CL608" i="4"/>
  <c r="CL592" i="4"/>
  <c r="CL570" i="4"/>
  <c r="CL562" i="4"/>
  <c r="CL542" i="4"/>
  <c r="CL534" i="4"/>
  <c r="CL518" i="4"/>
  <c r="CL510" i="4"/>
  <c r="CL3" i="4"/>
  <c r="CK615" i="4"/>
  <c r="CK607" i="4"/>
  <c r="CK599" i="4"/>
  <c r="CK591" i="4"/>
  <c r="CK561" i="4"/>
  <c r="CK541" i="4"/>
  <c r="CK533" i="4"/>
  <c r="CK525" i="4"/>
  <c r="CK517" i="4"/>
  <c r="CK509" i="4"/>
  <c r="CK501" i="4"/>
  <c r="CL491" i="4"/>
  <c r="CL483" i="4"/>
  <c r="CL475" i="4"/>
  <c r="CL466" i="4"/>
  <c r="CL458" i="4"/>
  <c r="CL450" i="4"/>
  <c r="CL442" i="4"/>
  <c r="CL434" i="4"/>
  <c r="CL418" i="4"/>
  <c r="CL409" i="4"/>
  <c r="CL400" i="4"/>
  <c r="CL391" i="4"/>
  <c r="CL381" i="4"/>
  <c r="CL373" i="4"/>
  <c r="CL365" i="4"/>
  <c r="CL494" i="4"/>
  <c r="CL342" i="4"/>
  <c r="CK505" i="4"/>
  <c r="CL462" i="4"/>
  <c r="CL422" i="4"/>
  <c r="CL602" i="4"/>
  <c r="CK306" i="4"/>
  <c r="CK292" i="4"/>
  <c r="CK279" i="4"/>
  <c r="CK271" i="4"/>
  <c r="CK110" i="4"/>
  <c r="CK28" i="4"/>
  <c r="CK19" i="4"/>
  <c r="CK8" i="4"/>
  <c r="CL446" i="4"/>
  <c r="CL387" i="4"/>
  <c r="CK486" i="4"/>
  <c r="CK622" i="4"/>
  <c r="CK490" i="4"/>
  <c r="CK521" i="4"/>
  <c r="CL454" i="4"/>
  <c r="CL414" i="4"/>
  <c r="CL369" i="4"/>
  <c r="CL346" i="4"/>
  <c r="CK620" i="4"/>
  <c r="CL566" i="4"/>
  <c r="CL558" i="4"/>
  <c r="CL546" i="4"/>
  <c r="CL538" i="4"/>
  <c r="CL530" i="4"/>
  <c r="CL514" i="4"/>
  <c r="CL498" i="4"/>
  <c r="CK488" i="4"/>
  <c r="CK480" i="4"/>
  <c r="CL472" i="4"/>
  <c r="CL463" i="4"/>
  <c r="CL455" i="4"/>
  <c r="CL447" i="4"/>
  <c r="CL439" i="4"/>
  <c r="CL431" i="4"/>
  <c r="CL423" i="4"/>
  <c r="CL405" i="4"/>
  <c r="CL397" i="4"/>
  <c r="CL388" i="4"/>
  <c r="CL378" i="4"/>
  <c r="CL370" i="4"/>
  <c r="CL362" i="4"/>
  <c r="CL354" i="4"/>
  <c r="CL339" i="4"/>
  <c r="CK269" i="4"/>
  <c r="CK75" i="4"/>
  <c r="CK38" i="4"/>
  <c r="CK17" i="4"/>
  <c r="CX3" i="4"/>
  <c r="CX638" i="4" s="1"/>
  <c r="CH638" i="4"/>
  <c r="CT618" i="4"/>
  <c r="CT608" i="4"/>
  <c r="CT604" i="4"/>
  <c r="CT526" i="4"/>
  <c r="CT492" i="4"/>
  <c r="CT480" i="4"/>
  <c r="CT421" i="4"/>
  <c r="CT407" i="4"/>
  <c r="CT403" i="4"/>
  <c r="CT399" i="4"/>
  <c r="CT395" i="4"/>
  <c r="CT390" i="4"/>
  <c r="CT386" i="4"/>
  <c r="CT380" i="4"/>
  <c r="CT376" i="4"/>
  <c r="CT372" i="4"/>
  <c r="CT356" i="4"/>
  <c r="CT349" i="4"/>
  <c r="CT345" i="4"/>
  <c r="CT387" i="4"/>
  <c r="CT381" i="4"/>
  <c r="CU606" i="4"/>
  <c r="CU528" i="4"/>
  <c r="CU518" i="4"/>
  <c r="CU504" i="4"/>
  <c r="CU484" i="4"/>
  <c r="CU449" i="4"/>
  <c r="CU368" i="4"/>
  <c r="CT300" i="4"/>
  <c r="CT292" i="4"/>
  <c r="CT286" i="4"/>
  <c r="CT279" i="4"/>
  <c r="CU77" i="4"/>
  <c r="CU28" i="4"/>
  <c r="CU19" i="4"/>
  <c r="CL568" i="4"/>
  <c r="CL560" i="4"/>
  <c r="CL550" i="4"/>
  <c r="CL540" i="4"/>
  <c r="CL524" i="4"/>
  <c r="CL516" i="4"/>
  <c r="CL508" i="4"/>
  <c r="CL500" i="4"/>
  <c r="CL380" i="4"/>
  <c r="CL364" i="4"/>
  <c r="CL356" i="4"/>
  <c r="CL349" i="4"/>
  <c r="CL341" i="4"/>
  <c r="CU450" i="4"/>
  <c r="CU434" i="4"/>
  <c r="CU361" i="4"/>
  <c r="CK617" i="4"/>
  <c r="CK609" i="4"/>
  <c r="CK601" i="4"/>
  <c r="CU58" i="4"/>
  <c r="CK589" i="4"/>
  <c r="CT479" i="4"/>
  <c r="CT454" i="4"/>
  <c r="CK597" i="4"/>
  <c r="CT569" i="4"/>
  <c r="CT565" i="4"/>
  <c r="CU561" i="4"/>
  <c r="CT557" i="4"/>
  <c r="CT545" i="4"/>
  <c r="CU537" i="4"/>
  <c r="CT442" i="4"/>
  <c r="CT438" i="4"/>
  <c r="CU426" i="4"/>
  <c r="CK605" i="4"/>
  <c r="CU592" i="4"/>
  <c r="CU400" i="4"/>
  <c r="CU554" i="4"/>
  <c r="CT529" i="4"/>
  <c r="CU525" i="4"/>
  <c r="CU521" i="4"/>
  <c r="CU513" i="4"/>
  <c r="CT501" i="4"/>
  <c r="CU497" i="4"/>
  <c r="CU491" i="4"/>
  <c r="CU487" i="4"/>
  <c r="CT19" i="4"/>
  <c r="CL465" i="4"/>
  <c r="CK567" i="4"/>
  <c r="CK559" i="4"/>
  <c r="CK547" i="4"/>
  <c r="CK531" i="4"/>
  <c r="CK523" i="4"/>
  <c r="CK515" i="4"/>
  <c r="CK507" i="4"/>
  <c r="CK499" i="4"/>
  <c r="CL481" i="4"/>
  <c r="CL473" i="4"/>
  <c r="CL456" i="4"/>
  <c r="CL448" i="4"/>
  <c r="CL440" i="4"/>
  <c r="CL432" i="4"/>
  <c r="CL424" i="4"/>
  <c r="CL416" i="4"/>
  <c r="CL406" i="4"/>
  <c r="CL389" i="4"/>
  <c r="CL379" i="4"/>
  <c r="CL371" i="4"/>
  <c r="CL363" i="4"/>
  <c r="CL355" i="4"/>
  <c r="CL348" i="4"/>
  <c r="CL340" i="4"/>
  <c r="CK498" i="4"/>
  <c r="CT562" i="4"/>
  <c r="CU457" i="4"/>
  <c r="CT361" i="4"/>
  <c r="CT357" i="4"/>
  <c r="CT353" i="4"/>
  <c r="CT494" i="4"/>
  <c r="CT346" i="4"/>
  <c r="CT342" i="4"/>
  <c r="CT338" i="4"/>
  <c r="CT312" i="4"/>
  <c r="CL612" i="4"/>
  <c r="CL604" i="4"/>
  <c r="CL588" i="4"/>
  <c r="CT276" i="4"/>
  <c r="CU610" i="4"/>
  <c r="CK497" i="4"/>
  <c r="CU335" i="4"/>
  <c r="CU300" i="4"/>
  <c r="CL457" i="4"/>
  <c r="CK618" i="4"/>
  <c r="CL573" i="4"/>
  <c r="CL564" i="4"/>
  <c r="CL556" i="4"/>
  <c r="CL544" i="4"/>
  <c r="CL536" i="4"/>
  <c r="CL528" i="4"/>
  <c r="CL520" i="4"/>
  <c r="CL504" i="4"/>
  <c r="CL495" i="4"/>
  <c r="CL478" i="4"/>
  <c r="CL469" i="4"/>
  <c r="CL461" i="4"/>
  <c r="CL453" i="4"/>
  <c r="CL437" i="4"/>
  <c r="CL429" i="4"/>
  <c r="CL421" i="4"/>
  <c r="CL412" i="4"/>
  <c r="CL403" i="4"/>
  <c r="CL395" i="4"/>
  <c r="CL386" i="4"/>
  <c r="CL368" i="4"/>
  <c r="CL360" i="4"/>
  <c r="CL352" i="4"/>
  <c r="CL345" i="4"/>
  <c r="CT3" i="4"/>
  <c r="CU621" i="4"/>
  <c r="CT615" i="4"/>
  <c r="CU587" i="4"/>
  <c r="CU545" i="4"/>
  <c r="CU541" i="4"/>
  <c r="CU104" i="4"/>
  <c r="CU20" i="4"/>
  <c r="CT6" i="4"/>
  <c r="CK571" i="4"/>
  <c r="CK563" i="4"/>
  <c r="CK555" i="4"/>
  <c r="CK543" i="4"/>
  <c r="CK535" i="4"/>
  <c r="CK527" i="4"/>
  <c r="CK511" i="4"/>
  <c r="CK503" i="4"/>
  <c r="CL477" i="4"/>
  <c r="CL468" i="4"/>
  <c r="CL452" i="4"/>
  <c r="CL444" i="4"/>
  <c r="CL436" i="4"/>
  <c r="CL428" i="4"/>
  <c r="CL420" i="4"/>
  <c r="CL411" i="4"/>
  <c r="CL402" i="4"/>
  <c r="CL385" i="4"/>
  <c r="CL375" i="4"/>
  <c r="CL367" i="4"/>
  <c r="CL359" i="4"/>
  <c r="CL351" i="4"/>
  <c r="CL344" i="4"/>
  <c r="CT450" i="4"/>
  <c r="CT133" i="4"/>
  <c r="CT104" i="4"/>
  <c r="CU46" i="4"/>
  <c r="CL485" i="4"/>
  <c r="CK456" i="4"/>
  <c r="CL8" i="4"/>
  <c r="CU3" i="4"/>
  <c r="CT599" i="4"/>
  <c r="CU595" i="4"/>
  <c r="CT591" i="4"/>
  <c r="CT587" i="4"/>
  <c r="CU569" i="4"/>
  <c r="CT554" i="4"/>
  <c r="CU479" i="4"/>
  <c r="CU475" i="4"/>
  <c r="CU466" i="4"/>
  <c r="CT462" i="4"/>
  <c r="CU422" i="4"/>
  <c r="CU133" i="4"/>
  <c r="CU24" i="4"/>
  <c r="CT15" i="4"/>
  <c r="CT8" i="4"/>
  <c r="CL502" i="4"/>
  <c r="CK556" i="4"/>
  <c r="CK389" i="4"/>
  <c r="CU544" i="4"/>
  <c r="CU495" i="4"/>
  <c r="CU492" i="4"/>
  <c r="CU387" i="4"/>
  <c r="CU37" i="4"/>
  <c r="CK508" i="4"/>
  <c r="CT275" i="4"/>
  <c r="CT271" i="4"/>
  <c r="CU6" i="4"/>
  <c r="CK569" i="4"/>
  <c r="CL614" i="4"/>
  <c r="CL598" i="4"/>
  <c r="CL590" i="4"/>
  <c r="CK482" i="4"/>
  <c r="CK474" i="4"/>
  <c r="CL449" i="4"/>
  <c r="CL433" i="4"/>
  <c r="CL425" i="4"/>
  <c r="CL417" i="4"/>
  <c r="CL407" i="4"/>
  <c r="CL399" i="4"/>
  <c r="CL390" i="4"/>
  <c r="CU414" i="4"/>
  <c r="CU296" i="4"/>
  <c r="CU288" i="4"/>
  <c r="CU36" i="4"/>
  <c r="CT28" i="4"/>
  <c r="CL489" i="4"/>
  <c r="CK566" i="4"/>
  <c r="CT602" i="4"/>
  <c r="CT598" i="4"/>
  <c r="CT596" i="4"/>
  <c r="CT552" i="4"/>
  <c r="CU529" i="4"/>
  <c r="CU478" i="4"/>
  <c r="CT461" i="4"/>
  <c r="CU276" i="4"/>
  <c r="CU272" i="4"/>
  <c r="CU116" i="4"/>
  <c r="CU105" i="4"/>
  <c r="CT77" i="4"/>
  <c r="CT58" i="4"/>
  <c r="CT36" i="4"/>
  <c r="CL506" i="4"/>
  <c r="CL482" i="4"/>
  <c r="CU613" i="4"/>
  <c r="CU607" i="4"/>
  <c r="CU586" i="4"/>
  <c r="CU509" i="4"/>
  <c r="CU505" i="4"/>
  <c r="CU483" i="4"/>
  <c r="CU421" i="4"/>
  <c r="CU417" i="4"/>
  <c r="CK489" i="4"/>
  <c r="CT607" i="4"/>
  <c r="CT433" i="4"/>
  <c r="CT429" i="4"/>
  <c r="CT425" i="4"/>
  <c r="CU360" i="4"/>
  <c r="CK552" i="4"/>
  <c r="CL426" i="4"/>
  <c r="CL357" i="4"/>
  <c r="CK612" i="4"/>
  <c r="CK602" i="4"/>
  <c r="CK550" i="4"/>
  <c r="CK538" i="4"/>
  <c r="CK528" i="4"/>
  <c r="CK448" i="4"/>
  <c r="CK379" i="4"/>
  <c r="CT613" i="4"/>
  <c r="CU603" i="4"/>
  <c r="CT594" i="4"/>
  <c r="CT592" i="4"/>
  <c r="CT558" i="4"/>
  <c r="CT541" i="4"/>
  <c r="CT509" i="4"/>
  <c r="CU461" i="4"/>
  <c r="CU454" i="4"/>
  <c r="CT441" i="4"/>
  <c r="CT417" i="4"/>
  <c r="CU407" i="4"/>
  <c r="CT396" i="4"/>
  <c r="CU373" i="4"/>
  <c r="CT360" i="4"/>
  <c r="CU349" i="4"/>
  <c r="CT296" i="4"/>
  <c r="CT280" i="4"/>
  <c r="CT110" i="4"/>
  <c r="CU43" i="4"/>
  <c r="CL606" i="4"/>
  <c r="CL532" i="4"/>
  <c r="CL441" i="4"/>
  <c r="CL372" i="4"/>
  <c r="CK77" i="4"/>
  <c r="CK58" i="4"/>
  <c r="CK42" i="4"/>
  <c r="CL618" i="4"/>
  <c r="CK598" i="4"/>
  <c r="CK588" i="4"/>
  <c r="CK573" i="4"/>
  <c r="CK524" i="4"/>
  <c r="CK514" i="4"/>
  <c r="CK504" i="4"/>
  <c r="CK440" i="4"/>
  <c r="CK371" i="4"/>
  <c r="CT525" i="4"/>
  <c r="CT466" i="4"/>
  <c r="CU433" i="4"/>
  <c r="CU356" i="4"/>
  <c r="CK613" i="4"/>
  <c r="CK539" i="4"/>
  <c r="CL464" i="4"/>
  <c r="CL398" i="4"/>
  <c r="CK568" i="4"/>
  <c r="CK558" i="4"/>
  <c r="CK544" i="4"/>
  <c r="CK500" i="4"/>
  <c r="CK478" i="4"/>
  <c r="CK432" i="4"/>
  <c r="CK363" i="4"/>
  <c r="CL38" i="4"/>
  <c r="CU591" i="4"/>
  <c r="CT533" i="4"/>
  <c r="CT521" i="4"/>
  <c r="CT514" i="4"/>
  <c r="CU462" i="4"/>
  <c r="CU442" i="4"/>
  <c r="CU438" i="4"/>
  <c r="CT373" i="4"/>
  <c r="CT369" i="4"/>
  <c r="CL596" i="4"/>
  <c r="CL522" i="4"/>
  <c r="CL415" i="4"/>
  <c r="CL347" i="4"/>
  <c r="CL620" i="4"/>
  <c r="CK604" i="4"/>
  <c r="CK594" i="4"/>
  <c r="CK540" i="4"/>
  <c r="CK530" i="4"/>
  <c r="CK520" i="4"/>
  <c r="CK424" i="4"/>
  <c r="CK355" i="4"/>
  <c r="CU618" i="4"/>
  <c r="CT614" i="4"/>
  <c r="CT595" i="4"/>
  <c r="CT561" i="4"/>
  <c r="CU557" i="4"/>
  <c r="CU512" i="4"/>
  <c r="CU501" i="4"/>
  <c r="CT497" i="4"/>
  <c r="CT491" i="4"/>
  <c r="CU486" i="4"/>
  <c r="CT475" i="4"/>
  <c r="CT470" i="4"/>
  <c r="CT446" i="4"/>
  <c r="CU395" i="4"/>
  <c r="CT365" i="4"/>
  <c r="CU494" i="4"/>
  <c r="CU345" i="4"/>
  <c r="CT335" i="4"/>
  <c r="CU279" i="4"/>
  <c r="CU271" i="4"/>
  <c r="CT221" i="4"/>
  <c r="CT68" i="4"/>
  <c r="CT37" i="4"/>
  <c r="CU15" i="4"/>
  <c r="CK603" i="4"/>
  <c r="CK529" i="4"/>
  <c r="CL430" i="4"/>
  <c r="CL361" i="4"/>
  <c r="CK590" i="4"/>
  <c r="CK564" i="4"/>
  <c r="CK516" i="4"/>
  <c r="CK506" i="4"/>
  <c r="CK495" i="4"/>
  <c r="CK487" i="4"/>
  <c r="CL480" i="4"/>
  <c r="CK416" i="4"/>
  <c r="CK348" i="4"/>
  <c r="CL306" i="4"/>
  <c r="CT610" i="4"/>
  <c r="CU600" i="4"/>
  <c r="CU598" i="4"/>
  <c r="CU596" i="4"/>
  <c r="CU564" i="4"/>
  <c r="CU562" i="4"/>
  <c r="CU552" i="4"/>
  <c r="CU536" i="4"/>
  <c r="CU534" i="4"/>
  <c r="CU517" i="4"/>
  <c r="CT513" i="4"/>
  <c r="CU502" i="4"/>
  <c r="CT487" i="4"/>
  <c r="CU429" i="4"/>
  <c r="CU409" i="4"/>
  <c r="CU380" i="4"/>
  <c r="CT368" i="4"/>
  <c r="CL586" i="4"/>
  <c r="CL512" i="4"/>
  <c r="CL445" i="4"/>
  <c r="CL376" i="4"/>
  <c r="CL622" i="4"/>
  <c r="CK610" i="4"/>
  <c r="CK560" i="4"/>
  <c r="CK546" i="4"/>
  <c r="CK536" i="4"/>
  <c r="CK473" i="4"/>
  <c r="CK406" i="4"/>
  <c r="CK340" i="4"/>
  <c r="CL77" i="4"/>
  <c r="CU469" i="4"/>
  <c r="CU445" i="4"/>
  <c r="CU312" i="4"/>
  <c r="CU78" i="4"/>
  <c r="CU59" i="4"/>
  <c r="CK593" i="4"/>
  <c r="CK519" i="4"/>
  <c r="CL493" i="4"/>
  <c r="CL460" i="4"/>
  <c r="CL394" i="4"/>
  <c r="CK606" i="4"/>
  <c r="CK596" i="4"/>
  <c r="CK586" i="4"/>
  <c r="CK532" i="4"/>
  <c r="CK522" i="4"/>
  <c r="CK512" i="4"/>
  <c r="CK464" i="4"/>
  <c r="CK398" i="4"/>
  <c r="CT517" i="4"/>
  <c r="CT42" i="4"/>
  <c r="CK484" i="4"/>
  <c r="CL484" i="4"/>
  <c r="CL451" i="4"/>
  <c r="CK451" i="4"/>
  <c r="CL427" i="4"/>
  <c r="CK427" i="4"/>
  <c r="CL419" i="4"/>
  <c r="CK419" i="4"/>
  <c r="CL410" i="4"/>
  <c r="CK410" i="4"/>
  <c r="CL401" i="4"/>
  <c r="CK401" i="4"/>
  <c r="CL392" i="4"/>
  <c r="CK392" i="4"/>
  <c r="CL384" i="4"/>
  <c r="CK384" i="4"/>
  <c r="CL374" i="4"/>
  <c r="CK374" i="4"/>
  <c r="CL366" i="4"/>
  <c r="CK366" i="4"/>
  <c r="CL358" i="4"/>
  <c r="CK358" i="4"/>
  <c r="CL350" i="4"/>
  <c r="CK350" i="4"/>
  <c r="CL343" i="4"/>
  <c r="CK343" i="4"/>
  <c r="CK322" i="4"/>
  <c r="CL322" i="4"/>
  <c r="CK297" i="4"/>
  <c r="CL297" i="4"/>
  <c r="CK281" i="4"/>
  <c r="CL281" i="4"/>
  <c r="CK273" i="4"/>
  <c r="CL273" i="4"/>
  <c r="CK125" i="4"/>
  <c r="CL125" i="4"/>
  <c r="CK100" i="4"/>
  <c r="CL100" i="4"/>
  <c r="CK60" i="4"/>
  <c r="CL60" i="4"/>
  <c r="CK44" i="4"/>
  <c r="CL44" i="4"/>
  <c r="CK32" i="4"/>
  <c r="CL32" i="4"/>
  <c r="CK21" i="4"/>
  <c r="CL21" i="4"/>
  <c r="CK13" i="4"/>
  <c r="CL13" i="4"/>
  <c r="CL616" i="4"/>
  <c r="CK600" i="4"/>
  <c r="CK562" i="4"/>
  <c r="CK542" i="4"/>
  <c r="CK526" i="4"/>
  <c r="CK510" i="4"/>
  <c r="CK476" i="4"/>
  <c r="CL476" i="4"/>
  <c r="CL435" i="4"/>
  <c r="CK435" i="4"/>
  <c r="CL459" i="4"/>
  <c r="CK459" i="4"/>
  <c r="CL467" i="4"/>
  <c r="CK467" i="4"/>
  <c r="CK608" i="4"/>
  <c r="CK592" i="4"/>
  <c r="CK570" i="4"/>
  <c r="CK554" i="4"/>
  <c r="CK534" i="4"/>
  <c r="CK518" i="4"/>
  <c r="CK502" i="4"/>
  <c r="CK492" i="4"/>
  <c r="CL492" i="4"/>
  <c r="CL443" i="4"/>
  <c r="CK443" i="4"/>
  <c r="CK296" i="4"/>
  <c r="CL296" i="4"/>
  <c r="CK29" i="4"/>
  <c r="CL29" i="4"/>
  <c r="CT617" i="4"/>
  <c r="CU617" i="4"/>
  <c r="CK280" i="4"/>
  <c r="CL280" i="4"/>
  <c r="CK43" i="4"/>
  <c r="CL43" i="4"/>
  <c r="CT465" i="4"/>
  <c r="CU465" i="4"/>
  <c r="CK614" i="4"/>
  <c r="CK491" i="4"/>
  <c r="CK475" i="4"/>
  <c r="CK469" i="4"/>
  <c r="CK461" i="4"/>
  <c r="CK453" i="4"/>
  <c r="CK445" i="4"/>
  <c r="CK437" i="4"/>
  <c r="CK429" i="4"/>
  <c r="CK421" i="4"/>
  <c r="CK412" i="4"/>
  <c r="CK403" i="4"/>
  <c r="CK395" i="4"/>
  <c r="CK386" i="4"/>
  <c r="CK376" i="4"/>
  <c r="CK368" i="4"/>
  <c r="CK360" i="4"/>
  <c r="CK352" i="4"/>
  <c r="CK345" i="4"/>
  <c r="CL292" i="4"/>
  <c r="CL269" i="4"/>
  <c r="CL58" i="4"/>
  <c r="CK272" i="4"/>
  <c r="CL272" i="4"/>
  <c r="CK59" i="4"/>
  <c r="CL59" i="4"/>
  <c r="CK291" i="4"/>
  <c r="CL291" i="4"/>
  <c r="CK278" i="4"/>
  <c r="CL278" i="4"/>
  <c r="CK270" i="4"/>
  <c r="CL270" i="4"/>
  <c r="CK108" i="4"/>
  <c r="CL108" i="4"/>
  <c r="CK76" i="4"/>
  <c r="CL76" i="4"/>
  <c r="CK57" i="4"/>
  <c r="CL57" i="4"/>
  <c r="CK39" i="4"/>
  <c r="CL39" i="4"/>
  <c r="CK27" i="4"/>
  <c r="CL27" i="4"/>
  <c r="CK18" i="4"/>
  <c r="CL18" i="4"/>
  <c r="CK6" i="4"/>
  <c r="CL6" i="4"/>
  <c r="CL613" i="4"/>
  <c r="CL611" i="4"/>
  <c r="CL609" i="4"/>
  <c r="CL607" i="4"/>
  <c r="CL605" i="4"/>
  <c r="CL603" i="4"/>
  <c r="CL601" i="4"/>
  <c r="CL599" i="4"/>
  <c r="CL597" i="4"/>
  <c r="CL595" i="4"/>
  <c r="CL593" i="4"/>
  <c r="CL591" i="4"/>
  <c r="CL589" i="4"/>
  <c r="CL587" i="4"/>
  <c r="CL571" i="4"/>
  <c r="CL569" i="4"/>
  <c r="CL567" i="4"/>
  <c r="CL565" i="4"/>
  <c r="CL563" i="4"/>
  <c r="CL561" i="4"/>
  <c r="CL559" i="4"/>
  <c r="CL557" i="4"/>
  <c r="CL555" i="4"/>
  <c r="CL552" i="4"/>
  <c r="CL547" i="4"/>
  <c r="CL545" i="4"/>
  <c r="CL543" i="4"/>
  <c r="CL541" i="4"/>
  <c r="CL539" i="4"/>
  <c r="CL537" i="4"/>
  <c r="CL535" i="4"/>
  <c r="CL533" i="4"/>
  <c r="CL531" i="4"/>
  <c r="CL529" i="4"/>
  <c r="CL527" i="4"/>
  <c r="CL525" i="4"/>
  <c r="CL523" i="4"/>
  <c r="CL521" i="4"/>
  <c r="CL519" i="4"/>
  <c r="CL517" i="4"/>
  <c r="CL515" i="4"/>
  <c r="CL513" i="4"/>
  <c r="CL511" i="4"/>
  <c r="CL509" i="4"/>
  <c r="CL507" i="4"/>
  <c r="CL505" i="4"/>
  <c r="CL503" i="4"/>
  <c r="CL501" i="4"/>
  <c r="CL499" i="4"/>
  <c r="CL497" i="4"/>
  <c r="CK493" i="4"/>
  <c r="CL486" i="4"/>
  <c r="CK477" i="4"/>
  <c r="CK466" i="4"/>
  <c r="CK458" i="4"/>
  <c r="CK450" i="4"/>
  <c r="CK442" i="4"/>
  <c r="CK434" i="4"/>
  <c r="CK426" i="4"/>
  <c r="CK418" i="4"/>
  <c r="CK409" i="4"/>
  <c r="CK400" i="4"/>
  <c r="CK391" i="4"/>
  <c r="CK381" i="4"/>
  <c r="CK373" i="4"/>
  <c r="CK365" i="4"/>
  <c r="CK357" i="4"/>
  <c r="CK494" i="4"/>
  <c r="CK342" i="4"/>
  <c r="CL42" i="4"/>
  <c r="CL17" i="4"/>
  <c r="CT364" i="4"/>
  <c r="CU364" i="4"/>
  <c r="CK116" i="4"/>
  <c r="CL116" i="4"/>
  <c r="CK20" i="4"/>
  <c r="CL20" i="4"/>
  <c r="CK303" i="4"/>
  <c r="CL303" i="4"/>
  <c r="CK277" i="4"/>
  <c r="CL277" i="4"/>
  <c r="CK107" i="4"/>
  <c r="CL107" i="4"/>
  <c r="CK50" i="4"/>
  <c r="CL50" i="4"/>
  <c r="CK26" i="4"/>
  <c r="CL26" i="4"/>
  <c r="CL621" i="4"/>
  <c r="CL619" i="4"/>
  <c r="CL617" i="4"/>
  <c r="CL615" i="4"/>
  <c r="CL488" i="4"/>
  <c r="CK479" i="4"/>
  <c r="CK472" i="4"/>
  <c r="CK463" i="4"/>
  <c r="CK455" i="4"/>
  <c r="CK447" i="4"/>
  <c r="CK439" i="4"/>
  <c r="CK431" i="4"/>
  <c r="CK423" i="4"/>
  <c r="CK415" i="4"/>
  <c r="CK405" i="4"/>
  <c r="CK397" i="4"/>
  <c r="CK388" i="4"/>
  <c r="CK378" i="4"/>
  <c r="CK370" i="4"/>
  <c r="CK362" i="4"/>
  <c r="CK354" i="4"/>
  <c r="CK347" i="4"/>
  <c r="CK339" i="4"/>
  <c r="CL279" i="4"/>
  <c r="CK79" i="4"/>
  <c r="CL79" i="4"/>
  <c r="CK11" i="4"/>
  <c r="CL11" i="4"/>
  <c r="CK338" i="4"/>
  <c r="CL338" i="4"/>
  <c r="CK288" i="4"/>
  <c r="CL288" i="4"/>
  <c r="CK276" i="4"/>
  <c r="CL276" i="4"/>
  <c r="CK221" i="4"/>
  <c r="CL221" i="4"/>
  <c r="CK105" i="4"/>
  <c r="CL105" i="4"/>
  <c r="CK78" i="4"/>
  <c r="CL78" i="4"/>
  <c r="CK47" i="4"/>
  <c r="CL47" i="4"/>
  <c r="CK37" i="4"/>
  <c r="CL37" i="4"/>
  <c r="CK24" i="4"/>
  <c r="CL24" i="4"/>
  <c r="CK16" i="4"/>
  <c r="CL16" i="4"/>
  <c r="CL490" i="4"/>
  <c r="CK481" i="4"/>
  <c r="CL474" i="4"/>
  <c r="CK468" i="4"/>
  <c r="CK460" i="4"/>
  <c r="CK452" i="4"/>
  <c r="CK444" i="4"/>
  <c r="CK436" i="4"/>
  <c r="CK428" i="4"/>
  <c r="CK420" i="4"/>
  <c r="CK411" i="4"/>
  <c r="CK402" i="4"/>
  <c r="CK394" i="4"/>
  <c r="CK385" i="4"/>
  <c r="CK375" i="4"/>
  <c r="CK367" i="4"/>
  <c r="CK359" i="4"/>
  <c r="CK351" i="4"/>
  <c r="CK344" i="4"/>
  <c r="CL271" i="4"/>
  <c r="CL75" i="4"/>
  <c r="CL28" i="4"/>
  <c r="CK312" i="4"/>
  <c r="CL312" i="4"/>
  <c r="CK335" i="4"/>
  <c r="CL335" i="4"/>
  <c r="CK300" i="4"/>
  <c r="CL300" i="4"/>
  <c r="CK286" i="4"/>
  <c r="CL286" i="4"/>
  <c r="CK275" i="4"/>
  <c r="CL275" i="4"/>
  <c r="CK133" i="4"/>
  <c r="CL133" i="4"/>
  <c r="CK104" i="4"/>
  <c r="CL104" i="4"/>
  <c r="CK68" i="4"/>
  <c r="CL68" i="4"/>
  <c r="CK46" i="4"/>
  <c r="CL46" i="4"/>
  <c r="CK36" i="4"/>
  <c r="CL36" i="4"/>
  <c r="CK23" i="4"/>
  <c r="CL23" i="4"/>
  <c r="CK15" i="4"/>
  <c r="CL15" i="4"/>
  <c r="CK3" i="4"/>
  <c r="CK483" i="4"/>
  <c r="CK465" i="4"/>
  <c r="CK457" i="4"/>
  <c r="CK449" i="4"/>
  <c r="CK441" i="4"/>
  <c r="CK433" i="4"/>
  <c r="CK425" i="4"/>
  <c r="CK417" i="4"/>
  <c r="CK407" i="4"/>
  <c r="CK399" i="4"/>
  <c r="CK390" i="4"/>
  <c r="CK380" i="4"/>
  <c r="CK372" i="4"/>
  <c r="CK364" i="4"/>
  <c r="CK356" i="4"/>
  <c r="CK349" i="4"/>
  <c r="CK341" i="4"/>
  <c r="CL19" i="4"/>
  <c r="CK327" i="4"/>
  <c r="CL327" i="4"/>
  <c r="CK299" i="4"/>
  <c r="CL299" i="4"/>
  <c r="CK284" i="4"/>
  <c r="CL284" i="4"/>
  <c r="CK274" i="4"/>
  <c r="CL274" i="4"/>
  <c r="CK132" i="4"/>
  <c r="CL132" i="4"/>
  <c r="CK103" i="4"/>
  <c r="CL103" i="4"/>
  <c r="CK66" i="4"/>
  <c r="CL66" i="4"/>
  <c r="CK45" i="4"/>
  <c r="CL45" i="4"/>
  <c r="CK33" i="4"/>
  <c r="CL33" i="4"/>
  <c r="CK22" i="4"/>
  <c r="CL22" i="4"/>
  <c r="CK14" i="4"/>
  <c r="CL14" i="4"/>
  <c r="CK485" i="4"/>
  <c r="CK470" i="4"/>
  <c r="CK462" i="4"/>
  <c r="CK454" i="4"/>
  <c r="CK446" i="4"/>
  <c r="CK438" i="4"/>
  <c r="CK430" i="4"/>
  <c r="CK422" i="4"/>
  <c r="CK414" i="4"/>
  <c r="CK404" i="4"/>
  <c r="CK396" i="4"/>
  <c r="CK387" i="4"/>
  <c r="CK377" i="4"/>
  <c r="CK369" i="4"/>
  <c r="CK361" i="4"/>
  <c r="CK353" i="4"/>
  <c r="CK346" i="4"/>
  <c r="CL110" i="4"/>
  <c r="CU556" i="4"/>
  <c r="CU520" i="4"/>
  <c r="CT505" i="4"/>
  <c r="CT483" i="4"/>
  <c r="CT352" i="4"/>
  <c r="CU352" i="4"/>
  <c r="CT622" i="4"/>
  <c r="CU622" i="4"/>
  <c r="CT590" i="4"/>
  <c r="CT537" i="4"/>
  <c r="CT412" i="4"/>
  <c r="CT23" i="4"/>
  <c r="CU341" i="4"/>
  <c r="CT453" i="4"/>
  <c r="CU453" i="4"/>
  <c r="CT458" i="4"/>
  <c r="CU458" i="4"/>
  <c r="CT620" i="4"/>
  <c r="CT606" i="4"/>
  <c r="CU599" i="4"/>
  <c r="CT588" i="4"/>
  <c r="CT570" i="4"/>
  <c r="CT542" i="4"/>
  <c r="CU533" i="4"/>
  <c r="CT530" i="4"/>
  <c r="CT510" i="4"/>
  <c r="CT498" i="4"/>
  <c r="CT476" i="4"/>
  <c r="CU474" i="4"/>
  <c r="CT437" i="4"/>
  <c r="CT430" i="4"/>
  <c r="CT418" i="4"/>
  <c r="CT404" i="4"/>
  <c r="CT391" i="4"/>
  <c r="CT377" i="4"/>
  <c r="CU286" i="4"/>
  <c r="CT79" i="4"/>
  <c r="CT47" i="4"/>
  <c r="CT29" i="4"/>
  <c r="CT16" i="4"/>
  <c r="CU614" i="4"/>
  <c r="CU604" i="4"/>
  <c r="CU526" i="4"/>
  <c r="CU338" i="4"/>
  <c r="CT611" i="4"/>
  <c r="CT586" i="4"/>
  <c r="CT566" i="4"/>
  <c r="CT538" i="4"/>
  <c r="CT518" i="4"/>
  <c r="CT506" i="4"/>
  <c r="CT484" i="4"/>
  <c r="CT449" i="4"/>
  <c r="CT426" i="4"/>
  <c r="CT414" i="4"/>
  <c r="CU403" i="4"/>
  <c r="CU390" i="4"/>
  <c r="CU376" i="4"/>
  <c r="CT11" i="4"/>
  <c r="CT616" i="4"/>
  <c r="CT400" i="4"/>
  <c r="CU396" i="4"/>
  <c r="CU381" i="4"/>
  <c r="CU369" i="4"/>
  <c r="CU357" i="4"/>
  <c r="CU346" i="4"/>
  <c r="CT116" i="4"/>
  <c r="CT78" i="4"/>
  <c r="CT43" i="4"/>
  <c r="CT24" i="4"/>
  <c r="CT621" i="4"/>
  <c r="CT619" i="4"/>
  <c r="CT546" i="4"/>
  <c r="CU470" i="4"/>
  <c r="CU446" i="4"/>
  <c r="CT445" i="4"/>
  <c r="CU441" i="4"/>
  <c r="CU425" i="4"/>
  <c r="CU412" i="4"/>
  <c r="CU590" i="4"/>
  <c r="CU570" i="4"/>
  <c r="CU565" i="4"/>
  <c r="CU542" i="4"/>
  <c r="CU510" i="4"/>
  <c r="CU476" i="4"/>
  <c r="CT434" i="4"/>
  <c r="CU430" i="4"/>
  <c r="CT422" i="4"/>
  <c r="CU418" i="4"/>
  <c r="CT409" i="4"/>
  <c r="CU404" i="4"/>
  <c r="CU399" i="4"/>
  <c r="CU391" i="4"/>
  <c r="CU386" i="4"/>
  <c r="CU377" i="4"/>
  <c r="CU372" i="4"/>
  <c r="CU292" i="4"/>
  <c r="CU275" i="4"/>
  <c r="CU110" i="4"/>
  <c r="CU79" i="4"/>
  <c r="CU68" i="4"/>
  <c r="CU47" i="4"/>
  <c r="CU42" i="4"/>
  <c r="CU29" i="4"/>
  <c r="CT20" i="4"/>
  <c r="CU16" i="4"/>
  <c r="CT612" i="4"/>
  <c r="CU608" i="4"/>
  <c r="CT600" i="4"/>
  <c r="CT534" i="4"/>
  <c r="CT522" i="4"/>
  <c r="CT502" i="4"/>
  <c r="CT488" i="4"/>
  <c r="CU437" i="4"/>
  <c r="CU365" i="4"/>
  <c r="CU353" i="4"/>
  <c r="CU342" i="4"/>
  <c r="CT288" i="4"/>
  <c r="CU280" i="4"/>
  <c r="CT272" i="4"/>
  <c r="CU221" i="4"/>
  <c r="CT105" i="4"/>
  <c r="CT59" i="4"/>
  <c r="CU23" i="4"/>
  <c r="CT468" i="4"/>
  <c r="CU468" i="4"/>
  <c r="CT451" i="4"/>
  <c r="CU451" i="4"/>
  <c r="CT436" i="4"/>
  <c r="CU436" i="4"/>
  <c r="CT419" i="4"/>
  <c r="CU419" i="4"/>
  <c r="CT402" i="4"/>
  <c r="CU402" i="4"/>
  <c r="CT384" i="4"/>
  <c r="CU384" i="4"/>
  <c r="CT367" i="4"/>
  <c r="CU367" i="4"/>
  <c r="CT350" i="4"/>
  <c r="CU350" i="4"/>
  <c r="CT327" i="4"/>
  <c r="CU327" i="4"/>
  <c r="CT281" i="4"/>
  <c r="CU281" i="4"/>
  <c r="CT132" i="4"/>
  <c r="CU132" i="4"/>
  <c r="CT60" i="4"/>
  <c r="CU60" i="4"/>
  <c r="CT33" i="4"/>
  <c r="CU33" i="4"/>
  <c r="CT13" i="4"/>
  <c r="CU13" i="4"/>
  <c r="CT597" i="4"/>
  <c r="CU597" i="4"/>
  <c r="CT571" i="4"/>
  <c r="CU571" i="4"/>
  <c r="CT568" i="4"/>
  <c r="CT563" i="4"/>
  <c r="CU563" i="4"/>
  <c r="CT560" i="4"/>
  <c r="CT555" i="4"/>
  <c r="CU555" i="4"/>
  <c r="CT550" i="4"/>
  <c r="CT543" i="4"/>
  <c r="CU543" i="4"/>
  <c r="CT540" i="4"/>
  <c r="CT535" i="4"/>
  <c r="CU535" i="4"/>
  <c r="CT532" i="4"/>
  <c r="CT527" i="4"/>
  <c r="CU527" i="4"/>
  <c r="CT524" i="4"/>
  <c r="CT519" i="4"/>
  <c r="CU519" i="4"/>
  <c r="CT516" i="4"/>
  <c r="CT511" i="4"/>
  <c r="CU511" i="4"/>
  <c r="CT508" i="4"/>
  <c r="CT503" i="4"/>
  <c r="CU503" i="4"/>
  <c r="CT500" i="4"/>
  <c r="CT493" i="4"/>
  <c r="CU493" i="4"/>
  <c r="CT490" i="4"/>
  <c r="CT485" i="4"/>
  <c r="CU485" i="4"/>
  <c r="CT482" i="4"/>
  <c r="CT477" i="4"/>
  <c r="CU477" i="4"/>
  <c r="CT474" i="4"/>
  <c r="CT472" i="4"/>
  <c r="CU472" i="4"/>
  <c r="CT456" i="4"/>
  <c r="CU456" i="4"/>
  <c r="CT439" i="4"/>
  <c r="CU439" i="4"/>
  <c r="CT424" i="4"/>
  <c r="CU424" i="4"/>
  <c r="CT405" i="4"/>
  <c r="CU405" i="4"/>
  <c r="CT389" i="4"/>
  <c r="CU389" i="4"/>
  <c r="CT370" i="4"/>
  <c r="CU370" i="4"/>
  <c r="CT355" i="4"/>
  <c r="CU355" i="4"/>
  <c r="CT339" i="4"/>
  <c r="CU339" i="4"/>
  <c r="CT76" i="4"/>
  <c r="CU76" i="4"/>
  <c r="CT38" i="4"/>
  <c r="CU38" i="4"/>
  <c r="CT18" i="4"/>
  <c r="CU18" i="4"/>
  <c r="CT444" i="4"/>
  <c r="CU444" i="4"/>
  <c r="CT427" i="4"/>
  <c r="CU427" i="4"/>
  <c r="CT344" i="4"/>
  <c r="CU344" i="4"/>
  <c r="CT274" i="4"/>
  <c r="CU274" i="4"/>
  <c r="CT21" i="4"/>
  <c r="CU21" i="4"/>
  <c r="CT589" i="4"/>
  <c r="CU589" i="4"/>
  <c r="CT464" i="4"/>
  <c r="CU464" i="4"/>
  <c r="CT447" i="4"/>
  <c r="CU447" i="4"/>
  <c r="CT432" i="4"/>
  <c r="CU432" i="4"/>
  <c r="CT415" i="4"/>
  <c r="CU415" i="4"/>
  <c r="CT398" i="4"/>
  <c r="CU398" i="4"/>
  <c r="CT378" i="4"/>
  <c r="CU378" i="4"/>
  <c r="CT363" i="4"/>
  <c r="CU363" i="4"/>
  <c r="CT347" i="4"/>
  <c r="CU347" i="4"/>
  <c r="CT277" i="4"/>
  <c r="CU277" i="4"/>
  <c r="CT108" i="4"/>
  <c r="CU108" i="4"/>
  <c r="CT50" i="4"/>
  <c r="CU50" i="4"/>
  <c r="CT27" i="4"/>
  <c r="CU27" i="4"/>
  <c r="CT297" i="4"/>
  <c r="CU297" i="4"/>
  <c r="CU619" i="4"/>
  <c r="CU615" i="4"/>
  <c r="CU611" i="4"/>
  <c r="CU602" i="4"/>
  <c r="CT601" i="4"/>
  <c r="CU601" i="4"/>
  <c r="CT469" i="4"/>
  <c r="CT467" i="4"/>
  <c r="CU467" i="4"/>
  <c r="CT452" i="4"/>
  <c r="CU452" i="4"/>
  <c r="CT435" i="4"/>
  <c r="CU435" i="4"/>
  <c r="CT420" i="4"/>
  <c r="CU420" i="4"/>
  <c r="CT401" i="4"/>
  <c r="CT385" i="4"/>
  <c r="CU385" i="4"/>
  <c r="CT366" i="4"/>
  <c r="CU366" i="4"/>
  <c r="CT351" i="4"/>
  <c r="CU351" i="4"/>
  <c r="CT322" i="4"/>
  <c r="CU322" i="4"/>
  <c r="CT284" i="4"/>
  <c r="CU284" i="4"/>
  <c r="CT125" i="4"/>
  <c r="CU125" i="4"/>
  <c r="CT66" i="4"/>
  <c r="CU66" i="4"/>
  <c r="CT32" i="4"/>
  <c r="CU32" i="4"/>
  <c r="CT14" i="4"/>
  <c r="CU14" i="4"/>
  <c r="CT392" i="4"/>
  <c r="CU392" i="4"/>
  <c r="CT358" i="4"/>
  <c r="CU358" i="4"/>
  <c r="CU588" i="4"/>
  <c r="CT567" i="4"/>
  <c r="CU567" i="4"/>
  <c r="CT564" i="4"/>
  <c r="CT559" i="4"/>
  <c r="CU559" i="4"/>
  <c r="CT556" i="4"/>
  <c r="CT547" i="4"/>
  <c r="CU547" i="4"/>
  <c r="CT544" i="4"/>
  <c r="CT539" i="4"/>
  <c r="CU539" i="4"/>
  <c r="CT536" i="4"/>
  <c r="CT531" i="4"/>
  <c r="CU531" i="4"/>
  <c r="CT528" i="4"/>
  <c r="CT523" i="4"/>
  <c r="CU523" i="4"/>
  <c r="CT520" i="4"/>
  <c r="CT515" i="4"/>
  <c r="CU515" i="4"/>
  <c r="CT512" i="4"/>
  <c r="CT507" i="4"/>
  <c r="CU507" i="4"/>
  <c r="CT504" i="4"/>
  <c r="CT499" i="4"/>
  <c r="CU499" i="4"/>
  <c r="CT495" i="4"/>
  <c r="CT489" i="4"/>
  <c r="CU489" i="4"/>
  <c r="CT486" i="4"/>
  <c r="CT481" i="4"/>
  <c r="CU481" i="4"/>
  <c r="CT478" i="4"/>
  <c r="CT473" i="4"/>
  <c r="CU473" i="4"/>
  <c r="CT457" i="4"/>
  <c r="CT455" i="4"/>
  <c r="CU455" i="4"/>
  <c r="CT440" i="4"/>
  <c r="CU440" i="4"/>
  <c r="CT423" i="4"/>
  <c r="CU423" i="4"/>
  <c r="CT406" i="4"/>
  <c r="CU406" i="4"/>
  <c r="CT388" i="4"/>
  <c r="CU388" i="4"/>
  <c r="CT371" i="4"/>
  <c r="CU371" i="4"/>
  <c r="CT354" i="4"/>
  <c r="CU354" i="4"/>
  <c r="CT340" i="4"/>
  <c r="CU340" i="4"/>
  <c r="CT270" i="4"/>
  <c r="CU270" i="4"/>
  <c r="CT75" i="4"/>
  <c r="CU75" i="4"/>
  <c r="CT39" i="4"/>
  <c r="CU39" i="4"/>
  <c r="CT17" i="4"/>
  <c r="CU17" i="4"/>
  <c r="CT100" i="4"/>
  <c r="CU100" i="4"/>
  <c r="CT45" i="4"/>
  <c r="CU45" i="4"/>
  <c r="CU620" i="4"/>
  <c r="CU616" i="4"/>
  <c r="CU612" i="4"/>
  <c r="CU594" i="4"/>
  <c r="CT593" i="4"/>
  <c r="CU593" i="4"/>
  <c r="CU568" i="4"/>
  <c r="CU560" i="4"/>
  <c r="CU550" i="4"/>
  <c r="CU540" i="4"/>
  <c r="CU532" i="4"/>
  <c r="CU524" i="4"/>
  <c r="CU516" i="4"/>
  <c r="CU508" i="4"/>
  <c r="CU500" i="4"/>
  <c r="CU490" i="4"/>
  <c r="CU482" i="4"/>
  <c r="CT460" i="4"/>
  <c r="CU460" i="4"/>
  <c r="CT443" i="4"/>
  <c r="CU443" i="4"/>
  <c r="CT428" i="4"/>
  <c r="CU428" i="4"/>
  <c r="CT410" i="4"/>
  <c r="CU410" i="4"/>
  <c r="CT394" i="4"/>
  <c r="CU394" i="4"/>
  <c r="CT374" i="4"/>
  <c r="CU374" i="4"/>
  <c r="CT359" i="4"/>
  <c r="CU359" i="4"/>
  <c r="CT343" i="4"/>
  <c r="CU343" i="4"/>
  <c r="CT299" i="4"/>
  <c r="CU299" i="4"/>
  <c r="CT273" i="4"/>
  <c r="CU273" i="4"/>
  <c r="CT103" i="4"/>
  <c r="CU103" i="4"/>
  <c r="CT44" i="4"/>
  <c r="CU44" i="4"/>
  <c r="CT22" i="4"/>
  <c r="CU22" i="4"/>
  <c r="CT609" i="4"/>
  <c r="CU609" i="4"/>
  <c r="CT459" i="4"/>
  <c r="CU459" i="4"/>
  <c r="CT411" i="4"/>
  <c r="CU411" i="4"/>
  <c r="CT375" i="4"/>
  <c r="CU375" i="4"/>
  <c r="CT605" i="4"/>
  <c r="CU605" i="4"/>
  <c r="CU566" i="4"/>
  <c r="CU558" i="4"/>
  <c r="CU546" i="4"/>
  <c r="CU538" i="4"/>
  <c r="CU530" i="4"/>
  <c r="CU522" i="4"/>
  <c r="CU514" i="4"/>
  <c r="CU506" i="4"/>
  <c r="CU498" i="4"/>
  <c r="CU488" i="4"/>
  <c r="CU480" i="4"/>
  <c r="CT463" i="4"/>
  <c r="CU463" i="4"/>
  <c r="CT448" i="4"/>
  <c r="CU448" i="4"/>
  <c r="CT431" i="4"/>
  <c r="CU431" i="4"/>
  <c r="CT416" i="4"/>
  <c r="CU416" i="4"/>
  <c r="CT397" i="4"/>
  <c r="CU397" i="4"/>
  <c r="CT379" i="4"/>
  <c r="CU379" i="4"/>
  <c r="CT362" i="4"/>
  <c r="CU362" i="4"/>
  <c r="CT348" i="4"/>
  <c r="CU348" i="4"/>
  <c r="CT303" i="4"/>
  <c r="CU303" i="4"/>
  <c r="CT278" i="4"/>
  <c r="CU278" i="4"/>
  <c r="CT107" i="4"/>
  <c r="CU107" i="4"/>
  <c r="CT57" i="4"/>
  <c r="CU57" i="4"/>
  <c r="CT26" i="4"/>
  <c r="CU26" i="4"/>
  <c r="CU8" i="4"/>
  <c r="CU11" i="4"/>
  <c r="CU638" i="4" l="1"/>
  <c r="DA3" i="4"/>
  <c r="CZ3" i="4"/>
  <c r="CZ638" i="4" s="1"/>
  <c r="CL638" i="4"/>
  <c r="CK638" i="4"/>
  <c r="CT638" i="4"/>
  <c r="CY634" i="4"/>
  <c r="CY638" i="4" s="1"/>
  <c r="CU634" i="4"/>
  <c r="DA634" i="4" l="1"/>
  <c r="DA638"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tc={B9D78BF6-E2E4-4C75-BBC7-60EF6A40E395}</author>
  </authors>
  <commentList>
    <comment ref="AK124" authorId="0" shapeId="0" xr:uid="{B9D78BF6-E2E4-4C75-BBC7-60EF6A40E395}">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decia 6,500 se actualizo a 7,000 de acuerdo alo programado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tc={765AE815-EDB0-4E45-AD2D-F681368450F3}</author>
    <author>Carlos G. Saavedra Lopez</author>
  </authors>
  <commentList>
    <comment ref="H20" authorId="0" shapeId="0" xr:uid="{765AE815-EDB0-4E45-AD2D-F681368450F3}">
      <text>
        <t>[Comentario encadenado]
Su versión de Excel le permite leer este comentario encadenado; sin embargo, las ediciones que se apliquen se quitarán si el archivo se abre en una versión más reciente de Excel. Más información: https://go.microsoft.com/fwlink/?linkid=870924
Comentario:
    SE PRIORIZO 1100 DEL LS ASISTENTE CLAVES NUMERADAS</t>
      </text>
    </comment>
    <comment ref="F25" authorId="1" shapeId="0" xr:uid="{B4D9A390-ABD7-41D3-8B6F-CE9A3744C0CA}">
      <text>
        <r>
          <rPr>
            <b/>
            <sz val="9"/>
            <color indexed="81"/>
            <rFont val="Tahoma"/>
            <family val="2"/>
          </rPr>
          <t>Carlos G. Saavedra Lopez:</t>
        </r>
        <r>
          <rPr>
            <sz val="9"/>
            <color indexed="81"/>
            <rFont val="Tahoma"/>
            <family val="2"/>
          </rPr>
          <t xml:space="preserve">
EN INDAGACION 
(EQUIPOS DE COMPUTO EG, COMPUTADORAS E IMPRESORA)
- AUDITORIA
 - CIERRE DE BRECHAS
- CRIPTOGRAFICO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Norma N. Bendezu Alvarez</author>
    <author>Yesenia Castillo Ortega</author>
    <author>tc={CB597D9D-44F8-4219-A691-22FB6FBBE9BD}</author>
  </authors>
  <commentList>
    <comment ref="BV120" authorId="0" shapeId="0" xr:uid="{FC312CC9-9B71-4B75-ADA5-3282989EB166}">
      <text>
        <r>
          <rPr>
            <sz val="11"/>
            <color theme="1"/>
            <rFont val="Aptos Narrow"/>
            <family val="2"/>
            <scheme val="minor"/>
          </rPr>
          <t>Norma N. Bendezu Alvarez:
DESISTIO PISFIL CAICEDO LUCIO</t>
        </r>
      </text>
    </comment>
    <comment ref="BV122" authorId="0" shapeId="0" xr:uid="{B24769A2-7BCF-4F0C-AD24-4A16FA7796F6}">
      <text>
        <r>
          <rPr>
            <sz val="11"/>
            <color theme="1"/>
            <rFont val="Aptos Narrow"/>
            <family val="2"/>
            <scheme val="minor"/>
          </rPr>
          <t xml:space="preserve">Norma N. Bendezu Alvarez:
DESISTIO REA MORALES ALEJANDRO
</t>
        </r>
      </text>
    </comment>
    <comment ref="U280" authorId="0" shapeId="0" xr:uid="{48F7F1CA-C023-4CD3-BD5E-8EF11584DA0E}">
      <text>
        <r>
          <rPr>
            <b/>
            <sz val="9"/>
            <color indexed="81"/>
            <rFont val="Tahoma"/>
            <family val="2"/>
          </rPr>
          <t>Norma N. Bendezu Alvarez:</t>
        </r>
        <r>
          <rPr>
            <sz val="9"/>
            <color indexed="81"/>
            <rFont val="Tahoma"/>
            <family val="2"/>
          </rPr>
          <t xml:space="preserve">
SGGDI - 21/04 solicitó cambio de denominación </t>
        </r>
      </text>
    </comment>
    <comment ref="U283" authorId="0" shapeId="0" xr:uid="{366C7389-2018-4729-8ED0-54C848E13063}">
      <text>
        <r>
          <rPr>
            <b/>
            <sz val="9"/>
            <color indexed="81"/>
            <rFont val="Tahoma"/>
            <family val="2"/>
          </rPr>
          <t>Norma N. Bendezu Alvarez:</t>
        </r>
        <r>
          <rPr>
            <sz val="9"/>
            <color indexed="81"/>
            <rFont val="Tahoma"/>
            <family val="2"/>
          </rPr>
          <t xml:space="preserve">
SGGDI - 21/04 Solicitó cambio de denominación para 1 servicio 
 </t>
        </r>
      </text>
    </comment>
    <comment ref="U285" authorId="0" shapeId="0" xr:uid="{4F3D4DA8-F4E4-434E-A5AE-95461E79ECB8}">
      <text>
        <r>
          <rPr>
            <b/>
            <sz val="9"/>
            <color indexed="81"/>
            <rFont val="Tahoma"/>
            <family val="2"/>
          </rPr>
          <t>Norma N. Bendezu Alvarez:</t>
        </r>
        <r>
          <rPr>
            <sz val="9"/>
            <color indexed="81"/>
            <rFont val="Tahoma"/>
            <family val="2"/>
          </rPr>
          <t xml:space="preserve">
SGGDI - 21/04  solicitó cambio de denominación para 1 servicio</t>
        </r>
      </text>
    </comment>
    <comment ref="U286" authorId="0" shapeId="0" xr:uid="{C4DDE5FC-EC99-4DA8-8D71-FA0630F2D990}">
      <text>
        <r>
          <rPr>
            <b/>
            <sz val="9"/>
            <color indexed="81"/>
            <rFont val="Tahoma"/>
            <family val="2"/>
          </rPr>
          <t>Norma N. Bendezu Alvarez:</t>
        </r>
        <r>
          <rPr>
            <sz val="9"/>
            <color indexed="81"/>
            <rFont val="Tahoma"/>
            <family val="2"/>
          </rPr>
          <t xml:space="preserve">
SGGDI - 21/04 solicitó cambio de denominación 
</t>
        </r>
      </text>
    </comment>
    <comment ref="U287" authorId="0" shapeId="0" xr:uid="{580A8BDE-2EF9-4F7B-B0B4-A8D8B50F353F}">
      <text>
        <r>
          <rPr>
            <b/>
            <sz val="9"/>
            <color indexed="81"/>
            <rFont val="Tahoma"/>
            <family val="2"/>
          </rPr>
          <t>Norma N. Bendezu Alvarez:</t>
        </r>
        <r>
          <rPr>
            <sz val="9"/>
            <color indexed="81"/>
            <rFont val="Tahoma"/>
            <family val="2"/>
          </rPr>
          <t xml:space="preserve">
SGGDI - 21/04 solicitó cambio de denominación 
</t>
        </r>
      </text>
    </comment>
    <comment ref="X339" authorId="1" shapeId="0" xr:uid="{C56B1AC9-D170-4933-97E6-7A473EF13909}">
      <text>
        <r>
          <rPr>
            <b/>
            <sz val="9"/>
            <color indexed="81"/>
            <rFont val="Tahoma"/>
            <family val="2"/>
          </rPr>
          <t>Yesenia Castillo Ortega:</t>
        </r>
        <r>
          <rPr>
            <sz val="9"/>
            <color indexed="81"/>
            <rFont val="Tahoma"/>
            <family val="2"/>
          </rPr>
          <t xml:space="preserve">
APROBADO CON 6500, INFORME SALE CON 7000
</t>
        </r>
      </text>
    </comment>
    <comment ref="BV413" authorId="2" shapeId="0" xr:uid="{CB597D9D-44F8-4219-A691-22FB6FBBE9BD}">
      <text>
        <t>[Comentario encadenado]
Su versión de Excel le permite leer este comentario encadenado; sin embargo, las ediciones que se apliquen se quitarán si el archivo se abre en una versión más reciente de Excel. Más información: https://go.microsoft.com/fwlink/?linkid=870924
Comentario:
    SGSI COMUNICÓ DESISTIMIENTO DE  MAZA ALCALDE LUISIN</t>
      </text>
    </comment>
    <comment ref="BV494" authorId="0" shapeId="0" xr:uid="{A3394E07-5693-4DFE-B0B6-2E448DFFDC89}">
      <text>
        <r>
          <rPr>
            <sz val="11"/>
            <color theme="1"/>
            <rFont val="Aptos Narrow"/>
            <family val="2"/>
            <scheme val="minor"/>
          </rPr>
          <t xml:space="preserve">Norma N. Bendezu Alvarez:
propuesta por desistimiento </t>
        </r>
      </text>
    </comment>
    <comment ref="U510" authorId="0" shapeId="0" xr:uid="{09B5622B-DCFB-468E-B586-EE5F72123A9A}">
      <text>
        <r>
          <rPr>
            <sz val="11"/>
            <color theme="1"/>
            <rFont val="Aptos Narrow"/>
            <family val="2"/>
            <scheme val="minor"/>
          </rPr>
          <t>Norma N. Bendezu Alvarez:
PROGRAMADO CON 6500, SALIO CON 6000</t>
        </r>
      </text>
    </comment>
    <comment ref="X512" authorId="1" shapeId="0" xr:uid="{E6AF48F0-201B-4BFF-823F-22571A9A7CC5}">
      <text>
        <r>
          <rPr>
            <sz val="11"/>
            <color theme="1"/>
            <rFont val="Aptos Narrow"/>
            <family val="2"/>
            <scheme val="minor"/>
          </rPr>
          <t xml:space="preserve">Yesenia Castillo Ortega:
PROGRAMADO CON 6000, FUE REQUERIDO CON 5500 PARA JUNIO
</t>
        </r>
      </text>
    </comment>
    <comment ref="BV591" authorId="0" shapeId="0" xr:uid="{5DDEC8C3-3D67-464E-B477-1FBC68638F3E}">
      <text>
        <r>
          <rPr>
            <sz val="11"/>
            <color theme="1"/>
            <rFont val="Aptos Narrow"/>
            <family val="2"/>
            <scheme val="minor"/>
          </rPr>
          <t xml:space="preserve">Norma N. Bendezu Alvarez:
propuesta por desistimiento </t>
        </r>
      </text>
    </comment>
    <comment ref="BV634" authorId="0" shapeId="0" xr:uid="{B48140E9-470C-45FC-A141-AFA200CD23D2}">
      <text>
        <r>
          <rPr>
            <sz val="11"/>
            <color theme="1"/>
            <rFont val="Aptos Narrow"/>
            <family val="2"/>
            <scheme val="minor"/>
          </rPr>
          <t xml:space="preserve">Norma N. Bendezu Alvarez:
DESISTE CASTILLO CAJA OSCAR CORREO DE SGGDI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tc={540A633B-37E8-4519-9C14-7E6654D43BF1}</author>
    <author>tc={A65FCB73-E335-4A8E-A6E1-3308AFF56FCA}</author>
    <author>tc={847862FB-1029-44F6-B59E-D5EDACD70F1C}</author>
  </authors>
  <commentList>
    <comment ref="I6" authorId="0" shapeId="0" xr:uid="{540A633B-37E8-4519-9C14-7E6654D43BF1}">
      <text>
        <t>[Comentario encadenado]
Su versión de Excel le permite leer este comentario encadenado; sin embargo, las ediciones que se apliquen se quitarán si el archivo se abre en una versión más reciente de Excel. Más información: https://go.microsoft.com/fwlink/?linkid=870924
Comentario:
    ADMINISTRADOR DE PROYECTOS Y GESTOR DE RIESGOS</t>
      </text>
    </comment>
    <comment ref="E28" authorId="1" shapeId="0" xr:uid="{A65FCB73-E335-4A8E-A6E1-3308AFF56FCA}">
      <text>
        <t>[Comentario encadenado]
Su versión de Excel le permite leer este comentario encadenado; sin embargo, las ediciones que se apliquen se quitarán si el archivo se abre en una versión más reciente de Excel. Más información: https://go.microsoft.com/fwlink/?linkid=870924
Comentario:
    64LS</t>
      </text>
    </comment>
    <comment ref="E31" authorId="2" shapeId="0" xr:uid="{847862FB-1029-44F6-B59E-D5EDACD70F1C}">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203LS
</t>
      </text>
    </comment>
  </commentList>
</comments>
</file>

<file path=xl/sharedStrings.xml><?xml version="1.0" encoding="utf-8"?>
<sst xmlns="http://schemas.openxmlformats.org/spreadsheetml/2006/main" count="30760" uniqueCount="2848">
  <si>
    <t>META</t>
  </si>
  <si>
    <t>CANTIDAD DE PERSOMAS</t>
  </si>
  <si>
    <t>MONTO TOTAL</t>
  </si>
  <si>
    <t>LOCADOR</t>
  </si>
  <si>
    <t>GITE</t>
  </si>
  <si>
    <t>SGGDI</t>
  </si>
  <si>
    <t>SGSI</t>
  </si>
  <si>
    <t>SGIST</t>
  </si>
  <si>
    <t>Total general</t>
  </si>
  <si>
    <t>AÑO</t>
  </si>
  <si>
    <t>UE</t>
  </si>
  <si>
    <t>TIPO DE PROCESO</t>
  </si>
  <si>
    <t>PROCESO NIVEL 1</t>
  </si>
  <si>
    <t>CATEGORÍA PRESUPUESTAL</t>
  </si>
  <si>
    <t>PRODUCTO PRESUPUESTAL</t>
  </si>
  <si>
    <t>ACTIVIDAD  PRESUPUESTAL</t>
  </si>
  <si>
    <t>FUNCIÓN</t>
  </si>
  <si>
    <t xml:space="preserve">DIVISIÓN FUNCIONAL </t>
  </si>
  <si>
    <t>GRUPO FUNCIONAL</t>
  </si>
  <si>
    <t>FINALIDAD</t>
  </si>
  <si>
    <t>ID</t>
  </si>
  <si>
    <t>ACTIVIDAD
 OPERATIVA</t>
  </si>
  <si>
    <t>Meta
presupuestal</t>
  </si>
  <si>
    <t>Ubigeo</t>
  </si>
  <si>
    <t xml:space="preserve">Órgano </t>
  </si>
  <si>
    <t>Tipo de PPTO</t>
  </si>
  <si>
    <t>GG</t>
  </si>
  <si>
    <t>Clasificador</t>
  </si>
  <si>
    <t>CODIGO SIGA</t>
  </si>
  <si>
    <t>Descripción del 
Bien/Servicio</t>
  </si>
  <si>
    <t>Unidad medida</t>
  </si>
  <si>
    <t>Cantidad de Personas o Veces</t>
  </si>
  <si>
    <t>Precio Unitario</t>
  </si>
  <si>
    <t>Enero</t>
  </si>
  <si>
    <t>Febrero</t>
  </si>
  <si>
    <t>Marzo</t>
  </si>
  <si>
    <t>Abril</t>
  </si>
  <si>
    <t>Mayo</t>
  </si>
  <si>
    <t>Junio</t>
  </si>
  <si>
    <t>Julio</t>
  </si>
  <si>
    <t>Agosto</t>
  </si>
  <si>
    <t>Setiembre</t>
  </si>
  <si>
    <t>Octubre</t>
  </si>
  <si>
    <t>Noviembre</t>
  </si>
  <si>
    <t>Diciembre</t>
  </si>
  <si>
    <t>Total Costo
 de B.S</t>
  </si>
  <si>
    <t>ENERO</t>
  </si>
  <si>
    <t>FEBRERO</t>
  </si>
  <si>
    <t>MARZO</t>
  </si>
  <si>
    <t>ABRIL</t>
  </si>
  <si>
    <t>MAYO</t>
  </si>
  <si>
    <t>JUNIO</t>
  </si>
  <si>
    <t>JULIO</t>
  </si>
  <si>
    <t>AGOSTO</t>
  </si>
  <si>
    <t>SETIEMBRE</t>
  </si>
  <si>
    <t>OCTUBRE</t>
  </si>
  <si>
    <t>NOVIEMBRE</t>
  </si>
  <si>
    <t>DICIEMBRE</t>
  </si>
  <si>
    <t>TOTAL</t>
  </si>
  <si>
    <t>GITE/SG</t>
  </si>
  <si>
    <t>PRIORIDAD</t>
  </si>
  <si>
    <t>APLICATIVOS</t>
  </si>
  <si>
    <t>DENOMINACION SIGA</t>
  </si>
  <si>
    <t>ESTADO SIGA</t>
  </si>
  <si>
    <t>PROCESOS DE SOPORTE</t>
  </si>
  <si>
    <t xml:space="preserve">GESTION DE LAS TECNOLOGIAS DE LA INFORMACION Y COMUNICACIONES </t>
  </si>
  <si>
    <t xml:space="preserve">2026EG 2026 (SEP)GITE GESTIÓN DE LA INFRAESTRUCTURA TECNOLÓGICA Y BASE DE DATOS </t>
  </si>
  <si>
    <t xml:space="preserve"> GESTIÓN DE LA INFRAESTRUCTURA TECNOLÓGICA Y BASE DE DATOS </t>
  </si>
  <si>
    <t>EG 2026 (SEP)</t>
  </si>
  <si>
    <t>2.3</t>
  </si>
  <si>
    <t>2.3.2.2.3.99</t>
  </si>
  <si>
    <t>SERVICIO DE ENLACE DE TELECOMUNICACIONES</t>
  </si>
  <si>
    <t>SERVICIO</t>
  </si>
  <si>
    <t xml:space="preserve"> -   </t>
  </si>
  <si>
    <t>P1</t>
  </si>
  <si>
    <t>REGISTRADO</t>
  </si>
  <si>
    <t>2.3.2.7.13.98</t>
  </si>
  <si>
    <t>SERVICIO DE HABILITACION, ACONDICIONAMIENTO Y LOGISTICA INFORMATICA</t>
  </si>
  <si>
    <t>SERVICIO DE TRANSMISION DE DATOS</t>
  </si>
  <si>
    <t>SERVICIO DE WEB HOSTING</t>
  </si>
  <si>
    <t>2.3.2.7.4.99</t>
  </si>
  <si>
    <t>SERVICIO DE SOPORTE INFORMATICO</t>
  </si>
  <si>
    <t>2026EG 2026 (SEP)GITEGESTIÓN DE LA SEGURIDAD INFORMÁTICA Y CONTINUIDAD DE LOS SERVICIOS TECNOLÓGICOS</t>
  </si>
  <si>
    <t>GESTIÓN DE LA SEGURIDAD INFORMÁTICA Y CONTINUIDAD DE LOS SERVICIOS TECNOLÓGICOS</t>
  </si>
  <si>
    <t>SERVICIO DE HACKEO ÉTICO - ETICAL HACKING</t>
  </si>
  <si>
    <t>2.3.2.5.1.99</t>
  </si>
  <si>
    <t>RENOVACION DE LICENCIA  SOFTWARE ANTIVIRUS</t>
  </si>
  <si>
    <t>RENOVACION DE LICENCIA DE SOFTWARE ANTIVIRUS</t>
  </si>
  <si>
    <t>SERVICIO DE CORREO ELECTRONICO EN LA NUBE</t>
  </si>
  <si>
    <t>2.3.2.5.1.4</t>
  </si>
  <si>
    <t>ALQUILER DE SERVIDOR</t>
  </si>
  <si>
    <t>ALQUILER DE EQUIPO DE COMPUTO</t>
  </si>
  <si>
    <t>2.3.2.5.1.3</t>
  </si>
  <si>
    <t>ALQUILER DE MOBILIARIO PARA OFICINA (CENTRAL)</t>
  </si>
  <si>
    <t>ALQUILER DE MOBILIARIO PARA OFICINA</t>
  </si>
  <si>
    <t>2.3.2.7.11.5</t>
  </si>
  <si>
    <t>SERVICIO DE ATENCIÓN DE REFRIGERIOS</t>
  </si>
  <si>
    <t>SERVICIO DE ALIMENTACION DE PERSONAS</t>
  </si>
  <si>
    <t>2026EG 2026 (SEP)GITEDISEÑO, DESARROLLO Y DESPLIEGUE SOLUCIONES TECNOLOGICAS</t>
  </si>
  <si>
    <t>DISEÑO, DESARROLLO Y DESPLIEGUE SOLUCIONES TECNOLOGICAS</t>
  </si>
  <si>
    <t>2.3.2.5.1.1</t>
  </si>
  <si>
    <t>ALQUILER DE OFICINAS ADMINISTRATIVAS (PISO 10)</t>
  </si>
  <si>
    <t>ALQUILER DE OFICINA ADMINISTRATIVA</t>
  </si>
  <si>
    <t>ALQUILER DE OFICINAS ADMINISTRATIVAS (PISO 9)</t>
  </si>
  <si>
    <t>ALQUILER DE MOBILIARIO PARA CENTRO DE MONITOREO - ESCRITORIOS (20)</t>
  </si>
  <si>
    <t>ALQUILER DE MOBILIARIO PARA CENTRO DE MONITOREO - SILLAS (40)</t>
  </si>
  <si>
    <t>ALQUILER DE EQUIPOS DE COMPUTO</t>
  </si>
  <si>
    <t>SERVICIO DE AUDITORÍA INFORMÁTICA PARA LAS SOLUCIONES TECNOLÓGICAS DE SOPORTE ELECTORAL AL ESCRUTINIO, CÓMPUTO DE RESULTADOS Y PRESENTACIÓN DE RESULTADOS</t>
  </si>
  <si>
    <t>2.3.1.5.1.2</t>
  </si>
  <si>
    <t>BOLIGRAFO (LAPICERO) DE TINTA SECA PUNTA FINA COLOR ROJO</t>
  </si>
  <si>
    <t>BIEN</t>
  </si>
  <si>
    <t>BOLIGRAFO (LAPICERO) DE TINTA SECA PUNTA FINA COLOR AZUL</t>
  </si>
  <si>
    <t>BOLIGRAFO (LAPICERO) DE TINTA SECA PUNTA FINA COLOR NEGRO</t>
  </si>
  <si>
    <t>LAPIZ NEGRO GRADO 2B CON BORRADOR</t>
  </si>
  <si>
    <t>PLUMON MARCADOR DE TINTA AL AGUA PUNTA GRUESA COLOR NEGRO</t>
  </si>
  <si>
    <t>PLUMON DE TINTA INDELEBLE PUNTA FINA COLOR NEGRO</t>
  </si>
  <si>
    <t>registrado</t>
  </si>
  <si>
    <t>PLUMON RESALTADOR PUNTA GRUESA BISELADA COLOR AMARILLO</t>
  </si>
  <si>
    <t>REGISTRADO- VALIDAR PRECIO SIGA</t>
  </si>
  <si>
    <t>PLUMON RESALTADOR PUNTA GRUESA BISELADA COLOR NARANJA</t>
  </si>
  <si>
    <t>PLUMON RESALTADOR PUNTA GRUESA BISELADA COLOR ANARANJADO</t>
  </si>
  <si>
    <t>CUADERNO CUADRICULADO TAMAÑO A5 X 100 HOJAS APROX.</t>
  </si>
  <si>
    <t>CUADERNO CUADRICULADO TAMAÑO A5 x 100 hojas aprox</t>
  </si>
  <si>
    <t>CLIP MARIPOSA DE METAL 45 mm  X 50</t>
  </si>
  <si>
    <t>CLIP MARIPOSA DE METAL 45mm aprox x 50</t>
  </si>
  <si>
    <t>CLIP DE METAL 33 mm X 100</t>
  </si>
  <si>
    <t>CLIP DE METAL 30 mm X 100</t>
  </si>
  <si>
    <t>2.3.1.99.1.99</t>
  </si>
  <si>
    <t>BOLSA DE POLIETILENO 50 X 80 CM</t>
  </si>
  <si>
    <t>BOLSA DE POLIETILENO 1.5 um x 50 CM X 80 APROX COLOR NEGRO</t>
  </si>
  <si>
    <t>MICA PARA LAMINADORA A4</t>
  </si>
  <si>
    <t>ahora: 200
antes: 2</t>
  </si>
  <si>
    <t>lamina para enmicar 175 um tamaño a4</t>
  </si>
  <si>
    <t>MICA PARA LAMINADORA A3</t>
  </si>
  <si>
    <t>ahora: 100
antes - 1</t>
  </si>
  <si>
    <t>lamina para enmicar 125 um tamaño a3</t>
  </si>
  <si>
    <t>SUSCRIPCIÓN ANUAL A LICENCIA DE SOFTWARE</t>
  </si>
  <si>
    <t>2.3.2.9.1.1</t>
  </si>
  <si>
    <t>ANALISTA DE INFRAESTRUCTURA DE BASE DE DATOS</t>
  </si>
  <si>
    <t>ADMINISTRADOR DE BASE DE DATOS</t>
  </si>
  <si>
    <t>ANALISTA ELECTORAL DE BASE DE DATOS</t>
  </si>
  <si>
    <t>OPERADOR DE BASE DE DATOS</t>
  </si>
  <si>
    <t>ESPECIALISTA ELECTORAL SENIOR DE BASE DE DATOS</t>
  </si>
  <si>
    <t>ANALISTA EN SERVIDORES DE APLICACIONES</t>
  </si>
  <si>
    <t>ASISTENTE TECNICO DE SERVIDORES DE APLICACIONES</t>
  </si>
  <si>
    <t>ESPECIALISTA EN SERVIDORES DE APLICACIONES DE TI</t>
  </si>
  <si>
    <t>GESTOR DE PROYECTOS DE INFRAESTRUCTURA TECNOLOGICA</t>
  </si>
  <si>
    <t>GESTOR DE PROYECTOS DE TELECOMUNICACIONES</t>
  </si>
  <si>
    <t>ESPECIALISTA DE PROCESOS Y SERVICIOS INFORMATICOS</t>
  </si>
  <si>
    <t>ESPECIALISTA DE PROYECTOS DE INFRAESTRUCTURA DE TI</t>
  </si>
  <si>
    <t>ESPECIALISTA EN GESTION Y CONTROL DE CONTRATACIONES Y PROYECTOS</t>
  </si>
  <si>
    <t>ESPECIALISTA DE REDES Y TELECOMUNICACIONES</t>
  </si>
  <si>
    <t>ESPECIALISTA EN REQUERIMIENTOS DE SERVICIOS INFORMATICOS</t>
  </si>
  <si>
    <t>ANALISTA EN REQUERIMIENTOS DE SERVICIOS INFORMATICOS</t>
  </si>
  <si>
    <t>ANALISTA EN CONTRATACION DE SERVICIOS DE TI</t>
  </si>
  <si>
    <t>ANALISTA EN CONTROL PREVIO DE SERVICIOS DE TI</t>
  </si>
  <si>
    <t>ANALISTA DE SERVICIOS INFORMATICOS</t>
  </si>
  <si>
    <t>ANALISTA DE PROYECTOS DE INFRAESTRUCTURA TECNOLOGICA</t>
  </si>
  <si>
    <t>ASISTENTE DE PROYECTOS Y SERVICIOS DE TI</t>
  </si>
  <si>
    <t>ESPECIALISTA EN GESTIÓN DE LA PLATAFORMA TECNOLOGICA Y SEGURIDAD TI</t>
  </si>
  <si>
    <t>ANALISTA DE CENTRO DE MONITOREO DE SERVICIOS DE TI</t>
  </si>
  <si>
    <t>ANALISTA EN PLATAFORMA DE VIRTUALIZACION</t>
  </si>
  <si>
    <t>ADMINISTRADOR EN PLATAFORMA DE VIRTUALIZACION</t>
  </si>
  <si>
    <t>ASISTENTE DE COPIAS DE SEGURIDAD</t>
  </si>
  <si>
    <t>ANALISTA DE PLATAFORMA DE REDES Y COMUNICACIONES</t>
  </si>
  <si>
    <t>ESPECIALISTA EN PLATAFORMA DE SEGURIDAD TECNOLOGICA</t>
  </si>
  <si>
    <t>ANALISTA EN PLATAFORMA DE SEGURIDAD TECNOLOGICA</t>
  </si>
  <si>
    <t>ANALISTA DE PLATAFORMA DE SEGURIDAD DE LA RED DE SERVICIOS</t>
  </si>
  <si>
    <t>GESTOR DE LA RED ELECTORAL</t>
  </si>
  <si>
    <t>ANALISTA EN INFRAESTRUCTURA TECNOLOGICA</t>
  </si>
  <si>
    <t>SOPORTE DE RED DE SERVICIOS</t>
  </si>
  <si>
    <t>ANALISTA DE RED DE DATOS ELECTORAL</t>
  </si>
  <si>
    <t>ASISTENTE EN SISTEMAS OPERATIVOS</t>
  </si>
  <si>
    <t>ADMINISTRADOR DE LA RED ELECTORAL</t>
  </si>
  <si>
    <t>ANALISTA DE TELECOMUNICACIONES</t>
  </si>
  <si>
    <t>ADMINISTRADOR DE TELECOMUNICACIONES</t>
  </si>
  <si>
    <t>ANALISTA EN INFRAESTRUCTURA DE SEGURIDAD TECNOLOGICA</t>
  </si>
  <si>
    <t>ASISTENTE ADMINISTRATIVO DE PLATAFORMA OPERATIVA</t>
  </si>
  <si>
    <t>ASISTENTE TECNICO DE MESA DE AYUDA</t>
  </si>
  <si>
    <t>ESPECIALISTA EN SEGURIDAD DE LA INFORMACION</t>
  </si>
  <si>
    <t>ASISTENTE EN SEGURIDAD DE LA INFORMACION</t>
  </si>
  <si>
    <t>ESPECIALISTA EN CIBERSEGURIDAD</t>
  </si>
  <si>
    <t>SOPORTE TECNICO</t>
  </si>
  <si>
    <t>MONITOR DE SEGUMIENTO DE PLANES ESPECIALIZADOS</t>
  </si>
  <si>
    <t>ASISTENTE TECNICO DE MONITOREO DE PLANES</t>
  </si>
  <si>
    <t xml:space="preserve">ANALISTA LOGISTICOS DE SERVICIOS INFORMATICOS </t>
  </si>
  <si>
    <t>ASISTENTE  LOGISTICOS DE SERVICIOS INFORMATICOS</t>
  </si>
  <si>
    <t>ESPECIALISTA DE OPERACIONES INFORMATICAS</t>
  </si>
  <si>
    <t>SUPERVISOR DE OPERACIONES Y DEL CENTRO DE SOPORTE INFORMATICO</t>
  </si>
  <si>
    <t>OPERADOR DEL CENTRO DE SOPORTE INFORMATICO</t>
  </si>
  <si>
    <t>COORDINADOR DEL CENTRO DE SERVICIOS ELECTORAL</t>
  </si>
  <si>
    <t>ASISTENTE OPERATIVO</t>
  </si>
  <si>
    <t>OPERADOR TECNICO DE TI</t>
  </si>
  <si>
    <t>OPERADOR TECNICO DE TI 2</t>
  </si>
  <si>
    <t>ANALISTA EN GESTION DE PROCESOS Y SERVICIOS DE INNOVACION</t>
  </si>
  <si>
    <t>ESPECIALISTA EN CERTIFICACIÓN DIGITAL Y FIRMA ELECTRONICA CUALIFICADA</t>
  </si>
  <si>
    <t>ESPECIALISTA EN GESTIÓN DE PROYECTOS Y SERVICIOS DE CERTIFICACIÓN DIGITAL</t>
  </si>
  <si>
    <t>ESPECIALISTA EN PROCESOS Y SERVICIOS DE CERTIFICACIÓN DIGITAL</t>
  </si>
  <si>
    <t>ESPECIALISTA EN SERVICIOS DE CERTIFICACIÓN DIGITAL</t>
  </si>
  <si>
    <t>OPERADOR TECNICO PKI</t>
  </si>
  <si>
    <t>ESPECIALISTA EN GESTIÓN DE SERVICIOS PKI</t>
  </si>
  <si>
    <t>ANALISTA SENIOR EN GESTIÓN DE SERVICIOS PKI</t>
  </si>
  <si>
    <t>ANALISTA ADMINISTRATIVO DE GOBIERNO DIGITAL</t>
  </si>
  <si>
    <t>ANALISTA EN SERVICIOS DE CERTIFICACIÓN DIGITAL</t>
  </si>
  <si>
    <t>DISEÑADOR UX/UI DE PROYECTOS DE INNOVACIÓN</t>
  </si>
  <si>
    <t>ANALISTA DE ASEGURAMIENTO DE CONTROL DE CALIDAD DE PROYECTOS DE INNOVACION</t>
  </si>
  <si>
    <t>ESPECIALISTA DE PRUEBAS DE SEGURIDAD Y CODIGO ESTATICO DE PROYECTOS DE INNOVACIÓN</t>
  </si>
  <si>
    <t>ESPECIALISTA DE PRUEBAS DE CARGA, ESTRES Y AUTOMATIZACION DE PROYECTOS DE INNOVACIÓN</t>
  </si>
  <si>
    <t>ANALISTA DE CONTROL DE CALIDAD DE PROYECTOS DE INNOVACION</t>
  </si>
  <si>
    <t>DOCUMENTADOR QA DE PROYECTOS DE INNOVACIÓN</t>
  </si>
  <si>
    <t>COORDINADOR DE CONTROL DE CALIDAD DE SOFTWARE</t>
  </si>
  <si>
    <t>ANALISTA ADMINISTRATIVO DE CONTROL DE CALIDAD DE SOFTWARE</t>
  </si>
  <si>
    <t>ANALISTA EN PRUEBAS AUTOMATIZADAS QA</t>
  </si>
  <si>
    <t>ANALISTA DE PRUEBAS DE SEGURIDAD DE SOFTWARE</t>
  </si>
  <si>
    <t>ANALISTA DE PRUEBAS DE CODIGO ESTÁTICO</t>
  </si>
  <si>
    <t>ANALISTA DE ASEGURAMIENTO DE CONTROL DE CALIDAD DE SOFTWARE</t>
  </si>
  <si>
    <t>ANALISTA DE CONTROL DE CALIDAD DE SOFTWARE</t>
  </si>
  <si>
    <t>DOCUMENTADOR QA</t>
  </si>
  <si>
    <t>ESPECIALISTA EN PRUEBAS DE SEGURIDAD DE SOFTWARE</t>
  </si>
  <si>
    <t>ANALISTA DE ASEGURAMIENTO DE CONTROL DE CALIDAD DE SOFTWARE 1</t>
  </si>
  <si>
    <t>2026EG 2026 (SEP)GITEMANTENIMIENTO Y SOPORTE A LAS SOLUCIONES TECNOLÓGICAS</t>
  </si>
  <si>
    <t>MANTENIMIENTO Y SOPORTE A LAS SOLUCIONES TECNOLÓGICAS</t>
  </si>
  <si>
    <t>ANALISTA DE ASEGURAMIENTO DE CONTROL DE CALIDAD DE SOFTWARE 2</t>
  </si>
  <si>
    <t>ANALISTA DE BASE DE DATOS JUNIOR 3</t>
  </si>
  <si>
    <t>DOCUMENTADOR DE BASE DE DATOS</t>
  </si>
  <si>
    <t>ANALISTA DE CIENCIA DE DATOS</t>
  </si>
  <si>
    <t>ANALISTA DE DATOS 1</t>
  </si>
  <si>
    <t>ANALISTA DE DATOS 2</t>
  </si>
  <si>
    <t>ANALISTA DE DATOS 3</t>
  </si>
  <si>
    <t>ANALISTA DE DATOS 4</t>
  </si>
  <si>
    <t>ANALISTA DE DATOS 5</t>
  </si>
  <si>
    <t>ANALISTA DE DATOS 6</t>
  </si>
  <si>
    <t>ANALISTA DE DATOS 7</t>
  </si>
  <si>
    <t>ANALISTA DE DATOS BI 1</t>
  </si>
  <si>
    <t>ANALISTA DE DATOS SENIOR 1</t>
  </si>
  <si>
    <t>ANALISTA DE BASE DE DATOS SENIOR 1</t>
  </si>
  <si>
    <t>ANALISTA DE DATOS SENIOR 2</t>
  </si>
  <si>
    <t>ANALISTA DE DATOS SENIOR 3</t>
  </si>
  <si>
    <t>ANALISTA DE BASE DE DATOS SENIOR 2</t>
  </si>
  <si>
    <t>ADMINISTRADOR DE BASE DE DATOS SENIOR</t>
  </si>
  <si>
    <t>ANALISTA DE PRUEBAS DE DESARROLLO DE SOFTWARE 1</t>
  </si>
  <si>
    <t>ANALISTA DE PRUEBAS DE DESARROLLO DE SOFTWARE 2</t>
  </si>
  <si>
    <t>ANALISTA DE PRUEBAS DE DESARROLLO DE SOFTWARE 3</t>
  </si>
  <si>
    <t>ANALISTA DE PRUEBAS DE DESARROLLO DE SOFTWARE 4</t>
  </si>
  <si>
    <t>ANALISTA DE PRUEBAS DE DESARROLLO DE SOFTWARE 5</t>
  </si>
  <si>
    <t>ANALISTA DE PRUEBAS DE DESARROLLO DE SOFTWARE 6</t>
  </si>
  <si>
    <t>ANALISTA DE PRUEBAS DE DESARROLLO DE SOFTWARE 7</t>
  </si>
  <si>
    <t>ANALISTA DE PRUEBAS DE DESARROLLO DE SOFTWARE 8</t>
  </si>
  <si>
    <t>ANALISTA DE PRUEBAS DE DESARROLLO DE SOFTWARE 9</t>
  </si>
  <si>
    <t>ANALISTA DE PRUEBAS DE DESARROLLO DE SOFTWARE 10</t>
  </si>
  <si>
    <t>ANALISTA DE PRUEBAS DE DESARROLLO DE SOFTWARE 11</t>
  </si>
  <si>
    <t>ANALISTA DE PRUEBAS DE DESARROLLO DE SOFTWARE 12</t>
  </si>
  <si>
    <t>ANALISTA DE PRUEBAS DE DESARROLLO DE SOFTWARE 13</t>
  </si>
  <si>
    <t>ANALISTA DE PRUEBAS DE DESARROLLO DE SOFTWARE 14</t>
  </si>
  <si>
    <t>ANALISTA DE PRUEBAS DE DESARROLLO DE SOFTWARE 15</t>
  </si>
  <si>
    <t>ANALISTA DE PRUEBAS DE DESARROLLO DE SOFTWARE SENIOR 1</t>
  </si>
  <si>
    <t>COORDINADOR DE REQUERIMIENTOS DE PROYECTOS DE SISTEMAS</t>
  </si>
  <si>
    <t>ANALISTA DE SISTEMAS 1</t>
  </si>
  <si>
    <t>ANALISTA FUNCIONAL SENIOR</t>
  </si>
  <si>
    <t>ANALISTA FUNCIONAL SENIOR 1</t>
  </si>
  <si>
    <t>ANALISTA FUNCIONAL SENIOR 2</t>
  </si>
  <si>
    <t>ANALISTA FUNCIONAL SENIOR 3</t>
  </si>
  <si>
    <t>ANALISTA FUNCIONAL SENIOR 4</t>
  </si>
  <si>
    <t>ANALISTA FUNCIONAL SENIOR 5</t>
  </si>
  <si>
    <t>ANALISTA FUNCIONAL SENIOR 6</t>
  </si>
  <si>
    <t>ANALISTA FUNCIONAL SENIOR 7</t>
  </si>
  <si>
    <t>ANALISTA FUNCIONAL SENIOR 8</t>
  </si>
  <si>
    <t>ANALISTA FUNCIONAL SENIOR 9</t>
  </si>
  <si>
    <t>ESPECIALISTA FUNCIONAL</t>
  </si>
  <si>
    <t>ESPECIALISTA FUNCIONAL SENIOR 1</t>
  </si>
  <si>
    <t>ESPECIALISTA FUNCIONAL SENIOR 2</t>
  </si>
  <si>
    <t>PROGRAMADOR 1</t>
  </si>
  <si>
    <t>ANALISTA PROGRAMADOR 1</t>
  </si>
  <si>
    <t>ANALISTA PROGRAMADOR 2</t>
  </si>
  <si>
    <t>ANALISTA PROGRAMADOR 3</t>
  </si>
  <si>
    <t>ANALISTA PROGRAMADOR 4</t>
  </si>
  <si>
    <t>ANALISTA PROGRAMADOR 5</t>
  </si>
  <si>
    <t>ANALISTA PROGRAMADOR 6</t>
  </si>
  <si>
    <t>ANALISTA PROGRAMADOR 7</t>
  </si>
  <si>
    <t>ANALISTA PROGRAMADOR 8</t>
  </si>
  <si>
    <t>ANALISTA PROGRAMADOR 9</t>
  </si>
  <si>
    <t>ANALISTA PROGRAMADOR 10</t>
  </si>
  <si>
    <t>ANALISTA PROGRAMADOR 11</t>
  </si>
  <si>
    <t>ANALISTA PROGRAMADOR 12</t>
  </si>
  <si>
    <t>ANALISTA PROGRAMADOR 13</t>
  </si>
  <si>
    <t>ANALISTA PROGRAMADOR 14</t>
  </si>
  <si>
    <t>ANALISTA PROGRAMADOR 16</t>
  </si>
  <si>
    <t>ANALISTA PROGRAMADOR 17</t>
  </si>
  <si>
    <t>ANALISTA PROGRAMADOR 18</t>
  </si>
  <si>
    <t>ANALISTA PROGRAMADOR FULL STACK</t>
  </si>
  <si>
    <t>ANALISTA PROGRAMADOR FULL STACK 1</t>
  </si>
  <si>
    <t>ANALISTA PROGRAMADOR FULL STACK 2</t>
  </si>
  <si>
    <t>ANALISTA PROGRAMADOR FULL STACK 3</t>
  </si>
  <si>
    <t>ANALISTA PROGRAMADOR FULL STACK 4</t>
  </si>
  <si>
    <t>ANALISTA PROGRAMADOR FULL STACK 5</t>
  </si>
  <si>
    <t>ANALISTA PROGRAMADOR FULL STACK 9</t>
  </si>
  <si>
    <t>ANALISTA PROGRAMADOR FULL STACK 10</t>
  </si>
  <si>
    <t>ANALISTA PROGRAMADOR FULL STACK 11</t>
  </si>
  <si>
    <t>ANALISTA PROGRAMADOR FULL STACK 12</t>
  </si>
  <si>
    <t>ANALISTA PROGRAMADOR FULL STACK 13</t>
  </si>
  <si>
    <t>ANALISTA PROGRAMADOR FULL STACK 16</t>
  </si>
  <si>
    <t>ANALISTA PROGRAMADOR FULL STACK 17</t>
  </si>
  <si>
    <t>ANALISTA PROGRAMADOR FULL STACK 18</t>
  </si>
  <si>
    <t>ANALISTA PROGRAMADOR FULL STACK 19</t>
  </si>
  <si>
    <t>ANALISTA PROGRAMADOR FULL STACK 20</t>
  </si>
  <si>
    <t>ANALISTA PROGRAMADOR FULL STACK 21</t>
  </si>
  <si>
    <t>ANALISTA PROGRAMADOR JUNIOR 1</t>
  </si>
  <si>
    <t>ANALISTA PROGRAMADOR JUNIOR 2</t>
  </si>
  <si>
    <t>ANALISTA PROGRAMADOR JUNIOR 3</t>
  </si>
  <si>
    <t>ANALISTA PROGRAMADOR JUNIOR 4</t>
  </si>
  <si>
    <t>ANALISTA PROGRAMADOR SENIOR</t>
  </si>
  <si>
    <t>ANALISTA PROGRAMADOR SENIOR 1</t>
  </si>
  <si>
    <t>ANALISTA PROGRAMADOR SENIOR 2</t>
  </si>
  <si>
    <t>ANALISTA PROGRAMADOR SENIOR 3</t>
  </si>
  <si>
    <t>ANALISTA PROGRAMADOR SENIOR 4</t>
  </si>
  <si>
    <t>ANALISTA PROGRAMADOR SENIOR 5</t>
  </si>
  <si>
    <t>ANALISTA PROGRAMADOR SENIOR 6</t>
  </si>
  <si>
    <t>ANALISTA PROGRAMADOR SENIOR 7</t>
  </si>
  <si>
    <t>ANALISTA PROGRAMADOR SENIOR 8</t>
  </si>
  <si>
    <t>ANALISTA PROGRAMADOR SENIOR 9</t>
  </si>
  <si>
    <t>ANALISTA PROGRAMADOR SENIOR 10</t>
  </si>
  <si>
    <t>ANALISTA PROGRAMADOR SENIOR 11</t>
  </si>
  <si>
    <t>ANALISTA PROGRAMADOR SENIOR 12</t>
  </si>
  <si>
    <t>ANALISTA PROGRAMADOR SENIOR 13</t>
  </si>
  <si>
    <t>ANALISTA PROGRAMADOR SENIOR 14</t>
  </si>
  <si>
    <t>ANALISTA PROGRAMADOR SENIOR 15</t>
  </si>
  <si>
    <t>ANALISTA PROGRAMADOR SENIOR 16</t>
  </si>
  <si>
    <t>ANALISTA PROGRAMADOR SENIOR 17</t>
  </si>
  <si>
    <t>ANALISTA PROGRAMADOR SENIOR 18</t>
  </si>
  <si>
    <t>ANALISTA PROGRAMADOR SENIOR 19</t>
  </si>
  <si>
    <t>ANALISTA PROGRAMADOR SENIOR 20</t>
  </si>
  <si>
    <t>ANALISTA PROGRAMADOR SENIOR 21</t>
  </si>
  <si>
    <t>ANALISTA PROGRAMADOR SENIOR 22</t>
  </si>
  <si>
    <t>ANALISTA PROGRAMADOR SENIOR 23</t>
  </si>
  <si>
    <t>ANALISTA PROGRAMADOR SENIOR 25</t>
  </si>
  <si>
    <t>ANALISTA PROGRAMADOR SENIOR 27</t>
  </si>
  <si>
    <t>ANALISTA PROGRAMADOR SENIOR 28</t>
  </si>
  <si>
    <t>ANALISTA PROGRAMADOR SENIOR 29</t>
  </si>
  <si>
    <t>ANALISTA PROGRAMADOR SENIOR 30</t>
  </si>
  <si>
    <t>ANALISTA PROGRAMADOR SENIOR 32</t>
  </si>
  <si>
    <t>ANALISTA PROGRAMADOR SENIOR 34</t>
  </si>
  <si>
    <t>DISEÑADOR GRAFICO 1</t>
  </si>
  <si>
    <t>ESPECIALISTA UX/UI</t>
  </si>
  <si>
    <t>ANALISTA UX/UI 2</t>
  </si>
  <si>
    <t>ANALISTA UX/UI 3</t>
  </si>
  <si>
    <t>ANALISTA UX/UI 4</t>
  </si>
  <si>
    <t>DISEÑADOR MAQUETADOR 1</t>
  </si>
  <si>
    <t>DISEÑADOR MAQUETADOR 2</t>
  </si>
  <si>
    <t>DISEÑADOR MAQUETADOR 3</t>
  </si>
  <si>
    <t>DISEÑADOR MAQUETADOR 4</t>
  </si>
  <si>
    <t>ARQUITECTO DE DATOS EN LA NUBE</t>
  </si>
  <si>
    <t>ARQUITECTO DE SEGURIDAD EN LA NUBE</t>
  </si>
  <si>
    <t>ARQUITECTO DE SOLUCIONES EN LA NUBE</t>
  </si>
  <si>
    <t>ARQUITECTO DE SOFTWARE 1</t>
  </si>
  <si>
    <t>ASISTENTE DE PROYECTOS DE SOFTWARE 1</t>
  </si>
  <si>
    <t>ASISTENTE TECNICO INFORMATICO</t>
  </si>
  <si>
    <t>ANALISTA ADMINISTRATIVO DE PROYECTOS</t>
  </si>
  <si>
    <t>ASISTENTE TECNICO DE GESTION DE PROYECTOS</t>
  </si>
  <si>
    <t>ASISTENTE DE SISTEMAS DE INFORMACION</t>
  </si>
  <si>
    <t>ANALISTA DE PROYECTOS DE TI</t>
  </si>
  <si>
    <t>GESTOR DE PROYECTOS TI 1</t>
  </si>
  <si>
    <t>GESTOR DE PROYECTOS 1</t>
  </si>
  <si>
    <t>GESTOR DE PROYECTOS 2</t>
  </si>
  <si>
    <t>GESTOR DE PROYECTOS TI 2</t>
  </si>
  <si>
    <t>GESTOR DE DESARROLLO</t>
  </si>
  <si>
    <t>GESTOR DE PROYECTOS DE SOFTWARE 1</t>
  </si>
  <si>
    <t>COORDINADOR DE PROYECTOS 1</t>
  </si>
  <si>
    <t>COORDINADOR UX/UI</t>
  </si>
  <si>
    <t>ESPECIALISTA EN GESTION DE PROYECTOS</t>
  </si>
  <si>
    <t>ESPECIALISTA EN BASE DE DATOS</t>
  </si>
  <si>
    <t>ESPECIALISTA EN GESTIÓN DE PROYECTOS DE SOFTWARE 1</t>
  </si>
  <si>
    <t>DOCUMENTADOR</t>
  </si>
  <si>
    <t>DOCUMENTADOR 1</t>
  </si>
  <si>
    <t>DOCUMENTADOR 2</t>
  </si>
  <si>
    <t>DOCUMENTADOR 3</t>
  </si>
  <si>
    <t>DOCUMENTADOR 4</t>
  </si>
  <si>
    <t>DOCUMENTADOR 5</t>
  </si>
  <si>
    <t>DOCUMENTADOR 6</t>
  </si>
  <si>
    <t>DOCUMENTADOR DE APLICACIONES 1</t>
  </si>
  <si>
    <t>DOCUMENTADOR DE APLICACIONES JUNIOR 1</t>
  </si>
  <si>
    <t>DOCUMENTADOR DE DATOS JUNIOR 1</t>
  </si>
  <si>
    <t>DOCUMENTADOR DE APLICACIONES JUNIOR 2</t>
  </si>
  <si>
    <t>ANALISTA PROGRAMADOR SENIOR 31</t>
  </si>
  <si>
    <t>SOPORTE INFORMATICO DE SISTEMAS 1</t>
  </si>
  <si>
    <t>SOPORTE INFORMATICO DE SISTEMAS 2</t>
  </si>
  <si>
    <t>SOPORTE INFORMATICO DE SISTEMAS 3</t>
  </si>
  <si>
    <t>SOPORTE INFORMATICO DE SISTEMAS 4</t>
  </si>
  <si>
    <t>SOPORTE INFORMATICO DE SISTEMAS 5</t>
  </si>
  <si>
    <t>SOPORTE INFORMATICO DE SISTEMAS 6</t>
  </si>
  <si>
    <t>SOPORTE INFORMATICO DE SISTEMAS 7</t>
  </si>
  <si>
    <t>SOPORTE INFORMATICO DE SISTEMAS 8</t>
  </si>
  <si>
    <t>SOPORTE INFORMATICO DE SISTEMAS 9</t>
  </si>
  <si>
    <t>SOPORTE INFORMATICO DE SISTEMAS 10</t>
  </si>
  <si>
    <t>SOPORTE INFORMATICO DE SISTEMAS 15</t>
  </si>
  <si>
    <t>SOPORTE INFORMATICO DE SISTEMAS 11</t>
  </si>
  <si>
    <t>SOPORTE INFORMATICO DE SISTEMAS 12</t>
  </si>
  <si>
    <t>SOPORTE INFORMATICO DE SISTEMAS 13</t>
  </si>
  <si>
    <t>SOPORTE INFORMATICO DE SISTEMAS 14</t>
  </si>
  <si>
    <t>ANALISTA PROGRAMADOR SENIOR 35</t>
  </si>
  <si>
    <t>COORDINADOR DE SOPORTE INFORMATICO DE DESARROLLO</t>
  </si>
  <si>
    <t>GESTOR DE PROYECTOS 3</t>
  </si>
  <si>
    <t>SOPORTE ADMINISTRATIVO</t>
  </si>
  <si>
    <t>SERVICIO DE ALIMENTACIÓN (Subgerencias y despacho)</t>
  </si>
  <si>
    <t>SE DEBE REALIZAR MODIFICACION PRESUPUESTAL POR CLASIFICADOR</t>
  </si>
  <si>
    <t>ESPECIALISTA EN ESTRATEGIAS DE GOBIERNO DIGITAL DE TI</t>
  </si>
  <si>
    <t>ESPECIALISTA SENIOR EN PLANIFICACIÓN DE PROYECTOS DE TI</t>
  </si>
  <si>
    <t>ESPECIALISTA EN GESTIÓN DE PROYECTOS DE TI ELECTORALES</t>
  </si>
  <si>
    <t>ESPECIALISTA EN SEGURIDAD DIGITAL APLICADA A PROCESOS ELECTORALES</t>
  </si>
  <si>
    <t>ESPECIALISTA EN PROYECTOS ELECTORALES</t>
  </si>
  <si>
    <t>ADMINISTRADOR DE CLAVES DE SEGURIDAD</t>
  </si>
  <si>
    <t>ASISTENTE  DE CLAVES DE SEGURIDAD</t>
  </si>
  <si>
    <t>ATENCION AL CIUDADANO Y GESTION DOCUMENTAL</t>
  </si>
  <si>
    <t>2026EG 2026 (SEP)GITEGESTION DOCUMENTAL</t>
  </si>
  <si>
    <t>GESTION DOCUMENTAL</t>
  </si>
  <si>
    <t>ESPECIALISTA EN GESTIÓN Y CONTROL OPERATIVO DE PROCESOS ELECTORALES</t>
  </si>
  <si>
    <t>ESPECIALISTA DE CONTROL DE TI</t>
  </si>
  <si>
    <t>ESPECIALISTA LEGAL</t>
  </si>
  <si>
    <t>ANALISTA EN GESTIÓN Y CONTROL</t>
  </si>
  <si>
    <t>ANALISTA TECNICO ADMINISTRATIVO</t>
  </si>
  <si>
    <t>ANALISTA EN GESTION ADMINISTRATIVA 1</t>
  </si>
  <si>
    <t>ANALISTA EN GESTION ADMINISTRATIVA 2</t>
  </si>
  <si>
    <t xml:space="preserve">ASISTENTE EN GESTION DOCUMENTAL </t>
  </si>
  <si>
    <t>ANALISTA EN OPERACIONES TECNOLOGICAS</t>
  </si>
  <si>
    <t>TOTAL PRESUPUESTO PIM</t>
  </si>
  <si>
    <t>MODIFICACION- HABILITACION INFORME SG</t>
  </si>
  <si>
    <t>MODIFICACION- HABILITACION MEMORANDO GITE</t>
  </si>
  <si>
    <t>MODIFICACION CN - ESTADO (MEMO APROBACION GPP)</t>
  </si>
  <si>
    <t>TOTAL PRESUPUESTO PIM - MODIFICADA (e</t>
  </si>
  <si>
    <t>OBSERVACIONES DE LO SOLICTADO</t>
  </si>
  <si>
    <t>PEDIDOS DE COMPRAS- SERVICIOS</t>
  </si>
  <si>
    <t>ESPECIALISTA A A CARGO</t>
  </si>
  <si>
    <t>INFORME SG</t>
  </si>
  <si>
    <t>FECHA INFORME SG</t>
  </si>
  <si>
    <t>INFORME PEDIDO REMITIDO (SGIST)</t>
  </si>
  <si>
    <t>FECHA INFORME PEDIDO REMITIDO (SGIST)</t>
  </si>
  <si>
    <t>MEMORANDOGITE</t>
  </si>
  <si>
    <t>FECHA MEMORANDO GITE</t>
  </si>
  <si>
    <t>ESTADO DE REQUERIMIENTOS</t>
  </si>
  <si>
    <t>SEGUIMIENTO AL ESTADO DEL REQUERIMIENTO</t>
  </si>
  <si>
    <t>CCP</t>
  </si>
  <si>
    <t>MONTO TOTAL CERTIFICADO</t>
  </si>
  <si>
    <t>SALDO DE CERTIFICACION</t>
  </si>
  <si>
    <t xml:space="preserve">ESTADO </t>
  </si>
  <si>
    <t>N° ORDEN</t>
  </si>
  <si>
    <t>FECHA DE ORDEN</t>
  </si>
  <si>
    <t>MONTO TOTAL PROGRAMADO</t>
  </si>
  <si>
    <t>MONTO TOTAL EJECUTADO CON ORDEN</t>
  </si>
  <si>
    <t xml:space="preserve">SALDOS DE PROGRAMACION/ CERTIFICACIÓN </t>
  </si>
  <si>
    <t xml:space="preserve">DATOS DEL PROVEEDOR SEGÚN ORDEN </t>
  </si>
  <si>
    <t>TIPO DE CONTRATACIION</t>
  </si>
  <si>
    <t xml:space="preserve">FECHA DE ENTREGA O PLAZO DE EJECUCION </t>
  </si>
  <si>
    <t xml:space="preserve">INFORME DE CONFORMIDAD </t>
  </si>
  <si>
    <t>FECHA DE ENTREGA</t>
  </si>
  <si>
    <t>MEMORANDO GITE DE CONFORMIDAD</t>
  </si>
  <si>
    <t>FECHA DE MEMORANDO</t>
  </si>
  <si>
    <t>PRE CONFORMIDAD</t>
  </si>
  <si>
    <t>FECHA PRE CONFORMIDAD</t>
  </si>
  <si>
    <t>SEGUIMIENTO</t>
  </si>
  <si>
    <t xml:space="preserve">COMPROMETIDO </t>
  </si>
  <si>
    <t xml:space="preserve">DEVENGADO </t>
  </si>
  <si>
    <t>GIRADO</t>
  </si>
  <si>
    <t>FECHA DE GIRO</t>
  </si>
  <si>
    <t xml:space="preserve">OBSERVACIONES/ ESTADO </t>
  </si>
  <si>
    <t>MONTO PIM CERTIFICADO</t>
  </si>
  <si>
    <t>93-SEP 2026</t>
  </si>
  <si>
    <t>00933-2026/GPP</t>
  </si>
  <si>
    <t>GPP APROBO HABILITACION PRESUPUESTAL PARA EL SERVICIO DE TELCO SEP POR UN MONTO ADICIONAL DE  S/ 11,129,942</t>
  </si>
  <si>
    <t xml:space="preserve">SIN PEDIDO </t>
  </si>
  <si>
    <t>001328-2026/SGIST-GITE</t>
  </si>
  <si>
    <t>1807-2026-SGIST</t>
  </si>
  <si>
    <t>002270-2026/GITE</t>
  </si>
  <si>
    <t>REMITIDO PARA CONTRATACION/ADQUISICION</t>
  </si>
  <si>
    <t>18/06/2026: RESOLUCION GERENCIAL N° 000271-2026/GAD - Sobre solicitud de reducción de prestaciones al contrato N° 134-2025-ONPE "SERVICIO DE ENLACE DE TELECOMUNICACIONES - EG2026"
22/05/2026 -  PRESTACIÓN ADICIONAL CON R.G. 235-2026-GAD DEL 20/5/2026 POR EL MONTO DE S/ 17.129,941,03
19/05/2026: MEMORANDO 002450-2026/GITE - INFORME COMPLEMENTARIO PARA LA PRESTACIÓN ADICIONAL AL CONTRATO N° 134-2025-ONPE - SERVICIO DE ENLACE DE TELECOMUNICACIONES - EG 2026 EN EL MARCO DE LA SEGUNDA ELECCION PRESIDENCIAL 2026
18/05/2026: INFORME 001985-2026/SGIST-GITE, INFORME COMPLEMENTARIO PARA LA PRESTACIÓN ADICIONAL AL CONTRATO N° 134-2025-ONPE - SERVICIO DE ENLACE DE TELECOMUNICACIONES - EG 2026 EN EL MARCO DE LA SEGUNDA ELECCION PRESIDENCIAL 2026
18/05/2026: HABILITACION PRESUPUESTAL EN VALIDACION DE LA SGPL Y GPP PARA DAR ATENCION A LA SOLICITUD
14/05/2026-. SE SOLICITO HABILITACION PARA EL SERVICIO DE ENLACE DE TELECOMUNICACIONES POR UN MONTO ADICIONAL DE S/ 11,129,942
12/05/2026: INFORME 001922-2026/SGIST-GITE, SGIST SOLICITA HABILITACION PRESUPUESTAL PARA ALCANZAR EL MONTO DE LA ESTRUCTURA DE COSTOS REMITIDA POR EL PROVEEDOR AMERICA MOVIL S/ 17,129,941
13/05/2026: SGIST SOLICITA LA HABILITACION PRESUPUESTAL PARA LA PRESTACIÓN ADICIONAL AL CONTRATO N° 134-2025-ONPE - SERVICIO DE ENLACE DE TELECOMUNICACIONES - EG 2026 EN EL MARCO DE LA SEGUNDA ELECCION PRESIDENCIAL 2026 (SISPLAN 93)
12/5/2026: SGIST solicita la autorización a la GITE para realizar las gestiones correspondientes para la habilitación presupuestal por S/ 11,129,941.03 para la prestación adicional al Contrato N° 134-2025-ONPE del Servicio de enlace detelecomunicaciones en el marco de la Segunda Elección Presidencial 2026/ INFORME 1922-2026-SGIST
5-5 SGIST remite documento para Prestación adicional al Contrato N° 134-2025-ONPE de fecha 21/11/2025; servicio que debe tener como plazo de ejecución del 21 de mayo al 30 de junio de 2026</t>
  </si>
  <si>
    <t>CER - 197</t>
  </si>
  <si>
    <t xml:space="preserve">CONTRATO/ORDEN </t>
  </si>
  <si>
    <t>AMERICA MOVIL PERU S.A.C</t>
  </si>
  <si>
    <t>PRESTACION ADICIONAL 1</t>
  </si>
  <si>
    <t>DEL 21/05/2026 - 30/06/2026</t>
  </si>
  <si>
    <t>20/05/2026: PRESTACION ADICIONAL MEDIANTE RESOLUCION 000235-2026/GAD -  INFORME LEGAL - Sobre solicitud de Prestación Adicional al Contrato N° 134-2025-ONPE -"SERVICIO DE ENLACE DE TELECOMUNICACIONES - EG 2026" SEP</t>
  </si>
  <si>
    <t>PENDIENTE</t>
  </si>
  <si>
    <t>solicitud n° 109</t>
  </si>
  <si>
    <t>memorando 0935-2026-GPP/ONPE</t>
  </si>
  <si>
    <t>01854-2026/SGIST-GITE</t>
  </si>
  <si>
    <t>02297-2026/GITE</t>
  </si>
  <si>
    <t xml:space="preserve"> CER-00117 </t>
  </si>
  <si>
    <t>2136-2026</t>
  </si>
  <si>
    <t>ADMINISTRADOR DE PROCESOS ELECTORALES CSA</t>
  </si>
  <si>
    <t>PRESTACION ADICIONAL1</t>
  </si>
  <si>
    <t>21 MAYO ALK 19 JUNIO 2026</t>
  </si>
  <si>
    <t>pendiente</t>
  </si>
  <si>
    <t>SIN PEDIDO</t>
  </si>
  <si>
    <t>001838-2026/SGIST-GITE</t>
  </si>
  <si>
    <t>07/05/2026
06/05/2026</t>
  </si>
  <si>
    <t>002265-2026/GITE</t>
  </si>
  <si>
    <t>05/06/2026: notificacion de la O.S. 2125- DEL SERVICIO DE TRANSMISION DE DATOS
15/05/2026: RESOLUCION GERENCIAL N° 000226-2026-GAD/ONPE, SE SOLICITO AL PROVEEDOR DOLPHIN MOBILE S.A.C, GESTIONAR LA PRESTACION ADICIONAL DEL CONTRATO N° 056-2026-ONPE POR EL MONTO DE 303,062.50
7-5 SGIST-GITE remite documento para Prestación adicional al Contrato N° 056-2026-ONPE de fecha 9/2/2026, por el 30,31% del monto del contrato original (S/ 1,000,000,00)/MEMO 2265-2026-GITE</t>
  </si>
  <si>
    <t>CER-0185</t>
  </si>
  <si>
    <t>RESOLUCION GERENCIAL N° 000226-2026-GAD/ONPE</t>
  </si>
  <si>
    <t>DOLPHIN MOBILE S.A.C</t>
  </si>
  <si>
    <t>PRESTACION ADICIONAL</t>
  </si>
  <si>
    <t>32 DIAS, DESDE 15 MAYO AL 15 DE JUNIO</t>
  </si>
  <si>
    <t>120-2026-SISPLAN</t>
  </si>
  <si>
    <t>000953-2026/GPP</t>
  </si>
  <si>
    <t>SE REALIZO HABILITACION PRESUPUESTAL PARA EL ADICIONAL DEL SERVICIO DE WEB HOSTING SEP 2026</t>
  </si>
  <si>
    <t>001885-2026/SGIST-GITE</t>
  </si>
  <si>
    <t>002357-2026/GITE</t>
  </si>
  <si>
    <t>ORDEN DE SERVICIO DE WEB HOSTIN PRESTACION ADICIONAL NOTIFICADA CON FECHA AL 24/06/2026
RESOLUCION GERENCIAL N° 000243-2026-GAD/ONPE
21/05/2026:  PRESTACIÓN ADICIONAL CON R.G. 243-2026-GAD DEL 21/5/2026 POR EL MONTO DE S/ 4,522,144.09
19/05/2026 GPP APRUEBA LA HABILITACIÓN  DE RECURSOS PRESPUESTALES POR S/ 2,022,146,00/MEMO 953-2026-GPP
18/05/2026: SGIST remite la actualización el presupuesto requerido para la prestación adicional del Contrato N°23-2025-ONPE es S/ 4,522,234.57 (Cuatro
millones quinientos veintidós mil doscientos treinta y cuatro con cincuenta y siete milésimas) equivalente a 60.75% del monto total del Contrato (S/7,444,467.19). El servicio de operación está contemplado desde el 21/05/2026 hasta el 30/06/2026 (41 días calendario)/ INFORME 1967-2026-SGIST y MEMORANDO 2448-2026-GITE
18/05/2026:SGIST SOLICITA HABILITACIÓN PRESUPUESTAL PARA LA PRESTACIÓN ADICIONAL POR EL MONTO DE s/ 2,022,146.00 /INFORME 2002-2026-SGIST.
13/05/2026: MEMORANDO 002357-2026/GITE, PRESTACIÓN ADICIONAL AL CONTRATO N° 23-2025-ONPE - SERVICIO DE WEB HOSTING -EG2026 – SEGUNDA ELECCIÓN PRESIDENCIAL
12/05/2026: INFORME 001885-2026/SGIST-GITEORME 1885-2026-SGIST, PRESTACIÓN ADICIONAL AL CONTRATO N° 23-2025-ONPE - SERVICIO DE WEB HOSTING -EG2026 – SEGUNDA ELECCIÓN PRESIDENCIAL.   El presupuesto requerido para la prestación adicional del Contrato N°23-2025-ONPE es S/ 2,319,806.89 equivalente a 31.16% del monto
total del Contrato (S/ 7,444,467.19)
CONTRATO N° 23-2025-ONPE, SE SOLICITO CONTINUIDAD DEL CONTRATO ACTUAL</t>
  </si>
  <si>
    <t>CER- 306</t>
  </si>
  <si>
    <t>2300-2026</t>
  </si>
  <si>
    <t>ITG SOLUTIONS S.A.C.</t>
  </si>
  <si>
    <t>21/05/2026 - 30/06/2026</t>
  </si>
  <si>
    <t>NO EJECUTADO / PRIORIZADO</t>
  </si>
  <si>
    <t>ANA OTERO</t>
  </si>
  <si>
    <t>000084-2026/CSL-SGIST-GITE</t>
  </si>
  <si>
    <t>001827-2026-SGIST
001794-2026/SGIST-GITE</t>
  </si>
  <si>
    <t>02243-2026/GITE</t>
  </si>
  <si>
    <t>22/05/2026: PROVEIDO 003759-2026/SGPR-GPP, DERIVADO A MONITOR DE GPP PARA ATENCION DEL CCP
22/05/2026: MEMORANDO 003049-2026/SGL-GAD, SE SOLICITO CCP N° 2301
22/05/2026 CCP SE ENCUENTRA PARA ATENCIÓN DE SGPR
21/05/2026: HOJA DE ENVIO 003323-2026/JAPROG-SGL-GAD - JAPROG SOLICITA LA CCP 2301 POR S/ 32,000 
19/05/2026: MEMORANDO 002453-2026/GITE - SE REMITE LA VERIFICACIÓN DE CUMPLIMIENTO (FM07 GAD/LOG) DE LOS TERMINOS DE REFERENCIA PARA  EL SERVICIO DE ETHICAL HACKING – EG 2026 (SEP) - GITE - PS – 1860
18/5/2026: INFORME 001984-2026/SGIST-GITE - SE REMITE LA VERIFICACIÓN DE CUMPLIMIENTO (FM07 GAD/LOG) DE LOS TERMINOS DE REFERENCIA PARA  EL SERVICIO DE ETHICAL HACKING – EG 2026 (SEP) - GITE - PS – 1860
18/05/2026: COTIZACION DE STRATEGOS Y ASOCIADOS POR EL MONTO DE S/32000
18/05/2026: INFORME 001984-2026/SGIST-GITE y MEMO 2453-2026-GITE- SE REMITE LA VERIFICACIÓN DE CUMPLIMIENTO (FM07 GAD/LOG) DE LOS TERMINOS DE REFERENCIA PARA  EL SERVICIO DE ETHICAL HACKING – EG 2026 (SEP) - GITE - PS – 1860
14/05/2026: HOJA DE ELEVACION N° 003053-2026/JAPROG-SGL-GAD 
14/05/2026: informe 000006-2026/JCM-SGIST-GITE
14/05/2026: OFERTA ECONOMICA DE STRATEGOS POR S/ 32 000
14/05/2026: HOJA DE ELEVACION 003053-2026/JAPROG-SGL-GAD, SE SOLICITA LA VERIFICACIÓN DE CUMPLIMIENTO DE LOS TDR PARA  EL SERVICIO DE ETHICAL HACKING – EG 2026 (SEP) - GITE - PS – 1860
07/05/2026: PROVEIDO 006078-2026/JAPROG-SGL-GAD, DERIVADO PARA ATENCION ANA OTERO
06/05/2026: SE REMITIO MEMORANDO 002243-2026/GITE, DERIVANDO EL TDR, P.S. A LOGISTICA PARA INICIO PRESTACIÓN ADICIONAL
6/5/2026 SE REMITE NUEVO INFORME. EL REQUERIMIENTO ES PARA MAYO
04/05/2026: SGIST REMITIO INFORME 001794-2026/SGIST-GITE EN FLUJO DE REVISION DE GITE</t>
  </si>
  <si>
    <t>CER-2301</t>
  </si>
  <si>
    <t>1895-2026</t>
  </si>
  <si>
    <t>STRATEGOS Y ASOCIADOS S.A.C</t>
  </si>
  <si>
    <t>fecha fin 22/06/2026</t>
  </si>
  <si>
    <t>presentado</t>
  </si>
  <si>
    <t>pago se realizada al finalizar el servicio</t>
  </si>
  <si>
    <t>08/06/2026: proveido n° 006446-2026/SGIST-GITE -STRATEGOS Y ASOCIADOS S.A.C - SEGUNDO ENTREGABLE DEL SERVICIO DE ETHICAL HACKING SEP 2026
08/06/2026: CARTA 0021-2026-STRATEGOS Y ASOCIADOS - SEGUNDO ENTREGABLE DEL SERVICIO DE ETHICAL HACKING SEP 2026
07/06/2026 CONTRATISTA PRESENTA ENTREGABLE 2
04/06/2026 MEMORANDO 2811-2026-GITE SE ACEPTA EL ENTREGABLE 1 - PLAN DE TRABAJO</t>
  </si>
  <si>
    <t>23/06/2026: tramite de giro de la orden, en estado pendiente</t>
  </si>
  <si>
    <t>1808-2026-SGIST</t>
  </si>
  <si>
    <t>002264-2026/GITE</t>
  </si>
  <si>
    <t>20/05/2026-  PRESTACIÓN ADICIONAL CON R.G. 235-2026-GAD DEL 20/5/2026 POR EL MONTO DE S/ 152,598.47
07/05/2026: GITE REMITIO MEMORANDO 002264-2026/GITE, SOLICITANDO LA PRESTACIÓN ADICIONAL AL CONTRATO N° 231-2025-ONPE - SERVICIO DE CORREO ELECTRONICO EN LA NUBE -EG2026 – SEGUNDA ELECCIÓN PRESIDENCIAL 2026
5-5 SGIST remite documento para Prestación adicional al Contrato N° 231-2025-ONPE de fecha 19/12/2025, por el 18,17% del monto del contrato original (S/ 840,000,00)</t>
  </si>
  <si>
    <t>CER-559</t>
  </si>
  <si>
    <t xml:space="preserve">O/S 2046
RESOLUCION GERENCIAL N° 000234-2026-GAD/ONPE
</t>
  </si>
  <si>
    <t>DAILY TECHNOLOGY S.A.C</t>
  </si>
  <si>
    <t>fecha fin 30/06/2026</t>
  </si>
  <si>
    <t>000080-2026/CSL-SGIST-GITE</t>
  </si>
  <si>
    <t>001719-2026/SGIST-GITE</t>
  </si>
  <si>
    <t>02115-2026/GITE</t>
  </si>
  <si>
    <t xml:space="preserve">
15/05/2026: proveido006726-2026/JAPROG-SGL-GAD, ATENDIDO| APROBACION DEL CCP 02131 - SERVICIO DE ALQUILER DE EQUIPO COMPUTO – EG 2026 (SEP) –
15/05/2026: MEMORANDO 002863-2026/SGL-GAD, SGL SOLICITA LA APROBACION DECCP N° 2131
14/05/2026: HOJA DE ELEVACION 003082-2026/JAPROG-SGL-GAD,SE SOLICITA LA APROBACION DEL CCP 02131 - SERVICIO DE ALQUILER DE EQUIPO COMPUTO – EG 2026 (SEP) – GITE - PS 001577.
12/05/2026: MEMORANDO 002312-2026/GITE, GITE DERIVO FM 07/GAD A JAPROG PARA CONTINUAR CON EL TRAMITE DE CCP. CUMPLEN AMBOS POSTORES
11/5 SGIST REMITE VERIFICACIÓN DE CUMPLIMIENTO. CUMPLEN AMBOS POSTORES/ INFORME 1874-2026-SGIST. PASA A REVISIÓN DE DOCUMENTOS
07/5 JAPROG REMITE PROPUESTAS PARA VERIFICACIÓN DE CUMPLIMIENTO GF PRINTER SYSTEM SAC S/ 11,475,00;  W &amp; H SOLUTIONS INTEGRALES S.A.C S/ 11,947,50 /HE 2821-2026-JAPROG
28/04/2026: MEMORANDO 002115-2026/GITE, GITE REMITIO PS Y TDR PARA INICIO DE CONTRATACION</t>
  </si>
  <si>
    <t>CER-2131</t>
  </si>
  <si>
    <t>1737-2026</t>
  </si>
  <si>
    <t>GF PRINTER SYSTEM S.A.C</t>
  </si>
  <si>
    <t>60 DIAS O HASTA EL 30 JUNIO 2026</t>
  </si>
  <si>
    <t>24/06/2026: CONFORMIDAD PENDIENTE, SERVICIO CULMINA EL 30/06/2026
23/06/2026_: tramite de giro del servicio a la fecha 23/06/2026 se encuentra pendiente</t>
  </si>
  <si>
    <t>EDIBER NAVARRO</t>
  </si>
  <si>
    <t>001742-2026/SGIST-GITE</t>
  </si>
  <si>
    <t>002153-2026/GITE</t>
  </si>
  <si>
    <t>03/06/2026: GITE INDICO QUE EL REQUERIMIENTO NO SERA PERSISTIDO Y NO SE EJECUTARA, FALTA DOCUMENTO DE RESPUESTA DE GITE EN ATENCION A LO SOLICITADO POR GIEE
29/05/2026: PROVEIDO 000018-2026/GIEE, DERIVADO A GITE PARA GESTION CORRESPONDIENTE
29/05/2026: hoja de elevacion 006352-2026/JASEC-SGL-GAD, JASEC REMITE OBSERVACIONES REALIZADAS POR GERENCIA DE ASESORIA JURIDICA SOBRE LA EJECUCION DE PRESTACIONES ADICIONALES AL CONTRATO N° 0175-2026
28/05/2026: MEMORANDO 000355-2026/GAJ - GAJ REMITIO OPINION CORRESPONDIENTE LA PRESTACION ADICIONAL, de la revisión efectuada,se advierte que el sustento remitido no desarrolla con suficiente claridad por qué la prestación adicional solicitada resultaría indispensable para el cumplimiento de la finalidad pública del contrato, conforme a lo exigido por el numeral 141.1 del artículo 141del Reglamento de la Ley N.° 32069. En ese sentido, se devuelve el expediente a fin de que el área usuaria complemente el sustento técnico correspondiente, precisando los aspectos antes señalados, para la continuidad de la evaluación legal respectiva
28/05/2026: INFORME 000297-2026/SGAD-GAJ - INFORME LEGAL DE LA SUBGERENCIA DE ASESORIA JURIDICA SOBRE LA PRESTACION ADICIONAL AL CONTRATO
26/05/2026: MEMORANDO 001609-2026/GAD - Sobre ejecución de prestaciones adicionales al Contrato N° 00175-2025-ONPE “Servicio de Atención de Refrigerios - EG 2026”
26/05/2026: INFORME 001389-2026/SGL-GAD - SGL REMITE PROYECTO DE INFORME Y RESOLUCION SOBRE EJECUCION DE PRESTACION ADICIONALES  AL CONTRATO N° 0175-2026-ONPE
25/05/2026: proeido 011369-2026/JASEC-SGL-GAD para derivarse expediente a ediber navarro
22/05/2026: PROVEIDO 003769-2026/SGPR-GPP, DERIVADO A MONITORA PARA APROBACION DE CCP 1186
22/05/2026: MEMORANDO 003061-2026/SGL-GAD - SE REMITE PRECISIÓN A SOLICITUD DE APROBACION DE AMPLIACION DE CCP 1186 - PRESTACION adicional del “SERVICIO DE ATENCION DE REFRIGERIOS – EG 2026 (SEP).
22/05/2026: HOJA DE ENVIO 000468-2026/JASEC-SGL-GAD - solicitud de Aprobación de CCP N° 1186 para la Prestación adicional al Contrato N° 175-2026-ONPE - SERVICIO DE ATENCIÓN DE REFRIGERIOS – EG 2026
21/05/2026: MEMORANDO003035-2026/SGL-GAD, SE SOLICITA APROBACION DE CCP 1186
21/05/2026: PROVEIDO 011069-2026/JASEC-SGL-GAD, DERIVADO A ESPECIALISTA EDIBER NAVARRO PARA LOS TRAMITES CORRESPONDIENTES
21/05/2026: MEMORANDO 001842-2026/GIEE, GIEE COMUNICO A JASEC LA RESPUESTA DE HABILITACION PRESUPUESTAL PARA EL SERVICIO DE REFRIGERIOS
21/05/2026: PROVEIDO 020042-2026/GOECOR, GOECOR COMUNICO LA SOLICITUD DE HABILITACION PARA EL SERVICIO DE REFRIGERIOS
20/05/2026: MEMORANDO 001814-2026/GIEE, GIEE SOLICITO REALIZAR TRAMITE PRESUPUESTAL A LA GOECOR PARA COMPLETAR EL MONTO DE CCP FALTANTE 22000
12/05/2026_: PROVEIDO 006494-2026/SGL-GAD, PRESTACION ADICIONAL EN JASEC
12/05/2026: PROVEIDO 009850-2026/JASEC-SGL-GAD, DERIVADO A EDIBER NAVARRO DE JASEC
11/05/2026: memorando 001547-2026/GIEE, GIEE REMITIO SOLICITUD DE PRESTACION ADICIONAL AL CONTRATO N° 0175-2026-ONEP
30/04/2026: memorando 002153-2026/GITE, SE REMITE PEDIDO DE SERVICIO N° 001841 - 001846 PARA LA  CONTINUIDAD DEL SERVICIO DE ATENCION DE REFRIGERIOS CONTRATO N° 175-2026-ONPE PARA LA SEGUNDA VUELTA ELECTORAL EG 2026 (SEP)
29/04/2026: informe 001742-2026/SGIST-GITE, SE REMITE PEDIDO DE SERVICIO N° 001841 - 001846 PARA LA  CONTINUIDAD DEL SERVICIO DE ATENCION DE REFRIGERIOS CONTRATO N° 175-2026-ONPE PARA LA SEGUNDA VUELTA ELECTORAL EG 2026 (SEP)</t>
  </si>
  <si>
    <t>CER-1186</t>
  </si>
  <si>
    <t>GAD (SGMCP) COMUNICO QUE LA CONTRATACION DE OFICINAS SE ENCUENTRA CUBIERTO LA CONTRATACIÓN</t>
  </si>
  <si>
    <t>001688-2026/GITE</t>
  </si>
  <si>
    <t>• RESOLUCION N° 0209-2026-GAD/ONPE NOTIFICADA 05/05/2026
 • SEGUNDA ADENDA DEL CONTRATO N° 067-2025-ONPE
03/06/2026: ORDEN DE SERVICIO N° 01886-2026 CORRESPONDIENTE A LA PRESTACION ADICIONAL DEL SERVICIO POR EL MONTO DE s/ 236 000
29/04/2026: MEMORANDO 000629-2026/SGSI-GITE - Validación de oferta economica (estructura de costos) remitida por el contratista para la ejecución de la prestación adicional al Contrato N° 067-2025-ONPE “Servicio de auditoría informáticia para las soluciones tecnológicas de soporte electoral al escrutinio, cómputo de resultados y presentación de resultados – EG 2026”.
29/04/2026: MEMORANDO 000610-2026/SGSI-GITE - LA SGSI REMITE TERMINOS DE REFERENCIA ACTUALIZADOS DEL SERVICIO DE AUDITORÍA INFORMÁTICA PARA LAS SOLUCIONES TECNOLÓGICAS DE CÓMPUTO DE RESULTADOS Y PRESENTACIÓN DE RESULTADOS – EG 2026 - SEGUNDA ELECCIÓN PRESIDENCIAL - SEP 2026 PARA SOLICITUD DE ESTRUCTURA DE COSTOS
29/04/2026., PROVEIDO 008633-2026/JASEC-SGL-GAD - REMITE OFERTA ECONÓMICA
29/04/2026: ESTRUCTURA DE COSTOS REMITIDA POR EL PROVEEDOR SE ESTIMA POR S S/ 236 000
29/04/2026: MEMORANDO 002144-2026/GITE, Validación de oferta economica (estructura de costos) remitida por el contratista para la ejecución de la prestación adicional al Contrato N° 067-2025-ONPE “Servicio de auditoría informáticia para las soluciones tecnológicas de soporte electoral al escrutinio, cómputo de resultados y presentación de resultados – EG 2026”
29/04/2026: INFORME 000627-2026/SGSI-GITE, SGSI REALIZO LA VALIDACION DE OFERTA ECONOMICA ESTRUCTURA DE COSTOS REMITIDA POR EL CONTRATISTA
29/04/2026: HOJ DE ELEVACION 000095-2026/SGL-GAD, Se solicita validar la oferta economica (estructura de costos) remitida por el contratista para la ejecución de la prestación adicional al Contrato N° 067-2025-ONPE “Servicio de auditoría informáticia para las soluciones tecnológicas de soporte electoral al escrutinio, cómputo de resultados y presentación de resultados – EG 2026”
28/04/2026: CARTA N 000834-2026/SGL-GAD, Solicitud de oferta económica en el marco del requerimiento de prestaciones adicionales al Contrato N° 067-2025-ONPE - “Servicio de auditoría informática para las soluciones tecnológicas de soporte electoral al escrutinio, cómputo de resultados y presentación de resultados– EG 2026”
27/04/2026: OJA DE ENVIO 000373-2026/JASEC-SGL-GAD, JASEC SOLICITA LA ESTRUCTURA DE COSTOS PARA LA PRESTACIÓN ADICIONAL AL CONTRATO NRO 067-2025-ONPE - DEL SERVICIO DE AUDITORÍA INFORMÁTICA PARA LAS SOLUCIONES TECNOLÓGICAS DE CÓMPUTO DE RESULTADOS Y PRESENTACIÓN DE RESULTADOS – EG 2026 - SEGUNDA ELECCIÓN PRESIDENCIAL - SEP 2026
27/04/2026: MEMORANDO 002099-2026/GITE, LA SGSI SOLICITA LA ESTRUCTURA DE COSTOS PARA LA PRESTACIÓN ADICIONAL AL CONTRATO NRO 067-2025
24/04/2026: INFORME 000598-2026/SGSI-GITE, SGSI SOLICITO LA ESTRUCTURA DE COSTOS PARA LA PRESTACIÓN ADICIONAL AL CONTRATO NRO 067-2025-ONPE - DEL SERVICIO DE AUDITORÍA INFORMÁTICA PARA LAS SOLUCIONES TECNOLÓGICAS DE CÓMPUTO DE RESULTADOS Y PRESENTACIÓN DE RESULTADOS – EG 2026 - SEGUNDA ELECCIÓN PRESIDENCIAL - SEP 2026
SE SOLICITO CONTINUIDAD DEL CONTRATO N° 067-2025-ONPE</t>
  </si>
  <si>
    <t>CER-00119</t>
  </si>
  <si>
    <t>1886-2026</t>
  </si>
  <si>
    <t>M &amp; T CORPORATION DEL PERU S.A.C</t>
  </si>
  <si>
    <t xml:space="preserve">45 DIAS CALENDARIOS </t>
  </si>
  <si>
    <t>001002-2026/SGSI-GITE</t>
  </si>
  <si>
    <t>002956-2026/GITE</t>
  </si>
  <si>
    <t>EN TRAMITE DE PAGO EL ENTREGABLE 1 DEL SERVICIO
18/06/2026: hoja de elevacion 007362-2026/JASEC-SGL-GAD, JASEC solicita la conformidad del proveedor M &amp; T corporation del peru quinto entregable
18/06/2026: Carta n° 017-2025-MT/SAI ONPE EG2026 - proveedor presento quinta factura para tramite de conformidad
10/06/2026: MEMORANDO 002956-2026/GITE - OBSERVACIÓN  AL ENTREGABLE 1 DEL SERVICIO DE AUDITORÍA INFORMÁTICA PARA LAS SOLUCIONES TECNOLÓGICAS DE SOPORTE ELECTORAL AL ESCRUTINIO,
10/06/2026: INFORME 001002-2026/SGSI-GITE, OBSERVACIÓN  AL ENTREGABLE 1 DEL SERVICIO DE AUDITORÍA INFORMÁTICA PARA LAS SOLUCIONES TECNOLÓGICAS DE SOPORTE ELECTORAL AL ESCRUTINIO, CÓMPUTO DE RESULTADOS Y PRESENTACIÓN DE RESULTADOS – EG 2026 – PRESTACIÓN ADICIONAL SEGUNDA ELECCIÓN PRESIDENCIAL
06/06/2026: CARTA 015-2026-MT/SAI ONPE EG2026 - PRESENTACIÓN DEL PREDICTAMEN TÉCNICO</t>
  </si>
  <si>
    <t>SGSI REMITIO INFORME 001002-2026/SGSI-GITE -  ENTREGABLE 1 DEL SERVICIO DE AUDITORÍA INFORMÁTICA PARA LAS SOLUCIONES TECNOLÓGICAS DE SOPORTE ELECTORAL AL ESCRUTINIO, CÓMPUTO DE RESULTADOS Y PRESENTACIÓN DE RESULTADOS – EG 2026 – PRESTACIÓN ADICIONAL SEGUNDA ELECCIÓN PRESIDENCIAL</t>
  </si>
  <si>
    <t>001673-2026/SGIST-GITE</t>
  </si>
  <si>
    <t>002067-2026/GITE</t>
  </si>
  <si>
    <t xml:space="preserve">29/05/2026: INFORME 000390-2026/JAPROG-SGL-GAD - INFORME SUSTENTATORIO POR LA ADQUISICIÓN DE UTILES DE OFICINA EG2026-SEP, BAJO LA MODALIDAD DE  ACUERDO MARCO –GITE - PC 0362.
26/05/2026: PROVEIDO 007487-2026/JAPROG-SGL-GAD, INFORME DE ESTRATEGIA DERIVADO A JAPROG PARA ELABORACION DE E.T.
25/05/2026: INFORME 000365-2026/JAPROG-SGL-GAD, JAPROG REALIZO INFORME DE ESTRATEGIA PARA LA ADQUISICION DE UTILES DE OFICINA
22/05/2026: MEMORANDO 002557-2026/GITE, SE INFORMA LAS PRECISIONES A LAS OBSERVACIONES DEL REQUERIMIENTO PC N° 0362-ADQUISICION DE UTILES DE OFICINA- EG 2026 (SEP)-GITE.
22/05/2026: INFORME 002065-2026/SGIST-GITE, SE REMITIO PRECISIONES A LAS OBSERVACIONES DEL P.C. 362
21/05/2026: HOJA DE ELEVACION N° 03326-2026/JAPROG-SGL-GAD - SE OBSERVA REQUERIMIENTO PC N° 0362-ADQUISICION DE UTILES DE OFICINA- EG 2026 (SEP)-GITE.
20/05/2026: INFORME DE JAPROG EN ELABORACION ESTRATEGIA PARA LA ADQUSICION DE UTILES DE OFICINA SEP 2026
19/05/2026: PROVEIDO 005107-2026/GP, ATENDIDO|  APROBACION DEL CCP 2027- ADQUISICION DE UTILES DE OFICINA -EG 2026 (SEP)-SGMCP/GAD- GITE
19/05/2026: INFORME 002201-2026/SGPR-GPP- SE SOLICITA LA APROBACION DEL CCP 2027- ADQUISICION DE UTILES DE OFICINA -EG 2026 (SEP)-SGMCP/GAD- GITE
18/05/2026_: MEMORANDO 002903-2026/SGL-GAD, SE SOLICITA LA APROBACION DEL CCP 2027- ADQUISICION DE UTILES DE OFICINA -EG 2026 (SEP)-SGMCP/GAD- GITE PC 362- CEAM.
18/05/2026: HOJA DE ELEVACION 003148-2026/JAPROG-SGL-GAD, SE SOLICITA LA APROBACION DEL CCP 2027- ADQUISICION DE UTILES DE OFICINA -EG 2026 (SEP)-SGMCP/GAD- GITE PC 362- CEAM.
15/05/2026: MEMORANDO 002425-2026/GITE,GITE PC 0362, SE INFORMA LA PERSISTENCIA DE LA NECESIDAD DEL REQUERIMIENTO PARA LA ADQUISICIÓN DE UTILES DE OFICINA MEDIANTE CEAM-EG 2026 (SEP)- POST ELECTORAL.
15/05/2026: SGIST REMITIO LA PERSISTENCIA 001970-2026/SGIST-GITE, A LA ADQUISICION DE LOS UTILES DE OFICINA
13/05/2026: HOJA DE ELEVACION N° 002979-2026/JAPROG-SGL-GAD, JAPROG REALIZO LA DEVOLUCION DEL REQUERIMIENTO PARA LA “ADQUISICIÓN DE UTILES DE OFICINA” MEDIANTE CEAM-EG 2026-SEP-PC N° 0362-GITE
11/05/2026: MEMORANDO 002770-2026/SGL-GAD, SE SOLICITA LA APROBACION DEL CCP 2027- ADQUISICION DE UTILES DE OFICINA -EG 2026 (SEP)-SGMCP/GAD- GITE PC 362- CEAM
28/04/2026: INFORME DE GAD A SGL DONDE REMITE ET Y PC PARA INICIO DE ADQUISICION
28/04/2026: INFORME 000042-2026/ALM-SGL-GAD, ALMACEN CENTRAL REMITIO INFORME PEDIDO DE COMPRA Y ET
23/04/2026: MEMORANDO N° 002067-2026/GITE, GITE REMITIO </t>
  </si>
  <si>
    <t>CER-2027</t>
  </si>
  <si>
    <t>329-2026</t>
  </si>
  <si>
    <t>VENCOM EMPRESARIAL E.I.R.L</t>
  </si>
  <si>
    <t>11/06/2026: orden girada con fecha al 11/06/2026</t>
  </si>
  <si>
    <t>solicitud 90-SISPLAN</t>
  </si>
  <si>
    <t>00911-2026/GPP</t>
  </si>
  <si>
    <t>SE REALIZO MODIFICACION PARA COMPLETAR EL PRECIO EN LA SOLICITUD DE CCP</t>
  </si>
  <si>
    <t>11/06/2026: se realizo el pago de la oc con fecha al 11/06/2026</t>
  </si>
  <si>
    <t>330-2026</t>
  </si>
  <si>
    <t>HAM &amp; SHA E.I.R.L</t>
  </si>
  <si>
    <t>23/06/2026: tramite de pago de la orden pendiente a la fecha 23/06/226</t>
  </si>
  <si>
    <t xml:space="preserve">05/06/2026: PROVEIDO 006538-2026/GITE - ITEM 5 – EN ESTADO DESIERTO BAJO LA MODALIDAD DE ACUERDO MARCO-EG 2026-POST ELECTORAL–GITE - PC 0362
05/06/2026: HOJA DE ELEVACION N° 003701-2026/JAPROG-SGL-GAD - ITEM 5 – EN ESTADO DESIERTO BAJO LA MODALIDAD DE ACUERDO MARCO-EG 2026-POST ELECTORA
29/05/2026: INFORME 000390-2026/JAPROG-SGL-GAD - INFORME SUSTENTATORIO POR LA ADQUISICIÓN DE UTILES DE OFICINA EG2026-SEP, BAJO LA MODALIDAD DE  ACUERDO MARCO –GITE - PC 0362.
26/05/2026: PROVEIDO 007487-2026/JAPROG-SGL-GAD, INFORME DE ESTRATEGIA DERIVADO A JAPROG PARA ELABORACION DE E.T.
25/05/2026: INFORME 000365-2026/JAPROG-SGL-GAD, JAPROG REALIZO INFORME DE ESTRATEGIA PARA LA ADQUISICION DE UTILES DE OFICINA
22/05/2026: MEMORANDO 002557-2026/GITE, SE INFORMA LAS PRECISIONES A LAS OBSERVACIONES DEL REQUERIMIENTO PC N° 0362-ADQUISICION DE UTILES DE OFICINA- EG 2026 (SEP)-GITE.
22/05/2026: INFORME 002065-2026/SGIST-GITE, SE REMITIO PRECISIONES A LAS OBSERVACIONES DEL P.C. 362
21/05/2026: HOJA DE ELEVACION N° 03326-2026/JAPROG-SGL-GAD - SE OBSERVA REQUERIMIENTO PC N° 0362-ADQUISICION DE UTILES DE OFICINA- EG 2026 (SEP)-GITE.
20/05/2026: INFORME DE JAPROG EN ELABORACION ESTRATEGIA PARA LA ADQUSICION DE UTILES DE OFICINA SEP 2026
19/05/2026: PROVEIDO 005107-2026/GP, ATENDIDO|  APROBACION DEL CCP 2027- ADQUISICION DE UTILES DE OFICINA -EG 2026 (SEP)-SGMCP/GAD- GITE
19/05/2026: INFORME 002201-2026/SGPR-GPP- SE SOLICITA LA APROBACION DEL CCP 2027- ADQUISICION DE UTILES DE OFICINA -EG 2026 (SEP)-SGMCP/GAD- GITE
18/05/2026_: MEMORANDO 002903-2026/SGL-GAD, SE SOLICITA LA APROBACION DEL CCP 2027- ADQUISICION DE UTILES DE OFICINA -EG 2026 (SEP)-SGMCP/GAD- GITE PC 362- CEAM.
18/05/2026: HOJA DE ELEVACION 003148-2026/JAPROG-SGL-GAD, SE SOLICITA LA APROBACION DEL CCP 2027- ADQUISICION DE UTILES DE OFICINA -EG 2026 (SEP)-SGMCP/GAD- GITE PC 362- CEAM.
15/05/2026: MEMORANDO 002425-2026/GITE,GITE PC 0362, SE INFORMA LA PERSISTENCIA DE LA NECESIDAD DEL REQUERIMIENTO PARA LA ADQUISICIÓN DE UTILES DE OFICINA MEDIANTE CEAM-EG 2026 (SEP)- POST ELECTORAL.
15/05/2026: SGIST REMITIO LA PERSISTENCIA 001970-2026/SGIST-GITE, A LA ADQUISICION DE LOS UTILES DE OFICINA
13/05/2026: HOJA DE ELEVACION N° 002979-2026/JAPROG-SGL-GAD, JAPROG REALIZO LA DEVOLUCION DEL REQUERIMIENTO PARA LA “ADQUISICIÓN DE UTILES DE OFICINA” MEDIANTE CEAM-EG 2026-SEP-PC N° 0362-GITE
11/05/2026: MEMORANDO 002770-2026/SGL-GAD, SE SOLICITA LA APROBACION DEL CCP 2027- ADQUISICION DE UTILES DE OFICINA -EG 2026 (SEP)-SGMCP/GAD- GITE PC 362- CEAM
28/04/2026: INFORME DE GAD A SGL DONDE REMITE ET Y PC PARA INICIO DE ADQUISICION
28/04/2026: INFORME 000042-2026/ALM-SGL-GAD, ALMACEN CENTRAL REMITIO INFORME PEDIDO DE COMPRA Y ET
23/04/2026: MEMORANDO N° 002067-2026/GITE, GITE REMITIO </t>
  </si>
  <si>
    <t>332-2026</t>
  </si>
  <si>
    <t>GRUPO ALTAPEL PERU S.A.C</t>
  </si>
  <si>
    <t>331-2026</t>
  </si>
  <si>
    <t>REPRESENTACIONES GALARE S.A.C</t>
  </si>
  <si>
    <t>15/06/2026: se realizo el pago de la orden con fecha al 15/06/2026</t>
  </si>
  <si>
    <t xml:space="preserve">dEVENGADO </t>
  </si>
  <si>
    <t>333-2026</t>
  </si>
  <si>
    <t>INDUSTRIAS JAZMAR S.A.C</t>
  </si>
  <si>
    <t>17/06/2026: se realizo el pago de la orden con fecha al 17/06/2026</t>
  </si>
  <si>
    <t>ahora: clip de metal 30 mm aprox x 100
antes: CLIP DE METAL 33 mm X 100</t>
  </si>
  <si>
    <t>04/06/2026: CORREO DE LA SGSI COMUNICA QUE EL ITEM NO SERA REQUERIDO</t>
  </si>
  <si>
    <t>03/06/2026: GITE INDICO QUE EL REQUERIMIENTO NO SERA PERSISTIDO Y NO SE EJECUTARA, FALTA DOCUMENTO DE RESPUESTA DE GITE EN ATENCION A LO SOLICITADO POR GIEE
29/05/2026: PROVEIDO 000018-2026/GIEE, DERIVADO A GITE PARA GESTION CORRESPONDIENTE
29/05/2026: hoja de elevacion 006352-2026/JASEC-SGL-GAD, JASEC REMITE OBSERVACIONES REALIZADAS POR GERENCIA DE ASESORIA JURIDICA SOBRE LA EJECUCION DE PRESTACIONES ADICIONALES AL CONTRATO N° 0175-2026
28/05/2026: MEMORANDO 000355-2026/GAJ - GAJ REMITIO OPINION CORRESPONDIENTE LA PRESTACION ADICIONAL
28/05/2026: INFORME 000297-2026/SGAD-GAJ - INFORME LEGAL DE LA SUBGERENCIA DE ASESORIA JURIDICA SOBRE LA PRESTACION ADICIONAL AL CONTRATO
26/05/2026: MEMORANDO 001609-2026/GAD - Sobre ejecución de prestaciones adicionales al Contrato N° 00175-2025-ONPE “Servicio de Atención de Refrigerios - EG 2026”
26/05/2026: INFORME 001389-2026/SGL-GAD - SGL REMITE PROYECTO DE INFORME Y RESOLUCION SOBRE EJECUCION DE PRESTACION ADICIONALES  AL CONTRATO N° 0175-2026-ONPE
25/05/2026: proeido 011369-2026/JASEC-SGL-GAD para derivarse expediente a ediber navarro
22/05/2026: PROVEIDO 003769-2026/SGPR-GPP, DERIVADO A MONITORA PARA APROBACION DE CCP 1186
22/05/2026: MEMORANDO 003061-2026/SGL-GAD - SE REMITE PRECISIÓN A SOLICITUD DE APROBACION DE AMPLIACION DE CCP 1186 - PRESTACION adicional del “SERVICIO DE ATENCION DE REFRIGERIOS – EG 2026 (SEP).
22/05/2026: HOJA DE ENVIO 000468-2026/JASEC-SGL-GAD - solicitud de Aprobación de CCP N° 1186 para la Prestación adicional al Contrato N° 175-2026-ONPE - SERVICIO DE ATENCIÓN DE REFRIGERIOS – EG 2026
21/05/2026: MEMORANDO003035-2026/SGL-GAD, SE SOLICITA APROBACION DE CCP 1186
21/05/2026: PROVEIDO 011069-2026/JASEC-SGL-GAD, DERIVADO A ESPECIALISTA EDIBER NAVARRO PARA LOS TRAMITES CORRESPONDIENTES
21/05/2026: MEMORANDO 001842-2026/GIEE, GIEE COMUNICO A JASEC LA RESPUESTA DE HABILITACION PRESUPUESTAL PARA EL SERVICIO DE REFRIGERIOS
21/05/2026: PROVEIDO 020042-2026/GOECOR, GOECOR COMUNICO LA SOLICITUD DE HABILITACION PARA EL SERVICIO DE REFRIGERIOS
20/05/2026: MEMORANDO 001814-2026/GIEE, GIEE SOLICITO REALIZAR TRAMITE PRESUPUESTAL A LA GOECOR PARA COMPLETAR EL MONTO DE CCP FALTANTE 22000
12/05/2026_: PROVEIDO 006494-2026/SGL-GAD, PRESTACION ADICIONAL EN JASEC
12/05/2026: PROVEIDO 009850-2026/JASEC-SGL-GAD, DERIVADO A EDIBER NAVARRO DE JASEC
11/05/2026: memorando 001547-2026/GIEE, GIEE REMITIO SOLICITUD DE PRESTACION ADICIONAL AL CONTRATO N° 0175-2026-ONEP
30/04/2026: memorando 002153-2026/GITE, SE REMITE PEDIDO DE SERVICIO N° 001841 - 001846 PARA LA  CONTINUIDAD DEL SERVICIO DE ATENCION DE REFRIGERIOS CONTRATO N° 175-2026-ONPE PARA LA SEGUNDA VUELTA ELECTORAL EG 2026 (SEP)
29/04/2026: informe 001742-2026/SGIST-GITE, SE REMITE PEDIDO DE SERVICIO N° 001841 - 001846 PARA LA  CONTINUIDAD DEL SERVICIO DE ATENCION DE REFRIGERIOS CONTRATO N° 175-2026-ONPE PARA LA SEGUNDA VUELTA ELECTORAL EG 2026 (SEP)</t>
  </si>
  <si>
    <t>2.3.1.99.1.3</t>
  </si>
  <si>
    <t>FORMATO CLAVES NUMERADAS</t>
  </si>
  <si>
    <t>NO PROGRAMADO</t>
  </si>
  <si>
    <t>SOLICITUD N° 098-SISPLAN</t>
  </si>
  <si>
    <t>000945-2026/GPP</t>
  </si>
  <si>
    <t>SE PRIORIZO SALDOS DE FORMATOS CLAVES Y DEL ASISTENTE CLAVES NUMERADAS PARA NUEVO LS SOLICITADO POR LA SGGDI</t>
  </si>
  <si>
    <t>YAIPEN JUAN</t>
  </si>
  <si>
    <t>000010-2026/CBC-GITE</t>
  </si>
  <si>
    <t>01739-2026/SGIST-GITE</t>
  </si>
  <si>
    <t>2213-2026-GITE</t>
  </si>
  <si>
    <t>* PROVEIDO 006265-2026/JAPROG-SGL-GAD, SE REMITIO VERIIFICACION DE CUMPLIMIENTO A JAPROG PARA TRAMITE DE CCP
* MEMORANDO 002301-2026/GITE, GITE REMITIO VERIFICACION DE CUMPLIMIENTO
* Se remite la EETT en formato FM28-GAD/LOG ya que los postores cotizan a precios para una contratación menor
*JAPROG devuelve el requerimiento para revisión y evaluación;  como resultado de la indagación de mercado realizada, se solicitaron
cotizaciones a empresas del rubro, obteniéndose tres (03) cotizaciones, de las cuales ENOTRIA S.A., cotizó por el monto de S/ 26,500.00.
• GRÁFICOS Y FORMULARIOS E.I.R.L., cotizó por el monto de S/ 28,000.00.
• FORMATOS TÉCNICOS Y DERIVADOS S.A. – FORTESA, cotizó por el monto de S/ 59,900.00 dos (02) presentan montos menores a 8 UIT  / HE 2737-2026-JAPROG</t>
  </si>
  <si>
    <t>CER-2105</t>
  </si>
  <si>
    <t>267-2026</t>
  </si>
  <si>
    <t>000014-2026-CBS-GITE</t>
  </si>
  <si>
    <t>003037-2026-GITE</t>
  </si>
  <si>
    <t>12/06/2026: se realizo el informe 000014-2026/CBC-GITE - CON CONFORMIDAD ADQUISICIÓN DE FORMATO DE CLAVES NUMERADAS - EG 2026 (SEP): SE SOLICITA AL ÁREA USUARIA BRINDAR LA CONFORMIDAD DE LA ORDEN DE COMPRA 000267-2026, DEBIDO A QUE EL PROVEEDOR YA REMITIÓ SU FACTURA</t>
  </si>
  <si>
    <t>ALQUILER DE EQUIPOS DE GRABACIÓN</t>
  </si>
  <si>
    <t>SISPLAN 58-SEP 2026</t>
  </si>
  <si>
    <t>MEMORANDO 854-2026-GPP</t>
  </si>
  <si>
    <t>SGIST SOLICITO MODIFICACION PRESUPUESTAL PARA EL ITEM NO PROGRAMADO ALQUILER DE EQUIPO DE GRABACION</t>
  </si>
  <si>
    <t>000086-2026/CSL-SGIST-GITE</t>
  </si>
  <si>
    <t>001907-2026-SGIST</t>
  </si>
  <si>
    <t>002333-2026-GITE</t>
  </si>
  <si>
    <r>
      <rPr>
        <sz val="9"/>
        <color rgb="FF000000"/>
        <rFont val="Aptos Narrow"/>
        <family val="2"/>
        <scheme val="minor"/>
      </rPr>
      <t>25/05/2026: ORDEN DE SERVICIO 1890 - PARA FIRMA DE O.S
22/05/2026: PROVEIDO 007233-2026/JAPROG-SGL-GAD, DERIVADO A ESPECIALISTA DE JAPROG PARA REMISION DE LA ORDEN DE SERVICIO
21/05/2026: INFORME 002287-2026/SGPR-GPP, SGPR APROBO EL CCP 02284
21/05/2026: INFORME 003043-2026/SGL-GAD - SE SOLICITA LA APROBACION DEL CCP 02284 -
20/05/2026: hoja de elevacion n° 003285-2026/JAPROG-SGL-GAD,SE SOLICITA LA APROBACION DEL CCP 02284 - SERVICIO DE ALQUILER DE EQUIPOS DE GRABACIÓN – EG 2026 (SEP)– GITE - PS 02044.
18/05/2026: MEMORANDO 002451-2026/GITE,  SE REMITE LA VERIFICACIÓN DE CUMPLIMIENTO (FM07 GAD/LOG) DE LOS TERMINOS DE REFERENCIA PARA  EL SERVICIO DE ALQUILER DE EQUIPOS DE GRABACIÓN – EG 2026 (SEP)- GITE- PS 02044
18/5/2026: SGIST REMITE VERIFICACION DE CUMPLIMIENTO. CUMPLE GLEFF PERU SAC. / INFORME 1982-2026-SGIST. ENTRA AL FLUJO DE REVISIÓN DE DOCUMENTOS
15/05/2026: PROVEIDO 005545-2026/GITE, SE DERIVO COTIZACION PARA LA RESPECTIVA VERIFICACION DE CUMPLIMIENTO
14/05/2026: proveedor GLEF PERU S.A.C remitio cotizacion para alquiler de grabacion por el monto de S/ 14160
13/05/2026: REQUERIMIENTO ASIGNADO A</t>
    </r>
    <r>
      <rPr>
        <b/>
        <sz val="9"/>
        <color rgb="FFFF0000"/>
        <rFont val="Aptos Narrow"/>
        <family val="2"/>
        <scheme val="minor"/>
      </rPr>
      <t xml:space="preserve"> JUAN YAIPEN
</t>
    </r>
    <r>
      <rPr>
        <sz val="9"/>
        <color rgb="FF000000"/>
        <rFont val="Aptos Narrow"/>
        <family val="2"/>
        <scheme val="minor"/>
      </rPr>
      <t>12/05/2026: SE REMITE PEDIDO Y TDR A JAPROG
12/05/2026: INFORME DE SGIST EN ELABORACION PARA REMITIRSE TDR ACTUALIZADO
11/05/2026: HOJA DE ENVIO 000558-2026/JEP-GITE, ESPECIALISTA DE GITE REMITIO OBSERVACIONES A LOS TDR
11/05/2026: SGIST REMITIO INFORME 001871-2026/SGIST-GITE DONDE SE REMITE  LOS TERMINOS DE REFERENCIA PARA LA CONTRATACION DEL SERVICIO DE ALQUILER DE EQUIPOS DE GRABACION - EG 2026 (SEP) V00 PARA SU CONTRATACION EN EL MARCO DE LA SEGUNDA ELECCION PRESIDENCIAL 2026
08/05/2026: MEDIANTE HOJA DE ENVIO 000086-2026/CSL-SGIST-GITE, SE REMITIO PEDIDO PARA ELABORACION DE TDR</t>
    </r>
  </si>
  <si>
    <t>CER-2284</t>
  </si>
  <si>
    <t>1890-2026</t>
  </si>
  <si>
    <t>GRUPO LOGISTICO ECONOMICO Y FINANCIERO DEL PERU S.A.C</t>
  </si>
  <si>
    <t>45 dias calendarios o hasta el 30 de junio</t>
  </si>
  <si>
    <t>23/06/2026: ejecucion servicio culmina el 30/06/2026</t>
  </si>
  <si>
    <t>SERVICIO DE HABILITACION, ACONDICIONAMIENTO Y LOGISTICA INFORMATICA - PRESTACION ADICIONAL</t>
  </si>
  <si>
    <t>SOLICITUD N° 0237</t>
  </si>
  <si>
    <t>MEMORANDO 001142-2026/GPP</t>
  </si>
  <si>
    <t>GPP APROBO HABILITACION PRESUPUESTAL PARA PRESTACION ADICIONAL DEL SERVICIO DE SHALI APROBADO POR S/6,444,512</t>
  </si>
  <si>
    <t>006960-2026/GITE</t>
  </si>
  <si>
    <t>02433-2026/SGIST-GITE</t>
  </si>
  <si>
    <t>003097-2026/GITE</t>
  </si>
  <si>
    <t>23/06/2026: orden de servicio n° 02307-2026 se notifico la prestacion adicional del servicio de SHALI  por el monto de S/ 6,444,512
 SEGUNDA ADENDA CONTRATO N° 0217-2025 - RESOLUCION GERENCIAL 0272-2026-GAD/ONPE
16/06/2026: INFORME 002433-2026/SGIST-GITE, SGIST REMITIO INFORME CON LA SOLICITUD DE PRESTACIÓN ADICIONAL AL CONTRATO N° 217-2025-ONPE POR LA CONTRATACIÓN DEL "SERVICIO DE HABILITACIÓN, ACONDICIONAMIENTO Y LOGÍSTICA INFORMÁTICA (SHALI) - EG 2026".
16/06/2026: MEMORANDO 001142-2026/GPP - ATENDIDO| SE REALIZÓ LA HABILITACIÓN PRESUPUESTAL PARA EL SERVICIO DE HABILITACIÓN, ACONDICIONAMIENTO Y LOGÍSTICA INFORMÁTICA (SHALI) EN EL MARCO DEL PRESUPUESTO DE SEGUNDA ELECCION PRESIDENCIAL - GITE - SEP 2026 - SISPLAN 237
16/06/2026: INFORME 002653-2026/SGPR-GPP, SGPR REMITIDIO APROBACION DE LA HABILITACION PRESUPUESTAL PARA LA PRESTACION ADICIONAL DEL SERVICIO DE SHALI</t>
  </si>
  <si>
    <t>2307-2026</t>
  </si>
  <si>
    <t>PRESTACION ADICIONAL2</t>
  </si>
  <si>
    <t>20/06/2025 AL 29/06/2026</t>
  </si>
  <si>
    <t>SISPLAN 238-2026-SISPLAN</t>
  </si>
  <si>
    <t>MEMORANDO 1152-GPP</t>
  </si>
  <si>
    <t>02513-2026/SGIST-GITE</t>
  </si>
  <si>
    <t>003224-2026/GITE</t>
  </si>
  <si>
    <t>24/06/2026: SGIST REMITIO SOLICITUD DE PRESTACION ADICIONAL PARA LA CONTRATACION DEL SERVICIO DE CORREO ELECTRONICO EN LA NUBE</t>
  </si>
  <si>
    <t xml:space="preserve">RESUMEN DE REQUERIMIENTOS </t>
  </si>
  <si>
    <t xml:space="preserve">Cantidad de pedidos </t>
  </si>
  <si>
    <t>Estado</t>
  </si>
  <si>
    <t>PARA REMISIÓN DEL REQUERIMIENTO</t>
  </si>
  <si>
    <t>VERIFICACIÓN DE CUMPLIMIENTO</t>
  </si>
  <si>
    <t>TRÁMITE PRESUPUESTAL</t>
  </si>
  <si>
    <t xml:space="preserve">PENDIENTE DE REQUERIR </t>
  </si>
  <si>
    <t>RESUMEN DE LA EJECUCION PRESUPUESTAL EG 2026 (SEP)</t>
  </si>
  <si>
    <t>PRESUPUESTO MODIFICADO ACTUALIZADO BIENES Y SERVICIOS GITE</t>
  </si>
  <si>
    <t>PRESUPUESTO MODIFICADO ACTUALIZADO  LOCADORES GITE</t>
  </si>
  <si>
    <t>TOTAL PIA - 20/04/2026</t>
  </si>
  <si>
    <t>HABILITACION PRESUPUESTAL PARA LA ADQUISICION DE FORMATOS CLAVES NUMERADAS - MEMORANDO 000763-2026/GPP</t>
  </si>
  <si>
    <t>HABILITACION PRESUPUESTAL PARA EL CARGO DE LS SOLICITADO POR LA GITE - MEMORANDO 000786-2026/GPP</t>
  </si>
  <si>
    <t>HABILITACION PRESUPUESTAL PARA EL SERVICIO DE TELCO- SEP 2026  MEMORANDO 000933-2026/GPP</t>
  </si>
  <si>
    <t>HABILITACION PRESUPUSTAL PARA EL CARGO DE LA SGSI - MEMORANDO 000837-2026/GPP</t>
  </si>
  <si>
    <t>MODIFICACION PRESUPUESTAL PARA CARGO DE LS SOLICITADO POR LA SGGDI - MEMORANDO 000945-2026/GPP (PRIORIZADO SALDOS DE FORMATO CLAVES NUMERADAS)</t>
  </si>
  <si>
    <t>MODIFICACION PRESUPUESTAL PARA CARGO DE LS SOLICITADO POR LA SGGDI - MEMORANDO 000945-2026/GPP (PRIORIZADO LS Y HABILITADO OPERADOR DE CONTROL)</t>
  </si>
  <si>
    <t>HABILITACION PRESUPUESTAL PARA EL ADICIONAL DEL SERVICIO DE SHALI - MEMORANDO 0935-2026-GPP</t>
  </si>
  <si>
    <t>HABILITACION PRESUPUESTAL PARA EL ADICIONAL DEL SERVICIO DE WEB HOSTING- MEMORANDO 000953-2026/GPP</t>
  </si>
  <si>
    <t>HABILITACION PRESUPUESTAL PARA LA PRESTACION ADICIONAL DEL SERVICIO DE SHALI CORRESPONDIENTE DEL 20/06 AL 30/06</t>
  </si>
  <si>
    <t>HABILITACION PRESUPUESTAL PARA LA PRESTACION ADICIONAL DEL SERVICIO DE CORREO ELECTRONICO EN LA NUBE</t>
  </si>
  <si>
    <t>BIENES Y SERVICIOS</t>
  </si>
  <si>
    <t>EJECUCION</t>
  </si>
  <si>
    <t>SALDOS DE CERTIFICACIÓN QUE PASAN A LA ENTIDAD</t>
  </si>
  <si>
    <t>EN PROCESO DE CONTRATACIÓN NO CERTIFICADOS (SGL)</t>
  </si>
  <si>
    <t>PENDIENTE EN REVISION (GITE)****</t>
  </si>
  <si>
    <t>CERTIFICADOS</t>
  </si>
  <si>
    <t>PENDIENTE Y EN ELABORACION (GITE) *</t>
  </si>
  <si>
    <t>NO EJECUTADO/PRIORIZADOS</t>
  </si>
  <si>
    <t>(a)</t>
  </si>
  <si>
    <t>(b )</t>
  </si>
  <si>
    <t>( c)</t>
  </si>
  <si>
    <t>LOCADORES DE SERVICIO</t>
  </si>
  <si>
    <t>EJECUCION CON CONTRATO</t>
  </si>
  <si>
    <t xml:space="preserve">EN PROCESO DE CONTRATACIÓN NO CERTIFICADOS (GRH) * </t>
  </si>
  <si>
    <t>PENDIENTE EN REVISION (GITE)</t>
  </si>
  <si>
    <t>PENDIENTE EN ELABORACION (GITE) **</t>
  </si>
  <si>
    <t>NO EJECUTADO*****</t>
  </si>
  <si>
    <t>( d)</t>
  </si>
  <si>
    <t xml:space="preserve">( e) </t>
  </si>
  <si>
    <t>( f)</t>
  </si>
  <si>
    <t xml:space="preserve">BIENES Y SERVICIOS </t>
  </si>
  <si>
    <t>Monto en S/</t>
  </si>
  <si>
    <t>LOCADORES DE SERVICIOS</t>
  </si>
  <si>
    <t>Programado PIM</t>
  </si>
  <si>
    <t>&lt; PROGRAMADO</t>
  </si>
  <si>
    <t>Ejecutado (a)</t>
  </si>
  <si>
    <t>Ejecutado (c)</t>
  </si>
  <si>
    <t>&lt; EJECUTADOS</t>
  </si>
  <si>
    <t>No certificado (b)</t>
  </si>
  <si>
    <t xml:space="preserve">No certificado (d) </t>
  </si>
  <si>
    <t>&lt; PENDIENTE CERTIFICAR</t>
  </si>
  <si>
    <t>AVANCE DE EJECUCION PRESUPUESTAL
% del ejecutado respecto al PIM</t>
  </si>
  <si>
    <t xml:space="preserve">Nota: </t>
  </si>
  <si>
    <t>* Prestacion adicional del servicio de correo electronico en tramite de resolusion, emitido por GITE con Memorando n°  003224-2026/GITE (24/06/2026)</t>
  </si>
  <si>
    <t>TIPO DE REQUERIMIENTO</t>
  </si>
  <si>
    <t>DOCUMENTO APROBACION</t>
  </si>
  <si>
    <t>MONTO DE ORDEN</t>
  </si>
  <si>
    <t>ESPECIALISTA DE JASEC</t>
  </si>
  <si>
    <t>PROVEEDOR</t>
  </si>
  <si>
    <t>ENTREGABLES</t>
  </si>
  <si>
    <t>PLAZO DE ENTREGA</t>
  </si>
  <si>
    <t>DIAS DE EJECUCION</t>
  </si>
  <si>
    <t>PORCENTAJE DE PAGO</t>
  </si>
  <si>
    <t>MONTO DE PAGO</t>
  </si>
  <si>
    <t>INFORME DE CONFORMIDAD</t>
  </si>
  <si>
    <t>FECHA DE INFORME</t>
  </si>
  <si>
    <t>MEMORANDO DE GITE</t>
  </si>
  <si>
    <t>DEVENGADO</t>
  </si>
  <si>
    <t>PROGRAMADO</t>
  </si>
  <si>
    <t>• RESOLUCION GERENCIAL N° 0239-2026-GAD/ONPE</t>
  </si>
  <si>
    <t>PRESTACION ADICIONAL JUNIO</t>
  </si>
  <si>
    <t>20/06/2025 AL 30/06/2026</t>
  </si>
  <si>
    <t>CONTRATACION</t>
  </si>
  <si>
    <t>22/06/2026 - FECHA FIN</t>
  </si>
  <si>
    <t>ENTRABLE 1</t>
  </si>
  <si>
    <t>• Plan de trabajo</t>
  </si>
  <si>
    <t>cinco (05) días calendario a partir del día siguiente
de suscrita el Acta de Inicio del Servicio.</t>
  </si>
  <si>
    <t>002259-2026/SGIST-GITE</t>
  </si>
  <si>
    <t>002811-2026/GITE</t>
  </si>
  <si>
    <t>04/06/2026: SGIST REMITIO INFORME N° 002259-2026/SGIST-GITE -  ACEPTACIÓN DEL PLAN DE TRABAJO DEL SERVICIO DE ETHICAL HACKING - EG 2026 (SEP) - ORDEN DE SERVICIO N 0001895-2026</t>
  </si>
  <si>
    <t>ENTRABLE 2</t>
  </si>
  <si>
    <t>Informe técnico general de infraestructura</t>
  </si>
  <si>
    <t>el 07 de junio de 2026</t>
  </si>
  <si>
    <t>0021-2026-STRATEGOS Y ASOCIADOS</t>
  </si>
  <si>
    <t>07/06/2026: PROVEEDOR PRESENTO ENTRABLE 02 - MEDIANTE CARTA 0021-2026-STRATEGOS Y ASOCIADOS</t>
  </si>
  <si>
    <t>ENTRAGABLE 3</t>
  </si>
  <si>
    <t>Informe técnico de infraestructura.</t>
  </si>
  <si>
    <t>cinco (05) días calendario a partir del día siguiente
de finalizado el servicio.</t>
  </si>
  <si>
    <t>CONTRATACION PRESTACION ADICIONAL</t>
  </si>
  <si>
    <t>ENTREGABLE 1</t>
  </si>
  <si>
    <t>El informe de pre-dictamen deberá contener como mínimo lo siguiente:</t>
  </si>
  <si>
    <t>Deberá presentar el entregable hasta los treinta y un (31) días calendario, contados a partir del día siguiente de notificada la resolución que aprueba la prestación adicional.</t>
  </si>
  <si>
    <t>24/06/2026: memorando 003212-2026/GITE -CONFORMIDAD AL ENTREGABLE 1 DEL SERVICIO DE AUDITORÍA INFORMÁTICA PARA LAS SOLUCIONES TECNOLÓGICAS DE SOPORTE ELECTORAL AL ESCRUTINIO, CÓMPUTO DE RESULTADOS Y PRESENTACIÓN DE RESULTADOS – EG 2026, PRESTACIÓN ADICIONAL SEGUNDA ELECCIÓN PRESIDENCIAL – SEP 2026
23//06/2026: informe de la sgsi 001166-2026/SGSI-GITE - remitio actualizacion a la conformidad entregable 1 SERVICIO DE AUDITORÍA INFORMÁTICA PARA LAS SOLUCIONES TECNOLÓGICAS DE SOPORTE ELECTORAL AL ESCRUTINIO, CÓMPUTO DE RESULTADOS Y PRESENTACIÓN DE RESULTADOS – EG 2026, PRESTACIÓN ADICIONAL SEGUNDA ELECCIÓN PRESIDENCIAL – SEP 2026
10/06/2026: SGSI REMITIO INFORME 001002-2026/SGSI-GITE -  ENTREGABLE 1 DEL SERVICIO DE AUDITORÍA INFORMÁTICA PARA LAS SOLUCIONES TECNOLÓGICAS DE SOPORTE ELECTORAL AL ESCRUTINIO, CÓMPUTO DE RESULTADOS Y PRESENTACIÓN DE RESULTADOS – EG 2026 – PRESTACIÓN ADICIONAL SEGUNDA ELECCIÓN PRESIDENCIAL</t>
  </si>
  <si>
    <t>ENTREGABLE 2</t>
  </si>
  <si>
    <t>Informe Técnico Complementario de la Segunda Elección Presidencial 2026.</t>
  </si>
  <si>
    <t>a los cuarenta y cinco (45) días calendario, contados a partir del día siguiente de notificada la resolución que aprueba la prestación adicional.</t>
  </si>
  <si>
    <t>VICTOR POLO</t>
  </si>
  <si>
    <t>DOLPHIN MOBILE S.A.C.</t>
  </si>
  <si>
    <t>ENTREGABLE 01</t>
  </si>
  <si>
    <t>“Informe de Servicio”, correspondiente al proceso electoral Segunda Elección Presidencial 2026, hasta los cinco días posteriores de la fecha fin del servicio;</t>
  </si>
  <si>
    <t>CONTRATACION PRESTACION ADICIONAL SEGUNDA</t>
  </si>
  <si>
    <t>RESOLUCION GERENCIAL N° 000243-2026-GAD/ONPE</t>
  </si>
  <si>
    <t>JONATHAN VELA</t>
  </si>
  <si>
    <t>nforme de consumo del periodo
correspondiente por aplicación y servicio.</t>
  </si>
  <si>
    <t>Del 21/05/2026 al
31/05/2026</t>
  </si>
  <si>
    <t>Informe de consumo del periodo
correspondiente por aplicación y servicio.
• Informe de accesos por aplicación</t>
  </si>
  <si>
    <t>Del 01/06/2026 al
30/06/2026</t>
  </si>
  <si>
    <t>002510-2026/SGIST-GITE</t>
  </si>
  <si>
    <t>003211-2026/GITE</t>
  </si>
  <si>
    <t>24/06/2026: MEMORANDO 003211-2026/GITE - SE REMITE OBSERVACIONES AL ENTREGABLE 02 DEL SERVICIO DE WEB HOSTING - EG 2026 - CONTRATO 23-2025-ONPE</t>
  </si>
  <si>
    <t>Informe a detalle de las atenciones de soporte
técnico y cumplimiento de niveles de servicio,
presentados durante la ejecución del servicio.</t>
  </si>
  <si>
    <t>Dentro de los diez (10) días
calendario siguientes de
finalizado el periodo.</t>
  </si>
  <si>
    <t>Copias de respaldo de la información de todos los
buzones de correo de las licencias activadas durante
el período del servicio, almacenadas en un medio
portátil y en archivos unificados en formato PST.</t>
  </si>
  <si>
    <t>Dentro de los quince (15) días
calendario siguientes de
finalizado el servicio.</t>
  </si>
  <si>
    <t>PRIMER CONTRATO</t>
  </si>
  <si>
    <t> Informe con el detalle de todos los elementos que tiene la provisión del servicio.</t>
  </si>
  <si>
    <t>Dentro de los diez (10) días calendario</t>
  </si>
  <si>
    <t>Informe a detalle de las atenciones de soporte técnico y cumplimiento de niveles de servicio, presentados durante la ejecución del servicio.</t>
  </si>
  <si>
    <t>Dentro de los diez (10) días calendario siguientes de finalizado cada treinta (30) días calendario del servicio.</t>
  </si>
  <si>
    <t>ENTREGABLE 3</t>
  </si>
  <si>
    <t>Copias de respaldo de la información de todos los buzones de correo de las licencias activadas durante el período del servicio, almacenadas en un medio portátil y en archivos unificados en formato PST.</t>
  </si>
  <si>
    <t>Dentro de los quince (15) días calendario siguientes de finalizado el servicio.</t>
  </si>
  <si>
    <t>SEGUIMIENTO DE CONTRATACION DE LOCACION</t>
  </si>
  <si>
    <t>DATOS DE PROVEEDORES</t>
  </si>
  <si>
    <t>oordinador</t>
  </si>
  <si>
    <t>Total Costo PIA
 de B.S</t>
  </si>
  <si>
    <t>TOTAL PIM</t>
  </si>
  <si>
    <t>OBSERVACIONES</t>
  </si>
  <si>
    <t>INFORME DE SG/ MODIFICACION PRESUPUESTAL</t>
  </si>
  <si>
    <t>MEMORANDO GITE - MODIFICACION CN</t>
  </si>
  <si>
    <t>FECHA MEMORANDO GITE - MODIFICACION CN</t>
  </si>
  <si>
    <t xml:space="preserve">(MEMORANDO APROBACION GPP) - MODIFICACION CN </t>
  </si>
  <si>
    <t xml:space="preserve">FECHA (MEMORANDO APROBACION GPP) - MODIFICACION CN </t>
  </si>
  <si>
    <t>PRESUPUESTO MODIFICADO - PIM</t>
  </si>
  <si>
    <t>ESTADO DEL REQUERIMIENTO1</t>
  </si>
  <si>
    <t>ESTADO DE LA CONTRATACION</t>
  </si>
  <si>
    <t>PROVEIDO SGIST</t>
  </si>
  <si>
    <t>MEMORANDO GITE</t>
  </si>
  <si>
    <t>NUMERO DE CONTRATO</t>
  </si>
  <si>
    <t>CONFORMIDAD MAYO</t>
  </si>
  <si>
    <t>CONFORMIDAD JUNIO</t>
  </si>
  <si>
    <t>APELLIDO PATERNO</t>
  </si>
  <si>
    <t>APELIIDO MATERNO</t>
  </si>
  <si>
    <t>NOMBRES</t>
  </si>
  <si>
    <t>DNI</t>
  </si>
  <si>
    <t>RUC</t>
  </si>
  <si>
    <t>RETRIBUCIÓN MENSUAL</t>
  </si>
  <si>
    <t xml:space="preserve">FECHA DE INICIO </t>
  </si>
  <si>
    <t>FECHA DE FIN</t>
  </si>
  <si>
    <t xml:space="preserve">DIAS </t>
  </si>
  <si>
    <t>MONTO (A)</t>
  </si>
  <si>
    <t>MONTO (B)</t>
  </si>
  <si>
    <t>MONTO ©</t>
  </si>
  <si>
    <t>SALD DE PROGRAMADO / REQUERIDO (A+B)</t>
  </si>
  <si>
    <t>SALDOS DE PROGRAMACION /EJECUCION (A+C)</t>
  </si>
  <si>
    <t>MONTO TOTAL REQUERIDO</t>
  </si>
  <si>
    <t>MONTO TOTAL CERTIFICADO/EJECUTADO</t>
  </si>
  <si>
    <t>SALD DE PROGRAMADO / REQUERIDO</t>
  </si>
  <si>
    <t>SALDOS DE PROGRAMACION /EJECUCION</t>
  </si>
  <si>
    <t xml:space="preserve">MONTO CCP </t>
  </si>
  <si>
    <t>NUMERO CCP</t>
  </si>
  <si>
    <t>REMITIDO A GRH</t>
  </si>
  <si>
    <t>EN EJECUCION CON CONTRATO</t>
  </si>
  <si>
    <t>001644-2026-SGIST/GITE</t>
  </si>
  <si>
    <t>0004459-2026-SGIST/GITE</t>
  </si>
  <si>
    <t>002021-2026/GITE</t>
  </si>
  <si>
    <t>0581</t>
  </si>
  <si>
    <t>MEMORANDO 002456-2026-GITE</t>
  </si>
  <si>
    <t>MEMORANDO 002941-2026/GITE</t>
  </si>
  <si>
    <t>GONZALES</t>
  </si>
  <si>
    <t>ABAD</t>
  </si>
  <si>
    <t>MILTON CESAR</t>
  </si>
  <si>
    <t>07886622</t>
  </si>
  <si>
    <t>NO EJECUTADO/ NO REQUERIDO</t>
  </si>
  <si>
    <t>PENDIENTE DE REQUERIR</t>
  </si>
  <si>
    <t>0569</t>
  </si>
  <si>
    <t>CIPRIANO</t>
  </si>
  <si>
    <t>POMA</t>
  </si>
  <si>
    <t>ELVIS TEODORO</t>
  </si>
  <si>
    <t>0570</t>
  </si>
  <si>
    <t>PARDO</t>
  </si>
  <si>
    <t>MAURICIO</t>
  </si>
  <si>
    <t>GENARO ALONSO</t>
  </si>
  <si>
    <t>0596</t>
  </si>
  <si>
    <t>CAMPOS</t>
  </si>
  <si>
    <t>GUTIERREZ</t>
  </si>
  <si>
    <t>MAYTE KATHERINE</t>
  </si>
  <si>
    <t>0597</t>
  </si>
  <si>
    <t>QUIROZ</t>
  </si>
  <si>
    <t>CABRERA</t>
  </si>
  <si>
    <t>MARIA RITA</t>
  </si>
  <si>
    <t>07529074</t>
  </si>
  <si>
    <t>0640</t>
  </si>
  <si>
    <t>FLORES</t>
  </si>
  <si>
    <t>BARRIOS</t>
  </si>
  <si>
    <t>ROCIO MILAGROS DEL PILAR</t>
  </si>
  <si>
    <t>001706-2026-SGIST/GITE</t>
  </si>
  <si>
    <t>0004601-2026-SGIST/GITE</t>
  </si>
  <si>
    <t>002090-2026/GITE</t>
  </si>
  <si>
    <t>3308</t>
  </si>
  <si>
    <t>PAREJAS</t>
  </si>
  <si>
    <t>ESPINOZA</t>
  </si>
  <si>
    <t>HENRY AMERICO</t>
  </si>
  <si>
    <t xml:space="preserve">SGIST- 23/04/ CORREO DE DESISTIO SANCHEZ ESPINOZA SANDRO INFORME 001644-2026-SGIST </t>
  </si>
  <si>
    <t>0641</t>
  </si>
  <si>
    <t>MEMORANDO 002461-2026-GITE</t>
  </si>
  <si>
    <t>MEMORANDO 003006-2026/GITE</t>
  </si>
  <si>
    <t>RAMOS</t>
  </si>
  <si>
    <t>PACHERRES</t>
  </si>
  <si>
    <t>KATERINE PATRICIA</t>
  </si>
  <si>
    <t>0633</t>
  </si>
  <si>
    <t>PINTADO</t>
  </si>
  <si>
    <t>HUAMAN</t>
  </si>
  <si>
    <t>JOSE LUIS</t>
  </si>
  <si>
    <t>0634</t>
  </si>
  <si>
    <t>LEIVA</t>
  </si>
  <si>
    <t>ROJAS</t>
  </si>
  <si>
    <t>JESUS CORNELIO</t>
  </si>
  <si>
    <t>0604</t>
  </si>
  <si>
    <t>DIAZ</t>
  </si>
  <si>
    <t>GARCIA</t>
  </si>
  <si>
    <t>RICHARD ALEXANDER</t>
  </si>
  <si>
    <t>001651-2026-SGIST/GITE</t>
  </si>
  <si>
    <t>004446-2026-SGIST/GITE</t>
  </si>
  <si>
    <t>002028-2026-GITE</t>
  </si>
  <si>
    <t>2699</t>
  </si>
  <si>
    <t>BALBUENA</t>
  </si>
  <si>
    <t>RODRIGUEZ</t>
  </si>
  <si>
    <t>RICARDO GERARDO</t>
  </si>
  <si>
    <t>2700</t>
  </si>
  <si>
    <t>GUEVARA</t>
  </si>
  <si>
    <t>JORDAN</t>
  </si>
  <si>
    <t>RAFAEL</t>
  </si>
  <si>
    <t>09859555</t>
  </si>
  <si>
    <t>0630</t>
  </si>
  <si>
    <t>CONTRERAS</t>
  </si>
  <si>
    <t>SHERLY DIANA</t>
  </si>
  <si>
    <t>0631</t>
  </si>
  <si>
    <t>ESCOBEDO</t>
  </si>
  <si>
    <t>BENITES</t>
  </si>
  <si>
    <t>RICARDO MARTIN</t>
  </si>
  <si>
    <t>0636</t>
  </si>
  <si>
    <t>CASTRO</t>
  </si>
  <si>
    <t>VILCA</t>
  </si>
  <si>
    <t>IRVIN HANS</t>
  </si>
  <si>
    <t>0632</t>
  </si>
  <si>
    <t>CONDOR</t>
  </si>
  <si>
    <t>PATILONGO</t>
  </si>
  <si>
    <t>JOSE ANTONIO</t>
  </si>
  <si>
    <t>0603</t>
  </si>
  <si>
    <t>MANTILLA</t>
  </si>
  <si>
    <t>SOTO</t>
  </si>
  <si>
    <t>LISNETH DALYBEL</t>
  </si>
  <si>
    <t>0598</t>
  </si>
  <si>
    <t>CENTENO</t>
  </si>
  <si>
    <t>ISIDIO SOLIS</t>
  </si>
  <si>
    <t>0594</t>
  </si>
  <si>
    <t>DELGADO</t>
  </si>
  <si>
    <t>PAREDES</t>
  </si>
  <si>
    <t>DAISSY GIULIANA</t>
  </si>
  <si>
    <t>0586</t>
  </si>
  <si>
    <t>ZEGARRA</t>
  </si>
  <si>
    <t>NORIEGA</t>
  </si>
  <si>
    <t>TALIA YESABELLA</t>
  </si>
  <si>
    <t>0607</t>
  </si>
  <si>
    <t>TAPIA</t>
  </si>
  <si>
    <t>TORRES</t>
  </si>
  <si>
    <t>JOE DANTE</t>
  </si>
  <si>
    <t>0608</t>
  </si>
  <si>
    <t>MOSTACERO</t>
  </si>
  <si>
    <t>ALIAGA</t>
  </si>
  <si>
    <t>NANI LISLEI</t>
  </si>
  <si>
    <t>0635</t>
  </si>
  <si>
    <t>POLO</t>
  </si>
  <si>
    <t>PALACIOS</t>
  </si>
  <si>
    <t>MIGUEL ANGEL</t>
  </si>
  <si>
    <t>001901-2026-SGIST/GITE</t>
  </si>
  <si>
    <t>005220-2026-SGIST/GITE</t>
  </si>
  <si>
    <t>002344-2026/GITE</t>
  </si>
  <si>
    <t>3759</t>
  </si>
  <si>
    <t>TIRADO</t>
  </si>
  <si>
    <t>MENDOZA</t>
  </si>
  <si>
    <t>DANNY DANIEL</t>
  </si>
  <si>
    <t xml:space="preserve">SGIST- 23/04/2026: CORREO DE DESESTIMIENTO URRUTIA MARCOS VICTOR RAUL REF INF001644-2026-SGIST/GITE / MEMORANDO 002021-2026/GITE	</t>
  </si>
  <si>
    <t>0579</t>
  </si>
  <si>
    <t>PAJUELO</t>
  </si>
  <si>
    <t>MARCO ANTONIO</t>
  </si>
  <si>
    <t>0580</t>
  </si>
  <si>
    <t>VIDAL</t>
  </si>
  <si>
    <t>LOPEZ</t>
  </si>
  <si>
    <t>DORA ALBINA</t>
  </si>
  <si>
    <t>0602</t>
  </si>
  <si>
    <t>AYALA</t>
  </si>
  <si>
    <t>AVALOS</t>
  </si>
  <si>
    <t>JORGE LUIS</t>
  </si>
  <si>
    <t>0578</t>
  </si>
  <si>
    <t>INFANTE</t>
  </si>
  <si>
    <t>BARCO</t>
  </si>
  <si>
    <t>0606</t>
  </si>
  <si>
    <t>VELASCO</t>
  </si>
  <si>
    <t>SANCHEZ</t>
  </si>
  <si>
    <t>HECTOR</t>
  </si>
  <si>
    <t>0582</t>
  </si>
  <si>
    <t>QUISPE</t>
  </si>
  <si>
    <t>COSSER</t>
  </si>
  <si>
    <t>HUGO RAUL</t>
  </si>
  <si>
    <t>0583</t>
  </si>
  <si>
    <t>ALEGRE</t>
  </si>
  <si>
    <t>HENDERSON</t>
  </si>
  <si>
    <t>ANGIE</t>
  </si>
  <si>
    <t>09863266</t>
  </si>
  <si>
    <t>0584</t>
  </si>
  <si>
    <t>CRUZ</t>
  </si>
  <si>
    <t>BREYDI STALIN</t>
  </si>
  <si>
    <t>0637</t>
  </si>
  <si>
    <t>MESIAS</t>
  </si>
  <si>
    <t>ALEXANDER</t>
  </si>
  <si>
    <t>72239259</t>
  </si>
  <si>
    <t>0601</t>
  </si>
  <si>
    <t>ALVITRES</t>
  </si>
  <si>
    <t>LIZANO</t>
  </si>
  <si>
    <t>EDIEE ALEX</t>
  </si>
  <si>
    <t>001939-2026-SGIST/GITE</t>
  </si>
  <si>
    <t>005312-2026-SGIST/GITE</t>
  </si>
  <si>
    <t>002399-2026/GITE</t>
  </si>
  <si>
    <t>4606</t>
  </si>
  <si>
    <t>MEMORANDO 002696-2026-GITE</t>
  </si>
  <si>
    <t>VARGAS</t>
  </si>
  <si>
    <t>VILCAYAURI</t>
  </si>
  <si>
    <t>OSCAR DAVID</t>
  </si>
  <si>
    <t xml:space="preserve">SGIST- 11/05/2026 CORREO DE DESISTIMIENTO QUISPEALAYA 	MADUEÑO	LUIS ENRIQUE REF INF001644-2026-SGIST/GITE / MEMORANDO 002021-2026/GITE	</t>
  </si>
  <si>
    <t>0600</t>
  </si>
  <si>
    <t>CHACALTANA</t>
  </si>
  <si>
    <t>LA ROSA</t>
  </si>
  <si>
    <t>HAROLD ANDERSON</t>
  </si>
  <si>
    <t>0647</t>
  </si>
  <si>
    <t>CARDENAS</t>
  </si>
  <si>
    <t>ALVARADO</t>
  </si>
  <si>
    <t>RAY CARLOS</t>
  </si>
  <si>
    <t>CARTA DE RENUNCIA HASTA EL 31/05/2026 // MEMORANDO 002634-2026/GITE // INFORME 002095-2026-SGSI</t>
  </si>
  <si>
    <t>DESISTIO HUANCAHUIRE HUARCAYA GERARDO / INFORME REF. 002314-2026-SGIST/GITE</t>
  </si>
  <si>
    <t>0587</t>
  </si>
  <si>
    <t>AHUMADA</t>
  </si>
  <si>
    <t>CHUMBIAUCA</t>
  </si>
  <si>
    <t>GIULIO ARTURO</t>
  </si>
  <si>
    <t>09992885</t>
  </si>
  <si>
    <t>0588</t>
  </si>
  <si>
    <t>CELIS</t>
  </si>
  <si>
    <t>FERNANDEZ</t>
  </si>
  <si>
    <t>GUSTAVO ERNESTO</t>
  </si>
  <si>
    <t>0589</t>
  </si>
  <si>
    <t>HERNANDEZ</t>
  </si>
  <si>
    <t xml:space="preserve">CHACALTANA </t>
  </si>
  <si>
    <t>ELIZABETH KARINA</t>
  </si>
  <si>
    <t>0590</t>
  </si>
  <si>
    <t>CHUMACERO</t>
  </si>
  <si>
    <t>CHUMPITAZ</t>
  </si>
  <si>
    <t>ELOY GUILLERMO</t>
  </si>
  <si>
    <t>0591</t>
  </si>
  <si>
    <t>TOCTO</t>
  </si>
  <si>
    <t>CARLOS</t>
  </si>
  <si>
    <t>DENIS FRANCO</t>
  </si>
  <si>
    <t>0592</t>
  </si>
  <si>
    <t>ROSADO</t>
  </si>
  <si>
    <t>PEREZ</t>
  </si>
  <si>
    <t>ANGHELO BENJAMIN</t>
  </si>
  <si>
    <t>0593</t>
  </si>
  <si>
    <t>SILVA</t>
  </si>
  <si>
    <t>WILDER ALEXIS</t>
  </si>
  <si>
    <t>0610</t>
  </si>
  <si>
    <t>ROMERO</t>
  </si>
  <si>
    <t>MEZA</t>
  </si>
  <si>
    <t>CESAR MARTIN</t>
  </si>
  <si>
    <t>0571</t>
  </si>
  <si>
    <t>CAPCHA</t>
  </si>
  <si>
    <t>RAUL OCTAVIO</t>
  </si>
  <si>
    <t>0595</t>
  </si>
  <si>
    <t>YASUDA</t>
  </si>
  <si>
    <t>OCHOA</t>
  </si>
  <si>
    <t>VICTOR RICARDO</t>
  </si>
  <si>
    <t>07507109</t>
  </si>
  <si>
    <t>0572</t>
  </si>
  <si>
    <t>CABEZAS</t>
  </si>
  <si>
    <t>HENRY CARLOS</t>
  </si>
  <si>
    <t>0573</t>
  </si>
  <si>
    <t>LAURA</t>
  </si>
  <si>
    <t>HUAROC</t>
  </si>
  <si>
    <t>KENIL</t>
  </si>
  <si>
    <t>0574</t>
  </si>
  <si>
    <t>ROLDAN</t>
  </si>
  <si>
    <t>HUGO HUMBERTO</t>
  </si>
  <si>
    <t>0575</t>
  </si>
  <si>
    <t>ESPILCO</t>
  </si>
  <si>
    <t>PORTUGAL</t>
  </si>
  <si>
    <t>PAULO CESAR</t>
  </si>
  <si>
    <t>0576</t>
  </si>
  <si>
    <t>MOREANO</t>
  </si>
  <si>
    <t>CARLOS MIGUEL</t>
  </si>
  <si>
    <t>0577</t>
  </si>
  <si>
    <t xml:space="preserve">CARDENAS </t>
  </si>
  <si>
    <t>DANIEL WILSON</t>
  </si>
  <si>
    <t>0599</t>
  </si>
  <si>
    <t>ENGRACIO</t>
  </si>
  <si>
    <t>CANAL</t>
  </si>
  <si>
    <t>ELVIS ANTONIO</t>
  </si>
  <si>
    <t>0614</t>
  </si>
  <si>
    <t>PEÑA</t>
  </si>
  <si>
    <t>CUYA</t>
  </si>
  <si>
    <t>LUIS JESUS</t>
  </si>
  <si>
    <t>0615</t>
  </si>
  <si>
    <t>INGA</t>
  </si>
  <si>
    <t>HUANCA</t>
  </si>
  <si>
    <t>ABNER OMAR</t>
  </si>
  <si>
    <t>0616</t>
  </si>
  <si>
    <t>DURAN</t>
  </si>
  <si>
    <t>FREDDY GIOVANNI</t>
  </si>
  <si>
    <t>0617</t>
  </si>
  <si>
    <t>HUAYANEY</t>
  </si>
  <si>
    <t>CERVERA</t>
  </si>
  <si>
    <t>CHRISTIAN ANTONINNI</t>
  </si>
  <si>
    <t>0618</t>
  </si>
  <si>
    <t>CORDOVA</t>
  </si>
  <si>
    <t>KARIN BERNEHT</t>
  </si>
  <si>
    <t>0619</t>
  </si>
  <si>
    <t>REVILLA</t>
  </si>
  <si>
    <t>CORNEJO</t>
  </si>
  <si>
    <t>NADIA JOSEFA</t>
  </si>
  <si>
    <t>07517370</t>
  </si>
  <si>
    <t>0620</t>
  </si>
  <si>
    <t>PECEROS</t>
  </si>
  <si>
    <t>ALEXIS SEGUNDO</t>
  </si>
  <si>
    <t>0638</t>
  </si>
  <si>
    <t>CARPIO</t>
  </si>
  <si>
    <t>MONTEZA</t>
  </si>
  <si>
    <t>JOEL ENRIQUE</t>
  </si>
  <si>
    <t>0609</t>
  </si>
  <si>
    <t>ALVAREZ</t>
  </si>
  <si>
    <t>GERALDINE MARIA</t>
  </si>
  <si>
    <t>002200-2026-SGIST/GITE</t>
  </si>
  <si>
    <t>006214-2026-SGIST/GITE</t>
  </si>
  <si>
    <t>002771-2026/GITE</t>
  </si>
  <si>
    <t>MORY</t>
  </si>
  <si>
    <t>TAFUR</t>
  </si>
  <si>
    <t>AITOR ALEXANDER</t>
  </si>
  <si>
    <t>0648</t>
  </si>
  <si>
    <t>HILARIO</t>
  </si>
  <si>
    <t>0649</t>
  </si>
  <si>
    <t>ACUÑA</t>
  </si>
  <si>
    <t>MORI</t>
  </si>
  <si>
    <t>SAMUEL KEPLER</t>
  </si>
  <si>
    <t>0650</t>
  </si>
  <si>
    <t>SAMAME</t>
  </si>
  <si>
    <t>DIOMENES</t>
  </si>
  <si>
    <t>0651</t>
  </si>
  <si>
    <t>VILLANUEVA</t>
  </si>
  <si>
    <t>TENA</t>
  </si>
  <si>
    <t>FERNANDO ALFREDO</t>
  </si>
  <si>
    <t>07529977</t>
  </si>
  <si>
    <t>0652</t>
  </si>
  <si>
    <t>FRIAS</t>
  </si>
  <si>
    <t>RICHARD</t>
  </si>
  <si>
    <t>0653</t>
  </si>
  <si>
    <t>CALLATA</t>
  </si>
  <si>
    <t>MAMANI</t>
  </si>
  <si>
    <t>TONNY EDWIN</t>
  </si>
  <si>
    <t>0654</t>
  </si>
  <si>
    <t>LEO</t>
  </si>
  <si>
    <t>NEYRA</t>
  </si>
  <si>
    <t>STEVE JHORDAN</t>
  </si>
  <si>
    <t>0655</t>
  </si>
  <si>
    <t>NARVAEZ</t>
  </si>
  <si>
    <t>JULIO CESAR</t>
  </si>
  <si>
    <t>0656</t>
  </si>
  <si>
    <t>GONZALEZ</t>
  </si>
  <si>
    <t>SANTIVAÑEZ</t>
  </si>
  <si>
    <t>PERCY JHON</t>
  </si>
  <si>
    <t>0657</t>
  </si>
  <si>
    <t>VICTOR</t>
  </si>
  <si>
    <t>06807256</t>
  </si>
  <si>
    <t>0658</t>
  </si>
  <si>
    <t>SOLLER</t>
  </si>
  <si>
    <t>ORTIZ</t>
  </si>
  <si>
    <t>CARLOS ALBERTO</t>
  </si>
  <si>
    <t>09984548</t>
  </si>
  <si>
    <t>0659</t>
  </si>
  <si>
    <t>ANAMARIA</t>
  </si>
  <si>
    <t>VEGA</t>
  </si>
  <si>
    <t>JORGE MARIO</t>
  </si>
  <si>
    <t>09951518</t>
  </si>
  <si>
    <t>0660</t>
  </si>
  <si>
    <t>AARON JUNIOR</t>
  </si>
  <si>
    <t>0661</t>
  </si>
  <si>
    <t>ELIAZAR</t>
  </si>
  <si>
    <t>0662</t>
  </si>
  <si>
    <t>PINEDA</t>
  </si>
  <si>
    <t>VALDIVIA</t>
  </si>
  <si>
    <t>LORENZO IVAN</t>
  </si>
  <si>
    <t>0663</t>
  </si>
  <si>
    <t>CANDIOTTI</t>
  </si>
  <si>
    <t>SERGIO</t>
  </si>
  <si>
    <t>0664</t>
  </si>
  <si>
    <t>SANTAYANA</t>
  </si>
  <si>
    <t>FRETELL</t>
  </si>
  <si>
    <t>0665</t>
  </si>
  <si>
    <t>SANTAMARIA</t>
  </si>
  <si>
    <t>VALLE</t>
  </si>
  <si>
    <t>JUAN CARLOS</t>
  </si>
  <si>
    <t>0666</t>
  </si>
  <si>
    <t>DAVILA</t>
  </si>
  <si>
    <t>JORIS</t>
  </si>
  <si>
    <t>0667</t>
  </si>
  <si>
    <t>GERARDO MIGUEL</t>
  </si>
  <si>
    <t>0668</t>
  </si>
  <si>
    <t>MUÑOZ</t>
  </si>
  <si>
    <t>ERDINI HENRY</t>
  </si>
  <si>
    <t>0669</t>
  </si>
  <si>
    <t xml:space="preserve">ESPINAR </t>
  </si>
  <si>
    <t>JAM ARMANDO</t>
  </si>
  <si>
    <t>0639</t>
  </si>
  <si>
    <t>CARRILLO</t>
  </si>
  <si>
    <t xml:space="preserve">SILVA </t>
  </si>
  <si>
    <t>MARLENI</t>
  </si>
  <si>
    <t>07759543</t>
  </si>
  <si>
    <t>0621</t>
  </si>
  <si>
    <t>LOZANO</t>
  </si>
  <si>
    <t>ARAGON</t>
  </si>
  <si>
    <t>DANIEL ALEXANDER</t>
  </si>
  <si>
    <t>0605</t>
  </si>
  <si>
    <t>BENDEZU</t>
  </si>
  <si>
    <t>NORMA NELIDA</t>
  </si>
  <si>
    <t>08384147</t>
  </si>
  <si>
    <t>ASISTENTE LOGISTICOS DE SERVICIOS INFORMATICOS</t>
  </si>
  <si>
    <t>0611</t>
  </si>
  <si>
    <t xml:space="preserve">SAAVEDRA </t>
  </si>
  <si>
    <t>CARLOS GIOVANNI</t>
  </si>
  <si>
    <t>0612</t>
  </si>
  <si>
    <t>CASTILLO</t>
  </si>
  <si>
    <t>ORTEGA</t>
  </si>
  <si>
    <t>YESSENIA</t>
  </si>
  <si>
    <t>001644-2026</t>
  </si>
  <si>
    <t>0670</t>
  </si>
  <si>
    <t>DEL ROSARIO</t>
  </si>
  <si>
    <t>MERITA ELIZABETH</t>
  </si>
  <si>
    <r>
      <rPr>
        <sz val="8"/>
        <color rgb="FF000000"/>
        <rFont val="Arial Narrow"/>
        <family val="2"/>
      </rPr>
      <t xml:space="preserve">ANTES: OPERADOR DEL CENTRO DE SOPORTE INFORMATICO.   </t>
    </r>
    <r>
      <rPr>
        <b/>
        <sz val="8"/>
        <color rgb="FF000000"/>
        <rFont val="Arial Narrow"/>
        <family val="2"/>
      </rPr>
      <t xml:space="preserve">NUEVO: OPERADOR DEL CENTRO DE MONITOREO DE RESULTADOS ELECTORALES  </t>
    </r>
    <r>
      <rPr>
        <sz val="8"/>
        <color rgb="FF000000"/>
        <rFont val="Arial Narrow"/>
        <family val="2"/>
      </rPr>
      <t xml:space="preserve">                                                                                            </t>
    </r>
  </si>
  <si>
    <t>0642</t>
  </si>
  <si>
    <t>JENIFFER</t>
  </si>
  <si>
    <r>
      <t xml:space="preserve">ANTES: OPERADOR DEL CENTRO DE SOPORTE INFORMATICO.   </t>
    </r>
    <r>
      <rPr>
        <b/>
        <sz val="8"/>
        <rFont val="Arial Narrow"/>
        <family val="2"/>
      </rPr>
      <t xml:space="preserve">NUEVO: OPERADOR DEL CENTRO DE MONITOREO DE RESULTADOS ELECTORALES  </t>
    </r>
    <r>
      <rPr>
        <sz val="8"/>
        <rFont val="Arial Narrow"/>
        <family val="2"/>
      </rPr>
      <t xml:space="preserve">                                                                                            </t>
    </r>
  </si>
  <si>
    <t>0643</t>
  </si>
  <si>
    <t>CRISTOBAL</t>
  </si>
  <si>
    <t>EULOGIO</t>
  </si>
  <si>
    <t>NANCY SONIA</t>
  </si>
  <si>
    <t>0644</t>
  </si>
  <si>
    <t>ALPES</t>
  </si>
  <si>
    <t>SIFUENTES</t>
  </si>
  <si>
    <t>JOANY</t>
  </si>
  <si>
    <t>0645</t>
  </si>
  <si>
    <t>COVEÑAS</t>
  </si>
  <si>
    <t>JESSICA LISBET</t>
  </si>
  <si>
    <t>0646</t>
  </si>
  <si>
    <t>ECHEVARRIA</t>
  </si>
  <si>
    <t>EDGARDO</t>
  </si>
  <si>
    <t xml:space="preserve">ANTES: OPERADOR DEL CENTRO DE SOPORTE INFORMATICO.   NUEVO: OPERADOR DEL CENTRO DE MONITOREO DE RESULTADOS ELECTORALES                                                                                              </t>
  </si>
  <si>
    <t xml:space="preserve">23/04/2026: CORREO DE DESESTIMIENTO GAMARRA ALVARADO JAVIER MANUEL REF INF001644-2026-SGIST/GITE / MEMORANDO 002021-2026/GITE	</t>
  </si>
  <si>
    <t>0622</t>
  </si>
  <si>
    <t>VIGO</t>
  </si>
  <si>
    <t xml:space="preserve"> AGUILAR</t>
  </si>
  <si>
    <t>DANITZA IDALI</t>
  </si>
  <si>
    <t>0623</t>
  </si>
  <si>
    <t>COLCAS</t>
  </si>
  <si>
    <t xml:space="preserve"> SALAS</t>
  </si>
  <si>
    <t>KENNY CESAR</t>
  </si>
  <si>
    <t>0624</t>
  </si>
  <si>
    <t>IRENE</t>
  </si>
  <si>
    <t>DORIS JEA-MILLE</t>
  </si>
  <si>
    <t>001790-2026-SGIST/GITE</t>
  </si>
  <si>
    <t>0004927-2026-SGIST/GITE</t>
  </si>
  <si>
    <t>002216-2026/GITE</t>
  </si>
  <si>
    <t>3364</t>
  </si>
  <si>
    <t xml:space="preserve">CASIANO </t>
  </si>
  <si>
    <t>BAUTISTA</t>
  </si>
  <si>
    <t>JAZMIN DEL MILAGRO</t>
  </si>
  <si>
    <t xml:space="preserve">SGIST - 30/04 CORREO DESISTIMIENTO DE PISFIL  CAICEDO LUCIO -  REF INF001644-2026-SGIST/GITE / MEMORANDO 002021-2026/GITE	</t>
  </si>
  <si>
    <t>0626</t>
  </si>
  <si>
    <t>VELARDE</t>
  </si>
  <si>
    <t>CACERES</t>
  </si>
  <si>
    <t>ERIKA SANDRA</t>
  </si>
  <si>
    <t>3363</t>
  </si>
  <si>
    <t>ROBLERO</t>
  </si>
  <si>
    <t>MARTHA EDITH</t>
  </si>
  <si>
    <t xml:space="preserve">SGIST - 30/04 CORREO DESISTIMIENTO DE REA MORALES ALEJANDRO - REF INF001644-2026-SGIST/GITE / MEMORANDO 002021-2026/GITE	</t>
  </si>
  <si>
    <t>0628</t>
  </si>
  <si>
    <t>LUNA</t>
  </si>
  <si>
    <t>FRED ROBERT</t>
  </si>
  <si>
    <t>0629</t>
  </si>
  <si>
    <t>CANDELA</t>
  </si>
  <si>
    <t>ANTONIO BENJAMIN</t>
  </si>
  <si>
    <t>001891-2026-SGIST/GITE</t>
  </si>
  <si>
    <t>005213-2026-SGIST/GITE</t>
  </si>
  <si>
    <t>002331-2026/GITE</t>
  </si>
  <si>
    <t>4350</t>
  </si>
  <si>
    <t>APARCANA</t>
  </si>
  <si>
    <t>REYNAGA</t>
  </si>
  <si>
    <t>S/ 5,500.00</t>
  </si>
  <si>
    <t>4351</t>
  </si>
  <si>
    <t>BRAVO</t>
  </si>
  <si>
    <t>PALOMINO</t>
  </si>
  <si>
    <t>ANGIE MELANIE</t>
  </si>
  <si>
    <t>4352</t>
  </si>
  <si>
    <t>ODAR</t>
  </si>
  <si>
    <t>GUILLERMO ALFREDO</t>
  </si>
  <si>
    <t>4353</t>
  </si>
  <si>
    <t>SANDOVAL</t>
  </si>
  <si>
    <t>LUIS ALBERTO</t>
  </si>
  <si>
    <t>4354</t>
  </si>
  <si>
    <t>PRIETO</t>
  </si>
  <si>
    <t>CHAVEZ</t>
  </si>
  <si>
    <t>LUIS HERNAN</t>
  </si>
  <si>
    <t>4355</t>
  </si>
  <si>
    <t>OSCAR</t>
  </si>
  <si>
    <t>0613</t>
  </si>
  <si>
    <t>MARTINEZ</t>
  </si>
  <si>
    <t>MAGALI LIZ</t>
  </si>
  <si>
    <t>002082-2026-SGIST</t>
  </si>
  <si>
    <t>005819-2026-SGIST</t>
  </si>
  <si>
    <t>002586-2026-GITE</t>
  </si>
  <si>
    <t>MEMORANDO 003004-2026/GITE</t>
  </si>
  <si>
    <t xml:space="preserve">AIQUIPA </t>
  </si>
  <si>
    <t xml:space="preserve">GOMEZ </t>
  </si>
  <si>
    <t>BRAYAN HERMINIO</t>
  </si>
  <si>
    <t>PLATA</t>
  </si>
  <si>
    <t>RICARDO</t>
  </si>
  <si>
    <t>CALDERON</t>
  </si>
  <si>
    <t>ROBERT JACINTO</t>
  </si>
  <si>
    <t>RAEDER EMILIO</t>
  </si>
  <si>
    <t>AÑANCA</t>
  </si>
  <si>
    <t>BULEJE</t>
  </si>
  <si>
    <t>CHRISTIAN FRANCIS</t>
  </si>
  <si>
    <t xml:space="preserve">AQUINO </t>
  </si>
  <si>
    <t xml:space="preserve">SANDOVAL </t>
  </si>
  <si>
    <t>EDAR OSMAR</t>
  </si>
  <si>
    <t>ARIAS</t>
  </si>
  <si>
    <t xml:space="preserve">LEYTON </t>
  </si>
  <si>
    <t>ARTEAGA</t>
  </si>
  <si>
    <t>JARA</t>
  </si>
  <si>
    <t xml:space="preserve">ANTONIO OMAR </t>
  </si>
  <si>
    <t>ATOCCSA</t>
  </si>
  <si>
    <t>OYOLO</t>
  </si>
  <si>
    <t>ELIZABETH SUSAN</t>
  </si>
  <si>
    <t xml:space="preserve">BARRERA </t>
  </si>
  <si>
    <t xml:space="preserve">SANCHEZ </t>
  </si>
  <si>
    <t>ROY KENNEDY</t>
  </si>
  <si>
    <t>BAYONA</t>
  </si>
  <si>
    <t xml:space="preserve">JORGE LUIS </t>
  </si>
  <si>
    <t>BELLIDO</t>
  </si>
  <si>
    <t>YUDE</t>
  </si>
  <si>
    <t>RENUNCIA PROVEIDO 006664-2026/SGIST-GITE - REMITA CARTA DE RENUNCIA BELLIDO OCHOA YUDE (HASTA 08/06/2026)</t>
  </si>
  <si>
    <t>BUENO</t>
  </si>
  <si>
    <t>LUIS EDUARDO</t>
  </si>
  <si>
    <t xml:space="preserve">CARREÑO </t>
  </si>
  <si>
    <t>JIRON</t>
  </si>
  <si>
    <t>PEDRO DIOVALDO</t>
  </si>
  <si>
    <t>CASIMIRO</t>
  </si>
  <si>
    <t>PACHECO</t>
  </si>
  <si>
    <t>VICTOR FRANCISCO</t>
  </si>
  <si>
    <t>CHATE</t>
  </si>
  <si>
    <t>CHOTA</t>
  </si>
  <si>
    <t>LOAYZA</t>
  </si>
  <si>
    <t xml:space="preserve">PEDRO AYATO </t>
  </si>
  <si>
    <t>DANIEL MAURICIO</t>
  </si>
  <si>
    <t xml:space="preserve">CIUDAD </t>
  </si>
  <si>
    <t>LUIS ENRIQUE</t>
  </si>
  <si>
    <t>COLCA</t>
  </si>
  <si>
    <t>SUASNABAR</t>
  </si>
  <si>
    <t>JORGE ENRIQUE</t>
  </si>
  <si>
    <t>GIANCARLO FRANCO</t>
  </si>
  <si>
    <t xml:space="preserve">GONZALES </t>
  </si>
  <si>
    <t>AYAUCAN</t>
  </si>
  <si>
    <t>KATHERYN ALICIA</t>
  </si>
  <si>
    <t>GUILLERMO</t>
  </si>
  <si>
    <t>GUANILO</t>
  </si>
  <si>
    <t>JORGE WILLY</t>
  </si>
  <si>
    <t>JANET SANDY</t>
  </si>
  <si>
    <t>BORDA</t>
  </si>
  <si>
    <t>LEIDI URSULA</t>
  </si>
  <si>
    <t xml:space="preserve">MEDINA </t>
  </si>
  <si>
    <t>QUESQUEN</t>
  </si>
  <si>
    <t>RONALD JEFFERSON</t>
  </si>
  <si>
    <t xml:space="preserve">MENESES </t>
  </si>
  <si>
    <t xml:space="preserve">ESPINOZA </t>
  </si>
  <si>
    <t>DEISY BIELITZ</t>
  </si>
  <si>
    <t>MOINA</t>
  </si>
  <si>
    <t>CHOQUE</t>
  </si>
  <si>
    <t xml:space="preserve">MARGOT DORIS </t>
  </si>
  <si>
    <t>MORALES</t>
  </si>
  <si>
    <t>OMAR DAVID</t>
  </si>
  <si>
    <t>NERIO</t>
  </si>
  <si>
    <t>MORENO</t>
  </si>
  <si>
    <t>NOHEMA ANEL</t>
  </si>
  <si>
    <t>CORONADO</t>
  </si>
  <si>
    <t>MARICRUZ DEL ROCIO</t>
  </si>
  <si>
    <t>ORDOÑEZ</t>
  </si>
  <si>
    <t>COSSIO</t>
  </si>
  <si>
    <t>JAIME ALEJANDRO</t>
  </si>
  <si>
    <t>MOTTA</t>
  </si>
  <si>
    <t xml:space="preserve">MIGUEL ANGEL </t>
  </si>
  <si>
    <t xml:space="preserve">PUICAN </t>
  </si>
  <si>
    <t>JOHN ROBERT</t>
  </si>
  <si>
    <t>PUMACAYO</t>
  </si>
  <si>
    <t>CHAMBA</t>
  </si>
  <si>
    <t>ENRIQUE DAVID</t>
  </si>
  <si>
    <t>RAMIREZ</t>
  </si>
  <si>
    <t>REYNA</t>
  </si>
  <si>
    <t>EMERSON OSWALDO</t>
  </si>
  <si>
    <t>SGIST: DESISTIMIENTO RAMIREZ PINELLA GIOVANA PAOLA REF. INFORME 002082-2026-SGIST</t>
  </si>
  <si>
    <t xml:space="preserve">ARGUMEDO </t>
  </si>
  <si>
    <t>JORGE JESUS</t>
  </si>
  <si>
    <t>ALBORNOS</t>
  </si>
  <si>
    <t>MARCOS ANTONIO</t>
  </si>
  <si>
    <t>DE LA CRUZ</t>
  </si>
  <si>
    <t>RONALD EDWARD</t>
  </si>
  <si>
    <t xml:space="preserve">ROJAS </t>
  </si>
  <si>
    <t>DANIEL ALEJANDRO</t>
  </si>
  <si>
    <t>SANTILLAN</t>
  </si>
  <si>
    <t>CALONGOS</t>
  </si>
  <si>
    <t>EDITH JESUS</t>
  </si>
  <si>
    <t xml:space="preserve">SEGUNDO </t>
  </si>
  <si>
    <t xml:space="preserve">HUAMAN </t>
  </si>
  <si>
    <t>HENRY RAUL</t>
  </si>
  <si>
    <t>SILVESTRE</t>
  </si>
  <si>
    <t>SALAS</t>
  </si>
  <si>
    <t>JUAN ISMAEL</t>
  </si>
  <si>
    <t xml:space="preserve">SOJO </t>
  </si>
  <si>
    <t>ZAPATA</t>
  </si>
  <si>
    <t>CARLOS ALCIDES</t>
  </si>
  <si>
    <t>ALCIDES JOEL</t>
  </si>
  <si>
    <t>SUAREZ</t>
  </si>
  <si>
    <t>JEAN PAUL</t>
  </si>
  <si>
    <t xml:space="preserve">SUAREZ </t>
  </si>
  <si>
    <t>PAZ</t>
  </si>
  <si>
    <t>MELISSA LISBETH</t>
  </si>
  <si>
    <t>PABLO JHOVAN</t>
  </si>
  <si>
    <t>PERALTA</t>
  </si>
  <si>
    <t>LIT FRANK</t>
  </si>
  <si>
    <t xml:space="preserve">TAQUIRI </t>
  </si>
  <si>
    <t>VICERREL</t>
  </si>
  <si>
    <t>RENUNCIA</t>
  </si>
  <si>
    <t>MEMORANDO 003272-2026/GITE</t>
  </si>
  <si>
    <t xml:space="preserve">TEIXEIRA </t>
  </si>
  <si>
    <t xml:space="preserve">DIANA </t>
  </si>
  <si>
    <t>SGIST, CARTA DE RENUNCIA DEL 17/06/2026 SIENDO SU ULTIMO DIA DE LABORES EL 10/06/2026 // INFORME 002470-2026-SGIST</t>
  </si>
  <si>
    <t xml:space="preserve">TIPTE </t>
  </si>
  <si>
    <t>JAVIER FERNANDO</t>
  </si>
  <si>
    <t>TITO</t>
  </si>
  <si>
    <t>EMILY MELISSA</t>
  </si>
  <si>
    <t xml:space="preserve">TORPOCO </t>
  </si>
  <si>
    <t>ALFONSO</t>
  </si>
  <si>
    <t>EDUARDO</t>
  </si>
  <si>
    <t>VASQUEZ</t>
  </si>
  <si>
    <t xml:space="preserve">JUAN MANUEL </t>
  </si>
  <si>
    <t>MEMORANDO 003005-2026/GITE</t>
  </si>
  <si>
    <t xml:space="preserve">VALLE </t>
  </si>
  <si>
    <t>PEDRO ELIAS</t>
  </si>
  <si>
    <t>VALLEJOS</t>
  </si>
  <si>
    <t xml:space="preserve">VALLES </t>
  </si>
  <si>
    <t>JAVIER ALEXANDER</t>
  </si>
  <si>
    <t>PARRAGUEZ</t>
  </si>
  <si>
    <t>ROXANA CHARITO</t>
  </si>
  <si>
    <t>VELI</t>
  </si>
  <si>
    <t>RICSI</t>
  </si>
  <si>
    <t>JIMY POOL</t>
  </si>
  <si>
    <t xml:space="preserve">VIDAL </t>
  </si>
  <si>
    <t>CULLANCO</t>
  </si>
  <si>
    <t>JAHIR JUAN DE DIOS</t>
  </si>
  <si>
    <t>SGIST: DESISTIMIENTO YAUYOS TORRES JESUS ROLAND REF. INFORME 002082-2026-SGIST</t>
  </si>
  <si>
    <t>YOPAN</t>
  </si>
  <si>
    <t>JHON DENIS</t>
  </si>
  <si>
    <t>YUCRA</t>
  </si>
  <si>
    <t xml:space="preserve">ORDAYA </t>
  </si>
  <si>
    <t>FREDY FERIOL</t>
  </si>
  <si>
    <t>RIOFRIO</t>
  </si>
  <si>
    <t xml:space="preserve">BRUSH WINNER </t>
  </si>
  <si>
    <t>CANRE</t>
  </si>
  <si>
    <t xml:space="preserve">CANRE </t>
  </si>
  <si>
    <t>JIMMY BORNIX</t>
  </si>
  <si>
    <t>CARHUAPOMA</t>
  </si>
  <si>
    <t>MUNGUIA</t>
  </si>
  <si>
    <t>JHANET MILAGROS</t>
  </si>
  <si>
    <t>CARRION</t>
  </si>
  <si>
    <t>CARLOS ENRIQUE</t>
  </si>
  <si>
    <t>CCANTO</t>
  </si>
  <si>
    <t>CRISPIN</t>
  </si>
  <si>
    <t>JOSUE</t>
  </si>
  <si>
    <t>OVIEDO</t>
  </si>
  <si>
    <t>ANTHONY</t>
  </si>
  <si>
    <t>MONTEJO</t>
  </si>
  <si>
    <t>MARTHA BEATRIZ</t>
  </si>
  <si>
    <t>CASANA</t>
  </si>
  <si>
    <t>CARMEN ROSA</t>
  </si>
  <si>
    <t>QUIÑONES</t>
  </si>
  <si>
    <t>LEYTON</t>
  </si>
  <si>
    <t>JOSE CARLOS</t>
  </si>
  <si>
    <t xml:space="preserve">ARPITA </t>
  </si>
  <si>
    <t>CHECASACA</t>
  </si>
  <si>
    <t>RONALD</t>
  </si>
  <si>
    <t>CALERO</t>
  </si>
  <si>
    <t>MARIA ELENA</t>
  </si>
  <si>
    <t>CONDORI</t>
  </si>
  <si>
    <t>DAVID RICARDO</t>
  </si>
  <si>
    <t>CORIPUNA</t>
  </si>
  <si>
    <t>ALEX TORIBIO</t>
  </si>
  <si>
    <t>SALAZAR</t>
  </si>
  <si>
    <t>ADRIAN</t>
  </si>
  <si>
    <t>LUIS FERNANDO</t>
  </si>
  <si>
    <t>AGUILAR</t>
  </si>
  <si>
    <t>JIMMY CRISTHIAN</t>
  </si>
  <si>
    <t>HERRERA</t>
  </si>
  <si>
    <t>RAU</t>
  </si>
  <si>
    <t>LUCI MARLENE</t>
  </si>
  <si>
    <t>ZUBIETA</t>
  </si>
  <si>
    <t>FRANZ MARCELINO</t>
  </si>
  <si>
    <t xml:space="preserve">CAPCHA </t>
  </si>
  <si>
    <t>JHON ERIK</t>
  </si>
  <si>
    <t>SALDAÑA</t>
  </si>
  <si>
    <t>RUTH NAYELLI</t>
  </si>
  <si>
    <t>OLIVA</t>
  </si>
  <si>
    <t>SUSAN FIORELLA</t>
  </si>
  <si>
    <t>002087-2026-SGIST/GITE</t>
  </si>
  <si>
    <t>005816-2026-SGIST/GITE</t>
  </si>
  <si>
    <t>002587-2026/GITE</t>
  </si>
  <si>
    <t>BLANCO</t>
  </si>
  <si>
    <t>JUAN MANUEL</t>
  </si>
  <si>
    <t>HUARHUA</t>
  </si>
  <si>
    <t>RICARDO JOSUE</t>
  </si>
  <si>
    <t xml:space="preserve">RUIZ </t>
  </si>
  <si>
    <t>LUIS FABRIZIO</t>
  </si>
  <si>
    <t>DOUGLAS BRIAN</t>
  </si>
  <si>
    <t>PLASENCIA</t>
  </si>
  <si>
    <t>ANDREE FRANCISCO</t>
  </si>
  <si>
    <t>SGIST: DESISTIMIENTO NOVOA HUANAQUIRI HECTOR IVAN REF. INFORME 002087-2026-SGIST/GITE</t>
  </si>
  <si>
    <t>OLAZABAL</t>
  </si>
  <si>
    <t>LEON</t>
  </si>
  <si>
    <t>BETTY MELANNIE</t>
  </si>
  <si>
    <t xml:space="preserve">SANTISTEBAN </t>
  </si>
  <si>
    <t>VALDERA</t>
  </si>
  <si>
    <t>RUDY ROBERT</t>
  </si>
  <si>
    <t>RUTH MARILYN</t>
  </si>
  <si>
    <t>BACA</t>
  </si>
  <si>
    <t>ELERA</t>
  </si>
  <si>
    <t>LUIS FERNANDO EMANUEL</t>
  </si>
  <si>
    <t>HIDALGO</t>
  </si>
  <si>
    <t>GUERRERO</t>
  </si>
  <si>
    <t>LEILANY MATILDE</t>
  </si>
  <si>
    <t>SOTELO</t>
  </si>
  <si>
    <t>ROSA DEL PILAR</t>
  </si>
  <si>
    <t>ALDO ENRIQUE</t>
  </si>
  <si>
    <t>GUZMAN</t>
  </si>
  <si>
    <t>AGILA</t>
  </si>
  <si>
    <t>MARLI LILIAN</t>
  </si>
  <si>
    <t>DENESMA</t>
  </si>
  <si>
    <t>MANUEL ANTHONY</t>
  </si>
  <si>
    <t>OJEDA</t>
  </si>
  <si>
    <t>ARAUJO</t>
  </si>
  <si>
    <t>FRANZ ITALO</t>
  </si>
  <si>
    <t>NAVAL</t>
  </si>
  <si>
    <t>JESUS</t>
  </si>
  <si>
    <t>PAETAN</t>
  </si>
  <si>
    <t>HENRY RICHARD</t>
  </si>
  <si>
    <t>EDU ZAIR</t>
  </si>
  <si>
    <t>BEJARANO</t>
  </si>
  <si>
    <t>BRIONES</t>
  </si>
  <si>
    <t>BRAYAN ANTONIO</t>
  </si>
  <si>
    <t>SGIST: DESISTIMIENTO CAVERO VALENCIA JUVENAL REF. INFORME 002087-2026-SGIST/GITE</t>
  </si>
  <si>
    <t>AGAMA</t>
  </si>
  <si>
    <t>LOZADA</t>
  </si>
  <si>
    <t>PEDRO GABRIEL</t>
  </si>
  <si>
    <t xml:space="preserve">ALARCON </t>
  </si>
  <si>
    <t>HAROLD ROBERTO</t>
  </si>
  <si>
    <t>ECHENIQUE</t>
  </si>
  <si>
    <t>CAHUANA</t>
  </si>
  <si>
    <t>AZUCENA SOLEDAD</t>
  </si>
  <si>
    <t>ISHUIZA</t>
  </si>
  <si>
    <t>ACOSTA</t>
  </si>
  <si>
    <t>MARIZET</t>
  </si>
  <si>
    <t>SGIST: DESISTIMIENTO MACHACA HUAMANI	YVAN WILLIAMS REF. 002087-2026-SGIST/GITE</t>
  </si>
  <si>
    <t>ZAPANA</t>
  </si>
  <si>
    <t xml:space="preserve">QUISPE </t>
  </si>
  <si>
    <t>CINTIA</t>
  </si>
  <si>
    <t xml:space="preserve">MARICHI </t>
  </si>
  <si>
    <t>KAREN MILITZA</t>
  </si>
  <si>
    <t>BARBOZA</t>
  </si>
  <si>
    <t>LUIS FELIPE</t>
  </si>
  <si>
    <t>FRANK EDUARDO</t>
  </si>
  <si>
    <t>GRANDA</t>
  </si>
  <si>
    <t>MIRELLA SOFIA</t>
  </si>
  <si>
    <t>URBINA</t>
  </si>
  <si>
    <t xml:space="preserve">JOSE CARLOS </t>
  </si>
  <si>
    <t>BRANDON EDUARDO</t>
  </si>
  <si>
    <t>RENUNCIA PUMACAYO CHAMBA BRANDON EDUARDO REF. INFORME 002087-2026-SGIST/GITE</t>
  </si>
  <si>
    <t>RIVERA</t>
  </si>
  <si>
    <t>VIVIANA LIZA</t>
  </si>
  <si>
    <t xml:space="preserve">OPERADOR TECNICO DE TI 2   </t>
  </si>
  <si>
    <t>002098-2026-SGIST</t>
  </si>
  <si>
    <t>SOLICITUD 161</t>
  </si>
  <si>
    <t>001013-2026-GPP</t>
  </si>
  <si>
    <t>PRIORIZADO</t>
  </si>
  <si>
    <t>NUEVO: ESPECIALISTA DE REVISION DE EQUIPOS INFORMATICOS</t>
  </si>
  <si>
    <t>002159-2026-SGIST/GITE</t>
  </si>
  <si>
    <t>006011-2026-SGIST/GITE</t>
  </si>
  <si>
    <t>002671-2026/GITE</t>
  </si>
  <si>
    <t>OSIS</t>
  </si>
  <si>
    <t>LUIS</t>
  </si>
  <si>
    <t xml:space="preserve"> NUEVO: SUPERVISOR DE REVISION DE EQUIPOS INFORMATICOS</t>
  </si>
  <si>
    <t>SGIST: DESISTIMIENTO CABRERA MORALES SERGIO DENNIS REF. INFORME 002159-2026-SGIST/GITE</t>
  </si>
  <si>
    <t>AGURTO</t>
  </si>
  <si>
    <t>OSCAR EDUARDO</t>
  </si>
  <si>
    <t>DUEÑAS</t>
  </si>
  <si>
    <t>LLANOS</t>
  </si>
  <si>
    <t>HENRY DOUGLAS</t>
  </si>
  <si>
    <t>ELESCANO</t>
  </si>
  <si>
    <t>VILLAGARAY</t>
  </si>
  <si>
    <t>IVAN MARCOS</t>
  </si>
  <si>
    <t>LADY ROCIO</t>
  </si>
  <si>
    <t>URETA</t>
  </si>
  <si>
    <t xml:space="preserve">PAMELA </t>
  </si>
  <si>
    <t>REQUE</t>
  </si>
  <si>
    <t>REYES</t>
  </si>
  <si>
    <t>WILLY CHAYANNE</t>
  </si>
  <si>
    <t>PARI</t>
  </si>
  <si>
    <t>PATRICIA PAOLA</t>
  </si>
  <si>
    <t>ORBEZO</t>
  </si>
  <si>
    <t>PATRICIA DEL ROSARIO</t>
  </si>
  <si>
    <t>BARROSO</t>
  </si>
  <si>
    <t>DIEGO ALBERTO</t>
  </si>
  <si>
    <t>EFRAIN</t>
  </si>
  <si>
    <t>000431-2026-SGGDI</t>
  </si>
  <si>
    <t>004461-2026-SGIST</t>
  </si>
  <si>
    <t>002029-2026-GITE</t>
  </si>
  <si>
    <t>0786</t>
  </si>
  <si>
    <t>MEMORANDO 002457-2026-GITE</t>
  </si>
  <si>
    <t>MEMORANDO 003003-2026-GITE</t>
  </si>
  <si>
    <t>VIZCARRA</t>
  </si>
  <si>
    <t>MEDINA</t>
  </si>
  <si>
    <t>DELCY MARIA</t>
  </si>
  <si>
    <r>
      <t xml:space="preserve">ANTES: ESPECIALISTA EN CERTIFICACIÓN DIGITAL Y FIRMA ELECTRONICA CUALIFICADA
</t>
    </r>
    <r>
      <rPr>
        <b/>
        <sz val="8"/>
        <rFont val="Arial Narrow"/>
        <family val="2"/>
      </rPr>
      <t xml:space="preserve">NUEVO: COORDINADOR DE DESARROLLO DE SOFTWARE DE PROYECTOS DE INNOVACIÓN </t>
    </r>
  </si>
  <si>
    <t xml:space="preserve">21/04 SGGDI mediante correo solicita cambio de denominación </t>
  </si>
  <si>
    <t>000441-2026-SGGDI</t>
  </si>
  <si>
    <t>004501-2026-SGIST</t>
  </si>
  <si>
    <t>002053-2026-GITE</t>
  </si>
  <si>
    <t xml:space="preserve">HUAROTO </t>
  </si>
  <si>
    <t>PACHAS</t>
  </si>
  <si>
    <t>FELIX EDUARDO</t>
  </si>
  <si>
    <t>0788</t>
  </si>
  <si>
    <t>ROSALES</t>
  </si>
  <si>
    <t>GERONIMO</t>
  </si>
  <si>
    <t>GISSELA KATHERYN</t>
  </si>
  <si>
    <t>0790</t>
  </si>
  <si>
    <t>MARIA ELIZABETH</t>
  </si>
  <si>
    <t>000434-2026-SGGDI</t>
  </si>
  <si>
    <t>004451-2026-SGIST</t>
  </si>
  <si>
    <t>002036-2026-GITE</t>
  </si>
  <si>
    <t>NUEVO</t>
  </si>
  <si>
    <t xml:space="preserve">LACHIRA </t>
  </si>
  <si>
    <t xml:space="preserve"> EMILIO</t>
  </si>
  <si>
    <t>PAZO</t>
  </si>
  <si>
    <t>ANDREA LIZBETH</t>
  </si>
  <si>
    <t>CANCHARI</t>
  </si>
  <si>
    <t>TARRILLO</t>
  </si>
  <si>
    <t>JOHANA VANESSA</t>
  </si>
  <si>
    <t>72227141</t>
  </si>
  <si>
    <t>10722271411</t>
  </si>
  <si>
    <t>0789</t>
  </si>
  <si>
    <t>CIRO</t>
  </si>
  <si>
    <r>
      <rPr>
        <sz val="10"/>
        <color rgb="FF1F3763"/>
        <rFont val="Arial Narrow"/>
        <family val="2"/>
      </rPr>
      <t>RIVERA</t>
    </r>
  </si>
  <si>
    <r>
      <rPr>
        <sz val="10"/>
        <color rgb="FF1F3763"/>
        <rFont val="Arial Narrow"/>
        <family val="2"/>
      </rPr>
      <t>CALDERON</t>
    </r>
  </si>
  <si>
    <r>
      <rPr>
        <sz val="10"/>
        <color rgb="FF1F3763"/>
        <rFont val="Arial Narrow"/>
        <family val="2"/>
      </rPr>
      <t>JIMMY EDGARD</t>
    </r>
  </si>
  <si>
    <r>
      <t xml:space="preserve">ANTES:ANALISTA ADMINISTRATIVO DE GOBIERNO DIGITAL
NUEVO: </t>
    </r>
    <r>
      <rPr>
        <b/>
        <sz val="8"/>
        <rFont val="Arial Narrow"/>
        <family val="2"/>
      </rPr>
      <t>ANALISTA DE PRUEBAS Y CONTROL DE CALIDAD DE PROYECTOS DE INNOVACIÓN</t>
    </r>
    <r>
      <rPr>
        <sz val="8"/>
        <rFont val="Arial Narrow"/>
        <family val="2"/>
      </rPr>
      <t xml:space="preserve">
</t>
    </r>
  </si>
  <si>
    <t>SGGDI comunico cambio de denominación el  22/04/2026 (segundo envio)</t>
  </si>
  <si>
    <t>SAMAN</t>
  </si>
  <si>
    <t>JUAN FRANCISCO</t>
  </si>
  <si>
    <t>0787</t>
  </si>
  <si>
    <t>ZENOBIO ALEXANDER</t>
  </si>
  <si>
    <r>
      <rPr>
        <sz val="8"/>
        <color rgb="FF000000"/>
        <rFont val="Arial Narrow"/>
        <family val="2"/>
      </rPr>
      <t xml:space="preserve">ANTES: DISEÑADOR UX/UI DE PROYECTOS DE INNOVACIÓN
</t>
    </r>
    <r>
      <rPr>
        <b/>
        <sz val="8"/>
        <color rgb="FF000000"/>
        <rFont val="Arial Narrow"/>
        <family val="2"/>
      </rPr>
      <t xml:space="preserve">NUEVO: ESPECIALISTA EN CERTIFICACION DIGITAL Y FIRMA ELECTRONICA CUALIFICADA </t>
    </r>
  </si>
  <si>
    <t>000442-2026-SGGDI-GITE</t>
  </si>
  <si>
    <t>004516-2026-SGIST</t>
  </si>
  <si>
    <t>002060-2026-GITE</t>
  </si>
  <si>
    <t>0850</t>
  </si>
  <si>
    <t>SUXE</t>
  </si>
  <si>
    <t>CORREA</t>
  </si>
  <si>
    <t>JHON LENIN</t>
  </si>
  <si>
    <t>0851</t>
  </si>
  <si>
    <t>MORAN</t>
  </si>
  <si>
    <t>ALEX JERICK</t>
  </si>
  <si>
    <r>
      <t xml:space="preserve">ANTES: ANALISTA DE ASEGURAMIENTO DE CONTROL DE CALIDAD DE PROYECTOS DE INNOVACION
</t>
    </r>
    <r>
      <rPr>
        <b/>
        <sz val="8"/>
        <rFont val="Arial Narrow"/>
        <family val="2"/>
      </rPr>
      <t>NUEVO: ESPECIALISTA EN GESTIÓN TECNOLÓGICA DE PROYECTOS DE INNOVACIÓN</t>
    </r>
  </si>
  <si>
    <t>TUCTO</t>
  </si>
  <si>
    <t>CALZADA</t>
  </si>
  <si>
    <t>JERSON WILMER</t>
  </si>
  <si>
    <t>0852</t>
  </si>
  <si>
    <t>ROA</t>
  </si>
  <si>
    <t>VICENTE</t>
  </si>
  <si>
    <t>DENNIFER SEVIGNE</t>
  </si>
  <si>
    <r>
      <t xml:space="preserve">ANTES: ESPECIALISTA DE PRUEBAS DE SEGURIDAD Y CODIGO ESTATICO DE PROYECTOS DE INNOVACIÓN
</t>
    </r>
    <r>
      <rPr>
        <b/>
        <sz val="8"/>
        <rFont val="Arial Narrow"/>
        <family val="2"/>
      </rPr>
      <t>NUEVO: ESPECIALISTA EN GESTIÓN TECNOLÓGICA DE PROYECTOS DE INNOVACIÓN</t>
    </r>
  </si>
  <si>
    <t>LEVANO</t>
  </si>
  <si>
    <t>ROMAN RAUL</t>
  </si>
  <si>
    <r>
      <t xml:space="preserve">ANTES: ESPECIALISTA DE PRUEBAS DE CARGA, ESTRES Y AUTOMATIZACION DE PROYECTOS DE INNOVACIÓN
</t>
    </r>
    <r>
      <rPr>
        <b/>
        <sz val="8"/>
        <rFont val="Arial Narrow"/>
        <family val="2"/>
      </rPr>
      <t>NUEVO: ESPECIALISTA EN DESARROLLO DE SOFTWARE DE PROYECTOS DE INNOVACIÓN</t>
    </r>
  </si>
  <si>
    <t xml:space="preserve">MALCA </t>
  </si>
  <si>
    <t>EDUARDO ISAAC</t>
  </si>
  <si>
    <t>SOLIS</t>
  </si>
  <si>
    <t>VIZURRAGA</t>
  </si>
  <si>
    <t>RICARDO MANUEL</t>
  </si>
  <si>
    <t>SGGDI comunico cambio de denominación el  22/04/2026</t>
  </si>
  <si>
    <r>
      <t>ANTES: DOCUMENTADOR QA DE PROYECTOS DE INNOVACIÓN</t>
    </r>
    <r>
      <rPr>
        <b/>
        <sz val="8"/>
        <rFont val="Arial Narrow"/>
        <family val="2"/>
      </rPr>
      <t xml:space="preserve">
NUEVO:  ANALISTA DE PRUEBAS Y DOCUMENTACIÓN DE PROYECTOS DE INNOVACIÓN</t>
    </r>
  </si>
  <si>
    <t xml:space="preserve">CHAPOÑAN </t>
  </si>
  <si>
    <t>SANTISTEBAN</t>
  </si>
  <si>
    <t>LUZ NOEMI</t>
  </si>
  <si>
    <t>NAVARRETE</t>
  </si>
  <si>
    <t>KAROL STEPHANIE</t>
  </si>
  <si>
    <r>
      <t xml:space="preserve">
ANTES: DOCUMENTADOR QA DE PROYECTOS DE INNOVACIÓN
</t>
    </r>
    <r>
      <rPr>
        <b/>
        <sz val="8"/>
        <rFont val="Arial Narrow"/>
        <family val="2"/>
      </rPr>
      <t xml:space="preserve">NUEVO:  ANALISTA TÉCNICO ADMINISTRATIVO DE PROYECTOS DE INNOVACIÓN
</t>
    </r>
  </si>
  <si>
    <t>LAZO</t>
  </si>
  <si>
    <t>FANY MARIELA</t>
  </si>
  <si>
    <t>0806</t>
  </si>
  <si>
    <t>BRAYAN STEVEN</t>
  </si>
  <si>
    <t>0807</t>
  </si>
  <si>
    <t>SANTOS</t>
  </si>
  <si>
    <t>CASTAÑEDA</t>
  </si>
  <si>
    <t>EDUARDO DELMER</t>
  </si>
  <si>
    <t>0808</t>
  </si>
  <si>
    <t>SERNAQUE</t>
  </si>
  <si>
    <t>JACINTO</t>
  </si>
  <si>
    <t>CESAR AGUSTIN</t>
  </si>
  <si>
    <t>0809</t>
  </si>
  <si>
    <t>JEISON IVAN</t>
  </si>
  <si>
    <t>0810</t>
  </si>
  <si>
    <t>MACHCO</t>
  </si>
  <si>
    <t>JEANPOUL LUISALEXIS</t>
  </si>
  <si>
    <t>0811</t>
  </si>
  <si>
    <t>MONTERO</t>
  </si>
  <si>
    <t>EDDY</t>
  </si>
  <si>
    <t>0812</t>
  </si>
  <si>
    <t>DEDIOS</t>
  </si>
  <si>
    <t>MONTENEGRO</t>
  </si>
  <si>
    <t>KEVIN JORDANO</t>
  </si>
  <si>
    <t>0813</t>
  </si>
  <si>
    <t>VALENZUELA</t>
  </si>
  <si>
    <t>LORENA NEREYDA</t>
  </si>
  <si>
    <t>004516-2026-SGSIT</t>
  </si>
  <si>
    <t>0814</t>
  </si>
  <si>
    <t>ESTRADA</t>
  </si>
  <si>
    <t>0815</t>
  </si>
  <si>
    <t>RIOS</t>
  </si>
  <si>
    <t>ANGELO MARCOS</t>
  </si>
  <si>
    <t>0816</t>
  </si>
  <si>
    <t>YEREMY JESUS</t>
  </si>
  <si>
    <t>0002060-2026-GITE</t>
  </si>
  <si>
    <t>0818</t>
  </si>
  <si>
    <t>CONSTANTINO</t>
  </si>
  <si>
    <t>SENMACHE</t>
  </si>
  <si>
    <t>DORIS JANNETH</t>
  </si>
  <si>
    <t>0819</t>
  </si>
  <si>
    <t>DEZA</t>
  </si>
  <si>
    <t>0820</t>
  </si>
  <si>
    <t>BARRIENTOS</t>
  </si>
  <si>
    <t>ISEQUIEL</t>
  </si>
  <si>
    <t>24/04 - SGGDI SOLICITO POR CORREO CAMBIO DE DENOMINACION</t>
  </si>
  <si>
    <t>0822</t>
  </si>
  <si>
    <t>NOLASCO</t>
  </si>
  <si>
    <t>ZAMORA</t>
  </si>
  <si>
    <t>KEVIN ALONSO</t>
  </si>
  <si>
    <t>0823</t>
  </si>
  <si>
    <t>ELEYNE KARINA</t>
  </si>
  <si>
    <t>000443-2026-SGGDI-GITE</t>
  </si>
  <si>
    <t>004508-2026-SGSIST</t>
  </si>
  <si>
    <t>002061-2026-GITE</t>
  </si>
  <si>
    <t>0854</t>
  </si>
  <si>
    <t>IZQUIERDO</t>
  </si>
  <si>
    <t>FUERTES</t>
  </si>
  <si>
    <t>JHUNIOR ALEXI</t>
  </si>
  <si>
    <t>0855</t>
  </si>
  <si>
    <t>FLORIAN</t>
  </si>
  <si>
    <r>
      <rPr>
        <sz val="8"/>
        <color rgb="FF000000"/>
        <rFont val="Arial Narrow"/>
        <family val="2"/>
      </rPr>
      <t xml:space="preserve">ANTES: ANALISTA DE ASEGURAMIENTO DE CONTROL DE CALIDAD DE SOFTWARE
</t>
    </r>
    <r>
      <rPr>
        <b/>
        <sz val="8"/>
        <color rgb="FF000000"/>
        <rFont val="Arial Narrow"/>
        <family val="2"/>
      </rPr>
      <t>NUEVO: ANALISTA DE PRUEBAS DE SEGURIDAD DE SOFTWARE</t>
    </r>
  </si>
  <si>
    <t xml:space="preserve">27/07 - SGGDI mediante correosolicita cambio de denominación </t>
  </si>
  <si>
    <t>0817</t>
  </si>
  <si>
    <t>OCAS</t>
  </si>
  <si>
    <t>MURILLO</t>
  </si>
  <si>
    <t>JOSE NATIVIDAD</t>
  </si>
  <si>
    <r>
      <t xml:space="preserve">ANTES: ANALISTA DE ASEGURAMIENTO DE CONTROL DE CALIDAD DE SOFTWARE
</t>
    </r>
    <r>
      <rPr>
        <b/>
        <sz val="8"/>
        <rFont val="Arial Narrow"/>
        <family val="2"/>
      </rPr>
      <t>NUEVO: ANALISTA DE PRUEBAS DE CODIGO ESTATICO</t>
    </r>
  </si>
  <si>
    <t>0821</t>
  </si>
  <si>
    <t>HUAMANI</t>
  </si>
  <si>
    <t>OROPEZA</t>
  </si>
  <si>
    <t>JHON ARTURO</t>
  </si>
  <si>
    <t>0824</t>
  </si>
  <si>
    <t>DÍAZ</t>
  </si>
  <si>
    <t>JUAN ANTONIO</t>
  </si>
  <si>
    <t>0825</t>
  </si>
  <si>
    <t>CYNTHIA CECILIA</t>
  </si>
  <si>
    <t>0826</t>
  </si>
  <si>
    <t>JOSE SANDRO</t>
  </si>
  <si>
    <t>0827</t>
  </si>
  <si>
    <t>CARRASCO</t>
  </si>
  <si>
    <t>VILCHEZ</t>
  </si>
  <si>
    <t>JEMMY WILLIAM</t>
  </si>
  <si>
    <t>0828</t>
  </si>
  <si>
    <t>JUAN OBED</t>
  </si>
  <si>
    <t>0829</t>
  </si>
  <si>
    <t>MURIEL</t>
  </si>
  <si>
    <t>ZAMBRANO</t>
  </si>
  <si>
    <t>KEVIN BRAYAN</t>
  </si>
  <si>
    <t>0830</t>
  </si>
  <si>
    <t>RUMICHE</t>
  </si>
  <si>
    <t>LORO</t>
  </si>
  <si>
    <t>JESUS OSWALDO</t>
  </si>
  <si>
    <t>0831</t>
  </si>
  <si>
    <t>TIMOTEO</t>
  </si>
  <si>
    <t>CORI</t>
  </si>
  <si>
    <t>0832</t>
  </si>
  <si>
    <t>APARICIO</t>
  </si>
  <si>
    <t>SOSA</t>
  </si>
  <si>
    <t>DIANA JUDITH</t>
  </si>
  <si>
    <t>0833</t>
  </si>
  <si>
    <t>NAPURI</t>
  </si>
  <si>
    <t>PAOLA MERCEDES</t>
  </si>
  <si>
    <t>0834</t>
  </si>
  <si>
    <t>PANTA</t>
  </si>
  <si>
    <t>BENAVIDES</t>
  </si>
  <si>
    <t>MANUEL BENJAMIN</t>
  </si>
  <si>
    <t>0835</t>
  </si>
  <si>
    <t>0836</t>
  </si>
  <si>
    <t>MURRIETA</t>
  </si>
  <si>
    <t>JOE RAMÓN</t>
  </si>
  <si>
    <t>0837</t>
  </si>
  <si>
    <t>GRADOS</t>
  </si>
  <si>
    <t>MARÍA NANCY</t>
  </si>
  <si>
    <t>0856</t>
  </si>
  <si>
    <t>OLIVOS</t>
  </si>
  <si>
    <t>ARRUNATEGUI</t>
  </si>
  <si>
    <t>SANDRO RONALDO</t>
  </si>
  <si>
    <t>0838</t>
  </si>
  <si>
    <t>VELEZ</t>
  </si>
  <si>
    <t>ODALIS LUCERITO</t>
  </si>
  <si>
    <t>0839</t>
  </si>
  <si>
    <t>UCEDA</t>
  </si>
  <si>
    <t>EBER CARLOS</t>
  </si>
  <si>
    <t>0840</t>
  </si>
  <si>
    <t>ANA ROSA</t>
  </si>
  <si>
    <t>0841</t>
  </si>
  <si>
    <t>VILLARREAL</t>
  </si>
  <si>
    <t>LORENA BEATRIZ</t>
  </si>
  <si>
    <t>0842</t>
  </si>
  <si>
    <t>MAGUIÑA</t>
  </si>
  <si>
    <t>ANAYA</t>
  </si>
  <si>
    <t>BECKER ALEJANDRO</t>
  </si>
  <si>
    <t>0843</t>
  </si>
  <si>
    <t>MILLA</t>
  </si>
  <si>
    <t>VILLAFANA</t>
  </si>
  <si>
    <t>IRENE LUCIA</t>
  </si>
  <si>
    <t>0844</t>
  </si>
  <si>
    <t>SARA ELIZABETH</t>
  </si>
  <si>
    <t>0845</t>
  </si>
  <si>
    <t>TROCONES</t>
  </si>
  <si>
    <t>MUSTO</t>
  </si>
  <si>
    <t>ABEL SANTY</t>
  </si>
  <si>
    <t>0846</t>
  </si>
  <si>
    <t>HANCCO</t>
  </si>
  <si>
    <t>LUBEL SAID</t>
  </si>
  <si>
    <t>0847</t>
  </si>
  <si>
    <t>MENACHO</t>
  </si>
  <si>
    <t>RUBI</t>
  </si>
  <si>
    <t>0848</t>
  </si>
  <si>
    <t>TEMOCHE</t>
  </si>
  <si>
    <t>LITANO</t>
  </si>
  <si>
    <t>MARINA MILAGROS</t>
  </si>
  <si>
    <t>0849</t>
  </si>
  <si>
    <t>IBAÑEZ</t>
  </si>
  <si>
    <t>CASTROMONTE</t>
  </si>
  <si>
    <t>MIRTHA GIANNINA</t>
  </si>
  <si>
    <t>SOLICITUD 043</t>
  </si>
  <si>
    <t>00837-2026/GPP</t>
  </si>
  <si>
    <t>GPP APROBO HABILITACION POR 500 SOLES PARA EL CARGO DE SGSI</t>
  </si>
  <si>
    <t>000566-2026-SGSI/GITE</t>
  </si>
  <si>
    <t>004445-2026-SGIST/GITE</t>
  </si>
  <si>
    <t>002026-2026/GITE</t>
  </si>
  <si>
    <t>MEMORANDO 002467-2026-GITE</t>
  </si>
  <si>
    <t>YAURI</t>
  </si>
  <si>
    <t>EDGAR</t>
  </si>
  <si>
    <t>000744-2026-SGSI/GITE</t>
  </si>
  <si>
    <t>005330-2026-SGSIT/GITE</t>
  </si>
  <si>
    <t>0024092026/GITE</t>
  </si>
  <si>
    <t>MEMORANDO 003014-2026-GITE</t>
  </si>
  <si>
    <t>0746</t>
  </si>
  <si>
    <t>ACEDO</t>
  </si>
  <si>
    <t>COBA</t>
  </si>
  <si>
    <t>CARLO ANDRE</t>
  </si>
  <si>
    <t>0735</t>
  </si>
  <si>
    <t>OTERO</t>
  </si>
  <si>
    <t>FARFAN</t>
  </si>
  <si>
    <t>JEAN PIERRE</t>
  </si>
  <si>
    <t>000673-2026-SGSI-GITE</t>
  </si>
  <si>
    <t>005054-2026-SGIST</t>
  </si>
  <si>
    <t>002275-2026-GITE</t>
  </si>
  <si>
    <t>BOLAÑOS</t>
  </si>
  <si>
    <t>JUVITZA ARACELI</t>
  </si>
  <si>
    <r>
      <rPr>
        <sz val="8"/>
        <color rgb="FF000000"/>
        <rFont val="Arial Narrow"/>
        <family val="2"/>
      </rPr>
      <t xml:space="preserve">ANTES: ANALISTA DE CIENCIA DE DATOS
</t>
    </r>
    <r>
      <rPr>
        <b/>
        <sz val="8"/>
        <color rgb="FF000000"/>
        <rFont val="Arial Narrow"/>
        <family val="2"/>
      </rPr>
      <t>NUEVO: ANALISTA DE CALIDAD DE SOFTWARE 1</t>
    </r>
  </si>
  <si>
    <t>000904-2026-SGSI/GITE</t>
  </si>
  <si>
    <t>006175-2026-SGIST/GITE</t>
  </si>
  <si>
    <t>002750-2026-GITE</t>
  </si>
  <si>
    <t>PANDIA</t>
  </si>
  <si>
    <t>DALIA KIMBERLY</t>
  </si>
  <si>
    <t>0738</t>
  </si>
  <si>
    <t xml:space="preserve">GUTIERREZ </t>
  </si>
  <si>
    <t xml:space="preserve">MIRANDA </t>
  </si>
  <si>
    <t>JOEL ELIAQUIN</t>
  </si>
  <si>
    <t xml:space="preserve">
10255587094</t>
  </si>
  <si>
    <t>0739</t>
  </si>
  <si>
    <t>MEMORANDO 003012-2026-GITE</t>
  </si>
  <si>
    <t>MARQUINA</t>
  </si>
  <si>
    <t>LEONCIO JONELL</t>
  </si>
  <si>
    <t>0740</t>
  </si>
  <si>
    <t>PUMACHOQUE</t>
  </si>
  <si>
    <t>NAVARRO</t>
  </si>
  <si>
    <r>
      <rPr>
        <sz val="8"/>
        <color rgb="FF000000"/>
        <rFont val="Arial Narrow"/>
        <family val="2"/>
      </rPr>
      <t xml:space="preserve">ANTES: ANALISTA DE DATOS 5
</t>
    </r>
    <r>
      <rPr>
        <b/>
        <sz val="8"/>
        <color rgb="FF000000"/>
        <rFont val="Arial Narrow"/>
        <family val="2"/>
      </rPr>
      <t>NUEVO: ANALISTA DE CALIDAD DE SISTEMAS 2</t>
    </r>
  </si>
  <si>
    <t xml:space="preserve">RIVAS </t>
  </si>
  <si>
    <t xml:space="preserve">PAREDES </t>
  </si>
  <si>
    <t>HENRY ALONSO</t>
  </si>
  <si>
    <t>SGSI - DESISTIÓ YAZMIN ÑAUPARI SALVADOR CON CORREO DE FECHA 24ABR2026 - 15:43</t>
  </si>
  <si>
    <t>0741</t>
  </si>
  <si>
    <t>MIRANDA</t>
  </si>
  <si>
    <t>ELISBAN ENRIQUE</t>
  </si>
  <si>
    <t>005330-2026-SGIST/GITE</t>
  </si>
  <si>
    <t>002409-2026/GITE</t>
  </si>
  <si>
    <r>
      <rPr>
        <sz val="8"/>
        <color rgb="FF000000"/>
        <rFont val="Arial Narrow"/>
        <family val="2"/>
      </rPr>
      <t xml:space="preserve">ANTES: ANALISTA DE DATOS 7
</t>
    </r>
    <r>
      <rPr>
        <b/>
        <sz val="8"/>
        <color rgb="FF000000"/>
        <rFont val="Arial Narrow"/>
        <family val="2"/>
      </rPr>
      <t>NUEVO: ANALISTA PROGRAMADOR 24</t>
    </r>
  </si>
  <si>
    <t>00801-2026-SGSI/GITE</t>
  </si>
  <si>
    <t>005659-2026-SGIST/GITE</t>
  </si>
  <si>
    <t>002510-2026/GITE</t>
  </si>
  <si>
    <t>FELIX</t>
  </si>
  <si>
    <t>MERINO</t>
  </si>
  <si>
    <t>HENRY GUIDO</t>
  </si>
  <si>
    <t>0742</t>
  </si>
  <si>
    <t>GIL</t>
  </si>
  <si>
    <t>EDER ALEIXO</t>
  </si>
  <si>
    <t>0743</t>
  </si>
  <si>
    <t xml:space="preserve">TASAYCO </t>
  </si>
  <si>
    <t>AVILA</t>
  </si>
  <si>
    <t>ULISES PAUL</t>
  </si>
  <si>
    <t>0736</t>
  </si>
  <si>
    <t>ÑAUPARI</t>
  </si>
  <si>
    <t>CHUQUIMAJO</t>
  </si>
  <si>
    <t>0744</t>
  </si>
  <si>
    <t>SUPO</t>
  </si>
  <si>
    <t>SAMANEZ</t>
  </si>
  <si>
    <t>MACIEL DENI</t>
  </si>
  <si>
    <t>0745</t>
  </si>
  <si>
    <t>ROMALDO</t>
  </si>
  <si>
    <t>76029792</t>
  </si>
  <si>
    <t>0737</t>
  </si>
  <si>
    <t>EGOAVIL</t>
  </si>
  <si>
    <t>JAVIER RICHARD</t>
  </si>
  <si>
    <t>004445-2026-SGSI/GITE</t>
  </si>
  <si>
    <t>0734</t>
  </si>
  <si>
    <t>RIVAS</t>
  </si>
  <si>
    <t>JANET SONIA</t>
  </si>
  <si>
    <t>0748</t>
  </si>
  <si>
    <t xml:space="preserve">AURICH </t>
  </si>
  <si>
    <t xml:space="preserve">ROCA </t>
  </si>
  <si>
    <t>JUAN AGUSTO JUNIOR</t>
  </si>
  <si>
    <t>0750</t>
  </si>
  <si>
    <t xml:space="preserve">MENDOZA </t>
  </si>
  <si>
    <t>ALEXANDRA ROSMERY</t>
  </si>
  <si>
    <t>0751</t>
  </si>
  <si>
    <t>CHUQUIN</t>
  </si>
  <si>
    <t>ANGLAS</t>
  </si>
  <si>
    <t>JONATHAN JESUS</t>
  </si>
  <si>
    <t>0752</t>
  </si>
  <si>
    <t>MARCELA VILMA</t>
  </si>
  <si>
    <t>0753</t>
  </si>
  <si>
    <t>SURICHAQUI</t>
  </si>
  <si>
    <t>LUIS ANGEL</t>
  </si>
  <si>
    <t>0754</t>
  </si>
  <si>
    <t>OBREGON</t>
  </si>
  <si>
    <t>REMUNDO</t>
  </si>
  <si>
    <t>CINTIA ERIKA</t>
  </si>
  <si>
    <t>0755</t>
  </si>
  <si>
    <t>SILVIA VIOLETA</t>
  </si>
  <si>
    <t>09902484</t>
  </si>
  <si>
    <t>0756</t>
  </si>
  <si>
    <t>RUIZ</t>
  </si>
  <si>
    <t>KIKE ROSALIO</t>
  </si>
  <si>
    <t>0757</t>
  </si>
  <si>
    <t>POMPA</t>
  </si>
  <si>
    <t>MARIA MAGDALENA</t>
  </si>
  <si>
    <t>0758</t>
  </si>
  <si>
    <t>FRANCIA</t>
  </si>
  <si>
    <t>MARROQUIN</t>
  </si>
  <si>
    <t>RENZO STEEVE</t>
  </si>
  <si>
    <t>0759</t>
  </si>
  <si>
    <t>LUCILA MARTHA</t>
  </si>
  <si>
    <t>0760</t>
  </si>
  <si>
    <t>MELGAREJO</t>
  </si>
  <si>
    <t xml:space="preserve">JUAN DUBERTO </t>
  </si>
  <si>
    <t>0761</t>
  </si>
  <si>
    <t>HINOJOSA</t>
  </si>
  <si>
    <t>STEVEN EMILIO</t>
  </si>
  <si>
    <t>0762</t>
  </si>
  <si>
    <t xml:space="preserve">ENCARNACION </t>
  </si>
  <si>
    <t xml:space="preserve">ROQUE </t>
  </si>
  <si>
    <t>0763</t>
  </si>
  <si>
    <t>VELIZ</t>
  </si>
  <si>
    <t>ZERPA</t>
  </si>
  <si>
    <t>RENUNCA</t>
  </si>
  <si>
    <t>0764</t>
  </si>
  <si>
    <t>MEMORANDO 003141-2026-GITE</t>
  </si>
  <si>
    <t>BARSALLO</t>
  </si>
  <si>
    <t>GISELLA DEL ROCIO</t>
  </si>
  <si>
    <t>18/06/2026: memorando 003099-2026/GITE - SGSI comunico renuncia del proveedor cristobal barsalla gisella con ultima fecha al 12/06/2026
16/06/2026: informe 001099-2026/SGSI-GITE - proveedor presente renuncia al Cargo ultimo dia de labores al 12/06/2026</t>
  </si>
  <si>
    <t>0765</t>
  </si>
  <si>
    <t>WENDEL EMERSON</t>
  </si>
  <si>
    <t>33431623</t>
  </si>
  <si>
    <t>0747</t>
  </si>
  <si>
    <t>TSUKAMOTO</t>
  </si>
  <si>
    <t>ALEJOS</t>
  </si>
  <si>
    <t>ANGELICA JHARUMI</t>
  </si>
  <si>
    <t>0732</t>
  </si>
  <si>
    <t>NARIO</t>
  </si>
  <si>
    <t>ELIZABETH ROSMERY</t>
  </si>
  <si>
    <t>000877-2026-SGSI</t>
  </si>
  <si>
    <t>006103-2026-SGIST</t>
  </si>
  <si>
    <t>002720-2026-GITE</t>
  </si>
  <si>
    <t xml:space="preserve">GALLARDO </t>
  </si>
  <si>
    <t>JACKELINE ELIZABETH</t>
  </si>
  <si>
    <t>0766</t>
  </si>
  <si>
    <t xml:space="preserve">CHAVESTA </t>
  </si>
  <si>
    <t>YOIS VICTORIA</t>
  </si>
  <si>
    <t>004445-2026-SGIST</t>
  </si>
  <si>
    <t>0767</t>
  </si>
  <si>
    <t>BARTOLO</t>
  </si>
  <si>
    <t>ESTRELLA</t>
  </si>
  <si>
    <t>JULIA ALICIA</t>
  </si>
  <si>
    <t xml:space="preserve">ANTES: ANALISTA FUNCIONAL SENIOR 2
NUEVO: ANALISTA PROGRAMADOR SENIOR 39 </t>
  </si>
  <si>
    <t>000703-2026-SGSI</t>
  </si>
  <si>
    <t>005214-2026-SGIST</t>
  </si>
  <si>
    <t>002334-2026-GITE</t>
  </si>
  <si>
    <t>MEMO 002728-2026-GITE</t>
  </si>
  <si>
    <t>LUIS ANDRE</t>
  </si>
  <si>
    <r>
      <rPr>
        <sz val="8"/>
        <color rgb="FF000000"/>
        <rFont val="Arial Narrow"/>
        <family val="2"/>
      </rPr>
      <t xml:space="preserve">ANTES: ANALISTA FUNCIONAL SENIOR 2
</t>
    </r>
    <r>
      <rPr>
        <b/>
        <sz val="8"/>
        <color rgb="FF000000"/>
        <rFont val="Arial Narrow"/>
        <family val="2"/>
      </rPr>
      <t xml:space="preserve">NUEVO:  NUEVO: ANALISTA PROGRAMADOR SENIOR 40 </t>
    </r>
  </si>
  <si>
    <t>CHINININ</t>
  </si>
  <si>
    <t>MOGOLLON</t>
  </si>
  <si>
    <t>CRISTHIAN MARCOS</t>
  </si>
  <si>
    <t>000611-2026-SGSI-GITE</t>
  </si>
  <si>
    <t>004696-2026-SGIST</t>
  </si>
  <si>
    <t>002122-2026-GITE</t>
  </si>
  <si>
    <t xml:space="preserve">DAMIANI </t>
  </si>
  <si>
    <t>FONTANA</t>
  </si>
  <si>
    <t>FRANCO ANTONIO</t>
  </si>
  <si>
    <r>
      <rPr>
        <sz val="8"/>
        <color rgb="FF000000"/>
        <rFont val="Arial Narrow"/>
        <family val="2"/>
      </rPr>
      <t xml:space="preserve">ANTES: ANALISTA FUNCIONAL SENIOR 4
</t>
    </r>
    <r>
      <rPr>
        <b/>
        <sz val="8"/>
        <color rgb="FF000000"/>
        <rFont val="Arial Narrow"/>
        <family val="2"/>
      </rPr>
      <t>NUEVO: ANALISTA FUNCIONAL SENIOR 5</t>
    </r>
  </si>
  <si>
    <t>0769</t>
  </si>
  <si>
    <t>YESENIA MARLENY</t>
  </si>
  <si>
    <t>0770</t>
  </si>
  <si>
    <t>CHIQUINTA</t>
  </si>
  <si>
    <t>43482416</t>
  </si>
  <si>
    <t>0771</t>
  </si>
  <si>
    <t>BERROSPI DE MOREYRA</t>
  </si>
  <si>
    <t>ADRIANA ESTEFANI</t>
  </si>
  <si>
    <t>70982067</t>
  </si>
  <si>
    <t>HUACHIHUACO</t>
  </si>
  <si>
    <t>ALEXANDER PABLO</t>
  </si>
  <si>
    <t>0772</t>
  </si>
  <si>
    <t>EDDY MARCEL</t>
  </si>
  <si>
    <t>0073/0773</t>
  </si>
  <si>
    <t>ROMAN</t>
  </si>
  <si>
    <t>BALLENA</t>
  </si>
  <si>
    <t>GUILLERMO JESUS</t>
  </si>
  <si>
    <t>000567-2026-SGSI</t>
  </si>
  <si>
    <t>004438-2026-SGIST</t>
  </si>
  <si>
    <t>002025-2026-GITE</t>
  </si>
  <si>
    <t>0538</t>
  </si>
  <si>
    <t>MEMORANDO 002465-2026-GITE</t>
  </si>
  <si>
    <t>ARAKAKI</t>
  </si>
  <si>
    <t>KIYAMO</t>
  </si>
  <si>
    <t>FERNANDO</t>
  </si>
  <si>
    <t>S/ 7,500.00</t>
  </si>
  <si>
    <t>0539</t>
  </si>
  <si>
    <t>ENCINAS</t>
  </si>
  <si>
    <t>ZEVALLOS</t>
  </si>
  <si>
    <t>MARIA PAULA</t>
  </si>
  <si>
    <t>S/ 8,000.00</t>
  </si>
  <si>
    <t>0540</t>
  </si>
  <si>
    <t>CHACON</t>
  </si>
  <si>
    <t>YOLANDA IVON</t>
  </si>
  <si>
    <t>0774</t>
  </si>
  <si>
    <t xml:space="preserve"> LAVERIANO</t>
  </si>
  <si>
    <t>PORTILLA</t>
  </si>
  <si>
    <t>JULIO ANTONIO</t>
  </si>
  <si>
    <t>43068680</t>
  </si>
  <si>
    <t>0775</t>
  </si>
  <si>
    <t>TATAJE</t>
  </si>
  <si>
    <t>GEORGE FRANCISCO</t>
  </si>
  <si>
    <t>0776</t>
  </si>
  <si>
    <t>ELIAS ALEJANDRO</t>
  </si>
  <si>
    <t>0778</t>
  </si>
  <si>
    <t>VILLAIZAN</t>
  </si>
  <si>
    <t>YAMAMOTO</t>
  </si>
  <si>
    <t>HANS RICHARD</t>
  </si>
  <si>
    <r>
      <t xml:space="preserve">ANTES: ANALISTA PROGRAMADOR 3
</t>
    </r>
    <r>
      <rPr>
        <b/>
        <sz val="8"/>
        <rFont val="Arial Narrow"/>
        <family val="2"/>
      </rPr>
      <t>NUEVO: ANALISTA PROGRAMADOR 19</t>
    </r>
  </si>
  <si>
    <t xml:space="preserve">20/04 SGSI-Solicitó cambio de denominación </t>
  </si>
  <si>
    <t>0567</t>
  </si>
  <si>
    <t>JOSE</t>
  </si>
  <si>
    <t>000654-2026-SGSI-GITE</t>
  </si>
  <si>
    <t>004926-2026-SGIST</t>
  </si>
  <si>
    <t>002215-2026/GITE</t>
  </si>
  <si>
    <t>CHINGUEL</t>
  </si>
  <si>
    <t>JHENINFER DEL ROCIO</t>
  </si>
  <si>
    <t>SGSI comunicó desistimiento Maza Alcalde Luisin Enrique (ref Informe 000566-2026-SGSI</t>
  </si>
  <si>
    <t>0781</t>
  </si>
  <si>
    <t>HUAYTA</t>
  </si>
  <si>
    <t>0782</t>
  </si>
  <si>
    <t>SARMIENTO</t>
  </si>
  <si>
    <t>JIM JOHEL</t>
  </si>
  <si>
    <t>43646326</t>
  </si>
  <si>
    <t>0783</t>
  </si>
  <si>
    <t>MONGE</t>
  </si>
  <si>
    <t>HENRRY DAMIAN</t>
  </si>
  <si>
    <t>72431530</t>
  </si>
  <si>
    <t>0784</t>
  </si>
  <si>
    <t>MACHUCA</t>
  </si>
  <si>
    <t>OVALLE</t>
  </si>
  <si>
    <t>CHRISTIAN LINCOLN</t>
  </si>
  <si>
    <t>40652016</t>
  </si>
  <si>
    <t>0785</t>
  </si>
  <si>
    <t>MONJA</t>
  </si>
  <si>
    <t>RAUL DANIEL</t>
  </si>
  <si>
    <t>000565-2026-SGSI</t>
  </si>
  <si>
    <t>0004460-2026-SGIST</t>
  </si>
  <si>
    <t xml:space="preserve"> 002026-2026/GITE</t>
  </si>
  <si>
    <t>0671</t>
  </si>
  <si>
    <t>MARCOS</t>
  </si>
  <si>
    <t>JORGE MISSAEL</t>
  </si>
  <si>
    <t>74207631</t>
  </si>
  <si>
    <t>000653-20256-SGSI-GITE</t>
  </si>
  <si>
    <t>004925-2026-SGIST</t>
  </si>
  <si>
    <t>002212-2026-GITE</t>
  </si>
  <si>
    <t>JHAN JEYSON</t>
  </si>
  <si>
    <t>0672</t>
  </si>
  <si>
    <t>CANALES</t>
  </si>
  <si>
    <t xml:space="preserve"> JOSE PAOLO</t>
  </si>
  <si>
    <t>0673</t>
  </si>
  <si>
    <t>0674</t>
  </si>
  <si>
    <t>VERA</t>
  </si>
  <si>
    <t>LEONARDO CAYO</t>
  </si>
  <si>
    <t>70412763</t>
  </si>
  <si>
    <t>0863</t>
  </si>
  <si>
    <t>BRYAN CARLOS</t>
  </si>
  <si>
    <t>0675</t>
  </si>
  <si>
    <t>TARAZONA</t>
  </si>
  <si>
    <t>LUISA ALESSANDRA</t>
  </si>
  <si>
    <t>0676</t>
  </si>
  <si>
    <t>KAREM GINA</t>
  </si>
  <si>
    <t>44346216</t>
  </si>
  <si>
    <t>0677</t>
  </si>
  <si>
    <t>SCANER REYFRELD</t>
  </si>
  <si>
    <t>SGSI - Correo del 08/05/26 comunica desistimiento de SANTIVAÑEZ  POVEZ WILLY - Informe 000565-2026-SGSI-Memo 2026-2026</t>
  </si>
  <si>
    <t xml:space="preserve">ANALISTA PROGRAMADOR FULL STACK (PROPUESTA DE REEMPLAZO) </t>
  </si>
  <si>
    <t>000850-2026-SGSI</t>
  </si>
  <si>
    <t>0006032-2026-SGIST</t>
  </si>
  <si>
    <t>002683-2026/GITE</t>
  </si>
  <si>
    <t>CLAVIJO</t>
  </si>
  <si>
    <t>MANUTTUPA</t>
  </si>
  <si>
    <t>ELIAQUIN</t>
  </si>
  <si>
    <t>Reemplazo de Santivañez</t>
  </si>
  <si>
    <t>0678</t>
  </si>
  <si>
    <t>CERVA</t>
  </si>
  <si>
    <t>NIEL ALDEN</t>
  </si>
  <si>
    <t>0679</t>
  </si>
  <si>
    <t>BELITO</t>
  </si>
  <si>
    <t>ALLAUCCA</t>
  </si>
  <si>
    <t xml:space="preserve">EDWER YULIX </t>
  </si>
  <si>
    <t>0680</t>
  </si>
  <si>
    <t>JAVIER ANGEL</t>
  </si>
  <si>
    <t>0861</t>
  </si>
  <si>
    <t>AGUINAGA</t>
  </si>
  <si>
    <t>MANUEL JESUS</t>
  </si>
  <si>
    <t>0681</t>
  </si>
  <si>
    <t>PAUL FLORENCIO</t>
  </si>
  <si>
    <t>0682</t>
  </si>
  <si>
    <t>0683</t>
  </si>
  <si>
    <t>VILLENA</t>
  </si>
  <si>
    <t>JORGE MIGUEL</t>
  </si>
  <si>
    <t>0684</t>
  </si>
  <si>
    <t>OLIVERA</t>
  </si>
  <si>
    <t>BELSER</t>
  </si>
  <si>
    <t>0685</t>
  </si>
  <si>
    <t>PUYEN</t>
  </si>
  <si>
    <t>0686</t>
  </si>
  <si>
    <t xml:space="preserve">ASCENCIO </t>
  </si>
  <si>
    <t>COILA</t>
  </si>
  <si>
    <t>BORIS ALEXANDER</t>
  </si>
  <si>
    <t>0687</t>
  </si>
  <si>
    <t xml:space="preserve">RACCHUMI </t>
  </si>
  <si>
    <t xml:space="preserve">LECCA </t>
  </si>
  <si>
    <t>JESUS MANUEL</t>
  </si>
  <si>
    <t>0688</t>
  </si>
  <si>
    <t>PUMAPILLO</t>
  </si>
  <si>
    <t>CCORAHUA</t>
  </si>
  <si>
    <t>0689</t>
  </si>
  <si>
    <t>ANGEL DAVID</t>
  </si>
  <si>
    <t>0690</t>
  </si>
  <si>
    <t>BERNAOLA</t>
  </si>
  <si>
    <t>GAYOSO</t>
  </si>
  <si>
    <t>CESAR RAUL</t>
  </si>
  <si>
    <t>0691</t>
  </si>
  <si>
    <t>LAUREANO</t>
  </si>
  <si>
    <t>JHEFRY JHONATAN</t>
  </si>
  <si>
    <t>0692</t>
  </si>
  <si>
    <t>COQCHI</t>
  </si>
  <si>
    <t xml:space="preserve">APAZA </t>
  </si>
  <si>
    <t>NELSON</t>
  </si>
  <si>
    <t>0860</t>
  </si>
  <si>
    <t>JESUS DANIEL</t>
  </si>
  <si>
    <t>0693</t>
  </si>
  <si>
    <t xml:space="preserve">
10700257610</t>
  </si>
  <si>
    <t>0694</t>
  </si>
  <si>
    <t>0695</t>
  </si>
  <si>
    <t>JEFFERSON LEANDRO</t>
  </si>
  <si>
    <t>0696</t>
  </si>
  <si>
    <t>VALVERDE</t>
  </si>
  <si>
    <t>GUILLERMO JUNIOR</t>
  </si>
  <si>
    <t>0697</t>
  </si>
  <si>
    <t>OYOLA</t>
  </si>
  <si>
    <t>YARLAQUE</t>
  </si>
  <si>
    <t>HUGO HAMILTON</t>
  </si>
  <si>
    <t>0859</t>
  </si>
  <si>
    <t xml:space="preserve">CORTEGANA </t>
  </si>
  <si>
    <t xml:space="preserve">MALLA </t>
  </si>
  <si>
    <t>ISMAEL LUIS</t>
  </si>
  <si>
    <t>0699</t>
  </si>
  <si>
    <t>ATAYAURI</t>
  </si>
  <si>
    <t>RONNIER</t>
  </si>
  <si>
    <t>0700</t>
  </si>
  <si>
    <t>MERLO</t>
  </si>
  <si>
    <t>CRISTIAN JONATHAN</t>
  </si>
  <si>
    <t>0701</t>
  </si>
  <si>
    <t xml:space="preserve">GIRON </t>
  </si>
  <si>
    <t xml:space="preserve">MAZA </t>
  </si>
  <si>
    <t>HOSMAN CARLOS</t>
  </si>
  <si>
    <t>CARTA RENUNCIA GIRON MAZA HOSMAN
INFORME 000737-2026/MEMORANDO  002398-2026-GITE 14/05</t>
  </si>
  <si>
    <t>005659-2026-SGIST</t>
  </si>
  <si>
    <t>002510-2026-GITE</t>
  </si>
  <si>
    <t>CRISTOBAL JAVIER</t>
  </si>
  <si>
    <t>0702</t>
  </si>
  <si>
    <t>ARRESTEGUI</t>
  </si>
  <si>
    <t>ANTHONY MAURICIO</t>
  </si>
  <si>
    <t>0703</t>
  </si>
  <si>
    <t xml:space="preserve"> VALDERRAMA </t>
  </si>
  <si>
    <t xml:space="preserve">CASTILLO </t>
  </si>
  <si>
    <t>0704</t>
  </si>
  <si>
    <t>ANGELES</t>
  </si>
  <si>
    <t>PERCY GIANMARCO</t>
  </si>
  <si>
    <t>0705</t>
  </si>
  <si>
    <t>MAX SAMIR GABRIEL</t>
  </si>
  <si>
    <t>0706</t>
  </si>
  <si>
    <t>LLAULLIPOMA</t>
  </si>
  <si>
    <t>DAVID SALOMON</t>
  </si>
  <si>
    <t>0707</t>
  </si>
  <si>
    <t>MACHACA</t>
  </si>
  <si>
    <t>CHIPANA</t>
  </si>
  <si>
    <t>DENSY</t>
  </si>
  <si>
    <t>0708</t>
  </si>
  <si>
    <t>JOSÉ ANTONIO</t>
  </si>
  <si>
    <t>0709</t>
  </si>
  <si>
    <t>ESCUDERO</t>
  </si>
  <si>
    <t>CAJAN</t>
  </si>
  <si>
    <t>IVAN FERNANDO</t>
  </si>
  <si>
    <t>0710</t>
  </si>
  <si>
    <t>OSORIO</t>
  </si>
  <si>
    <t>JONATHAN HEVERT</t>
  </si>
  <si>
    <t>0711</t>
  </si>
  <si>
    <t xml:space="preserve">ÑAHUI  </t>
  </si>
  <si>
    <t>PANLLO</t>
  </si>
  <si>
    <t>KUKING</t>
  </si>
  <si>
    <t>0712</t>
  </si>
  <si>
    <t>VALDEZ</t>
  </si>
  <si>
    <t>BRYAN LUIS</t>
  </si>
  <si>
    <t>0713</t>
  </si>
  <si>
    <t>MEJIA</t>
  </si>
  <si>
    <t>0714</t>
  </si>
  <si>
    <t>BLAS</t>
  </si>
  <si>
    <t>ANDERSON JOSE</t>
  </si>
  <si>
    <t>0715</t>
  </si>
  <si>
    <t>BERNUY</t>
  </si>
  <si>
    <t>FABIAN</t>
  </si>
  <si>
    <t>0716</t>
  </si>
  <si>
    <t>HUILLCA</t>
  </si>
  <si>
    <t>FRANK ERICK</t>
  </si>
  <si>
    <t>0717</t>
  </si>
  <si>
    <t>ALVA</t>
  </si>
  <si>
    <t>RONALD WILLIAM</t>
  </si>
  <si>
    <t>0718</t>
  </si>
  <si>
    <t>NUÑEZ</t>
  </si>
  <si>
    <t>MARINOVICH</t>
  </si>
  <si>
    <t>NESTOR MANUEL</t>
  </si>
  <si>
    <t xml:space="preserve">ANTES: ANALISTA DE DATOS 4
NUEVO: ANALISTA PROGRAMADOR 23 </t>
  </si>
  <si>
    <t>000876-2026-SGSI</t>
  </si>
  <si>
    <t>006092-2026-SGIST</t>
  </si>
  <si>
    <t>002718-2026/GITE</t>
  </si>
  <si>
    <t xml:space="preserve">FERNANDEZ </t>
  </si>
  <si>
    <t xml:space="preserve">VARGAS </t>
  </si>
  <si>
    <t>HEBERT PAUL</t>
  </si>
  <si>
    <t>SGSI - Correo 29/05/2026 - comunica desitimiento de  MEJIA SAMMAME ROLANDO
Requerido Informe 000784-SGSI y Memorando 002484-GITE</t>
  </si>
  <si>
    <r>
      <t xml:space="preserve">ANTES: ANALISTA PROGRAMADOR SENIOR 23
</t>
    </r>
    <r>
      <rPr>
        <b/>
        <sz val="8"/>
        <rFont val="Arial Narrow"/>
        <family val="2"/>
      </rPr>
      <t>NUEVO: ANALISTA PROGRAMADOR SENIOR 33</t>
    </r>
  </si>
  <si>
    <t>0568</t>
  </si>
  <si>
    <t>CHOZO</t>
  </si>
  <si>
    <t>SAAVEDRA</t>
  </si>
  <si>
    <t>ERIKA MARGOT</t>
  </si>
  <si>
    <t>0719</t>
  </si>
  <si>
    <t>CHAUPEZ</t>
  </si>
  <si>
    <t xml:space="preserve">SOTO </t>
  </si>
  <si>
    <t>JEFFERSON PAUL</t>
  </si>
  <si>
    <t>0720</t>
  </si>
  <si>
    <t>ATO</t>
  </si>
  <si>
    <t>EXXEL POOL</t>
  </si>
  <si>
    <t>0721</t>
  </si>
  <si>
    <t>CCORIMANYA</t>
  </si>
  <si>
    <t>LEONARDO ANDRES</t>
  </si>
  <si>
    <t>0722</t>
  </si>
  <si>
    <t>JHONNY</t>
  </si>
  <si>
    <t>0723</t>
  </si>
  <si>
    <t>AUGUSTO</t>
  </si>
  <si>
    <t>KENNY ANTONIO</t>
  </si>
  <si>
    <t>0858</t>
  </si>
  <si>
    <t>DEL CASTILLO</t>
  </si>
  <si>
    <t>PUMAHUALLCA</t>
  </si>
  <si>
    <t>VICTOR ANDRES</t>
  </si>
  <si>
    <t>0725</t>
  </si>
  <si>
    <t>GILT</t>
  </si>
  <si>
    <t>NEIL ADOLFO</t>
  </si>
  <si>
    <t>000608-2026-SGSI-GITE</t>
  </si>
  <si>
    <t>004671-2026-SGIST</t>
  </si>
  <si>
    <t>002119-2026-GITE</t>
  </si>
  <si>
    <t>ALEXANDER RUIZ</t>
  </si>
  <si>
    <t>0516</t>
  </si>
  <si>
    <t>ROSAS</t>
  </si>
  <si>
    <t>SEBASTIAN</t>
  </si>
  <si>
    <t>0515</t>
  </si>
  <si>
    <t>MONTES</t>
  </si>
  <si>
    <t>0517</t>
  </si>
  <si>
    <t>GIOL</t>
  </si>
  <si>
    <t>SALVADOR BRUNO</t>
  </si>
  <si>
    <r>
      <rPr>
        <sz val="8"/>
        <color rgb="FF000000"/>
        <rFont val="Arial Narrow"/>
        <family val="2"/>
      </rPr>
      <t xml:space="preserve">ANTES: ANALISTA UX/UI 3
</t>
    </r>
    <r>
      <rPr>
        <b/>
        <sz val="8"/>
        <color rgb="FF000000"/>
        <rFont val="Arial Narrow"/>
        <family val="2"/>
      </rPr>
      <t>NUEVO: ANALISTA PROGRAMADOR 20</t>
    </r>
  </si>
  <si>
    <t>000921-2026-SGSI/GITE</t>
  </si>
  <si>
    <t>006232-2026-SGIST/GITE</t>
  </si>
  <si>
    <t>002795-2026/GITE</t>
  </si>
  <si>
    <t>BUSTOS</t>
  </si>
  <si>
    <t>FERNANDO PAUL</t>
  </si>
  <si>
    <t>0518</t>
  </si>
  <si>
    <t xml:space="preserve">SALAZAR </t>
  </si>
  <si>
    <t>RUITOR EDUARDO</t>
  </si>
  <si>
    <r>
      <rPr>
        <sz val="8"/>
        <color rgb="FF7030A0"/>
        <rFont val="Arial Narrow"/>
        <family val="2"/>
      </rPr>
      <t xml:space="preserve">ANTES: DISEÑADOR MAQUETADOR 1
ANTES: ANALISTA DE PRUEBAS DE DESARROLLO DE SOFTWARE SENIOR 2
</t>
    </r>
    <r>
      <rPr>
        <b/>
        <sz val="8"/>
        <color rgb="FF7030A0"/>
        <rFont val="Arial Narrow"/>
        <family val="2"/>
      </rPr>
      <t xml:space="preserve">NUEVO: ANALISTA DE PRUEBAS FUNCIONAL 1 </t>
    </r>
  </si>
  <si>
    <t>000839-2026-SGSI/GITE</t>
  </si>
  <si>
    <t>005834-2026-SGIST/GITE</t>
  </si>
  <si>
    <t>002601-2026/GITE</t>
  </si>
  <si>
    <t>IPARRAGUIRRE</t>
  </si>
  <si>
    <t>MIRTHA LUCY</t>
  </si>
  <si>
    <r>
      <rPr>
        <sz val="8"/>
        <color rgb="FF000000"/>
        <rFont val="Arial Narrow"/>
        <family val="2"/>
      </rPr>
      <t xml:space="preserve">ANTES: DISEÑADOR MAQUETADOR 2
</t>
    </r>
    <r>
      <rPr>
        <b/>
        <sz val="8"/>
        <color rgb="FF000000"/>
        <rFont val="Arial Narrow"/>
        <family val="2"/>
      </rPr>
      <t>NUEVO: ANALISTA DE PRUEBAS DE DESARROLLO DE SOFTWARE SENIOR 3</t>
    </r>
  </si>
  <si>
    <t xml:space="preserve">ARELLANOS </t>
  </si>
  <si>
    <t xml:space="preserve">ZAVALETA </t>
  </si>
  <si>
    <t>RONNY MAXIEL</t>
  </si>
  <si>
    <t>0519</t>
  </si>
  <si>
    <t>PEREA</t>
  </si>
  <si>
    <t>JOEL STEVEEN</t>
  </si>
  <si>
    <t>0520</t>
  </si>
  <si>
    <t>CAUSSO</t>
  </si>
  <si>
    <t>CLAUDIA LARISSA</t>
  </si>
  <si>
    <t>0510</t>
  </si>
  <si>
    <t xml:space="preserve">CANCHA </t>
  </si>
  <si>
    <t xml:space="preserve">YAURI </t>
  </si>
  <si>
    <t>JOHAN ANTONIO</t>
  </si>
  <si>
    <t>0511</t>
  </si>
  <si>
    <t>AMAYO</t>
  </si>
  <si>
    <t>CRISTIAN GIOVANNI</t>
  </si>
  <si>
    <t>0512</t>
  </si>
  <si>
    <t>ARIZOLA</t>
  </si>
  <si>
    <t>YANAC</t>
  </si>
  <si>
    <t>0513</t>
  </si>
  <si>
    <t>KEVIN ANDRES</t>
  </si>
  <si>
    <t>0726</t>
  </si>
  <si>
    <t>WENDY VALERIA</t>
  </si>
  <si>
    <t>0729</t>
  </si>
  <si>
    <t>ESPICHAN</t>
  </si>
  <si>
    <t>CESAR DAVID</t>
  </si>
  <si>
    <t>0730</t>
  </si>
  <si>
    <t>ADRIANO</t>
  </si>
  <si>
    <t>VALENTIN</t>
  </si>
  <si>
    <t>MAGDELIZ DIANA</t>
  </si>
  <si>
    <t>0728</t>
  </si>
  <si>
    <t>HINOSTROZA</t>
  </si>
  <si>
    <t>MICHELL DIANA</t>
  </si>
  <si>
    <t>72307148</t>
  </si>
  <si>
    <t>0727</t>
  </si>
  <si>
    <t>0731</t>
  </si>
  <si>
    <t>CARREAZO</t>
  </si>
  <si>
    <t>PARIASCA</t>
  </si>
  <si>
    <t>EVILA ELIZABETH</t>
  </si>
  <si>
    <t xml:space="preserve"> MATOS</t>
  </si>
  <si>
    <t xml:space="preserve"> LIZ NATALIA</t>
  </si>
  <si>
    <t>´08144764</t>
  </si>
  <si>
    <t>0542</t>
  </si>
  <si>
    <t>RETAMOZO</t>
  </si>
  <si>
    <t>CLARA CARMEN</t>
  </si>
  <si>
    <t>0543</t>
  </si>
  <si>
    <t>OSCANOA</t>
  </si>
  <si>
    <t>LUISA</t>
  </si>
  <si>
    <t>00726-2026-SGSI/GITE</t>
  </si>
  <si>
    <t>005274-2026-SGIST/GITE</t>
  </si>
  <si>
    <t>002376-2026/GITE</t>
  </si>
  <si>
    <t>SIRLOPU</t>
  </si>
  <si>
    <t>CUMPA</t>
  </si>
  <si>
    <t>0541</t>
  </si>
  <si>
    <t>CHUQUIVAL</t>
  </si>
  <si>
    <t>REGINA</t>
  </si>
  <si>
    <t>00851-2026-SGSI-2026</t>
  </si>
  <si>
    <t>005947-2026-SGIST</t>
  </si>
  <si>
    <t>002639-2026/GITE</t>
  </si>
  <si>
    <t>0733</t>
  </si>
  <si>
    <t>CENTURION</t>
  </si>
  <si>
    <t>BARDALES</t>
  </si>
  <si>
    <t>CARLOMAN ALBERTO</t>
  </si>
  <si>
    <t>0514</t>
  </si>
  <si>
    <t>0536</t>
  </si>
  <si>
    <t>PINGO</t>
  </si>
  <si>
    <t>CARLOS AUGUSTO</t>
  </si>
  <si>
    <r>
      <rPr>
        <b/>
        <sz val="8"/>
        <color rgb="FF000000"/>
        <rFont val="Arial Narrow"/>
        <family val="2"/>
      </rPr>
      <t>ANTES: ESPECIALISTA EN BASE DE DATOS
NUEVO: ESPECIALISTA JURÍDICO DE SISTEMAS DE INFORMACIÓN</t>
    </r>
  </si>
  <si>
    <t>RIVERO</t>
  </si>
  <si>
    <t>MELENDEZ</t>
  </si>
  <si>
    <t>RITA</t>
  </si>
  <si>
    <t>0537</t>
  </si>
  <si>
    <t>SORIA</t>
  </si>
  <si>
    <t>EMILIO OSWALDO</t>
  </si>
  <si>
    <t>0521</t>
  </si>
  <si>
    <t>ARELLANO</t>
  </si>
  <si>
    <t>ELLEN SILVANA</t>
  </si>
  <si>
    <t>0523</t>
  </si>
  <si>
    <t>VERONA</t>
  </si>
  <si>
    <t>ANA CECILIA</t>
  </si>
  <si>
    <t>0524</t>
  </si>
  <si>
    <t>DIEGO MIGUEL</t>
  </si>
  <si>
    <t>0525</t>
  </si>
  <si>
    <t>BENANCIO</t>
  </si>
  <si>
    <t>CRISTIAN POOL</t>
  </si>
  <si>
    <t>0526</t>
  </si>
  <si>
    <t>TINEO</t>
  </si>
  <si>
    <t>PIERRE ANTHONY</t>
  </si>
  <si>
    <t>0527</t>
  </si>
  <si>
    <t>MARCELO</t>
  </si>
  <si>
    <t>SHARON NATALY</t>
  </si>
  <si>
    <t>0528</t>
  </si>
  <si>
    <t>JUDYTH FIORELLA</t>
  </si>
  <si>
    <t>0529</t>
  </si>
  <si>
    <t>JOHNN ANDRE</t>
  </si>
  <si>
    <t>0530</t>
  </si>
  <si>
    <t>MEREGILDO</t>
  </si>
  <si>
    <t>FANNY PATRICIA</t>
  </si>
  <si>
    <t>0531</t>
  </si>
  <si>
    <t>LAURA INES</t>
  </si>
  <si>
    <t>0533</t>
  </si>
  <si>
    <t>MAYTA</t>
  </si>
  <si>
    <t>PERCCA</t>
  </si>
  <si>
    <t>MARIA YSABEL</t>
  </si>
  <si>
    <t>0534</t>
  </si>
  <si>
    <t xml:space="preserve">ROMANI </t>
  </si>
  <si>
    <t>LUJAN</t>
  </si>
  <si>
    <t>MELANIE MARICIELO</t>
  </si>
  <si>
    <t>0532</t>
  </si>
  <si>
    <t xml:space="preserve">VALENCIA </t>
  </si>
  <si>
    <t xml:space="preserve">MEZA </t>
  </si>
  <si>
    <t>ANTONY JOSEPH</t>
  </si>
  <si>
    <t>0535</t>
  </si>
  <si>
    <t>VELASQUEZ</t>
  </si>
  <si>
    <t>CUCI RAMOS</t>
  </si>
  <si>
    <t>ANDERSSON CESAR D'JHOSEP</t>
  </si>
  <si>
    <t xml:space="preserve"> 002026-2026-GITE</t>
  </si>
  <si>
    <t>0724</t>
  </si>
  <si>
    <t>TANG</t>
  </si>
  <si>
    <t>CARLOS SAMIR</t>
  </si>
  <si>
    <t>0546</t>
  </si>
  <si>
    <t>LLATAS</t>
  </si>
  <si>
    <t>MALDONADO DE SANCHEZ</t>
  </si>
  <si>
    <t>KATHYA MERCEDES</t>
  </si>
  <si>
    <t>0547</t>
  </si>
  <si>
    <t>MALDONADO</t>
  </si>
  <si>
    <t>OCAÑA</t>
  </si>
  <si>
    <t>ROCIO ISABEL</t>
  </si>
  <si>
    <t>0548</t>
  </si>
  <si>
    <t xml:space="preserve">AGUILAR </t>
  </si>
  <si>
    <t xml:space="preserve">MUÑANTE </t>
  </si>
  <si>
    <t>ROSITA NINJIO</t>
  </si>
  <si>
    <t>0549</t>
  </si>
  <si>
    <t>YERREN</t>
  </si>
  <si>
    <t>WILMER ALEXANDER</t>
  </si>
  <si>
    <t>0550</t>
  </si>
  <si>
    <t>BASTIDAS</t>
  </si>
  <si>
    <t xml:space="preserve">RODRIGUEZ </t>
  </si>
  <si>
    <t>EDITH MARY</t>
  </si>
  <si>
    <t>BILLY ELOY</t>
  </si>
  <si>
    <t>SGSI - DESISTIÓ  JORGE MACHUCA ARTURA CON CORREO DE FECHA 30ABR2026</t>
  </si>
  <si>
    <t>0551</t>
  </si>
  <si>
    <t>BARBADILLO</t>
  </si>
  <si>
    <t>CHRISTIAN EDILBERTO</t>
  </si>
  <si>
    <t>0552</t>
  </si>
  <si>
    <t>BALVIN</t>
  </si>
  <si>
    <t>CAMARENA</t>
  </si>
  <si>
    <t>FIORELLA PATRICIA</t>
  </si>
  <si>
    <t>0553</t>
  </si>
  <si>
    <t>CARREÑO</t>
  </si>
  <si>
    <t>SEMINARIO</t>
  </si>
  <si>
    <t>VICTOR RAUL</t>
  </si>
  <si>
    <t>0554</t>
  </si>
  <si>
    <t xml:space="preserve">GARCIA </t>
  </si>
  <si>
    <t>SANDRA</t>
  </si>
  <si>
    <t>0555</t>
  </si>
  <si>
    <t>MARINA</t>
  </si>
  <si>
    <t>0556</t>
  </si>
  <si>
    <t>JIMMY ALEXANDER</t>
  </si>
  <si>
    <t>0557</t>
  </si>
  <si>
    <t xml:space="preserve">CASIMIRO </t>
  </si>
  <si>
    <t xml:space="preserve">DIAZ </t>
  </si>
  <si>
    <t>MAYRA MELISSA</t>
  </si>
  <si>
    <t>0565</t>
  </si>
  <si>
    <t>FIORELLA JARDET</t>
  </si>
  <si>
    <t>0558</t>
  </si>
  <si>
    <t>FRANCO</t>
  </si>
  <si>
    <t>MARIA DEL CARMEN</t>
  </si>
  <si>
    <t>0559</t>
  </si>
  <si>
    <t xml:space="preserve">ARRIOLA </t>
  </si>
  <si>
    <t>OLIHUA</t>
  </si>
  <si>
    <t>IVAN EDUARDO</t>
  </si>
  <si>
    <t>0560</t>
  </si>
  <si>
    <t>CIPRA</t>
  </si>
  <si>
    <t xml:space="preserve">CAQUI </t>
  </si>
  <si>
    <t>MIRIAN MILAGROS</t>
  </si>
  <si>
    <t>0561</t>
  </si>
  <si>
    <t>ZAVALETA</t>
  </si>
  <si>
    <t>PEDRO LUIS</t>
  </si>
  <si>
    <t>0562</t>
  </si>
  <si>
    <t>GARIBAY</t>
  </si>
  <si>
    <t xml:space="preserve">PEDREGAL </t>
  </si>
  <si>
    <t>CINDY NILA</t>
  </si>
  <si>
    <t>0563</t>
  </si>
  <si>
    <t>DEL RIO</t>
  </si>
  <si>
    <t xml:space="preserve"> IRENE ARACELI</t>
  </si>
  <si>
    <t>0564</t>
  </si>
  <si>
    <t>CARRANZA</t>
  </si>
  <si>
    <t>ANTON</t>
  </si>
  <si>
    <t>GIANCARLOS WALDIR</t>
  </si>
  <si>
    <t xml:space="preserve">ANALISTA DE DATOS 1
</t>
  </si>
  <si>
    <r>
      <rPr>
        <sz val="8"/>
        <color rgb="FF000000"/>
        <rFont val="Arial Narrow"/>
        <family val="2"/>
      </rPr>
      <t xml:space="preserve">ANTES: ANALISTA DE DATOS 1
</t>
    </r>
    <r>
      <rPr>
        <b/>
        <sz val="8"/>
        <color rgb="FF000000"/>
        <rFont val="Arial Narrow"/>
        <family val="2"/>
      </rPr>
      <t>NUEVO: ANALISTA DE CALIDAD DE SISTEMAS 3</t>
    </r>
  </si>
  <si>
    <t xml:space="preserve">BAYLON </t>
  </si>
  <si>
    <t xml:space="preserve">ULLOA </t>
  </si>
  <si>
    <t>EDGAR HERNAN</t>
  </si>
  <si>
    <t>0749</t>
  </si>
  <si>
    <t xml:space="preserve">MEMORANDO 002467-2026-GITE </t>
  </si>
  <si>
    <t>HORNA</t>
  </si>
  <si>
    <t>LUZ AMARILIS</t>
  </si>
  <si>
    <t>0768</t>
  </si>
  <si>
    <t>CHACARA</t>
  </si>
  <si>
    <t>BRYAN</t>
  </si>
  <si>
    <t>JANNET KATHERINE</t>
  </si>
  <si>
    <t>SGSI - Correo 29/05/2026 - comunica desitimiento de  RODRIGUEZ CHACARA BRYAN Informe 000744-SGSI y Memorando 002409-GITE</t>
  </si>
  <si>
    <t>0777</t>
  </si>
  <si>
    <t>MALLQUI</t>
  </si>
  <si>
    <t>PARRA</t>
  </si>
  <si>
    <t>FRANCO ERNESTO</t>
  </si>
  <si>
    <t>0779</t>
  </si>
  <si>
    <t xml:space="preserve">ELGUERA </t>
  </si>
  <si>
    <t xml:space="preserve">MACHA </t>
  </si>
  <si>
    <t>JOSE DAVID</t>
  </si>
  <si>
    <t>0698</t>
  </si>
  <si>
    <t>ESCALANTE</t>
  </si>
  <si>
    <t>BAÑARES</t>
  </si>
  <si>
    <t>0509</t>
  </si>
  <si>
    <t>TAIPE</t>
  </si>
  <si>
    <t>ERICK RAFAEL CAMILO</t>
  </si>
  <si>
    <t>0522</t>
  </si>
  <si>
    <t>SAUÑE</t>
  </si>
  <si>
    <t>GUISELLA ANTONIA</t>
  </si>
  <si>
    <t>0545</t>
  </si>
  <si>
    <t>MONZON</t>
  </si>
  <si>
    <t>MILI ROSARIO</t>
  </si>
  <si>
    <t>0544</t>
  </si>
  <si>
    <t>PETER WILLIAM</t>
  </si>
  <si>
    <t>0566</t>
  </si>
  <si>
    <t>CABALLERO</t>
  </si>
  <si>
    <t>JORGE</t>
  </si>
  <si>
    <t>004384-2026-SGIST</t>
  </si>
  <si>
    <t>002001-2026-GITE</t>
  </si>
  <si>
    <t>0504</t>
  </si>
  <si>
    <t>MEMORANDO 002426-2026-GITE</t>
  </si>
  <si>
    <t>MEMORANDO 002931-2026-GITE</t>
  </si>
  <si>
    <t>HJALMAR NERYGHT YOGHT</t>
  </si>
  <si>
    <t>0508</t>
  </si>
  <si>
    <t>CHIARELLA</t>
  </si>
  <si>
    <t>GEOVANNI ALBERTO</t>
  </si>
  <si>
    <t>0505</t>
  </si>
  <si>
    <t>COTRINA</t>
  </si>
  <si>
    <t>LIDER JEN</t>
  </si>
  <si>
    <t>0501</t>
  </si>
  <si>
    <t>CUEVA</t>
  </si>
  <si>
    <t>AGUIRRE</t>
  </si>
  <si>
    <t>ROBERTO ANGEL</t>
  </si>
  <si>
    <t>0497</t>
  </si>
  <si>
    <t>2. SOLICITUD N° 098-SISPLAN
1. SOLICITUD N° 087</t>
  </si>
  <si>
    <t>15/05/2026
12/05/2026</t>
  </si>
  <si>
    <t>1. 000945-2026/GPP
2. 000907-2026/GPP</t>
  </si>
  <si>
    <t>2. SE PRIORIZO SALDOS DE FORMATOS CLAVES Y DEL ASISTENTE CLAVES NUMERADAS PARA NUEVO LS SOLICITADO POR LA SGGDI
1. SE PRIORIZO SALDOS DEL ASISTENTE DE CLAVES PARA NUEVO CARGO SOLICITADO POR LA GITE ASISTENTE DE RECURSOS INFORMATICOS</t>
  </si>
  <si>
    <t>0503</t>
  </si>
  <si>
    <t>PITOT</t>
  </si>
  <si>
    <t>0502</t>
  </si>
  <si>
    <t>AGÜERO</t>
  </si>
  <si>
    <t>VILLEGAS</t>
  </si>
  <si>
    <t>0506</t>
  </si>
  <si>
    <t>BARRIONUEVO</t>
  </si>
  <si>
    <t>0499</t>
  </si>
  <si>
    <t>SUSY JAQUELINE</t>
  </si>
  <si>
    <t>0498</t>
  </si>
  <si>
    <t>SALVADOR</t>
  </si>
  <si>
    <t>MENESES</t>
  </si>
  <si>
    <t>CHRISTIAN ARMANDO</t>
  </si>
  <si>
    <t>0500</t>
  </si>
  <si>
    <t>GUERRA</t>
  </si>
  <si>
    <t>GOSSIN</t>
  </si>
  <si>
    <t>MARIANNE CARLA</t>
  </si>
  <si>
    <t>0507</t>
  </si>
  <si>
    <t xml:space="preserve">VELASQUEZ </t>
  </si>
  <si>
    <t>YSUIZA</t>
  </si>
  <si>
    <t xml:space="preserve">ANTES:ANALISTA DE CONTROL DE CALIDAD DE PROYECTOS DE INNOVACION
NUEVO: ANALISTA DE CONTROL DE CALIDAD DE PROYECTOS DE INNOVACION
</t>
  </si>
  <si>
    <t>0853</t>
  </si>
  <si>
    <t>MENDOCILLA</t>
  </si>
  <si>
    <t>_x001C_IVETTE SHIRLEY</t>
  </si>
  <si>
    <t>0857</t>
  </si>
  <si>
    <t>ABIGAIL ARELI</t>
  </si>
  <si>
    <r>
      <t xml:space="preserve">ANTES: ANALISTA DE CONTROL DE CALIDAD DE PROYECTOS DE INNOVACION
</t>
    </r>
    <r>
      <rPr>
        <b/>
        <sz val="8"/>
        <rFont val="Arial Narrow"/>
        <family val="2"/>
      </rPr>
      <t>NUEVO: ANALISTA PROGRAMADOR FULL STACK DE PROYECTOS DE INNOVACIÓN</t>
    </r>
  </si>
  <si>
    <t>TOLENTINO</t>
  </si>
  <si>
    <t>MENDIVIL</t>
  </si>
  <si>
    <t>ANGEL ALBERTO</t>
  </si>
  <si>
    <t>QUEREVALU</t>
  </si>
  <si>
    <t>PURIZACA</t>
  </si>
  <si>
    <t>IRVIN CHARLY</t>
  </si>
  <si>
    <t>JORGE ALONSO</t>
  </si>
  <si>
    <t xml:space="preserve">HUAYANAY </t>
  </si>
  <si>
    <t>LINN KERRY</t>
  </si>
  <si>
    <t>YACTAYO</t>
  </si>
  <si>
    <t>SULLER</t>
  </si>
  <si>
    <t>ADRIANA ROCIO</t>
  </si>
  <si>
    <t>ADMINISTRADOR DE PROYECTOS Y GESTOR DE RIESGOS</t>
  </si>
  <si>
    <t>SOLICITUD N° 026</t>
  </si>
  <si>
    <t>000786-2026/GPP</t>
  </si>
  <si>
    <t>SE HABILITO PRESUPUESTO PARA EL CARGO POR LS DEL ADMINISTRADOR DE PROYECTOS Y GESTOR DE RIESGOS DE LA GITE</t>
  </si>
  <si>
    <t>GUILLERMO JAZMANI</t>
  </si>
  <si>
    <t>ASISTENTE EN RECURSOS INFORMATICOS</t>
  </si>
  <si>
    <t>SOLICITUD N° 087</t>
  </si>
  <si>
    <t>000907-2026/GPP</t>
  </si>
  <si>
    <t>MODIFICACION PRESUPUESTARIA PARA LA CONTRATACION DE 1 LOCADOR DE SERVICIO DE LA GITE</t>
  </si>
  <si>
    <t>005273-2026-SGIST/GITE</t>
  </si>
  <si>
    <t>002385-2026-GITE</t>
  </si>
  <si>
    <t>MEMORANDO 002489-2026-GITE</t>
  </si>
  <si>
    <t>REBECA FERNANDA</t>
  </si>
  <si>
    <t xml:space="preserve"> 14/05/2026</t>
  </si>
  <si>
    <t>OPERADOR DE CONTROL DE CALIDAD DE SOFTWARE</t>
  </si>
  <si>
    <t>SGGDI SOLICITO MODIFICACION DEL ITEM FORMATOS CLAVES Y DEL ASISTENTE CLAVES NUMERADAS PARA NUEVO CARGO DE LS OPERADOR</t>
  </si>
  <si>
    <t>000601-2026-SGGDI-GITE</t>
  </si>
  <si>
    <t>005589-2026-SGSIT-GITE</t>
  </si>
  <si>
    <t>002672-2026-GITE</t>
  </si>
  <si>
    <t>ZARATE</t>
  </si>
  <si>
    <t>VICTORIA</t>
  </si>
  <si>
    <t>PIERO</t>
  </si>
  <si>
    <t>SGGDI: CORREO 28/05/2026  DE DESESTIMIENTO CASTILLO CAJA OSCAR ENRIQUE REF. INFORME 000571-2026-SGGDI-GITE</t>
  </si>
  <si>
    <t>000571-2026-SGGDI-GITE</t>
  </si>
  <si>
    <t>002494-2026-GITE</t>
  </si>
  <si>
    <t>MAZA</t>
  </si>
  <si>
    <t>FLOR MARIA</t>
  </si>
  <si>
    <t>NAJARRO</t>
  </si>
  <si>
    <t>ASTRID LESLY</t>
  </si>
  <si>
    <t>PRIMO</t>
  </si>
  <si>
    <t>ANDRES ENRIQUE</t>
  </si>
  <si>
    <t xml:space="preserve">                                                                      </t>
  </si>
  <si>
    <t>Etiquetas de columna</t>
  </si>
  <si>
    <t>Total Suma de TOTAL PIM</t>
  </si>
  <si>
    <t>Total Suma de SALDOS DE PROGRAMACION /EJECUCION</t>
  </si>
  <si>
    <t>Etiquetas de fila</t>
  </si>
  <si>
    <t>Suma de TOTAL PIM</t>
  </si>
  <si>
    <t>Suma de SALDOS DE PROGRAMACION /EJECUCION</t>
  </si>
  <si>
    <t>TOTAL PRESUPUESTO PIA</t>
  </si>
  <si>
    <t>TOTAL PRESUPUESTO MODIFICADO</t>
  </si>
  <si>
    <t>MONTO TOTAL REMITIDO A GRH</t>
  </si>
  <si>
    <t>SALDOS DE CERTIFICACION/EJECUCION</t>
  </si>
  <si>
    <t>REGISTRO KARDEX DE MODIFICACIONES AL PRESUPUESTO CN EG 2026</t>
  </si>
  <si>
    <t>N°</t>
  </si>
  <si>
    <t>PRESUPUESTO INICIAL BIENES Y SERVICIOS</t>
  </si>
  <si>
    <t>FECHA</t>
  </si>
  <si>
    <t>APROBACION DE GPP</t>
  </si>
  <si>
    <t>MONTO S/</t>
  </si>
  <si>
    <t>PRESUPUESTO INICIAL LOCADORES</t>
  </si>
  <si>
    <t>MEMORANDO DE GITE / NUMERO DE SOLICITUD</t>
  </si>
  <si>
    <t>PRESUPUESTO INICIAL PRORAMADO</t>
  </si>
  <si>
    <t>habilitacion presupuestal para la adquisicion de formatos claves de seguridad</t>
  </si>
  <si>
    <t>solicitud n° 001</t>
  </si>
  <si>
    <t>000763-2026/GPP</t>
  </si>
  <si>
    <t>GITE solicito habilitacion para los formatos claves del despacho de GITE</t>
  </si>
  <si>
    <t>HABILITACION PRESUPUESTAL PARA EL CARGO DE LS SOLICITADO POR LA GITE</t>
  </si>
  <si>
    <t>SE HABILITO PRESUPUESTO PARA EL CARGO DE LS DE LA GITE  - ADMINISTRADOR DE
PROYECTOS Y
GESTOR DE RIESGOS</t>
  </si>
  <si>
    <t>Modifiacion presupuestal para el item no programado de Alquiler de equipo de grabacion</t>
  </si>
  <si>
    <t>solicitud 058-sisplan</t>
  </si>
  <si>
    <t>854-2026-GPP</t>
  </si>
  <si>
    <t>SGIST solicito modificacion del servicio de alquiler de servicio para habilitar al nuevo item de alquiler de equipo de grabacion</t>
  </si>
  <si>
    <t>HABILITACION PRESUPUSTAL PARA EL CARGO DE LA SGSI</t>
  </si>
  <si>
    <t>43 SISPLAN</t>
  </si>
  <si>
    <t>000837-2026/GPP</t>
  </si>
  <si>
    <t>GPP APROBO HABILITACION PRESUPUESTAL PARA EL CARGO DE LS DE LA SGSI</t>
  </si>
  <si>
    <t>HABILITACION PRESUPUESTAL PARA LA CONTRATACION DEL SERVICIO DE ENLACE DE TELECOMUNICACIONES</t>
  </si>
  <si>
    <t>093-SISPLAN</t>
  </si>
  <si>
    <t>000933-2026/GPP</t>
  </si>
  <si>
    <t>GPP APROBO HABILITACION PARA EL SERVICIO DE TELCO POR UN MONTO MAYOR DEBIDO A LA ESTRUCTURA DE COSTOS REMITIDA POR EL PROVEEDOR</t>
  </si>
  <si>
    <t>MODIFICACION PRESUPUESTAL DEL ITEM FORMATOS CLAVES Y LS ASISTENTE CLAVES NUMERADAS PARA NUEVO LS SOLICITADO POR LA SGGDI</t>
  </si>
  <si>
    <t>098-SISPLAN</t>
  </si>
  <si>
    <t>SE PRIORIZO CARGO DE ASISTENTE CLAVES NUMERADAS</t>
  </si>
  <si>
    <t>SE HABILITO NUEVO CARGO DE LS PARA LA SGGDI</t>
  </si>
  <si>
    <t>SE PRIORIZO SALDOS DE : FORMATOS CLAVES Y ASISTENTE DE CLAVES NUMERADAS</t>
  </si>
  <si>
    <t>PRESUPUESTO INICIAL PRORAMADO 19/05/2026</t>
  </si>
  <si>
    <t>MODIFICACION PRESUPUESTAL DE LA SGIST PRIORIZADO OPERADOR TECNICO TI 2 PARA 2 NUEVOS CARGOS DE LS</t>
  </si>
  <si>
    <t>161-SISPLAN</t>
  </si>
  <si>
    <t>001013-2026/GPP</t>
  </si>
  <si>
    <t>HABILITACION PRESUPUESTAL PARA EL ADICIONAL DEL SERVICIO DE SHALI</t>
  </si>
  <si>
    <t>109-2026-SISPLAN</t>
  </si>
  <si>
    <t>935-2026-GPP/ONPE</t>
  </si>
  <si>
    <t>SE SOLICITO HABILITACION DE SHALI POR EL MONTO DE S/ 43,456,744</t>
  </si>
  <si>
    <t>PRESUPUESTO INICIAL PRORAMADO 29/05/2026</t>
  </si>
  <si>
    <t>20/05/226</t>
  </si>
  <si>
    <t>SE REALIZO HABILITACION PRESUPUESTAL PARA EL ADICIONAL DEL SERVICIO DE WEB HOSTING</t>
  </si>
  <si>
    <t>PRESUPUESTO INICIAL PRORAMADO 20/05/2026</t>
  </si>
  <si>
    <t>001142-2026/GPP</t>
  </si>
  <si>
    <t>GPP APROBO HABILITACION PARA LA PRESTACION DE SHALI POR EL PLAZO DEL 20/06/2026 AL 30/06/2026</t>
  </si>
  <si>
    <t>PRESUPUESTO INICIAL MODIFICADO AL 17/06/2026</t>
  </si>
  <si>
    <t>238-SISPLAN</t>
  </si>
  <si>
    <t>01152-2026/GPP</t>
  </si>
  <si>
    <t xml:space="preserve">GITE </t>
  </si>
  <si>
    <t>SEGUIMIENTO - REQUERIMIENTO DE CONTRATACION DE LOCADORES DE SERVICIOS - EG 2026 (SEP)</t>
  </si>
  <si>
    <t>GERENCIA/
SUBGERENCIAS</t>
  </si>
  <si>
    <t>ACTIVIDAD OPERATIVA</t>
  </si>
  <si>
    <t>PRESUPUESTO INICIAL ACTUALIZADO (PIA)</t>
  </si>
  <si>
    <t>LS PPTO INICIAL
 MAYO - JUNIO</t>
  </si>
  <si>
    <t>TOTAL PRESUPUESTO INICIAL ACTUALIZADO (PIA)</t>
  </si>
  <si>
    <t>HABILITACION Y MODIFICACION PRESUPUESTAL
APROBADA POR GPP</t>
  </si>
  <si>
    <t>HAB PPTAL 
LS PPTO INICIAL
 MAYO - JUNIO</t>
  </si>
  <si>
    <t>PRESUPUESTO INICIAL MODIFICADO MAYO - JUNIO</t>
  </si>
  <si>
    <t xml:space="preserve">TOTAL LS PROGRAMADO Y NO PROGRAMADO </t>
  </si>
  <si>
    <t xml:space="preserve">LS REMITIDO A GRH
</t>
  </si>
  <si>
    <t>PROGRAMADO + NO PROGRAMADO</t>
  </si>
  <si>
    <t>MONTO TOTAL REQURIMIENTO/ EJECUTADO LS
S /</t>
  </si>
  <si>
    <t>SALDO DE REQUERIDO / SALDO DE LA CERTIICACION</t>
  </si>
  <si>
    <t>TOTAL SALDO DE PROGRAMACION</t>
  </si>
  <si>
    <t>LS PENDIENTE POR REQUERIR</t>
  </si>
  <si>
    <t>PENDIENTE POR REQUERIR</t>
  </si>
  <si>
    <t>TOTAL POR REQUERIR + NO EJECUTADO</t>
  </si>
  <si>
    <t>SALDO CERT PASA INSTITUCION</t>
  </si>
  <si>
    <t>SALDO PARA LA INSTITUCION</t>
  </si>
  <si>
    <t>PENDIENTE DE REQUERIR 
S/</t>
  </si>
  <si>
    <t>INFORME SUBGERENCIA</t>
  </si>
  <si>
    <t>LS REQUERIDOS</t>
  </si>
  <si>
    <t xml:space="preserve">MEMORANDO GITE </t>
  </si>
  <si>
    <t xml:space="preserve">
002001-2026-GITE/ONPE
</t>
  </si>
  <si>
    <t xml:space="preserve">REMITE SOLIICTUD DE 13LS PARA CONTRATACION - </t>
  </si>
  <si>
    <t>263,000.00</t>
  </si>
  <si>
    <t xml:space="preserve">SE REGULARIZA EL REQ DEL ADMINISTRADOR DE PROYECTOS Y GESTOR DE RIESGOS - HAB PPTAL AROBADO POR GPP MEMORANDO </t>
  </si>
  <si>
    <t>GESTION DE LA SEGURIDAD INFORMATICA Y CONTINUIDAD DE LOS SERVICIOS TECNOLOGICOS</t>
  </si>
  <si>
    <t xml:space="preserve">002385-2026-GITE
0SOLICITUD 87 - SISPLAN </t>
  </si>
  <si>
    <t>Modificación presupuestal por priorización de recursos / GITE prioriza Asistente de claves de Seguridad - Ingresa Asistente de Recursos Informáticos</t>
  </si>
  <si>
    <t>GESTION DE LA INFRAESTRUCTURA TECNOLOGICA Y BASE DE DATOS</t>
  </si>
  <si>
    <t>001644-2026-SGIST</t>
  </si>
  <si>
    <t>002021-2026-GITE</t>
  </si>
  <si>
    <t>(Desistio Gamarra Alvarado Javier, Urrutia Marcos Victor, Quispealaya Madueño Luis, Sanchez Espinoza Sandro,Rea Morales Alejandro, Pisfil Caicedo Lucio), Renuncia de Ray Cardenas</t>
  </si>
  <si>
    <t>001651-2026-SGIST</t>
  </si>
  <si>
    <t>001706-2026-SGIST</t>
  </si>
  <si>
    <t>002090-2026-GITE</t>
  </si>
  <si>
    <t>(Propuesta por desistimiento - Ref.Informe 001644)</t>
  </si>
  <si>
    <t>001790-2026-SGIST</t>
  </si>
  <si>
    <t>002216-2026-GITE</t>
  </si>
  <si>
    <t>001891-2026-SGIST</t>
  </si>
  <si>
    <t>002331-2026-GITE</t>
  </si>
  <si>
    <t>001901-2026-SGIST</t>
  </si>
  <si>
    <t>002344-2026-GITE</t>
  </si>
  <si>
    <t>001939-2026-SGIST</t>
  </si>
  <si>
    <t>002399-2026-GITE</t>
  </si>
  <si>
    <t>(Desistimiento Jesus Yauyos, Giovana Ramirez)</t>
  </si>
  <si>
    <t>002087-2026-SGIST</t>
  </si>
  <si>
    <t>002587-2026-GITE</t>
  </si>
  <si>
    <t>(Desistimiento Hector Novoa, Juvenal Cavero, Yvan Machaca) y renuncia de Brandon Pumacayo</t>
  </si>
  <si>
    <t>002159-2026-SGIST</t>
  </si>
  <si>
    <t>002671-2026-GITE</t>
  </si>
  <si>
    <t>(Desistimiento Dennis Cabrera)</t>
  </si>
  <si>
    <t>002200-2026-SGIST</t>
  </si>
  <si>
    <t>002314-2026-SGIST</t>
  </si>
  <si>
    <t>002889-2026/GITE</t>
  </si>
  <si>
    <t>PROPUESTA POR RENUNCIA RAY CARDENAS (Ref. Informe 001644)</t>
  </si>
  <si>
    <t xml:space="preserve">002029-2026-GITE
</t>
  </si>
  <si>
    <t xml:space="preserve">
002036-2026-GITE
</t>
  </si>
  <si>
    <t xml:space="preserve">
002053-2026-GITE
</t>
  </si>
  <si>
    <t>000442-2026-SGGDI</t>
  </si>
  <si>
    <t xml:space="preserve">
002060-2026-GITE
</t>
  </si>
  <si>
    <t>000443-2026-SGGDI</t>
  </si>
  <si>
    <t xml:space="preserve">
002061-2026-GITE
</t>
  </si>
  <si>
    <t>000571-2026-SGGDI</t>
  </si>
  <si>
    <t xml:space="preserve">
002494-2026-GITE
</t>
  </si>
  <si>
    <t>DESISITIO OSCAR CASTILLO</t>
  </si>
  <si>
    <t>00601-2026-SGGDI</t>
  </si>
  <si>
    <t>002678-2026-GITE</t>
  </si>
  <si>
    <t>(Propuesta desistimiento - Ref.Informe 000571</t>
  </si>
  <si>
    <t xml:space="preserve">
002026-2026-GITE
</t>
  </si>
  <si>
    <t>RENUNCIO - GIRON MAZA HOSMAN , Desisitio Willy Santivañez</t>
  </si>
  <si>
    <t>000566-2026-SGSI</t>
  </si>
  <si>
    <t xml:space="preserve">
002023-2026-GITE
</t>
  </si>
  <si>
    <t xml:space="preserve">(desitió Ñaupari Jazmin- Analista de Datos 5 
(desistio Maza Alcalde Luisin-Analista Programador 3) </t>
  </si>
  <si>
    <t xml:space="preserve">
002025-2026-GITE
</t>
  </si>
  <si>
    <t>(desistio Jorge Machuca Arturo-Soporte Informático de Sistemas 6)</t>
  </si>
  <si>
    <t>000608-2026-SGSI</t>
  </si>
  <si>
    <t xml:space="preserve">
002119-2026-GITE
</t>
  </si>
  <si>
    <t>000611-2026-SGSI</t>
  </si>
  <si>
    <t xml:space="preserve">
002122-2026-GITE
</t>
  </si>
  <si>
    <t>000653-2026-SGSI</t>
  </si>
  <si>
    <t xml:space="preserve">
002212-2026-GITE
</t>
  </si>
  <si>
    <t>000654-2026-SGSI</t>
  </si>
  <si>
    <t xml:space="preserve">
002215-2026-GITE
</t>
  </si>
  <si>
    <t>(Propuesta desistimiento - Ref.Informe 000566)</t>
  </si>
  <si>
    <t>000673-2026-SGSI</t>
  </si>
  <si>
    <t xml:space="preserve">
002334-2026-GITE
</t>
  </si>
  <si>
    <t>000726-2026-SGSI</t>
  </si>
  <si>
    <t xml:space="preserve">
002376-2026-GITE
</t>
  </si>
  <si>
    <t>Inicio de actividades 18/05/2026</t>
  </si>
  <si>
    <t>000744-2026-SGSI</t>
  </si>
  <si>
    <t xml:space="preserve">
002409-2026-GITE
</t>
  </si>
  <si>
    <t>Desistio Rodrigues Chacara Bryan</t>
  </si>
  <si>
    <t>000784-2026-SGSI</t>
  </si>
  <si>
    <t xml:space="preserve">
002484-2026-GITE
</t>
  </si>
  <si>
    <t>Desistio Mejia Samame Rolando</t>
  </si>
  <si>
    <t>000801-2026-SGSI</t>
  </si>
  <si>
    <t>Inicio de actividades 01/06/2026</t>
  </si>
  <si>
    <t>000839-2026-SGSI</t>
  </si>
  <si>
    <t>002601-2026-GITE</t>
  </si>
  <si>
    <t>000851-2026-SGS</t>
  </si>
  <si>
    <t>002639-2026-GITE</t>
  </si>
  <si>
    <t>00850-2026-SGSI</t>
  </si>
  <si>
    <t>002683-2026-GITE</t>
  </si>
  <si>
    <t>002718-2026-GITE</t>
  </si>
  <si>
    <t>Propuesta por desistimiento Ref. Informe 000784</t>
  </si>
  <si>
    <t>Inicio de actividades 02/06/2026</t>
  </si>
  <si>
    <t>000904-2026-SGSI</t>
  </si>
  <si>
    <t>Inicio de actividades 05/06/2026</t>
  </si>
  <si>
    <t>000921-2026-SGSI</t>
  </si>
  <si>
    <t>002795-2026-GITE</t>
  </si>
  <si>
    <t>Inicio de actividades 08/06/2026</t>
  </si>
  <si>
    <t>TOTALES  S/</t>
  </si>
  <si>
    <t>EG 2026 (SEP) - SEGUIMIENTO CONTRATACIÓN DE LOCADORES DE SERVICIOS (LS) AL 31 DE MAYO 2026</t>
  </si>
  <si>
    <t>GERENCIA/
SUBGERENCIA</t>
  </si>
  <si>
    <t xml:space="preserve">LS
 PROGRAMADO Y NO PROGRAMADO </t>
  </si>
  <si>
    <t>REQUERIMIENTOS REMITIDOS A GRH</t>
  </si>
  <si>
    <t xml:space="preserve">
IMPORTE TOTAL PROGRAMADO S/
 </t>
  </si>
  <si>
    <t xml:space="preserve">
IMPORTE TOTAL EJECUTADO S/
 </t>
  </si>
  <si>
    <t xml:space="preserve">CANTIDAD
 LS </t>
  </si>
  <si>
    <t>IMPORTE PENDIENTE S/</t>
  </si>
  <si>
    <t>CANTIDAD
 LS</t>
  </si>
  <si>
    <t xml:space="preserve">
GESTION DE LA SEGURIDAD INFORMATICA Y CONTINUIDAD DE LOS SERVICIOS TECNOLOGICOS
</t>
  </si>
  <si>
    <t>TOTALES</t>
  </si>
  <si>
    <t>(*)</t>
  </si>
  <si>
    <t>(**)</t>
  </si>
  <si>
    <r>
      <rPr>
        <sz val="9"/>
        <color rgb="FF000000"/>
        <rFont val="Aptos Narrow"/>
        <family val="2"/>
        <scheme val="minor"/>
      </rPr>
      <t xml:space="preserve">
(*)  De lo pendiente de requerir por un total S/ 442,700.00 - GITE priorizó s/ 1,700.00 para un requerimiento de LS
quedando el saldo de S/</t>
    </r>
    <r>
      <rPr>
        <b/>
        <sz val="9"/>
        <color rgb="FF000000"/>
        <rFont val="Aptos Narrow"/>
        <family val="2"/>
        <scheme val="minor"/>
      </rPr>
      <t xml:space="preserve"> 441,000.00 
</t>
    </r>
    <r>
      <rPr>
        <sz val="9"/>
        <color rgb="FF000000"/>
        <rFont val="Aptos Narrow"/>
        <family val="2"/>
        <scheme val="minor"/>
      </rPr>
      <t xml:space="preserve">(**) De 47 LS pendiente de requerir, SGIST priorizó 7 LS para otros requerimientos por LS del proceso electoral, quedando </t>
    </r>
    <r>
      <rPr>
        <b/>
        <sz val="9"/>
        <color rgb="FF000000"/>
        <rFont val="Aptos Narrow"/>
        <family val="2"/>
        <scheme val="minor"/>
      </rPr>
      <t>40 LS</t>
    </r>
  </si>
  <si>
    <t>EG 2026 (SEP) - SEGUIMIENTO CONTRATACIÓN DE LOCADORES DE SERVICIOS (LS) AL 09/06/2026</t>
  </si>
  <si>
    <r>
      <rPr>
        <sz val="9"/>
        <color rgb="FF000000"/>
        <rFont val="Aptos Narrow"/>
        <family val="2"/>
      </rPr>
      <t>(*)  De lo pendiente de requerir por un total S/ 354,200.00 - GITE priorizó s/ 1,700.00 para un requerimiento de LS
quedando el saldo de S/</t>
    </r>
    <r>
      <rPr>
        <b/>
        <sz val="9"/>
        <color rgb="FF000000"/>
        <rFont val="Aptos Narrow"/>
        <family val="2"/>
      </rPr>
      <t xml:space="preserve"> 352,500.00
</t>
    </r>
    <r>
      <rPr>
        <sz val="9"/>
        <color rgb="FF000000"/>
        <rFont val="Aptos Narrow"/>
        <family val="2"/>
      </rPr>
      <t xml:space="preserve">(**) De 45 LS pendiente de requerir, SGIST priorizó 7 LS para otros requerimientos por LS del proceso electoral, quedando </t>
    </r>
    <r>
      <rPr>
        <b/>
        <sz val="9"/>
        <color rgb="FF000000"/>
        <rFont val="Aptos Narrow"/>
        <family val="2"/>
      </rPr>
      <t>38 LS</t>
    </r>
  </si>
  <si>
    <t>EG 2026 (SEP) - SEGUIMIENTO CONTRATACIÓN DE LOCADORES DE SERVICIOS (LS) AL 16/06/2026</t>
  </si>
  <si>
    <r>
      <rPr>
        <sz val="9"/>
        <color rgb="FF000000"/>
        <rFont val="Aptos Narrow"/>
        <family val="2"/>
      </rPr>
      <t>(*)  De lo pendiente de requerir por un total S/ 359,200.00 - GITE priorizó s/ 1,700.00 para un requerimiento de LS
quedando el saldo de S/</t>
    </r>
    <r>
      <rPr>
        <b/>
        <sz val="9"/>
        <color rgb="FF000000"/>
        <rFont val="Aptos Narrow"/>
        <family val="2"/>
      </rPr>
      <t xml:space="preserve"> 357,500.00
</t>
    </r>
    <r>
      <rPr>
        <sz val="9"/>
        <color rgb="FF000000"/>
        <rFont val="Aptos Narrow"/>
        <family val="2"/>
      </rPr>
      <t xml:space="preserve">(**) De 46 LS pendiente de requerir, SGIST priorizó 7 LS para otros requerimientos por LS del proceso electoral, quedando </t>
    </r>
    <r>
      <rPr>
        <b/>
        <sz val="9"/>
        <color rgb="FF000000"/>
        <rFont val="Aptos Narrow"/>
        <family val="2"/>
      </rPr>
      <t>39 LS</t>
    </r>
  </si>
  <si>
    <t>SEGUIMIENTO DE LOS PROCESOS ELECTORALES</t>
  </si>
  <si>
    <t>CANTIDAD LOCADORES PROGRAMADOS Y NO PROGRAMADOS</t>
  </si>
  <si>
    <t>CANTIDAD
 LS REMITIDOS A GRH - EN EJECUCIÓN</t>
  </si>
  <si>
    <t>CANTIDAD
 LS PENDIENTES DE REQUERIR</t>
  </si>
  <si>
    <t xml:space="preserve">  PROCESO EG 2026</t>
  </si>
  <si>
    <t>*Se precisa que 782 LS, fueron programados para ENE-FEB de los cuales 674 LS fueron remitidos a GHR y 108 quedaron como pendientes o no ejecutados</t>
  </si>
  <si>
    <t>*Se precisa que 980 LS, fueron programados para MAR-ABRI de los cuales 868 LS fueron remitidos a GHR y 112 quedaron como pendientes o no ejecutados</t>
  </si>
  <si>
    <t xml:space="preserve">PROCESO EG 2026 (SEP) </t>
  </si>
  <si>
    <t xml:space="preserve">PROCESO ERM 2026 (EP) </t>
  </si>
  <si>
    <t>ERM 2026</t>
  </si>
  <si>
    <t>(*)  Al 12/06/2026 - No se cuenta con el presupuesto aprobado - A la espera de la Demanda Adiconal del MEF</t>
  </si>
  <si>
    <t>PRESTACION ADICIONAL EN TRAMITE</t>
  </si>
  <si>
    <t>PRESTACION ADICIONAL EN TRAMITE DE RESOLUCION</t>
  </si>
  <si>
    <t xml:space="preserve">25/06/2026: mediante carta DTECH-0212-2026, proveedor emitio su carta con entregable </t>
  </si>
  <si>
    <t>240-2026</t>
  </si>
  <si>
    <t>001151-2026/GPP</t>
  </si>
  <si>
    <t>SE REALIZO LA HABILITACION PRESUPUESTAL PARA LA PRESTACION ADICIONAL DEL SERVICIO</t>
  </si>
  <si>
    <t>02559-2026/SGIST-GITE</t>
  </si>
  <si>
    <t>003290-2026/GITE</t>
  </si>
  <si>
    <t>HABILITACION PRESUPUESTAL PARA LA PRESTACION ADICIONAL DEL SERVICIO DE WEB HOSTING 2026</t>
  </si>
  <si>
    <t>PRESUPUESTO INICIAL MODIFICADO AL 30/06/2026</t>
  </si>
  <si>
    <t>SE REALIZO LA HABILITACION PRESUPUESTAL PARA LA PRESTACION ADICIONAL DEL SERVICIO DE WEB HOSTING</t>
  </si>
  <si>
    <t>HABILITACION PRESUPUESTAL PARA LA PRESTACION ADICIONAL DEL SERVICIO DE WEB HOSTING</t>
  </si>
  <si>
    <t>TOTAL PIM- 30/06/2026</t>
  </si>
  <si>
    <t>26/06/2026: plazo del servicio hasta el 15/07/2026
26/06/2026: MEDIENTA MEMORANDO 003290-2026/GITE, LA GITE REMITIO LA SOLICITUD DE PRESTACION ADICIONAL PARA EL SERVICIO DE WEB HOSTING
26/06/2026: MEDIANTE INFORME 002559-2026/SGIST-GITE, LA SGIST REMITIO LA SOLICITUD DE PRESTACION ADICIONAL PARA EL SERVICIO DE WEB HOSTING
17/06/2026: MEDIANTE MEMORANDO 001151-2026/GPP, LA GPP APROBO LA HABILITACION PRESUPUESTAL PARA LA PRESTACION ADICIONAL DEL SERVICIO DE WEB HOSTING SEP 2026
17/06/2026: MEDIANTE INFORME N° 002664-2026/SGPR-GPP, LA SGPR APROBO LA HABILITACION PRESUPUESTAL PARA LA PRESTACION ADICIONAL DEL SERVICIO DE WEB HOSTING SEP 2026</t>
  </si>
  <si>
    <t>hasta el 15/07/2026</t>
  </si>
  <si>
    <t>* Prestacion adicional del SERVICIO DE WEB HOSTING en tramite de resolusión, emitido por GITE con Memorando n°  003290-2026/GITE (26/06/2026)</t>
  </si>
  <si>
    <t>EG 2026 (SEP) - SEGUIMIENTO CONTRATACIÓN DE LOCADORES DE SERVICIOS (LS) AL 30/06/2026</t>
  </si>
  <si>
    <t>001318-2026/SGSI-GITE</t>
  </si>
  <si>
    <t>003482-2026/GITE</t>
  </si>
  <si>
    <t>08/07/2026: MEMORANDO 003482-2026/GITE,  CONFORMIDAD AL ENTREGABLE 2
08/07/2026: INFORME 001318-2026/SGSI-GITE, SE REMITE DOCUMENTO DE CONFORMIDAD AL ENTREGABLE 2 DEL SERVICIO DE AUDITORÍA INFORMÁTICA PARA LAS SOLUCIONES TECNOLÓGICAS DE SOPORTE ELECTORAL AL ESCRUTINIO, CÓMPUTO DE RESULTADOS Y PRESENTACIÓN DE RESULTADOS – EG 2026, PRESTACIÓN ADICIONAL SEGUNDA ELECCIÓN PRESIDENCIAL – SEP 2026</t>
  </si>
  <si>
    <t>2681-2026/SGIST-GITE</t>
  </si>
  <si>
    <t>003466-2026/GITE</t>
  </si>
  <si>
    <t>15/05/2026 - (SIMULACRO 31/05/2026) - FECHA FIN 15/06/2026</t>
  </si>
  <si>
    <t>07/07/2026:MEMORANDO 03466-2026/GITE, CONFORMIDAD AL ENTREGABLE 01 CORRESPONDIENTE AL SERVICIO DE TRANSMISIÓN DE DATOS – EG 2026 (SEP) | PRESTACIÓN ADICIONAL AL CONTRATO N° 056-2026-ONPE | ORDEN DE SERVICIO N° 2125-2026
07/07/2026: INFORME 002681-2026/SGIST-GITE,INFORME PREVIO DE CONFORMIDAD AL ENTREGABLE 01 CORRESPONDIENTE AL SERVICIO DE TRANSMISIÓN DE DATOS – EG 2026 (SEP) | PRESTACIÓN ADICIONAL AL CONTRATO N° 056-2026-ONPE | ORDEN DE SERVICIO N° 2125-2026
07/07/2026; MEMORANDO 003466-2026/GITE, CONFORMIDAD AL ENTREGABLE 01 CORRESPONDIENTE AL SERVICIO DE TRANSMISIÓN DE DATOS – EG 2026 (SEP) | PRESTACIÓN ADICIONAL AL CONTRATO N° 056-2026-ONPE | ORDEN DE SERVICIO N° 2125-2026
07/07/2026: INFORME 02681-2026/SGIST-GITE, SGIST REMITIO INFORME PREVIO DE CONFORMIDAD AL ENTREGABLE 01 CORRESPONDIENTE AL SERVICIO DE TRANSMISIÓN DE DATOS – EG 
2026 (SEP) | PRESTACIÓN ADICIONAL AL CONTRATO N° 056-2026-ONPE | ORDEN DE SERVICIO N° 2125-2026
19/06/2026: carta n° 0144-18062026-ADM - PRESENTACIÓN ENTREGABLE 01-INFORME DEL SERVICIO SEGUNDA ELECCIÓN PRESIDENCIAL- SEGUNDA ADENDA AL CONTRATO N 56-2026-ONPE - SEP 2026</t>
  </si>
  <si>
    <t>SE REALIZO EL PAGO AL PROVEEDOR CON FECHA AL 14/07/2026</t>
  </si>
  <si>
    <t>30/06/2026: SE REALIZO EL PAGO AL PROVEEDOR CON FECHA AL 30/06/2026
23/06/2026: tramite de pago de la orden pendiente a la fecha 23/06/226</t>
  </si>
  <si>
    <t>2- orden de servicio n° 2125
1. RESOLUCION GERENCIAL N° 000226-2026-GAD/ONPE</t>
  </si>
  <si>
    <t>2. orden de servicio n° 2129
1. RESOLUCION GERENCIAL N° 000235-2026-GAD/ONPE</t>
  </si>
  <si>
    <t>10/07/2026: RESOLUCION GERENCIAL 000291-2026/GAD, SE REALIZO LA REDUCCION DEL CONTRATO 217-2025, POR EL IMPORTE DE S/ 712 235
• RESOLUCION GERENCIAL N° 0239-2026-GAD/ONPE -aprobar la prestación adicional solicitada por el monto de S/ 63’456,744.00, equivalente al 43.97% del monto del contrato origina
05/06/2026: JAPROG ELABORO LA ORDEN DE SERVICIO N° 02136-2026 CON FECHA 05/06/2026 
05/06/2026: SEGUNDA ADENDA AL CONTRATO N° 0217-2025-ONPE
18-05-2026 INFORME COMPLEMENTARIO A LA SOLICITUD DE PRESTACIÓN ADICIONAL - SEGUNDA ELECCIÓN PRESIDENCIAL 2026 | “SERVICIO DE HABILITACIÓN, ACONDICIONAMIENTO Y LOGÍSTICA INFORMÁTICA (SHALI) - EG 2026” | CONTRATO N° 217-2025-ONPE/ INFORME 1996-2026-SGST
16/05/2026_ SE SOLICITO HABILITACION PRESUPUESTAL PARA EL SERVICIO DE SHALI POR UN MONTO ADICIONAL DE  S/ 42,456,744
13/05/2026: INFORME 001949-2026/SGIST-GITE PRECISIONES A LOS TÉRMINOS DE REFERENCIA RESPECTO A LA SOLICITUD DE PRESTACIÓN ADICIONAL - SEGUNDA ELECCIÓN PRESIDENCIAL 2026 | “SERVICIO DE HABILITACIÓN, ACONDICIONAMIENTO Y LOGÍSTICA INFORMÁTICA (SHALI) - EG 2026” | CONTRATO N° 217-2025-ONPE
13/05/2026: MEMORANDO 002387-2026/GITE, PRECISIONES A LOS TÉRMINOS DE REFERENCIA RESPECTO A LA SOLICITUD DE PRESTACIÓN ADICIONAL - SEGUNDA ELECCIÓN PRESIDENCIAL 2026 | “SERVICIO DE HABILITACIÓN, ACONDICIONAMIENTO Y LOGÍSTICA INFORMÁTICA (SHALI) - EG 2026” | CONTRATO N° 217-2025-ONPE
14/05/2026: MEMORANDO N° 002387-2026/GITE, GITE REMITIO PRECISIONES A LOS TÉRMINOS DE REFERENCIA RESPECTO A LA SOLICITUD DE PRESTACIÓN ADICIONAL - SEGUNDA ELECCIÓN PRESIDENCIAL 2026 | “SERVICIO DE HABILITACIÓN, ACONDICIONAMIENTO Y LOGÍSTICA INFORMÁTICA (SHALI) - EG 2026” | CONTRATO N° 217-2025-ONP
14/05/2026: Informe n° 001949-2026/SGIST-GITE, SGIST REMITIO PRECISIONES A LOS TÉRMINOS DE REFERENCIA RESPECTO A LA SOLICITUD DE PRESTACIÓN ADICIONAL - SEGUNDA ELECCIÓN PRESIDENCIAL 2026 | “SERVICIO DE HABILITACIÓN, ACONDICIONAMIENTO Y LOGÍSTICA INFORMÁTICA (SHALI) - EG 2026” | CONTRATO N° 217-2025-ONPE
13/05/2026: En atención a la solicitado por el CONTRATISTA y garantizar de esta manera el desarrollo óptimo y eficiente de la Segunda Elección Presidencial, se
recomienda aceptar la solicitud de reunión, estableciendo el lugar la Sede JR.
WASHINGTON NRO. 1894 (Lima-Lima-Lima) de la ONPE, el 14 de mayo de
2026 a las 10:00 a.m / MEMORANDO 2384-2026-GITEORDEN DE SERVICIO N° 288-2026
13/5/2026: La SGIST/GITE remite precisiones al TDR; periodo inicialmente propuesto del 09 de mayo al 30 de junio de 2026/MEMORANDO 2387/2026/GITE
contrato N° 217-2025-ONPE, GITE SOLICITO CONTINUIDAD DEL SERVICIO</t>
  </si>
  <si>
    <t>02755-2026/SGIST-GITE</t>
  </si>
  <si>
    <t>14/07/2026: SGIST REMITIO INFORME N° 002755-2026/SGIST-GITE, CONFORMIDAD DEL SERVICIO
plazo de ejecucion hasta el 30/06/2026</t>
  </si>
  <si>
    <t>COMPROMETIDO</t>
  </si>
  <si>
    <t>02811-2026/SGIST-GITE</t>
  </si>
  <si>
    <t>17/07/2026: INFORME N° 002811-2026/SGIST-GITE- INFORME PREVIO DE CONFORMIDAD DEL SERVICIO DE ALQUILER DE EQUIPO DE COMPUTO - EG 2026 (SEP) - ORDEN DE SERVICIO N 0001737-2026-ONPE
servicio culmina el 30/06/2026 en ejecucion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</si>
</sst>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S/&quot;\ * #,##0.00_-;\-&quot;S/&quot;\ * #,##0.00_-;_-&quot;S/&quot;\ * &quot;-&quot;??_-;_-@_-"/>
    <numFmt numFmtId="43" formatCode="_-* #,##0.00_-;\-* #,##0.00_-;_-* &quot;-&quot;??_-;_-@_-"/>
    <numFmt numFmtId="164" formatCode="&quot;S/&quot;\ #,##0.00"/>
    <numFmt numFmtId="165" formatCode="#,##0.000"/>
    <numFmt numFmtId="166" formatCode="0.0%"/>
    <numFmt numFmtId="167" formatCode="dd/mm/yyyy;@"/>
    <numFmt numFmtId="168" formatCode="_-[$S/-280A]\ * #,##0.00_-;\-[$S/-280A]\ * #,##0.00_-;_-[$S/-280A]\ * &quot;-&quot;??_-;_-@_-"/>
    <numFmt numFmtId="169" formatCode="0.000"/>
  </numFmts>
  <fonts count="150" x14ac:knownFonts="1">
    <font>
      <sz val="11"/>
      <color theme="1"/>
      <name val="Aptos Narrow"/>
      <family val="2"/>
      <scheme val="minor"/>
    </font>
    <font>
      <b/>
      <sz val="7"/>
      <color rgb="FFFFFFFF"/>
      <name val="Arial Narrow"/>
      <family val="2"/>
    </font>
    <font>
      <sz val="8"/>
      <color rgb="FF333F4F"/>
      <name val="Arial Narrow"/>
      <family val="2"/>
    </font>
    <font>
      <sz val="8"/>
      <name val="Arial Narrow"/>
      <family val="2"/>
    </font>
    <font>
      <sz val="11"/>
      <color rgb="FF000000"/>
      <name val="Calibri"/>
      <family val="2"/>
    </font>
    <font>
      <b/>
      <sz val="8"/>
      <name val="Arial Narrow"/>
      <family val="2"/>
    </font>
    <font>
      <sz val="11"/>
      <name val="Calibri"/>
      <family val="2"/>
    </font>
    <font>
      <b/>
      <sz val="11"/>
      <color theme="1"/>
      <name val="Aptos Narrow"/>
      <family val="2"/>
      <scheme val="minor"/>
    </font>
    <font>
      <b/>
      <sz val="7"/>
      <name val="Arial Narrow"/>
      <family val="2"/>
    </font>
    <font>
      <sz val="11"/>
      <name val="Aptos Narrow"/>
      <family val="2"/>
      <scheme val="minor"/>
    </font>
    <font>
      <sz val="11"/>
      <color theme="1"/>
      <name val="Aptos Narrow"/>
      <family val="2"/>
      <scheme val="minor"/>
    </font>
    <font>
      <b/>
      <sz val="9"/>
      <name val="Arial"/>
      <family val="2"/>
    </font>
    <font>
      <b/>
      <sz val="11"/>
      <color rgb="FF000000"/>
      <name val="Calibri"/>
      <family val="2"/>
    </font>
    <font>
      <sz val="16"/>
      <color rgb="FF000000"/>
      <name val="Arial"/>
      <family val="2"/>
    </font>
    <font>
      <b/>
      <sz val="12"/>
      <color rgb="FF000000"/>
      <name val="Arial"/>
      <family val="2"/>
    </font>
    <font>
      <sz val="16"/>
      <color rgb="FF000000"/>
      <name val="Calibri"/>
      <family val="2"/>
    </font>
    <font>
      <b/>
      <sz val="22"/>
      <color rgb="FF000000"/>
      <name val="Calibri"/>
      <family val="2"/>
    </font>
    <font>
      <b/>
      <sz val="16"/>
      <color rgb="FF000000"/>
      <name val="Calibri"/>
      <family val="2"/>
    </font>
    <font>
      <b/>
      <sz val="20"/>
      <color rgb="FF000000"/>
      <name val="Calibri"/>
      <family val="2"/>
    </font>
    <font>
      <b/>
      <sz val="14"/>
      <color rgb="FF000000"/>
      <name val="Calibri"/>
      <family val="2"/>
    </font>
    <font>
      <b/>
      <sz val="12"/>
      <name val="Arial"/>
      <family val="2"/>
    </font>
    <font>
      <b/>
      <sz val="8"/>
      <name val="Calibri"/>
      <family val="2"/>
    </font>
    <font>
      <b/>
      <sz val="10"/>
      <color rgb="FF0070C0"/>
      <name val="Aptos Narrow"/>
      <family val="2"/>
      <scheme val="minor"/>
    </font>
    <font>
      <b/>
      <sz val="10"/>
      <color rgb="FFFF0000"/>
      <name val="Aptos Narrow"/>
      <family val="2"/>
      <scheme val="minor"/>
    </font>
    <font>
      <b/>
      <sz val="11"/>
      <color rgb="FF0070C0"/>
      <name val="Aptos Narrow"/>
      <family val="2"/>
      <scheme val="minor"/>
    </font>
    <font>
      <b/>
      <sz val="10"/>
      <color theme="1"/>
      <name val="Aptos Narrow"/>
      <family val="2"/>
      <scheme val="minor"/>
    </font>
    <font>
      <b/>
      <sz val="10"/>
      <color rgb="FF000000"/>
      <name val="Aptos Narrow"/>
      <family val="2"/>
      <scheme val="minor"/>
    </font>
    <font>
      <b/>
      <sz val="11"/>
      <color rgb="FF000000"/>
      <name val="Aptos Narrow"/>
      <family val="2"/>
      <scheme val="minor"/>
    </font>
    <font>
      <b/>
      <sz val="11"/>
      <color theme="9" tint="-0.249977111117893"/>
      <name val="Aptos Narrow"/>
      <family val="2"/>
      <scheme val="minor"/>
    </font>
    <font>
      <b/>
      <sz val="10"/>
      <color theme="9" tint="-0.249977111117893"/>
      <name val="Aptos Narrow"/>
      <family val="2"/>
      <scheme val="minor"/>
    </font>
    <font>
      <b/>
      <sz val="11"/>
      <name val="Aptos Narrow"/>
      <family val="2"/>
      <scheme val="minor"/>
    </font>
    <font>
      <sz val="11"/>
      <color rgb="FF0070C0"/>
      <name val="Aptos Narrow"/>
      <family val="2"/>
      <scheme val="minor"/>
    </font>
    <font>
      <sz val="11"/>
      <color theme="9" tint="-0.249977111117893"/>
      <name val="Aptos Narrow"/>
      <family val="2"/>
      <scheme val="minor"/>
    </font>
    <font>
      <sz val="10"/>
      <color rgb="FFED0000"/>
      <name val="Aptos Narrow"/>
      <family val="2"/>
      <scheme val="minor"/>
    </font>
    <font>
      <b/>
      <sz val="11"/>
      <color rgb="FFED0000"/>
      <name val="Aptos Narrow"/>
      <family val="2"/>
      <scheme val="minor"/>
    </font>
    <font>
      <b/>
      <sz val="8"/>
      <name val="Aptos Narrow"/>
      <family val="2"/>
      <scheme val="minor"/>
    </font>
    <font>
      <b/>
      <sz val="9"/>
      <color indexed="81"/>
      <name val="Tahoma"/>
      <family val="2"/>
    </font>
    <font>
      <sz val="9"/>
      <color indexed="81"/>
      <name val="Tahoma"/>
      <family val="2"/>
    </font>
    <font>
      <sz val="10"/>
      <color theme="1"/>
      <name val="Arial Narrow"/>
      <family val="2"/>
    </font>
    <font>
      <sz val="10"/>
      <name val="Arial Narrow"/>
      <family val="2"/>
    </font>
    <font>
      <sz val="10"/>
      <color theme="1"/>
      <name val="Aptos Narrow"/>
      <family val="2"/>
      <scheme val="minor"/>
    </font>
    <font>
      <sz val="10"/>
      <color rgb="FF1F3763"/>
      <name val="Arial Narrow"/>
      <family val="2"/>
    </font>
    <font>
      <sz val="11"/>
      <color rgb="FFFF0000"/>
      <name val="Calibri"/>
      <family val="2"/>
    </font>
    <font>
      <sz val="9"/>
      <color rgb="FF333F4F"/>
      <name val="Arial Narrow"/>
      <family val="2"/>
    </font>
    <font>
      <sz val="9"/>
      <name val="Arial Narrow"/>
      <family val="2"/>
    </font>
    <font>
      <sz val="9"/>
      <color rgb="FF000000"/>
      <name val="Calibri"/>
      <family val="2"/>
    </font>
    <font>
      <sz val="9"/>
      <color theme="1"/>
      <name val="Aptos Narrow"/>
      <family val="2"/>
      <scheme val="minor"/>
    </font>
    <font>
      <sz val="11"/>
      <color rgb="FF000000"/>
      <name val="Aptos Narrow"/>
      <family val="2"/>
      <scheme val="minor"/>
    </font>
    <font>
      <sz val="10"/>
      <name val="Arial"/>
      <family val="2"/>
    </font>
    <font>
      <b/>
      <sz val="8"/>
      <color rgb="FF333F4F"/>
      <name val="Arial Narrow"/>
      <family val="2"/>
    </font>
    <font>
      <b/>
      <sz val="11"/>
      <color rgb="FFFF0000"/>
      <name val="Aptos Narrow"/>
      <family val="2"/>
      <scheme val="minor"/>
    </font>
    <font>
      <b/>
      <sz val="11"/>
      <color rgb="FF00B050"/>
      <name val="Aptos Narrow"/>
      <family val="2"/>
      <scheme val="minor"/>
    </font>
    <font>
      <sz val="8"/>
      <color rgb="FF000000"/>
      <name val="Arial Narrow"/>
      <family val="2"/>
    </font>
    <font>
      <sz val="10"/>
      <color rgb="FF000000"/>
      <name val="Arial Narrow"/>
      <family val="2"/>
    </font>
    <font>
      <sz val="8"/>
      <color rgb="FF000000"/>
      <name val="Arial Narrow"/>
      <family val="2"/>
    </font>
    <font>
      <b/>
      <sz val="8"/>
      <color rgb="FF000000"/>
      <name val="Arial Narrow"/>
      <family val="2"/>
    </font>
    <font>
      <sz val="11"/>
      <color rgb="FF000000"/>
      <name val="Calibri"/>
      <family val="2"/>
    </font>
    <font>
      <sz val="10"/>
      <name val="Arial Narrow"/>
      <family val="2"/>
    </font>
    <font>
      <sz val="10"/>
      <name val="Aptos Narrow"/>
      <family val="2"/>
      <scheme val="minor"/>
    </font>
    <font>
      <b/>
      <sz val="7"/>
      <name val="Arial Narrow"/>
      <family val="2"/>
    </font>
    <font>
      <b/>
      <sz val="8"/>
      <name val="Arial Narrow"/>
      <family val="2"/>
    </font>
    <font>
      <sz val="8"/>
      <color rgb="FF000000"/>
      <name val="Arial"/>
      <family val="2"/>
    </font>
    <font>
      <sz val="8"/>
      <color rgb="FF000000"/>
      <name val="Calibri"/>
      <family val="2"/>
    </font>
    <font>
      <sz val="11"/>
      <color theme="5" tint="-0.499984740745262"/>
      <name val="Calibri"/>
      <family val="2"/>
    </font>
    <font>
      <sz val="8"/>
      <name val="Arial Narrow"/>
      <family val="2"/>
    </font>
    <font>
      <sz val="10"/>
      <color rgb="FF000000"/>
      <name val="Arial Narrow"/>
      <family val="2"/>
    </font>
    <font>
      <sz val="8"/>
      <color rgb="FF333F4F"/>
      <name val="Arial Narrow"/>
      <family val="2"/>
    </font>
    <font>
      <b/>
      <sz val="10"/>
      <name val="Calibri"/>
      <family val="2"/>
    </font>
    <font>
      <b/>
      <sz val="11"/>
      <name val="Calibri"/>
      <family val="2"/>
    </font>
    <font>
      <sz val="10"/>
      <color rgb="FF000000"/>
      <name val="Calibri"/>
      <family val="2"/>
    </font>
    <font>
      <sz val="9"/>
      <name val="Aptos Narrow"/>
      <family val="2"/>
      <scheme val="minor"/>
    </font>
    <font>
      <sz val="9"/>
      <color rgb="FF333F4F"/>
      <name val="Aptos Narrow"/>
      <family val="2"/>
      <scheme val="minor"/>
    </font>
    <font>
      <sz val="9"/>
      <color rgb="FF000000"/>
      <name val="Aptos Narrow"/>
      <family val="2"/>
      <scheme val="minor"/>
    </font>
    <font>
      <sz val="9"/>
      <color theme="1"/>
      <name val="Aptos Narrow"/>
      <family val="2"/>
      <scheme val="minor"/>
    </font>
    <font>
      <sz val="11"/>
      <color rgb="FF000000"/>
      <name val="Aptos Narrow"/>
      <family val="2"/>
    </font>
    <font>
      <sz val="11"/>
      <color rgb="FFFF0000"/>
      <name val="Aptos Narrow"/>
      <family val="2"/>
      <scheme val="minor"/>
    </font>
    <font>
      <b/>
      <sz val="11"/>
      <color rgb="FF000000"/>
      <name val="Calibri"/>
      <family val="2"/>
    </font>
    <font>
      <b/>
      <sz val="10"/>
      <name val="Aptos Narrow"/>
      <family val="2"/>
      <scheme val="minor"/>
    </font>
    <font>
      <b/>
      <sz val="10"/>
      <name val="Arial Narrow"/>
      <family val="2"/>
    </font>
    <font>
      <b/>
      <sz val="8"/>
      <color rgb="FF000000"/>
      <name val="Arial Narrow"/>
      <family val="2"/>
    </font>
    <font>
      <sz val="10"/>
      <color theme="1"/>
      <name val="Arial Narrow"/>
      <family val="2"/>
    </font>
    <font>
      <sz val="10"/>
      <name val="Aptos Narrow"/>
      <family val="2"/>
      <scheme val="minor"/>
    </font>
    <font>
      <sz val="8"/>
      <color rgb="FFFF0000"/>
      <name val="Arial Narrow"/>
      <family val="2"/>
    </font>
    <font>
      <sz val="10"/>
      <color rgb="FFFF0000"/>
      <name val="Arial Narrow"/>
      <family val="2"/>
    </font>
    <font>
      <sz val="10"/>
      <color rgb="FFFF0000"/>
      <name val="Arial Narrow"/>
      <family val="2"/>
    </font>
    <font>
      <b/>
      <sz val="8"/>
      <color rgb="FF0070C0"/>
      <name val="Arial Narrow"/>
      <family val="2"/>
    </font>
    <font>
      <b/>
      <sz val="11"/>
      <color rgb="FF0070C0"/>
      <name val="Calibri"/>
      <family val="2"/>
    </font>
    <font>
      <b/>
      <sz val="10"/>
      <color rgb="FF0070C0"/>
      <name val="Arial Narrow"/>
      <family val="2"/>
    </font>
    <font>
      <b/>
      <sz val="10"/>
      <name val="Arial Narrow"/>
      <family val="2"/>
    </font>
    <font>
      <b/>
      <sz val="16"/>
      <color rgb="FF000000"/>
      <name val="Calibri"/>
      <family val="2"/>
    </font>
    <font>
      <sz val="10"/>
      <color rgb="FF333F4F"/>
      <name val="Arial Narrow"/>
      <family val="2"/>
    </font>
    <font>
      <sz val="10"/>
      <color rgb="FF333F4F"/>
      <name val="Arial Narrow"/>
      <family val="2"/>
    </font>
    <font>
      <b/>
      <sz val="9"/>
      <color rgb="FF0070C0"/>
      <name val="Aptos Narrow"/>
      <family val="2"/>
      <scheme val="minor"/>
    </font>
    <font>
      <b/>
      <sz val="12"/>
      <color theme="1"/>
      <name val="Aptos Narrow"/>
      <family val="2"/>
      <scheme val="minor"/>
    </font>
    <font>
      <sz val="8"/>
      <color rgb="FF0070C0"/>
      <name val="Arial Narrow"/>
      <family val="2"/>
    </font>
    <font>
      <sz val="11"/>
      <color rgb="FF0070C0"/>
      <name val="Calibri"/>
      <family val="2"/>
    </font>
    <font>
      <sz val="11"/>
      <color rgb="FF0070C0"/>
      <name val="Calibri"/>
      <family val="2"/>
    </font>
    <font>
      <sz val="10"/>
      <color rgb="FF0070C0"/>
      <name val="Arial Narrow"/>
      <family val="2"/>
    </font>
    <font>
      <sz val="10"/>
      <color rgb="FF0070C0"/>
      <name val="Arial Narrow"/>
      <family val="2"/>
    </font>
    <font>
      <b/>
      <sz val="10"/>
      <color rgb="FF0070C0"/>
      <name val="Arial Narrow"/>
      <family val="2"/>
    </font>
    <font>
      <sz val="10"/>
      <color rgb="FFFF0000"/>
      <name val="Aptos Narrow"/>
      <family val="2"/>
      <scheme val="minor"/>
    </font>
    <font>
      <b/>
      <sz val="9"/>
      <name val="Aptos Narrow"/>
      <family val="2"/>
      <scheme val="minor"/>
    </font>
    <font>
      <sz val="8"/>
      <name val="Aptos Narrow"/>
      <family val="2"/>
      <scheme val="minor"/>
    </font>
    <font>
      <b/>
      <sz val="8"/>
      <name val="Aptos Narrow"/>
      <family val="2"/>
      <scheme val="minor"/>
    </font>
    <font>
      <sz val="8"/>
      <color theme="1"/>
      <name val="Aptos Narrow"/>
      <family val="2"/>
      <scheme val="minor"/>
    </font>
    <font>
      <b/>
      <sz val="9"/>
      <color rgb="FFFF0000"/>
      <name val="Aptos Narrow"/>
      <family val="2"/>
      <scheme val="minor"/>
    </font>
    <font>
      <b/>
      <sz val="9"/>
      <color rgb="FF000000"/>
      <name val="Aptos Narrow"/>
      <family val="2"/>
      <scheme val="minor"/>
    </font>
    <font>
      <sz val="9"/>
      <color rgb="FF000000"/>
      <name val="Aptos Narrow"/>
      <family val="2"/>
      <scheme val="minor"/>
    </font>
    <font>
      <b/>
      <sz val="8"/>
      <color rgb="FFFF0000"/>
      <name val="Arial Narrow"/>
      <family val="2"/>
    </font>
    <font>
      <b/>
      <sz val="8"/>
      <color rgb="FF333F4F"/>
      <name val="Arial Narrow"/>
      <family val="2"/>
    </font>
    <font>
      <sz val="8"/>
      <color rgb="FF0B1D2F"/>
      <name val="Arial Narrow"/>
      <family val="2"/>
    </font>
    <font>
      <sz val="11"/>
      <color rgb="FF000000"/>
      <name val="Aptos Narrow"/>
      <family val="2"/>
    </font>
    <font>
      <b/>
      <sz val="12"/>
      <name val="Arial Narrow"/>
      <family val="2"/>
    </font>
    <font>
      <sz val="8"/>
      <color rgb="FF7030A0"/>
      <name val="Arial Narrow"/>
      <family val="2"/>
    </font>
    <font>
      <b/>
      <sz val="8"/>
      <color rgb="FF7030A0"/>
      <name val="Arial Narrow"/>
      <family val="2"/>
    </font>
    <font>
      <b/>
      <sz val="8"/>
      <color rgb="FF7030A0"/>
      <name val="Arial Narrow"/>
      <family val="2"/>
    </font>
    <font>
      <b/>
      <sz val="11"/>
      <color rgb="FF7030A0"/>
      <name val="Calibri"/>
      <family val="2"/>
    </font>
    <font>
      <b/>
      <sz val="11"/>
      <color rgb="FF7030A0"/>
      <name val="Aptos Narrow"/>
      <family val="2"/>
      <scheme val="minor"/>
    </font>
    <font>
      <b/>
      <sz val="10"/>
      <color rgb="FF7030A0"/>
      <name val="Arial Narrow"/>
      <family val="2"/>
    </font>
    <font>
      <sz val="10"/>
      <color rgb="FF7030A0"/>
      <name val="Arial Narrow"/>
      <family val="2"/>
    </font>
    <font>
      <b/>
      <sz val="10"/>
      <color rgb="FF7030A0"/>
      <name val="Arial Narrow"/>
      <family val="2"/>
    </font>
    <font>
      <sz val="10"/>
      <color rgb="FF7030A0"/>
      <name val="Arial Narrow"/>
      <family val="2"/>
    </font>
    <font>
      <sz val="9"/>
      <name val="Arial Narrow"/>
      <family val="2"/>
    </font>
    <font>
      <b/>
      <sz val="9"/>
      <name val="Arial Narrow"/>
      <family val="2"/>
    </font>
    <font>
      <b/>
      <sz val="10"/>
      <name val="Aptos Narrow"/>
      <family val="2"/>
      <scheme val="minor"/>
    </font>
    <font>
      <b/>
      <sz val="10"/>
      <color theme="1"/>
      <name val="Aptos Narrow"/>
      <family val="2"/>
      <scheme val="minor"/>
    </font>
    <font>
      <sz val="8"/>
      <color rgb="FFFF0000"/>
      <name val="Arial Narrow"/>
      <family val="2"/>
    </font>
    <font>
      <sz val="9"/>
      <name val="Aptos Narrow"/>
      <family val="2"/>
      <scheme val="minor"/>
    </font>
    <font>
      <b/>
      <sz val="12"/>
      <color rgb="FF000000"/>
      <name val="Arial"/>
      <family val="2"/>
    </font>
    <font>
      <b/>
      <sz val="8"/>
      <color rgb="FF0070C0"/>
      <name val="Arial Narrow"/>
      <family val="2"/>
    </font>
    <font>
      <b/>
      <sz val="11"/>
      <color rgb="FF0070C0"/>
      <name val="Calibri"/>
      <family val="2"/>
    </font>
    <font>
      <sz val="10"/>
      <color rgb="FF0070C0"/>
      <name val="Aptos Narrow"/>
      <family val="2"/>
      <scheme val="minor"/>
    </font>
    <font>
      <sz val="8"/>
      <color rgb="FF0070C0"/>
      <name val="Arial Narrow"/>
      <family val="2"/>
    </font>
    <font>
      <sz val="11"/>
      <color rgb="FFFF0000"/>
      <name val="Calibri"/>
      <family val="2"/>
    </font>
    <font>
      <sz val="10"/>
      <color rgb="FF000000"/>
      <name val="Arial"/>
      <family val="2"/>
    </font>
    <font>
      <b/>
      <sz val="10"/>
      <color rgb="FFFF0000"/>
      <name val="Calibri"/>
      <family val="2"/>
    </font>
    <font>
      <b/>
      <sz val="11"/>
      <color rgb="FFFF0000"/>
      <name val="Calibri"/>
      <family val="2"/>
    </font>
    <font>
      <b/>
      <sz val="11"/>
      <color theme="1"/>
      <name val="Calibri"/>
      <family val="2"/>
    </font>
    <font>
      <b/>
      <sz val="10"/>
      <color theme="1"/>
      <name val="Arial Narrow"/>
      <family val="2"/>
    </font>
    <font>
      <b/>
      <sz val="8"/>
      <color theme="1"/>
      <name val="Arial Narrow"/>
      <family val="2"/>
    </font>
    <font>
      <sz val="8"/>
      <color theme="1"/>
      <name val="Arial Narrow"/>
      <family val="2"/>
    </font>
    <font>
      <sz val="11"/>
      <color theme="1"/>
      <name val="Calibri"/>
      <family val="2"/>
    </font>
    <font>
      <sz val="8"/>
      <color theme="1"/>
      <name val="Arial Narrow"/>
      <family val="2"/>
    </font>
    <font>
      <sz val="11"/>
      <color theme="1"/>
      <name val="Calibri"/>
      <family val="2"/>
    </font>
    <font>
      <sz val="9"/>
      <color rgb="FF000000"/>
      <name val="Aptos Narrow"/>
      <family val="2"/>
    </font>
    <font>
      <b/>
      <sz val="9"/>
      <color rgb="FF000000"/>
      <name val="Aptos Narrow"/>
      <family val="2"/>
    </font>
    <font>
      <b/>
      <sz val="10"/>
      <color rgb="FFFF0000"/>
      <name val="Arial Narrow"/>
      <family val="2"/>
    </font>
    <font>
      <b/>
      <sz val="10"/>
      <color rgb="FFFF0000"/>
      <name val="Arial Narrow"/>
      <family val="2"/>
    </font>
    <font>
      <sz val="11"/>
      <color rgb="FF242424"/>
      <name val="Aptos Narrow"/>
      <family val="2"/>
    </font>
    <font>
      <b/>
      <sz val="9"/>
      <name val="Aptos Narrow"/>
      <family val="2"/>
      <scheme val="minor"/>
    </font>
  </fonts>
  <fills count="34">
    <fill>
      <patternFill patternType="none"/>
    </fill>
    <fill>
      <patternFill patternType="gray125"/>
    </fill>
    <fill>
      <patternFill patternType="solid">
        <fgColor rgb="FF002060"/>
        <bgColor rgb="FF000000"/>
      </patternFill>
    </fill>
    <fill>
      <patternFill patternType="solid">
        <fgColor rgb="FFFFFFFF"/>
        <bgColor rgb="FF000000"/>
      </patternFill>
    </fill>
    <fill>
      <patternFill patternType="solid">
        <fgColor theme="3" tint="0.749992370372631"/>
        <bgColor rgb="FF000000"/>
      </patternFill>
    </fill>
    <fill>
      <patternFill patternType="solid">
        <fgColor rgb="FFA9D08E"/>
        <bgColor rgb="FF000000"/>
      </patternFill>
    </fill>
    <fill>
      <patternFill patternType="solid">
        <fgColor rgb="FFFFD966"/>
        <bgColor rgb="FF000000"/>
      </patternFill>
    </fill>
    <fill>
      <patternFill patternType="solid">
        <fgColor rgb="FFDBDBDB"/>
        <bgColor rgb="FF000000"/>
      </patternFill>
    </fill>
    <fill>
      <patternFill patternType="solid">
        <fgColor rgb="FFD6DCE4"/>
        <bgColor rgb="FF000000"/>
      </patternFill>
    </fill>
    <fill>
      <patternFill patternType="solid">
        <fgColor rgb="FFE2EFDA"/>
        <bgColor rgb="FF000000"/>
      </patternFill>
    </fill>
    <fill>
      <patternFill patternType="solid">
        <fgColor rgb="FFFFF2CC"/>
        <bgColor rgb="FF000000"/>
      </patternFill>
    </fill>
    <fill>
      <patternFill patternType="solid">
        <fgColor rgb="FFF8CBAD"/>
        <bgColor rgb="FF000000"/>
      </patternFill>
    </fill>
    <fill>
      <patternFill patternType="solid">
        <fgColor rgb="FFFFC000"/>
        <bgColor rgb="FF000000"/>
      </patternFill>
    </fill>
    <fill>
      <patternFill patternType="solid">
        <fgColor rgb="FFFFE699"/>
        <bgColor rgb="FF000000"/>
      </patternFill>
    </fill>
    <fill>
      <patternFill patternType="solid">
        <fgColor rgb="FFEDEDED"/>
        <bgColor rgb="FF000000"/>
      </patternFill>
    </fill>
    <fill>
      <patternFill patternType="solid">
        <fgColor theme="5" tint="-0.249977111117893"/>
        <bgColor indexed="64"/>
      </patternFill>
    </fill>
    <fill>
      <patternFill patternType="solid">
        <fgColor theme="5" tint="-0.249977111117893"/>
        <bgColor rgb="FF000000"/>
      </patternFill>
    </fill>
    <fill>
      <patternFill patternType="solid">
        <fgColor rgb="FFFFC000"/>
        <bgColor indexed="64"/>
      </patternFill>
    </fill>
    <fill>
      <patternFill patternType="solid">
        <fgColor theme="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3" tint="0.749992370372631"/>
        <bgColor indexed="64"/>
      </patternFill>
    </fill>
    <fill>
      <patternFill patternType="solid">
        <fgColor theme="0" tint="-0.249977111117893"/>
        <bgColor rgb="FF000000"/>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rgb="FF000000"/>
      </patternFill>
    </fill>
    <fill>
      <patternFill patternType="solid">
        <fgColor theme="9" tint="0.79998168889431442"/>
        <bgColor rgb="FF000000"/>
      </patternFill>
    </fill>
    <fill>
      <patternFill patternType="solid">
        <fgColor rgb="FFD9E1F2"/>
        <bgColor rgb="FF000000"/>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9" tint="0.79998168889431442"/>
        <bgColor indexed="64"/>
      </patternFill>
    </fill>
    <fill>
      <patternFill patternType="solid">
        <fgColor theme="5" tint="0.39997558519241921"/>
        <bgColor indexed="64"/>
      </patternFill>
    </fill>
  </fills>
  <borders count="66">
    <border>
      <left/>
      <right/>
      <top/>
      <bottom/>
      <diagonal/>
    </border>
    <border>
      <left style="thick">
        <color rgb="FFFFFFFF"/>
      </left>
      <right style="thick">
        <color rgb="FFFFFFFF"/>
      </right>
      <top/>
      <bottom/>
      <diagonal/>
    </border>
    <border>
      <left style="dashed">
        <color rgb="FFD9D9D9"/>
      </left>
      <right style="dashed">
        <color rgb="FFD9D9D9"/>
      </right>
      <top style="dashed">
        <color rgb="FFD9D9D9"/>
      </top>
      <bottom style="dashed">
        <color rgb="FFD9D9D9"/>
      </bottom>
      <diagonal/>
    </border>
    <border>
      <left style="dotted">
        <color indexed="64"/>
      </left>
      <right style="dotted">
        <color indexed="64"/>
      </right>
      <top style="dotted">
        <color indexed="64"/>
      </top>
      <bottom style="dotted">
        <color indexed="64"/>
      </bottom>
      <diagonal/>
    </border>
    <border>
      <left style="dotted">
        <color indexed="64"/>
      </left>
      <right style="dotted">
        <color indexed="64"/>
      </right>
      <top/>
      <bottom style="dotted">
        <color indexed="64"/>
      </bottom>
      <diagonal/>
    </border>
    <border>
      <left/>
      <right style="dotted">
        <color indexed="64"/>
      </right>
      <top/>
      <bottom style="dotted">
        <color indexed="64"/>
      </bottom>
      <diagonal/>
    </border>
    <border>
      <left style="dotted">
        <color indexed="64"/>
      </left>
      <right/>
      <top/>
      <bottom/>
      <diagonal/>
    </border>
    <border>
      <left/>
      <right style="dotted">
        <color indexed="64"/>
      </right>
      <top/>
      <bottom/>
      <diagonal/>
    </border>
    <border>
      <left/>
      <right style="dashed">
        <color rgb="FFD9D9D9"/>
      </right>
      <top/>
      <bottom/>
      <diagonal/>
    </border>
    <border>
      <left style="thin">
        <color indexed="64"/>
      </left>
      <right style="thin">
        <color indexed="64"/>
      </right>
      <top style="thin">
        <color indexed="64"/>
      </top>
      <bottom style="thin">
        <color indexed="64"/>
      </bottom>
      <diagonal/>
    </border>
    <border>
      <left style="dashed">
        <color rgb="FFD9D9D9"/>
      </left>
      <right style="dashed">
        <color rgb="FFD9D9D9"/>
      </right>
      <top style="dashed">
        <color rgb="FFD9D9D9"/>
      </top>
      <bottom/>
      <diagonal/>
    </border>
    <border>
      <left style="thick">
        <color rgb="FFFFFFFF"/>
      </left>
      <right/>
      <top/>
      <bottom/>
      <diagonal/>
    </border>
    <border>
      <left style="dotted">
        <color rgb="FFD9D9D9"/>
      </left>
      <right/>
      <top/>
      <bottom/>
      <diagonal/>
    </border>
    <border>
      <left style="dashed">
        <color rgb="FFD9D9D9"/>
      </left>
      <right/>
      <top style="dashed">
        <color rgb="FFD9D9D9"/>
      </top>
      <bottom style="dashed">
        <color rgb="FFD9D9D9"/>
      </bottom>
      <diagonal/>
    </border>
    <border>
      <left/>
      <right style="thick">
        <color rgb="FFFFFFFF"/>
      </right>
      <top/>
      <bottom/>
      <diagonal/>
    </border>
    <border>
      <left/>
      <right style="dotted">
        <color rgb="FFD9D9D9"/>
      </right>
      <top/>
      <bottom/>
      <diagonal/>
    </border>
    <border>
      <left/>
      <right style="dashed">
        <color rgb="FFD9D9D9"/>
      </right>
      <top style="dashed">
        <color rgb="FFD9D9D9"/>
      </top>
      <bottom style="dashed">
        <color rgb="FFD9D9D9"/>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diagonal/>
    </border>
    <border>
      <left style="dashed">
        <color rgb="FFD9D9D9"/>
      </left>
      <right style="dashed">
        <color rgb="FFD9D9D9"/>
      </right>
      <top/>
      <bottom style="dashed">
        <color rgb="FFD9D9D9"/>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style="medium">
        <color theme="1"/>
      </right>
      <top style="thin">
        <color theme="1"/>
      </top>
      <bottom style="thin">
        <color theme="1"/>
      </bottom>
      <diagonal/>
    </border>
    <border>
      <left/>
      <right/>
      <top style="thin">
        <color theme="1"/>
      </top>
      <bottom style="medium">
        <color theme="1"/>
      </bottom>
      <diagonal/>
    </border>
    <border>
      <left/>
      <right style="thin">
        <color indexed="64"/>
      </right>
      <top/>
      <bottom/>
      <diagonal/>
    </border>
    <border>
      <left style="dashed">
        <color rgb="FFD9D9D9"/>
      </left>
      <right style="dashed">
        <color rgb="FFD9D9D9"/>
      </right>
      <top/>
      <bottom/>
      <diagonal/>
    </border>
    <border>
      <left style="dotted">
        <color indexed="64"/>
      </left>
      <right style="dotted">
        <color indexed="64"/>
      </right>
      <top/>
      <bottom/>
      <diagonal/>
    </border>
    <border>
      <left/>
      <right style="thin">
        <color indexed="64"/>
      </right>
      <top/>
      <bottom style="thin">
        <color indexed="64"/>
      </bottom>
      <diagonal/>
    </border>
    <border>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diagonal/>
    </border>
    <border>
      <left/>
      <right/>
      <top style="thin">
        <color indexed="64"/>
      </top>
      <bottom style="thin">
        <color indexed="64"/>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right/>
      <top/>
      <bottom style="thin">
        <color theme="4" tint="0.39997558519241921"/>
      </bottom>
      <diagonal/>
    </border>
    <border>
      <left/>
      <right/>
      <top style="thin">
        <color theme="4" tint="0.39997558519241921"/>
      </top>
      <bottom/>
      <diagonal/>
    </border>
    <border>
      <left/>
      <right/>
      <top/>
      <bottom style="thin">
        <color rgb="FF000000"/>
      </bottom>
      <diagonal/>
    </border>
    <border>
      <left style="thin">
        <color indexed="64"/>
      </left>
      <right style="dotted">
        <color indexed="64"/>
      </right>
      <top/>
      <bottom/>
      <diagonal/>
    </border>
    <border>
      <left style="thin">
        <color indexed="64"/>
      </left>
      <right style="dotted">
        <color indexed="64"/>
      </right>
      <top/>
      <bottom style="dotted">
        <color indexed="64"/>
      </bottom>
      <diagonal/>
    </border>
    <border>
      <left style="thin">
        <color rgb="FF000000"/>
      </left>
      <right style="thin">
        <color rgb="FF000000"/>
      </right>
      <top style="dotted">
        <color indexed="64"/>
      </top>
      <bottom/>
      <diagonal/>
    </border>
    <border>
      <left style="thin">
        <color rgb="FF000000"/>
      </left>
      <right style="thin">
        <color rgb="FF000000"/>
      </right>
      <top/>
      <bottom style="dotted">
        <color indexed="64"/>
      </bottom>
      <diagonal/>
    </border>
    <border>
      <left/>
      <right/>
      <top style="dotted">
        <color indexed="64"/>
      </top>
      <bottom/>
      <diagonal/>
    </border>
  </borders>
  <cellStyleXfs count="4">
    <xf numFmtId="0" fontId="0" fillId="0" borderId="0"/>
    <xf numFmtId="43" fontId="10" fillId="0" borderId="0" applyFont="0" applyFill="0" applyBorder="0" applyAlignment="0" applyProtection="0"/>
    <xf numFmtId="9" fontId="10" fillId="0" borderId="0" applyFont="0" applyFill="0" applyBorder="0" applyAlignment="0" applyProtection="0"/>
    <xf numFmtId="0" fontId="48" fillId="0" borderId="0"/>
  </cellStyleXfs>
  <cellXfs count="1344">
    <xf numFmtId="0" fontId="0" fillId="0" borderId="0" xfId="0"/>
    <xf numFmtId="0" fontId="1" fillId="2" borderId="1" xfId="0" applyFont="1" applyFill="1" applyBorder="1" applyAlignment="1">
      <alignment horizontal="center" vertical="center"/>
    </xf>
    <xf numFmtId="0" fontId="4" fillId="0" borderId="0" xfId="0" applyFont="1"/>
    <xf numFmtId="0" fontId="8" fillId="4" borderId="1" xfId="0" applyFont="1" applyFill="1" applyBorder="1" applyAlignment="1">
      <alignment horizontal="center" vertical="center"/>
    </xf>
    <xf numFmtId="1" fontId="0" fillId="0" borderId="0" xfId="0" applyNumberFormat="1"/>
    <xf numFmtId="164" fontId="7" fillId="0" borderId="9" xfId="0" applyNumberFormat="1" applyFont="1" applyBorder="1"/>
    <xf numFmtId="0" fontId="9" fillId="0" borderId="0" xfId="0" applyFont="1"/>
    <xf numFmtId="0" fontId="8"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8" fillId="4" borderId="14" xfId="0" applyFont="1" applyFill="1" applyBorder="1" applyAlignment="1">
      <alignment horizontal="center" vertical="center"/>
    </xf>
    <xf numFmtId="0" fontId="5" fillId="4" borderId="15" xfId="0" applyFont="1" applyFill="1" applyBorder="1" applyAlignment="1">
      <alignment horizontal="center" vertical="center"/>
    </xf>
    <xf numFmtId="0" fontId="8" fillId="4" borderId="0" xfId="0" applyFont="1" applyFill="1" applyAlignment="1">
      <alignment horizontal="center" vertical="center"/>
    </xf>
    <xf numFmtId="1" fontId="8" fillId="4" borderId="0" xfId="0" applyNumberFormat="1" applyFont="1" applyFill="1" applyAlignment="1">
      <alignment horizontal="center" vertical="center"/>
    </xf>
    <xf numFmtId="0" fontId="1" fillId="2" borderId="14" xfId="0" applyFont="1" applyFill="1" applyBorder="1" applyAlignment="1">
      <alignment horizontal="center" vertical="center"/>
    </xf>
    <xf numFmtId="0" fontId="8" fillId="4" borderId="9" xfId="0" applyFont="1" applyFill="1" applyBorder="1" applyAlignment="1">
      <alignment horizontal="center" vertical="center"/>
    </xf>
    <xf numFmtId="0" fontId="5" fillId="4" borderId="9" xfId="0" applyFont="1" applyFill="1" applyBorder="1" applyAlignment="1">
      <alignment horizontal="center" vertical="center"/>
    </xf>
    <xf numFmtId="0" fontId="5" fillId="4" borderId="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3" fillId="0" borderId="3" xfId="1" applyNumberFormat="1" applyFont="1" applyFill="1" applyBorder="1" applyAlignment="1" applyProtection="1">
      <alignment horizontal="center" vertical="center"/>
      <protection locked="0"/>
    </xf>
    <xf numFmtId="0" fontId="2" fillId="0" borderId="0" xfId="0" applyFont="1" applyAlignment="1">
      <alignment horizontal="center" vertical="center"/>
    </xf>
    <xf numFmtId="0" fontId="2" fillId="0" borderId="2" xfId="0" applyFont="1" applyBorder="1" applyAlignment="1">
      <alignment horizontal="center" vertical="center"/>
    </xf>
    <xf numFmtId="0" fontId="2" fillId="0" borderId="2" xfId="0" applyFont="1" applyBorder="1" applyAlignment="1">
      <alignment horizontal="left" vertical="center"/>
    </xf>
    <xf numFmtId="0" fontId="3" fillId="0" borderId="4" xfId="0" applyFont="1" applyBorder="1" applyAlignment="1">
      <alignment wrapText="1"/>
    </xf>
    <xf numFmtId="0" fontId="2" fillId="0" borderId="20" xfId="0" applyFont="1" applyBorder="1" applyAlignment="1">
      <alignment horizontal="center" vertical="center"/>
    </xf>
    <xf numFmtId="0" fontId="3" fillId="0" borderId="4"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left" vertical="center" wrapText="1"/>
    </xf>
    <xf numFmtId="4" fontId="3" fillId="0" borderId="3" xfId="0" applyNumberFormat="1" applyFont="1" applyBorder="1" applyAlignment="1">
      <alignment horizontal="center" vertical="center"/>
    </xf>
    <xf numFmtId="4" fontId="3" fillId="0" borderId="4" xfId="0" applyNumberFormat="1" applyFont="1" applyBorder="1" applyAlignment="1">
      <alignment horizontal="right" vertical="center"/>
    </xf>
    <xf numFmtId="0" fontId="2" fillId="0" borderId="0" xfId="0" applyFont="1" applyAlignment="1">
      <alignment vertical="center"/>
    </xf>
    <xf numFmtId="3" fontId="2" fillId="0" borderId="0" xfId="0" applyNumberFormat="1" applyFont="1" applyAlignment="1">
      <alignment vertical="center"/>
    </xf>
    <xf numFmtId="0" fontId="3" fillId="0" borderId="3" xfId="0" applyFont="1" applyBorder="1" applyAlignment="1">
      <alignment vertical="center" wrapText="1"/>
    </xf>
    <xf numFmtId="4" fontId="3" fillId="0" borderId="3" xfId="0" applyNumberFormat="1" applyFont="1" applyBorder="1" applyAlignment="1">
      <alignment horizontal="right" vertical="center"/>
    </xf>
    <xf numFmtId="0" fontId="3" fillId="0" borderId="3" xfId="0" applyFont="1" applyBorder="1" applyAlignment="1">
      <alignment horizontal="left" vertical="center" wrapText="1"/>
    </xf>
    <xf numFmtId="0" fontId="3" fillId="0" borderId="3" xfId="0" applyFont="1" applyBorder="1" applyAlignment="1" applyProtection="1">
      <alignment horizontal="center" vertical="center"/>
      <protection locked="0"/>
    </xf>
    <xf numFmtId="3" fontId="2" fillId="0" borderId="2" xfId="0" applyNumberFormat="1" applyFont="1" applyBorder="1" applyAlignment="1">
      <alignment vertical="center"/>
    </xf>
    <xf numFmtId="0" fontId="5" fillId="0" borderId="4" xfId="0" applyFont="1" applyBorder="1" applyAlignment="1">
      <alignment wrapText="1"/>
    </xf>
    <xf numFmtId="0" fontId="5" fillId="0" borderId="3" xfId="0" applyFont="1" applyBorder="1" applyAlignment="1">
      <alignment horizontal="center" vertical="center"/>
    </xf>
    <xf numFmtId="0" fontId="5" fillId="0" borderId="3" xfId="0" applyFont="1" applyBorder="1" applyAlignment="1">
      <alignment vertical="center" wrapText="1"/>
    </xf>
    <xf numFmtId="4" fontId="5" fillId="0" borderId="3" xfId="0" applyNumberFormat="1" applyFont="1" applyBorder="1" applyAlignment="1">
      <alignment horizontal="center"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wrapText="1"/>
    </xf>
    <xf numFmtId="0" fontId="2" fillId="0" borderId="2" xfId="0" applyFont="1" applyBorder="1" applyAlignment="1">
      <alignment vertical="center"/>
    </xf>
    <xf numFmtId="0" fontId="3" fillId="0" borderId="3" xfId="0" applyFont="1" applyBorder="1" applyAlignment="1">
      <alignment wrapText="1"/>
    </xf>
    <xf numFmtId="0" fontId="6" fillId="0" borderId="0" xfId="0" applyFont="1" applyAlignment="1">
      <alignment wrapText="1"/>
    </xf>
    <xf numFmtId="0" fontId="3" fillId="0" borderId="19" xfId="0" applyFont="1" applyBorder="1" applyAlignment="1">
      <alignment horizontal="left" vertical="center" wrapText="1"/>
    </xf>
    <xf numFmtId="0" fontId="2" fillId="0" borderId="10" xfId="0" applyFont="1" applyBorder="1" applyAlignment="1">
      <alignment horizontal="center" vertical="center"/>
    </xf>
    <xf numFmtId="0" fontId="3" fillId="0" borderId="19" xfId="0" applyFont="1" applyBorder="1" applyAlignment="1">
      <alignment horizontal="center" vertical="center" wrapText="1"/>
    </xf>
    <xf numFmtId="0" fontId="3" fillId="0" borderId="19" xfId="0" applyFont="1" applyBorder="1" applyAlignment="1">
      <alignment vertical="center" wrapText="1"/>
    </xf>
    <xf numFmtId="0" fontId="3" fillId="0" borderId="19" xfId="0" applyFont="1" applyBorder="1" applyAlignment="1">
      <alignment horizontal="center" vertical="center"/>
    </xf>
    <xf numFmtId="3" fontId="2" fillId="0" borderId="10" xfId="0" applyNumberFormat="1" applyFont="1" applyBorder="1" applyAlignment="1">
      <alignment vertical="center"/>
    </xf>
    <xf numFmtId="0" fontId="2" fillId="0" borderId="9" xfId="0" applyFont="1" applyBorder="1" applyAlignment="1">
      <alignment horizontal="center" vertical="center"/>
    </xf>
    <xf numFmtId="0" fontId="2" fillId="0" borderId="16" xfId="0" applyFont="1" applyBorder="1" applyAlignment="1">
      <alignment horizontal="center" vertical="center"/>
    </xf>
    <xf numFmtId="0" fontId="2" fillId="0" borderId="13" xfId="0" applyFont="1" applyBorder="1" applyAlignment="1">
      <alignment horizontal="left" vertical="center"/>
    </xf>
    <xf numFmtId="0" fontId="3" fillId="0" borderId="9" xfId="0" applyFont="1" applyBorder="1" applyAlignment="1">
      <alignment horizontal="left" vertical="center" wrapText="1"/>
    </xf>
    <xf numFmtId="0" fontId="3" fillId="0" borderId="9"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9" xfId="0" applyFont="1" applyBorder="1" applyAlignment="1">
      <alignment vertical="center" wrapText="1"/>
    </xf>
    <xf numFmtId="0" fontId="3" fillId="0" borderId="9" xfId="0" applyFont="1" applyBorder="1" applyAlignment="1">
      <alignment horizontal="center" vertical="center"/>
    </xf>
    <xf numFmtId="3" fontId="2" fillId="0" borderId="9" xfId="0" applyNumberFormat="1" applyFont="1" applyBorder="1" applyAlignment="1">
      <alignment vertical="center"/>
    </xf>
    <xf numFmtId="0" fontId="3" fillId="0" borderId="4" xfId="0" applyFont="1" applyBorder="1" applyAlignment="1">
      <alignment horizontal="center" vertical="center" wrapText="1"/>
    </xf>
    <xf numFmtId="0" fontId="3" fillId="0" borderId="4" xfId="0" applyFont="1" applyBorder="1" applyAlignment="1">
      <alignment vertical="center" wrapText="1"/>
    </xf>
    <xf numFmtId="3" fontId="2" fillId="0" borderId="20" xfId="0" applyNumberFormat="1" applyFont="1" applyBorder="1" applyAlignment="1">
      <alignment vertical="center"/>
    </xf>
    <xf numFmtId="0" fontId="3" fillId="0" borderId="5" xfId="0" applyFont="1" applyBorder="1" applyAlignment="1">
      <alignment vertical="center"/>
    </xf>
    <xf numFmtId="0" fontId="11" fillId="5" borderId="21" xfId="0" applyFont="1" applyFill="1" applyBorder="1" applyAlignment="1">
      <alignment horizontal="center" vertical="center" wrapText="1"/>
    </xf>
    <xf numFmtId="0" fontId="0" fillId="15" borderId="0" xfId="0" applyFill="1"/>
    <xf numFmtId="0" fontId="3" fillId="0" borderId="19" xfId="1" applyNumberFormat="1" applyFont="1" applyFill="1" applyBorder="1" applyAlignment="1" applyProtection="1">
      <alignment horizontal="center" vertical="center"/>
      <protection locked="0"/>
    </xf>
    <xf numFmtId="0" fontId="0" fillId="17" borderId="9" xfId="0" applyFill="1" applyBorder="1"/>
    <xf numFmtId="14" fontId="15" fillId="0" borderId="0" xfId="0" applyNumberFormat="1" applyFont="1"/>
    <xf numFmtId="4" fontId="12" fillId="10" borderId="27" xfId="0" applyNumberFormat="1" applyFont="1" applyFill="1" applyBorder="1" applyAlignment="1">
      <alignment horizontal="center" vertical="center"/>
    </xf>
    <xf numFmtId="4" fontId="19" fillId="0" borderId="27" xfId="0" applyNumberFormat="1" applyFont="1" applyBorder="1" applyAlignment="1">
      <alignment horizontal="center"/>
    </xf>
    <xf numFmtId="0" fontId="0" fillId="0" borderId="0" xfId="0" applyAlignment="1">
      <alignment horizontal="center"/>
    </xf>
    <xf numFmtId="0" fontId="22" fillId="0" borderId="0" xfId="0" applyFont="1" applyAlignment="1">
      <alignment horizontal="center"/>
    </xf>
    <xf numFmtId="0" fontId="24" fillId="0" borderId="0" xfId="0" applyFont="1"/>
    <xf numFmtId="4" fontId="25" fillId="0" borderId="0" xfId="0" applyNumberFormat="1" applyFont="1" applyAlignment="1">
      <alignment vertical="center"/>
    </xf>
    <xf numFmtId="4" fontId="25" fillId="0" borderId="0" xfId="0" applyNumberFormat="1" applyFont="1" applyAlignment="1">
      <alignment horizontal="center"/>
    </xf>
    <xf numFmtId="4" fontId="24" fillId="0" borderId="0" xfId="0" applyNumberFormat="1" applyFont="1"/>
    <xf numFmtId="4" fontId="7" fillId="0" borderId="0" xfId="0" applyNumberFormat="1" applyFont="1" applyAlignment="1">
      <alignment horizontal="center"/>
    </xf>
    <xf numFmtId="0" fontId="7" fillId="0" borderId="0" xfId="0" applyFont="1" applyAlignment="1">
      <alignment horizontal="center"/>
    </xf>
    <xf numFmtId="4" fontId="0" fillId="0" borderId="0" xfId="0" applyNumberFormat="1" applyAlignment="1">
      <alignment horizontal="left"/>
    </xf>
    <xf numFmtId="0" fontId="0" fillId="0" borderId="0" xfId="0" applyAlignment="1">
      <alignment horizontal="left"/>
    </xf>
    <xf numFmtId="0" fontId="7" fillId="0" borderId="0" xfId="0" applyFont="1"/>
    <xf numFmtId="0" fontId="7" fillId="0" borderId="0" xfId="0" applyFont="1" applyAlignment="1">
      <alignment wrapText="1"/>
    </xf>
    <xf numFmtId="0" fontId="28" fillId="18" borderId="0" xfId="0" applyFont="1" applyFill="1"/>
    <xf numFmtId="0" fontId="28" fillId="19" borderId="9" xfId="0" applyFont="1" applyFill="1" applyBorder="1" applyAlignment="1">
      <alignment horizontal="center"/>
    </xf>
    <xf numFmtId="0" fontId="28" fillId="0" borderId="0" xfId="0" applyFont="1" applyAlignment="1">
      <alignment horizontal="center"/>
    </xf>
    <xf numFmtId="0" fontId="28" fillId="0" borderId="0" xfId="0" applyFont="1"/>
    <xf numFmtId="0" fontId="28" fillId="0" borderId="0" xfId="0" applyFont="1" applyAlignment="1">
      <alignment horizontal="center" vertical="center"/>
    </xf>
    <xf numFmtId="0" fontId="7" fillId="0" borderId="0" xfId="0" applyFont="1" applyAlignment="1">
      <alignment horizontal="center" vertical="center"/>
    </xf>
    <xf numFmtId="4" fontId="7" fillId="19" borderId="9" xfId="0" applyNumberFormat="1" applyFont="1" applyFill="1" applyBorder="1" applyAlignment="1">
      <alignment horizontal="center" vertical="center"/>
    </xf>
    <xf numFmtId="4" fontId="7" fillId="19" borderId="23" xfId="0" applyNumberFormat="1" applyFont="1" applyFill="1" applyBorder="1" applyAlignment="1">
      <alignment horizontal="center" vertical="center"/>
    </xf>
    <xf numFmtId="165" fontId="7" fillId="19" borderId="9" xfId="0" applyNumberFormat="1" applyFont="1" applyFill="1" applyBorder="1" applyAlignment="1">
      <alignment horizontal="center" vertical="center"/>
    </xf>
    <xf numFmtId="4" fontId="7" fillId="0" borderId="0" xfId="0" applyNumberFormat="1" applyFont="1" applyAlignment="1">
      <alignment horizontal="center" vertical="center"/>
    </xf>
    <xf numFmtId="4" fontId="7" fillId="20" borderId="9" xfId="0" applyNumberFormat="1" applyFont="1" applyFill="1" applyBorder="1" applyAlignment="1">
      <alignment horizontal="center" vertical="center"/>
    </xf>
    <xf numFmtId="0" fontId="0" fillId="0" borderId="0" xfId="0" applyAlignment="1">
      <alignment wrapText="1"/>
    </xf>
    <xf numFmtId="0" fontId="24" fillId="0" borderId="9" xfId="0" applyFont="1" applyBorder="1"/>
    <xf numFmtId="0" fontId="28" fillId="0" borderId="9" xfId="0" applyFont="1" applyBorder="1"/>
    <xf numFmtId="0" fontId="28" fillId="0" borderId="9" xfId="0" applyFont="1" applyBorder="1" applyAlignment="1">
      <alignment horizontal="center" wrapText="1"/>
    </xf>
    <xf numFmtId="0" fontId="30" fillId="0" borderId="9" xfId="0" applyFont="1" applyBorder="1" applyAlignment="1">
      <alignment horizontal="center"/>
    </xf>
    <xf numFmtId="0" fontId="30" fillId="0" borderId="0" xfId="0" applyFont="1" applyAlignment="1">
      <alignment horizontal="center"/>
    </xf>
    <xf numFmtId="0" fontId="31" fillId="0" borderId="9" xfId="0" applyFont="1" applyBorder="1"/>
    <xf numFmtId="4" fontId="24" fillId="0" borderId="9" xfId="0" applyNumberFormat="1" applyFont="1" applyBorder="1" applyAlignment="1">
      <alignment horizontal="center"/>
    </xf>
    <xf numFmtId="0" fontId="32" fillId="0" borderId="9" xfId="0" applyFont="1" applyBorder="1"/>
    <xf numFmtId="4" fontId="7" fillId="18" borderId="9" xfId="0" applyNumberFormat="1" applyFont="1" applyFill="1" applyBorder="1" applyAlignment="1">
      <alignment horizontal="center"/>
    </xf>
    <xf numFmtId="4" fontId="7" fillId="18" borderId="33" xfId="0" applyNumberFormat="1" applyFont="1" applyFill="1" applyBorder="1" applyAlignment="1">
      <alignment horizontal="left"/>
    </xf>
    <xf numFmtId="4" fontId="7" fillId="0" borderId="9" xfId="0" applyNumberFormat="1" applyFont="1" applyBorder="1" applyAlignment="1">
      <alignment horizontal="center"/>
    </xf>
    <xf numFmtId="4" fontId="7" fillId="0" borderId="33" xfId="0" applyNumberFormat="1" applyFont="1" applyBorder="1" applyAlignment="1">
      <alignment horizontal="left"/>
    </xf>
    <xf numFmtId="0" fontId="32" fillId="0" borderId="9" xfId="0" applyFont="1" applyBorder="1" applyAlignment="1">
      <alignment wrapText="1"/>
    </xf>
    <xf numFmtId="4" fontId="7" fillId="0" borderId="34" xfId="0" applyNumberFormat="1" applyFont="1" applyBorder="1" applyAlignment="1">
      <alignment horizontal="left"/>
    </xf>
    <xf numFmtId="0" fontId="33" fillId="0" borderId="9" xfId="0" applyFont="1" applyBorder="1" applyAlignment="1">
      <alignment wrapText="1"/>
    </xf>
    <xf numFmtId="4" fontId="34" fillId="0" borderId="9" xfId="0" applyNumberFormat="1" applyFont="1" applyBorder="1" applyAlignment="1">
      <alignment horizontal="center"/>
    </xf>
    <xf numFmtId="166" fontId="7" fillId="0" borderId="0" xfId="2" applyNumberFormat="1" applyFont="1" applyAlignment="1">
      <alignment horizontal="left"/>
    </xf>
    <xf numFmtId="166" fontId="7" fillId="0" borderId="0" xfId="2" applyNumberFormat="1" applyFont="1" applyBorder="1" applyAlignment="1">
      <alignment horizontal="center" vertical="center"/>
    </xf>
    <xf numFmtId="0" fontId="24" fillId="0" borderId="0" xfId="0" applyFont="1" applyAlignment="1">
      <alignment horizontal="center"/>
    </xf>
    <xf numFmtId="4" fontId="7" fillId="21" borderId="9" xfId="0" applyNumberFormat="1" applyFont="1" applyFill="1" applyBorder="1" applyAlignment="1">
      <alignment horizontal="center"/>
    </xf>
    <xf numFmtId="4" fontId="7" fillId="21" borderId="9" xfId="0" applyNumberFormat="1" applyFont="1" applyFill="1" applyBorder="1" applyAlignment="1">
      <alignment horizontal="center" wrapText="1"/>
    </xf>
    <xf numFmtId="0" fontId="30" fillId="21" borderId="21" xfId="0" applyFont="1" applyFill="1" applyBorder="1" applyAlignment="1">
      <alignment horizontal="center"/>
    </xf>
    <xf numFmtId="4" fontId="7" fillId="21" borderId="23" xfId="0" applyNumberFormat="1" applyFont="1" applyFill="1" applyBorder="1" applyAlignment="1">
      <alignment horizontal="center"/>
    </xf>
    <xf numFmtId="0" fontId="35" fillId="18" borderId="9" xfId="0" applyFont="1" applyFill="1" applyBorder="1" applyAlignment="1">
      <alignment horizontal="center" vertical="center" wrapText="1"/>
    </xf>
    <xf numFmtId="0" fontId="21" fillId="3" borderId="0" xfId="0" applyFont="1" applyFill="1" applyAlignment="1">
      <alignment horizontal="center" vertical="center" wrapText="1"/>
    </xf>
    <xf numFmtId="166" fontId="7" fillId="0" borderId="9" xfId="2" applyNumberFormat="1" applyFont="1" applyBorder="1" applyAlignment="1">
      <alignment horizontal="center" vertical="center"/>
    </xf>
    <xf numFmtId="0" fontId="3" fillId="0" borderId="0" xfId="0" applyFont="1" applyAlignment="1">
      <alignment horizontal="center" vertical="center"/>
    </xf>
    <xf numFmtId="0" fontId="3" fillId="23" borderId="3" xfId="0" applyFont="1" applyFill="1" applyBorder="1" applyAlignment="1">
      <alignment vertical="center" wrapText="1"/>
    </xf>
    <xf numFmtId="0" fontId="3" fillId="0" borderId="4" xfId="1" applyNumberFormat="1" applyFont="1" applyFill="1" applyBorder="1" applyAlignment="1" applyProtection="1">
      <alignment horizontal="center" vertical="center"/>
      <protection locked="0"/>
    </xf>
    <xf numFmtId="0" fontId="3" fillId="0" borderId="0" xfId="0" applyFont="1" applyAlignment="1">
      <alignment horizontal="left" vertical="center" wrapText="1"/>
    </xf>
    <xf numFmtId="0" fontId="39" fillId="0" borderId="3" xfId="1" applyNumberFormat="1" applyFont="1" applyFill="1" applyBorder="1" applyAlignment="1" applyProtection="1">
      <alignment horizontal="center" vertical="center"/>
      <protection locked="0"/>
    </xf>
    <xf numFmtId="4" fontId="39" fillId="0" borderId="3" xfId="1" applyNumberFormat="1" applyFont="1" applyFill="1" applyBorder="1" applyAlignment="1" applyProtection="1">
      <alignment horizontal="center" vertical="center"/>
      <protection locked="0"/>
    </xf>
    <xf numFmtId="0" fontId="40" fillId="17" borderId="9" xfId="0" applyFont="1" applyFill="1" applyBorder="1"/>
    <xf numFmtId="167" fontId="39" fillId="0" borderId="3" xfId="1" applyNumberFormat="1" applyFont="1" applyFill="1" applyBorder="1" applyAlignment="1" applyProtection="1">
      <alignment horizontal="center" vertical="center"/>
      <protection locked="0"/>
    </xf>
    <xf numFmtId="14" fontId="39" fillId="0" borderId="3" xfId="1" applyNumberFormat="1" applyFont="1" applyFill="1" applyBorder="1" applyAlignment="1" applyProtection="1">
      <alignment horizontal="center" vertical="center"/>
      <protection locked="0"/>
    </xf>
    <xf numFmtId="1" fontId="39" fillId="0" borderId="3" xfId="1" applyNumberFormat="1" applyFont="1" applyFill="1" applyBorder="1" applyAlignment="1" applyProtection="1">
      <alignment horizontal="center" vertical="center"/>
      <protection locked="0"/>
    </xf>
    <xf numFmtId="0" fontId="0" fillId="0" borderId="9" xfId="0" pivotButton="1" applyBorder="1" applyAlignment="1">
      <alignment horizontal="center" vertical="center"/>
    </xf>
    <xf numFmtId="0" fontId="0" fillId="0" borderId="9" xfId="0" applyBorder="1" applyAlignment="1">
      <alignment horizontal="center" vertical="center"/>
    </xf>
    <xf numFmtId="0" fontId="0" fillId="0" borderId="9" xfId="0" applyBorder="1" applyAlignment="1">
      <alignment horizontal="left"/>
    </xf>
    <xf numFmtId="0" fontId="0" fillId="0" borderId="9" xfId="0" applyBorder="1" applyAlignment="1">
      <alignment horizontal="left" indent="1"/>
    </xf>
    <xf numFmtId="164" fontId="0" fillId="0" borderId="9" xfId="0" applyNumberFormat="1" applyBorder="1"/>
    <xf numFmtId="0" fontId="0" fillId="0" borderId="9" xfId="0" applyBorder="1" applyAlignment="1">
      <alignment horizontal="left" indent="2"/>
    </xf>
    <xf numFmtId="0" fontId="0" fillId="0" borderId="9" xfId="0" applyBorder="1" applyAlignment="1">
      <alignment horizontal="center"/>
    </xf>
    <xf numFmtId="0" fontId="3" fillId="23" borderId="3" xfId="0" applyFont="1" applyFill="1" applyBorder="1" applyAlignment="1">
      <alignment horizontal="center" vertical="center"/>
    </xf>
    <xf numFmtId="0" fontId="0" fillId="23" borderId="0" xfId="0" applyFill="1"/>
    <xf numFmtId="14" fontId="0" fillId="0" borderId="0" xfId="0" applyNumberFormat="1"/>
    <xf numFmtId="3" fontId="0" fillId="0" borderId="0" xfId="0" applyNumberFormat="1"/>
    <xf numFmtId="0" fontId="0" fillId="0" borderId="0" xfId="0" applyAlignment="1">
      <alignment vertical="center"/>
    </xf>
    <xf numFmtId="0" fontId="0" fillId="0" borderId="0" xfId="0" applyAlignment="1">
      <alignment vertical="center" wrapText="1"/>
    </xf>
    <xf numFmtId="4" fontId="12" fillId="25" borderId="27" xfId="0" applyNumberFormat="1" applyFont="1" applyFill="1" applyBorder="1" applyAlignment="1">
      <alignment horizontal="center" vertical="center"/>
    </xf>
    <xf numFmtId="164" fontId="0" fillId="0" borderId="0" xfId="0" applyNumberFormat="1" applyAlignment="1">
      <alignment horizontal="center" vertical="center"/>
    </xf>
    <xf numFmtId="0" fontId="0" fillId="17" borderId="30" xfId="0" applyFill="1" applyBorder="1"/>
    <xf numFmtId="0" fontId="39" fillId="0" borderId="4" xfId="1" applyNumberFormat="1" applyFont="1" applyFill="1" applyBorder="1" applyAlignment="1" applyProtection="1">
      <alignment horizontal="center" vertical="center"/>
      <protection locked="0"/>
    </xf>
    <xf numFmtId="167" fontId="39" fillId="0" borderId="4" xfId="1" applyNumberFormat="1" applyFont="1" applyFill="1" applyBorder="1" applyAlignment="1" applyProtection="1">
      <alignment horizontal="center" vertical="center"/>
      <protection locked="0"/>
    </xf>
    <xf numFmtId="4" fontId="39" fillId="0" borderId="4" xfId="1" applyNumberFormat="1" applyFont="1" applyFill="1" applyBorder="1" applyAlignment="1" applyProtection="1">
      <alignment horizontal="center" vertical="center"/>
      <protection locked="0"/>
    </xf>
    <xf numFmtId="0" fontId="0" fillId="17" borderId="0" xfId="0" applyFill="1" applyAlignment="1">
      <alignment horizontal="left" vertical="center"/>
    </xf>
    <xf numFmtId="1" fontId="0" fillId="17" borderId="0" xfId="0" applyNumberFormat="1" applyFill="1" applyAlignment="1">
      <alignment horizontal="left" vertical="center"/>
    </xf>
    <xf numFmtId="164" fontId="7" fillId="17" borderId="0" xfId="0" applyNumberFormat="1" applyFont="1" applyFill="1" applyAlignment="1">
      <alignment horizontal="left" vertical="center"/>
    </xf>
    <xf numFmtId="0" fontId="40" fillId="17" borderId="0" xfId="0" applyFont="1" applyFill="1" applyAlignment="1">
      <alignment horizontal="left" vertical="center"/>
    </xf>
    <xf numFmtId="0" fontId="40" fillId="15" borderId="0" xfId="0" applyFont="1" applyFill="1" applyAlignment="1">
      <alignment horizontal="left" vertical="center"/>
    </xf>
    <xf numFmtId="0" fontId="50" fillId="0" borderId="0" xfId="0" applyFont="1" applyAlignment="1">
      <alignment horizontal="left" vertical="center"/>
    </xf>
    <xf numFmtId="0" fontId="0" fillId="21" borderId="0" xfId="0" applyFill="1"/>
    <xf numFmtId="1" fontId="0" fillId="21" borderId="0" xfId="0" applyNumberFormat="1" applyFill="1"/>
    <xf numFmtId="164" fontId="7" fillId="21" borderId="9" xfId="0" applyNumberFormat="1" applyFont="1" applyFill="1" applyBorder="1"/>
    <xf numFmtId="0" fontId="39" fillId="0" borderId="0" xfId="1" applyNumberFormat="1" applyFont="1" applyFill="1" applyBorder="1" applyAlignment="1" applyProtection="1">
      <alignment horizontal="center" vertical="center"/>
      <protection locked="0"/>
    </xf>
    <xf numFmtId="0" fontId="3" fillId="0" borderId="0" xfId="1" applyNumberFormat="1" applyFont="1" applyFill="1" applyBorder="1" applyAlignment="1" applyProtection="1">
      <alignment horizontal="center" vertical="center"/>
      <protection locked="0"/>
    </xf>
    <xf numFmtId="4" fontId="39" fillId="0" borderId="0" xfId="1" applyNumberFormat="1" applyFont="1" applyFill="1" applyBorder="1" applyAlignment="1" applyProtection="1">
      <alignment horizontal="center" vertical="center"/>
      <protection locked="0"/>
    </xf>
    <xf numFmtId="167" fontId="39" fillId="0" borderId="0" xfId="1" applyNumberFormat="1" applyFont="1" applyFill="1" applyBorder="1" applyAlignment="1" applyProtection="1">
      <alignment horizontal="center" vertical="center"/>
      <protection locked="0"/>
    </xf>
    <xf numFmtId="4" fontId="12" fillId="26" borderId="27" xfId="0" applyNumberFormat="1" applyFont="1" applyFill="1" applyBorder="1" applyAlignment="1">
      <alignment horizontal="center" vertical="center"/>
    </xf>
    <xf numFmtId="4" fontId="12" fillId="0" borderId="27" xfId="0" applyNumberFormat="1" applyFont="1" applyBorder="1" applyAlignment="1">
      <alignment horizontal="center" vertical="center"/>
    </xf>
    <xf numFmtId="0" fontId="3" fillId="0" borderId="3" xfId="1" applyNumberFormat="1" applyFont="1" applyFill="1" applyBorder="1" applyAlignment="1" applyProtection="1">
      <alignment horizontal="left" vertical="center"/>
      <protection locked="0"/>
    </xf>
    <xf numFmtId="0" fontId="49" fillId="0" borderId="0" xfId="0" applyFont="1" applyAlignment="1">
      <alignment horizontal="center" vertical="center"/>
    </xf>
    <xf numFmtId="0" fontId="49" fillId="0" borderId="2" xfId="0" applyFont="1" applyBorder="1" applyAlignment="1">
      <alignment horizontal="center" vertical="center"/>
    </xf>
    <xf numFmtId="0" fontId="49" fillId="0" borderId="2" xfId="0" applyFont="1" applyBorder="1" applyAlignment="1">
      <alignment horizontal="left" vertical="center"/>
    </xf>
    <xf numFmtId="0" fontId="5" fillId="0" borderId="3" xfId="0" applyFont="1" applyBorder="1" applyAlignment="1">
      <alignment horizontal="left" vertical="center" wrapText="1"/>
    </xf>
    <xf numFmtId="0" fontId="12" fillId="0" borderId="0" xfId="0" applyFont="1"/>
    <xf numFmtId="0" fontId="5" fillId="0" borderId="3" xfId="0" applyFont="1" applyBorder="1" applyAlignment="1">
      <alignment horizontal="center" vertical="center" wrapText="1"/>
    </xf>
    <xf numFmtId="3" fontId="49" fillId="0" borderId="2" xfId="0" applyNumberFormat="1" applyFont="1" applyBorder="1" applyAlignment="1">
      <alignment vertical="center"/>
    </xf>
    <xf numFmtId="0" fontId="49" fillId="0" borderId="0" xfId="0" applyFont="1" applyAlignment="1">
      <alignment vertical="center"/>
    </xf>
    <xf numFmtId="3" fontId="49" fillId="0" borderId="0" xfId="0" applyNumberFormat="1" applyFont="1" applyAlignment="1">
      <alignment vertical="center"/>
    </xf>
    <xf numFmtId="0" fontId="5" fillId="0" borderId="3" xfId="1" applyNumberFormat="1" applyFont="1" applyFill="1" applyBorder="1" applyAlignment="1" applyProtection="1">
      <alignment horizontal="center" vertical="center"/>
      <protection locked="0"/>
    </xf>
    <xf numFmtId="0" fontId="3" fillId="0" borderId="3" xfId="1" applyNumberFormat="1" applyFont="1" applyFill="1" applyBorder="1" applyAlignment="1" applyProtection="1">
      <alignment vertical="center"/>
      <protection locked="0"/>
    </xf>
    <xf numFmtId="0" fontId="39" fillId="0" borderId="3" xfId="1" applyNumberFormat="1" applyFont="1" applyFill="1" applyBorder="1" applyAlignment="1" applyProtection="1">
      <alignment vertical="center"/>
      <protection locked="0"/>
    </xf>
    <xf numFmtId="0" fontId="2" fillId="0" borderId="2" xfId="0" applyFont="1" applyBorder="1" applyAlignment="1">
      <alignment horizontal="center" vertical="center" wrapText="1"/>
    </xf>
    <xf numFmtId="0" fontId="5" fillId="4" borderId="1" xfId="0" applyFont="1" applyFill="1" applyBorder="1" applyAlignment="1">
      <alignment wrapText="1"/>
    </xf>
    <xf numFmtId="0" fontId="3" fillId="0" borderId="17" xfId="0" applyFont="1" applyBorder="1" applyAlignment="1">
      <alignment horizontal="center" vertical="center"/>
    </xf>
    <xf numFmtId="4" fontId="3" fillId="0" borderId="18" xfId="0" applyNumberFormat="1" applyFont="1" applyBorder="1" applyAlignment="1">
      <alignment horizontal="center" vertical="center"/>
    </xf>
    <xf numFmtId="0" fontId="47" fillId="18" borderId="0" xfId="0" applyFont="1" applyFill="1"/>
    <xf numFmtId="167" fontId="58" fillId="0" borderId="3" xfId="1" applyNumberFormat="1" applyFont="1" applyFill="1" applyBorder="1" applyAlignment="1" applyProtection="1">
      <alignment horizontal="center" vertical="center"/>
      <protection locked="0"/>
    </xf>
    <xf numFmtId="0" fontId="59" fillId="4" borderId="21" xfId="0" applyFont="1" applyFill="1" applyBorder="1" applyAlignment="1">
      <alignment horizontal="center" vertical="center"/>
    </xf>
    <xf numFmtId="0" fontId="59" fillId="4" borderId="1" xfId="0" applyFont="1" applyFill="1" applyBorder="1" applyAlignment="1">
      <alignment horizontal="center" vertical="center"/>
    </xf>
    <xf numFmtId="0" fontId="59" fillId="4" borderId="11" xfId="0" applyFont="1" applyFill="1" applyBorder="1" applyAlignment="1">
      <alignment horizontal="center" vertical="center"/>
    </xf>
    <xf numFmtId="0" fontId="59" fillId="4" borderId="21" xfId="0" applyFont="1" applyFill="1" applyBorder="1" applyAlignment="1">
      <alignment horizontal="center" vertical="center" wrapText="1"/>
    </xf>
    <xf numFmtId="0" fontId="60" fillId="4" borderId="21" xfId="0" applyFont="1" applyFill="1" applyBorder="1" applyAlignment="1">
      <alignment horizontal="center" vertical="center"/>
    </xf>
    <xf numFmtId="0" fontId="59" fillId="4" borderId="0" xfId="0" applyFont="1" applyFill="1" applyAlignment="1">
      <alignment horizontal="center" vertical="center"/>
    </xf>
    <xf numFmtId="1" fontId="59" fillId="4" borderId="0" xfId="0" applyNumberFormat="1" applyFont="1" applyFill="1" applyAlignment="1">
      <alignment horizontal="center" vertical="center"/>
    </xf>
    <xf numFmtId="0" fontId="60" fillId="4" borderId="1" xfId="0" applyFont="1" applyFill="1" applyBorder="1" applyAlignment="1">
      <alignment wrapText="1"/>
    </xf>
    <xf numFmtId="0" fontId="61" fillId="10" borderId="9" xfId="0" applyFont="1" applyFill="1" applyBorder="1" applyAlignment="1">
      <alignment horizontal="left" vertical="center"/>
    </xf>
    <xf numFmtId="0" fontId="56" fillId="11" borderId="21" xfId="0" applyFont="1" applyFill="1" applyBorder="1" applyAlignment="1">
      <alignment horizontal="left" vertical="center" wrapText="1"/>
    </xf>
    <xf numFmtId="0" fontId="56" fillId="12" borderId="21" xfId="0" applyFont="1" applyFill="1" applyBorder="1" applyAlignment="1">
      <alignment horizontal="left" vertical="center" wrapText="1"/>
    </xf>
    <xf numFmtId="0" fontId="56" fillId="16" borderId="21" xfId="0" applyFont="1" applyFill="1" applyBorder="1" applyAlignment="1">
      <alignment horizontal="left" vertical="center" wrapText="1"/>
    </xf>
    <xf numFmtId="0" fontId="62" fillId="14" borderId="21" xfId="0" applyFont="1" applyFill="1" applyBorder="1" applyAlignment="1">
      <alignment horizontal="left" vertical="center" wrapText="1"/>
    </xf>
    <xf numFmtId="0" fontId="63" fillId="16" borderId="21" xfId="0" applyFont="1" applyFill="1" applyBorder="1" applyAlignment="1">
      <alignment horizontal="left" vertical="center" wrapText="1"/>
    </xf>
    <xf numFmtId="0" fontId="56" fillId="16" borderId="9" xfId="0" applyFont="1" applyFill="1" applyBorder="1" applyAlignment="1">
      <alignment horizontal="left" vertical="center" wrapText="1"/>
    </xf>
    <xf numFmtId="0" fontId="62" fillId="9" borderId="9" xfId="0" applyFont="1" applyFill="1" applyBorder="1" applyAlignment="1">
      <alignment horizontal="left" vertical="center" wrapText="1"/>
    </xf>
    <xf numFmtId="0" fontId="56" fillId="0" borderId="0" xfId="0" applyFont="1"/>
    <xf numFmtId="0" fontId="66" fillId="0" borderId="2" xfId="0" applyFont="1" applyBorder="1" applyAlignment="1">
      <alignment horizontal="left" vertical="center"/>
    </xf>
    <xf numFmtId="0" fontId="66" fillId="0" borderId="0" xfId="0" applyFont="1" applyAlignment="1">
      <alignment horizontal="center" vertical="center"/>
    </xf>
    <xf numFmtId="0" fontId="64" fillId="0" borderId="3" xfId="0" applyFont="1" applyBorder="1" applyAlignment="1">
      <alignment horizontal="center" vertical="center"/>
    </xf>
    <xf numFmtId="0" fontId="66" fillId="0" borderId="2" xfId="0" applyFont="1" applyBorder="1" applyAlignment="1">
      <alignment horizontal="center" vertical="center"/>
    </xf>
    <xf numFmtId="0" fontId="67" fillId="0" borderId="45" xfId="0" applyFont="1" applyBorder="1" applyAlignment="1">
      <alignment horizontal="center" vertical="center" wrapText="1"/>
    </xf>
    <xf numFmtId="0" fontId="67" fillId="27" borderId="21" xfId="0" applyFont="1" applyFill="1" applyBorder="1" applyAlignment="1">
      <alignment horizontal="center" vertical="center" wrapText="1"/>
    </xf>
    <xf numFmtId="0" fontId="67" fillId="27" borderId="30" xfId="0" applyFont="1" applyFill="1" applyBorder="1" applyAlignment="1">
      <alignment horizontal="center" vertical="center" wrapText="1"/>
    </xf>
    <xf numFmtId="0" fontId="67" fillId="27" borderId="39" xfId="0" applyFont="1" applyFill="1" applyBorder="1" applyAlignment="1">
      <alignment horizontal="center" vertical="center" wrapText="1"/>
    </xf>
    <xf numFmtId="0" fontId="67" fillId="27" borderId="40" xfId="0" applyFont="1" applyFill="1" applyBorder="1" applyAlignment="1">
      <alignment horizontal="center" vertical="center" wrapText="1"/>
    </xf>
    <xf numFmtId="0" fontId="67" fillId="27" borderId="51" xfId="0" applyFont="1" applyFill="1" applyBorder="1" applyAlignment="1">
      <alignment horizontal="center" vertical="center" wrapText="1"/>
    </xf>
    <xf numFmtId="0" fontId="67" fillId="0" borderId="50" xfId="0" applyFont="1" applyBorder="1" applyAlignment="1">
      <alignment horizontal="center" vertical="center" wrapText="1"/>
    </xf>
    <xf numFmtId="4" fontId="0" fillId="0" borderId="0" xfId="0" applyNumberFormat="1"/>
    <xf numFmtId="0" fontId="56" fillId="12" borderId="21" xfId="0" applyFont="1" applyFill="1" applyBorder="1" applyAlignment="1">
      <alignment horizontal="center" vertical="center" wrapText="1"/>
    </xf>
    <xf numFmtId="0" fontId="40" fillId="17" borderId="0" xfId="0" applyFont="1" applyFill="1" applyAlignment="1">
      <alignment horizontal="center" vertical="center"/>
    </xf>
    <xf numFmtId="14" fontId="7" fillId="0" borderId="0" xfId="0" applyNumberFormat="1" applyFont="1" applyAlignment="1">
      <alignment horizontal="left"/>
    </xf>
    <xf numFmtId="0" fontId="70" fillId="0" borderId="3" xfId="1" applyNumberFormat="1" applyFont="1" applyFill="1" applyBorder="1" applyAlignment="1" applyProtection="1">
      <alignment horizontal="center" vertical="center"/>
      <protection locked="0"/>
    </xf>
    <xf numFmtId="0" fontId="67" fillId="27" borderId="41" xfId="0" applyFont="1" applyFill="1" applyBorder="1" applyAlignment="1">
      <alignment horizontal="center" vertical="center" wrapText="1"/>
    </xf>
    <xf numFmtId="0" fontId="0" fillId="0" borderId="40" xfId="0" applyBorder="1" applyAlignment="1">
      <alignment horizontal="center" vertical="center" wrapText="1"/>
    </xf>
    <xf numFmtId="0" fontId="0" fillId="0" borderId="41" xfId="0" applyBorder="1" applyAlignment="1">
      <alignment horizontal="center" vertical="center" wrapText="1"/>
    </xf>
    <xf numFmtId="0" fontId="0" fillId="0" borderId="40" xfId="0" applyBorder="1" applyAlignment="1">
      <alignment vertical="center" wrapText="1"/>
    </xf>
    <xf numFmtId="14" fontId="0" fillId="0" borderId="40" xfId="0" applyNumberFormat="1" applyBorder="1" applyAlignment="1">
      <alignment horizontal="center" vertical="center"/>
    </xf>
    <xf numFmtId="14" fontId="0" fillId="0" borderId="41" xfId="0" applyNumberFormat="1" applyBorder="1" applyAlignment="1">
      <alignment horizontal="center" vertical="center" wrapText="1"/>
    </xf>
    <xf numFmtId="0" fontId="0" fillId="0" borderId="41" xfId="0" applyBorder="1" applyAlignment="1">
      <alignment vertical="center" wrapText="1"/>
    </xf>
    <xf numFmtId="14" fontId="0" fillId="0" borderId="45" xfId="0" applyNumberFormat="1" applyBorder="1" applyAlignment="1">
      <alignment horizontal="center" vertical="center"/>
    </xf>
    <xf numFmtId="14" fontId="0" fillId="0" borderId="50" xfId="0" applyNumberFormat="1" applyBorder="1" applyAlignment="1">
      <alignment horizontal="center" vertical="center"/>
    </xf>
    <xf numFmtId="0" fontId="3" fillId="0" borderId="4" xfId="1" applyNumberFormat="1" applyFont="1" applyFill="1" applyBorder="1" applyAlignment="1" applyProtection="1">
      <alignment horizontal="left" vertical="center"/>
      <protection locked="0"/>
    </xf>
    <xf numFmtId="0" fontId="74" fillId="0" borderId="0" xfId="0" applyFont="1"/>
    <xf numFmtId="0" fontId="75" fillId="0" borderId="0" xfId="0" applyFont="1"/>
    <xf numFmtId="4" fontId="3" fillId="23" borderId="3" xfId="0" applyNumberFormat="1" applyFont="1" applyFill="1" applyBorder="1" applyAlignment="1">
      <alignment horizontal="center" vertical="center"/>
    </xf>
    <xf numFmtId="0" fontId="0" fillId="0" borderId="0" xfId="0" applyAlignment="1">
      <alignment vertical="top" wrapText="1"/>
    </xf>
    <xf numFmtId="4" fontId="76" fillId="25" borderId="27" xfId="0" applyNumberFormat="1" applyFont="1" applyFill="1" applyBorder="1" applyAlignment="1">
      <alignment horizontal="center" vertical="center"/>
    </xf>
    <xf numFmtId="0" fontId="67" fillId="27" borderId="45" xfId="0" applyFont="1" applyFill="1" applyBorder="1" applyAlignment="1">
      <alignment horizontal="center" vertical="center" wrapText="1"/>
    </xf>
    <xf numFmtId="14" fontId="7" fillId="0" borderId="0" xfId="0" applyNumberFormat="1" applyFont="1"/>
    <xf numFmtId="0" fontId="0" fillId="0" borderId="43" xfId="0" applyBorder="1"/>
    <xf numFmtId="4" fontId="68" fillId="0" borderId="38" xfId="0" applyNumberFormat="1" applyFont="1" applyBorder="1" applyAlignment="1">
      <alignment horizontal="right" vertical="center"/>
    </xf>
    <xf numFmtId="0" fontId="68" fillId="0" borderId="38" xfId="0" applyFont="1" applyBorder="1" applyAlignment="1">
      <alignment horizontal="center" vertical="center"/>
    </xf>
    <xf numFmtId="4" fontId="68" fillId="0" borderId="24" xfId="0" applyNumberFormat="1" applyFont="1" applyBorder="1" applyAlignment="1">
      <alignment vertical="center"/>
    </xf>
    <xf numFmtId="0" fontId="68" fillId="0" borderId="49" xfId="0" applyFont="1" applyBorder="1" applyAlignment="1">
      <alignment horizontal="center" vertical="center"/>
    </xf>
    <xf numFmtId="0" fontId="78" fillId="0" borderId="3" xfId="1" applyNumberFormat="1" applyFont="1" applyFill="1" applyBorder="1" applyAlignment="1" applyProtection="1">
      <alignment horizontal="center" vertical="center"/>
      <protection locked="0"/>
    </xf>
    <xf numFmtId="0" fontId="39" fillId="0" borderId="4" xfId="1" applyNumberFormat="1" applyFont="1" applyFill="1" applyBorder="1" applyAlignment="1" applyProtection="1">
      <alignment horizontal="left" vertical="center"/>
      <protection locked="0"/>
    </xf>
    <xf numFmtId="0" fontId="39" fillId="0" borderId="3" xfId="1" applyNumberFormat="1" applyFont="1" applyFill="1" applyBorder="1" applyAlignment="1" applyProtection="1">
      <alignment horizontal="left" vertical="center"/>
      <protection locked="0"/>
    </xf>
    <xf numFmtId="0" fontId="8" fillId="4" borderId="1" xfId="0" applyFont="1" applyFill="1" applyBorder="1" applyAlignment="1">
      <alignment horizontal="center" vertical="top" wrapText="1"/>
    </xf>
    <xf numFmtId="0" fontId="0" fillId="21" borderId="0" xfId="0" applyFill="1" applyAlignment="1">
      <alignment vertical="top" wrapText="1"/>
    </xf>
    <xf numFmtId="0" fontId="0" fillId="18" borderId="0" xfId="0" applyFill="1"/>
    <xf numFmtId="0" fontId="47" fillId="0" borderId="0" xfId="0" applyFont="1"/>
    <xf numFmtId="0" fontId="56" fillId="11" borderId="21" xfId="0" applyFont="1" applyFill="1" applyBorder="1" applyAlignment="1">
      <alignment horizontal="center" vertical="center" wrapText="1"/>
    </xf>
    <xf numFmtId="3" fontId="66" fillId="0" borderId="0" xfId="0" applyNumberFormat="1" applyFont="1" applyAlignment="1">
      <alignment vertical="center"/>
    </xf>
    <xf numFmtId="4" fontId="78" fillId="0" borderId="3" xfId="1" applyNumberFormat="1" applyFont="1" applyFill="1" applyBorder="1" applyAlignment="1" applyProtection="1">
      <alignment horizontal="center" vertical="center"/>
      <protection locked="0"/>
    </xf>
    <xf numFmtId="4" fontId="39" fillId="0" borderId="3" xfId="1" applyNumberFormat="1" applyFont="1" applyFill="1" applyBorder="1" applyAlignment="1" applyProtection="1">
      <alignment horizontal="left" vertical="center"/>
      <protection locked="0"/>
    </xf>
    <xf numFmtId="4" fontId="67" fillId="0" borderId="50" xfId="0" applyNumberFormat="1" applyFont="1" applyBorder="1" applyAlignment="1">
      <alignment vertical="center" wrapText="1"/>
    </xf>
    <xf numFmtId="0" fontId="83" fillId="0" borderId="3" xfId="1" applyNumberFormat="1" applyFont="1" applyFill="1" applyBorder="1" applyAlignment="1" applyProtection="1">
      <alignment horizontal="center" vertical="center"/>
      <protection locked="0"/>
    </xf>
    <xf numFmtId="14" fontId="83" fillId="0" borderId="3" xfId="1" applyNumberFormat="1" applyFont="1" applyFill="1" applyBorder="1" applyAlignment="1" applyProtection="1">
      <alignment horizontal="center" vertical="center"/>
      <protection locked="0"/>
    </xf>
    <xf numFmtId="0" fontId="82" fillId="0" borderId="3" xfId="1" applyNumberFormat="1" applyFont="1" applyFill="1" applyBorder="1" applyAlignment="1" applyProtection="1">
      <alignment horizontal="center" vertical="center"/>
      <protection locked="0"/>
    </xf>
    <xf numFmtId="4" fontId="83" fillId="0" borderId="3" xfId="1" applyNumberFormat="1" applyFont="1" applyFill="1" applyBorder="1" applyAlignment="1" applyProtection="1">
      <alignment horizontal="center" vertical="center"/>
      <protection locked="0"/>
    </xf>
    <xf numFmtId="0" fontId="85" fillId="0" borderId="3" xfId="1" applyNumberFormat="1" applyFont="1" applyFill="1" applyBorder="1" applyAlignment="1" applyProtection="1">
      <alignment horizontal="center" vertical="center"/>
      <protection locked="0"/>
    </xf>
    <xf numFmtId="0" fontId="87" fillId="0" borderId="3" xfId="1" applyNumberFormat="1" applyFont="1" applyFill="1" applyBorder="1" applyAlignment="1" applyProtection="1">
      <alignment horizontal="center" vertical="center"/>
      <protection locked="0"/>
    </xf>
    <xf numFmtId="14" fontId="87" fillId="0" borderId="3" xfId="1" applyNumberFormat="1" applyFont="1" applyFill="1" applyBorder="1" applyAlignment="1" applyProtection="1">
      <alignment horizontal="center" vertical="center"/>
      <protection locked="0"/>
    </xf>
    <xf numFmtId="4" fontId="87" fillId="0" borderId="3" xfId="1" applyNumberFormat="1" applyFont="1" applyFill="1" applyBorder="1" applyAlignment="1" applyProtection="1">
      <alignment horizontal="center" vertical="center"/>
      <protection locked="0"/>
    </xf>
    <xf numFmtId="167" fontId="87" fillId="0" borderId="3" xfId="1" applyNumberFormat="1" applyFont="1" applyFill="1" applyBorder="1" applyAlignment="1" applyProtection="1">
      <alignment horizontal="center" vertical="center"/>
      <protection locked="0"/>
    </xf>
    <xf numFmtId="14" fontId="0" fillId="28" borderId="41" xfId="0" applyNumberFormat="1" applyFill="1" applyBorder="1" applyAlignment="1">
      <alignment horizontal="center" vertical="center" wrapText="1"/>
    </xf>
    <xf numFmtId="2" fontId="39" fillId="0" borderId="3" xfId="1" applyNumberFormat="1" applyFont="1" applyFill="1" applyBorder="1" applyAlignment="1" applyProtection="1">
      <alignment horizontal="center" vertical="center"/>
      <protection locked="0"/>
    </xf>
    <xf numFmtId="0" fontId="78" fillId="0" borderId="3" xfId="1" quotePrefix="1" applyNumberFormat="1" applyFont="1" applyFill="1" applyBorder="1" applyAlignment="1" applyProtection="1">
      <alignment horizontal="center" vertical="center"/>
      <protection locked="0"/>
    </xf>
    <xf numFmtId="0" fontId="0" fillId="0" borderId="0" xfId="0" quotePrefix="1"/>
    <xf numFmtId="0" fontId="3" fillId="0" borderId="3" xfId="1" applyNumberFormat="1" applyFont="1" applyFill="1" applyBorder="1" applyAlignment="1" applyProtection="1">
      <alignment horizontal="center" vertical="center" wrapText="1"/>
      <protection locked="0"/>
    </xf>
    <xf numFmtId="0" fontId="0" fillId="17" borderId="0" xfId="0" applyFill="1" applyAlignment="1">
      <alignment horizontal="center" vertical="center"/>
    </xf>
    <xf numFmtId="0" fontId="0" fillId="0" borderId="0" xfId="0" applyAlignment="1">
      <alignment horizontal="right"/>
    </xf>
    <xf numFmtId="0" fontId="59" fillId="22" borderId="1" xfId="0" applyFont="1" applyFill="1" applyBorder="1" applyAlignment="1">
      <alignment horizontal="right" vertical="center"/>
    </xf>
    <xf numFmtId="164" fontId="7" fillId="17" borderId="0" xfId="0" applyNumberFormat="1" applyFont="1" applyFill="1" applyAlignment="1">
      <alignment horizontal="right" vertical="center"/>
    </xf>
    <xf numFmtId="164" fontId="7" fillId="17" borderId="0" xfId="0" applyNumberFormat="1" applyFont="1" applyFill="1" applyAlignment="1">
      <alignment horizontal="center" vertical="center"/>
    </xf>
    <xf numFmtId="0" fontId="62" fillId="14" borderId="21" xfId="0" applyFont="1" applyFill="1" applyBorder="1" applyAlignment="1">
      <alignment vertical="center"/>
    </xf>
    <xf numFmtId="0" fontId="62" fillId="14" borderId="21" xfId="0" applyFont="1" applyFill="1" applyBorder="1" applyAlignment="1">
      <alignment horizontal="center" vertical="center"/>
    </xf>
    <xf numFmtId="0" fontId="62" fillId="14" borderId="21" xfId="0" applyFont="1" applyFill="1" applyBorder="1" applyAlignment="1">
      <alignment horizontal="right" vertical="center"/>
    </xf>
    <xf numFmtId="164" fontId="25" fillId="17" borderId="0" xfId="0" applyNumberFormat="1" applyFont="1" applyFill="1" applyAlignment="1">
      <alignment horizontal="right" vertical="center"/>
    </xf>
    <xf numFmtId="0" fontId="62" fillId="14" borderId="21" xfId="0" applyFont="1" applyFill="1" applyBorder="1" applyAlignment="1">
      <alignment vertical="center" wrapText="1"/>
    </xf>
    <xf numFmtId="4" fontId="67" fillId="0" borderId="41" xfId="0" applyNumberFormat="1" applyFont="1" applyBorder="1" applyAlignment="1">
      <alignment vertical="center" wrapText="1"/>
    </xf>
    <xf numFmtId="0" fontId="67" fillId="0" borderId="41" xfId="0" applyFont="1" applyBorder="1" applyAlignment="1">
      <alignment horizontal="center" vertical="center" wrapText="1"/>
    </xf>
    <xf numFmtId="0" fontId="67" fillId="0" borderId="43" xfId="0" applyFont="1" applyBorder="1" applyAlignment="1">
      <alignment horizontal="center" vertical="center" wrapText="1"/>
    </xf>
    <xf numFmtId="0" fontId="0" fillId="0" borderId="42" xfId="0" applyBorder="1" applyAlignment="1">
      <alignment horizontal="center" vertical="center" wrapText="1"/>
    </xf>
    <xf numFmtId="14" fontId="0" fillId="0" borderId="42" xfId="0" applyNumberFormat="1" applyBorder="1" applyAlignment="1">
      <alignment horizontal="center" vertical="center"/>
    </xf>
    <xf numFmtId="0" fontId="26" fillId="0" borderId="0" xfId="0" applyFont="1"/>
    <xf numFmtId="4" fontId="67" fillId="0" borderId="40" xfId="0" applyNumberFormat="1" applyFont="1" applyBorder="1" applyAlignment="1">
      <alignment vertical="center" wrapText="1"/>
    </xf>
    <xf numFmtId="0" fontId="67" fillId="0" borderId="57" xfId="0" applyFont="1" applyBorder="1" applyAlignment="1">
      <alignment horizontal="center" vertical="center" wrapText="1"/>
    </xf>
    <xf numFmtId="0" fontId="67" fillId="0" borderId="55" xfId="0" applyFont="1" applyBorder="1" applyAlignment="1">
      <alignment horizontal="center" vertical="center" wrapText="1"/>
    </xf>
    <xf numFmtId="0" fontId="57" fillId="0" borderId="3" xfId="1" applyNumberFormat="1" applyFont="1" applyFill="1" applyBorder="1" applyAlignment="1" applyProtection="1">
      <alignment horizontal="center" vertical="center"/>
      <protection locked="0"/>
    </xf>
    <xf numFmtId="14" fontId="57" fillId="0" borderId="3" xfId="1" applyNumberFormat="1" applyFont="1" applyFill="1" applyBorder="1" applyAlignment="1" applyProtection="1">
      <alignment horizontal="center" vertical="center"/>
      <protection locked="0"/>
    </xf>
    <xf numFmtId="0" fontId="64" fillId="0" borderId="3" xfId="1" applyNumberFormat="1" applyFont="1" applyFill="1" applyBorder="1" applyAlignment="1" applyProtection="1">
      <alignment horizontal="center" vertical="center"/>
      <protection locked="0"/>
    </xf>
    <xf numFmtId="0" fontId="88" fillId="0" borderId="3" xfId="1" applyNumberFormat="1" applyFont="1" applyFill="1" applyBorder="1" applyAlignment="1" applyProtection="1">
      <alignment horizontal="center" vertical="center"/>
      <protection locked="0"/>
    </xf>
    <xf numFmtId="4" fontId="57" fillId="0" borderId="3" xfId="1" applyNumberFormat="1" applyFont="1" applyFill="1" applyBorder="1" applyAlignment="1" applyProtection="1">
      <alignment horizontal="center" vertical="center"/>
      <protection locked="0"/>
    </xf>
    <xf numFmtId="14" fontId="65" fillId="0" borderId="3" xfId="1" applyNumberFormat="1" applyFont="1" applyFill="1" applyBorder="1" applyAlignment="1" applyProtection="1">
      <alignment horizontal="center" vertical="center"/>
      <protection locked="0"/>
    </xf>
    <xf numFmtId="0" fontId="97" fillId="0" borderId="3" xfId="1" applyNumberFormat="1" applyFont="1" applyFill="1" applyBorder="1" applyAlignment="1" applyProtection="1">
      <alignment horizontal="center" vertical="center"/>
      <protection locked="0"/>
    </xf>
    <xf numFmtId="0" fontId="94" fillId="0" borderId="3" xfId="1" applyNumberFormat="1" applyFont="1" applyFill="1" applyBorder="1" applyAlignment="1" applyProtection="1">
      <alignment horizontal="center" vertical="center"/>
      <protection locked="0"/>
    </xf>
    <xf numFmtId="4" fontId="97" fillId="0" borderId="3" xfId="1" applyNumberFormat="1" applyFont="1" applyFill="1" applyBorder="1" applyAlignment="1" applyProtection="1">
      <alignment horizontal="center" vertical="center"/>
      <protection locked="0"/>
    </xf>
    <xf numFmtId="0" fontId="2" fillId="0" borderId="2" xfId="0" applyFont="1" applyBorder="1" applyAlignment="1">
      <alignment horizontal="left" vertical="center" wrapText="1"/>
    </xf>
    <xf numFmtId="0" fontId="64" fillId="0" borderId="4" xfId="0" applyFont="1" applyBorder="1" applyAlignment="1">
      <alignment wrapText="1"/>
    </xf>
    <xf numFmtId="0" fontId="59" fillId="4" borderId="14" xfId="0" applyFont="1" applyFill="1" applyBorder="1" applyAlignment="1">
      <alignment vertical="center"/>
    </xf>
    <xf numFmtId="0" fontId="0" fillId="17" borderId="0" xfId="0" applyFill="1" applyAlignment="1">
      <alignment vertical="center"/>
    </xf>
    <xf numFmtId="14" fontId="0" fillId="0" borderId="41" xfId="0" applyNumberFormat="1" applyBorder="1" applyAlignment="1">
      <alignment horizontal="left" vertical="center" wrapText="1"/>
    </xf>
    <xf numFmtId="0" fontId="0" fillId="0" borderId="0" xfId="0" pivotButton="1"/>
    <xf numFmtId="0" fontId="7" fillId="31" borderId="40" xfId="0" applyFont="1" applyFill="1" applyBorder="1" applyAlignment="1">
      <alignment horizontal="center" vertical="center" wrapText="1"/>
    </xf>
    <xf numFmtId="0" fontId="101" fillId="7" borderId="21" xfId="0" applyFont="1" applyFill="1" applyBorder="1" applyAlignment="1">
      <alignment horizontal="center" vertical="center" wrapText="1"/>
    </xf>
    <xf numFmtId="0" fontId="101" fillId="8" borderId="21" xfId="0" applyFont="1" applyFill="1" applyBorder="1" applyAlignment="1">
      <alignment horizontal="center" vertical="center" wrapText="1"/>
    </xf>
    <xf numFmtId="0" fontId="101" fillId="8" borderId="21" xfId="0" applyFont="1" applyFill="1" applyBorder="1" applyAlignment="1">
      <alignment horizontal="center" vertical="top" wrapText="1"/>
    </xf>
    <xf numFmtId="0" fontId="101" fillId="9" borderId="21" xfId="0" applyFont="1" applyFill="1" applyBorder="1" applyAlignment="1">
      <alignment horizontal="center" vertical="center" wrapText="1"/>
    </xf>
    <xf numFmtId="0" fontId="102" fillId="30" borderId="21" xfId="0" applyFont="1" applyFill="1" applyBorder="1" applyAlignment="1" applyProtection="1">
      <alignment horizontal="center" vertical="center" wrapText="1"/>
      <protection locked="0"/>
    </xf>
    <xf numFmtId="43" fontId="103" fillId="30" borderId="21" xfId="1" applyFont="1" applyFill="1" applyBorder="1" applyAlignment="1" applyProtection="1">
      <alignment horizontal="center" vertical="center" wrapText="1"/>
      <protection locked="0"/>
    </xf>
    <xf numFmtId="0" fontId="102" fillId="0" borderId="0" xfId="0" applyFont="1" applyAlignment="1">
      <alignment wrapText="1"/>
    </xf>
    <xf numFmtId="0" fontId="102" fillId="0" borderId="0" xfId="0" applyFont="1"/>
    <xf numFmtId="0" fontId="104" fillId="0" borderId="0" xfId="0" applyFont="1"/>
    <xf numFmtId="0" fontId="104" fillId="21" borderId="0" xfId="0" applyFont="1" applyFill="1"/>
    <xf numFmtId="0" fontId="70" fillId="29" borderId="21" xfId="0" applyFont="1" applyFill="1" applyBorder="1" applyAlignment="1" applyProtection="1">
      <alignment horizontal="center" vertical="center" wrapText="1"/>
      <protection locked="0"/>
    </xf>
    <xf numFmtId="0" fontId="70" fillId="30" borderId="21" xfId="0" applyFont="1" applyFill="1" applyBorder="1" applyAlignment="1" applyProtection="1">
      <alignment horizontal="center" vertical="center" wrapText="1"/>
      <protection locked="0"/>
    </xf>
    <xf numFmtId="0" fontId="73" fillId="0" borderId="0" xfId="0" applyFont="1"/>
    <xf numFmtId="0" fontId="73" fillId="0" borderId="0" xfId="0" applyFont="1" applyAlignment="1">
      <alignment wrapText="1"/>
    </xf>
    <xf numFmtId="14" fontId="73" fillId="0" borderId="0" xfId="0" applyNumberFormat="1" applyFont="1" applyAlignment="1">
      <alignment wrapText="1"/>
    </xf>
    <xf numFmtId="3" fontId="73" fillId="0" borderId="0" xfId="0" applyNumberFormat="1" applyFont="1"/>
    <xf numFmtId="0" fontId="73" fillId="21" borderId="0" xfId="0" applyFont="1" applyFill="1"/>
    <xf numFmtId="0" fontId="73" fillId="21" borderId="0" xfId="0" applyFont="1" applyFill="1" applyAlignment="1">
      <alignment wrapText="1"/>
    </xf>
    <xf numFmtId="0" fontId="73" fillId="21" borderId="0" xfId="0" applyFont="1" applyFill="1" applyAlignment="1">
      <alignment vertical="top"/>
    </xf>
    <xf numFmtId="0" fontId="73" fillId="0" borderId="0" xfId="0" applyFont="1" applyAlignment="1">
      <alignment vertical="top"/>
    </xf>
    <xf numFmtId="2" fontId="101" fillId="9" borderId="21" xfId="0" applyNumberFormat="1" applyFont="1" applyFill="1" applyBorder="1" applyAlignment="1">
      <alignment horizontal="center" vertical="center" wrapText="1"/>
    </xf>
    <xf numFmtId="2" fontId="73" fillId="0" borderId="0" xfId="0" applyNumberFormat="1" applyFont="1"/>
    <xf numFmtId="0" fontId="73" fillId="0" borderId="0" xfId="0" applyFont="1" applyAlignment="1">
      <alignment horizontal="center"/>
    </xf>
    <xf numFmtId="0" fontId="73" fillId="21" borderId="0" xfId="0" applyFont="1" applyFill="1" applyAlignment="1">
      <alignment horizontal="center"/>
    </xf>
    <xf numFmtId="0" fontId="73" fillId="0" borderId="0" xfId="0" applyFont="1" applyAlignment="1">
      <alignment horizontal="center" wrapText="1"/>
    </xf>
    <xf numFmtId="0" fontId="46" fillId="0" borderId="0" xfId="0" applyFont="1" applyAlignment="1">
      <alignment wrapText="1"/>
    </xf>
    <xf numFmtId="0" fontId="0" fillId="18" borderId="41" xfId="0" applyFill="1" applyBorder="1" applyAlignment="1">
      <alignment horizontal="center" vertical="center" wrapText="1"/>
    </xf>
    <xf numFmtId="14" fontId="0" fillId="18" borderId="41" xfId="0" applyNumberFormat="1" applyFill="1" applyBorder="1" applyAlignment="1">
      <alignment horizontal="center" vertical="center"/>
    </xf>
    <xf numFmtId="0" fontId="0" fillId="18" borderId="41" xfId="0" applyFill="1" applyBorder="1" applyAlignment="1">
      <alignment vertical="center" wrapText="1"/>
    </xf>
    <xf numFmtId="0" fontId="59" fillId="4" borderId="21" xfId="0" applyFont="1" applyFill="1" applyBorder="1" applyAlignment="1">
      <alignment horizontal="right" vertical="center" wrapText="1"/>
    </xf>
    <xf numFmtId="0" fontId="0" fillId="23" borderId="0" xfId="0" applyFill="1" applyAlignment="1">
      <alignment vertical="center" wrapText="1"/>
    </xf>
    <xf numFmtId="168" fontId="0" fillId="0" borderId="0" xfId="0" applyNumberFormat="1"/>
    <xf numFmtId="0" fontId="0" fillId="0" borderId="0" xfId="0" applyAlignment="1">
      <alignment horizontal="left" indent="1"/>
    </xf>
    <xf numFmtId="0" fontId="7" fillId="0" borderId="58" xfId="0" applyFont="1" applyBorder="1" applyAlignment="1">
      <alignment horizontal="left"/>
    </xf>
    <xf numFmtId="168" fontId="7" fillId="0" borderId="58" xfId="0" applyNumberFormat="1" applyFont="1" applyBorder="1"/>
    <xf numFmtId="0" fontId="7" fillId="0" borderId="0" xfId="0" applyFont="1" applyAlignment="1">
      <alignment horizontal="left" indent="1"/>
    </xf>
    <xf numFmtId="0" fontId="7" fillId="0" borderId="58" xfId="0" applyFont="1" applyBorder="1" applyAlignment="1">
      <alignment horizontal="left" indent="1"/>
    </xf>
    <xf numFmtId="0" fontId="7" fillId="31" borderId="59" xfId="0" applyFont="1" applyFill="1" applyBorder="1" applyAlignment="1">
      <alignment horizontal="left"/>
    </xf>
    <xf numFmtId="168" fontId="7" fillId="31" borderId="59" xfId="0" applyNumberFormat="1" applyFont="1" applyFill="1" applyBorder="1"/>
    <xf numFmtId="0" fontId="67" fillId="0" borderId="48" xfId="0" applyFont="1" applyBorder="1" applyAlignment="1">
      <alignment vertical="center" wrapText="1"/>
    </xf>
    <xf numFmtId="164" fontId="0" fillId="0" borderId="0" xfId="0" applyNumberFormat="1"/>
    <xf numFmtId="0" fontId="7" fillId="0" borderId="40" xfId="0" applyFont="1" applyBorder="1" applyAlignment="1">
      <alignment horizontal="center" vertical="center"/>
    </xf>
    <xf numFmtId="4" fontId="67" fillId="0" borderId="45" xfId="0" applyNumberFormat="1" applyFont="1" applyBorder="1" applyAlignment="1">
      <alignment vertical="center" wrapText="1"/>
    </xf>
    <xf numFmtId="14" fontId="0" fillId="0" borderId="40" xfId="0" applyNumberFormat="1" applyBorder="1" applyAlignment="1">
      <alignment horizontal="center" vertical="center" wrapText="1"/>
    </xf>
    <xf numFmtId="0" fontId="59" fillId="4" borderId="1" xfId="0" applyFont="1" applyFill="1" applyBorder="1" applyAlignment="1">
      <alignment horizontal="left" vertical="center"/>
    </xf>
    <xf numFmtId="0" fontId="85" fillId="0" borderId="3" xfId="1" applyNumberFormat="1" applyFont="1" applyFill="1" applyBorder="1" applyAlignment="1" applyProtection="1">
      <alignment horizontal="left" vertical="center"/>
      <protection locked="0"/>
    </xf>
    <xf numFmtId="0" fontId="3" fillId="0" borderId="19" xfId="1" applyNumberFormat="1" applyFont="1" applyFill="1" applyBorder="1" applyAlignment="1" applyProtection="1">
      <alignment horizontal="left" vertical="center"/>
      <protection locked="0"/>
    </xf>
    <xf numFmtId="14" fontId="0" fillId="18" borderId="40" xfId="0" applyNumberFormat="1" applyFill="1" applyBorder="1" applyAlignment="1">
      <alignment horizontal="center" vertical="center" wrapText="1"/>
    </xf>
    <xf numFmtId="0" fontId="0" fillId="0" borderId="43" xfId="0" applyBorder="1" applyAlignment="1">
      <alignment horizontal="center" vertical="center" wrapText="1"/>
    </xf>
    <xf numFmtId="14" fontId="0" fillId="0" borderId="48" xfId="0" applyNumberFormat="1" applyBorder="1" applyAlignment="1">
      <alignment horizontal="center" vertical="center"/>
    </xf>
    <xf numFmtId="0" fontId="0" fillId="0" borderId="43" xfId="0" applyBorder="1" applyAlignment="1">
      <alignment vertical="center" wrapText="1"/>
    </xf>
    <xf numFmtId="0" fontId="0" fillId="0" borderId="42" xfId="0" applyBorder="1" applyAlignment="1">
      <alignment vertical="top" wrapText="1"/>
    </xf>
    <xf numFmtId="0" fontId="0" fillId="0" borderId="44" xfId="0" applyBorder="1" applyAlignment="1">
      <alignment horizontal="center" vertical="center" wrapText="1"/>
    </xf>
    <xf numFmtId="0" fontId="0" fillId="0" borderId="56" xfId="0" applyBorder="1" applyAlignment="1">
      <alignment horizontal="center" vertical="center" wrapText="1"/>
    </xf>
    <xf numFmtId="0" fontId="0" fillId="18" borderId="52" xfId="0" applyFill="1" applyBorder="1" applyAlignment="1">
      <alignment horizontal="center" vertical="center" wrapText="1"/>
    </xf>
    <xf numFmtId="0" fontId="0" fillId="0" borderId="53" xfId="0" applyBorder="1" applyAlignment="1">
      <alignment horizontal="center" vertical="center" wrapText="1"/>
    </xf>
    <xf numFmtId="0" fontId="0" fillId="0" borderId="52" xfId="0" applyBorder="1" applyAlignment="1">
      <alignment horizontal="center" vertical="center" wrapText="1"/>
    </xf>
    <xf numFmtId="4" fontId="0" fillId="0" borderId="40" xfId="0" applyNumberFormat="1" applyBorder="1"/>
    <xf numFmtId="0" fontId="7" fillId="0" borderId="45" xfId="0" applyFont="1" applyBorder="1" applyAlignment="1">
      <alignment horizontal="center" vertical="center"/>
    </xf>
    <xf numFmtId="0" fontId="0" fillId="0" borderId="40" xfId="0" applyBorder="1" applyAlignment="1">
      <alignment wrapText="1"/>
    </xf>
    <xf numFmtId="14" fontId="0" fillId="0" borderId="42" xfId="0" applyNumberFormat="1" applyBorder="1" applyAlignment="1">
      <alignment horizontal="center" vertical="center" wrapText="1"/>
    </xf>
    <xf numFmtId="4" fontId="67" fillId="0" borderId="40" xfId="0" applyNumberFormat="1" applyFont="1" applyBorder="1" applyAlignment="1">
      <alignment horizontal="center" vertical="center" wrapText="1"/>
    </xf>
    <xf numFmtId="4" fontId="67" fillId="0" borderId="43" xfId="0" applyNumberFormat="1" applyFont="1" applyBorder="1" applyAlignment="1">
      <alignment vertical="center" wrapText="1"/>
    </xf>
    <xf numFmtId="4" fontId="67" fillId="0" borderId="45" xfId="0" applyNumberFormat="1" applyFont="1" applyBorder="1" applyAlignment="1">
      <alignment horizontal="center" vertical="center" wrapText="1"/>
    </xf>
    <xf numFmtId="4" fontId="68" fillId="0" borderId="45" xfId="0" applyNumberFormat="1" applyFont="1" applyBorder="1" applyAlignment="1">
      <alignment horizontal="center" vertical="center"/>
    </xf>
    <xf numFmtId="4" fontId="7" fillId="0" borderId="40" xfId="0" applyNumberFormat="1" applyFont="1" applyBorder="1" applyAlignment="1">
      <alignment horizontal="center" vertical="center"/>
    </xf>
    <xf numFmtId="0" fontId="68" fillId="3" borderId="42" xfId="0" applyFont="1" applyFill="1" applyBorder="1" applyAlignment="1">
      <alignment horizontal="center" vertical="center"/>
    </xf>
    <xf numFmtId="4" fontId="67" fillId="0" borderId="40" xfId="0" applyNumberFormat="1" applyFont="1" applyBorder="1" applyAlignment="1">
      <alignment horizontal="center" vertical="center"/>
    </xf>
    <xf numFmtId="4" fontId="67" fillId="0" borderId="56" xfId="0" applyNumberFormat="1" applyFont="1" applyBorder="1" applyAlignment="1">
      <alignment vertical="center" wrapText="1"/>
    </xf>
    <xf numFmtId="4" fontId="67" fillId="0" borderId="49" xfId="0" applyNumberFormat="1" applyFont="1" applyBorder="1" applyAlignment="1">
      <alignment vertical="center" wrapText="1"/>
    </xf>
    <xf numFmtId="1" fontId="67" fillId="0" borderId="41" xfId="0" applyNumberFormat="1" applyFont="1" applyBorder="1" applyAlignment="1">
      <alignment horizontal="center" vertical="center" wrapText="1"/>
    </xf>
    <xf numFmtId="1" fontId="67" fillId="0" borderId="43" xfId="0" applyNumberFormat="1" applyFont="1" applyBorder="1" applyAlignment="1">
      <alignment horizontal="center" vertical="center" wrapText="1"/>
    </xf>
    <xf numFmtId="0" fontId="0" fillId="0" borderId="48" xfId="0" applyBorder="1"/>
    <xf numFmtId="4" fontId="67" fillId="0" borderId="55" xfId="0" applyNumberFormat="1" applyFont="1" applyBorder="1" applyAlignment="1">
      <alignment horizontal="center" vertical="center" wrapText="1"/>
    </xf>
    <xf numFmtId="4" fontId="67" fillId="0" borderId="54" xfId="0" applyNumberFormat="1" applyFont="1" applyBorder="1" applyAlignment="1">
      <alignment horizontal="center" vertical="center" wrapText="1"/>
    </xf>
    <xf numFmtId="1" fontId="67" fillId="0" borderId="55" xfId="0" applyNumberFormat="1" applyFont="1" applyBorder="1" applyAlignment="1">
      <alignment horizontal="center" vertical="center" wrapText="1"/>
    </xf>
    <xf numFmtId="4" fontId="67" fillId="0" borderId="48" xfId="0" applyNumberFormat="1" applyFont="1" applyBorder="1" applyAlignment="1">
      <alignment vertical="center" wrapText="1"/>
    </xf>
    <xf numFmtId="4" fontId="67" fillId="0" borderId="50" xfId="0" applyNumberFormat="1" applyFont="1" applyBorder="1" applyAlignment="1">
      <alignment horizontal="center" vertical="center" wrapText="1"/>
    </xf>
    <xf numFmtId="0" fontId="0" fillId="0" borderId="53" xfId="0" applyBorder="1"/>
    <xf numFmtId="4" fontId="67" fillId="0" borderId="44" xfId="0" applyNumberFormat="1" applyFont="1" applyBorder="1" applyAlignment="1">
      <alignment vertical="center" wrapText="1"/>
    </xf>
    <xf numFmtId="0" fontId="93" fillId="0" borderId="0" xfId="0" applyFont="1"/>
    <xf numFmtId="4" fontId="67" fillId="0" borderId="60" xfId="0" applyNumberFormat="1" applyFont="1" applyBorder="1" applyAlignment="1">
      <alignment horizontal="center" vertical="center" wrapText="1"/>
    </xf>
    <xf numFmtId="4" fontId="67" fillId="0" borderId="49" xfId="0" applyNumberFormat="1" applyFont="1" applyBorder="1" applyAlignment="1">
      <alignment horizontal="center" vertical="center" wrapText="1"/>
    </xf>
    <xf numFmtId="4" fontId="67" fillId="0" borderId="0" xfId="0" applyNumberFormat="1" applyFont="1" applyAlignment="1">
      <alignment horizontal="center" vertical="center" wrapText="1"/>
    </xf>
    <xf numFmtId="0" fontId="0" fillId="0" borderId="0" xfId="0" applyAlignment="1">
      <alignment horizontal="center" vertical="center"/>
    </xf>
    <xf numFmtId="4" fontId="67" fillId="0" borderId="48" xfId="0" applyNumberFormat="1" applyFont="1" applyBorder="1" applyAlignment="1">
      <alignment horizontal="center" vertical="center" wrapText="1"/>
    </xf>
    <xf numFmtId="0" fontId="7" fillId="0" borderId="56" xfId="0" applyFont="1" applyBorder="1" applyAlignment="1">
      <alignment horizontal="center" vertical="center"/>
    </xf>
    <xf numFmtId="4" fontId="0" fillId="0" borderId="50" xfId="0" applyNumberFormat="1" applyBorder="1" applyAlignment="1">
      <alignment horizontal="center" vertical="center"/>
    </xf>
    <xf numFmtId="4" fontId="0" fillId="0" borderId="45" xfId="0" applyNumberFormat="1" applyBorder="1" applyAlignment="1">
      <alignment horizontal="center" vertical="center"/>
    </xf>
    <xf numFmtId="3" fontId="0" fillId="0" borderId="0" xfId="0" applyNumberFormat="1" applyAlignment="1">
      <alignment horizontal="right"/>
    </xf>
    <xf numFmtId="0" fontId="59" fillId="4" borderId="0" xfId="0" applyFont="1" applyFill="1" applyAlignment="1">
      <alignment vertical="center"/>
    </xf>
    <xf numFmtId="0" fontId="59" fillId="4" borderId="0" xfId="0" applyFont="1" applyFill="1" applyAlignment="1">
      <alignment vertical="center" wrapText="1"/>
    </xf>
    <xf numFmtId="0" fontId="59" fillId="4" borderId="32" xfId="0" applyFont="1" applyFill="1" applyBorder="1" applyAlignment="1">
      <alignment vertical="center"/>
    </xf>
    <xf numFmtId="0" fontId="59" fillId="4" borderId="32" xfId="0" applyFont="1" applyFill="1" applyBorder="1" applyAlignment="1">
      <alignment vertical="center" wrapText="1"/>
    </xf>
    <xf numFmtId="0" fontId="60" fillId="4" borderId="0" xfId="0" applyFont="1" applyFill="1" applyAlignment="1">
      <alignment vertical="center"/>
    </xf>
    <xf numFmtId="14" fontId="56" fillId="12" borderId="21" xfId="0" applyNumberFormat="1" applyFont="1" applyFill="1" applyBorder="1" applyAlignment="1">
      <alignment horizontal="left" vertical="center" wrapText="1"/>
    </xf>
    <xf numFmtId="0" fontId="120" fillId="0" borderId="3" xfId="1" applyNumberFormat="1" applyFont="1" applyFill="1" applyBorder="1" applyAlignment="1" applyProtection="1">
      <alignment horizontal="center" vertical="center"/>
      <protection locked="0"/>
    </xf>
    <xf numFmtId="14" fontId="120" fillId="0" borderId="3" xfId="1" applyNumberFormat="1" applyFont="1" applyFill="1" applyBorder="1" applyAlignment="1" applyProtection="1">
      <alignment horizontal="center" vertical="center"/>
      <protection locked="0"/>
    </xf>
    <xf numFmtId="0" fontId="115" fillId="0" borderId="3" xfId="1" applyNumberFormat="1" applyFont="1" applyFill="1" applyBorder="1" applyAlignment="1" applyProtection="1">
      <alignment horizontal="center" vertical="center"/>
      <protection locked="0"/>
    </xf>
    <xf numFmtId="0" fontId="121" fillId="0" borderId="3" xfId="1" applyNumberFormat="1" applyFont="1" applyFill="1" applyBorder="1" applyAlignment="1" applyProtection="1">
      <alignment horizontal="center" vertical="center"/>
      <protection locked="0"/>
    </xf>
    <xf numFmtId="4" fontId="121" fillId="0" borderId="3" xfId="1" applyNumberFormat="1" applyFont="1" applyFill="1" applyBorder="1" applyAlignment="1" applyProtection="1">
      <alignment horizontal="center" vertical="center"/>
      <protection locked="0"/>
    </xf>
    <xf numFmtId="4" fontId="120" fillId="0" borderId="3" xfId="1" applyNumberFormat="1" applyFont="1" applyFill="1" applyBorder="1" applyAlignment="1" applyProtection="1">
      <alignment horizontal="center" vertical="center"/>
      <protection locked="0"/>
    </xf>
    <xf numFmtId="164" fontId="0" fillId="0" borderId="0" xfId="0" applyNumberFormat="1" applyAlignment="1">
      <alignment horizontal="left"/>
    </xf>
    <xf numFmtId="4" fontId="0" fillId="0" borderId="0" xfId="0" applyNumberFormat="1" applyAlignment="1">
      <alignment horizontal="right"/>
    </xf>
    <xf numFmtId="0" fontId="122" fillId="0" borderId="40" xfId="0" applyFont="1" applyBorder="1" applyAlignment="1">
      <alignment horizontal="center" vertical="center" wrapText="1"/>
    </xf>
    <xf numFmtId="0" fontId="123" fillId="0" borderId="40" xfId="0" applyFont="1" applyBorder="1" applyAlignment="1">
      <alignment horizontal="center" vertical="center" wrapText="1"/>
    </xf>
    <xf numFmtId="4" fontId="124" fillId="0" borderId="49" xfId="0" applyNumberFormat="1" applyFont="1" applyBorder="1" applyAlignment="1">
      <alignment horizontal="right" vertical="center" wrapText="1"/>
    </xf>
    <xf numFmtId="0" fontId="5" fillId="4" borderId="1" xfId="0" applyFont="1" applyFill="1" applyBorder="1" applyAlignment="1">
      <alignment horizontal="center" vertical="center"/>
    </xf>
    <xf numFmtId="0" fontId="0" fillId="21" borderId="0" xfId="0" applyFill="1" applyAlignment="1">
      <alignment horizontal="center" vertical="center"/>
    </xf>
    <xf numFmtId="0" fontId="125" fillId="0" borderId="42" xfId="0" applyFont="1" applyBorder="1" applyAlignment="1">
      <alignment horizontal="center" vertical="center"/>
    </xf>
    <xf numFmtId="4" fontId="77" fillId="0" borderId="0" xfId="0" applyNumberFormat="1" applyFont="1" applyAlignment="1">
      <alignment horizontal="right" vertical="center" wrapText="1"/>
    </xf>
    <xf numFmtId="0" fontId="56" fillId="11" borderId="21" xfId="0" applyFont="1" applyFill="1" applyBorder="1" applyAlignment="1">
      <alignment vertical="center" wrapText="1"/>
    </xf>
    <xf numFmtId="0" fontId="39" fillId="0" borderId="4" xfId="1" applyNumberFormat="1" applyFont="1" applyFill="1" applyBorder="1" applyAlignment="1" applyProtection="1">
      <alignment vertical="center"/>
      <protection locked="0"/>
    </xf>
    <xf numFmtId="0" fontId="120" fillId="0" borderId="3" xfId="1" applyNumberFormat="1" applyFont="1" applyFill="1" applyBorder="1" applyAlignment="1" applyProtection="1">
      <alignment vertical="center"/>
      <protection locked="0"/>
    </xf>
    <xf numFmtId="0" fontId="57" fillId="0" borderId="3" xfId="1" applyNumberFormat="1" applyFont="1" applyFill="1" applyBorder="1" applyAlignment="1" applyProtection="1">
      <alignment vertical="center"/>
      <protection locked="0"/>
    </xf>
    <xf numFmtId="0" fontId="87" fillId="0" borderId="3" xfId="1" applyNumberFormat="1" applyFont="1" applyFill="1" applyBorder="1" applyAlignment="1" applyProtection="1">
      <alignment vertical="center"/>
      <protection locked="0"/>
    </xf>
    <xf numFmtId="0" fontId="40" fillId="17" borderId="0" xfId="0" applyFont="1" applyFill="1" applyAlignment="1">
      <alignment vertical="center"/>
    </xf>
    <xf numFmtId="0" fontId="124" fillId="0" borderId="40" xfId="0" applyFont="1" applyBorder="1" applyAlignment="1">
      <alignment horizontal="center" vertical="center" wrapText="1"/>
    </xf>
    <xf numFmtId="4" fontId="124" fillId="0" borderId="40" xfId="0" applyNumberFormat="1" applyFont="1" applyBorder="1" applyAlignment="1">
      <alignment horizontal="right" vertical="center" wrapText="1"/>
    </xf>
    <xf numFmtId="0" fontId="122" fillId="0" borderId="40" xfId="0" applyFont="1" applyBorder="1" applyAlignment="1">
      <alignment horizontal="left" vertical="center" wrapText="1"/>
    </xf>
    <xf numFmtId="0" fontId="122" fillId="0" borderId="40" xfId="0" applyFont="1" applyBorder="1" applyAlignment="1">
      <alignment vertical="center" wrapText="1"/>
    </xf>
    <xf numFmtId="0" fontId="122" fillId="0" borderId="42" xfId="0" applyFont="1" applyBorder="1" applyAlignment="1">
      <alignment vertical="center" wrapText="1"/>
    </xf>
    <xf numFmtId="0" fontId="122" fillId="0" borderId="40" xfId="0" applyFont="1" applyBorder="1" applyAlignment="1">
      <alignment horizontal="left" vertical="top" wrapText="1"/>
    </xf>
    <xf numFmtId="0" fontId="64" fillId="0" borderId="40" xfId="0" applyFont="1" applyBorder="1" applyAlignment="1">
      <alignment horizontal="center" vertical="center" wrapText="1"/>
    </xf>
    <xf numFmtId="0" fontId="64" fillId="0" borderId="42" xfId="0" applyFont="1" applyBorder="1" applyAlignment="1">
      <alignment horizontal="center" vertical="center" wrapText="1"/>
    </xf>
    <xf numFmtId="4" fontId="70" fillId="0" borderId="40" xfId="0" applyNumberFormat="1" applyFont="1" applyBorder="1" applyAlignment="1">
      <alignment horizontal="right" vertical="center" wrapText="1"/>
    </xf>
    <xf numFmtId="0" fontId="70" fillId="0" borderId="40" xfId="0" applyFont="1" applyBorder="1" applyAlignment="1">
      <alignment horizontal="center" vertical="center" wrapText="1"/>
    </xf>
    <xf numFmtId="4" fontId="70" fillId="0" borderId="45" xfId="0" applyNumberFormat="1" applyFont="1" applyBorder="1" applyAlignment="1">
      <alignment horizontal="right" vertical="center" wrapText="1"/>
    </xf>
    <xf numFmtId="4" fontId="70" fillId="0" borderId="50" xfId="0" applyNumberFormat="1" applyFont="1" applyBorder="1" applyAlignment="1">
      <alignment horizontal="right" vertical="center" wrapText="1"/>
    </xf>
    <xf numFmtId="4" fontId="127" fillId="0" borderId="40" xfId="0" applyNumberFormat="1" applyFont="1" applyBorder="1" applyAlignment="1">
      <alignment horizontal="right" vertical="center" wrapText="1"/>
    </xf>
    <xf numFmtId="0" fontId="46" fillId="0" borderId="49" xfId="0" applyFont="1" applyBorder="1" applyAlignment="1">
      <alignment horizontal="center" vertical="center"/>
    </xf>
    <xf numFmtId="4" fontId="70" fillId="0" borderId="42" xfId="0" applyNumberFormat="1" applyFont="1" applyBorder="1" applyAlignment="1">
      <alignment horizontal="right" vertical="center" wrapText="1"/>
    </xf>
    <xf numFmtId="0" fontId="70" fillId="0" borderId="42" xfId="0" applyFont="1" applyBorder="1" applyAlignment="1">
      <alignment horizontal="center" vertical="center" wrapText="1"/>
    </xf>
    <xf numFmtId="4" fontId="70" fillId="0" borderId="49" xfId="0" applyNumberFormat="1" applyFont="1" applyBorder="1" applyAlignment="1">
      <alignment horizontal="right" vertical="center" wrapText="1"/>
    </xf>
    <xf numFmtId="0" fontId="46" fillId="0" borderId="45" xfId="0" applyFont="1" applyBorder="1" applyAlignment="1">
      <alignment horizontal="center" vertical="center"/>
    </xf>
    <xf numFmtId="0" fontId="122" fillId="0" borderId="45" xfId="0" applyFont="1" applyBorder="1" applyAlignment="1">
      <alignment horizontal="center" vertical="center" wrapText="1"/>
    </xf>
    <xf numFmtId="0" fontId="70" fillId="0" borderId="60" xfId="0" applyFont="1" applyBorder="1" applyAlignment="1">
      <alignment horizontal="center" vertical="center" wrapText="1"/>
    </xf>
    <xf numFmtId="4" fontId="70" fillId="0" borderId="41" xfId="0" applyNumberFormat="1" applyFont="1" applyBorder="1" applyAlignment="1">
      <alignment horizontal="right" vertical="center" wrapText="1"/>
    </xf>
    <xf numFmtId="0" fontId="70" fillId="0" borderId="41" xfId="0" applyFont="1" applyBorder="1" applyAlignment="1">
      <alignment horizontal="center" vertical="center" wrapText="1"/>
    </xf>
    <xf numFmtId="4" fontId="70" fillId="0" borderId="55" xfId="0" applyNumberFormat="1" applyFont="1" applyBorder="1" applyAlignment="1">
      <alignment horizontal="right" vertical="center" wrapText="1"/>
    </xf>
    <xf numFmtId="0" fontId="68" fillId="0" borderId="42" xfId="0" applyFont="1" applyBorder="1" applyAlignment="1">
      <alignment horizontal="center" vertical="center"/>
    </xf>
    <xf numFmtId="0" fontId="7" fillId="0" borderId="41" xfId="0" applyFont="1" applyBorder="1" applyAlignment="1">
      <alignment horizontal="center" vertical="center"/>
    </xf>
    <xf numFmtId="0" fontId="70" fillId="0" borderId="45" xfId="0" applyFont="1" applyBorder="1" applyAlignment="1">
      <alignment horizontal="center" vertical="center" wrapText="1"/>
    </xf>
    <xf numFmtId="0" fontId="124" fillId="0" borderId="45" xfId="0" applyFont="1" applyBorder="1" applyAlignment="1">
      <alignment horizontal="center" vertical="center" wrapText="1"/>
    </xf>
    <xf numFmtId="14" fontId="0" fillId="0" borderId="40" xfId="0" applyNumberFormat="1" applyBorder="1" applyAlignment="1">
      <alignment horizontal="center"/>
    </xf>
    <xf numFmtId="0" fontId="0" fillId="0" borderId="56" xfId="0" applyBorder="1" applyAlignment="1">
      <alignment horizontal="center"/>
    </xf>
    <xf numFmtId="0" fontId="0" fillId="0" borderId="40" xfId="0" applyBorder="1" applyAlignment="1">
      <alignment horizontal="center"/>
    </xf>
    <xf numFmtId="0" fontId="0" fillId="0" borderId="40" xfId="0" applyBorder="1"/>
    <xf numFmtId="14" fontId="0" fillId="0" borderId="41" xfId="0" applyNumberFormat="1" applyBorder="1" applyAlignment="1">
      <alignment horizontal="center"/>
    </xf>
    <xf numFmtId="0" fontId="0" fillId="0" borderId="52" xfId="0" applyBorder="1" applyAlignment="1">
      <alignment horizontal="center"/>
    </xf>
    <xf numFmtId="0" fontId="0" fillId="0" borderId="41" xfId="0" applyBorder="1" applyAlignment="1">
      <alignment horizontal="center"/>
    </xf>
    <xf numFmtId="0" fontId="0" fillId="0" borderId="41" xfId="0" applyBorder="1"/>
    <xf numFmtId="0" fontId="68" fillId="0" borderId="42" xfId="0" applyFont="1" applyBorder="1"/>
    <xf numFmtId="0" fontId="68" fillId="0" borderId="42" xfId="0" applyFont="1" applyBorder="1" applyAlignment="1">
      <alignment horizontal="right"/>
    </xf>
    <xf numFmtId="4" fontId="68" fillId="0" borderId="42" xfId="0" applyNumberFormat="1" applyFont="1" applyBorder="1" applyAlignment="1">
      <alignment horizontal="right" vertical="center"/>
    </xf>
    <xf numFmtId="0" fontId="0" fillId="0" borderId="48" xfId="0" applyBorder="1" applyAlignment="1">
      <alignment horizontal="right" vertical="center"/>
    </xf>
    <xf numFmtId="4" fontId="67" fillId="0" borderId="56" xfId="0" applyNumberFormat="1" applyFont="1" applyBorder="1" applyAlignment="1">
      <alignment horizontal="center" vertical="center" wrapText="1"/>
    </xf>
    <xf numFmtId="4" fontId="7" fillId="0" borderId="56" xfId="0" applyNumberFormat="1" applyFont="1" applyBorder="1" applyAlignment="1">
      <alignment horizontal="center" vertical="center"/>
    </xf>
    <xf numFmtId="0" fontId="39" fillId="0" borderId="3" xfId="1" quotePrefix="1" applyNumberFormat="1" applyFont="1" applyFill="1" applyBorder="1" applyAlignment="1" applyProtection="1">
      <alignment vertical="center"/>
      <protection locked="0"/>
    </xf>
    <xf numFmtId="0" fontId="67" fillId="18" borderId="40" xfId="0" applyFont="1" applyFill="1" applyBorder="1" applyAlignment="1">
      <alignment horizontal="center" vertical="center" wrapText="1"/>
    </xf>
    <xf numFmtId="4" fontId="67" fillId="18" borderId="40" xfId="0" applyNumberFormat="1" applyFont="1" applyFill="1" applyBorder="1" applyAlignment="1">
      <alignment horizontal="center" vertical="center" wrapText="1"/>
    </xf>
    <xf numFmtId="0" fontId="68" fillId="18" borderId="40" xfId="0" applyFont="1" applyFill="1" applyBorder="1" applyAlignment="1">
      <alignment horizontal="center" vertical="center" wrapText="1"/>
    </xf>
    <xf numFmtId="4" fontId="68" fillId="18" borderId="40" xfId="0" applyNumberFormat="1" applyFont="1" applyFill="1" applyBorder="1" applyAlignment="1">
      <alignment horizontal="center" vertical="center"/>
    </xf>
    <xf numFmtId="4" fontId="67" fillId="18" borderId="42" xfId="0" applyNumberFormat="1" applyFont="1" applyFill="1" applyBorder="1" applyAlignment="1">
      <alignment horizontal="center" vertical="center" wrapText="1"/>
    </xf>
    <xf numFmtId="0" fontId="0" fillId="18" borderId="40" xfId="0" applyFill="1" applyBorder="1" applyAlignment="1">
      <alignment horizontal="center"/>
    </xf>
    <xf numFmtId="4" fontId="67" fillId="18" borderId="56" xfId="0" applyNumberFormat="1" applyFont="1" applyFill="1" applyBorder="1" applyAlignment="1">
      <alignment horizontal="center" vertical="center" wrapText="1"/>
    </xf>
    <xf numFmtId="4" fontId="67" fillId="18" borderId="0" xfId="0" applyNumberFormat="1" applyFont="1" applyFill="1" applyAlignment="1">
      <alignment horizontal="center" vertical="center" wrapText="1"/>
    </xf>
    <xf numFmtId="4" fontId="68" fillId="18" borderId="45" xfId="0" applyNumberFormat="1" applyFont="1" applyFill="1" applyBorder="1" applyAlignment="1">
      <alignment horizontal="center" vertical="center"/>
    </xf>
    <xf numFmtId="0" fontId="7" fillId="18" borderId="41" xfId="0" applyFont="1" applyFill="1" applyBorder="1" applyAlignment="1">
      <alignment horizontal="center" vertical="center"/>
    </xf>
    <xf numFmtId="14" fontId="0" fillId="18" borderId="40" xfId="0" applyNumberFormat="1" applyFill="1" applyBorder="1" applyAlignment="1">
      <alignment horizontal="center"/>
    </xf>
    <xf numFmtId="0" fontId="0" fillId="18" borderId="40" xfId="0" applyFill="1" applyBorder="1"/>
    <xf numFmtId="14" fontId="0" fillId="0" borderId="0" xfId="0" applyNumberFormat="1" applyAlignment="1">
      <alignment wrapText="1"/>
    </xf>
    <xf numFmtId="0" fontId="2" fillId="0" borderId="0" xfId="0" applyFont="1" applyAlignment="1">
      <alignment horizontal="left" vertical="center"/>
    </xf>
    <xf numFmtId="0" fontId="2"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left" vertical="center"/>
    </xf>
    <xf numFmtId="4" fontId="3" fillId="0" borderId="0" xfId="0" applyNumberFormat="1" applyFont="1" applyAlignment="1">
      <alignment vertical="center"/>
    </xf>
    <xf numFmtId="3" fontId="2" fillId="0" borderId="0" xfId="0" applyNumberFormat="1" applyFont="1" applyAlignment="1">
      <alignment horizontal="center" vertical="center"/>
    </xf>
    <xf numFmtId="3" fontId="2" fillId="0" borderId="0" xfId="0" applyNumberFormat="1" applyFont="1" applyAlignment="1">
      <alignment horizontal="right" vertical="center"/>
    </xf>
    <xf numFmtId="3" fontId="2" fillId="0" borderId="0" xfId="0" applyNumberFormat="1" applyFont="1" applyAlignment="1">
      <alignment horizontal="left" vertical="center"/>
    </xf>
    <xf numFmtId="0" fontId="0" fillId="0" borderId="0" xfId="0" applyAlignment="1">
      <alignment horizontal="left" vertical="center"/>
    </xf>
    <xf numFmtId="0" fontId="57" fillId="0" borderId="3" xfId="1" applyNumberFormat="1" applyFont="1" applyFill="1" applyBorder="1" applyAlignment="1" applyProtection="1">
      <alignment horizontal="center" vertical="center" wrapText="1"/>
      <protection locked="0"/>
    </xf>
    <xf numFmtId="0" fontId="60" fillId="0" borderId="3" xfId="1" applyNumberFormat="1" applyFont="1" applyFill="1" applyBorder="1" applyAlignment="1" applyProtection="1">
      <alignment horizontal="center" vertical="center"/>
      <protection locked="0"/>
    </xf>
    <xf numFmtId="167" fontId="57" fillId="0" borderId="3" xfId="1" applyNumberFormat="1" applyFont="1" applyFill="1" applyBorder="1" applyAlignment="1" applyProtection="1">
      <alignment horizontal="center" vertical="center"/>
      <protection locked="0"/>
    </xf>
    <xf numFmtId="3" fontId="40" fillId="0" borderId="0" xfId="0" applyNumberFormat="1" applyFont="1" applyAlignment="1">
      <alignment vertical="center"/>
    </xf>
    <xf numFmtId="0" fontId="40" fillId="0" borderId="0" xfId="0" applyFont="1" applyAlignment="1">
      <alignment vertical="center"/>
    </xf>
    <xf numFmtId="0" fontId="40" fillId="0" borderId="0" xfId="0" applyFont="1"/>
    <xf numFmtId="0" fontId="57" fillId="0" borderId="3" xfId="1" quotePrefix="1" applyNumberFormat="1" applyFont="1" applyFill="1" applyBorder="1" applyAlignment="1" applyProtection="1">
      <alignment horizontal="center" vertical="center"/>
      <protection locked="0"/>
    </xf>
    <xf numFmtId="0" fontId="56" fillId="0" borderId="0" xfId="0" applyFont="1" applyAlignment="1">
      <alignment horizontal="left" vertical="center"/>
    </xf>
    <xf numFmtId="0" fontId="38" fillId="0" borderId="0" xfId="0" applyFont="1" applyAlignment="1">
      <alignment horizontal="left" vertical="center"/>
    </xf>
    <xf numFmtId="14" fontId="0" fillId="0" borderId="0" xfId="0" applyNumberFormat="1" applyAlignment="1">
      <alignment horizontal="left" vertical="center"/>
    </xf>
    <xf numFmtId="0" fontId="64" fillId="0" borderId="3" xfId="0" applyFont="1" applyBorder="1" applyAlignment="1">
      <alignment vertical="center" wrapText="1"/>
    </xf>
    <xf numFmtId="4" fontId="64" fillId="0" borderId="3" xfId="0" applyNumberFormat="1" applyFont="1" applyBorder="1" applyAlignment="1">
      <alignment vertical="center"/>
    </xf>
    <xf numFmtId="14" fontId="9" fillId="0" borderId="0" xfId="0" applyNumberFormat="1" applyFont="1" applyAlignment="1" applyProtection="1">
      <alignment horizontal="left" vertical="center"/>
      <protection locked="0"/>
    </xf>
    <xf numFmtId="0" fontId="9" fillId="0" borderId="0" xfId="0" applyFont="1" applyAlignment="1" applyProtection="1">
      <alignment horizontal="left" vertical="center"/>
      <protection locked="0"/>
    </xf>
    <xf numFmtId="49" fontId="9" fillId="0" borderId="0" xfId="0" quotePrefix="1" applyNumberFormat="1" applyFont="1" applyAlignment="1">
      <alignment horizontal="left" vertical="center"/>
    </xf>
    <xf numFmtId="49" fontId="0" fillId="0" borderId="0" xfId="0" applyNumberFormat="1" applyAlignment="1">
      <alignment horizontal="center" vertical="center"/>
    </xf>
    <xf numFmtId="44" fontId="0" fillId="0" borderId="0" xfId="0" applyNumberFormat="1" applyAlignment="1">
      <alignment horizontal="left" vertical="center"/>
    </xf>
    <xf numFmtId="0" fontId="80" fillId="0" borderId="0" xfId="0" applyFont="1" applyAlignment="1">
      <alignment horizontal="center" vertical="center" wrapText="1"/>
    </xf>
    <xf numFmtId="0" fontId="80" fillId="0" borderId="0" xfId="0" applyFont="1" applyAlignment="1">
      <alignment vertical="center" wrapText="1"/>
    </xf>
    <xf numFmtId="14" fontId="80" fillId="0" borderId="0" xfId="0" applyNumberFormat="1" applyFont="1" applyAlignment="1">
      <alignment horizontal="center" vertical="center" wrapText="1"/>
    </xf>
    <xf numFmtId="3" fontId="49" fillId="0" borderId="0" xfId="0" applyNumberFormat="1" applyFont="1" applyAlignment="1">
      <alignment horizontal="center" vertical="center"/>
    </xf>
    <xf numFmtId="3" fontId="49" fillId="0" borderId="0" xfId="0" applyNumberFormat="1" applyFont="1" applyAlignment="1">
      <alignment horizontal="right" vertical="center"/>
    </xf>
    <xf numFmtId="3" fontId="49" fillId="0" borderId="0" xfId="0" applyNumberFormat="1" applyFont="1" applyAlignment="1">
      <alignment horizontal="left" vertical="center"/>
    </xf>
    <xf numFmtId="0" fontId="0" fillId="0" borderId="0" xfId="0" applyAlignment="1">
      <alignment horizontal="left" vertical="center" wrapText="1"/>
    </xf>
    <xf numFmtId="0" fontId="88" fillId="0" borderId="3" xfId="1" quotePrefix="1" applyNumberFormat="1" applyFont="1" applyFill="1" applyBorder="1" applyAlignment="1" applyProtection="1">
      <alignment horizontal="center" vertical="center"/>
      <protection locked="0"/>
    </xf>
    <xf numFmtId="0" fontId="82" fillId="0" borderId="0" xfId="0" applyFont="1" applyAlignment="1">
      <alignment horizontal="left" vertical="center"/>
    </xf>
    <xf numFmtId="0" fontId="82" fillId="0" borderId="0" xfId="0" applyFont="1" applyAlignment="1">
      <alignment horizontal="left" vertical="center" wrapText="1"/>
    </xf>
    <xf numFmtId="0" fontId="42" fillId="0" borderId="0" xfId="0" applyFont="1" applyAlignment="1">
      <alignment horizontal="left" vertical="center"/>
    </xf>
    <xf numFmtId="0" fontId="82" fillId="0" borderId="0" xfId="0" applyFont="1" applyAlignment="1">
      <alignment horizontal="center" vertical="center"/>
    </xf>
    <xf numFmtId="4" fontId="82" fillId="0" borderId="0" xfId="0" applyNumberFormat="1" applyFont="1" applyAlignment="1">
      <alignment vertical="center"/>
    </xf>
    <xf numFmtId="3" fontId="82" fillId="0" borderId="0" xfId="0" applyNumberFormat="1" applyFont="1" applyAlignment="1">
      <alignment horizontal="center" vertical="center"/>
    </xf>
    <xf numFmtId="3" fontId="82" fillId="0" borderId="0" xfId="0" applyNumberFormat="1" applyFont="1" applyAlignment="1">
      <alignment horizontal="left" vertical="center"/>
    </xf>
    <xf numFmtId="3" fontId="82" fillId="0" borderId="0" xfId="0" applyNumberFormat="1" applyFont="1" applyAlignment="1">
      <alignment vertical="center"/>
    </xf>
    <xf numFmtId="0" fontId="75" fillId="0" borderId="0" xfId="0" applyFont="1" applyAlignment="1">
      <alignment horizontal="left" vertical="center"/>
    </xf>
    <xf numFmtId="0" fontId="84" fillId="0" borderId="3" xfId="1" applyNumberFormat="1" applyFont="1" applyFill="1" applyBorder="1" applyAlignment="1" applyProtection="1">
      <alignment horizontal="center" vertical="center" wrapText="1"/>
      <protection locked="0"/>
    </xf>
    <xf numFmtId="0" fontId="84" fillId="0" borderId="3" xfId="1" applyNumberFormat="1" applyFont="1" applyFill="1" applyBorder="1" applyAlignment="1" applyProtection="1">
      <alignment horizontal="center" vertical="center"/>
      <protection locked="0"/>
    </xf>
    <xf numFmtId="0" fontId="84" fillId="0" borderId="3" xfId="1" applyNumberFormat="1" applyFont="1" applyFill="1" applyBorder="1" applyAlignment="1" applyProtection="1">
      <alignment vertical="center"/>
      <protection locked="0"/>
    </xf>
    <xf numFmtId="14" fontId="84" fillId="0" borderId="3" xfId="1" applyNumberFormat="1" applyFont="1" applyFill="1" applyBorder="1" applyAlignment="1" applyProtection="1">
      <alignment horizontal="center" vertical="center"/>
      <protection locked="0"/>
    </xf>
    <xf numFmtId="0" fontId="108" fillId="0" borderId="3" xfId="1" applyNumberFormat="1" applyFont="1" applyFill="1" applyBorder="1" applyAlignment="1" applyProtection="1">
      <alignment horizontal="center" vertical="center"/>
      <protection locked="0"/>
    </xf>
    <xf numFmtId="4" fontId="84" fillId="0" borderId="3" xfId="1" applyNumberFormat="1" applyFont="1" applyFill="1" applyBorder="1" applyAlignment="1" applyProtection="1">
      <alignment horizontal="center" vertical="center"/>
      <protection locked="0"/>
    </xf>
    <xf numFmtId="167" fontId="84" fillId="0" borderId="3" xfId="1" applyNumberFormat="1" applyFont="1" applyFill="1" applyBorder="1" applyAlignment="1" applyProtection="1">
      <alignment horizontal="center" vertical="center"/>
      <protection locked="0"/>
    </xf>
    <xf numFmtId="3" fontId="100" fillId="0" borderId="0" xfId="0" applyNumberFormat="1" applyFont="1" applyAlignment="1">
      <alignment vertical="center"/>
    </xf>
    <xf numFmtId="0" fontId="75" fillId="0" borderId="0" xfId="0" applyFont="1" applyAlignment="1">
      <alignment wrapText="1"/>
    </xf>
    <xf numFmtId="0" fontId="43" fillId="0" borderId="0" xfId="0" applyFont="1" applyAlignment="1">
      <alignment horizontal="left" vertical="center"/>
    </xf>
    <xf numFmtId="0" fontId="44" fillId="0" borderId="0" xfId="0" applyFont="1" applyAlignment="1">
      <alignment horizontal="left" vertical="center" wrapText="1"/>
    </xf>
    <xf numFmtId="0" fontId="45" fillId="0" borderId="0" xfId="0" applyFont="1" applyAlignment="1">
      <alignment horizontal="left" vertical="center"/>
    </xf>
    <xf numFmtId="0" fontId="44" fillId="0" borderId="0" xfId="0" applyFont="1" applyAlignment="1">
      <alignment horizontal="left" vertical="center"/>
    </xf>
    <xf numFmtId="0" fontId="44" fillId="0" borderId="0" xfId="0" applyFont="1" applyAlignment="1">
      <alignment horizontal="center" vertical="center"/>
    </xf>
    <xf numFmtId="4" fontId="44" fillId="0" borderId="0" xfId="0" applyNumberFormat="1" applyFont="1" applyAlignment="1">
      <alignment vertical="center"/>
    </xf>
    <xf numFmtId="3" fontId="43" fillId="0" borderId="0" xfId="0" applyNumberFormat="1" applyFont="1" applyAlignment="1">
      <alignment horizontal="center" vertical="center"/>
    </xf>
    <xf numFmtId="3" fontId="43" fillId="0" borderId="0" xfId="0" applyNumberFormat="1" applyFont="1" applyAlignment="1">
      <alignment horizontal="right" vertical="center"/>
    </xf>
    <xf numFmtId="3" fontId="43" fillId="0" borderId="0" xfId="0" applyNumberFormat="1" applyFont="1" applyAlignment="1">
      <alignment horizontal="left" vertical="center"/>
    </xf>
    <xf numFmtId="3" fontId="43" fillId="0" borderId="0" xfId="0" applyNumberFormat="1" applyFont="1" applyAlignment="1">
      <alignment vertical="center"/>
    </xf>
    <xf numFmtId="0" fontId="46" fillId="0" borderId="0" xfId="0" applyFont="1" applyAlignment="1">
      <alignment horizontal="left" vertical="center"/>
    </xf>
    <xf numFmtId="0" fontId="46" fillId="0" borderId="0" xfId="0" applyFont="1"/>
    <xf numFmtId="0" fontId="3" fillId="0" borderId="0" xfId="0" applyFont="1" applyAlignment="1" applyProtection="1">
      <alignment horizontal="left" vertical="center"/>
      <protection locked="0"/>
    </xf>
    <xf numFmtId="0" fontId="49" fillId="0" borderId="0" xfId="0" applyFont="1" applyAlignment="1">
      <alignment horizontal="left" vertical="center"/>
    </xf>
    <xf numFmtId="0" fontId="5" fillId="0" borderId="0" xfId="0" applyFont="1" applyAlignment="1">
      <alignment horizontal="left" vertical="center" wrapText="1"/>
    </xf>
    <xf numFmtId="0" fontId="12" fillId="0" borderId="0" xfId="0" applyFont="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4" fontId="5" fillId="0" borderId="0" xfId="0" applyNumberFormat="1" applyFont="1" applyAlignment="1">
      <alignment vertical="center"/>
    </xf>
    <xf numFmtId="0" fontId="76" fillId="0" borderId="0" xfId="0" applyFont="1" applyAlignment="1">
      <alignment horizontal="left" vertical="center"/>
    </xf>
    <xf numFmtId="0" fontId="5" fillId="0" borderId="0" xfId="0" applyFont="1" applyAlignment="1" applyProtection="1">
      <alignment horizontal="left" vertical="center"/>
      <protection locked="0"/>
    </xf>
    <xf numFmtId="0" fontId="7" fillId="0" borderId="0" xfId="0" applyFont="1" applyAlignment="1">
      <alignment horizontal="left" vertical="center"/>
    </xf>
    <xf numFmtId="0" fontId="88" fillId="0" borderId="3" xfId="1" applyNumberFormat="1" applyFont="1" applyFill="1" applyBorder="1" applyAlignment="1" applyProtection="1">
      <alignment horizontal="center" vertical="center" wrapText="1"/>
      <protection locked="0"/>
    </xf>
    <xf numFmtId="0" fontId="88" fillId="0" borderId="3" xfId="1" applyNumberFormat="1" applyFont="1" applyFill="1" applyBorder="1" applyAlignment="1" applyProtection="1">
      <alignment vertical="center"/>
      <protection locked="0"/>
    </xf>
    <xf numFmtId="14" fontId="88" fillId="0" borderId="3" xfId="1" applyNumberFormat="1" applyFont="1" applyFill="1" applyBorder="1" applyAlignment="1" applyProtection="1">
      <alignment horizontal="center" vertical="center"/>
      <protection locked="0"/>
    </xf>
    <xf numFmtId="4" fontId="88" fillId="0" borderId="3" xfId="1" applyNumberFormat="1" applyFont="1" applyFill="1" applyBorder="1" applyAlignment="1" applyProtection="1">
      <alignment horizontal="center" vertical="center"/>
      <protection locked="0"/>
    </xf>
    <xf numFmtId="167" fontId="88" fillId="0" borderId="3" xfId="1" applyNumberFormat="1" applyFont="1" applyFill="1" applyBorder="1" applyAlignment="1" applyProtection="1">
      <alignment horizontal="center" vertical="center"/>
      <protection locked="0"/>
    </xf>
    <xf numFmtId="0" fontId="64" fillId="0" borderId="0" xfId="0" applyFont="1" applyAlignment="1" applyProtection="1">
      <alignment horizontal="left" vertical="center"/>
      <protection locked="0"/>
    </xf>
    <xf numFmtId="0" fontId="65" fillId="0" borderId="3" xfId="1" applyNumberFormat="1" applyFont="1" applyFill="1" applyBorder="1" applyAlignment="1" applyProtection="1">
      <alignment horizontal="center" vertical="center"/>
      <protection locked="0"/>
    </xf>
    <xf numFmtId="49" fontId="9" fillId="0" borderId="0" xfId="0" applyNumberFormat="1" applyFont="1" applyAlignment="1">
      <alignment horizontal="left" vertical="center"/>
    </xf>
    <xf numFmtId="0" fontId="54" fillId="0" borderId="0" xfId="0" applyFont="1" applyAlignment="1">
      <alignment horizontal="left" vertical="center" wrapText="1"/>
    </xf>
    <xf numFmtId="0" fontId="7" fillId="0" borderId="0" xfId="0" applyFont="1" applyAlignment="1">
      <alignment vertical="center"/>
    </xf>
    <xf numFmtId="14" fontId="7" fillId="0" borderId="0" xfId="0" applyNumberFormat="1" applyFont="1" applyAlignment="1">
      <alignment horizontal="left" vertical="center"/>
    </xf>
    <xf numFmtId="0" fontId="30" fillId="0" borderId="0" xfId="0" applyFont="1" applyAlignment="1" applyProtection="1">
      <alignment vertical="center"/>
      <protection locked="0"/>
    </xf>
    <xf numFmtId="49" fontId="77" fillId="0" borderId="0" xfId="3" quotePrefix="1" applyNumberFormat="1" applyFont="1" applyAlignment="1">
      <alignment horizontal="center" vertical="center"/>
    </xf>
    <xf numFmtId="44" fontId="7" fillId="0" borderId="0" xfId="0" applyNumberFormat="1" applyFont="1" applyAlignment="1">
      <alignment horizontal="left" vertical="center"/>
    </xf>
    <xf numFmtId="0" fontId="80" fillId="0" borderId="0" xfId="0" applyFont="1" applyAlignment="1">
      <alignment horizontal="center" vertical="center"/>
    </xf>
    <xf numFmtId="14" fontId="80" fillId="0" borderId="0" xfId="0" applyNumberFormat="1" applyFont="1" applyAlignment="1">
      <alignment horizontal="center" vertical="center"/>
    </xf>
    <xf numFmtId="0" fontId="66" fillId="0" borderId="0" xfId="0" applyFont="1" applyAlignment="1">
      <alignment horizontal="left" vertical="center"/>
    </xf>
    <xf numFmtId="0" fontId="64" fillId="0" borderId="0" xfId="0" applyFont="1" applyAlignment="1">
      <alignment horizontal="left" vertical="center"/>
    </xf>
    <xf numFmtId="3" fontId="66" fillId="0" borderId="0" xfId="0" applyNumberFormat="1" applyFont="1" applyAlignment="1">
      <alignment horizontal="right" vertical="center"/>
    </xf>
    <xf numFmtId="0" fontId="57" fillId="0" borderId="3" xfId="1" quotePrefix="1" applyNumberFormat="1" applyFont="1" applyFill="1" applyBorder="1" applyAlignment="1" applyProtection="1">
      <alignment vertical="center"/>
      <protection locked="0"/>
    </xf>
    <xf numFmtId="0" fontId="57" fillId="0" borderId="3" xfId="1" applyNumberFormat="1" applyFont="1" applyFill="1" applyBorder="1" applyAlignment="1" applyProtection="1">
      <alignment horizontal="left" vertical="center"/>
      <protection locked="0"/>
    </xf>
    <xf numFmtId="4" fontId="3" fillId="0" borderId="0" xfId="0" applyNumberFormat="1" applyFont="1" applyAlignment="1">
      <alignment horizontal="right" vertical="center"/>
    </xf>
    <xf numFmtId="0" fontId="60" fillId="0" borderId="3" xfId="1" applyNumberFormat="1" applyFont="1" applyFill="1" applyBorder="1" applyAlignment="1" applyProtection="1">
      <alignment horizontal="right" vertical="center"/>
      <protection locked="0"/>
    </xf>
    <xf numFmtId="4" fontId="64" fillId="0" borderId="0" xfId="0" applyNumberFormat="1" applyFont="1" applyAlignment="1">
      <alignment vertical="center"/>
    </xf>
    <xf numFmtId="0" fontId="109" fillId="0" borderId="0" xfId="0" applyFont="1" applyAlignment="1">
      <alignment horizontal="left" vertical="center"/>
    </xf>
    <xf numFmtId="0" fontId="60" fillId="0" borderId="0" xfId="0" applyFont="1" applyAlignment="1">
      <alignment horizontal="left" vertical="center" wrapText="1"/>
    </xf>
    <xf numFmtId="0" fontId="60" fillId="0" borderId="0" xfId="0" applyFont="1" applyAlignment="1">
      <alignment horizontal="left" vertical="center"/>
    </xf>
    <xf numFmtId="0" fontId="60" fillId="0" borderId="0" xfId="0" applyFont="1" applyAlignment="1">
      <alignment horizontal="center" vertical="center"/>
    </xf>
    <xf numFmtId="4" fontId="60" fillId="0" borderId="0" xfId="0" applyNumberFormat="1" applyFont="1" applyAlignment="1">
      <alignment vertical="center"/>
    </xf>
    <xf numFmtId="4" fontId="109" fillId="0" borderId="0" xfId="0" applyNumberFormat="1" applyFont="1" applyAlignment="1">
      <alignment horizontal="right" vertical="center"/>
    </xf>
    <xf numFmtId="14" fontId="7" fillId="0" borderId="0" xfId="0" applyNumberFormat="1" applyFont="1" applyAlignment="1">
      <alignment horizontal="center"/>
    </xf>
    <xf numFmtId="4" fontId="49" fillId="0" borderId="0" xfId="0" applyNumberFormat="1" applyFont="1" applyAlignment="1">
      <alignment horizontal="right" vertical="center"/>
    </xf>
    <xf numFmtId="0" fontId="49" fillId="0" borderId="0" xfId="0" applyFont="1" applyAlignment="1">
      <alignment horizontal="right" vertical="center"/>
    </xf>
    <xf numFmtId="3" fontId="109" fillId="0" borderId="0" xfId="0" applyNumberFormat="1" applyFont="1" applyAlignment="1">
      <alignment horizontal="right" vertical="center"/>
    </xf>
    <xf numFmtId="4" fontId="49" fillId="0" borderId="0" xfId="0" applyNumberFormat="1" applyFont="1" applyAlignment="1">
      <alignment vertical="center"/>
    </xf>
    <xf numFmtId="4" fontId="2" fillId="0" borderId="0" xfId="0" applyNumberFormat="1" applyFont="1" applyAlignment="1">
      <alignment horizontal="right" vertical="center"/>
    </xf>
    <xf numFmtId="0" fontId="2" fillId="0" borderId="0" xfId="0" applyFont="1" applyAlignment="1">
      <alignment horizontal="right" vertical="center"/>
    </xf>
    <xf numFmtId="4" fontId="2" fillId="0" borderId="0" xfId="0" applyNumberFormat="1" applyFont="1" applyAlignment="1">
      <alignment vertical="center"/>
    </xf>
    <xf numFmtId="0" fontId="2" fillId="0" borderId="36" xfId="0" applyFont="1" applyBorder="1" applyAlignment="1">
      <alignment horizontal="center" vertical="center"/>
    </xf>
    <xf numFmtId="0" fontId="2" fillId="0" borderId="36" xfId="0" applyFont="1" applyBorder="1" applyAlignment="1">
      <alignment horizontal="left" vertical="center"/>
    </xf>
    <xf numFmtId="0" fontId="3" fillId="0" borderId="37" xfId="0" applyFont="1" applyBorder="1" applyAlignment="1">
      <alignment horizontal="left" vertical="center" wrapText="1"/>
    </xf>
    <xf numFmtId="0" fontId="3" fillId="0" borderId="37" xfId="0" applyFont="1" applyBorder="1" applyAlignment="1">
      <alignment horizontal="center" vertical="center"/>
    </xf>
    <xf numFmtId="4" fontId="3" fillId="0" borderId="37" xfId="0" applyNumberFormat="1" applyFont="1" applyBorder="1" applyAlignment="1">
      <alignment vertical="center"/>
    </xf>
    <xf numFmtId="3" fontId="2" fillId="0" borderId="36" xfId="0" applyNumberFormat="1" applyFont="1" applyBorder="1" applyAlignment="1">
      <alignment horizontal="center" vertical="center"/>
    </xf>
    <xf numFmtId="0" fontId="3" fillId="0" borderId="37" xfId="0" applyFont="1" applyBorder="1" applyAlignment="1" applyProtection="1">
      <alignment horizontal="left" vertical="center"/>
      <protection locked="0"/>
    </xf>
    <xf numFmtId="0" fontId="2" fillId="0" borderId="20" xfId="0" applyFont="1" applyBorder="1" applyAlignment="1">
      <alignment horizontal="left" vertical="center"/>
    </xf>
    <xf numFmtId="4" fontId="3" fillId="0" borderId="4" xfId="0" applyNumberFormat="1" applyFont="1" applyBorder="1" applyAlignment="1">
      <alignment vertical="center"/>
    </xf>
    <xf numFmtId="3" fontId="2" fillId="0" borderId="20" xfId="0" applyNumberFormat="1" applyFont="1" applyBorder="1" applyAlignment="1">
      <alignment horizontal="center" vertical="center"/>
    </xf>
    <xf numFmtId="0" fontId="3" fillId="0" borderId="4" xfId="0" applyFont="1" applyBorder="1" applyAlignment="1" applyProtection="1">
      <alignment horizontal="left" vertical="center"/>
      <protection locked="0"/>
    </xf>
    <xf numFmtId="4" fontId="3" fillId="0" borderId="3" xfId="0" applyNumberFormat="1" applyFont="1" applyBorder="1" applyAlignment="1">
      <alignment vertical="center"/>
    </xf>
    <xf numFmtId="3" fontId="2" fillId="0" borderId="2" xfId="0" applyNumberFormat="1" applyFont="1" applyBorder="1" applyAlignment="1">
      <alignment horizontal="center" vertical="center"/>
    </xf>
    <xf numFmtId="0" fontId="3" fillId="0" borderId="3" xfId="0" applyFont="1" applyBorder="1" applyAlignment="1" applyProtection="1">
      <alignment horizontal="left" vertical="center"/>
      <protection locked="0"/>
    </xf>
    <xf numFmtId="0" fontId="2" fillId="0" borderId="10" xfId="0" applyFont="1" applyBorder="1" applyAlignment="1">
      <alignment horizontal="left" vertical="center"/>
    </xf>
    <xf numFmtId="4" fontId="3" fillId="0" borderId="19" xfId="0" applyNumberFormat="1" applyFont="1" applyBorder="1" applyAlignment="1">
      <alignment vertical="center"/>
    </xf>
    <xf numFmtId="3" fontId="2" fillId="0" borderId="10" xfId="0" applyNumberFormat="1" applyFont="1" applyBorder="1" applyAlignment="1">
      <alignment horizontal="center" vertical="center"/>
    </xf>
    <xf numFmtId="0" fontId="3" fillId="0" borderId="19" xfId="0" applyFont="1" applyBorder="1" applyAlignment="1" applyProtection="1">
      <alignment horizontal="left" vertical="center"/>
      <protection locked="0"/>
    </xf>
    <xf numFmtId="167" fontId="57" fillId="0" borderId="4" xfId="1" applyNumberFormat="1" applyFont="1" applyFill="1" applyBorder="1" applyAlignment="1" applyProtection="1">
      <alignment horizontal="center" vertical="center"/>
      <protection locked="0"/>
    </xf>
    <xf numFmtId="0" fontId="54" fillId="0" borderId="4" xfId="0" applyFont="1" applyBorder="1" applyAlignment="1">
      <alignment horizontal="left" vertical="center" wrapText="1"/>
    </xf>
    <xf numFmtId="0" fontId="71" fillId="0" borderId="0" xfId="0" applyFont="1" applyAlignment="1">
      <alignment horizontal="center" vertical="center"/>
    </xf>
    <xf numFmtId="0" fontId="71" fillId="0" borderId="2" xfId="0" applyFont="1" applyBorder="1" applyAlignment="1">
      <alignment horizontal="center" vertical="center"/>
    </xf>
    <xf numFmtId="0" fontId="71" fillId="0" borderId="2" xfId="0" applyFont="1" applyBorder="1" applyAlignment="1">
      <alignment horizontal="left" vertical="center"/>
    </xf>
    <xf numFmtId="0" fontId="70" fillId="0" borderId="3" xfId="0" applyFont="1" applyBorder="1" applyAlignment="1">
      <alignment horizontal="left" vertical="center" wrapText="1"/>
    </xf>
    <xf numFmtId="0" fontId="72" fillId="0" borderId="0" xfId="0" applyFont="1"/>
    <xf numFmtId="0" fontId="70" fillId="0" borderId="3" xfId="0" applyFont="1" applyBorder="1" applyAlignment="1">
      <alignment horizontal="center" vertical="center"/>
    </xf>
    <xf numFmtId="4" fontId="70" fillId="0" borderId="3" xfId="0" applyNumberFormat="1" applyFont="1" applyBorder="1" applyAlignment="1">
      <alignment vertical="center"/>
    </xf>
    <xf numFmtId="3" fontId="71" fillId="0" borderId="2" xfId="0" applyNumberFormat="1" applyFont="1" applyBorder="1" applyAlignment="1">
      <alignment horizontal="center" vertical="center"/>
    </xf>
    <xf numFmtId="0" fontId="71" fillId="0" borderId="0" xfId="0" applyFont="1" applyAlignment="1">
      <alignment vertical="center"/>
    </xf>
    <xf numFmtId="3" fontId="71" fillId="0" borderId="0" xfId="0" applyNumberFormat="1" applyFont="1" applyAlignment="1">
      <alignment horizontal="right" vertical="center"/>
    </xf>
    <xf numFmtId="3" fontId="71" fillId="0" borderId="0" xfId="0" applyNumberFormat="1" applyFont="1" applyAlignment="1">
      <alignment vertical="center"/>
    </xf>
    <xf numFmtId="0" fontId="70" fillId="0" borderId="3" xfId="0" applyFont="1" applyBorder="1" applyAlignment="1" applyProtection="1">
      <alignment horizontal="left" vertical="center"/>
      <protection locked="0"/>
    </xf>
    <xf numFmtId="0" fontId="70" fillId="0" borderId="3" xfId="1" applyNumberFormat="1" applyFont="1" applyFill="1" applyBorder="1" applyAlignment="1" applyProtection="1">
      <alignment vertical="center"/>
      <protection locked="0"/>
    </xf>
    <xf numFmtId="4" fontId="70" fillId="0" borderId="3" xfId="1" applyNumberFormat="1" applyFont="1" applyFill="1" applyBorder="1" applyAlignment="1" applyProtection="1">
      <alignment horizontal="center" vertical="center"/>
      <protection locked="0"/>
    </xf>
    <xf numFmtId="167" fontId="70" fillId="0" borderId="3" xfId="1" applyNumberFormat="1" applyFont="1" applyFill="1" applyBorder="1" applyAlignment="1" applyProtection="1">
      <alignment horizontal="center" vertical="center"/>
      <protection locked="0"/>
    </xf>
    <xf numFmtId="0" fontId="4" fillId="0" borderId="6" xfId="0" applyFont="1" applyBorder="1"/>
    <xf numFmtId="0" fontId="4" fillId="0" borderId="7" xfId="0" applyFont="1" applyBorder="1"/>
    <xf numFmtId="0" fontId="4" fillId="0" borderId="8" xfId="0" applyFont="1" applyBorder="1"/>
    <xf numFmtId="4" fontId="58" fillId="0" borderId="3" xfId="1" applyNumberFormat="1" applyFont="1" applyFill="1" applyBorder="1" applyAlignment="1" applyProtection="1">
      <alignment horizontal="center" vertical="center"/>
      <protection locked="0"/>
    </xf>
    <xf numFmtId="0" fontId="58" fillId="0" borderId="3" xfId="1" applyNumberFormat="1" applyFont="1" applyFill="1" applyBorder="1" applyAlignment="1" applyProtection="1">
      <alignment vertical="center"/>
      <protection locked="0"/>
    </xf>
    <xf numFmtId="0" fontId="52" fillId="0" borderId="3" xfId="0" applyFont="1" applyBorder="1" applyAlignment="1">
      <alignment horizontal="left" vertical="center" wrapText="1"/>
    </xf>
    <xf numFmtId="0" fontId="69" fillId="0" borderId="0" xfId="0" applyFont="1"/>
    <xf numFmtId="0" fontId="52" fillId="0" borderId="0" xfId="0" applyFont="1" applyAlignment="1">
      <alignment horizontal="center" vertical="center"/>
    </xf>
    <xf numFmtId="0" fontId="52" fillId="0" borderId="2" xfId="0" applyFont="1" applyBorder="1" applyAlignment="1">
      <alignment horizontal="center" vertical="center"/>
    </xf>
    <xf numFmtId="0" fontId="52" fillId="0" borderId="2" xfId="0" applyFont="1" applyBorder="1" applyAlignment="1">
      <alignment horizontal="left" vertical="center"/>
    </xf>
    <xf numFmtId="0" fontId="4" fillId="0" borderId="0" xfId="0" applyFont="1" applyAlignment="1">
      <alignment vertical="center"/>
    </xf>
    <xf numFmtId="0" fontId="52" fillId="0" borderId="2" xfId="0" applyFont="1" applyBorder="1" applyAlignment="1">
      <alignment horizontal="center" vertical="center" wrapText="1"/>
    </xf>
    <xf numFmtId="0" fontId="52" fillId="0" borderId="3" xfId="0" applyFont="1" applyBorder="1" applyAlignment="1">
      <alignment horizontal="center" vertical="center"/>
    </xf>
    <xf numFmtId="0" fontId="52" fillId="0" borderId="3" xfId="0" applyFont="1" applyBorder="1" applyAlignment="1">
      <alignment horizontal="center" vertical="center" wrapText="1"/>
    </xf>
    <xf numFmtId="0" fontId="52" fillId="0" borderId="3" xfId="0" applyFont="1" applyBorder="1" applyAlignment="1">
      <alignment vertical="center" wrapText="1"/>
    </xf>
    <xf numFmtId="4" fontId="52" fillId="0" borderId="3" xfId="0" applyNumberFormat="1" applyFont="1" applyBorder="1" applyAlignment="1">
      <alignment vertical="center"/>
    </xf>
    <xf numFmtId="3" fontId="52" fillId="0" borderId="2" xfId="0" applyNumberFormat="1" applyFont="1" applyBorder="1" applyAlignment="1">
      <alignment horizontal="center" vertical="center"/>
    </xf>
    <xf numFmtId="0" fontId="52" fillId="0" borderId="0" xfId="0" applyFont="1" applyAlignment="1">
      <alignment vertical="center"/>
    </xf>
    <xf numFmtId="3" fontId="52" fillId="0" borderId="0" xfId="0" applyNumberFormat="1" applyFont="1" applyAlignment="1">
      <alignment horizontal="right" vertical="center"/>
    </xf>
    <xf numFmtId="3" fontId="52" fillId="0" borderId="0" xfId="0" applyNumberFormat="1" applyFont="1" applyAlignment="1">
      <alignment vertical="center"/>
    </xf>
    <xf numFmtId="0" fontId="52" fillId="0" borderId="3" xfId="1" applyNumberFormat="1" applyFont="1" applyFill="1" applyBorder="1" applyAlignment="1" applyProtection="1">
      <alignment horizontal="left" vertical="center"/>
      <protection locked="0"/>
    </xf>
    <xf numFmtId="0" fontId="51" fillId="0" borderId="0" xfId="0" applyFont="1"/>
    <xf numFmtId="14" fontId="51" fillId="0" borderId="0" xfId="0" applyNumberFormat="1" applyFont="1"/>
    <xf numFmtId="0" fontId="53" fillId="0" borderId="3" xfId="1" applyNumberFormat="1" applyFont="1" applyFill="1" applyBorder="1" applyAlignment="1" applyProtection="1">
      <alignment horizontal="center" vertical="center"/>
      <protection locked="0"/>
    </xf>
    <xf numFmtId="0" fontId="53" fillId="0" borderId="3" xfId="1" applyNumberFormat="1" applyFont="1" applyFill="1" applyBorder="1" applyAlignment="1" applyProtection="1">
      <alignment vertical="center"/>
      <protection locked="0"/>
    </xf>
    <xf numFmtId="14" fontId="53" fillId="0" borderId="3" xfId="1" applyNumberFormat="1" applyFont="1" applyFill="1" applyBorder="1" applyAlignment="1" applyProtection="1">
      <alignment horizontal="center" vertical="center"/>
      <protection locked="0"/>
    </xf>
    <xf numFmtId="0" fontId="52" fillId="0" borderId="3" xfId="1" applyNumberFormat="1" applyFont="1" applyFill="1" applyBorder="1" applyAlignment="1" applyProtection="1">
      <alignment horizontal="center" vertical="center"/>
      <protection locked="0"/>
    </xf>
    <xf numFmtId="0" fontId="65" fillId="0" borderId="3" xfId="1" applyNumberFormat="1" applyFont="1" applyFill="1" applyBorder="1" applyAlignment="1" applyProtection="1">
      <alignment horizontal="left" vertical="center"/>
      <protection locked="0"/>
    </xf>
    <xf numFmtId="4" fontId="53" fillId="0" borderId="3" xfId="1" applyNumberFormat="1" applyFont="1" applyFill="1" applyBorder="1" applyAlignment="1" applyProtection="1">
      <alignment horizontal="center" vertical="center"/>
      <protection locked="0"/>
    </xf>
    <xf numFmtId="0" fontId="3" fillId="0" borderId="3" xfId="0" applyFont="1" applyBorder="1" applyAlignment="1">
      <alignment horizontal="right" vertical="center"/>
    </xf>
    <xf numFmtId="0" fontId="65" fillId="0" borderId="3" xfId="1" applyNumberFormat="1" applyFont="1" applyFill="1" applyBorder="1" applyAlignment="1" applyProtection="1">
      <alignment vertical="center"/>
      <protection locked="0"/>
    </xf>
    <xf numFmtId="2" fontId="65" fillId="0" borderId="3" xfId="1" applyNumberFormat="1" applyFont="1" applyFill="1" applyBorder="1" applyAlignment="1" applyProtection="1">
      <alignment horizontal="center" vertical="center"/>
      <protection locked="0"/>
    </xf>
    <xf numFmtId="0" fontId="54" fillId="0" borderId="3" xfId="0" applyFont="1" applyBorder="1" applyAlignment="1">
      <alignment vertical="center" wrapText="1"/>
    </xf>
    <xf numFmtId="0" fontId="4" fillId="0" borderId="0" xfId="0" applyFont="1" applyAlignment="1">
      <alignment horizontal="left"/>
    </xf>
    <xf numFmtId="0" fontId="3" fillId="0" borderId="3" xfId="0" applyFont="1" applyBorder="1" applyAlignment="1">
      <alignment horizontal="left" vertical="center"/>
    </xf>
    <xf numFmtId="0" fontId="54" fillId="0" borderId="3" xfId="0" applyFont="1" applyBorder="1" applyAlignment="1">
      <alignment horizontal="left" vertical="center" wrapText="1"/>
    </xf>
    <xf numFmtId="0" fontId="57" fillId="0" borderId="3" xfId="1" applyNumberFormat="1" applyFont="1" applyFill="1" applyBorder="1" applyAlignment="1" applyProtection="1">
      <alignment vertical="center" wrapText="1"/>
      <protection locked="0"/>
    </xf>
    <xf numFmtId="0" fontId="64" fillId="0" borderId="4" xfId="1" applyNumberFormat="1" applyFont="1" applyFill="1" applyBorder="1" applyAlignment="1" applyProtection="1">
      <alignment horizontal="center" vertical="center" wrapText="1"/>
      <protection locked="0"/>
    </xf>
    <xf numFmtId="0" fontId="82" fillId="0" borderId="2" xfId="0" applyFont="1" applyBorder="1" applyAlignment="1">
      <alignment horizontal="center" vertical="center"/>
    </xf>
    <xf numFmtId="0" fontId="82" fillId="0" borderId="2" xfId="0" applyFont="1" applyBorder="1" applyAlignment="1">
      <alignment horizontal="left" vertical="center"/>
    </xf>
    <xf numFmtId="0" fontId="82" fillId="0" borderId="3" xfId="0" applyFont="1" applyBorder="1" applyAlignment="1">
      <alignment horizontal="left" vertical="center" wrapText="1"/>
    </xf>
    <xf numFmtId="0" fontId="42" fillId="0" borderId="0" xfId="0" applyFont="1"/>
    <xf numFmtId="0" fontId="82" fillId="0" borderId="3" xfId="0" applyFont="1" applyBorder="1" applyAlignment="1">
      <alignment horizontal="center" vertical="center"/>
    </xf>
    <xf numFmtId="0" fontId="82" fillId="0" borderId="3" xfId="0" applyFont="1" applyBorder="1" applyAlignment="1">
      <alignment horizontal="center" vertical="center" wrapText="1"/>
    </xf>
    <xf numFmtId="0" fontId="82" fillId="0" borderId="3" xfId="0" applyFont="1" applyBorder="1" applyAlignment="1">
      <alignment vertical="center" wrapText="1"/>
    </xf>
    <xf numFmtId="4" fontId="82" fillId="0" borderId="3" xfId="0" applyNumberFormat="1" applyFont="1" applyBorder="1" applyAlignment="1">
      <alignment vertical="center"/>
    </xf>
    <xf numFmtId="3" fontId="82" fillId="0" borderId="2" xfId="0" applyNumberFormat="1" applyFont="1" applyBorder="1" applyAlignment="1">
      <alignment horizontal="center" vertical="center"/>
    </xf>
    <xf numFmtId="0" fontId="82" fillId="0" borderId="0" xfId="0" applyFont="1" applyAlignment="1">
      <alignment vertical="center"/>
    </xf>
    <xf numFmtId="0" fontId="84" fillId="0" borderId="3" xfId="1" applyNumberFormat="1" applyFont="1" applyFill="1" applyBorder="1" applyAlignment="1" applyProtection="1">
      <alignment vertical="center" wrapText="1"/>
      <protection locked="0"/>
    </xf>
    <xf numFmtId="0" fontId="126" fillId="0" borderId="4" xfId="1" applyNumberFormat="1" applyFont="1" applyFill="1" applyBorder="1" applyAlignment="1" applyProtection="1">
      <alignment horizontal="center" vertical="center" wrapText="1"/>
      <protection locked="0"/>
    </xf>
    <xf numFmtId="0" fontId="94" fillId="0" borderId="0" xfId="0" applyFont="1" applyAlignment="1">
      <alignment horizontal="center" vertical="center"/>
    </xf>
    <xf numFmtId="0" fontId="94" fillId="0" borderId="2" xfId="0" applyFont="1" applyBorder="1" applyAlignment="1">
      <alignment horizontal="center" vertical="center"/>
    </xf>
    <xf numFmtId="0" fontId="94" fillId="0" borderId="2" xfId="0" applyFont="1" applyBorder="1" applyAlignment="1">
      <alignment horizontal="left" vertical="center"/>
    </xf>
    <xf numFmtId="0" fontId="94" fillId="0" borderId="3" xfId="0" applyFont="1" applyBorder="1" applyAlignment="1">
      <alignment horizontal="left" vertical="center" wrapText="1"/>
    </xf>
    <xf numFmtId="0" fontId="95" fillId="0" borderId="0" xfId="0" applyFont="1"/>
    <xf numFmtId="0" fontId="94" fillId="0" borderId="3" xfId="0" applyFont="1" applyBorder="1" applyAlignment="1">
      <alignment horizontal="center" vertical="center"/>
    </xf>
    <xf numFmtId="0" fontId="94" fillId="0" borderId="3" xfId="0" applyFont="1" applyBorder="1" applyAlignment="1">
      <alignment horizontal="center" vertical="center" wrapText="1"/>
    </xf>
    <xf numFmtId="0" fontId="94" fillId="0" borderId="3" xfId="0" applyFont="1" applyBorder="1" applyAlignment="1">
      <alignment vertical="center" wrapText="1"/>
    </xf>
    <xf numFmtId="4" fontId="94" fillId="0" borderId="3" xfId="0" applyNumberFormat="1" applyFont="1" applyBorder="1" applyAlignment="1">
      <alignment vertical="center"/>
    </xf>
    <xf numFmtId="3" fontId="94" fillId="0" borderId="2" xfId="0" applyNumberFormat="1" applyFont="1" applyBorder="1" applyAlignment="1">
      <alignment horizontal="center" vertical="center"/>
    </xf>
    <xf numFmtId="0" fontId="94" fillId="0" borderId="0" xfId="0" applyFont="1" applyAlignment="1">
      <alignment vertical="center"/>
    </xf>
    <xf numFmtId="3" fontId="94" fillId="0" borderId="0" xfId="0" applyNumberFormat="1" applyFont="1" applyAlignment="1">
      <alignment vertical="center"/>
    </xf>
    <xf numFmtId="3" fontId="94" fillId="0" borderId="0" xfId="0" applyNumberFormat="1" applyFont="1" applyAlignment="1">
      <alignment horizontal="left" vertical="center"/>
    </xf>
    <xf numFmtId="0" fontId="31" fillId="0" borderId="0" xfId="0" applyFont="1"/>
    <xf numFmtId="0" fontId="98" fillId="0" borderId="3" xfId="1" applyNumberFormat="1" applyFont="1" applyFill="1" applyBorder="1" applyAlignment="1" applyProtection="1">
      <alignment horizontal="center" vertical="center"/>
      <protection locked="0"/>
    </xf>
    <xf numFmtId="0" fontId="98" fillId="0" borderId="3" xfId="1" applyNumberFormat="1" applyFont="1" applyFill="1" applyBorder="1" applyAlignment="1" applyProtection="1">
      <alignment vertical="center"/>
      <protection locked="0"/>
    </xf>
    <xf numFmtId="14" fontId="98" fillId="0" borderId="3" xfId="1" applyNumberFormat="1" applyFont="1" applyFill="1" applyBorder="1" applyAlignment="1" applyProtection="1">
      <alignment horizontal="center" vertical="center"/>
      <protection locked="0"/>
    </xf>
    <xf numFmtId="0" fontId="31" fillId="0" borderId="0" xfId="0" applyFont="1" applyAlignment="1">
      <alignment horizontal="left" vertical="center"/>
    </xf>
    <xf numFmtId="0" fontId="31" fillId="0" borderId="0" xfId="0" applyFont="1" applyAlignment="1">
      <alignment wrapText="1"/>
    </xf>
    <xf numFmtId="0" fontId="55" fillId="0" borderId="3" xfId="0" applyFont="1" applyBorder="1" applyAlignment="1">
      <alignment vertical="center" wrapText="1"/>
    </xf>
    <xf numFmtId="4" fontId="5" fillId="0" borderId="3" xfId="0" applyNumberFormat="1" applyFont="1" applyBorder="1" applyAlignment="1">
      <alignment vertical="center"/>
    </xf>
    <xf numFmtId="0" fontId="115" fillId="0" borderId="0" xfId="0" applyFont="1" applyAlignment="1">
      <alignment horizontal="center" vertical="center"/>
    </xf>
    <xf numFmtId="0" fontId="115" fillId="0" borderId="2" xfId="0" applyFont="1" applyBorder="1" applyAlignment="1">
      <alignment horizontal="center" vertical="center"/>
    </xf>
    <xf numFmtId="0" fontId="115" fillId="0" borderId="2" xfId="0" applyFont="1" applyBorder="1" applyAlignment="1">
      <alignment horizontal="left" vertical="center"/>
    </xf>
    <xf numFmtId="0" fontId="115" fillId="0" borderId="3" xfId="0" applyFont="1" applyBorder="1" applyAlignment="1">
      <alignment horizontal="left" vertical="center" wrapText="1"/>
    </xf>
    <xf numFmtId="0" fontId="116" fillId="0" borderId="0" xfId="0" applyFont="1"/>
    <xf numFmtId="0" fontId="115" fillId="0" borderId="3" xfId="0" applyFont="1" applyBorder="1" applyAlignment="1">
      <alignment horizontal="center" vertical="center"/>
    </xf>
    <xf numFmtId="0" fontId="115" fillId="0" borderId="3" xfId="0" applyFont="1" applyBorder="1" applyAlignment="1">
      <alignment horizontal="center" vertical="center" wrapText="1"/>
    </xf>
    <xf numFmtId="0" fontId="114" fillId="0" borderId="3" xfId="0" applyFont="1" applyBorder="1" applyAlignment="1">
      <alignment vertical="center" wrapText="1"/>
    </xf>
    <xf numFmtId="4" fontId="115" fillId="0" borderId="3" xfId="0" applyNumberFormat="1" applyFont="1" applyBorder="1" applyAlignment="1">
      <alignment vertical="center"/>
    </xf>
    <xf numFmtId="3" fontId="115" fillId="0" borderId="2" xfId="0" applyNumberFormat="1" applyFont="1" applyBorder="1" applyAlignment="1">
      <alignment horizontal="center" vertical="center"/>
    </xf>
    <xf numFmtId="0" fontId="115" fillId="0" borderId="0" xfId="0" applyFont="1" applyAlignment="1">
      <alignment vertical="center"/>
    </xf>
    <xf numFmtId="3" fontId="115" fillId="0" borderId="0" xfId="0" applyNumberFormat="1" applyFont="1" applyAlignment="1">
      <alignment horizontal="right" vertical="center"/>
    </xf>
    <xf numFmtId="3" fontId="115" fillId="0" borderId="0" xfId="0" applyNumberFormat="1" applyFont="1" applyAlignment="1">
      <alignment vertical="center"/>
    </xf>
    <xf numFmtId="3" fontId="115" fillId="0" borderId="0" xfId="0" applyNumberFormat="1" applyFont="1" applyAlignment="1">
      <alignment horizontal="left" vertical="center"/>
    </xf>
    <xf numFmtId="0" fontId="117" fillId="0" borderId="0" xfId="0" applyFont="1"/>
    <xf numFmtId="0" fontId="27" fillId="0" borderId="0" xfId="0" applyFont="1"/>
    <xf numFmtId="0" fontId="118" fillId="0" borderId="3" xfId="1" applyNumberFormat="1" applyFont="1" applyFill="1" applyBorder="1" applyAlignment="1" applyProtection="1">
      <alignment horizontal="center" vertical="center" wrapText="1"/>
      <protection locked="0"/>
    </xf>
    <xf numFmtId="0" fontId="119" fillId="0" borderId="3" xfId="1" applyNumberFormat="1" applyFont="1" applyFill="1" applyBorder="1" applyAlignment="1" applyProtection="1">
      <alignment horizontal="center" vertical="center" wrapText="1"/>
      <protection locked="0"/>
    </xf>
    <xf numFmtId="14" fontId="119" fillId="0" borderId="3" xfId="1" applyNumberFormat="1" applyFont="1" applyFill="1" applyBorder="1" applyAlignment="1" applyProtection="1">
      <alignment horizontal="center" vertical="center"/>
      <protection locked="0"/>
    </xf>
    <xf numFmtId="0" fontId="4" fillId="0" borderId="9" xfId="0" applyFont="1" applyBorder="1" applyAlignment="1">
      <alignment horizontal="left" vertical="center" wrapText="1"/>
    </xf>
    <xf numFmtId="0" fontId="4" fillId="0" borderId="30" xfId="0" applyFont="1" applyBorder="1" applyAlignment="1">
      <alignment horizontal="left" vertical="center" wrapText="1"/>
    </xf>
    <xf numFmtId="14" fontId="4" fillId="0" borderId="9" xfId="0" applyNumberFormat="1" applyFont="1" applyBorder="1" applyAlignment="1">
      <alignment horizontal="left" vertical="center"/>
    </xf>
    <xf numFmtId="14" fontId="4" fillId="0" borderId="30" xfId="0" applyNumberFormat="1" applyFont="1" applyBorder="1" applyAlignment="1">
      <alignment horizontal="left" vertical="center"/>
    </xf>
    <xf numFmtId="0" fontId="79" fillId="0" borderId="3" xfId="0" applyFont="1" applyBorder="1" applyAlignment="1">
      <alignment vertical="center" wrapText="1"/>
    </xf>
    <xf numFmtId="3" fontId="49" fillId="0" borderId="2" xfId="0" applyNumberFormat="1" applyFont="1" applyBorder="1" applyAlignment="1">
      <alignment horizontal="center" vertical="center"/>
    </xf>
    <xf numFmtId="0" fontId="64" fillId="0" borderId="3" xfId="0" applyFont="1" applyBorder="1" applyAlignment="1">
      <alignment horizontal="left" vertical="center" wrapText="1"/>
    </xf>
    <xf numFmtId="0" fontId="64" fillId="0" borderId="3" xfId="1" applyNumberFormat="1" applyFont="1" applyFill="1" applyBorder="1" applyAlignment="1" applyProtection="1">
      <alignment horizontal="left" vertical="center"/>
      <protection locked="0"/>
    </xf>
    <xf numFmtId="0" fontId="64" fillId="0" borderId="3" xfId="0" applyFont="1" applyBorder="1" applyAlignment="1">
      <alignment horizontal="center" vertical="center" wrapText="1"/>
    </xf>
    <xf numFmtId="3" fontId="66" fillId="0" borderId="2" xfId="0" applyNumberFormat="1" applyFont="1" applyBorder="1" applyAlignment="1">
      <alignment horizontal="center" vertical="center"/>
    </xf>
    <xf numFmtId="0" fontId="66" fillId="0" borderId="0" xfId="0" applyFont="1" applyAlignment="1">
      <alignment vertical="center"/>
    </xf>
    <xf numFmtId="3" fontId="66" fillId="0" borderId="0" xfId="0" applyNumberFormat="1" applyFont="1" applyAlignment="1">
      <alignment horizontal="left" vertical="center"/>
    </xf>
    <xf numFmtId="2" fontId="57" fillId="0" borderId="3" xfId="1" applyNumberFormat="1" applyFont="1" applyFill="1" applyBorder="1" applyAlignment="1" applyProtection="1">
      <alignment horizontal="center" vertical="center"/>
      <protection locked="0"/>
    </xf>
    <xf numFmtId="0" fontId="85" fillId="0" borderId="0" xfId="0" applyFont="1" applyAlignment="1">
      <alignment horizontal="center" vertical="center"/>
    </xf>
    <xf numFmtId="0" fontId="85" fillId="0" borderId="2" xfId="0" applyFont="1" applyBorder="1" applyAlignment="1">
      <alignment horizontal="center" vertical="center"/>
    </xf>
    <xf numFmtId="0" fontId="85" fillId="0" borderId="2" xfId="0" applyFont="1" applyBorder="1" applyAlignment="1">
      <alignment horizontal="left" vertical="center"/>
    </xf>
    <xf numFmtId="0" fontId="85" fillId="0" borderId="2" xfId="0" applyFont="1" applyBorder="1" applyAlignment="1">
      <alignment horizontal="left" vertical="center" wrapText="1"/>
    </xf>
    <xf numFmtId="0" fontId="85" fillId="0" borderId="3" xfId="0" applyFont="1" applyBorder="1" applyAlignment="1">
      <alignment horizontal="left" vertical="center" wrapText="1"/>
    </xf>
    <xf numFmtId="0" fontId="86" fillId="0" borderId="0" xfId="0" applyFont="1" applyAlignment="1">
      <alignment vertical="center"/>
    </xf>
    <xf numFmtId="0" fontId="85" fillId="0" borderId="3" xfId="0" applyFont="1" applyBorder="1" applyAlignment="1">
      <alignment horizontal="center" vertical="center"/>
    </xf>
    <xf numFmtId="0" fontId="85" fillId="0" borderId="3" xfId="0" applyFont="1" applyBorder="1" applyAlignment="1">
      <alignment horizontal="center" vertical="center" wrapText="1"/>
    </xf>
    <xf numFmtId="0" fontId="85" fillId="0" borderId="3" xfId="0" applyFont="1" applyBorder="1" applyAlignment="1">
      <alignment vertical="center" wrapText="1"/>
    </xf>
    <xf numFmtId="4" fontId="85" fillId="0" borderId="3" xfId="0" applyNumberFormat="1" applyFont="1" applyBorder="1" applyAlignment="1">
      <alignment vertical="center"/>
    </xf>
    <xf numFmtId="0" fontId="79" fillId="0" borderId="3" xfId="0" applyFont="1" applyBorder="1" applyAlignment="1">
      <alignment horizontal="center" vertical="center"/>
    </xf>
    <xf numFmtId="3" fontId="85" fillId="0" borderId="2" xfId="0" applyNumberFormat="1" applyFont="1" applyBorder="1" applyAlignment="1">
      <alignment horizontal="center" vertical="center"/>
    </xf>
    <xf numFmtId="0" fontId="85" fillId="0" borderId="0" xfId="0" applyFont="1" applyAlignment="1">
      <alignment vertical="center"/>
    </xf>
    <xf numFmtId="3" fontId="85" fillId="0" borderId="0" xfId="0" applyNumberFormat="1" applyFont="1" applyAlignment="1">
      <alignment horizontal="right" vertical="center"/>
    </xf>
    <xf numFmtId="3" fontId="85" fillId="0" borderId="0" xfId="0" applyNumberFormat="1" applyFont="1" applyAlignment="1">
      <alignment vertical="center"/>
    </xf>
    <xf numFmtId="0" fontId="24" fillId="0" borderId="0" xfId="0" applyFont="1" applyAlignment="1">
      <alignment vertical="center"/>
    </xf>
    <xf numFmtId="14" fontId="24" fillId="0" borderId="0" xfId="0" applyNumberFormat="1" applyFont="1" applyAlignment="1">
      <alignment vertical="center" wrapText="1"/>
    </xf>
    <xf numFmtId="14" fontId="24" fillId="0" borderId="0" xfId="0" applyNumberFormat="1" applyFont="1" applyAlignment="1">
      <alignment vertical="center"/>
    </xf>
    <xf numFmtId="0" fontId="24" fillId="0" borderId="0" xfId="0" applyFont="1" applyAlignment="1">
      <alignment horizontal="left" vertical="center"/>
    </xf>
    <xf numFmtId="2" fontId="2" fillId="0" borderId="0" xfId="0" applyNumberFormat="1" applyFont="1" applyAlignment="1">
      <alignment horizontal="center" vertical="center"/>
    </xf>
    <xf numFmtId="2" fontId="2" fillId="0" borderId="0" xfId="0" applyNumberFormat="1" applyFont="1" applyAlignment="1">
      <alignment vertical="center"/>
    </xf>
    <xf numFmtId="0" fontId="58" fillId="0" borderId="19" xfId="1" applyNumberFormat="1" applyFont="1" applyFill="1" applyBorder="1" applyAlignment="1" applyProtection="1">
      <alignment horizontal="center" vertical="center"/>
      <protection locked="0"/>
    </xf>
    <xf numFmtId="0" fontId="39" fillId="0" borderId="19" xfId="1" applyNumberFormat="1" applyFont="1" applyFill="1" applyBorder="1" applyAlignment="1" applyProtection="1">
      <alignment horizontal="center" vertical="center"/>
      <protection locked="0"/>
    </xf>
    <xf numFmtId="0" fontId="90" fillId="0" borderId="0" xfId="0" applyFont="1" applyAlignment="1">
      <alignment horizontal="center" vertical="center"/>
    </xf>
    <xf numFmtId="0" fontId="91" fillId="0" borderId="10" xfId="0" applyFont="1" applyBorder="1" applyAlignment="1">
      <alignment horizontal="center" vertical="center"/>
    </xf>
    <xf numFmtId="0" fontId="91" fillId="0" borderId="10" xfId="0" applyFont="1" applyBorder="1" applyAlignment="1">
      <alignment horizontal="left" vertical="center"/>
    </xf>
    <xf numFmtId="3" fontId="66" fillId="0" borderId="0" xfId="0" applyNumberFormat="1" applyFont="1" applyAlignment="1">
      <alignment horizontal="center" vertical="center"/>
    </xf>
    <xf numFmtId="0" fontId="64" fillId="0" borderId="19" xfId="0" applyFont="1" applyBorder="1" applyAlignment="1" applyProtection="1">
      <alignment horizontal="left" vertical="center"/>
      <protection locked="0"/>
    </xf>
    <xf numFmtId="0" fontId="46" fillId="0" borderId="0" xfId="0" applyFont="1" applyAlignment="1">
      <alignment horizontal="left" vertical="center" wrapText="1"/>
    </xf>
    <xf numFmtId="0" fontId="46" fillId="0" borderId="0" xfId="0" applyFont="1" applyAlignment="1">
      <alignment horizontal="center" vertical="center"/>
    </xf>
    <xf numFmtId="14" fontId="92" fillId="0" borderId="0" xfId="0" applyNumberFormat="1" applyFont="1" applyAlignment="1">
      <alignment horizontal="center" vertical="center"/>
    </xf>
    <xf numFmtId="0" fontId="92" fillId="0" borderId="0" xfId="0" applyFont="1" applyAlignment="1">
      <alignment horizontal="center" vertical="center"/>
    </xf>
    <xf numFmtId="0" fontId="46" fillId="0" borderId="0" xfId="0" applyFont="1" applyAlignment="1">
      <alignment horizontal="center" vertical="center" wrapText="1"/>
    </xf>
    <xf numFmtId="0" fontId="25" fillId="0" borderId="0" xfId="0" applyFont="1" applyAlignment="1">
      <alignment wrapText="1"/>
    </xf>
    <xf numFmtId="14" fontId="22" fillId="0" borderId="0" xfId="0" applyNumberFormat="1" applyFont="1"/>
    <xf numFmtId="0" fontId="22" fillId="0" borderId="0" xfId="0" applyFont="1"/>
    <xf numFmtId="0" fontId="56" fillId="16" borderId="32" xfId="0" applyFont="1" applyFill="1" applyBorder="1" applyAlignment="1">
      <alignment horizontal="center" vertical="center" wrapText="1"/>
    </xf>
    <xf numFmtId="0" fontId="56" fillId="16" borderId="0" xfId="0" applyFont="1" applyFill="1" applyAlignment="1">
      <alignment horizontal="center" vertical="center" wrapText="1"/>
    </xf>
    <xf numFmtId="0" fontId="56" fillId="16" borderId="24" xfId="0" applyFont="1" applyFill="1" applyBorder="1" applyAlignment="1">
      <alignment horizontal="center" vertical="center" wrapText="1"/>
    </xf>
    <xf numFmtId="0" fontId="85" fillId="0" borderId="0" xfId="0" applyFont="1" applyAlignment="1">
      <alignment horizontal="left" vertical="center"/>
    </xf>
    <xf numFmtId="0" fontId="85" fillId="0" borderId="0" xfId="0" applyFont="1" applyAlignment="1">
      <alignment horizontal="left" vertical="center" wrapText="1"/>
    </xf>
    <xf numFmtId="0" fontId="86" fillId="0" borderId="0" xfId="0" applyFont="1" applyAlignment="1">
      <alignment horizontal="left" vertical="center"/>
    </xf>
    <xf numFmtId="4" fontId="85" fillId="0" borderId="0" xfId="0" applyNumberFormat="1" applyFont="1" applyAlignment="1">
      <alignment vertical="center"/>
    </xf>
    <xf numFmtId="0" fontId="129" fillId="0" borderId="0" xfId="0" applyFont="1" applyAlignment="1">
      <alignment horizontal="left" vertical="center"/>
    </xf>
    <xf numFmtId="3" fontId="85" fillId="0" borderId="0" xfId="0" applyNumberFormat="1" applyFont="1" applyAlignment="1">
      <alignment horizontal="left" vertical="center"/>
    </xf>
    <xf numFmtId="0" fontId="98" fillId="0" borderId="3" xfId="1" applyNumberFormat="1" applyFont="1" applyFill="1" applyBorder="1" applyAlignment="1" applyProtection="1">
      <alignment horizontal="center" vertical="center" wrapText="1"/>
      <protection locked="0"/>
    </xf>
    <xf numFmtId="0" fontId="99" fillId="0" borderId="3" xfId="1" applyNumberFormat="1" applyFont="1" applyFill="1" applyBorder="1" applyAlignment="1" applyProtection="1">
      <alignment horizontal="center" vertical="center"/>
      <protection locked="0"/>
    </xf>
    <xf numFmtId="0" fontId="99" fillId="0" borderId="3" xfId="1" applyNumberFormat="1" applyFont="1" applyFill="1" applyBorder="1" applyAlignment="1" applyProtection="1">
      <alignment vertical="center"/>
      <protection locked="0"/>
    </xf>
    <xf numFmtId="14" fontId="99" fillId="0" borderId="3" xfId="1" applyNumberFormat="1" applyFont="1" applyFill="1" applyBorder="1" applyAlignment="1" applyProtection="1">
      <alignment horizontal="center" vertical="center"/>
      <protection locked="0"/>
    </xf>
    <xf numFmtId="0" fontId="129" fillId="0" borderId="3" xfId="1" applyNumberFormat="1" applyFont="1" applyFill="1" applyBorder="1" applyAlignment="1" applyProtection="1">
      <alignment horizontal="center" vertical="center"/>
      <protection locked="0"/>
    </xf>
    <xf numFmtId="0" fontId="98" fillId="0" borderId="3" xfId="1" applyNumberFormat="1" applyFont="1" applyFill="1" applyBorder="1" applyAlignment="1" applyProtection="1">
      <alignment horizontal="left" vertical="center"/>
      <protection locked="0"/>
    </xf>
    <xf numFmtId="4" fontId="99" fillId="0" borderId="3" xfId="1" applyNumberFormat="1" applyFont="1" applyFill="1" applyBorder="1" applyAlignment="1" applyProtection="1">
      <alignment horizontal="center" vertical="center"/>
      <protection locked="0"/>
    </xf>
    <xf numFmtId="0" fontId="96" fillId="16" borderId="0" xfId="0" applyFont="1" applyFill="1" applyAlignment="1">
      <alignment horizontal="center" vertical="center" wrapText="1"/>
    </xf>
    <xf numFmtId="0" fontId="94" fillId="0" borderId="0" xfId="0" applyFont="1" applyAlignment="1">
      <alignment horizontal="left" vertical="center"/>
    </xf>
    <xf numFmtId="0" fontId="94" fillId="0" borderId="0" xfId="0" applyFont="1" applyAlignment="1">
      <alignment horizontal="left" vertical="center" wrapText="1"/>
    </xf>
    <xf numFmtId="0" fontId="95" fillId="0" borderId="0" xfId="0" applyFont="1" applyAlignment="1">
      <alignment horizontal="left" vertical="center"/>
    </xf>
    <xf numFmtId="4" fontId="94" fillId="0" borderId="0" xfId="0" applyNumberFormat="1" applyFont="1" applyAlignment="1">
      <alignment vertical="center"/>
    </xf>
    <xf numFmtId="0" fontId="132" fillId="0" borderId="0" xfId="0" applyFont="1" applyAlignment="1">
      <alignment horizontal="left" vertical="center"/>
    </xf>
    <xf numFmtId="0" fontId="98" fillId="0" borderId="3" xfId="1" quotePrefix="1" applyNumberFormat="1" applyFont="1" applyFill="1" applyBorder="1" applyAlignment="1" applyProtection="1">
      <alignment horizontal="center" vertical="center"/>
      <protection locked="0"/>
    </xf>
    <xf numFmtId="0" fontId="98" fillId="0" borderId="3" xfId="1" quotePrefix="1" applyNumberFormat="1" applyFont="1" applyFill="1" applyBorder="1" applyAlignment="1" applyProtection="1">
      <alignment vertical="center"/>
      <protection locked="0"/>
    </xf>
    <xf numFmtId="4" fontId="98" fillId="0" borderId="3" xfId="1" applyNumberFormat="1" applyFont="1" applyFill="1" applyBorder="1" applyAlignment="1" applyProtection="1">
      <alignment horizontal="center" vertical="center"/>
      <protection locked="0"/>
    </xf>
    <xf numFmtId="0" fontId="126" fillId="0" borderId="0" xfId="0" applyFont="1" applyAlignment="1">
      <alignment horizontal="left" vertical="center"/>
    </xf>
    <xf numFmtId="0" fontId="133" fillId="16" borderId="0" xfId="0" applyFont="1" applyFill="1" applyAlignment="1">
      <alignment horizontal="center" vertical="center" wrapText="1"/>
    </xf>
    <xf numFmtId="0" fontId="99" fillId="0" borderId="3" xfId="1" applyNumberFormat="1" applyFont="1" applyFill="1" applyBorder="1" applyAlignment="1" applyProtection="1">
      <alignment horizontal="left" vertical="center"/>
      <protection locked="0"/>
    </xf>
    <xf numFmtId="0" fontId="130" fillId="16" borderId="0" xfId="0" applyFont="1" applyFill="1" applyAlignment="1">
      <alignment horizontal="center" vertical="center" wrapText="1"/>
    </xf>
    <xf numFmtId="0" fontId="126" fillId="0" borderId="3" xfId="1" applyNumberFormat="1" applyFont="1" applyFill="1" applyBorder="1" applyAlignment="1" applyProtection="1">
      <alignment horizontal="center" vertical="center"/>
      <protection locked="0"/>
    </xf>
    <xf numFmtId="0" fontId="6" fillId="0" borderId="56" xfId="0" applyFont="1" applyBorder="1" applyAlignment="1">
      <alignment horizontal="center" vertical="center"/>
    </xf>
    <xf numFmtId="0" fontId="6" fillId="0" borderId="40" xfId="0" applyFont="1" applyBorder="1" applyAlignment="1">
      <alignment horizontal="center" vertical="center"/>
    </xf>
    <xf numFmtId="14" fontId="4" fillId="3" borderId="9" xfId="0" applyNumberFormat="1" applyFont="1" applyFill="1" applyBorder="1" applyAlignment="1">
      <alignment horizontal="center" vertical="center"/>
    </xf>
    <xf numFmtId="14" fontId="4" fillId="3" borderId="29" xfId="0" applyNumberFormat="1" applyFont="1" applyFill="1" applyBorder="1" applyAlignment="1">
      <alignment horizontal="center" vertical="center"/>
    </xf>
    <xf numFmtId="14" fontId="4" fillId="0" borderId="21" xfId="0" applyNumberFormat="1" applyFont="1" applyBorder="1" applyAlignment="1">
      <alignment horizontal="center" vertical="center"/>
    </xf>
    <xf numFmtId="14" fontId="4" fillId="0" borderId="39" xfId="0" applyNumberFormat="1" applyFont="1" applyBorder="1" applyAlignment="1">
      <alignment horizontal="center" vertical="center"/>
    </xf>
    <xf numFmtId="0" fontId="4" fillId="0" borderId="21" xfId="0" applyFont="1" applyBorder="1" applyAlignment="1">
      <alignment horizontal="center" vertical="center" wrapText="1"/>
    </xf>
    <xf numFmtId="0" fontId="4" fillId="0" borderId="39" xfId="0" applyFont="1" applyBorder="1" applyAlignment="1">
      <alignment horizontal="center" vertical="center" wrapText="1"/>
    </xf>
    <xf numFmtId="0" fontId="134" fillId="0" borderId="9" xfId="0" applyFont="1" applyBorder="1" applyAlignment="1">
      <alignment horizontal="center" vertical="center" wrapText="1"/>
    </xf>
    <xf numFmtId="0" fontId="134" fillId="0" borderId="30" xfId="0" applyFont="1" applyBorder="1" applyAlignment="1">
      <alignment horizontal="center" vertical="center" wrapText="1"/>
    </xf>
    <xf numFmtId="4" fontId="94" fillId="0" borderId="0" xfId="0" applyNumberFormat="1" applyFont="1" applyAlignment="1">
      <alignment horizontal="left" vertical="center"/>
    </xf>
    <xf numFmtId="3" fontId="132" fillId="0" borderId="0" xfId="0" applyNumberFormat="1" applyFont="1" applyAlignment="1">
      <alignment horizontal="left" vertical="center"/>
    </xf>
    <xf numFmtId="3" fontId="129" fillId="0" borderId="0" xfId="0" applyNumberFormat="1" applyFont="1" applyAlignment="1">
      <alignment horizontal="left" vertical="center"/>
    </xf>
    <xf numFmtId="4" fontId="94" fillId="0" borderId="0" xfId="0" applyNumberFormat="1" applyFont="1" applyAlignment="1">
      <alignment horizontal="center" vertical="center"/>
    </xf>
    <xf numFmtId="4" fontId="132" fillId="0" borderId="0" xfId="0" applyNumberFormat="1" applyFont="1" applyAlignment="1">
      <alignment horizontal="center" vertical="center"/>
    </xf>
    <xf numFmtId="4" fontId="85" fillId="0" borderId="0" xfId="0" applyNumberFormat="1" applyFont="1" applyAlignment="1">
      <alignment horizontal="center" vertical="center"/>
    </xf>
    <xf numFmtId="14" fontId="0" fillId="0" borderId="40" xfId="0" applyNumberFormat="1" applyBorder="1" applyAlignment="1">
      <alignment horizontal="left"/>
    </xf>
    <xf numFmtId="0" fontId="8" fillId="28" borderId="40" xfId="0" applyFont="1" applyFill="1" applyBorder="1" applyAlignment="1">
      <alignment horizontal="center" vertical="center" wrapText="1"/>
    </xf>
    <xf numFmtId="0" fontId="8" fillId="4" borderId="29" xfId="0" applyFont="1" applyFill="1" applyBorder="1" applyAlignment="1">
      <alignment horizontal="center" vertical="center" wrapText="1"/>
    </xf>
    <xf numFmtId="164" fontId="7" fillId="21" borderId="29" xfId="0" applyNumberFormat="1" applyFont="1" applyFill="1" applyBorder="1"/>
    <xf numFmtId="0" fontId="3" fillId="0" borderId="18" xfId="1" applyNumberFormat="1" applyFont="1" applyFill="1" applyBorder="1" applyAlignment="1" applyProtection="1">
      <alignment horizontal="center" vertical="center"/>
      <protection locked="0"/>
    </xf>
    <xf numFmtId="164" fontId="7" fillId="28" borderId="41" xfId="0" applyNumberFormat="1" applyFont="1" applyFill="1" applyBorder="1"/>
    <xf numFmtId="4" fontId="67" fillId="0" borderId="0" xfId="0" applyNumberFormat="1" applyFont="1" applyAlignment="1">
      <alignment vertical="center" wrapText="1"/>
    </xf>
    <xf numFmtId="4" fontId="0" fillId="0" borderId="0" xfId="0" applyNumberFormat="1" applyAlignment="1">
      <alignment horizontal="center" vertical="center"/>
    </xf>
    <xf numFmtId="0" fontId="75" fillId="0" borderId="40" xfId="0" applyFont="1" applyBorder="1" applyAlignment="1">
      <alignment horizontal="center" vertical="center" wrapText="1"/>
    </xf>
    <xf numFmtId="4" fontId="135" fillId="0" borderId="54" xfId="0" applyNumberFormat="1" applyFont="1" applyBorder="1" applyAlignment="1">
      <alignment horizontal="center" vertical="center" wrapText="1"/>
    </xf>
    <xf numFmtId="4" fontId="135" fillId="0" borderId="50" xfId="0" applyNumberFormat="1" applyFont="1" applyBorder="1" applyAlignment="1">
      <alignment horizontal="center" vertical="center" wrapText="1"/>
    </xf>
    <xf numFmtId="4" fontId="135" fillId="0" borderId="45" xfId="0" applyNumberFormat="1" applyFont="1" applyBorder="1" applyAlignment="1">
      <alignment horizontal="center" vertical="center" wrapText="1"/>
    </xf>
    <xf numFmtId="4" fontId="135" fillId="0" borderId="0" xfId="0" applyNumberFormat="1" applyFont="1" applyAlignment="1">
      <alignment horizontal="center" vertical="center" wrapText="1"/>
    </xf>
    <xf numFmtId="4" fontId="136" fillId="0" borderId="45" xfId="0" applyNumberFormat="1" applyFont="1" applyBorder="1" applyAlignment="1">
      <alignment horizontal="center" vertical="center"/>
    </xf>
    <xf numFmtId="0" fontId="50" fillId="0" borderId="40" xfId="0" applyFont="1" applyBorder="1" applyAlignment="1">
      <alignment horizontal="center" vertical="center"/>
    </xf>
    <xf numFmtId="14" fontId="75" fillId="0" borderId="40" xfId="0" applyNumberFormat="1" applyFont="1" applyBorder="1" applyAlignment="1">
      <alignment horizontal="center" vertical="center" wrapText="1"/>
    </xf>
    <xf numFmtId="0" fontId="75" fillId="0" borderId="56" xfId="0" applyFont="1" applyBorder="1" applyAlignment="1">
      <alignment horizontal="center" vertical="center" wrapText="1"/>
    </xf>
    <xf numFmtId="14" fontId="75" fillId="0" borderId="40" xfId="0" applyNumberFormat="1" applyFont="1" applyBorder="1" applyAlignment="1">
      <alignment horizontal="center" vertical="center"/>
    </xf>
    <xf numFmtId="0" fontId="75" fillId="0" borderId="40" xfId="0" applyFont="1" applyBorder="1" applyAlignment="1">
      <alignment vertical="center" wrapText="1"/>
    </xf>
    <xf numFmtId="164" fontId="7" fillId="0" borderId="40" xfId="0" applyNumberFormat="1" applyFont="1" applyBorder="1"/>
    <xf numFmtId="0" fontId="2" fillId="32" borderId="0" xfId="0" applyFont="1" applyFill="1" applyAlignment="1">
      <alignment horizontal="center" vertical="center"/>
    </xf>
    <xf numFmtId="0" fontId="2" fillId="32" borderId="2" xfId="0" applyFont="1" applyFill="1" applyBorder="1" applyAlignment="1">
      <alignment horizontal="center" vertical="center"/>
    </xf>
    <xf numFmtId="0" fontId="2" fillId="32" borderId="2" xfId="0" applyFont="1" applyFill="1" applyBorder="1" applyAlignment="1">
      <alignment horizontal="left" vertical="center"/>
    </xf>
    <xf numFmtId="0" fontId="3" fillId="32" borderId="3" xfId="0" applyFont="1" applyFill="1" applyBorder="1" applyAlignment="1">
      <alignment horizontal="left" vertical="center" wrapText="1"/>
    </xf>
    <xf numFmtId="0" fontId="4" fillId="32" borderId="0" xfId="0" applyFont="1" applyFill="1"/>
    <xf numFmtId="0" fontId="3" fillId="32" borderId="3" xfId="0" applyFont="1" applyFill="1" applyBorder="1" applyAlignment="1">
      <alignment horizontal="center" vertical="center"/>
    </xf>
    <xf numFmtId="0" fontId="3" fillId="32" borderId="3" xfId="0" applyFont="1" applyFill="1" applyBorder="1" applyAlignment="1">
      <alignment horizontal="center" vertical="center" wrapText="1"/>
    </xf>
    <xf numFmtId="0" fontId="3" fillId="32" borderId="3" xfId="0" applyFont="1" applyFill="1" applyBorder="1" applyAlignment="1">
      <alignment vertical="center" wrapText="1"/>
    </xf>
    <xf numFmtId="4" fontId="3" fillId="32" borderId="3" xfId="0" applyNumberFormat="1" applyFont="1" applyFill="1" applyBorder="1" applyAlignment="1">
      <alignment vertical="center"/>
    </xf>
    <xf numFmtId="3" fontId="2" fillId="32" borderId="2" xfId="0" applyNumberFormat="1" applyFont="1" applyFill="1" applyBorder="1" applyAlignment="1">
      <alignment horizontal="center" vertical="center"/>
    </xf>
    <xf numFmtId="3" fontId="2" fillId="32" borderId="0" xfId="0" applyNumberFormat="1" applyFont="1" applyFill="1" applyAlignment="1">
      <alignment vertical="center"/>
    </xf>
    <xf numFmtId="0" fontId="3" fillId="32" borderId="3" xfId="1" applyNumberFormat="1" applyFont="1" applyFill="1" applyBorder="1" applyAlignment="1" applyProtection="1">
      <alignment horizontal="left" vertical="center"/>
      <protection locked="0"/>
    </xf>
    <xf numFmtId="0" fontId="0" fillId="32" borderId="0" xfId="0" applyFill="1"/>
    <xf numFmtId="0" fontId="57" fillId="32" borderId="3" xfId="1" applyNumberFormat="1" applyFont="1" applyFill="1" applyBorder="1" applyAlignment="1" applyProtection="1">
      <alignment horizontal="center" vertical="center" wrapText="1"/>
      <protection locked="0"/>
    </xf>
    <xf numFmtId="0" fontId="39" fillId="32" borderId="3" xfId="1" applyNumberFormat="1" applyFont="1" applyFill="1" applyBorder="1" applyAlignment="1" applyProtection="1">
      <alignment horizontal="center" vertical="center"/>
      <protection locked="0"/>
    </xf>
    <xf numFmtId="0" fontId="39" fillId="32" borderId="3" xfId="1" applyNumberFormat="1" applyFont="1" applyFill="1" applyBorder="1" applyAlignment="1" applyProtection="1">
      <alignment vertical="center"/>
      <protection locked="0"/>
    </xf>
    <xf numFmtId="14" fontId="39" fillId="32" borderId="3" xfId="1" applyNumberFormat="1" applyFont="1" applyFill="1" applyBorder="1" applyAlignment="1" applyProtection="1">
      <alignment horizontal="center" vertical="center"/>
      <protection locked="0"/>
    </xf>
    <xf numFmtId="0" fontId="3" fillId="32" borderId="3" xfId="1" applyNumberFormat="1" applyFont="1" applyFill="1" applyBorder="1" applyAlignment="1" applyProtection="1">
      <alignment horizontal="center" vertical="center"/>
      <protection locked="0"/>
    </xf>
    <xf numFmtId="14" fontId="65" fillId="32" borderId="3" xfId="1" applyNumberFormat="1" applyFont="1" applyFill="1" applyBorder="1" applyAlignment="1" applyProtection="1">
      <alignment horizontal="center" vertical="center"/>
      <protection locked="0"/>
    </xf>
    <xf numFmtId="4" fontId="39" fillId="32" borderId="3" xfId="1" applyNumberFormat="1" applyFont="1" applyFill="1" applyBorder="1" applyAlignment="1" applyProtection="1">
      <alignment horizontal="center" vertical="center"/>
      <protection locked="0"/>
    </xf>
    <xf numFmtId="0" fontId="57" fillId="32" borderId="3" xfId="1" applyNumberFormat="1" applyFont="1" applyFill="1" applyBorder="1" applyAlignment="1" applyProtection="1">
      <alignment vertical="center" wrapText="1"/>
      <protection locked="0"/>
    </xf>
    <xf numFmtId="0" fontId="57" fillId="32" borderId="3" xfId="1" applyNumberFormat="1" applyFont="1" applyFill="1" applyBorder="1" applyAlignment="1" applyProtection="1">
      <alignment horizontal="center" vertical="center"/>
      <protection locked="0"/>
    </xf>
    <xf numFmtId="0" fontId="88" fillId="32" borderId="3" xfId="1" applyNumberFormat="1" applyFont="1" applyFill="1" applyBorder="1" applyAlignment="1" applyProtection="1">
      <alignment horizontal="center" vertical="center"/>
      <protection locked="0"/>
    </xf>
    <xf numFmtId="0" fontId="3" fillId="32" borderId="3" xfId="1" applyNumberFormat="1" applyFont="1" applyFill="1" applyBorder="1" applyAlignment="1" applyProtection="1">
      <alignment horizontal="center" vertical="center" wrapText="1"/>
      <protection locked="0"/>
    </xf>
    <xf numFmtId="0" fontId="0" fillId="32" borderId="0" xfId="0" applyFill="1" applyAlignment="1">
      <alignment wrapText="1"/>
    </xf>
    <xf numFmtId="0" fontId="52" fillId="32" borderId="3" xfId="0" applyFont="1" applyFill="1" applyBorder="1" applyAlignment="1">
      <alignment vertical="center" wrapText="1"/>
    </xf>
    <xf numFmtId="0" fontId="57" fillId="32" borderId="3" xfId="1" quotePrefix="1" applyNumberFormat="1" applyFont="1" applyFill="1" applyBorder="1" applyAlignment="1" applyProtection="1">
      <alignment vertical="center"/>
      <protection locked="0"/>
    </xf>
    <xf numFmtId="14" fontId="57" fillId="32" borderId="3" xfId="1" applyNumberFormat="1" applyFont="1" applyFill="1" applyBorder="1" applyAlignment="1" applyProtection="1">
      <alignment horizontal="center" vertical="center"/>
      <protection locked="0"/>
    </xf>
    <xf numFmtId="0" fontId="96" fillId="0" borderId="0" xfId="0" applyFont="1" applyAlignment="1">
      <alignment horizontal="left" vertical="center"/>
    </xf>
    <xf numFmtId="0" fontId="133" fillId="0" borderId="0" xfId="0" applyFont="1" applyAlignment="1">
      <alignment horizontal="left" vertical="center"/>
    </xf>
    <xf numFmtId="0" fontId="130" fillId="0" borderId="0" xfId="0" applyFont="1" applyAlignment="1">
      <alignment horizontal="left" vertical="center"/>
    </xf>
    <xf numFmtId="0" fontId="4" fillId="0" borderId="6" xfId="0" applyFont="1" applyBorder="1" applyAlignment="1">
      <alignment horizontal="left"/>
    </xf>
    <xf numFmtId="0" fontId="4" fillId="0" borderId="7" xfId="0" applyFont="1" applyBorder="1" applyAlignment="1">
      <alignment horizontal="left"/>
    </xf>
    <xf numFmtId="0" fontId="4" fillId="0" borderId="8" xfId="0" applyFont="1" applyBorder="1" applyAlignment="1">
      <alignment horizontal="left"/>
    </xf>
    <xf numFmtId="0" fontId="4" fillId="0" borderId="6" xfId="0" applyFont="1" applyBorder="1" applyAlignment="1">
      <alignment vertical="center"/>
    </xf>
    <xf numFmtId="0" fontId="4" fillId="0" borderId="7" xfId="0" applyFont="1" applyBorder="1" applyAlignment="1">
      <alignment vertical="center"/>
    </xf>
    <xf numFmtId="0" fontId="4" fillId="0" borderId="8" xfId="0" applyFont="1" applyBorder="1" applyAlignment="1">
      <alignment vertical="center"/>
    </xf>
    <xf numFmtId="0" fontId="12" fillId="0" borderId="6" xfId="0" applyFont="1" applyBorder="1" applyAlignment="1">
      <alignment vertical="center"/>
    </xf>
    <xf numFmtId="0" fontId="12" fillId="0" borderId="0" xfId="0" applyFont="1" applyAlignment="1">
      <alignment vertical="center"/>
    </xf>
    <xf numFmtId="0" fontId="12" fillId="0" borderId="7" xfId="0" applyFont="1" applyBorder="1" applyAlignment="1">
      <alignment vertical="center"/>
    </xf>
    <xf numFmtId="0" fontId="12" fillId="0" borderId="8" xfId="0" applyFont="1" applyBorder="1" applyAlignment="1">
      <alignment vertical="center"/>
    </xf>
    <xf numFmtId="0" fontId="12" fillId="0" borderId="6" xfId="0" applyFont="1" applyBorder="1"/>
    <xf numFmtId="0" fontId="12" fillId="0" borderId="7" xfId="0" applyFont="1" applyBorder="1"/>
    <xf numFmtId="0" fontId="12" fillId="0" borderId="8" xfId="0" applyFont="1" applyBorder="1"/>
    <xf numFmtId="0" fontId="56" fillId="0" borderId="6" xfId="0" applyFont="1" applyBorder="1"/>
    <xf numFmtId="0" fontId="56" fillId="0" borderId="7" xfId="0" applyFont="1" applyBorder="1"/>
    <xf numFmtId="0" fontId="72" fillId="0" borderId="6" xfId="0" applyFont="1" applyBorder="1"/>
    <xf numFmtId="0" fontId="72" fillId="0" borderId="7" xfId="0" applyFont="1" applyBorder="1"/>
    <xf numFmtId="0" fontId="72" fillId="0" borderId="8" xfId="0" applyFont="1" applyBorder="1"/>
    <xf numFmtId="0" fontId="56" fillId="0" borderId="8" xfId="0" applyFont="1" applyBorder="1"/>
    <xf numFmtId="0" fontId="4" fillId="32" borderId="6" xfId="0" applyFont="1" applyFill="1" applyBorder="1"/>
    <xf numFmtId="0" fontId="4" fillId="32" borderId="7" xfId="0" applyFont="1" applyFill="1" applyBorder="1"/>
    <xf numFmtId="0" fontId="4" fillId="32" borderId="8" xfId="0" applyFont="1" applyFill="1" applyBorder="1"/>
    <xf numFmtId="0" fontId="42" fillId="0" borderId="6" xfId="0" applyFont="1" applyBorder="1"/>
    <xf numFmtId="0" fontId="42" fillId="0" borderId="7" xfId="0" applyFont="1" applyBorder="1"/>
    <xf numFmtId="0" fontId="42" fillId="0" borderId="8" xfId="0" applyFont="1" applyBorder="1"/>
    <xf numFmtId="0" fontId="96" fillId="0" borderId="6" xfId="0" applyFont="1" applyBorder="1"/>
    <xf numFmtId="0" fontId="96" fillId="0" borderId="0" xfId="0" applyFont="1"/>
    <xf numFmtId="0" fontId="96" fillId="0" borderId="7" xfId="0" applyFont="1" applyBorder="1"/>
    <xf numFmtId="0" fontId="96" fillId="0" borderId="8" xfId="0" applyFont="1" applyBorder="1"/>
    <xf numFmtId="0" fontId="116" fillId="0" borderId="6" xfId="0" applyFont="1" applyBorder="1"/>
    <xf numFmtId="0" fontId="116" fillId="0" borderId="7" xfId="0" applyFont="1" applyBorder="1"/>
    <xf numFmtId="0" fontId="116" fillId="0" borderId="8" xfId="0" applyFont="1" applyBorder="1"/>
    <xf numFmtId="16" fontId="0" fillId="17" borderId="9" xfId="0" applyNumberFormat="1" applyFill="1" applyBorder="1"/>
    <xf numFmtId="0" fontId="137" fillId="0" borderId="0" xfId="0" applyFont="1" applyAlignment="1">
      <alignment horizontal="left" vertical="center"/>
    </xf>
    <xf numFmtId="0" fontId="138" fillId="0" borderId="3" xfId="1" applyNumberFormat="1" applyFont="1" applyFill="1" applyBorder="1" applyAlignment="1" applyProtection="1">
      <alignment horizontal="center" vertical="center"/>
      <protection locked="0"/>
    </xf>
    <xf numFmtId="0" fontId="139" fillId="0" borderId="3" xfId="1" applyNumberFormat="1" applyFont="1" applyFill="1" applyBorder="1" applyAlignment="1" applyProtection="1">
      <alignment horizontal="center" vertical="center"/>
      <protection locked="0"/>
    </xf>
    <xf numFmtId="167" fontId="80" fillId="0" borderId="3" xfId="1" applyNumberFormat="1" applyFont="1" applyFill="1" applyBorder="1" applyAlignment="1" applyProtection="1">
      <alignment horizontal="center" vertical="center"/>
      <protection locked="0"/>
    </xf>
    <xf numFmtId="0" fontId="80" fillId="0" borderId="3" xfId="1" applyNumberFormat="1" applyFont="1" applyFill="1" applyBorder="1" applyAlignment="1" applyProtection="1">
      <alignment horizontal="center" vertical="center"/>
      <protection locked="0"/>
    </xf>
    <xf numFmtId="0" fontId="80" fillId="0" borderId="3" xfId="1" applyNumberFormat="1" applyFont="1" applyBorder="1" applyAlignment="1" applyProtection="1">
      <alignment horizontal="center" vertical="center"/>
      <protection locked="0"/>
    </xf>
    <xf numFmtId="0" fontId="140" fillId="0" borderId="3" xfId="1" applyNumberFormat="1" applyFont="1" applyFill="1" applyBorder="1" applyAlignment="1" applyProtection="1">
      <alignment horizontal="center" vertical="center"/>
      <protection locked="0"/>
    </xf>
    <xf numFmtId="4" fontId="80" fillId="0" borderId="3" xfId="1" applyNumberFormat="1" applyFont="1" applyFill="1" applyBorder="1" applyAlignment="1" applyProtection="1">
      <alignment horizontal="center" vertical="center"/>
      <protection locked="0"/>
    </xf>
    <xf numFmtId="0" fontId="141" fillId="16" borderId="0" xfId="0" applyFont="1" applyFill="1" applyAlignment="1">
      <alignment horizontal="center" vertical="center" wrapText="1"/>
    </xf>
    <xf numFmtId="0" fontId="142" fillId="0" borderId="0" xfId="0" applyFont="1" applyAlignment="1">
      <alignment horizontal="left" vertical="center"/>
    </xf>
    <xf numFmtId="0" fontId="142" fillId="0" borderId="0" xfId="0" applyFont="1" applyAlignment="1">
      <alignment horizontal="left" vertical="center" wrapText="1"/>
    </xf>
    <xf numFmtId="0" fontId="143" fillId="0" borderId="0" xfId="0" applyFont="1" applyAlignment="1">
      <alignment horizontal="left" vertical="center"/>
    </xf>
    <xf numFmtId="0" fontId="142" fillId="0" borderId="0" xfId="0" applyFont="1" applyAlignment="1">
      <alignment horizontal="center" vertical="center"/>
    </xf>
    <xf numFmtId="4" fontId="142" fillId="0" borderId="0" xfId="0" applyNumberFormat="1" applyFont="1" applyAlignment="1">
      <alignment vertical="center"/>
    </xf>
    <xf numFmtId="3" fontId="142" fillId="0" borderId="0" xfId="0" applyNumberFormat="1" applyFont="1" applyAlignment="1">
      <alignment horizontal="center" vertical="center"/>
    </xf>
    <xf numFmtId="3" fontId="142" fillId="0" borderId="0" xfId="0" applyNumberFormat="1" applyFont="1" applyAlignment="1">
      <alignment horizontal="right" vertical="center"/>
    </xf>
    <xf numFmtId="3" fontId="142" fillId="0" borderId="0" xfId="0" applyNumberFormat="1" applyFont="1" applyAlignment="1">
      <alignment horizontal="left" vertical="center"/>
    </xf>
    <xf numFmtId="3" fontId="142" fillId="0" borderId="0" xfId="0" applyNumberFormat="1" applyFont="1" applyAlignment="1">
      <alignment vertical="center"/>
    </xf>
    <xf numFmtId="0" fontId="80" fillId="0" borderId="3" xfId="1" applyNumberFormat="1" applyFont="1" applyFill="1" applyBorder="1" applyAlignment="1" applyProtection="1">
      <alignment horizontal="center" vertical="center" wrapText="1"/>
      <protection locked="0"/>
    </xf>
    <xf numFmtId="0" fontId="80" fillId="0" borderId="3" xfId="1" applyNumberFormat="1" applyFont="1" applyFill="1" applyBorder="1" applyAlignment="1" applyProtection="1">
      <alignment vertical="center"/>
      <protection locked="0"/>
    </xf>
    <xf numFmtId="14" fontId="80" fillId="0" borderId="3" xfId="1" applyNumberFormat="1" applyFont="1" applyFill="1" applyBorder="1" applyAlignment="1" applyProtection="1">
      <alignment horizontal="center" vertical="center"/>
      <protection locked="0"/>
    </xf>
    <xf numFmtId="49" fontId="84" fillId="0" borderId="3" xfId="1" applyNumberFormat="1" applyFont="1" applyFill="1" applyBorder="1" applyAlignment="1" applyProtection="1">
      <alignment horizontal="center" vertical="center"/>
      <protection locked="0"/>
    </xf>
    <xf numFmtId="3" fontId="94" fillId="0" borderId="0" xfId="0" applyNumberFormat="1" applyFont="1" applyAlignment="1">
      <alignment horizontal="center" vertical="center"/>
    </xf>
    <xf numFmtId="49" fontId="98" fillId="0" borderId="3" xfId="1" applyNumberFormat="1" applyFont="1" applyFill="1" applyBorder="1" applyAlignment="1" applyProtection="1">
      <alignment horizontal="center" vertical="center"/>
      <protection locked="0"/>
    </xf>
    <xf numFmtId="0" fontId="132" fillId="0" borderId="3" xfId="1" applyNumberFormat="1" applyFont="1" applyFill="1" applyBorder="1" applyAlignment="1" applyProtection="1">
      <alignment horizontal="center" vertical="center"/>
      <protection locked="0"/>
    </xf>
    <xf numFmtId="167" fontId="98" fillId="0" borderId="3" xfId="1" applyNumberFormat="1" applyFont="1" applyFill="1" applyBorder="1" applyAlignment="1" applyProtection="1">
      <alignment horizontal="center" vertical="center"/>
      <protection locked="0"/>
    </xf>
    <xf numFmtId="0" fontId="96" fillId="3" borderId="9" xfId="0" applyFont="1" applyFill="1" applyBorder="1" applyAlignment="1">
      <alignment horizontal="center" vertical="center"/>
    </xf>
    <xf numFmtId="0" fontId="96" fillId="3" borderId="30" xfId="0" applyFont="1" applyFill="1" applyBorder="1" applyAlignment="1">
      <alignment horizontal="center" vertical="center"/>
    </xf>
    <xf numFmtId="0" fontId="0" fillId="0" borderId="42" xfId="0" applyBorder="1" applyAlignment="1">
      <alignment wrapText="1"/>
    </xf>
    <xf numFmtId="0" fontId="60" fillId="4" borderId="32" xfId="0" applyFont="1" applyFill="1" applyBorder="1" applyAlignment="1">
      <alignment horizontal="center" vertical="center" wrapText="1"/>
    </xf>
    <xf numFmtId="168" fontId="7" fillId="0" borderId="0" xfId="0" applyNumberFormat="1" applyFont="1"/>
    <xf numFmtId="0" fontId="7" fillId="31" borderId="58" xfId="0" applyFont="1" applyFill="1" applyBorder="1" applyAlignment="1">
      <alignment horizontal="center" vertical="center" wrapText="1"/>
    </xf>
    <xf numFmtId="168" fontId="7" fillId="0" borderId="58" xfId="0" applyNumberFormat="1" applyFont="1" applyBorder="1" applyAlignment="1">
      <alignment horizontal="center" vertical="center" wrapText="1"/>
    </xf>
    <xf numFmtId="168" fontId="7" fillId="0" borderId="0" xfId="0" applyNumberFormat="1" applyFont="1" applyAlignment="1">
      <alignment horizontal="center" vertical="center" wrapText="1"/>
    </xf>
    <xf numFmtId="168" fontId="0" fillId="0" borderId="0" xfId="0" applyNumberFormat="1" applyAlignment="1">
      <alignment horizontal="center" vertical="center" wrapText="1"/>
    </xf>
    <xf numFmtId="168" fontId="7" fillId="31" borderId="59" xfId="0" applyNumberFormat="1" applyFont="1" applyFill="1" applyBorder="1" applyAlignment="1">
      <alignment horizontal="center" vertical="center" wrapText="1"/>
    </xf>
    <xf numFmtId="0" fontId="84" fillId="0" borderId="3" xfId="1" quotePrefix="1" applyNumberFormat="1" applyFont="1" applyFill="1" applyBorder="1" applyAlignment="1" applyProtection="1">
      <alignment horizontal="center" vertical="center"/>
      <protection locked="0"/>
    </xf>
    <xf numFmtId="0" fontId="84" fillId="0" borderId="3" xfId="1" quotePrefix="1" applyNumberFormat="1" applyFont="1" applyFill="1" applyBorder="1" applyAlignment="1" applyProtection="1">
      <alignment vertical="center"/>
      <protection locked="0"/>
    </xf>
    <xf numFmtId="0" fontId="84" fillId="0" borderId="3" xfId="1" applyNumberFormat="1" applyFont="1" applyFill="1" applyBorder="1" applyAlignment="1" applyProtection="1">
      <alignment horizontal="left" vertical="center"/>
      <protection locked="0"/>
    </xf>
    <xf numFmtId="0" fontId="127" fillId="0" borderId="40" xfId="0" applyFont="1" applyBorder="1" applyAlignment="1">
      <alignment horizontal="center" vertical="center" wrapText="1"/>
    </xf>
    <xf numFmtId="4" fontId="127" fillId="0" borderId="45" xfId="0" applyNumberFormat="1" applyFont="1" applyBorder="1" applyAlignment="1">
      <alignment horizontal="right" vertical="center" wrapText="1"/>
    </xf>
    <xf numFmtId="0" fontId="127" fillId="0" borderId="45" xfId="0" applyFont="1" applyBorder="1" applyAlignment="1">
      <alignment horizontal="center" vertical="center" wrapText="1"/>
    </xf>
    <xf numFmtId="4" fontId="127" fillId="0" borderId="50" xfId="0" applyNumberFormat="1" applyFont="1" applyBorder="1" applyAlignment="1">
      <alignment horizontal="right" vertical="center" wrapText="1"/>
    </xf>
    <xf numFmtId="4" fontId="127" fillId="0" borderId="42" xfId="0" applyNumberFormat="1" applyFont="1" applyBorder="1" applyAlignment="1">
      <alignment horizontal="right" vertical="center" wrapText="1"/>
    </xf>
    <xf numFmtId="0" fontId="127" fillId="0" borderId="42" xfId="0" applyFont="1" applyBorder="1" applyAlignment="1">
      <alignment horizontal="center" vertical="center" wrapText="1"/>
    </xf>
    <xf numFmtId="4" fontId="127" fillId="0" borderId="49" xfId="0" applyNumberFormat="1" applyFont="1" applyBorder="1" applyAlignment="1">
      <alignment horizontal="right" vertical="center" wrapText="1"/>
    </xf>
    <xf numFmtId="0" fontId="127" fillId="0" borderId="60" xfId="0" applyFont="1" applyBorder="1" applyAlignment="1">
      <alignment horizontal="center" vertical="center" wrapText="1"/>
    </xf>
    <xf numFmtId="4" fontId="127" fillId="0" borderId="41" xfId="0" applyNumberFormat="1" applyFont="1" applyBorder="1" applyAlignment="1">
      <alignment horizontal="right" vertical="center" wrapText="1"/>
    </xf>
    <xf numFmtId="0" fontId="127" fillId="0" borderId="41" xfId="0" applyFont="1" applyBorder="1" applyAlignment="1">
      <alignment horizontal="center" vertical="center" wrapText="1"/>
    </xf>
    <xf numFmtId="4" fontId="127" fillId="0" borderId="55" xfId="0" applyNumberFormat="1" applyFont="1" applyBorder="1" applyAlignment="1">
      <alignment horizontal="right" vertical="center" wrapText="1"/>
    </xf>
    <xf numFmtId="4" fontId="77" fillId="0" borderId="49" xfId="0" applyNumberFormat="1" applyFont="1" applyBorder="1" applyAlignment="1">
      <alignment horizontal="right" vertical="center" wrapText="1"/>
    </xf>
    <xf numFmtId="0" fontId="25" fillId="0" borderId="42" xfId="0" applyFont="1" applyBorder="1" applyAlignment="1">
      <alignment horizontal="center" vertical="center"/>
    </xf>
    <xf numFmtId="4" fontId="77" fillId="0" borderId="40" xfId="0" applyNumberFormat="1" applyFont="1" applyBorder="1" applyAlignment="1">
      <alignment horizontal="right" vertical="center" wrapText="1"/>
    </xf>
    <xf numFmtId="0" fontId="77" fillId="0" borderId="45" xfId="0" applyFont="1" applyBorder="1" applyAlignment="1">
      <alignment horizontal="center" vertical="center" wrapText="1"/>
    </xf>
    <xf numFmtId="0" fontId="77" fillId="0" borderId="40" xfId="0" applyFont="1" applyBorder="1" applyAlignment="1">
      <alignment horizontal="center" vertical="center" wrapText="1"/>
    </xf>
    <xf numFmtId="4" fontId="82" fillId="0" borderId="0" xfId="0" applyNumberFormat="1" applyFont="1" applyAlignment="1">
      <alignment horizontal="center" vertical="center"/>
    </xf>
    <xf numFmtId="3" fontId="126" fillId="0" borderId="0" xfId="0" applyNumberFormat="1" applyFont="1" applyAlignment="1">
      <alignment horizontal="center" vertical="center"/>
    </xf>
    <xf numFmtId="0" fontId="60" fillId="0" borderId="4" xfId="1" applyNumberFormat="1" applyFont="1" applyFill="1" applyBorder="1" applyAlignment="1" applyProtection="1">
      <alignment horizontal="center" vertical="center" wrapText="1"/>
      <protection locked="0"/>
    </xf>
    <xf numFmtId="0" fontId="64" fillId="0" borderId="3" xfId="1" applyNumberFormat="1" applyFont="1" applyBorder="1" applyAlignment="1" applyProtection="1">
      <alignment horizontal="center" vertical="center"/>
      <protection locked="0"/>
    </xf>
    <xf numFmtId="0" fontId="64" fillId="0" borderId="4" xfId="1" applyNumberFormat="1" applyFont="1" applyBorder="1" applyAlignment="1" applyProtection="1">
      <alignment horizontal="center" vertical="center" wrapText="1"/>
      <protection locked="0"/>
    </xf>
    <xf numFmtId="0" fontId="146" fillId="0" borderId="3" xfId="1" quotePrefix="1" applyNumberFormat="1" applyFont="1" applyFill="1" applyBorder="1" applyAlignment="1" applyProtection="1">
      <alignment horizontal="center" vertical="center"/>
      <protection locked="0"/>
    </xf>
    <xf numFmtId="0" fontId="126" fillId="0" borderId="4" xfId="1" applyNumberFormat="1" applyFont="1" applyBorder="1" applyAlignment="1" applyProtection="1">
      <alignment horizontal="center" vertical="center" wrapText="1"/>
      <protection locked="0"/>
    </xf>
    <xf numFmtId="17" fontId="60" fillId="0" borderId="3" xfId="1" applyNumberFormat="1" applyFont="1" applyFill="1" applyBorder="1" applyAlignment="1" applyProtection="1">
      <alignment horizontal="center" vertical="center"/>
      <protection locked="0"/>
    </xf>
    <xf numFmtId="0" fontId="64" fillId="0" borderId="3" xfId="1" applyNumberFormat="1" applyFont="1" applyBorder="1" applyAlignment="1" applyProtection="1">
      <alignment horizontal="center" vertical="center" wrapText="1"/>
      <protection locked="0"/>
    </xf>
    <xf numFmtId="0" fontId="88" fillId="0" borderId="3" xfId="1" applyNumberFormat="1" applyFont="1" applyBorder="1" applyAlignment="1" applyProtection="1">
      <alignment horizontal="center" vertical="center"/>
      <protection locked="0"/>
    </xf>
    <xf numFmtId="0" fontId="42" fillId="3" borderId="9" xfId="0" applyFont="1" applyFill="1" applyBorder="1" applyAlignment="1">
      <alignment vertical="center"/>
    </xf>
    <xf numFmtId="0" fontId="42" fillId="3" borderId="30" xfId="0" applyFont="1" applyFill="1" applyBorder="1" applyAlignment="1">
      <alignment vertical="center"/>
    </xf>
    <xf numFmtId="0" fontId="100" fillId="0" borderId="0" xfId="0" applyFont="1" applyAlignment="1">
      <alignment vertical="center"/>
    </xf>
    <xf numFmtId="0" fontId="75" fillId="0" borderId="0" xfId="0" applyFont="1" applyAlignment="1">
      <alignment vertical="center"/>
    </xf>
    <xf numFmtId="4" fontId="126" fillId="0" borderId="0" xfId="0" applyNumberFormat="1" applyFont="1" applyAlignment="1">
      <alignment horizontal="right" vertical="center"/>
    </xf>
    <xf numFmtId="4" fontId="82" fillId="0" borderId="0" xfId="0" applyNumberFormat="1" applyFont="1" applyAlignment="1">
      <alignment horizontal="right" vertical="center"/>
    </xf>
    <xf numFmtId="0" fontId="7" fillId="0" borderId="40" xfId="0" applyFont="1" applyBorder="1" applyAlignment="1">
      <alignment horizontal="center" vertical="center" wrapText="1"/>
    </xf>
    <xf numFmtId="0" fontId="76" fillId="11" borderId="21" xfId="0" applyFont="1" applyFill="1" applyBorder="1" applyAlignment="1">
      <alignment vertical="center" wrapText="1"/>
    </xf>
    <xf numFmtId="0" fontId="7" fillId="17" borderId="0" xfId="0" applyFont="1" applyFill="1" applyAlignment="1">
      <alignment vertical="center"/>
    </xf>
    <xf numFmtId="49" fontId="88" fillId="0" borderId="3" xfId="1" applyNumberFormat="1" applyFont="1" applyFill="1" applyBorder="1" applyAlignment="1" applyProtection="1">
      <alignment horizontal="left" vertical="center" indent="3"/>
      <protection locked="0"/>
    </xf>
    <xf numFmtId="0" fontId="88" fillId="0" borderId="3" xfId="1" quotePrefix="1" applyNumberFormat="1" applyFont="1" applyFill="1" applyBorder="1" applyAlignment="1" applyProtection="1">
      <alignment horizontal="left" vertical="center" indent="3"/>
      <protection locked="0"/>
    </xf>
    <xf numFmtId="0" fontId="80" fillId="0" borderId="3" xfId="1" quotePrefix="1" applyNumberFormat="1" applyFont="1" applyFill="1" applyBorder="1" applyAlignment="1" applyProtection="1">
      <alignment horizontal="left" vertical="center" indent="3"/>
      <protection locked="0"/>
    </xf>
    <xf numFmtId="0" fontId="60" fillId="0" borderId="3" xfId="1" applyNumberFormat="1" applyFont="1" applyFill="1" applyBorder="1" applyAlignment="1" applyProtection="1">
      <alignment horizontal="left" vertical="center" indent="3"/>
      <protection locked="0"/>
    </xf>
    <xf numFmtId="0" fontId="108" fillId="0" borderId="3" xfId="1" applyNumberFormat="1" applyFont="1" applyFill="1" applyBorder="1" applyAlignment="1" applyProtection="1">
      <alignment horizontal="left" vertical="center" indent="3"/>
      <protection locked="0"/>
    </xf>
    <xf numFmtId="3" fontId="82" fillId="0" borderId="0" xfId="0" applyNumberFormat="1" applyFont="1" applyAlignment="1">
      <alignment horizontal="right" vertical="center"/>
    </xf>
    <xf numFmtId="0" fontId="147" fillId="0" borderId="3" xfId="1" quotePrefix="1" applyNumberFormat="1" applyFont="1" applyFill="1" applyBorder="1" applyAlignment="1" applyProtection="1">
      <alignment horizontal="center" vertical="center"/>
      <protection locked="0"/>
    </xf>
    <xf numFmtId="0" fontId="42" fillId="0" borderId="0" xfId="0" applyFont="1" applyAlignment="1">
      <alignment vertical="center"/>
    </xf>
    <xf numFmtId="0" fontId="42" fillId="0" borderId="6" xfId="0" applyFont="1" applyBorder="1" applyAlignment="1">
      <alignment vertical="center"/>
    </xf>
    <xf numFmtId="0" fontId="42" fillId="0" borderId="7" xfId="0" applyFont="1" applyBorder="1" applyAlignment="1">
      <alignment vertical="center"/>
    </xf>
    <xf numFmtId="0" fontId="42" fillId="0" borderId="8" xfId="0" applyFont="1" applyBorder="1" applyAlignment="1">
      <alignment vertical="center"/>
    </xf>
    <xf numFmtId="0" fontId="75" fillId="0" borderId="0" xfId="0" applyFont="1" applyAlignment="1">
      <alignment vertical="center" wrapText="1"/>
    </xf>
    <xf numFmtId="0" fontId="38" fillId="0" borderId="0" xfId="0" applyFont="1" applyAlignment="1">
      <alignment horizontal="center" vertical="center" wrapText="1"/>
    </xf>
    <xf numFmtId="0" fontId="6" fillId="3" borderId="40" xfId="0" applyFont="1" applyFill="1" applyBorder="1" applyAlignment="1">
      <alignment vertical="center"/>
    </xf>
    <xf numFmtId="0" fontId="80" fillId="0" borderId="0" xfId="0" applyFont="1" applyAlignment="1">
      <alignment vertical="center"/>
    </xf>
    <xf numFmtId="0" fontId="59" fillId="4" borderId="9" xfId="0" applyFont="1" applyFill="1" applyBorder="1" applyAlignment="1">
      <alignment horizontal="center" vertical="center"/>
    </xf>
    <xf numFmtId="0" fontId="59" fillId="4" borderId="14" xfId="0" applyFont="1" applyFill="1" applyBorder="1" applyAlignment="1">
      <alignment horizontal="center" vertical="center"/>
    </xf>
    <xf numFmtId="0" fontId="59" fillId="4" borderId="9" xfId="0" applyFont="1" applyFill="1" applyBorder="1" applyAlignment="1">
      <alignment horizontal="center" vertical="center" wrapText="1"/>
    </xf>
    <xf numFmtId="0" fontId="60" fillId="4" borderId="9" xfId="0" applyFont="1" applyFill="1" applyBorder="1" applyAlignment="1">
      <alignment horizontal="center" vertical="center" wrapText="1"/>
    </xf>
    <xf numFmtId="0" fontId="60" fillId="4" borderId="9" xfId="0" applyFont="1" applyFill="1" applyBorder="1" applyAlignment="1">
      <alignment horizontal="center" vertical="center"/>
    </xf>
    <xf numFmtId="0" fontId="59" fillId="28" borderId="40" xfId="0" applyFont="1" applyFill="1" applyBorder="1" applyAlignment="1">
      <alignment horizontal="center" vertical="center" wrapText="1"/>
    </xf>
    <xf numFmtId="0" fontId="149" fillId="9" borderId="21" xfId="0" applyFont="1" applyFill="1" applyBorder="1" applyAlignment="1">
      <alignment horizontal="center" vertical="center" wrapText="1"/>
    </xf>
    <xf numFmtId="0" fontId="127" fillId="29" borderId="21" xfId="0" applyFont="1" applyFill="1" applyBorder="1" applyAlignment="1" applyProtection="1">
      <alignment horizontal="center" vertical="center" wrapText="1"/>
      <protection locked="0"/>
    </xf>
    <xf numFmtId="0" fontId="0" fillId="33" borderId="40" xfId="0" applyFill="1" applyBorder="1" applyAlignment="1">
      <alignment horizontal="center" vertical="center" wrapText="1"/>
    </xf>
    <xf numFmtId="0" fontId="25" fillId="0" borderId="40" xfId="0" applyFont="1" applyBorder="1" applyAlignment="1">
      <alignment horizontal="center" vertical="center"/>
    </xf>
    <xf numFmtId="0" fontId="112" fillId="0" borderId="42" xfId="0" applyFont="1" applyBorder="1" applyAlignment="1">
      <alignment horizontal="center" vertical="center" wrapText="1"/>
    </xf>
    <xf numFmtId="0" fontId="101" fillId="0" borderId="42" xfId="0" applyFont="1" applyBorder="1" applyAlignment="1">
      <alignment horizontal="center" vertical="center" wrapText="1"/>
    </xf>
    <xf numFmtId="0" fontId="0" fillId="23" borderId="0" xfId="0" applyFill="1" applyAlignment="1">
      <alignment wrapText="1"/>
    </xf>
    <xf numFmtId="164" fontId="7" fillId="0" borderId="41" xfId="0" applyNumberFormat="1" applyFont="1" applyBorder="1"/>
    <xf numFmtId="0" fontId="127" fillId="29" borderId="0" xfId="0" applyFont="1" applyFill="1" applyAlignment="1" applyProtection="1">
      <alignment horizontal="center" vertical="center" wrapText="1"/>
      <protection locked="0"/>
    </xf>
    <xf numFmtId="0" fontId="0" fillId="23" borderId="0" xfId="0" applyFill="1" applyAlignment="1">
      <alignment horizontal="center" vertical="center" wrapText="1"/>
    </xf>
    <xf numFmtId="9" fontId="0" fillId="23" borderId="0" xfId="0" applyNumberFormat="1" applyFill="1" applyAlignment="1">
      <alignment horizontal="center" vertical="center" wrapText="1"/>
    </xf>
    <xf numFmtId="3" fontId="94" fillId="0" borderId="0" xfId="0" applyNumberFormat="1" applyFont="1" applyAlignment="1">
      <alignment horizontal="right" vertical="center"/>
    </xf>
    <xf numFmtId="4" fontId="94" fillId="0" borderId="0" xfId="0" applyNumberFormat="1" applyFont="1" applyAlignment="1">
      <alignment horizontal="right" vertical="center"/>
    </xf>
    <xf numFmtId="4" fontId="85" fillId="0" borderId="0" xfId="0" applyNumberFormat="1" applyFont="1" applyAlignment="1">
      <alignment horizontal="right" vertical="center"/>
    </xf>
    <xf numFmtId="0" fontId="52" fillId="0" borderId="3" xfId="0" applyFont="1" applyBorder="1" applyAlignment="1">
      <alignment horizontal="right" vertical="center"/>
    </xf>
    <xf numFmtId="0" fontId="64" fillId="0" borderId="3" xfId="0" applyFont="1" applyBorder="1" applyAlignment="1">
      <alignment horizontal="right" vertical="center"/>
    </xf>
    <xf numFmtId="4" fontId="7" fillId="0" borderId="0" xfId="0" applyNumberFormat="1" applyFont="1"/>
    <xf numFmtId="3" fontId="0" fillId="0" borderId="0" xfId="0" applyNumberFormat="1" applyAlignment="1">
      <alignment vertical="center"/>
    </xf>
    <xf numFmtId="3" fontId="38" fillId="0" borderId="0" xfId="0" applyNumberFormat="1" applyFont="1" applyAlignment="1">
      <alignment vertical="center"/>
    </xf>
    <xf numFmtId="3" fontId="131" fillId="0" borderId="0" xfId="0" applyNumberFormat="1" applyFont="1" applyAlignment="1">
      <alignment vertical="center"/>
    </xf>
    <xf numFmtId="3" fontId="25" fillId="0" borderId="0" xfId="0" applyNumberFormat="1" applyFont="1" applyAlignment="1">
      <alignment vertical="center"/>
    </xf>
    <xf numFmtId="3" fontId="7" fillId="0" borderId="0" xfId="0" applyNumberFormat="1" applyFont="1" applyAlignment="1">
      <alignment vertical="center"/>
    </xf>
    <xf numFmtId="3" fontId="22" fillId="0" borderId="0" xfId="0" applyNumberFormat="1" applyFont="1" applyAlignment="1">
      <alignment vertical="center"/>
    </xf>
    <xf numFmtId="0" fontId="56" fillId="16" borderId="0" xfId="0" applyFont="1" applyFill="1" applyAlignment="1">
      <alignment vertical="center" wrapText="1"/>
    </xf>
    <xf numFmtId="3" fontId="40" fillId="0" borderId="0" xfId="0" applyNumberFormat="1" applyFont="1"/>
    <xf numFmtId="0" fontId="38" fillId="0" borderId="0" xfId="0" applyFont="1" applyAlignment="1">
      <alignment vertical="center"/>
    </xf>
    <xf numFmtId="0" fontId="131" fillId="0" borderId="0" xfId="0" applyFont="1" applyAlignment="1">
      <alignment vertical="center"/>
    </xf>
    <xf numFmtId="0" fontId="96" fillId="16" borderId="0" xfId="0" applyFont="1" applyFill="1" applyAlignment="1">
      <alignment vertical="center" wrapText="1"/>
    </xf>
    <xf numFmtId="3" fontId="131" fillId="0" borderId="0" xfId="0" applyNumberFormat="1" applyFont="1"/>
    <xf numFmtId="0" fontId="131" fillId="0" borderId="0" xfId="0" applyFont="1"/>
    <xf numFmtId="0" fontId="25" fillId="0" borderId="0" xfId="0" applyFont="1" applyAlignment="1">
      <alignment vertical="center"/>
    </xf>
    <xf numFmtId="3" fontId="25" fillId="0" borderId="0" xfId="0" applyNumberFormat="1" applyFont="1"/>
    <xf numFmtId="0" fontId="25" fillId="0" borderId="0" xfId="0" applyFont="1"/>
    <xf numFmtId="0" fontId="22" fillId="0" borderId="0" xfId="0" applyFont="1" applyAlignment="1">
      <alignment vertical="center"/>
    </xf>
    <xf numFmtId="0" fontId="130" fillId="16" borderId="0" xfId="0" applyFont="1" applyFill="1" applyAlignment="1">
      <alignment vertical="center" wrapText="1"/>
    </xf>
    <xf numFmtId="3" fontId="22" fillId="0" borderId="0" xfId="0" applyNumberFormat="1" applyFont="1"/>
    <xf numFmtId="4" fontId="39" fillId="0" borderId="3" xfId="1" applyNumberFormat="1" applyFont="1" applyFill="1" applyBorder="1" applyAlignment="1" applyProtection="1">
      <alignment vertical="center"/>
      <protection locked="0"/>
    </xf>
    <xf numFmtId="0" fontId="56" fillId="32" borderId="0" xfId="0" applyFont="1" applyFill="1" applyAlignment="1">
      <alignment vertical="center" wrapText="1"/>
    </xf>
    <xf numFmtId="4" fontId="39" fillId="32" borderId="3" xfId="1" applyNumberFormat="1" applyFont="1" applyFill="1" applyBorder="1" applyAlignment="1" applyProtection="1">
      <alignment vertical="center"/>
      <protection locked="0"/>
    </xf>
    <xf numFmtId="0" fontId="56" fillId="16" borderId="32" xfId="0" applyFont="1" applyFill="1" applyBorder="1" applyAlignment="1">
      <alignment vertical="center" wrapText="1"/>
    </xf>
    <xf numFmtId="2" fontId="0" fillId="0" borderId="0" xfId="0" applyNumberFormat="1" applyAlignment="1">
      <alignment vertical="center"/>
    </xf>
    <xf numFmtId="2" fontId="40" fillId="0" borderId="0" xfId="0" applyNumberFormat="1" applyFont="1"/>
    <xf numFmtId="0" fontId="133" fillId="16" borderId="0" xfId="0" applyFont="1" applyFill="1" applyAlignment="1">
      <alignment vertical="center" wrapText="1"/>
    </xf>
    <xf numFmtId="3" fontId="100" fillId="0" borderId="0" xfId="0" applyNumberFormat="1" applyFont="1"/>
    <xf numFmtId="0" fontId="100" fillId="0" borderId="0" xfId="0" applyFont="1"/>
    <xf numFmtId="0" fontId="141" fillId="16" borderId="0" xfId="0" applyFont="1" applyFill="1" applyAlignment="1">
      <alignment vertical="center" wrapText="1"/>
    </xf>
    <xf numFmtId="0" fontId="81" fillId="0" borderId="0" xfId="0" applyFont="1" applyAlignment="1">
      <alignment vertical="center"/>
    </xf>
    <xf numFmtId="4" fontId="39" fillId="0" borderId="4" xfId="1" applyNumberFormat="1" applyFont="1" applyFill="1" applyBorder="1" applyAlignment="1" applyProtection="1">
      <alignment vertical="center"/>
      <protection locked="0"/>
    </xf>
    <xf numFmtId="3" fontId="39" fillId="0" borderId="4" xfId="1" applyNumberFormat="1" applyFont="1" applyFill="1" applyBorder="1" applyAlignment="1" applyProtection="1">
      <alignment vertical="center"/>
      <protection locked="0"/>
    </xf>
    <xf numFmtId="3" fontId="39" fillId="0" borderId="3" xfId="1" applyNumberFormat="1" applyFont="1" applyFill="1" applyBorder="1" applyAlignment="1" applyProtection="1">
      <alignment vertical="center"/>
      <protection locked="0"/>
    </xf>
    <xf numFmtId="1" fontId="39" fillId="0" borderId="3" xfId="1" applyNumberFormat="1" applyFont="1" applyFill="1" applyBorder="1" applyAlignment="1" applyProtection="1">
      <alignment vertical="center"/>
      <protection locked="0"/>
    </xf>
    <xf numFmtId="4" fontId="70" fillId="0" borderId="3" xfId="1" applyNumberFormat="1" applyFont="1" applyFill="1" applyBorder="1" applyAlignment="1" applyProtection="1">
      <alignment vertical="center"/>
      <protection locked="0"/>
    </xf>
    <xf numFmtId="3" fontId="70" fillId="0" borderId="3" xfId="1" applyNumberFormat="1" applyFont="1" applyFill="1" applyBorder="1" applyAlignment="1" applyProtection="1">
      <alignment vertical="center"/>
      <protection locked="0"/>
    </xf>
    <xf numFmtId="4" fontId="53" fillId="0" borderId="3" xfId="1" applyNumberFormat="1" applyFont="1" applyFill="1" applyBorder="1" applyAlignment="1" applyProtection="1">
      <alignment vertical="center"/>
      <protection locked="0"/>
    </xf>
    <xf numFmtId="4" fontId="57" fillId="0" borderId="3" xfId="1" applyNumberFormat="1" applyFont="1" applyFill="1" applyBorder="1" applyAlignment="1" applyProtection="1">
      <alignment vertical="center"/>
      <protection locked="0"/>
    </xf>
    <xf numFmtId="0" fontId="83" fillId="0" borderId="3" xfId="1" applyNumberFormat="1" applyFont="1" applyFill="1" applyBorder="1" applyAlignment="1" applyProtection="1">
      <alignment vertical="center"/>
      <protection locked="0"/>
    </xf>
    <xf numFmtId="4" fontId="83" fillId="0" borderId="3" xfId="1" applyNumberFormat="1" applyFont="1" applyFill="1" applyBorder="1" applyAlignment="1" applyProtection="1">
      <alignment vertical="center"/>
      <protection locked="0"/>
    </xf>
    <xf numFmtId="169" fontId="39" fillId="0" borderId="3" xfId="1" applyNumberFormat="1" applyFont="1" applyFill="1" applyBorder="1" applyAlignment="1" applyProtection="1">
      <alignment vertical="center"/>
      <protection locked="0"/>
    </xf>
    <xf numFmtId="2" fontId="39" fillId="0" borderId="3" xfId="1" applyNumberFormat="1" applyFont="1" applyFill="1" applyBorder="1" applyAlignment="1" applyProtection="1">
      <alignment vertical="center"/>
      <protection locked="0"/>
    </xf>
    <xf numFmtId="0" fontId="56" fillId="16" borderId="24" xfId="0" applyFont="1" applyFill="1" applyBorder="1" applyAlignment="1">
      <alignment vertical="center" wrapText="1"/>
    </xf>
    <xf numFmtId="0" fontId="97" fillId="0" borderId="3" xfId="1" applyNumberFormat="1" applyFont="1" applyFill="1" applyBorder="1" applyAlignment="1" applyProtection="1">
      <alignment vertical="center"/>
      <protection locked="0"/>
    </xf>
    <xf numFmtId="4" fontId="97" fillId="0" borderId="3" xfId="1" applyNumberFormat="1" applyFont="1" applyFill="1" applyBorder="1" applyAlignment="1" applyProtection="1">
      <alignment vertical="center"/>
      <protection locked="0"/>
    </xf>
    <xf numFmtId="4" fontId="39" fillId="0" borderId="3" xfId="1" applyNumberFormat="1" applyFont="1" applyFill="1" applyBorder="1" applyAlignment="1" applyProtection="1">
      <protection locked="0"/>
    </xf>
    <xf numFmtId="0" fontId="78" fillId="0" borderId="3" xfId="1" applyNumberFormat="1" applyFont="1" applyFill="1" applyBorder="1" applyAlignment="1" applyProtection="1">
      <alignment vertical="center"/>
      <protection locked="0"/>
    </xf>
    <xf numFmtId="0" fontId="121" fillId="0" borderId="3" xfId="1" applyNumberFormat="1" applyFont="1" applyFill="1" applyBorder="1" applyAlignment="1" applyProtection="1">
      <alignment vertical="center"/>
      <protection locked="0"/>
    </xf>
    <xf numFmtId="4" fontId="121" fillId="0" borderId="3" xfId="1" applyNumberFormat="1" applyFont="1" applyFill="1" applyBorder="1" applyAlignment="1" applyProtection="1">
      <alignment vertical="center"/>
      <protection locked="0"/>
    </xf>
    <xf numFmtId="4" fontId="120" fillId="0" borderId="3" xfId="1" applyNumberFormat="1" applyFont="1" applyFill="1" applyBorder="1" applyAlignment="1" applyProtection="1">
      <alignment vertical="center"/>
      <protection locked="0"/>
    </xf>
    <xf numFmtId="4" fontId="78" fillId="0" borderId="3" xfId="1" applyNumberFormat="1" applyFont="1" applyFill="1" applyBorder="1" applyAlignment="1" applyProtection="1">
      <alignment vertical="center"/>
      <protection locked="0"/>
    </xf>
    <xf numFmtId="3" fontId="78" fillId="0" borderId="3" xfId="1" applyNumberFormat="1" applyFont="1" applyFill="1" applyBorder="1" applyAlignment="1" applyProtection="1">
      <alignment vertical="center"/>
      <protection locked="0"/>
    </xf>
    <xf numFmtId="4" fontId="87" fillId="0" borderId="3" xfId="1" applyNumberFormat="1" applyFont="1" applyFill="1" applyBorder="1" applyAlignment="1" applyProtection="1">
      <alignment vertical="center"/>
      <protection locked="0"/>
    </xf>
    <xf numFmtId="4" fontId="39" fillId="0" borderId="19" xfId="1" applyNumberFormat="1" applyFont="1" applyFill="1" applyBorder="1" applyAlignment="1" applyProtection="1">
      <alignment vertical="center"/>
      <protection locked="0"/>
    </xf>
    <xf numFmtId="0" fontId="39" fillId="0" borderId="19" xfId="1" applyNumberFormat="1" applyFont="1" applyFill="1" applyBorder="1" applyAlignment="1" applyProtection="1">
      <alignment vertical="center"/>
      <protection locked="0"/>
    </xf>
    <xf numFmtId="0" fontId="39" fillId="0" borderId="0" xfId="1" applyNumberFormat="1" applyFont="1" applyFill="1" applyBorder="1" applyAlignment="1" applyProtection="1">
      <alignment vertical="center"/>
      <protection locked="0"/>
    </xf>
    <xf numFmtId="0" fontId="57" fillId="0" borderId="0" xfId="1" applyNumberFormat="1" applyFont="1" applyFill="1" applyAlignment="1" applyProtection="1">
      <alignment vertical="center"/>
      <protection locked="0"/>
    </xf>
    <xf numFmtId="4" fontId="57" fillId="0" borderId="19" xfId="1" applyNumberFormat="1" applyFont="1" applyFill="1" applyBorder="1" applyAlignment="1" applyProtection="1">
      <alignment vertical="center"/>
      <protection locked="0"/>
    </xf>
    <xf numFmtId="0" fontId="56" fillId="16" borderId="0" xfId="0" applyFont="1" applyFill="1" applyAlignment="1">
      <alignment horizontal="right" vertical="center" wrapText="1"/>
    </xf>
    <xf numFmtId="0" fontId="0" fillId="17" borderId="0" xfId="0" applyFill="1" applyAlignment="1">
      <alignment horizontal="right" vertical="center"/>
    </xf>
    <xf numFmtId="0" fontId="0" fillId="15" borderId="0" xfId="0" applyFill="1" applyAlignment="1">
      <alignment horizontal="right"/>
    </xf>
    <xf numFmtId="164" fontId="25" fillId="17" borderId="9" xfId="0" applyNumberFormat="1" applyFont="1" applyFill="1" applyBorder="1" applyAlignment="1">
      <alignment horizontal="right"/>
    </xf>
    <xf numFmtId="0" fontId="22" fillId="0" borderId="9" xfId="0" applyFont="1" applyBorder="1" applyAlignment="1">
      <alignment horizontal="center" vertical="center" wrapText="1"/>
    </xf>
    <xf numFmtId="0" fontId="24" fillId="0" borderId="35" xfId="0" applyFont="1" applyBorder="1" applyAlignment="1">
      <alignment vertical="center" wrapText="1"/>
    </xf>
    <xf numFmtId="4" fontId="27" fillId="0" borderId="9" xfId="0" applyNumberFormat="1" applyFont="1" applyBorder="1" applyAlignment="1">
      <alignment horizontal="center" vertical="center" wrapText="1"/>
    </xf>
    <xf numFmtId="4" fontId="26" fillId="0" borderId="9" xfId="0" applyNumberFormat="1" applyFont="1" applyBorder="1" applyAlignment="1">
      <alignment horizontal="center" vertical="center" wrapText="1"/>
    </xf>
    <xf numFmtId="4" fontId="25" fillId="0" borderId="35" xfId="0" applyNumberFormat="1" applyFont="1" applyBorder="1" applyAlignment="1">
      <alignment horizontal="center" vertical="center" wrapText="1"/>
    </xf>
    <xf numFmtId="4" fontId="24" fillId="0" borderId="35" xfId="0" applyNumberFormat="1" applyFont="1" applyBorder="1" applyAlignment="1">
      <alignment vertical="center" wrapText="1"/>
    </xf>
    <xf numFmtId="0" fontId="29" fillId="0" borderId="9" xfId="0" applyFont="1" applyBorder="1" applyAlignment="1">
      <alignment horizontal="center" vertical="center" wrapText="1"/>
    </xf>
    <xf numFmtId="0" fontId="28" fillId="0" borderId="21" xfId="0" applyFont="1" applyBorder="1" applyAlignment="1">
      <alignment horizontal="center" vertical="center"/>
    </xf>
    <xf numFmtId="4" fontId="7" fillId="0" borderId="9" xfId="0" applyNumberFormat="1" applyFont="1" applyBorder="1" applyAlignment="1">
      <alignment horizontal="center" wrapText="1"/>
    </xf>
    <xf numFmtId="4" fontId="7" fillId="0" borderId="31" xfId="0" applyNumberFormat="1" applyFont="1" applyBorder="1" applyAlignment="1">
      <alignment horizontal="center"/>
    </xf>
    <xf numFmtId="0" fontId="29" fillId="0" borderId="9" xfId="0" applyFont="1" applyBorder="1" applyAlignment="1">
      <alignment horizontal="center" wrapText="1"/>
    </xf>
    <xf numFmtId="0" fontId="28" fillId="0" borderId="31" xfId="0" applyFont="1" applyBorder="1"/>
    <xf numFmtId="4" fontId="7" fillId="0" borderId="23" xfId="0" applyNumberFormat="1" applyFont="1" applyBorder="1" applyAlignment="1">
      <alignment horizontal="center"/>
    </xf>
    <xf numFmtId="0" fontId="107" fillId="14" borderId="9" xfId="0" applyFont="1" applyFill="1" applyBorder="1" applyAlignment="1">
      <alignment horizontal="center" vertical="center"/>
    </xf>
    <xf numFmtId="0" fontId="72" fillId="14" borderId="9" xfId="0" applyFont="1" applyFill="1" applyBorder="1" applyAlignment="1">
      <alignment horizontal="center" vertical="center" wrapText="1"/>
    </xf>
    <xf numFmtId="0" fontId="106" fillId="14" borderId="9" xfId="0" applyFont="1" applyFill="1" applyBorder="1" applyAlignment="1">
      <alignment horizontal="center" wrapText="1"/>
    </xf>
    <xf numFmtId="0" fontId="106" fillId="14" borderId="9" xfId="0" applyFont="1" applyFill="1" applyBorder="1"/>
    <xf numFmtId="0" fontId="72" fillId="0" borderId="9" xfId="0" applyFont="1" applyBorder="1" applyAlignment="1">
      <alignment horizontal="center" wrapText="1"/>
    </xf>
    <xf numFmtId="0" fontId="72" fillId="0" borderId="9" xfId="0" applyFont="1" applyBorder="1" applyAlignment="1">
      <alignment wrapText="1"/>
    </xf>
    <xf numFmtId="4" fontId="64" fillId="23" borderId="63" xfId="0" applyNumberFormat="1"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148" fillId="0" borderId="0" xfId="0" applyFont="1" applyAlignment="1">
      <alignment vertical="center" wrapText="1"/>
    </xf>
    <xf numFmtId="0" fontId="110" fillId="0" borderId="2" xfId="0" applyFont="1" applyBorder="1" applyAlignment="1">
      <alignment vertical="center" wrapText="1"/>
    </xf>
    <xf numFmtId="0" fontId="107" fillId="0" borderId="38" xfId="0" applyFont="1" applyBorder="1" applyAlignment="1">
      <alignment horizontal="center" vertical="center" wrapText="1"/>
    </xf>
    <xf numFmtId="0" fontId="107" fillId="0" borderId="38" xfId="0" applyFont="1" applyBorder="1" applyAlignment="1">
      <alignment vertical="center" wrapText="1"/>
    </xf>
    <xf numFmtId="14" fontId="46" fillId="0" borderId="0" xfId="0" applyNumberFormat="1" applyFont="1" applyAlignment="1">
      <alignment vertical="center" wrapText="1"/>
    </xf>
    <xf numFmtId="4" fontId="64" fillId="0" borderId="4" xfId="0" applyNumberFormat="1" applyFont="1" applyBorder="1" applyAlignment="1">
      <alignment horizontal="right" vertical="center" wrapText="1"/>
    </xf>
    <xf numFmtId="0" fontId="46" fillId="0" borderId="0" xfId="0" applyFont="1" applyAlignment="1">
      <alignment vertical="center" wrapText="1"/>
    </xf>
    <xf numFmtId="0" fontId="66" fillId="0" borderId="0" xfId="0" applyFont="1" applyAlignment="1">
      <alignment horizontal="center" vertical="center" wrapText="1"/>
    </xf>
    <xf numFmtId="0" fontId="66" fillId="0" borderId="2" xfId="0" applyFont="1" applyBorder="1" applyAlignment="1">
      <alignment horizontal="center" vertical="center" wrapText="1"/>
    </xf>
    <xf numFmtId="0" fontId="66" fillId="0" borderId="2" xfId="0" applyFont="1" applyBorder="1" applyAlignment="1">
      <alignment horizontal="left" vertical="center" wrapText="1"/>
    </xf>
    <xf numFmtId="9" fontId="0" fillId="0" borderId="0" xfId="0" applyNumberFormat="1" applyAlignment="1">
      <alignment horizontal="center" vertical="center" wrapText="1"/>
    </xf>
    <xf numFmtId="14" fontId="0" fillId="0" borderId="0" xfId="0" applyNumberFormat="1" applyAlignment="1">
      <alignment vertical="center" wrapText="1"/>
    </xf>
    <xf numFmtId="0" fontId="2" fillId="23" borderId="0" xfId="0" applyFont="1" applyFill="1" applyAlignment="1">
      <alignment horizontal="center" vertical="center" wrapText="1"/>
    </xf>
    <xf numFmtId="0" fontId="2" fillId="23" borderId="2" xfId="0" applyFont="1" applyFill="1" applyBorder="1" applyAlignment="1">
      <alignment horizontal="center" vertical="center" wrapText="1"/>
    </xf>
    <xf numFmtId="0" fontId="2" fillId="23" borderId="2" xfId="0" applyFont="1" applyFill="1" applyBorder="1" applyAlignment="1">
      <alignment horizontal="left" vertical="center" wrapText="1"/>
    </xf>
    <xf numFmtId="0" fontId="3" fillId="23" borderId="4" xfId="0" applyFont="1" applyFill="1" applyBorder="1" applyAlignment="1">
      <alignment wrapText="1"/>
    </xf>
    <xf numFmtId="0" fontId="3" fillId="23" borderId="3" xfId="0" applyFont="1" applyFill="1" applyBorder="1" applyAlignment="1">
      <alignment horizontal="center" vertical="center" wrapText="1"/>
    </xf>
    <xf numFmtId="4" fontId="64" fillId="23" borderId="63" xfId="0" applyNumberFormat="1" applyFont="1" applyFill="1" applyBorder="1" applyAlignment="1">
      <alignment vertical="center" wrapText="1"/>
    </xf>
    <xf numFmtId="9" fontId="0" fillId="23" borderId="0" xfId="0" applyNumberFormat="1" applyFill="1" applyAlignment="1">
      <alignment vertical="center" wrapText="1"/>
    </xf>
    <xf numFmtId="0" fontId="73" fillId="23" borderId="0" xfId="0" applyFont="1" applyFill="1" applyAlignment="1">
      <alignment horizontal="center" vertical="center" wrapText="1"/>
    </xf>
    <xf numFmtId="0" fontId="72" fillId="23" borderId="38" xfId="0" applyFont="1" applyFill="1" applyBorder="1" applyAlignment="1">
      <alignment horizontal="center" vertical="center" wrapText="1"/>
    </xf>
    <xf numFmtId="14" fontId="73" fillId="23" borderId="0" xfId="0" applyNumberFormat="1" applyFont="1" applyFill="1" applyAlignment="1">
      <alignment wrapText="1"/>
    </xf>
    <xf numFmtId="4" fontId="3" fillId="23" borderId="4" xfId="0" applyNumberFormat="1" applyFont="1" applyFill="1" applyBorder="1" applyAlignment="1">
      <alignment horizontal="right" vertical="center" wrapText="1"/>
    </xf>
    <xf numFmtId="14" fontId="0" fillId="23" borderId="0" xfId="0" applyNumberFormat="1" applyFill="1" applyAlignment="1">
      <alignment horizontal="center" vertical="center" wrapText="1"/>
    </xf>
    <xf numFmtId="0" fontId="4" fillId="0" borderId="0" xfId="0" applyFont="1" applyAlignment="1">
      <alignment horizontal="center" vertical="center"/>
    </xf>
    <xf numFmtId="0" fontId="73" fillId="0" borderId="0" xfId="0" applyFont="1" applyAlignment="1">
      <alignment vertical="top" wrapText="1"/>
    </xf>
    <xf numFmtId="0" fontId="72" fillId="0" borderId="38" xfId="0" applyFont="1" applyBorder="1" applyAlignment="1">
      <alignment horizontal="center" wrapText="1"/>
    </xf>
    <xf numFmtId="0" fontId="72" fillId="0" borderId="38" xfId="0" applyFont="1" applyBorder="1" applyAlignment="1">
      <alignment wrapText="1"/>
    </xf>
    <xf numFmtId="0" fontId="110" fillId="0" borderId="2" xfId="0" applyFont="1" applyBorder="1"/>
    <xf numFmtId="0" fontId="107" fillId="0" borderId="38" xfId="0" applyFont="1" applyBorder="1" applyAlignment="1">
      <alignment horizontal="center" wrapText="1"/>
    </xf>
    <xf numFmtId="14" fontId="73" fillId="0" borderId="0" xfId="0" applyNumberFormat="1" applyFont="1"/>
    <xf numFmtId="0" fontId="73" fillId="0" borderId="0" xfId="0" applyFont="1" applyAlignment="1">
      <alignment horizontal="center" vertical="center"/>
    </xf>
    <xf numFmtId="4" fontId="3" fillId="0" borderId="4" xfId="0" applyNumberFormat="1" applyFont="1" applyBorder="1" applyAlignment="1">
      <alignment horizontal="center" vertical="center"/>
    </xf>
    <xf numFmtId="0" fontId="72" fillId="0" borderId="38" xfId="0" applyFont="1" applyBorder="1" applyAlignment="1">
      <alignment horizontal="center" vertical="center" wrapText="1"/>
    </xf>
    <xf numFmtId="0" fontId="46" fillId="0" borderId="0" xfId="0" applyFont="1" applyAlignment="1">
      <alignment vertical="top" wrapText="1"/>
    </xf>
    <xf numFmtId="0" fontId="72" fillId="0" borderId="40" xfId="0" applyFont="1" applyBorder="1" applyAlignment="1">
      <alignment wrapText="1"/>
    </xf>
    <xf numFmtId="0" fontId="107" fillId="0" borderId="38" xfId="0" applyFont="1" applyBorder="1" applyAlignment="1">
      <alignment wrapText="1"/>
    </xf>
    <xf numFmtId="14" fontId="46" fillId="0" borderId="0" xfId="0" applyNumberFormat="1" applyFont="1" applyAlignment="1">
      <alignment wrapText="1"/>
    </xf>
    <xf numFmtId="0" fontId="72" fillId="0" borderId="38" xfId="0" applyFont="1" applyBorder="1" applyAlignment="1">
      <alignment vertical="top" wrapText="1"/>
    </xf>
    <xf numFmtId="0" fontId="3" fillId="0" borderId="3" xfId="0" applyFont="1" applyBorder="1" applyAlignment="1">
      <alignment vertical="top" wrapText="1"/>
    </xf>
    <xf numFmtId="0" fontId="3" fillId="0" borderId="18" xfId="0" applyFont="1" applyBorder="1" applyAlignment="1" applyProtection="1">
      <alignment horizontal="center" vertical="center"/>
      <protection locked="0"/>
    </xf>
    <xf numFmtId="0" fontId="2" fillId="0" borderId="0" xfId="0" applyFont="1" applyAlignment="1">
      <alignment horizontal="center" vertical="center" wrapText="1"/>
    </xf>
    <xf numFmtId="4" fontId="3" fillId="0" borderId="3" xfId="0" applyNumberFormat="1" applyFont="1" applyBorder="1" applyAlignment="1">
      <alignment horizontal="center" vertical="center" wrapText="1"/>
    </xf>
    <xf numFmtId="3" fontId="2" fillId="0" borderId="2" xfId="0" applyNumberFormat="1" applyFont="1" applyBorder="1" applyAlignment="1">
      <alignment vertical="center" wrapText="1"/>
    </xf>
    <xf numFmtId="3" fontId="2" fillId="0" borderId="0" xfId="0" applyNumberFormat="1" applyFont="1" applyAlignment="1">
      <alignment vertical="center" wrapText="1"/>
    </xf>
    <xf numFmtId="0" fontId="111" fillId="0" borderId="0" xfId="0" applyFont="1"/>
    <xf numFmtId="0" fontId="4" fillId="0" borderId="0" xfId="0" applyFont="1" applyAlignment="1">
      <alignment wrapText="1"/>
    </xf>
    <xf numFmtId="4" fontId="64" fillId="0" borderId="4" xfId="0" applyNumberFormat="1" applyFont="1" applyBorder="1" applyAlignment="1">
      <alignment horizontal="right" vertical="center"/>
    </xf>
    <xf numFmtId="0" fontId="2"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vertical="center" wrapText="1"/>
    </xf>
    <xf numFmtId="4" fontId="3" fillId="0" borderId="0" xfId="0" applyNumberFormat="1" applyFont="1" applyAlignment="1">
      <alignment horizontal="center" vertical="center"/>
    </xf>
    <xf numFmtId="0" fontId="64" fillId="0" borderId="0" xfId="0" applyFont="1" applyAlignment="1">
      <alignment horizontal="center" vertical="center"/>
    </xf>
    <xf numFmtId="0" fontId="72" fillId="0" borderId="0" xfId="0" applyFont="1" applyAlignment="1">
      <alignment wrapText="1"/>
    </xf>
    <xf numFmtId="0" fontId="4" fillId="0" borderId="6" xfId="0" applyFont="1" applyBorder="1" applyAlignment="1">
      <alignment wrapText="1"/>
    </xf>
    <xf numFmtId="0" fontId="4" fillId="0" borderId="0" xfId="0" applyFont="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6" xfId="0" applyFont="1" applyBorder="1"/>
    <xf numFmtId="0" fontId="4" fillId="0" borderId="0" xfId="0" applyFont="1"/>
    <xf numFmtId="0" fontId="4" fillId="0" borderId="7" xfId="0" applyFont="1" applyBorder="1"/>
    <xf numFmtId="0" fontId="4" fillId="0" borderId="8" xfId="0" applyFont="1" applyBorder="1"/>
    <xf numFmtId="0" fontId="72" fillId="14" borderId="9" xfId="0" applyFont="1" applyFill="1" applyBorder="1" applyAlignment="1">
      <alignment horizontal="center" vertical="center"/>
    </xf>
    <xf numFmtId="0" fontId="12" fillId="0" borderId="6" xfId="0" applyFont="1" applyBorder="1"/>
    <xf numFmtId="0" fontId="12" fillId="0" borderId="0" xfId="0" applyFont="1"/>
    <xf numFmtId="0" fontId="12" fillId="0" borderId="7" xfId="0" applyFont="1" applyBorder="1"/>
    <xf numFmtId="0" fontId="12" fillId="0" borderId="8" xfId="0" applyFont="1" applyBorder="1"/>
    <xf numFmtId="10" fontId="12" fillId="0" borderId="0" xfId="0" applyNumberFormat="1" applyFont="1" applyAlignment="1">
      <alignment horizontal="center" vertical="center"/>
    </xf>
    <xf numFmtId="4" fontId="7" fillId="19" borderId="9" xfId="0" applyNumberFormat="1" applyFont="1" applyFill="1" applyBorder="1" applyAlignment="1">
      <alignment horizontal="center"/>
    </xf>
    <xf numFmtId="0" fontId="7" fillId="19" borderId="9" xfId="0" applyFont="1" applyFill="1" applyBorder="1" applyAlignment="1">
      <alignment horizontal="center"/>
    </xf>
    <xf numFmtId="0" fontId="24" fillId="0" borderId="29" xfId="0" applyFont="1" applyBorder="1" applyAlignment="1">
      <alignment horizontal="center"/>
    </xf>
    <xf numFmtId="0" fontId="24" fillId="0" borderId="30" xfId="0" applyFont="1" applyBorder="1" applyAlignment="1">
      <alignment horizontal="center"/>
    </xf>
    <xf numFmtId="0" fontId="30" fillId="21" borderId="9" xfId="0" applyFont="1" applyFill="1" applyBorder="1" applyAlignment="1">
      <alignment horizontal="center"/>
    </xf>
    <xf numFmtId="0" fontId="12" fillId="0" borderId="0" xfId="0" applyFont="1" applyAlignment="1">
      <alignment horizontal="center" vertical="center"/>
    </xf>
    <xf numFmtId="0" fontId="23" fillId="0" borderId="9" xfId="0" applyFont="1" applyBorder="1" applyAlignment="1">
      <alignment horizontal="center" vertical="center" wrapText="1"/>
    </xf>
    <xf numFmtId="4" fontId="25" fillId="0" borderId="21" xfId="0" applyNumberFormat="1" applyFont="1" applyBorder="1" applyAlignment="1">
      <alignment horizontal="center" vertical="center" wrapText="1"/>
    </xf>
    <xf numFmtId="4" fontId="25" fillId="0" borderId="31" xfId="0" applyNumberFormat="1" applyFont="1" applyBorder="1" applyAlignment="1">
      <alignment horizontal="center" vertical="center" wrapText="1"/>
    </xf>
    <xf numFmtId="4" fontId="25" fillId="0" borderId="23" xfId="0" applyNumberFormat="1" applyFont="1" applyBorder="1" applyAlignment="1">
      <alignment horizontal="center" vertical="center" wrapText="1"/>
    </xf>
    <xf numFmtId="4" fontId="26" fillId="0" borderId="9" xfId="0" applyNumberFormat="1" applyFont="1" applyBorder="1" applyAlignment="1">
      <alignment horizontal="center" vertical="center" wrapText="1"/>
    </xf>
    <xf numFmtId="4" fontId="7" fillId="21" borderId="29" xfId="0" applyNumberFormat="1" applyFont="1" applyFill="1" applyBorder="1" applyAlignment="1">
      <alignment horizontal="center"/>
    </xf>
    <xf numFmtId="4" fontId="7" fillId="21" borderId="30" xfId="0" applyNumberFormat="1" applyFont="1" applyFill="1" applyBorder="1" applyAlignment="1">
      <alignment horizontal="center"/>
    </xf>
    <xf numFmtId="0" fontId="28" fillId="19" borderId="9" xfId="0" applyFont="1" applyFill="1" applyBorder="1" applyAlignment="1">
      <alignment horizontal="center"/>
    </xf>
    <xf numFmtId="4" fontId="20" fillId="0" borderId="9" xfId="0" applyNumberFormat="1" applyFont="1" applyBorder="1" applyAlignment="1">
      <alignment horizontal="center" vertical="center"/>
    </xf>
    <xf numFmtId="4" fontId="30" fillId="0" borderId="9" xfId="0" applyNumberFormat="1" applyFont="1" applyBorder="1" applyAlignment="1">
      <alignment horizontal="center" vertical="center"/>
    </xf>
    <xf numFmtId="0" fontId="0" fillId="0" borderId="32" xfId="0" applyBorder="1" applyAlignment="1">
      <alignment horizontal="center"/>
    </xf>
    <xf numFmtId="4" fontId="24" fillId="0" borderId="9" xfId="0" applyNumberFormat="1" applyFont="1" applyBorder="1" applyAlignment="1">
      <alignment horizontal="center"/>
    </xf>
    <xf numFmtId="4" fontId="34" fillId="0" borderId="9" xfId="0" applyNumberFormat="1" applyFont="1" applyBorder="1" applyAlignment="1">
      <alignment horizontal="center"/>
    </xf>
    <xf numFmtId="0" fontId="17" fillId="26" borderId="25" xfId="0" applyFont="1" applyFill="1" applyBorder="1" applyAlignment="1">
      <alignment horizontal="center" vertical="center"/>
    </xf>
    <xf numFmtId="0" fontId="17" fillId="26" borderId="26" xfId="0" applyFont="1" applyFill="1" applyBorder="1" applyAlignment="1">
      <alignment horizontal="center" vertical="center"/>
    </xf>
    <xf numFmtId="0" fontId="17" fillId="26" borderId="28" xfId="0" applyFont="1" applyFill="1" applyBorder="1" applyAlignment="1">
      <alignment horizontal="center" vertical="center"/>
    </xf>
    <xf numFmtId="0" fontId="89" fillId="0" borderId="25" xfId="0" applyFont="1" applyBorder="1" applyAlignment="1">
      <alignment horizontal="center" vertical="center" wrapText="1"/>
    </xf>
    <xf numFmtId="0" fontId="89" fillId="0" borderId="26" xfId="0" applyFont="1" applyBorder="1" applyAlignment="1">
      <alignment horizontal="center" vertical="center" wrapText="1"/>
    </xf>
    <xf numFmtId="0" fontId="89" fillId="0" borderId="28" xfId="0" applyFont="1" applyBorder="1" applyAlignment="1">
      <alignment horizontal="center" vertical="center" wrapText="1"/>
    </xf>
    <xf numFmtId="0" fontId="89" fillId="0" borderId="25" xfId="0" applyFont="1" applyBorder="1" applyAlignment="1">
      <alignment vertical="center" wrapText="1"/>
    </xf>
    <xf numFmtId="0" fontId="89" fillId="0" borderId="26" xfId="0" applyFont="1" applyBorder="1" applyAlignment="1">
      <alignment vertical="center" wrapText="1"/>
    </xf>
    <xf numFmtId="0" fontId="89" fillId="0" borderId="28" xfId="0" applyFont="1" applyBorder="1" applyAlignment="1">
      <alignment vertical="center" wrapText="1"/>
    </xf>
    <xf numFmtId="0" fontId="0" fillId="0" borderId="0" xfId="0" applyAlignment="1">
      <alignment horizontal="center" wrapText="1"/>
    </xf>
    <xf numFmtId="0" fontId="16" fillId="0" borderId="9" xfId="0" applyFont="1" applyBorder="1" applyAlignment="1">
      <alignment horizontal="center" vertical="center" wrapText="1"/>
    </xf>
    <xf numFmtId="0" fontId="17" fillId="10" borderId="25" xfId="0" applyFont="1" applyFill="1" applyBorder="1" applyAlignment="1">
      <alignment horizontal="center" vertical="center"/>
    </xf>
    <xf numFmtId="0" fontId="17" fillId="10" borderId="26" xfId="0" applyFont="1" applyFill="1" applyBorder="1" applyAlignment="1">
      <alignment horizontal="center" vertical="center"/>
    </xf>
    <xf numFmtId="0" fontId="17" fillId="10" borderId="28" xfId="0" applyFont="1" applyFill="1" applyBorder="1" applyAlignment="1">
      <alignment horizontal="center" vertical="center"/>
    </xf>
    <xf numFmtId="0" fontId="18" fillId="0" borderId="25" xfId="0" applyFont="1" applyBorder="1" applyAlignment="1">
      <alignment horizontal="center" vertical="center" wrapText="1"/>
    </xf>
    <xf numFmtId="0" fontId="18" fillId="0" borderId="26" xfId="0" applyFont="1" applyBorder="1" applyAlignment="1">
      <alignment horizontal="center" vertical="center" wrapText="1"/>
    </xf>
    <xf numFmtId="0" fontId="18" fillId="0" borderId="28" xfId="0" applyFont="1" applyBorder="1" applyAlignment="1">
      <alignment horizontal="center" vertical="center" wrapText="1"/>
    </xf>
    <xf numFmtId="0" fontId="17" fillId="0" borderId="25" xfId="0" applyFont="1" applyBorder="1" applyAlignment="1">
      <alignment vertical="center" wrapText="1"/>
    </xf>
    <xf numFmtId="0" fontId="17" fillId="0" borderId="26" xfId="0" applyFont="1" applyBorder="1" applyAlignment="1">
      <alignment vertical="center" wrapText="1"/>
    </xf>
    <xf numFmtId="0" fontId="17" fillId="0" borderId="28" xfId="0" applyFont="1" applyBorder="1" applyAlignment="1">
      <alignment vertical="center" wrapText="1"/>
    </xf>
    <xf numFmtId="4" fontId="0" fillId="0" borderId="32" xfId="0" applyNumberFormat="1" applyBorder="1" applyAlignment="1">
      <alignment horizontal="center"/>
    </xf>
    <xf numFmtId="0" fontId="0" fillId="0" borderId="0" xfId="0" applyAlignment="1">
      <alignment horizontal="center" vertical="center" wrapText="1"/>
    </xf>
    <xf numFmtId="4" fontId="64" fillId="0" borderId="65" xfId="0" applyNumberFormat="1" applyFont="1" applyBorder="1" applyAlignment="1">
      <alignment horizontal="center" vertical="center" wrapText="1"/>
    </xf>
    <xf numFmtId="4" fontId="64" fillId="0" borderId="0" xfId="0" applyNumberFormat="1" applyFont="1" applyAlignment="1">
      <alignment horizontal="center" vertical="center" wrapText="1"/>
    </xf>
    <xf numFmtId="164" fontId="0" fillId="0" borderId="41" xfId="0" applyNumberFormat="1" applyBorder="1" applyAlignment="1">
      <alignment horizontal="center" vertical="center" wrapText="1"/>
    </xf>
    <xf numFmtId="164" fontId="0" fillId="0" borderId="43" xfId="0" applyNumberFormat="1" applyBorder="1" applyAlignment="1">
      <alignment horizontal="center" vertical="center" wrapText="1"/>
    </xf>
    <xf numFmtId="164" fontId="0" fillId="0" borderId="42" xfId="0" applyNumberFormat="1" applyBorder="1" applyAlignment="1">
      <alignment horizontal="center" vertical="center" wrapText="1"/>
    </xf>
    <xf numFmtId="0" fontId="66" fillId="0" borderId="53" xfId="0" applyFont="1" applyBorder="1" applyAlignment="1">
      <alignment horizontal="center" vertical="center" wrapText="1"/>
    </xf>
    <xf numFmtId="4" fontId="64" fillId="0" borderId="63" xfId="0" applyNumberFormat="1" applyFont="1" applyBorder="1" applyAlignment="1">
      <alignment horizontal="center" vertical="center" wrapText="1"/>
    </xf>
    <xf numFmtId="4" fontId="64" fillId="0" borderId="43" xfId="0" applyNumberFormat="1" applyFont="1" applyBorder="1" applyAlignment="1">
      <alignment horizontal="center" vertical="center" wrapText="1"/>
    </xf>
    <xf numFmtId="164" fontId="7" fillId="0" borderId="41" xfId="0" applyNumberFormat="1" applyFont="1" applyBorder="1" applyAlignment="1">
      <alignment horizontal="center" vertical="center"/>
    </xf>
    <xf numFmtId="164" fontId="7" fillId="0" borderId="43" xfId="0" applyNumberFormat="1" applyFont="1" applyBorder="1" applyAlignment="1">
      <alignment horizontal="center" vertical="center"/>
    </xf>
    <xf numFmtId="164" fontId="7" fillId="0" borderId="42" xfId="0" applyNumberFormat="1" applyFont="1" applyBorder="1" applyAlignment="1">
      <alignment horizontal="center" vertical="center"/>
    </xf>
    <xf numFmtId="0" fontId="107" fillId="0" borderId="31" xfId="0" applyFont="1" applyBorder="1" applyAlignment="1">
      <alignment horizontal="center" wrapText="1"/>
    </xf>
    <xf numFmtId="0" fontId="107" fillId="0" borderId="23" xfId="0" applyFont="1" applyBorder="1" applyAlignment="1">
      <alignment horizontal="center" wrapText="1"/>
    </xf>
    <xf numFmtId="0" fontId="107" fillId="0" borderId="35" xfId="0" applyFont="1" applyBorder="1" applyAlignment="1">
      <alignment horizontal="center" vertical="center" wrapText="1"/>
    </xf>
    <xf numFmtId="0" fontId="107" fillId="0" borderId="38" xfId="0" applyFont="1" applyBorder="1" applyAlignment="1">
      <alignment horizontal="center" vertical="center" wrapText="1"/>
    </xf>
    <xf numFmtId="0" fontId="0" fillId="0" borderId="48" xfId="0" applyBorder="1" applyAlignment="1">
      <alignment horizontal="center"/>
    </xf>
    <xf numFmtId="164" fontId="7" fillId="0" borderId="41" xfId="0" applyNumberFormat="1" applyFont="1" applyBorder="1" applyAlignment="1">
      <alignment horizontal="center"/>
    </xf>
    <xf numFmtId="164" fontId="7" fillId="0" borderId="43" xfId="0" applyNumberFormat="1" applyFont="1" applyBorder="1" applyAlignment="1">
      <alignment horizontal="center"/>
    </xf>
    <xf numFmtId="164" fontId="7" fillId="0" borderId="42" xfId="0" applyNumberFormat="1" applyFont="1" applyBorder="1" applyAlignment="1">
      <alignment horizontal="center"/>
    </xf>
    <xf numFmtId="4" fontId="64" fillId="0" borderId="63" xfId="0" applyNumberFormat="1" applyFont="1" applyBorder="1" applyAlignment="1">
      <alignment horizontal="center" vertical="center"/>
    </xf>
    <xf numFmtId="4" fontId="64" fillId="0" borderId="43" xfId="0" applyNumberFormat="1" applyFont="1" applyBorder="1" applyAlignment="1">
      <alignment horizontal="center" vertical="center"/>
    </xf>
    <xf numFmtId="4" fontId="64" fillId="0" borderId="64" xfId="0" applyNumberFormat="1" applyFont="1" applyBorder="1" applyAlignment="1">
      <alignment horizontal="center" vertical="center"/>
    </xf>
    <xf numFmtId="164" fontId="7" fillId="0" borderId="41" xfId="0" applyNumberFormat="1" applyFont="1" applyBorder="1" applyAlignment="1">
      <alignment horizontal="center" vertical="center" wrapText="1"/>
    </xf>
    <xf numFmtId="164" fontId="7" fillId="0" borderId="43" xfId="0" applyNumberFormat="1" applyFont="1" applyBorder="1" applyAlignment="1">
      <alignment horizontal="center" vertical="center" wrapText="1"/>
    </xf>
    <xf numFmtId="164" fontId="7" fillId="0" borderId="42" xfId="0" applyNumberFormat="1" applyFont="1" applyBorder="1" applyAlignment="1">
      <alignment horizontal="center" vertical="center" wrapText="1"/>
    </xf>
    <xf numFmtId="4" fontId="64" fillId="0" borderId="61" xfId="0" applyNumberFormat="1" applyFont="1" applyBorder="1" applyAlignment="1">
      <alignment horizontal="center" vertical="center"/>
    </xf>
    <xf numFmtId="4" fontId="64" fillId="0" borderId="62" xfId="0" applyNumberFormat="1" applyFont="1" applyBorder="1" applyAlignment="1">
      <alignment horizontal="center" vertical="center"/>
    </xf>
    <xf numFmtId="0" fontId="0" fillId="0" borderId="6" xfId="0" applyBorder="1" applyAlignment="1">
      <alignment horizontal="center" vertical="center" wrapText="1"/>
    </xf>
    <xf numFmtId="9" fontId="0" fillId="0" borderId="0" xfId="0" applyNumberFormat="1" applyAlignment="1">
      <alignment horizontal="center" vertical="center"/>
    </xf>
    <xf numFmtId="0" fontId="0" fillId="0" borderId="0" xfId="0" applyAlignment="1">
      <alignment horizontal="center" vertical="center"/>
    </xf>
    <xf numFmtId="0" fontId="0" fillId="0" borderId="48" xfId="0" applyBorder="1" applyAlignment="1">
      <alignment horizontal="center" wrapText="1"/>
    </xf>
    <xf numFmtId="0" fontId="0" fillId="0" borderId="0" xfId="0" applyAlignment="1">
      <alignment vertical="center" wrapText="1"/>
    </xf>
    <xf numFmtId="0" fontId="73" fillId="0" borderId="0" xfId="0" applyFont="1" applyAlignment="1">
      <alignment vertical="center" wrapText="1"/>
    </xf>
    <xf numFmtId="0" fontId="56" fillId="11" borderId="22" xfId="0" applyFont="1" applyFill="1" applyBorder="1" applyAlignment="1">
      <alignment horizontal="center" vertical="center" wrapText="1"/>
    </xf>
    <xf numFmtId="0" fontId="56" fillId="11" borderId="24" xfId="0" applyFont="1" applyFill="1" applyBorder="1" applyAlignment="1">
      <alignment horizontal="center" vertical="center" wrapText="1"/>
    </xf>
    <xf numFmtId="0" fontId="56" fillId="11" borderId="24" xfId="0" applyFont="1" applyFill="1" applyBorder="1" applyAlignment="1">
      <alignment vertical="center" wrapText="1"/>
    </xf>
    <xf numFmtId="0" fontId="128" fillId="13" borderId="0" xfId="0" applyFont="1" applyFill="1" applyAlignment="1">
      <alignment horizontal="center" vertical="center"/>
    </xf>
    <xf numFmtId="0" fontId="14" fillId="13" borderId="0" xfId="0" applyFont="1" applyFill="1" applyAlignment="1">
      <alignment vertical="center"/>
    </xf>
    <xf numFmtId="0" fontId="128" fillId="13" borderId="0" xfId="0" applyFont="1" applyFill="1" applyAlignment="1">
      <alignment vertical="center"/>
    </xf>
    <xf numFmtId="0" fontId="128" fillId="13" borderId="0" xfId="0" applyFont="1" applyFill="1" applyAlignment="1">
      <alignment horizontal="right" vertical="center"/>
    </xf>
    <xf numFmtId="0" fontId="14" fillId="13" borderId="0" xfId="0" applyFont="1" applyFill="1" applyAlignment="1">
      <alignment horizontal="center" vertical="center"/>
    </xf>
    <xf numFmtId="0" fontId="13" fillId="6" borderId="22" xfId="0" applyFont="1" applyFill="1" applyBorder="1" applyAlignment="1">
      <alignment horizontal="left" vertical="center"/>
    </xf>
    <xf numFmtId="0" fontId="13" fillId="6" borderId="24" xfId="0" applyFont="1" applyFill="1" applyBorder="1" applyAlignment="1">
      <alignment horizontal="center" vertical="center"/>
    </xf>
    <xf numFmtId="0" fontId="14" fillId="13" borderId="0" xfId="0" applyFont="1" applyFill="1" applyAlignment="1">
      <alignment horizontal="right" vertical="center"/>
    </xf>
    <xf numFmtId="0" fontId="0" fillId="24" borderId="0" xfId="0" applyFill="1" applyAlignment="1">
      <alignment horizontal="center" vertical="center" wrapText="1"/>
    </xf>
    <xf numFmtId="0" fontId="67" fillId="0" borderId="41" xfId="0" applyFont="1" applyBorder="1" applyAlignment="1">
      <alignment horizontal="center" vertical="center" wrapText="1"/>
    </xf>
    <xf numFmtId="0" fontId="67" fillId="0" borderId="43" xfId="0" applyFont="1" applyBorder="1" applyAlignment="1">
      <alignment horizontal="center" vertical="center" wrapText="1"/>
    </xf>
    <xf numFmtId="0" fontId="67" fillId="0" borderId="42" xfId="0" applyFont="1" applyBorder="1" applyAlignment="1">
      <alignment horizontal="center" vertical="center" wrapText="1"/>
    </xf>
    <xf numFmtId="0" fontId="68" fillId="0" borderId="41" xfId="0" applyFont="1" applyBorder="1" applyAlignment="1">
      <alignment horizontal="center" vertical="center"/>
    </xf>
    <xf numFmtId="0" fontId="68" fillId="0" borderId="43" xfId="0" applyFont="1" applyBorder="1" applyAlignment="1">
      <alignment horizontal="center" vertical="center"/>
    </xf>
    <xf numFmtId="0" fontId="68" fillId="0" borderId="42" xfId="0" applyFont="1" applyBorder="1" applyAlignment="1">
      <alignment horizontal="center" vertical="center"/>
    </xf>
    <xf numFmtId="4" fontId="67" fillId="0" borderId="41" xfId="0" applyNumberFormat="1" applyFont="1" applyBorder="1" applyAlignment="1">
      <alignment horizontal="right" vertical="center" wrapText="1"/>
    </xf>
    <xf numFmtId="4" fontId="67" fillId="0" borderId="43" xfId="0" applyNumberFormat="1" applyFont="1" applyBorder="1" applyAlignment="1">
      <alignment horizontal="right" vertical="center" wrapText="1"/>
    </xf>
    <xf numFmtId="4" fontId="67" fillId="0" borderId="42" xfId="0" applyNumberFormat="1" applyFont="1" applyBorder="1" applyAlignment="1">
      <alignment horizontal="right" vertical="center" wrapText="1"/>
    </xf>
    <xf numFmtId="4" fontId="67" fillId="0" borderId="41" xfId="0" applyNumberFormat="1" applyFont="1" applyBorder="1" applyAlignment="1">
      <alignment horizontal="center" vertical="center" wrapText="1"/>
    </xf>
    <xf numFmtId="4" fontId="67" fillId="0" borderId="43" xfId="0" applyNumberFormat="1" applyFont="1" applyBorder="1" applyAlignment="1">
      <alignment horizontal="center" vertical="center" wrapText="1"/>
    </xf>
    <xf numFmtId="4" fontId="67" fillId="0" borderId="42" xfId="0" applyNumberFormat="1" applyFont="1" applyBorder="1" applyAlignment="1">
      <alignment horizontal="center" vertical="center" wrapText="1"/>
    </xf>
    <xf numFmtId="4" fontId="67" fillId="0" borderId="43" xfId="0" applyNumberFormat="1" applyFont="1" applyBorder="1" applyAlignment="1">
      <alignment vertical="center" wrapText="1"/>
    </xf>
    <xf numFmtId="0" fontId="7" fillId="0" borderId="42" xfId="0" applyFont="1" applyBorder="1" applyAlignment="1">
      <alignment horizontal="center" vertical="center"/>
    </xf>
    <xf numFmtId="0" fontId="7" fillId="0" borderId="40" xfId="0" applyFont="1" applyBorder="1" applyAlignment="1">
      <alignment horizontal="center" vertical="center"/>
    </xf>
    <xf numFmtId="0" fontId="7" fillId="0" borderId="41" xfId="0" applyFont="1" applyBorder="1" applyAlignment="1">
      <alignment horizontal="center" vertical="center"/>
    </xf>
    <xf numFmtId="0" fontId="67" fillId="0" borderId="53" xfId="0" applyFont="1" applyBorder="1" applyAlignment="1">
      <alignment horizontal="center" vertical="center" wrapText="1"/>
    </xf>
    <xf numFmtId="4" fontId="68" fillId="0" borderId="41" xfId="0" applyNumberFormat="1" applyFont="1" applyBorder="1" applyAlignment="1">
      <alignment horizontal="right" vertical="center"/>
    </xf>
    <xf numFmtId="4" fontId="68" fillId="0" borderId="43" xfId="0" applyNumberFormat="1" applyFont="1" applyBorder="1" applyAlignment="1">
      <alignment horizontal="right" vertical="center"/>
    </xf>
    <xf numFmtId="4" fontId="68" fillId="0" borderId="42" xfId="0" applyNumberFormat="1" applyFont="1" applyBorder="1" applyAlignment="1">
      <alignment horizontal="right" vertical="center"/>
    </xf>
    <xf numFmtId="0" fontId="68" fillId="0" borderId="41" xfId="0" applyFont="1" applyBorder="1" applyAlignment="1">
      <alignment horizontal="center" vertical="center" wrapText="1"/>
    </xf>
    <xf numFmtId="0" fontId="68" fillId="0" borderId="43" xfId="0" applyFont="1" applyBorder="1" applyAlignment="1">
      <alignment horizontal="center" vertical="center" wrapText="1"/>
    </xf>
    <xf numFmtId="0" fontId="68" fillId="0" borderId="42" xfId="0" applyFont="1" applyBorder="1" applyAlignment="1">
      <alignment horizontal="center" vertical="center" wrapText="1"/>
    </xf>
    <xf numFmtId="4" fontId="7" fillId="0" borderId="40" xfId="0" applyNumberFormat="1" applyFont="1" applyBorder="1" applyAlignment="1">
      <alignment horizontal="center" vertical="center"/>
    </xf>
    <xf numFmtId="4" fontId="67" fillId="0" borderId="40" xfId="0" applyNumberFormat="1" applyFont="1" applyBorder="1" applyAlignment="1">
      <alignment horizontal="center" vertical="center" wrapText="1"/>
    </xf>
    <xf numFmtId="4" fontId="67" fillId="0" borderId="40" xfId="0" applyNumberFormat="1" applyFont="1" applyBorder="1" applyAlignment="1">
      <alignment horizontal="center" vertical="center"/>
    </xf>
    <xf numFmtId="0" fontId="67" fillId="0" borderId="46" xfId="0" applyFont="1" applyBorder="1" applyAlignment="1">
      <alignment horizontal="center" vertical="center" wrapText="1"/>
    </xf>
    <xf numFmtId="3" fontId="67" fillId="0" borderId="0" xfId="0" applyNumberFormat="1" applyFont="1" applyAlignment="1">
      <alignment horizontal="center" vertical="center" wrapText="1"/>
    </xf>
    <xf numFmtId="4" fontId="67" fillId="0" borderId="46" xfId="0" applyNumberFormat="1" applyFont="1" applyBorder="1" applyAlignment="1">
      <alignment vertical="center" wrapText="1"/>
    </xf>
    <xf numFmtId="0" fontId="67" fillId="0" borderId="43" xfId="0" applyFont="1" applyBorder="1" applyAlignment="1">
      <alignment vertical="center" wrapText="1"/>
    </xf>
    <xf numFmtId="0" fontId="67" fillId="0" borderId="48" xfId="0" applyFont="1" applyBorder="1" applyAlignment="1">
      <alignment vertical="center" wrapText="1"/>
    </xf>
    <xf numFmtId="4" fontId="7" fillId="0" borderId="43" xfId="0" applyNumberFormat="1" applyFont="1" applyBorder="1" applyAlignment="1">
      <alignment vertical="center"/>
    </xf>
    <xf numFmtId="4" fontId="67" fillId="0" borderId="45" xfId="0" applyNumberFormat="1" applyFont="1" applyBorder="1" applyAlignment="1">
      <alignment horizontal="center" vertical="center" wrapText="1"/>
    </xf>
    <xf numFmtId="0" fontId="68" fillId="3" borderId="41" xfId="0" applyFont="1" applyFill="1" applyBorder="1" applyAlignment="1">
      <alignment horizontal="center" vertical="center"/>
    </xf>
    <xf numFmtId="0" fontId="68" fillId="3" borderId="43" xfId="0" applyFont="1" applyFill="1" applyBorder="1" applyAlignment="1">
      <alignment horizontal="center" vertical="center"/>
    </xf>
    <xf numFmtId="0" fontId="68" fillId="3" borderId="42" xfId="0" applyFont="1" applyFill="1" applyBorder="1" applyAlignment="1">
      <alignment horizontal="center" vertical="center"/>
    </xf>
    <xf numFmtId="4" fontId="67" fillId="0" borderId="47" xfId="0" applyNumberFormat="1" applyFont="1" applyBorder="1" applyAlignment="1">
      <alignment vertical="center" wrapText="1"/>
    </xf>
    <xf numFmtId="0" fontId="67" fillId="0" borderId="0" xfId="0" applyFont="1" applyAlignment="1">
      <alignment vertical="center" wrapText="1"/>
    </xf>
    <xf numFmtId="0" fontId="68" fillId="3" borderId="45" xfId="0" applyFont="1" applyFill="1" applyBorder="1" applyAlignment="1">
      <alignment horizontal="center" vertical="center"/>
    </xf>
    <xf numFmtId="0" fontId="68" fillId="3" borderId="50" xfId="0" applyFont="1" applyFill="1" applyBorder="1" applyAlignment="1">
      <alignment horizontal="center" vertical="center"/>
    </xf>
    <xf numFmtId="4" fontId="67" fillId="0" borderId="41" xfId="0" applyNumberFormat="1" applyFont="1" applyBorder="1" applyAlignment="1">
      <alignment horizontal="center" vertical="center"/>
    </xf>
    <xf numFmtId="4" fontId="67" fillId="0" borderId="43" xfId="0" applyNumberFormat="1" applyFont="1" applyBorder="1" applyAlignment="1">
      <alignment horizontal="center" vertical="center"/>
    </xf>
    <xf numFmtId="4" fontId="67" fillId="0" borderId="42" xfId="0" applyNumberFormat="1" applyFont="1" applyBorder="1" applyAlignment="1">
      <alignment horizontal="center" vertical="center"/>
    </xf>
    <xf numFmtId="0" fontId="68" fillId="0" borderId="50" xfId="0" applyFont="1" applyBorder="1" applyAlignment="1">
      <alignment horizontal="center" vertical="center"/>
    </xf>
    <xf numFmtId="0" fontId="67" fillId="0" borderId="40" xfId="0" applyFont="1" applyBorder="1" applyAlignment="1">
      <alignment horizontal="center" vertical="center" wrapText="1"/>
    </xf>
    <xf numFmtId="4" fontId="67" fillId="0" borderId="40" xfId="0" applyNumberFormat="1" applyFont="1" applyBorder="1" applyAlignment="1">
      <alignment horizontal="right" vertical="center" wrapText="1"/>
    </xf>
    <xf numFmtId="4" fontId="67" fillId="0" borderId="41" xfId="0" applyNumberFormat="1" applyFont="1" applyBorder="1" applyAlignment="1">
      <alignment vertical="center" wrapText="1"/>
    </xf>
    <xf numFmtId="0" fontId="67" fillId="0" borderId="52" xfId="0" applyFont="1" applyBorder="1" applyAlignment="1">
      <alignment horizontal="center" vertical="center" wrapText="1"/>
    </xf>
    <xf numFmtId="0" fontId="7" fillId="0" borderId="40" xfId="0" applyFont="1" applyBorder="1" applyAlignment="1">
      <alignment horizontal="center" vertical="center" wrapText="1"/>
    </xf>
    <xf numFmtId="0" fontId="67" fillId="27" borderId="45" xfId="0" applyFont="1" applyFill="1" applyBorder="1" applyAlignment="1">
      <alignment horizontal="center" vertical="center" wrapText="1"/>
    </xf>
    <xf numFmtId="0" fontId="67" fillId="27" borderId="55" xfId="0" applyFont="1" applyFill="1" applyBorder="1" applyAlignment="1">
      <alignment horizontal="center" vertical="center" wrapText="1"/>
    </xf>
    <xf numFmtId="0" fontId="67" fillId="27" borderId="56" xfId="0" applyFont="1" applyFill="1" applyBorder="1" applyAlignment="1">
      <alignment horizontal="center" vertical="center" wrapText="1"/>
    </xf>
    <xf numFmtId="0" fontId="0" fillId="0" borderId="41" xfId="0" applyBorder="1" applyAlignment="1">
      <alignment horizontal="left" vertical="center" wrapText="1"/>
    </xf>
    <xf numFmtId="0" fontId="0" fillId="0" borderId="43" xfId="0" applyBorder="1" applyAlignment="1">
      <alignment horizontal="left" vertical="center" wrapText="1"/>
    </xf>
    <xf numFmtId="0" fontId="0" fillId="0" borderId="42" xfId="0" applyBorder="1" applyAlignment="1">
      <alignment horizontal="left" vertical="center" wrapText="1"/>
    </xf>
    <xf numFmtId="14" fontId="0" fillId="28" borderId="40" xfId="0" applyNumberFormat="1" applyFill="1" applyBorder="1" applyAlignment="1">
      <alignment horizontal="center" vertical="center" wrapText="1"/>
    </xf>
    <xf numFmtId="14" fontId="0" fillId="28" borderId="41" xfId="0" applyNumberFormat="1" applyFill="1" applyBorder="1" applyAlignment="1">
      <alignment horizontal="center" vertical="center" wrapText="1"/>
    </xf>
    <xf numFmtId="0" fontId="0" fillId="0" borderId="40" xfId="0" applyBorder="1" applyAlignment="1">
      <alignment horizontal="center" vertical="center" wrapText="1"/>
    </xf>
    <xf numFmtId="0" fontId="0" fillId="0" borderId="41" xfId="0" applyBorder="1" applyAlignment="1">
      <alignment horizontal="center" vertical="center" wrapText="1"/>
    </xf>
    <xf numFmtId="14" fontId="0" fillId="0" borderId="40" xfId="0" applyNumberFormat="1" applyBorder="1" applyAlignment="1">
      <alignment horizontal="center" vertical="center" wrapText="1"/>
    </xf>
    <xf numFmtId="4" fontId="67" fillId="0" borderId="48" xfId="0" applyNumberFormat="1" applyFont="1" applyBorder="1" applyAlignment="1">
      <alignment horizontal="center" vertical="center" wrapText="1"/>
    </xf>
    <xf numFmtId="4" fontId="0" fillId="0" borderId="0" xfId="0" applyNumberFormat="1" applyAlignment="1">
      <alignment horizontal="center" vertical="center"/>
    </xf>
    <xf numFmtId="4" fontId="0" fillId="0" borderId="60" xfId="0" applyNumberFormat="1" applyBorder="1" applyAlignment="1">
      <alignment horizontal="center" vertical="center"/>
    </xf>
    <xf numFmtId="0" fontId="67" fillId="0" borderId="50" xfId="0" applyFont="1" applyBorder="1" applyAlignment="1">
      <alignment horizontal="center" vertical="center" wrapText="1"/>
    </xf>
    <xf numFmtId="0" fontId="67" fillId="0" borderId="48" xfId="0" applyFont="1" applyBorder="1" applyAlignment="1">
      <alignment horizontal="center" vertical="center" wrapText="1"/>
    </xf>
    <xf numFmtId="4" fontId="0" fillId="0" borderId="40" xfId="0" applyNumberFormat="1" applyBorder="1" applyAlignment="1">
      <alignment horizontal="center" vertical="center"/>
    </xf>
    <xf numFmtId="0" fontId="0" fillId="0" borderId="54" xfId="0" applyBorder="1" applyAlignment="1">
      <alignment horizontal="center" vertical="center"/>
    </xf>
    <xf numFmtId="0" fontId="0" fillId="0" borderId="60" xfId="0" applyBorder="1" applyAlignment="1">
      <alignment horizontal="center" vertical="center"/>
    </xf>
    <xf numFmtId="4" fontId="7" fillId="0" borderId="40" xfId="0" applyNumberFormat="1" applyFont="1" applyBorder="1" applyAlignment="1">
      <alignment horizontal="center" vertical="center" wrapText="1"/>
    </xf>
    <xf numFmtId="3" fontId="67" fillId="0" borderId="40" xfId="0" applyNumberFormat="1" applyFont="1" applyBorder="1" applyAlignment="1">
      <alignment horizontal="center" vertical="center" wrapText="1"/>
    </xf>
    <xf numFmtId="1" fontId="67" fillId="0" borderId="41" xfId="0" applyNumberFormat="1" applyFont="1" applyBorder="1" applyAlignment="1">
      <alignment horizontal="center" vertical="center" wrapText="1"/>
    </xf>
    <xf numFmtId="1" fontId="67" fillId="0" borderId="43" xfId="0" applyNumberFormat="1" applyFont="1" applyBorder="1" applyAlignment="1">
      <alignment horizontal="center" vertical="center" wrapText="1"/>
    </xf>
    <xf numFmtId="1" fontId="67" fillId="0" borderId="42" xfId="0" applyNumberFormat="1" applyFont="1" applyBorder="1" applyAlignment="1">
      <alignment horizontal="center" vertical="center" wrapText="1"/>
    </xf>
    <xf numFmtId="0" fontId="144" fillId="0" borderId="0" xfId="0" applyFont="1" applyAlignment="1">
      <alignment horizontal="left" wrapText="1"/>
    </xf>
    <xf numFmtId="0" fontId="46" fillId="0" borderId="0" xfId="0" applyFont="1" applyAlignment="1">
      <alignment horizontal="left" wrapText="1"/>
    </xf>
    <xf numFmtId="0" fontId="40" fillId="0" borderId="49" xfId="0" applyFont="1" applyBorder="1" applyAlignment="1">
      <alignment horizontal="center"/>
    </xf>
    <xf numFmtId="0" fontId="40" fillId="0" borderId="60" xfId="0" applyFont="1" applyBorder="1" applyAlignment="1">
      <alignment horizontal="center"/>
    </xf>
    <xf numFmtId="0" fontId="40" fillId="0" borderId="55" xfId="0" applyFont="1" applyBorder="1" applyAlignment="1">
      <alignment horizontal="center"/>
    </xf>
    <xf numFmtId="0" fontId="40" fillId="0" borderId="54" xfId="0" applyFont="1" applyBorder="1" applyAlignment="1">
      <alignment horizontal="center"/>
    </xf>
    <xf numFmtId="0" fontId="40" fillId="0" borderId="52" xfId="0" applyFont="1" applyBorder="1" applyAlignment="1">
      <alignment horizontal="center"/>
    </xf>
    <xf numFmtId="0" fontId="123" fillId="0" borderId="40" xfId="0" applyFont="1" applyBorder="1" applyAlignment="1">
      <alignment horizontal="center" vertical="center" wrapText="1"/>
    </xf>
    <xf numFmtId="0" fontId="123" fillId="0" borderId="43" xfId="0" applyFont="1" applyBorder="1" applyAlignment="1">
      <alignment horizontal="center" vertical="center" wrapText="1"/>
    </xf>
    <xf numFmtId="0" fontId="123" fillId="0" borderId="42" xfId="0" applyFont="1" applyBorder="1" applyAlignment="1">
      <alignment horizontal="center" vertical="center" wrapText="1"/>
    </xf>
    <xf numFmtId="0" fontId="123" fillId="0" borderId="41" xfId="0" applyFont="1" applyBorder="1" applyAlignment="1">
      <alignment horizontal="center" vertical="center" wrapText="1"/>
    </xf>
    <xf numFmtId="0" fontId="7" fillId="0" borderId="45" xfId="0" applyFont="1" applyBorder="1" applyAlignment="1">
      <alignment horizontal="center" vertical="center" wrapText="1"/>
    </xf>
    <xf numFmtId="0" fontId="7" fillId="0" borderId="55" xfId="0" applyFont="1" applyBorder="1" applyAlignment="1">
      <alignment horizontal="center" vertical="center" wrapText="1"/>
    </xf>
    <xf numFmtId="0" fontId="7" fillId="0" borderId="56" xfId="0" applyFont="1" applyBorder="1" applyAlignment="1">
      <alignment horizontal="center" vertical="center" wrapText="1"/>
    </xf>
    <xf numFmtId="0" fontId="112" fillId="0" borderId="45" xfId="0" applyFont="1" applyBorder="1" applyAlignment="1">
      <alignment horizontal="center" vertical="center" wrapText="1"/>
    </xf>
    <xf numFmtId="0" fontId="112" fillId="0" borderId="55" xfId="0" applyFont="1" applyBorder="1" applyAlignment="1">
      <alignment horizontal="center" vertical="center" wrapText="1"/>
    </xf>
    <xf numFmtId="0" fontId="112" fillId="0" borderId="56" xfId="0" applyFont="1" applyBorder="1" applyAlignment="1">
      <alignment horizontal="center" vertical="center" wrapText="1"/>
    </xf>
    <xf numFmtId="0" fontId="112" fillId="0" borderId="50" xfId="0" applyFont="1" applyBorder="1" applyAlignment="1">
      <alignment horizontal="center" vertical="center" wrapText="1"/>
    </xf>
    <xf numFmtId="0" fontId="112" fillId="0" borderId="54" xfId="0" applyFont="1" applyBorder="1" applyAlignment="1">
      <alignment horizontal="center" vertical="center" wrapText="1"/>
    </xf>
    <xf numFmtId="0" fontId="112" fillId="0" borderId="52" xfId="0" applyFont="1" applyBorder="1" applyAlignment="1">
      <alignment horizontal="center" vertical="center" wrapText="1"/>
    </xf>
    <xf numFmtId="0" fontId="64" fillId="0" borderId="40" xfId="0" applyFont="1" applyBorder="1" applyAlignment="1">
      <alignment horizontal="center" vertical="center" wrapText="1"/>
    </xf>
    <xf numFmtId="0" fontId="64" fillId="0" borderId="45" xfId="0" applyFont="1" applyBorder="1" applyAlignment="1">
      <alignment horizontal="center" vertical="center" wrapText="1"/>
    </xf>
    <xf numFmtId="0" fontId="60" fillId="0" borderId="45" xfId="0" applyFont="1" applyBorder="1" applyAlignment="1">
      <alignment horizontal="center" vertical="center" wrapText="1"/>
    </xf>
    <xf numFmtId="0" fontId="60" fillId="0" borderId="55" xfId="0" applyFont="1" applyBorder="1" applyAlignment="1">
      <alignment horizontal="center" vertical="center" wrapText="1"/>
    </xf>
    <xf numFmtId="0" fontId="60" fillId="0" borderId="56" xfId="0" applyFont="1" applyBorder="1" applyAlignment="1">
      <alignment horizontal="center" vertical="center" wrapText="1"/>
    </xf>
    <xf numFmtId="0" fontId="72" fillId="0" borderId="0" xfId="0" applyFont="1" applyAlignment="1">
      <alignment horizontal="left" wrapText="1"/>
    </xf>
    <xf numFmtId="0" fontId="144" fillId="0" borderId="0" xfId="0" applyFont="1" applyAlignment="1">
      <alignment horizontal="left" vertical="center" wrapText="1"/>
    </xf>
    <xf numFmtId="0" fontId="46" fillId="0" borderId="0" xfId="0" applyFont="1" applyAlignment="1">
      <alignment horizontal="left" vertical="center" wrapText="1"/>
    </xf>
    <xf numFmtId="0" fontId="112" fillId="0" borderId="40"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42" xfId="0" applyFont="1" applyBorder="1" applyAlignment="1">
      <alignment horizontal="center" vertical="center" wrapText="1"/>
    </xf>
    <xf numFmtId="0" fontId="149" fillId="0" borderId="41" xfId="0" applyFont="1" applyBorder="1" applyAlignment="1">
      <alignment horizontal="center" vertical="center" wrapText="1"/>
    </xf>
    <xf numFmtId="0" fontId="149" fillId="0" borderId="42" xfId="0" applyFont="1" applyBorder="1" applyAlignment="1">
      <alignment horizontal="center" vertical="center" wrapText="1"/>
    </xf>
  </cellXfs>
  <cellStyles count="4">
    <cellStyle name="Millares" xfId="1" builtinId="3"/>
    <cellStyle name="Normal" xfId="0" builtinId="0"/>
    <cellStyle name="Normal 2" xfId="3" xr:uid="{8F52A644-95D0-42F2-86F5-A666D714F817}"/>
    <cellStyle name="Porcentaje" xfId="2" builtinId="5"/>
  </cellStyles>
  <dxfs count="63">
    <dxf>
      <numFmt numFmtId="168" formatCode="_-[$S/-280A]\ * #,##0.00_-;\-[$S/-280A]\ * #,##0.00_-;_-[$S/-280A]\ * &quot;-&quot;??_-;_-@_-"/>
    </dxf>
    <dxf>
      <alignment horizontal="center"/>
    </dxf>
    <dxf>
      <alignment horizontal="cent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4" formatCode="&quot;S/&quot;\ #,##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persons/person.xml><?xml version="1.0" encoding="utf-8"?>
<personList xmlns="http://schemas.microsoft.com/office/spreadsheetml/2018/threadedcomments" xmlns:x="http://schemas.openxmlformats.org/spreadsheetml/2006/main">
  <person displayName="Norma N. Bendezu Alvarez" id="{5E0FDC10-F859-4E59-986A-9536B69DBDE4}" userId="S::nbendezu@onpe.gob.pe::b7d78295-0f9b-4e38-8281-bb878711592a" providerId="AD"/>
  <person displayName="Carlos G. Saavedra Lopez" id="{2C0EC561-5417-42B3-948F-301DACBA98C0}" userId="S::csaavedra@onpe.gob.pe::fee73b89-cf9c-449c-a83b-3c6da5a293a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los G. Saavedra Lopez" refreshedDate="46136.507016087962" createdVersion="8" refreshedVersion="8" minRefreshableVersion="3" recordCount="390" xr:uid="{599C5662-6BAE-483C-AFCC-95DF563E2145}">
  <cacheSource type="worksheet">
    <worksheetSource ref="A1:BB391" sheet="BD APROBADA (2)"/>
  </cacheSource>
  <cacheFields count="54">
    <cacheField name="AÑO" numFmtId="0">
      <sharedItems containsSemiMixedTypes="0" containsString="0" containsNumber="1" containsInteger="1" minValue="2026" maxValue="2026"/>
    </cacheField>
    <cacheField name="UE" numFmtId="0">
      <sharedItems containsSemiMixedTypes="0" containsString="0" containsNumber="1" containsInteger="1" minValue="479" maxValue="479"/>
    </cacheField>
    <cacheField name="TIPO DE PROCESO" numFmtId="0">
      <sharedItems/>
    </cacheField>
    <cacheField name="PROCESO NIVEL 1" numFmtId="0">
      <sharedItems/>
    </cacheField>
    <cacheField name="CATEGORÍA PRESUPUESTAL" numFmtId="0">
      <sharedItems containsSemiMixedTypes="0" containsString="0" containsNumber="1" containsInteger="1" minValue="125" maxValue="125"/>
    </cacheField>
    <cacheField name="PRODUCTO PRESUPUESTAL" numFmtId="0">
      <sharedItems containsSemiMixedTypes="0" containsString="0" containsNumber="1" containsInteger="1" minValue="3000001" maxValue="3000654"/>
    </cacheField>
    <cacheField name="ACTIVIDAD  PRESUPUESTAL" numFmtId="0">
      <sharedItems containsSemiMixedTypes="0" containsString="0" containsNumber="1" containsInteger="1" minValue="5000276" maxValue="5005023"/>
    </cacheField>
    <cacheField name="FUNCIÓN" numFmtId="0">
      <sharedItems containsSemiMixedTypes="0" containsString="0" containsNumber="1" containsInteger="1" minValue="3" maxValue="3"/>
    </cacheField>
    <cacheField name="DIVISIÓN FUNCIONAL " numFmtId="0">
      <sharedItems containsSemiMixedTypes="0" containsString="0" containsNumber="1" containsInteger="1" minValue="12" maxValue="12"/>
    </cacheField>
    <cacheField name="GRUPO FUNCIONAL" numFmtId="0">
      <sharedItems containsSemiMixedTypes="0" containsString="0" containsNumber="1" containsInteger="1" minValue="24" maxValue="24"/>
    </cacheField>
    <cacheField name="FINALIDAD" numFmtId="0">
      <sharedItems containsSemiMixedTypes="0" containsString="0" containsNumber="1" containsInteger="1" minValue="47173" maxValue="135560"/>
    </cacheField>
    <cacheField name="ID" numFmtId="0">
      <sharedItems/>
    </cacheField>
    <cacheField name="ACTIVIDAD_x000a_ OPERATIVA" numFmtId="0">
      <sharedItems count="5">
        <s v=" GESTIÓN DE LA INFRAESTRUCTURA TECNOLÓGICA Y BASE DE DATOS "/>
        <s v="GESTIÓN DE LA SEGURIDAD INFORMÁTICA Y CONTINUIDAD DE LOS SERVICIOS TECNOLÓGICOS"/>
        <s v="DISEÑO, DESARROLLO Y DESPLIEGUE SOLUCIONES TECNOLOGICAS"/>
        <s v="MANTENIMIENTO Y SOPORTE A LAS SOLUCIONES TECNOLÓGICAS"/>
        <s v="GESTION DOCUMENTAL"/>
      </sharedItems>
    </cacheField>
    <cacheField name="Meta_x000a_presupuestal" numFmtId="0">
      <sharedItems containsSemiMixedTypes="0" containsString="0" containsNumber="1" containsInteger="1" minValue="92" maxValue="97" count="5">
        <n v="95"/>
        <n v="96"/>
        <n v="94"/>
        <n v="97"/>
        <n v="92"/>
      </sharedItems>
    </cacheField>
    <cacheField name="Ubigeo" numFmtId="0">
      <sharedItems containsNonDate="0" containsString="0" containsBlank="1"/>
    </cacheField>
    <cacheField name="Órgano " numFmtId="0">
      <sharedItems/>
    </cacheField>
    <cacheField name="Tipo de PPTO" numFmtId="0">
      <sharedItems/>
    </cacheField>
    <cacheField name="GG" numFmtId="0">
      <sharedItems/>
    </cacheField>
    <cacheField name="Clasificador" numFmtId="0">
      <sharedItems/>
    </cacheField>
    <cacheField name="CODIGO SIGA" numFmtId="0">
      <sharedItems containsString="0" containsBlank="1" containsNumber="1" containsInteger="1" minValue="443600250053" maxValue="942500010040"/>
    </cacheField>
    <cacheField name="Descripción del _x000a_Bien/Servicio" numFmtId="0">
      <sharedItems/>
    </cacheField>
    <cacheField name="Unidad medida" numFmtId="0">
      <sharedItems count="3">
        <s v="SERVICIO"/>
        <s v="BIEN"/>
        <s v="LOCADOR"/>
      </sharedItems>
    </cacheField>
    <cacheField name="Cantidad de Personas o Veces" numFmtId="0">
      <sharedItems containsString="0" containsBlank="1" containsNumber="1" containsInteger="1" minValue="1" maxValue="75"/>
    </cacheField>
    <cacheField name="Precio Unitario" numFmtId="0">
      <sharedItems containsSemiMixedTypes="0" containsString="0" containsNumber="1" minValue="0.7" maxValue="20000000"/>
    </cacheField>
    <cacheField name="Enero" numFmtId="0">
      <sharedItems containsNonDate="0" containsString="0" containsBlank="1"/>
    </cacheField>
    <cacheField name="Febrero" numFmtId="0">
      <sharedItems containsNonDate="0" containsString="0" containsBlank="1"/>
    </cacheField>
    <cacheField name="Marzo" numFmtId="0">
      <sharedItems containsNonDate="0" containsString="0" containsBlank="1"/>
    </cacheField>
    <cacheField name="Abril" numFmtId="0">
      <sharedItems containsNonDate="0" containsString="0" containsBlank="1"/>
    </cacheField>
    <cacheField name="Mayo" numFmtId="0">
      <sharedItems containsString="0" containsBlank="1" containsNumber="1" containsInteger="1" minValue="1" maxValue="30"/>
    </cacheField>
    <cacheField name="Junio" numFmtId="0">
      <sharedItems containsBlank="1" containsMixedTypes="1" containsNumber="1" minValue="0.5" maxValue="100"/>
    </cacheField>
    <cacheField name="Julio" numFmtId="0">
      <sharedItems containsString="0" containsBlank="1" containsNumber="1" minValue="0.5" maxValue="1"/>
    </cacheField>
    <cacheField name="Agosto" numFmtId="0">
      <sharedItems containsNonDate="0" containsString="0" containsBlank="1"/>
    </cacheField>
    <cacheField name="Setiembre" numFmtId="0">
      <sharedItems containsNonDate="0" containsString="0" containsBlank="1"/>
    </cacheField>
    <cacheField name="Octubre" numFmtId="0">
      <sharedItems containsNonDate="0" containsString="0" containsBlank="1"/>
    </cacheField>
    <cacheField name="Noviembre" numFmtId="0">
      <sharedItems containsNonDate="0" containsString="0" containsBlank="1"/>
    </cacheField>
    <cacheField name="Diciembre" numFmtId="0">
      <sharedItems containsNonDate="0" containsString="0" containsBlank="1"/>
    </cacheField>
    <cacheField name="Total Costo_x000a_ de B.S" numFmtId="0">
      <sharedItems containsSemiMixedTypes="0" containsString="0" containsNumber="1" containsInteger="1" minValue="14" maxValue="20000000"/>
    </cacheField>
    <cacheField name="ENERO2" numFmtId="0">
      <sharedItems/>
    </cacheField>
    <cacheField name="FEBRERO2" numFmtId="0">
      <sharedItems/>
    </cacheField>
    <cacheField name="MARZO2" numFmtId="0">
      <sharedItems/>
    </cacheField>
    <cacheField name="ABRIL2" numFmtId="0">
      <sharedItems/>
    </cacheField>
    <cacheField name="MAYO2" numFmtId="0">
      <sharedItems containsMixedTypes="1" containsNumber="1" containsInteger="1" minValue="2500" maxValue="120000"/>
    </cacheField>
    <cacheField name="JUNIO2" numFmtId="0">
      <sharedItems containsMixedTypes="1" containsNumber="1" containsInteger="1" minValue="14" maxValue="20000000"/>
    </cacheField>
    <cacheField name="JULIO2" numFmtId="0">
      <sharedItems containsMixedTypes="1" containsNumber="1" containsInteger="1" minValue="10000" maxValue="125000"/>
    </cacheField>
    <cacheField name="AGOSTO2" numFmtId="0">
      <sharedItems/>
    </cacheField>
    <cacheField name="SETIEMBRE2" numFmtId="0">
      <sharedItems/>
    </cacheField>
    <cacheField name="OCTUBRE2" numFmtId="0">
      <sharedItems/>
    </cacheField>
    <cacheField name="NOVIEMBRE2" numFmtId="0">
      <sharedItems/>
    </cacheField>
    <cacheField name="DICIEMBRE2" numFmtId="0">
      <sharedItems/>
    </cacheField>
    <cacheField name="TOTAL" numFmtId="0">
      <sharedItems containsSemiMixedTypes="0" containsString="0" containsNumber="1" containsInteger="1" minValue="14" maxValue="20000000"/>
    </cacheField>
    <cacheField name="GITE/SG" numFmtId="0">
      <sharedItems count="4">
        <s v="SGIST"/>
        <s v="SGGDI"/>
        <s v="SGSI"/>
        <s v="GITE"/>
      </sharedItems>
    </cacheField>
    <cacheField name="PRIORIDAD" numFmtId="0">
      <sharedItems/>
    </cacheField>
    <cacheField name="APLICATIVOS" numFmtId="0">
      <sharedItems containsNonDate="0" containsString="0" containsBlank="1"/>
    </cacheField>
    <cacheField name="DENOMINACION SIGA"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6.770604976853" createdVersion="8" refreshedVersion="8" minRefreshableVersion="3" recordCount="635" xr:uid="{50C118FA-E9B2-4A03-BCD6-D296D9CC7C82}">
  <cacheSource type="worksheet">
    <worksheetSource ref="A2:DD637" sheet="LOCADORES"/>
  </cacheSource>
  <cacheFields count="108">
    <cacheField name="oordinador" numFmtId="0">
      <sharedItems containsSemiMixedTypes="0" containsString="0" containsNumber="1" containsInteger="1" minValue="2026" maxValue="2026"/>
    </cacheField>
    <cacheField name="UE" numFmtId="0">
      <sharedItems containsSemiMixedTypes="0" containsString="0" containsNumber="1" containsInteger="1" minValue="479" maxValue="479"/>
    </cacheField>
    <cacheField name="TIPO DE PROCESO" numFmtId="0">
      <sharedItems/>
    </cacheField>
    <cacheField name="PROCESO NIVEL 1" numFmtId="0">
      <sharedItems/>
    </cacheField>
    <cacheField name="CATEGORÍA PRESUPUESTAL" numFmtId="0">
      <sharedItems containsSemiMixedTypes="0" containsString="0" containsNumber="1" containsInteger="1" minValue="125" maxValue="125"/>
    </cacheField>
    <cacheField name="PRODUCTO PRESUPUESTAL" numFmtId="0">
      <sharedItems containsSemiMixedTypes="0" containsString="0" containsNumber="1" containsInteger="1" minValue="3000001" maxValue="3000654"/>
    </cacheField>
    <cacheField name="ACTIVIDAD  PRESUPUESTAL" numFmtId="0">
      <sharedItems containsSemiMixedTypes="0" containsString="0" containsNumber="1" containsInteger="1" minValue="5000276" maxValue="5005023"/>
    </cacheField>
    <cacheField name="FUNCIÓN" numFmtId="0">
      <sharedItems containsSemiMixedTypes="0" containsString="0" containsNumber="1" containsInteger="1" minValue="3" maxValue="3"/>
    </cacheField>
    <cacheField name="DIVISIÓN FUNCIONAL " numFmtId="0">
      <sharedItems containsSemiMixedTypes="0" containsString="0" containsNumber="1" containsInteger="1" minValue="12" maxValue="12"/>
    </cacheField>
    <cacheField name="GRUPO FUNCIONAL" numFmtId="0">
      <sharedItems containsSemiMixedTypes="0" containsString="0" containsNumber="1" containsInteger="1" minValue="24" maxValue="24"/>
    </cacheField>
    <cacheField name="FINALIDAD" numFmtId="0">
      <sharedItems containsSemiMixedTypes="0" containsString="0" containsNumber="1" containsInteger="1" minValue="47173" maxValue="135560"/>
    </cacheField>
    <cacheField name="ID" numFmtId="0">
      <sharedItems/>
    </cacheField>
    <cacheField name="ACTIVIDAD_x000a_ OPERATIVA" numFmtId="0">
      <sharedItems count="5">
        <s v=" GESTIÓN DE LA INFRAESTRUCTURA TECNOLÓGICA Y BASE DE DATOS "/>
        <s v="GESTIÓN DE LA SEGURIDAD INFORMÁTICA Y CONTINUIDAD DE LOS SERVICIOS TECNOLÓGICOS"/>
        <s v="DISEÑO, DESARROLLO Y DESPLIEGUE SOLUCIONES TECNOLOGICAS"/>
        <s v="MANTENIMIENTO Y SOPORTE A LAS SOLUCIONES TECNOLÓGICAS"/>
        <s v="GESTION DOCUMENTAL"/>
      </sharedItems>
    </cacheField>
    <cacheField name="Meta_x000a_presupuestal" numFmtId="0">
      <sharedItems containsSemiMixedTypes="0" containsString="0" containsNumber="1" containsInteger="1" minValue="92" maxValue="97"/>
    </cacheField>
    <cacheField name="Ubigeo" numFmtId="0">
      <sharedItems containsNonDate="0" containsString="0" containsBlank="1"/>
    </cacheField>
    <cacheField name="Órgano " numFmtId="0">
      <sharedItems/>
    </cacheField>
    <cacheField name="Tipo de PPTO" numFmtId="0">
      <sharedItems/>
    </cacheField>
    <cacheField name="GG" numFmtId="0">
      <sharedItems/>
    </cacheField>
    <cacheField name="Clasificador" numFmtId="0">
      <sharedItems/>
    </cacheField>
    <cacheField name="CODIGO SIGA" numFmtId="0">
      <sharedItems containsNonDate="0" containsString="0" containsBlank="1"/>
    </cacheField>
    <cacheField name="Descripción del _x000a_Bien/Servicio" numFmtId="0">
      <sharedItems/>
    </cacheField>
    <cacheField name="Unidad medida" numFmtId="0">
      <sharedItems/>
    </cacheField>
    <cacheField name="Cantidad de Personas o Veces" numFmtId="0">
      <sharedItems containsString="0" containsBlank="1" containsNumber="1" containsInteger="1" minValue="1" maxValue="6"/>
    </cacheField>
    <cacheField name="Precio Unitario" numFmtId="4">
      <sharedItems containsSemiMixedTypes="0" containsString="0" containsNumber="1" containsInteger="1" minValue="2500" maxValue="19000"/>
    </cacheField>
    <cacheField name="Enero" numFmtId="0">
      <sharedItems containsNonDate="0" containsString="0" containsBlank="1"/>
    </cacheField>
    <cacheField name="Febrero" numFmtId="0">
      <sharedItems containsNonDate="0" containsString="0" containsBlank="1"/>
    </cacheField>
    <cacheField name="Marzo" numFmtId="0">
      <sharedItems containsNonDate="0" containsString="0" containsBlank="1"/>
    </cacheField>
    <cacheField name="Abril" numFmtId="0">
      <sharedItems containsNonDate="0" containsString="0" containsBlank="1"/>
    </cacheField>
    <cacheField name="Mayo" numFmtId="0">
      <sharedItems containsString="0" containsBlank="1" containsNumber="1" containsInteger="1" minValue="0" maxValue="30"/>
    </cacheField>
    <cacheField name="Junio" numFmtId="0">
      <sharedItems containsString="0" containsBlank="1" containsNumber="1" containsInteger="1" minValue="0" maxValue="30"/>
    </cacheField>
    <cacheField name="Julio" numFmtId="0">
      <sharedItems containsNonDate="0" containsString="0" containsBlank="1"/>
    </cacheField>
    <cacheField name="Agosto" numFmtId="0">
      <sharedItems containsNonDate="0" containsString="0" containsBlank="1"/>
    </cacheField>
    <cacheField name="Setiembre" numFmtId="0">
      <sharedItems containsNonDate="0" containsString="0" containsBlank="1"/>
    </cacheField>
    <cacheField name="Octubre" numFmtId="0">
      <sharedItems containsNonDate="0" containsString="0" containsBlank="1"/>
    </cacheField>
    <cacheField name="Noviembre" numFmtId="0">
      <sharedItems containsNonDate="0" containsString="0" containsBlank="1"/>
    </cacheField>
    <cacheField name="Diciembre" numFmtId="0">
      <sharedItems containsNonDate="0" containsString="0" containsBlank="1"/>
    </cacheField>
    <cacheField name="Total Costo PIA_x000a_ de B.S" numFmtId="0">
      <sharedItems containsBlank="1" containsMixedTypes="1" containsNumber="1" containsInteger="1" minValue="2500" maxValue="56000"/>
    </cacheField>
    <cacheField name="ENERO2" numFmtId="0">
      <sharedItems containsBlank="1"/>
    </cacheField>
    <cacheField name="FEBRERO2" numFmtId="0">
      <sharedItems containsBlank="1"/>
    </cacheField>
    <cacheField name="MARZO2" numFmtId="0">
      <sharedItems containsBlank="1"/>
    </cacheField>
    <cacheField name="ABRIL2" numFmtId="0">
      <sharedItems containsBlank="1"/>
    </cacheField>
    <cacheField name="MAYO2" numFmtId="0">
      <sharedItems containsString="0" containsBlank="1" containsNumber="1" containsInteger="1" minValue="0" maxValue="14000"/>
    </cacheField>
    <cacheField name="JUNIO2" numFmtId="0">
      <sharedItems containsString="0" containsBlank="1" containsNumber="1" containsInteger="1" minValue="0" maxValue="19000"/>
    </cacheField>
    <cacheField name="JULIO2" numFmtId="0">
      <sharedItems containsBlank="1"/>
    </cacheField>
    <cacheField name="AGOSTO2" numFmtId="0">
      <sharedItems containsBlank="1"/>
    </cacheField>
    <cacheField name="SETIEMBRE2" numFmtId="0">
      <sharedItems containsBlank="1"/>
    </cacheField>
    <cacheField name="OCTUBRE2" numFmtId="0">
      <sharedItems containsBlank="1"/>
    </cacheField>
    <cacheField name="NOVIEMBRE2" numFmtId="0">
      <sharedItems containsBlank="1" containsMixedTypes="1" containsNumber="1" containsInteger="1" minValue="0" maxValue="0"/>
    </cacheField>
    <cacheField name="DICIEMBRE2" numFmtId="0">
      <sharedItems containsBlank="1"/>
    </cacheField>
    <cacheField name="TOTAL PIM" numFmtId="0">
      <sharedItems containsString="0" containsBlank="1" containsNumber="1" containsInteger="1" minValue="0" maxValue="28000"/>
    </cacheField>
    <cacheField name="GITE/SG" numFmtId="0">
      <sharedItems count="4">
        <s v="SGIST"/>
        <s v="SGGDI"/>
        <s v="SGSI"/>
        <s v="GITE"/>
      </sharedItems>
    </cacheField>
    <cacheField name="PRIORIDAD" numFmtId="0">
      <sharedItems containsBlank="1"/>
    </cacheField>
    <cacheField name="APLICATIVOS" numFmtId="0">
      <sharedItems containsNonDate="0" containsString="0" containsBlank="1"/>
    </cacheField>
    <cacheField name="DENOMINACION SIGA" numFmtId="0">
      <sharedItems containsNonDate="0" containsString="0" containsBlank="1"/>
    </cacheField>
    <cacheField name="OBSERVACIONES" numFmtId="0">
      <sharedItems containsBlank="1"/>
    </cacheField>
    <cacheField name="INFORME DE SG/ MODIFICACION PRESUPUESTAL" numFmtId="0">
      <sharedItems containsBlank="1"/>
    </cacheField>
    <cacheField name="MEMORANDO GITE - MODIFICACION CN" numFmtId="0">
      <sharedItems containsBlank="1"/>
    </cacheField>
    <cacheField name="FECHA MEMORANDO GITE - MODIFICACION CN" numFmtId="0">
      <sharedItems containsDate="1" containsBlank="1" containsMixedTypes="1" minDate="2026-04-21T00:00:00" maxDate="2026-05-16T00:00:00"/>
    </cacheField>
    <cacheField name="(MEMORANDO APROBACION GPP) - MODIFICACION CN " numFmtId="0">
      <sharedItems containsBlank="1"/>
    </cacheField>
    <cacheField name="FECHA (MEMORANDO APROBACION GPP) - MODIFICACION CN " numFmtId="0">
      <sharedItems containsNonDate="0" containsDate="1" containsString="0" containsBlank="1" minDate="2026-04-28T00:00:00" maxDate="2026-05-29T00:00:00"/>
    </cacheField>
    <cacheField name="PRESUPUESTO MODIFICADO - PIM" numFmtId="0">
      <sharedItems containsNonDate="0" containsString="0" containsBlank="1"/>
    </cacheField>
    <cacheField name="OBSERVACIONES2" numFmtId="0">
      <sharedItems containsBlank="1"/>
    </cacheField>
    <cacheField name="ESTADO DEL REQUERIMIENTO1" numFmtId="0">
      <sharedItems count="3">
        <s v="REMITIDO A GRH"/>
        <s v="PENDIENTE DE REQUERIR"/>
        <s v="PRIORIZADO"/>
      </sharedItems>
    </cacheField>
    <cacheField name="ESTADO DE LA CONTRATACION" numFmtId="0">
      <sharedItems containsBlank="1"/>
    </cacheField>
    <cacheField name="INFORME SG" numFmtId="0">
      <sharedItems containsBlank="1"/>
    </cacheField>
    <cacheField name="PROVEIDO SGIST" numFmtId="0">
      <sharedItems containsBlank="1"/>
    </cacheField>
    <cacheField name="MEMORANDO GITE" numFmtId="0">
      <sharedItems containsBlank="1"/>
    </cacheField>
    <cacheField name="FECHA MEMORANDO GITE" numFmtId="0">
      <sharedItems containsNonDate="0" containsDate="1" containsString="0" containsBlank="1" minDate="2026-04-21T00:00:00" maxDate="2026-06-09T00:00:00"/>
    </cacheField>
    <cacheField name="SEGUIMIENTO" numFmtId="0">
      <sharedItems containsNonDate="0" containsString="0" containsBlank="1"/>
    </cacheField>
    <cacheField name="NUMERO DE CONTRATO" numFmtId="0">
      <sharedItems containsBlank="1" containsMixedTypes="1" containsNumber="1" containsInteger="1" minValue="3232" maxValue="4831"/>
    </cacheField>
    <cacheField name="OBSERVACIONES3" numFmtId="0">
      <sharedItems containsBlank="1"/>
    </cacheField>
    <cacheField name="CONFORMIDAD MAYO" numFmtId="0">
      <sharedItems containsBlank="1"/>
    </cacheField>
    <cacheField name="CONFORMIDAD JUNIO" numFmtId="0">
      <sharedItems containsBlank="1"/>
    </cacheField>
    <cacheField name="APELLIDO PATERNO" numFmtId="0">
      <sharedItems containsBlank="1"/>
    </cacheField>
    <cacheField name="APELIIDO MATERNO" numFmtId="0">
      <sharedItems containsBlank="1"/>
    </cacheField>
    <cacheField name="NOMBRES" numFmtId="0">
      <sharedItems containsBlank="1"/>
    </cacheField>
    <cacheField name="DNI" numFmtId="0">
      <sharedItems containsBlank="1" containsMixedTypes="1" containsNumber="1" containsInteger="1" minValue="46143" maxValue="80639112"/>
    </cacheField>
    <cacheField name="RUC" numFmtId="0">
      <sharedItems containsBlank="1" containsMixedTypes="1" containsNumber="1" containsInteger="1" minValue="46203" maxValue="15603191703"/>
    </cacheField>
    <cacheField name="RETRIBUCIÓN MENSUAL" numFmtId="0">
      <sharedItems containsBlank="1" containsMixedTypes="1" containsNumber="1" containsInteger="1" minValue="2500" maxValue="12000"/>
    </cacheField>
    <cacheField name="FECHA DE INICIO " numFmtId="0">
      <sharedItems containsDate="1" containsBlank="1" containsMixedTypes="1" minDate="2026-05-01T00:00:00" maxDate="2026-06-09T00:00:00"/>
    </cacheField>
    <cacheField name="FECHA DE FIN" numFmtId="0">
      <sharedItems containsNonDate="0" containsDate="1" containsString="0" containsBlank="1" minDate="2026-05-15T00:00:00" maxDate="2026-07-01T00:00:00"/>
    </cacheField>
    <cacheField name="Field82" caption="Campo82" numFmtId="0">
      <sharedItems containsNonDate="0" containsString="0" containsBlank="1"/>
    </cacheField>
    <cacheField name="DIAS " numFmtId="0">
      <sharedItems containsString="0" containsBlank="1" containsNumber="1" containsInteger="1" minValue="0" maxValue="30"/>
    </cacheField>
    <cacheField name="MONTO (A)" numFmtId="0">
      <sharedItems containsString="0" containsBlank="1" containsNumber="1" containsInteger="1" minValue="0" maxValue="14000"/>
    </cacheField>
    <cacheField name="DIAS 2" numFmtId="0">
      <sharedItems containsString="0" containsBlank="1" containsNumber="1" containsInteger="1" minValue="0" maxValue="30"/>
    </cacheField>
    <cacheField name="MONTO (B)" numFmtId="0">
      <sharedItems containsString="0" containsBlank="1" containsNumber="1" minValue="0" maxValue="12000"/>
    </cacheField>
    <cacheField name="DIAS 3" numFmtId="0">
      <sharedItems containsString="0" containsBlank="1" containsNumber="1" containsInteger="1" minValue="0" maxValue="31"/>
    </cacheField>
    <cacheField name="MONTO ©" numFmtId="0">
      <sharedItems containsString="0" containsBlank="1" containsNumber="1" minValue="0" maxValue="12000"/>
    </cacheField>
    <cacheField name="SALD DE PROGRAMADO / REQUERIDO (A+B)" numFmtId="0">
      <sharedItems containsString="0" containsBlank="1" containsNumber="1" minValue="0" maxValue="14000"/>
    </cacheField>
    <cacheField name="SALDOS DE PROGRAMACION /EJECUCION (A+C)" numFmtId="0">
      <sharedItems containsString="0" containsBlank="1" containsNumber="1" minValue="0" maxValue="14000"/>
    </cacheField>
    <cacheField name="Field91" caption="Campo91" numFmtId="0">
      <sharedItems containsNonDate="0" containsString="0" containsBlank="1"/>
    </cacheField>
    <cacheField name="DIAS 4" numFmtId="0">
      <sharedItems containsString="0" containsBlank="1" containsNumber="1" containsInteger="1" minValue="0" maxValue="30"/>
    </cacheField>
    <cacheField name="MONTO (A)2" numFmtId="0">
      <sharedItems containsString="0" containsBlank="1" containsNumber="1" containsInteger="1" minValue="0" maxValue="19000"/>
    </cacheField>
    <cacheField name="DIAS 5" numFmtId="0">
      <sharedItems containsString="0" containsBlank="1" containsNumber="1" containsInteger="1" minValue="0" maxValue="30"/>
    </cacheField>
    <cacheField name="MONTO (B)2" numFmtId="0">
      <sharedItems containsString="0" containsBlank="1" containsNumber="1" minValue="0" maxValue="12000"/>
    </cacheField>
    <cacheField name="DIAS 6" numFmtId="0">
      <sharedItems containsString="0" containsBlank="1" containsNumber="1" containsInteger="1" minValue="0" maxValue="30"/>
    </cacheField>
    <cacheField name="MONTO ©2" numFmtId="0">
      <sharedItems containsString="0" containsBlank="1" containsNumber="1" minValue="0" maxValue="12000"/>
    </cacheField>
    <cacheField name="SALD DE PROGRAMADO / REQUERIDO (A+B)2" numFmtId="0">
      <sharedItems containsString="0" containsBlank="1" containsNumber="1" minValue="0" maxValue="19000"/>
    </cacheField>
    <cacheField name="SALDOS DE PROGRAMACION /EJECUCION (A+C)2" numFmtId="0">
      <sharedItems containsString="0" containsBlank="1" containsNumber="1" minValue="0" maxValue="19000"/>
    </cacheField>
    <cacheField name="Field100" caption="Campo100" numFmtId="0">
      <sharedItems containsNonDate="0" containsString="0" containsBlank="1"/>
    </cacheField>
    <cacheField name="MONTO TOTAL PROGRAMADO" numFmtId="0">
      <sharedItems containsString="0" containsBlank="1" containsNumber="1" containsInteger="1" minValue="0" maxValue="28000"/>
    </cacheField>
    <cacheField name="MONTO TOTAL REQUERIDO" numFmtId="0">
      <sharedItems containsString="0" containsBlank="1" containsNumber="1" minValue="0" maxValue="24000"/>
    </cacheField>
    <cacheField name="MONTO TOTAL CERTIFICADO/EJECUTADO" numFmtId="0">
      <sharedItems containsString="0" containsBlank="1" containsNumber="1" minValue="0" maxValue="24000"/>
    </cacheField>
    <cacheField name="SALD DE PROGRAMADO / REQUERIDO" numFmtId="0">
      <sharedItems containsString="0" containsBlank="1" containsNumber="1" minValue="0" maxValue="28000"/>
    </cacheField>
    <cacheField name="SALDOS DE PROGRAMACION /EJECUCION" numFmtId="0">
      <sharedItems containsString="0" containsBlank="1" containsNumber="1" minValue="0" maxValue="28000"/>
    </cacheField>
    <cacheField name="MONTO CCP " numFmtId="0">
      <sharedItems containsNonDate="0" containsString="0" containsBlank="1"/>
    </cacheField>
    <cacheField name="NUMERO CCP" numFmtId="0">
      <sharedItems containsNonDate="0" containsString="0" containsBlank="1"/>
    </cacheField>
    <cacheField name="OBSERVACIONES4"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2.3.99"/>
    <m/>
    <s v="SERVICIO DE ENLACE DE TELECOMUNICACIONES"/>
    <x v="0"/>
    <m/>
    <n v="6000000"/>
    <m/>
    <m/>
    <m/>
    <m/>
    <m/>
    <n v="1"/>
    <m/>
    <m/>
    <m/>
    <m/>
    <m/>
    <m/>
    <n v="6000000"/>
    <s v=" -   "/>
    <s v=" -   "/>
    <s v=" -   "/>
    <s v=" -   "/>
    <s v=" -   "/>
    <n v="6000000"/>
    <s v=" -   "/>
    <s v=" -   "/>
    <s v=" -   "/>
    <s v=" -   "/>
    <s v=" -   "/>
    <s v=" -   "/>
    <n v="6000000"/>
    <x v="0"/>
    <s v="P1"/>
    <m/>
    <s v="SERVICIO DE ENLACE DE TELECOMUNICACIONES"/>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7.13.98"/>
    <m/>
    <s v="SERVICIO DE HABILITACION, ACONDICIONAMIENTO Y LOGISTICA INFORMATICA"/>
    <x v="0"/>
    <m/>
    <n v="20000000"/>
    <m/>
    <m/>
    <m/>
    <m/>
    <m/>
    <n v="1"/>
    <m/>
    <m/>
    <m/>
    <m/>
    <m/>
    <m/>
    <n v="20000000"/>
    <s v=" -   "/>
    <s v=" -   "/>
    <s v=" -   "/>
    <s v=" -   "/>
    <s v=" -   "/>
    <n v="20000000"/>
    <s v=" -   "/>
    <s v=" -   "/>
    <s v=" -   "/>
    <s v=" -   "/>
    <s v=" -   "/>
    <s v=" -   "/>
    <n v="20000000"/>
    <x v="0"/>
    <s v="P1"/>
    <m/>
    <s v="SERVICIO DE HABILITACION, ACONDICIONAMIENTO Y LOGISTICA INFORMATICA"/>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2.3.99"/>
    <m/>
    <s v="SERVICIO DE TRANSMISION DE DATOS"/>
    <x v="0"/>
    <m/>
    <n v="1169000"/>
    <m/>
    <m/>
    <m/>
    <m/>
    <m/>
    <n v="1"/>
    <m/>
    <m/>
    <m/>
    <m/>
    <m/>
    <m/>
    <n v="1169000"/>
    <s v=" -   "/>
    <s v=" -   "/>
    <s v=" -   "/>
    <s v=" -   "/>
    <s v=" -   "/>
    <n v="1169000"/>
    <s v=" -   "/>
    <s v=" -   "/>
    <s v=" -   "/>
    <s v=" -   "/>
    <s v=" -   "/>
    <s v=" -   "/>
    <n v="1169000"/>
    <x v="0"/>
    <s v="P1"/>
    <m/>
    <s v="SERVICIO DE TRANSMISION DE DATOS"/>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2.3.99"/>
    <m/>
    <s v="SERVICIO DE WEB HOSTING"/>
    <x v="0"/>
    <m/>
    <n v="2500000"/>
    <m/>
    <m/>
    <m/>
    <m/>
    <m/>
    <n v="1"/>
    <m/>
    <m/>
    <m/>
    <m/>
    <m/>
    <m/>
    <n v="2500000"/>
    <s v=" -   "/>
    <s v=" -   "/>
    <s v=" -   "/>
    <s v=" -   "/>
    <s v=" -   "/>
    <n v="2500000"/>
    <s v=" -   "/>
    <s v=" -   "/>
    <s v=" -   "/>
    <s v=" -   "/>
    <s v=" -   "/>
    <s v=" -   "/>
    <n v="2500000"/>
    <x v="0"/>
    <s v="P1"/>
    <m/>
    <s v="SERVICIO DE WEB HOSTING"/>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7.4.99"/>
    <m/>
    <s v="SERVICIO DE SOPORTE INFORMATICO"/>
    <x v="0"/>
    <m/>
    <n v="40000"/>
    <m/>
    <m/>
    <m/>
    <m/>
    <m/>
    <n v="1"/>
    <m/>
    <m/>
    <m/>
    <m/>
    <m/>
    <m/>
    <n v="40000"/>
    <s v=" -   "/>
    <s v=" -   "/>
    <s v=" -   "/>
    <s v=" -   "/>
    <s v=" -   "/>
    <n v="40000"/>
    <s v=" -   "/>
    <s v=" -   "/>
    <s v=" -   "/>
    <s v=" -   "/>
    <s v=" -   "/>
    <s v=" -   "/>
    <n v="40000"/>
    <x v="0"/>
    <s v="P1"/>
    <m/>
    <s v="SERVICIO DE SOPORTE INFORMATICO"/>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7.4.99"/>
    <m/>
    <s v="SERVICIO DE HACKEO ÉTICO - ETICAL HACKING"/>
    <x v="0"/>
    <m/>
    <n v="45000"/>
    <m/>
    <m/>
    <m/>
    <m/>
    <m/>
    <n v="1"/>
    <m/>
    <m/>
    <m/>
    <m/>
    <m/>
    <m/>
    <n v="45000"/>
    <s v=" -   "/>
    <s v=" -   "/>
    <s v=" -   "/>
    <s v=" -   "/>
    <s v=" -   "/>
    <n v="45000"/>
    <s v=" -   "/>
    <s v=" -   "/>
    <s v=" -   "/>
    <s v=" -   "/>
    <s v=" -   "/>
    <s v=" -   "/>
    <n v="45000"/>
    <x v="0"/>
    <s v="P1"/>
    <m/>
    <s v="SERVICIO DE HACKEO ÉTICO - ETICAL HACKING"/>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5.1.99"/>
    <n v="942500010040"/>
    <s v="RENOVACION DE LICENCIA  SOFTWARE ANTIVIRUS"/>
    <x v="0"/>
    <m/>
    <n v="70000"/>
    <m/>
    <m/>
    <m/>
    <m/>
    <m/>
    <n v="1"/>
    <m/>
    <m/>
    <m/>
    <m/>
    <m/>
    <m/>
    <n v="70000"/>
    <s v=" -   "/>
    <s v=" -   "/>
    <s v=" -   "/>
    <s v=" -   "/>
    <s v=" -   "/>
    <n v="70000"/>
    <s v=" -   "/>
    <s v=" -   "/>
    <s v=" -   "/>
    <s v=" -   "/>
    <s v=" -   "/>
    <s v=" -   "/>
    <n v="70000"/>
    <x v="0"/>
    <s v="P1"/>
    <m/>
    <s v="RENOVACION DE LICENCIA DE SOFTWARE ANTIVIRUS"/>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7.4.99"/>
    <m/>
    <s v="SERVICIO DE CORREO ELECTRONICO EN LA NUBE"/>
    <x v="0"/>
    <m/>
    <n v="420000"/>
    <m/>
    <m/>
    <m/>
    <m/>
    <m/>
    <n v="1"/>
    <m/>
    <m/>
    <m/>
    <m/>
    <m/>
    <m/>
    <n v="420000"/>
    <s v=" -   "/>
    <s v=" -   "/>
    <s v=" -   "/>
    <s v=" -   "/>
    <s v=" -   "/>
    <n v="420000"/>
    <s v=" -   "/>
    <s v=" -   "/>
    <s v=" -   "/>
    <s v=" -   "/>
    <s v=" -   "/>
    <s v=" -   "/>
    <n v="420000"/>
    <x v="0"/>
    <s v="P1"/>
    <m/>
    <s v="SERVICIO DE CORREO ELECTRONICO EN LA NUBE"/>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5.1.4"/>
    <n v="940100030022"/>
    <s v="ALQUILER DE SERVIDOR"/>
    <x v="0"/>
    <m/>
    <n v="40000"/>
    <m/>
    <m/>
    <m/>
    <m/>
    <m/>
    <n v="1"/>
    <n v="1"/>
    <m/>
    <m/>
    <m/>
    <m/>
    <m/>
    <n v="80000"/>
    <s v=" -   "/>
    <s v=" -   "/>
    <s v=" -   "/>
    <s v=" -   "/>
    <s v=" -   "/>
    <n v="40000"/>
    <n v="40000"/>
    <s v=" -   "/>
    <s v=" -   "/>
    <s v=" -   "/>
    <s v=" -   "/>
    <s v=" -   "/>
    <n v="80000"/>
    <x v="0"/>
    <s v="P1"/>
    <m/>
    <s v="ALQUILER DE SERVIDOR"/>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5.1.4"/>
    <n v="940100030047"/>
    <s v="ALQUILER DE EQUIPO DE COMPUTO"/>
    <x v="0"/>
    <m/>
    <n v="25000"/>
    <m/>
    <m/>
    <m/>
    <m/>
    <m/>
    <n v="1"/>
    <m/>
    <m/>
    <m/>
    <m/>
    <m/>
    <m/>
    <n v="25000"/>
    <s v=" -   "/>
    <s v=" -   "/>
    <s v=" -   "/>
    <s v=" -   "/>
    <s v=" -   "/>
    <n v="25000"/>
    <s v=" -   "/>
    <s v=" -   "/>
    <s v=" -   "/>
    <s v=" -   "/>
    <s v=" -   "/>
    <s v=" -   "/>
    <n v="25000"/>
    <x v="0"/>
    <s v="P1"/>
    <m/>
    <s v="ALQUILER DE EQUIPO DE COMPUTO"/>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5.1.3"/>
    <m/>
    <s v="ALQUILER DE MOBILIARIO PARA OFICINA (CENTRAL)"/>
    <x v="0"/>
    <m/>
    <n v="25000"/>
    <m/>
    <m/>
    <m/>
    <m/>
    <m/>
    <n v="1"/>
    <m/>
    <m/>
    <m/>
    <m/>
    <m/>
    <m/>
    <n v="25000"/>
    <s v=" -   "/>
    <s v=" -   "/>
    <s v=" -   "/>
    <s v=" -   "/>
    <s v=" -   "/>
    <n v="25000"/>
    <s v=" -   "/>
    <s v=" -   "/>
    <s v=" -   "/>
    <s v=" -   "/>
    <s v=" -   "/>
    <s v=" -   "/>
    <n v="25000"/>
    <x v="0"/>
    <s v="P1"/>
    <m/>
    <s v="ALQUILER DE MOBILIARIO PARA OFICINA"/>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7.11.5"/>
    <m/>
    <s v="SERVICIO DE ATENCIÓN DE REFRIGERIOS"/>
    <x v="0"/>
    <m/>
    <n v="30000"/>
    <m/>
    <m/>
    <m/>
    <m/>
    <m/>
    <n v="1"/>
    <m/>
    <m/>
    <m/>
    <m/>
    <m/>
    <m/>
    <n v="30000"/>
    <s v=" -   "/>
    <s v=" -   "/>
    <s v=" -   "/>
    <s v=" -   "/>
    <s v=" -   "/>
    <n v="30000"/>
    <s v=" -   "/>
    <s v=" -   "/>
    <s v=" -   "/>
    <s v=" -   "/>
    <s v=" -   "/>
    <s v=" -   "/>
    <n v="30000"/>
    <x v="0"/>
    <s v="P1"/>
    <m/>
    <s v="SERVICIO DE ATENCIÓN DE REFRIGERIOS"/>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7.11.5"/>
    <m/>
    <s v="SERVICIO DE ALIMENTACION DE PERSONAS"/>
    <x v="0"/>
    <m/>
    <n v="12800"/>
    <m/>
    <m/>
    <m/>
    <m/>
    <m/>
    <n v="1"/>
    <n v="1"/>
    <m/>
    <m/>
    <m/>
    <m/>
    <m/>
    <n v="25600"/>
    <s v=" -   "/>
    <s v=" -   "/>
    <s v=" -   "/>
    <s v=" -   "/>
    <s v=" -   "/>
    <n v="12800"/>
    <n v="12800"/>
    <s v=" -   "/>
    <s v=" -   "/>
    <s v=" -   "/>
    <s v=" -   "/>
    <s v=" -   "/>
    <n v="25600"/>
    <x v="0"/>
    <s v="P1"/>
    <m/>
    <s v="SERVICIO DE ALIMENTACION DE PERSONAS"/>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5.1.1"/>
    <n v="940500010002"/>
    <s v="ALQUILER DE OFICINAS ADMINISTRATIVAS (PISO 10)"/>
    <x v="0"/>
    <m/>
    <n v="12000"/>
    <m/>
    <m/>
    <m/>
    <m/>
    <m/>
    <n v="1"/>
    <n v="1"/>
    <m/>
    <m/>
    <m/>
    <m/>
    <m/>
    <n v="24000"/>
    <s v=" -   "/>
    <s v=" -   "/>
    <s v=" -   "/>
    <s v=" -   "/>
    <s v=" -   "/>
    <n v="12000"/>
    <n v="12000"/>
    <s v=" -   "/>
    <s v=" -   "/>
    <s v=" -   "/>
    <s v=" -   "/>
    <s v=" -   "/>
    <n v="24000"/>
    <x v="1"/>
    <s v="P1"/>
    <m/>
    <s v="ALQUILER DE OFICINA ADMINISTRATIVA"/>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5.1.1"/>
    <n v="940500010002"/>
    <s v="ALQUILER DE OFICINAS ADMINISTRATIVAS (PISO 9)"/>
    <x v="0"/>
    <n v="1"/>
    <n v="12000"/>
    <m/>
    <m/>
    <m/>
    <m/>
    <m/>
    <n v="1"/>
    <n v="1"/>
    <m/>
    <m/>
    <m/>
    <m/>
    <m/>
    <n v="24000"/>
    <s v=" -   "/>
    <s v=" -   "/>
    <s v=" -   "/>
    <s v=" -   "/>
    <s v=" -   "/>
    <n v="12000"/>
    <n v="12000"/>
    <s v=" -   "/>
    <s v=" -   "/>
    <s v=" -   "/>
    <s v=" -   "/>
    <s v=" -   "/>
    <n v="24000"/>
    <x v="2"/>
    <s v="P1"/>
    <m/>
    <s v="ALQUILER DE OFICINA ADMINISTRATIVA"/>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5.1.3"/>
    <m/>
    <s v="ALQUILER DE MOBILIARIO PARA CENTRO DE MONITOREO - ESCRITORIOS (20)"/>
    <x v="0"/>
    <n v="1"/>
    <n v="10000"/>
    <m/>
    <m/>
    <m/>
    <m/>
    <m/>
    <n v="1"/>
    <n v="1"/>
    <m/>
    <m/>
    <m/>
    <m/>
    <m/>
    <n v="20000"/>
    <s v=" -   "/>
    <s v=" -   "/>
    <s v=" -   "/>
    <s v=" -   "/>
    <s v=" -   "/>
    <n v="10000"/>
    <n v="10000"/>
    <s v=" -   "/>
    <s v=" -   "/>
    <s v=" -   "/>
    <s v=" -   "/>
    <s v=" -   "/>
    <n v="20000"/>
    <x v="2"/>
    <s v="P1"/>
    <m/>
    <s v="ALQUILER DE MOBILIARIO PARA OFICINA"/>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5.1.3"/>
    <m/>
    <s v="ALQUILER DE MOBILIARIO PARA CENTRO DE MONITOREO - SILLAS (40)"/>
    <x v="0"/>
    <n v="1"/>
    <n v="10000"/>
    <m/>
    <m/>
    <m/>
    <m/>
    <m/>
    <n v="1"/>
    <n v="1"/>
    <m/>
    <m/>
    <m/>
    <m/>
    <m/>
    <n v="20000"/>
    <s v=" -   "/>
    <s v=" -   "/>
    <s v=" -   "/>
    <s v=" -   "/>
    <s v=" -   "/>
    <n v="10000"/>
    <n v="10000"/>
    <s v=" -   "/>
    <s v=" -   "/>
    <s v=" -   "/>
    <s v=" -   "/>
    <s v=" -   "/>
    <n v="20000"/>
    <x v="2"/>
    <s v="P1"/>
    <m/>
    <s v="ALQUILER DE MOBILIARIO PARA OFICINA"/>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5.1.4"/>
    <m/>
    <s v="ALQUILER DE EQUIPOS DE COMPUTO"/>
    <x v="0"/>
    <n v="1"/>
    <n v="12500"/>
    <m/>
    <m/>
    <m/>
    <m/>
    <m/>
    <n v="1"/>
    <n v="1"/>
    <m/>
    <m/>
    <m/>
    <m/>
    <m/>
    <n v="25000"/>
    <s v=" -   "/>
    <s v=" -   "/>
    <s v=" -   "/>
    <s v=" -   "/>
    <s v=" -   "/>
    <n v="12500"/>
    <n v="12500"/>
    <s v=" -   "/>
    <s v=" -   "/>
    <s v=" -   "/>
    <s v=" -   "/>
    <s v=" -   "/>
    <n v="25000"/>
    <x v="2"/>
    <s v="P1"/>
    <m/>
    <s v="ALQUILER DE EQUIPOS DE COMPUT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7.13.98"/>
    <m/>
    <s v="SERVICIO DE AUDITORÍA INFORMÁTICA PARA LAS SOLUCIONES TECNOLÓGICAS DE SOPORTE ELECTORAL AL ESCRUTINIO, CÓMPUTO DE RESULTADOS Y PRESENTACIÓN DE RESULTADOS"/>
    <x v="0"/>
    <n v="1"/>
    <n v="250000"/>
    <m/>
    <m/>
    <m/>
    <m/>
    <m/>
    <n v="0.5"/>
    <n v="0.5"/>
    <m/>
    <m/>
    <m/>
    <m/>
    <m/>
    <n v="250000"/>
    <s v=" -   "/>
    <s v=" -   "/>
    <s v=" -   "/>
    <s v=" -   "/>
    <s v=" -   "/>
    <n v="125000"/>
    <n v="125000"/>
    <s v=" -   "/>
    <s v=" -   "/>
    <s v=" -   "/>
    <s v=" -   "/>
    <s v=" -   "/>
    <n v="250000"/>
    <x v="2"/>
    <s v="P1"/>
    <m/>
    <s v="SERVICIO DE AUDITORÍA INFORMÁTICA PARA LAS SOLUCIONES TECNOLÓGICAS DE SOPORTE ELECTORAL AL ESCRUTINIO, CÓMPUTO DE RESULTADOS Y PRESENTACIÓN DE RESULTADOS"/>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10187"/>
    <s v="BOLIGRAFO (LAPICERO) DE TINTA SECA PUNTA FINA COLOR ROJO"/>
    <x v="1"/>
    <n v="1"/>
    <n v="2"/>
    <m/>
    <m/>
    <m/>
    <m/>
    <m/>
    <n v="25"/>
    <m/>
    <m/>
    <m/>
    <m/>
    <m/>
    <m/>
    <n v="50"/>
    <s v=" -   "/>
    <s v=" -   "/>
    <s v=" -   "/>
    <s v=" -   "/>
    <s v=" -   "/>
    <n v="50"/>
    <s v=" -   "/>
    <s v=" -   "/>
    <s v=" -   "/>
    <s v=" -   "/>
    <s v=" -   "/>
    <s v=" -   "/>
    <n v="50"/>
    <x v="2"/>
    <s v="P1"/>
    <m/>
    <s v="BOLIGRAFO (LAPICERO) DE TINTA SECA PUNTA FINA COLOR ROJ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10208"/>
    <s v="BOLIGRAFO (LAPICERO) DE TINTA SECA PUNTA FINA COLOR AZUL"/>
    <x v="1"/>
    <n v="1"/>
    <n v="2"/>
    <m/>
    <m/>
    <m/>
    <m/>
    <m/>
    <n v="50"/>
    <m/>
    <m/>
    <m/>
    <m/>
    <m/>
    <m/>
    <n v="100"/>
    <s v=" -   "/>
    <s v=" -   "/>
    <s v=" -   "/>
    <s v=" -   "/>
    <s v=" -   "/>
    <n v="100"/>
    <s v=" -   "/>
    <s v=" -   "/>
    <s v=" -   "/>
    <s v=" -   "/>
    <s v=" -   "/>
    <s v=" -   "/>
    <n v="100"/>
    <x v="2"/>
    <s v="P1"/>
    <m/>
    <s v="BOLIGRAFO (LAPICERO) DE TINTA SECA PUNTA FINA COLOR AZUL"/>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10209"/>
    <s v="BOLIGRAFO (LAPICERO) DE TINTA SECA PUNTA FINA COLOR NEGRO"/>
    <x v="1"/>
    <n v="1"/>
    <n v="2"/>
    <m/>
    <m/>
    <m/>
    <m/>
    <m/>
    <n v="50"/>
    <m/>
    <m/>
    <m/>
    <m/>
    <m/>
    <m/>
    <n v="100"/>
    <s v=" -   "/>
    <s v=" -   "/>
    <s v=" -   "/>
    <s v=" -   "/>
    <s v=" -   "/>
    <n v="100"/>
    <s v=" -   "/>
    <s v=" -   "/>
    <s v=" -   "/>
    <s v=" -   "/>
    <s v=" -   "/>
    <s v=" -   "/>
    <n v="100"/>
    <x v="2"/>
    <s v="P1"/>
    <m/>
    <s v="BOLIGRAFO (LAPICERO) DE TINTA SECA PUNTA FINA COLOR NEGR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40112"/>
    <s v="LAPIZ NEGRO GRADO 2B CON BORRADOR"/>
    <x v="1"/>
    <n v="1"/>
    <n v="1"/>
    <m/>
    <m/>
    <m/>
    <m/>
    <m/>
    <n v="50"/>
    <m/>
    <m/>
    <m/>
    <m/>
    <m/>
    <m/>
    <n v="50"/>
    <s v=" -   "/>
    <s v=" -   "/>
    <s v=" -   "/>
    <s v=" -   "/>
    <s v=" -   "/>
    <n v="50"/>
    <s v=" -   "/>
    <s v=" -   "/>
    <s v=" -   "/>
    <s v=" -   "/>
    <s v=" -   "/>
    <s v=" -   "/>
    <n v="50"/>
    <x v="2"/>
    <s v="P1"/>
    <m/>
    <s v="LAPIZ NEGRO GRADO 2B CON BORRADOR"/>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60413"/>
    <s v="PLUMON MARCADOR DE TINTA AL AGUA PUNTA GRUESA COLOR NEGRO"/>
    <x v="1"/>
    <n v="1"/>
    <n v="3"/>
    <m/>
    <m/>
    <m/>
    <m/>
    <m/>
    <n v="10"/>
    <m/>
    <m/>
    <m/>
    <m/>
    <m/>
    <m/>
    <n v="30"/>
    <s v=" -   "/>
    <s v=" -   "/>
    <s v=" -   "/>
    <s v=" -   "/>
    <s v=" -   "/>
    <n v="30"/>
    <s v=" -   "/>
    <s v=" -   "/>
    <s v=" -   "/>
    <s v=" -   "/>
    <s v=" -   "/>
    <s v=" -   "/>
    <n v="30"/>
    <x v="2"/>
    <s v="P1"/>
    <m/>
    <s v="PLUMON MARCADOR DE TINTA AL AGUA PUNTA GRUESA COLOR NEGR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60432"/>
    <s v="PLUMON DE TINTA INDELEBLE PUNTA FINA COLOR NEGRO"/>
    <x v="1"/>
    <n v="1"/>
    <n v="2.7"/>
    <m/>
    <m/>
    <m/>
    <m/>
    <m/>
    <n v="5"/>
    <m/>
    <m/>
    <m/>
    <m/>
    <m/>
    <m/>
    <n v="14"/>
    <s v=" -   "/>
    <s v=" -   "/>
    <s v=" -   "/>
    <s v=" -   "/>
    <s v=" -   "/>
    <n v="14"/>
    <s v=" -   "/>
    <s v=" -   "/>
    <s v=" -   "/>
    <s v=" -   "/>
    <s v=" -   "/>
    <s v=" -   "/>
    <n v="14"/>
    <x v="2"/>
    <s v="P1"/>
    <m/>
    <s v="PLUMON DE TINTA INDELEBLE PUNTA FINA COLOR NEGR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60443"/>
    <s v="PLUMON RESALTADOR PUNTA GRUESA BISELADA COLOR AMARILLO"/>
    <x v="1"/>
    <n v="1"/>
    <n v="1.5"/>
    <m/>
    <m/>
    <m/>
    <m/>
    <m/>
    <n v="20"/>
    <m/>
    <m/>
    <m/>
    <m/>
    <m/>
    <m/>
    <n v="30"/>
    <s v=" -   "/>
    <s v=" -   "/>
    <s v=" -   "/>
    <s v=" -   "/>
    <s v=" -   "/>
    <n v="30"/>
    <s v=" -   "/>
    <s v=" -   "/>
    <s v=" -   "/>
    <s v=" -   "/>
    <s v=" -   "/>
    <s v=" -   "/>
    <n v="30"/>
    <x v="2"/>
    <s v="P1"/>
    <m/>
    <s v="PLUMON RESALTADOR PUNTA GRUESA BISELADA COLOR AMARILL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6000060444"/>
    <s v="PLUMON RESALTADOR PUNTA GRUESA BISELADA COLOR NARANJA"/>
    <x v="1"/>
    <n v="1"/>
    <n v="1.5"/>
    <m/>
    <m/>
    <m/>
    <m/>
    <m/>
    <n v="20"/>
    <m/>
    <m/>
    <m/>
    <m/>
    <m/>
    <m/>
    <n v="30"/>
    <s v=" -   "/>
    <s v=" -   "/>
    <s v=" -   "/>
    <s v=" -   "/>
    <s v=" -   "/>
    <n v="30"/>
    <s v=" -   "/>
    <s v=" -   "/>
    <s v=" -   "/>
    <s v=" -   "/>
    <s v=" -   "/>
    <s v=" -   "/>
    <n v="30"/>
    <x v="2"/>
    <s v="P1"/>
    <m/>
    <s v="PLUMON RESALTADOR PUNTA GRUESA BISELADA COLOR ANARANJAD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7200030013"/>
    <s v="CUADERNO CUADRICULADO TAMAÑO A5 X 100 HOJAS APROX."/>
    <x v="1"/>
    <n v="1"/>
    <n v="8"/>
    <m/>
    <m/>
    <m/>
    <m/>
    <m/>
    <n v="20"/>
    <m/>
    <m/>
    <m/>
    <m/>
    <m/>
    <m/>
    <n v="160"/>
    <s v=" -   "/>
    <s v=" -   "/>
    <s v=" -   "/>
    <s v=" -   "/>
    <s v=" -   "/>
    <n v="160"/>
    <s v=" -   "/>
    <s v=" -   "/>
    <s v=" -   "/>
    <s v=" -   "/>
    <s v=" -   "/>
    <s v=" -   "/>
    <n v="160"/>
    <x v="2"/>
    <s v="P1"/>
    <m/>
    <s v="CUADERNO CUADRICULADO TAMAÑO A5 x 100 hojas aprox"/>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m/>
    <s v="CLIP MARIPOSA DE METAL 45 mm  X 50"/>
    <x v="1"/>
    <n v="1"/>
    <n v="4"/>
    <m/>
    <m/>
    <m/>
    <m/>
    <m/>
    <n v="30"/>
    <m/>
    <m/>
    <m/>
    <m/>
    <m/>
    <m/>
    <n v="120"/>
    <s v=" -   "/>
    <s v=" -   "/>
    <s v=" -   "/>
    <s v=" -   "/>
    <s v=" -   "/>
    <n v="120"/>
    <s v=" -   "/>
    <s v=" -   "/>
    <s v=" -   "/>
    <s v=" -   "/>
    <s v=" -   "/>
    <s v=" -   "/>
    <n v="120"/>
    <x v="2"/>
    <s v="P1"/>
    <m/>
    <s v="CLIP MARIPOSA DE METAL 45mm aprox x 50"/>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718500050058"/>
    <s v="CLIP DE METAL 33 mm X 100"/>
    <x v="1"/>
    <n v="1"/>
    <n v="2"/>
    <m/>
    <m/>
    <m/>
    <m/>
    <m/>
    <n v="50"/>
    <m/>
    <m/>
    <m/>
    <m/>
    <m/>
    <m/>
    <n v="100"/>
    <s v=" -   "/>
    <s v=" -   "/>
    <s v=" -   "/>
    <s v=" -   "/>
    <s v=" -   "/>
    <n v="100"/>
    <s v=" -   "/>
    <s v=" -   "/>
    <s v=" -   "/>
    <s v=" -   "/>
    <s v=" -   "/>
    <s v=" -   "/>
    <n v="100"/>
    <x v="2"/>
    <s v="P1"/>
    <m/>
    <s v="CLIP DE METAL 30 mm X 100"/>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99.1.99"/>
    <n v="501100041599"/>
    <s v="BOLSA DE POLIETILENO 50 X 80 CM"/>
    <x v="1"/>
    <n v="1"/>
    <n v="0.7"/>
    <m/>
    <m/>
    <m/>
    <m/>
    <m/>
    <n v="100"/>
    <m/>
    <m/>
    <m/>
    <m/>
    <m/>
    <m/>
    <n v="70"/>
    <s v=" -   "/>
    <s v=" -   "/>
    <s v=" -   "/>
    <s v=" -   "/>
    <s v=" -   "/>
    <n v="70"/>
    <s v=" -   "/>
    <s v=" -   "/>
    <s v=" -   "/>
    <s v=" -   "/>
    <s v=" -   "/>
    <s v=" -   "/>
    <n v="70"/>
    <x v="2"/>
    <s v="P1"/>
    <m/>
    <s v="BOLSA DE POLIETILENO 1.5 um x 50 CM X 80 APROX COLOR NEGRO"/>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443600250055"/>
    <s v="MICA PARA LAMINADORA A4"/>
    <x v="1"/>
    <n v="1"/>
    <n v="75"/>
    <m/>
    <m/>
    <m/>
    <m/>
    <m/>
    <s v="ahora: 200_x000a_antes: 2"/>
    <m/>
    <m/>
    <m/>
    <m/>
    <m/>
    <m/>
    <n v="150"/>
    <s v=" -   "/>
    <s v=" -   "/>
    <s v=" -   "/>
    <s v=" -   "/>
    <s v=" -   "/>
    <n v="150"/>
    <s v=" -   "/>
    <s v=" -   "/>
    <s v=" -   "/>
    <s v=" -   "/>
    <s v=" -   "/>
    <s v=" -   "/>
    <n v="150"/>
    <x v="2"/>
    <s v="P1"/>
    <m/>
    <s v="lamina para enmicar 175 um tamaño a4"/>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1.5.1.2"/>
    <n v="443600250053"/>
    <s v="MICA PARA LAMINADORA A3"/>
    <x v="1"/>
    <n v="1"/>
    <n v="130"/>
    <m/>
    <m/>
    <m/>
    <m/>
    <m/>
    <s v="ahora: 100_x000a_antes - 1"/>
    <m/>
    <m/>
    <m/>
    <m/>
    <m/>
    <m/>
    <n v="130"/>
    <s v=" -   "/>
    <s v=" -   "/>
    <s v=" -   "/>
    <s v=" -   "/>
    <s v=" -   "/>
    <n v="130"/>
    <s v=" -   "/>
    <s v=" -   "/>
    <s v=" -   "/>
    <s v=" -   "/>
    <s v=" -   "/>
    <s v=" -   "/>
    <n v="130"/>
    <x v="2"/>
    <s v="P1"/>
    <m/>
    <s v="lamina para enmicar 125 um tamaño a3"/>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5.1.99"/>
    <n v="942500010037"/>
    <s v="SUSCRIPCIÓN ANUAL A LICENCIA DE SOFTWARE"/>
    <x v="0"/>
    <n v="1"/>
    <n v="20000"/>
    <m/>
    <m/>
    <m/>
    <m/>
    <m/>
    <n v="1"/>
    <m/>
    <m/>
    <m/>
    <m/>
    <m/>
    <m/>
    <n v="20000"/>
    <s v=" -   "/>
    <s v=" -   "/>
    <s v=" -   "/>
    <s v=" -   "/>
    <s v=" -   "/>
    <n v="20000"/>
    <s v=" -   "/>
    <s v=" -   "/>
    <s v=" -   "/>
    <s v=" -   "/>
    <s v=" -   "/>
    <s v=" -   "/>
    <n v="20000"/>
    <x v="2"/>
    <s v="P1"/>
    <m/>
    <s v="SUSCRIPCIÓN ANUAL A LICENCIA DE SOFTWARE"/>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INFRAESTRUCTURA DE BASE DE DATOS"/>
    <x v="2"/>
    <n v="2"/>
    <n v="6000"/>
    <m/>
    <m/>
    <m/>
    <m/>
    <n v="30"/>
    <n v="30"/>
    <m/>
    <m/>
    <m/>
    <m/>
    <m/>
    <m/>
    <n v="24000"/>
    <s v=" -   "/>
    <s v=" -   "/>
    <s v=" -   "/>
    <s v=" -   "/>
    <n v="12000"/>
    <n v="12000"/>
    <s v=" -   "/>
    <s v=" -   "/>
    <s v=" -   "/>
    <s v=" -   "/>
    <s v=" -   "/>
    <s v=" -   "/>
    <n v="2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DMINISTRADOR DE BASE DE DATOS"/>
    <x v="2"/>
    <n v="2"/>
    <n v="6500"/>
    <m/>
    <m/>
    <m/>
    <m/>
    <n v="30"/>
    <n v="30"/>
    <m/>
    <m/>
    <m/>
    <m/>
    <m/>
    <m/>
    <n v="26000"/>
    <s v=" -   "/>
    <s v=" -   "/>
    <s v=" -   "/>
    <s v=" -   "/>
    <n v="13000"/>
    <n v="13000"/>
    <s v=" -   "/>
    <s v=" -   "/>
    <s v=" -   "/>
    <s v=" -   "/>
    <s v=" -   "/>
    <s v=" -   "/>
    <n v="2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LECTORAL DE BASE DE DATOS"/>
    <x v="2"/>
    <n v="2"/>
    <n v="6000"/>
    <m/>
    <m/>
    <m/>
    <m/>
    <n v="30"/>
    <n v="30"/>
    <m/>
    <m/>
    <m/>
    <m/>
    <m/>
    <m/>
    <n v="24000"/>
    <s v=" -   "/>
    <s v=" -   "/>
    <s v=" -   "/>
    <s v=" -   "/>
    <n v="12000"/>
    <n v="12000"/>
    <s v=" -   "/>
    <s v=" -   "/>
    <s v=" -   "/>
    <s v=" -   "/>
    <s v=" -   "/>
    <s v=" -   "/>
    <n v="2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OPERADOR DE BASE DE DATOS"/>
    <x v="2"/>
    <n v="3"/>
    <n v="5500"/>
    <m/>
    <m/>
    <m/>
    <m/>
    <n v="30"/>
    <n v="30"/>
    <m/>
    <m/>
    <m/>
    <m/>
    <m/>
    <m/>
    <n v="33000"/>
    <s v=" -   "/>
    <s v=" -   "/>
    <s v=" -   "/>
    <s v=" -   "/>
    <n v="16500"/>
    <n v="16500"/>
    <s v=" -   "/>
    <s v=" -   "/>
    <s v=" -   "/>
    <s v=" -   "/>
    <s v=" -   "/>
    <s v=" -   "/>
    <n v="3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ELECTORAL SENIOR DE BASE DE DATOS"/>
    <x v="2"/>
    <n v="2"/>
    <n v="7000"/>
    <m/>
    <m/>
    <m/>
    <m/>
    <n v="30"/>
    <n v="30"/>
    <m/>
    <m/>
    <m/>
    <m/>
    <m/>
    <m/>
    <n v="28000"/>
    <s v=" -   "/>
    <s v=" -   "/>
    <s v=" -   "/>
    <s v=" -   "/>
    <n v="14000"/>
    <n v="14000"/>
    <s v=" -   "/>
    <s v=" -   "/>
    <s v=" -   "/>
    <s v=" -   "/>
    <s v=" -   "/>
    <s v=" -   "/>
    <n v="28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SERVIDORES DE APLICACIONES"/>
    <x v="2"/>
    <n v="1"/>
    <n v="6500"/>
    <m/>
    <m/>
    <m/>
    <m/>
    <n v="30"/>
    <n v="30"/>
    <m/>
    <m/>
    <m/>
    <m/>
    <m/>
    <m/>
    <n v="13000"/>
    <s v=" -   "/>
    <s v=" -   "/>
    <s v=" -   "/>
    <s v=" -   "/>
    <n v="6500"/>
    <n v="6500"/>
    <s v=" -   "/>
    <s v=" -   "/>
    <s v=" -   "/>
    <s v=" -   "/>
    <s v=" -   "/>
    <s v=" -   "/>
    <n v="1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TECNICO DE SERVIDORES DE APLICACIONES"/>
    <x v="2"/>
    <n v="1"/>
    <n v="5500"/>
    <m/>
    <m/>
    <m/>
    <m/>
    <n v="30"/>
    <n v="30"/>
    <m/>
    <m/>
    <m/>
    <m/>
    <m/>
    <m/>
    <n v="11000"/>
    <s v=" -   "/>
    <s v=" -   "/>
    <s v=" -   "/>
    <s v=" -   "/>
    <n v="5500"/>
    <n v="5500"/>
    <s v=" -   "/>
    <s v=" -   "/>
    <s v=" -   "/>
    <s v=" -   "/>
    <s v=" -   "/>
    <s v=" -   "/>
    <n v="11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EN SERVIDORES DE APLICACIONES DE TI"/>
    <x v="2"/>
    <n v="1"/>
    <n v="7000"/>
    <m/>
    <m/>
    <m/>
    <m/>
    <n v="30"/>
    <n v="30"/>
    <m/>
    <m/>
    <m/>
    <m/>
    <m/>
    <m/>
    <n v="14000"/>
    <s v=" -   "/>
    <s v=" -   "/>
    <s v=" -   "/>
    <s v=" -   "/>
    <n v="7000"/>
    <n v="7000"/>
    <s v=" -   "/>
    <s v=" -   "/>
    <s v=" -   "/>
    <s v=" -   "/>
    <s v=" -   "/>
    <s v=" -   "/>
    <n v="1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GESTOR DE PROYECTOS DE INFRAESTRUCTURA TECNOLOGICA"/>
    <x v="2"/>
    <n v="1"/>
    <n v="12000"/>
    <m/>
    <m/>
    <m/>
    <m/>
    <n v="30"/>
    <n v="30"/>
    <m/>
    <m/>
    <m/>
    <m/>
    <m/>
    <m/>
    <n v="24000"/>
    <s v=" -   "/>
    <s v=" -   "/>
    <s v=" -   "/>
    <s v=" -   "/>
    <n v="12000"/>
    <n v="12000"/>
    <s v=" -   "/>
    <s v=" -   "/>
    <s v=" -   "/>
    <s v=" -   "/>
    <s v=" -   "/>
    <s v=" -   "/>
    <n v="2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GESTOR DE PROYECTOS DE TELECOMUNICACIONES"/>
    <x v="2"/>
    <n v="1"/>
    <n v="12000"/>
    <m/>
    <m/>
    <m/>
    <m/>
    <n v="30"/>
    <n v="30"/>
    <m/>
    <m/>
    <m/>
    <m/>
    <m/>
    <m/>
    <n v="24000"/>
    <s v=" -   "/>
    <s v=" -   "/>
    <s v=" -   "/>
    <s v=" -   "/>
    <n v="12000"/>
    <n v="12000"/>
    <s v=" -   "/>
    <s v=" -   "/>
    <s v=" -   "/>
    <s v=" -   "/>
    <s v=" -   "/>
    <s v=" -   "/>
    <n v="2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DE PROCESOS Y SERVICIOS INFORMATICOS"/>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DE PROYECTOS DE INFRAESTRUCTURA DE TI"/>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EN GESTION Y CONTROL DE CONTRATACIONES Y PROYECTOS"/>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DE REDES Y TELECOMUNICACIONES"/>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EN REQUERIMIENTOS DE SERVICIOS INFORMATICOS"/>
    <x v="2"/>
    <n v="1"/>
    <n v="7000"/>
    <m/>
    <m/>
    <m/>
    <m/>
    <n v="30"/>
    <n v="30"/>
    <m/>
    <m/>
    <m/>
    <m/>
    <m/>
    <m/>
    <n v="14000"/>
    <s v=" -   "/>
    <s v=" -   "/>
    <s v=" -   "/>
    <s v=" -   "/>
    <n v="7000"/>
    <n v="7000"/>
    <s v=" -   "/>
    <s v=" -   "/>
    <s v=" -   "/>
    <s v=" -   "/>
    <s v=" -   "/>
    <s v=" -   "/>
    <n v="1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REQUERIMIENTOS DE SERVICIOS INFORMATICOS"/>
    <x v="2"/>
    <n v="1"/>
    <n v="6500"/>
    <m/>
    <m/>
    <m/>
    <m/>
    <n v="30"/>
    <n v="30"/>
    <m/>
    <m/>
    <m/>
    <m/>
    <m/>
    <m/>
    <n v="13000"/>
    <s v=" -   "/>
    <s v=" -   "/>
    <s v=" -   "/>
    <s v=" -   "/>
    <n v="6500"/>
    <n v="6500"/>
    <s v=" -   "/>
    <s v=" -   "/>
    <s v=" -   "/>
    <s v=" -   "/>
    <s v=" -   "/>
    <s v=" -   "/>
    <n v="1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CONTRATACION DE SERVICIOS DE TI"/>
    <x v="2"/>
    <n v="3"/>
    <n v="5500"/>
    <m/>
    <m/>
    <m/>
    <m/>
    <n v="30"/>
    <n v="30"/>
    <m/>
    <m/>
    <m/>
    <m/>
    <m/>
    <m/>
    <n v="33000"/>
    <s v=" -   "/>
    <s v=" -   "/>
    <s v=" -   "/>
    <s v=" -   "/>
    <n v="16500"/>
    <n v="16500"/>
    <s v=" -   "/>
    <s v=" -   "/>
    <s v=" -   "/>
    <s v=" -   "/>
    <s v=" -   "/>
    <s v=" -   "/>
    <n v="3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CONTROL PREVIO DE SERVICIOS DE TI"/>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SERVICIOS INFORMATICOS"/>
    <x v="2"/>
    <n v="1"/>
    <n v="5500"/>
    <m/>
    <m/>
    <m/>
    <m/>
    <n v="30"/>
    <n v="30"/>
    <m/>
    <m/>
    <m/>
    <m/>
    <m/>
    <m/>
    <n v="11000"/>
    <s v=" -   "/>
    <s v=" -   "/>
    <s v=" -   "/>
    <s v=" -   "/>
    <n v="5500"/>
    <n v="5500"/>
    <s v=" -   "/>
    <s v=" -   "/>
    <s v=" -   "/>
    <s v=" -   "/>
    <s v=" -   "/>
    <s v=" -   "/>
    <n v="11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PROYECTOS DE INFRAESTRUCTURA TECNOLOGICA"/>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DE PROYECTOS Y SERVICIOS DE TI"/>
    <x v="2"/>
    <n v="3"/>
    <n v="5000"/>
    <m/>
    <m/>
    <m/>
    <m/>
    <n v="30"/>
    <n v="30"/>
    <m/>
    <m/>
    <m/>
    <m/>
    <m/>
    <m/>
    <n v="30000"/>
    <s v=" -   "/>
    <s v=" -   "/>
    <s v=" -   "/>
    <s v=" -   "/>
    <n v="15000"/>
    <n v="15000"/>
    <s v=" -   "/>
    <s v=" -   "/>
    <s v=" -   "/>
    <s v=" -   "/>
    <s v=" -   "/>
    <s v=" -   "/>
    <n v="3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EN GESTIÓN DE LA PLATAFORMA TECNOLOGICA Y SEGURIDAD TI"/>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CENTRO DE MONITOREO DE SERVICIOS DE TI"/>
    <x v="2"/>
    <n v="3"/>
    <n v="5000"/>
    <m/>
    <m/>
    <m/>
    <m/>
    <n v="30"/>
    <n v="30"/>
    <m/>
    <m/>
    <m/>
    <m/>
    <m/>
    <m/>
    <n v="30000"/>
    <s v=" -   "/>
    <s v=" -   "/>
    <s v=" -   "/>
    <s v=" -   "/>
    <n v="15000"/>
    <n v="15000"/>
    <s v=" -   "/>
    <s v=" -   "/>
    <s v=" -   "/>
    <s v=" -   "/>
    <s v=" -   "/>
    <s v=" -   "/>
    <n v="3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PLATAFORMA DE VIRTUALIZACION"/>
    <x v="2"/>
    <n v="1"/>
    <n v="6500"/>
    <m/>
    <m/>
    <m/>
    <m/>
    <n v="30"/>
    <n v="30"/>
    <m/>
    <m/>
    <m/>
    <m/>
    <m/>
    <m/>
    <n v="13000"/>
    <s v=" -   "/>
    <s v=" -   "/>
    <s v=" -   "/>
    <s v=" -   "/>
    <n v="6500"/>
    <n v="6500"/>
    <s v=" -   "/>
    <s v=" -   "/>
    <s v=" -   "/>
    <s v=" -   "/>
    <s v=" -   "/>
    <s v=" -   "/>
    <n v="1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DMINISTRADOR EN PLATAFORMA DE VIRTUALIZACION"/>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DE COPIAS DE SEGURIDAD"/>
    <x v="2"/>
    <n v="1"/>
    <n v="5000"/>
    <m/>
    <m/>
    <m/>
    <m/>
    <n v="30"/>
    <n v="30"/>
    <m/>
    <m/>
    <m/>
    <m/>
    <m/>
    <m/>
    <n v="10000"/>
    <s v=" -   "/>
    <s v=" -   "/>
    <s v=" -   "/>
    <s v=" -   "/>
    <n v="5000"/>
    <n v="5000"/>
    <s v=" -   "/>
    <s v=" -   "/>
    <s v=" -   "/>
    <s v=" -   "/>
    <s v=" -   "/>
    <s v=" -   "/>
    <n v="1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PLATAFORMA DE REDES Y COMUNICACIONES"/>
    <x v="2"/>
    <n v="3"/>
    <n v="6000"/>
    <m/>
    <m/>
    <m/>
    <m/>
    <n v="30"/>
    <n v="30"/>
    <m/>
    <m/>
    <m/>
    <m/>
    <m/>
    <m/>
    <n v="36000"/>
    <s v=" -   "/>
    <s v=" -   "/>
    <s v=" -   "/>
    <s v=" -   "/>
    <n v="18000"/>
    <n v="18000"/>
    <s v=" -   "/>
    <s v=" -   "/>
    <s v=" -   "/>
    <s v=" -   "/>
    <s v=" -   "/>
    <s v=" -   "/>
    <n v="3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EN PLATAFORMA DE SEGURIDAD TECNOLOGICA"/>
    <x v="2"/>
    <n v="1"/>
    <n v="7000"/>
    <m/>
    <m/>
    <m/>
    <m/>
    <n v="30"/>
    <n v="30"/>
    <m/>
    <m/>
    <m/>
    <m/>
    <m/>
    <m/>
    <n v="14000"/>
    <s v=" -   "/>
    <s v=" -   "/>
    <s v=" -   "/>
    <s v=" -   "/>
    <n v="7000"/>
    <n v="7000"/>
    <s v=" -   "/>
    <s v=" -   "/>
    <s v=" -   "/>
    <s v=" -   "/>
    <s v=" -   "/>
    <s v=" -   "/>
    <n v="14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PLATAFORMA DE SEGURIDAD TECNOLOGICA"/>
    <x v="2"/>
    <n v="1"/>
    <n v="6500"/>
    <m/>
    <m/>
    <m/>
    <m/>
    <n v="30"/>
    <n v="30"/>
    <m/>
    <m/>
    <m/>
    <m/>
    <m/>
    <m/>
    <n v="13000"/>
    <s v=" -   "/>
    <s v=" -   "/>
    <s v=" -   "/>
    <s v=" -   "/>
    <n v="6500"/>
    <n v="6500"/>
    <s v=" -   "/>
    <s v=" -   "/>
    <s v=" -   "/>
    <s v=" -   "/>
    <s v=" -   "/>
    <s v=" -   "/>
    <n v="1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PLATAFORMA DE SEGURIDAD DE LA RED DE SERVICIOS"/>
    <x v="2"/>
    <n v="1"/>
    <n v="6500"/>
    <m/>
    <m/>
    <m/>
    <m/>
    <n v="30"/>
    <n v="30"/>
    <m/>
    <m/>
    <m/>
    <m/>
    <m/>
    <m/>
    <n v="13000"/>
    <s v=" -   "/>
    <s v=" -   "/>
    <s v=" -   "/>
    <s v=" -   "/>
    <n v="6500"/>
    <n v="6500"/>
    <s v=" -   "/>
    <s v=" -   "/>
    <s v=" -   "/>
    <s v=" -   "/>
    <s v=" -   "/>
    <s v=" -   "/>
    <n v="1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GESTOR DE LA RED ELECTORAL"/>
    <x v="2"/>
    <n v="1"/>
    <n v="10000"/>
    <m/>
    <m/>
    <m/>
    <m/>
    <n v="30"/>
    <n v="30"/>
    <m/>
    <m/>
    <m/>
    <m/>
    <m/>
    <m/>
    <n v="20000"/>
    <s v=" -   "/>
    <s v=" -   "/>
    <s v=" -   "/>
    <s v=" -   "/>
    <n v="10000"/>
    <n v="10000"/>
    <s v=" -   "/>
    <s v=" -   "/>
    <s v=" -   "/>
    <s v=" -   "/>
    <s v=" -   "/>
    <s v=" -   "/>
    <n v="2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EN INFRAESTRUCTURA TECNOLOGICA"/>
    <x v="2"/>
    <n v="1"/>
    <n v="6500"/>
    <m/>
    <m/>
    <m/>
    <m/>
    <n v="30"/>
    <n v="30"/>
    <m/>
    <m/>
    <m/>
    <m/>
    <m/>
    <m/>
    <n v="13000"/>
    <s v=" -   "/>
    <s v=" -   "/>
    <s v=" -   "/>
    <s v=" -   "/>
    <n v="6500"/>
    <n v="6500"/>
    <s v=" -   "/>
    <s v=" -   "/>
    <s v=" -   "/>
    <s v=" -   "/>
    <s v=" -   "/>
    <s v=" -   "/>
    <n v="13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SOPORTE DE RED DE SERVICIOS"/>
    <x v="2"/>
    <n v="2"/>
    <n v="5000"/>
    <m/>
    <m/>
    <m/>
    <m/>
    <n v="30"/>
    <n v="30"/>
    <m/>
    <m/>
    <m/>
    <m/>
    <m/>
    <m/>
    <n v="20000"/>
    <s v=" -   "/>
    <s v=" -   "/>
    <s v=" -   "/>
    <s v=" -   "/>
    <n v="10000"/>
    <n v="10000"/>
    <s v=" -   "/>
    <s v=" -   "/>
    <s v=" -   "/>
    <s v=" -   "/>
    <s v=" -   "/>
    <s v=" -   "/>
    <n v="2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RED DE DATOS ELECTORAL"/>
    <x v="2"/>
    <n v="7"/>
    <n v="5000"/>
    <m/>
    <m/>
    <m/>
    <m/>
    <n v="30"/>
    <n v="30"/>
    <m/>
    <m/>
    <m/>
    <m/>
    <m/>
    <m/>
    <n v="70000"/>
    <s v=" -   "/>
    <s v=" -   "/>
    <s v=" -   "/>
    <s v=" -   "/>
    <n v="35000"/>
    <n v="35000"/>
    <s v=" -   "/>
    <s v=" -   "/>
    <s v=" -   "/>
    <s v=" -   "/>
    <s v=" -   "/>
    <s v=" -   "/>
    <n v="7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EN SISTEMAS OPERATIVOS"/>
    <x v="2"/>
    <n v="1"/>
    <n v="5000"/>
    <m/>
    <m/>
    <m/>
    <m/>
    <n v="30"/>
    <n v="30"/>
    <m/>
    <m/>
    <m/>
    <m/>
    <m/>
    <m/>
    <n v="10000"/>
    <s v=" -   "/>
    <s v=" -   "/>
    <s v=" -   "/>
    <s v=" -   "/>
    <n v="5000"/>
    <n v="5000"/>
    <s v=" -   "/>
    <s v=" -   "/>
    <s v=" -   "/>
    <s v=" -   "/>
    <s v=" -   "/>
    <s v=" -   "/>
    <n v="1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DMINISTRADOR DE LA RED ELECTORAL"/>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DE TELECOMUNICACIONES"/>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DMINISTRADOR DE TELECOMUNICACIONES"/>
    <x v="2"/>
    <n v="6"/>
    <n v="5000"/>
    <m/>
    <m/>
    <m/>
    <m/>
    <n v="30"/>
    <n v="30"/>
    <m/>
    <m/>
    <m/>
    <m/>
    <m/>
    <m/>
    <n v="60000"/>
    <s v=" -   "/>
    <s v=" -   "/>
    <s v=" -   "/>
    <s v=" -   "/>
    <n v="30000"/>
    <n v="30000"/>
    <s v=" -   "/>
    <s v=" -   "/>
    <s v=" -   "/>
    <s v=" -   "/>
    <s v=" -   "/>
    <s v=" -   "/>
    <n v="60000"/>
    <x v="0"/>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ANALISTA EN INFRAESTRUCTURA DE SEGURIDAD TECNOLOGICA"/>
    <x v="2"/>
    <n v="2"/>
    <n v="6500"/>
    <m/>
    <m/>
    <m/>
    <m/>
    <n v="30"/>
    <n v="30"/>
    <m/>
    <m/>
    <m/>
    <m/>
    <m/>
    <m/>
    <n v="26000"/>
    <s v=" -   "/>
    <s v=" -   "/>
    <s v=" -   "/>
    <s v=" -   "/>
    <n v="13000"/>
    <n v="13000"/>
    <s v=" -   "/>
    <s v=" -   "/>
    <s v=" -   "/>
    <s v=" -   "/>
    <s v=" -   "/>
    <s v=" -   "/>
    <n v="2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ADMINISTRATIVO DE PLATAFORMA OPERATIVA"/>
    <x v="2"/>
    <n v="1"/>
    <n v="4000"/>
    <m/>
    <m/>
    <m/>
    <m/>
    <n v="30"/>
    <n v="30"/>
    <m/>
    <m/>
    <m/>
    <m/>
    <m/>
    <m/>
    <n v="8000"/>
    <s v=" -   "/>
    <s v=" -   "/>
    <s v=" -   "/>
    <s v=" -   "/>
    <n v="4000"/>
    <n v="4000"/>
    <s v=" -   "/>
    <s v=" -   "/>
    <s v=" -   "/>
    <s v=" -   "/>
    <s v=" -   "/>
    <s v=" -   "/>
    <n v="8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TECNICO DE MESA DE AYUDA"/>
    <x v="2"/>
    <n v="7"/>
    <n v="5000"/>
    <m/>
    <m/>
    <m/>
    <m/>
    <n v="30"/>
    <n v="30"/>
    <m/>
    <m/>
    <m/>
    <m/>
    <m/>
    <m/>
    <n v="70000"/>
    <s v=" -   "/>
    <s v=" -   "/>
    <s v=" -   "/>
    <s v=" -   "/>
    <n v="35000"/>
    <n v="35000"/>
    <s v=" -   "/>
    <s v=" -   "/>
    <s v=" -   "/>
    <s v=" -   "/>
    <s v=" -   "/>
    <s v=" -   "/>
    <n v="70000"/>
    <x v="0"/>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ESPECIALISTA EN SEGURIDAD DE LA INFORMACION"/>
    <x v="2"/>
    <n v="1"/>
    <n v="7000"/>
    <m/>
    <m/>
    <m/>
    <m/>
    <n v="30"/>
    <n v="30"/>
    <m/>
    <m/>
    <m/>
    <m/>
    <m/>
    <m/>
    <n v="14000"/>
    <s v=" -   "/>
    <s v=" -   "/>
    <s v=" -   "/>
    <s v=" -   "/>
    <n v="7000"/>
    <n v="7000"/>
    <s v=" -   "/>
    <s v=" -   "/>
    <s v=" -   "/>
    <s v=" -   "/>
    <s v=" -   "/>
    <s v=" -   "/>
    <n v="14000"/>
    <x v="0"/>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ASISTENTE EN SEGURIDAD DE LA INFORMACION"/>
    <x v="2"/>
    <n v="1"/>
    <n v="4500"/>
    <m/>
    <m/>
    <m/>
    <m/>
    <n v="30"/>
    <n v="30"/>
    <m/>
    <m/>
    <m/>
    <m/>
    <m/>
    <m/>
    <n v="9000"/>
    <s v=" -   "/>
    <s v=" -   "/>
    <s v=" -   "/>
    <s v=" -   "/>
    <n v="4500"/>
    <n v="4500"/>
    <s v=" -   "/>
    <s v=" -   "/>
    <s v=" -   "/>
    <s v=" -   "/>
    <s v=" -   "/>
    <s v=" -   "/>
    <n v="9000"/>
    <x v="0"/>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ESPECIALISTA EN CIBERSEGURIDAD"/>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SOPORTE TECNICO"/>
    <x v="2"/>
    <n v="24"/>
    <n v="5000"/>
    <m/>
    <m/>
    <m/>
    <m/>
    <n v="30"/>
    <n v="30"/>
    <m/>
    <m/>
    <m/>
    <m/>
    <m/>
    <m/>
    <n v="240000"/>
    <s v=" -   "/>
    <s v=" -   "/>
    <s v=" -   "/>
    <s v=" -   "/>
    <n v="120000"/>
    <n v="120000"/>
    <s v=" -   "/>
    <s v=" -   "/>
    <s v=" -   "/>
    <s v=" -   "/>
    <s v=" -   "/>
    <s v=" -   "/>
    <n v="24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MONITOR DE SEGUMIENTO DE PLANES ESPECIALIZADOS"/>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TECNICO DE MONITOREO DE PLANES"/>
    <x v="2"/>
    <n v="1"/>
    <n v="4500"/>
    <m/>
    <m/>
    <m/>
    <m/>
    <n v="30"/>
    <n v="30"/>
    <m/>
    <m/>
    <m/>
    <m/>
    <m/>
    <m/>
    <n v="9000"/>
    <s v=" -   "/>
    <s v=" -   "/>
    <s v=" -   "/>
    <s v=" -   "/>
    <n v="4500"/>
    <n v="4500"/>
    <s v=" -   "/>
    <s v=" -   "/>
    <s v=" -   "/>
    <s v=" -   "/>
    <s v=" -   "/>
    <s v=" -   "/>
    <n v="9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NALISTA LOGISTICOS DE SERVICIOS INFORMATICOS "/>
    <x v="2"/>
    <n v="1"/>
    <n v="6000"/>
    <m/>
    <m/>
    <m/>
    <m/>
    <n v="30"/>
    <n v="30"/>
    <m/>
    <m/>
    <m/>
    <m/>
    <m/>
    <m/>
    <n v="12000"/>
    <s v=" -   "/>
    <s v=" -   "/>
    <s v=" -   "/>
    <s v=" -   "/>
    <n v="6000"/>
    <n v="6000"/>
    <s v=" -   "/>
    <s v=" -   "/>
    <s v=" -   "/>
    <s v=" -   "/>
    <s v=" -   "/>
    <s v=" -   "/>
    <n v="1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LOGISTICOS DE SERVICIOS INFORMATICOS"/>
    <x v="2"/>
    <n v="2"/>
    <n v="5000"/>
    <m/>
    <m/>
    <m/>
    <m/>
    <n v="30"/>
    <n v="30"/>
    <m/>
    <m/>
    <m/>
    <m/>
    <m/>
    <m/>
    <n v="20000"/>
    <s v=" -   "/>
    <s v=" -   "/>
    <s v=" -   "/>
    <s v=" -   "/>
    <n v="10000"/>
    <n v="10000"/>
    <s v=" -   "/>
    <s v=" -   "/>
    <s v=" -   "/>
    <s v=" -   "/>
    <s v=" -   "/>
    <s v=" -   "/>
    <n v="2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ESPECIALISTA DE OPERACIONES INFORMATICAS"/>
    <x v="2"/>
    <n v="1"/>
    <n v="8000"/>
    <m/>
    <m/>
    <m/>
    <m/>
    <n v="30"/>
    <n v="30"/>
    <m/>
    <m/>
    <m/>
    <m/>
    <m/>
    <m/>
    <n v="16000"/>
    <s v=" -   "/>
    <s v=" -   "/>
    <s v=" -   "/>
    <s v=" -   "/>
    <n v="8000"/>
    <n v="8000"/>
    <s v=" -   "/>
    <s v=" -   "/>
    <s v=" -   "/>
    <s v=" -   "/>
    <s v=" -   "/>
    <s v=" -   "/>
    <n v="1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SUPERVISOR DE OPERACIONES Y DEL CENTRO DE SOPORTE INFORMATICO"/>
    <x v="2"/>
    <n v="3"/>
    <n v="7000"/>
    <m/>
    <m/>
    <m/>
    <m/>
    <n v="30"/>
    <n v="30"/>
    <m/>
    <m/>
    <m/>
    <m/>
    <m/>
    <m/>
    <n v="42000"/>
    <s v=" -   "/>
    <s v=" -   "/>
    <s v=" -   "/>
    <s v=" -   "/>
    <n v="21000"/>
    <n v="21000"/>
    <s v=" -   "/>
    <s v=" -   "/>
    <s v=" -   "/>
    <s v=" -   "/>
    <s v=" -   "/>
    <s v=" -   "/>
    <n v="42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OPERADOR DEL CENTRO DE SOPORTE INFORMATICO"/>
    <x v="2"/>
    <n v="6"/>
    <n v="5000"/>
    <m/>
    <m/>
    <m/>
    <m/>
    <n v="30"/>
    <n v="30"/>
    <m/>
    <m/>
    <m/>
    <m/>
    <m/>
    <m/>
    <n v="60000"/>
    <s v=" -   "/>
    <s v=" -   "/>
    <s v=" -   "/>
    <s v=" -   "/>
    <n v="30000"/>
    <n v="30000"/>
    <s v=" -   "/>
    <s v=" -   "/>
    <s v=" -   "/>
    <s v=" -   "/>
    <s v=" -   "/>
    <s v=" -   "/>
    <n v="6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COORDINADOR DEL CENTRO DE SERVICIOS ELECTORAL"/>
    <x v="2"/>
    <n v="16"/>
    <n v="5500"/>
    <m/>
    <m/>
    <m/>
    <m/>
    <n v="30"/>
    <n v="30"/>
    <m/>
    <m/>
    <m/>
    <m/>
    <m/>
    <m/>
    <n v="176000"/>
    <s v=" -   "/>
    <s v=" -   "/>
    <s v=" -   "/>
    <s v=" -   "/>
    <n v="88000"/>
    <n v="88000"/>
    <s v=" -   "/>
    <s v=" -   "/>
    <s v=" -   "/>
    <s v=" -   "/>
    <s v=" -   "/>
    <s v=" -   "/>
    <n v="176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ASISTENTE OPERATIVO"/>
    <x v="2"/>
    <n v="1"/>
    <n v="5000"/>
    <m/>
    <m/>
    <m/>
    <m/>
    <n v="30"/>
    <n v="30"/>
    <m/>
    <m/>
    <m/>
    <m/>
    <m/>
    <m/>
    <n v="10000"/>
    <s v=" -   "/>
    <s v=" -   "/>
    <s v=" -   "/>
    <s v=" -   "/>
    <n v="5000"/>
    <n v="5000"/>
    <s v=" -   "/>
    <s v=" -   "/>
    <s v=" -   "/>
    <s v=" -   "/>
    <s v=" -   "/>
    <s v=" -   "/>
    <n v="10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OPERADOR TECNICO DE TI"/>
    <x v="2"/>
    <n v="75"/>
    <n v="3000"/>
    <m/>
    <m/>
    <m/>
    <m/>
    <m/>
    <n v="30"/>
    <m/>
    <m/>
    <m/>
    <m/>
    <m/>
    <m/>
    <n v="225000"/>
    <s v=" -   "/>
    <s v=" -   "/>
    <s v=" -   "/>
    <s v=" -   "/>
    <s v=" -   "/>
    <n v="225000"/>
    <s v=" -   "/>
    <s v=" -   "/>
    <s v=" -   "/>
    <s v=" -   "/>
    <s v=" -   "/>
    <s v=" -   "/>
    <n v="225000"/>
    <x v="0"/>
    <s v="P1"/>
    <m/>
    <m/>
  </r>
  <r>
    <n v="2026"/>
    <n v="479"/>
    <s v="PROCESOS DE SOPORTE"/>
    <s v="GESTION DE LAS TECNOLOGIAS DE LA INFORMACION Y COMUNICACIONES "/>
    <n v="125"/>
    <n v="3000654"/>
    <n v="5005023"/>
    <n v="3"/>
    <n v="12"/>
    <n v="24"/>
    <n v="135560"/>
    <s v="2026EG 2026 (SEP)GITE GESTIÓN DE LA INFRAESTRUCTURA TECNOLÓGICA Y BASE DE DATOS "/>
    <x v="0"/>
    <x v="0"/>
    <m/>
    <s v="GITE"/>
    <s v="EG 2026 (SEP)"/>
    <s v="2.3"/>
    <s v="2.3.2.9.1.1"/>
    <m/>
    <s v="OPERADOR TECNICO DE TI 2"/>
    <x v="2"/>
    <n v="72"/>
    <n v="3000"/>
    <m/>
    <m/>
    <m/>
    <m/>
    <m/>
    <n v="30"/>
    <m/>
    <m/>
    <m/>
    <m/>
    <m/>
    <m/>
    <n v="216000"/>
    <s v=" -   "/>
    <s v=" -   "/>
    <s v=" -   "/>
    <s v=" -   "/>
    <s v=" -   "/>
    <n v="216000"/>
    <s v=" -   "/>
    <s v=" -   "/>
    <s v=" -   "/>
    <s v=" -   "/>
    <s v=" -   "/>
    <s v=" -   "/>
    <n v="216000"/>
    <x v="0"/>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EN GESTION DE PROCESOS Y SERVICIOS DE INNOVACION"/>
    <x v="2"/>
    <n v="1"/>
    <n v="7000"/>
    <m/>
    <m/>
    <m/>
    <m/>
    <n v="30"/>
    <n v="30"/>
    <m/>
    <m/>
    <m/>
    <m/>
    <m/>
    <m/>
    <n v="14000"/>
    <s v=" -   "/>
    <s v=" -   "/>
    <s v=" -   "/>
    <s v=" -   "/>
    <n v="7000"/>
    <n v="7000"/>
    <s v=" -   "/>
    <s v=" -   "/>
    <s v=" -   "/>
    <s v=" -   "/>
    <s v=" -   "/>
    <s v=" -   "/>
    <n v="14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CERTIFICACIÓN DIGITAL Y FIRMA ELECTRONICA CUALIFICADA"/>
    <x v="2"/>
    <n v="1"/>
    <n v="10000"/>
    <m/>
    <m/>
    <m/>
    <m/>
    <n v="30"/>
    <n v="30"/>
    <m/>
    <m/>
    <m/>
    <m/>
    <m/>
    <m/>
    <n v="20000"/>
    <s v=" -   "/>
    <s v=" -   "/>
    <s v=" -   "/>
    <s v=" -   "/>
    <n v="10000"/>
    <n v="10000"/>
    <s v=" -   "/>
    <s v=" -   "/>
    <s v=" -   "/>
    <s v=" -   "/>
    <s v=" -   "/>
    <s v=" -   "/>
    <n v="2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GESTIÓN DE PROYECTOS Y SERVICIOS DE CERTIFICACIÓN DIGITAL"/>
    <x v="2"/>
    <n v="1"/>
    <n v="10000"/>
    <m/>
    <m/>
    <m/>
    <m/>
    <n v="30"/>
    <n v="30"/>
    <m/>
    <m/>
    <m/>
    <m/>
    <m/>
    <m/>
    <n v="20000"/>
    <s v=" -   "/>
    <s v=" -   "/>
    <s v=" -   "/>
    <s v=" -   "/>
    <n v="10000"/>
    <n v="10000"/>
    <s v=" -   "/>
    <s v=" -   "/>
    <s v=" -   "/>
    <s v=" -   "/>
    <s v=" -   "/>
    <s v=" -   "/>
    <n v="2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PROCESOS Y SERVICIOS DE CERTIFICACIÓN DIGITAL"/>
    <x v="2"/>
    <n v="1"/>
    <n v="9000"/>
    <m/>
    <m/>
    <m/>
    <m/>
    <n v="30"/>
    <n v="30"/>
    <m/>
    <m/>
    <m/>
    <m/>
    <m/>
    <m/>
    <n v="18000"/>
    <s v=" -   "/>
    <s v=" -   "/>
    <s v=" -   "/>
    <s v=" -   "/>
    <n v="9000"/>
    <n v="9000"/>
    <s v=" -   "/>
    <s v=" -   "/>
    <s v=" -   "/>
    <s v=" -   "/>
    <s v=" -   "/>
    <s v=" -   "/>
    <n v="18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SERVICIOS DE CERTIFICACIÓN DIGITAL"/>
    <x v="2"/>
    <n v="1"/>
    <n v="8000"/>
    <m/>
    <m/>
    <m/>
    <m/>
    <n v="30"/>
    <n v="30"/>
    <m/>
    <m/>
    <m/>
    <m/>
    <m/>
    <m/>
    <n v="16000"/>
    <s v=" -   "/>
    <s v=" -   "/>
    <s v=" -   "/>
    <s v=" -   "/>
    <n v="8000"/>
    <n v="8000"/>
    <s v=" -   "/>
    <s v=" -   "/>
    <s v=" -   "/>
    <s v=" -   "/>
    <s v=" -   "/>
    <s v=" -   "/>
    <n v="16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OPERADOR TECNICO PKI"/>
    <x v="2"/>
    <n v="1"/>
    <n v="4500"/>
    <m/>
    <m/>
    <m/>
    <m/>
    <n v="30"/>
    <n v="30"/>
    <m/>
    <m/>
    <m/>
    <m/>
    <m/>
    <m/>
    <n v="9000"/>
    <s v=" -   "/>
    <s v=" -   "/>
    <s v=" -   "/>
    <s v=" -   "/>
    <n v="4500"/>
    <n v="4500"/>
    <s v=" -   "/>
    <s v=" -   "/>
    <s v=" -   "/>
    <s v=" -   "/>
    <s v=" -   "/>
    <s v=" -   "/>
    <n v="9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OPERADOR TECNICO PKI"/>
    <x v="2"/>
    <n v="1"/>
    <n v="4500"/>
    <m/>
    <m/>
    <m/>
    <m/>
    <n v="30"/>
    <n v="30"/>
    <m/>
    <m/>
    <m/>
    <m/>
    <m/>
    <m/>
    <n v="9000"/>
    <s v=" -   "/>
    <s v=" -   "/>
    <s v=" -   "/>
    <s v=" -   "/>
    <n v="4500"/>
    <n v="4500"/>
    <s v=" -   "/>
    <s v=" -   "/>
    <s v=" -   "/>
    <s v=" -   "/>
    <s v=" -   "/>
    <s v=" -   "/>
    <n v="9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GESTIÓN DE SERVICIOS PKI"/>
    <x v="2"/>
    <n v="1"/>
    <n v="9000"/>
    <m/>
    <m/>
    <m/>
    <m/>
    <n v="30"/>
    <n v="30"/>
    <m/>
    <m/>
    <m/>
    <m/>
    <m/>
    <m/>
    <n v="18000"/>
    <s v=" -   "/>
    <s v=" -   "/>
    <s v=" -   "/>
    <s v=" -   "/>
    <n v="9000"/>
    <n v="9000"/>
    <s v=" -   "/>
    <s v=" -   "/>
    <s v=" -   "/>
    <s v=" -   "/>
    <s v=" -   "/>
    <s v=" -   "/>
    <n v="18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SENIOR EN GESTIÓN DE SERVICIOS PKI"/>
    <x v="2"/>
    <n v="1"/>
    <n v="8000"/>
    <m/>
    <m/>
    <m/>
    <m/>
    <n v="30"/>
    <n v="30"/>
    <m/>
    <m/>
    <m/>
    <m/>
    <m/>
    <m/>
    <n v="16000"/>
    <s v=" -   "/>
    <s v=" -   "/>
    <s v=" -   "/>
    <s v=" -   "/>
    <n v="8000"/>
    <n v="8000"/>
    <s v=" -   "/>
    <s v=" -   "/>
    <s v=" -   "/>
    <s v=" -   "/>
    <s v=" -   "/>
    <s v=" -   "/>
    <n v="16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ADMINISTRATIVO DE GOBIERNO DIGITAL"/>
    <x v="2"/>
    <n v="1"/>
    <n v="6000"/>
    <m/>
    <m/>
    <m/>
    <m/>
    <n v="30"/>
    <n v="30"/>
    <m/>
    <m/>
    <m/>
    <m/>
    <m/>
    <m/>
    <n v="12000"/>
    <s v=" -   "/>
    <s v=" -   "/>
    <s v=" -   "/>
    <s v=" -   "/>
    <n v="6000"/>
    <n v="6000"/>
    <s v=" -   "/>
    <s v=" -   "/>
    <s v=" -   "/>
    <s v=" -   "/>
    <s v=" -   "/>
    <s v=" -   "/>
    <n v="12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EN SERVICIOS DE CERTIFICACIÓN DIGITAL"/>
    <x v="2"/>
    <n v="1"/>
    <n v="6000"/>
    <m/>
    <m/>
    <m/>
    <m/>
    <n v="30"/>
    <n v="30"/>
    <m/>
    <m/>
    <m/>
    <m/>
    <m/>
    <m/>
    <n v="12000"/>
    <s v=" -   "/>
    <s v=" -   "/>
    <s v=" -   "/>
    <s v=" -   "/>
    <n v="6000"/>
    <n v="6000"/>
    <s v=" -   "/>
    <s v=" -   "/>
    <s v=" -   "/>
    <s v=" -   "/>
    <s v=" -   "/>
    <s v=" -   "/>
    <n v="12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ISEÑADOR UX/UI DE PROYECTOS DE INNOVACIÓN"/>
    <x v="2"/>
    <n v="1"/>
    <n v="9000"/>
    <m/>
    <m/>
    <m/>
    <m/>
    <n v="30"/>
    <n v="30"/>
    <m/>
    <m/>
    <m/>
    <m/>
    <m/>
    <m/>
    <n v="18000"/>
    <s v=" -   "/>
    <s v=" -   "/>
    <s v=" -   "/>
    <s v=" -   "/>
    <n v="9000"/>
    <n v="9000"/>
    <s v=" -   "/>
    <s v=" -   "/>
    <s v=" -   "/>
    <s v=" -   "/>
    <s v=" -   "/>
    <s v=" -   "/>
    <n v="1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ASEGURAMIENTO DE CONTROL DE CALIDAD DE PROYECTOS DE INNOVACION"/>
    <x v="2"/>
    <n v="3"/>
    <n v="7500"/>
    <m/>
    <m/>
    <m/>
    <m/>
    <n v="30"/>
    <n v="30"/>
    <m/>
    <m/>
    <m/>
    <m/>
    <m/>
    <m/>
    <n v="45000"/>
    <s v=" -   "/>
    <s v=" -   "/>
    <s v=" -   "/>
    <s v=" -   "/>
    <n v="22500"/>
    <n v="22500"/>
    <s v=" -   "/>
    <s v=" -   "/>
    <s v=" -   "/>
    <s v=" -   "/>
    <s v=" -   "/>
    <s v=" -   "/>
    <n v="45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DE PRUEBAS DE SEGURIDAD Y CODIGO ESTATICO DE PROYECTOS DE INNOVACIÓN"/>
    <x v="2"/>
    <n v="2"/>
    <n v="7500"/>
    <m/>
    <m/>
    <m/>
    <m/>
    <n v="30"/>
    <n v="30"/>
    <m/>
    <m/>
    <m/>
    <m/>
    <m/>
    <m/>
    <n v="30000"/>
    <s v=" -   "/>
    <s v=" -   "/>
    <s v=" -   "/>
    <s v=" -   "/>
    <n v="15000"/>
    <n v="15000"/>
    <s v=" -   "/>
    <s v=" -   "/>
    <s v=" -   "/>
    <s v=" -   "/>
    <s v=" -   "/>
    <s v=" -   "/>
    <n v="3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DE PRUEBAS DE CARGA, ESTRES Y AUTOMATIZACION DE PROYECTOS DE INNOVACIÓN"/>
    <x v="2"/>
    <n v="2"/>
    <n v="7500"/>
    <m/>
    <m/>
    <m/>
    <m/>
    <n v="30"/>
    <n v="30"/>
    <m/>
    <m/>
    <m/>
    <m/>
    <m/>
    <m/>
    <n v="30000"/>
    <s v=" -   "/>
    <s v=" -   "/>
    <s v=" -   "/>
    <s v=" -   "/>
    <n v="15000"/>
    <n v="15000"/>
    <s v=" -   "/>
    <s v=" -   "/>
    <s v=" -   "/>
    <s v=" -   "/>
    <s v=" -   "/>
    <s v=" -   "/>
    <n v="3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CONTROL DE CALIDAD DE PROYECTOS DE INNOVACION"/>
    <x v="2"/>
    <n v="9"/>
    <n v="6500"/>
    <m/>
    <m/>
    <m/>
    <m/>
    <n v="30"/>
    <n v="30"/>
    <m/>
    <m/>
    <m/>
    <m/>
    <m/>
    <m/>
    <n v="117000"/>
    <s v=" -   "/>
    <s v=" -   "/>
    <s v=" -   "/>
    <s v=" -   "/>
    <n v="58500"/>
    <n v="58500"/>
    <s v=" -   "/>
    <s v=" -   "/>
    <s v=" -   "/>
    <s v=" -   "/>
    <s v=" -   "/>
    <s v=" -   "/>
    <n v="117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QA DE PROYECTOS DE INNOVACIÓN"/>
    <x v="2"/>
    <n v="2"/>
    <n v="4500"/>
    <m/>
    <m/>
    <m/>
    <m/>
    <n v="30"/>
    <n v="30"/>
    <m/>
    <m/>
    <m/>
    <m/>
    <m/>
    <m/>
    <n v="18000"/>
    <s v=" -   "/>
    <s v=" -   "/>
    <s v=" -   "/>
    <s v=" -   "/>
    <n v="9000"/>
    <n v="9000"/>
    <s v=" -   "/>
    <s v=" -   "/>
    <s v=" -   "/>
    <s v=" -   "/>
    <s v=" -   "/>
    <s v=" -   "/>
    <n v="18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QA DE PROYECTOS DE INNOVACIÓN"/>
    <x v="2"/>
    <n v="1"/>
    <n v="4500"/>
    <m/>
    <m/>
    <m/>
    <m/>
    <n v="30"/>
    <n v="30"/>
    <m/>
    <m/>
    <m/>
    <m/>
    <m/>
    <m/>
    <n v="9000"/>
    <s v=" -   "/>
    <s v=" -   "/>
    <s v=" -   "/>
    <s v=" -   "/>
    <n v="4500"/>
    <n v="4500"/>
    <s v=" -   "/>
    <s v=" -   "/>
    <s v=" -   "/>
    <s v=" -   "/>
    <s v=" -   "/>
    <s v=" -   "/>
    <n v="9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COORDINADOR DE CONTROL DE CALIDAD DE SOFTWARE"/>
    <x v="2"/>
    <n v="4"/>
    <n v="9000"/>
    <m/>
    <m/>
    <m/>
    <m/>
    <n v="30"/>
    <n v="30"/>
    <m/>
    <m/>
    <m/>
    <m/>
    <m/>
    <m/>
    <n v="72000"/>
    <s v=" -   "/>
    <s v=" -   "/>
    <s v=" -   "/>
    <s v=" -   "/>
    <n v="36000"/>
    <n v="36000"/>
    <s v=" -   "/>
    <s v=" -   "/>
    <s v=" -   "/>
    <s v=" -   "/>
    <s v=" -   "/>
    <s v=" -   "/>
    <n v="72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ADMINISTRATIVO DE CONTROL DE CALIDAD DE SOFTWARE"/>
    <x v="2"/>
    <n v="1"/>
    <n v="5000"/>
    <m/>
    <m/>
    <m/>
    <m/>
    <n v="30"/>
    <n v="30"/>
    <m/>
    <m/>
    <m/>
    <m/>
    <m/>
    <m/>
    <n v="10000"/>
    <s v=" -   "/>
    <s v=" -   "/>
    <s v=" -   "/>
    <s v=" -   "/>
    <n v="5000"/>
    <n v="5000"/>
    <s v=" -   "/>
    <s v=" -   "/>
    <s v=" -   "/>
    <s v=" -   "/>
    <s v=" -   "/>
    <s v=" -   "/>
    <n v="1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EN PRUEBAS AUTOMATIZADAS QA"/>
    <x v="2"/>
    <n v="1"/>
    <n v="7500"/>
    <m/>
    <m/>
    <m/>
    <m/>
    <n v="30"/>
    <n v="30"/>
    <m/>
    <m/>
    <m/>
    <m/>
    <m/>
    <m/>
    <n v="15000"/>
    <s v=" -   "/>
    <s v=" -   "/>
    <s v=" -   "/>
    <s v=" -   "/>
    <n v="7500"/>
    <n v="7500"/>
    <s v=" -   "/>
    <s v=" -   "/>
    <s v=" -   "/>
    <s v=" -   "/>
    <s v=" -   "/>
    <s v=" -   "/>
    <n v="15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EN PRUEBAS AUTOMATIZADAS QA"/>
    <x v="2"/>
    <n v="2"/>
    <n v="7500"/>
    <m/>
    <m/>
    <m/>
    <m/>
    <n v="30"/>
    <n v="30"/>
    <m/>
    <m/>
    <m/>
    <m/>
    <m/>
    <m/>
    <n v="30000"/>
    <s v=" -   "/>
    <s v=" -   "/>
    <s v=" -   "/>
    <s v=" -   "/>
    <n v="15000"/>
    <n v="15000"/>
    <s v=" -   "/>
    <s v=" -   "/>
    <s v=" -   "/>
    <s v=" -   "/>
    <s v=" -   "/>
    <s v=" -   "/>
    <n v="3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SEGURIDAD DE SOFTWARE"/>
    <x v="2"/>
    <n v="1"/>
    <n v="7500"/>
    <m/>
    <m/>
    <m/>
    <m/>
    <n v="30"/>
    <n v="30"/>
    <m/>
    <m/>
    <m/>
    <m/>
    <m/>
    <m/>
    <n v="15000"/>
    <s v=" -   "/>
    <s v=" -   "/>
    <s v=" -   "/>
    <s v=" -   "/>
    <n v="7500"/>
    <n v="7500"/>
    <s v=" -   "/>
    <s v=" -   "/>
    <s v=" -   "/>
    <s v=" -   "/>
    <s v=" -   "/>
    <s v=" -   "/>
    <n v="15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SEGURIDAD DE SOFTWARE"/>
    <x v="2"/>
    <n v="2"/>
    <n v="7500"/>
    <m/>
    <m/>
    <m/>
    <m/>
    <n v="30"/>
    <n v="30"/>
    <m/>
    <m/>
    <m/>
    <m/>
    <m/>
    <m/>
    <n v="30000"/>
    <s v=" -   "/>
    <s v=" -   "/>
    <s v=" -   "/>
    <s v=" -   "/>
    <n v="15000"/>
    <n v="15000"/>
    <s v=" -   "/>
    <s v=" -   "/>
    <s v=" -   "/>
    <s v=" -   "/>
    <s v=" -   "/>
    <s v=" -   "/>
    <n v="3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CODIGO ESTÁTICO"/>
    <x v="2"/>
    <n v="2"/>
    <n v="7500"/>
    <m/>
    <m/>
    <m/>
    <m/>
    <n v="30"/>
    <n v="30"/>
    <m/>
    <m/>
    <m/>
    <m/>
    <m/>
    <m/>
    <n v="30000"/>
    <s v=" -   "/>
    <s v=" -   "/>
    <s v=" -   "/>
    <s v=" -   "/>
    <n v="15000"/>
    <n v="15000"/>
    <s v=" -   "/>
    <s v=" -   "/>
    <s v=" -   "/>
    <s v=" -   "/>
    <s v=" -   "/>
    <s v=" -   "/>
    <n v="3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CODIGO ESTÁTICO"/>
    <x v="2"/>
    <n v="1"/>
    <n v="7500"/>
    <m/>
    <m/>
    <m/>
    <m/>
    <n v="30"/>
    <n v="30"/>
    <m/>
    <m/>
    <m/>
    <m/>
    <m/>
    <m/>
    <n v="15000"/>
    <s v=" -   "/>
    <s v=" -   "/>
    <s v=" -   "/>
    <s v=" -   "/>
    <n v="7500"/>
    <n v="7500"/>
    <s v=" -   "/>
    <s v=" -   "/>
    <s v=" -   "/>
    <s v=" -   "/>
    <s v=" -   "/>
    <s v=" -   "/>
    <n v="15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ASEGURAMIENTO DE CONTROL DE CALIDAD DE SOFTWARE"/>
    <x v="2"/>
    <n v="6"/>
    <n v="7500"/>
    <m/>
    <m/>
    <m/>
    <m/>
    <n v="30"/>
    <n v="30"/>
    <m/>
    <m/>
    <m/>
    <m/>
    <m/>
    <m/>
    <n v="90000"/>
    <s v=" -   "/>
    <s v=" -   "/>
    <s v=" -   "/>
    <s v=" -   "/>
    <n v="45000"/>
    <n v="45000"/>
    <s v=" -   "/>
    <s v=" -   "/>
    <s v=" -   "/>
    <s v=" -   "/>
    <s v=" -   "/>
    <s v=" -   "/>
    <n v="9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ASEGURAMIENTO DE CONTROL DE CALIDAD DE SOFTWARE"/>
    <x v="2"/>
    <n v="10"/>
    <n v="7500"/>
    <m/>
    <m/>
    <m/>
    <m/>
    <n v="30"/>
    <n v="30"/>
    <m/>
    <m/>
    <m/>
    <m/>
    <m/>
    <m/>
    <n v="150000"/>
    <s v=" -   "/>
    <s v=" -   "/>
    <s v=" -   "/>
    <s v=" -   "/>
    <n v="75000"/>
    <n v="75000"/>
    <s v=" -   "/>
    <s v=" -   "/>
    <s v=" -   "/>
    <s v=" -   "/>
    <s v=" -   "/>
    <s v=" -   "/>
    <n v="150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CONTROL DE CALIDAD DE SOFTWARE"/>
    <x v="2"/>
    <n v="5"/>
    <n v="6500"/>
    <m/>
    <m/>
    <m/>
    <m/>
    <n v="30"/>
    <n v="30"/>
    <m/>
    <m/>
    <m/>
    <m/>
    <m/>
    <m/>
    <n v="65000"/>
    <s v=" -   "/>
    <s v=" -   "/>
    <s v=" -   "/>
    <s v=" -   "/>
    <n v="32500"/>
    <n v="32500"/>
    <s v=" -   "/>
    <s v=" -   "/>
    <s v=" -   "/>
    <s v=" -   "/>
    <s v=" -   "/>
    <s v=" -   "/>
    <n v="65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CONTROL DE CALIDAD DE SOFTWARE"/>
    <x v="2"/>
    <n v="8"/>
    <n v="6500"/>
    <m/>
    <m/>
    <m/>
    <m/>
    <n v="30"/>
    <n v="30"/>
    <m/>
    <m/>
    <m/>
    <m/>
    <m/>
    <m/>
    <n v="104000"/>
    <s v=" -   "/>
    <s v=" -   "/>
    <s v=" -   "/>
    <s v=" -   "/>
    <n v="52000"/>
    <n v="52000"/>
    <s v=" -   "/>
    <s v=" -   "/>
    <s v=" -   "/>
    <s v=" -   "/>
    <s v=" -   "/>
    <s v=" -   "/>
    <n v="104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QA"/>
    <x v="2"/>
    <n v="3"/>
    <n v="4500"/>
    <m/>
    <m/>
    <m/>
    <m/>
    <n v="30"/>
    <n v="30"/>
    <m/>
    <m/>
    <m/>
    <m/>
    <m/>
    <m/>
    <n v="27000"/>
    <s v=" -   "/>
    <s v=" -   "/>
    <s v=" -   "/>
    <s v=" -   "/>
    <n v="13500"/>
    <n v="13500"/>
    <s v=" -   "/>
    <s v=" -   "/>
    <s v=" -   "/>
    <s v=" -   "/>
    <s v=" -   "/>
    <s v=" -   "/>
    <n v="27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PRUEBAS DE SEGURIDAD DE SOFTWARE"/>
    <x v="2"/>
    <n v="1"/>
    <n v="8000"/>
    <m/>
    <m/>
    <m/>
    <m/>
    <n v="30"/>
    <n v="30"/>
    <m/>
    <m/>
    <m/>
    <m/>
    <m/>
    <m/>
    <n v="16000"/>
    <s v=" -   "/>
    <s v=" -   "/>
    <s v=" -   "/>
    <s v=" -   "/>
    <n v="8000"/>
    <n v="8000"/>
    <s v=" -   "/>
    <s v=" -   "/>
    <s v=" -   "/>
    <s v=" -   "/>
    <s v=" -   "/>
    <s v=" -   "/>
    <n v="16000"/>
    <x v="1"/>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ASEGURAMIENTO DE CONTROL DE CALIDAD DE SOFTWARE 1"/>
    <x v="2"/>
    <n v="1"/>
    <n v="6500"/>
    <m/>
    <m/>
    <m/>
    <m/>
    <n v="30"/>
    <m/>
    <m/>
    <m/>
    <m/>
    <m/>
    <m/>
    <m/>
    <n v="6500"/>
    <s v=" -   "/>
    <s v=" -   "/>
    <s v=" -   "/>
    <s v=" -   "/>
    <n v="6500"/>
    <s v=" -   "/>
    <s v=" -   "/>
    <s v=" -   "/>
    <s v=" -   "/>
    <s v=" -   "/>
    <s v=" -   "/>
    <s v=" -   "/>
    <n v="6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ASEGURAMIENTO DE CONTROL DE CALIDAD DE SOFTWARE 1"/>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ASEGURAMIENTO DE CONTROL DE CALIDAD DE SOFTWARE 2"/>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BASE DE DATOS JUNIOR 3"/>
    <x v="2"/>
    <n v="1"/>
    <n v="3500"/>
    <m/>
    <m/>
    <m/>
    <m/>
    <n v="30"/>
    <m/>
    <m/>
    <m/>
    <m/>
    <m/>
    <m/>
    <m/>
    <n v="3500"/>
    <s v=" -   "/>
    <s v=" -   "/>
    <s v=" -   "/>
    <s v=" -   "/>
    <n v="3500"/>
    <s v=" -   "/>
    <s v=" -   "/>
    <s v=" -   "/>
    <s v=" -   "/>
    <s v=" -   "/>
    <s v=" -   "/>
    <s v=" -   "/>
    <n v="3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BASE DE DATOS JUNIOR 3"/>
    <x v="2"/>
    <n v="1"/>
    <n v="3500"/>
    <m/>
    <m/>
    <m/>
    <m/>
    <m/>
    <n v="30"/>
    <m/>
    <m/>
    <m/>
    <m/>
    <m/>
    <m/>
    <n v="3500"/>
    <s v=" -   "/>
    <s v=" -   "/>
    <s v=" -   "/>
    <s v=" -   "/>
    <s v=" -   "/>
    <n v="3500"/>
    <s v=" -   "/>
    <s v=" -   "/>
    <s v=" -   "/>
    <s v=" -   "/>
    <s v=" -   "/>
    <s v=" -   "/>
    <n v="3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DE BASE DE DATOS"/>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CIENCIA DE DATOS"/>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DATOS 1"/>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1"/>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2"/>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3"/>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4"/>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5"/>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DATOS 6"/>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6"/>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7"/>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DATOS BI 1"/>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BI 1"/>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SENIOR 1"/>
    <x v="2"/>
    <n v="1"/>
    <n v="6500"/>
    <m/>
    <m/>
    <m/>
    <m/>
    <n v="30"/>
    <n v="30"/>
    <m/>
    <m/>
    <m/>
    <m/>
    <m/>
    <m/>
    <n v="13000"/>
    <s v=" -   "/>
    <s v=" -   "/>
    <s v=" -   "/>
    <s v=" -   "/>
    <n v="6500"/>
    <n v="6500"/>
    <s v=" -   "/>
    <s v=" -   "/>
    <s v=" -   "/>
    <s v=" -   "/>
    <s v=" -   "/>
    <s v=" -   "/>
    <n v="1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BASE DE DATOS SENIOR 1"/>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SENIOR 2"/>
    <x v="2"/>
    <n v="1"/>
    <n v="6500"/>
    <m/>
    <m/>
    <m/>
    <m/>
    <n v="30"/>
    <n v="30"/>
    <m/>
    <m/>
    <m/>
    <m/>
    <m/>
    <m/>
    <n v="13000"/>
    <s v=" -   "/>
    <s v=" -   "/>
    <s v=" -   "/>
    <s v=" -   "/>
    <n v="6500"/>
    <n v="6500"/>
    <s v=" -   "/>
    <s v=" -   "/>
    <s v=" -   "/>
    <s v=" -   "/>
    <s v=" -   "/>
    <s v=" -   "/>
    <n v="1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SENIOR 3"/>
    <x v="2"/>
    <n v="1"/>
    <n v="6500"/>
    <m/>
    <m/>
    <m/>
    <m/>
    <n v="30"/>
    <n v="30"/>
    <m/>
    <m/>
    <m/>
    <m/>
    <m/>
    <m/>
    <n v="13000"/>
    <s v=" -   "/>
    <s v=" -   "/>
    <s v=" -   "/>
    <s v=" -   "/>
    <n v="6500"/>
    <n v="6500"/>
    <s v=" -   "/>
    <s v=" -   "/>
    <s v=" -   "/>
    <s v=" -   "/>
    <s v=" -   "/>
    <s v=" -   "/>
    <n v="13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BASE DE DATOS SENIOR 2"/>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BASE DE DATOS SENIOR 2"/>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DMINISTRADOR DE BASE DE DATOS SENIOR"/>
    <x v="2"/>
    <n v="1"/>
    <n v="7500"/>
    <m/>
    <m/>
    <m/>
    <m/>
    <n v="30"/>
    <m/>
    <m/>
    <m/>
    <m/>
    <m/>
    <m/>
    <m/>
    <n v="7500"/>
    <s v=" -   "/>
    <s v=" -   "/>
    <s v=" -   "/>
    <s v=" -   "/>
    <n v="7500"/>
    <s v=" -   "/>
    <s v=" -   "/>
    <s v=" -   "/>
    <s v=" -   "/>
    <s v=" -   "/>
    <s v=" -   "/>
    <s v=" -   "/>
    <n v="7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DMINISTRADOR DE BASE DE DATOS SENIOR"/>
    <x v="2"/>
    <n v="1"/>
    <n v="7500"/>
    <m/>
    <m/>
    <m/>
    <m/>
    <m/>
    <n v="30"/>
    <m/>
    <m/>
    <m/>
    <m/>
    <m/>
    <m/>
    <n v="7500"/>
    <s v=" -   "/>
    <s v=" -   "/>
    <s v=" -   "/>
    <s v=" -   "/>
    <s v=" -   "/>
    <n v="7500"/>
    <s v=" -   "/>
    <s v=" -   "/>
    <s v=" -   "/>
    <s v=" -   "/>
    <s v=" -   "/>
    <s v=" -   "/>
    <n v="7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DESARROLLO DE SOFTWARE 1"/>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DESARROLLO DE SOFTWARE 2"/>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2"/>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DESARROLLO DE SOFTWARE 3"/>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3"/>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DESARROLLO DE SOFTWARE 4"/>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4"/>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5"/>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6"/>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7"/>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8"/>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9"/>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DESARROLLO DE SOFTWARE 10"/>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0"/>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1"/>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2"/>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3"/>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4"/>
    <x v="2"/>
    <n v="3"/>
    <n v="5500"/>
    <m/>
    <m/>
    <m/>
    <m/>
    <n v="30"/>
    <n v="30"/>
    <m/>
    <m/>
    <m/>
    <m/>
    <m/>
    <m/>
    <n v="33000"/>
    <s v=" -   "/>
    <s v=" -   "/>
    <s v=" -   "/>
    <s v=" -   "/>
    <n v="16500"/>
    <n v="16500"/>
    <s v=" -   "/>
    <s v=" -   "/>
    <s v=" -   "/>
    <s v=" -   "/>
    <s v=" -   "/>
    <s v=" -   "/>
    <n v="3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5"/>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SENIOR 1"/>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COORDINADOR DE REQUERIMIENTOS DE PROYECTOS DE SISTEMAS"/>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SISTEMAS 1"/>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SISTEMAS 1"/>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1"/>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2"/>
    <x v="2"/>
    <n v="2"/>
    <n v="7000"/>
    <m/>
    <m/>
    <m/>
    <m/>
    <n v="30"/>
    <n v="30"/>
    <m/>
    <m/>
    <m/>
    <m/>
    <m/>
    <m/>
    <n v="28000"/>
    <s v=" -   "/>
    <s v=" -   "/>
    <s v=" -   "/>
    <s v=" -   "/>
    <n v="14000"/>
    <n v="14000"/>
    <s v=" -   "/>
    <s v=" -   "/>
    <s v=" -   "/>
    <s v=" -   "/>
    <s v=" -   "/>
    <s v=" -   "/>
    <n v="2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3"/>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FUNCIONAL SENIOR 4"/>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4"/>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FUNCIONAL SENIOR 5"/>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5"/>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FUNCIONAL SENIOR 6"/>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6"/>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7"/>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8"/>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9"/>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FUNCIONAL"/>
    <x v="2"/>
    <n v="1"/>
    <n v="7500"/>
    <m/>
    <m/>
    <m/>
    <m/>
    <n v="30"/>
    <n v="30"/>
    <m/>
    <m/>
    <m/>
    <m/>
    <m/>
    <m/>
    <n v="15000"/>
    <s v=" -   "/>
    <s v=" -   "/>
    <s v=" -   "/>
    <s v=" -   "/>
    <n v="7500"/>
    <n v="7500"/>
    <s v=" -   "/>
    <s v=" -   "/>
    <s v=" -   "/>
    <s v=" -   "/>
    <s v=" -   "/>
    <s v=" -   "/>
    <n v="15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FUNCIONAL SENIOR 1"/>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FUNCIONAL SENIOR 2"/>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PROGRAMADOR 1"/>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
    <x v="2"/>
    <n v="2"/>
    <n v="6000"/>
    <m/>
    <m/>
    <m/>
    <m/>
    <n v="30"/>
    <n v="30"/>
    <m/>
    <m/>
    <m/>
    <m/>
    <m/>
    <m/>
    <n v="24000"/>
    <s v=" -   "/>
    <s v=" -   "/>
    <s v=" -   "/>
    <s v=" -   "/>
    <n v="12000"/>
    <n v="12000"/>
    <s v=" -   "/>
    <s v=" -   "/>
    <s v=" -   "/>
    <s v=" -   "/>
    <s v=" -   "/>
    <s v=" -   "/>
    <n v="2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2"/>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2"/>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3"/>
    <x v="2"/>
    <n v="2"/>
    <n v="6000"/>
    <m/>
    <m/>
    <m/>
    <m/>
    <n v="30"/>
    <n v="30"/>
    <m/>
    <m/>
    <m/>
    <m/>
    <m/>
    <m/>
    <n v="24000"/>
    <s v=" -   "/>
    <s v=" -   "/>
    <s v=" -   "/>
    <s v=" -   "/>
    <n v="12000"/>
    <n v="12000"/>
    <s v=" -   "/>
    <s v=" -   "/>
    <s v=" -   "/>
    <s v=" -   "/>
    <s v=" -   "/>
    <s v=" -   "/>
    <n v="2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4"/>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5"/>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6"/>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7"/>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8"/>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8"/>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9"/>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10"/>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0"/>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1"/>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2"/>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3"/>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14"/>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4"/>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6"/>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7"/>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8"/>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1"/>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2"/>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2"/>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3"/>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3"/>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4"/>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4"/>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5"/>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9"/>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0"/>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1"/>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2"/>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3"/>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6"/>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17"/>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7"/>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18"/>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8"/>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19"/>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20"/>
    <x v="2"/>
    <n v="1"/>
    <n v="8000"/>
    <m/>
    <m/>
    <m/>
    <m/>
    <n v="30"/>
    <n v="30"/>
    <m/>
    <m/>
    <m/>
    <m/>
    <m/>
    <m/>
    <n v="16000"/>
    <s v=" -   "/>
    <s v=" -   "/>
    <s v=" -   "/>
    <s v=" -   "/>
    <n v="8000"/>
    <n v="8000"/>
    <s v=" -   "/>
    <s v=" -   "/>
    <s v=" -   "/>
    <s v=" -   "/>
    <s v=" -   "/>
    <s v=" -   "/>
    <n v="16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FULL STACK 21"/>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FULL STACK 21"/>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JUNIOR 1"/>
    <x v="2"/>
    <n v="1"/>
    <n v="3500"/>
    <m/>
    <m/>
    <m/>
    <m/>
    <n v="30"/>
    <m/>
    <m/>
    <m/>
    <m/>
    <m/>
    <m/>
    <m/>
    <n v="3500"/>
    <s v=" -   "/>
    <s v=" -   "/>
    <s v=" -   "/>
    <s v=" -   "/>
    <n v="3500"/>
    <s v=" -   "/>
    <s v=" -   "/>
    <s v=" -   "/>
    <s v=" -   "/>
    <s v=" -   "/>
    <s v=" -   "/>
    <s v=" -   "/>
    <n v="3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JUNIOR 1"/>
    <x v="2"/>
    <n v="1"/>
    <n v="3500"/>
    <m/>
    <m/>
    <m/>
    <m/>
    <m/>
    <n v="30"/>
    <m/>
    <m/>
    <m/>
    <m/>
    <m/>
    <m/>
    <n v="3500"/>
    <s v=" -   "/>
    <s v=" -   "/>
    <s v=" -   "/>
    <s v=" -   "/>
    <s v=" -   "/>
    <n v="3500"/>
    <s v=" -   "/>
    <s v=" -   "/>
    <s v=" -   "/>
    <s v=" -   "/>
    <s v=" -   "/>
    <s v=" -   "/>
    <n v="3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JUNIOR 2"/>
    <x v="2"/>
    <n v="1"/>
    <n v="3500"/>
    <m/>
    <m/>
    <m/>
    <m/>
    <n v="30"/>
    <n v="30"/>
    <m/>
    <m/>
    <m/>
    <m/>
    <m/>
    <m/>
    <n v="7000"/>
    <s v=" -   "/>
    <s v=" -   "/>
    <s v=" -   "/>
    <s v=" -   "/>
    <n v="3500"/>
    <n v="35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JUNIOR 3"/>
    <x v="2"/>
    <n v="1"/>
    <n v="3500"/>
    <m/>
    <m/>
    <m/>
    <m/>
    <n v="30"/>
    <n v="30"/>
    <m/>
    <m/>
    <m/>
    <m/>
    <m/>
    <m/>
    <n v="7000"/>
    <s v=" -   "/>
    <s v=" -   "/>
    <s v=" -   "/>
    <s v=" -   "/>
    <n v="3500"/>
    <n v="35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JUNIOR 4"/>
    <x v="2"/>
    <n v="1"/>
    <n v="3500"/>
    <m/>
    <m/>
    <m/>
    <m/>
    <n v="30"/>
    <n v="30"/>
    <m/>
    <m/>
    <m/>
    <m/>
    <m/>
    <m/>
    <n v="7000"/>
    <s v=" -   "/>
    <s v=" -   "/>
    <s v=" -   "/>
    <s v=" -   "/>
    <n v="3500"/>
    <n v="35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2"/>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3"/>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3"/>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4"/>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4"/>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5"/>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6"/>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7"/>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8"/>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9"/>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0"/>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1"/>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2"/>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2"/>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3"/>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3"/>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4"/>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4"/>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5"/>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5"/>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6"/>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6"/>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7"/>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8"/>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9"/>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0"/>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1"/>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2"/>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3"/>
    <x v="2"/>
    <n v="2"/>
    <n v="7000"/>
    <m/>
    <m/>
    <m/>
    <m/>
    <n v="30"/>
    <n v="30"/>
    <m/>
    <m/>
    <m/>
    <m/>
    <m/>
    <m/>
    <n v="28000"/>
    <s v=" -   "/>
    <s v=" -   "/>
    <s v=" -   "/>
    <s v=" -   "/>
    <n v="14000"/>
    <n v="14000"/>
    <s v=" -   "/>
    <s v=" -   "/>
    <s v=" -   "/>
    <s v=" -   "/>
    <s v=" -   "/>
    <s v=" -   "/>
    <n v="2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5"/>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7"/>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8"/>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29"/>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30"/>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30"/>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32"/>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34"/>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ISEÑADOR GRAFICO 1"/>
    <x v="2"/>
    <n v="1"/>
    <n v="5000"/>
    <m/>
    <m/>
    <m/>
    <m/>
    <n v="30"/>
    <m/>
    <m/>
    <m/>
    <m/>
    <m/>
    <m/>
    <m/>
    <n v="5000"/>
    <s v=" -   "/>
    <s v=" -   "/>
    <s v=" -   "/>
    <s v=" -   "/>
    <n v="5000"/>
    <s v=" -   "/>
    <s v=" -   "/>
    <s v=" -   "/>
    <s v=" -   "/>
    <s v=" -   "/>
    <s v=" -   "/>
    <s v=" -   "/>
    <n v="5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ISEÑADOR GRAFICO 1"/>
    <x v="2"/>
    <n v="1"/>
    <n v="5000"/>
    <m/>
    <m/>
    <m/>
    <m/>
    <m/>
    <n v="30"/>
    <m/>
    <m/>
    <m/>
    <m/>
    <m/>
    <m/>
    <n v="5000"/>
    <s v=" -   "/>
    <s v=" -   "/>
    <s v=" -   "/>
    <s v=" -   "/>
    <s v=" -   "/>
    <n v="5000"/>
    <s v=" -   "/>
    <s v=" -   "/>
    <s v=" -   "/>
    <s v=" -   "/>
    <s v=" -   "/>
    <s v=" -   "/>
    <n v="5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UX/UI"/>
    <x v="2"/>
    <n v="1"/>
    <n v="7500"/>
    <m/>
    <m/>
    <m/>
    <m/>
    <n v="30"/>
    <n v="30"/>
    <m/>
    <m/>
    <m/>
    <m/>
    <m/>
    <m/>
    <n v="15000"/>
    <s v=" -   "/>
    <s v=" -   "/>
    <s v=" -   "/>
    <s v=" -   "/>
    <n v="7500"/>
    <n v="7500"/>
    <s v=" -   "/>
    <s v=" -   "/>
    <s v=" -   "/>
    <s v=" -   "/>
    <s v=" -   "/>
    <s v=" -   "/>
    <n v="15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UX/UI 2"/>
    <x v="2"/>
    <n v="1"/>
    <n v="6500"/>
    <m/>
    <m/>
    <m/>
    <m/>
    <n v="30"/>
    <m/>
    <m/>
    <m/>
    <m/>
    <m/>
    <m/>
    <m/>
    <n v="6500"/>
    <s v=" -   "/>
    <s v=" -   "/>
    <s v=" -   "/>
    <s v=" -   "/>
    <n v="6500"/>
    <s v=" -   "/>
    <s v=" -   "/>
    <s v=" -   "/>
    <s v=" -   "/>
    <s v=" -   "/>
    <s v=" -   "/>
    <s v=" -   "/>
    <n v="6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UX/UI 2"/>
    <x v="2"/>
    <n v="1"/>
    <n v="6500"/>
    <m/>
    <m/>
    <m/>
    <m/>
    <m/>
    <n v="30"/>
    <m/>
    <m/>
    <m/>
    <m/>
    <m/>
    <m/>
    <n v="6500"/>
    <s v=" -   "/>
    <s v=" -   "/>
    <s v=" -   "/>
    <s v=" -   "/>
    <s v=" -   "/>
    <n v="6500"/>
    <s v=" -   "/>
    <s v=" -   "/>
    <s v=" -   "/>
    <s v=" -   "/>
    <s v=" -   "/>
    <s v=" -   "/>
    <n v="6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UX/UI 3"/>
    <x v="2"/>
    <n v="1"/>
    <n v="6500"/>
    <m/>
    <m/>
    <m/>
    <m/>
    <n v="30"/>
    <n v="30"/>
    <m/>
    <m/>
    <m/>
    <m/>
    <m/>
    <m/>
    <n v="13000"/>
    <s v=" -   "/>
    <s v=" -   "/>
    <s v=" -   "/>
    <s v=" -   "/>
    <n v="6500"/>
    <n v="6500"/>
    <s v=" -   "/>
    <s v=" -   "/>
    <s v=" -   "/>
    <s v=" -   "/>
    <s v=" -   "/>
    <s v=" -   "/>
    <n v="1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UX/UI 4"/>
    <x v="2"/>
    <n v="1"/>
    <n v="6500"/>
    <m/>
    <m/>
    <m/>
    <m/>
    <n v="30"/>
    <n v="30"/>
    <m/>
    <m/>
    <m/>
    <m/>
    <m/>
    <m/>
    <n v="13000"/>
    <s v=" -   "/>
    <s v=" -   "/>
    <s v=" -   "/>
    <s v=" -   "/>
    <n v="6500"/>
    <n v="6500"/>
    <s v=" -   "/>
    <s v=" -   "/>
    <s v=" -   "/>
    <s v=" -   "/>
    <s v=" -   "/>
    <s v=" -   "/>
    <n v="1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ISEÑADOR MAQUETADOR 1"/>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ISEÑADOR MAQUETADOR 2"/>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ISEÑADOR MAQUETADOR 3"/>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ISEÑADOR MAQUETADOR 4"/>
    <x v="2"/>
    <n v="1"/>
    <n v="6000"/>
    <m/>
    <m/>
    <m/>
    <m/>
    <n v="30"/>
    <n v="30"/>
    <m/>
    <m/>
    <m/>
    <m/>
    <m/>
    <m/>
    <n v="12000"/>
    <s v=" -   "/>
    <s v=" -   "/>
    <s v=" -   "/>
    <s v=" -   "/>
    <n v="6000"/>
    <n v="6000"/>
    <s v=" -   "/>
    <s v=" -   "/>
    <s v=" -   "/>
    <s v=" -   "/>
    <s v=" -   "/>
    <s v=" -   "/>
    <n v="12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RQUITECTO DE DATOS EN LA NUBE"/>
    <x v="2"/>
    <n v="1"/>
    <n v="10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RQUITECTO DE SEGURIDAD EN LA NUBE"/>
    <x v="2"/>
    <n v="1"/>
    <n v="10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RQUITECTO DE SOLUCIONES EN LA NUBE"/>
    <x v="2"/>
    <n v="1"/>
    <n v="10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RQUITECTO DE SOFTWARE 1"/>
    <x v="2"/>
    <n v="1"/>
    <n v="9000"/>
    <m/>
    <m/>
    <m/>
    <m/>
    <n v="30"/>
    <m/>
    <m/>
    <m/>
    <m/>
    <m/>
    <m/>
    <m/>
    <n v="9000"/>
    <s v=" -   "/>
    <s v=" -   "/>
    <s v=" -   "/>
    <s v=" -   "/>
    <n v="9000"/>
    <s v=" -   "/>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RQUITECTO DE SOFTWARE 1"/>
    <x v="2"/>
    <n v="1"/>
    <n v="9000"/>
    <m/>
    <m/>
    <m/>
    <m/>
    <m/>
    <n v="30"/>
    <m/>
    <m/>
    <m/>
    <m/>
    <m/>
    <m/>
    <n v="9000"/>
    <s v=" -   "/>
    <s v=" -   "/>
    <s v=" -   "/>
    <s v=" -   "/>
    <s v=" -   "/>
    <n v="90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SISTENTE DE PROYECTOS DE SOFTWARE 1"/>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SISTENTE TECNICO INFORMATICO"/>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ADMINISTRATIVO DE PROYECTOS"/>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SISTENTE TECNICO DE GESTION DE PROYECTOS"/>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SISTENTE DE SISTEMAS DE INFORMACION"/>
    <x v="2"/>
    <n v="1"/>
    <n v="5500"/>
    <m/>
    <m/>
    <m/>
    <m/>
    <n v="30"/>
    <n v="30"/>
    <m/>
    <m/>
    <m/>
    <m/>
    <m/>
    <m/>
    <n v="11000"/>
    <s v=" -   "/>
    <s v=" -   "/>
    <s v=" -   "/>
    <s v=" -   "/>
    <n v="5500"/>
    <n v="5500"/>
    <s v=" -   "/>
    <s v=" -   "/>
    <s v=" -   "/>
    <s v=" -   "/>
    <s v=" -   "/>
    <s v=" -   "/>
    <n v="11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OYECTOS DE TI"/>
    <x v="2"/>
    <n v="1"/>
    <n v="6500"/>
    <m/>
    <m/>
    <m/>
    <m/>
    <n v="30"/>
    <m/>
    <m/>
    <m/>
    <m/>
    <m/>
    <m/>
    <m/>
    <n v="6500"/>
    <s v=" -   "/>
    <s v=" -   "/>
    <s v=" -   "/>
    <s v=" -   "/>
    <n v="6500"/>
    <s v=" -   "/>
    <s v=" -   "/>
    <s v=" -   "/>
    <s v=" -   "/>
    <s v=" -   "/>
    <s v=" -   "/>
    <s v=" -   "/>
    <n v="6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OYECTOS DE TI"/>
    <x v="2"/>
    <n v="1"/>
    <n v="6500"/>
    <m/>
    <m/>
    <m/>
    <m/>
    <m/>
    <n v="30"/>
    <m/>
    <m/>
    <m/>
    <m/>
    <m/>
    <m/>
    <n v="6500"/>
    <s v=" -   "/>
    <s v=" -   "/>
    <s v=" -   "/>
    <s v=" -   "/>
    <s v=" -   "/>
    <n v="6500"/>
    <s v=" -   "/>
    <s v=" -   "/>
    <s v=" -   "/>
    <s v=" -   "/>
    <s v=" -   "/>
    <s v=" -   "/>
    <n v="6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PROYECTOS TI 1"/>
    <x v="2"/>
    <n v="1"/>
    <n v="9000"/>
    <m/>
    <m/>
    <m/>
    <m/>
    <n v="30"/>
    <n v="30"/>
    <m/>
    <m/>
    <m/>
    <m/>
    <m/>
    <m/>
    <n v="18000"/>
    <s v=" -   "/>
    <s v=" -   "/>
    <s v=" -   "/>
    <s v=" -   "/>
    <n v="9000"/>
    <n v="9000"/>
    <s v=" -   "/>
    <s v=" -   "/>
    <s v=" -   "/>
    <s v=" -   "/>
    <s v=" -   "/>
    <s v=" -   "/>
    <n v="1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PROYECTOS 1"/>
    <x v="2"/>
    <n v="1"/>
    <n v="8500"/>
    <m/>
    <m/>
    <m/>
    <m/>
    <n v="30"/>
    <n v="30"/>
    <m/>
    <m/>
    <m/>
    <m/>
    <m/>
    <m/>
    <n v="17000"/>
    <s v=" -   "/>
    <s v=" -   "/>
    <s v=" -   "/>
    <s v=" -   "/>
    <n v="8500"/>
    <n v="8500"/>
    <s v=" -   "/>
    <s v=" -   "/>
    <s v=" -   "/>
    <s v=" -   "/>
    <s v=" -   "/>
    <s v=" -   "/>
    <n v="1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GESTOR DE PROYECTOS 2"/>
    <x v="2"/>
    <n v="1"/>
    <n v="8500"/>
    <m/>
    <m/>
    <m/>
    <m/>
    <n v="30"/>
    <m/>
    <m/>
    <m/>
    <m/>
    <m/>
    <m/>
    <m/>
    <n v="8500"/>
    <s v=" -   "/>
    <s v=" -   "/>
    <s v=" -   "/>
    <s v=" -   "/>
    <n v="8500"/>
    <s v=" -   "/>
    <s v=" -   "/>
    <s v=" -   "/>
    <s v=" -   "/>
    <s v=" -   "/>
    <s v=" -   "/>
    <s v=" -   "/>
    <n v="8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PROYECTOS 2"/>
    <x v="2"/>
    <n v="1"/>
    <n v="8500"/>
    <m/>
    <m/>
    <m/>
    <m/>
    <m/>
    <n v="30"/>
    <m/>
    <m/>
    <m/>
    <m/>
    <m/>
    <m/>
    <n v="8500"/>
    <s v=" -   "/>
    <s v=" -   "/>
    <s v=" -   "/>
    <s v=" -   "/>
    <s v=" -   "/>
    <n v="8500"/>
    <s v=" -   "/>
    <s v=" -   "/>
    <s v=" -   "/>
    <s v=" -   "/>
    <s v=" -   "/>
    <s v=" -   "/>
    <n v="8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PROYECTOS TI 2"/>
    <x v="2"/>
    <n v="1"/>
    <n v="9000"/>
    <m/>
    <m/>
    <m/>
    <m/>
    <n v="30"/>
    <n v="30"/>
    <m/>
    <m/>
    <m/>
    <m/>
    <m/>
    <m/>
    <n v="18000"/>
    <s v=" -   "/>
    <s v=" -   "/>
    <s v=" -   "/>
    <s v=" -   "/>
    <n v="9000"/>
    <n v="9000"/>
    <s v=" -   "/>
    <s v=" -   "/>
    <s v=" -   "/>
    <s v=" -   "/>
    <s v=" -   "/>
    <s v=" -   "/>
    <n v="1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DESARROLLO"/>
    <x v="2"/>
    <n v="1"/>
    <n v="9000"/>
    <m/>
    <m/>
    <m/>
    <m/>
    <n v="30"/>
    <n v="30"/>
    <m/>
    <m/>
    <m/>
    <m/>
    <m/>
    <m/>
    <n v="18000"/>
    <s v=" -   "/>
    <s v=" -   "/>
    <s v=" -   "/>
    <s v=" -   "/>
    <n v="9000"/>
    <n v="9000"/>
    <s v=" -   "/>
    <s v=" -   "/>
    <s v=" -   "/>
    <s v=" -   "/>
    <s v=" -   "/>
    <s v=" -   "/>
    <n v="1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PROYECTOS DE SOFTWARE 1"/>
    <x v="2"/>
    <n v="1"/>
    <n v="10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COORDINADOR DE PROYECTOS 1"/>
    <x v="2"/>
    <n v="1"/>
    <n v="8500"/>
    <m/>
    <m/>
    <m/>
    <m/>
    <n v="30"/>
    <m/>
    <m/>
    <m/>
    <m/>
    <m/>
    <m/>
    <m/>
    <n v="8500"/>
    <s v=" -   "/>
    <s v=" -   "/>
    <s v=" -   "/>
    <s v=" -   "/>
    <n v="8500"/>
    <s v=" -   "/>
    <s v=" -   "/>
    <s v=" -   "/>
    <s v=" -   "/>
    <s v=" -   "/>
    <s v=" -   "/>
    <s v=" -   "/>
    <n v="8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COORDINADOR DE PROYECTOS 1"/>
    <x v="2"/>
    <n v="1"/>
    <n v="8500"/>
    <m/>
    <m/>
    <m/>
    <m/>
    <m/>
    <n v="30"/>
    <m/>
    <m/>
    <m/>
    <m/>
    <m/>
    <m/>
    <n v="8500"/>
    <s v=" -   "/>
    <s v=" -   "/>
    <s v=" -   "/>
    <s v=" -   "/>
    <s v=" -   "/>
    <n v="8500"/>
    <s v=" -   "/>
    <s v=" -   "/>
    <s v=" -   "/>
    <s v=" -   "/>
    <s v=" -   "/>
    <s v=" -   "/>
    <n v="8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COORDINADOR UX/UI"/>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COORDINADOR UX/UI"/>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EN GESTION DE PROYECTOS"/>
    <x v="2"/>
    <n v="1"/>
    <n v="12000"/>
    <m/>
    <m/>
    <m/>
    <m/>
    <n v="30"/>
    <n v="30"/>
    <m/>
    <m/>
    <m/>
    <m/>
    <m/>
    <m/>
    <n v="24000"/>
    <s v=" -   "/>
    <s v=" -   "/>
    <s v=" -   "/>
    <s v=" -   "/>
    <n v="12000"/>
    <n v="12000"/>
    <s v=" -   "/>
    <s v=" -   "/>
    <s v=" -   "/>
    <s v=" -   "/>
    <s v=" -   "/>
    <s v=" -   "/>
    <n v="24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EN BASE DE DATOS"/>
    <x v="2"/>
    <n v="1"/>
    <n v="9000"/>
    <m/>
    <m/>
    <m/>
    <m/>
    <n v="30"/>
    <n v="30"/>
    <m/>
    <m/>
    <m/>
    <m/>
    <m/>
    <m/>
    <n v="18000"/>
    <s v=" -   "/>
    <s v=" -   "/>
    <s v=" -   "/>
    <s v=" -   "/>
    <n v="9000"/>
    <n v="9000"/>
    <s v=" -   "/>
    <s v=" -   "/>
    <s v=" -   "/>
    <s v=" -   "/>
    <s v=" -   "/>
    <s v=" -   "/>
    <n v="1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ESPECIALISTA EN GESTIÓN DE PROYECTOS DE SOFTWARE 1"/>
    <x v="2"/>
    <n v="1"/>
    <n v="10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1"/>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2"/>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3"/>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4"/>
    <x v="2"/>
    <n v="1"/>
    <n v="4500"/>
    <m/>
    <m/>
    <m/>
    <m/>
    <n v="30"/>
    <n v="30"/>
    <m/>
    <m/>
    <m/>
    <m/>
    <m/>
    <m/>
    <n v="9000"/>
    <s v=" -   "/>
    <s v=" -   "/>
    <s v=" -   "/>
    <s v=" -   "/>
    <n v="4500"/>
    <n v="4500"/>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5"/>
    <x v="2"/>
    <n v="3"/>
    <n v="4500"/>
    <m/>
    <m/>
    <m/>
    <m/>
    <n v="30"/>
    <n v="30"/>
    <m/>
    <m/>
    <m/>
    <m/>
    <m/>
    <m/>
    <n v="27000"/>
    <s v=" -   "/>
    <s v=" -   "/>
    <s v=" -   "/>
    <s v=" -   "/>
    <n v="13500"/>
    <n v="13500"/>
    <s v=" -   "/>
    <s v=" -   "/>
    <s v=" -   "/>
    <s v=" -   "/>
    <s v=" -   "/>
    <s v=" -   "/>
    <n v="2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6"/>
    <x v="2"/>
    <n v="2"/>
    <n v="4500"/>
    <m/>
    <m/>
    <m/>
    <m/>
    <n v="30"/>
    <m/>
    <m/>
    <m/>
    <m/>
    <m/>
    <m/>
    <m/>
    <n v="9000"/>
    <s v=" -   "/>
    <s v=" -   "/>
    <s v=" -   "/>
    <s v=" -   "/>
    <n v="9000"/>
    <s v=" -   "/>
    <s v=" -   "/>
    <s v=" -   "/>
    <s v=" -   "/>
    <s v=" -   "/>
    <s v=" -   "/>
    <s v=" -   "/>
    <n v="9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6"/>
    <x v="2"/>
    <n v="2"/>
    <n v="4500"/>
    <m/>
    <m/>
    <m/>
    <m/>
    <m/>
    <n v="30"/>
    <m/>
    <m/>
    <m/>
    <m/>
    <m/>
    <m/>
    <n v="9000"/>
    <s v=" -   "/>
    <s v=" -   "/>
    <s v=" -   "/>
    <s v=" -   "/>
    <s v=" -   "/>
    <n v="9000"/>
    <s v=" -   "/>
    <s v=" -   "/>
    <s v=" -   "/>
    <s v=" -   "/>
    <s v=" -   "/>
    <s v=" -   "/>
    <n v="9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DE APLICACIONES 1"/>
    <x v="2"/>
    <n v="1"/>
    <n v="3000"/>
    <m/>
    <m/>
    <m/>
    <m/>
    <n v="30"/>
    <m/>
    <m/>
    <m/>
    <m/>
    <m/>
    <m/>
    <m/>
    <n v="3000"/>
    <s v=" -   "/>
    <s v=" -   "/>
    <s v=" -   "/>
    <s v=" -   "/>
    <n v="3000"/>
    <s v=" -   "/>
    <s v=" -   "/>
    <s v=" -   "/>
    <s v=" -   "/>
    <s v=" -   "/>
    <s v=" -   "/>
    <s v=" -   "/>
    <n v="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DE APLICACIONES 1"/>
    <x v="2"/>
    <n v="1"/>
    <n v="3000"/>
    <m/>
    <m/>
    <m/>
    <m/>
    <m/>
    <n v="30"/>
    <m/>
    <m/>
    <m/>
    <m/>
    <m/>
    <m/>
    <n v="3000"/>
    <s v=" -   "/>
    <s v=" -   "/>
    <s v=" -   "/>
    <s v=" -   "/>
    <s v=" -   "/>
    <n v="3000"/>
    <s v=" -   "/>
    <s v=" -   "/>
    <s v=" -   "/>
    <s v=" -   "/>
    <s v=" -   "/>
    <s v=" -   "/>
    <n v="3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DE APLICACIONES JUNIOR 1"/>
    <x v="2"/>
    <n v="1"/>
    <n v="3000"/>
    <m/>
    <m/>
    <m/>
    <m/>
    <n v="30"/>
    <m/>
    <m/>
    <m/>
    <m/>
    <m/>
    <m/>
    <m/>
    <n v="3000"/>
    <s v=" -   "/>
    <s v=" -   "/>
    <s v=" -   "/>
    <s v=" -   "/>
    <n v="3000"/>
    <s v=" -   "/>
    <s v=" -   "/>
    <s v=" -   "/>
    <s v=" -   "/>
    <s v=" -   "/>
    <s v=" -   "/>
    <s v=" -   "/>
    <n v="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DE APLICACIONES JUNIOR 1"/>
    <x v="2"/>
    <n v="1"/>
    <n v="3000"/>
    <m/>
    <m/>
    <m/>
    <m/>
    <m/>
    <n v="30"/>
    <m/>
    <m/>
    <m/>
    <m/>
    <m/>
    <m/>
    <n v="3000"/>
    <s v=" -   "/>
    <s v=" -   "/>
    <s v=" -   "/>
    <s v=" -   "/>
    <s v=" -   "/>
    <n v="3000"/>
    <s v=" -   "/>
    <s v=" -   "/>
    <s v=" -   "/>
    <s v=" -   "/>
    <s v=" -   "/>
    <s v=" -   "/>
    <n v="3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DE DATOS JUNIOR 1"/>
    <x v="2"/>
    <n v="1"/>
    <n v="2500"/>
    <m/>
    <m/>
    <m/>
    <m/>
    <n v="30"/>
    <m/>
    <m/>
    <m/>
    <m/>
    <m/>
    <m/>
    <m/>
    <n v="2500"/>
    <s v=" -   "/>
    <s v=" -   "/>
    <s v=" -   "/>
    <s v=" -   "/>
    <n v="2500"/>
    <s v=" -   "/>
    <s v=" -   "/>
    <s v=" -   "/>
    <s v=" -   "/>
    <s v=" -   "/>
    <s v=" -   "/>
    <s v=" -   "/>
    <n v="2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DE DATOS JUNIOR 1"/>
    <x v="2"/>
    <n v="1"/>
    <n v="2500"/>
    <m/>
    <m/>
    <m/>
    <m/>
    <m/>
    <n v="30"/>
    <m/>
    <m/>
    <m/>
    <m/>
    <m/>
    <m/>
    <n v="2500"/>
    <s v=" -   "/>
    <s v=" -   "/>
    <s v=" -   "/>
    <s v=" -   "/>
    <s v=" -   "/>
    <n v="2500"/>
    <s v=" -   "/>
    <s v=" -   "/>
    <s v=" -   "/>
    <s v=" -   "/>
    <s v=" -   "/>
    <s v=" -   "/>
    <n v="2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DE APLICACIONES JUNIOR 2"/>
    <x v="2"/>
    <n v="1"/>
    <n v="3000"/>
    <m/>
    <m/>
    <m/>
    <m/>
    <n v="30"/>
    <m/>
    <m/>
    <m/>
    <m/>
    <m/>
    <m/>
    <m/>
    <n v="3000"/>
    <s v=" -   "/>
    <s v=" -   "/>
    <s v=" -   "/>
    <s v=" -   "/>
    <n v="3000"/>
    <s v=" -   "/>
    <s v=" -   "/>
    <s v=" -   "/>
    <s v=" -   "/>
    <s v=" -   "/>
    <s v=" -   "/>
    <s v=" -   "/>
    <n v="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DE APLICACIONES JUNIOR 2"/>
    <x v="2"/>
    <n v="1"/>
    <n v="3000"/>
    <m/>
    <m/>
    <m/>
    <m/>
    <m/>
    <n v="30"/>
    <m/>
    <m/>
    <m/>
    <m/>
    <m/>
    <m/>
    <n v="3000"/>
    <s v=" -   "/>
    <s v=" -   "/>
    <s v=" -   "/>
    <s v=" -   "/>
    <s v=" -   "/>
    <n v="3000"/>
    <s v=" -   "/>
    <s v=" -   "/>
    <s v=" -   "/>
    <s v=" -   "/>
    <s v=" -   "/>
    <s v=" -   "/>
    <n v="3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31"/>
    <x v="2"/>
    <n v="1"/>
    <n v="7000"/>
    <m/>
    <m/>
    <m/>
    <m/>
    <n v="30"/>
    <n v="30"/>
    <m/>
    <m/>
    <m/>
    <m/>
    <m/>
    <m/>
    <n v="14000"/>
    <s v=" -   "/>
    <s v=" -   "/>
    <s v=" -   "/>
    <s v=" -   "/>
    <n v="7000"/>
    <n v="7000"/>
    <s v=" -   "/>
    <s v=" -   "/>
    <s v=" -   "/>
    <s v=" -   "/>
    <s v=" -   "/>
    <s v=" -   "/>
    <n v="14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SOPORTE INFORMATICO DE SISTEMAS 1"/>
    <x v="2"/>
    <n v="1"/>
    <n v="5000"/>
    <m/>
    <m/>
    <m/>
    <m/>
    <n v="30"/>
    <m/>
    <m/>
    <m/>
    <m/>
    <m/>
    <m/>
    <m/>
    <n v="5000"/>
    <s v=" -   "/>
    <s v=" -   "/>
    <s v=" -   "/>
    <s v=" -   "/>
    <n v="5000"/>
    <s v=" -   "/>
    <s v=" -   "/>
    <s v=" -   "/>
    <s v=" -   "/>
    <s v=" -   "/>
    <s v=" -   "/>
    <s v=" -   "/>
    <n v="5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
    <x v="2"/>
    <n v="1"/>
    <n v="5000"/>
    <m/>
    <m/>
    <m/>
    <m/>
    <m/>
    <n v="30"/>
    <m/>
    <m/>
    <m/>
    <m/>
    <m/>
    <m/>
    <n v="5000"/>
    <s v=" -   "/>
    <s v=" -   "/>
    <s v=" -   "/>
    <s v=" -   "/>
    <s v=" -   "/>
    <n v="5000"/>
    <s v=" -   "/>
    <s v=" -   "/>
    <s v=" -   "/>
    <s v=" -   "/>
    <s v=" -   "/>
    <s v=" -   "/>
    <n v="5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SOPORTE INFORMATICO DE SISTEMAS 2"/>
    <x v="2"/>
    <n v="1"/>
    <n v="5000"/>
    <m/>
    <m/>
    <m/>
    <m/>
    <n v="30"/>
    <m/>
    <m/>
    <m/>
    <m/>
    <m/>
    <m/>
    <m/>
    <n v="5000"/>
    <s v=" -   "/>
    <s v=" -   "/>
    <s v=" -   "/>
    <s v=" -   "/>
    <n v="5000"/>
    <s v=" -   "/>
    <s v=" -   "/>
    <s v=" -   "/>
    <s v=" -   "/>
    <s v=" -   "/>
    <s v=" -   "/>
    <s v=" -   "/>
    <n v="5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2"/>
    <x v="2"/>
    <n v="1"/>
    <n v="5000"/>
    <m/>
    <m/>
    <m/>
    <m/>
    <m/>
    <n v="30"/>
    <m/>
    <m/>
    <m/>
    <m/>
    <m/>
    <m/>
    <n v="5000"/>
    <s v=" -   "/>
    <s v=" -   "/>
    <s v=" -   "/>
    <s v=" -   "/>
    <s v=" -   "/>
    <n v="5000"/>
    <s v=" -   "/>
    <s v=" -   "/>
    <s v=" -   "/>
    <s v=" -   "/>
    <s v=" -   "/>
    <s v=" -   "/>
    <n v="5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3"/>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4"/>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5"/>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6"/>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7"/>
    <x v="2"/>
    <n v="2"/>
    <n v="5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8"/>
    <x v="2"/>
    <n v="2"/>
    <n v="5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9"/>
    <x v="2"/>
    <n v="2"/>
    <n v="5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0"/>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5"/>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1"/>
    <x v="2"/>
    <n v="2"/>
    <n v="5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2"/>
    <x v="2"/>
    <n v="2"/>
    <n v="5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3"/>
    <x v="2"/>
    <n v="2"/>
    <n v="5000"/>
    <m/>
    <m/>
    <m/>
    <m/>
    <n v="30"/>
    <n v="30"/>
    <m/>
    <m/>
    <m/>
    <m/>
    <m/>
    <m/>
    <n v="20000"/>
    <s v=" -   "/>
    <s v=" -   "/>
    <s v=" -   "/>
    <s v=" -   "/>
    <n v="10000"/>
    <n v="10000"/>
    <s v=" -   "/>
    <s v=" -   "/>
    <s v=" -   "/>
    <s v=" -   "/>
    <s v=" -   "/>
    <s v=" -   "/>
    <n v="20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INFORMATICO DE SISTEMAS 14"/>
    <x v="2"/>
    <n v="1"/>
    <n v="5000"/>
    <m/>
    <m/>
    <m/>
    <m/>
    <n v="30"/>
    <n v="30"/>
    <m/>
    <m/>
    <m/>
    <m/>
    <m/>
    <m/>
    <n v="10000"/>
    <s v=" -   "/>
    <s v=" -   "/>
    <s v=" -   "/>
    <s v=" -   "/>
    <n v="5000"/>
    <n v="5000"/>
    <s v=" -   "/>
    <s v=" -   "/>
    <s v=" -   "/>
    <s v=" -   "/>
    <s v=" -   "/>
    <s v=" -   "/>
    <n v="10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DATOS 1"/>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DATOS 1"/>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DE PRUEBAS DE DESARROLLO DE SOFTWARE 1"/>
    <x v="2"/>
    <n v="1"/>
    <n v="5500"/>
    <m/>
    <m/>
    <m/>
    <m/>
    <n v="30"/>
    <m/>
    <m/>
    <m/>
    <m/>
    <m/>
    <m/>
    <m/>
    <n v="5500"/>
    <s v=" -   "/>
    <s v=" -   "/>
    <s v=" -   "/>
    <s v=" -   "/>
    <n v="5500"/>
    <s v=" -   "/>
    <s v=" -   "/>
    <s v=" -   "/>
    <s v=" -   "/>
    <s v=" -   "/>
    <s v=" -   "/>
    <s v=" -   "/>
    <n v="5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DE PRUEBAS DE DESARROLLO DE SOFTWARE 1"/>
    <x v="2"/>
    <n v="1"/>
    <n v="5500"/>
    <m/>
    <m/>
    <m/>
    <m/>
    <m/>
    <n v="30"/>
    <m/>
    <m/>
    <m/>
    <m/>
    <m/>
    <m/>
    <n v="5500"/>
    <s v=" -   "/>
    <s v=" -   "/>
    <s v=" -   "/>
    <s v=" -   "/>
    <s v=" -   "/>
    <n v="5500"/>
    <s v=" -   "/>
    <s v=" -   "/>
    <s v=" -   "/>
    <s v=" -   "/>
    <s v=" -   "/>
    <s v=" -   "/>
    <n v="5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FUNCIONAL SENIOR 1"/>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FUNCIONAL SENIOR 1"/>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1"/>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1"/>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2"/>
    <x v="2"/>
    <n v="1"/>
    <n v="6000"/>
    <m/>
    <m/>
    <m/>
    <m/>
    <n v="30"/>
    <m/>
    <m/>
    <m/>
    <m/>
    <m/>
    <m/>
    <m/>
    <n v="6000"/>
    <s v=" -   "/>
    <s v=" -   "/>
    <s v=" -   "/>
    <s v=" -   "/>
    <n v="6000"/>
    <s v=" -   "/>
    <s v=" -   "/>
    <s v=" -   "/>
    <s v=" -   "/>
    <s v=" -   "/>
    <s v=" -   "/>
    <s v=" -   "/>
    <n v="6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2"/>
    <x v="2"/>
    <n v="1"/>
    <n v="6000"/>
    <m/>
    <m/>
    <m/>
    <m/>
    <m/>
    <n v="30"/>
    <m/>
    <m/>
    <m/>
    <m/>
    <m/>
    <m/>
    <n v="6000"/>
    <s v=" -   "/>
    <s v=" -   "/>
    <s v=" -   "/>
    <s v=" -   "/>
    <s v=" -   "/>
    <n v="6000"/>
    <s v=" -   "/>
    <s v=" -   "/>
    <s v=" -   "/>
    <s v=" -   "/>
    <s v=" -   "/>
    <s v=" -   "/>
    <n v="6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1"/>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1"/>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PROGRAMADOR SENIOR 35"/>
    <x v="2"/>
    <n v="1"/>
    <n v="7000"/>
    <m/>
    <m/>
    <m/>
    <m/>
    <n v="30"/>
    <m/>
    <m/>
    <m/>
    <m/>
    <m/>
    <m/>
    <m/>
    <n v="7000"/>
    <s v=" -   "/>
    <s v=" -   "/>
    <s v=" -   "/>
    <s v=" -   "/>
    <n v="7000"/>
    <s v=" -   "/>
    <s v=" -   "/>
    <s v=" -   "/>
    <s v=" -   "/>
    <s v=" -   "/>
    <s v=" -   "/>
    <s v=" -   "/>
    <n v="7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ANALISTA PROGRAMADOR SENIOR 35"/>
    <x v="2"/>
    <n v="1"/>
    <n v="7000"/>
    <m/>
    <m/>
    <m/>
    <m/>
    <m/>
    <n v="30"/>
    <m/>
    <m/>
    <m/>
    <m/>
    <m/>
    <m/>
    <n v="7000"/>
    <s v=" -   "/>
    <s v=" -   "/>
    <s v=" -   "/>
    <s v=" -   "/>
    <s v=" -   "/>
    <n v="7000"/>
    <s v=" -   "/>
    <s v=" -   "/>
    <s v=" -   "/>
    <s v=" -   "/>
    <s v=" -   "/>
    <s v=" -   "/>
    <n v="7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DOCUMENTADOR 1"/>
    <x v="2"/>
    <n v="1"/>
    <n v="4500"/>
    <m/>
    <m/>
    <m/>
    <m/>
    <n v="30"/>
    <m/>
    <m/>
    <m/>
    <m/>
    <m/>
    <m/>
    <m/>
    <n v="4500"/>
    <s v=" -   "/>
    <s v=" -   "/>
    <s v=" -   "/>
    <s v=" -   "/>
    <n v="4500"/>
    <s v=" -   "/>
    <s v=" -   "/>
    <s v=" -   "/>
    <s v=" -   "/>
    <s v=" -   "/>
    <s v=" -   "/>
    <s v=" -   "/>
    <n v="4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DOCUMENTADOR 1"/>
    <x v="2"/>
    <n v="1"/>
    <n v="4500"/>
    <m/>
    <m/>
    <m/>
    <m/>
    <m/>
    <n v="30"/>
    <m/>
    <m/>
    <m/>
    <m/>
    <m/>
    <m/>
    <n v="4500"/>
    <s v=" -   "/>
    <s v=" -   "/>
    <s v=" -   "/>
    <s v=" -   "/>
    <s v=" -   "/>
    <n v="4500"/>
    <s v=" -   "/>
    <s v=" -   "/>
    <s v=" -   "/>
    <s v=" -   "/>
    <s v=" -   "/>
    <s v=" -   "/>
    <n v="45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COORDINADOR DE SOPORTE INFORMATICO DE DESARROLLO"/>
    <x v="2"/>
    <n v="1"/>
    <n v="8000"/>
    <m/>
    <m/>
    <m/>
    <m/>
    <n v="30"/>
    <m/>
    <m/>
    <m/>
    <m/>
    <m/>
    <m/>
    <m/>
    <n v="8000"/>
    <s v=" -   "/>
    <s v=" -   "/>
    <s v=" -   "/>
    <s v=" -   "/>
    <n v="8000"/>
    <s v=" -   "/>
    <s v=" -   "/>
    <s v=" -   "/>
    <s v=" -   "/>
    <s v=" -   "/>
    <s v=" -   "/>
    <s v=" -   "/>
    <n v="80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COORDINADOR DE SOPORTE INFORMATICO DE DESARROLLO"/>
    <x v="2"/>
    <n v="1"/>
    <n v="8000"/>
    <m/>
    <m/>
    <m/>
    <m/>
    <m/>
    <n v="30"/>
    <m/>
    <m/>
    <m/>
    <m/>
    <m/>
    <m/>
    <n v="8000"/>
    <s v=" -   "/>
    <s v=" -   "/>
    <s v=" -   "/>
    <s v=" -   "/>
    <s v=" -   "/>
    <n v="8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GESTOR DE PROYECTOS 3"/>
    <x v="2"/>
    <n v="1"/>
    <n v="8500"/>
    <m/>
    <m/>
    <m/>
    <m/>
    <n v="30"/>
    <m/>
    <m/>
    <m/>
    <m/>
    <m/>
    <m/>
    <m/>
    <n v="8500"/>
    <s v=" -   "/>
    <s v=" -   "/>
    <s v=" -   "/>
    <s v=" -   "/>
    <n v="8500"/>
    <s v=" -   "/>
    <s v=" -   "/>
    <s v=" -   "/>
    <s v=" -   "/>
    <s v=" -   "/>
    <s v=" -   "/>
    <s v=" -   "/>
    <n v="8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GESTOR DE PROYECTOS 3"/>
    <x v="2"/>
    <n v="1"/>
    <n v="8500"/>
    <m/>
    <m/>
    <m/>
    <m/>
    <m/>
    <n v="30"/>
    <m/>
    <m/>
    <m/>
    <m/>
    <m/>
    <m/>
    <n v="8500"/>
    <s v=" -   "/>
    <s v=" -   "/>
    <s v=" -   "/>
    <s v=" -   "/>
    <s v=" -   "/>
    <n v="8500"/>
    <s v=" -   "/>
    <s v=" -   "/>
    <s v=" -   "/>
    <s v=" -   "/>
    <s v=" -   "/>
    <s v=" -   "/>
    <n v="8500"/>
    <x v="2"/>
    <s v="P1"/>
    <m/>
    <m/>
  </r>
  <r>
    <n v="2026"/>
    <n v="479"/>
    <s v="PROCESOS DE SOPORTE"/>
    <s v="GESTION DE LAS TECNOLOGIAS DE LA INFORMACION Y COMUNICACIONES "/>
    <n v="125"/>
    <n v="3000654"/>
    <n v="5005023"/>
    <n v="3"/>
    <n v="12"/>
    <n v="24"/>
    <n v="135560"/>
    <s v="2026EG 2026 (SEP)GITEMANTENIMIENTO Y SOPORTE A LAS SOLUCIONES TECNOLÓGICAS"/>
    <x v="3"/>
    <x v="3"/>
    <m/>
    <s v="GITE"/>
    <s v="EG 2026 (SEP)"/>
    <s v="2.3"/>
    <s v="2.3.2.9.1.1"/>
    <m/>
    <s v="SOPORTE ADMINISTRATIVO"/>
    <x v="2"/>
    <n v="1"/>
    <n v="4000"/>
    <m/>
    <m/>
    <m/>
    <m/>
    <n v="30"/>
    <n v="30"/>
    <m/>
    <m/>
    <m/>
    <m/>
    <m/>
    <m/>
    <n v="8000"/>
    <s v=" -   "/>
    <s v=" -   "/>
    <s v=" -   "/>
    <s v=" -   "/>
    <n v="4000"/>
    <n v="4000"/>
    <s v=" -   "/>
    <s v=" -   "/>
    <s v=" -   "/>
    <s v=" -   "/>
    <s v=" -   "/>
    <s v=" -   "/>
    <n v="8000"/>
    <x v="2"/>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SERVICIO DE ALIMENTACIÓN (Subgerencias y despacho)"/>
    <x v="0"/>
    <n v="1"/>
    <n v="38800"/>
    <m/>
    <m/>
    <m/>
    <m/>
    <n v="1"/>
    <n v="1"/>
    <m/>
    <m/>
    <m/>
    <m/>
    <m/>
    <m/>
    <n v="77600"/>
    <s v=" -   "/>
    <s v=" -   "/>
    <s v=" -   "/>
    <s v=" -   "/>
    <n v="38800"/>
    <n v="38800"/>
    <s v=" -   "/>
    <s v=" -   "/>
    <s v=" -   "/>
    <s v=" -   "/>
    <s v=" -   "/>
    <s v=" -   "/>
    <n v="77600"/>
    <x v="3"/>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ESTRATEGIAS DE GOBIERNO DIGITAL DE TI"/>
    <x v="2"/>
    <n v="1"/>
    <n v="10000"/>
    <m/>
    <m/>
    <m/>
    <m/>
    <n v="30"/>
    <n v="30"/>
    <m/>
    <m/>
    <m/>
    <m/>
    <m/>
    <m/>
    <n v="20000"/>
    <s v=" -   "/>
    <s v=" -   "/>
    <s v=" -   "/>
    <s v=" -   "/>
    <n v="10000"/>
    <n v="10000"/>
    <s v=" -   "/>
    <s v=" -   "/>
    <s v=" -   "/>
    <s v=" -   "/>
    <s v=" -   "/>
    <s v=" -   "/>
    <n v="20000"/>
    <x v="3"/>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SENIOR EN PLANIFICACIÓN DE PROYECTOS DE TI"/>
    <x v="2"/>
    <n v="1"/>
    <n v="10000"/>
    <m/>
    <m/>
    <m/>
    <m/>
    <n v="30"/>
    <n v="30"/>
    <m/>
    <m/>
    <m/>
    <m/>
    <m/>
    <m/>
    <n v="20000"/>
    <s v=" -   "/>
    <s v=" -   "/>
    <s v=" -   "/>
    <s v=" -   "/>
    <n v="10000"/>
    <n v="10000"/>
    <s v=" -   "/>
    <s v=" -   "/>
    <s v=" -   "/>
    <s v=" -   "/>
    <s v=" -   "/>
    <s v=" -   "/>
    <n v="20000"/>
    <x v="3"/>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GESTIÓN DE PROYECTOS DE TI ELECTORALES"/>
    <x v="2"/>
    <n v="1"/>
    <n v="10000"/>
    <m/>
    <m/>
    <m/>
    <m/>
    <n v="30"/>
    <n v="30"/>
    <m/>
    <m/>
    <m/>
    <m/>
    <m/>
    <m/>
    <n v="20000"/>
    <s v=" -   "/>
    <s v=" -   "/>
    <s v=" -   "/>
    <s v=" -   "/>
    <n v="10000"/>
    <n v="10000"/>
    <s v=" -   "/>
    <s v=" -   "/>
    <s v=" -   "/>
    <s v=" -   "/>
    <s v=" -   "/>
    <s v=" -   "/>
    <n v="20000"/>
    <x v="3"/>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ESPECIALISTA EN SEGURIDAD DIGITAL APLICADA A PROCESOS ELECTORALES"/>
    <x v="2"/>
    <n v="1"/>
    <n v="10000"/>
    <m/>
    <m/>
    <m/>
    <m/>
    <n v="30"/>
    <n v="30"/>
    <m/>
    <m/>
    <m/>
    <m/>
    <m/>
    <m/>
    <n v="20000"/>
    <s v=" -   "/>
    <s v=" -   "/>
    <s v=" -   "/>
    <s v=" -   "/>
    <n v="10000"/>
    <n v="10000"/>
    <s v=" -   "/>
    <s v=" -   "/>
    <s v=" -   "/>
    <s v=" -   "/>
    <s v=" -   "/>
    <s v=" -   "/>
    <n v="20000"/>
    <x v="3"/>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ESPECIALISTA EN PROYECTOS ELECTORALES"/>
    <x v="2"/>
    <n v="1"/>
    <n v="10000"/>
    <m/>
    <m/>
    <m/>
    <m/>
    <n v="30"/>
    <n v="30"/>
    <m/>
    <m/>
    <m/>
    <m/>
    <m/>
    <m/>
    <n v="20000"/>
    <s v=" -   "/>
    <s v=" -   "/>
    <s v=" -   "/>
    <s v=" -   "/>
    <n v="10000"/>
    <n v="10000"/>
    <s v=" -   "/>
    <s v=" -   "/>
    <s v=" -   "/>
    <s v=" -   "/>
    <s v=" -   "/>
    <s v=" -   "/>
    <n v="20000"/>
    <x v="3"/>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ADMINISTRADOR DE CLAVES DE SEGURIDAD"/>
    <x v="2"/>
    <n v="1"/>
    <n v="6000"/>
    <m/>
    <m/>
    <m/>
    <m/>
    <n v="30"/>
    <n v="30"/>
    <m/>
    <m/>
    <m/>
    <m/>
    <m/>
    <m/>
    <n v="12000"/>
    <s v=" -   "/>
    <s v=" -   "/>
    <s v=" -   "/>
    <s v=" -   "/>
    <n v="6000"/>
    <n v="6000"/>
    <s v=" -   "/>
    <s v=" -   "/>
    <s v=" -   "/>
    <s v=" -   "/>
    <s v=" -   "/>
    <s v=" -   "/>
    <n v="12000"/>
    <x v="3"/>
    <s v="P1"/>
    <m/>
    <m/>
  </r>
  <r>
    <n v="2026"/>
    <n v="479"/>
    <s v="PROCESOS DE SOPORTE"/>
    <s v="GESTION DE LAS TECNOLOGIAS DE LA INFORMACION Y COMUNICACIONES "/>
    <n v="125"/>
    <n v="3000654"/>
    <n v="5005023"/>
    <n v="3"/>
    <n v="12"/>
    <n v="24"/>
    <n v="135560"/>
    <s v="2026EG 2026 (SEP)GITEGESTIÓN DE LA SEGURIDAD INFORMÁTICA Y CONTINUIDAD DE LOS SERVICIOS TECNOLÓGICOS"/>
    <x v="1"/>
    <x v="1"/>
    <m/>
    <s v="GITE"/>
    <s v="EG 2026 (SEP)"/>
    <s v="2.3"/>
    <s v="2.3.2.9.1.1"/>
    <m/>
    <s v="ASISTENTE  DE CLAVES DE SEGURIDAD"/>
    <x v="2"/>
    <n v="1"/>
    <n v="5000"/>
    <m/>
    <m/>
    <m/>
    <m/>
    <n v="30"/>
    <n v="30"/>
    <m/>
    <m/>
    <m/>
    <m/>
    <m/>
    <m/>
    <n v="10000"/>
    <s v=" -   "/>
    <s v=" -   "/>
    <s v=" -   "/>
    <s v=" -   "/>
    <n v="5000"/>
    <n v="5000"/>
    <s v=" -   "/>
    <s v=" -   "/>
    <s v=" -   "/>
    <s v=" -   "/>
    <s v=" -   "/>
    <s v=" -   "/>
    <n v="10000"/>
    <x v="3"/>
    <s v="P1"/>
    <m/>
    <m/>
  </r>
  <r>
    <n v="2026"/>
    <n v="479"/>
    <s v="PROCESOS DE SOPORTE"/>
    <s v="ATENCION AL CIUDADANO Y GESTION DOCUMENTAL"/>
    <n v="125"/>
    <n v="3000001"/>
    <n v="5000276"/>
    <n v="3"/>
    <n v="12"/>
    <n v="24"/>
    <n v="47173"/>
    <s v="2026EG 2026 (SEP)GITEGESTION DOCUMENTAL"/>
    <x v="4"/>
    <x v="4"/>
    <m/>
    <s v="GITE"/>
    <s v="EG 2026 (SEP)"/>
    <s v="2.3"/>
    <s v="2.3.2.9.1.1"/>
    <m/>
    <s v="ESPECIALISTA EN GESTIÓN Y CONTROL OPERATIVO DE PROCESOS ELECTORALES"/>
    <x v="2"/>
    <n v="1"/>
    <n v="9000"/>
    <m/>
    <m/>
    <m/>
    <m/>
    <n v="30"/>
    <n v="30"/>
    <m/>
    <m/>
    <m/>
    <m/>
    <m/>
    <m/>
    <n v="18000"/>
    <s v=" -   "/>
    <s v=" -   "/>
    <s v=" -   "/>
    <s v=" -   "/>
    <n v="9000"/>
    <n v="9000"/>
    <s v=" -   "/>
    <s v=" -   "/>
    <s v=" -   "/>
    <s v=" -   "/>
    <s v=" -   "/>
    <s v=" -   "/>
    <n v="18000"/>
    <x v="3"/>
    <s v="P1"/>
    <m/>
    <m/>
  </r>
  <r>
    <n v="2026"/>
    <n v="479"/>
    <s v="PROCESOS DE SOPORTE"/>
    <s v="ATENCION AL CIUDADANO Y GESTION DOCUMENTAL"/>
    <n v="125"/>
    <n v="3000001"/>
    <n v="5000276"/>
    <n v="3"/>
    <n v="12"/>
    <n v="24"/>
    <n v="47173"/>
    <s v="2026EG 2026 (SEP)GITEGESTION DOCUMENTAL"/>
    <x v="4"/>
    <x v="4"/>
    <m/>
    <s v="GITE"/>
    <s v="EG 2026 (SEP)"/>
    <s v="2.3"/>
    <s v="2.3.2.9.1.1"/>
    <m/>
    <s v="ESPECIALISTA DE CONTROL DE TI"/>
    <x v="2"/>
    <n v="1"/>
    <n v="9000"/>
    <m/>
    <m/>
    <m/>
    <m/>
    <n v="30"/>
    <n v="30"/>
    <m/>
    <m/>
    <m/>
    <m/>
    <m/>
    <m/>
    <n v="18000"/>
    <s v=" -   "/>
    <s v=" -   "/>
    <s v=" -   "/>
    <s v=" -   "/>
    <n v="9000"/>
    <n v="9000"/>
    <s v=" -   "/>
    <s v=" -   "/>
    <s v=" -   "/>
    <s v=" -   "/>
    <s v=" -   "/>
    <s v=" -   "/>
    <n v="18000"/>
    <x v="3"/>
    <s v="P1"/>
    <m/>
    <m/>
  </r>
  <r>
    <n v="2026"/>
    <n v="479"/>
    <s v="PROCESOS DE SOPORTE"/>
    <s v="ATENCION AL CIUDADANO Y GESTION DOCUMENTAL"/>
    <n v="125"/>
    <n v="3000001"/>
    <n v="5000276"/>
    <n v="3"/>
    <n v="12"/>
    <n v="24"/>
    <n v="47173"/>
    <s v="2026EG 2026 (SEP)GITEGESTION DOCUMENTAL"/>
    <x v="4"/>
    <x v="4"/>
    <m/>
    <s v="GITE"/>
    <s v="EG 2026 (SEP)"/>
    <s v="2.3"/>
    <s v="2.3.2.9.1.1"/>
    <m/>
    <s v="ESPECIALISTA LEGAL"/>
    <x v="2"/>
    <n v="1"/>
    <n v="8000"/>
    <m/>
    <m/>
    <m/>
    <m/>
    <n v="30"/>
    <n v="30"/>
    <m/>
    <m/>
    <m/>
    <m/>
    <m/>
    <m/>
    <n v="16000"/>
    <s v=" -   "/>
    <s v=" -   "/>
    <s v=" -   "/>
    <s v=" -   "/>
    <n v="8000"/>
    <n v="8000"/>
    <s v=" -   "/>
    <s v=" -   "/>
    <s v=" -   "/>
    <s v=" -   "/>
    <s v=" -   "/>
    <s v=" -   "/>
    <n v="16000"/>
    <x v="3"/>
    <s v="P1"/>
    <m/>
    <m/>
  </r>
  <r>
    <n v="2026"/>
    <n v="479"/>
    <s v="PROCESOS DE SOPORTE"/>
    <s v="ATENCION AL CIUDADANO Y GESTION DOCUMENTAL"/>
    <n v="125"/>
    <n v="3000001"/>
    <n v="5000276"/>
    <n v="3"/>
    <n v="12"/>
    <n v="24"/>
    <n v="47173"/>
    <s v="2026EG 2026 (SEP)GITEGESTION DOCUMENTAL"/>
    <x v="4"/>
    <x v="4"/>
    <m/>
    <s v="GITE"/>
    <s v="EG 2026 (SEP)"/>
    <s v="2.3"/>
    <s v="2.3.2.9.1.1"/>
    <m/>
    <s v="ANALISTA EN GESTIÓN Y CONTROL"/>
    <x v="2"/>
    <n v="1"/>
    <n v="6000"/>
    <m/>
    <m/>
    <m/>
    <m/>
    <n v="30"/>
    <n v="30"/>
    <m/>
    <m/>
    <m/>
    <m/>
    <m/>
    <m/>
    <n v="12000"/>
    <s v=" -   "/>
    <s v=" -   "/>
    <s v=" -   "/>
    <s v=" -   "/>
    <n v="6000"/>
    <n v="6000"/>
    <s v=" -   "/>
    <s v=" -   "/>
    <s v=" -   "/>
    <s v=" -   "/>
    <s v=" -   "/>
    <s v=" -   "/>
    <n v="12000"/>
    <x v="3"/>
    <s v="P1"/>
    <m/>
    <m/>
  </r>
  <r>
    <n v="2026"/>
    <n v="479"/>
    <s v="PROCESOS DE SOPORTE"/>
    <s v="ATENCION AL CIUDADANO Y GESTION DOCUMENTAL"/>
    <n v="125"/>
    <n v="3000001"/>
    <n v="5000276"/>
    <n v="3"/>
    <n v="12"/>
    <n v="24"/>
    <n v="47173"/>
    <s v="2026EG 2026 (SEP)GITEGESTION DOCUMENTAL"/>
    <x v="4"/>
    <x v="4"/>
    <m/>
    <s v="GITE"/>
    <s v="EG 2026 (SEP)"/>
    <s v="2.3"/>
    <s v="2.3.2.9.1.1"/>
    <m/>
    <s v="ANALISTA TECNICO ADMINISTRATIVO"/>
    <x v="2"/>
    <n v="1"/>
    <n v="6500"/>
    <m/>
    <m/>
    <m/>
    <m/>
    <n v="30"/>
    <n v="30"/>
    <m/>
    <m/>
    <m/>
    <m/>
    <m/>
    <m/>
    <n v="13000"/>
    <s v=" -   "/>
    <s v=" -   "/>
    <s v=" -   "/>
    <s v=" -   "/>
    <n v="6500"/>
    <n v="6500"/>
    <s v=" -   "/>
    <s v=" -   "/>
    <s v=" -   "/>
    <s v=" -   "/>
    <s v=" -   "/>
    <s v=" -   "/>
    <n v="13000"/>
    <x v="3"/>
    <s v="P1"/>
    <m/>
    <m/>
  </r>
  <r>
    <n v="2026"/>
    <n v="479"/>
    <s v="PROCESOS DE SOPORTE"/>
    <s v="ATENCION AL CIUDADANO Y GESTION DOCUMENTAL"/>
    <n v="125"/>
    <n v="3000001"/>
    <n v="5000276"/>
    <n v="3"/>
    <n v="12"/>
    <n v="24"/>
    <n v="47173"/>
    <s v="2026EG 2026 (SEP)GITEGESTION DOCUMENTAL"/>
    <x v="4"/>
    <x v="4"/>
    <m/>
    <s v="GITE"/>
    <s v="EG 2026 (SEP)"/>
    <s v="2.3"/>
    <s v="2.3.2.9.1.1"/>
    <m/>
    <s v="ANALISTA EN GESTION ADMINISTRATIVA 1"/>
    <x v="2"/>
    <n v="1"/>
    <n v="5500"/>
    <m/>
    <m/>
    <m/>
    <m/>
    <n v="30"/>
    <n v="30"/>
    <m/>
    <m/>
    <m/>
    <m/>
    <m/>
    <m/>
    <n v="11000"/>
    <s v=" -   "/>
    <s v=" -   "/>
    <s v=" -   "/>
    <s v=" -   "/>
    <n v="5500"/>
    <n v="5500"/>
    <s v=" -   "/>
    <s v=" -   "/>
    <s v=" -   "/>
    <s v=" -   "/>
    <s v=" -   "/>
    <s v=" -   "/>
    <n v="11000"/>
    <x v="3"/>
    <s v="P1"/>
    <m/>
    <m/>
  </r>
  <r>
    <n v="2026"/>
    <n v="479"/>
    <s v="PROCESOS DE SOPORTE"/>
    <s v="ATENCION AL CIUDADANO Y GESTION DOCUMENTAL"/>
    <n v="125"/>
    <n v="3000001"/>
    <n v="5000276"/>
    <n v="3"/>
    <n v="12"/>
    <n v="24"/>
    <n v="47173"/>
    <s v="2026EG 2026 (SEP)GITEGESTION DOCUMENTAL"/>
    <x v="4"/>
    <x v="4"/>
    <m/>
    <s v="GITE"/>
    <s v="EG 2026 (SEP)"/>
    <s v="2.3"/>
    <s v="2.3.2.9.1.1"/>
    <m/>
    <s v="ANALISTA EN GESTION ADMINISTRATIVA 2"/>
    <x v="2"/>
    <n v="1"/>
    <n v="5500"/>
    <m/>
    <m/>
    <m/>
    <m/>
    <n v="30"/>
    <n v="30"/>
    <m/>
    <m/>
    <m/>
    <m/>
    <m/>
    <m/>
    <n v="11000"/>
    <s v=" -   "/>
    <s v=" -   "/>
    <s v=" -   "/>
    <s v=" -   "/>
    <n v="5500"/>
    <n v="5500"/>
    <s v=" -   "/>
    <s v=" -   "/>
    <s v=" -   "/>
    <s v=" -   "/>
    <s v=" -   "/>
    <s v=" -   "/>
    <n v="11000"/>
    <x v="3"/>
    <s v="P1"/>
    <m/>
    <m/>
  </r>
  <r>
    <n v="2026"/>
    <n v="479"/>
    <s v="PROCESOS DE SOPORTE"/>
    <s v="ATENCION AL CIUDADANO Y GESTION DOCUMENTAL"/>
    <n v="125"/>
    <n v="3000001"/>
    <n v="5000276"/>
    <n v="3"/>
    <n v="12"/>
    <n v="24"/>
    <n v="47173"/>
    <s v="2026EG 2026 (SEP)GITEGESTION DOCUMENTAL"/>
    <x v="4"/>
    <x v="4"/>
    <m/>
    <s v="GITE"/>
    <s v="EG 2026 (SEP)"/>
    <s v="2.3"/>
    <s v="2.3.2.9.1.1"/>
    <m/>
    <s v="ASISTENTE EN GESTION DOCUMENTAL "/>
    <x v="2"/>
    <n v="1"/>
    <n v="5000"/>
    <m/>
    <m/>
    <m/>
    <m/>
    <n v="30"/>
    <n v="30"/>
    <m/>
    <m/>
    <m/>
    <m/>
    <m/>
    <m/>
    <n v="10000"/>
    <s v=" -   "/>
    <s v=" -   "/>
    <s v=" -   "/>
    <s v=" -   "/>
    <n v="5000"/>
    <n v="5000"/>
    <s v=" -   "/>
    <s v=" -   "/>
    <s v=" -   "/>
    <s v=" -   "/>
    <s v=" -   "/>
    <s v=" -   "/>
    <n v="10000"/>
    <x v="3"/>
    <s v="P1"/>
    <m/>
    <m/>
  </r>
  <r>
    <n v="2026"/>
    <n v="479"/>
    <s v="PROCESOS DE SOPORTE"/>
    <s v="GESTION DE LAS TECNOLOGIAS DE LA INFORMACION Y COMUNICACIONES "/>
    <n v="125"/>
    <n v="3000654"/>
    <n v="5005023"/>
    <n v="3"/>
    <n v="12"/>
    <n v="24"/>
    <n v="135560"/>
    <s v="2026EG 2026 (SEP)GITEDISEÑO, DESARROLLO Y DESPLIEGUE SOLUCIONES TECNOLOGICAS"/>
    <x v="2"/>
    <x v="2"/>
    <m/>
    <s v="GITE"/>
    <s v="EG 2026 (SEP)"/>
    <s v="2.3"/>
    <s v="2.3.2.9.1.1"/>
    <m/>
    <s v="ANALISTA EN OPERACIONES TECNOLOGICAS"/>
    <x v="2"/>
    <n v="1"/>
    <n v="6000"/>
    <m/>
    <m/>
    <m/>
    <m/>
    <n v="30"/>
    <n v="30"/>
    <m/>
    <m/>
    <m/>
    <m/>
    <m/>
    <m/>
    <n v="12000"/>
    <s v=" -   "/>
    <s v=" -   "/>
    <s v=" -   "/>
    <s v=" -   "/>
    <n v="6000"/>
    <n v="6000"/>
    <s v=" -   "/>
    <s v=" -   "/>
    <s v=" -   "/>
    <s v=" -   "/>
    <s v=" -   "/>
    <s v=" -   "/>
    <n v="12000"/>
    <x v="3"/>
    <s v="P1"/>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5">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INFRAESTRUCTURA DE BASE DE DATO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81"/>
    <m/>
    <s v="MEMORANDO 002456-2026-GITE"/>
    <s v="MEMO 002941-2026/GITE"/>
    <s v="GONZALES"/>
    <s v="ABAD"/>
    <s v="MILTON CESAR"/>
    <s v="07886622"/>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INFRAESTRUCTURA DE BASE DE DATOS"/>
    <s v="LOCADOR"/>
    <n v="1"/>
    <n v="6000"/>
    <m/>
    <m/>
    <m/>
    <m/>
    <n v="30"/>
    <n v="30"/>
    <m/>
    <m/>
    <m/>
    <m/>
    <m/>
    <m/>
    <n v="12000"/>
    <s v=" -   "/>
    <s v=" -   "/>
    <s v=" -   "/>
    <s v=" -   "/>
    <n v="6000"/>
    <n v="6000"/>
    <m/>
    <m/>
    <m/>
    <m/>
    <m/>
    <m/>
    <n v="12000"/>
    <x v="0"/>
    <s v="P1"/>
    <m/>
    <m/>
    <m/>
    <m/>
    <m/>
    <m/>
    <m/>
    <m/>
    <m/>
    <m/>
    <x v="1"/>
    <s v="PENDIENTE DE REQUERIR"/>
    <m/>
    <m/>
    <m/>
    <m/>
    <m/>
    <m/>
    <m/>
    <m/>
    <m/>
    <m/>
    <m/>
    <m/>
    <m/>
    <m/>
    <m/>
    <m/>
    <m/>
    <m/>
    <n v="30"/>
    <n v="6000"/>
    <m/>
    <n v="0"/>
    <m/>
    <n v="0"/>
    <n v="6000"/>
    <n v="6000"/>
    <m/>
    <n v="30"/>
    <n v="6000"/>
    <m/>
    <n v="0"/>
    <m/>
    <n v="0"/>
    <n v="6000"/>
    <n v="6000"/>
    <m/>
    <n v="12000"/>
    <n v="0"/>
    <n v="0"/>
    <n v="12000"/>
    <n v="12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BASE DE DATOS"/>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569"/>
    <m/>
    <s v="MEMORANDO 002456-2026-GITE"/>
    <s v="MEMO 002941-2026/GITE"/>
    <s v="CIPRIANO"/>
    <s v="POMA"/>
    <s v="ELVIS TEODORO"/>
    <n v="45506071"/>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BASE DE DATOS"/>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570"/>
    <m/>
    <s v="MEMORANDO 002456-2026-GITE"/>
    <s v="MEMO 002941-2026/GITE"/>
    <s v="PARDO"/>
    <s v="MAURICIO"/>
    <s v="GENARO ALONSO"/>
    <n v="72445680"/>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LECTORAL DE BASE DE DATO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96"/>
    <m/>
    <s v="MEMORANDO 002456-2026-GITE"/>
    <s v="MEMO 002941-2026/GITE"/>
    <s v="CAMPOS"/>
    <s v="GUTIERREZ"/>
    <s v="MAYTE KATHERINE"/>
    <n v="45310125"/>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LECTORAL DE BASE DE DATO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97"/>
    <m/>
    <s v="MEMORANDO 002456-2026-GITE"/>
    <s v="MEMO 002941-2026/GITE"/>
    <s v="QUIROZ"/>
    <s v="CABRERA"/>
    <s v="MARIA RITA"/>
    <s v="07529074"/>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DE BASE DE DATOS"/>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40"/>
    <m/>
    <s v="MEMORANDO 002456-2026-GITE"/>
    <s v="MEMO 002941-2026/GITE"/>
    <s v="FLORES"/>
    <s v="BARRIOS"/>
    <s v="ROCIO MILAGROS DEL PILAR"/>
    <n v="40057994"/>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DE BASE DE DATOS"/>
    <s v="LOCADOR"/>
    <n v="1"/>
    <n v="5500"/>
    <m/>
    <m/>
    <m/>
    <m/>
    <n v="30"/>
    <n v="30"/>
    <m/>
    <m/>
    <m/>
    <m/>
    <m/>
    <m/>
    <n v="11000"/>
    <s v=" -   "/>
    <s v=" -   "/>
    <s v=" -   "/>
    <s v=" -   "/>
    <n v="5500"/>
    <n v="5500"/>
    <s v=" -   "/>
    <s v=" -   "/>
    <s v=" -   "/>
    <s v=" -   "/>
    <s v=" -   "/>
    <s v=" -   "/>
    <n v="11000"/>
    <x v="0"/>
    <s v="P1"/>
    <m/>
    <m/>
    <m/>
    <m/>
    <m/>
    <m/>
    <m/>
    <m/>
    <m/>
    <m/>
    <x v="0"/>
    <s v="EN EJECUCION CON CONTRATO"/>
    <s v="001706-2026-SGIST/GITE"/>
    <s v="0004601-2026-SGIST/GITE"/>
    <s v="002090-2026/GITE"/>
    <d v="2026-04-24T00:00:00"/>
    <m/>
    <s v="3308"/>
    <m/>
    <s v="MEMORANDO 002456-2026-GITE"/>
    <s v="MEMO 002941-2026/GITE"/>
    <s v="PAREJAS"/>
    <s v="ESPINOZA"/>
    <s v="HENRY AMERICO"/>
    <n v="43758283"/>
    <n v="10437582837"/>
    <n v="5500"/>
    <d v="2026-05-01T00:00:00"/>
    <d v="2026-06-30T00:00:00"/>
    <m/>
    <n v="30"/>
    <n v="5500"/>
    <n v="30"/>
    <n v="5500"/>
    <n v="30"/>
    <n v="5500"/>
    <n v="0"/>
    <n v="0"/>
    <m/>
    <n v="30"/>
    <n v="5500"/>
    <n v="30"/>
    <n v="5500"/>
    <n v="30"/>
    <n v="5500"/>
    <n v="0"/>
    <n v="0"/>
    <m/>
    <n v="11000"/>
    <n v="11000"/>
    <n v="11000"/>
    <n v="0"/>
    <n v="0"/>
    <m/>
    <m/>
    <s v="SGIST- 23/04/ CORREO DE DESISTIO SANCHEZ ESPINOZA SANDRO INFORME 001644-2026-SGIST "/>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DE BASE DE DATOS"/>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41"/>
    <m/>
    <s v="MEMORANDO 002461-2026-GITE"/>
    <m/>
    <s v="RAMOS"/>
    <s v="PACHERRES"/>
    <s v="KATERINE PATRICIA"/>
    <n v="46897043"/>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LECTORAL SENIOR DE BASE DE DATOS"/>
    <s v="LOCADOR"/>
    <n v="1"/>
    <n v="7000"/>
    <m/>
    <m/>
    <m/>
    <m/>
    <n v="30"/>
    <n v="30"/>
    <m/>
    <m/>
    <m/>
    <m/>
    <m/>
    <m/>
    <n v="14000"/>
    <s v=" -   "/>
    <s v=" -   "/>
    <s v=" -   "/>
    <s v=" -   "/>
    <n v="7000"/>
    <n v="7000"/>
    <s v=" -   "/>
    <s v=" -   "/>
    <s v=" -   "/>
    <s v=" -   "/>
    <s v=" -   "/>
    <s v=" -   "/>
    <n v="14000"/>
    <x v="0"/>
    <m/>
    <m/>
    <m/>
    <m/>
    <m/>
    <m/>
    <m/>
    <m/>
    <m/>
    <m/>
    <m/>
    <x v="0"/>
    <s v="EN EJECUCION CON CONTRATO"/>
    <s v="001644-2026-SGIST/GITE"/>
    <s v="0004459-2026-SGIST/GITE"/>
    <s v="002021-2026/GITE"/>
    <d v="2026-04-22T00:00:00"/>
    <m/>
    <s v="0633"/>
    <m/>
    <s v="MEMORANDO 002456-2026-GITE"/>
    <s v="MEMO 002941-2026/GITE"/>
    <s v="PINTADO"/>
    <s v="HUAMAN"/>
    <s v="JOSE LUIS"/>
    <n v="25860770"/>
    <m/>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LECTORAL SENIOR DE BASE DE DATOS"/>
    <s v="LOCADOR"/>
    <n v="1"/>
    <n v="7000"/>
    <m/>
    <m/>
    <m/>
    <m/>
    <n v="30"/>
    <n v="30"/>
    <m/>
    <m/>
    <m/>
    <m/>
    <m/>
    <m/>
    <n v="14000"/>
    <s v=" -   "/>
    <s v=" -   "/>
    <s v=" -   "/>
    <s v=" -   "/>
    <n v="7000"/>
    <n v="7000"/>
    <s v=" -   "/>
    <s v=" -   "/>
    <s v=" -   "/>
    <s v=" -   "/>
    <s v=" -   "/>
    <s v=" -   "/>
    <n v="14000"/>
    <x v="0"/>
    <s v="P1"/>
    <m/>
    <m/>
    <m/>
    <m/>
    <m/>
    <m/>
    <m/>
    <m/>
    <m/>
    <m/>
    <x v="0"/>
    <s v="EN EJECUCION CON CONTRATO"/>
    <s v="001644-2026-SGIST/GITE"/>
    <s v="0004459-2026-SGIST/GITE"/>
    <s v="002021-2026/GITE"/>
    <d v="2026-04-22T00:00:00"/>
    <m/>
    <s v="0634"/>
    <m/>
    <s v="MEMORANDO 002456-2026-GITE"/>
    <s v="MEMO 002941-2026/GITE"/>
    <s v="LEIVA"/>
    <s v="ROJAS"/>
    <s v="JESUS CORNELIO"/>
    <n v="45402132"/>
    <m/>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SERVIDORES DE APLICACIONES"/>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604"/>
    <m/>
    <s v="MEMORANDO 002456-2026-GITE"/>
    <s v="MEMO 002941-2026/GITE"/>
    <s v="DIAZ"/>
    <s v="GARCIA"/>
    <s v="RICHARD ALEXANDER"/>
    <n v="70757048"/>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SERVIDORES DE APLICACIONES"/>
    <s v="LOCADOR"/>
    <n v="1"/>
    <n v="5500"/>
    <m/>
    <m/>
    <m/>
    <m/>
    <n v="30"/>
    <n v="30"/>
    <m/>
    <m/>
    <m/>
    <m/>
    <m/>
    <m/>
    <n v="11000"/>
    <s v=" -   "/>
    <s v=" -   "/>
    <s v=" -   "/>
    <s v=" -   "/>
    <n v="5500"/>
    <n v="5500"/>
    <s v=" -   "/>
    <s v=" -   "/>
    <s v=" -   "/>
    <s v=" -   "/>
    <s v=" -   "/>
    <s v=" -   "/>
    <n v="11000"/>
    <x v="0"/>
    <s v="P1"/>
    <m/>
    <m/>
    <m/>
    <m/>
    <m/>
    <m/>
    <m/>
    <m/>
    <m/>
    <m/>
    <x v="1"/>
    <s v="PENDIENTE DE REQUERIR"/>
    <m/>
    <m/>
    <m/>
    <m/>
    <m/>
    <m/>
    <m/>
    <m/>
    <m/>
    <m/>
    <m/>
    <m/>
    <m/>
    <m/>
    <m/>
    <m/>
    <m/>
    <m/>
    <n v="30"/>
    <n v="5500"/>
    <m/>
    <n v="0"/>
    <m/>
    <n v="0"/>
    <n v="5500"/>
    <n v="5500"/>
    <m/>
    <n v="30"/>
    <n v="5500"/>
    <m/>
    <n v="0"/>
    <m/>
    <n v="0"/>
    <n v="5500"/>
    <n v="5500"/>
    <m/>
    <n v="11000"/>
    <n v="0"/>
    <n v="0"/>
    <n v="11000"/>
    <n v="11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N SERVIDORES DE APLICACIONES DE TI"/>
    <s v="LOCADOR"/>
    <n v="1"/>
    <n v="7000"/>
    <m/>
    <m/>
    <m/>
    <m/>
    <n v="30"/>
    <n v="30"/>
    <m/>
    <m/>
    <m/>
    <m/>
    <m/>
    <m/>
    <n v="14000"/>
    <s v=" -   "/>
    <s v=" -   "/>
    <s v=" -   "/>
    <s v=" -   "/>
    <n v="7000"/>
    <n v="7000"/>
    <s v=" -   "/>
    <s v=" -   "/>
    <s v=" -   "/>
    <s v=" -   "/>
    <s v=" -   "/>
    <s v=" -   "/>
    <n v="14000"/>
    <x v="0"/>
    <s v="P1"/>
    <m/>
    <m/>
    <m/>
    <m/>
    <m/>
    <m/>
    <m/>
    <m/>
    <m/>
    <m/>
    <x v="1"/>
    <s v="PENDIENTE DE REQUERIR"/>
    <m/>
    <m/>
    <m/>
    <m/>
    <m/>
    <m/>
    <m/>
    <m/>
    <m/>
    <m/>
    <m/>
    <m/>
    <m/>
    <m/>
    <m/>
    <m/>
    <m/>
    <m/>
    <n v="30"/>
    <n v="7000"/>
    <m/>
    <n v="0"/>
    <m/>
    <n v="0"/>
    <n v="7000"/>
    <n v="7000"/>
    <m/>
    <n v="30"/>
    <n v="7000"/>
    <m/>
    <n v="0"/>
    <m/>
    <n v="0"/>
    <n v="7000"/>
    <n v="7000"/>
    <m/>
    <n v="14000"/>
    <n v="0"/>
    <n v="0"/>
    <n v="14000"/>
    <n v="14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GESTOR DE PROYECTOS DE INFRAESTRUCTURA TECNOLOGICA"/>
    <s v="LOCADOR"/>
    <n v="1"/>
    <n v="12000"/>
    <m/>
    <m/>
    <m/>
    <m/>
    <n v="30"/>
    <n v="30"/>
    <m/>
    <m/>
    <m/>
    <m/>
    <m/>
    <m/>
    <n v="24000"/>
    <s v=" -   "/>
    <s v=" -   "/>
    <s v=" -   "/>
    <s v=" -   "/>
    <n v="12000"/>
    <n v="12000"/>
    <s v=" -   "/>
    <s v=" -   "/>
    <s v=" -   "/>
    <s v=" -   "/>
    <s v=" -   "/>
    <s v=" -   "/>
    <n v="24000"/>
    <x v="0"/>
    <s v="P1"/>
    <m/>
    <m/>
    <m/>
    <m/>
    <m/>
    <m/>
    <m/>
    <m/>
    <m/>
    <m/>
    <x v="0"/>
    <s v="EN EJECUCION CON CONTRATO"/>
    <s v="001651-2026-SGIST/GITE"/>
    <s v="004446-2026-SGIST/GITE"/>
    <s v="002028-2026-GITE"/>
    <d v="2026-04-22T00:00:00"/>
    <m/>
    <s v="2699"/>
    <m/>
    <s v="MEMORANDO 002456-2026-GITE"/>
    <s v="MEMO 002941-2026/GITE"/>
    <s v="BALBUENA"/>
    <s v="RODRIGUEZ"/>
    <s v="RICARDO GERARDO"/>
    <n v="25792462"/>
    <m/>
    <n v="12000"/>
    <d v="2026-05-01T00:00:00"/>
    <d v="2026-06-30T00:00:00"/>
    <m/>
    <n v="30"/>
    <n v="12000"/>
    <n v="30"/>
    <n v="12000"/>
    <n v="30"/>
    <n v="12000"/>
    <n v="0"/>
    <n v="0"/>
    <m/>
    <n v="30"/>
    <n v="12000"/>
    <n v="30"/>
    <n v="12000"/>
    <n v="30"/>
    <n v="12000"/>
    <n v="0"/>
    <n v="0"/>
    <m/>
    <n v="24000"/>
    <n v="24000"/>
    <n v="24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GESTOR DE PROYECTOS DE TELECOMUNICACIONES"/>
    <s v="LOCADOR"/>
    <n v="1"/>
    <n v="12000"/>
    <m/>
    <m/>
    <m/>
    <m/>
    <n v="30"/>
    <n v="30"/>
    <m/>
    <m/>
    <m/>
    <m/>
    <m/>
    <m/>
    <n v="24000"/>
    <s v=" -   "/>
    <s v=" -   "/>
    <s v=" -   "/>
    <s v=" -   "/>
    <n v="12000"/>
    <n v="12000"/>
    <s v=" -   "/>
    <s v=" -   "/>
    <s v=" -   "/>
    <s v=" -   "/>
    <s v=" -   "/>
    <s v=" -   "/>
    <n v="24000"/>
    <x v="0"/>
    <s v="P1"/>
    <m/>
    <m/>
    <m/>
    <m/>
    <m/>
    <m/>
    <m/>
    <m/>
    <m/>
    <m/>
    <x v="0"/>
    <s v="EN EJECUCION CON CONTRATO"/>
    <s v="001651-2026-SGIST/GITE"/>
    <s v="004446-2026-SGIST/GITE"/>
    <s v="002028-2026-GITE"/>
    <d v="2026-04-22T00:00:00"/>
    <m/>
    <s v="2700"/>
    <m/>
    <s v="MEMORANDO 002456-2026-GITE"/>
    <s v="MEMO 002941-2026/GITE"/>
    <s v="GUEVARA"/>
    <s v="JORDAN"/>
    <s v="RAFAEL"/>
    <s v="09859555"/>
    <m/>
    <n v="12000"/>
    <d v="2026-05-01T00:00:00"/>
    <d v="2026-06-30T00:00:00"/>
    <m/>
    <n v="30"/>
    <n v="12000"/>
    <n v="30"/>
    <n v="12000"/>
    <n v="30"/>
    <n v="12000"/>
    <n v="0"/>
    <n v="0"/>
    <m/>
    <n v="30"/>
    <n v="12000"/>
    <n v="30"/>
    <n v="12000"/>
    <n v="30"/>
    <n v="12000"/>
    <n v="0"/>
    <n v="0"/>
    <m/>
    <n v="24000"/>
    <n v="24000"/>
    <n v="24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DE PROCESOS Y SERVICIOS INFORMATICOS"/>
    <s v="LOCADOR"/>
    <n v="1"/>
    <n v="8000"/>
    <m/>
    <m/>
    <m/>
    <m/>
    <n v="30"/>
    <n v="30"/>
    <m/>
    <m/>
    <m/>
    <m/>
    <m/>
    <m/>
    <n v="16000"/>
    <s v=" -   "/>
    <s v=" -   "/>
    <s v=" -   "/>
    <s v=" -   "/>
    <n v="8000"/>
    <n v="8000"/>
    <s v=" -   "/>
    <s v=" -   "/>
    <s v=" -   "/>
    <s v=" -   "/>
    <s v=" -   "/>
    <s v=" -   "/>
    <n v="16000"/>
    <x v="0"/>
    <s v="P1"/>
    <m/>
    <m/>
    <m/>
    <m/>
    <m/>
    <m/>
    <m/>
    <m/>
    <m/>
    <m/>
    <x v="0"/>
    <s v="EN EJECUCION CON CONTRATO"/>
    <s v="001644-2026-SGIST/GITE"/>
    <s v="0004459-2026-SGIST/GITE"/>
    <s v="002021-2026/GITE"/>
    <d v="2026-04-22T00:00:00"/>
    <m/>
    <s v="0630"/>
    <m/>
    <s v="MEMORANDO 002456-2026-GITE"/>
    <s v="MEMO 002941-2026/GITE"/>
    <s v="RAMOS"/>
    <s v="CONTRERAS"/>
    <s v="SHERLY DIANA"/>
    <n v="70041314"/>
    <m/>
    <n v="5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DE PROYECTOS DE INFRAESTRUCTURA DE TI"/>
    <s v="LOCADOR"/>
    <n v="1"/>
    <n v="8000"/>
    <m/>
    <m/>
    <m/>
    <m/>
    <n v="30"/>
    <n v="30"/>
    <m/>
    <m/>
    <m/>
    <m/>
    <m/>
    <m/>
    <n v="16000"/>
    <s v=" -   "/>
    <s v=" -   "/>
    <s v=" -   "/>
    <s v=" -   "/>
    <n v="8000"/>
    <n v="8000"/>
    <s v=" -   "/>
    <s v=" -   "/>
    <s v=" -   "/>
    <s v=" -   "/>
    <s v=" -   "/>
    <s v=" -   "/>
    <n v="16000"/>
    <x v="0"/>
    <s v="P1"/>
    <m/>
    <m/>
    <m/>
    <m/>
    <m/>
    <m/>
    <m/>
    <m/>
    <m/>
    <m/>
    <x v="0"/>
    <s v="EN EJECUCION CON CONTRATO"/>
    <s v="001644-2026-SGIST/GITE"/>
    <s v="0004459-2026-SGIST/GITE"/>
    <s v="002021-2026/GITE"/>
    <d v="2026-04-22T00:00:00"/>
    <m/>
    <s v="0631"/>
    <m/>
    <s v="MEMORANDO 002456-2026-GITE"/>
    <s v="MEMO 002941-2026/GITE"/>
    <s v="ESCOBEDO"/>
    <s v="BENITES"/>
    <s v="RICARDO MARTIN"/>
    <n v="18111741"/>
    <m/>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N GESTION Y CONTROL DE CONTRATACIONES Y PROYECTOS"/>
    <s v="LOCADOR"/>
    <n v="1"/>
    <n v="8000"/>
    <m/>
    <m/>
    <m/>
    <m/>
    <n v="30"/>
    <n v="30"/>
    <m/>
    <m/>
    <m/>
    <m/>
    <m/>
    <m/>
    <n v="16000"/>
    <s v=" -   "/>
    <s v=" -   "/>
    <s v=" -   "/>
    <s v=" -   "/>
    <n v="8000"/>
    <n v="8000"/>
    <s v=" -   "/>
    <s v=" -   "/>
    <s v=" -   "/>
    <s v=" -   "/>
    <s v=" -   "/>
    <s v=" -   "/>
    <n v="16000"/>
    <x v="0"/>
    <s v="P1"/>
    <m/>
    <m/>
    <m/>
    <m/>
    <m/>
    <m/>
    <m/>
    <m/>
    <m/>
    <m/>
    <x v="0"/>
    <s v="EN EJECUCION CON CONTRATO"/>
    <s v="001644-2026-SGIST/GITE"/>
    <s v="0004459-2026-SGIST/GITE"/>
    <s v="002021-2026/GITE"/>
    <d v="2026-04-22T00:00:00"/>
    <m/>
    <s v="0636"/>
    <m/>
    <s v="MEMORANDO 002456-2026-GITE"/>
    <s v="MEMO 002941-2026/GITE"/>
    <s v="CASTRO"/>
    <s v="VILCA"/>
    <s v="IRVIN HANS"/>
    <n v="45387627"/>
    <m/>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DE REDES Y TELECOMUNICACIONES"/>
    <s v="LOCADOR"/>
    <n v="1"/>
    <n v="8000"/>
    <m/>
    <m/>
    <m/>
    <m/>
    <n v="30"/>
    <n v="30"/>
    <m/>
    <m/>
    <m/>
    <m/>
    <m/>
    <m/>
    <n v="16000"/>
    <s v=" -   "/>
    <s v=" -   "/>
    <s v=" -   "/>
    <s v=" -   "/>
    <n v="8000"/>
    <n v="8000"/>
    <s v=" -   "/>
    <s v=" -   "/>
    <s v=" -   "/>
    <s v=" -   "/>
    <s v=" -   "/>
    <s v=" -   "/>
    <n v="16000"/>
    <x v="0"/>
    <s v="P1"/>
    <m/>
    <m/>
    <m/>
    <m/>
    <m/>
    <m/>
    <m/>
    <m/>
    <m/>
    <m/>
    <x v="0"/>
    <s v="EN EJECUCION CON CONTRATO"/>
    <s v="001644-2026-SGIST/GITE"/>
    <s v="0004459-2026-SGIST/GITE"/>
    <s v="002021-2026/GITE"/>
    <d v="2026-04-22T00:00:00"/>
    <m/>
    <s v="0632"/>
    <m/>
    <s v="MEMORANDO 002456-2026-GITE"/>
    <s v="MEMO 002941-2026/GITE"/>
    <s v="CONDOR"/>
    <s v="PATILONGO"/>
    <s v="JOSE ANTONIO"/>
    <n v="21261169"/>
    <m/>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N REQUERIMIENTOS DE SERVICIOS INFORMATICOS"/>
    <s v="LOCADOR"/>
    <n v="1"/>
    <n v="7000"/>
    <m/>
    <m/>
    <m/>
    <m/>
    <n v="30"/>
    <n v="30"/>
    <m/>
    <m/>
    <m/>
    <m/>
    <m/>
    <m/>
    <n v="14000"/>
    <s v=" -   "/>
    <s v=" -   "/>
    <s v=" -   "/>
    <s v=" -   "/>
    <n v="7000"/>
    <n v="7000"/>
    <s v=" -   "/>
    <s v=" -   "/>
    <s v=" -   "/>
    <s v=" -   "/>
    <s v=" -   "/>
    <s v=" -   "/>
    <n v="14000"/>
    <x v="0"/>
    <s v="P1"/>
    <m/>
    <m/>
    <m/>
    <m/>
    <m/>
    <m/>
    <m/>
    <m/>
    <m/>
    <m/>
    <x v="1"/>
    <s v="PENDIENTE DE REQUERIR"/>
    <m/>
    <m/>
    <m/>
    <m/>
    <m/>
    <m/>
    <m/>
    <m/>
    <m/>
    <m/>
    <m/>
    <m/>
    <m/>
    <m/>
    <m/>
    <m/>
    <m/>
    <m/>
    <n v="30"/>
    <n v="7000"/>
    <m/>
    <n v="0"/>
    <m/>
    <n v="0"/>
    <n v="7000"/>
    <n v="7000"/>
    <m/>
    <n v="30"/>
    <n v="7000"/>
    <m/>
    <n v="0"/>
    <m/>
    <n v="0"/>
    <n v="7000"/>
    <n v="7000"/>
    <m/>
    <n v="14000"/>
    <n v="0"/>
    <n v="0"/>
    <n v="14000"/>
    <n v="14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REQUERIMIENTOS DE SERVICIOS INFORMATICOS"/>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603"/>
    <m/>
    <s v="MEMORANDO 002456-2026-GITE"/>
    <s v="MEMO 002941-2026/GITE"/>
    <s v="MANTILLA"/>
    <s v="SOTO"/>
    <s v="LISNETH DALYBEL"/>
    <n v="45096283"/>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CONTRATACION DE SERVICIOS DE TI"/>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598"/>
    <m/>
    <s v="MEMORANDO 002456-2026-GITE"/>
    <s v="MEMO 002941-2026/GITE"/>
    <s v="BENITES"/>
    <s v="CENTENO"/>
    <s v="ISIDIO SOLIS"/>
    <n v="70491896"/>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CONTRATACION DE SERVICIOS DE TI"/>
    <s v="LOCADOR"/>
    <n v="2"/>
    <n v="5500"/>
    <m/>
    <m/>
    <m/>
    <m/>
    <n v="30"/>
    <n v="30"/>
    <m/>
    <m/>
    <m/>
    <m/>
    <m/>
    <m/>
    <n v="22000"/>
    <s v=" -   "/>
    <s v=" -   "/>
    <s v=" -   "/>
    <s v=" -   "/>
    <n v="5500"/>
    <n v="5500"/>
    <s v=" -   "/>
    <s v=" -   "/>
    <s v=" -   "/>
    <s v=" -   "/>
    <s v=" -   "/>
    <s v=" -   "/>
    <n v="22000"/>
    <x v="0"/>
    <s v="P1"/>
    <m/>
    <m/>
    <m/>
    <m/>
    <m/>
    <m/>
    <m/>
    <m/>
    <m/>
    <m/>
    <x v="1"/>
    <s v="PENDIENTE DE REQUERIR"/>
    <m/>
    <m/>
    <m/>
    <m/>
    <m/>
    <m/>
    <m/>
    <m/>
    <m/>
    <m/>
    <m/>
    <m/>
    <m/>
    <m/>
    <m/>
    <m/>
    <m/>
    <m/>
    <n v="30"/>
    <n v="5500"/>
    <m/>
    <n v="0"/>
    <m/>
    <n v="0"/>
    <n v="5500"/>
    <n v="5500"/>
    <m/>
    <n v="30"/>
    <n v="5500"/>
    <m/>
    <n v="0"/>
    <m/>
    <n v="0"/>
    <n v="5500"/>
    <n v="5500"/>
    <m/>
    <n v="22000"/>
    <n v="0"/>
    <n v="0"/>
    <n v="22000"/>
    <n v="22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CONTROL PREVIO DE SERVICIOS DE TI"/>
    <s v="LOCADOR"/>
    <n v="1"/>
    <n v="6000"/>
    <m/>
    <m/>
    <m/>
    <m/>
    <n v="30"/>
    <n v="30"/>
    <m/>
    <m/>
    <m/>
    <m/>
    <m/>
    <m/>
    <n v="12000"/>
    <s v=" -   "/>
    <s v=" -   "/>
    <s v=" -   "/>
    <s v=" -   "/>
    <n v="6000"/>
    <n v="6000"/>
    <s v=" -   "/>
    <s v=" -   "/>
    <s v=" -   "/>
    <s v=" -   "/>
    <s v=" -   "/>
    <s v=" -   "/>
    <n v="12000"/>
    <x v="0"/>
    <s v="P1"/>
    <m/>
    <m/>
    <m/>
    <m/>
    <m/>
    <m/>
    <m/>
    <m/>
    <m/>
    <m/>
    <x v="1"/>
    <s v="PENDIENTE DE REQUERIR"/>
    <m/>
    <m/>
    <m/>
    <m/>
    <m/>
    <m/>
    <m/>
    <m/>
    <m/>
    <m/>
    <m/>
    <m/>
    <m/>
    <m/>
    <m/>
    <m/>
    <m/>
    <m/>
    <n v="30"/>
    <n v="6000"/>
    <m/>
    <n v="0"/>
    <m/>
    <n v="0"/>
    <n v="6000"/>
    <n v="6000"/>
    <m/>
    <n v="30"/>
    <n v="6000"/>
    <m/>
    <n v="0"/>
    <m/>
    <n v="0"/>
    <n v="6000"/>
    <n v="6000"/>
    <m/>
    <n v="12000"/>
    <n v="0"/>
    <n v="0"/>
    <n v="12000"/>
    <n v="12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SERVICIOS INFORMATICOS"/>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594"/>
    <m/>
    <s v="MEMORANDO 002456-2026-GITE"/>
    <s v="MEMO 002941-2026/GITE"/>
    <s v="DELGADO"/>
    <s v="PAREDES"/>
    <s v="DAISSY GIULIANA"/>
    <n v="44303048"/>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PROYECTOS DE INFRAESTRUCTURA TECNOLOGICA"/>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86"/>
    <m/>
    <s v="MEMORANDO 002456-2026-GITE"/>
    <s v="MEMO 002941-2026/GITE"/>
    <s v="ZEGARRA"/>
    <s v="NORIEGA"/>
    <s v="TALIA YESABELLA"/>
    <n v="44913697"/>
    <m/>
    <n v="6000"/>
    <d v="2026-05-01T00:00:00"/>
    <d v="2026-05-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DE PROYECTOS Y SERVICIOS DE TI"/>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07"/>
    <m/>
    <s v="MEMORANDO 002456-2026-GITE"/>
    <s v="MEMO 002941-2026/GITE"/>
    <s v="TAPIA"/>
    <s v="TORRES"/>
    <s v="JOE DANTE"/>
    <n v="4525094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DE PROYECTOS Y SERVICIOS DE TI"/>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08"/>
    <m/>
    <s v="MEMORANDO 002456-2026-GITE"/>
    <s v="MEMO 002941-2026/GITE"/>
    <s v="MOSTACERO"/>
    <s v="ALIAGA"/>
    <s v="NANI LISLEI"/>
    <n v="47737701"/>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DE PROYECTOS Y SERVICIOS DE TI"/>
    <s v="LOCADOR"/>
    <n v="1"/>
    <n v="5000"/>
    <m/>
    <m/>
    <m/>
    <m/>
    <n v="30"/>
    <n v="30"/>
    <m/>
    <m/>
    <m/>
    <m/>
    <m/>
    <m/>
    <n v="10000"/>
    <s v=" -   "/>
    <s v=" -   "/>
    <s v=" -   "/>
    <s v=" -   "/>
    <n v="5000"/>
    <n v="5000"/>
    <s v=" -   "/>
    <s v=" -   "/>
    <s v=" -   "/>
    <s v=" -   "/>
    <s v=" -   "/>
    <s v=" -   "/>
    <n v="10000"/>
    <x v="0"/>
    <s v="P1"/>
    <m/>
    <m/>
    <m/>
    <m/>
    <m/>
    <m/>
    <m/>
    <m/>
    <m/>
    <m/>
    <x v="1"/>
    <s v="PENDIENTE DE REQUERIR"/>
    <m/>
    <m/>
    <m/>
    <m/>
    <m/>
    <m/>
    <m/>
    <m/>
    <m/>
    <m/>
    <m/>
    <m/>
    <m/>
    <m/>
    <m/>
    <m/>
    <m/>
    <m/>
    <n v="30"/>
    <n v="5000"/>
    <m/>
    <n v="0"/>
    <m/>
    <n v="0"/>
    <n v="5000"/>
    <n v="5000"/>
    <m/>
    <n v="30"/>
    <n v="5000"/>
    <m/>
    <n v="0"/>
    <m/>
    <n v="0"/>
    <n v="5000"/>
    <n v="5000"/>
    <m/>
    <n v="10000"/>
    <n v="0"/>
    <n v="0"/>
    <n v="10000"/>
    <n v="10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N GESTIÓN DE LA PLATAFORMA TECNOLOGICA Y SEGURIDAD TI"/>
    <s v="LOCADOR"/>
    <n v="1"/>
    <n v="8000"/>
    <m/>
    <m/>
    <m/>
    <m/>
    <n v="30"/>
    <n v="30"/>
    <m/>
    <m/>
    <m/>
    <m/>
    <m/>
    <m/>
    <n v="16000"/>
    <s v=" -   "/>
    <s v=" -   "/>
    <s v=" -   "/>
    <s v=" -   "/>
    <n v="8000"/>
    <n v="8000"/>
    <s v=" -   "/>
    <s v=" -   "/>
    <s v=" -   "/>
    <s v=" -   "/>
    <s v=" -   "/>
    <s v=" -   "/>
    <n v="16000"/>
    <x v="0"/>
    <s v="P1"/>
    <m/>
    <m/>
    <m/>
    <m/>
    <m/>
    <m/>
    <m/>
    <m/>
    <m/>
    <m/>
    <x v="0"/>
    <s v="EN EJECUCION CON CONTRATO"/>
    <s v="001644-2026-SGIST/GITE"/>
    <s v="0004459-2026-SGIST/GITE"/>
    <s v="002021-2026/GITE"/>
    <d v="2026-04-22T00:00:00"/>
    <m/>
    <s v="0635"/>
    <m/>
    <s v="MEMORANDO 002456-2026-GITE"/>
    <s v="MEMO 002941-2026/GITE"/>
    <s v="POLO"/>
    <s v="PALACIOS"/>
    <s v="MIGUEL ANGEL"/>
    <n v="46836739"/>
    <m/>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CENTRO DE MONITOREO DE SERVICIOS DE TI"/>
    <s v="LOCADOR"/>
    <n v="1"/>
    <n v="5000"/>
    <m/>
    <m/>
    <m/>
    <m/>
    <n v="30"/>
    <n v="30"/>
    <m/>
    <m/>
    <m/>
    <m/>
    <m/>
    <m/>
    <n v="10000"/>
    <s v=" -   "/>
    <s v=" -   "/>
    <s v=" -   "/>
    <s v=" -   "/>
    <n v="5000"/>
    <n v="5000"/>
    <m/>
    <m/>
    <m/>
    <m/>
    <m/>
    <m/>
    <n v="10000"/>
    <x v="0"/>
    <s v="P1"/>
    <m/>
    <m/>
    <m/>
    <m/>
    <m/>
    <m/>
    <m/>
    <m/>
    <m/>
    <m/>
    <x v="0"/>
    <s v="EN EJECUCION CON CONTRATO"/>
    <s v="001901-2026-SGIST/GITE"/>
    <s v="005220-2026-SGIST/GITE"/>
    <s v="002344-2026/GITE"/>
    <d v="2026-05-12T00:00:00"/>
    <m/>
    <s v="3759"/>
    <m/>
    <s v="MEMORANDO 002461-2026-GITE"/>
    <m/>
    <s v="TIRADO"/>
    <s v="MENDOZA"/>
    <s v="DANNY DANIEL"/>
    <n v="70540072"/>
    <n v="10705400721"/>
    <n v="5000"/>
    <d v="2026-05-14T00:00:00"/>
    <d v="2026-06-30T00:00:00"/>
    <m/>
    <n v="30"/>
    <n v="5000"/>
    <n v="18"/>
    <n v="3000"/>
    <n v="18"/>
    <n v="3000"/>
    <n v="2000"/>
    <n v="2000"/>
    <m/>
    <n v="30"/>
    <n v="5000"/>
    <n v="30"/>
    <n v="5000"/>
    <n v="30"/>
    <n v="5000"/>
    <n v="0"/>
    <n v="0"/>
    <m/>
    <n v="10000"/>
    <n v="8000"/>
    <n v="8000"/>
    <n v="2000"/>
    <n v="2000"/>
    <m/>
    <m/>
    <s v="SGIST- 23/04/2026: CORREO DE DESESTIMIENTO URRUTIA MARCOS VICTOR RAUL REF INF001644-2026-SGIST/GITE / MEMORANDO 002021-2026/GITE_x0009_"/>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CENTRO DE MONITOREO DE SERVICIOS DE TI"/>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9"/>
    <m/>
    <s v="MEMORANDO 002456-2026-GITE"/>
    <m/>
    <s v="PAJUELO"/>
    <s v="MENDOZA"/>
    <s v="MARCO ANTONIO"/>
    <n v="47981017"/>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CENTRO DE MONITOREO DE SERVICIOS DE TI"/>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80"/>
    <m/>
    <s v="MEMORANDO 002456-2026-GITE"/>
    <s v="MEMO 002941-2026/GITE"/>
    <s v="VIDAL"/>
    <s v="LOPEZ"/>
    <s v="DORA ALBINA"/>
    <n v="41805261"/>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PLATAFORMA DE VIRTUALIZACION"/>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602"/>
    <m/>
    <s v="MEMORANDO 002461-2026-GITE"/>
    <m/>
    <s v="AYALA"/>
    <s v="AVALOS"/>
    <s v="JORGE LUIS"/>
    <n v="41668590"/>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EN PLATAFORMA DE VIRTUALIZACION"/>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78"/>
    <m/>
    <s v="MEMORANDO 002456-2026-GITE"/>
    <m/>
    <s v="INFANTE"/>
    <s v="BARCO"/>
    <s v="MIGUEL ANGEL"/>
    <n v="25747618"/>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DE COPIAS DE SEGURIDAD"/>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06"/>
    <m/>
    <s v="MEMORANDO 002456-2026-GITE"/>
    <s v="MEMO 002941-2026/GITE"/>
    <s v="VELASCO"/>
    <s v="SANCHEZ"/>
    <s v="HECTOR"/>
    <n v="44433194"/>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PLATAFORMA DE REDES Y COMUNICACIONE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82"/>
    <m/>
    <s v="MEMORANDO 002456-2026-GITE"/>
    <s v="MEMO 002941-2026/GITE"/>
    <s v="QUISPE"/>
    <s v="COSSER"/>
    <s v="HUGO RAUL"/>
    <n v="45847537"/>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PLATAFORMA DE REDES Y COMUNICACIONE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83"/>
    <m/>
    <s v="MEMORANDO 002456-2026-GITE"/>
    <m/>
    <s v="ALEGRE"/>
    <s v="HENDERSON"/>
    <s v="ANGIE"/>
    <s v="09863266"/>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PLATAFORMA DE REDES Y COMUNICACIONE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84"/>
    <m/>
    <s v="MEMORANDO 002456-2026-GITE"/>
    <m/>
    <s v="CRUZ"/>
    <s v="MENDOZA"/>
    <s v="BREYDI STALIN"/>
    <n v="75742009"/>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EN PLATAFORMA DE SEGURIDAD TECNOLOGICA"/>
    <s v="LOCADOR"/>
    <n v="1"/>
    <n v="7000"/>
    <m/>
    <m/>
    <m/>
    <m/>
    <n v="30"/>
    <n v="30"/>
    <m/>
    <m/>
    <m/>
    <m/>
    <m/>
    <m/>
    <n v="14000"/>
    <s v=" -   "/>
    <s v=" -   "/>
    <s v=" -   "/>
    <s v=" -   "/>
    <n v="7000"/>
    <n v="7000"/>
    <s v=" -   "/>
    <s v=" -   "/>
    <s v=" -   "/>
    <s v=" -   "/>
    <s v=" -   "/>
    <s v=" -   "/>
    <n v="14000"/>
    <x v="0"/>
    <s v="P1"/>
    <m/>
    <m/>
    <m/>
    <m/>
    <m/>
    <m/>
    <m/>
    <m/>
    <m/>
    <m/>
    <x v="0"/>
    <s v="EN EJECUCION CON CONTRATO"/>
    <s v="001644-2026-SGIST/GITE"/>
    <s v="0004459-2026-SGIST/GITE"/>
    <s v="002021-2026/GITE"/>
    <d v="2026-04-22T00:00:00"/>
    <m/>
    <s v="0637"/>
    <m/>
    <s v="MEMORANDO 002456-2026-GITE"/>
    <s v="MEMO 002941-2026/GITE"/>
    <s v="MESIAS"/>
    <s v="AVALOS"/>
    <s v="ALEXANDER"/>
    <s v="72239259"/>
    <m/>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PLATAFORMA DE SEGURIDAD TECNOLOGICA"/>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601"/>
    <m/>
    <s v="MEMORANDO 002456-2026-GITE"/>
    <m/>
    <s v="ALVITRES"/>
    <s v="LIZANO"/>
    <s v="EDIEE ALEX"/>
    <n v="41825757"/>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PLATAFORMA DE SEGURIDAD DE LA RED DE SERVICIOS"/>
    <s v="LOCADOR"/>
    <n v="1"/>
    <n v="6500"/>
    <m/>
    <m/>
    <m/>
    <m/>
    <n v="30"/>
    <n v="30"/>
    <m/>
    <m/>
    <m/>
    <m/>
    <m/>
    <m/>
    <n v="13000"/>
    <s v=" -   "/>
    <s v=" -   "/>
    <s v=" -   "/>
    <s v=" -   "/>
    <n v="6500"/>
    <n v="6500"/>
    <s v=" -   "/>
    <s v=" -   "/>
    <s v=" -   "/>
    <s v=" -   "/>
    <s v=" -   "/>
    <s v=" -   "/>
    <n v="13000"/>
    <x v="0"/>
    <s v="P1"/>
    <m/>
    <m/>
    <m/>
    <m/>
    <m/>
    <m/>
    <m/>
    <m/>
    <m/>
    <m/>
    <x v="0"/>
    <s v="EN EJECUCION CON CONTRATO"/>
    <s v="001939-2026-SGIST/GITE"/>
    <s v="005312-2026-SGIST/GITE"/>
    <s v="002399-2026/GITE"/>
    <d v="2026-05-14T00:00:00"/>
    <m/>
    <s v="4606"/>
    <m/>
    <s v="MEMORANDO 002696-2026-GITE"/>
    <m/>
    <s v="VARGAS"/>
    <s v="VILCAYAURI"/>
    <s v="OSCAR DAVID"/>
    <n v="45191285"/>
    <n v="10451912858"/>
    <n v="6500"/>
    <d v="2026-05-18T00:00:00"/>
    <d v="2026-06-30T00:00:00"/>
    <m/>
    <n v="30"/>
    <n v="6500"/>
    <n v="14"/>
    <n v="3033.333333333333"/>
    <n v="14"/>
    <n v="3033.333333333333"/>
    <n v="3466.666666666667"/>
    <n v="3466.666666666667"/>
    <m/>
    <n v="30"/>
    <n v="6500"/>
    <n v="30"/>
    <n v="6500"/>
    <n v="30"/>
    <n v="6500"/>
    <n v="0"/>
    <n v="0"/>
    <m/>
    <n v="13000"/>
    <n v="9533.3333333333321"/>
    <n v="9533.3333333333321"/>
    <n v="3466.6666666666679"/>
    <n v="3466.6666666666679"/>
    <m/>
    <m/>
    <s v="SGIST- 11/05/2026 CORREO DE DESISTIMIENTO QUISPEALAYA _x0009_MADUEÑO_x0009_LUIS ENRIQUE REF INF001644-2026-SGIST/GITE / MEMORANDO 002021-2026/GITE_x0009_"/>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GESTOR DE LA RED ELECTORAL"/>
    <s v="LOCADOR"/>
    <n v="1"/>
    <n v="10000"/>
    <m/>
    <m/>
    <m/>
    <m/>
    <n v="30"/>
    <n v="30"/>
    <m/>
    <m/>
    <m/>
    <m/>
    <m/>
    <m/>
    <n v="20000"/>
    <s v=" -   "/>
    <s v=" -   "/>
    <s v=" -   "/>
    <s v=" -   "/>
    <n v="10000"/>
    <n v="10000"/>
    <s v=" -   "/>
    <s v=" -   "/>
    <s v=" -   "/>
    <s v=" -   "/>
    <s v=" -   "/>
    <s v=" -   "/>
    <n v="20000"/>
    <x v="0"/>
    <s v="P1"/>
    <m/>
    <m/>
    <m/>
    <m/>
    <m/>
    <m/>
    <m/>
    <m/>
    <m/>
    <m/>
    <x v="1"/>
    <s v="PENDIENTE DE REQUERIR"/>
    <m/>
    <m/>
    <m/>
    <m/>
    <m/>
    <m/>
    <m/>
    <m/>
    <m/>
    <m/>
    <m/>
    <m/>
    <m/>
    <m/>
    <m/>
    <m/>
    <m/>
    <m/>
    <n v="30"/>
    <n v="10000"/>
    <m/>
    <n v="0"/>
    <m/>
    <n v="0"/>
    <n v="10000"/>
    <n v="10000"/>
    <m/>
    <n v="30"/>
    <n v="10000"/>
    <m/>
    <n v="0"/>
    <m/>
    <n v="0"/>
    <n v="10000"/>
    <n v="10000"/>
    <m/>
    <n v="20000"/>
    <n v="0"/>
    <n v="0"/>
    <n v="20000"/>
    <n v="20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EN INFRAESTRUCTURA TECNOLOGICA"/>
    <s v="LOCADOR"/>
    <n v="1"/>
    <n v="6500"/>
    <m/>
    <m/>
    <m/>
    <m/>
    <n v="30"/>
    <n v="30"/>
    <m/>
    <m/>
    <m/>
    <m/>
    <m/>
    <m/>
    <n v="13000"/>
    <s v=" -   "/>
    <s v=" -   "/>
    <s v=" -   "/>
    <s v=" -   "/>
    <n v="6500"/>
    <n v="6500"/>
    <s v=" -   "/>
    <s v=" -   "/>
    <s v=" -   "/>
    <s v=" -   "/>
    <s v=" -   "/>
    <s v=" -   "/>
    <n v="13000"/>
    <x v="0"/>
    <s v="P1"/>
    <m/>
    <m/>
    <m/>
    <m/>
    <m/>
    <m/>
    <m/>
    <m/>
    <m/>
    <m/>
    <x v="0"/>
    <s v="EN EJECUCION CON CONTRATO"/>
    <s v="001644-2026-SGIST/GITE"/>
    <s v="0004459-2026-SGIST/GITE"/>
    <s v="002021-2026/GITE"/>
    <d v="2026-04-22T00:00:00"/>
    <m/>
    <s v="0600"/>
    <m/>
    <s v="MEMORANDO 002456-2026-GITE"/>
    <s v="MEMO 002941-2026/GITE"/>
    <s v="CHACALTANA"/>
    <s v="LA ROSA"/>
    <s v="HAROLD ANDERSON"/>
    <n v="44983360"/>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DE RED DE SERVICIOS"/>
    <s v="LOCADOR"/>
    <n v="1"/>
    <n v="5000"/>
    <m/>
    <m/>
    <m/>
    <m/>
    <n v="30"/>
    <m/>
    <m/>
    <m/>
    <m/>
    <m/>
    <m/>
    <m/>
    <n v="5000"/>
    <s v=" -   "/>
    <s v=" -   "/>
    <s v=" -   "/>
    <s v=" -   "/>
    <n v="5000"/>
    <m/>
    <s v=" -   "/>
    <s v=" -   "/>
    <s v=" -   "/>
    <s v=" -   "/>
    <s v=" -   "/>
    <s v=" -   "/>
    <n v="5000"/>
    <x v="0"/>
    <s v="P1"/>
    <m/>
    <m/>
    <m/>
    <m/>
    <m/>
    <m/>
    <m/>
    <m/>
    <m/>
    <m/>
    <x v="0"/>
    <s v="EN EJECUCION CON CONTRATO"/>
    <s v="001644-2026-SGIST/GITE"/>
    <s v="0004459-2026-SGIST/GITE"/>
    <s v="002021-2026/GITE"/>
    <d v="2026-04-22T00:00:00"/>
    <m/>
    <s v="0647"/>
    <m/>
    <s v="MEMORANDO 002456-2026-GITE"/>
    <m/>
    <s v="CARDENAS"/>
    <s v="ALVARADO"/>
    <s v="RAY CARLOS"/>
    <n v="44765490"/>
    <m/>
    <n v="5000"/>
    <d v="2026-05-01T00:00:00"/>
    <d v="2026-05-31T00:00:00"/>
    <m/>
    <n v="30"/>
    <n v="5000"/>
    <n v="30"/>
    <n v="5000"/>
    <n v="30"/>
    <n v="5000"/>
    <n v="0"/>
    <n v="0"/>
    <m/>
    <n v="0"/>
    <n v="0"/>
    <n v="0"/>
    <n v="0"/>
    <n v="0"/>
    <n v="0"/>
    <n v="0"/>
    <n v="0"/>
    <m/>
    <n v="5000"/>
    <n v="5000"/>
    <n v="5000"/>
    <n v="0"/>
    <n v="0"/>
    <m/>
    <m/>
    <s v="CARTA DE RENUNCIA HASTA EL 31/05/2026 // MEMORANDO 002634-2026/GITE // INFORME 002095-2026-SGSI"/>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DE RED DE SERVICIOS"/>
    <s v="LOCADOR"/>
    <n v="1"/>
    <n v="5000"/>
    <m/>
    <m/>
    <m/>
    <m/>
    <m/>
    <n v="30"/>
    <m/>
    <m/>
    <m/>
    <m/>
    <m/>
    <m/>
    <n v="5000"/>
    <s v=" -   "/>
    <s v=" -   "/>
    <s v=" -   "/>
    <s v=" -   "/>
    <m/>
    <n v="5000"/>
    <s v=" -   "/>
    <s v=" -   "/>
    <s v=" -   "/>
    <s v=" -   "/>
    <s v=" -   "/>
    <s v=" -   "/>
    <n v="5000"/>
    <x v="0"/>
    <s v="P1"/>
    <m/>
    <m/>
    <m/>
    <m/>
    <m/>
    <m/>
    <m/>
    <m/>
    <m/>
    <m/>
    <x v="0"/>
    <s v="EN EJECUCION CON CONTRATO"/>
    <s v="002314-2026-SGIST/GITE"/>
    <s v="006487-2026-SGIST/GITE"/>
    <s v="002889-2026/GITE"/>
    <d v="2026-06-08T00:00:00"/>
    <m/>
    <m/>
    <m/>
    <m/>
    <m/>
    <s v="HUANCAHUIRE"/>
    <s v="HUARCAYA"/>
    <s v="GERARDO"/>
    <n v="47354050"/>
    <n v="10473540504"/>
    <n v="5000"/>
    <d v="2026-06-01T00:00:00"/>
    <d v="2026-06-30T00:00:00"/>
    <m/>
    <n v="0"/>
    <n v="0"/>
    <m/>
    <n v="0"/>
    <m/>
    <n v="0"/>
    <n v="0"/>
    <n v="0"/>
    <m/>
    <n v="30"/>
    <n v="5000"/>
    <n v="30"/>
    <n v="5000"/>
    <n v="30"/>
    <n v="5000"/>
    <n v="0"/>
    <n v="0"/>
    <m/>
    <n v="5000"/>
    <n v="5000"/>
    <n v="5000"/>
    <n v="0"/>
    <n v="0"/>
    <m/>
    <m/>
    <s v="CARTA DE RENUNCIA HASTA EL 31/05/2026 // MEMORANDO 002634-2026/GITE // INFORME 002095-2026-SGSI"/>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DE RED DE SERVICIOS"/>
    <s v="LOCADOR"/>
    <n v="1"/>
    <n v="5000"/>
    <m/>
    <m/>
    <m/>
    <m/>
    <n v="30"/>
    <n v="30"/>
    <m/>
    <m/>
    <m/>
    <m/>
    <m/>
    <m/>
    <n v="10000"/>
    <s v=" -   "/>
    <s v=" -   "/>
    <s v=" -   "/>
    <s v=" -   "/>
    <n v="5000"/>
    <n v="5000"/>
    <s v=" -   "/>
    <s v=" -   "/>
    <s v=" -   "/>
    <s v=" -   "/>
    <s v=" -   "/>
    <s v=" -   "/>
    <n v="10000"/>
    <x v="0"/>
    <s v="P1"/>
    <m/>
    <m/>
    <m/>
    <m/>
    <m/>
    <m/>
    <m/>
    <m/>
    <m/>
    <m/>
    <x v="1"/>
    <s v="PENDIENTE DE REQUERIR"/>
    <m/>
    <m/>
    <m/>
    <m/>
    <m/>
    <m/>
    <m/>
    <m/>
    <m/>
    <m/>
    <m/>
    <m/>
    <m/>
    <m/>
    <m/>
    <m/>
    <m/>
    <m/>
    <n v="30"/>
    <n v="5000"/>
    <n v="0"/>
    <n v="0"/>
    <n v="0"/>
    <n v="0"/>
    <n v="5000"/>
    <n v="5000"/>
    <m/>
    <n v="30"/>
    <n v="5000"/>
    <m/>
    <n v="0"/>
    <m/>
    <n v="0"/>
    <n v="5000"/>
    <n v="5000"/>
    <m/>
    <n v="10000"/>
    <n v="0"/>
    <n v="0"/>
    <n v="10000"/>
    <n v="10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87"/>
    <m/>
    <s v="MEMORANDO 002456-2026-GITE"/>
    <s v="MEMO 002941-2026/GITE"/>
    <s v="AHUMADA"/>
    <s v="CHUMBIAUCA"/>
    <s v="GIULIO ARTURO"/>
    <s v="0999288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88"/>
    <m/>
    <s v="MEMORANDO 002456-2026-GITE"/>
    <s v="MEMO 002941-2026/GITE"/>
    <s v="CELIS"/>
    <s v="FERNANDEZ"/>
    <s v="GUSTAVO ERNESTO"/>
    <n v="70444064"/>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89"/>
    <m/>
    <s v="MEMORANDO 002456-2026-GITE"/>
    <s v="MEMO 002941-2026/GITE"/>
    <s v="HERNANDEZ"/>
    <s v="CHACALTANA "/>
    <s v="ELIZABETH KARINA"/>
    <n v="46358893"/>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90"/>
    <m/>
    <s v="MEMORANDO 002456-2026-GITE"/>
    <s v="MEMO 002941-2026/GITE"/>
    <s v="CHUMACERO"/>
    <s v="CHUMPITAZ"/>
    <s v="ELOY GUILLERMO"/>
    <n v="42309854"/>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91"/>
    <m/>
    <s v="MEMORANDO 002456-2026-GITE"/>
    <s v="MEMO 002941-2026/GITE"/>
    <s v="TOCTO"/>
    <s v="CARLOS"/>
    <s v="DENIS FRANCO"/>
    <n v="46734878"/>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92"/>
    <m/>
    <s v="MEMORANDO 002456-2026-GITE"/>
    <s v="MEMO 002941-2026/GITE"/>
    <s v="ROSADO"/>
    <s v="PEREZ"/>
    <s v="ANGHELO BENJAMIN"/>
    <n v="73226874"/>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RED DE DATOS ELECTORAL"/>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593"/>
    <m/>
    <s v="MEMORANDO 002456-2026-GITE"/>
    <s v="MEMO 002941-2026/GITE"/>
    <s v="RAMOS"/>
    <s v="SILVA"/>
    <s v="WILDER ALEXIS"/>
    <n v="2156277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EN SISTEMAS OPERATIVOS"/>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0"/>
    <m/>
    <s v="MEMORANDO 002456-2026-GITE"/>
    <s v="MEMO 002941-2026/GITE"/>
    <s v="ROMERO"/>
    <s v="MEZA"/>
    <s v="CESAR MARTIN"/>
    <n v="40694257"/>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LA RED ELECTORAL"/>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71"/>
    <m/>
    <s v="MEMORANDO 002456-2026-GITE"/>
    <m/>
    <s v="CONTRERAS"/>
    <s v="CAPCHA"/>
    <s v="RAUL OCTAVIO"/>
    <n v="41932749"/>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DE TELECOMUNICACIONE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595"/>
    <m/>
    <s v="MEMORANDO 002456-2026-GITE"/>
    <s v="MEMO 002941-2026/GITE"/>
    <s v="YASUDA"/>
    <s v="OCHOA"/>
    <s v="VICTOR RICARDO"/>
    <s v="07507109"/>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TELECOMUNICACIONES"/>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2"/>
    <m/>
    <s v="MEMORANDO 002456-2026-GITE"/>
    <s v="MEMO 002941-2026/GITE"/>
    <s v="CABEZAS"/>
    <s v="RODRIGUEZ"/>
    <s v="HENRY CARLOS"/>
    <n v="10666773"/>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TELECOMUNICACIONES"/>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3"/>
    <m/>
    <s v="MEMORANDO 002456-2026-GITE"/>
    <s v="MEMO 002941-2026/GITE"/>
    <s v="LAURA"/>
    <s v="HUAROC"/>
    <s v="KENIL"/>
    <n v="45728536"/>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TELECOMUNICACIONES"/>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4"/>
    <m/>
    <s v="MEMORANDO 002456-2026-GITE"/>
    <s v="MEMO 002941-2026/GITE"/>
    <s v="ROLDAN"/>
    <s v="ESPINOZA"/>
    <s v="HUGO HUMBERTO"/>
    <n v="42223682"/>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TELECOMUNICACIONES"/>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5"/>
    <m/>
    <s v="MEMORANDO 002456-2026-GITE"/>
    <s v="MEMO 002941-2026/GITE"/>
    <s v="ESPILCO"/>
    <s v="PORTUGAL"/>
    <s v="PAULO CESAR"/>
    <n v="47553669"/>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TELECOMUNICACIONES"/>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6"/>
    <m/>
    <s v="MEMORANDO 002456-2026-GITE"/>
    <s v="MEMO 002941-2026/GITE"/>
    <s v="TORRES"/>
    <s v="MOREANO"/>
    <s v="CARLOS MIGUEL"/>
    <n v="42545681"/>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DMINISTRADOR DE TELECOMUNICACIONES"/>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577"/>
    <m/>
    <s v="MEMORANDO 002456-2026-GITE"/>
    <s v="MEMO 002941-2026/GITE"/>
    <s v="CARDENAS "/>
    <s v="SOTO"/>
    <s v="DANIEL WILSON"/>
    <n v="41908372"/>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ANALISTA EN INFRAESTRUCTURA DE SEGURIDAD TECNOLOGICA"/>
    <s v="LOCADOR"/>
    <n v="1"/>
    <n v="6500"/>
    <m/>
    <m/>
    <m/>
    <m/>
    <n v="30"/>
    <n v="30"/>
    <m/>
    <m/>
    <m/>
    <m/>
    <m/>
    <m/>
    <n v="13000"/>
    <m/>
    <m/>
    <m/>
    <m/>
    <n v="6500"/>
    <n v="6500"/>
    <s v=" -   "/>
    <s v=" -   "/>
    <s v=" -   "/>
    <s v=" -   "/>
    <s v=" -   "/>
    <s v=" -   "/>
    <n v="13000"/>
    <x v="0"/>
    <s v="P1"/>
    <m/>
    <m/>
    <m/>
    <m/>
    <m/>
    <m/>
    <m/>
    <m/>
    <m/>
    <m/>
    <x v="0"/>
    <s v="EN EJECUCION CON CONTRATO"/>
    <s v="001644-2026-SGIST/GITE"/>
    <s v="0004459-2026-SGIST/GITE"/>
    <s v="002021-2026/GITE"/>
    <d v="2026-04-22T00:00:00"/>
    <m/>
    <s v="0599"/>
    <m/>
    <s v="MEMORANDO 002456-2026-GITE"/>
    <s v="MEMO 002941-2026/GITE"/>
    <s v="ENGRACIO"/>
    <s v="CANAL"/>
    <s v="ELVIS ANTONIO"/>
    <n v="41200743"/>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ANALISTA EN INFRAESTRUCTURA DE SEGURIDAD TECNOLOGICA"/>
    <s v="LOCADOR"/>
    <n v="1"/>
    <n v="6500"/>
    <m/>
    <m/>
    <m/>
    <m/>
    <n v="30"/>
    <n v="30"/>
    <m/>
    <m/>
    <m/>
    <m/>
    <m/>
    <m/>
    <n v="13000"/>
    <s v=" -   "/>
    <s v=" -   "/>
    <s v=" -   "/>
    <s v=" -   "/>
    <n v="6500"/>
    <n v="6500"/>
    <s v=" -   "/>
    <s v=" -   "/>
    <s v=" -   "/>
    <s v=" -   "/>
    <s v=" -   "/>
    <s v=" -   "/>
    <n v="13000"/>
    <x v="0"/>
    <s v="P1"/>
    <m/>
    <m/>
    <m/>
    <m/>
    <m/>
    <m/>
    <m/>
    <m/>
    <m/>
    <m/>
    <x v="1"/>
    <s v="PENDIENTE DE REQUERIR"/>
    <m/>
    <m/>
    <m/>
    <m/>
    <m/>
    <m/>
    <m/>
    <m/>
    <m/>
    <m/>
    <m/>
    <m/>
    <m/>
    <m/>
    <m/>
    <m/>
    <m/>
    <m/>
    <n v="30"/>
    <n v="6500"/>
    <m/>
    <n v="0"/>
    <m/>
    <n v="0"/>
    <n v="6500"/>
    <n v="6500"/>
    <m/>
    <n v="30"/>
    <n v="6500"/>
    <m/>
    <n v="0"/>
    <m/>
    <n v="0"/>
    <n v="6500"/>
    <n v="6500"/>
    <m/>
    <n v="13000"/>
    <n v="0"/>
    <n v="0"/>
    <n v="13000"/>
    <n v="13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4"/>
    <m/>
    <s v="MEMORANDO 002456-2026-GITE"/>
    <s v="MEMO 002941-2026/GITE"/>
    <s v="PEÑA"/>
    <s v="CUYA"/>
    <s v="LUIS JESUS"/>
    <n v="45847853"/>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5"/>
    <m/>
    <s v="MEMORANDO 002456-2026-GITE"/>
    <s v="MEMO 002941-2026/GITE"/>
    <s v="INGA"/>
    <s v="HUANCA"/>
    <s v="ABNER OMAR"/>
    <n v="45558213"/>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6"/>
    <m/>
    <s v="MEMORANDO 002456-2026-GITE"/>
    <s v="MEMO 002941-2026/GITE"/>
    <s v="DELGADO"/>
    <s v="DURAN"/>
    <s v="FREDDY GIOVANNI"/>
    <n v="10045517"/>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7"/>
    <m/>
    <s v="MEMORANDO 002456-2026-GITE"/>
    <s v="MEMO 002941-2026/GITE"/>
    <s v="HUAYANEY"/>
    <s v="CERVERA"/>
    <s v="CHRISTIAN ANTONINNI"/>
    <n v="44776254"/>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8"/>
    <m/>
    <s v="MEMORANDO 002456-2026-GITE"/>
    <s v="MEMO 002941-2026/GITE"/>
    <s v="GARCIA"/>
    <s v="CORDOVA"/>
    <s v="KARIN BERNEHT"/>
    <n v="10722131"/>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9"/>
    <m/>
    <s v="MEMORANDO 002456-2026-GITE"/>
    <s v="MEMO 002941-2026/GITE"/>
    <s v="REVILLA"/>
    <s v="CORNEJO"/>
    <s v="NADIA JOSEFA"/>
    <s v="0751737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ESA DE AYUDA"/>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20"/>
    <m/>
    <s v="MEMORANDO 002456-2026-GITE"/>
    <s v="MEMO 002941-2026/GITE"/>
    <s v="ALVARADO"/>
    <s v="PECEROS"/>
    <s v="ALEXIS SEGUNDO"/>
    <n v="4111418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ESPECIALISTA EN SEGURIDAD DE LA INFORMACION"/>
    <s v="LOCADOR"/>
    <n v="1"/>
    <n v="7000"/>
    <m/>
    <m/>
    <m/>
    <m/>
    <n v="30"/>
    <n v="30"/>
    <m/>
    <m/>
    <m/>
    <m/>
    <m/>
    <m/>
    <n v="14000"/>
    <s v=" -   "/>
    <s v=" -   "/>
    <s v=" -   "/>
    <s v=" -   "/>
    <n v="7000"/>
    <n v="7000"/>
    <s v=" -   "/>
    <s v=" -   "/>
    <s v=" -   "/>
    <s v=" -   "/>
    <s v=" -   "/>
    <s v=" -   "/>
    <n v="14000"/>
    <x v="0"/>
    <s v="P1"/>
    <m/>
    <m/>
    <m/>
    <m/>
    <m/>
    <m/>
    <m/>
    <m/>
    <m/>
    <m/>
    <x v="0"/>
    <s v="EN EJECUCION CON CONTRATO"/>
    <s v="001644-2026-SGIST/GITE"/>
    <s v="0004459-2026-SGIST/GITE"/>
    <s v="002021-2026/GITE"/>
    <d v="2026-04-22T00:00:00"/>
    <m/>
    <s v="0638"/>
    <m/>
    <s v="MEMORANDO 002456-2026-GITE"/>
    <m/>
    <s v="CARPIO"/>
    <s v="MONTEZA"/>
    <s v="JOEL ENRIQUE"/>
    <n v="40587637"/>
    <m/>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ASISTENTE EN SEGURIDAD DE LA INFORMACION"/>
    <s v="LOCADOR"/>
    <n v="1"/>
    <n v="4500"/>
    <m/>
    <m/>
    <m/>
    <m/>
    <n v="30"/>
    <n v="30"/>
    <m/>
    <m/>
    <m/>
    <m/>
    <m/>
    <m/>
    <n v="9000"/>
    <s v=" -   "/>
    <s v=" -   "/>
    <s v=" -   "/>
    <s v=" -   "/>
    <n v="4500"/>
    <n v="4500"/>
    <s v=" -   "/>
    <s v=" -   "/>
    <s v=" -   "/>
    <s v=" -   "/>
    <s v=" -   "/>
    <s v=" -   "/>
    <n v="9000"/>
    <x v="0"/>
    <s v="P1"/>
    <m/>
    <m/>
    <m/>
    <m/>
    <m/>
    <m/>
    <m/>
    <m/>
    <m/>
    <m/>
    <x v="0"/>
    <s v="EN EJECUCION CON CONTRATO"/>
    <s v="001644-2026-SGIST/GITE"/>
    <s v="0004459-2026-SGIST/GITE"/>
    <s v="002021-2026/GITE"/>
    <d v="2026-04-22T00:00:00"/>
    <m/>
    <s v="0609"/>
    <m/>
    <s v="MEMORANDO 002456-2026-GITE"/>
    <s v="MEMO 002941-2026/GITE"/>
    <s v="ALVAREZ"/>
    <s v="FLORES"/>
    <s v="GERALDINE MARIA"/>
    <n v="74374518"/>
    <m/>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ADMINISTRATIVO DE PLATAFORMA OPERATIVA"/>
    <s v="LOCADOR"/>
    <n v="1"/>
    <n v="4000"/>
    <m/>
    <m/>
    <m/>
    <m/>
    <n v="30"/>
    <n v="30"/>
    <m/>
    <m/>
    <m/>
    <m/>
    <m/>
    <m/>
    <n v="8000"/>
    <s v=" -   "/>
    <s v=" -   "/>
    <s v=" -   "/>
    <s v=" -   "/>
    <n v="4000"/>
    <n v="4000"/>
    <s v=" -   "/>
    <s v=" -   "/>
    <s v=" -   "/>
    <s v=" -   "/>
    <s v=" -   "/>
    <s v=" -   "/>
    <n v="8000"/>
    <x v="0"/>
    <s v="P1"/>
    <m/>
    <m/>
    <m/>
    <m/>
    <m/>
    <m/>
    <m/>
    <m/>
    <m/>
    <m/>
    <x v="0"/>
    <s v="EN EJECUCION CON CONTRATO"/>
    <s v="002200-2026-SGIST/GITE"/>
    <s v="006214-2026-SGIST/GITE"/>
    <s v="002771-2026/GITE"/>
    <d v="2026-06-03T00:00:00"/>
    <m/>
    <m/>
    <m/>
    <m/>
    <m/>
    <s v="MORY"/>
    <s v="TAFUR"/>
    <s v="AITOR ALEXANDER"/>
    <n v="48200687"/>
    <n v="10482006871"/>
    <n v="4000"/>
    <d v="2026-06-04T00:00:00"/>
    <d v="2026-06-30T00:00:00"/>
    <m/>
    <n v="30"/>
    <n v="4000"/>
    <n v="0"/>
    <n v="0"/>
    <n v="0"/>
    <n v="0"/>
    <n v="4000"/>
    <n v="4000"/>
    <m/>
    <n v="30"/>
    <n v="4000"/>
    <n v="27"/>
    <n v="3600.0000000000005"/>
    <n v="27"/>
    <n v="3600.0000000000005"/>
    <n v="399.99999999999955"/>
    <n v="399.99999999999955"/>
    <m/>
    <n v="8000"/>
    <n v="3600.0000000000005"/>
    <n v="3600.0000000000005"/>
    <n v="4400"/>
    <n v="440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ESPECIALISTA EN CIBERSEGURIDAD"/>
    <s v="LOCADOR"/>
    <n v="1"/>
    <n v="8000"/>
    <m/>
    <m/>
    <m/>
    <m/>
    <n v="30"/>
    <n v="30"/>
    <m/>
    <m/>
    <m/>
    <m/>
    <m/>
    <m/>
    <n v="16000"/>
    <s v=" -   "/>
    <s v=" -   "/>
    <s v=" -   "/>
    <s v=" -   "/>
    <n v="8000"/>
    <n v="8000"/>
    <s v=" -   "/>
    <s v=" -   "/>
    <s v=" -   "/>
    <s v=" -   "/>
    <s v=" -   "/>
    <s v=" -   "/>
    <n v="16000"/>
    <x v="0"/>
    <s v="P1"/>
    <m/>
    <m/>
    <m/>
    <m/>
    <m/>
    <m/>
    <m/>
    <m/>
    <m/>
    <m/>
    <x v="1"/>
    <s v="PENDIENTE DE REQUERIR"/>
    <m/>
    <m/>
    <m/>
    <m/>
    <m/>
    <m/>
    <m/>
    <m/>
    <m/>
    <m/>
    <m/>
    <m/>
    <m/>
    <m/>
    <m/>
    <m/>
    <m/>
    <m/>
    <n v="30"/>
    <n v="8000"/>
    <m/>
    <n v="0"/>
    <m/>
    <n v="0"/>
    <n v="8000"/>
    <n v="8000"/>
    <m/>
    <n v="30"/>
    <n v="8000"/>
    <m/>
    <n v="0"/>
    <m/>
    <n v="0"/>
    <n v="8000"/>
    <n v="8000"/>
    <m/>
    <n v="16000"/>
    <n v="0"/>
    <n v="0"/>
    <n v="16000"/>
    <n v="16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8"/>
    <m/>
    <s v="MEMORANDO 002456-2026-GITE"/>
    <s v="MEMO 002941-2026/GITE"/>
    <s v="HILARIO"/>
    <s v="ESPINOZA"/>
    <s v="OSCAR DAVID"/>
    <n v="4066652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9"/>
    <m/>
    <s v="MEMORANDO 002456-2026-GITE"/>
    <s v="MEMO 002941-2026/GITE"/>
    <s v="ACUÑA"/>
    <s v="MORI"/>
    <s v="SAMUEL KEPLER"/>
    <n v="4114396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0"/>
    <m/>
    <s v="MEMORANDO 002456-2026-GITE"/>
    <s v="MEMO 002941-2026/GITE"/>
    <s v="TORRES"/>
    <s v="SAMAME"/>
    <s v="DIOMENES"/>
    <n v="45252382"/>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1"/>
    <m/>
    <s v="MEMORANDO 002461-2026-GITE"/>
    <s v="MEMO 002941-2026/GITE"/>
    <s v="VILLANUEVA"/>
    <s v="TENA"/>
    <s v="FERNANDO ALFREDO"/>
    <s v="07529977"/>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2"/>
    <m/>
    <s v="MEMORANDO 002456-2026-GITE"/>
    <s v="MEMO 002941-2026/GITE"/>
    <s v="PEREZ"/>
    <s v="FRIAS"/>
    <s v="RICHARD"/>
    <n v="74288308"/>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3"/>
    <m/>
    <s v="MEMORANDO 002456-2026-GITE"/>
    <s v="MEMO 002941-2026/GITE"/>
    <s v="CALLATA"/>
    <s v="MAMANI"/>
    <s v="TONNY EDWIN"/>
    <n v="1028996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4"/>
    <m/>
    <s v="MEMORANDO 002456-2026-GITE"/>
    <s v="MEMO 002941-2026/GITE"/>
    <s v="LEO"/>
    <s v="NEYRA"/>
    <s v="STEVE JHORDAN"/>
    <n v="48723353"/>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5"/>
    <m/>
    <s v="MEMORANDO 002456-2026-GITE"/>
    <s v="MEMO 002941-2026/GITE"/>
    <s v="DELGADO"/>
    <s v="NARVAEZ"/>
    <s v="JULIO CESAR"/>
    <n v="43978086"/>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6"/>
    <m/>
    <s v="MEMORANDO 002456-2026-GITE"/>
    <s v="MEMO 002941-2026/GITE"/>
    <s v="GONZALEZ"/>
    <s v="SANTIVAÑEZ"/>
    <s v="PERCY JHON"/>
    <n v="7305606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7"/>
    <m/>
    <s v="MEMORANDO 002456-2026-GITE"/>
    <s v="MEMO 002941-2026/GITE"/>
    <s v="DIAZ"/>
    <s v="GUEVARA"/>
    <s v="VICTOR"/>
    <s v="06807256"/>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8"/>
    <m/>
    <s v="MEMORANDO 002456-2026-GITE"/>
    <s v="MEMO 002941-2026/GITE"/>
    <s v="SOLLER"/>
    <s v="ORTIZ"/>
    <s v="CARLOS ALBERTO"/>
    <s v="09984548"/>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59"/>
    <m/>
    <s v="MEMORANDO 002456-2026-GITE"/>
    <s v="MEMO 002941-2026/GITE"/>
    <s v="ANAMARIA"/>
    <s v="VEGA"/>
    <s v="JORGE MARIO"/>
    <s v="09951518"/>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0"/>
    <m/>
    <s v="MEMORANDO 002456-2026-GITE"/>
    <s v="MEMO 002941-2026/GITE"/>
    <s v="CASTRO"/>
    <s v="GUTIERREZ"/>
    <s v="AARON JUNIOR"/>
    <n v="71483538"/>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1"/>
    <m/>
    <s v="MEMORANDO 002456-2026-GITE"/>
    <s v="MEMO 002941-2026/GITE"/>
    <s v="MENDOZA"/>
    <s v="GONZALES"/>
    <s v="ELIAZAR"/>
    <n v="40188228"/>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2"/>
    <m/>
    <s v="MEMORANDO 002456-2026-GITE"/>
    <s v="MEMO 002941-2026/GITE"/>
    <s v="PINEDA"/>
    <s v="VALDIVIA"/>
    <s v="LORENZO IVAN"/>
    <n v="42098301"/>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3"/>
    <m/>
    <s v="MEMORANDO 002456-2026-GITE"/>
    <s v="MEMO 002941-2026/GITE"/>
    <s v="CANDIOTTI"/>
    <s v="LOPEZ"/>
    <s v="SERGIO"/>
    <n v="71467722"/>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4"/>
    <m/>
    <s v="MEMORANDO 002456-2026-GITE"/>
    <s v="MEMO 002941-2026/GITE"/>
    <s v="SANTAYANA"/>
    <s v="FRETELL"/>
    <s v="MARCO ANTONIO"/>
    <n v="25797741"/>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5"/>
    <m/>
    <s v="MEMORANDO 002456-2026-GITE"/>
    <m/>
    <s v="SANTAMARIA"/>
    <s v="VALLE"/>
    <s v="JUAN CARLOS"/>
    <n v="40869933"/>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6"/>
    <m/>
    <s v="MEMORANDO 002456-2026-GITE"/>
    <s v="MEMO 002941-2026/GITE"/>
    <s v="DAVILA"/>
    <s v="TORRES"/>
    <s v="JORIS"/>
    <n v="2564886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7"/>
    <m/>
    <s v="MEMORANDO 002456-2026-GITE"/>
    <s v="MEMO 002941-2026/GITE"/>
    <s v="ALVAREZ"/>
    <s v="ROSADO"/>
    <s v="GERARDO MIGUEL"/>
    <n v="7057267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68"/>
    <m/>
    <s v="MEMORANDO 002456-2026-GITE"/>
    <s v="MEMO 002941-2026/GITE"/>
    <s v="CRUZ"/>
    <s v="MUÑOZ"/>
    <s v="ERDINI HENRY"/>
    <n v="42459726"/>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1"/>
    <n v="5000"/>
    <m/>
    <m/>
    <m/>
    <m/>
    <n v="30"/>
    <n v="30"/>
    <m/>
    <m/>
    <m/>
    <m/>
    <m/>
    <m/>
    <n v="10000"/>
    <s v=" -   "/>
    <s v=" -   "/>
    <s v=" -   "/>
    <s v=" -   "/>
    <n v="5000"/>
    <n v="5000"/>
    <m/>
    <m/>
    <m/>
    <m/>
    <m/>
    <m/>
    <n v="10000"/>
    <x v="0"/>
    <s v="P1"/>
    <m/>
    <m/>
    <m/>
    <m/>
    <m/>
    <m/>
    <m/>
    <m/>
    <m/>
    <m/>
    <x v="0"/>
    <s v="EN EJECUCION CON CONTRATO"/>
    <s v="001644-2026-SGIST/GITE"/>
    <s v="0004459-2026-SGIST/GITE"/>
    <s v="002021-2026/GITE"/>
    <d v="2026-04-22T00:00:00"/>
    <m/>
    <s v="0669"/>
    <m/>
    <s v="MEMORANDO 002456-2026-GITE"/>
    <s v="MEMO 002941-2026/GITE"/>
    <s v="ESPINAR "/>
    <s v="TORRES"/>
    <s v="JAM ARMANDO"/>
    <n v="70020299"/>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OPORTE TECNICO"/>
    <s v="LOCADOR"/>
    <n v="2"/>
    <n v="5000"/>
    <m/>
    <m/>
    <m/>
    <m/>
    <n v="30"/>
    <n v="30"/>
    <m/>
    <m/>
    <m/>
    <m/>
    <m/>
    <m/>
    <n v="20000"/>
    <s v=" -   "/>
    <s v=" -   "/>
    <s v=" -   "/>
    <s v=" -   "/>
    <n v="10000"/>
    <n v="10000"/>
    <m/>
    <m/>
    <m/>
    <m/>
    <m/>
    <m/>
    <n v="20000"/>
    <x v="0"/>
    <s v="P1"/>
    <m/>
    <m/>
    <m/>
    <m/>
    <m/>
    <m/>
    <m/>
    <m/>
    <m/>
    <m/>
    <x v="1"/>
    <s v="PENDIENTE DE REQUERIR"/>
    <m/>
    <m/>
    <m/>
    <m/>
    <m/>
    <m/>
    <m/>
    <m/>
    <m/>
    <m/>
    <m/>
    <m/>
    <m/>
    <m/>
    <m/>
    <m/>
    <m/>
    <m/>
    <n v="30"/>
    <n v="10000"/>
    <n v="0"/>
    <n v="0"/>
    <n v="0"/>
    <n v="0"/>
    <n v="10000"/>
    <n v="10000"/>
    <m/>
    <n v="30"/>
    <n v="10000"/>
    <m/>
    <n v="0"/>
    <m/>
    <n v="0"/>
    <n v="10000"/>
    <n v="10000"/>
    <m/>
    <n v="20000"/>
    <n v="0"/>
    <n v="0"/>
    <n v="20000"/>
    <n v="20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MONITOR DE SEGUMIENTO DE PLANES ESPECIALIZADOS"/>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639"/>
    <m/>
    <s v="MEMORANDO 002456-2026-GITE"/>
    <m/>
    <s v="CARRILLO"/>
    <s v="SILVA "/>
    <s v="MARLENI"/>
    <s v="07759543"/>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TECNICO DE MONITOREO DE PLANES"/>
    <s v="LOCADOR"/>
    <n v="1"/>
    <n v="4500"/>
    <m/>
    <m/>
    <m/>
    <m/>
    <n v="30"/>
    <n v="30"/>
    <m/>
    <m/>
    <m/>
    <m/>
    <m/>
    <m/>
    <n v="9000"/>
    <s v=" -   "/>
    <s v=" -   "/>
    <s v=" -   "/>
    <s v=" -   "/>
    <n v="4500"/>
    <n v="4500"/>
    <s v=" -   "/>
    <s v=" -   "/>
    <s v=" -   "/>
    <s v=" -   "/>
    <s v=" -   "/>
    <s v=" -   "/>
    <n v="9000"/>
    <x v="0"/>
    <s v="P1"/>
    <m/>
    <m/>
    <m/>
    <m/>
    <m/>
    <m/>
    <m/>
    <m/>
    <m/>
    <m/>
    <x v="0"/>
    <s v="EN EJECUCION CON CONTRATO"/>
    <s v="001644-2026-SGIST/GITE"/>
    <s v="0004459-2026-SGIST/GITE"/>
    <s v="002021-2026/GITE"/>
    <d v="2026-04-22T00:00:00"/>
    <m/>
    <s v="0621"/>
    <m/>
    <s v="MEMORANDO 002456-2026-GITE"/>
    <s v="MEMO 002941-2026/GITE"/>
    <s v="LOZANO"/>
    <s v="ARAGON"/>
    <s v="DANIEL ALEXANDER"/>
    <n v="72177456"/>
    <m/>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ALISTA LOGISTICOS DE SERVICIOS INFORMATICOS "/>
    <s v="LOCADOR"/>
    <n v="1"/>
    <n v="6000"/>
    <m/>
    <m/>
    <m/>
    <m/>
    <n v="30"/>
    <n v="30"/>
    <m/>
    <m/>
    <m/>
    <m/>
    <m/>
    <m/>
    <n v="12000"/>
    <s v=" -   "/>
    <s v=" -   "/>
    <s v=" -   "/>
    <s v=" -   "/>
    <n v="6000"/>
    <n v="6000"/>
    <s v=" -   "/>
    <s v=" -   "/>
    <s v=" -   "/>
    <s v=" -   "/>
    <s v=" -   "/>
    <s v=" -   "/>
    <n v="12000"/>
    <x v="0"/>
    <s v="P1"/>
    <m/>
    <m/>
    <m/>
    <m/>
    <m/>
    <m/>
    <m/>
    <m/>
    <m/>
    <m/>
    <x v="0"/>
    <s v="EN EJECUCION CON CONTRATO"/>
    <s v="001644-2026-SGIST/GITE"/>
    <s v="0004459-2026-SGIST/GITE"/>
    <s v="002021-2026/GITE"/>
    <d v="2026-04-22T00:00:00"/>
    <m/>
    <s v="0605"/>
    <m/>
    <s v="MEMORANDO 002456-2026-GITE"/>
    <s v="MEMO 002941-2026/GITE"/>
    <s v="BENDEZU"/>
    <s v="ALVAREZ"/>
    <s v="NORMA NELIDA"/>
    <s v="08384147"/>
    <m/>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LOGISTICOS DE SERVICIOS INFORMATICOS"/>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1"/>
    <m/>
    <s v="MEMORANDO 002456-2026-GITE"/>
    <s v="MEMO 002941-2026/GITE"/>
    <s v="SAAVEDRA "/>
    <s v="LOPEZ"/>
    <s v="CARLOS GIOVANNI"/>
    <n v="7321256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LOGISTICOS DE SERVICIOS INFORMATICOS"/>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2"/>
    <m/>
    <s v="MEMORANDO 002456-2026-GITE"/>
    <s v="MEMO 002941-2026/GITE"/>
    <s v="CASTILLO"/>
    <s v="ORTEGA"/>
    <s v="YESSENIA"/>
    <n v="45601876"/>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ESPECIALISTA DE OPERACIONES INFORMATICAS"/>
    <s v="LOCADOR"/>
    <n v="1"/>
    <n v="8000"/>
    <m/>
    <m/>
    <m/>
    <m/>
    <n v="30"/>
    <n v="30"/>
    <m/>
    <m/>
    <m/>
    <m/>
    <m/>
    <m/>
    <n v="16000"/>
    <s v=" -   "/>
    <s v=" -   "/>
    <s v=" -   "/>
    <s v=" -   "/>
    <n v="8000"/>
    <n v="8000"/>
    <s v=" -   "/>
    <s v=" -   "/>
    <s v=" -   "/>
    <s v=" -   "/>
    <s v=" -   "/>
    <s v=" -   "/>
    <n v="16000"/>
    <x v="0"/>
    <s v="P1"/>
    <m/>
    <m/>
    <m/>
    <m/>
    <m/>
    <m/>
    <m/>
    <m/>
    <m/>
    <m/>
    <x v="1"/>
    <s v="PENDIENTE DE REQUERIR"/>
    <m/>
    <m/>
    <m/>
    <m/>
    <m/>
    <m/>
    <m/>
    <m/>
    <m/>
    <m/>
    <m/>
    <m/>
    <m/>
    <m/>
    <m/>
    <m/>
    <m/>
    <m/>
    <n v="30"/>
    <n v="8000"/>
    <m/>
    <n v="0"/>
    <m/>
    <n v="0"/>
    <n v="8000"/>
    <n v="8000"/>
    <m/>
    <n v="30"/>
    <n v="8000"/>
    <m/>
    <n v="0"/>
    <m/>
    <n v="0"/>
    <n v="8000"/>
    <n v="8000"/>
    <m/>
    <n v="16000"/>
    <n v="0"/>
    <n v="0"/>
    <n v="16000"/>
    <n v="16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UPERVISOR DE OPERACIONES Y DEL CENTRO DE SOPORTE INFORMATICO"/>
    <s v="LOCADOR"/>
    <n v="1"/>
    <n v="7000"/>
    <m/>
    <m/>
    <m/>
    <m/>
    <n v="30"/>
    <n v="30"/>
    <m/>
    <m/>
    <m/>
    <m/>
    <m/>
    <m/>
    <n v="14000"/>
    <m/>
    <m/>
    <m/>
    <m/>
    <n v="7000"/>
    <n v="7000"/>
    <s v=" -   "/>
    <s v=" -   "/>
    <s v=" -   "/>
    <s v=" -   "/>
    <s v=" -   "/>
    <s v=" -   "/>
    <n v="14000"/>
    <x v="0"/>
    <s v="P1"/>
    <m/>
    <m/>
    <m/>
    <m/>
    <s v="001644-2026"/>
    <m/>
    <m/>
    <m/>
    <m/>
    <m/>
    <x v="0"/>
    <s v="EN EJECUCION CON CONTRATO"/>
    <s v="001644-2026-SGIST/GITE"/>
    <s v="0004459-2026-SGIST/GITE"/>
    <s v="002021-2026/GITE"/>
    <d v="2026-04-22T00:00:00"/>
    <m/>
    <s v="0670"/>
    <m/>
    <s v="MEMORANDO 002456-2026-GITE"/>
    <s v="MEMO 002941-2026/GITE"/>
    <s v="ESPINOZA"/>
    <s v="DEL ROSARIO"/>
    <s v="MERITA ELIZABETH"/>
    <n v="45220402"/>
    <m/>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SUPERVISOR DE OPERACIONES Y DEL CENTRO DE SOPORTE INFORMATICO"/>
    <s v="LOCADOR"/>
    <n v="2"/>
    <n v="7000"/>
    <m/>
    <m/>
    <m/>
    <m/>
    <n v="30"/>
    <n v="30"/>
    <m/>
    <m/>
    <m/>
    <m/>
    <m/>
    <m/>
    <n v="28000"/>
    <s v=" -   "/>
    <s v=" -   "/>
    <s v=" -   "/>
    <s v=" -   "/>
    <n v="14000"/>
    <n v="14000"/>
    <s v=" -   "/>
    <s v=" -   "/>
    <s v=" -   "/>
    <s v=" -   "/>
    <s v=" -   "/>
    <s v=" -   "/>
    <n v="28000"/>
    <x v="0"/>
    <s v="P1"/>
    <m/>
    <m/>
    <m/>
    <m/>
    <m/>
    <m/>
    <m/>
    <m/>
    <m/>
    <m/>
    <x v="1"/>
    <s v="PENDIENTE DE REQUERIR"/>
    <m/>
    <m/>
    <m/>
    <m/>
    <m/>
    <m/>
    <m/>
    <m/>
    <m/>
    <m/>
    <m/>
    <m/>
    <m/>
    <m/>
    <m/>
    <m/>
    <m/>
    <m/>
    <n v="30"/>
    <n v="14000"/>
    <n v="0"/>
    <n v="0"/>
    <n v="0"/>
    <n v="0"/>
    <n v="14000"/>
    <n v="14000"/>
    <m/>
    <n v="30"/>
    <n v="14000"/>
    <m/>
    <n v="0"/>
    <m/>
    <n v="0"/>
    <n v="14000"/>
    <n v="14000"/>
    <m/>
    <n v="28000"/>
    <n v="0"/>
    <n v="0"/>
    <n v="28000"/>
    <n v="28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TES: OPERADOR DEL CENTRO DE SOPORTE INFORMATICO.   NUEVO: OPERADOR DEL CENTRO DE MONITOREO DE RESULTADOS ELECTORALES                                                                                              "/>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2"/>
    <m/>
    <s v="MEMORANDO 002456-2026-GITE"/>
    <s v="MEMO 002941-2026/GITE"/>
    <s v="QUISPE"/>
    <s v="VARGAS"/>
    <s v="JENIFFER"/>
    <n v="40466355"/>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TES: OPERADOR DEL CENTRO DE SOPORTE INFORMATICO.   NUEVO: OPERADOR DEL CENTRO DE MONITOREO DE RESULTADOS ELECTORALES                                                                                              "/>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3"/>
    <m/>
    <s v="MEMORANDO 002456-2026-GITE"/>
    <s v="MEMO 002941-2026/GITE"/>
    <s v="CRISTOBAL"/>
    <s v="EULOGIO"/>
    <s v="NANCY SONIA"/>
    <n v="20113309"/>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TES: OPERADOR DEL CENTRO DE SOPORTE INFORMATICO.   NUEVO: OPERADOR DEL CENTRO DE MONITOREO DE RESULTADOS ELECTORALES                                                                                              "/>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4"/>
    <m/>
    <s v="MEMORANDO 002456-2026-GITE"/>
    <s v="MEMO 002941-2026/GITE"/>
    <s v="ALPES"/>
    <s v="SIFUENTES"/>
    <s v="JOANY"/>
    <n v="7216575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TES: OPERADOR DEL CENTRO DE SOPORTE INFORMATICO.   NUEVO: OPERADOR DEL CENTRO DE MONITOREO DE RESULTADOS ELECTORALES                                                                                              "/>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5"/>
    <m/>
    <s v="MEMORANDO 002456-2026-GITE"/>
    <s v="MEMO 002941-2026/GITE"/>
    <s v="COVEÑAS"/>
    <s v="SILVA"/>
    <s v="JESSICA LISBET"/>
    <n v="48169287"/>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TES: OPERADOR DEL CENTRO DE SOPORTE INFORMATICO.   NUEVO: OPERADOR DEL CENTRO DE MONITOREO DE RESULTADOS ELECTORALES                                                                                              "/>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46"/>
    <m/>
    <s v="MEMORANDO 002456-2026-GITE"/>
    <s v="MEMO 002941-2026/GITE"/>
    <s v="ORTEGA"/>
    <s v="ECHEVARRIA"/>
    <s v="EDGARDO"/>
    <n v="43016734"/>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NTES: OPERADOR DEL CENTRO DE SOPORTE INFORMATICO.   NUEVO: OPERADOR DEL CENTRO DE MONITOREO DE RESULTADOS ELECTORALES                                                                                              "/>
    <s v="LOCADOR"/>
    <n v="1"/>
    <n v="5000"/>
    <m/>
    <m/>
    <m/>
    <m/>
    <n v="30"/>
    <n v="30"/>
    <m/>
    <m/>
    <m/>
    <m/>
    <m/>
    <m/>
    <n v="10000"/>
    <s v=" -   "/>
    <s v=" -   "/>
    <s v=" -   "/>
    <s v=" -   "/>
    <n v="5000"/>
    <n v="5000"/>
    <s v=" -   "/>
    <s v=" -   "/>
    <s v=" -   "/>
    <s v=" -   "/>
    <s v=" -   "/>
    <s v=" -   "/>
    <n v="10000"/>
    <x v="0"/>
    <s v="P1"/>
    <m/>
    <m/>
    <m/>
    <m/>
    <m/>
    <m/>
    <m/>
    <m/>
    <m/>
    <m/>
    <x v="1"/>
    <s v="PENDIENTE DE REQUERIR"/>
    <m/>
    <m/>
    <m/>
    <m/>
    <m/>
    <m/>
    <m/>
    <m/>
    <m/>
    <m/>
    <m/>
    <m/>
    <m/>
    <m/>
    <m/>
    <m/>
    <m/>
    <m/>
    <n v="30"/>
    <n v="5000"/>
    <m/>
    <n v="0"/>
    <m/>
    <n v="0"/>
    <n v="5000"/>
    <n v="5000"/>
    <m/>
    <n v="30"/>
    <n v="5000"/>
    <m/>
    <n v="0"/>
    <m/>
    <n v="0"/>
    <n v="5000"/>
    <n v="5000"/>
    <m/>
    <n v="10000"/>
    <n v="0"/>
    <n v="0"/>
    <n v="10000"/>
    <n v="10000"/>
    <m/>
    <m/>
    <s v="23/04/2026: CORREO DE DESESTIMIENTO GAMARRA ALVARADO JAVIER MANUEL REF INF001644-2026-SGIST/GITE / MEMORANDO 002021-2026/GITE_x0009_"/>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22"/>
    <m/>
    <s v="MEMORANDO 002456-2026-GITE"/>
    <s v="MEMO 002941-2026/GITE"/>
    <s v="VIGO"/>
    <s v=" AGUILAR"/>
    <s v="DANITZA IDALI"/>
    <n v="70812730"/>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23"/>
    <m/>
    <s v="MEMORANDO 002456-2026-GITE"/>
    <s v="MEMO 002941-2026/GITE"/>
    <s v="COLCAS"/>
    <s v=" SALAS"/>
    <s v="KENNY CESAR"/>
    <n v="70137126"/>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24"/>
    <m/>
    <s v="MEMORANDO 002456-2026-GITE"/>
    <s v="MEMO 002941-2026/GITE"/>
    <s v="IRENE"/>
    <s v="DIAZ"/>
    <s v="DORIS JEA-MILLE"/>
    <n v="40587593"/>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790-2026-SGIST/GITE"/>
    <s v="0004927-2026-SGIST/GITE"/>
    <s v="002216-2026/GITE"/>
    <d v="2026-05-05T00:00:00"/>
    <m/>
    <s v="3364"/>
    <m/>
    <s v="MEMORANDO 002461-2026-GITE"/>
    <m/>
    <s v="CASIANO "/>
    <s v="BAUTISTA"/>
    <s v="JAZMIN DEL MILAGRO"/>
    <n v="48424958"/>
    <n v="10484249585"/>
    <n v="5500"/>
    <d v="2026-05-07T00:00:00"/>
    <d v="2026-06-30T00:00:00"/>
    <m/>
    <n v="30"/>
    <n v="5500"/>
    <n v="25"/>
    <n v="4583.3333333333339"/>
    <n v="25"/>
    <n v="4583.3333333333339"/>
    <n v="916.66666666666606"/>
    <n v="916.66666666666606"/>
    <m/>
    <n v="30"/>
    <n v="5500"/>
    <n v="30"/>
    <n v="5500"/>
    <n v="30"/>
    <n v="5500"/>
    <n v="0"/>
    <n v="0"/>
    <m/>
    <n v="11000"/>
    <n v="10083.333333333334"/>
    <n v="10083.333333333334"/>
    <n v="916.66666666666606"/>
    <n v="916.66666666666606"/>
    <m/>
    <m/>
    <s v="SGIST - 30/04 CORREO DESISTIMIENTO DE PISFIL  CAICEDO LUCIO -  REF INF001644-2026-SGIST/GITE / MEMORANDO 002021-2026/GITE_x0009_"/>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26"/>
    <m/>
    <s v="MEMORANDO 002456-2026-GITE"/>
    <s v="MEMO 002941-2026/GITE"/>
    <s v="VELARDE"/>
    <s v="CACERES"/>
    <s v="ERIKA SANDRA"/>
    <n v="29597940"/>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790-2026-SGIST/GITE"/>
    <s v="0004927-2026-SGIST/GITE"/>
    <s v="002216-2026/GITE"/>
    <d v="2026-05-05T00:00:00"/>
    <m/>
    <s v="3363"/>
    <m/>
    <s v="MEMORANDO 002461-2026-GITE"/>
    <m/>
    <s v="ROBLERO"/>
    <s v="PEREZ"/>
    <s v="MARTHA EDITH"/>
    <n v="48497735"/>
    <n v="10484977351"/>
    <n v="5500"/>
    <d v="2026-05-07T00:00:00"/>
    <d v="2026-06-30T00:00:00"/>
    <m/>
    <n v="30"/>
    <n v="5500"/>
    <n v="25"/>
    <n v="4583.3333333333339"/>
    <n v="25"/>
    <n v="4583.3333333333339"/>
    <n v="916.66666666666606"/>
    <n v="916.66666666666606"/>
    <m/>
    <n v="30"/>
    <n v="5500"/>
    <n v="30"/>
    <n v="5500"/>
    <n v="30"/>
    <n v="5500"/>
    <n v="0"/>
    <n v="0"/>
    <m/>
    <n v="11000"/>
    <n v="10083.333333333334"/>
    <n v="10083.333333333334"/>
    <n v="916.66666666666606"/>
    <n v="916.66666666666606"/>
    <m/>
    <m/>
    <s v="SGIST - 30/04 CORREO DESISTIMIENTO DE REA MORALES ALEJANDRO - REF INF001644-2026-SGIST/GITE / MEMORANDO 002021-2026/GITE_x0009_"/>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28"/>
    <m/>
    <s v="MEMORANDO 002456-2026-GITE"/>
    <s v="MEMO 002941-2026/GITE"/>
    <s v="LUNA"/>
    <s v="GONZALEZ"/>
    <s v="FRED ROBERT"/>
    <n v="40031209"/>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644-2026-SGIST/GITE"/>
    <s v="0004459-2026-SGIST/GITE"/>
    <s v="002021-2026/GITE"/>
    <d v="2026-04-22T00:00:00"/>
    <m/>
    <s v="0629"/>
    <m/>
    <s v="MEMORANDO 002456-2026-GITE"/>
    <s v="MEMO 002941-2026/GITE"/>
    <s v="VILLANUEVA"/>
    <s v="CANDELA"/>
    <s v="ANTONIO BENJAMIN"/>
    <n v="72744606"/>
    <m/>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s v=" -   "/>
    <s v=" -   "/>
    <s v=" -   "/>
    <s v=" -   "/>
    <n v="5500"/>
    <n v="5500"/>
    <s v=" -   "/>
    <s v=" -   "/>
    <s v=" -   "/>
    <s v=" -   "/>
    <s v=" -   "/>
    <s v=" -   "/>
    <n v="11000"/>
    <x v="0"/>
    <s v="P1"/>
    <m/>
    <m/>
    <m/>
    <m/>
    <m/>
    <m/>
    <m/>
    <m/>
    <m/>
    <m/>
    <x v="0"/>
    <s v="EN EJECUCION CON CONTRATO"/>
    <s v="001891-2026-SGIST/GITE"/>
    <s v="005213-2026-SGIST/GITE"/>
    <s v="002331-2026/GITE"/>
    <d v="2026-05-12T00:00:00"/>
    <m/>
    <s v="4350"/>
    <m/>
    <s v="MEMORANDO 002696-2026-GITE"/>
    <m/>
    <s v="APARCANA"/>
    <s v="REYNAGA"/>
    <s v="CESAR MARTIN"/>
    <n v="42929425"/>
    <n v="10429294253"/>
    <s v="S/ 5,500.00"/>
    <d v="2026-05-14T00:00:00"/>
    <d v="2026-06-30T00:00:00"/>
    <m/>
    <n v="30"/>
    <n v="5500"/>
    <n v="18"/>
    <n v="3300"/>
    <n v="18"/>
    <n v="3300"/>
    <n v="2200"/>
    <n v="2200"/>
    <m/>
    <n v="30"/>
    <n v="5500"/>
    <n v="30"/>
    <n v="5500"/>
    <n v="30"/>
    <n v="5500"/>
    <n v="0"/>
    <n v="0"/>
    <m/>
    <n v="11000"/>
    <n v="8800"/>
    <n v="8800"/>
    <n v="2200"/>
    <n v="22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m/>
    <m/>
    <m/>
    <m/>
    <n v="5500"/>
    <n v="5500"/>
    <m/>
    <m/>
    <m/>
    <m/>
    <m/>
    <m/>
    <n v="11000"/>
    <x v="0"/>
    <s v="P1"/>
    <m/>
    <m/>
    <m/>
    <m/>
    <m/>
    <m/>
    <m/>
    <m/>
    <m/>
    <m/>
    <x v="0"/>
    <s v="EN EJECUCION CON CONTRATO"/>
    <s v="001891-2026-SGIST/GITE"/>
    <s v="005213-2026-SGIST/GITE"/>
    <s v="002331-2026/GITE"/>
    <d v="2026-05-12T00:00:00"/>
    <m/>
    <s v="4351"/>
    <m/>
    <s v="MEMORANDO 002696-2026-GITE"/>
    <m/>
    <s v="BRAVO"/>
    <s v="PALOMINO"/>
    <s v="ANGIE MELANIE"/>
    <n v="48299226"/>
    <n v="10482992264"/>
    <s v="S/ 5,500.00"/>
    <d v="2026-05-14T00:00:00"/>
    <d v="2026-06-30T00:00:00"/>
    <m/>
    <n v="30"/>
    <n v="5500"/>
    <n v="18"/>
    <n v="3300"/>
    <n v="18"/>
    <n v="3300"/>
    <n v="2200"/>
    <n v="2200"/>
    <m/>
    <n v="30"/>
    <n v="5500"/>
    <n v="30"/>
    <n v="5500"/>
    <n v="30"/>
    <n v="5500"/>
    <n v="0"/>
    <n v="0"/>
    <m/>
    <n v="11000"/>
    <n v="8800"/>
    <n v="8800"/>
    <n v="2200"/>
    <n v="22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m/>
    <m/>
    <m/>
    <m/>
    <n v="5500"/>
    <n v="5500"/>
    <m/>
    <m/>
    <m/>
    <m/>
    <m/>
    <m/>
    <n v="11000"/>
    <x v="0"/>
    <s v="P1"/>
    <m/>
    <m/>
    <m/>
    <m/>
    <m/>
    <m/>
    <m/>
    <m/>
    <m/>
    <m/>
    <x v="0"/>
    <s v="EN EJECUCION CON CONTRATO"/>
    <s v="001891-2026-SGIST/GITE"/>
    <s v="005213-2026-SGIST/GITE"/>
    <s v="002331-2026/GITE"/>
    <d v="2026-05-12T00:00:00"/>
    <m/>
    <s v="4352"/>
    <m/>
    <s v="MEMORANDO 002696-2026-GITE"/>
    <m/>
    <s v="LOZANO"/>
    <s v="ODAR"/>
    <s v="GUILLERMO ALFREDO"/>
    <n v="41276624"/>
    <n v="10412766241"/>
    <s v="S/ 5,500.00"/>
    <d v="2026-05-14T00:00:00"/>
    <d v="2026-06-30T00:00:00"/>
    <m/>
    <n v="30"/>
    <n v="5500"/>
    <n v="18"/>
    <n v="3300"/>
    <n v="18"/>
    <n v="3300"/>
    <n v="2200"/>
    <n v="2200"/>
    <m/>
    <n v="30"/>
    <n v="5500"/>
    <n v="30"/>
    <n v="5500"/>
    <n v="30"/>
    <n v="5500"/>
    <n v="0"/>
    <n v="0"/>
    <m/>
    <n v="11000"/>
    <n v="8800"/>
    <n v="8800"/>
    <n v="2200"/>
    <n v="22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m/>
    <m/>
    <m/>
    <m/>
    <n v="5500"/>
    <n v="5500"/>
    <m/>
    <m/>
    <m/>
    <m/>
    <m/>
    <m/>
    <n v="11000"/>
    <x v="0"/>
    <s v="P1"/>
    <m/>
    <m/>
    <m/>
    <m/>
    <m/>
    <m/>
    <m/>
    <m/>
    <m/>
    <m/>
    <x v="0"/>
    <s v="EN EJECUCION CON CONTRATO"/>
    <s v="001891-2026-SGIST/GITE"/>
    <s v="005213-2026-SGIST/GITE"/>
    <s v="002331-2026/GITE"/>
    <d v="2026-05-12T00:00:00"/>
    <m/>
    <s v="4353"/>
    <m/>
    <s v="MEMORANDO 002696-2026-GITE"/>
    <m/>
    <s v="OCHOA"/>
    <s v="SANDOVAL"/>
    <s v="LUIS ALBERTO"/>
    <n v="42686126"/>
    <n v="10426861262"/>
    <s v="S/ 5,500.00"/>
    <d v="2026-05-14T00:00:00"/>
    <d v="2026-06-30T00:00:00"/>
    <m/>
    <n v="30"/>
    <n v="5500"/>
    <n v="18"/>
    <n v="3300"/>
    <n v="18"/>
    <n v="3300"/>
    <n v="2200"/>
    <n v="2200"/>
    <m/>
    <n v="30"/>
    <n v="5500"/>
    <n v="30"/>
    <n v="5500"/>
    <n v="30"/>
    <n v="5500"/>
    <n v="0"/>
    <n v="0"/>
    <m/>
    <n v="11000"/>
    <n v="8800"/>
    <n v="8800"/>
    <n v="2200"/>
    <n v="22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m/>
    <m/>
    <m/>
    <m/>
    <n v="5500"/>
    <n v="5500"/>
    <m/>
    <m/>
    <m/>
    <m/>
    <m/>
    <m/>
    <n v="11000"/>
    <x v="0"/>
    <s v="P1"/>
    <m/>
    <m/>
    <m/>
    <m/>
    <m/>
    <m/>
    <m/>
    <m/>
    <m/>
    <m/>
    <x v="0"/>
    <s v="EN EJECUCION CON CONTRATO"/>
    <s v="001891-2026-SGIST/GITE"/>
    <s v="005213-2026-SGIST/GITE"/>
    <s v="002331-2026/GITE"/>
    <d v="2026-05-12T00:00:00"/>
    <m/>
    <s v="4354"/>
    <m/>
    <s v="MEMORANDO 002696-2026-GITE"/>
    <m/>
    <s v="PRIETO"/>
    <s v="CHAVEZ"/>
    <s v="LUIS HERNAN"/>
    <n v="7497785"/>
    <n v="10074977851"/>
    <s v="S/ 5,500.00"/>
    <d v="2026-05-14T00:00:00"/>
    <d v="2026-06-30T00:00:00"/>
    <m/>
    <n v="30"/>
    <n v="5500"/>
    <n v="18"/>
    <n v="3300"/>
    <n v="18"/>
    <n v="3300"/>
    <n v="2200"/>
    <n v="2200"/>
    <m/>
    <n v="30"/>
    <n v="5500"/>
    <n v="30"/>
    <n v="5500"/>
    <n v="30"/>
    <n v="5500"/>
    <n v="0"/>
    <n v="0"/>
    <m/>
    <n v="11000"/>
    <n v="8800"/>
    <n v="8800"/>
    <n v="2200"/>
    <n v="22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1"/>
    <n v="5500"/>
    <m/>
    <m/>
    <m/>
    <m/>
    <n v="30"/>
    <n v="30"/>
    <m/>
    <m/>
    <m/>
    <m/>
    <m/>
    <m/>
    <n v="11000"/>
    <m/>
    <m/>
    <m/>
    <m/>
    <n v="5500"/>
    <n v="5500"/>
    <m/>
    <m/>
    <m/>
    <m/>
    <m/>
    <m/>
    <n v="11000"/>
    <x v="0"/>
    <s v="P1"/>
    <m/>
    <m/>
    <m/>
    <m/>
    <m/>
    <m/>
    <m/>
    <m/>
    <m/>
    <m/>
    <x v="0"/>
    <s v="EN EJECUCION CON CONTRATO"/>
    <s v="001891-2026-SGIST/GITE"/>
    <s v="005213-2026-SGIST/GITE"/>
    <s v="002331-2026/GITE"/>
    <d v="2026-05-12T00:00:00"/>
    <m/>
    <s v="4355"/>
    <m/>
    <s v="MEMORANDO 002696-2026-GITE"/>
    <m/>
    <s v="VELARDE"/>
    <s v="VARGAS"/>
    <s v="OSCAR"/>
    <n v="6779120"/>
    <n v="10067791202"/>
    <s v="S/ 5,500.00"/>
    <d v="2026-05-14T00:00:00"/>
    <d v="2026-06-30T00:00:00"/>
    <m/>
    <n v="30"/>
    <n v="5500"/>
    <n v="18"/>
    <n v="3300"/>
    <n v="18"/>
    <n v="3300"/>
    <n v="2200"/>
    <n v="2200"/>
    <m/>
    <n v="30"/>
    <n v="5500"/>
    <n v="30"/>
    <n v="5500"/>
    <n v="30"/>
    <n v="5500"/>
    <n v="0"/>
    <n v="0"/>
    <m/>
    <n v="11000"/>
    <n v="8800"/>
    <n v="8800"/>
    <n v="2200"/>
    <n v="22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COORDINADOR DEL CENTRO DE SERVICIOS ELECTORAL"/>
    <s v="LOCADOR"/>
    <n v="2"/>
    <n v="5500"/>
    <m/>
    <m/>
    <m/>
    <m/>
    <n v="30"/>
    <n v="30"/>
    <m/>
    <m/>
    <m/>
    <m/>
    <m/>
    <m/>
    <n v="22000"/>
    <m/>
    <m/>
    <m/>
    <m/>
    <n v="5500"/>
    <n v="5500"/>
    <m/>
    <m/>
    <m/>
    <m/>
    <m/>
    <m/>
    <n v="22000"/>
    <x v="0"/>
    <s v="P1"/>
    <m/>
    <m/>
    <m/>
    <m/>
    <m/>
    <m/>
    <m/>
    <m/>
    <m/>
    <m/>
    <x v="1"/>
    <s v="PENDIENTE DE REQUERIR"/>
    <m/>
    <m/>
    <m/>
    <m/>
    <m/>
    <m/>
    <m/>
    <m/>
    <m/>
    <m/>
    <m/>
    <m/>
    <m/>
    <m/>
    <m/>
    <m/>
    <m/>
    <m/>
    <n v="30"/>
    <n v="5500"/>
    <m/>
    <n v="0"/>
    <m/>
    <n v="0"/>
    <n v="5500"/>
    <n v="5500"/>
    <m/>
    <n v="30"/>
    <n v="5500"/>
    <m/>
    <n v="0"/>
    <m/>
    <n v="0"/>
    <n v="5500"/>
    <n v="5500"/>
    <m/>
    <n v="22000"/>
    <n v="0"/>
    <n v="0"/>
    <n v="22000"/>
    <n v="2200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ASISTENTE OPERATIVO"/>
    <s v="LOCADOR"/>
    <n v="1"/>
    <n v="5000"/>
    <m/>
    <m/>
    <m/>
    <m/>
    <n v="30"/>
    <n v="30"/>
    <m/>
    <m/>
    <m/>
    <m/>
    <m/>
    <m/>
    <n v="10000"/>
    <s v=" -   "/>
    <s v=" -   "/>
    <s v=" -   "/>
    <s v=" -   "/>
    <n v="5000"/>
    <n v="5000"/>
    <s v=" -   "/>
    <s v=" -   "/>
    <s v=" -   "/>
    <s v=" -   "/>
    <s v=" -   "/>
    <s v=" -   "/>
    <n v="10000"/>
    <x v="0"/>
    <s v="P1"/>
    <m/>
    <m/>
    <m/>
    <m/>
    <m/>
    <m/>
    <m/>
    <m/>
    <m/>
    <m/>
    <x v="0"/>
    <s v="EN EJECUCION CON CONTRATO"/>
    <s v="001644-2026-SGIST/GITE"/>
    <s v="0004459-2026-SGIST/GITE"/>
    <s v="002021-2026/GITE"/>
    <d v="2026-04-22T00:00:00"/>
    <m/>
    <s v="0613"/>
    <m/>
    <s v="MEMORANDO 002456-2026-GITE"/>
    <s v="MEMO 002941-2026/GITE"/>
    <s v="LOPEZ"/>
    <s v="MARTINEZ"/>
    <s v="MAGALI LIZ"/>
    <n v="47131930"/>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IQUIPA "/>
    <s v="GOMEZ "/>
    <s v="BRAYAN HERMINIO"/>
    <n v="45620539"/>
    <n v="1045620539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LVAREZ"/>
    <s v="PLATA"/>
    <s v="RICARDO"/>
    <n v="41044435"/>
    <n v="1041044435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LVAREZ"/>
    <s v="CALDERON"/>
    <s v="ROBERT JACINTO"/>
    <n v="71778915"/>
    <n v="1071778915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LVAREZ"/>
    <s v="CALDERON"/>
    <s v="RAEDER EMILIO"/>
    <n v="45022363"/>
    <n v="1045022363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ÑANCA"/>
    <s v="BULEJE"/>
    <s v="CHRISTIAN FRANCIS"/>
    <n v="47404675"/>
    <n v="10474046759"/>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QUINO "/>
    <s v="SANDOVAL "/>
    <s v="EDAR OSMAR"/>
    <n v="32542514"/>
    <n v="1032542514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RIAS"/>
    <s v="LEYTON "/>
    <s v="MIGUEL ANGEL"/>
    <n v="33262868"/>
    <n v="1033262868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RTEAGA"/>
    <s v="JARA"/>
    <s v="ANTONIO OMAR "/>
    <n v="41741304"/>
    <n v="1041741304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ATOCCSA"/>
    <s v="OYOLO"/>
    <s v="ELIZABETH SUSAN"/>
    <n v="44138402"/>
    <n v="1044138402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BARRERA "/>
    <s v="SANCHEZ "/>
    <s v="ROY KENNEDY"/>
    <n v="41423937"/>
    <n v="10414239370"/>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BAYONA"/>
    <s v="FLORES"/>
    <s v="JORGE LUIS "/>
    <n v="70098651"/>
    <n v="1070098651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BELLIDO"/>
    <s v="OCHOA"/>
    <s v="YUDE"/>
    <n v="41896582"/>
    <n v="10418965822"/>
    <n v="3000"/>
    <d v="2026-06-01T00:00:00"/>
    <d v="2026-06-30T00:00:00"/>
    <m/>
    <n v="0"/>
    <n v="0"/>
    <m/>
    <n v="0"/>
    <m/>
    <n v="0"/>
    <n v="0"/>
    <n v="0"/>
    <m/>
    <n v="30"/>
    <n v="3000"/>
    <n v="30"/>
    <n v="3000"/>
    <n v="8"/>
    <n v="800"/>
    <n v="0"/>
    <n v="2200"/>
    <m/>
    <n v="3000"/>
    <n v="3000"/>
    <n v="800"/>
    <n v="0"/>
    <n v="2200"/>
    <m/>
    <m/>
    <s v="PROVEIDO 006664-2026/SGIST-GITE - REMITA CARTA DE RENUNCIA BELLIDO OCHOA YUDE (HASTA 08/06/2026)"/>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BUENO"/>
    <s v="ENERO"/>
    <s v="LUIS EDUARDO"/>
    <n v="20724712"/>
    <n v="10207247125"/>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ARREÑO "/>
    <s v="JIRON"/>
    <s v="PEDRO DIOVALDO"/>
    <n v="10235197"/>
    <n v="1010235197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ASIMIRO"/>
    <s v="PACHECO"/>
    <s v="VICTOR FRANCISCO"/>
    <n v="46487865"/>
    <n v="10464878659"/>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HATE"/>
    <s v="GOMEZ "/>
    <s v="CARLOS"/>
    <n v="43843393"/>
    <n v="1043843393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HOTA"/>
    <s v="LOAYZA"/>
    <s v="PEDRO AYATO "/>
    <n v="41662966"/>
    <n v="1041662966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HUMACERO"/>
    <s v="LOZANO"/>
    <s v="DANIEL MAURICIO"/>
    <n v="79299994"/>
    <n v="1079299994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IUDAD "/>
    <s v="SANDOVAL "/>
    <s v="LUIS ENRIQUE"/>
    <n v="70490549"/>
    <n v="1070490549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OLCA"/>
    <s v="SUASNABAR"/>
    <s v="JORGE ENRIQUE"/>
    <n v="6772388"/>
    <n v="1006772388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GARCIA"/>
    <s v="MENDOZA"/>
    <s v="GIANCARLO FRANCO"/>
    <n v="44912602"/>
    <n v="1044912602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GONZALES "/>
    <s v="AYAUCAN"/>
    <s v="KATHERYN ALICIA"/>
    <n v="41010758"/>
    <n v="1041010758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GUILLERMO"/>
    <s v="GUANILO"/>
    <s v="JORGE WILLY"/>
    <n v="42252203"/>
    <n v="10422522030"/>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GUTIERREZ"/>
    <s v="SANCHEZ"/>
    <s v="JANET SANDY"/>
    <n v="47381386"/>
    <n v="1047381386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HERNANDEZ"/>
    <s v="BORDA"/>
    <s v="LEIDI URSULA"/>
    <n v="74829796"/>
    <n v="1074829796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MEDINA "/>
    <s v="QUESQUEN"/>
    <s v="RONALD JEFFERSON"/>
    <n v="44647089"/>
    <n v="1044647089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MENESES "/>
    <s v="ESPINOZA "/>
    <s v="DEISY BIELITZ"/>
    <n v="41033325"/>
    <n v="1041033325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MOINA"/>
    <s v="CHOQUE"/>
    <s v="MARGOT DORIS "/>
    <n v="9590920"/>
    <n v="1009590920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MORALES"/>
    <s v="ROJAS"/>
    <s v="OMAR DAVID"/>
    <n v="10355243"/>
    <n v="1010355243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NERIO"/>
    <s v="MORENO"/>
    <s v="NOHEMA ANEL"/>
    <n v="73058650"/>
    <n v="1073058650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NORIEGA"/>
    <s v="CORONADO"/>
    <s v="MARICRUZ DEL ROCIO"/>
    <n v="74924001"/>
    <n v="1074924001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ORDOÑEZ"/>
    <s v="COSSIO"/>
    <s v="JAIME ALEJANDRO"/>
    <n v="72215339"/>
    <n v="1072215339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PALOMINO"/>
    <s v="MOTTA"/>
    <s v="MIGUEL ANGEL "/>
    <n v="9570961"/>
    <n v="10095709619"/>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PUICAN "/>
    <s v="QUESQUEN"/>
    <s v="JOHN ROBERT"/>
    <n v="41102440"/>
    <n v="1041102440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PUMACAYO"/>
    <s v="CHAMBA"/>
    <s v="ENRIQUE DAVID"/>
    <n v="73026272"/>
    <n v="1073026272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AMIREZ"/>
    <s v="REYNA"/>
    <s v="EMERSON OSWALDO"/>
    <n v="40314508"/>
    <n v="10403145080"/>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1"/>
    <s v="PENDIENTE DE REQUERIR"/>
    <m/>
    <m/>
    <m/>
    <m/>
    <m/>
    <m/>
    <m/>
    <m/>
    <m/>
    <m/>
    <m/>
    <m/>
    <m/>
    <m/>
    <m/>
    <m/>
    <m/>
    <m/>
    <n v="0"/>
    <n v="0"/>
    <m/>
    <n v="0"/>
    <m/>
    <n v="0"/>
    <n v="0"/>
    <n v="0"/>
    <m/>
    <n v="30"/>
    <n v="3000"/>
    <m/>
    <n v="0"/>
    <m/>
    <n v="0"/>
    <n v="3000"/>
    <n v="3000"/>
    <m/>
    <n v="3000"/>
    <n v="0"/>
    <n v="0"/>
    <n v="3000"/>
    <n v="3000"/>
    <m/>
    <m/>
    <s v="SGIST: DESISTIMIENTO RAMIREZ PINELLA GIOVANA PAOLA REF. INFORME 002082-2026-SGIST"/>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AMIREZ"/>
    <s v="ARGUMEDO "/>
    <s v="MARCO ANTONIO"/>
    <n v="8155438"/>
    <n v="1008155438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AMOS"/>
    <s v="PEREZ"/>
    <s v="JORGE JESUS"/>
    <n v="40964993"/>
    <n v="1040964993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AMOS"/>
    <s v="ALBORNOS"/>
    <s v="MARCOS ANTONIO"/>
    <n v="48344547"/>
    <n v="10483445470"/>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AMOS"/>
    <s v="DE LA CRUZ"/>
    <s v="RONALD EDWARD"/>
    <n v="10204182"/>
    <n v="1010204182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OJAS "/>
    <s v="PAREDES"/>
    <s v="JOSE LUIS"/>
    <n v="10077097"/>
    <n v="1010077097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OMERO"/>
    <s v="CHAVEZ"/>
    <s v="DANIEL ALEJANDRO"/>
    <n v="72696054"/>
    <n v="1072696054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ANTILLAN"/>
    <s v="CALONGOS"/>
    <s v="EDITH JESUS"/>
    <n v="6816201"/>
    <n v="1006816201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EGUNDO "/>
    <s v="HUAMAN "/>
    <s v="HENRY RAUL"/>
    <n v="9909014"/>
    <n v="1009909014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ILVESTRE"/>
    <s v="SALAS"/>
    <s v="JUAN ISMAEL"/>
    <n v="43522269"/>
    <n v="1043522269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OJO "/>
    <s v="ZAPATA"/>
    <s v="CARLOS ALCIDES"/>
    <n v="42761228"/>
    <n v="1042761228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OTO"/>
    <s v="MENDOZA"/>
    <s v="ALCIDES JOEL"/>
    <n v="76626538"/>
    <n v="10766265389"/>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UAREZ"/>
    <s v="PALOMINO"/>
    <s v="JEAN PAUL"/>
    <n v="75481106"/>
    <n v="10754811060"/>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SUAREZ "/>
    <s v="PAZ"/>
    <s v="MELISSA LISBETH"/>
    <n v="49002496"/>
    <n v="1560319170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AFUR"/>
    <s v="CORDOVA"/>
    <s v="PABLO JHOVAN"/>
    <n v="47933807"/>
    <n v="1047933807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APIA"/>
    <s v="PERALTA"/>
    <s v="LIT FRANK"/>
    <n v="45710070"/>
    <n v="1045710070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AQUIRI "/>
    <s v="VICERREL"/>
    <s v="JOSE ANTONIO"/>
    <n v="73515951"/>
    <n v="1073515951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EIXEIRA "/>
    <s v="CAMPOS"/>
    <s v="DIANA "/>
    <n v="76699118"/>
    <n v="1076699118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IPTE "/>
    <s v="PALOMINO"/>
    <s v="JAVIER FERNANDO"/>
    <n v="41364821"/>
    <n v="1041364821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ITO"/>
    <s v="ATOCCSA"/>
    <s v="EMILY MELISSA"/>
    <n v="77361388"/>
    <n v="1077361388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ORPOCO "/>
    <s v="ALFONSO"/>
    <s v="EDUARDO"/>
    <n v="74727117"/>
    <n v="1074727117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TORRES"/>
    <s v="VASQUEZ"/>
    <s v="JUAN MANUEL "/>
    <n v="74737913"/>
    <n v="1074737913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VALLE "/>
    <s v="MORENO"/>
    <s v="PEDRO ELIAS"/>
    <n v="42199456"/>
    <n v="1042199456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VALLEJOS"/>
    <s v="GONZALES "/>
    <s v="JOSE ANTONIO"/>
    <n v="48143534"/>
    <n v="10481435345"/>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VALLES "/>
    <s v="SOTO"/>
    <s v="JAVIER ALEXANDER"/>
    <n v="41380060"/>
    <n v="1041380060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VASQUEZ"/>
    <s v="PARRAGUEZ"/>
    <s v="ROXANA CHARITO"/>
    <n v="46057190"/>
    <n v="1046057190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VELI"/>
    <s v="RICSI"/>
    <s v="JIMY POOL"/>
    <n v="47175451"/>
    <n v="10471754515"/>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VIDAL "/>
    <s v="CULLANCO"/>
    <s v="JAHIR JUAN DE DIOS"/>
    <n v="72841826"/>
    <n v="1072841826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1"/>
    <s v="PENDIENTE DE REQUERIR"/>
    <m/>
    <m/>
    <m/>
    <m/>
    <m/>
    <m/>
    <m/>
    <m/>
    <m/>
    <m/>
    <m/>
    <m/>
    <m/>
    <m/>
    <m/>
    <m/>
    <m/>
    <m/>
    <n v="0"/>
    <n v="0"/>
    <m/>
    <n v="0"/>
    <m/>
    <n v="0"/>
    <n v="0"/>
    <n v="0"/>
    <m/>
    <n v="30"/>
    <n v="3000"/>
    <m/>
    <n v="0"/>
    <m/>
    <n v="0"/>
    <n v="3000"/>
    <n v="3000"/>
    <m/>
    <n v="3000"/>
    <n v="0"/>
    <n v="0"/>
    <n v="3000"/>
    <n v="3000"/>
    <m/>
    <m/>
    <s v="SGIST: DESISTIMIENTO YAUYOS TORRES JESUS ROLAND REF. INFORME 002082-2026-SGIST"/>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YOPAN"/>
    <s v="HUAMAN "/>
    <s v="JHON DENIS"/>
    <n v="43256578"/>
    <n v="1043256578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YUCRA"/>
    <s v="ORDAYA "/>
    <s v="FREDY FERIOL"/>
    <n v="40620206"/>
    <n v="1040620206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ZAPATA"/>
    <s v="RIOFRIO"/>
    <s v="BRUSH WINNER "/>
    <n v="47170479"/>
    <n v="1047170479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ANRE"/>
    <s v="CANRE "/>
    <s v="JIMMY BORNIX"/>
    <n v="46643867"/>
    <n v="1046643867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ARHUAPOMA"/>
    <s v="MUNGUIA"/>
    <s v="JHANET MILAGROS"/>
    <n v="74722301"/>
    <n v="1074722301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ARRION"/>
    <s v="SANDOVAL"/>
    <s v="CARLOS ENRIQUE"/>
    <n v="71466866"/>
    <n v="10714668663"/>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CCANTO"/>
    <s v="CRISPIN"/>
    <s v="JOSUE"/>
    <n v="73018597"/>
    <n v="1073018597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DURAN"/>
    <s v="OVIEDO"/>
    <s v="ANTHONY"/>
    <n v="43808333"/>
    <n v="1043808333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MONTEJO"/>
    <s v="SALAS"/>
    <s v="MARTHA BEATRIZ"/>
    <n v="9650851"/>
    <n v="10096508510"/>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s v="LOCADOR"/>
    <n v="1"/>
    <n v="3000"/>
    <m/>
    <m/>
    <m/>
    <m/>
    <m/>
    <n v="30"/>
    <m/>
    <m/>
    <m/>
    <m/>
    <m/>
    <m/>
    <n v="3000"/>
    <m/>
    <m/>
    <m/>
    <m/>
    <m/>
    <n v="3000"/>
    <s v=" -   "/>
    <s v=" -   "/>
    <s v=" -   "/>
    <s v=" -   "/>
    <s v=" -   "/>
    <s v=" -   "/>
    <n v="3000"/>
    <x v="0"/>
    <s v="P1"/>
    <m/>
    <m/>
    <m/>
    <m/>
    <m/>
    <m/>
    <m/>
    <m/>
    <m/>
    <m/>
    <x v="0"/>
    <s v="EN EJECUCION CON CONTRATO"/>
    <s v="002082-2026-SGIST"/>
    <s v="005819-2026-SGIST"/>
    <s v="002586-2026-GITE"/>
    <d v="2026-05-25T00:00:00"/>
    <m/>
    <m/>
    <m/>
    <m/>
    <m/>
    <s v="ROJAS"/>
    <s v="CASANA"/>
    <s v="CARMEN ROSA"/>
    <n v="17867276"/>
    <n v="1017867276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2-2026-SGIST"/>
    <s v="005819-2026-SGIST"/>
    <s v="002586-2026-GITE"/>
    <d v="2026-05-25T00:00:00"/>
    <m/>
    <m/>
    <m/>
    <m/>
    <m/>
    <s v="QUIÑONES"/>
    <s v="LEYTON"/>
    <s v="JOSE CARLOS"/>
    <n v="40906902"/>
    <n v="1040906902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ARPITA "/>
    <s v="CHECASACA"/>
    <s v="RONALD"/>
    <n v="41991771"/>
    <n v="1041991771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CALERO"/>
    <s v="ESPINOZA"/>
    <s v="MARIA ELENA"/>
    <n v="10783889"/>
    <n v="1010783889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CONDORI"/>
    <s v="VASQUEZ"/>
    <s v="DAVID RICARDO"/>
    <n v="75911353"/>
    <n v="1075911353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CORIPUNA"/>
    <s v="ROMERO"/>
    <s v="ALEX TORIBIO"/>
    <n v="10543524"/>
    <n v="10105435245"/>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SALAZAR"/>
    <s v="ADRIAN"/>
    <s v="LUIS FERNANDO"/>
    <n v="75455342"/>
    <n v="1075455342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PAREDES"/>
    <s v="FERNANDEZ"/>
    <s v="JOSE ANTONIO"/>
    <n v="9611731"/>
    <n v="1009611731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AGUILAR"/>
    <s v="CASTRO"/>
    <s v="JIMMY CRISTHIAN"/>
    <n v="41875310"/>
    <n v="1041875310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HERRERA"/>
    <s v="RAU"/>
    <s v="LUCI MARLENE"/>
    <n v="40600456"/>
    <n v="10406004568"/>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VASQUEZ"/>
    <s v="ZUBIETA"/>
    <s v="FRANZ MARCELINO"/>
    <n v="46631832"/>
    <n v="10466318324"/>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CAPCHA "/>
    <s v="RAMOS"/>
    <s v="JHON ERIK"/>
    <n v="73213606"/>
    <n v="10732136067"/>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DE LA CRUZ"/>
    <s v="SALDAÑA"/>
    <s v="RUTH NAYELLI"/>
    <n v="76058112"/>
    <n v="10760581122"/>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m/>
    <n v="30"/>
    <m/>
    <m/>
    <m/>
    <m/>
    <m/>
    <m/>
    <n v="3000"/>
    <s v=" -   "/>
    <s v=" -   "/>
    <s v=" -   "/>
    <s v=" -   "/>
    <n v="0"/>
    <n v="3000"/>
    <s v=" -   "/>
    <s v=" -   "/>
    <s v=" -   "/>
    <s v=" -   "/>
    <s v=" -   "/>
    <s v=" -   "/>
    <n v="3000"/>
    <x v="0"/>
    <s v="P1"/>
    <m/>
    <m/>
    <m/>
    <m/>
    <m/>
    <m/>
    <m/>
    <m/>
    <m/>
    <m/>
    <x v="0"/>
    <s v="EN EJECUCION CON CONTRATO"/>
    <s v="002082-2026-SGIST"/>
    <s v="005819-2026-SGIST"/>
    <s v="002586-2026-GITE"/>
    <d v="2026-05-25T00:00:00"/>
    <m/>
    <m/>
    <m/>
    <m/>
    <m/>
    <s v="RAMIREZ"/>
    <s v="OLIVA"/>
    <s v="SUSAN FIORELLA"/>
    <n v="47769288"/>
    <n v="1047769288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BLANCO"/>
    <s v="MARTINEZ"/>
    <s v="JUAN MANUEL"/>
    <n v="9777744"/>
    <n v="10097777441"/>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HUARHUA"/>
    <s v="HUARHUA"/>
    <s v="RICARDO JOSUE"/>
    <n v="43850082"/>
    <n v="10438500826"/>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JARA"/>
    <s v="RUIZ "/>
    <s v="LUIS FABRIZIO"/>
    <n v="73232173"/>
    <n v="10732321735"/>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MARTINEZ"/>
    <s v="NORIEGA"/>
    <s v="DOUGLAS BRIAN"/>
    <n v="74715982"/>
    <n v="10747159829"/>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MENDOZA"/>
    <s v="PLASENCIA"/>
    <s v="ANDREE FRANCISCO"/>
    <n v="46954988"/>
    <n v="10469549882"/>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m/>
    <n v="3000"/>
    <s v=" -   "/>
    <s v=" -   "/>
    <s v=" -   "/>
    <s v=" -   "/>
    <s v=" -   "/>
    <s v=" -   "/>
    <n v="3000"/>
    <x v="0"/>
    <s v="P1"/>
    <m/>
    <m/>
    <m/>
    <m/>
    <m/>
    <m/>
    <m/>
    <m/>
    <m/>
    <m/>
    <x v="1"/>
    <s v="PENDIENTE DE REQUERIR"/>
    <m/>
    <m/>
    <m/>
    <m/>
    <m/>
    <m/>
    <m/>
    <m/>
    <m/>
    <m/>
    <m/>
    <m/>
    <m/>
    <m/>
    <m/>
    <m/>
    <m/>
    <m/>
    <n v="0"/>
    <n v="0"/>
    <m/>
    <n v="0"/>
    <m/>
    <n v="0"/>
    <n v="0"/>
    <n v="0"/>
    <m/>
    <n v="30"/>
    <n v="3000"/>
    <m/>
    <n v="0"/>
    <m/>
    <n v="0"/>
    <n v="3000"/>
    <n v="3000"/>
    <m/>
    <n v="3000"/>
    <n v="0"/>
    <n v="0"/>
    <n v="3000"/>
    <n v="3000"/>
    <m/>
    <m/>
    <s v="SGIST: DESISTIMIENTO NOVOA HUANAQUIRI HECTOR IVAN REF. INFORME 002087-2026-SGIST/GITE"/>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OLAZABAL"/>
    <s v="LEON"/>
    <s v="BETTY MELANNIE"/>
    <n v="72381754"/>
    <n v="10723817540"/>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SANTISTEBAN "/>
    <s v="VALDERA"/>
    <s v="RUDY ROBERT"/>
    <n v="17623086"/>
    <n v="10176230865"/>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NORIEGA"/>
    <s v="CORONADO"/>
    <s v="RUTH MARILYN"/>
    <n v="74924000"/>
    <n v="10749240003"/>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BACA"/>
    <s v="ELERA"/>
    <s v="LUIS FERNANDO EMANUEL"/>
    <n v="77270574"/>
    <n v="10772705749"/>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HIDALGO"/>
    <s v="GUERRERO"/>
    <s v="LEILANY MATILDE"/>
    <n v="72500103"/>
    <n v="10725001032"/>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SOTELO"/>
    <s v="PAREDES"/>
    <s v="ROSA DEL PILAR"/>
    <n v="72481360"/>
    <n v="10724813602"/>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TAPIA"/>
    <s v="GONZALES"/>
    <s v="ALDO ENRIQUE"/>
    <n v="46613681"/>
    <n v="10466136811"/>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GUZMAN"/>
    <s v="AGILA"/>
    <s v="MARLI LILIAN"/>
    <n v="10667696"/>
    <n v="10106676963"/>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MORENO"/>
    <s v="DENESMA"/>
    <s v="MANUEL ANTHONY"/>
    <n v="70501035"/>
    <n v="10705010353"/>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OJEDA"/>
    <s v="ARAUJO"/>
    <s v="FRANZ ITALO"/>
    <n v="47330063"/>
    <n v="10473300635"/>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SANCHEZ"/>
    <s v="NAVAL"/>
    <s v="JESUS"/>
    <n v="73779226"/>
    <n v="10737792264"/>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PAETAN"/>
    <s v="VILLANUEVA"/>
    <s v="HENRY RICHARD"/>
    <n v="40029711"/>
    <n v="10400297113"/>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SILVA"/>
    <s v="PINEDA"/>
    <s v="EDU ZAIR"/>
    <n v="73570303"/>
    <n v="10735703035"/>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BEJARANO"/>
    <s v="BRIONES"/>
    <s v="BRAYAN ANTONIO"/>
    <n v="77916757"/>
    <n v="10779167572"/>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m/>
    <n v="3000"/>
    <s v=" -   "/>
    <s v=" -   "/>
    <s v=" -   "/>
    <s v=" -   "/>
    <s v=" -   "/>
    <s v=" -   "/>
    <n v="3000"/>
    <x v="0"/>
    <s v="P1"/>
    <m/>
    <m/>
    <m/>
    <m/>
    <m/>
    <m/>
    <m/>
    <m/>
    <m/>
    <m/>
    <x v="1"/>
    <s v="PENDIENTE DE REQUERIR"/>
    <m/>
    <m/>
    <m/>
    <m/>
    <m/>
    <m/>
    <m/>
    <m/>
    <m/>
    <m/>
    <m/>
    <m/>
    <m/>
    <m/>
    <m/>
    <m/>
    <m/>
    <m/>
    <n v="0"/>
    <n v="0"/>
    <m/>
    <n v="0"/>
    <m/>
    <n v="0"/>
    <n v="0"/>
    <n v="0"/>
    <m/>
    <n v="30"/>
    <n v="3000"/>
    <m/>
    <n v="0"/>
    <m/>
    <n v="0"/>
    <n v="3000"/>
    <n v="3000"/>
    <m/>
    <n v="3000"/>
    <n v="0"/>
    <n v="0"/>
    <n v="3000"/>
    <n v="3000"/>
    <m/>
    <m/>
    <s v="SGIST: DESISTIMIENTO CAVERO VALENCIA JUVENAL REF. INFORME 002087-2026-SGIST/GITE"/>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AGAMA"/>
    <s v="LOZADA"/>
    <s v="PEDRO GABRIEL"/>
    <n v="2891442"/>
    <n v="10028914429"/>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ALARCON "/>
    <s v="PAREDES"/>
    <s v="HAROLD ROBERTO"/>
    <n v="71337438"/>
    <n v="10713374381"/>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ECHENIQUE"/>
    <s v="CAHUANA"/>
    <s v="AZUCENA SOLEDAD"/>
    <n v="41097100"/>
    <n v="10410971009"/>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ISHUIZA"/>
    <s v="ACOSTA"/>
    <s v="MARIZET"/>
    <n v="40675283"/>
    <n v="10406752831"/>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m/>
    <n v="3000"/>
    <s v=" -   "/>
    <s v=" -   "/>
    <s v=" -   "/>
    <s v=" -   "/>
    <s v=" -   "/>
    <s v=" -   "/>
    <n v="3000"/>
    <x v="0"/>
    <s v="P1"/>
    <m/>
    <m/>
    <m/>
    <m/>
    <m/>
    <m/>
    <m/>
    <m/>
    <m/>
    <m/>
    <x v="1"/>
    <s v="PENDIENTE DE REQUERIR"/>
    <m/>
    <m/>
    <m/>
    <m/>
    <m/>
    <m/>
    <m/>
    <m/>
    <m/>
    <m/>
    <m/>
    <m/>
    <m/>
    <m/>
    <m/>
    <m/>
    <m/>
    <m/>
    <n v="0"/>
    <n v="0"/>
    <m/>
    <n v="0"/>
    <m/>
    <n v="0"/>
    <n v="0"/>
    <n v="0"/>
    <m/>
    <n v="30"/>
    <n v="3000"/>
    <m/>
    <n v="0"/>
    <m/>
    <n v="0"/>
    <n v="3000"/>
    <n v="3000"/>
    <m/>
    <n v="3000"/>
    <n v="0"/>
    <n v="0"/>
    <n v="3000"/>
    <n v="3000"/>
    <m/>
    <m/>
    <s v="SGIST: DESISTIMIENTO MACHACA HUAMANI_x0009_YVAN WILLIAMS REF. 002087-2026-SGIST/GITE"/>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ZAPANA"/>
    <s v="QUISPE "/>
    <s v="CINTIA"/>
    <n v="60368474"/>
    <n v="10603684741"/>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SUAREZ "/>
    <s v="MARICHI "/>
    <s v="KAREN MILITZA"/>
    <n v="71043254"/>
    <n v="10710432541"/>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BARBOZA"/>
    <s v="MENDOZA"/>
    <s v="LUIS FELIPE"/>
    <n v="40655345"/>
    <n v="10406553456"/>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GONZALES"/>
    <s v="LEYTON"/>
    <s v="FRANK EDUARDO"/>
    <n v="44993053"/>
    <n v="10449930539"/>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GRANDA"/>
    <s v="GONZALES"/>
    <s v="MIRELLA SOFIA"/>
    <n v="77530077"/>
    <n v="10775300774"/>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ALVAREZ"/>
    <s v="URBINA"/>
    <s v="JOSE CARLOS "/>
    <n v="71335562"/>
    <n v="10713355629"/>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PUMACAYO"/>
    <s v="CHAMBA"/>
    <s v="BRANDON EDUARDO"/>
    <n v="73026268"/>
    <n v="10730262685"/>
    <m/>
    <d v="2026-06-01T00:00:00"/>
    <d v="2026-06-02T00:00:00"/>
    <m/>
    <n v="0"/>
    <n v="0"/>
    <m/>
    <n v="0"/>
    <m/>
    <n v="0"/>
    <n v="0"/>
    <n v="0"/>
    <m/>
    <n v="30"/>
    <n v="3000"/>
    <n v="2"/>
    <n v="200"/>
    <n v="2"/>
    <n v="200"/>
    <n v="2800"/>
    <n v="2800"/>
    <m/>
    <n v="3000"/>
    <n v="200"/>
    <n v="200"/>
    <n v="2800"/>
    <n v="2800"/>
    <m/>
    <m/>
    <s v="RENUNCIA PUMACAYO CHAMBA BRANDON EDUARDO REF. INFORME 002087-2026-SGIST/GITE"/>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1"/>
    <n v="3000"/>
    <m/>
    <m/>
    <m/>
    <m/>
    <n v="0"/>
    <n v="30"/>
    <m/>
    <m/>
    <m/>
    <m/>
    <m/>
    <m/>
    <n v="3000"/>
    <s v=" -   "/>
    <s v=" -   "/>
    <s v=" -   "/>
    <s v=" -   "/>
    <n v="0"/>
    <n v="3000"/>
    <s v=" -   "/>
    <s v=" -   "/>
    <s v=" -   "/>
    <s v=" -   "/>
    <s v=" -   "/>
    <s v=" -   "/>
    <n v="3000"/>
    <x v="0"/>
    <s v="P1"/>
    <m/>
    <m/>
    <m/>
    <m/>
    <m/>
    <m/>
    <m/>
    <m/>
    <m/>
    <m/>
    <x v="0"/>
    <s v="EN EJECUCION CON CONTRATO"/>
    <s v="002087-2026-SGIST/GITE"/>
    <s v="005816-2026-SGIST/GITE"/>
    <s v="002587-2026/GITE"/>
    <d v="2026-05-25T00:00:00"/>
    <m/>
    <m/>
    <m/>
    <m/>
    <m/>
    <s v="RIVERA"/>
    <s v="SANCHEZ"/>
    <s v="VIVIANA LIZA"/>
    <n v="42127893"/>
    <n v="10421278933"/>
    <m/>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
    <s v="LOCADOR"/>
    <n v="1"/>
    <n v="6500"/>
    <m/>
    <m/>
    <m/>
    <m/>
    <n v="0"/>
    <n v="30"/>
    <m/>
    <m/>
    <m/>
    <m/>
    <m/>
    <m/>
    <n v="56000"/>
    <m/>
    <m/>
    <m/>
    <m/>
    <m/>
    <m/>
    <m/>
    <m/>
    <m/>
    <m/>
    <m/>
    <m/>
    <n v="0"/>
    <x v="0"/>
    <m/>
    <m/>
    <m/>
    <m/>
    <s v="002098-2026-SGIST"/>
    <s v="SOLICITUD 161"/>
    <m/>
    <s v="001013-2026-GPP"/>
    <d v="2026-05-28T00:00:00"/>
    <m/>
    <m/>
    <x v="2"/>
    <m/>
    <m/>
    <m/>
    <m/>
    <m/>
    <m/>
    <m/>
    <m/>
    <m/>
    <m/>
    <m/>
    <m/>
    <m/>
    <m/>
    <m/>
    <m/>
    <m/>
    <m/>
    <m/>
    <m/>
    <m/>
    <m/>
    <m/>
    <m/>
    <m/>
    <m/>
    <m/>
    <m/>
    <m/>
    <m/>
    <m/>
    <m/>
    <m/>
    <m/>
    <m/>
    <m/>
    <m/>
    <m/>
    <m/>
    <m/>
    <m/>
    <m/>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NUEVO: ESPECIALISTA DE REVISION DE EQUIPOS INFORMATICOS"/>
    <s v="LOCADOR"/>
    <n v="1"/>
    <n v="6500"/>
    <m/>
    <m/>
    <m/>
    <m/>
    <n v="0"/>
    <n v="30"/>
    <m/>
    <m/>
    <m/>
    <m/>
    <m/>
    <m/>
    <s v="NO PROGRAMADO"/>
    <s v=" -   "/>
    <s v=" -   "/>
    <s v=" -   "/>
    <s v=" -   "/>
    <n v="0"/>
    <n v="6500"/>
    <s v=" -   "/>
    <s v=" -   "/>
    <s v=" -   "/>
    <s v=" -   "/>
    <s v=" -   "/>
    <s v=" -   "/>
    <n v="6500"/>
    <x v="0"/>
    <s v="P1"/>
    <m/>
    <m/>
    <m/>
    <s v="002098-2026-SGIST"/>
    <s v="SOLICITUD 161"/>
    <m/>
    <s v="001013-2026-GPP"/>
    <d v="2026-05-28T00:00:00"/>
    <m/>
    <m/>
    <x v="0"/>
    <s v="EN EJECUCION CON CONTRATO"/>
    <s v="002159-2026-SGIST/GITE"/>
    <s v="006011-2026-SGIST/GITE"/>
    <s v="002671-2026/GITE"/>
    <d v="2026-05-28T00:00:00"/>
    <m/>
    <m/>
    <m/>
    <m/>
    <m/>
    <s v="BULEJE"/>
    <s v="OSIS"/>
    <s v="LUIS"/>
    <n v="40634534"/>
    <n v="10406345349"/>
    <m/>
    <d v="2026-06-01T00:00:00"/>
    <d v="2026-06-30T00:00:00"/>
    <m/>
    <n v="0"/>
    <n v="0"/>
    <m/>
    <n v="0"/>
    <m/>
    <n v="0"/>
    <n v="0"/>
    <n v="0"/>
    <m/>
    <n v="30"/>
    <n v="6500"/>
    <n v="30"/>
    <n v="6500"/>
    <n v="30"/>
    <n v="6500"/>
    <n v="0"/>
    <n v="0"/>
    <m/>
    <n v="6500"/>
    <n v="6500"/>
    <n v="6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m/>
    <n v="4500"/>
    <s v=" -   "/>
    <s v=" -   "/>
    <s v=" -   "/>
    <s v=" -   "/>
    <s v=" -   "/>
    <s v=" -   "/>
    <n v="4500"/>
    <x v="0"/>
    <s v="P1"/>
    <m/>
    <m/>
    <m/>
    <s v="002098-2026-SGIST"/>
    <s v="SOLICITUD 161"/>
    <m/>
    <s v="001013-2026-GPP"/>
    <d v="2026-05-28T00:00:00"/>
    <m/>
    <m/>
    <x v="1"/>
    <s v="PENDIENTE DE REQUERIR"/>
    <m/>
    <m/>
    <m/>
    <m/>
    <m/>
    <m/>
    <m/>
    <m/>
    <m/>
    <m/>
    <m/>
    <m/>
    <m/>
    <m/>
    <m/>
    <m/>
    <m/>
    <m/>
    <n v="0"/>
    <n v="0"/>
    <m/>
    <n v="0"/>
    <m/>
    <n v="0"/>
    <n v="0"/>
    <n v="0"/>
    <m/>
    <n v="30"/>
    <n v="4500"/>
    <m/>
    <n v="0"/>
    <m/>
    <n v="0"/>
    <n v="4500"/>
    <n v="4500"/>
    <m/>
    <n v="4500"/>
    <n v="0"/>
    <n v="0"/>
    <n v="4500"/>
    <n v="4500"/>
    <m/>
    <m/>
    <s v="SGIST: DESISTIMIENTO CABRERA MORALES SERGIO DENNIS REF. INFORME 002159-2026-SGIST/GITE"/>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CORONADO"/>
    <s v="AGURTO"/>
    <s v="OSCAR EDUARDO"/>
    <n v="47282710"/>
    <n v="10472827109"/>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DUEÑAS"/>
    <s v="LLANOS"/>
    <s v="HENRY DOUGLAS"/>
    <n v="41220505"/>
    <n v="10412205052"/>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ELESCANO"/>
    <s v="VILLAGARAY"/>
    <s v="IVAN MARCOS"/>
    <n v="43204279"/>
    <n v="10432042796"/>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MENDOZA"/>
    <s v="ESPINOZA"/>
    <s v="LADY ROCIO"/>
    <n v="77418580"/>
    <n v="10774185807"/>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RAMOS"/>
    <s v="URETA"/>
    <s v="PAMELA "/>
    <n v="47817178"/>
    <n v="10478171787"/>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REQUE"/>
    <s v="REYES"/>
    <s v="WILLY CHAYANNE"/>
    <n v="46710125"/>
    <n v="10467101256"/>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VILCA"/>
    <s v="PARI"/>
    <s v="PATRICIA PAOLA"/>
    <n v="72788476"/>
    <n v="10727884764"/>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HUAMAN"/>
    <s v="ORBEZO"/>
    <s v="PATRICIA DEL ROSARIO"/>
    <n v="46599303"/>
    <n v="10465993036"/>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LOZANO"/>
    <s v="BARROSO"/>
    <s v="DIEGO ALBERTO"/>
    <n v="45337108"/>
    <n v="10453371081"/>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 NUEVO: SUPERVISOR DE REVISION DE EQUIPOS INFORMATICOS"/>
    <s v="LOCADOR"/>
    <n v="1"/>
    <n v="4500"/>
    <m/>
    <m/>
    <m/>
    <m/>
    <n v="0"/>
    <n v="30"/>
    <m/>
    <m/>
    <m/>
    <m/>
    <m/>
    <m/>
    <s v="NO PROGRAMADO"/>
    <s v=" -   "/>
    <s v=" -   "/>
    <s v=" -   "/>
    <s v=" -   "/>
    <n v="0"/>
    <n v="4500"/>
    <s v=" -   "/>
    <s v=" -   "/>
    <s v=" -   "/>
    <s v=" -   "/>
    <s v=" -   "/>
    <s v=" -   "/>
    <n v="4500"/>
    <x v="0"/>
    <s v="P1"/>
    <m/>
    <m/>
    <m/>
    <s v="002098-2026-SGIST"/>
    <s v="SOLICITUD 161"/>
    <m/>
    <s v="001013-2026-GPP"/>
    <d v="2026-05-28T00:00:00"/>
    <m/>
    <m/>
    <x v="0"/>
    <s v="EN EJECUCION CON CONTRATO"/>
    <s v="002159-2026-SGIST/GITE"/>
    <s v="006011-2026-SGIST/GITE"/>
    <s v="002671-2026/GITE"/>
    <d v="2026-05-28T00:00:00"/>
    <m/>
    <m/>
    <m/>
    <m/>
    <m/>
    <s v="QUISPE"/>
    <s v="BAUTISTA"/>
    <s v="EFRAIN"/>
    <n v="40674295"/>
    <n v="10406742950"/>
    <m/>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 GESTIÓN DE LA INFRAESTRUCTURA TECNOLÓGICA Y BASE DE DATOS "/>
    <x v="0"/>
    <n v="95"/>
    <m/>
    <s v="GITE"/>
    <s v="EG 2026 (SEP)"/>
    <s v="2.3"/>
    <s v="2.3.2.9.1.1"/>
    <m/>
    <s v="OPERADOR TECNICO DE TI 2"/>
    <s v="LOCADOR"/>
    <n v="6"/>
    <n v="19000"/>
    <m/>
    <m/>
    <m/>
    <m/>
    <n v="0"/>
    <n v="30"/>
    <m/>
    <m/>
    <m/>
    <m/>
    <m/>
    <m/>
    <n v="19000"/>
    <s v=" -   "/>
    <s v=" -   "/>
    <s v=" -   "/>
    <s v=" -   "/>
    <m/>
    <n v="19000"/>
    <s v=" -   "/>
    <s v=" -   "/>
    <s v=" -   "/>
    <s v=" -   "/>
    <s v=" -   "/>
    <s v=" -   "/>
    <n v="19000"/>
    <x v="0"/>
    <s v="P1"/>
    <m/>
    <m/>
    <m/>
    <m/>
    <m/>
    <m/>
    <m/>
    <m/>
    <m/>
    <m/>
    <x v="1"/>
    <s v="PENDIENTE DE REQUERIR"/>
    <m/>
    <m/>
    <m/>
    <m/>
    <m/>
    <m/>
    <m/>
    <m/>
    <m/>
    <m/>
    <m/>
    <m/>
    <m/>
    <m/>
    <m/>
    <m/>
    <m/>
    <m/>
    <n v="0"/>
    <n v="0"/>
    <m/>
    <n v="0"/>
    <m/>
    <n v="0"/>
    <n v="0"/>
    <n v="0"/>
    <m/>
    <n v="30"/>
    <n v="19000"/>
    <m/>
    <n v="0"/>
    <m/>
    <n v="0"/>
    <n v="19000"/>
    <n v="19000"/>
    <m/>
    <n v="19000"/>
    <n v="0"/>
    <n v="0"/>
    <n v="19000"/>
    <n v="1900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EN GESTION DE PROCESOS Y SERVICIOS DE INNOVACION"/>
    <s v="LOCADOR"/>
    <n v="1"/>
    <n v="7000"/>
    <m/>
    <m/>
    <m/>
    <m/>
    <n v="30"/>
    <n v="30"/>
    <m/>
    <m/>
    <m/>
    <m/>
    <m/>
    <m/>
    <n v="14000"/>
    <s v=" -   "/>
    <s v=" -   "/>
    <s v=" -   "/>
    <s v=" -   "/>
    <n v="7000"/>
    <n v="7000"/>
    <s v=" -   "/>
    <s v=" -   "/>
    <s v=" -   "/>
    <s v=" -   "/>
    <s v=" -   "/>
    <s v=" -   "/>
    <n v="14000"/>
    <x v="1"/>
    <s v="P1"/>
    <m/>
    <m/>
    <m/>
    <m/>
    <m/>
    <m/>
    <m/>
    <m/>
    <m/>
    <m/>
    <x v="0"/>
    <s v="EN EJECUCION CON CONTRATO"/>
    <s v="000431-2026-SGGDI"/>
    <s v="004461-2026-SGIST"/>
    <s v="002029-2026-GITE"/>
    <d v="2026-04-22T00:00:00"/>
    <m/>
    <s v="0786"/>
    <m/>
    <s v="MEMORANDO 002457-2026-GITE"/>
    <m/>
    <s v="VIZCARRA"/>
    <s v="MEDINA"/>
    <s v="DELCY MARIA"/>
    <n v="9541531"/>
    <n v="10095415313"/>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ESPECIALISTA EN CERTIFICACIÓN DIGITAL Y FIRMA ELECTRONICA CUALIFICADA_x000a_NUEVO: COORDINADOR DE DESARROLLO DE SOFTWARE DE PROYECTOS DE INNOVACIÓN "/>
    <s v="LOCADOR"/>
    <n v="1"/>
    <n v="10000"/>
    <m/>
    <m/>
    <m/>
    <m/>
    <n v="30"/>
    <n v="30"/>
    <m/>
    <m/>
    <m/>
    <m/>
    <m/>
    <m/>
    <n v="20000"/>
    <s v=" -   "/>
    <s v=" -   "/>
    <s v=" -   "/>
    <s v=" -   "/>
    <n v="10000"/>
    <n v="10000"/>
    <s v=" -   "/>
    <s v=" -   "/>
    <s v=" -   "/>
    <s v=" -   "/>
    <s v=" -   "/>
    <s v=" -   "/>
    <n v="20000"/>
    <x v="1"/>
    <s v="P1"/>
    <m/>
    <m/>
    <s v="21/04 SGGDI mediante correo solicita cambio de denominación "/>
    <m/>
    <m/>
    <m/>
    <m/>
    <m/>
    <m/>
    <m/>
    <x v="0"/>
    <s v="EN EJECUCION CON CONTRATO"/>
    <s v="000441-2026-SGGDI"/>
    <s v="004501-2026-SGIST"/>
    <s v="002053-2026-GITE"/>
    <d v="2026-04-23T00:00:00"/>
    <m/>
    <n v="3237"/>
    <m/>
    <s v="MEMORANDO 002457-2026-GITE"/>
    <m/>
    <s v="HUAROTO "/>
    <s v="PACHAS"/>
    <s v="FELIX EDUARDO"/>
    <n v="72761314"/>
    <m/>
    <n v="10000"/>
    <d v="2026-05-02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GESTIÓN DE PROYECTOS Y SERVICIOS DE CERTIFICACIÓN DIGITAL"/>
    <s v="LOCADOR"/>
    <n v="1"/>
    <n v="10000"/>
    <m/>
    <m/>
    <m/>
    <m/>
    <n v="30"/>
    <n v="30"/>
    <m/>
    <m/>
    <m/>
    <m/>
    <m/>
    <m/>
    <n v="20000"/>
    <s v=" -   "/>
    <s v=" -   "/>
    <s v=" -   "/>
    <s v=" -   "/>
    <n v="10000"/>
    <n v="10000"/>
    <s v=" -   "/>
    <s v=" -   "/>
    <s v=" -   "/>
    <s v=" -   "/>
    <s v=" -   "/>
    <s v=" -   "/>
    <n v="20000"/>
    <x v="1"/>
    <s v="P1"/>
    <m/>
    <m/>
    <m/>
    <m/>
    <m/>
    <m/>
    <m/>
    <m/>
    <m/>
    <m/>
    <x v="0"/>
    <s v="EN EJECUCION CON CONTRATO"/>
    <s v="000431-2026-SGGDI"/>
    <s v="004461-2026-SGIST"/>
    <s v="002029-2026-GITE"/>
    <d v="2026-04-22T00:00:00"/>
    <m/>
    <s v="0788"/>
    <m/>
    <s v="MEMORANDO 002457-2026-GITE"/>
    <m/>
    <s v="ROSALES"/>
    <s v="GERONIMO"/>
    <s v="GISSELA KATHERYN"/>
    <n v="41874566"/>
    <n v="10418745661"/>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PROCESOS Y SERVICIOS DE CERTIFICACIÓN DIGITAL"/>
    <s v="LOCADOR"/>
    <n v="1"/>
    <n v="9000"/>
    <m/>
    <m/>
    <m/>
    <m/>
    <n v="30"/>
    <n v="30"/>
    <m/>
    <m/>
    <m/>
    <m/>
    <m/>
    <m/>
    <n v="18000"/>
    <s v=" -   "/>
    <s v=" -   "/>
    <s v=" -   "/>
    <s v=" -   "/>
    <n v="9000"/>
    <n v="9000"/>
    <s v=" -   "/>
    <s v=" -   "/>
    <s v=" -   "/>
    <s v=" -   "/>
    <s v=" -   "/>
    <s v=" -   "/>
    <n v="18000"/>
    <x v="1"/>
    <s v="P1"/>
    <m/>
    <m/>
    <m/>
    <m/>
    <m/>
    <m/>
    <m/>
    <m/>
    <m/>
    <m/>
    <x v="0"/>
    <s v="EN EJECUCION CON CONTRATO"/>
    <s v="000431-2026-SGGDI"/>
    <s v="004461-2026-SGIST"/>
    <s v="002029-2026-GITE"/>
    <d v="2026-04-22T00:00:00"/>
    <m/>
    <s v="0790"/>
    <m/>
    <s v="MEMORANDO 002457-2026-GITE"/>
    <m/>
    <s v="HUANCA"/>
    <s v="FLORES"/>
    <s v="MARIA ELIZABETH"/>
    <n v="43060130"/>
    <n v="10430601305"/>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SERVICIOS DE CERTIFICACIÓN DIGITAL"/>
    <s v="LOCADOR"/>
    <n v="1"/>
    <n v="8000"/>
    <m/>
    <m/>
    <m/>
    <m/>
    <n v="30"/>
    <n v="30"/>
    <m/>
    <m/>
    <m/>
    <m/>
    <m/>
    <m/>
    <n v="16000"/>
    <s v=" -   "/>
    <s v=" -   "/>
    <s v=" -   "/>
    <s v=" -   "/>
    <n v="8000"/>
    <n v="8000"/>
    <s v=" -   "/>
    <s v=" -   "/>
    <s v=" -   "/>
    <s v=" -   "/>
    <s v=" -   "/>
    <s v=" -   "/>
    <n v="16000"/>
    <x v="1"/>
    <s v="P1"/>
    <m/>
    <m/>
    <m/>
    <m/>
    <m/>
    <m/>
    <m/>
    <m/>
    <m/>
    <m/>
    <x v="0"/>
    <s v="EN EJECUCION CON CONTRATO"/>
    <s v="000434-2026-SGGDI"/>
    <s v="004451-2026-SGIST"/>
    <s v="002036-2026-GITE"/>
    <d v="2026-04-22T00:00:00"/>
    <m/>
    <n v="3236"/>
    <s v="NUEVO"/>
    <s v="MEMORANDO 002457-2026-GITE"/>
    <m/>
    <s v="LACHIRA "/>
    <s v="ESPINOZA "/>
    <s v=" EMILIO"/>
    <n v="42549733"/>
    <n v="10425497338"/>
    <n v="8000"/>
    <d v="2026-05-02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OPERADOR TECNICO PKI"/>
    <s v="LOCADOR"/>
    <n v="1"/>
    <n v="4500"/>
    <m/>
    <m/>
    <m/>
    <m/>
    <n v="30"/>
    <n v="30"/>
    <m/>
    <m/>
    <m/>
    <m/>
    <m/>
    <m/>
    <n v="9000"/>
    <s v=" -   "/>
    <s v=" -   "/>
    <s v=" -   "/>
    <s v=" -   "/>
    <n v="4500"/>
    <n v="4500"/>
    <s v=" -   "/>
    <s v=" -   "/>
    <s v=" -   "/>
    <s v=" -   "/>
    <s v=" -   "/>
    <s v=" -   "/>
    <n v="9000"/>
    <x v="1"/>
    <s v="P1"/>
    <m/>
    <m/>
    <m/>
    <m/>
    <m/>
    <m/>
    <m/>
    <m/>
    <m/>
    <m/>
    <x v="0"/>
    <s v="EN EJECUCION CON CONTRATO"/>
    <s v="000434-2026-SGGDI"/>
    <s v="004451-2026-SGIST"/>
    <s v="002036-2026-GITE"/>
    <d v="2026-04-22T00:00:00"/>
    <m/>
    <n v="3234"/>
    <s v="NUEVO"/>
    <s v="MEMORANDO 002457-2026-GITE"/>
    <m/>
    <s v="PAZO"/>
    <s v="SANCHEZ"/>
    <s v="ANDREA LIZBETH"/>
    <n v="70273864"/>
    <n v="10702738640"/>
    <n v="4500"/>
    <d v="2026-05-02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OPERADOR TECNICO PKI"/>
    <s v="LOCADOR"/>
    <n v="1"/>
    <n v="4500"/>
    <m/>
    <m/>
    <m/>
    <m/>
    <n v="30"/>
    <n v="30"/>
    <m/>
    <m/>
    <m/>
    <m/>
    <m/>
    <m/>
    <n v="9000"/>
    <s v=" -   "/>
    <s v=" -   "/>
    <s v=" -   "/>
    <s v=" -   "/>
    <n v="4500"/>
    <n v="4500"/>
    <s v=" -   "/>
    <s v=" -   "/>
    <s v=" -   "/>
    <s v=" -   "/>
    <s v=" -   "/>
    <s v=" -   "/>
    <n v="9000"/>
    <x v="1"/>
    <s v="P1"/>
    <m/>
    <m/>
    <m/>
    <m/>
    <m/>
    <m/>
    <m/>
    <m/>
    <m/>
    <m/>
    <x v="0"/>
    <s v="EN EJECUCION CON CONTRATO"/>
    <s v="000434-2026-SGGDI"/>
    <s v="004451-2026-SGIST"/>
    <s v="002036-2026-GITE"/>
    <d v="2026-04-22T00:00:00"/>
    <m/>
    <n v="3235"/>
    <s v="NUEVO"/>
    <s v="MEMORANDO 002457-2026-GITE"/>
    <m/>
    <s v="CANCHARI"/>
    <s v="TARRILLO"/>
    <s v="JOHANA VANESSA"/>
    <s v="72227141"/>
    <s v="10722271411"/>
    <n v="4500"/>
    <d v="2026-05-02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GESTIÓN DE SERVICIOS PKI"/>
    <s v="LOCADOR"/>
    <n v="1"/>
    <n v="9000"/>
    <m/>
    <m/>
    <m/>
    <m/>
    <n v="30"/>
    <n v="30"/>
    <m/>
    <m/>
    <m/>
    <m/>
    <m/>
    <m/>
    <n v="18000"/>
    <s v=" -   "/>
    <s v=" -   "/>
    <s v=" -   "/>
    <s v=" -   "/>
    <n v="9000"/>
    <n v="9000"/>
    <s v=" -   "/>
    <s v=" -   "/>
    <s v=" -   "/>
    <s v=" -   "/>
    <s v=" -   "/>
    <s v=" -   "/>
    <n v="18000"/>
    <x v="1"/>
    <s v="P1"/>
    <m/>
    <m/>
    <m/>
    <m/>
    <m/>
    <m/>
    <m/>
    <m/>
    <m/>
    <m/>
    <x v="0"/>
    <s v="EN EJECUCION CON CONTRATO"/>
    <s v="000431-2026-SGGDI"/>
    <s v="004461-2026-SGIST"/>
    <s v="002029-2026-GITE"/>
    <d v="2026-04-22T00:00:00"/>
    <m/>
    <s v="0789"/>
    <m/>
    <s v="MEMORANDO 002457-2026-GITE"/>
    <m/>
    <s v="PEÑA"/>
    <s v="DUEÑAS"/>
    <s v="CIRO"/>
    <n v="40568758"/>
    <n v="10405687581"/>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SENIOR EN GESTIÓN DE SERVICIOS PKI"/>
    <s v="LOCADOR"/>
    <n v="1"/>
    <n v="8000"/>
    <m/>
    <m/>
    <m/>
    <m/>
    <n v="30"/>
    <n v="30"/>
    <m/>
    <m/>
    <m/>
    <m/>
    <m/>
    <m/>
    <n v="16000"/>
    <s v=" -   "/>
    <s v=" -   "/>
    <s v=" -   "/>
    <s v=" -   "/>
    <n v="8000"/>
    <n v="8000"/>
    <s v=" -   "/>
    <s v=" -   "/>
    <s v=" -   "/>
    <s v=" -   "/>
    <s v=" -   "/>
    <s v=" -   "/>
    <n v="16000"/>
    <x v="1"/>
    <s v="P1"/>
    <m/>
    <m/>
    <m/>
    <m/>
    <m/>
    <m/>
    <m/>
    <m/>
    <m/>
    <m/>
    <x v="0"/>
    <s v="EN EJECUCION CON CONTRATO"/>
    <s v="000434-2026-SGGDI"/>
    <s v="004451-2026-SGIST"/>
    <s v="002036-2026-GITE"/>
    <d v="2026-04-22T00:00:00"/>
    <m/>
    <n v="3232"/>
    <s v="NUEVO"/>
    <s v="MEMORANDO 002457-2026-GITE"/>
    <m/>
    <s v="RIVERA"/>
    <s v="CALDERON"/>
    <s v="JIMMY EDGARD"/>
    <n v="10790700"/>
    <n v="10107907004"/>
    <n v="8000"/>
    <d v="2026-05-02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ANALISTA ADMINISTRATIVO DE GOBIERNO DIGITAL_x000a_NUEVO: ANALISTA DE PRUEBAS Y CONTROL DE CALIDAD DE PROYECTOS DE INNOVACIÓN_x000a_"/>
    <s v="LOCADOR"/>
    <n v="1"/>
    <n v="6000"/>
    <m/>
    <m/>
    <m/>
    <m/>
    <n v="30"/>
    <n v="30"/>
    <m/>
    <m/>
    <m/>
    <m/>
    <m/>
    <m/>
    <n v="12000"/>
    <s v=" -   "/>
    <s v=" -   "/>
    <s v=" -   "/>
    <s v=" -   "/>
    <n v="6000"/>
    <n v="6000"/>
    <s v=" -   "/>
    <s v=" -   "/>
    <s v=" -   "/>
    <s v=" -   "/>
    <s v=" -   "/>
    <s v=" -   "/>
    <n v="12000"/>
    <x v="1"/>
    <s v="P1"/>
    <m/>
    <m/>
    <s v="SGGDI comunico cambio de denominación el  22/04/2026 (segundo envio)"/>
    <m/>
    <m/>
    <m/>
    <m/>
    <m/>
    <m/>
    <m/>
    <x v="0"/>
    <s v="EN EJECUCION CON CONTRATO"/>
    <s v="000441-2026-SGGDI"/>
    <s v="004501-2026-SGIST"/>
    <s v="002053-2026-GITE"/>
    <d v="2026-04-23T00:00:00"/>
    <m/>
    <n v="3238"/>
    <m/>
    <s v="MEMORANDO 002457-2026-GITE"/>
    <m/>
    <s v="GUZMAN"/>
    <s v="SAMAN"/>
    <s v="JUAN FRANCISCO"/>
    <n v="47150277"/>
    <m/>
    <n v="6000"/>
    <d v="2026-05-02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EN SERVICIOS DE CERTIFICACIÓN DIGITAL"/>
    <s v="LOCADOR"/>
    <n v="1"/>
    <n v="6000"/>
    <m/>
    <m/>
    <m/>
    <m/>
    <n v="30"/>
    <n v="30"/>
    <m/>
    <m/>
    <m/>
    <m/>
    <m/>
    <m/>
    <n v="12000"/>
    <s v=" -   "/>
    <s v=" -   "/>
    <s v=" -   "/>
    <s v=" -   "/>
    <n v="6000"/>
    <n v="6000"/>
    <s v=" -   "/>
    <s v=" -   "/>
    <s v=" -   "/>
    <s v=" -   "/>
    <s v=" -   "/>
    <s v=" -   "/>
    <n v="12000"/>
    <x v="1"/>
    <s v="P1"/>
    <m/>
    <m/>
    <m/>
    <m/>
    <m/>
    <m/>
    <m/>
    <m/>
    <m/>
    <m/>
    <x v="0"/>
    <s v="EN EJECUCION CON CONTRATO"/>
    <s v="000431-2026-SGGDI"/>
    <s v="004461-2026-SGIST"/>
    <s v="002029-2026-GITE"/>
    <d v="2026-04-22T00:00:00"/>
    <m/>
    <s v="0788"/>
    <m/>
    <s v="MEMORANDO 002457-2026-GITE"/>
    <m/>
    <s v="DE LA CRUZ"/>
    <s v="REYES"/>
    <s v="ZENOBIO ALEXANDER"/>
    <n v="43711281"/>
    <n v="10437112814"/>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DISEÑADOR UX/UI DE PROYECTOS DE INNOVACIÓN_x000a_NUEVO: ESPECIALISTA EN CERTIFICACION DIGITAL Y FIRMA ELECTRONICA CUALIFICADA "/>
    <s v="LOCADOR"/>
    <n v="1"/>
    <n v="9000"/>
    <m/>
    <m/>
    <m/>
    <m/>
    <n v="30"/>
    <n v="30"/>
    <m/>
    <m/>
    <m/>
    <m/>
    <m/>
    <m/>
    <n v="18000"/>
    <s v=" -   "/>
    <s v=" -   "/>
    <s v=" -   "/>
    <s v=" -   "/>
    <n v="9000"/>
    <n v="9000"/>
    <s v=" -   "/>
    <s v=" -   "/>
    <s v=" -   "/>
    <s v=" -   "/>
    <s v=" -   "/>
    <s v=" -   "/>
    <n v="18000"/>
    <x v="1"/>
    <s v="P1"/>
    <m/>
    <m/>
    <s v="21/04 SGGDI mediante correo solicita cambio de denominación "/>
    <m/>
    <m/>
    <m/>
    <m/>
    <m/>
    <m/>
    <m/>
    <x v="0"/>
    <s v="EN EJECUCION CON CONTRATO"/>
    <s v="000434-2026-SGGDI"/>
    <s v="004451-2026-SGIST"/>
    <s v="002036-2026-GITE"/>
    <d v="2026-04-22T00:00:00"/>
    <m/>
    <n v="3233"/>
    <s v="NUEVO"/>
    <s v="MEMORANDO 002457-2026-GITE"/>
    <m/>
    <s v="PORTUGAL"/>
    <s v="VARGAS"/>
    <s v="PAULO CESAR"/>
    <n v="44627780"/>
    <n v="10446277800"/>
    <n v="9000"/>
    <d v="2026-05-02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PROYECTOS DE INNOVACION"/>
    <s v="LOCADOR"/>
    <n v="1"/>
    <n v="7500"/>
    <m/>
    <m/>
    <m/>
    <m/>
    <n v="30"/>
    <n v="30"/>
    <m/>
    <m/>
    <m/>
    <m/>
    <m/>
    <m/>
    <n v="15000"/>
    <s v=" -   "/>
    <s v=" -   "/>
    <s v=" -   "/>
    <s v=" -   "/>
    <n v="7500"/>
    <n v="7500"/>
    <s v=" -   "/>
    <s v=" -   "/>
    <s v=" -   "/>
    <s v=" -   "/>
    <s v=" -   "/>
    <s v=" -   "/>
    <n v="15000"/>
    <x v="1"/>
    <s v="P1"/>
    <m/>
    <m/>
    <m/>
    <m/>
    <m/>
    <m/>
    <m/>
    <m/>
    <m/>
    <m/>
    <x v="0"/>
    <s v="EN EJECUCION CON CONTRATO"/>
    <s v="000442-2026-SGGDI-GITE"/>
    <s v="004516-2026-SGIST"/>
    <s v="002060-2026-GITE"/>
    <d v="2026-04-23T00:00:00"/>
    <m/>
    <s v="0850"/>
    <m/>
    <s v="MEMORANDO 002457-2026-GITE"/>
    <m/>
    <s v="SUXE"/>
    <s v="CORREA"/>
    <s v="JHON LENIN"/>
    <n v="73785401"/>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PROYECTOS DE INNOVACION"/>
    <s v="LOCADOR"/>
    <n v="1"/>
    <n v="7500"/>
    <m/>
    <m/>
    <m/>
    <m/>
    <n v="30"/>
    <n v="30"/>
    <m/>
    <m/>
    <m/>
    <m/>
    <m/>
    <m/>
    <n v="15000"/>
    <m/>
    <m/>
    <m/>
    <m/>
    <n v="7500"/>
    <n v="7500"/>
    <m/>
    <m/>
    <m/>
    <m/>
    <m/>
    <m/>
    <n v="15000"/>
    <x v="1"/>
    <s v="P1"/>
    <m/>
    <m/>
    <m/>
    <m/>
    <m/>
    <m/>
    <m/>
    <m/>
    <m/>
    <m/>
    <x v="0"/>
    <s v="EN EJECUCION CON CONTRATO"/>
    <s v="000442-2026-SGGDI-GITE"/>
    <s v="004516-2026-SGIST"/>
    <s v="002060-2026-GITE"/>
    <d v="2026-04-23T00:00:00"/>
    <m/>
    <s v="0851"/>
    <m/>
    <s v="MEMORANDO 002457-2026-GITE"/>
    <m/>
    <s v="MORAN"/>
    <s v="SANCHEZ"/>
    <s v="ALEX JERICK"/>
    <n v="72356908"/>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ASEGURAMIENTO DE CONTROL DE CALIDAD DE PROYECTOS DE INNOVACION_x000a_NUEVO: ESPECIALISTA EN GESTIÓN TECNOLÓGICA DE PROYECTOS DE INNOVACIÓN"/>
    <s v="LOCADOR"/>
    <n v="1"/>
    <n v="7500"/>
    <m/>
    <m/>
    <m/>
    <m/>
    <n v="30"/>
    <n v="30"/>
    <m/>
    <m/>
    <m/>
    <m/>
    <m/>
    <m/>
    <n v="15000"/>
    <s v=" -   "/>
    <s v=" -   "/>
    <s v=" -   "/>
    <s v=" -   "/>
    <n v="7500"/>
    <n v="7500"/>
    <s v=" -   "/>
    <s v=" -   "/>
    <s v=" -   "/>
    <s v=" -   "/>
    <s v=" -   "/>
    <s v=" -   "/>
    <n v="15000"/>
    <x v="1"/>
    <s v="P1"/>
    <m/>
    <m/>
    <s v="21/04 SGGDI mediante correo solicita cambio de denominación "/>
    <m/>
    <m/>
    <m/>
    <m/>
    <m/>
    <m/>
    <m/>
    <x v="0"/>
    <s v="EN EJECUCION CON CONTRATO"/>
    <s v="000441-2026-SGGDI"/>
    <s v="004501-2026-SGIST"/>
    <s v="002053-2026-GITE"/>
    <d v="2026-04-23T00:00:00"/>
    <m/>
    <n v="3239"/>
    <m/>
    <s v="MEMORANDO 002457-2026-GITE"/>
    <m/>
    <s v="TUCTO"/>
    <s v="CALZADA"/>
    <s v="JERSON WILMER"/>
    <n v="73091238"/>
    <m/>
    <n v="7500"/>
    <d v="2026-05-02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DE PRUEBAS DE SEGURIDAD Y CODIGO ESTATICO DE PROYECTOS DE INNOVACIÓN"/>
    <s v="LOCADOR"/>
    <n v="1"/>
    <n v="7500"/>
    <m/>
    <m/>
    <m/>
    <m/>
    <n v="30"/>
    <n v="30"/>
    <m/>
    <m/>
    <m/>
    <m/>
    <m/>
    <m/>
    <n v="15000"/>
    <s v=" -   "/>
    <s v=" -   "/>
    <s v=" -   "/>
    <s v=" -   "/>
    <n v="7500"/>
    <n v="7500"/>
    <s v=" -   "/>
    <s v=" -   "/>
    <s v=" -   "/>
    <s v=" -   "/>
    <s v=" -   "/>
    <s v=" -   "/>
    <n v="15000"/>
    <x v="1"/>
    <s v="P1"/>
    <m/>
    <m/>
    <m/>
    <m/>
    <m/>
    <m/>
    <m/>
    <m/>
    <m/>
    <m/>
    <x v="0"/>
    <s v="EN EJECUCION CON CONTRATO"/>
    <s v="000442-2026-SGGDI-GITE"/>
    <s v="004516-2026-SGIST"/>
    <s v="002060-2026-GITE"/>
    <d v="2026-04-23T00:00:00"/>
    <m/>
    <s v="0852"/>
    <m/>
    <s v="MEMORANDO 002457-2026-GITE"/>
    <m/>
    <s v="ROA"/>
    <s v="VICENTE"/>
    <s v="DENNIFER SEVIGNE"/>
    <n v="72174243"/>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ESPECIALISTA DE PRUEBAS DE SEGURIDAD Y CODIGO ESTATICO DE PROYECTOS DE INNOVACIÓN_x000a_NUEVO: ESPECIALISTA EN GESTIÓN TECNOLÓGICA DE PROYECTOS DE INNOVACIÓN"/>
    <s v="LOCADOR"/>
    <n v="1"/>
    <n v="7500"/>
    <m/>
    <m/>
    <m/>
    <m/>
    <n v="30"/>
    <n v="30"/>
    <m/>
    <m/>
    <m/>
    <m/>
    <m/>
    <m/>
    <n v="15000"/>
    <s v=" -   "/>
    <s v=" -   "/>
    <s v=" -   "/>
    <s v=" -   "/>
    <n v="7500"/>
    <n v="7500"/>
    <s v=" -   "/>
    <s v=" -   "/>
    <s v=" -   "/>
    <s v=" -   "/>
    <s v=" -   "/>
    <s v=" -   "/>
    <n v="15000"/>
    <x v="1"/>
    <s v="P1"/>
    <m/>
    <m/>
    <s v="21/04 SGGDI mediante correo solicita cambio de denominación "/>
    <m/>
    <m/>
    <m/>
    <m/>
    <m/>
    <m/>
    <m/>
    <x v="0"/>
    <s v="EN EJECUCION CON CONTRATO"/>
    <s v="000441-2026-SGGDI"/>
    <s v="004501-2026-SGIST"/>
    <s v="002053-2026-GITE"/>
    <d v="2026-04-23T00:00:00"/>
    <m/>
    <n v="3240"/>
    <m/>
    <s v="MEMORANDO 002457-2026-GITE"/>
    <m/>
    <s v="ARIAS"/>
    <s v="LEVANO"/>
    <s v="ROMAN RAUL"/>
    <n v="70402346"/>
    <m/>
    <n v="7500"/>
    <d v="2026-05-02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ESPECIALISTA DE PRUEBAS DE CARGA, ESTRES Y AUTOMATIZACION DE PROYECTOS DE INNOVACIÓN_x000a_NUEVO: ESPECIALISTA EN DESARROLLO DE SOFTWARE DE PROYECTOS DE INNOVACIÓN"/>
    <s v="LOCADOR"/>
    <n v="1"/>
    <n v="7500"/>
    <m/>
    <m/>
    <m/>
    <m/>
    <n v="30"/>
    <n v="30"/>
    <m/>
    <m/>
    <m/>
    <m/>
    <m/>
    <m/>
    <n v="15000"/>
    <s v=" -   "/>
    <s v=" -   "/>
    <s v=" -   "/>
    <s v=" -   "/>
    <n v="7500"/>
    <n v="7500"/>
    <s v=" -   "/>
    <s v=" -   "/>
    <s v=" -   "/>
    <s v=" -   "/>
    <s v=" -   "/>
    <s v=" -   "/>
    <n v="15000"/>
    <x v="1"/>
    <s v="P1"/>
    <m/>
    <m/>
    <s v="21/04 SGGDI mediante correo solicita cambio de denominación "/>
    <m/>
    <m/>
    <m/>
    <m/>
    <m/>
    <m/>
    <m/>
    <x v="0"/>
    <s v="EN EJECUCION CON CONTRATO"/>
    <s v="000441-2026-SGGDI"/>
    <s v="004501-2026-SGIST"/>
    <s v="002053-2026-GITE"/>
    <d v="2026-04-23T00:00:00"/>
    <m/>
    <n v="3241"/>
    <m/>
    <s v="MEMORANDO 002457-2026-GITE"/>
    <m/>
    <s v="PALOMINO"/>
    <s v="MALCA "/>
    <s v="EDUARDO ISAAC"/>
    <n v="44185133"/>
    <m/>
    <n v="7500"/>
    <d v="2026-05-02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ESPECIALISTA DE PRUEBAS DE CARGA, ESTRES Y AUTOMATIZACION DE PROYECTOS DE INNOVACIÓN_x000a_NUEVO: ESPECIALISTA EN DESARROLLO DE SOFTWARE DE PROYECTOS DE INNOVACIÓN"/>
    <s v="LOCADOR"/>
    <n v="1"/>
    <n v="7500"/>
    <m/>
    <m/>
    <m/>
    <m/>
    <n v="30"/>
    <n v="30"/>
    <m/>
    <m/>
    <m/>
    <m/>
    <m/>
    <m/>
    <n v="15000"/>
    <s v=" -   "/>
    <s v=" -   "/>
    <s v=" -   "/>
    <s v=" -   "/>
    <n v="7500"/>
    <n v="7500"/>
    <s v=" -   "/>
    <s v=" -   "/>
    <s v=" -   "/>
    <s v=" -   "/>
    <s v=" -   "/>
    <s v=" -   "/>
    <n v="15000"/>
    <x v="1"/>
    <s v="P1"/>
    <m/>
    <m/>
    <s v="21/04 SGGDI mediante correo solicita cambio de denominación "/>
    <m/>
    <m/>
    <m/>
    <m/>
    <m/>
    <m/>
    <m/>
    <x v="0"/>
    <s v="EN EJECUCION CON CONTRATO"/>
    <s v="000441-2026-SGGDI"/>
    <s v="004501-2026-SGIST"/>
    <s v="002053-2026-GITE"/>
    <d v="2026-04-23T00:00:00"/>
    <m/>
    <n v="3242"/>
    <m/>
    <s v="MEMORANDO 002457-2026-GITE"/>
    <m/>
    <s v="SOLIS"/>
    <s v="VIZURRAGA"/>
    <s v="RICARDO MANUEL"/>
    <n v="76224735"/>
    <m/>
    <n v="7500"/>
    <d v="2026-05-02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PROYECTOS DE INNOVACION"/>
    <s v="LOCADOR"/>
    <m/>
    <n v="6500"/>
    <m/>
    <m/>
    <m/>
    <m/>
    <n v="30"/>
    <n v="30"/>
    <m/>
    <m/>
    <m/>
    <m/>
    <m/>
    <m/>
    <m/>
    <s v=" -   "/>
    <s v=" -   "/>
    <s v=" -   "/>
    <s v=" -   "/>
    <m/>
    <m/>
    <s v=" -   "/>
    <s v=" -   "/>
    <s v=" -   "/>
    <s v=" -   "/>
    <s v=" -   "/>
    <s v=" -   "/>
    <m/>
    <x v="1"/>
    <s v="P1"/>
    <m/>
    <m/>
    <s v="SGGDI comunico cambio de denominación el  22/04/2026"/>
    <m/>
    <m/>
    <m/>
    <m/>
    <m/>
    <m/>
    <m/>
    <x v="2"/>
    <m/>
    <m/>
    <m/>
    <m/>
    <m/>
    <m/>
    <m/>
    <m/>
    <m/>
    <m/>
    <m/>
    <m/>
    <m/>
    <m/>
    <m/>
    <m/>
    <m/>
    <m/>
    <m/>
    <n v="30"/>
    <n v="0"/>
    <m/>
    <n v="0"/>
    <m/>
    <n v="0"/>
    <n v="0"/>
    <n v="0"/>
    <m/>
    <n v="30"/>
    <n v="0"/>
    <m/>
    <n v="0"/>
    <m/>
    <n v="0"/>
    <n v="0"/>
    <n v="0"/>
    <m/>
    <n v="0"/>
    <n v="0"/>
    <n v="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DOCUMENTADOR QA DE PROYECTOS DE INNOVACIÓN_x000a_NUEVO:  ANALISTA DE PRUEBAS Y DOCUMENTACIÓN DE PROYECTOS DE INNOVACIÓN"/>
    <s v="LOCADOR"/>
    <n v="1"/>
    <n v="4500"/>
    <m/>
    <m/>
    <m/>
    <m/>
    <n v="30"/>
    <n v="30"/>
    <m/>
    <m/>
    <m/>
    <m/>
    <m/>
    <m/>
    <n v="9000"/>
    <s v=" -   "/>
    <s v=" -   "/>
    <s v=" -   "/>
    <s v=" -   "/>
    <n v="4500"/>
    <n v="4500"/>
    <s v=" -   "/>
    <s v=" -   "/>
    <s v=" -   "/>
    <s v=" -   "/>
    <s v=" -   "/>
    <s v=" -   "/>
    <n v="9000"/>
    <x v="1"/>
    <s v="P1"/>
    <m/>
    <m/>
    <s v="SGGDI comunico cambio de denominación el  22/04/2026"/>
    <m/>
    <m/>
    <m/>
    <m/>
    <m/>
    <m/>
    <m/>
    <x v="0"/>
    <s v="EN EJECUCION CON CONTRATO"/>
    <s v="000441-2026-SGGDI"/>
    <s v="004501-2026-SGIST"/>
    <s v="002053-2026-GITE"/>
    <d v="2026-04-23T00:00:00"/>
    <m/>
    <n v="3249"/>
    <m/>
    <s v="MEMORANDO 002457-2026-GITE"/>
    <m/>
    <s v="CHAPOÑAN "/>
    <s v="SANTISTEBAN"/>
    <s v="LUZ NOEMI"/>
    <n v="41277732"/>
    <m/>
    <n v="4500"/>
    <d v="2026-05-02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DOCUMENTADOR QA DE PROYECTOS DE INNOVACIÓN_x000a_NUEVO:  ANALISTA DE PRUEBAS Y DOCUMENTACIÓN DE PROYECTOS DE INNOVACIÓN"/>
    <s v="LOCADOR"/>
    <n v="1"/>
    <n v="4500"/>
    <m/>
    <m/>
    <m/>
    <m/>
    <n v="30"/>
    <n v="30"/>
    <m/>
    <m/>
    <m/>
    <m/>
    <m/>
    <m/>
    <n v="9000"/>
    <s v=" -   "/>
    <s v=" -   "/>
    <s v=" -   "/>
    <s v=" -   "/>
    <n v="4500"/>
    <n v="4500"/>
    <s v=" -   "/>
    <s v=" -   "/>
    <s v=" -   "/>
    <s v=" -   "/>
    <s v=" -   "/>
    <s v=" -   "/>
    <n v="9000"/>
    <x v="1"/>
    <s v="P1"/>
    <m/>
    <m/>
    <s v="SGGDI comunico cambio de denominación el  22/04/2026"/>
    <m/>
    <m/>
    <m/>
    <m/>
    <m/>
    <m/>
    <m/>
    <x v="0"/>
    <s v="EN EJECUCION CON CONTRATO"/>
    <s v="000441-2026-SGGDI"/>
    <s v="004501-2026-SGIST"/>
    <s v="002053-2026-GITE"/>
    <d v="2026-04-23T00:00:00"/>
    <m/>
    <n v="3250"/>
    <m/>
    <s v="MEMORANDO 002457-2026-GITE"/>
    <m/>
    <s v="LOZADA"/>
    <s v="NAVARRETE"/>
    <s v="KAROL STEPHANIE"/>
    <n v="45112142"/>
    <m/>
    <n v="4500"/>
    <d v="2026-05-02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_x000a_ANTES: DOCUMENTADOR QA DE PROYECTOS DE INNOVACIÓN_x000a_NUEVO:  ANALISTA TÉCNICO ADMINISTRATIVO DE PROYECTOS DE INNOVACIÓN_x000a_"/>
    <s v="LOCADOR"/>
    <n v="1"/>
    <n v="4500"/>
    <m/>
    <m/>
    <m/>
    <m/>
    <n v="30"/>
    <n v="30"/>
    <m/>
    <m/>
    <m/>
    <m/>
    <m/>
    <m/>
    <n v="9000"/>
    <s v=" -   "/>
    <s v=" -   "/>
    <s v=" -   "/>
    <s v=" -   "/>
    <n v="4500"/>
    <n v="4500"/>
    <s v=" -   "/>
    <s v=" -   "/>
    <s v=" -   "/>
    <s v=" -   "/>
    <s v=" -   "/>
    <s v=" -   "/>
    <n v="9000"/>
    <x v="1"/>
    <s v="P1"/>
    <m/>
    <m/>
    <s v="SGGDI comunico cambio de denominación el  22/04/2026"/>
    <m/>
    <m/>
    <m/>
    <m/>
    <m/>
    <m/>
    <m/>
    <x v="0"/>
    <s v="EN EJECUCION CON CONTRATO"/>
    <s v="000441-2026-SGGDI"/>
    <s v="004501-2026-SGIST"/>
    <s v="002053-2026-GITE"/>
    <d v="2026-04-23T00:00:00"/>
    <m/>
    <n v="3251"/>
    <m/>
    <s v="MEMORANDO 002457-2026-GITE"/>
    <m/>
    <s v="RAMIREZ"/>
    <s v="LAZO"/>
    <s v="FANY MARIELA"/>
    <n v="76466278"/>
    <m/>
    <n v="4500"/>
    <d v="2026-05-02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DE CONTROL DE CALIDAD DE SOFTWARE"/>
    <s v="LOCADOR"/>
    <n v="1"/>
    <n v="9000"/>
    <m/>
    <m/>
    <m/>
    <m/>
    <n v="30"/>
    <n v="30"/>
    <m/>
    <m/>
    <m/>
    <m/>
    <m/>
    <m/>
    <n v="18000"/>
    <s v=" -   "/>
    <s v=" -   "/>
    <s v=" -   "/>
    <s v=" -   "/>
    <n v="9000"/>
    <n v="9000"/>
    <s v=" -   "/>
    <s v=" -   "/>
    <s v=" -   "/>
    <s v=" -   "/>
    <s v=" -   "/>
    <s v=" -   "/>
    <n v="18000"/>
    <x v="1"/>
    <s v="P1"/>
    <m/>
    <m/>
    <m/>
    <m/>
    <m/>
    <m/>
    <m/>
    <m/>
    <m/>
    <m/>
    <x v="0"/>
    <s v="EN EJECUCION CON CONTRATO"/>
    <s v="000442-2026-SGGDI-GITE"/>
    <s v="004516-2026-SGIST"/>
    <s v="002060-2026-GITE"/>
    <d v="2026-04-23T00:00:00"/>
    <m/>
    <s v="0806"/>
    <m/>
    <s v="MEMORANDO 002457-2026-GITE"/>
    <m/>
    <s v="MARTINEZ"/>
    <s v="RIVERA"/>
    <s v="BRAYAN STEVEN"/>
    <n v="46174938"/>
    <m/>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DE CONTROL DE CALIDAD DE SOFTWARE"/>
    <s v="LOCADOR"/>
    <n v="1"/>
    <n v="9000"/>
    <m/>
    <m/>
    <m/>
    <m/>
    <n v="30"/>
    <n v="30"/>
    <m/>
    <m/>
    <m/>
    <m/>
    <m/>
    <m/>
    <n v="18000"/>
    <s v=" -   "/>
    <s v=" -   "/>
    <s v=" -   "/>
    <s v=" -   "/>
    <n v="9000"/>
    <n v="9000"/>
    <s v=" -   "/>
    <s v=" -   "/>
    <s v=" -   "/>
    <s v=" -   "/>
    <s v=" -   "/>
    <s v=" -   "/>
    <n v="18000"/>
    <x v="1"/>
    <s v="P1"/>
    <m/>
    <m/>
    <m/>
    <m/>
    <m/>
    <m/>
    <m/>
    <m/>
    <m/>
    <m/>
    <x v="0"/>
    <s v="EN EJECUCION CON CONTRATO"/>
    <s v="000442-2026-SGGDI-GITE"/>
    <s v="004516-2026-SGIST"/>
    <s v="002060-2026-GITE"/>
    <d v="2026-04-23T00:00:00"/>
    <m/>
    <s v="0807"/>
    <m/>
    <s v="MEMORANDO 002457-2026-GITE"/>
    <m/>
    <s v="SANTOS"/>
    <s v="CASTAÑEDA"/>
    <s v="EDUARDO DELMER"/>
    <n v="45901627"/>
    <m/>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DE CONTROL DE CALIDAD DE SOFTWARE"/>
    <s v="LOCADOR"/>
    <n v="1"/>
    <n v="9000"/>
    <m/>
    <m/>
    <m/>
    <m/>
    <n v="30"/>
    <n v="30"/>
    <m/>
    <m/>
    <m/>
    <m/>
    <m/>
    <m/>
    <n v="18000"/>
    <s v=" -   "/>
    <s v=" -   "/>
    <s v=" -   "/>
    <s v=" -   "/>
    <n v="9000"/>
    <n v="9000"/>
    <s v=" -   "/>
    <s v=" -   "/>
    <s v=" -   "/>
    <s v=" -   "/>
    <s v=" -   "/>
    <s v=" -   "/>
    <n v="18000"/>
    <x v="1"/>
    <s v="P1"/>
    <m/>
    <m/>
    <m/>
    <m/>
    <m/>
    <m/>
    <m/>
    <m/>
    <m/>
    <m/>
    <x v="0"/>
    <s v="EN EJECUCION CON CONTRATO"/>
    <s v="000442-2026-SGGDI-GITE"/>
    <s v="004516-2026-SGIST"/>
    <s v="002060-2026-GITE"/>
    <d v="2026-04-23T00:00:00"/>
    <m/>
    <s v="0808"/>
    <m/>
    <s v="MEMORANDO 002457-2026-GITE"/>
    <m/>
    <s v="SERNAQUE"/>
    <s v="JACINTO"/>
    <s v="CESAR AGUSTIN"/>
    <n v="80220394"/>
    <m/>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DE CONTROL DE CALIDAD DE SOFTWARE"/>
    <s v="LOCADOR"/>
    <n v="1"/>
    <n v="9000"/>
    <m/>
    <m/>
    <m/>
    <m/>
    <n v="30"/>
    <n v="30"/>
    <m/>
    <m/>
    <m/>
    <m/>
    <m/>
    <m/>
    <n v="18000"/>
    <s v=" -   "/>
    <s v=" -   "/>
    <s v=" -   "/>
    <s v=" -   "/>
    <n v="9000"/>
    <n v="9000"/>
    <s v=" -   "/>
    <s v=" -   "/>
    <s v=" -   "/>
    <s v=" -   "/>
    <s v=" -   "/>
    <s v=" -   "/>
    <n v="18000"/>
    <x v="1"/>
    <s v="P1"/>
    <m/>
    <m/>
    <m/>
    <m/>
    <m/>
    <m/>
    <m/>
    <m/>
    <m/>
    <m/>
    <x v="0"/>
    <s v="EN EJECUCION CON CONTRATO"/>
    <s v="000442-2026-SGGDI-GITE"/>
    <s v="004516-2026-SGIST"/>
    <s v="002060-2026-GITE"/>
    <d v="2026-04-23T00:00:00"/>
    <m/>
    <s v="0809"/>
    <m/>
    <s v="MEMORANDO 002457-2026-GITE"/>
    <m/>
    <s v="ALVARADO"/>
    <s v="CORDOVA"/>
    <s v="JEISON IVAN"/>
    <n v="71330523"/>
    <m/>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ADMINISTRATIVO DE CONTROL DE CALIDAD DE SOFTWARE"/>
    <s v="LOCADOR"/>
    <n v="1"/>
    <n v="5000"/>
    <m/>
    <m/>
    <m/>
    <m/>
    <n v="30"/>
    <n v="30"/>
    <m/>
    <m/>
    <m/>
    <m/>
    <m/>
    <m/>
    <n v="10000"/>
    <s v=" -   "/>
    <s v=" -   "/>
    <s v=" -   "/>
    <s v=" -   "/>
    <n v="5000"/>
    <n v="5000"/>
    <s v=" -   "/>
    <s v=" -   "/>
    <s v=" -   "/>
    <s v=" -   "/>
    <s v=" -   "/>
    <s v=" -   "/>
    <n v="10000"/>
    <x v="1"/>
    <s v="P1"/>
    <m/>
    <m/>
    <m/>
    <m/>
    <m/>
    <m/>
    <m/>
    <m/>
    <m/>
    <m/>
    <x v="0"/>
    <s v="EN EJECUCION CON CONTRATO"/>
    <s v="000442-2026-SGGDI-GITE"/>
    <s v="004516-2026-SGIST"/>
    <s v="002060-2026-GITE"/>
    <d v="2026-04-23T00:00:00"/>
    <m/>
    <s v="0810"/>
    <m/>
    <s v="MEMORANDO 002457-2026-GITE"/>
    <m/>
    <s v="DELGADO"/>
    <s v="MACHCO"/>
    <s v="JEANPOUL LUISALEXIS"/>
    <n v="70525517"/>
    <m/>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EN PRUEBAS AUTOMATIZADAS QA"/>
    <s v="LOCADOR"/>
    <n v="1"/>
    <n v="7500"/>
    <m/>
    <m/>
    <m/>
    <m/>
    <n v="30"/>
    <n v="30"/>
    <m/>
    <m/>
    <m/>
    <m/>
    <m/>
    <m/>
    <n v="15000"/>
    <s v=" -   "/>
    <s v=" -   "/>
    <s v=" -   "/>
    <s v=" -   "/>
    <n v="7500"/>
    <n v="7500"/>
    <s v=" -   "/>
    <s v=" -   "/>
    <s v=" -   "/>
    <s v=" -   "/>
    <s v=" -   "/>
    <s v=" -   "/>
    <n v="15000"/>
    <x v="1"/>
    <s v="P1"/>
    <m/>
    <m/>
    <m/>
    <m/>
    <m/>
    <m/>
    <m/>
    <m/>
    <m/>
    <m/>
    <x v="0"/>
    <s v="EN EJECUCION CON CONTRATO"/>
    <s v="000442-2026-SGGDI-GITE"/>
    <s v="004516-2026-SGIST"/>
    <s v="002060-2026-GITE"/>
    <d v="2026-04-23T00:00:00"/>
    <m/>
    <s v="0811"/>
    <m/>
    <s v="MEMORANDO 002457-2026-GITE"/>
    <m/>
    <s v="MONTERO"/>
    <s v="CRUZ"/>
    <s v="EDDY"/>
    <n v="3900627"/>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EN PRUEBAS AUTOMATIZADAS QA"/>
    <s v="LOCADOR"/>
    <n v="1"/>
    <n v="7500"/>
    <m/>
    <m/>
    <m/>
    <m/>
    <n v="30"/>
    <n v="30"/>
    <m/>
    <m/>
    <m/>
    <m/>
    <m/>
    <m/>
    <n v="15000"/>
    <s v=" -   "/>
    <s v=" -   "/>
    <s v=" -   "/>
    <s v=" -   "/>
    <n v="7500"/>
    <n v="7500"/>
    <s v=" -   "/>
    <s v=" -   "/>
    <s v=" -   "/>
    <s v=" -   "/>
    <s v=" -   "/>
    <s v=" -   "/>
    <n v="15000"/>
    <x v="1"/>
    <s v="P1"/>
    <m/>
    <m/>
    <m/>
    <m/>
    <m/>
    <m/>
    <m/>
    <m/>
    <m/>
    <m/>
    <x v="0"/>
    <s v="EN EJECUCION CON CONTRATO"/>
    <s v="000442-2026-SGGDI-GITE"/>
    <s v="004516-2026-SGIST"/>
    <s v="002060-2026-GITE"/>
    <d v="2026-04-23T00:00:00"/>
    <m/>
    <s v="0812"/>
    <m/>
    <s v="MEMORANDO 002457-2026-GITE"/>
    <m/>
    <s v="DEDIOS"/>
    <s v="MONTENEGRO"/>
    <s v="KEVIN JORDANO"/>
    <n v="75820382"/>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EN PRUEBAS AUTOMATIZADAS QA"/>
    <s v="LOCADOR"/>
    <n v="1"/>
    <n v="7500"/>
    <m/>
    <m/>
    <m/>
    <m/>
    <n v="30"/>
    <n v="30"/>
    <m/>
    <m/>
    <m/>
    <m/>
    <m/>
    <m/>
    <n v="15000"/>
    <s v=" -   "/>
    <s v=" -   "/>
    <s v=" -   "/>
    <s v=" -   "/>
    <n v="7500"/>
    <n v="7500"/>
    <s v=" -   "/>
    <s v=" -   "/>
    <s v=" -   "/>
    <s v=" -   "/>
    <s v=" -   "/>
    <s v=" -   "/>
    <n v="15000"/>
    <x v="1"/>
    <s v="P1"/>
    <m/>
    <m/>
    <m/>
    <m/>
    <m/>
    <m/>
    <m/>
    <m/>
    <m/>
    <m/>
    <x v="0"/>
    <s v="EN EJECUCION CON CONTRATO"/>
    <s v="000442-2026-SGGDI-GITE"/>
    <s v="004516-2026-SGIST"/>
    <s v="002060-2026-GITE"/>
    <d v="2026-04-23T00:00:00"/>
    <m/>
    <s v="0813"/>
    <m/>
    <s v="MEMORANDO 002457-2026-GITE"/>
    <m/>
    <s v="VALENZUELA"/>
    <s v="DIAZ"/>
    <s v="LORENA NEREYDA"/>
    <n v="46000923"/>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SEGURIDAD DE SOFTWARE"/>
    <s v="LOCADOR"/>
    <n v="1"/>
    <n v="7500"/>
    <m/>
    <m/>
    <m/>
    <m/>
    <n v="30"/>
    <n v="30"/>
    <m/>
    <m/>
    <m/>
    <m/>
    <m/>
    <m/>
    <n v="15000"/>
    <s v=" -   "/>
    <s v=" -   "/>
    <s v=" -   "/>
    <s v=" -   "/>
    <n v="7500"/>
    <n v="7500"/>
    <s v=" -   "/>
    <s v=" -   "/>
    <s v=" -   "/>
    <s v=" -   "/>
    <s v=" -   "/>
    <s v=" -   "/>
    <n v="15000"/>
    <x v="1"/>
    <s v="P1"/>
    <m/>
    <m/>
    <m/>
    <m/>
    <m/>
    <m/>
    <m/>
    <m/>
    <m/>
    <m/>
    <x v="0"/>
    <s v="EN EJECUCION CON CONTRATO"/>
    <s v="000442-2026-SGGDI-GITE"/>
    <s v="004516-2026-SGSIT"/>
    <s v="002060-2026-GITE"/>
    <d v="2026-04-23T00:00:00"/>
    <m/>
    <s v="0814"/>
    <m/>
    <s v="MEMORANDO 002457-2026-GITE"/>
    <m/>
    <s v="VIDAL"/>
    <s v="ESTRADA"/>
    <s v="JOSE ANTONIO"/>
    <n v="40430320"/>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SEGURIDAD DE SOFTWARE"/>
    <s v="LOCADOR"/>
    <n v="1"/>
    <n v="7500"/>
    <m/>
    <m/>
    <m/>
    <m/>
    <n v="30"/>
    <n v="30"/>
    <m/>
    <m/>
    <m/>
    <m/>
    <m/>
    <m/>
    <n v="15000"/>
    <s v=" -   "/>
    <s v=" -   "/>
    <s v=" -   "/>
    <s v=" -   "/>
    <n v="7500"/>
    <n v="7500"/>
    <s v=" -   "/>
    <s v=" -   "/>
    <s v=" -   "/>
    <s v=" -   "/>
    <s v=" -   "/>
    <s v=" -   "/>
    <n v="15000"/>
    <x v="1"/>
    <s v="P1"/>
    <m/>
    <m/>
    <m/>
    <m/>
    <m/>
    <m/>
    <m/>
    <m/>
    <m/>
    <m/>
    <x v="0"/>
    <s v="EN EJECUCION CON CONTRATO"/>
    <s v="000442-2026-SGGDI-GITE"/>
    <s v="004516-2026-SGSIT"/>
    <s v="002060-2026-GITE"/>
    <d v="2026-04-23T00:00:00"/>
    <m/>
    <s v="0815"/>
    <m/>
    <s v="MEMORANDO 002457-2026-GITE"/>
    <m/>
    <s v="RIOS"/>
    <s v="CHAVEZ"/>
    <s v="ANGELO MARCOS"/>
    <n v="16753523"/>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SEGURIDAD DE SOFTWARE"/>
    <s v="LOCADOR"/>
    <n v="1"/>
    <n v="7500"/>
    <m/>
    <m/>
    <m/>
    <m/>
    <n v="30"/>
    <n v="30"/>
    <m/>
    <m/>
    <m/>
    <m/>
    <m/>
    <m/>
    <n v="15000"/>
    <s v=" -   "/>
    <s v=" -   "/>
    <s v=" -   "/>
    <s v=" -   "/>
    <n v="7500"/>
    <n v="7500"/>
    <s v=" -   "/>
    <s v=" -   "/>
    <s v=" -   "/>
    <s v=" -   "/>
    <s v=" -   "/>
    <s v=" -   "/>
    <n v="15000"/>
    <x v="1"/>
    <s v="P1"/>
    <m/>
    <m/>
    <m/>
    <m/>
    <m/>
    <m/>
    <m/>
    <m/>
    <m/>
    <m/>
    <x v="0"/>
    <s v="EN EJECUCION CON CONTRATO"/>
    <s v="000442-2026-SGGDI-GITE"/>
    <s v="004516-2026-SGSIT"/>
    <s v="002060-2026-GITE"/>
    <d v="2026-04-23T00:00:00"/>
    <m/>
    <s v="0816"/>
    <m/>
    <s v="MEMORANDO 002457-2026-GITE"/>
    <m/>
    <s v="GUTIERREZ"/>
    <s v="CONDORI"/>
    <s v="YEREMY JESUS"/>
    <n v="45482731"/>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CODIGO ESTÁTICO"/>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18"/>
    <m/>
    <s v="MEMORANDO 002457-2026-GITE"/>
    <m/>
    <s v="CONSTANTINO"/>
    <s v="SENMACHE"/>
    <s v="DORIS JANNETH"/>
    <n v="42696019"/>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CODIGO ESTÁTICO"/>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19"/>
    <m/>
    <s v="MEMORANDO 002457-2026-GITE"/>
    <m/>
    <s v="MONTENEGRO"/>
    <s v="DEZA"/>
    <s v="RICHARD ALEXANDER"/>
    <n v="41611913"/>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CODIGO ESTÁTICO"/>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0"/>
    <m/>
    <s v="MEMORANDO 002457-2026-GITE"/>
    <m/>
    <s v="BARRIENTOS"/>
    <s v="BENDEZU"/>
    <s v="ISEQUIEL"/>
    <n v="46577588"/>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s v="24/04 - SGGDI SOLICITO POR CORREO CAMBIO DE DENOMINACION"/>
    <m/>
    <m/>
    <m/>
    <m/>
    <m/>
    <m/>
    <m/>
    <x v="0"/>
    <s v="EN EJECUCION CON CONTRATO"/>
    <s v="000442-2026-SGGDI-GITE"/>
    <s v="004516-2026-SGSIT"/>
    <s v="002060-2026-GITE"/>
    <d v="2026-04-23T00:00:00"/>
    <m/>
    <s v="0822"/>
    <m/>
    <s v="MEMORANDO 002457-2026-GITE"/>
    <m/>
    <s v="NOLASCO"/>
    <s v="ZAMORA"/>
    <s v="KEVIN ALONSO"/>
    <n v="41879580"/>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s v="24/04 - SGGDI SOLICITO POR CORREO CAMBIO DE DENOMINACION"/>
    <m/>
    <m/>
    <m/>
    <m/>
    <m/>
    <m/>
    <m/>
    <x v="0"/>
    <s v="EN EJECUCION CON CONTRATO"/>
    <s v="000442-2026-SGGDI-GITE"/>
    <s v="004516-2026-SGSIT"/>
    <s v="002060-2026-GITE"/>
    <d v="2026-04-23T00:00:00"/>
    <m/>
    <s v="0823"/>
    <m/>
    <s v="MEMORANDO 002457-2026-GITE"/>
    <m/>
    <s v="RAMIREZ"/>
    <s v="DE LA CRUZ"/>
    <s v="ELEYNE KARINA"/>
    <n v="76826309"/>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s v="24/04 - SGGDI SOLICITO POR CORREO CAMBIO DE DENOMINACION"/>
    <m/>
    <m/>
    <m/>
    <m/>
    <m/>
    <m/>
    <m/>
    <x v="0"/>
    <s v="EN EJECUCION CON CONTRATO"/>
    <s v="000443-2026-SGGDI-GITE"/>
    <s v="004508-2026-SGSIST"/>
    <s v="002061-2026-GITE"/>
    <d v="2026-04-23T00:00:00"/>
    <m/>
    <s v="0854"/>
    <m/>
    <s v="MEMORANDO 002457-2026-GITE"/>
    <m/>
    <s v="IZQUIERDO"/>
    <s v="FUERTES"/>
    <s v="JHUNIOR ALEXI"/>
    <n v="47420440"/>
    <m/>
    <n v="7500"/>
    <d v="2026-05-01T00:00:00"/>
    <d v="2026-06-30T00:00:00"/>
    <m/>
    <n v="30"/>
    <n v="7500"/>
    <n v="30"/>
    <n v="7500"/>
    <n v="30"/>
    <n v="7500"/>
    <m/>
    <m/>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s v="24/04 - SGGDI SOLICITO POR CORREO CAMBIO DE DENOMINACION"/>
    <m/>
    <m/>
    <m/>
    <m/>
    <m/>
    <m/>
    <m/>
    <x v="0"/>
    <s v="EN EJECUCION CON CONTRATO"/>
    <s v="000443-2026-SGGDI-GITE"/>
    <s v="004508-2026-SGSIST"/>
    <s v="002061-2026-GITE"/>
    <d v="2026-04-23T00:00:00"/>
    <m/>
    <s v="0855"/>
    <m/>
    <s v="MEMORANDO 002457-2026-GITE"/>
    <m/>
    <s v="FLORIAN"/>
    <s v="CARDENAS"/>
    <s v="JORGE LUIS"/>
    <n v="43707715"/>
    <m/>
    <n v="7500"/>
    <d v="2026-05-01T00:00:00"/>
    <d v="2026-06-30T00:00:00"/>
    <m/>
    <n v="30"/>
    <n v="7500"/>
    <n v="30"/>
    <n v="7500"/>
    <n v="30"/>
    <n v="7500"/>
    <m/>
    <m/>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ASEGURAMIENTO DE CONTROL DE CALIDAD DE SOFTWARE_x000a_NUEVO: ANALISTA DE PRUEBAS DE SEGURIDAD DE SOFTWARE"/>
    <s v="LOCADOR"/>
    <n v="1"/>
    <n v="7500"/>
    <m/>
    <m/>
    <m/>
    <m/>
    <n v="30"/>
    <n v="30"/>
    <m/>
    <m/>
    <m/>
    <m/>
    <m/>
    <m/>
    <n v="15000"/>
    <m/>
    <m/>
    <m/>
    <m/>
    <n v="7500"/>
    <n v="7500"/>
    <m/>
    <m/>
    <m/>
    <m/>
    <m/>
    <m/>
    <n v="15000"/>
    <x v="1"/>
    <s v="P1"/>
    <m/>
    <m/>
    <s v="27/07 - SGGDI mediante correosolicita cambio de denominación "/>
    <m/>
    <m/>
    <m/>
    <m/>
    <m/>
    <m/>
    <m/>
    <x v="0"/>
    <s v="EN EJECUCION CON CONTRATO"/>
    <s v="000442-2026-SGGDI-GITE"/>
    <s v="004516-2026-SGSIT"/>
    <s v="002060-2026-GITE"/>
    <d v="2026-04-23T00:00:00"/>
    <m/>
    <s v="0817"/>
    <m/>
    <s v="MEMORANDO 002457-2026-GITE"/>
    <m/>
    <s v="OCAS"/>
    <s v="MURILLO"/>
    <s v="JOSE NATIVIDAD"/>
    <n v="40127585"/>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ASEGURAMIENTO DE CONTROL DE CALIDAD DE SOFTWARE_x000a_NUEVO: ANALISTA DE PRUEBAS DE CODIGO ESTATICO"/>
    <s v="LOCADOR"/>
    <n v="1"/>
    <n v="7500"/>
    <m/>
    <m/>
    <m/>
    <m/>
    <n v="30"/>
    <n v="30"/>
    <m/>
    <m/>
    <m/>
    <m/>
    <m/>
    <m/>
    <n v="15000"/>
    <m/>
    <m/>
    <m/>
    <m/>
    <n v="7500"/>
    <n v="7500"/>
    <m/>
    <m/>
    <m/>
    <m/>
    <m/>
    <m/>
    <n v="15000"/>
    <x v="1"/>
    <s v="P1"/>
    <m/>
    <m/>
    <s v="27/07 - SGGDI mediante correosolicita cambio de denominación "/>
    <m/>
    <m/>
    <m/>
    <m/>
    <m/>
    <m/>
    <m/>
    <x v="0"/>
    <s v="EN EJECUCION CON CONTRATO"/>
    <s v="000442-2026-SGGDI-GITE"/>
    <s v="004516-2026-SGSIT"/>
    <s v="0002060-2026-GITE"/>
    <d v="2026-04-23T00:00:00"/>
    <m/>
    <s v="0821"/>
    <m/>
    <s v="MEMORANDO 002457-2026-GITE"/>
    <m/>
    <s v="HUAMANI"/>
    <s v="OROPEZA"/>
    <s v="JHON ARTURO"/>
    <n v="47199889"/>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4"/>
    <m/>
    <s v="MEMORANDO 002457-2026-GITE"/>
    <m/>
    <s v="RAMOS"/>
    <s v="DÍAZ"/>
    <s v="JUAN ANTONIO"/>
    <n v="41241819"/>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5"/>
    <m/>
    <s v="MEMORANDO 002457-2026-GITE"/>
    <m/>
    <s v="VASQUEZ"/>
    <s v="SANCHEZ"/>
    <s v="CYNTHIA CECILIA"/>
    <n v="42052490"/>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6"/>
    <m/>
    <s v="MEMORANDO 002457-2026-GITE"/>
    <m/>
    <s v="CABRERA"/>
    <s v="TIRADO"/>
    <s v="JOSE SANDRO"/>
    <n v="41402390"/>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7"/>
    <m/>
    <s v="MEMORANDO 002457-2026-GITE"/>
    <m/>
    <s v="CARRASCO"/>
    <s v="VILCHEZ"/>
    <s v="JEMMY WILLIAM"/>
    <n v="46023966"/>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8"/>
    <m/>
    <s v="MEMORANDO 002457-2026-GITE"/>
    <m/>
    <s v="LOPEZ"/>
    <s v="ROJAS"/>
    <s v="JUAN OBED"/>
    <n v="42544476"/>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29"/>
    <m/>
    <s v="MEMORANDO 002457-2026-GITE"/>
    <m/>
    <s v="MURIEL"/>
    <s v="ZAMBRANO"/>
    <s v="KEVIN BRAYAN"/>
    <n v="73804965"/>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30"/>
    <m/>
    <s v="MEMORANDO 002457-2026-GITE"/>
    <m/>
    <s v="RUMICHE"/>
    <s v="LORO"/>
    <s v="JESUS OSWALDO"/>
    <n v="9624364"/>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31"/>
    <m/>
    <s v="MEMORANDO 002457-2026-GITE"/>
    <m/>
    <s v="TIMOTEO"/>
    <s v="CORI"/>
    <s v="JUAN ANTONIO"/>
    <n v="47467968"/>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32"/>
    <m/>
    <s v="MEMORANDO 002457-2026-GITE"/>
    <m/>
    <s v="APARICIO"/>
    <s v="SOSA"/>
    <s v="DIANA JUDITH"/>
    <n v="41326081"/>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s v="LOCADOR"/>
    <n v="1"/>
    <n v="7500"/>
    <m/>
    <m/>
    <m/>
    <m/>
    <n v="30"/>
    <n v="30"/>
    <m/>
    <m/>
    <m/>
    <m/>
    <m/>
    <m/>
    <n v="15000"/>
    <s v=" -   "/>
    <s v=" -   "/>
    <s v=" -   "/>
    <s v=" -   "/>
    <n v="7500"/>
    <n v="7500"/>
    <s v=" -   "/>
    <s v=" -   "/>
    <s v=" -   "/>
    <s v=" -   "/>
    <s v=" -   "/>
    <s v=" -   "/>
    <n v="15000"/>
    <x v="1"/>
    <s v="P1"/>
    <m/>
    <m/>
    <m/>
    <m/>
    <m/>
    <m/>
    <m/>
    <m/>
    <m/>
    <m/>
    <x v="0"/>
    <s v="EN EJECUCION CON CONTRATO"/>
    <s v="000442-2026-SGGDI-GITE"/>
    <s v="004516-2026-SGSIT"/>
    <s v="0002060-2026-GITE"/>
    <d v="2026-04-23T00:00:00"/>
    <m/>
    <s v="0833"/>
    <m/>
    <s v="MEMORANDO 002457-2026-GITE"/>
    <m/>
    <s v="GARCIA"/>
    <s v="NAPURI"/>
    <s v="PAOLA MERCEDES"/>
    <n v="40307057"/>
    <m/>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s v=" -   "/>
    <s v=" -   "/>
    <s v=" -   "/>
    <s v=" -   "/>
    <n v="6500"/>
    <n v="6500"/>
    <s v=" -   "/>
    <s v=" -   "/>
    <s v=" -   "/>
    <s v=" -   "/>
    <s v=" -   "/>
    <s v=" -   "/>
    <n v="13000"/>
    <x v="1"/>
    <s v="P1"/>
    <m/>
    <m/>
    <m/>
    <m/>
    <m/>
    <m/>
    <m/>
    <m/>
    <m/>
    <m/>
    <x v="0"/>
    <s v="EN EJECUCION CON CONTRATO"/>
    <s v="000442-2026-SGGDI-GITE"/>
    <s v="004516-2026-SGIST"/>
    <s v="002060-2026-GITE"/>
    <d v="2026-04-23T00:00:00"/>
    <m/>
    <s v="0834"/>
    <m/>
    <s v="MEMORANDO 002457-2026-GITE"/>
    <m/>
    <s v="PANTA"/>
    <s v="BENAVIDES"/>
    <s v="MANUEL BENJAMIN"/>
    <n v="9849551"/>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s v=" -   "/>
    <s v=" -   "/>
    <s v=" -   "/>
    <s v=" -   "/>
    <n v="6500"/>
    <n v="6500"/>
    <s v=" -   "/>
    <s v=" -   "/>
    <s v=" -   "/>
    <s v=" -   "/>
    <s v=" -   "/>
    <s v=" -   "/>
    <n v="13000"/>
    <x v="1"/>
    <s v="P1"/>
    <m/>
    <m/>
    <m/>
    <m/>
    <m/>
    <m/>
    <m/>
    <m/>
    <m/>
    <m/>
    <x v="0"/>
    <s v="EN EJECUCION CON CONTRATO"/>
    <s v="000442-2026-SGGDI-GITE"/>
    <s v="004516-2026-SGIST"/>
    <s v="002060-2026-GITE"/>
    <d v="2026-04-23T00:00:00"/>
    <m/>
    <s v="0835"/>
    <m/>
    <s v="MEMORANDO 002457-2026-GITE"/>
    <m/>
    <s v="FLORES"/>
    <s v="SIFUENTES"/>
    <s v="LUIS"/>
    <n v="32926314"/>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s v=" -   "/>
    <s v=" -   "/>
    <s v=" -   "/>
    <s v=" -   "/>
    <n v="6500"/>
    <n v="6500"/>
    <s v=" -   "/>
    <s v=" -   "/>
    <s v=" -   "/>
    <s v=" -   "/>
    <s v=" -   "/>
    <s v=" -   "/>
    <n v="13000"/>
    <x v="1"/>
    <s v="P1"/>
    <m/>
    <m/>
    <m/>
    <m/>
    <m/>
    <m/>
    <m/>
    <m/>
    <m/>
    <m/>
    <x v="0"/>
    <s v="EN EJECUCION CON CONTRATO"/>
    <s v="000442-2026-SGGDI-GITE"/>
    <s v="004516-2026-SGIST"/>
    <s v="002060-2026-GITE"/>
    <d v="2026-04-23T00:00:00"/>
    <m/>
    <s v="0836"/>
    <m/>
    <s v="MEMORANDO 002457-2026-GITE"/>
    <m/>
    <s v="MURRIETA"/>
    <s v="VALLE"/>
    <s v="JOE RAMÓN"/>
    <n v="42536723"/>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s v=" -   "/>
    <s v=" -   "/>
    <s v=" -   "/>
    <s v=" -   "/>
    <n v="6500"/>
    <n v="6500"/>
    <s v=" -   "/>
    <s v=" -   "/>
    <s v=" -   "/>
    <s v=" -   "/>
    <s v=" -   "/>
    <s v=" -   "/>
    <n v="13000"/>
    <x v="1"/>
    <s v="P1"/>
    <m/>
    <m/>
    <m/>
    <m/>
    <m/>
    <m/>
    <m/>
    <m/>
    <m/>
    <m/>
    <x v="0"/>
    <s v="EN EJECUCION CON CONTRATO"/>
    <s v="000442-2026-SGGDI-GITE"/>
    <s v="004516-2026-SGIST"/>
    <s v="002060-2026-GITE"/>
    <d v="2026-04-23T00:00:00"/>
    <m/>
    <s v="0837"/>
    <m/>
    <s v="MEMORANDO 002457-2026-GITE"/>
    <m/>
    <s v="PALOMINO"/>
    <s v="GRADOS"/>
    <s v="MARÍA NANCY"/>
    <n v="9334266"/>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s v=" -   "/>
    <s v=" -   "/>
    <s v=" -   "/>
    <s v=" -   "/>
    <n v="6500"/>
    <n v="6500"/>
    <s v=" -   "/>
    <s v=" -   "/>
    <s v=" -   "/>
    <s v=" -   "/>
    <n v="0"/>
    <s v=" -   "/>
    <n v="13000"/>
    <x v="1"/>
    <s v="P1"/>
    <m/>
    <m/>
    <m/>
    <m/>
    <m/>
    <m/>
    <m/>
    <m/>
    <m/>
    <m/>
    <x v="0"/>
    <s v="EN EJECUCION CON CONTRATO"/>
    <s v="000443-2026-SGGDI-GITE"/>
    <s v="004508-2026-SGSIST"/>
    <s v="002061-2026-GITE"/>
    <d v="2026-04-23T00:00:00"/>
    <m/>
    <s v="0856"/>
    <m/>
    <s v="MEMORANDO 002457-2026-GITE"/>
    <m/>
    <s v="OLIVOS"/>
    <s v="ARRUNATEGUI"/>
    <s v="SANDRO RONALDO"/>
    <n v="74368772"/>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s v=" -   "/>
    <s v=" -   "/>
    <s v=" -   "/>
    <s v=" -   "/>
    <n v="6500"/>
    <n v="6500"/>
    <s v=" -   "/>
    <s v=" -   "/>
    <s v=" -   "/>
    <s v=" -   "/>
    <s v=" -   "/>
    <s v=" -   "/>
    <n v="13000"/>
    <x v="1"/>
    <s v="P1"/>
    <m/>
    <m/>
    <m/>
    <m/>
    <m/>
    <m/>
    <m/>
    <m/>
    <m/>
    <m/>
    <x v="0"/>
    <s v="EN EJECUCION CON CONTRATO"/>
    <s v="000442-2026-SGGDI-GITE"/>
    <s v="004516-2026-SGIST"/>
    <s v="002060-2026-GITE"/>
    <d v="2026-04-23T00:00:00"/>
    <m/>
    <s v="0838"/>
    <m/>
    <s v="MEMORANDO 002457-2026-GITE"/>
    <m/>
    <s v="SALAZAR"/>
    <s v="VELEZ"/>
    <s v="ODALIS LUCERITO"/>
    <n v="72897606"/>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39"/>
    <m/>
    <s v="MEMORANDO 002457-2026-GITE"/>
    <m/>
    <s v="UCEDA"/>
    <s v="ALVARADO"/>
    <s v="EBER CARLOS"/>
    <n v="42285096"/>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40"/>
    <m/>
    <s v="MEMORANDO 002457-2026-GITE"/>
    <m/>
    <s v="FLORES"/>
    <s v="GARCIA"/>
    <s v="ANA ROSA"/>
    <n v="75362915"/>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41"/>
    <m/>
    <s v="MEMORANDO 002457-2026-GITE"/>
    <m/>
    <s v="VILLARREAL"/>
    <s v="DIAZ"/>
    <s v="LORENA BEATRIZ"/>
    <n v="15739720"/>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42"/>
    <m/>
    <s v="MEMORANDO 002457-2026-GITE"/>
    <m/>
    <s v="MAGUIÑA"/>
    <s v="ANAYA"/>
    <s v="BECKER ALEJANDRO"/>
    <n v="41053452"/>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43"/>
    <m/>
    <s v="MEMORANDO 002457-2026-GITE"/>
    <m/>
    <s v="MILLA"/>
    <s v="VILLAFANA"/>
    <s v="IRENE LUCIA"/>
    <n v="33265284"/>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44"/>
    <m/>
    <s v="MEMORANDO 002457-2026-GITE"/>
    <m/>
    <s v="PEREZ"/>
    <s v="SALAZAR"/>
    <s v="SARA ELIZABETH"/>
    <n v="73028864"/>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CONTROL DE CALIDAD DE SOFTWARE"/>
    <s v="LOCADOR"/>
    <n v="1"/>
    <n v="6500"/>
    <m/>
    <m/>
    <m/>
    <m/>
    <n v="30"/>
    <n v="30"/>
    <m/>
    <m/>
    <m/>
    <m/>
    <m/>
    <m/>
    <n v="13000"/>
    <m/>
    <m/>
    <m/>
    <m/>
    <n v="6500"/>
    <n v="6500"/>
    <m/>
    <m/>
    <m/>
    <m/>
    <m/>
    <m/>
    <n v="13000"/>
    <x v="1"/>
    <s v="P1"/>
    <m/>
    <m/>
    <m/>
    <m/>
    <m/>
    <m/>
    <m/>
    <m/>
    <m/>
    <m/>
    <x v="0"/>
    <s v="EN EJECUCION CON CONTRATO"/>
    <s v="000442-2026-SGGDI-GITE"/>
    <s v="004516-2026-SGIST"/>
    <s v="002060-2026-GITE"/>
    <d v="2026-04-23T00:00:00"/>
    <m/>
    <s v="0845"/>
    <m/>
    <s v="MEMORANDO 002457-2026-GITE"/>
    <m/>
    <s v="TROCONES"/>
    <s v="MUSTO"/>
    <s v="ABEL SANTY"/>
    <n v="43435423"/>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QA"/>
    <s v="LOCADOR"/>
    <n v="1"/>
    <n v="4500"/>
    <m/>
    <m/>
    <m/>
    <m/>
    <n v="30"/>
    <n v="30"/>
    <m/>
    <m/>
    <m/>
    <m/>
    <m/>
    <m/>
    <n v="9000"/>
    <s v=" -   "/>
    <s v=" -   "/>
    <s v=" -   "/>
    <s v=" -   "/>
    <n v="4500"/>
    <n v="4500"/>
    <s v=" -   "/>
    <s v=" -   "/>
    <s v=" -   "/>
    <s v=" -   "/>
    <s v=" -   "/>
    <s v=" -   "/>
    <n v="9000"/>
    <x v="1"/>
    <s v="P1"/>
    <m/>
    <m/>
    <m/>
    <m/>
    <m/>
    <m/>
    <m/>
    <m/>
    <m/>
    <m/>
    <x v="0"/>
    <s v="EN EJECUCION CON CONTRATO"/>
    <s v="000442-2026-SGGDI-GITE"/>
    <s v="004516-2026-SGIST"/>
    <s v="002060-2026-GITE"/>
    <d v="2026-04-23T00:00:00"/>
    <m/>
    <s v="0846"/>
    <m/>
    <s v="MEMORANDO 002457-2026-GITE"/>
    <m/>
    <s v="OCHOA"/>
    <s v="HANCCO"/>
    <s v="LUBEL SAID"/>
    <n v="73832246"/>
    <m/>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QA"/>
    <s v="LOCADOR"/>
    <n v="1"/>
    <n v="4500"/>
    <m/>
    <m/>
    <m/>
    <m/>
    <n v="30"/>
    <n v="30"/>
    <m/>
    <m/>
    <m/>
    <m/>
    <m/>
    <m/>
    <n v="9000"/>
    <s v=" -   "/>
    <s v=" -   "/>
    <s v=" -   "/>
    <s v=" -   "/>
    <n v="4500"/>
    <n v="4500"/>
    <s v=" -   "/>
    <s v=" -   "/>
    <s v=" -   "/>
    <s v=" -   "/>
    <s v=" -   "/>
    <s v=" -   "/>
    <n v="9000"/>
    <x v="1"/>
    <s v="P1"/>
    <m/>
    <m/>
    <m/>
    <m/>
    <m/>
    <m/>
    <m/>
    <m/>
    <m/>
    <m/>
    <x v="0"/>
    <s v="EN EJECUCION CON CONTRATO"/>
    <s v="000442-2026-SGGDI-GITE"/>
    <s v="004516-2026-SGIST"/>
    <s v="002060-2026-GITE"/>
    <d v="2026-04-23T00:00:00"/>
    <m/>
    <s v="0847"/>
    <m/>
    <s v="MEMORANDO 002457-2026-GITE"/>
    <m/>
    <s v="MENACHO"/>
    <s v="ZEGARRA"/>
    <s v="RUBI"/>
    <n v="45114987"/>
    <m/>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QA"/>
    <s v="LOCADOR"/>
    <n v="1"/>
    <n v="4500"/>
    <m/>
    <m/>
    <m/>
    <m/>
    <n v="30"/>
    <n v="30"/>
    <m/>
    <m/>
    <m/>
    <m/>
    <m/>
    <m/>
    <n v="9000"/>
    <s v=" -   "/>
    <s v=" -   "/>
    <s v=" -   "/>
    <s v=" -   "/>
    <n v="4500"/>
    <n v="4500"/>
    <s v=" -   "/>
    <s v=" -   "/>
    <s v=" -   "/>
    <s v=" -   "/>
    <s v=" -   "/>
    <s v=" -   "/>
    <n v="9000"/>
    <x v="1"/>
    <s v="P1"/>
    <m/>
    <m/>
    <m/>
    <m/>
    <m/>
    <m/>
    <m/>
    <m/>
    <m/>
    <m/>
    <x v="0"/>
    <s v="EN EJECUCION CON CONTRATO"/>
    <s v="000442-2026-SGGDI-GITE"/>
    <s v="004516-2026-SGIST"/>
    <s v="002060-2026-GITE"/>
    <d v="2026-04-23T00:00:00"/>
    <m/>
    <s v="0848"/>
    <m/>
    <s v="MEMORANDO 002457-2026-GITE"/>
    <m/>
    <s v="TEMOCHE"/>
    <s v="LITANO"/>
    <s v="MARINA MILAGROS"/>
    <n v="42096698"/>
    <m/>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PRUEBAS DE SEGURIDAD DE SOFTWARE"/>
    <s v="LOCADOR"/>
    <n v="1"/>
    <n v="8000"/>
    <m/>
    <m/>
    <m/>
    <m/>
    <n v="30"/>
    <n v="30"/>
    <m/>
    <m/>
    <m/>
    <m/>
    <m/>
    <m/>
    <n v="16000"/>
    <s v=" -   "/>
    <s v=" -   "/>
    <s v=" -   "/>
    <s v=" -   "/>
    <n v="8000"/>
    <n v="8000"/>
    <s v=" -   "/>
    <s v=" -   "/>
    <s v=" -   "/>
    <s v=" -   "/>
    <s v=" -   "/>
    <s v=" -   "/>
    <n v="16000"/>
    <x v="1"/>
    <s v="P1"/>
    <m/>
    <m/>
    <m/>
    <m/>
    <m/>
    <m/>
    <m/>
    <m/>
    <m/>
    <m/>
    <x v="0"/>
    <s v="EN EJECUCION CON CONTRATO"/>
    <s v="000442-2026-SGGDI-GITE"/>
    <s v="004516-2026-SGIST"/>
    <s v="002060-2026-GITE"/>
    <d v="2026-04-23T00:00:00"/>
    <m/>
    <s v="0849"/>
    <m/>
    <s v="MEMORANDO 002457-2026-GITE"/>
    <m/>
    <s v="IBAÑEZ"/>
    <s v="CASTROMONTE"/>
    <s v="MIRTHA GIANNINA"/>
    <n v="40605308"/>
    <m/>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ASEGURAMIENTO DE CONTROL DE CALIDAD DE SOFTWARE 1"/>
    <s v="LOCADOR"/>
    <n v="1"/>
    <n v="7000"/>
    <m/>
    <m/>
    <m/>
    <m/>
    <n v="30"/>
    <n v="0"/>
    <m/>
    <m/>
    <m/>
    <m/>
    <m/>
    <m/>
    <n v="6500"/>
    <s v=" -   "/>
    <s v=" -   "/>
    <s v=" -   "/>
    <s v=" -   "/>
    <n v="7000"/>
    <n v="0"/>
    <s v=" -   "/>
    <s v=" -   "/>
    <s v=" -   "/>
    <s v=" -   "/>
    <s v=" -   "/>
    <s v=" -   "/>
    <n v="7000"/>
    <x v="2"/>
    <s v="P1"/>
    <m/>
    <m/>
    <m/>
    <s v="SOLICITUD 043"/>
    <s v="SOLICITUD 043"/>
    <d v="2026-04-28T00:00:00"/>
    <s v="00837-2026/GPP"/>
    <d v="2026-05-05T00:00:00"/>
    <m/>
    <s v="GPP APROBO HABILITACION POR 500 SOLES PARA EL CARGO DE SGSI"/>
    <x v="0"/>
    <s v="EN EJECUCION CON CONTRATO"/>
    <s v="000566-2026-SGSI/GITE"/>
    <s v="004445-2026-SGIST/GITE"/>
    <s v="002026-2026/GITE"/>
    <d v="2026-04-22T00:00:00"/>
    <m/>
    <n v="3307"/>
    <m/>
    <s v="MEMORANDO 002467-2026-GITE"/>
    <m/>
    <s v="YAURI"/>
    <s v="LEON"/>
    <s v="EDGAR"/>
    <n v="40455836"/>
    <n v="10404558361"/>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ASEGURAMIENTO DE CONTROL DE CALIDAD DE SOFTWARE 1"/>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n v="3307"/>
    <m/>
    <m/>
    <m/>
    <s v="YAURI"/>
    <s v="LEON"/>
    <s v="EDGAR"/>
    <n v="40455836"/>
    <n v="10404558361"/>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ASEGURAMIENTO DE CONTROL DE CALIDAD DE SOFTWARE 2"/>
    <s v="LOCADOR"/>
    <n v="1"/>
    <n v="7000"/>
    <m/>
    <m/>
    <m/>
    <m/>
    <n v="30"/>
    <n v="30"/>
    <m/>
    <m/>
    <m/>
    <m/>
    <m/>
    <m/>
    <n v="14000"/>
    <s v=" -   "/>
    <s v=" -   "/>
    <s v=" -   "/>
    <s v=" -   "/>
    <n v="7000"/>
    <n v="7000"/>
    <s v=" -   "/>
    <s v=" -   "/>
    <s v=" -   "/>
    <s v=" -   "/>
    <s v=" -   "/>
    <s v=" -   "/>
    <n v="14000"/>
    <x v="2"/>
    <s v="P1"/>
    <m/>
    <m/>
    <m/>
    <m/>
    <m/>
    <m/>
    <m/>
    <m/>
    <m/>
    <m/>
    <x v="0"/>
    <s v="EN EJECUCION CON CONTRATO"/>
    <s v="000566-2026-SGSI/GITE"/>
    <s v="004445-2026-SGIST/GITE"/>
    <s v="002026-2026/GITE"/>
    <d v="2026-04-22T00:00:00"/>
    <m/>
    <s v="0746"/>
    <m/>
    <s v="MEMORANDO 002467-2026-GITE"/>
    <m/>
    <s v="ACEDO"/>
    <s v="COBA"/>
    <s v="CARLO ANDRE"/>
    <n v="72077416"/>
    <n v="10720774165"/>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BASE DE DATOS JUNIOR 3"/>
    <s v="LOCADOR"/>
    <n v="1"/>
    <n v="3500"/>
    <m/>
    <m/>
    <m/>
    <m/>
    <n v="30"/>
    <n v="0"/>
    <m/>
    <m/>
    <m/>
    <m/>
    <m/>
    <m/>
    <n v="3500"/>
    <s v=" -   "/>
    <s v=" -   "/>
    <s v=" -   "/>
    <s v=" -   "/>
    <n v="3500"/>
    <n v="0"/>
    <s v=" -   "/>
    <s v=" -   "/>
    <s v=" -   "/>
    <s v=" -   "/>
    <s v=" -   "/>
    <s v=" -   "/>
    <n v="3500"/>
    <x v="2"/>
    <s v="P1"/>
    <m/>
    <m/>
    <m/>
    <m/>
    <m/>
    <m/>
    <m/>
    <m/>
    <m/>
    <m/>
    <x v="0"/>
    <s v="EN EJECUCION CON CONTRATO"/>
    <s v="000566-2026-SGSI/GITE"/>
    <s v="004445-2026-SGIST/GITE"/>
    <s v="002026-2026/GITE"/>
    <d v="2026-04-22T00:00:00"/>
    <m/>
    <s v="0735"/>
    <m/>
    <s v="MEMORANDO 002467-2026-GITE"/>
    <m/>
    <s v="OTERO"/>
    <s v="FARFAN"/>
    <s v="JEAN PIERRE"/>
    <n v="73046143"/>
    <n v="10730461432"/>
    <n v="3500"/>
    <d v="2026-05-01T00:00:00"/>
    <d v="2026-05-31T00:00:00"/>
    <m/>
    <n v="30"/>
    <n v="3500"/>
    <n v="30"/>
    <n v="3500"/>
    <n v="30"/>
    <n v="3500"/>
    <n v="0"/>
    <n v="0"/>
    <m/>
    <n v="0"/>
    <n v="0"/>
    <m/>
    <n v="0"/>
    <m/>
    <n v="0"/>
    <n v="0"/>
    <n v="0"/>
    <m/>
    <n v="3500"/>
    <n v="3500"/>
    <n v="3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BASE DE DATOS JUNIOR 3"/>
    <s v="LOCADOR"/>
    <n v="1"/>
    <n v="3500"/>
    <m/>
    <m/>
    <m/>
    <m/>
    <n v="0"/>
    <n v="30"/>
    <m/>
    <m/>
    <m/>
    <m/>
    <m/>
    <m/>
    <n v="3500"/>
    <s v=" -   "/>
    <s v=" -   "/>
    <s v=" -   "/>
    <s v=" -   "/>
    <n v="0"/>
    <n v="3500"/>
    <s v=" -   "/>
    <s v=" -   "/>
    <s v=" -   "/>
    <s v=" -   "/>
    <s v=" -   "/>
    <s v=" -   "/>
    <n v="3500"/>
    <x v="2"/>
    <s v="P1"/>
    <m/>
    <m/>
    <m/>
    <m/>
    <m/>
    <m/>
    <m/>
    <m/>
    <m/>
    <m/>
    <x v="0"/>
    <s v="EN EJECUCION CON CONTRATO"/>
    <s v="000744-2026-SGSI/GITE"/>
    <s v="005330-2026-SGSIT/GITE"/>
    <s v="0024092026/GITE"/>
    <d v="2026-05-14T00:00:00"/>
    <m/>
    <s v="0735"/>
    <m/>
    <m/>
    <m/>
    <s v="OTERO"/>
    <s v="FARFAN"/>
    <s v="JEAN PIERRE"/>
    <n v="73046143"/>
    <n v="10730461432"/>
    <n v="3500"/>
    <d v="2026-06-01T00:00:00"/>
    <d v="2026-06-30T00:00:00"/>
    <m/>
    <n v="0"/>
    <n v="0"/>
    <m/>
    <n v="0"/>
    <m/>
    <n v="0"/>
    <n v="0"/>
    <n v="0"/>
    <m/>
    <n v="30"/>
    <n v="3500"/>
    <n v="30"/>
    <n v="3500"/>
    <n v="30"/>
    <n v="3500"/>
    <n v="0"/>
    <n v="0"/>
    <m/>
    <n v="3500"/>
    <n v="3500"/>
    <n v="3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DE BASE DE DATOS"/>
    <s v="LOCADOR"/>
    <n v="1"/>
    <n v="4500"/>
    <m/>
    <m/>
    <m/>
    <m/>
    <n v="30"/>
    <n v="30"/>
    <m/>
    <m/>
    <m/>
    <m/>
    <m/>
    <m/>
    <n v="9000"/>
    <s v=" -   "/>
    <s v=" -   "/>
    <s v=" -   "/>
    <s v=" -   "/>
    <n v="4500"/>
    <n v="4500"/>
    <s v=" -   "/>
    <s v=" -   "/>
    <s v=" -   "/>
    <s v=" -   "/>
    <s v=" -   "/>
    <s v=" -   "/>
    <n v="9000"/>
    <x v="2"/>
    <s v="P1"/>
    <m/>
    <m/>
    <m/>
    <m/>
    <m/>
    <m/>
    <m/>
    <m/>
    <m/>
    <m/>
    <x v="0"/>
    <s v="EN EJECUCION CON CONTRATO"/>
    <s v="000673-2026-SGSI-GITE"/>
    <s v="005054-2026-SGIST"/>
    <s v="002275-2026-GITE"/>
    <d v="2026-05-07T00:00:00"/>
    <m/>
    <n v="3722"/>
    <m/>
    <s v="MEMORANDO 002467-2026-GITE"/>
    <m/>
    <s v="BOLAÑOS"/>
    <s v="URBINA"/>
    <s v="JUVITZA ARACELI"/>
    <n v="63079570"/>
    <n v="10630795708"/>
    <n v="4500"/>
    <d v="2026-05-12T00:00:00"/>
    <d v="2026-06-30T00:00:00"/>
    <m/>
    <n v="30"/>
    <n v="4500"/>
    <n v="20"/>
    <n v="3000"/>
    <n v="20"/>
    <n v="3000"/>
    <n v="1500"/>
    <n v="1500"/>
    <m/>
    <n v="30"/>
    <n v="4500"/>
    <n v="30"/>
    <n v="4500"/>
    <n v="30"/>
    <n v="4500"/>
    <n v="0"/>
    <n v="0"/>
    <m/>
    <n v="9000"/>
    <n v="7500"/>
    <n v="7500"/>
    <n v="1500"/>
    <n v="15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DE CIENCIA DE DATOS_x000a_NUEVO: ANALISTA DE CALIDAD DE SOFTWARE 1"/>
    <s v="LOCADOR"/>
    <n v="1"/>
    <n v="6000"/>
    <m/>
    <m/>
    <m/>
    <m/>
    <n v="30"/>
    <n v="30"/>
    <m/>
    <m/>
    <m/>
    <m/>
    <m/>
    <m/>
    <n v="12000"/>
    <s v=" -   "/>
    <s v=" -   "/>
    <s v=" -   "/>
    <s v=" -   "/>
    <n v="6000"/>
    <n v="6000"/>
    <s v=" -   "/>
    <s v=" -   "/>
    <s v=" -   "/>
    <s v=" -   "/>
    <s v=" -   "/>
    <s v=" -   "/>
    <n v="12000"/>
    <x v="2"/>
    <s v="P1"/>
    <m/>
    <m/>
    <m/>
    <m/>
    <m/>
    <m/>
    <m/>
    <m/>
    <m/>
    <m/>
    <x v="0"/>
    <s v="EN EJECUCION CON CONTRATO"/>
    <s v="000904-2026-SGSI/GITE"/>
    <s v="006175-2026-SGIST/GITE"/>
    <s v="002750-2026-GITE"/>
    <d v="2026-06-02T00:00:00"/>
    <m/>
    <m/>
    <m/>
    <m/>
    <m/>
    <s v="DEZA"/>
    <s v="PANDIA"/>
    <s v="DALIA KIMBERLY"/>
    <n v="74806132"/>
    <n v="10748061326"/>
    <n v="5500"/>
    <d v="2026-06-05T00:00:00"/>
    <d v="2026-06-30T00:00:00"/>
    <m/>
    <n v="30"/>
    <n v="6000"/>
    <m/>
    <n v="0"/>
    <m/>
    <n v="0"/>
    <n v="6000"/>
    <n v="6000"/>
    <m/>
    <n v="30"/>
    <n v="6000"/>
    <n v="26"/>
    <n v="4766.666666666667"/>
    <n v="26"/>
    <n v="4766.666666666667"/>
    <n v="1233.333333333333"/>
    <n v="1233.333333333333"/>
    <m/>
    <n v="12000"/>
    <n v="4766.666666666667"/>
    <n v="4766.666666666667"/>
    <n v="7233.333333333333"/>
    <n v="7233.333333333333"/>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DATOS 1"/>
    <s v="LOCADOR"/>
    <n v="1"/>
    <n v="6000"/>
    <m/>
    <m/>
    <m/>
    <m/>
    <n v="30"/>
    <n v="0"/>
    <m/>
    <m/>
    <m/>
    <m/>
    <m/>
    <m/>
    <n v="6000"/>
    <s v=" -   "/>
    <s v=" -   "/>
    <s v=" -   "/>
    <s v=" -   "/>
    <n v="6000"/>
    <n v="0"/>
    <s v=" -   "/>
    <s v=" -   "/>
    <s v=" -   "/>
    <s v=" -   "/>
    <s v=" -   "/>
    <s v=" -   "/>
    <n v="6000"/>
    <x v="2"/>
    <s v="P1"/>
    <m/>
    <m/>
    <m/>
    <m/>
    <m/>
    <m/>
    <m/>
    <m/>
    <m/>
    <m/>
    <x v="0"/>
    <s v="EN EJECUCION CON CONTRATO"/>
    <s v="000566-2026-SGSI/GITE"/>
    <s v="004445-2026-SGIST/GITE"/>
    <s v="002026-2026/GITE"/>
    <d v="2026-04-22T00:00:00"/>
    <m/>
    <s v="0738"/>
    <m/>
    <s v="MEMORANDO 002467-2026-GITE"/>
    <m/>
    <s v="GUTIERREZ "/>
    <s v="MIRANDA "/>
    <s v="JOEL ELIAQUIN"/>
    <n v="25558709"/>
    <s v="_x000a_10255587094"/>
    <n v="6000"/>
    <d v="2026-05-01T00:00:00"/>
    <d v="2026-05-31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1"/>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s v="0738"/>
    <m/>
    <m/>
    <m/>
    <s v="GUTIERREZ "/>
    <s v="MIRANDA "/>
    <s v="JOEL ELIAQUIN"/>
    <n v="25558709"/>
    <s v="_x000a_10255587094"/>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2"/>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39"/>
    <m/>
    <s v="MEMORANDO 002467-2026-GITE"/>
    <m/>
    <s v="GARCIA"/>
    <s v="MARQUINA"/>
    <s v="LEONCIO JONELL"/>
    <n v="44486257"/>
    <n v="10444862578"/>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3"/>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40"/>
    <m/>
    <s v="MEMORANDO 002467-2026-GITE"/>
    <m/>
    <s v="PUMACHOQUE"/>
    <s v="NAVARRO"/>
    <s v="ALFONSO"/>
    <n v="43515589"/>
    <n v="10435155893"/>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DE DATOS 5_x000a_NUEVO: ANALISTA DE CALIDAD DE SISTEMAS 2"/>
    <s v="LOCADOR"/>
    <n v="1"/>
    <n v="6000"/>
    <m/>
    <m/>
    <m/>
    <m/>
    <n v="30"/>
    <n v="30"/>
    <m/>
    <m/>
    <m/>
    <m/>
    <m/>
    <m/>
    <n v="12000"/>
    <s v=" -   "/>
    <s v=" -   "/>
    <s v=" -   "/>
    <s v=" -   "/>
    <n v="6000"/>
    <n v="6000"/>
    <s v=" -   "/>
    <s v=" -   "/>
    <s v=" -   "/>
    <s v=" -   "/>
    <s v=" -   "/>
    <s v=" -   "/>
    <n v="12000"/>
    <x v="2"/>
    <s v="P1"/>
    <m/>
    <m/>
    <m/>
    <m/>
    <m/>
    <m/>
    <m/>
    <m/>
    <m/>
    <m/>
    <x v="0"/>
    <s v="EN EJECUCION CON CONTRATO"/>
    <s v="000904-2026-SGSI/GITE"/>
    <s v="006175-2026-SGIST/GITE"/>
    <s v="002750-2026-GITE"/>
    <d v="2026-06-02T00:00:00"/>
    <m/>
    <m/>
    <m/>
    <m/>
    <m/>
    <s v="RIVAS "/>
    <s v="PAREDES "/>
    <s v="HENRY ALONSO"/>
    <n v="41053337"/>
    <n v="10410533371"/>
    <n v="6000"/>
    <d v="2026-06-05T00:00:00"/>
    <d v="2026-06-30T00:00:00"/>
    <m/>
    <n v="30"/>
    <n v="6000"/>
    <m/>
    <n v="0"/>
    <m/>
    <n v="0"/>
    <n v="6000"/>
    <n v="6000"/>
    <m/>
    <n v="30"/>
    <n v="6000"/>
    <n v="26"/>
    <n v="5200"/>
    <n v="26"/>
    <n v="5200"/>
    <n v="800"/>
    <n v="800"/>
    <m/>
    <n v="12000"/>
    <n v="5200"/>
    <n v="5200"/>
    <n v="6800"/>
    <n v="6800"/>
    <m/>
    <m/>
    <s v="SGSI - DESISTIÓ YAZMIN ÑAUPARI SALVADOR CON CORREO DE FECHA 24ABR2026 - 15:43"/>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DATOS 6"/>
    <s v="LOCADOR"/>
    <n v="1"/>
    <n v="6000"/>
    <m/>
    <m/>
    <m/>
    <m/>
    <n v="30"/>
    <n v="0"/>
    <m/>
    <m/>
    <m/>
    <m/>
    <m/>
    <m/>
    <n v="6000"/>
    <s v=" -   "/>
    <s v=" -   "/>
    <s v=" -   "/>
    <s v=" -   "/>
    <n v="6000"/>
    <n v="0"/>
    <s v=" -   "/>
    <s v=" -   "/>
    <s v=" -   "/>
    <s v=" -   "/>
    <s v=" -   "/>
    <s v=" -   "/>
    <n v="6000"/>
    <x v="2"/>
    <s v="P1"/>
    <m/>
    <m/>
    <m/>
    <m/>
    <m/>
    <m/>
    <m/>
    <m/>
    <m/>
    <m/>
    <x v="0"/>
    <s v="EN EJECUCION CON CONTRATO"/>
    <s v="000566-2026-SGSI/GITE"/>
    <s v="004445-2026-SGIST/GITE"/>
    <s v="002026-2026/GITE"/>
    <d v="2026-04-22T00:00:00"/>
    <m/>
    <s v="0741"/>
    <m/>
    <s v="MEMORANDO 002467-2026-GITE"/>
    <m/>
    <s v="RIOS"/>
    <s v="MIRANDA"/>
    <s v="ELISBAN ENRIQUE"/>
    <n v="41222635"/>
    <n v="10412226351"/>
    <n v="6000"/>
    <d v="2026-05-01T00:00:00"/>
    <d v="2026-05-31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6"/>
    <s v="LOCADOR"/>
    <n v="1"/>
    <n v="6000"/>
    <m/>
    <m/>
    <m/>
    <m/>
    <n v="0"/>
    <n v="30"/>
    <m/>
    <m/>
    <m/>
    <m/>
    <m/>
    <m/>
    <n v="6000"/>
    <s v=" -   "/>
    <s v=" -   "/>
    <s v=" -   "/>
    <s v=" -   "/>
    <n v="0"/>
    <n v="6000"/>
    <s v=" -   "/>
    <s v=" -   "/>
    <s v=" -   "/>
    <s v=" -   "/>
    <s v=" -   "/>
    <s v=" -   "/>
    <n v="6000"/>
    <x v="2"/>
    <s v="P1"/>
    <m/>
    <m/>
    <m/>
    <m/>
    <m/>
    <m/>
    <m/>
    <m/>
    <m/>
    <m/>
    <x v="0"/>
    <s v="EN EJECUCION CON CONTRATO"/>
    <s v="000744-2026-SGSI/GITE"/>
    <s v="005330-2026-SGIST/GITE"/>
    <s v="002409-2026/GITE"/>
    <d v="2026-05-14T00:00:00"/>
    <m/>
    <s v="0741"/>
    <m/>
    <m/>
    <m/>
    <s v="RIOS"/>
    <s v="MIRANDA"/>
    <s v="ELISBAN ENRIQUE"/>
    <n v="41222635"/>
    <n v="10412226351"/>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DE DATOS 7_x000a_NUEVO: ANALISTA PROGRAMADOR 24"/>
    <s v="LOCADOR"/>
    <n v="1"/>
    <n v="6000"/>
    <m/>
    <m/>
    <m/>
    <m/>
    <n v="30"/>
    <n v="30"/>
    <m/>
    <m/>
    <m/>
    <m/>
    <m/>
    <m/>
    <n v="12000"/>
    <s v=" -   "/>
    <s v=" -   "/>
    <s v=" -   "/>
    <s v=" -   "/>
    <n v="6000"/>
    <n v="6000"/>
    <s v=" -   "/>
    <s v=" -   "/>
    <s v=" -   "/>
    <s v=" -   "/>
    <s v=" -   "/>
    <s v=" -   "/>
    <n v="12000"/>
    <x v="2"/>
    <s v="P1"/>
    <m/>
    <m/>
    <m/>
    <m/>
    <m/>
    <m/>
    <m/>
    <m/>
    <m/>
    <m/>
    <x v="0"/>
    <s v="EN EJECUCION CON CONTRATO"/>
    <s v="00801-2026-SGSI/GITE"/>
    <s v="005659-2026-SGIST/GITE"/>
    <s v="002510-2026/GITE"/>
    <d v="2026-05-20T00:00:00"/>
    <m/>
    <m/>
    <m/>
    <m/>
    <m/>
    <s v="FELIX"/>
    <s v="MERINO"/>
    <s v="HENRY GUIDO"/>
    <n v="47435983"/>
    <n v="10474359838"/>
    <n v="6000"/>
    <d v="2026-06-01T00:00:00"/>
    <d v="2026-06-30T00:00:00"/>
    <m/>
    <n v="30"/>
    <n v="6000"/>
    <m/>
    <n v="0"/>
    <m/>
    <n v="0"/>
    <n v="6000"/>
    <n v="6000"/>
    <m/>
    <n v="30"/>
    <n v="6000"/>
    <n v="30"/>
    <n v="6000"/>
    <n v="30"/>
    <n v="6000"/>
    <n v="0"/>
    <n v="0"/>
    <m/>
    <n v="12000"/>
    <n v="6000"/>
    <n v="6000"/>
    <n v="6000"/>
    <n v="600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DATOS BI 1"/>
    <s v="LOCADOR"/>
    <n v="1"/>
    <n v="5500"/>
    <m/>
    <m/>
    <m/>
    <m/>
    <n v="30"/>
    <n v="0"/>
    <m/>
    <m/>
    <m/>
    <m/>
    <m/>
    <m/>
    <n v="5500"/>
    <s v=" -   "/>
    <s v=" -   "/>
    <s v=" -   "/>
    <s v=" -   "/>
    <n v="5500"/>
    <n v="0"/>
    <s v=" -   "/>
    <s v=" -   "/>
    <s v=" -   "/>
    <s v=" -   "/>
    <s v=" -   "/>
    <s v=" -   "/>
    <n v="5500"/>
    <x v="2"/>
    <s v="P1"/>
    <m/>
    <m/>
    <m/>
    <m/>
    <m/>
    <m/>
    <m/>
    <m/>
    <m/>
    <m/>
    <x v="0"/>
    <s v="EN EJECUCION CON CONTRATO"/>
    <s v="000566-2026-SGSI/GITE"/>
    <s v="004445-2026-SGIST/GITE"/>
    <s v="002026-2026/GITE"/>
    <d v="2026-04-22T00:00:00"/>
    <m/>
    <s v="0742"/>
    <m/>
    <s v="MEMORANDO 002467-2026-GITE"/>
    <m/>
    <s v="RIVERA"/>
    <s v="GIL"/>
    <s v="EDER ALEIXO"/>
    <n v="76444237"/>
    <n v="10764442372"/>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BI 1"/>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s v="0742"/>
    <m/>
    <m/>
    <m/>
    <s v="RIVERA"/>
    <s v="GIL"/>
    <s v="EDER ALEIXO"/>
    <n v="76444237"/>
    <n v="10764442372"/>
    <n v="5500"/>
    <d v="2026-06-01T00:00:00"/>
    <d v="2026-06-30T00:00:00"/>
    <m/>
    <n v="0"/>
    <n v="0"/>
    <m/>
    <n v="0"/>
    <m/>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SENIOR 1"/>
    <s v="LOCADOR"/>
    <n v="1"/>
    <n v="6500"/>
    <m/>
    <m/>
    <m/>
    <m/>
    <n v="30"/>
    <n v="30"/>
    <m/>
    <m/>
    <m/>
    <m/>
    <m/>
    <m/>
    <n v="13000"/>
    <s v=" -   "/>
    <s v=" -   "/>
    <s v=" -   "/>
    <s v=" -   "/>
    <n v="6500"/>
    <n v="6500"/>
    <s v=" -   "/>
    <s v=" -   "/>
    <s v=" -   "/>
    <s v=" -   "/>
    <s v=" -   "/>
    <s v=" -   "/>
    <n v="13000"/>
    <x v="2"/>
    <s v="P1"/>
    <m/>
    <m/>
    <m/>
    <m/>
    <m/>
    <m/>
    <m/>
    <m/>
    <m/>
    <m/>
    <x v="0"/>
    <s v="EN EJECUCION CON CONTRATO"/>
    <s v="000566-2026-SGSI/GITE"/>
    <s v="004445-2026-SGIST/GITE"/>
    <s v="002026-2026/GITE"/>
    <d v="2026-04-22T00:00:00"/>
    <m/>
    <s v="0743"/>
    <m/>
    <s v="MEMORANDO 002467-2026-GITE"/>
    <m/>
    <s v="TASAYCO "/>
    <s v="AVILA"/>
    <s v="ULISES PAUL"/>
    <n v="40546898"/>
    <n v="10405468986"/>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BASE DE DATOS SENIOR 1"/>
    <s v="LOCADOR"/>
    <n v="1"/>
    <n v="7000"/>
    <m/>
    <m/>
    <m/>
    <m/>
    <n v="30"/>
    <n v="30"/>
    <m/>
    <m/>
    <m/>
    <m/>
    <m/>
    <m/>
    <n v="14000"/>
    <s v=" -   "/>
    <s v=" -   "/>
    <s v=" -   "/>
    <s v=" -   "/>
    <n v="7000"/>
    <n v="7000"/>
    <s v=" -   "/>
    <s v=" -   "/>
    <s v=" -   "/>
    <s v=" -   "/>
    <s v=" -   "/>
    <s v=" -   "/>
    <n v="14000"/>
    <x v="2"/>
    <s v="P1"/>
    <m/>
    <m/>
    <m/>
    <m/>
    <m/>
    <m/>
    <m/>
    <m/>
    <m/>
    <m/>
    <x v="0"/>
    <s v="EN EJECUCION CON CONTRATO"/>
    <s v="000566-2026-SGSI/GITE"/>
    <s v="004445-2026-SGIST/GITE"/>
    <s v="002026-2026/GITE"/>
    <d v="2026-04-22T00:00:00"/>
    <m/>
    <s v="0736"/>
    <m/>
    <s v="MEMORANDO 002467-2026-GITE"/>
    <m/>
    <s v="ÑAUPARI"/>
    <s v="CHUQUIMAJO"/>
    <s v="MARCOS ANTONIO"/>
    <n v="70315387"/>
    <n v="10703153874"/>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SENIOR 2"/>
    <s v="LOCADOR"/>
    <n v="1"/>
    <n v="6500"/>
    <m/>
    <m/>
    <m/>
    <m/>
    <n v="30"/>
    <n v="30"/>
    <m/>
    <m/>
    <m/>
    <m/>
    <m/>
    <m/>
    <n v="13000"/>
    <s v=" -   "/>
    <s v=" -   "/>
    <s v=" -   "/>
    <s v=" -   "/>
    <n v="6500"/>
    <n v="6500"/>
    <s v=" -   "/>
    <s v=" -   "/>
    <s v=" -   "/>
    <s v=" -   "/>
    <s v=" -   "/>
    <s v=" -   "/>
    <n v="13000"/>
    <x v="2"/>
    <s v="P1"/>
    <m/>
    <m/>
    <m/>
    <m/>
    <m/>
    <m/>
    <m/>
    <m/>
    <m/>
    <m/>
    <x v="0"/>
    <s v="EN EJECUCION CON CONTRATO"/>
    <s v="000566-2026-SGSI/GITE"/>
    <s v="004445-2026-SGIST/GITE"/>
    <s v="002026-2026/GITE"/>
    <d v="2026-04-22T00:00:00"/>
    <m/>
    <s v="0744"/>
    <m/>
    <s v="MEMORANDO 002467-2026-GITE"/>
    <m/>
    <s v="SUPO"/>
    <s v="SAMANEZ"/>
    <s v="MACIEL DENI"/>
    <n v="70030570"/>
    <n v="10700305703"/>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DATOS SENIOR 3"/>
    <s v="LOCADOR"/>
    <n v="1"/>
    <n v="6500"/>
    <m/>
    <m/>
    <m/>
    <m/>
    <n v="30"/>
    <n v="30"/>
    <m/>
    <m/>
    <m/>
    <m/>
    <m/>
    <m/>
    <n v="13000"/>
    <s v=" -   "/>
    <s v=" -   "/>
    <s v=" -   "/>
    <s v=" -   "/>
    <n v="6500"/>
    <n v="6500"/>
    <s v=" -   "/>
    <s v=" -   "/>
    <s v=" -   "/>
    <s v=" -   "/>
    <s v=" -   "/>
    <s v=" -   "/>
    <n v="13000"/>
    <x v="2"/>
    <s v="P1"/>
    <m/>
    <m/>
    <m/>
    <m/>
    <m/>
    <m/>
    <m/>
    <m/>
    <m/>
    <m/>
    <x v="0"/>
    <s v="EN EJECUCION CON CONTRATO"/>
    <s v="000566-2026-SGSI/GITE"/>
    <s v="004445-2026-SGIST/GITE"/>
    <s v="002026-2026/GITE"/>
    <d v="2026-04-22T00:00:00"/>
    <m/>
    <s v="0745"/>
    <m/>
    <s v="MEMORANDO 002467-2026-GITE"/>
    <m/>
    <s v="NOLASCO"/>
    <s v="ROJAS"/>
    <s v="ROMALDO"/>
    <s v="76029792"/>
    <n v="10760297921"/>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BASE DE DATOS SENIOR 2"/>
    <s v="LOCADOR"/>
    <n v="1"/>
    <n v="7000"/>
    <m/>
    <m/>
    <m/>
    <m/>
    <n v="30"/>
    <n v="0"/>
    <m/>
    <m/>
    <m/>
    <m/>
    <m/>
    <m/>
    <n v="7000"/>
    <s v=" -   "/>
    <s v=" -   "/>
    <s v=" -   "/>
    <s v=" -   "/>
    <n v="7000"/>
    <n v="0"/>
    <s v=" -   "/>
    <s v=" -   "/>
    <s v=" -   "/>
    <s v=" -   "/>
    <s v=" -   "/>
    <s v=" -   "/>
    <n v="7000"/>
    <x v="2"/>
    <s v="P1"/>
    <m/>
    <m/>
    <m/>
    <m/>
    <m/>
    <m/>
    <m/>
    <m/>
    <m/>
    <m/>
    <x v="0"/>
    <s v="EN EJECUCION CON CONTRATO"/>
    <s v="000566-2026-SGSI/GITE"/>
    <s v="004445-2026-SGIST/GITE"/>
    <s v="002026-2026/GITE"/>
    <d v="2026-04-22T00:00:00"/>
    <m/>
    <s v="0737"/>
    <m/>
    <s v="MEMORANDO 002467-2026-GITE"/>
    <m/>
    <s v="EGOAVIL"/>
    <s v="RIVERA"/>
    <s v="JAVIER RICHARD"/>
    <n v="10677149"/>
    <n v="10106771494"/>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BASE DE DATOS SENIOR 2"/>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m/>
    <m/>
    <m/>
    <m/>
    <s v="EGOAVIL"/>
    <s v="RIVERA"/>
    <s v="JAVIER RICHARD"/>
    <n v="10677149"/>
    <n v="10106771494"/>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DMINISTRADOR DE BASE DE DATOS SENIOR"/>
    <s v="LOCADOR"/>
    <n v="1"/>
    <n v="7500"/>
    <m/>
    <m/>
    <m/>
    <m/>
    <n v="30"/>
    <n v="0"/>
    <m/>
    <m/>
    <m/>
    <m/>
    <m/>
    <m/>
    <n v="7500"/>
    <s v=" -   "/>
    <s v=" -   "/>
    <s v=" -   "/>
    <s v=" -   "/>
    <n v="7500"/>
    <n v="0"/>
    <s v=" -   "/>
    <s v=" -   "/>
    <s v=" -   "/>
    <s v=" -   "/>
    <s v=" -   "/>
    <s v=" -   "/>
    <n v="7500"/>
    <x v="2"/>
    <s v="P1"/>
    <m/>
    <m/>
    <m/>
    <m/>
    <m/>
    <m/>
    <m/>
    <m/>
    <m/>
    <m/>
    <x v="0"/>
    <s v="EN EJECUCION CON CONTRATO"/>
    <s v="000566-2026-SGSI/GITE"/>
    <s v="004445-2026-SGSI/GITE"/>
    <s v="002026-2026/GITE"/>
    <d v="2026-04-22T00:00:00"/>
    <m/>
    <s v="0734"/>
    <m/>
    <s v="MEMORANDO 002467-2026-GITE"/>
    <m/>
    <s v="SANCHEZ"/>
    <s v="RIVAS"/>
    <s v="JANET SONIA"/>
    <n v="41532507"/>
    <n v="10415325075"/>
    <n v="7500"/>
    <d v="2026-05-01T00:00:00"/>
    <d v="2026-05-31T00:00:00"/>
    <m/>
    <n v="30"/>
    <n v="7500"/>
    <n v="30"/>
    <n v="7500"/>
    <n v="30"/>
    <n v="7500"/>
    <n v="0"/>
    <n v="0"/>
    <m/>
    <n v="0"/>
    <n v="0"/>
    <m/>
    <n v="0"/>
    <m/>
    <n v="0"/>
    <n v="0"/>
    <n v="0"/>
    <m/>
    <n v="7500"/>
    <n v="7500"/>
    <n v="7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DMINISTRADOR DE BASE DE DATOS SENIOR"/>
    <s v="LOCADOR"/>
    <n v="1"/>
    <n v="7500"/>
    <m/>
    <m/>
    <m/>
    <m/>
    <n v="0"/>
    <n v="30"/>
    <m/>
    <m/>
    <m/>
    <m/>
    <m/>
    <m/>
    <n v="7500"/>
    <s v=" -   "/>
    <s v=" -   "/>
    <s v=" -   "/>
    <s v=" -   "/>
    <n v="0"/>
    <n v="7500"/>
    <s v=" -   "/>
    <s v=" -   "/>
    <s v=" -   "/>
    <s v=" -   "/>
    <s v=" -   "/>
    <s v=" -   "/>
    <n v="7500"/>
    <x v="2"/>
    <s v="P1"/>
    <m/>
    <m/>
    <m/>
    <m/>
    <m/>
    <m/>
    <m/>
    <m/>
    <m/>
    <m/>
    <x v="0"/>
    <s v="EN EJECUCION CON CONTRATO"/>
    <s v="000744-2026-SGSI/GITE"/>
    <s v="005330-2026-SGSIT/GITE"/>
    <s v="0024092026/GITE"/>
    <d v="2026-05-14T00:00:00"/>
    <m/>
    <s v="0734"/>
    <m/>
    <m/>
    <m/>
    <s v="SANCHEZ"/>
    <s v="RIVAS"/>
    <s v="JANET SONIA"/>
    <n v="41532507"/>
    <n v="10415325075"/>
    <n v="7500"/>
    <d v="2026-06-01T00:00:00"/>
    <d v="2026-06-30T00:00:00"/>
    <m/>
    <n v="0"/>
    <n v="0"/>
    <m/>
    <n v="0"/>
    <m/>
    <n v="0"/>
    <n v="0"/>
    <n v="0"/>
    <m/>
    <n v="30"/>
    <n v="7500"/>
    <n v="30"/>
    <n v="7500"/>
    <n v="30"/>
    <n v="7500"/>
    <n v="0"/>
    <n v="0"/>
    <m/>
    <n v="7500"/>
    <n v="7500"/>
    <n v="7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DESARROLLO DE SOFTWARE 1"/>
    <s v="LOCADOR"/>
    <n v="1"/>
    <n v="5500"/>
    <m/>
    <m/>
    <m/>
    <m/>
    <n v="30"/>
    <n v="0"/>
    <m/>
    <m/>
    <m/>
    <m/>
    <m/>
    <m/>
    <n v="5500"/>
    <s v=" -   "/>
    <s v=" -   "/>
    <s v=" -   "/>
    <s v=" -   "/>
    <n v="5500"/>
    <n v="0"/>
    <s v=" -   "/>
    <s v=" -   "/>
    <s v=" -   "/>
    <s v=" -   "/>
    <s v=" -   "/>
    <s v=" -   "/>
    <n v="5500"/>
    <x v="2"/>
    <s v="P1"/>
    <m/>
    <m/>
    <m/>
    <m/>
    <m/>
    <m/>
    <m/>
    <m/>
    <m/>
    <m/>
    <x v="0"/>
    <s v="EN EJECUCION CON CONTRATO"/>
    <s v="000566-2026-SGSI/GITE"/>
    <s v="004445-2026-SGSI/GITE"/>
    <s v="002026-2026/GITE"/>
    <d v="2026-04-22T00:00:00"/>
    <m/>
    <s v="0748"/>
    <m/>
    <s v="MEMORANDO 002467-2026-GITE"/>
    <m/>
    <s v="AURICH "/>
    <s v="ROCA "/>
    <s v="JUAN AGUSTO JUNIOR"/>
    <n v="71245407"/>
    <n v="10712454071"/>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s v="0748"/>
    <m/>
    <m/>
    <m/>
    <s v="AURICH "/>
    <s v="ROCA "/>
    <s v="JUAN AGUSTO JUNIOR"/>
    <n v="71245407"/>
    <n v="10712454071"/>
    <n v="5500"/>
    <d v="2026-06-01T00:00:00"/>
    <d v="2026-06-30T00:00:00"/>
    <m/>
    <n v="0"/>
    <n v="0"/>
    <n v="0"/>
    <n v="0"/>
    <n v="0"/>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DESARROLLO DE SOFTWARE 2"/>
    <s v="LOCADOR"/>
    <n v="1"/>
    <n v="5500"/>
    <m/>
    <m/>
    <m/>
    <m/>
    <n v="30"/>
    <n v="0"/>
    <m/>
    <m/>
    <m/>
    <m/>
    <m/>
    <m/>
    <n v="5500"/>
    <s v=" -   "/>
    <s v=" -   "/>
    <s v=" -   "/>
    <s v=" -   "/>
    <n v="5500"/>
    <n v="0"/>
    <s v=" -   "/>
    <s v=" -   "/>
    <s v=" -   "/>
    <s v=" -   "/>
    <s v=" -   "/>
    <s v=" -   "/>
    <n v="5500"/>
    <x v="2"/>
    <s v="P1"/>
    <m/>
    <m/>
    <m/>
    <m/>
    <m/>
    <m/>
    <m/>
    <m/>
    <m/>
    <m/>
    <x v="0"/>
    <s v="EN EJECUCION CON CONTRATO"/>
    <s v="000566-2026-SGSI/GITE"/>
    <s v="004445-2026-SGIST/GITE"/>
    <s v="002026-2026/GITE"/>
    <d v="2026-04-22T00:00:00"/>
    <m/>
    <s v="0750"/>
    <m/>
    <s v="MEMORANDO 002467-2026-GITE"/>
    <m/>
    <s v="ESPINOZA "/>
    <s v="MENDOZA "/>
    <s v="ALEXANDRA ROSMERY"/>
    <n v="73011412"/>
    <n v="10730114121"/>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2"/>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m/>
    <m/>
    <m/>
    <m/>
    <s v="ESPINOZA "/>
    <s v="MENDOZA "/>
    <s v="ALEXANDRA ROSMERY"/>
    <n v="73011412"/>
    <n v="10730114121"/>
    <n v="5500"/>
    <d v="2026-06-01T00:00:00"/>
    <d v="2026-06-30T00:00:00"/>
    <m/>
    <n v="0"/>
    <n v="0"/>
    <m/>
    <n v="0"/>
    <m/>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DESARROLLO DE SOFTWARE 3"/>
    <s v="LOCADOR"/>
    <n v="1"/>
    <n v="5500"/>
    <m/>
    <m/>
    <m/>
    <m/>
    <n v="30"/>
    <n v="0"/>
    <m/>
    <m/>
    <m/>
    <m/>
    <m/>
    <m/>
    <n v="5500"/>
    <s v=" -   "/>
    <s v=" -   "/>
    <s v=" -   "/>
    <s v=" -   "/>
    <n v="5500"/>
    <n v="0"/>
    <s v=" -   "/>
    <s v=" -   "/>
    <s v=" -   "/>
    <s v=" -   "/>
    <s v=" -   "/>
    <s v=" -   "/>
    <n v="5500"/>
    <x v="2"/>
    <s v="P1"/>
    <m/>
    <m/>
    <m/>
    <m/>
    <m/>
    <m/>
    <m/>
    <m/>
    <m/>
    <m/>
    <x v="0"/>
    <s v="EN EJECUCION CON CONTRATO"/>
    <s v="000566-2026-SGSI/GITE"/>
    <s v="004445-2026-SGIST/GITE"/>
    <s v="002026-2026/GITE"/>
    <d v="2026-04-22T00:00:00"/>
    <m/>
    <s v="0751"/>
    <m/>
    <s v="MEMORANDO 002467-2026-GITE"/>
    <m/>
    <s v="CHUQUIN"/>
    <s v="ANGLAS"/>
    <s v="JONATHAN JESUS"/>
    <n v="44929399"/>
    <n v="10449293997"/>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3"/>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m/>
    <m/>
    <m/>
    <m/>
    <s v="CHUQUIN"/>
    <s v="ANGLAS"/>
    <s v="JONATHAN JESUS"/>
    <n v="44929399"/>
    <n v="10449293997"/>
    <n v="5500"/>
    <d v="2026-06-01T00:00:00"/>
    <d v="2026-06-30T00:00:00"/>
    <m/>
    <n v="0"/>
    <n v="0"/>
    <m/>
    <n v="0"/>
    <m/>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DESARROLLO DE SOFTWARE 4"/>
    <s v="LOCADOR"/>
    <n v="1"/>
    <n v="5500"/>
    <m/>
    <m/>
    <m/>
    <m/>
    <n v="30"/>
    <n v="0"/>
    <m/>
    <m/>
    <m/>
    <m/>
    <m/>
    <m/>
    <n v="5500"/>
    <s v=" -   "/>
    <s v=" -   "/>
    <s v=" -   "/>
    <s v=" -   "/>
    <n v="5500"/>
    <n v="0"/>
    <s v=" -   "/>
    <s v=" -   "/>
    <s v=" -   "/>
    <s v=" -   "/>
    <s v=" -   "/>
    <s v=" -   "/>
    <n v="5500"/>
    <x v="2"/>
    <s v="P1"/>
    <m/>
    <m/>
    <m/>
    <m/>
    <m/>
    <m/>
    <m/>
    <m/>
    <m/>
    <m/>
    <x v="0"/>
    <s v="EN EJECUCION CON CONTRATO"/>
    <s v="000566-2026-SGSI/GITE"/>
    <s v="004445-2026-SGIST/GITE"/>
    <s v="002026-2026/GITE"/>
    <d v="2026-04-22T00:00:00"/>
    <m/>
    <s v="0752"/>
    <m/>
    <s v="MEMORANDO 002467-2026-GITE"/>
    <m/>
    <s v="FELIX"/>
    <s v="VASQUEZ"/>
    <s v="MARCELA VILMA"/>
    <n v="41779939"/>
    <n v="10417799392"/>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4"/>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m/>
    <m/>
    <m/>
    <m/>
    <s v="FELIX"/>
    <s v="VASQUEZ"/>
    <s v="MARCELA VILMA"/>
    <n v="41779939"/>
    <n v="10417799392"/>
    <n v="5500"/>
    <d v="2026-06-01T00:00:00"/>
    <d v="2026-06-30T00:00:00"/>
    <m/>
    <n v="0"/>
    <n v="0"/>
    <m/>
    <n v="0"/>
    <m/>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5"/>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53"/>
    <m/>
    <s v="MEMORANDO 002467-2026-GITE"/>
    <m/>
    <s v="RODRIGUEZ"/>
    <s v="SURICHAQUI"/>
    <s v="LUIS ANGEL"/>
    <n v="45792367"/>
    <n v="1045792367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6"/>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54"/>
    <m/>
    <s v="MEMORANDO 002467-2026-GITE"/>
    <m/>
    <s v="OBREGON"/>
    <s v="REMUNDO"/>
    <s v="CINTIA ERIKA"/>
    <n v="73335251"/>
    <n v="10733352511"/>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7"/>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55"/>
    <m/>
    <s v="MEMORANDO 002467-2026-GITE"/>
    <m/>
    <s v="OJEDA"/>
    <s v="VILLANUEVA"/>
    <s v="SILVIA VIOLETA"/>
    <s v="09902484"/>
    <n v="10099024840"/>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8"/>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56"/>
    <m/>
    <s v="MEMORANDO 002467-2026-GITE"/>
    <m/>
    <s v="GONZALES"/>
    <s v="RUIZ"/>
    <s v="KIKE ROSALIO"/>
    <n v="41649134"/>
    <n v="1041649134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9"/>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57"/>
    <m/>
    <s v="MEMORANDO 002467-2026-GITE"/>
    <m/>
    <s v="RAMOS"/>
    <s v="POMPA"/>
    <s v="MARIA MAGDALENA"/>
    <n v="73676963"/>
    <n v="1073676963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DESARROLLO DE SOFTWARE 10"/>
    <s v="LOCADOR"/>
    <n v="1"/>
    <n v="5500"/>
    <m/>
    <m/>
    <m/>
    <m/>
    <n v="30"/>
    <n v="0"/>
    <m/>
    <m/>
    <m/>
    <m/>
    <m/>
    <m/>
    <n v="5500"/>
    <s v=" -   "/>
    <s v=" -   "/>
    <s v=" -   "/>
    <s v=" -   "/>
    <n v="5500"/>
    <n v="0"/>
    <s v=" -   "/>
    <s v=" -   "/>
    <s v=" -   "/>
    <s v=" -   "/>
    <s v=" -   "/>
    <s v=" -   "/>
    <n v="5500"/>
    <x v="2"/>
    <s v="P1"/>
    <m/>
    <m/>
    <m/>
    <m/>
    <m/>
    <m/>
    <m/>
    <m/>
    <m/>
    <m/>
    <x v="0"/>
    <s v="EN EJECUCION CON CONTRATO"/>
    <s v="000566-2026-SGSI/GITE"/>
    <s v="004445-2026-SGIST/GITE"/>
    <s v="002026-2026/GITE"/>
    <d v="2026-04-22T00:00:00"/>
    <m/>
    <s v="0758"/>
    <m/>
    <s v="MEMORANDO 002467-2026-GITE"/>
    <m/>
    <s v="FRANCIA"/>
    <s v="MARROQUIN"/>
    <s v="RENZO STEEVE"/>
    <n v="15443532"/>
    <n v="10154435323"/>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0"/>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s v="0758"/>
    <m/>
    <m/>
    <m/>
    <s v="FRANCIA"/>
    <s v="MARROQUIN"/>
    <s v="RENZO STEEVE"/>
    <n v="15443532"/>
    <n v="10154435323"/>
    <n v="5500"/>
    <d v="2026-06-01T00:00:00"/>
    <d v="2026-06-30T00:00:00"/>
    <m/>
    <n v="0"/>
    <n v="0"/>
    <m/>
    <n v="0"/>
    <m/>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1"/>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59"/>
    <m/>
    <s v="MEMORANDO 002467-2026-GITE"/>
    <m/>
    <s v="SOLIS"/>
    <s v="SOTELO"/>
    <s v="LUCILA MARTHA"/>
    <n v="46941575"/>
    <n v="10469415754"/>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2"/>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60"/>
    <m/>
    <s v="MEMORANDO 002467-2026-GITE"/>
    <m/>
    <s v="MELGAREJO"/>
    <s v="JARA"/>
    <s v="JUAN DUBERTO "/>
    <n v="41608085"/>
    <n v="10416080858"/>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3"/>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61"/>
    <m/>
    <s v="MEMORANDO 002467-2026-GITE"/>
    <m/>
    <s v="SANCHEZ"/>
    <s v="HINOJOSA"/>
    <s v="STEVEN EMILIO"/>
    <n v="40284016"/>
    <n v="10402840167"/>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4"/>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62"/>
    <m/>
    <s v="MEMORANDO 002467-2026-GITE"/>
    <m/>
    <s v="ENCARNACION "/>
    <s v="ROQUE "/>
    <s v="MIGUEL ANGEL"/>
    <n v="44350738"/>
    <n v="1044350738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4"/>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63"/>
    <m/>
    <s v="MEMORANDO 002467-2026-GITE"/>
    <m/>
    <s v="VELIZ"/>
    <s v="ZERPA"/>
    <s v="MIGUEL ANGEL"/>
    <n v="43721081"/>
    <n v="10437210816"/>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4"/>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64"/>
    <m/>
    <s v="MEMORANDO 002467-2026-GITE"/>
    <m/>
    <s v="CRISTOBAL"/>
    <s v="BARSALLO"/>
    <s v="GISELLA DEL ROCIO"/>
    <n v="10203296"/>
    <n v="10102032964"/>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5"/>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65"/>
    <m/>
    <s v="MEMORANDO 002467-2026-GITE"/>
    <m/>
    <s v="FERNANDEZ"/>
    <s v="ROJAS"/>
    <s v="WENDEL EMERSON"/>
    <s v="33431623"/>
    <n v="1033431623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SENIOR 1"/>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47"/>
    <m/>
    <s v="MEMORANDO 002467-2026-GITE"/>
    <m/>
    <s v="TSUKAMOTO"/>
    <s v="ALEJOS"/>
    <s v="ANGELICA JHARUMI"/>
    <n v="42604717"/>
    <n v="10426047174"/>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COORDINADOR DE REQUERIMIENTOS DE PROYECTOS DE SISTEMAS"/>
    <s v="LOCADOR"/>
    <n v="1"/>
    <n v="8000"/>
    <m/>
    <m/>
    <m/>
    <m/>
    <n v="30"/>
    <n v="30"/>
    <m/>
    <m/>
    <m/>
    <m/>
    <m/>
    <m/>
    <n v="16000"/>
    <s v=" -   "/>
    <s v=" -   "/>
    <s v=" -   "/>
    <s v=" -   "/>
    <n v="8000"/>
    <n v="8000"/>
    <s v=" -   "/>
    <s v=" -   "/>
    <s v=" -   "/>
    <s v=" -   "/>
    <s v=" -   "/>
    <s v=" -   "/>
    <n v="16000"/>
    <x v="2"/>
    <s v="P1"/>
    <m/>
    <m/>
    <m/>
    <m/>
    <m/>
    <m/>
    <m/>
    <m/>
    <m/>
    <m/>
    <x v="0"/>
    <s v="EN EJECUCION CON CONTRATO"/>
    <s v="000566-2026-SGSI/GITE"/>
    <s v="004445-2026-SGIST/GITE"/>
    <s v="002026-2026/GITE"/>
    <d v="2026-04-22T00:00:00"/>
    <m/>
    <s v="0732"/>
    <m/>
    <s v="MEMORANDO 002467-2026-GITE"/>
    <m/>
    <s v="NARIO"/>
    <s v="CORDOVA"/>
    <s v="ELIZABETH ROSMERY"/>
    <n v="43872038"/>
    <n v="10438720389"/>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SISTEMAS 1"/>
    <s v="LOCADOR"/>
    <n v="1"/>
    <n v="7000"/>
    <m/>
    <m/>
    <m/>
    <m/>
    <n v="30"/>
    <n v="0"/>
    <m/>
    <m/>
    <m/>
    <m/>
    <m/>
    <m/>
    <n v="7000"/>
    <s v=" -   "/>
    <s v=" -   "/>
    <s v=" -   "/>
    <s v=" -   "/>
    <n v="7000"/>
    <n v="0"/>
    <s v=" -   "/>
    <s v=" -   "/>
    <s v=" -   "/>
    <s v=" -   "/>
    <s v=" -   "/>
    <s v=" -   "/>
    <n v="7000"/>
    <x v="2"/>
    <s v="P1"/>
    <m/>
    <m/>
    <m/>
    <m/>
    <m/>
    <m/>
    <m/>
    <m/>
    <m/>
    <m/>
    <x v="1"/>
    <s v="PENDIENTE DE REQUERIR"/>
    <m/>
    <m/>
    <m/>
    <m/>
    <m/>
    <m/>
    <m/>
    <m/>
    <m/>
    <m/>
    <m/>
    <m/>
    <m/>
    <m/>
    <m/>
    <m/>
    <m/>
    <m/>
    <n v="30"/>
    <n v="7000"/>
    <m/>
    <n v="0"/>
    <m/>
    <n v="0"/>
    <n v="7000"/>
    <n v="7000"/>
    <m/>
    <n v="0"/>
    <n v="0"/>
    <m/>
    <n v="0"/>
    <m/>
    <n v="0"/>
    <n v="0"/>
    <n v="0"/>
    <m/>
    <n v="7000"/>
    <n v="0"/>
    <n v="0"/>
    <n v="7000"/>
    <n v="70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SISTEMAS 1"/>
    <s v="LOCADOR"/>
    <n v="1"/>
    <n v="7000"/>
    <m/>
    <m/>
    <m/>
    <m/>
    <n v="0"/>
    <n v="30"/>
    <m/>
    <m/>
    <m/>
    <m/>
    <m/>
    <m/>
    <n v="7000"/>
    <s v=" -   "/>
    <s v=" -   "/>
    <s v=" -   "/>
    <s v=" -   "/>
    <n v="0"/>
    <n v="7000"/>
    <s v=" -   "/>
    <s v=" -   "/>
    <s v=" -   "/>
    <s v=" -   "/>
    <s v=" -   "/>
    <s v=" -   "/>
    <n v="7000"/>
    <x v="2"/>
    <s v="P1"/>
    <m/>
    <m/>
    <m/>
    <m/>
    <m/>
    <m/>
    <m/>
    <m/>
    <m/>
    <m/>
    <x v="0"/>
    <s v="EN EJECUCION CON CONTRATO"/>
    <s v="000877-2026-SGSI"/>
    <s v="006103-2026-SGIST"/>
    <s v="002720-2026-GITE"/>
    <d v="2026-06-01T00:00:00"/>
    <m/>
    <m/>
    <m/>
    <m/>
    <m/>
    <s v="GALLARDO "/>
    <s v="SILVA "/>
    <s v="JACKELINE ELIZABETH"/>
    <n v="72885337"/>
    <n v="10728853374"/>
    <n v="6000"/>
    <d v="2026-06-02T00:00:00"/>
    <d v="2026-06-30T00:00:00"/>
    <m/>
    <n v="0"/>
    <n v="0"/>
    <m/>
    <n v="0"/>
    <m/>
    <n v="0"/>
    <n v="0"/>
    <n v="0"/>
    <m/>
    <n v="30"/>
    <n v="7000"/>
    <n v="29"/>
    <n v="5800"/>
    <n v="29"/>
    <n v="5800"/>
    <n v="1200"/>
    <n v="1200"/>
    <m/>
    <n v="7000"/>
    <n v="5800"/>
    <n v="5800"/>
    <n v="1200"/>
    <n v="12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s v="LOCADOR"/>
    <n v="1"/>
    <n v="7000"/>
    <m/>
    <m/>
    <m/>
    <m/>
    <n v="30"/>
    <n v="30"/>
    <m/>
    <m/>
    <m/>
    <m/>
    <m/>
    <m/>
    <n v="14000"/>
    <s v=" -   "/>
    <s v=" -   "/>
    <s v=" -   "/>
    <s v=" -   "/>
    <n v="7000"/>
    <n v="7000"/>
    <s v=" -   "/>
    <s v=" -   "/>
    <s v=" -   "/>
    <s v=" -   "/>
    <s v=" -   "/>
    <s v=" -   "/>
    <n v="14000"/>
    <x v="2"/>
    <s v="P1"/>
    <m/>
    <m/>
    <m/>
    <m/>
    <m/>
    <m/>
    <m/>
    <m/>
    <m/>
    <m/>
    <x v="0"/>
    <s v="EN EJECUCION CON CONTRATO"/>
    <s v="000566-2026-SGSI/GITE"/>
    <s v="004445-2026-SGIST/GITE"/>
    <s v="002026-2026/GITE"/>
    <d v="2026-04-22T00:00:00"/>
    <m/>
    <s v="0766"/>
    <m/>
    <s v="MEMORANDO 002467-2026-GITE"/>
    <m/>
    <s v="TAPIA"/>
    <s v="CHAVESTA "/>
    <s v="YOIS VICTORIA"/>
    <n v="70915333"/>
    <n v="10709153337"/>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1"/>
    <s v="LOCADOR"/>
    <n v="1"/>
    <n v="7000"/>
    <m/>
    <m/>
    <m/>
    <m/>
    <n v="30"/>
    <n v="30"/>
    <m/>
    <m/>
    <m/>
    <m/>
    <m/>
    <m/>
    <n v="14000"/>
    <s v=" -   "/>
    <s v=" -   "/>
    <s v=" -   "/>
    <s v=" -   "/>
    <n v="7000"/>
    <n v="7000"/>
    <s v=" -   "/>
    <s v=" -   "/>
    <s v=" -   "/>
    <s v=" -   "/>
    <s v=" -   "/>
    <s v=" -   "/>
    <n v="14000"/>
    <x v="2"/>
    <s v="P1"/>
    <m/>
    <m/>
    <m/>
    <m/>
    <m/>
    <m/>
    <m/>
    <m/>
    <m/>
    <m/>
    <x v="0"/>
    <s v="EN EJECUCION CON CONTRATO"/>
    <s v="000566-2026-SGSI/GITE"/>
    <s v="004445-2026-SGIST"/>
    <s v="002026-2026/GITE"/>
    <d v="2026-04-22T00:00:00"/>
    <m/>
    <s v="0767"/>
    <m/>
    <s v="MEMORANDO 002467-2026-GITE"/>
    <m/>
    <s v="BARTOLO"/>
    <s v="ESTRELLA"/>
    <s v="JULIA ALICIA"/>
    <n v="46121251"/>
    <n v="10461212510"/>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FUNCIONAL SENIOR 2_x000a_NUEVO: ANALISTA PROGRAMADOR SENIOR 39 "/>
    <s v="LOCADOR"/>
    <n v="1"/>
    <n v="7000"/>
    <m/>
    <m/>
    <m/>
    <m/>
    <n v="30"/>
    <n v="30"/>
    <m/>
    <m/>
    <m/>
    <m/>
    <m/>
    <m/>
    <n v="14000"/>
    <s v=" -   "/>
    <s v=" -   "/>
    <s v=" -   "/>
    <s v=" -   "/>
    <n v="7000"/>
    <n v="7000"/>
    <s v=" -   "/>
    <s v=" -   "/>
    <s v=" -   "/>
    <s v=" -   "/>
    <s v=" -   "/>
    <s v=" -   "/>
    <n v="14000"/>
    <x v="2"/>
    <s v="P1"/>
    <m/>
    <m/>
    <m/>
    <m/>
    <m/>
    <m/>
    <m/>
    <m/>
    <m/>
    <m/>
    <x v="0"/>
    <s v="EN EJECUCION CON CONTRATO"/>
    <s v="000703-2026-SGSI"/>
    <s v="005214-2026-SGIST"/>
    <s v="002334-2026-GITE"/>
    <d v="2026-05-12T00:00:00"/>
    <m/>
    <n v="4349"/>
    <m/>
    <s v="MEMO 002728-2026-GITE"/>
    <m/>
    <s v="SUAREZ"/>
    <s v="PEREZ"/>
    <s v="LUIS ANDRE"/>
    <n v="74762208"/>
    <n v="10747622081"/>
    <n v="7000"/>
    <d v="2026-05-18T00:00:00"/>
    <d v="2026-06-30T00:00:00"/>
    <m/>
    <n v="30"/>
    <n v="7000"/>
    <n v="14"/>
    <n v="3266.666666666667"/>
    <n v="14"/>
    <n v="3266.666666666667"/>
    <n v="3733.333333333333"/>
    <n v="3733.333333333333"/>
    <m/>
    <n v="30"/>
    <n v="7000"/>
    <n v="30"/>
    <n v="7000"/>
    <n v="30"/>
    <n v="7000"/>
    <n v="0"/>
    <n v="0"/>
    <m/>
    <n v="14000"/>
    <n v="10266.666666666668"/>
    <n v="10266.666666666668"/>
    <n v="3733.3333333333321"/>
    <n v="3733.3333333333321"/>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FUNCIONAL SENIOR 2_x000a_NUEVO:  NUEVO: ANALISTA PROGRAMADOR SENIOR 40 "/>
    <s v="LOCADOR"/>
    <n v="1"/>
    <n v="7000"/>
    <m/>
    <m/>
    <m/>
    <m/>
    <n v="30"/>
    <n v="30"/>
    <m/>
    <m/>
    <m/>
    <m/>
    <m/>
    <m/>
    <n v="14000"/>
    <s v=" -   "/>
    <s v=" -   "/>
    <s v=" -   "/>
    <s v=" -   "/>
    <n v="7000"/>
    <n v="7000"/>
    <s v=" -   "/>
    <s v=" -   "/>
    <s v=" -   "/>
    <s v=" -   "/>
    <s v=" -   "/>
    <s v=" -   "/>
    <n v="14000"/>
    <x v="2"/>
    <s v="P1"/>
    <m/>
    <m/>
    <m/>
    <m/>
    <m/>
    <m/>
    <m/>
    <m/>
    <m/>
    <m/>
    <x v="0"/>
    <s v="EN EJECUCION CON CONTRATO"/>
    <s v="000904-2026-SGSI/GITE"/>
    <s v="006175-2026-SGIST/GITE"/>
    <s v="002750-2026-GITE"/>
    <d v="2026-06-02T00:00:00"/>
    <m/>
    <m/>
    <m/>
    <m/>
    <m/>
    <s v="CHINININ"/>
    <s v="MOGOLLON"/>
    <s v="CRISTHIAN MARCOS"/>
    <n v="44083457"/>
    <n v="10440834570"/>
    <n v="7000"/>
    <d v="2026-06-05T00:00:00"/>
    <d v="2026-06-30T00:00:00"/>
    <m/>
    <n v="30"/>
    <n v="7000"/>
    <m/>
    <n v="0"/>
    <m/>
    <n v="0"/>
    <n v="7000"/>
    <n v="7000"/>
    <m/>
    <n v="30"/>
    <n v="7000"/>
    <n v="26"/>
    <n v="6066.666666666667"/>
    <n v="26"/>
    <n v="6066.666666666667"/>
    <n v="933.33333333333303"/>
    <n v="933.33333333333303"/>
    <m/>
    <n v="14000"/>
    <n v="6066.666666666667"/>
    <n v="6066.666666666667"/>
    <n v="7933.333333333333"/>
    <n v="7933.333333333333"/>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3"/>
    <s v="LOCADOR"/>
    <n v="1"/>
    <n v="7000"/>
    <m/>
    <m/>
    <m/>
    <m/>
    <n v="30"/>
    <n v="30"/>
    <m/>
    <m/>
    <m/>
    <m/>
    <m/>
    <m/>
    <n v="14000"/>
    <s v=" -   "/>
    <s v=" -   "/>
    <s v=" -   "/>
    <s v=" -   "/>
    <n v="7000"/>
    <n v="7000"/>
    <s v=" -   "/>
    <s v=" -   "/>
    <s v=" -   "/>
    <s v=" -   "/>
    <s v=" -   "/>
    <s v=" -   "/>
    <n v="14000"/>
    <x v="2"/>
    <s v="P1"/>
    <m/>
    <m/>
    <m/>
    <m/>
    <m/>
    <m/>
    <m/>
    <m/>
    <m/>
    <m/>
    <x v="0"/>
    <s v="EN EJECUCION CON CONTRATO"/>
    <s v="000611-2026-SGSI-GITE"/>
    <s v="004696-2026-SGIST"/>
    <s v="002122-2026-GITE"/>
    <d v="2026-04-28T00:00:00"/>
    <m/>
    <n v="3362"/>
    <m/>
    <s v="MEMORANDO 002467-2026-GITE"/>
    <m/>
    <s v="DAMIANI "/>
    <s v="FONTANA"/>
    <s v="FRANCO ANTONIO"/>
    <n v="42212180"/>
    <n v="10422121809"/>
    <n v="7000"/>
    <d v="2026-05-02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FUNCIONAL SENIOR 4_x000a_NUEVO: ANALISTA FUNCIONAL SENIOR 5"/>
    <s v="LOCADOR"/>
    <n v="1"/>
    <n v="7000"/>
    <m/>
    <m/>
    <m/>
    <m/>
    <n v="30"/>
    <n v="0"/>
    <m/>
    <m/>
    <m/>
    <m/>
    <m/>
    <m/>
    <n v="7000"/>
    <s v=" -   "/>
    <s v=" -   "/>
    <s v=" -   "/>
    <s v=" -   "/>
    <n v="7000"/>
    <n v="0"/>
    <s v=" -   "/>
    <s v=" -   "/>
    <s v=" -   "/>
    <s v=" -   "/>
    <s v=" -   "/>
    <s v=" -   "/>
    <n v="7000"/>
    <x v="2"/>
    <s v="P1"/>
    <m/>
    <m/>
    <m/>
    <m/>
    <m/>
    <m/>
    <m/>
    <m/>
    <m/>
    <m/>
    <x v="0"/>
    <s v="EN EJECUCION CON CONTRATO"/>
    <s v="000566-2026-SGSI/GITE"/>
    <s v="004445-2026-SGIST/GITE"/>
    <s v="002026-2026/GITE"/>
    <d v="2026-04-22T00:00:00"/>
    <m/>
    <s v="0769"/>
    <m/>
    <s v="MEMORANDO 002467-2026-GITE"/>
    <m/>
    <s v="GONZALES"/>
    <s v="PECEROS"/>
    <s v="YESENIA MARLENY"/>
    <n v="73696074"/>
    <n v="10736960741"/>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FUNCIONAL SENIOR 4_x000a_NUEVO: ANALISTA FUNCIONAL SENIOR 5"/>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m/>
    <m/>
    <m/>
    <m/>
    <s v="GONZALES"/>
    <s v="PECEROS"/>
    <s v="YESENIA MARLENY"/>
    <n v="73696074"/>
    <n v="10736960741"/>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FUNCIONAL SENIOR 5"/>
    <s v="LOCADOR"/>
    <n v="1"/>
    <n v="7000"/>
    <m/>
    <m/>
    <m/>
    <m/>
    <n v="30"/>
    <n v="0"/>
    <m/>
    <m/>
    <m/>
    <m/>
    <m/>
    <m/>
    <n v="7000"/>
    <s v=" -   "/>
    <s v=" -   "/>
    <s v=" -   "/>
    <s v=" -   "/>
    <n v="7000"/>
    <n v="0"/>
    <s v=" -   "/>
    <s v=" -   "/>
    <s v=" -   "/>
    <s v=" -   "/>
    <s v=" -   "/>
    <s v=" -   "/>
    <n v="7000"/>
    <x v="2"/>
    <s v="P1"/>
    <m/>
    <m/>
    <m/>
    <m/>
    <m/>
    <m/>
    <m/>
    <m/>
    <m/>
    <m/>
    <x v="0"/>
    <s v="EN EJECUCION CON CONTRATO"/>
    <s v="000566-2026-SGSI/GITE"/>
    <s v="004445-2026-SGIST/GITE"/>
    <s v="002026-2026/GITE"/>
    <d v="2026-04-22T00:00:00"/>
    <m/>
    <s v="0770"/>
    <m/>
    <s v="MEMORANDO 002467-2026-GITE"/>
    <m/>
    <s v="CHIQUINTA"/>
    <s v="ESPINOZA"/>
    <s v="JORGE LUIS"/>
    <s v="43482416"/>
    <n v="10434824163"/>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5"/>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m/>
    <m/>
    <m/>
    <m/>
    <s v="CHIQUINTA"/>
    <s v="ESPINOZA"/>
    <s v="JORGE LUIS"/>
    <s v="43482416"/>
    <n v="10434824163"/>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FUNCIONAL SENIOR 6"/>
    <s v="LOCADOR"/>
    <n v="1"/>
    <n v="7000"/>
    <m/>
    <m/>
    <m/>
    <m/>
    <n v="30"/>
    <n v="0"/>
    <m/>
    <m/>
    <m/>
    <m/>
    <m/>
    <m/>
    <n v="7000"/>
    <s v=" -   "/>
    <s v=" -   "/>
    <s v=" -   "/>
    <s v=" -   "/>
    <n v="7000"/>
    <n v="0"/>
    <s v=" -   "/>
    <s v=" -   "/>
    <s v=" -   "/>
    <s v=" -   "/>
    <s v=" -   "/>
    <s v=" -   "/>
    <n v="7000"/>
    <x v="2"/>
    <s v="P1"/>
    <m/>
    <m/>
    <m/>
    <m/>
    <m/>
    <m/>
    <m/>
    <m/>
    <m/>
    <m/>
    <x v="0"/>
    <s v="EN EJECUCION CON CONTRATO"/>
    <s v="000566-2026-SGSI/GITE"/>
    <s v="004445-2026-SGIST/GITE"/>
    <s v="002026-2026/GITE"/>
    <d v="2026-04-22T00:00:00"/>
    <m/>
    <s v="0771"/>
    <m/>
    <s v="MEMORANDO 002467-2026-GITE"/>
    <m/>
    <s v="CACERES"/>
    <s v="BERROSPI DE MOREYRA"/>
    <s v="ADRIANA ESTEFANI"/>
    <s v="70982067"/>
    <n v="10709820678"/>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6"/>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m/>
    <m/>
    <m/>
    <m/>
    <s v="CACERES"/>
    <s v="BERROSPI DE MOREYRA"/>
    <s v="ADRIANA ESTEFANI"/>
    <s v="70982067"/>
    <n v="10709820678"/>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7"/>
    <s v="LOCADOR"/>
    <n v="1"/>
    <n v="7000"/>
    <m/>
    <m/>
    <m/>
    <m/>
    <n v="30"/>
    <n v="30"/>
    <m/>
    <m/>
    <m/>
    <m/>
    <m/>
    <m/>
    <n v="14000"/>
    <s v=" -   "/>
    <s v=" -   "/>
    <s v=" -   "/>
    <s v=" -   "/>
    <n v="7000"/>
    <n v="7000"/>
    <s v=" -   "/>
    <s v=" -   "/>
    <s v=" -   "/>
    <s v=" -   "/>
    <s v=" -   "/>
    <s v=" -   "/>
    <n v="14000"/>
    <x v="2"/>
    <s v="P1"/>
    <m/>
    <m/>
    <m/>
    <m/>
    <m/>
    <m/>
    <m/>
    <m/>
    <m/>
    <m/>
    <x v="0"/>
    <s v="EN EJECUCION CON CONTRATO"/>
    <s v="000877-2026-SGSI"/>
    <s v="006103-2026-SGIST"/>
    <s v="002720-2026-GITE"/>
    <d v="2026-06-01T00:00:00"/>
    <m/>
    <m/>
    <m/>
    <m/>
    <m/>
    <s v="HUACHIHUACO"/>
    <s v="CARPIO"/>
    <s v="ALEXANDER PABLO"/>
    <n v="74279615"/>
    <n v="10742796154"/>
    <n v="7000"/>
    <d v="2026-06-02T00:00:00"/>
    <d v="2026-06-30T00:00:00"/>
    <m/>
    <n v="30"/>
    <n v="7000"/>
    <m/>
    <n v="0"/>
    <m/>
    <n v="0"/>
    <n v="7000"/>
    <n v="7000"/>
    <m/>
    <n v="30"/>
    <n v="7000"/>
    <n v="29"/>
    <n v="6766.666666666667"/>
    <n v="29"/>
    <n v="6766.666666666667"/>
    <n v="233.33333333333303"/>
    <n v="233.33333333333303"/>
    <m/>
    <n v="14000"/>
    <n v="6766.666666666667"/>
    <n v="6766.666666666667"/>
    <n v="7233.333333333333"/>
    <n v="7233.333333333333"/>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8"/>
    <s v="LOCADOR"/>
    <n v="1"/>
    <n v="7000"/>
    <m/>
    <m/>
    <m/>
    <m/>
    <n v="30"/>
    <n v="30"/>
    <m/>
    <m/>
    <m/>
    <m/>
    <m/>
    <m/>
    <n v="14000"/>
    <s v=" -   "/>
    <s v=" -   "/>
    <s v=" -   "/>
    <s v=" -   "/>
    <n v="7000"/>
    <n v="7000"/>
    <s v=" -   "/>
    <s v=" -   "/>
    <s v=" -   "/>
    <s v=" -   "/>
    <s v=" -   "/>
    <s v=" -   "/>
    <n v="14000"/>
    <x v="2"/>
    <s v="P1"/>
    <m/>
    <m/>
    <m/>
    <m/>
    <m/>
    <m/>
    <m/>
    <m/>
    <m/>
    <m/>
    <x v="0"/>
    <s v="EN EJECUCION CON CONTRATO"/>
    <s v="000566-2026-SGSI/GITE"/>
    <s v="004445-2026-SGIST/GITE"/>
    <s v="002026-2026/GITE"/>
    <d v="2026-04-22T00:00:00"/>
    <m/>
    <s v="0772"/>
    <m/>
    <s v="MEMORANDO 002467-2026-GITE"/>
    <m/>
    <s v="GUERRERO"/>
    <s v="VARGAS"/>
    <s v="EDDY MARCEL"/>
    <n v="47638903"/>
    <n v="10476389033"/>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9"/>
    <s v="LOCADOR"/>
    <n v="1"/>
    <n v="7000"/>
    <m/>
    <m/>
    <m/>
    <m/>
    <n v="30"/>
    <n v="30"/>
    <m/>
    <m/>
    <m/>
    <m/>
    <m/>
    <m/>
    <n v="14000"/>
    <s v=" -   "/>
    <s v=" -   "/>
    <s v=" -   "/>
    <s v=" -   "/>
    <n v="7000"/>
    <n v="7000"/>
    <s v=" -   "/>
    <s v=" -   "/>
    <s v=" -   "/>
    <s v=" -   "/>
    <s v=" -   "/>
    <s v=" -   "/>
    <n v="14000"/>
    <x v="2"/>
    <s v="P1"/>
    <m/>
    <m/>
    <m/>
    <m/>
    <m/>
    <m/>
    <m/>
    <m/>
    <m/>
    <m/>
    <x v="0"/>
    <s v="EN EJECUCION CON CONTRATO"/>
    <s v="000566-2026-SGSI/GITE"/>
    <s v="004445-2026-SGIST/GITE"/>
    <s v="002026-2026/GITE"/>
    <d v="2026-04-22T00:00:00"/>
    <m/>
    <s v="0073"/>
    <m/>
    <s v="MEMORANDO 002467-2026-GITE"/>
    <m/>
    <s v="ROMAN"/>
    <s v="BALLENA"/>
    <s v="GUILLERMO JESUS"/>
    <n v="40031767"/>
    <n v="10400317670"/>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ESPECIALISTA FUNCIONAL"/>
    <s v="LOCADOR"/>
    <n v="1"/>
    <n v="7500"/>
    <m/>
    <m/>
    <m/>
    <m/>
    <n v="30"/>
    <n v="30"/>
    <m/>
    <m/>
    <m/>
    <m/>
    <m/>
    <m/>
    <n v="15000"/>
    <s v=" -   "/>
    <s v=" -   "/>
    <s v=" -   "/>
    <s v=" -   "/>
    <n v="7500"/>
    <n v="7500"/>
    <s v=" -   "/>
    <s v=" -   "/>
    <s v=" -   "/>
    <s v=" -   "/>
    <s v=" -   "/>
    <s v=" -   "/>
    <n v="15000"/>
    <x v="2"/>
    <s v="P1"/>
    <m/>
    <m/>
    <m/>
    <m/>
    <m/>
    <m/>
    <m/>
    <m/>
    <m/>
    <m/>
    <x v="0"/>
    <s v="EN EJECUCION CON CONTRATO"/>
    <s v="000567-2026-SGSI"/>
    <s v="004438-2026-SGIST"/>
    <s v="002025-2026-GITE"/>
    <d v="2026-04-22T00:00:00"/>
    <m/>
    <s v="0538"/>
    <m/>
    <s v="MEMORANDO 002465-2026-GITE"/>
    <m/>
    <s v="ARAKAKI"/>
    <s v="KIYAMO"/>
    <s v="FERNANDO"/>
    <n v="7198103"/>
    <n v="10071981032"/>
    <s v="S/ 7,500.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ESPECIALISTA FUNCIONAL SENIOR 1"/>
    <s v="LOCADOR"/>
    <n v="1"/>
    <n v="8000"/>
    <m/>
    <m/>
    <m/>
    <m/>
    <n v="30"/>
    <n v="30"/>
    <m/>
    <m/>
    <m/>
    <m/>
    <m/>
    <m/>
    <n v="16000"/>
    <s v=" -   "/>
    <s v=" -   "/>
    <s v=" -   "/>
    <s v=" -   "/>
    <n v="8000"/>
    <n v="8000"/>
    <s v=" -   "/>
    <s v=" -   "/>
    <s v=" -   "/>
    <s v=" -   "/>
    <s v=" -   "/>
    <s v=" -   "/>
    <n v="16000"/>
    <x v="2"/>
    <s v="P1"/>
    <m/>
    <m/>
    <m/>
    <m/>
    <m/>
    <m/>
    <m/>
    <m/>
    <m/>
    <m/>
    <x v="0"/>
    <s v="EN EJECUCION CON CONTRATO"/>
    <s v="000567-2026-SGSI"/>
    <s v="004438-2026-SGIST"/>
    <s v="002025-2026-GITE"/>
    <d v="2026-04-22T00:00:00"/>
    <m/>
    <s v="0539"/>
    <m/>
    <s v="MEMORANDO 002465-2026-GITE"/>
    <m/>
    <s v="ENCINAS"/>
    <s v="ZEVALLOS"/>
    <s v="MARIA PAULA"/>
    <n v="45021409"/>
    <n v="10450214090"/>
    <s v="S/ 8,000.00"/>
    <d v="2026-05-01T00:00:00"/>
    <d v="2026-06-30T00:00:00"/>
    <m/>
    <n v="30"/>
    <n v="8000"/>
    <n v="30"/>
    <n v="8000.0000000000009"/>
    <n v="31"/>
    <n v="8000"/>
    <n v="0"/>
    <n v="0"/>
    <m/>
    <n v="30"/>
    <n v="8000"/>
    <n v="30"/>
    <n v="8000.0000000000009"/>
    <n v="30"/>
    <n v="8000.0000000000009"/>
    <n v="0"/>
    <n v="0"/>
    <m/>
    <n v="16000"/>
    <n v="16000.000000000002"/>
    <n v="1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ESPECIALISTA FUNCIONAL SENIOR 2"/>
    <s v="LOCADOR"/>
    <n v="1"/>
    <n v="8000"/>
    <m/>
    <m/>
    <m/>
    <m/>
    <n v="30"/>
    <n v="30"/>
    <m/>
    <m/>
    <m/>
    <m/>
    <m/>
    <m/>
    <n v="16000"/>
    <s v=" -   "/>
    <s v=" -   "/>
    <s v=" -   "/>
    <s v=" -   "/>
    <n v="8000"/>
    <n v="8000"/>
    <s v=" -   "/>
    <s v=" -   "/>
    <s v=" -   "/>
    <s v=" -   "/>
    <s v=" -   "/>
    <s v=" -   "/>
    <n v="16000"/>
    <x v="2"/>
    <s v="P1"/>
    <m/>
    <m/>
    <m/>
    <m/>
    <m/>
    <m/>
    <m/>
    <m/>
    <m/>
    <m/>
    <x v="0"/>
    <s v="EN EJECUCION CON CONTRATO"/>
    <s v="000567-2026-SGSI"/>
    <s v="004438-2026-SGIST"/>
    <s v="002025-2026-GITE"/>
    <d v="2026-04-22T00:00:00"/>
    <m/>
    <s v="0540"/>
    <m/>
    <s v="MEMORANDO 002465-2026-GITE"/>
    <m/>
    <s v="CHACON"/>
    <s v="ALEGRE"/>
    <s v="YOLANDA IVON"/>
    <n v="8167457"/>
    <n v="10081674570"/>
    <s v="S/ 8,00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PROGRAMADOR 1"/>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74"/>
    <m/>
    <s v="MEMORANDO 002467-2026-GITE"/>
    <m/>
    <s v=" LAVERIANO"/>
    <s v="PORTILLA"/>
    <s v="JULIO ANTONIO"/>
    <s v="43068680"/>
    <n v="10430686807"/>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75"/>
    <m/>
    <s v="MEMORANDO 002467-2026-GITE"/>
    <m/>
    <s v="LEVANO"/>
    <s v="TATAJE"/>
    <s v="GEORGE FRANCISCO"/>
    <n v="47547119"/>
    <n v="10475471194"/>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76"/>
    <m/>
    <s v="MEMORANDO 002467-2026-GITE"/>
    <m/>
    <s v="AÑO"/>
    <s v="MENDOZA"/>
    <s v="ELIAS ALEJANDRO"/>
    <n v="41681836"/>
    <n v="10416818369"/>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2"/>
    <s v="LOCADOR"/>
    <n v="1"/>
    <n v="6000"/>
    <m/>
    <m/>
    <m/>
    <m/>
    <n v="30"/>
    <n v="0"/>
    <m/>
    <m/>
    <m/>
    <m/>
    <m/>
    <m/>
    <n v="6000"/>
    <s v=" -   "/>
    <s v=" -   "/>
    <s v=" -   "/>
    <s v=" -   "/>
    <n v="6000"/>
    <n v="0"/>
    <s v=" -   "/>
    <s v=" -   "/>
    <s v=" -   "/>
    <s v=" -   "/>
    <s v=" -   "/>
    <s v=" -   "/>
    <n v="6000"/>
    <x v="2"/>
    <s v="P1"/>
    <m/>
    <m/>
    <m/>
    <m/>
    <m/>
    <m/>
    <m/>
    <m/>
    <m/>
    <m/>
    <x v="0"/>
    <s v="EN EJECUCION CON CONTRATO"/>
    <s v="000566-2026-SGSI/GITE"/>
    <s v="004445-2026-SGIST/GITE"/>
    <s v="002026-2026/GITE"/>
    <d v="2026-04-22T00:00:00"/>
    <m/>
    <s v="0778"/>
    <m/>
    <s v="MEMORANDO 002467-2026-GITE"/>
    <m/>
    <s v="VILLAIZAN"/>
    <s v="YAMAMOTO"/>
    <s v="HANS RICHARD"/>
    <n v="70243392"/>
    <n v="10702433920"/>
    <n v="6000"/>
    <d v="2026-05-01T00:00:00"/>
    <d v="2026-05-31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2"/>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m/>
    <m/>
    <m/>
    <m/>
    <s v="VILLAIZAN"/>
    <s v="YAMAMOTO"/>
    <s v="HANS RICHARD"/>
    <n v="70243392"/>
    <n v="10702433920"/>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PROGRAMADOR 3_x000a_NUEVO: ANALISTA PROGRAMADOR 19"/>
    <s v="LOCADOR"/>
    <n v="1"/>
    <n v="6000"/>
    <m/>
    <m/>
    <m/>
    <m/>
    <n v="30"/>
    <n v="30"/>
    <m/>
    <m/>
    <m/>
    <m/>
    <m/>
    <m/>
    <n v="12000"/>
    <s v=" -   "/>
    <s v=" -   "/>
    <s v=" -   "/>
    <s v=" -   "/>
    <n v="6000"/>
    <n v="6000"/>
    <s v=" -   "/>
    <s v=" -   "/>
    <s v=" -   "/>
    <s v=" -   "/>
    <s v=" -   "/>
    <s v=" -   "/>
    <n v="12000"/>
    <x v="2"/>
    <s v="P1"/>
    <m/>
    <m/>
    <m/>
    <m/>
    <m/>
    <m/>
    <m/>
    <m/>
    <m/>
    <s v="20/04 SGSI-Solicitó cambio de denominación "/>
    <x v="0"/>
    <s v="EN EJECUCION CON CONTRATO"/>
    <s v="000567-2026-SGSI"/>
    <s v="004438-2026-SGIST"/>
    <s v="002025-2026-GITE"/>
    <d v="2026-04-22T00:00:00"/>
    <m/>
    <s v="0567"/>
    <m/>
    <s v="MEMORANDO 002465-2026-GITE"/>
    <m/>
    <s v="FLORES"/>
    <s v="CHAMBA"/>
    <s v="JOSE"/>
    <n v="76636482"/>
    <n v="10766364824"/>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3"/>
    <s v="LOCADOR"/>
    <n v="1"/>
    <n v="6000"/>
    <m/>
    <m/>
    <m/>
    <m/>
    <n v="30"/>
    <n v="30"/>
    <m/>
    <m/>
    <m/>
    <m/>
    <m/>
    <m/>
    <n v="12000"/>
    <s v=" -   "/>
    <s v=" -   "/>
    <s v=" -   "/>
    <s v=" -   "/>
    <n v="6000"/>
    <n v="6000"/>
    <s v=" -   "/>
    <s v=" -   "/>
    <s v=" -   "/>
    <s v=" -   "/>
    <s v=" -   "/>
    <s v=" -   "/>
    <n v="12000"/>
    <x v="2"/>
    <s v="P1"/>
    <m/>
    <m/>
    <m/>
    <m/>
    <m/>
    <m/>
    <m/>
    <m/>
    <m/>
    <m/>
    <x v="0"/>
    <s v="EN EJECUCION CON CONTRATO"/>
    <s v="000654-2026-SGSI-GITE"/>
    <s v="004926-2026-SGIST"/>
    <s v="002215-2026/GITE"/>
    <d v="2026-05-05T00:00:00"/>
    <m/>
    <n v="3365"/>
    <m/>
    <s v="MEMORANDO 002467-2026-GITE"/>
    <m/>
    <s v="CHINGUEL"/>
    <s v="RIOS"/>
    <s v="JHENINFER DEL ROCIO"/>
    <n v="46939996"/>
    <n v="10469399961"/>
    <n v="6000"/>
    <d v="2026-05-06T00:00:00"/>
    <d v="2026-06-30T00:00:00"/>
    <m/>
    <n v="30"/>
    <n v="6000"/>
    <n v="30"/>
    <n v="6000"/>
    <n v="30"/>
    <n v="6000"/>
    <n v="0"/>
    <n v="0"/>
    <m/>
    <n v="30"/>
    <n v="6000"/>
    <n v="30"/>
    <n v="6000"/>
    <n v="30"/>
    <n v="6000"/>
    <n v="0"/>
    <n v="0"/>
    <m/>
    <n v="12000"/>
    <n v="12000"/>
    <n v="12000"/>
    <n v="0"/>
    <n v="0"/>
    <m/>
    <m/>
    <s v="SGSI comunicó desistimiento Maza Alcalde Luisin Enrique (ref Informe 000566-2026-SGSI"/>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4"/>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81"/>
    <m/>
    <s v="MEMORANDO 002467-2026-GITE"/>
    <m/>
    <s v="HUAYTA"/>
    <s v="MUÑOZ"/>
    <s v="CARLOS ALBERTO"/>
    <n v="47652585"/>
    <n v="10476525859"/>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5"/>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82"/>
    <m/>
    <s v="MEMORANDO 002467-2026-GITE"/>
    <m/>
    <s v="SARMIENTO"/>
    <s v="FERNANDEZ"/>
    <s v="JIM JOHEL"/>
    <s v="43646326"/>
    <n v="10436463265"/>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6"/>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83"/>
    <m/>
    <s v="MEMORANDO 002467-2026-GITE"/>
    <m/>
    <s v="MONGE"/>
    <s v="CASTRO"/>
    <s v="HENRRY DAMIAN"/>
    <s v="72431530"/>
    <n v="10724315301"/>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7"/>
    <s v="LOCADOR"/>
    <n v="1"/>
    <n v="6000"/>
    <m/>
    <m/>
    <m/>
    <m/>
    <n v="30"/>
    <n v="30"/>
    <m/>
    <m/>
    <m/>
    <m/>
    <m/>
    <m/>
    <n v="12000"/>
    <s v=" -   "/>
    <s v=" -   "/>
    <s v=" -   "/>
    <s v=" -   "/>
    <n v="6000"/>
    <n v="6000"/>
    <s v=" -   "/>
    <s v=" -   "/>
    <s v=" -   "/>
    <s v=" -   "/>
    <s v=" -   "/>
    <s v=" -   "/>
    <n v="12000"/>
    <x v="2"/>
    <s v="P1"/>
    <m/>
    <m/>
    <m/>
    <m/>
    <m/>
    <m/>
    <m/>
    <m/>
    <m/>
    <m/>
    <x v="0"/>
    <s v="EN EJECUCION CON CONTRATO"/>
    <s v="000566-2026-SGSI/GITE"/>
    <s v="004445-2026-SGIST/GITE"/>
    <s v="002026-2026/GITE"/>
    <d v="2026-04-22T00:00:00"/>
    <m/>
    <s v="0784"/>
    <m/>
    <s v="MEMORANDO 002467-2026-GITE"/>
    <m/>
    <s v="MACHUCA"/>
    <s v="OVALLE"/>
    <s v="CHRISTIAN LINCOLN"/>
    <s v="40652016"/>
    <n v="10406520167"/>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8"/>
    <s v="LOCADOR"/>
    <n v="1"/>
    <n v="6000"/>
    <m/>
    <m/>
    <m/>
    <m/>
    <n v="30"/>
    <n v="0"/>
    <m/>
    <m/>
    <m/>
    <m/>
    <m/>
    <m/>
    <n v="6000"/>
    <s v=" -   "/>
    <s v=" -   "/>
    <s v=" -   "/>
    <s v=" -   "/>
    <n v="6000"/>
    <n v="0"/>
    <s v=" -   "/>
    <s v=" -   "/>
    <s v=" -   "/>
    <s v=" -   "/>
    <s v=" -   "/>
    <s v=" -   "/>
    <n v="6000"/>
    <x v="2"/>
    <s v="P1"/>
    <m/>
    <m/>
    <m/>
    <m/>
    <m/>
    <m/>
    <m/>
    <m/>
    <m/>
    <m/>
    <x v="0"/>
    <s v="EN EJECUCION CON CONTRATO"/>
    <s v="000566-2026-SGSI/GITE"/>
    <s v="004445-2026-SGIST/GITE"/>
    <s v="002026-2026/GITE"/>
    <d v="2026-04-22T00:00:00"/>
    <m/>
    <s v="0785"/>
    <m/>
    <s v="MEMORANDO 002467-2026-GITE"/>
    <m/>
    <s v="NAVARRO"/>
    <s v="MONJA"/>
    <s v="RAUL DANIEL"/>
    <n v="75548766"/>
    <n v="10755487665"/>
    <n v="6000"/>
    <d v="2026-05-01T00:00:00"/>
    <d v="2026-05-31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8"/>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m/>
    <m/>
    <m/>
    <m/>
    <s v="NAVARRO"/>
    <s v="MONJA"/>
    <s v="RAUL DANIEL"/>
    <n v="75548766"/>
    <n v="10755487665"/>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9"/>
    <s v="LOCADOR"/>
    <n v="1"/>
    <n v="6000"/>
    <m/>
    <m/>
    <m/>
    <m/>
    <n v="30"/>
    <n v="30"/>
    <m/>
    <m/>
    <m/>
    <m/>
    <m/>
    <m/>
    <n v="12000"/>
    <s v=" -   "/>
    <s v=" -   "/>
    <s v=" -   "/>
    <s v=" -   "/>
    <n v="6000"/>
    <n v="6000"/>
    <s v=" -   "/>
    <s v=" -   "/>
    <s v=" -   "/>
    <s v=" -   "/>
    <s v=" -   "/>
    <s v=" -   "/>
    <n v="12000"/>
    <x v="2"/>
    <s v="P1"/>
    <m/>
    <m/>
    <m/>
    <m/>
    <m/>
    <m/>
    <m/>
    <m/>
    <m/>
    <m/>
    <x v="0"/>
    <s v="EN EJECUCION CON CONTRATO"/>
    <s v="000565-2026-SGSI"/>
    <s v="0004460-2026-SGIST"/>
    <s v=" 002026-2026/GITE"/>
    <d v="2026-04-22T00:00:00"/>
    <m/>
    <s v="0671"/>
    <m/>
    <s v="MEMORANDO 002465-2026-GITE"/>
    <m/>
    <s v="PAZ"/>
    <s v="MARCOS"/>
    <s v="JORGE MISSAEL"/>
    <s v="74207631"/>
    <n v="10742076313"/>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10"/>
    <s v="LOCADOR"/>
    <n v="1"/>
    <n v="6000"/>
    <m/>
    <m/>
    <m/>
    <m/>
    <n v="30"/>
    <n v="0"/>
    <m/>
    <m/>
    <m/>
    <m/>
    <m/>
    <m/>
    <n v="6000"/>
    <s v=" -   "/>
    <s v=" -   "/>
    <s v=" -   "/>
    <s v=" -   "/>
    <n v="6000"/>
    <n v="0"/>
    <s v=" -   "/>
    <s v=" -   "/>
    <s v=" -   "/>
    <s v=" -   "/>
    <s v=" -   "/>
    <s v=" -   "/>
    <n v="6000"/>
    <x v="2"/>
    <s v="P1"/>
    <m/>
    <m/>
    <m/>
    <m/>
    <m/>
    <m/>
    <m/>
    <m/>
    <m/>
    <m/>
    <x v="0"/>
    <s v="EN EJECUCION CON CONTRATO"/>
    <s v="000653-20256-SGSI-GITE"/>
    <s v="004925-2026-SGIST"/>
    <s v="002212-2026-GITE"/>
    <d v="2026-05-05T00:00:00"/>
    <m/>
    <n v="3697"/>
    <m/>
    <s v="MEMORANDO 002467-2026-GITE"/>
    <m/>
    <s v="GUTIERREZ"/>
    <s v="FLORES"/>
    <s v="JHAN JEYSON"/>
    <n v="76070593"/>
    <n v="10760705930"/>
    <n v="6000"/>
    <d v="2026-05-11T00:00:00"/>
    <d v="2026-05-31T00:00:00"/>
    <m/>
    <n v="30"/>
    <n v="6000"/>
    <n v="21"/>
    <n v="4200"/>
    <n v="21"/>
    <n v="4200"/>
    <n v="1800"/>
    <n v="1800"/>
    <m/>
    <n v="0"/>
    <n v="0"/>
    <m/>
    <n v="0"/>
    <m/>
    <n v="0"/>
    <n v="0"/>
    <n v="0"/>
    <m/>
    <n v="6000"/>
    <n v="4200"/>
    <n v="4200"/>
    <n v="1800"/>
    <n v="18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0"/>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n v="3697"/>
    <m/>
    <m/>
    <m/>
    <s v="GUTIERREZ"/>
    <s v="FLORES"/>
    <s v="JHAN JEYSON"/>
    <n v="76070593"/>
    <n v="10760705930"/>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1"/>
    <s v="LOCADOR"/>
    <n v="1"/>
    <n v="6000"/>
    <m/>
    <m/>
    <m/>
    <m/>
    <n v="30"/>
    <n v="30"/>
    <m/>
    <m/>
    <m/>
    <m/>
    <m/>
    <m/>
    <n v="12000"/>
    <s v=" -   "/>
    <s v=" -   "/>
    <s v=" -   "/>
    <s v=" -   "/>
    <n v="6000"/>
    <n v="6000"/>
    <s v=" -   "/>
    <s v=" -   "/>
    <s v=" -   "/>
    <s v=" -   "/>
    <s v=" -   "/>
    <s v=" -   "/>
    <n v="12000"/>
    <x v="2"/>
    <s v="P1"/>
    <m/>
    <m/>
    <m/>
    <m/>
    <m/>
    <m/>
    <m/>
    <m/>
    <m/>
    <m/>
    <x v="0"/>
    <s v="EN EJECUCION CON CONTRATO"/>
    <s v="000565-2026-SGSI"/>
    <s v="0004460-2026-SGIST"/>
    <s v="002026-2026/GITE"/>
    <d v="2026-04-22T00:00:00"/>
    <m/>
    <s v="0672"/>
    <m/>
    <s v="MEMORANDO 002465-2026-GITE"/>
    <m/>
    <s v="CENTENO"/>
    <s v="CANALES"/>
    <s v=" JOSE PAOLO"/>
    <n v="75365615"/>
    <n v="10753656150"/>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2"/>
    <s v="LOCADOR"/>
    <n v="1"/>
    <n v="6000"/>
    <m/>
    <m/>
    <m/>
    <m/>
    <n v="30"/>
    <n v="30"/>
    <m/>
    <m/>
    <m/>
    <m/>
    <m/>
    <m/>
    <n v="12000"/>
    <s v=" -   "/>
    <s v=" -   "/>
    <s v=" -   "/>
    <s v=" -   "/>
    <n v="6000"/>
    <n v="6000"/>
    <s v=" -   "/>
    <s v=" -   "/>
    <s v=" -   "/>
    <s v=" -   "/>
    <s v=" -   "/>
    <s v=" -   "/>
    <n v="12000"/>
    <x v="2"/>
    <s v="P1"/>
    <m/>
    <m/>
    <m/>
    <m/>
    <m/>
    <m/>
    <m/>
    <m/>
    <m/>
    <m/>
    <x v="0"/>
    <s v="EN EJECUCION CON CONTRATO"/>
    <s v="000565-2026-SGSI"/>
    <s v="0004460-2026-SGIST"/>
    <s v="002026-2026/GITE"/>
    <d v="2026-04-22T00:00:00"/>
    <m/>
    <s v="0673"/>
    <m/>
    <s v="MEMORANDO 002465-2026-GITE"/>
    <m/>
    <s v="PRIETO"/>
    <s v="CHAVEZ"/>
    <s v="ALEXANDER"/>
    <n v="42842533"/>
    <n v="10428425338"/>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3"/>
    <s v="LOCADOR"/>
    <n v="1"/>
    <n v="6000"/>
    <m/>
    <m/>
    <m/>
    <m/>
    <n v="30"/>
    <n v="30"/>
    <m/>
    <m/>
    <m/>
    <m/>
    <m/>
    <m/>
    <n v="12000"/>
    <s v=" -   "/>
    <s v=" -   "/>
    <s v=" -   "/>
    <s v=" -   "/>
    <n v="6000"/>
    <n v="6000"/>
    <s v=" -   "/>
    <s v=" -   "/>
    <s v=" -   "/>
    <s v=" -   "/>
    <s v=" -   "/>
    <s v=" -   "/>
    <n v="12000"/>
    <x v="2"/>
    <s v="P1"/>
    <m/>
    <m/>
    <m/>
    <m/>
    <m/>
    <m/>
    <m/>
    <m/>
    <m/>
    <m/>
    <x v="0"/>
    <s v="EN EJECUCION CON CONTRATO"/>
    <s v="000565-2026-SGSI"/>
    <s v="0004460-2026-SGIST"/>
    <s v="002026-2026/GITE"/>
    <d v="2026-04-22T00:00:00"/>
    <m/>
    <s v="0674"/>
    <m/>
    <s v="MEMORANDO 002465-2026-GITE"/>
    <m/>
    <s v="LEON"/>
    <s v="VERA"/>
    <s v="LEONARDO CAYO"/>
    <s v="70412763"/>
    <n v="10704127630"/>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14"/>
    <s v="LOCADOR"/>
    <n v="1"/>
    <n v="6000"/>
    <m/>
    <m/>
    <m/>
    <m/>
    <n v="30"/>
    <n v="0"/>
    <m/>
    <m/>
    <m/>
    <m/>
    <m/>
    <m/>
    <n v="6000"/>
    <s v=" -   "/>
    <s v=" -   "/>
    <s v=" -   "/>
    <s v=" -   "/>
    <n v="6000"/>
    <n v="0"/>
    <s v=" -   "/>
    <s v=" -   "/>
    <s v=" -   "/>
    <s v=" -   "/>
    <s v=" -   "/>
    <s v=" -   "/>
    <n v="6000"/>
    <x v="2"/>
    <s v="P1"/>
    <m/>
    <m/>
    <m/>
    <m/>
    <m/>
    <m/>
    <m/>
    <m/>
    <m/>
    <m/>
    <x v="0"/>
    <s v="EN EJECUCION CON CONTRATO"/>
    <s v="000565-2026-SGSI"/>
    <s v="0004460-2026-SGIST"/>
    <s v="002026-2026/GITE"/>
    <d v="2026-04-22T00:00:00"/>
    <m/>
    <s v="0863"/>
    <m/>
    <s v="MEMORANDO 002467-2026-GITE"/>
    <m/>
    <s v="RODRIGUEZ"/>
    <s v="RIVERA"/>
    <s v="BRYAN CARLOS"/>
    <n v="71283906"/>
    <n v="10712839061"/>
    <n v="6000"/>
    <d v="2026-05-01T00:00:00"/>
    <d v="2026-05-16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4"/>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s v="0863"/>
    <m/>
    <m/>
    <m/>
    <s v="RODRIGUEZ"/>
    <s v="RIVERA"/>
    <s v="BRYAN CARLOS"/>
    <n v="71283906"/>
    <n v="10712839061"/>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6"/>
    <s v="LOCADOR"/>
    <n v="1"/>
    <n v="6000"/>
    <m/>
    <m/>
    <m/>
    <m/>
    <n v="30"/>
    <n v="30"/>
    <m/>
    <m/>
    <m/>
    <m/>
    <m/>
    <m/>
    <n v="12000"/>
    <s v=" -   "/>
    <s v=" -   "/>
    <s v=" -   "/>
    <s v=" -   "/>
    <n v="6000"/>
    <n v="6000"/>
    <s v=" -   "/>
    <s v=" -   "/>
    <s v=" -   "/>
    <s v=" -   "/>
    <s v=" -   "/>
    <s v=" -   "/>
    <n v="12000"/>
    <x v="2"/>
    <s v="P1"/>
    <m/>
    <m/>
    <m/>
    <m/>
    <m/>
    <m/>
    <m/>
    <m/>
    <m/>
    <m/>
    <x v="0"/>
    <s v="EN EJECUCION CON CONTRATO"/>
    <s v="000565-2026-SGSI"/>
    <s v="0004460-2026-SGIST"/>
    <s v="002026-2026/GITE"/>
    <d v="2026-04-22T00:00:00"/>
    <m/>
    <s v="0675"/>
    <m/>
    <s v="MEMORANDO 002465-2026-GITE"/>
    <m/>
    <s v="CHAVEZ"/>
    <s v="TARAZONA"/>
    <s v="LUISA ALESSANDRA"/>
    <n v="71483791"/>
    <n v="10714837911"/>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7"/>
    <s v="LOCADOR"/>
    <n v="1"/>
    <n v="6000"/>
    <m/>
    <m/>
    <m/>
    <m/>
    <n v="30"/>
    <n v="30"/>
    <m/>
    <m/>
    <m/>
    <m/>
    <m/>
    <m/>
    <n v="12000"/>
    <s v=" -   "/>
    <s v=" -   "/>
    <s v=" -   "/>
    <s v=" -   "/>
    <n v="6000"/>
    <n v="6000"/>
    <s v=" -   "/>
    <s v=" -   "/>
    <s v=" -   "/>
    <s v=" -   "/>
    <s v=" -   "/>
    <s v=" -   "/>
    <n v="12000"/>
    <x v="2"/>
    <s v="P1"/>
    <m/>
    <m/>
    <m/>
    <m/>
    <m/>
    <m/>
    <m/>
    <m/>
    <m/>
    <m/>
    <x v="0"/>
    <s v="EN EJECUCION CON CONTRATO"/>
    <s v="000565-2026-SGSI"/>
    <s v="0004460-2026-SGIST"/>
    <s v="002026-2026/GITE"/>
    <d v="2026-04-22T00:00:00"/>
    <m/>
    <s v="0676"/>
    <m/>
    <s v="MEMORANDO 002465-2026-GITE"/>
    <m/>
    <s v="MEZA"/>
    <s v="REYES"/>
    <s v="KAREM GINA"/>
    <s v="44346216"/>
    <n v="10443462169"/>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8"/>
    <s v="LOCADOR"/>
    <n v="1"/>
    <n v="6000"/>
    <m/>
    <m/>
    <m/>
    <m/>
    <n v="30"/>
    <n v="30"/>
    <m/>
    <m/>
    <m/>
    <m/>
    <m/>
    <m/>
    <n v="12000"/>
    <s v=" -   "/>
    <s v=" -   "/>
    <s v=" -   "/>
    <s v=" -   "/>
    <n v="6000"/>
    <n v="6000"/>
    <s v=" -   "/>
    <s v=" -   "/>
    <s v=" -   "/>
    <s v=" -   "/>
    <s v=" -   "/>
    <s v=" -   "/>
    <n v="12000"/>
    <x v="2"/>
    <s v="P1"/>
    <m/>
    <m/>
    <m/>
    <m/>
    <m/>
    <m/>
    <m/>
    <m/>
    <m/>
    <m/>
    <x v="0"/>
    <s v="EN EJECUCION CON CONTRATO"/>
    <s v="000565-2026-SGSI"/>
    <s v="0004460-2026-SGIST"/>
    <s v="002026-2026/GITE"/>
    <d v="2026-04-22T00:00:00"/>
    <m/>
    <s v="0677"/>
    <m/>
    <s v="MEMORANDO 002465-2026-GITE"/>
    <m/>
    <s v="MAMANI"/>
    <s v="MAMANI"/>
    <s v="SCANER REYFRELD"/>
    <n v="46970797"/>
    <n v="10469707976"/>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s v="LOCADOR"/>
    <n v="1"/>
    <n v="8000"/>
    <m/>
    <m/>
    <m/>
    <m/>
    <n v="30"/>
    <n v="0"/>
    <m/>
    <m/>
    <m/>
    <m/>
    <m/>
    <m/>
    <n v="8000"/>
    <s v=" -   "/>
    <s v=" -   "/>
    <s v=" -   "/>
    <s v=" -   "/>
    <n v="8000"/>
    <n v="0"/>
    <s v=" -   "/>
    <s v=" -   "/>
    <s v=" -   "/>
    <s v=" -   "/>
    <s v=" -   "/>
    <s v=" -   "/>
    <n v="8000"/>
    <x v="2"/>
    <s v="P1"/>
    <m/>
    <m/>
    <m/>
    <m/>
    <m/>
    <m/>
    <m/>
    <m/>
    <m/>
    <m/>
    <x v="1"/>
    <s v="PENDIENTE DE REQUERIR"/>
    <m/>
    <m/>
    <m/>
    <m/>
    <m/>
    <m/>
    <m/>
    <m/>
    <m/>
    <m/>
    <m/>
    <m/>
    <m/>
    <m/>
    <m/>
    <m/>
    <m/>
    <m/>
    <n v="30"/>
    <n v="8000"/>
    <m/>
    <n v="0"/>
    <m/>
    <n v="0"/>
    <n v="8000"/>
    <n v="8000"/>
    <m/>
    <n v="0"/>
    <n v="0"/>
    <m/>
    <n v="0"/>
    <m/>
    <n v="0"/>
    <n v="0"/>
    <n v="0"/>
    <m/>
    <n v="8000"/>
    <n v="0"/>
    <n v="0"/>
    <n v="8000"/>
    <n v="8000"/>
    <m/>
    <m/>
    <s v="SGSI - Correo del 08/05/26 comunica desistimiento de SANTIVAÑEZ  POVEZ WILLY - Informe 000565-2026-SGSI-Memo 2026-2026"/>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PROPUESTA DE REEMPLAZO) "/>
    <s v="LOCADOR"/>
    <n v="1"/>
    <n v="8000"/>
    <m/>
    <m/>
    <m/>
    <m/>
    <n v="0"/>
    <n v="30"/>
    <m/>
    <m/>
    <m/>
    <m/>
    <m/>
    <m/>
    <n v="8000"/>
    <s v=" -   "/>
    <s v=" -   "/>
    <s v=" -   "/>
    <s v=" -   "/>
    <n v="0"/>
    <n v="8000"/>
    <s v=" -   "/>
    <s v=" -   "/>
    <s v=" -   "/>
    <s v=" -   "/>
    <s v=" -   "/>
    <s v=" -   "/>
    <n v="8000"/>
    <x v="2"/>
    <s v="P1"/>
    <m/>
    <m/>
    <m/>
    <m/>
    <m/>
    <m/>
    <m/>
    <m/>
    <m/>
    <m/>
    <x v="0"/>
    <s v="EN EJECUCION CON CONTRATO"/>
    <s v="000850-2026-SGSI"/>
    <s v="0006032-2026-SGIST"/>
    <s v="002683-2026/GITE"/>
    <d v="2026-05-29T00:00:00"/>
    <m/>
    <m/>
    <m/>
    <m/>
    <m/>
    <s v="CLAVIJO"/>
    <s v="MANUTTUPA"/>
    <s v="ELIAQUIN"/>
    <n v="75015118"/>
    <n v="10750151189"/>
    <n v="8000"/>
    <d v="2026-06-01T00:00:00"/>
    <d v="2026-06-30T00:00:00"/>
    <m/>
    <n v="0"/>
    <n v="0"/>
    <m/>
    <n v="0"/>
    <m/>
    <n v="0"/>
    <n v="0"/>
    <n v="0"/>
    <m/>
    <n v="30"/>
    <n v="8000"/>
    <n v="30"/>
    <n v="8000.0000000000009"/>
    <n v="30"/>
    <n v="8000.0000000000009"/>
    <n v="0"/>
    <n v="0"/>
    <m/>
    <n v="8000"/>
    <n v="8000.0000000000009"/>
    <n v="8000.0000000000009"/>
    <n v="0"/>
    <n v="0"/>
    <m/>
    <m/>
    <s v="Reemplazo de Santivañez"/>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1"/>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678"/>
    <m/>
    <s v="MEMORANDO 002465-2026-GITE"/>
    <m/>
    <s v="HUAMAN"/>
    <s v="CERVA"/>
    <s v="NIEL ALDEN"/>
    <n v="70213603"/>
    <n v="10702136038"/>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678"/>
    <m/>
    <m/>
    <m/>
    <s v="HUAMAN"/>
    <s v="CERVA"/>
    <s v="NIEL ALDEN"/>
    <n v="70213603"/>
    <n v="10702136038"/>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2"/>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679"/>
    <m/>
    <s v="MEMORANDO 002465-2026-GITE"/>
    <m/>
    <s v="BELITO"/>
    <s v="ALLAUCCA"/>
    <s v="EDWER YULIX "/>
    <n v="46485570"/>
    <n v="10464855705"/>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2"/>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679"/>
    <m/>
    <m/>
    <m/>
    <s v="BELITO"/>
    <s v="ALLAUCCA"/>
    <s v="EDWER YULIX "/>
    <n v="46485570"/>
    <n v="10464855705"/>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3"/>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680"/>
    <m/>
    <s v="MEMORANDO 002465-2026-GITE"/>
    <m/>
    <s v="TAPIA"/>
    <s v="SILVA"/>
    <s v="JAVIER ANGEL"/>
    <n v="45592486"/>
    <n v="10455924869"/>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3"/>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680"/>
    <m/>
    <m/>
    <m/>
    <s v="TAPIA"/>
    <s v="SILVA"/>
    <s v="JAVIER ANGEL"/>
    <n v="45592486"/>
    <n v="10455924869"/>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4"/>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861"/>
    <m/>
    <s v="MEMORANDO 002467-2026-GITE"/>
    <m/>
    <s v="AGUINAGA"/>
    <s v="PEREZ"/>
    <s v="MANUEL JESUS"/>
    <n v="72222464"/>
    <n v="10722224642"/>
    <n v="8000"/>
    <d v="2026-05-01T00:00:00"/>
    <d v="2026-05-16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4"/>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m/>
    <m/>
    <m/>
    <m/>
    <s v="AGUINAGA"/>
    <s v="PEREZ"/>
    <s v="MANUEL JESUS"/>
    <n v="72222464"/>
    <n v="10722224642"/>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5"/>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1"/>
    <m/>
    <s v="MEMORANDO 002465-2026-GITE"/>
    <m/>
    <s v="ROJAS "/>
    <s v="QUISPE "/>
    <s v="PAUL FLORENCIO"/>
    <n v="45435377"/>
    <n v="10454353779"/>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9"/>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2"/>
    <m/>
    <s v="MEMORANDO 002465-2026-GITE"/>
    <m/>
    <s v="HUAMANI"/>
    <s v="MENDOZA"/>
    <s v="MIGUEL ANGEL"/>
    <n v="42003709"/>
    <n v="10420037096"/>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0"/>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3"/>
    <m/>
    <s v="MEMORANDO 002465-2026-GITE"/>
    <m/>
    <s v="VILLENA"/>
    <s v="GARCIA"/>
    <s v="JORGE MIGUEL"/>
    <n v="45694176"/>
    <n v="10456941767"/>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1"/>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4"/>
    <m/>
    <s v="MEMORANDO 002465-2026-GITE"/>
    <m/>
    <s v="OLIVERA"/>
    <s v="VASQUEZ"/>
    <s v="BELSER"/>
    <n v="47696276"/>
    <n v="10476962761"/>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2"/>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5"/>
    <m/>
    <s v="MEMORANDO 002465-2026-GITE"/>
    <m/>
    <s v="PUYEN"/>
    <s v="SANTOS"/>
    <s v="JUAN CARLOS"/>
    <n v="72686317"/>
    <n v="10726863178"/>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3"/>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6"/>
    <m/>
    <s v="MEMORANDO 002465-2026-GITE"/>
    <m/>
    <s v="ASCENCIO "/>
    <s v="COILA"/>
    <s v="BORIS ALEXANDER"/>
    <n v="45210221"/>
    <n v="10452102213"/>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6"/>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87"/>
    <m/>
    <s v="MEMORANDO 002465-2026-GITE"/>
    <m/>
    <s v="RACCHUMI "/>
    <s v="LECCA "/>
    <s v="JESUS MANUEL"/>
    <n v="41716347"/>
    <n v="10417163471"/>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17"/>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688"/>
    <m/>
    <s v="MEMORANDO 002465-2026-GITE"/>
    <m/>
    <s v="PUMAPILLO"/>
    <s v="CCORAHUA"/>
    <s v="RICHARD"/>
    <n v="47341348"/>
    <n v="10473413481"/>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7"/>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688"/>
    <m/>
    <m/>
    <m/>
    <s v="PUMAPILLO"/>
    <s v="CCORAHUA"/>
    <s v="RICHARD"/>
    <n v="47341348"/>
    <n v="10473413481"/>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18"/>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689"/>
    <m/>
    <s v="MEMORANDO 002465-2026-GITE"/>
    <m/>
    <s v="QUISPE"/>
    <s v="CONDORI"/>
    <s v="ANGEL DAVID"/>
    <n v="46752638"/>
    <n v="10467526389"/>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8"/>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689"/>
    <m/>
    <m/>
    <m/>
    <s v="QUISPE"/>
    <s v="CONDORI"/>
    <s v="ANGEL DAVID"/>
    <n v="46752638"/>
    <n v="10467526389"/>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19"/>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90"/>
    <m/>
    <s v="MEMORANDO 002465-2026-GITE"/>
    <m/>
    <s v="BERNAOLA"/>
    <s v="GAYOSO"/>
    <s v="CESAR RAUL"/>
    <n v="47114614"/>
    <n v="10471146141"/>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20"/>
    <s v="LOCADOR"/>
    <n v="1"/>
    <n v="8000"/>
    <m/>
    <m/>
    <m/>
    <m/>
    <n v="30"/>
    <n v="30"/>
    <m/>
    <m/>
    <m/>
    <m/>
    <m/>
    <m/>
    <n v="16000"/>
    <s v=" -   "/>
    <s v=" -   "/>
    <s v=" -   "/>
    <s v=" -   "/>
    <n v="8000"/>
    <n v="8000"/>
    <s v=" -   "/>
    <s v=" -   "/>
    <s v=" -   "/>
    <s v=" -   "/>
    <s v=" -   "/>
    <s v=" -   "/>
    <n v="16000"/>
    <x v="2"/>
    <s v="P1"/>
    <m/>
    <m/>
    <m/>
    <m/>
    <m/>
    <m/>
    <m/>
    <m/>
    <m/>
    <m/>
    <x v="0"/>
    <s v="EN EJECUCION CON CONTRATO"/>
    <s v="000565-2026-SGSI"/>
    <s v="0004460-2026-SGIST"/>
    <s v="002026-2026/GITE"/>
    <d v="2026-04-22T00:00:00"/>
    <m/>
    <s v="0691"/>
    <m/>
    <s v="MEMORANDO 002465-2026-GITE"/>
    <m/>
    <s v="VEGA"/>
    <s v="LAUREANO"/>
    <s v="JHEFRY JHONATAN"/>
    <n v="72417179"/>
    <n v="10724171791"/>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FULL STACK 21"/>
    <s v="LOCADOR"/>
    <n v="1"/>
    <n v="8000"/>
    <m/>
    <m/>
    <m/>
    <m/>
    <n v="30"/>
    <n v="0"/>
    <m/>
    <m/>
    <m/>
    <m/>
    <m/>
    <m/>
    <n v="8000"/>
    <s v=" -   "/>
    <s v=" -   "/>
    <s v=" -   "/>
    <s v=" -   "/>
    <n v="8000"/>
    <n v="0"/>
    <s v=" -   "/>
    <s v=" -   "/>
    <s v=" -   "/>
    <s v=" -   "/>
    <s v=" -   "/>
    <s v=" -   "/>
    <n v="8000"/>
    <x v="2"/>
    <s v="P1"/>
    <m/>
    <m/>
    <m/>
    <m/>
    <m/>
    <m/>
    <m/>
    <m/>
    <m/>
    <m/>
    <x v="0"/>
    <s v="EN EJECUCION CON CONTRATO"/>
    <s v="000565-2026-SGSI"/>
    <s v="0004460-2026-SGIST"/>
    <s v="002026-2026/GITE"/>
    <d v="2026-04-22T00:00:00"/>
    <m/>
    <s v="0692"/>
    <m/>
    <s v="MEMORANDO 002465-2026-GITE"/>
    <m/>
    <s v="COQCHI"/>
    <s v="APAZA "/>
    <s v="NELSON"/>
    <n v="46435523"/>
    <n v="10464355231"/>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FULL STACK 21"/>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692"/>
    <m/>
    <m/>
    <m/>
    <s v="COQCHI"/>
    <s v="APAZA "/>
    <s v="NELSON"/>
    <n v="46435523"/>
    <n v="10464355231"/>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JUNIOR 1"/>
    <s v="LOCADOR"/>
    <n v="1"/>
    <n v="3500"/>
    <m/>
    <m/>
    <m/>
    <m/>
    <n v="30"/>
    <n v="0"/>
    <m/>
    <m/>
    <m/>
    <m/>
    <m/>
    <m/>
    <n v="3500"/>
    <s v=" -   "/>
    <s v=" -   "/>
    <s v=" -   "/>
    <s v=" -   "/>
    <n v="3500"/>
    <n v="0"/>
    <s v=" -   "/>
    <s v=" -   "/>
    <s v=" -   "/>
    <s v=" -   "/>
    <s v=" -   "/>
    <s v=" -   "/>
    <n v="3500"/>
    <x v="2"/>
    <s v="P1"/>
    <m/>
    <m/>
    <m/>
    <m/>
    <m/>
    <m/>
    <m/>
    <m/>
    <m/>
    <m/>
    <x v="0"/>
    <s v="EN EJECUCION CON CONTRATO"/>
    <s v="000565-2026-SGSI"/>
    <s v="0004460-2026-SGIST"/>
    <s v="002026-2026/GITE"/>
    <d v="2026-04-22T00:00:00"/>
    <m/>
    <s v="0860"/>
    <m/>
    <s v="MEMORANDO 002467-2026-GITE"/>
    <m/>
    <s v="RAMIREZ"/>
    <s v="MENDOZA"/>
    <s v="JESUS DANIEL"/>
    <n v="72758321"/>
    <n v="10727583217"/>
    <n v="3500"/>
    <d v="2026-05-01T00:00:00"/>
    <d v="2026-05-16T00:00:00"/>
    <m/>
    <n v="30"/>
    <n v="3500"/>
    <n v="30"/>
    <n v="3500"/>
    <n v="30"/>
    <n v="3500"/>
    <n v="0"/>
    <n v="0"/>
    <m/>
    <n v="0"/>
    <n v="0"/>
    <m/>
    <n v="0"/>
    <m/>
    <n v="0"/>
    <n v="0"/>
    <n v="0"/>
    <m/>
    <n v="3500"/>
    <n v="3500"/>
    <n v="3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JUNIOR 1"/>
    <s v="LOCADOR"/>
    <n v="1"/>
    <n v="3500"/>
    <m/>
    <m/>
    <m/>
    <m/>
    <n v="0"/>
    <n v="30"/>
    <m/>
    <m/>
    <m/>
    <m/>
    <m/>
    <m/>
    <n v="3500"/>
    <s v=" -   "/>
    <s v=" -   "/>
    <s v=" -   "/>
    <s v=" -   "/>
    <n v="0"/>
    <n v="3500"/>
    <s v=" -   "/>
    <s v=" -   "/>
    <s v=" -   "/>
    <s v=" -   "/>
    <s v=" -   "/>
    <s v=" -   "/>
    <n v="3500"/>
    <x v="2"/>
    <s v="P1"/>
    <m/>
    <m/>
    <m/>
    <m/>
    <m/>
    <m/>
    <m/>
    <m/>
    <m/>
    <m/>
    <x v="0"/>
    <s v="EN EJECUCION CON CONTRATO"/>
    <s v="000744-2026-SGSI/GITE"/>
    <s v="005330-2026-SGSIT/GITE"/>
    <s v="0024092026/GITE"/>
    <d v="2026-05-14T00:00:00"/>
    <m/>
    <m/>
    <m/>
    <m/>
    <m/>
    <s v="RAMIREZ"/>
    <s v="MENDOZA"/>
    <s v="JESUS DANIEL"/>
    <n v="72758321"/>
    <n v="10727583217"/>
    <n v="3500"/>
    <d v="2026-06-01T00:00:00"/>
    <d v="2026-06-30T00:00:00"/>
    <m/>
    <n v="0"/>
    <n v="0"/>
    <m/>
    <n v="0"/>
    <m/>
    <n v="0"/>
    <n v="0"/>
    <n v="0"/>
    <m/>
    <n v="30"/>
    <n v="3500"/>
    <n v="30"/>
    <n v="3500"/>
    <n v="30"/>
    <n v="3500"/>
    <n v="0"/>
    <n v="0"/>
    <m/>
    <n v="3500"/>
    <n v="3500"/>
    <n v="3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JUNIOR 2"/>
    <s v="LOCADOR"/>
    <n v="1"/>
    <n v="3500"/>
    <m/>
    <m/>
    <m/>
    <m/>
    <n v="30"/>
    <n v="30"/>
    <m/>
    <m/>
    <m/>
    <m/>
    <m/>
    <m/>
    <n v="7000"/>
    <s v=" -   "/>
    <s v=" -   "/>
    <s v=" -   "/>
    <s v=" -   "/>
    <n v="3500"/>
    <n v="3500"/>
    <s v=" -   "/>
    <s v=" -   "/>
    <s v=" -   "/>
    <s v=" -   "/>
    <s v=" -   "/>
    <s v=" -   "/>
    <n v="7000"/>
    <x v="2"/>
    <s v="P1"/>
    <m/>
    <m/>
    <m/>
    <m/>
    <m/>
    <m/>
    <m/>
    <m/>
    <m/>
    <m/>
    <x v="0"/>
    <s v="EN EJECUCION CON CONTRATO"/>
    <s v="000565-2026-SGSI"/>
    <s v="0004460-2026-SGIST"/>
    <s v="002026-2026/GITE"/>
    <d v="2026-04-22T00:00:00"/>
    <m/>
    <s v="0693"/>
    <m/>
    <s v="MEMORANDO 002465-2026-GITE"/>
    <m/>
    <s v="SANCHEZ"/>
    <s v="RIVAS"/>
    <s v="JOSE LUIS"/>
    <n v="70025761"/>
    <s v="_x000a_10700257610"/>
    <n v="3500"/>
    <d v="2026-05-01T00:00:00"/>
    <d v="2026-06-30T00:00:00"/>
    <m/>
    <n v="30"/>
    <n v="3500"/>
    <n v="30"/>
    <n v="3500"/>
    <n v="30"/>
    <n v="3500"/>
    <n v="0"/>
    <n v="0"/>
    <m/>
    <n v="30"/>
    <n v="3500"/>
    <n v="30"/>
    <n v="3500"/>
    <n v="30"/>
    <n v="35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JUNIOR 3"/>
    <s v="LOCADOR"/>
    <n v="1"/>
    <n v="3500"/>
    <m/>
    <m/>
    <m/>
    <m/>
    <n v="30"/>
    <n v="30"/>
    <m/>
    <m/>
    <m/>
    <m/>
    <m/>
    <m/>
    <n v="7000"/>
    <s v=" -   "/>
    <s v=" -   "/>
    <s v=" -   "/>
    <s v=" -   "/>
    <n v="3500"/>
    <n v="3500"/>
    <s v=" -   "/>
    <s v=" -   "/>
    <s v=" -   "/>
    <s v=" -   "/>
    <s v=" -   "/>
    <s v=" -   "/>
    <n v="7000"/>
    <x v="2"/>
    <s v="P1"/>
    <m/>
    <m/>
    <m/>
    <m/>
    <m/>
    <m/>
    <m/>
    <m/>
    <m/>
    <m/>
    <x v="0"/>
    <s v="EN EJECUCION CON CONTRATO"/>
    <s v="000565-2026-SGSI"/>
    <s v="0004460-2026-SGIST"/>
    <s v="002026-2026/GITE"/>
    <d v="2026-04-22T00:00:00"/>
    <m/>
    <s v="0694"/>
    <m/>
    <s v="MEMORANDO 002465-2026-GITE"/>
    <m/>
    <s v="HUAMANI"/>
    <s v="LAUREANO"/>
    <s v="JULIO CESAR"/>
    <n v="71231054"/>
    <n v="10712310541"/>
    <n v="3500"/>
    <d v="2026-05-01T00:00:00"/>
    <d v="2026-06-30T00:00:00"/>
    <m/>
    <n v="30"/>
    <n v="3500"/>
    <n v="30"/>
    <n v="3500"/>
    <n v="30"/>
    <n v="3500"/>
    <n v="0"/>
    <n v="0"/>
    <m/>
    <n v="30"/>
    <n v="3500"/>
    <n v="30"/>
    <n v="3500"/>
    <n v="30"/>
    <n v="35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JUNIOR 4"/>
    <s v="LOCADOR"/>
    <n v="1"/>
    <n v="3500"/>
    <m/>
    <m/>
    <m/>
    <m/>
    <n v="30"/>
    <n v="30"/>
    <m/>
    <m/>
    <m/>
    <m/>
    <m/>
    <m/>
    <n v="7000"/>
    <s v=" -   "/>
    <s v=" -   "/>
    <s v=" -   "/>
    <s v=" -   "/>
    <n v="3500"/>
    <n v="3500"/>
    <s v=" -   "/>
    <s v=" -   "/>
    <s v=" -   "/>
    <s v=" -   "/>
    <s v=" -   "/>
    <s v=" -   "/>
    <n v="7000"/>
    <x v="2"/>
    <s v="P1"/>
    <m/>
    <m/>
    <m/>
    <m/>
    <m/>
    <m/>
    <m/>
    <m/>
    <m/>
    <m/>
    <x v="0"/>
    <s v="EN EJECUCION CON CONTRATO"/>
    <s v="000565-2026-SGSI"/>
    <s v="0004460-2026-SGIST"/>
    <s v="002026-2026/GITE"/>
    <d v="2026-04-22T00:00:00"/>
    <m/>
    <s v="0695"/>
    <m/>
    <s v="MEMORANDO 002465-2026-GITE"/>
    <m/>
    <s v="QUIROZ"/>
    <s v="DAVILA"/>
    <s v="JEFFERSON LEANDRO"/>
    <n v="72540564"/>
    <n v="10725405648"/>
    <n v="3500"/>
    <d v="2026-05-01T00:00:00"/>
    <d v="2026-06-30T00:00:00"/>
    <m/>
    <n v="30"/>
    <n v="3500"/>
    <n v="30"/>
    <n v="3500"/>
    <n v="30"/>
    <n v="3500"/>
    <n v="0"/>
    <n v="0"/>
    <m/>
    <n v="30"/>
    <n v="3500"/>
    <n v="30"/>
    <n v="3500"/>
    <n v="30"/>
    <n v="35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696"/>
    <m/>
    <s v="MEMORANDO 002465-2026-GITE"/>
    <m/>
    <s v="CHAVEZ"/>
    <s v="VALVERDE"/>
    <s v="GUILLERMO JUNIOR"/>
    <n v="45011476"/>
    <n v="10450114761"/>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697"/>
    <m/>
    <s v="MEMORANDO 002465-2026-GITE"/>
    <m/>
    <s v="OYOLA"/>
    <s v="YARLAQUE"/>
    <s v="HUGO HAMILTON"/>
    <n v="70409180"/>
    <n v="10704091805"/>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697"/>
    <m/>
    <m/>
    <m/>
    <s v="OYOLA"/>
    <s v="YARLAQUE"/>
    <s v="HUGO HAMILTON"/>
    <n v="70409180"/>
    <n v="10704091805"/>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2"/>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859"/>
    <m/>
    <s v="MEMORANDO 002467-2026-GITE"/>
    <m/>
    <s v="CORTEGANA "/>
    <s v="MALLA "/>
    <s v="ISMAEL LUIS"/>
    <n v="75596254"/>
    <n v="10755962541"/>
    <n v="7000"/>
    <d v="2026-05-01T00:00:00"/>
    <d v="2026-05-16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859"/>
    <m/>
    <m/>
    <m/>
    <s v="CORTEGANA "/>
    <s v="MALLA "/>
    <s v="ISMAEL LUIS"/>
    <n v="75596254"/>
    <n v="10755962541"/>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3"/>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699"/>
    <m/>
    <s v="MEMORANDO 002465-2026-GITE"/>
    <m/>
    <s v="ATAYAURI"/>
    <s v="CALDERON"/>
    <s v="RONNIER"/>
    <n v="46837236"/>
    <n v="10468372369"/>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3"/>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699"/>
    <m/>
    <m/>
    <m/>
    <s v="ATAYAURI"/>
    <s v="CALDERON"/>
    <s v="RONNIER"/>
    <n v="46837236"/>
    <n v="10468372369"/>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4"/>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700"/>
    <m/>
    <s v="MEMORANDO 002465-2026-GITE"/>
    <m/>
    <s v="BRAVO"/>
    <s v="MERLO"/>
    <s v="CRISTIAN JONATHAN"/>
    <n v="47564486"/>
    <n v="10475644862"/>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4"/>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700"/>
    <m/>
    <m/>
    <m/>
    <s v="BRAVO"/>
    <s v="MERLO"/>
    <s v="CRISTIAN JONATHAN"/>
    <n v="47564486"/>
    <n v="10475644862"/>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5"/>
    <s v="LOCADOR"/>
    <n v="1"/>
    <n v="7000"/>
    <m/>
    <m/>
    <m/>
    <m/>
    <n v="30"/>
    <m/>
    <m/>
    <m/>
    <m/>
    <m/>
    <m/>
    <m/>
    <n v="7000"/>
    <s v=" -   "/>
    <s v=" -   "/>
    <s v=" -   "/>
    <s v=" -   "/>
    <n v="7000"/>
    <n v="0"/>
    <s v=" -   "/>
    <s v=" -   "/>
    <s v=" -   "/>
    <s v=" -   "/>
    <s v=" -   "/>
    <s v=" -   "/>
    <n v="7000"/>
    <x v="2"/>
    <s v="P1"/>
    <m/>
    <m/>
    <m/>
    <m/>
    <m/>
    <m/>
    <m/>
    <m/>
    <m/>
    <m/>
    <x v="0"/>
    <s v="EN EJECUCION CON CONTRATO"/>
    <s v="000565-2026-SGSI"/>
    <s v="0004460-2026-SGIST"/>
    <s v="002026-2026/GITE"/>
    <d v="2026-04-22T00:00:00"/>
    <m/>
    <s v="0701"/>
    <m/>
    <s v="MEMORANDO 002465-2026-GITE"/>
    <m/>
    <s v="GIRON "/>
    <s v="MAZA "/>
    <s v="HOSMAN CARLOS"/>
    <n v="47195955"/>
    <n v="10471959559"/>
    <n v="7000"/>
    <d v="2026-05-01T00:00:00"/>
    <d v="2026-05-15T00:00:00"/>
    <m/>
    <n v="30"/>
    <n v="7000"/>
    <n v="15"/>
    <n v="3500"/>
    <n v="15"/>
    <n v="3500"/>
    <n v="3500"/>
    <n v="3500"/>
    <m/>
    <n v="0"/>
    <n v="0"/>
    <m/>
    <n v="0"/>
    <m/>
    <n v="0"/>
    <n v="0"/>
    <n v="0"/>
    <m/>
    <n v="7000"/>
    <n v="3500"/>
    <n v="3500"/>
    <n v="3500"/>
    <n v="3500"/>
    <m/>
    <m/>
    <s v="CARTA RENUNCIA GIRON MAZA HOSMAN_x000a_INFORME 000737-2026/MEMORANDO  002398-2026-GITE 14/05"/>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5"/>
    <s v="LOCADOR"/>
    <n v="1"/>
    <n v="7000"/>
    <m/>
    <m/>
    <m/>
    <m/>
    <m/>
    <n v="30"/>
    <m/>
    <m/>
    <m/>
    <m/>
    <m/>
    <m/>
    <n v="7000"/>
    <s v=" -   "/>
    <s v=" -   "/>
    <s v=" -   "/>
    <s v=" -   "/>
    <n v="0"/>
    <n v="7000"/>
    <s v=" -   "/>
    <s v=" -   "/>
    <s v=" -   "/>
    <s v=" -   "/>
    <s v=" -   "/>
    <s v=" -   "/>
    <n v="7000"/>
    <x v="2"/>
    <s v="P1"/>
    <m/>
    <m/>
    <m/>
    <m/>
    <m/>
    <m/>
    <m/>
    <m/>
    <m/>
    <m/>
    <x v="0"/>
    <s v="EN EJECUCION CON CONTRATO"/>
    <s v="00801-2026-SGSI/GITE"/>
    <s v="005659-2026-SGIST"/>
    <s v="002510-2026-GITE"/>
    <d v="2026-05-20T00:00:00"/>
    <m/>
    <m/>
    <m/>
    <m/>
    <m/>
    <s v="RAMIREZ"/>
    <s v="CABRERA"/>
    <s v="CRISTOBAL JAVIER"/>
    <n v="47305984"/>
    <n v="10473059849"/>
    <n v="7000"/>
    <d v="2026-06-01T00:00:00"/>
    <d v="2026-06-30T00:00:00"/>
    <m/>
    <n v="0"/>
    <n v="0"/>
    <n v="0"/>
    <n v="0"/>
    <n v="0"/>
    <n v="0"/>
    <n v="0"/>
    <n v="0"/>
    <m/>
    <n v="30"/>
    <n v="7000"/>
    <n v="30"/>
    <n v="7000"/>
    <n v="30"/>
    <n v="7000"/>
    <n v="0"/>
    <n v="0"/>
    <m/>
    <n v="7000"/>
    <n v="7000"/>
    <n v="7000"/>
    <n v="0"/>
    <n v="0"/>
    <m/>
    <m/>
    <s v="CARTA RENUNCIA GIRON MAZA HOSMAN_x000a_INFORME 000737-2026/MEMORANDO  002398-2026-GITE 14/05"/>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6"/>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02"/>
    <m/>
    <s v="MEMORANDO 002465-2026-GITE"/>
    <m/>
    <s v="VILLANUEVA"/>
    <s v="ARRESTEGUI"/>
    <s v="ANTHONY MAURICIO"/>
    <n v="70814308"/>
    <n v="10708143087"/>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7"/>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03"/>
    <m/>
    <s v="MEMORANDO 002465-2026-GITE"/>
    <m/>
    <s v=" VALDERRAMA "/>
    <s v="CASTILLO "/>
    <s v="DANIEL ALEXANDER"/>
    <n v="74066783"/>
    <n v="10740667837"/>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8"/>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04"/>
    <m/>
    <s v="MEMORANDO 002467-2026-GITE"/>
    <m/>
    <s v="ANGELES"/>
    <s v="RODRIGUEZ"/>
    <s v="PERCY GIANMARCO"/>
    <n v="70614114"/>
    <n v="10706141141"/>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9"/>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05"/>
    <m/>
    <s v="MEMORANDO 002467-2026-GITE"/>
    <m/>
    <s v="LEON"/>
    <s v="QUIROZ"/>
    <s v="MAX SAMIR GABRIEL"/>
    <n v="73790981"/>
    <n v="10737909811"/>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0"/>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06"/>
    <m/>
    <s v="MEMORANDO 002467-2026-GITE"/>
    <m/>
    <s v="ROJAS"/>
    <s v="LLAULLIPOMA"/>
    <s v="DAVID SALOMON"/>
    <n v="45672213"/>
    <n v="10456722135"/>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1"/>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07"/>
    <m/>
    <s v="MEMORANDO 002467-2026-GITE"/>
    <m/>
    <s v="MACHACA"/>
    <s v="CHIPANA"/>
    <s v="DENSY"/>
    <n v="46066411"/>
    <n v="10460664115"/>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2"/>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708"/>
    <m/>
    <s v="MEMORANDO 002467-2026-GITE"/>
    <m/>
    <s v="PEREZ"/>
    <s v="ESTRADA"/>
    <s v="JOSÉ ANTONIO"/>
    <n v="41447921"/>
    <n v="10414479214"/>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2"/>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708"/>
    <m/>
    <m/>
    <m/>
    <s v="PEREZ"/>
    <s v="ESTRADA"/>
    <s v="JOSÉ ANTONIO"/>
    <n v="41447921"/>
    <n v="10414479214"/>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3"/>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709"/>
    <m/>
    <s v="MEMORANDO 002467-2026-GITE"/>
    <m/>
    <s v="ESCUDERO"/>
    <s v="CAJAN"/>
    <s v="IVAN FERNANDO"/>
    <n v="46126107"/>
    <n v="10461261073"/>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3"/>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709"/>
    <m/>
    <m/>
    <m/>
    <s v="ESCUDERO"/>
    <s v="CAJAN"/>
    <s v="IVAN FERNANDO"/>
    <n v="46126107"/>
    <n v="10461261073"/>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4"/>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710"/>
    <m/>
    <s v="MEMORANDO 002467-2026-GITE"/>
    <m/>
    <s v="MEZA"/>
    <s v="OSORIO"/>
    <s v="JONATHAN HEVERT"/>
    <n v="72459743"/>
    <n v="10724597438"/>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4"/>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710"/>
    <m/>
    <m/>
    <m/>
    <s v="MEZA"/>
    <s v="OSORIO"/>
    <s v="JONATHAN HEVERT"/>
    <n v="72459743"/>
    <n v="10724597438"/>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5"/>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711"/>
    <m/>
    <s v="MEMORANDO 002467-2026-GITE"/>
    <m/>
    <s v="ÑAHUI  "/>
    <s v="PANLLO"/>
    <s v="KUKING"/>
    <n v="46875253"/>
    <n v="10468752536"/>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5"/>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711"/>
    <m/>
    <m/>
    <m/>
    <s v="ÑAHUI  "/>
    <s v="PANLLO"/>
    <s v="KUKING"/>
    <n v="46875253"/>
    <n v="10468752536"/>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6"/>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712"/>
    <m/>
    <s v="MEMORANDO 002467-2026-GITE"/>
    <m/>
    <s v="VALDEZ"/>
    <s v="JARA"/>
    <s v="BRYAN LUIS"/>
    <n v="45962109"/>
    <n v="10459621097"/>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6"/>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712"/>
    <m/>
    <m/>
    <m/>
    <s v="VALDEZ"/>
    <s v="JARA"/>
    <s v="BRYAN LUIS"/>
    <n v="45962109"/>
    <n v="10459621097"/>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7"/>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3"/>
    <m/>
    <s v="MEMORANDO 002467-2026-GITE"/>
    <m/>
    <s v="MEJIA"/>
    <s v="SAMAME"/>
    <s v="JUAN FRANCISCO"/>
    <n v="73130710"/>
    <n v="10731307101"/>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8"/>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4"/>
    <m/>
    <s v="MEMORANDO 002467-2026-GITE"/>
    <m/>
    <s v="BLAS"/>
    <s v="HUAMAN"/>
    <s v="ANDERSON JOSE"/>
    <n v="70185806"/>
    <n v="10701858064"/>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9"/>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5"/>
    <m/>
    <s v="MEMORANDO 002467-2026-GITE"/>
    <m/>
    <s v="BERNUY"/>
    <s v="FABIAN"/>
    <s v="LUIS"/>
    <n v="44815985"/>
    <n v="10448159855"/>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0"/>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6"/>
    <m/>
    <s v="MEMORANDO 002467-2026-GITE"/>
    <m/>
    <s v="SOTO"/>
    <s v="HUILLCA"/>
    <s v="FRANK ERICK"/>
    <n v="46130246"/>
    <n v="10461302462"/>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1"/>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7"/>
    <m/>
    <s v="MEMORANDO 002467-2026-GITE"/>
    <m/>
    <s v="ACOSTA"/>
    <s v="ALVA"/>
    <s v="RONALD WILLIAM"/>
    <n v="74306745"/>
    <n v="10743067458"/>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2"/>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8"/>
    <m/>
    <s v="MEMORANDO 002467-2026-GITE"/>
    <m/>
    <s v="NUÑEZ"/>
    <s v="MARINOVICH"/>
    <s v="NESTOR MANUEL"/>
    <n v="41667046"/>
    <n v="10416670469"/>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DE DATOS 4_x000a_NUEVO: ANALISTA PROGRAMADOR 23 "/>
    <s v="LOCADOR"/>
    <n v="1"/>
    <n v="6000"/>
    <m/>
    <m/>
    <m/>
    <m/>
    <n v="30"/>
    <n v="30"/>
    <m/>
    <m/>
    <m/>
    <m/>
    <m/>
    <m/>
    <n v="12000"/>
    <s v=" -   "/>
    <s v=" -   "/>
    <s v=" -   "/>
    <s v=" -   "/>
    <n v="6000"/>
    <n v="6000"/>
    <s v=" -   "/>
    <s v=" -   "/>
    <s v=" -   "/>
    <s v=" -   "/>
    <s v=" -   "/>
    <s v=" -   "/>
    <n v="12000"/>
    <x v="2"/>
    <s v="P1"/>
    <m/>
    <m/>
    <m/>
    <m/>
    <m/>
    <m/>
    <m/>
    <m/>
    <m/>
    <m/>
    <x v="0"/>
    <s v="EN EJECUCION CON CONTRATO"/>
    <s v="000876-2026-SGSI"/>
    <s v="006092-2026-SGIST"/>
    <s v="002718-2026/GITE"/>
    <d v="2026-06-01T00:00:00"/>
    <m/>
    <m/>
    <m/>
    <m/>
    <m/>
    <s v="FERNANDEZ "/>
    <s v="VARGAS "/>
    <s v="HEBERT PAUL"/>
    <n v="40900336"/>
    <n v="10409003368"/>
    <n v="6000"/>
    <d v="2026-06-02T00:00:00"/>
    <d v="2026-06-30T00:00:00"/>
    <m/>
    <n v="30"/>
    <n v="6000"/>
    <m/>
    <n v="0"/>
    <m/>
    <n v="0"/>
    <n v="6000"/>
    <n v="6000"/>
    <m/>
    <n v="30"/>
    <n v="6000"/>
    <n v="29"/>
    <n v="5800"/>
    <n v="30"/>
    <n v="6000"/>
    <n v="200"/>
    <n v="0"/>
    <m/>
    <n v="12000"/>
    <n v="5800"/>
    <n v="6000"/>
    <n v="6200"/>
    <n v="6000"/>
    <m/>
    <m/>
    <s v="SGSI - Correo 29/05/2026 - comunica desitimiento de  MEJIA SAMMAME ROLANDO_x000a_Requerido Informe 000784-SGSI y Memorando 002484-GITE"/>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PROGRAMADOR SENIOR 23_x000a_NUEVO: ANALISTA PROGRAMADOR SENIOR 33"/>
    <s v="LOCADOR"/>
    <n v="1"/>
    <n v="7000"/>
    <m/>
    <m/>
    <m/>
    <m/>
    <n v="30"/>
    <n v="30"/>
    <m/>
    <m/>
    <m/>
    <m/>
    <m/>
    <m/>
    <n v="14000"/>
    <s v=" -   "/>
    <s v=" -   "/>
    <s v=" -   "/>
    <s v=" -   "/>
    <n v="7000"/>
    <n v="7000"/>
    <s v=" -   "/>
    <s v=" -   "/>
    <s v=" -   "/>
    <s v=" -   "/>
    <s v=" -   "/>
    <s v=" -   "/>
    <n v="14000"/>
    <x v="2"/>
    <s v="P1"/>
    <m/>
    <m/>
    <m/>
    <m/>
    <m/>
    <m/>
    <m/>
    <m/>
    <m/>
    <s v="20/04 SGSI-Solicitó cambio de denominación "/>
    <x v="0"/>
    <s v="EN EJECUCION CON CONTRATO"/>
    <s v="000567-2026-SGSI"/>
    <s v="004438-2026-SGIST"/>
    <s v="002026-2026/GITE"/>
    <d v="2026-04-22T00:00:00"/>
    <m/>
    <s v="0568"/>
    <m/>
    <s v="MEMORANDO 002465-2026-GITE"/>
    <m/>
    <s v="CHOZO"/>
    <s v="SAAVEDRA"/>
    <s v="ERIKA MARGOT"/>
    <n v="72487448"/>
    <n v="10724874482"/>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3"/>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19"/>
    <m/>
    <s v="MEMORANDO 002467-2026-GITE"/>
    <m/>
    <s v="CHAUPEZ"/>
    <s v="SOTO "/>
    <s v="JEFFERSON PAUL"/>
    <n v="72845524"/>
    <n v="10728455247"/>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5"/>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20"/>
    <m/>
    <s v="MEMORANDO 002467-2026-GITE"/>
    <m/>
    <s v="ELERA"/>
    <s v="ATO"/>
    <s v="EXXEL POOL"/>
    <n v="47588145"/>
    <n v="10475881457"/>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7"/>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21"/>
    <m/>
    <s v="MEMORANDO 002467-2026-GITE"/>
    <m/>
    <s v="ALEGRE"/>
    <s v="CCORIMANYA"/>
    <s v="LEONARDO ANDRES"/>
    <n v="75017048"/>
    <n v="10750170485"/>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8"/>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22"/>
    <m/>
    <s v="MEMORANDO 002467-2026-GITE"/>
    <m/>
    <s v="BARRIOS"/>
    <s v="SALAZAR"/>
    <s v="JHONNY"/>
    <n v="48494303"/>
    <n v="10484943031"/>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29"/>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23"/>
    <m/>
    <s v="MEMORANDO 002467-2026-GITE"/>
    <m/>
    <s v="FRANCIA"/>
    <s v="AUGUSTO"/>
    <s v="KENNY ANTONIO"/>
    <n v="45590974"/>
    <n v="10455909746"/>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30"/>
    <s v="LOCADOR"/>
    <n v="1"/>
    <n v="7000"/>
    <m/>
    <m/>
    <m/>
    <m/>
    <n v="30"/>
    <n v="0"/>
    <m/>
    <m/>
    <m/>
    <m/>
    <m/>
    <m/>
    <n v="7000"/>
    <s v=" -   "/>
    <s v=" -   "/>
    <s v=" -   "/>
    <s v=" -   "/>
    <n v="7000"/>
    <n v="0"/>
    <s v=" -   "/>
    <s v=" -   "/>
    <s v=" -   "/>
    <s v=" -   "/>
    <s v=" -   "/>
    <s v=" -   "/>
    <n v="7000"/>
    <x v="2"/>
    <s v="P1"/>
    <m/>
    <m/>
    <m/>
    <m/>
    <m/>
    <m/>
    <m/>
    <m/>
    <m/>
    <m/>
    <x v="0"/>
    <s v="EN EJECUCION CON CONTRATO"/>
    <s v="000565-2026-SGSI"/>
    <s v="0004460-2026-SGIST"/>
    <s v="002026-2026/GITE"/>
    <d v="2026-04-22T00:00:00"/>
    <m/>
    <s v="0858"/>
    <m/>
    <s v="MEMORANDO 002467-2026-GITE"/>
    <m/>
    <s v="DEL CASTILLO"/>
    <s v="PUMAHUALLCA"/>
    <s v="VICTOR ANDRES"/>
    <n v="43128117"/>
    <n v="10431281177"/>
    <n v="7000"/>
    <d v="2026-05-01T00:00:00"/>
    <d v="2026-05-16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30"/>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m/>
    <m/>
    <m/>
    <m/>
    <s v="DEL CASTILLO"/>
    <s v="PUMAHUALLCA"/>
    <s v="VICTOR ANDRES"/>
    <n v="43128117"/>
    <n v="10431281177"/>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32"/>
    <s v="LOCADOR"/>
    <n v="1"/>
    <n v="7000"/>
    <m/>
    <m/>
    <m/>
    <m/>
    <n v="30"/>
    <n v="30"/>
    <m/>
    <m/>
    <m/>
    <m/>
    <m/>
    <m/>
    <n v="14000"/>
    <s v=" -   "/>
    <s v=" -   "/>
    <s v=" -   "/>
    <s v=" -   "/>
    <n v="7000"/>
    <n v="7000"/>
    <s v=" -   "/>
    <s v=" -   "/>
    <s v=" -   "/>
    <s v=" -   "/>
    <s v=" -   "/>
    <s v=" -   "/>
    <n v="14000"/>
    <x v="2"/>
    <s v="P1"/>
    <m/>
    <m/>
    <m/>
    <m/>
    <m/>
    <m/>
    <m/>
    <m/>
    <m/>
    <m/>
    <x v="0"/>
    <s v="EN EJECUCION CON CONTRATO"/>
    <s v="000565-2026-SGSI"/>
    <s v="0004460-2026-SGIST"/>
    <s v="002026-2026/GITE"/>
    <d v="2026-04-22T00:00:00"/>
    <m/>
    <s v="0725"/>
    <m/>
    <s v="MEMORANDO 002467-2026-GITE"/>
    <m/>
    <s v="GILT"/>
    <s v="LOPEZ"/>
    <s v="NEIL ADOLFO"/>
    <n v="42105837"/>
    <n v="10421058372"/>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34"/>
    <s v="LOCADOR"/>
    <n v="1"/>
    <n v="7000"/>
    <m/>
    <m/>
    <m/>
    <m/>
    <n v="30"/>
    <n v="30"/>
    <m/>
    <m/>
    <m/>
    <m/>
    <m/>
    <m/>
    <n v="14000"/>
    <s v=" -   "/>
    <s v=" -   "/>
    <s v=" -   "/>
    <s v=" -   "/>
    <n v="7000"/>
    <n v="7000"/>
    <s v=" -   "/>
    <s v=" -   "/>
    <s v=" -   "/>
    <s v=" -   "/>
    <s v=" -   "/>
    <s v=" -   "/>
    <n v="14000"/>
    <x v="2"/>
    <s v="P1"/>
    <m/>
    <m/>
    <m/>
    <m/>
    <m/>
    <m/>
    <m/>
    <m/>
    <m/>
    <m/>
    <x v="0"/>
    <s v="EN EJECUCION CON CONTRATO"/>
    <s v="000608-2026-SGSI-GITE"/>
    <s v="004671-2026-SGIST"/>
    <s v="002119-2026-GITE"/>
    <d v="2026-04-28T00:00:00"/>
    <m/>
    <n v="3319"/>
    <m/>
    <s v="MEMORANDO 002467-2026-GITE"/>
    <m/>
    <s v="ESPINOZA"/>
    <s v="GONZALES"/>
    <s v="ALEXANDER RUIZ"/>
    <n v="47958210"/>
    <n v="10479582101"/>
    <n v="7000"/>
    <d v="2026-05-04T00:00:00"/>
    <d v="2026-06-30T00:00:00"/>
    <m/>
    <n v="30"/>
    <n v="7000"/>
    <n v="28"/>
    <n v="6533.3333333333339"/>
    <n v="28"/>
    <n v="6533.3333333333339"/>
    <n v="466.66666666666606"/>
    <n v="466.66666666666606"/>
    <m/>
    <n v="30"/>
    <n v="7000"/>
    <n v="30"/>
    <n v="7000"/>
    <n v="30"/>
    <n v="7000"/>
    <n v="0"/>
    <n v="0"/>
    <m/>
    <n v="14000"/>
    <n v="13533.333333333334"/>
    <n v="13533.333333333334"/>
    <n v="466.66666666666606"/>
    <n v="466.66666666666606"/>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ISEÑADOR GRAFICO 1"/>
    <s v="LOCADOR"/>
    <n v="1"/>
    <n v="5000"/>
    <m/>
    <m/>
    <m/>
    <m/>
    <n v="30"/>
    <n v="0"/>
    <m/>
    <m/>
    <m/>
    <m/>
    <m/>
    <m/>
    <n v="5000"/>
    <s v=" -   "/>
    <s v=" -   "/>
    <s v=" -   "/>
    <s v=" -   "/>
    <n v="5000"/>
    <n v="0"/>
    <s v=" -   "/>
    <s v=" -   "/>
    <s v=" -   "/>
    <s v=" -   "/>
    <s v=" -   "/>
    <s v=" -   "/>
    <n v="5000"/>
    <x v="2"/>
    <s v="P1"/>
    <m/>
    <m/>
    <m/>
    <m/>
    <m/>
    <m/>
    <m/>
    <m/>
    <m/>
    <m/>
    <x v="0"/>
    <s v="EN EJECUCION CON CONTRATO"/>
    <s v="000567-2026-SGSI"/>
    <s v="004438-2026-SGIST"/>
    <s v="002025-2026-GITE"/>
    <d v="2026-04-22T00:00:00"/>
    <m/>
    <s v="0516"/>
    <m/>
    <s v="MEMORANDO 002465-2026-GITE"/>
    <m/>
    <s v="ROSAS"/>
    <s v="SUAREZ"/>
    <s v="SEBASTIAN"/>
    <n v="72728538"/>
    <n v="10727285381"/>
    <n v="5000"/>
    <d v="2026-05-01T00:00:00"/>
    <d v="2026-05-31T00:00:00"/>
    <m/>
    <n v="30"/>
    <n v="5000"/>
    <n v="30"/>
    <n v="5000"/>
    <n v="30"/>
    <n v="5000"/>
    <n v="0"/>
    <n v="0"/>
    <m/>
    <n v="0"/>
    <n v="0"/>
    <m/>
    <n v="0"/>
    <m/>
    <n v="0"/>
    <n v="0"/>
    <n v="0"/>
    <m/>
    <n v="5000"/>
    <n v="5000"/>
    <n v="5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ISEÑADOR GRAFICO 1"/>
    <s v="LOCADOR"/>
    <n v="1"/>
    <n v="5000"/>
    <m/>
    <m/>
    <m/>
    <m/>
    <n v="0"/>
    <n v="30"/>
    <m/>
    <m/>
    <m/>
    <m/>
    <m/>
    <m/>
    <n v="5000"/>
    <s v=" -   "/>
    <s v=" -   "/>
    <s v=" -   "/>
    <s v=" -   "/>
    <n v="0"/>
    <n v="5000"/>
    <s v=" -   "/>
    <s v=" -   "/>
    <s v=" -   "/>
    <s v=" -   "/>
    <s v=" -   "/>
    <s v=" -   "/>
    <n v="5000"/>
    <x v="2"/>
    <s v="P1"/>
    <m/>
    <m/>
    <m/>
    <m/>
    <m/>
    <m/>
    <m/>
    <m/>
    <m/>
    <m/>
    <x v="0"/>
    <s v="EN EJECUCION CON CONTRATO"/>
    <s v="000744-2026-SGSI/GITE"/>
    <s v="005330-2026-SGSIT/GITE"/>
    <s v="0024092026/GITE"/>
    <d v="2026-05-14T00:00:00"/>
    <m/>
    <s v="0516"/>
    <m/>
    <m/>
    <m/>
    <s v="ROSAS"/>
    <s v="SUAREZ"/>
    <s v="SEBASTIAN"/>
    <n v="72728538"/>
    <n v="10727285381"/>
    <n v="5000"/>
    <d v="2026-06-01T00:00:00"/>
    <d v="2026-06-30T00:00:00"/>
    <m/>
    <n v="0"/>
    <n v="0"/>
    <m/>
    <n v="0"/>
    <m/>
    <n v="0"/>
    <n v="0"/>
    <n v="0"/>
    <m/>
    <n v="30"/>
    <n v="5000"/>
    <n v="30"/>
    <n v="5000"/>
    <n v="30"/>
    <n v="5000"/>
    <n v="0"/>
    <n v="0"/>
    <m/>
    <n v="5000"/>
    <n v="5000"/>
    <n v="5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ESPECIALISTA UX/UI"/>
    <s v="LOCADOR"/>
    <n v="1"/>
    <n v="7500"/>
    <m/>
    <m/>
    <m/>
    <m/>
    <n v="30"/>
    <n v="30"/>
    <m/>
    <m/>
    <m/>
    <m/>
    <m/>
    <m/>
    <n v="15000"/>
    <s v=" -   "/>
    <s v=" -   "/>
    <s v=" -   "/>
    <s v=" -   "/>
    <n v="7500"/>
    <n v="7500"/>
    <s v=" -   "/>
    <s v=" -   "/>
    <s v=" -   "/>
    <s v=" -   "/>
    <s v=" -   "/>
    <s v=" -   "/>
    <n v="15000"/>
    <x v="2"/>
    <s v="P1"/>
    <m/>
    <m/>
    <m/>
    <m/>
    <m/>
    <m/>
    <m/>
    <m/>
    <m/>
    <m/>
    <x v="0"/>
    <s v="EN EJECUCION CON CONTRATO"/>
    <s v="000567-2026-SGSI"/>
    <s v="004438-2026-SGIST"/>
    <s v="002025-2026-GITE"/>
    <d v="2026-04-22T00:00:00"/>
    <m/>
    <s v="0515"/>
    <m/>
    <s v="MEMORANDO 002465-2026-GITE"/>
    <m/>
    <s v="VERA"/>
    <s v="MONTES"/>
    <s v="LUIS ENRIQUE"/>
    <n v="43611128"/>
    <n v="10436111288"/>
    <n v="7500"/>
    <d v="2026-05-01T00:00:00"/>
    <d v="2026-06-30T00:00:00"/>
    <m/>
    <n v="30"/>
    <n v="7500"/>
    <n v="30"/>
    <n v="7500"/>
    <n v="30"/>
    <n v="7500"/>
    <n v="0"/>
    <n v="0"/>
    <m/>
    <n v="30"/>
    <n v="7500"/>
    <n v="30"/>
    <n v="7500"/>
    <n v="30"/>
    <n v="7500"/>
    <n v="0"/>
    <n v="0"/>
    <m/>
    <n v="15000"/>
    <n v="15000"/>
    <n v="1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UX/UI 2"/>
    <s v="LOCADOR"/>
    <n v="1"/>
    <n v="6500"/>
    <m/>
    <m/>
    <m/>
    <m/>
    <n v="30"/>
    <n v="0"/>
    <m/>
    <m/>
    <m/>
    <m/>
    <m/>
    <m/>
    <n v="6500"/>
    <s v=" -   "/>
    <s v=" -   "/>
    <s v=" -   "/>
    <s v=" -   "/>
    <n v="6500"/>
    <n v="0"/>
    <s v=" -   "/>
    <s v=" -   "/>
    <s v=" -   "/>
    <s v=" -   "/>
    <s v=" -   "/>
    <s v=" -   "/>
    <n v="6500"/>
    <x v="2"/>
    <s v="P1"/>
    <m/>
    <m/>
    <m/>
    <m/>
    <m/>
    <m/>
    <m/>
    <m/>
    <m/>
    <m/>
    <x v="0"/>
    <s v="EN EJECUCION CON CONTRATO"/>
    <s v="000567-2026-SGSI"/>
    <s v="004438-2026-SGIST"/>
    <s v="002025-2026-GITE"/>
    <d v="2026-04-22T00:00:00"/>
    <m/>
    <s v="0517"/>
    <m/>
    <s v="MEMORANDO 002465-2026-GITE"/>
    <m/>
    <s v="GIOL"/>
    <s v="PEREZ"/>
    <s v="SALVADOR BRUNO"/>
    <n v="46062502"/>
    <n v="10460625021"/>
    <n v="6500"/>
    <d v="2026-05-01T00:00:00"/>
    <d v="2026-05-31T00:00:00"/>
    <m/>
    <n v="30"/>
    <n v="6500"/>
    <n v="30"/>
    <n v="6500"/>
    <n v="30"/>
    <n v="6500"/>
    <n v="0"/>
    <n v="0"/>
    <m/>
    <n v="0"/>
    <n v="0"/>
    <m/>
    <n v="0"/>
    <m/>
    <n v="0"/>
    <n v="0"/>
    <n v="0"/>
    <m/>
    <n v="6500"/>
    <n v="6500"/>
    <n v="6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UX/UI 2"/>
    <s v="LOCADOR"/>
    <n v="1"/>
    <n v="6500"/>
    <m/>
    <m/>
    <m/>
    <m/>
    <n v="0"/>
    <n v="30"/>
    <m/>
    <m/>
    <m/>
    <m/>
    <m/>
    <m/>
    <n v="6500"/>
    <s v=" -   "/>
    <s v=" -   "/>
    <s v=" -   "/>
    <s v=" -   "/>
    <n v="0"/>
    <n v="6500"/>
    <s v=" -   "/>
    <s v=" -   "/>
    <s v=" -   "/>
    <s v=" -   "/>
    <s v=" -   "/>
    <s v=" -   "/>
    <n v="6500"/>
    <x v="2"/>
    <s v="P1"/>
    <m/>
    <m/>
    <m/>
    <m/>
    <m/>
    <m/>
    <m/>
    <m/>
    <m/>
    <m/>
    <x v="0"/>
    <s v="EN EJECUCION CON CONTRATO"/>
    <s v="000744-2026-SGSI/GITE"/>
    <s v="005330-2026-SGSIT/GITE"/>
    <s v="0024092026/GITE"/>
    <d v="2026-05-14T00:00:00"/>
    <m/>
    <s v="0517"/>
    <m/>
    <m/>
    <m/>
    <s v="GIOL"/>
    <s v="PEREZ"/>
    <s v="SALVADOR BRUNO"/>
    <n v="46062502"/>
    <n v="10460625021"/>
    <n v="6500"/>
    <d v="2026-06-01T00:00:00"/>
    <d v="2026-06-30T00:00:00"/>
    <m/>
    <n v="0"/>
    <n v="0"/>
    <m/>
    <n v="0"/>
    <m/>
    <n v="0"/>
    <n v="0"/>
    <n v="0"/>
    <m/>
    <n v="30"/>
    <n v="6500"/>
    <n v="30"/>
    <n v="6500"/>
    <n v="30"/>
    <n v="6500"/>
    <n v="0"/>
    <n v="0"/>
    <m/>
    <n v="6500"/>
    <n v="6500"/>
    <n v="6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UX/UI 3_x000a_NUEVO: ANALISTA PROGRAMADOR 20"/>
    <s v="LOCADOR"/>
    <n v="1"/>
    <n v="6500"/>
    <m/>
    <m/>
    <m/>
    <m/>
    <n v="30"/>
    <n v="30"/>
    <m/>
    <m/>
    <m/>
    <m/>
    <m/>
    <m/>
    <n v="13000"/>
    <s v=" -   "/>
    <s v=" -   "/>
    <s v=" -   "/>
    <s v=" -   "/>
    <n v="6500"/>
    <n v="6500"/>
    <s v=" -   "/>
    <s v=" -   "/>
    <s v=" -   "/>
    <s v=" -   "/>
    <s v=" -   "/>
    <s v=" -   "/>
    <n v="13000"/>
    <x v="2"/>
    <s v="P1"/>
    <m/>
    <m/>
    <m/>
    <m/>
    <m/>
    <m/>
    <m/>
    <m/>
    <m/>
    <m/>
    <x v="0"/>
    <s v="EN EJECUCION CON CONTRATO"/>
    <s v="000921-2026-SGSI/GITE"/>
    <s v="006232-2026-SGIST/GITE"/>
    <s v="002795-2026/GITE"/>
    <d v="2026-06-03T00:00:00"/>
    <m/>
    <m/>
    <m/>
    <m/>
    <m/>
    <s v="PEREZ"/>
    <s v="BUSTOS"/>
    <s v="FERNANDO PAUL"/>
    <n v="42993410"/>
    <n v="10429934104"/>
    <n v="6000"/>
    <d v="2026-06-08T00:00:00"/>
    <d v="2026-06-30T00:00:00"/>
    <m/>
    <n v="30"/>
    <n v="6500"/>
    <m/>
    <n v="0"/>
    <m/>
    <n v="0"/>
    <n v="6500"/>
    <n v="6500"/>
    <m/>
    <n v="30"/>
    <n v="6500"/>
    <n v="23"/>
    <n v="4600"/>
    <n v="23"/>
    <n v="4600"/>
    <n v="1900"/>
    <n v="1900"/>
    <m/>
    <n v="13000"/>
    <n v="4600"/>
    <n v="4600"/>
    <n v="8400"/>
    <n v="84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UX/UI 4"/>
    <s v="LOCADOR"/>
    <n v="1"/>
    <n v="6500"/>
    <m/>
    <m/>
    <m/>
    <m/>
    <n v="30"/>
    <n v="30"/>
    <m/>
    <m/>
    <m/>
    <m/>
    <m/>
    <m/>
    <n v="13000"/>
    <s v=" -   "/>
    <s v=" -   "/>
    <s v=" -   "/>
    <s v=" -   "/>
    <n v="6500"/>
    <n v="6500"/>
    <s v=" -   "/>
    <s v=" -   "/>
    <s v=" -   "/>
    <s v=" -   "/>
    <s v=" -   "/>
    <s v=" -   "/>
    <n v="13000"/>
    <x v="2"/>
    <s v="P1"/>
    <m/>
    <m/>
    <m/>
    <m/>
    <m/>
    <m/>
    <m/>
    <m/>
    <m/>
    <m/>
    <x v="0"/>
    <s v="EN EJECUCION CON CONTRATO"/>
    <s v="000567-2026-SGSI"/>
    <s v="004438-2026-SGIST"/>
    <s v="002025-2026-GITE"/>
    <d v="2026-04-22T00:00:00"/>
    <m/>
    <s v="0518"/>
    <m/>
    <s v="MEMORANDO 002465-2026-GITE"/>
    <m/>
    <s v="CASTILLO"/>
    <s v="SALAZAR "/>
    <s v="RUITOR EDUARDO"/>
    <n v="77796795"/>
    <n v="10777967954"/>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DISEÑADOR MAQUETADOR 1_x000a_ANTES: ANALISTA DE PRUEBAS DE DESARROLLO DE SOFTWARE SENIOR 2_x000a_NUEVO: ANALISTA DE PRUEBAS FUNCIONAL 1 "/>
    <s v="LOCADOR"/>
    <n v="1"/>
    <n v="6000"/>
    <m/>
    <m/>
    <m/>
    <m/>
    <n v="30"/>
    <n v="30"/>
    <m/>
    <m/>
    <m/>
    <m/>
    <m/>
    <m/>
    <n v="12000"/>
    <s v=" -   "/>
    <s v=" -   "/>
    <s v=" -   "/>
    <s v=" -   "/>
    <n v="6000"/>
    <n v="6000"/>
    <s v=" -   "/>
    <s v=" -   "/>
    <s v=" -   "/>
    <s v=" -   "/>
    <s v=" -   "/>
    <s v=" -   "/>
    <n v="12000"/>
    <x v="2"/>
    <s v="P1"/>
    <m/>
    <m/>
    <m/>
    <m/>
    <m/>
    <m/>
    <m/>
    <m/>
    <m/>
    <m/>
    <x v="0"/>
    <s v="EN EJECUCION CON CONTRATO"/>
    <s v="000839-2026-SGSI/GITE"/>
    <s v="005834-2026-SGIST/GITE"/>
    <s v="002601-2026/GITE"/>
    <d v="2026-05-26T00:00:00"/>
    <m/>
    <m/>
    <m/>
    <m/>
    <m/>
    <s v="RODRIGUEZ"/>
    <s v="IPARRAGUIRRE"/>
    <s v="MIRTHA LUCY"/>
    <n v="72300067"/>
    <n v="10723000675"/>
    <n v="5500"/>
    <d v="2026-06-01T00:00:00"/>
    <d v="2026-06-30T00:00:00"/>
    <m/>
    <n v="30"/>
    <n v="6000"/>
    <m/>
    <n v="0"/>
    <m/>
    <n v="0"/>
    <n v="6000"/>
    <n v="6000"/>
    <m/>
    <n v="30"/>
    <n v="6000"/>
    <n v="30"/>
    <n v="5500"/>
    <n v="30"/>
    <n v="5500"/>
    <n v="500"/>
    <n v="500"/>
    <m/>
    <n v="12000"/>
    <n v="5500"/>
    <n v="5500"/>
    <n v="6500"/>
    <n v="65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DISEÑADOR MAQUETADOR 2_x000a_NUEVO: ANALISTA DE PRUEBAS DE DESARROLLO DE SOFTWARE SENIOR 3"/>
    <s v="LOCADOR"/>
    <n v="1"/>
    <n v="6000"/>
    <m/>
    <m/>
    <m/>
    <m/>
    <n v="30"/>
    <n v="30"/>
    <m/>
    <m/>
    <m/>
    <m/>
    <m/>
    <m/>
    <n v="12000"/>
    <s v=" -   "/>
    <s v=" -   "/>
    <s v=" -   "/>
    <s v=" -   "/>
    <n v="6000"/>
    <n v="6000"/>
    <s v=" -   "/>
    <s v=" -   "/>
    <s v=" -   "/>
    <s v=" -   "/>
    <s v=" -   "/>
    <s v=" -   "/>
    <n v="12000"/>
    <x v="2"/>
    <s v="P1"/>
    <m/>
    <m/>
    <m/>
    <m/>
    <m/>
    <m/>
    <m/>
    <m/>
    <m/>
    <m/>
    <x v="0"/>
    <s v="EN EJECUCION CON CONTRATO"/>
    <s v="000877-2026-SGSI"/>
    <s v="006103-2026-SGIST"/>
    <s v="002720-2026-GITE"/>
    <d v="2026-06-01T00:00:00"/>
    <m/>
    <m/>
    <m/>
    <m/>
    <m/>
    <s v="ARELLANOS "/>
    <s v="ZAVALETA "/>
    <s v="RONNY MAXIEL"/>
    <n v="70305766"/>
    <n v="10703057662"/>
    <n v="6000"/>
    <d v="2026-06-02T00:00:00"/>
    <d v="2026-06-30T00:00:00"/>
    <m/>
    <n v="30"/>
    <n v="6000"/>
    <m/>
    <n v="0"/>
    <m/>
    <n v="0"/>
    <n v="6000"/>
    <n v="6000"/>
    <m/>
    <n v="30"/>
    <n v="6000"/>
    <n v="29"/>
    <n v="5800"/>
    <n v="29"/>
    <n v="5800"/>
    <n v="200"/>
    <n v="200"/>
    <m/>
    <n v="12000"/>
    <n v="5800"/>
    <n v="5800"/>
    <n v="6200"/>
    <n v="62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ISEÑADOR MAQUETADOR 3"/>
    <s v="LOCADOR"/>
    <n v="1"/>
    <n v="6000"/>
    <m/>
    <m/>
    <m/>
    <m/>
    <n v="30"/>
    <n v="30"/>
    <m/>
    <m/>
    <m/>
    <m/>
    <m/>
    <m/>
    <n v="12000"/>
    <s v=" -   "/>
    <s v=" -   "/>
    <s v=" -   "/>
    <s v=" -   "/>
    <n v="6000"/>
    <n v="6000"/>
    <s v=" -   "/>
    <s v=" -   "/>
    <s v=" -   "/>
    <s v=" -   "/>
    <s v=" -   "/>
    <s v=" -   "/>
    <n v="12000"/>
    <x v="2"/>
    <s v="P1"/>
    <m/>
    <m/>
    <m/>
    <m/>
    <m/>
    <m/>
    <m/>
    <m/>
    <m/>
    <m/>
    <x v="0"/>
    <s v="EN EJECUCION CON CONTRATO"/>
    <s v="000567-2026-SGSI"/>
    <s v="004438-2026-SGIST"/>
    <s v="002025-2026-GITE"/>
    <d v="2026-04-22T00:00:00"/>
    <m/>
    <s v="0519"/>
    <m/>
    <s v="MEMORANDO 002465-2026-GITE"/>
    <m/>
    <s v="PEREA"/>
    <s v="CARRILLO"/>
    <s v="JOEL STEVEEN"/>
    <n v="40664846"/>
    <n v="10406648465"/>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ISEÑADOR MAQUETADOR 4"/>
    <s v="LOCADOR"/>
    <n v="1"/>
    <n v="6000"/>
    <m/>
    <m/>
    <m/>
    <m/>
    <n v="30"/>
    <n v="30"/>
    <m/>
    <m/>
    <m/>
    <m/>
    <m/>
    <m/>
    <n v="12000"/>
    <s v=" -   "/>
    <s v=" -   "/>
    <s v=" -   "/>
    <s v=" -   "/>
    <n v="6000"/>
    <n v="6000"/>
    <s v=" -   "/>
    <s v=" -   "/>
    <s v=" -   "/>
    <s v=" -   "/>
    <s v=" -   "/>
    <s v=" -   "/>
    <n v="12000"/>
    <x v="2"/>
    <s v="P1"/>
    <m/>
    <m/>
    <m/>
    <m/>
    <m/>
    <m/>
    <m/>
    <m/>
    <m/>
    <m/>
    <x v="0"/>
    <s v="EN EJECUCION CON CONTRATO"/>
    <s v="000567-2026-SGSI"/>
    <s v="004438-2026-SGIST"/>
    <s v="002025-2026-GITE"/>
    <d v="2026-04-22T00:00:00"/>
    <m/>
    <s v="0520"/>
    <m/>
    <s v="MEMORANDO 002465-2026-GITE"/>
    <m/>
    <s v="CAUSSO"/>
    <s v="GRADOS"/>
    <s v="CLAUDIA LARISSA"/>
    <n v="46312677"/>
    <n v="10463126777"/>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RQUITECTO DE DATOS EN LA NUBE"/>
    <s v="LOCADOR"/>
    <n v="1"/>
    <n v="10000"/>
    <m/>
    <m/>
    <m/>
    <m/>
    <n v="30"/>
    <n v="30"/>
    <m/>
    <m/>
    <m/>
    <m/>
    <m/>
    <m/>
    <n v="20000"/>
    <s v=" -   "/>
    <s v=" -   "/>
    <s v=" -   "/>
    <s v=" -   "/>
    <n v="10000"/>
    <n v="10000"/>
    <s v=" -   "/>
    <s v=" -   "/>
    <s v=" -   "/>
    <s v=" -   "/>
    <s v=" -   "/>
    <s v=" -   "/>
    <n v="20000"/>
    <x v="2"/>
    <s v="P1"/>
    <m/>
    <m/>
    <m/>
    <m/>
    <m/>
    <m/>
    <m/>
    <m/>
    <m/>
    <m/>
    <x v="0"/>
    <s v="EN EJECUCION CON CONTRATO"/>
    <s v="000567-2026-SGSI"/>
    <s v="004438-2026-SGIST"/>
    <s v="002025-2026-GITE"/>
    <d v="2026-04-22T00:00:00"/>
    <m/>
    <s v="0510"/>
    <m/>
    <s v="MEMORANDO 002465-2026-GITE"/>
    <m/>
    <s v="CANCHA "/>
    <s v="YAURI "/>
    <s v="JOHAN ANTONIO"/>
    <n v="77154215"/>
    <n v="10771542153"/>
    <n v="10000"/>
    <d v="2026-05-01T00:00:00"/>
    <d v="2026-06-30T00:00:00"/>
    <m/>
    <n v="30"/>
    <n v="10000"/>
    <n v="30"/>
    <n v="10000"/>
    <n v="3"/>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RQUITECTO DE SEGURIDAD EN LA NUBE"/>
    <s v="LOCADOR"/>
    <n v="1"/>
    <n v="10000"/>
    <m/>
    <m/>
    <m/>
    <m/>
    <n v="30"/>
    <n v="30"/>
    <m/>
    <m/>
    <m/>
    <m/>
    <m/>
    <m/>
    <n v="20000"/>
    <s v=" -   "/>
    <s v=" -   "/>
    <s v=" -   "/>
    <s v=" -   "/>
    <n v="10000"/>
    <n v="10000"/>
    <s v=" -   "/>
    <s v=" -   "/>
    <s v=" -   "/>
    <s v=" -   "/>
    <s v=" -   "/>
    <s v=" -   "/>
    <n v="20000"/>
    <x v="2"/>
    <s v="P1"/>
    <m/>
    <m/>
    <m/>
    <m/>
    <m/>
    <m/>
    <m/>
    <m/>
    <m/>
    <m/>
    <x v="0"/>
    <s v="EN EJECUCION CON CONTRATO"/>
    <s v="000567-2026-SGSI"/>
    <s v="004438-2026-SGIST"/>
    <s v="002025-2026-GITE"/>
    <d v="2026-04-22T00:00:00"/>
    <m/>
    <s v="0511"/>
    <m/>
    <s v="MEMORANDO 002465-2026-GITE"/>
    <m/>
    <s v="AMAYO"/>
    <s v="ZEVALLOS"/>
    <s v="CRISTIAN GIOVANNI"/>
    <n v="25705517"/>
    <n v="10257055171"/>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RQUITECTO DE SOLUCIONES EN LA NUBE"/>
    <s v="LOCADOR"/>
    <n v="1"/>
    <n v="10000"/>
    <m/>
    <m/>
    <m/>
    <m/>
    <n v="30"/>
    <n v="30"/>
    <m/>
    <m/>
    <m/>
    <m/>
    <m/>
    <m/>
    <n v="20000"/>
    <s v=" -   "/>
    <s v=" -   "/>
    <s v=" -   "/>
    <s v=" -   "/>
    <n v="10000"/>
    <n v="10000"/>
    <s v=" -   "/>
    <s v=" -   "/>
    <s v=" -   "/>
    <s v=" -   "/>
    <s v=" -   "/>
    <s v=" -   "/>
    <n v="20000"/>
    <x v="2"/>
    <s v="P1"/>
    <m/>
    <m/>
    <m/>
    <m/>
    <m/>
    <m/>
    <m/>
    <m/>
    <m/>
    <m/>
    <x v="0"/>
    <s v="EN EJECUCION CON CONTRATO"/>
    <s v="000567-2026-SGSI"/>
    <s v="004438-2026-SGIST"/>
    <s v="002025-2026-GITE"/>
    <d v="2026-04-22T00:00:00"/>
    <m/>
    <s v="0512"/>
    <m/>
    <s v="MEMORANDO 002465-2026-GITE"/>
    <m/>
    <s v="ARIZOLA"/>
    <s v="YANAC"/>
    <s v="CARLOS"/>
    <n v="72873519"/>
    <n v="10728735193"/>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RQUITECTO DE SOFTWARE 1"/>
    <s v="LOCADOR"/>
    <n v="1"/>
    <n v="9000"/>
    <m/>
    <m/>
    <m/>
    <m/>
    <n v="30"/>
    <n v="0"/>
    <m/>
    <m/>
    <m/>
    <m/>
    <m/>
    <m/>
    <n v="9000"/>
    <s v=" -   "/>
    <s v=" -   "/>
    <s v=" -   "/>
    <s v=" -   "/>
    <n v="9000"/>
    <n v="0"/>
    <s v=" -   "/>
    <s v=" -   "/>
    <s v=" -   "/>
    <s v=" -   "/>
    <s v=" -   "/>
    <s v=" -   "/>
    <n v="9000"/>
    <x v="2"/>
    <s v="P1"/>
    <m/>
    <m/>
    <m/>
    <m/>
    <m/>
    <m/>
    <m/>
    <m/>
    <m/>
    <m/>
    <x v="0"/>
    <s v="EN EJECUCION CON CONTRATO"/>
    <s v="000567-2026-SGSI"/>
    <s v="004438-2026-SGIST"/>
    <s v="002025-2026-GITE"/>
    <d v="2026-04-22T00:00:00"/>
    <m/>
    <s v="0513"/>
    <m/>
    <s v="MEMORANDO 002465-2026-GITE"/>
    <m/>
    <s v="FLORES"/>
    <s v="CASTRO"/>
    <s v="KEVIN ANDRES"/>
    <n v="47816158"/>
    <n v="10478161587"/>
    <n v="9000"/>
    <d v="2026-05-01T00:00:00"/>
    <d v="2026-05-31T00:00:00"/>
    <m/>
    <n v="30"/>
    <n v="9000"/>
    <n v="30"/>
    <n v="9000"/>
    <n v="30"/>
    <n v="9000"/>
    <n v="0"/>
    <n v="0"/>
    <m/>
    <n v="0"/>
    <n v="0"/>
    <m/>
    <n v="0"/>
    <m/>
    <n v="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RQUITECTO DE SOFTWARE 1"/>
    <s v="LOCADOR"/>
    <n v="1"/>
    <n v="9000"/>
    <m/>
    <m/>
    <m/>
    <m/>
    <n v="0"/>
    <n v="30"/>
    <m/>
    <m/>
    <m/>
    <m/>
    <m/>
    <m/>
    <n v="9000"/>
    <s v=" -   "/>
    <s v=" -   "/>
    <s v=" -   "/>
    <s v=" -   "/>
    <n v="0"/>
    <n v="9000"/>
    <s v=" -   "/>
    <s v=" -   "/>
    <s v=" -   "/>
    <s v=" -   "/>
    <s v=" -   "/>
    <s v=" -   "/>
    <n v="9000"/>
    <x v="2"/>
    <s v="P1"/>
    <m/>
    <m/>
    <m/>
    <m/>
    <m/>
    <m/>
    <m/>
    <m/>
    <m/>
    <m/>
    <x v="0"/>
    <s v="EN EJECUCION CON CONTRATO"/>
    <s v="000744-2026-SGSI/GITE"/>
    <s v="005330-2026-SGSIT/GITE"/>
    <s v="0024092026/GITE"/>
    <d v="2026-05-14T00:00:00"/>
    <m/>
    <s v="0513"/>
    <m/>
    <m/>
    <m/>
    <s v="FLORES"/>
    <s v="CASTRO"/>
    <s v="KEVIN ANDRES"/>
    <n v="47816158"/>
    <n v="10478161587"/>
    <n v="9000"/>
    <d v="2026-06-01T00:00:00"/>
    <d v="2026-06-30T00:00:00"/>
    <m/>
    <n v="0"/>
    <n v="0"/>
    <m/>
    <n v="0"/>
    <m/>
    <n v="0"/>
    <n v="0"/>
    <n v="0"/>
    <m/>
    <n v="30"/>
    <n v="9000"/>
    <n v="30"/>
    <n v="9000"/>
    <n v="30"/>
    <n v="90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SISTENTE DE PROYECTOS DE SOFTWARE 1"/>
    <s v="LOCADOR"/>
    <n v="1"/>
    <n v="4500"/>
    <m/>
    <m/>
    <m/>
    <m/>
    <n v="30"/>
    <n v="30"/>
    <m/>
    <m/>
    <m/>
    <m/>
    <m/>
    <m/>
    <n v="9000"/>
    <s v=" -   "/>
    <s v=" -   "/>
    <s v=" -   "/>
    <s v=" -   "/>
    <n v="4500"/>
    <n v="4500"/>
    <s v=" -   "/>
    <s v=" -   "/>
    <s v=" -   "/>
    <s v=" -   "/>
    <s v=" -   "/>
    <s v=" -   "/>
    <n v="9000"/>
    <x v="2"/>
    <s v="P1"/>
    <m/>
    <m/>
    <m/>
    <m/>
    <m/>
    <m/>
    <m/>
    <m/>
    <m/>
    <m/>
    <x v="0"/>
    <s v="EN EJECUCION CON CONTRATO"/>
    <s v="000566-2026-SGSI/GITE"/>
    <s v="004445-2026-SGIST/GITE"/>
    <s v="002026-2026/GITE"/>
    <d v="2026-04-22T00:00:00"/>
    <m/>
    <s v="0726"/>
    <m/>
    <s v="MEMORANDO 002467-2026-GITE"/>
    <m/>
    <s v="TORRES"/>
    <s v="MENDOZA"/>
    <s v="WENDY VALERIA"/>
    <n v="43216000"/>
    <n v="10432160004"/>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SISTENTE TECNICO INFORMATICO"/>
    <s v="LOCADOR"/>
    <n v="1"/>
    <n v="5000"/>
    <m/>
    <m/>
    <m/>
    <m/>
    <n v="30"/>
    <n v="30"/>
    <m/>
    <m/>
    <m/>
    <m/>
    <m/>
    <m/>
    <n v="10000"/>
    <s v=" -   "/>
    <s v=" -   "/>
    <s v=" -   "/>
    <s v=" -   "/>
    <n v="5000"/>
    <n v="5000"/>
    <s v=" -   "/>
    <s v=" -   "/>
    <s v=" -   "/>
    <s v=" -   "/>
    <s v=" -   "/>
    <s v=" -   "/>
    <n v="10000"/>
    <x v="2"/>
    <s v="P1"/>
    <m/>
    <m/>
    <m/>
    <m/>
    <m/>
    <m/>
    <m/>
    <m/>
    <m/>
    <m/>
    <x v="0"/>
    <s v="EN EJECUCION CON CONTRATO"/>
    <s v="000566-2026-SGSI/GITE"/>
    <s v="004445-2026-SGIST/GITE"/>
    <s v="002026-2026/GITE"/>
    <d v="2026-04-22T00:00:00"/>
    <m/>
    <s v="0729"/>
    <m/>
    <s v="MEMORANDO 002467-2026-GITE"/>
    <m/>
    <s v="ESPICHAN"/>
    <s v="MORENO"/>
    <s v="CESAR DAVID"/>
    <n v="70548308"/>
    <n v="10705483081"/>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ADMINISTRATIVO DE PROYECTOS"/>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30"/>
    <m/>
    <s v="MEMORANDO 002467-2026-GITE"/>
    <m/>
    <s v="ADRIANO"/>
    <s v="VALENTIN"/>
    <s v="MAGDELIZ DIANA"/>
    <n v="73771409"/>
    <n v="1073771409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SISTENTE TECNICO DE GESTION DE PROYECTOS"/>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28"/>
    <m/>
    <s v="MEMORANDO 002467-2026-GITE"/>
    <m/>
    <s v="HINOSTROZA"/>
    <s v="PALOMINO"/>
    <s v="MICHELL DIANA"/>
    <s v="72307148"/>
    <n v="1072307148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SISTENTE DE SISTEMAS DE INFORMACION"/>
    <s v="LOCADOR"/>
    <n v="1"/>
    <n v="5500"/>
    <m/>
    <m/>
    <m/>
    <m/>
    <n v="30"/>
    <n v="30"/>
    <m/>
    <m/>
    <m/>
    <m/>
    <m/>
    <m/>
    <n v="11000"/>
    <s v=" -   "/>
    <s v=" -   "/>
    <s v=" -   "/>
    <s v=" -   "/>
    <n v="5500"/>
    <n v="5500"/>
    <s v=" -   "/>
    <s v=" -   "/>
    <s v=" -   "/>
    <s v=" -   "/>
    <s v=" -   "/>
    <s v=" -   "/>
    <n v="11000"/>
    <x v="2"/>
    <s v="P1"/>
    <m/>
    <m/>
    <m/>
    <m/>
    <m/>
    <m/>
    <m/>
    <m/>
    <m/>
    <m/>
    <x v="0"/>
    <s v="EN EJECUCION CON CONTRATO"/>
    <s v="000566-2026-SGSI/GITE"/>
    <s v="004445-2026-SGIST/GITE"/>
    <s v="002026-2026/GITE"/>
    <d v="2026-04-22T00:00:00"/>
    <m/>
    <s v="0727"/>
    <m/>
    <s v="MEMORANDO 002467-2026-GITE"/>
    <m/>
    <s v="ROJAS"/>
    <s v="ROJAS"/>
    <s v="JORGE LUIS"/>
    <n v="46143"/>
    <n v="46203"/>
    <n v="5500"/>
    <d v="2026-05-01T00:00:00"/>
    <d v="2026-06-30T00:00:00"/>
    <m/>
    <n v="30"/>
    <n v="5500"/>
    <n v="30"/>
    <n v="5500"/>
    <n v="30"/>
    <n v="5500"/>
    <n v="0"/>
    <n v="0"/>
    <m/>
    <n v="30"/>
    <n v="5500"/>
    <n v="30"/>
    <n v="5500"/>
    <n v="30"/>
    <n v="5500"/>
    <n v="0"/>
    <n v="0"/>
    <m/>
    <n v="11000"/>
    <n v="11000"/>
    <n v="11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OYECTOS DE TI"/>
    <s v="LOCADOR"/>
    <n v="1"/>
    <n v="6500"/>
    <m/>
    <m/>
    <m/>
    <m/>
    <n v="30"/>
    <n v="0"/>
    <m/>
    <m/>
    <m/>
    <m/>
    <m/>
    <m/>
    <n v="6500"/>
    <s v=" -   "/>
    <s v=" -   "/>
    <s v=" -   "/>
    <s v=" -   "/>
    <n v="6500"/>
    <n v="0"/>
    <s v=" -   "/>
    <s v=" -   "/>
    <s v=" -   "/>
    <s v=" -   "/>
    <s v=" -   "/>
    <s v=" -   "/>
    <n v="6500"/>
    <x v="2"/>
    <s v="P1"/>
    <m/>
    <m/>
    <m/>
    <m/>
    <m/>
    <m/>
    <m/>
    <m/>
    <m/>
    <m/>
    <x v="0"/>
    <s v="EN EJECUCION CON CONTRATO"/>
    <s v="000566-2026-SGSI/GITE"/>
    <s v="004445-2026-SGIST/GITE"/>
    <s v="002026-2026/GITE"/>
    <d v="2026-04-22T00:00:00"/>
    <m/>
    <s v="0731"/>
    <m/>
    <s v="MEMORANDO 002467-2026-GITE"/>
    <m/>
    <s v="CARREAZO"/>
    <s v="PARIASCA"/>
    <s v="EVILA ELIZABETH"/>
    <n v="41846729"/>
    <n v="10418467296"/>
    <n v="6500"/>
    <d v="2026-05-01T00:00:00"/>
    <d v="2026-05-31T00:00:00"/>
    <m/>
    <n v="30"/>
    <n v="6500"/>
    <n v="30"/>
    <n v="6500"/>
    <n v="30"/>
    <n v="6500"/>
    <n v="0"/>
    <n v="0"/>
    <m/>
    <n v="0"/>
    <n v="0"/>
    <m/>
    <n v="0"/>
    <m/>
    <n v="0"/>
    <n v="0"/>
    <n v="0"/>
    <m/>
    <n v="6500"/>
    <n v="6500"/>
    <n v="6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OYECTOS DE TI"/>
    <s v="LOCADOR"/>
    <n v="1"/>
    <n v="6500"/>
    <m/>
    <m/>
    <m/>
    <m/>
    <n v="0"/>
    <n v="30"/>
    <m/>
    <m/>
    <m/>
    <m/>
    <m/>
    <m/>
    <n v="6500"/>
    <s v=" -   "/>
    <s v=" -   "/>
    <s v=" -   "/>
    <s v=" -   "/>
    <n v="0"/>
    <n v="6500"/>
    <s v=" -   "/>
    <s v=" -   "/>
    <s v=" -   "/>
    <s v=" -   "/>
    <s v=" -   "/>
    <s v=" -   "/>
    <n v="6500"/>
    <x v="2"/>
    <s v="P1"/>
    <m/>
    <m/>
    <m/>
    <m/>
    <m/>
    <m/>
    <m/>
    <m/>
    <m/>
    <m/>
    <x v="0"/>
    <s v="EN EJECUCION CON CONTRATO"/>
    <s v="000744-2026-SGSI/GITE"/>
    <s v="005330-2026-SGSIT/GITE"/>
    <s v="0024092026/GITE"/>
    <d v="2026-05-14T00:00:00"/>
    <m/>
    <s v="0731"/>
    <m/>
    <m/>
    <m/>
    <s v="CARREAZO"/>
    <s v="PARIASCA"/>
    <s v="EVILA ELIZABETH"/>
    <n v="41846729"/>
    <n v="10418467296"/>
    <n v="6500"/>
    <d v="2026-06-01T00:00:00"/>
    <d v="2026-06-30T00:00:00"/>
    <m/>
    <n v="0"/>
    <n v="0"/>
    <m/>
    <n v="0"/>
    <m/>
    <n v="0"/>
    <n v="0"/>
    <n v="0"/>
    <m/>
    <n v="30"/>
    <n v="6500"/>
    <n v="30"/>
    <n v="6500"/>
    <n v="30"/>
    <n v="6500"/>
    <n v="0"/>
    <n v="0"/>
    <m/>
    <n v="6500"/>
    <n v="6500"/>
    <n v="6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PROYECTOS TI 1"/>
    <s v="LOCADOR"/>
    <n v="1"/>
    <n v="9000"/>
    <m/>
    <m/>
    <m/>
    <m/>
    <n v="30"/>
    <n v="30"/>
    <m/>
    <m/>
    <m/>
    <m/>
    <m/>
    <m/>
    <n v="18000"/>
    <s v=" -   "/>
    <s v=" -   "/>
    <s v=" -   "/>
    <s v=" -   "/>
    <n v="9000"/>
    <n v="9000"/>
    <s v=" -   "/>
    <s v=" -   "/>
    <s v=" -   "/>
    <s v=" -   "/>
    <s v=" -   "/>
    <s v=" -   "/>
    <n v="18000"/>
    <x v="2"/>
    <s v="P1"/>
    <m/>
    <m/>
    <m/>
    <m/>
    <m/>
    <m/>
    <m/>
    <m/>
    <m/>
    <m/>
    <x v="0"/>
    <s v="EN EJECUCION CON CONTRATO"/>
    <s v="000877-2026-SGSI"/>
    <s v="006103-2026-SGIST"/>
    <s v="002720-2026-GITE"/>
    <d v="2026-06-01T00:00:00"/>
    <m/>
    <m/>
    <m/>
    <m/>
    <m/>
    <s v="VIDAL"/>
    <s v=" MATOS"/>
    <s v=" LIZ NATALIA"/>
    <s v="´08144764"/>
    <n v="10081447646"/>
    <n v="9000"/>
    <d v="2026-06-02T00:00:00"/>
    <d v="2026-06-30T00:00:00"/>
    <m/>
    <n v="30"/>
    <n v="9000"/>
    <m/>
    <n v="0"/>
    <m/>
    <n v="0"/>
    <n v="9000"/>
    <n v="9000"/>
    <m/>
    <n v="30"/>
    <n v="9000"/>
    <n v="29"/>
    <n v="8700"/>
    <n v="29"/>
    <n v="8700"/>
    <n v="300"/>
    <n v="300"/>
    <m/>
    <n v="18000"/>
    <n v="8700"/>
    <n v="8700"/>
    <n v="9300"/>
    <n v="93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PROYECTOS 1"/>
    <s v="LOCADOR"/>
    <n v="1"/>
    <n v="8500"/>
    <m/>
    <m/>
    <m/>
    <m/>
    <n v="30"/>
    <n v="30"/>
    <m/>
    <m/>
    <m/>
    <m/>
    <m/>
    <m/>
    <n v="17000"/>
    <s v=" -   "/>
    <s v=" -   "/>
    <s v=" -   "/>
    <s v=" -   "/>
    <n v="8500"/>
    <n v="8500"/>
    <s v=" -   "/>
    <s v=" -   "/>
    <s v=" -   "/>
    <s v=" -   "/>
    <s v=" -   "/>
    <s v=" -   "/>
    <n v="17000"/>
    <x v="2"/>
    <s v="P1"/>
    <m/>
    <m/>
    <m/>
    <m/>
    <m/>
    <m/>
    <m/>
    <m/>
    <m/>
    <m/>
    <x v="0"/>
    <s v="EN EJECUCION CON CONTRATO"/>
    <s v="000567-2026-SGSI"/>
    <s v="004438-2026-SGIST"/>
    <s v="002025-2026-GITE"/>
    <d v="2026-04-22T00:00:00"/>
    <m/>
    <s v="0542"/>
    <m/>
    <s v="MEMORANDO 002465-2026-GITE"/>
    <m/>
    <s v="VILCA"/>
    <s v="RETAMOZO"/>
    <s v="CLARA CARMEN"/>
    <n v="43515206"/>
    <n v="10435152061"/>
    <n v="8500"/>
    <d v="2026-05-01T00:00:00"/>
    <d v="2026-06-30T00:00:00"/>
    <m/>
    <n v="30"/>
    <n v="8500"/>
    <n v="30"/>
    <n v="8500"/>
    <n v="30"/>
    <n v="8500"/>
    <n v="0"/>
    <n v="0"/>
    <m/>
    <n v="30"/>
    <n v="8500"/>
    <n v="30"/>
    <n v="8500"/>
    <n v="30"/>
    <n v="8500"/>
    <n v="0"/>
    <n v="0"/>
    <m/>
    <n v="17000"/>
    <n v="17000"/>
    <n v="1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GESTOR DE PROYECTOS 2"/>
    <s v="LOCADOR"/>
    <n v="1"/>
    <n v="8500"/>
    <m/>
    <m/>
    <m/>
    <m/>
    <n v="30"/>
    <n v="0"/>
    <m/>
    <m/>
    <m/>
    <m/>
    <m/>
    <m/>
    <n v="8500"/>
    <s v=" -   "/>
    <s v=" -   "/>
    <s v=" -   "/>
    <s v=" -   "/>
    <n v="8500"/>
    <n v="0"/>
    <s v=" -   "/>
    <s v=" -   "/>
    <s v=" -   "/>
    <s v=" -   "/>
    <s v=" -   "/>
    <s v=" -   "/>
    <n v="8500"/>
    <x v="2"/>
    <s v="P1"/>
    <m/>
    <m/>
    <m/>
    <m/>
    <m/>
    <m/>
    <m/>
    <m/>
    <m/>
    <m/>
    <x v="0"/>
    <s v="EN EJECUCION CON CONTRATO"/>
    <s v="000567-2026-SGSI"/>
    <s v="004438-2026-SGIST"/>
    <s v="002025-2026-GITE"/>
    <d v="2026-04-22T00:00:00"/>
    <m/>
    <s v="0543"/>
    <m/>
    <s v="MEMORANDO 002465-2026-GITE"/>
    <m/>
    <s v="OSCANOA"/>
    <s v="OJEDA"/>
    <s v="LUISA"/>
    <n v="41212885"/>
    <n v="10412128856"/>
    <n v="8500"/>
    <d v="2026-05-01T00:00:00"/>
    <d v="2026-05-31T00:00:00"/>
    <m/>
    <n v="30"/>
    <n v="8500"/>
    <n v="30"/>
    <n v="8500"/>
    <n v="30"/>
    <n v="8500"/>
    <n v="0"/>
    <n v="0"/>
    <m/>
    <n v="0"/>
    <n v="0"/>
    <m/>
    <n v="0"/>
    <m/>
    <n v="0"/>
    <n v="0"/>
    <n v="0"/>
    <m/>
    <n v="8500"/>
    <n v="8500"/>
    <n v="8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PROYECTOS 2"/>
    <s v="LOCADOR"/>
    <n v="1"/>
    <n v="8500"/>
    <m/>
    <m/>
    <m/>
    <m/>
    <n v="0"/>
    <n v="30"/>
    <m/>
    <m/>
    <m/>
    <m/>
    <m/>
    <m/>
    <n v="8500"/>
    <s v=" -   "/>
    <s v=" -   "/>
    <s v=" -   "/>
    <s v=" -   "/>
    <n v="0"/>
    <n v="8500"/>
    <s v=" -   "/>
    <s v=" -   "/>
    <s v=" -   "/>
    <s v=" -   "/>
    <s v=" -   "/>
    <s v=" -   "/>
    <n v="8500"/>
    <x v="2"/>
    <s v="P1"/>
    <m/>
    <m/>
    <m/>
    <m/>
    <m/>
    <m/>
    <m/>
    <m/>
    <m/>
    <m/>
    <x v="0"/>
    <s v="EN EJECUCION CON CONTRATO"/>
    <s v="000744-2026-SGSI/GITE"/>
    <s v="005330-2026-SGSIT/GITE"/>
    <s v="0024092026/GITE"/>
    <d v="2026-05-14T00:00:00"/>
    <m/>
    <s v="0543"/>
    <m/>
    <m/>
    <m/>
    <s v="OSCANOA"/>
    <s v="OJEDA"/>
    <s v="LUISA"/>
    <n v="41212885"/>
    <n v="10412128856"/>
    <n v="8500"/>
    <d v="2026-06-01T00:00:00"/>
    <d v="2026-06-30T00:00:00"/>
    <m/>
    <n v="0"/>
    <n v="0"/>
    <m/>
    <n v="0"/>
    <m/>
    <n v="0"/>
    <n v="0"/>
    <n v="0"/>
    <m/>
    <n v="30"/>
    <n v="8500"/>
    <n v="30"/>
    <n v="8500"/>
    <n v="30"/>
    <n v="8500"/>
    <n v="0"/>
    <n v="0"/>
    <m/>
    <n v="8500"/>
    <n v="8500"/>
    <n v="8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PROYECTOS TI 2"/>
    <s v="LOCADOR"/>
    <n v="1"/>
    <n v="9000"/>
    <m/>
    <m/>
    <m/>
    <m/>
    <n v="30"/>
    <n v="30"/>
    <m/>
    <m/>
    <m/>
    <m/>
    <m/>
    <m/>
    <n v="18000"/>
    <s v=" -   "/>
    <s v=" -   "/>
    <s v=" -   "/>
    <s v=" -   "/>
    <n v="9000"/>
    <n v="9000"/>
    <s v=" -   "/>
    <s v=" -   "/>
    <s v=" -   "/>
    <s v=" -   "/>
    <s v=" -   "/>
    <s v=" -   "/>
    <n v="18000"/>
    <x v="2"/>
    <s v="P1"/>
    <m/>
    <m/>
    <m/>
    <m/>
    <m/>
    <m/>
    <m/>
    <m/>
    <m/>
    <m/>
    <x v="0"/>
    <s v="EN EJECUCION CON CONTRATO"/>
    <s v="00726-2026-SGSI/GITE"/>
    <s v="005274-2026-SGIST/GITE"/>
    <s v="002376-2026/GITE"/>
    <d v="2026-05-13T00:00:00"/>
    <m/>
    <n v="4561"/>
    <m/>
    <m/>
    <m/>
    <s v="SIRLOPU"/>
    <s v="CUMPA"/>
    <s v="MIGUEL ANGEL"/>
    <n v="73130609"/>
    <n v="10731306091"/>
    <n v="9000"/>
    <d v="2026-05-18T00:00:00"/>
    <d v="2026-06-30T00:00:00"/>
    <m/>
    <n v="30"/>
    <n v="9000"/>
    <n v="14"/>
    <n v="4200"/>
    <n v="14"/>
    <n v="4200"/>
    <n v="4800"/>
    <n v="4800"/>
    <m/>
    <n v="30"/>
    <n v="9000"/>
    <n v="30"/>
    <n v="9000"/>
    <n v="30"/>
    <n v="9000"/>
    <n v="0"/>
    <n v="0"/>
    <m/>
    <n v="18000"/>
    <n v="13200"/>
    <n v="13200"/>
    <n v="4800"/>
    <n v="48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DESARROLLO"/>
    <s v="LOCADOR"/>
    <n v="1"/>
    <n v="9000"/>
    <m/>
    <m/>
    <m/>
    <m/>
    <n v="30"/>
    <n v="30"/>
    <m/>
    <m/>
    <m/>
    <m/>
    <m/>
    <m/>
    <n v="18000"/>
    <s v=" -   "/>
    <s v=" -   "/>
    <s v=" -   "/>
    <s v=" -   "/>
    <n v="9000"/>
    <n v="9000"/>
    <s v=" -   "/>
    <s v=" -   "/>
    <s v=" -   "/>
    <s v=" -   "/>
    <s v=" -   "/>
    <s v=" -   "/>
    <n v="18000"/>
    <x v="2"/>
    <s v="P1"/>
    <m/>
    <m/>
    <m/>
    <m/>
    <m/>
    <m/>
    <m/>
    <m/>
    <m/>
    <m/>
    <x v="0"/>
    <s v="EN EJECUCION CON CONTRATO"/>
    <s v="000567-2026-SGSI"/>
    <s v="004438-2026-SGIST"/>
    <s v="002025-2026-GITE"/>
    <d v="2026-04-22T00:00:00"/>
    <m/>
    <s v="0541"/>
    <m/>
    <s v="MEMORANDO 002465-2026-GITE"/>
    <m/>
    <s v="CHAVEZ"/>
    <s v="CHUQUIVAL"/>
    <s v="REGINA"/>
    <n v="9907890"/>
    <n v="10099078907"/>
    <n v="9000"/>
    <d v="2026-05-01T00:00:00"/>
    <d v="2026-06-30T00:00:00"/>
    <m/>
    <n v="30"/>
    <n v="9000"/>
    <n v="30"/>
    <n v="9000"/>
    <n v="30"/>
    <n v="9000"/>
    <n v="0"/>
    <n v="0"/>
    <m/>
    <n v="30"/>
    <n v="9000"/>
    <n v="30"/>
    <n v="9000"/>
    <n v="30"/>
    <n v="9000"/>
    <n v="0"/>
    <n v="0"/>
    <m/>
    <n v="18000"/>
    <n v="18000"/>
    <n v="18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PROYECTOS DE SOFTWARE 1"/>
    <s v="LOCADOR"/>
    <n v="1"/>
    <n v="10000"/>
    <m/>
    <m/>
    <m/>
    <m/>
    <n v="30"/>
    <n v="30"/>
    <m/>
    <m/>
    <m/>
    <m/>
    <m/>
    <m/>
    <n v="20000"/>
    <s v=" -   "/>
    <s v=" -   "/>
    <s v=" -   "/>
    <s v=" -   "/>
    <n v="10000"/>
    <n v="10000"/>
    <s v=" -   "/>
    <s v=" -   "/>
    <s v=" -   "/>
    <s v=" -   "/>
    <s v=" -   "/>
    <s v=" -   "/>
    <n v="20000"/>
    <x v="2"/>
    <s v="P1"/>
    <m/>
    <m/>
    <m/>
    <m/>
    <m/>
    <m/>
    <m/>
    <m/>
    <m/>
    <m/>
    <x v="0"/>
    <s v="EN EJECUCION CON CONTRATO"/>
    <s v="00851-2026-SGSI-2026"/>
    <s v="005947-2026-SGIST"/>
    <s v="002639-2026/GITE"/>
    <d v="2026-05-27T00:00:00"/>
    <m/>
    <m/>
    <m/>
    <m/>
    <m/>
    <s v="RODRIGUEZ"/>
    <s v="TORRES"/>
    <s v="JOSE LUIS"/>
    <n v="42881238"/>
    <n v="10428812382"/>
    <n v="10000"/>
    <d v="2026-06-01T00:00:00"/>
    <d v="2026-06-30T00:00:00"/>
    <m/>
    <n v="30"/>
    <n v="10000"/>
    <m/>
    <n v="0"/>
    <m/>
    <n v="0"/>
    <n v="10000"/>
    <n v="10000"/>
    <m/>
    <n v="30"/>
    <n v="10000"/>
    <n v="30"/>
    <n v="10000"/>
    <n v="30"/>
    <n v="10000"/>
    <n v="0"/>
    <n v="0"/>
    <m/>
    <n v="20000"/>
    <n v="10000"/>
    <n v="10000"/>
    <n v="10000"/>
    <n v="1000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DE PROYECTOS 1"/>
    <s v="LOCADOR"/>
    <n v="1"/>
    <n v="8500"/>
    <m/>
    <m/>
    <m/>
    <m/>
    <n v="30"/>
    <n v="0"/>
    <m/>
    <m/>
    <m/>
    <m/>
    <m/>
    <m/>
    <n v="8500"/>
    <s v=" -   "/>
    <s v=" -   "/>
    <s v=" -   "/>
    <s v=" -   "/>
    <n v="8500"/>
    <n v="0"/>
    <s v=" -   "/>
    <s v=" -   "/>
    <s v=" -   "/>
    <s v=" -   "/>
    <s v=" -   "/>
    <s v=" -   "/>
    <n v="8500"/>
    <x v="2"/>
    <s v="P1"/>
    <m/>
    <m/>
    <m/>
    <m/>
    <m/>
    <m/>
    <m/>
    <m/>
    <m/>
    <m/>
    <x v="0"/>
    <s v="EN EJECUCION CON CONTRATO"/>
    <s v="000566-2026-SGSI/GITE"/>
    <s v="004445-2026-SGIST/GITE"/>
    <s v="002026-2026/GITE"/>
    <d v="2026-04-22T00:00:00"/>
    <m/>
    <s v="0733"/>
    <m/>
    <s v="MEMORANDO 002467-2026-GITE"/>
    <m/>
    <s v="CENTURION"/>
    <s v="BARDALES"/>
    <s v="CARLOMAN ALBERTO"/>
    <n v="47318665"/>
    <n v="10473186654"/>
    <n v="8500"/>
    <d v="2026-05-01T00:00:00"/>
    <d v="2026-05-31T00:00:00"/>
    <m/>
    <n v="30"/>
    <n v="8500"/>
    <n v="30"/>
    <n v="8500"/>
    <n v="30"/>
    <n v="8500"/>
    <n v="0"/>
    <n v="0"/>
    <m/>
    <n v="0"/>
    <n v="0"/>
    <m/>
    <n v="0"/>
    <m/>
    <n v="0"/>
    <n v="0"/>
    <n v="0"/>
    <m/>
    <n v="8500"/>
    <n v="8500"/>
    <n v="8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COORDINADOR DE PROYECTOS 1"/>
    <s v="LOCADOR"/>
    <n v="1"/>
    <n v="8500"/>
    <m/>
    <m/>
    <m/>
    <m/>
    <n v="0"/>
    <n v="30"/>
    <m/>
    <m/>
    <m/>
    <m/>
    <m/>
    <m/>
    <n v="8500"/>
    <s v=" -   "/>
    <s v=" -   "/>
    <s v=" -   "/>
    <s v=" -   "/>
    <n v="0"/>
    <n v="8500"/>
    <s v=" -   "/>
    <s v=" -   "/>
    <s v=" -   "/>
    <s v=" -   "/>
    <s v=" -   "/>
    <s v=" -   "/>
    <n v="8500"/>
    <x v="2"/>
    <s v="P1"/>
    <m/>
    <m/>
    <m/>
    <m/>
    <m/>
    <m/>
    <m/>
    <m/>
    <m/>
    <m/>
    <x v="0"/>
    <s v="EN EJECUCION CON CONTRATO"/>
    <s v="000744-2026-SGSI/GITE"/>
    <s v="005330-2026-SGSIT/GITE"/>
    <s v="0024092026/GITE"/>
    <d v="2026-05-14T00:00:00"/>
    <m/>
    <s v="0733"/>
    <m/>
    <m/>
    <m/>
    <s v="CENTURION"/>
    <s v="BARDALES"/>
    <s v="CARLOMAN ALBERTO"/>
    <n v="47318665"/>
    <n v="10473186654"/>
    <n v="8500"/>
    <d v="2026-06-01T00:00:00"/>
    <d v="2026-06-30T00:00:00"/>
    <m/>
    <n v="0"/>
    <n v="0"/>
    <m/>
    <n v="0"/>
    <m/>
    <n v="0"/>
    <n v="0"/>
    <n v="0"/>
    <m/>
    <n v="30"/>
    <n v="8500"/>
    <n v="30"/>
    <n v="8500"/>
    <n v="30"/>
    <n v="8500"/>
    <n v="0"/>
    <n v="0"/>
    <m/>
    <n v="8500"/>
    <n v="8500"/>
    <n v="8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UX/UI"/>
    <s v="LOCADOR"/>
    <n v="1"/>
    <n v="8000"/>
    <m/>
    <m/>
    <m/>
    <m/>
    <n v="30"/>
    <n v="0"/>
    <m/>
    <m/>
    <m/>
    <m/>
    <m/>
    <m/>
    <n v="8000"/>
    <s v=" -   "/>
    <s v=" -   "/>
    <s v=" -   "/>
    <s v=" -   "/>
    <n v="8000"/>
    <n v="0"/>
    <s v=" -   "/>
    <s v=" -   "/>
    <s v=" -   "/>
    <s v=" -   "/>
    <s v=" -   "/>
    <s v=" -   "/>
    <n v="8000"/>
    <x v="2"/>
    <s v="P1"/>
    <m/>
    <m/>
    <m/>
    <m/>
    <m/>
    <m/>
    <m/>
    <m/>
    <m/>
    <m/>
    <x v="0"/>
    <s v="EN EJECUCION CON CONTRATO"/>
    <s v="000567-2026-SGSI"/>
    <s v="004438-2026-SGIST"/>
    <s v="002025-2026-GITE"/>
    <d v="2026-04-22T00:00:00"/>
    <m/>
    <s v="0514"/>
    <m/>
    <s v="MEMORANDO 002465-2026-GITE"/>
    <m/>
    <s v="SALAS"/>
    <s v="ZAMBRANO"/>
    <s v="CARLOS"/>
    <n v="43446209"/>
    <n v="10434462091"/>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COORDINADOR UX/UI"/>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514"/>
    <m/>
    <m/>
    <m/>
    <s v="SALAS"/>
    <s v="ZAMBRANO"/>
    <s v="CARLOS"/>
    <n v="43446209"/>
    <n v="10434462091"/>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ESPECIALISTA EN GESTION DE PROYECTOS"/>
    <s v="LOCADOR"/>
    <n v="1"/>
    <n v="12000"/>
    <m/>
    <m/>
    <m/>
    <m/>
    <n v="30"/>
    <n v="30"/>
    <m/>
    <m/>
    <m/>
    <m/>
    <m/>
    <m/>
    <n v="24000"/>
    <s v=" -   "/>
    <s v=" -   "/>
    <s v=" -   "/>
    <s v=" -   "/>
    <n v="12000"/>
    <n v="12000"/>
    <s v=" -   "/>
    <s v=" -   "/>
    <s v=" -   "/>
    <s v=" -   "/>
    <s v=" -   "/>
    <s v=" -   "/>
    <n v="24000"/>
    <x v="2"/>
    <s v="P1"/>
    <m/>
    <m/>
    <m/>
    <m/>
    <m/>
    <m/>
    <m/>
    <m/>
    <m/>
    <m/>
    <x v="0"/>
    <s v="EN EJECUCION CON CONTRATO"/>
    <s v="000567-2026-SGSI"/>
    <s v="004438-2026-SGIST"/>
    <s v="002025-2026-GITE"/>
    <d v="2026-04-22T00:00:00"/>
    <m/>
    <s v="0536"/>
    <m/>
    <s v="MEMORANDO 002465-2026-GITE"/>
    <m/>
    <s v="DIAZ"/>
    <s v="PINGO"/>
    <s v="CARLOS AUGUSTO"/>
    <n v="46821663"/>
    <n v="10468216634"/>
    <n v="12000"/>
    <d v="2026-05-01T00:00:00"/>
    <d v="2026-06-30T00:00:00"/>
    <m/>
    <n v="30"/>
    <n v="12000"/>
    <n v="30"/>
    <n v="12000"/>
    <n v="30"/>
    <n v="12000"/>
    <n v="0"/>
    <n v="0"/>
    <m/>
    <n v="30"/>
    <n v="12000"/>
    <n v="30"/>
    <n v="12000"/>
    <n v="30"/>
    <n v="12000"/>
    <n v="0"/>
    <n v="0"/>
    <m/>
    <n v="24000"/>
    <n v="24000"/>
    <n v="24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ESPECIALISTA EN BASE DE DATOS_x000a_NUEVO: ESPECIALISTA JURÍDICO DE SISTEMAS DE INFORMACIÓN"/>
    <s v="LOCADOR"/>
    <n v="1"/>
    <n v="9000"/>
    <m/>
    <m/>
    <m/>
    <m/>
    <n v="30"/>
    <n v="30"/>
    <m/>
    <m/>
    <m/>
    <m/>
    <m/>
    <m/>
    <n v="18000"/>
    <s v=" -   "/>
    <s v=" -   "/>
    <s v=" -   "/>
    <s v=" -   "/>
    <n v="9000"/>
    <n v="9000"/>
    <s v=" -   "/>
    <s v=" -   "/>
    <s v=" -   "/>
    <s v=" -   "/>
    <s v=" -   "/>
    <s v=" -   "/>
    <n v="18000"/>
    <x v="2"/>
    <s v="P1"/>
    <m/>
    <m/>
    <m/>
    <m/>
    <m/>
    <m/>
    <m/>
    <m/>
    <m/>
    <m/>
    <x v="0"/>
    <s v="EN EJECUCION CON CONTRATO"/>
    <s v="000703-2026-SGSI"/>
    <s v="005214-2026-SGIST"/>
    <s v="002334-2026-GITE"/>
    <d v="2026-05-12T00:00:00"/>
    <m/>
    <n v="4348"/>
    <m/>
    <m/>
    <m/>
    <s v="RIVERO"/>
    <s v="MELENDEZ"/>
    <s v="RITA"/>
    <n v="10804916"/>
    <n v="10108049168"/>
    <n v="9000"/>
    <d v="2026-05-18T00:00:00"/>
    <d v="2026-06-30T00:00:00"/>
    <m/>
    <n v="30"/>
    <n v="9000"/>
    <n v="14"/>
    <n v="4200"/>
    <n v="14"/>
    <n v="4200"/>
    <n v="4800"/>
    <n v="4800"/>
    <m/>
    <n v="30"/>
    <n v="9000"/>
    <n v="30"/>
    <n v="9000"/>
    <n v="30"/>
    <n v="9000"/>
    <n v="0"/>
    <n v="0"/>
    <m/>
    <n v="18000"/>
    <n v="13200"/>
    <n v="13200"/>
    <n v="4800"/>
    <n v="48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ESPECIALISTA EN GESTIÓN DE PROYECTOS DE SOFTWARE 1"/>
    <s v="LOCADOR"/>
    <n v="1"/>
    <n v="10000"/>
    <m/>
    <m/>
    <m/>
    <m/>
    <n v="30"/>
    <n v="30"/>
    <m/>
    <m/>
    <m/>
    <m/>
    <m/>
    <m/>
    <n v="20000"/>
    <s v=" -   "/>
    <s v=" -   "/>
    <s v=" -   "/>
    <s v=" -   "/>
    <n v="10000"/>
    <n v="10000"/>
    <s v=" -   "/>
    <s v=" -   "/>
    <s v=" -   "/>
    <s v=" -   "/>
    <s v=" -   "/>
    <s v=" -   "/>
    <n v="20000"/>
    <x v="2"/>
    <s v="P1"/>
    <m/>
    <m/>
    <m/>
    <m/>
    <m/>
    <m/>
    <m/>
    <m/>
    <m/>
    <m/>
    <x v="0"/>
    <s v="EN EJECUCION CON CONTRATO"/>
    <s v="000567-2026-SGSI"/>
    <s v="004438-2026-SGIST"/>
    <s v="002025-2026-GITE"/>
    <d v="2026-04-22T00:00:00"/>
    <m/>
    <s v="0537"/>
    <m/>
    <s v="MEMORANDO 002465-2026-GITE"/>
    <m/>
    <s v="ROJAS"/>
    <s v="SORIA"/>
    <s v="EMILIO OSWALDO"/>
    <n v="41876597"/>
    <n v="10418765971"/>
    <m/>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s v="LOCADOR"/>
    <n v="1"/>
    <n v="4500"/>
    <m/>
    <m/>
    <m/>
    <m/>
    <n v="30"/>
    <n v="30"/>
    <m/>
    <m/>
    <m/>
    <m/>
    <m/>
    <m/>
    <n v="9000"/>
    <s v=" -   "/>
    <s v=" -   "/>
    <s v=" -   "/>
    <s v=" -   "/>
    <n v="4500"/>
    <n v="4500"/>
    <s v=" -   "/>
    <s v=" -   "/>
    <s v=" -   "/>
    <s v=" -   "/>
    <s v=" -   "/>
    <s v=" -   "/>
    <n v="9000"/>
    <x v="2"/>
    <s v="P1"/>
    <m/>
    <m/>
    <m/>
    <m/>
    <m/>
    <m/>
    <m/>
    <m/>
    <m/>
    <m/>
    <x v="0"/>
    <s v="EN EJECUCION CON CONTRATO"/>
    <s v="000567-2026-SGSI"/>
    <s v="004438-2026-SGIST"/>
    <s v="002025-2026-GITE"/>
    <d v="2026-04-22T00:00:00"/>
    <m/>
    <s v="0521"/>
    <m/>
    <s v="MEMORANDO 002465-2026-GITE"/>
    <m/>
    <s v="GARCIA"/>
    <s v="ARELLANO"/>
    <s v="ELLEN SILVANA"/>
    <n v="44157377"/>
    <n v="10441573770"/>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1"/>
    <s v="LOCADOR"/>
    <n v="1"/>
    <n v="4500"/>
    <m/>
    <m/>
    <m/>
    <m/>
    <n v="30"/>
    <n v="30"/>
    <m/>
    <m/>
    <m/>
    <m/>
    <m/>
    <m/>
    <n v="9000"/>
    <s v=" -   "/>
    <s v=" -   "/>
    <s v=" -   "/>
    <s v=" -   "/>
    <n v="4500"/>
    <n v="4500"/>
    <s v=" -   "/>
    <s v=" -   "/>
    <s v=" -   "/>
    <s v=" -   "/>
    <s v=" -   "/>
    <s v=" -   "/>
    <n v="9000"/>
    <x v="2"/>
    <s v="P1"/>
    <m/>
    <m/>
    <m/>
    <m/>
    <m/>
    <m/>
    <m/>
    <m/>
    <m/>
    <m/>
    <x v="0"/>
    <s v="EN EJECUCION CON CONTRATO"/>
    <s v="000567-2026-SGSI"/>
    <s v="004438-2026-SGIST"/>
    <s v="002025-2026-GITE"/>
    <d v="2026-04-22T00:00:00"/>
    <m/>
    <s v="0523"/>
    <m/>
    <s v="MEMORANDO 002465-2026-GITE"/>
    <m/>
    <s v="MARTINEZ"/>
    <s v="VERONA"/>
    <s v="ANA CECILIA"/>
    <n v="47007071"/>
    <n v="10470070710"/>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2"/>
    <s v="LOCADOR"/>
    <n v="1"/>
    <n v="4500"/>
    <m/>
    <m/>
    <m/>
    <m/>
    <n v="30"/>
    <n v="30"/>
    <m/>
    <m/>
    <m/>
    <m/>
    <m/>
    <m/>
    <n v="9000"/>
    <s v=" -   "/>
    <s v=" -   "/>
    <s v=" -   "/>
    <s v=" -   "/>
    <n v="4500"/>
    <n v="4500"/>
    <s v=" -   "/>
    <s v=" -   "/>
    <s v=" -   "/>
    <s v=" -   "/>
    <s v=" -   "/>
    <s v=" -   "/>
    <n v="9000"/>
    <x v="2"/>
    <s v="P1"/>
    <m/>
    <m/>
    <m/>
    <m/>
    <m/>
    <m/>
    <m/>
    <m/>
    <m/>
    <m/>
    <x v="0"/>
    <s v="EN EJECUCION CON CONTRATO"/>
    <s v="000567-2026-SGSI"/>
    <s v="004438-2026-SGIST"/>
    <s v="002025-2026-GITE"/>
    <d v="2026-04-22T00:00:00"/>
    <m/>
    <s v="0524"/>
    <m/>
    <s v="MEMORANDO 002465-2026-GITE"/>
    <m/>
    <s v="GARCIA"/>
    <s v="BARRIENTOS"/>
    <s v="DIEGO MIGUEL"/>
    <n v="71793168"/>
    <n v="10717931683"/>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3"/>
    <s v="LOCADOR"/>
    <n v="1"/>
    <n v="4500"/>
    <m/>
    <m/>
    <m/>
    <m/>
    <n v="30"/>
    <n v="30"/>
    <m/>
    <m/>
    <m/>
    <m/>
    <m/>
    <m/>
    <n v="9000"/>
    <s v=" -   "/>
    <s v=" -   "/>
    <s v=" -   "/>
    <s v=" -   "/>
    <n v="4500"/>
    <n v="4500"/>
    <s v=" -   "/>
    <s v=" -   "/>
    <s v=" -   "/>
    <s v=" -   "/>
    <s v=" -   "/>
    <s v=" -   "/>
    <n v="9000"/>
    <x v="2"/>
    <s v="P1"/>
    <m/>
    <m/>
    <m/>
    <m/>
    <m/>
    <m/>
    <m/>
    <m/>
    <m/>
    <m/>
    <x v="0"/>
    <s v="EN EJECUCION CON CONTRATO"/>
    <s v="000567-2026-SGSI"/>
    <s v="004438-2026-SGIST"/>
    <s v="002025-2026-GITE"/>
    <d v="2026-04-22T00:00:00"/>
    <m/>
    <s v="0525"/>
    <m/>
    <s v="MEMORANDO 002465-2026-GITE"/>
    <m/>
    <s v="ROJAS"/>
    <s v="BENANCIO"/>
    <s v="CRISTIAN POOL"/>
    <n v="48279034"/>
    <n v="10482790343"/>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4"/>
    <s v="LOCADOR"/>
    <n v="1"/>
    <n v="4500"/>
    <m/>
    <m/>
    <m/>
    <m/>
    <n v="30"/>
    <n v="30"/>
    <m/>
    <m/>
    <m/>
    <m/>
    <m/>
    <m/>
    <n v="9000"/>
    <s v=" -   "/>
    <s v=" -   "/>
    <s v=" -   "/>
    <s v=" -   "/>
    <n v="4500"/>
    <n v="4500"/>
    <s v=" -   "/>
    <s v=" -   "/>
    <s v=" -   "/>
    <s v=" -   "/>
    <s v=" -   "/>
    <s v=" -   "/>
    <n v="9000"/>
    <x v="2"/>
    <s v="P1"/>
    <m/>
    <m/>
    <m/>
    <m/>
    <m/>
    <m/>
    <m/>
    <m/>
    <m/>
    <m/>
    <x v="0"/>
    <s v="EN EJECUCION CON CONTRATO"/>
    <s v="000567-2026-SGSI"/>
    <s v="004438-2026-SGIST"/>
    <s v="002025-2026-GITE"/>
    <d v="2026-04-22T00:00:00"/>
    <m/>
    <s v="0526"/>
    <m/>
    <s v="MEMORANDO 002465-2026-GITE"/>
    <m/>
    <s v="ALVARADO"/>
    <s v="TINEO"/>
    <s v="PIERRE ANTHONY"/>
    <n v="45803443"/>
    <n v="10458034431"/>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5"/>
    <s v="LOCADOR"/>
    <n v="1"/>
    <n v="4500"/>
    <m/>
    <m/>
    <m/>
    <m/>
    <n v="30"/>
    <n v="30"/>
    <m/>
    <m/>
    <m/>
    <m/>
    <m/>
    <m/>
    <n v="9000"/>
    <s v=" -   "/>
    <s v=" -   "/>
    <s v=" -   "/>
    <s v=" -   "/>
    <n v="4500"/>
    <n v="4500"/>
    <s v=" -   "/>
    <s v=" -   "/>
    <s v=" -   "/>
    <s v=" -   "/>
    <s v=" -   "/>
    <s v=" -   "/>
    <n v="9000"/>
    <x v="2"/>
    <s v="P1"/>
    <m/>
    <m/>
    <m/>
    <m/>
    <m/>
    <m/>
    <m/>
    <m/>
    <m/>
    <m/>
    <x v="0"/>
    <s v="EN EJECUCION CON CONTRATO"/>
    <s v="000567-2026-SGSI"/>
    <s v="004438-2026-SGIST"/>
    <s v="002025-2026-GITE"/>
    <d v="2026-04-22T00:00:00"/>
    <m/>
    <s v="0527"/>
    <m/>
    <s v="MEMORANDO 002465-2026-GITE"/>
    <m/>
    <s v="MARCELO"/>
    <s v="SANDOVAL"/>
    <s v="SHARON NATALY"/>
    <n v="42973646"/>
    <n v="10429736469"/>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5"/>
    <s v="LOCADOR"/>
    <n v="1"/>
    <n v="4500"/>
    <m/>
    <m/>
    <m/>
    <m/>
    <n v="30"/>
    <n v="30"/>
    <m/>
    <m/>
    <m/>
    <m/>
    <m/>
    <m/>
    <n v="9000"/>
    <m/>
    <m/>
    <m/>
    <m/>
    <n v="4500"/>
    <n v="4500"/>
    <m/>
    <m/>
    <m/>
    <m/>
    <m/>
    <m/>
    <n v="9000"/>
    <x v="2"/>
    <s v="P1"/>
    <m/>
    <m/>
    <m/>
    <m/>
    <m/>
    <m/>
    <m/>
    <m/>
    <m/>
    <m/>
    <x v="0"/>
    <s v="EN EJECUCION CON CONTRATO"/>
    <s v="000567-2026-SGSI"/>
    <s v="004438-2026-SGIST"/>
    <s v="002025-2026-GITE"/>
    <d v="2026-04-22T00:00:00"/>
    <m/>
    <s v="0528"/>
    <m/>
    <s v="MEMORANDO 002465-2026-GITE"/>
    <m/>
    <s v="REYES"/>
    <s v="GUZMAN"/>
    <s v="JUDYTH FIORELLA"/>
    <n v="77464233"/>
    <n v="10774642337"/>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5"/>
    <s v="LOCADOR"/>
    <n v="1"/>
    <n v="4500"/>
    <m/>
    <m/>
    <m/>
    <m/>
    <n v="30"/>
    <n v="30"/>
    <m/>
    <m/>
    <m/>
    <m/>
    <m/>
    <m/>
    <n v="9000"/>
    <m/>
    <m/>
    <m/>
    <m/>
    <n v="4500"/>
    <n v="4500"/>
    <m/>
    <m/>
    <m/>
    <m/>
    <m/>
    <m/>
    <n v="9000"/>
    <x v="2"/>
    <s v="P1"/>
    <m/>
    <m/>
    <m/>
    <m/>
    <m/>
    <m/>
    <m/>
    <m/>
    <m/>
    <m/>
    <x v="0"/>
    <s v="EN EJECUCION CON CONTRATO"/>
    <s v="000567-2026-SGSI"/>
    <s v="004438-2026-SGIST"/>
    <s v="002025-2026-GITE"/>
    <d v="2026-04-22T00:00:00"/>
    <m/>
    <s v="0529"/>
    <m/>
    <s v="MEMORANDO 002465-2026-GITE"/>
    <m/>
    <s v="PEÑA"/>
    <s v="RIVERA"/>
    <s v="JOHNN ANDRE"/>
    <n v="73013472"/>
    <n v="10730134725"/>
    <n v="4500"/>
    <d v="2026-05-01T00:00:00"/>
    <d v="2026-06-30T00:00:00"/>
    <m/>
    <n v="30"/>
    <n v="4500"/>
    <n v="30"/>
    <n v="4500"/>
    <n v="30"/>
    <n v="4500"/>
    <n v="0"/>
    <n v="0"/>
    <m/>
    <n v="30"/>
    <n v="4500"/>
    <n v="30"/>
    <n v="4500"/>
    <n v="30"/>
    <n v="4500"/>
    <n v="0"/>
    <n v="0"/>
    <m/>
    <n v="9000"/>
    <n v="9000"/>
    <n v="9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6"/>
    <s v="LOCADOR"/>
    <n v="1"/>
    <n v="4500"/>
    <m/>
    <m/>
    <m/>
    <m/>
    <n v="30"/>
    <n v="0"/>
    <m/>
    <m/>
    <m/>
    <m/>
    <m/>
    <m/>
    <n v="4500"/>
    <s v=" -   "/>
    <s v=" -   "/>
    <s v=" -   "/>
    <s v=" -   "/>
    <n v="4500"/>
    <n v="0"/>
    <s v=" -   "/>
    <s v=" -   "/>
    <s v=" -   "/>
    <s v=" -   "/>
    <s v=" -   "/>
    <s v=" -   "/>
    <n v="4500"/>
    <x v="2"/>
    <s v="P1"/>
    <m/>
    <m/>
    <m/>
    <m/>
    <m/>
    <m/>
    <m/>
    <m/>
    <m/>
    <m/>
    <x v="0"/>
    <s v="EN EJECUCION CON CONTRATO"/>
    <s v="000567-2026-SGSI"/>
    <s v="004438-2026-SGIST"/>
    <s v="002025-2026-GITE"/>
    <d v="2026-04-22T00:00:00"/>
    <m/>
    <s v="0530"/>
    <m/>
    <s v="MEMORANDO 002465-2026-GITE"/>
    <m/>
    <s v="MEREGILDO"/>
    <s v="RAMOS"/>
    <s v="FANNY PATRICIA"/>
    <n v="40538903"/>
    <n v="10405389032"/>
    <n v="4500"/>
    <d v="2026-05-01T00:00:00"/>
    <d v="2026-05-31T00:00:00"/>
    <m/>
    <n v="30"/>
    <n v="4500"/>
    <n v="30"/>
    <n v="4500"/>
    <n v="30"/>
    <n v="4500"/>
    <n v="0"/>
    <n v="0"/>
    <m/>
    <n v="0"/>
    <n v="0"/>
    <m/>
    <n v="0"/>
    <m/>
    <n v="0"/>
    <n v="0"/>
    <n v="0"/>
    <m/>
    <n v="4500"/>
    <n v="4500"/>
    <n v="4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6"/>
    <s v="LOCADOR"/>
    <n v="1"/>
    <n v="4500"/>
    <m/>
    <m/>
    <m/>
    <m/>
    <n v="30"/>
    <n v="0"/>
    <m/>
    <m/>
    <m/>
    <m/>
    <m/>
    <m/>
    <n v="4500"/>
    <s v=" -   "/>
    <s v=" -   "/>
    <s v=" -   "/>
    <s v=" -   "/>
    <n v="4500"/>
    <n v="0"/>
    <s v=" -   "/>
    <s v=" -   "/>
    <s v=" -   "/>
    <s v=" -   "/>
    <s v=" -   "/>
    <s v=" -   "/>
    <n v="4500"/>
    <x v="2"/>
    <s v="P1"/>
    <m/>
    <m/>
    <m/>
    <m/>
    <m/>
    <m/>
    <m/>
    <m/>
    <m/>
    <m/>
    <x v="0"/>
    <s v="EN EJECUCION CON CONTRATO"/>
    <s v="000567-2026-SGSI"/>
    <s v="004438-2026-SGIST"/>
    <s v="002025-2026-GITE"/>
    <d v="2026-04-22T00:00:00"/>
    <m/>
    <s v="0531"/>
    <m/>
    <s v="MEMORANDO 002465-2026-GITE"/>
    <m/>
    <s v="CENTURION"/>
    <s v="BARDALES"/>
    <s v="LAURA INES"/>
    <n v="42138246"/>
    <n v="10421382463"/>
    <n v="4500"/>
    <d v="2026-05-01T00:00:00"/>
    <d v="2026-05-31T00:00:00"/>
    <m/>
    <n v="30"/>
    <n v="4500"/>
    <n v="30"/>
    <n v="4500"/>
    <n v="30"/>
    <n v="4500"/>
    <n v="0"/>
    <n v="0"/>
    <m/>
    <n v="0"/>
    <n v="0"/>
    <m/>
    <n v="0"/>
    <m/>
    <n v="0"/>
    <n v="0"/>
    <n v="0"/>
    <m/>
    <n v="4500"/>
    <n v="4500"/>
    <n v="4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6"/>
    <s v="LOCADOR"/>
    <n v="1"/>
    <n v="4500"/>
    <m/>
    <m/>
    <m/>
    <m/>
    <n v="0"/>
    <n v="30"/>
    <m/>
    <m/>
    <m/>
    <m/>
    <m/>
    <m/>
    <n v="4500"/>
    <s v=" -   "/>
    <s v=" -   "/>
    <s v=" -   "/>
    <s v=" -   "/>
    <n v="0"/>
    <n v="4500"/>
    <s v=" -   "/>
    <s v=" -   "/>
    <s v=" -   "/>
    <s v=" -   "/>
    <s v=" -   "/>
    <s v=" -   "/>
    <n v="4500"/>
    <x v="2"/>
    <s v="P1"/>
    <m/>
    <m/>
    <m/>
    <m/>
    <m/>
    <m/>
    <m/>
    <m/>
    <m/>
    <m/>
    <x v="0"/>
    <s v="EN EJECUCION CON CONTRATO"/>
    <s v="000744-2026-SGSI/GITE"/>
    <s v="005330-2026-SGSIT/GITE"/>
    <s v="0024092026/GITE"/>
    <d v="2026-05-14T00:00:00"/>
    <m/>
    <s v="0530"/>
    <m/>
    <m/>
    <m/>
    <s v="MEREGILDO"/>
    <s v="RAMOS"/>
    <s v="FANNY PATRICIA"/>
    <n v="40538903"/>
    <n v="10405389032"/>
    <n v="4500"/>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6"/>
    <s v="LOCADOR"/>
    <n v="1"/>
    <n v="4500"/>
    <m/>
    <m/>
    <m/>
    <m/>
    <n v="0"/>
    <n v="30"/>
    <m/>
    <m/>
    <m/>
    <m/>
    <m/>
    <m/>
    <n v="4500"/>
    <s v=" -   "/>
    <s v=" -   "/>
    <s v=" -   "/>
    <s v=" -   "/>
    <n v="0"/>
    <n v="4500"/>
    <s v=" -   "/>
    <s v=" -   "/>
    <s v=" -   "/>
    <s v=" -   "/>
    <s v=" -   "/>
    <s v=" -   "/>
    <n v="4500"/>
    <x v="2"/>
    <s v="P1"/>
    <m/>
    <m/>
    <m/>
    <m/>
    <m/>
    <m/>
    <m/>
    <m/>
    <m/>
    <m/>
    <x v="0"/>
    <s v="EN EJECUCION CON CONTRATO"/>
    <s v="000744-2026-SGSI/GITE"/>
    <s v="005330-2026-SGSIT/GITE"/>
    <s v="0024092026/GITE"/>
    <d v="2026-05-14T00:00:00"/>
    <m/>
    <s v="0531"/>
    <m/>
    <m/>
    <m/>
    <s v="CENTURION"/>
    <s v="BARDALES"/>
    <s v="LAURA INES"/>
    <n v="42138246"/>
    <n v="10421382463"/>
    <n v="4500"/>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DE APLICACIONES 1"/>
    <s v="LOCADOR"/>
    <n v="1"/>
    <n v="3000"/>
    <m/>
    <m/>
    <m/>
    <m/>
    <n v="30"/>
    <n v="0"/>
    <m/>
    <m/>
    <m/>
    <m/>
    <m/>
    <m/>
    <n v="3000"/>
    <s v=" -   "/>
    <s v=" -   "/>
    <s v=" -   "/>
    <s v=" -   "/>
    <n v="3000"/>
    <n v="0"/>
    <s v=" -   "/>
    <s v=" -   "/>
    <s v=" -   "/>
    <s v=" -   "/>
    <s v=" -   "/>
    <s v=" -   "/>
    <n v="3000"/>
    <x v="2"/>
    <s v="P1"/>
    <m/>
    <m/>
    <m/>
    <m/>
    <m/>
    <m/>
    <m/>
    <m/>
    <m/>
    <m/>
    <x v="0"/>
    <s v="EN EJECUCION CON CONTRATO"/>
    <s v="000567-2026-SGSI"/>
    <s v="004438-2026-SGIST"/>
    <s v="002025-2026-GITE"/>
    <d v="2026-04-22T00:00:00"/>
    <m/>
    <s v="0533"/>
    <m/>
    <s v="MEMORANDO 002465-2026-GITE"/>
    <m/>
    <s v="MAYTA"/>
    <s v="PERCCA"/>
    <s v="MARIA YSABEL"/>
    <n v="9581131"/>
    <n v="10095811316"/>
    <n v="3000"/>
    <d v="2026-05-01T00:00:00"/>
    <d v="2026-05-31T00:00:00"/>
    <m/>
    <n v="30"/>
    <n v="3000"/>
    <n v="30"/>
    <n v="3000"/>
    <n v="30"/>
    <n v="3000"/>
    <n v="0"/>
    <n v="0"/>
    <m/>
    <n v="0"/>
    <n v="0"/>
    <m/>
    <n v="0"/>
    <m/>
    <n v="0"/>
    <n v="0"/>
    <n v="0"/>
    <m/>
    <n v="3000"/>
    <n v="3000"/>
    <n v="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DE APLICACIONES 1"/>
    <s v="LOCADOR"/>
    <n v="1"/>
    <n v="3000"/>
    <m/>
    <m/>
    <m/>
    <m/>
    <n v="0"/>
    <n v="30"/>
    <m/>
    <m/>
    <m/>
    <m/>
    <m/>
    <m/>
    <n v="3000"/>
    <s v=" -   "/>
    <s v=" -   "/>
    <s v=" -   "/>
    <s v=" -   "/>
    <n v="0"/>
    <n v="3000"/>
    <s v=" -   "/>
    <s v=" -   "/>
    <s v=" -   "/>
    <s v=" -   "/>
    <s v=" -   "/>
    <s v=" -   "/>
    <n v="3000"/>
    <x v="2"/>
    <s v="P1"/>
    <m/>
    <m/>
    <m/>
    <m/>
    <m/>
    <m/>
    <m/>
    <m/>
    <m/>
    <m/>
    <x v="0"/>
    <s v="EN EJECUCION CON CONTRATO"/>
    <s v="000744-2026-SGSI/GITE"/>
    <s v="005330-2026-SGSIT/GITE"/>
    <s v="0024092026/GITE"/>
    <d v="2026-05-14T00:00:00"/>
    <m/>
    <s v="0533"/>
    <m/>
    <m/>
    <m/>
    <s v="MAYTA"/>
    <s v="PERCCA"/>
    <s v="MARIA YSABEL"/>
    <n v="9581131"/>
    <n v="1009581131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DE APLICACIONES JUNIOR 1"/>
    <s v="LOCADOR"/>
    <n v="1"/>
    <n v="3000"/>
    <m/>
    <m/>
    <m/>
    <m/>
    <n v="30"/>
    <n v="0"/>
    <m/>
    <m/>
    <m/>
    <m/>
    <m/>
    <m/>
    <n v="3000"/>
    <s v=" -   "/>
    <s v=" -   "/>
    <s v=" -   "/>
    <s v=" -   "/>
    <n v="3000"/>
    <n v="0"/>
    <s v=" -   "/>
    <s v=" -   "/>
    <s v=" -   "/>
    <s v=" -   "/>
    <s v=" -   "/>
    <s v=" -   "/>
    <n v="3000"/>
    <x v="2"/>
    <s v="P1"/>
    <m/>
    <m/>
    <m/>
    <m/>
    <m/>
    <m/>
    <m/>
    <m/>
    <m/>
    <m/>
    <x v="0"/>
    <s v="EN EJECUCION CON CONTRATO"/>
    <s v="000567-2026-SGSI"/>
    <s v="004438-2026-SGIST"/>
    <s v="002025-2026-GITE"/>
    <d v="2026-04-22T00:00:00"/>
    <m/>
    <s v="0534"/>
    <m/>
    <s v="MEMORANDO 002465-2026-GITE"/>
    <m/>
    <s v="ROMANI "/>
    <s v="LUJAN"/>
    <s v="MELANIE MARICIELO"/>
    <n v="76836675"/>
    <n v="10768366751"/>
    <n v="3000"/>
    <d v="2026-05-01T00:00:00"/>
    <d v="2026-05-31T00:00:00"/>
    <m/>
    <n v="30"/>
    <n v="3000"/>
    <n v="30"/>
    <n v="3000"/>
    <n v="30"/>
    <n v="3000"/>
    <n v="0"/>
    <n v="0"/>
    <m/>
    <n v="0"/>
    <n v="0"/>
    <m/>
    <n v="0"/>
    <m/>
    <n v="0"/>
    <n v="0"/>
    <n v="0"/>
    <m/>
    <n v="3000"/>
    <n v="3000"/>
    <n v="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DE APLICACIONES JUNIOR 1"/>
    <s v="LOCADOR"/>
    <n v="1"/>
    <n v="3000"/>
    <m/>
    <m/>
    <m/>
    <m/>
    <n v="0"/>
    <n v="30"/>
    <m/>
    <m/>
    <m/>
    <m/>
    <m/>
    <m/>
    <n v="3000"/>
    <s v=" -   "/>
    <s v=" -   "/>
    <s v=" -   "/>
    <s v=" -   "/>
    <n v="0"/>
    <n v="3000"/>
    <s v=" -   "/>
    <s v=" -   "/>
    <s v=" -   "/>
    <s v=" -   "/>
    <s v=" -   "/>
    <s v=" -   "/>
    <n v="3000"/>
    <x v="2"/>
    <s v="P1"/>
    <m/>
    <m/>
    <m/>
    <m/>
    <m/>
    <m/>
    <m/>
    <m/>
    <m/>
    <m/>
    <x v="0"/>
    <s v="EN EJECUCION CON CONTRATO"/>
    <s v="000744-2026-SGSI/GITE"/>
    <s v="005330-2026-SGSIT/GITE"/>
    <s v="0024092026/GITE"/>
    <d v="2026-05-14T00:00:00"/>
    <m/>
    <s v="0534"/>
    <m/>
    <m/>
    <m/>
    <s v="ROMANI "/>
    <s v="LUJAN"/>
    <s v="MELANIE MARICIELO"/>
    <n v="76836675"/>
    <n v="10768366751"/>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DE DATOS JUNIOR 1"/>
    <s v="LOCADOR"/>
    <n v="1"/>
    <n v="2500"/>
    <m/>
    <m/>
    <m/>
    <m/>
    <n v="30"/>
    <n v="0"/>
    <m/>
    <m/>
    <m/>
    <m/>
    <m/>
    <m/>
    <n v="2500"/>
    <s v=" -   "/>
    <s v=" -   "/>
    <s v=" -   "/>
    <s v=" -   "/>
    <n v="2500"/>
    <n v="0"/>
    <s v=" -   "/>
    <s v=" -   "/>
    <s v=" -   "/>
    <s v=" -   "/>
    <s v=" -   "/>
    <s v=" -   "/>
    <n v="2500"/>
    <x v="2"/>
    <s v="P1"/>
    <m/>
    <m/>
    <m/>
    <m/>
    <m/>
    <m/>
    <m/>
    <m/>
    <m/>
    <m/>
    <x v="0"/>
    <s v="EN EJECUCION CON CONTRATO"/>
    <s v="000567-2026-SGSI"/>
    <s v="004438-2026-SGIST"/>
    <s v="002025-2026-GITE"/>
    <d v="2026-04-22T00:00:00"/>
    <m/>
    <s v="0532"/>
    <m/>
    <s v="MEMORANDO 002465-2026-GITE"/>
    <m/>
    <s v="VALENCIA "/>
    <s v="MEZA "/>
    <s v="ANTONY JOSEPH"/>
    <n v="72867449"/>
    <n v="10728674496"/>
    <n v="2500"/>
    <d v="2026-05-01T00:00:00"/>
    <d v="2026-05-31T00:00:00"/>
    <m/>
    <n v="30"/>
    <n v="2500"/>
    <n v="30"/>
    <n v="2500"/>
    <n v="30"/>
    <n v="2500"/>
    <n v="0"/>
    <n v="0"/>
    <m/>
    <n v="0"/>
    <n v="0"/>
    <m/>
    <n v="0"/>
    <m/>
    <n v="0"/>
    <n v="0"/>
    <n v="0"/>
    <m/>
    <n v="2500"/>
    <n v="2500"/>
    <n v="2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DE DATOS JUNIOR 1"/>
    <s v="LOCADOR"/>
    <n v="1"/>
    <n v="2500"/>
    <m/>
    <m/>
    <m/>
    <m/>
    <n v="0"/>
    <n v="30"/>
    <m/>
    <m/>
    <m/>
    <m/>
    <m/>
    <m/>
    <n v="2500"/>
    <s v=" -   "/>
    <s v=" -   "/>
    <s v=" -   "/>
    <s v=" -   "/>
    <n v="0"/>
    <n v="2500"/>
    <s v=" -   "/>
    <s v=" -   "/>
    <s v=" -   "/>
    <s v=" -   "/>
    <s v=" -   "/>
    <s v=" -   "/>
    <n v="2500"/>
    <x v="2"/>
    <s v="P1"/>
    <m/>
    <m/>
    <m/>
    <m/>
    <m/>
    <m/>
    <m/>
    <m/>
    <m/>
    <m/>
    <x v="0"/>
    <s v="EN EJECUCION CON CONTRATO"/>
    <s v="000744-2026-SGSI/GITE"/>
    <s v="005330-2026-SGSIT/GITE"/>
    <s v="0024092026/GITE"/>
    <d v="2026-05-14T00:00:00"/>
    <m/>
    <s v="0532"/>
    <m/>
    <m/>
    <m/>
    <s v="VALENCIA "/>
    <s v="MEZA "/>
    <s v="ANTONY JOSEPH"/>
    <n v="72867449"/>
    <n v="10728674496"/>
    <n v="2500"/>
    <d v="2026-06-01T00:00:00"/>
    <d v="2026-06-30T00:00:00"/>
    <m/>
    <n v="0"/>
    <n v="0"/>
    <m/>
    <n v="0"/>
    <m/>
    <n v="0"/>
    <n v="0"/>
    <n v="0"/>
    <m/>
    <n v="30"/>
    <n v="2500"/>
    <n v="30"/>
    <n v="2500"/>
    <n v="30"/>
    <n v="2500"/>
    <n v="0"/>
    <n v="0"/>
    <m/>
    <n v="2500"/>
    <n v="2500"/>
    <n v="2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DE APLICACIONES JUNIOR 2"/>
    <s v="LOCADOR"/>
    <n v="1"/>
    <n v="3000"/>
    <m/>
    <m/>
    <m/>
    <m/>
    <n v="30"/>
    <n v="0"/>
    <m/>
    <m/>
    <m/>
    <m/>
    <m/>
    <m/>
    <n v="3000"/>
    <s v=" -   "/>
    <s v=" -   "/>
    <s v=" -   "/>
    <s v=" -   "/>
    <n v="3000"/>
    <n v="0"/>
    <s v=" -   "/>
    <s v=" -   "/>
    <s v=" -   "/>
    <s v=" -   "/>
    <s v=" -   "/>
    <s v=" -   "/>
    <n v="3000"/>
    <x v="2"/>
    <s v="P1"/>
    <m/>
    <m/>
    <m/>
    <m/>
    <m/>
    <m/>
    <m/>
    <m/>
    <m/>
    <m/>
    <x v="0"/>
    <s v="EN EJECUCION CON CONTRATO"/>
    <s v="000567-2026-SGSI"/>
    <s v="004438-2026-SGIST"/>
    <s v="002025-2026-GITE"/>
    <d v="2026-04-22T00:00:00"/>
    <m/>
    <s v="0535"/>
    <m/>
    <s v="MEMORANDO 002465-2026-GITE"/>
    <m/>
    <s v="VELASQUEZ"/>
    <s v="CUCI RAMOS"/>
    <s v="ANDERSSON CESAR D'JHOSEP"/>
    <n v="76286818"/>
    <n v="10762868186"/>
    <n v="3000"/>
    <d v="2026-05-01T00:00:00"/>
    <d v="2026-05-31T00:00:00"/>
    <m/>
    <n v="30"/>
    <n v="3000"/>
    <n v="30"/>
    <n v="3000"/>
    <n v="30"/>
    <n v="3000"/>
    <n v="0"/>
    <n v="0"/>
    <m/>
    <n v="0"/>
    <n v="0"/>
    <m/>
    <n v="0"/>
    <m/>
    <n v="0"/>
    <n v="0"/>
    <n v="0"/>
    <m/>
    <n v="3000"/>
    <n v="3000"/>
    <n v="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DE APLICACIONES JUNIOR 2"/>
    <s v="LOCADOR"/>
    <n v="1"/>
    <n v="3000"/>
    <m/>
    <m/>
    <m/>
    <m/>
    <n v="0"/>
    <n v="30"/>
    <m/>
    <m/>
    <m/>
    <m/>
    <m/>
    <m/>
    <n v="3000"/>
    <s v=" -   "/>
    <s v=" -   "/>
    <s v=" -   "/>
    <s v=" -   "/>
    <n v="0"/>
    <n v="3000"/>
    <s v=" -   "/>
    <s v=" -   "/>
    <s v=" -   "/>
    <s v=" -   "/>
    <s v=" -   "/>
    <s v=" -   "/>
    <n v="3000"/>
    <x v="2"/>
    <s v="P1"/>
    <m/>
    <m/>
    <m/>
    <m/>
    <m/>
    <m/>
    <m/>
    <m/>
    <m/>
    <m/>
    <x v="0"/>
    <s v="EN EJECUCION CON CONTRATO"/>
    <s v="000744-2026-SGSI/GITE"/>
    <s v="005330-2026-SGSIT/GITE"/>
    <s v="0024092026/GITE"/>
    <d v="2026-05-14T00:00:00"/>
    <m/>
    <s v="0535"/>
    <m/>
    <m/>
    <m/>
    <s v="VELASQUEZ"/>
    <s v="CUCI RAMOS"/>
    <s v="ANDERSSON CESAR D'JHOSEP"/>
    <n v="76286818"/>
    <n v="10762868186"/>
    <n v="3000"/>
    <d v="2026-06-01T00:00:00"/>
    <d v="2026-06-30T00:00:00"/>
    <m/>
    <n v="0"/>
    <n v="0"/>
    <m/>
    <n v="0"/>
    <m/>
    <n v="0"/>
    <n v="0"/>
    <n v="0"/>
    <m/>
    <n v="30"/>
    <n v="3000"/>
    <n v="30"/>
    <n v="3000"/>
    <n v="30"/>
    <n v="3000"/>
    <n v="0"/>
    <n v="0"/>
    <m/>
    <n v="3000"/>
    <n v="3000"/>
    <n v="3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31"/>
    <s v="LOCADOR"/>
    <n v="1"/>
    <n v="7000"/>
    <m/>
    <m/>
    <m/>
    <m/>
    <n v="30"/>
    <n v="30"/>
    <m/>
    <m/>
    <m/>
    <m/>
    <m/>
    <m/>
    <n v="14000"/>
    <s v=" -   "/>
    <s v=" -   "/>
    <s v=" -   "/>
    <s v=" -   "/>
    <n v="7000"/>
    <n v="7000"/>
    <s v=" -   "/>
    <s v=" -   "/>
    <s v=" -   "/>
    <s v=" -   "/>
    <s v=" -   "/>
    <s v=" -   "/>
    <n v="14000"/>
    <x v="2"/>
    <s v="P1"/>
    <m/>
    <m/>
    <m/>
    <m/>
    <m/>
    <m/>
    <m/>
    <m/>
    <m/>
    <m/>
    <x v="0"/>
    <s v="EN EJECUCION CON CONTRATO"/>
    <s v="000565-2026-SGSI"/>
    <s v="0004460-2026-SGIST"/>
    <s v=" 002026-2026-GITE"/>
    <d v="2026-04-22T00:00:00"/>
    <m/>
    <s v="0724"/>
    <m/>
    <s v="MEMORANDO 002467-2026-GITE"/>
    <m/>
    <s v="TANG"/>
    <s v="CONTRERAS"/>
    <s v="CARLOS SAMIR"/>
    <n v="47153325"/>
    <n v="10471533250"/>
    <n v="7000"/>
    <d v="2026-05-01T00:00:00"/>
    <d v="2026-06-30T00:00:00"/>
    <m/>
    <n v="30"/>
    <n v="7000"/>
    <n v="30"/>
    <n v="7000"/>
    <n v="30"/>
    <n v="7000"/>
    <n v="0"/>
    <n v="0"/>
    <m/>
    <n v="30"/>
    <n v="7000"/>
    <n v="30"/>
    <n v="7000"/>
    <n v="30"/>
    <n v="7000"/>
    <n v="0"/>
    <n v="0"/>
    <m/>
    <n v="14000"/>
    <n v="14000"/>
    <n v="14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SOPORTE INFORMATICO DE SISTEMAS 1"/>
    <s v="LOCADOR"/>
    <n v="1"/>
    <n v="5000"/>
    <m/>
    <m/>
    <m/>
    <m/>
    <n v="30"/>
    <n v="0"/>
    <m/>
    <m/>
    <m/>
    <m/>
    <m/>
    <m/>
    <n v="5000"/>
    <s v=" -   "/>
    <s v=" -   "/>
    <s v=" -   "/>
    <s v=" -   "/>
    <n v="5000"/>
    <n v="0"/>
    <s v=" -   "/>
    <s v=" -   "/>
    <s v=" -   "/>
    <s v=" -   "/>
    <s v=" -   "/>
    <s v=" -   "/>
    <n v="5000"/>
    <x v="2"/>
    <s v="P1"/>
    <m/>
    <m/>
    <m/>
    <m/>
    <m/>
    <m/>
    <m/>
    <m/>
    <m/>
    <m/>
    <x v="0"/>
    <s v="EN EJECUCION CON CONTRATO"/>
    <s v="000567-2026-SGSI"/>
    <s v="004438-2026-SGIST"/>
    <s v="002025-2026-GITE"/>
    <d v="2026-04-22T00:00:00"/>
    <m/>
    <s v="0546"/>
    <m/>
    <s v="MEMORANDO 002465-2026-GITE"/>
    <m/>
    <s v="LLATAS"/>
    <s v="MALDONADO DE SANCHEZ"/>
    <s v="KATHYA MERCEDES"/>
    <n v="40457965"/>
    <n v="10404579652"/>
    <n v="5000"/>
    <d v="2026-05-01T00:00:00"/>
    <d v="2026-05-31T00:00:00"/>
    <m/>
    <n v="30"/>
    <n v="5000"/>
    <n v="30"/>
    <n v="5000"/>
    <n v="30"/>
    <n v="5000"/>
    <n v="0"/>
    <n v="0"/>
    <m/>
    <n v="0"/>
    <n v="0"/>
    <m/>
    <n v="0"/>
    <m/>
    <n v="0"/>
    <n v="0"/>
    <n v="0"/>
    <m/>
    <n v="5000"/>
    <n v="5000"/>
    <n v="5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
    <s v="LOCADOR"/>
    <n v="1"/>
    <n v="5000"/>
    <m/>
    <m/>
    <m/>
    <m/>
    <n v="0"/>
    <n v="30"/>
    <m/>
    <m/>
    <m/>
    <m/>
    <m/>
    <m/>
    <n v="5000"/>
    <s v=" -   "/>
    <s v=" -   "/>
    <s v=" -   "/>
    <s v=" -   "/>
    <n v="0"/>
    <n v="5000"/>
    <s v=" -   "/>
    <s v=" -   "/>
    <s v=" -   "/>
    <s v=" -   "/>
    <s v=" -   "/>
    <s v=" -   "/>
    <n v="5000"/>
    <x v="2"/>
    <s v="P1"/>
    <m/>
    <m/>
    <m/>
    <m/>
    <m/>
    <m/>
    <m/>
    <m/>
    <m/>
    <m/>
    <x v="0"/>
    <s v="EN EJECUCION CON CONTRATO"/>
    <s v="000744-2026-SGSI/GITE"/>
    <s v="005330-2026-SGSIT/GITE"/>
    <s v="0024092026/GITE"/>
    <d v="2026-05-14T00:00:00"/>
    <m/>
    <s v="0546"/>
    <m/>
    <m/>
    <m/>
    <s v="LLATAS"/>
    <s v="MALDONADO DE SANCHEZ"/>
    <s v="KATHYA MERCEDES"/>
    <n v="40457965"/>
    <n v="10404579652"/>
    <n v="5000"/>
    <d v="2026-06-01T00:00:00"/>
    <d v="2026-06-30T00:00:00"/>
    <m/>
    <n v="0"/>
    <n v="0"/>
    <m/>
    <n v="0"/>
    <m/>
    <n v="0"/>
    <n v="0"/>
    <n v="0"/>
    <m/>
    <n v="30"/>
    <n v="5000"/>
    <n v="30"/>
    <n v="5000"/>
    <n v="30"/>
    <n v="5000"/>
    <n v="0"/>
    <n v="0"/>
    <m/>
    <n v="5000"/>
    <n v="5000"/>
    <n v="5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SOPORTE INFORMATICO DE SISTEMAS 2"/>
    <s v="LOCADOR"/>
    <n v="1"/>
    <n v="5000"/>
    <m/>
    <m/>
    <m/>
    <m/>
    <n v="30"/>
    <n v="0"/>
    <m/>
    <m/>
    <m/>
    <m/>
    <m/>
    <m/>
    <n v="5000"/>
    <s v=" -   "/>
    <s v=" -   "/>
    <s v=" -   "/>
    <s v=" -   "/>
    <n v="5000"/>
    <n v="0"/>
    <s v=" -   "/>
    <s v=" -   "/>
    <s v=" -   "/>
    <s v=" -   "/>
    <s v=" -   "/>
    <s v=" -   "/>
    <n v="5000"/>
    <x v="2"/>
    <s v="P1"/>
    <m/>
    <m/>
    <m/>
    <m/>
    <m/>
    <m/>
    <m/>
    <m/>
    <m/>
    <m/>
    <x v="0"/>
    <s v="EN EJECUCION CON CONTRATO"/>
    <s v="000567-2026-SGSI"/>
    <s v="004438-2026-SGIST"/>
    <s v="002025-2026-GITE"/>
    <d v="2026-04-22T00:00:00"/>
    <m/>
    <s v="0547"/>
    <m/>
    <s v="MEMORANDO 002465-2026-GITE"/>
    <m/>
    <s v="MALDONADO"/>
    <s v="OCAÑA"/>
    <s v="ROCIO ISABEL"/>
    <n v="46439509"/>
    <n v="10464395097"/>
    <n v="5000"/>
    <d v="2026-05-01T00:00:00"/>
    <d v="2026-05-31T00:00:00"/>
    <m/>
    <n v="30"/>
    <n v="5000"/>
    <n v="30"/>
    <n v="5000"/>
    <n v="30"/>
    <n v="5000"/>
    <n v="0"/>
    <n v="0"/>
    <m/>
    <n v="0"/>
    <n v="0"/>
    <m/>
    <n v="0"/>
    <m/>
    <n v="0"/>
    <n v="0"/>
    <n v="0"/>
    <m/>
    <n v="5000"/>
    <n v="5000"/>
    <n v="5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2"/>
    <s v="LOCADOR"/>
    <n v="1"/>
    <n v="5000"/>
    <m/>
    <m/>
    <m/>
    <m/>
    <n v="0"/>
    <n v="30"/>
    <m/>
    <m/>
    <m/>
    <m/>
    <m/>
    <m/>
    <n v="5000"/>
    <s v=" -   "/>
    <s v=" -   "/>
    <s v=" -   "/>
    <s v=" -   "/>
    <n v="0"/>
    <n v="5000"/>
    <s v=" -   "/>
    <s v=" -   "/>
    <s v=" -   "/>
    <s v=" -   "/>
    <s v=" -   "/>
    <s v=" -   "/>
    <n v="5000"/>
    <x v="2"/>
    <s v="P1"/>
    <m/>
    <m/>
    <m/>
    <m/>
    <m/>
    <m/>
    <m/>
    <m/>
    <m/>
    <m/>
    <x v="0"/>
    <s v="EN EJECUCION CON CONTRATO"/>
    <s v="000744-2026-SGSI/GITE"/>
    <s v="005330-2026-SGSIT/GITE"/>
    <s v="0024092026/GITE"/>
    <d v="2026-05-14T00:00:00"/>
    <m/>
    <s v="0547"/>
    <m/>
    <m/>
    <m/>
    <s v="MALDONADO"/>
    <s v="OCAÑA"/>
    <s v="ROCIO ISABEL"/>
    <n v="46439509"/>
    <n v="10464395097"/>
    <n v="5000"/>
    <d v="2026-06-01T00:00:00"/>
    <d v="2026-06-30T00:00:00"/>
    <m/>
    <n v="0"/>
    <n v="0"/>
    <m/>
    <n v="0"/>
    <m/>
    <n v="0"/>
    <n v="0"/>
    <n v="0"/>
    <m/>
    <n v="30"/>
    <n v="5000"/>
    <n v="30"/>
    <n v="5000"/>
    <n v="30"/>
    <n v="5000"/>
    <n v="0"/>
    <n v="0"/>
    <m/>
    <n v="5000"/>
    <n v="5000"/>
    <n v="5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3"/>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48"/>
    <m/>
    <s v="MEMORANDO 002465-2026-GITE"/>
    <m/>
    <s v="AGUILAR "/>
    <s v="MUÑANTE "/>
    <s v="ROSITA NINJIO"/>
    <n v="43670349"/>
    <n v="10436703495"/>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4"/>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49"/>
    <m/>
    <s v="MEMORANDO 002465-2026-GITE"/>
    <m/>
    <s v="SANDOVAL"/>
    <s v="YERREN"/>
    <s v="WILMER ALEXANDER"/>
    <n v="43639864"/>
    <n v="10436398641"/>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5"/>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50"/>
    <m/>
    <s v="MEMORANDO 002465-2026-GITE"/>
    <m/>
    <s v="BASTIDAS"/>
    <s v="RODRIGUEZ "/>
    <s v="EDITH MARY"/>
    <n v="40825980"/>
    <n v="10408259806"/>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6"/>
    <s v="LOCADOR"/>
    <n v="1"/>
    <n v="5000"/>
    <m/>
    <m/>
    <m/>
    <m/>
    <n v="30"/>
    <n v="30"/>
    <m/>
    <m/>
    <m/>
    <m/>
    <m/>
    <m/>
    <n v="10000"/>
    <s v=" -   "/>
    <s v=" -   "/>
    <s v=" -   "/>
    <s v=" -   "/>
    <n v="5000"/>
    <n v="5000"/>
    <s v=" -   "/>
    <s v=" -   "/>
    <s v=" -   "/>
    <s v=" -   "/>
    <s v=" -   "/>
    <s v=" -   "/>
    <n v="10000"/>
    <x v="2"/>
    <s v="P1"/>
    <m/>
    <m/>
    <m/>
    <m/>
    <m/>
    <m/>
    <m/>
    <m/>
    <m/>
    <m/>
    <x v="0"/>
    <s v="EN EJECUCION CON CONTRATO"/>
    <s v="00801-2026-SGSI/GITE"/>
    <s v="005659-2026-SGIST"/>
    <s v="002510-2026-GITE"/>
    <d v="2026-05-20T00:00:00"/>
    <m/>
    <m/>
    <m/>
    <m/>
    <m/>
    <s v="ORTIZ"/>
    <s v="CALDERON"/>
    <s v="BILLY ELOY"/>
    <n v="42805944"/>
    <n v="10428059447"/>
    <n v="5000"/>
    <d v="2026-06-01T00:00:00"/>
    <d v="2026-06-30T00:00:00"/>
    <m/>
    <n v="30"/>
    <n v="5000"/>
    <m/>
    <n v="5000"/>
    <m/>
    <n v="0"/>
    <n v="0"/>
    <n v="5000"/>
    <m/>
    <n v="30"/>
    <n v="5000"/>
    <n v="30"/>
    <n v="5000"/>
    <n v="30"/>
    <n v="5000"/>
    <n v="0"/>
    <n v="0"/>
    <m/>
    <n v="10000"/>
    <n v="10000"/>
    <n v="5000"/>
    <n v="0"/>
    <n v="5000"/>
    <m/>
    <m/>
    <s v="SGSI - DESISTIÓ  JORGE MACHUCA ARTURA CON CORREO DE FECHA 30ABR2026"/>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7"/>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51"/>
    <m/>
    <s v="MEMORANDO 002465-2026-GITE"/>
    <m/>
    <s v="BARBADILLO"/>
    <s v="SILVA"/>
    <s v="CHRISTIAN EDILBERTO"/>
    <n v="71502732"/>
    <n v="10715027327"/>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7"/>
    <s v="LOCADOR"/>
    <n v="1"/>
    <n v="5000"/>
    <m/>
    <m/>
    <m/>
    <m/>
    <n v="30"/>
    <n v="30"/>
    <m/>
    <m/>
    <m/>
    <m/>
    <m/>
    <m/>
    <n v="10000"/>
    <s v=" -   "/>
    <s v=" -   "/>
    <s v=" -   "/>
    <s v=" -   "/>
    <n v="5000"/>
    <n v="5000"/>
    <m/>
    <m/>
    <m/>
    <m/>
    <m/>
    <m/>
    <n v="10000"/>
    <x v="2"/>
    <s v="P1"/>
    <m/>
    <m/>
    <m/>
    <m/>
    <m/>
    <m/>
    <m/>
    <m/>
    <m/>
    <m/>
    <x v="0"/>
    <s v="EN EJECUCION CON CONTRATO"/>
    <s v="000567-2026-SGSI"/>
    <s v="004438-2026-SGIST"/>
    <s v="002025-2026-GITE"/>
    <d v="2026-04-22T00:00:00"/>
    <m/>
    <s v="0552"/>
    <m/>
    <s v="MEMORANDO 002465-2026-GITE"/>
    <m/>
    <s v="BALVIN"/>
    <s v="CAMARENA"/>
    <s v="FIORELLA PATRICIA"/>
    <n v="71605169"/>
    <n v="10716051698"/>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8"/>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53"/>
    <m/>
    <s v="MEMORANDO 002465-2026-GITE"/>
    <m/>
    <s v="CARREÑO"/>
    <s v="SEMINARIO"/>
    <s v="VICTOR RAUL"/>
    <n v="47225254"/>
    <n v="10472252548"/>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8"/>
    <s v="LOCADOR"/>
    <n v="1"/>
    <n v="5000"/>
    <m/>
    <m/>
    <m/>
    <m/>
    <n v="30"/>
    <n v="30"/>
    <m/>
    <m/>
    <m/>
    <m/>
    <m/>
    <m/>
    <n v="10000"/>
    <m/>
    <m/>
    <m/>
    <m/>
    <n v="5000"/>
    <n v="5000"/>
    <m/>
    <m/>
    <m/>
    <m/>
    <m/>
    <m/>
    <n v="10000"/>
    <x v="2"/>
    <s v="P1"/>
    <m/>
    <m/>
    <m/>
    <m/>
    <m/>
    <m/>
    <m/>
    <m/>
    <m/>
    <m/>
    <x v="0"/>
    <s v="EN EJECUCION CON CONTRATO"/>
    <s v="000567-2026-SGSI"/>
    <s v="004438-2026-SGIST"/>
    <s v="002025-2026-GITE"/>
    <d v="2026-04-22T00:00:00"/>
    <m/>
    <s v="0554"/>
    <m/>
    <s v="MEMORANDO 002465-2026-GITE"/>
    <m/>
    <s v="FLORES"/>
    <s v="GARCIA "/>
    <s v="SANDRA"/>
    <n v="47093005"/>
    <n v="10470930051"/>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9"/>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55"/>
    <m/>
    <s v="MEMORANDO 002465-2026-GITE"/>
    <m/>
    <s v="CRUZ"/>
    <s v="MUÑOZ"/>
    <s v="MARINA"/>
    <n v="45586520"/>
    <n v="10455865200"/>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9"/>
    <s v="LOCADOR"/>
    <n v="1"/>
    <n v="5000"/>
    <m/>
    <m/>
    <m/>
    <m/>
    <n v="30"/>
    <n v="30"/>
    <m/>
    <m/>
    <m/>
    <m/>
    <m/>
    <m/>
    <n v="10000"/>
    <m/>
    <m/>
    <m/>
    <m/>
    <n v="5000"/>
    <n v="5000"/>
    <m/>
    <m/>
    <m/>
    <m/>
    <m/>
    <m/>
    <n v="10000"/>
    <x v="2"/>
    <s v="P1"/>
    <m/>
    <m/>
    <m/>
    <m/>
    <m/>
    <m/>
    <m/>
    <m/>
    <m/>
    <m/>
    <x v="0"/>
    <s v="EN EJECUCION CON CONTRATO"/>
    <s v="000567-2026-SGSI"/>
    <s v="004438-2026-SGIST"/>
    <s v="002025-2026-GITE"/>
    <d v="2026-04-22T00:00:00"/>
    <m/>
    <s v="0556"/>
    <m/>
    <s v="MEMORANDO 002465-2026-GITE"/>
    <m/>
    <s v="MENDOZA"/>
    <s v="GARCIA"/>
    <s v="JIMMY ALEXANDER"/>
    <n v="46724271"/>
    <n v="10467242712"/>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0"/>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57"/>
    <m/>
    <s v="MEMORANDO 002465-2026-GITE"/>
    <m/>
    <s v="CASIMIRO "/>
    <s v="DIAZ "/>
    <s v="MAYRA MELISSA"/>
    <n v="44937147"/>
    <n v="10449371475"/>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5"/>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65"/>
    <m/>
    <s v="MEMORANDO 002465-2026-GITE"/>
    <m/>
    <s v="RODRIGUEZ"/>
    <s v="MENDOZA"/>
    <s v="FIORELLA JARDET"/>
    <n v="43078648"/>
    <n v="10430786488"/>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1"/>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58"/>
    <m/>
    <s v="MEMORANDO 002465-2026-GITE"/>
    <m/>
    <s v="LEON"/>
    <s v="FRANCO"/>
    <s v="MARIA DEL CARMEN"/>
    <n v="73034223"/>
    <n v="10730342239"/>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1"/>
    <s v="LOCADOR"/>
    <n v="1"/>
    <n v="5000"/>
    <m/>
    <m/>
    <m/>
    <m/>
    <n v="30"/>
    <n v="30"/>
    <m/>
    <m/>
    <m/>
    <m/>
    <m/>
    <m/>
    <n v="10000"/>
    <m/>
    <m/>
    <m/>
    <m/>
    <n v="5000"/>
    <n v="5000"/>
    <m/>
    <m/>
    <m/>
    <m/>
    <m/>
    <m/>
    <n v="10000"/>
    <x v="2"/>
    <s v="P1"/>
    <m/>
    <m/>
    <m/>
    <m/>
    <m/>
    <m/>
    <m/>
    <m/>
    <m/>
    <m/>
    <x v="0"/>
    <s v="EN EJECUCION CON CONTRATO"/>
    <s v="000567-2026-SGSI"/>
    <s v="004438-2026-SGIST"/>
    <s v="002025-2026-GITE"/>
    <d v="2026-04-22T00:00:00"/>
    <m/>
    <s v="0559"/>
    <m/>
    <s v="MEMORANDO 002465-2026-GITE"/>
    <m/>
    <s v="ARRIOLA "/>
    <s v="OLIHUA"/>
    <s v="IVAN EDUARDO"/>
    <n v="48548829"/>
    <n v="10485488290"/>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2"/>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60"/>
    <m/>
    <s v="MEMORANDO 002465-2026-GITE"/>
    <m/>
    <s v="CIPRA"/>
    <s v="CAQUI "/>
    <s v="MIRIAN MILAGROS"/>
    <n v="41800998"/>
    <n v="10418009981"/>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2"/>
    <s v="LOCADOR"/>
    <n v="1"/>
    <n v="5000"/>
    <m/>
    <m/>
    <m/>
    <m/>
    <n v="30"/>
    <n v="30"/>
    <m/>
    <m/>
    <m/>
    <m/>
    <m/>
    <m/>
    <n v="10000"/>
    <m/>
    <m/>
    <m/>
    <m/>
    <n v="5000"/>
    <n v="5000"/>
    <m/>
    <m/>
    <m/>
    <m/>
    <m/>
    <m/>
    <n v="10000"/>
    <x v="2"/>
    <s v="P1"/>
    <m/>
    <m/>
    <m/>
    <m/>
    <m/>
    <m/>
    <m/>
    <m/>
    <m/>
    <m/>
    <x v="0"/>
    <s v="EN EJECUCION CON CONTRATO"/>
    <s v="000567-2026-SGSI"/>
    <s v="004438-2026-SGIST"/>
    <s v="002025-2026-GITE"/>
    <d v="2026-04-22T00:00:00"/>
    <m/>
    <s v="0561"/>
    <m/>
    <s v="MEMORANDO 002465-2026-GITE"/>
    <m/>
    <s v="CASTILLO"/>
    <s v="ZAVALETA"/>
    <s v="PEDRO LUIS"/>
    <n v="46846249"/>
    <n v="10468462490"/>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3"/>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62"/>
    <m/>
    <s v="MEMORANDO 002465-2026-GITE"/>
    <m/>
    <s v="GARIBAY"/>
    <s v="PEDREGAL "/>
    <s v="CINDY NILA"/>
    <n v="45206589"/>
    <n v="10452065890"/>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3"/>
    <s v="LOCADOR"/>
    <n v="1"/>
    <n v="5000"/>
    <m/>
    <m/>
    <m/>
    <m/>
    <n v="30"/>
    <n v="30"/>
    <m/>
    <m/>
    <m/>
    <m/>
    <m/>
    <m/>
    <n v="10000"/>
    <m/>
    <m/>
    <m/>
    <m/>
    <n v="5000"/>
    <n v="5000"/>
    <m/>
    <m/>
    <m/>
    <m/>
    <m/>
    <m/>
    <n v="10000"/>
    <x v="2"/>
    <s v="P1"/>
    <m/>
    <m/>
    <m/>
    <m/>
    <m/>
    <m/>
    <m/>
    <m/>
    <m/>
    <m/>
    <x v="0"/>
    <s v="EN EJECUCION CON CONTRATO"/>
    <s v="000567-2026-SGSI"/>
    <s v="004438-2026-SGIST"/>
    <s v="002025-2026-GITE"/>
    <d v="2026-04-22T00:00:00"/>
    <m/>
    <s v="0563"/>
    <m/>
    <s v="MEMORANDO 002465-2026-GITE"/>
    <m/>
    <s v="DEL RIO"/>
    <s v="VEGA"/>
    <s v=" IRENE ARACELI"/>
    <n v="45128337"/>
    <n v="10451283371"/>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INFORMATICO DE SISTEMAS 14"/>
    <s v="LOCADOR"/>
    <n v="1"/>
    <n v="5000"/>
    <m/>
    <m/>
    <m/>
    <m/>
    <n v="30"/>
    <n v="30"/>
    <m/>
    <m/>
    <m/>
    <m/>
    <m/>
    <m/>
    <n v="10000"/>
    <s v=" -   "/>
    <s v=" -   "/>
    <s v=" -   "/>
    <s v=" -   "/>
    <n v="5000"/>
    <n v="5000"/>
    <s v=" -   "/>
    <s v=" -   "/>
    <s v=" -   "/>
    <s v=" -   "/>
    <s v=" -   "/>
    <s v=" -   "/>
    <n v="10000"/>
    <x v="2"/>
    <s v="P1"/>
    <m/>
    <m/>
    <m/>
    <m/>
    <m/>
    <m/>
    <m/>
    <m/>
    <m/>
    <m/>
    <x v="0"/>
    <s v="EN EJECUCION CON CONTRATO"/>
    <s v="000567-2026-SGSI"/>
    <s v="004438-2026-SGIST"/>
    <s v="002025-2026-GITE"/>
    <d v="2026-04-22T00:00:00"/>
    <m/>
    <s v="0564"/>
    <m/>
    <s v="MEMORANDO 002465-2026-GITE"/>
    <m/>
    <s v="CARRANZA"/>
    <s v="ANTON"/>
    <s v="GIANCARLOS WALDIR"/>
    <n v="71301456"/>
    <n v="10713014562"/>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DATOS 1_x000a_"/>
    <s v="LOCADOR"/>
    <n v="1"/>
    <n v="6000"/>
    <m/>
    <m/>
    <m/>
    <m/>
    <n v="30"/>
    <n v="0"/>
    <m/>
    <m/>
    <m/>
    <m/>
    <m/>
    <m/>
    <n v="6000"/>
    <s v=" -   "/>
    <s v=" -   "/>
    <s v=" -   "/>
    <s v=" -   "/>
    <n v="6000"/>
    <n v="0"/>
    <s v=" -   "/>
    <s v=" -   "/>
    <s v=" -   "/>
    <s v=" -   "/>
    <s v=" -   "/>
    <s v=" -   "/>
    <n v="6000"/>
    <x v="2"/>
    <s v="P1"/>
    <m/>
    <m/>
    <m/>
    <m/>
    <m/>
    <m/>
    <m/>
    <m/>
    <m/>
    <m/>
    <x v="1"/>
    <s v="PENDIENTE DE REQUERIR"/>
    <m/>
    <m/>
    <m/>
    <m/>
    <m/>
    <m/>
    <m/>
    <m/>
    <m/>
    <m/>
    <m/>
    <m/>
    <m/>
    <m/>
    <m/>
    <m/>
    <m/>
    <m/>
    <n v="30"/>
    <n v="6000"/>
    <m/>
    <n v="0"/>
    <m/>
    <n v="0"/>
    <n v="6000"/>
    <n v="6000"/>
    <m/>
    <n v="0"/>
    <n v="0"/>
    <m/>
    <n v="0"/>
    <m/>
    <n v="0"/>
    <n v="0"/>
    <n v="0"/>
    <m/>
    <n v="6000"/>
    <n v="0"/>
    <n v="0"/>
    <n v="6000"/>
    <n v="600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TES: ANALISTA DE DATOS 1_x000a_NUEVO: ANALISTA DE CALIDAD DE SISTEMAS 3"/>
    <s v="LOCADOR"/>
    <n v="1"/>
    <n v="6000"/>
    <m/>
    <m/>
    <m/>
    <m/>
    <n v="0"/>
    <n v="30"/>
    <m/>
    <m/>
    <m/>
    <m/>
    <m/>
    <m/>
    <n v="6000"/>
    <s v=" -   "/>
    <s v=" -   "/>
    <s v=" -   "/>
    <s v=" -   "/>
    <n v="0"/>
    <n v="6000"/>
    <s v=" -   "/>
    <s v=" -   "/>
    <s v=" -   "/>
    <s v=" -   "/>
    <s v=" -   "/>
    <s v=" -   "/>
    <n v="6000"/>
    <x v="2"/>
    <s v="P1"/>
    <m/>
    <m/>
    <m/>
    <m/>
    <m/>
    <m/>
    <m/>
    <m/>
    <m/>
    <m/>
    <x v="0"/>
    <s v="EN EJECUCION CON CONTRATO"/>
    <s v="000904-2026-SGSI/GITE"/>
    <s v="006175-2026-SGIST/GITE"/>
    <s v="002750-2026-GITE"/>
    <d v="2026-06-02T00:00:00"/>
    <m/>
    <m/>
    <m/>
    <m/>
    <m/>
    <s v="BAYLON "/>
    <s v="ULLOA "/>
    <s v="EDGAR HERNAN"/>
    <n v="80639112"/>
    <n v="10806391129"/>
    <n v="6000"/>
    <d v="2026-06-05T00:00:00"/>
    <d v="2026-06-30T00:00:00"/>
    <m/>
    <n v="0"/>
    <n v="0"/>
    <m/>
    <n v="0"/>
    <m/>
    <n v="0"/>
    <n v="0"/>
    <n v="0"/>
    <m/>
    <n v="30"/>
    <n v="6000"/>
    <n v="26"/>
    <n v="5200"/>
    <n v="26"/>
    <n v="5200"/>
    <n v="800"/>
    <n v="800"/>
    <m/>
    <n v="6000"/>
    <n v="5200"/>
    <n v="5200"/>
    <n v="800"/>
    <n v="80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DE PRUEBAS DE DESARROLLO DE SOFTWARE 1"/>
    <s v="LOCADOR"/>
    <n v="1"/>
    <n v="5500"/>
    <m/>
    <m/>
    <m/>
    <m/>
    <n v="30"/>
    <n v="0"/>
    <m/>
    <m/>
    <m/>
    <m/>
    <m/>
    <m/>
    <n v="5500"/>
    <s v=" -   "/>
    <s v=" -   "/>
    <s v=" -   "/>
    <s v=" -   "/>
    <n v="5500"/>
    <n v="0"/>
    <s v=" -   "/>
    <s v=" -   "/>
    <s v=" -   "/>
    <s v=" -   "/>
    <s v=" -   "/>
    <s v=" -   "/>
    <n v="5500"/>
    <x v="2"/>
    <s v="P1"/>
    <m/>
    <m/>
    <m/>
    <m/>
    <m/>
    <m/>
    <m/>
    <m/>
    <m/>
    <m/>
    <x v="0"/>
    <s v="EN EJECUCION CON CONTRATO"/>
    <s v="000566-2026-SGSI/GITE"/>
    <s v="004445-2026-SGIST/GITE"/>
    <s v="002026-2026/GITE"/>
    <d v="2026-04-22T00:00:00"/>
    <m/>
    <s v="0749"/>
    <m/>
    <s v="MEMORANDO 002467-2026-GITE "/>
    <m/>
    <s v="SILVA"/>
    <s v="HORNA"/>
    <s v="LUZ AMARILIS"/>
    <n v="46901338"/>
    <n v="10469013389"/>
    <n v="5500"/>
    <d v="2026-05-01T00:00:00"/>
    <d v="2026-05-31T00:00:00"/>
    <m/>
    <n v="30"/>
    <n v="5500"/>
    <n v="30"/>
    <n v="5500"/>
    <n v="30"/>
    <n v="5500"/>
    <n v="0"/>
    <n v="0"/>
    <m/>
    <n v="0"/>
    <n v="0"/>
    <m/>
    <n v="0"/>
    <m/>
    <n v="0"/>
    <n v="0"/>
    <n v="0"/>
    <m/>
    <n v="5500"/>
    <n v="5500"/>
    <n v="5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DE PRUEBAS DE DESARROLLO DE SOFTWARE 1"/>
    <s v="LOCADOR"/>
    <n v="1"/>
    <n v="5500"/>
    <m/>
    <m/>
    <m/>
    <m/>
    <n v="0"/>
    <n v="30"/>
    <m/>
    <m/>
    <m/>
    <m/>
    <m/>
    <m/>
    <n v="5500"/>
    <s v=" -   "/>
    <s v=" -   "/>
    <s v=" -   "/>
    <s v=" -   "/>
    <n v="0"/>
    <n v="5500"/>
    <s v=" -   "/>
    <s v=" -   "/>
    <s v=" -   "/>
    <s v=" -   "/>
    <s v=" -   "/>
    <s v=" -   "/>
    <n v="5500"/>
    <x v="2"/>
    <s v="P1"/>
    <m/>
    <m/>
    <m/>
    <m/>
    <m/>
    <m/>
    <m/>
    <m/>
    <m/>
    <m/>
    <x v="0"/>
    <s v="EN EJECUCION CON CONTRATO"/>
    <s v="000744-2026-SGSI/GITE"/>
    <s v="005330-2026-SGSIT/GITE"/>
    <s v="0024092026/GITE"/>
    <d v="2026-05-14T00:00:00"/>
    <m/>
    <s v="0749"/>
    <m/>
    <m/>
    <m/>
    <s v="SILVA"/>
    <s v="HORNA"/>
    <s v="LUZ AMARILIS"/>
    <n v="46901338"/>
    <n v="10469013389"/>
    <n v="5500"/>
    <d v="2026-06-01T00:00:00"/>
    <d v="2026-06-30T00:00:00"/>
    <m/>
    <n v="0"/>
    <n v="0"/>
    <m/>
    <n v="0"/>
    <m/>
    <n v="0"/>
    <n v="0"/>
    <n v="0"/>
    <m/>
    <n v="30"/>
    <n v="5500"/>
    <n v="30"/>
    <n v="5500"/>
    <n v="30"/>
    <n v="5500"/>
    <n v="0"/>
    <n v="0"/>
    <m/>
    <n v="5500"/>
    <n v="5500"/>
    <n v="5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FUNCIONAL SENIOR 1"/>
    <s v="LOCADOR"/>
    <n v="1"/>
    <n v="7000"/>
    <m/>
    <m/>
    <m/>
    <m/>
    <n v="30"/>
    <n v="0"/>
    <m/>
    <m/>
    <m/>
    <m/>
    <m/>
    <m/>
    <n v="7000"/>
    <s v=" -   "/>
    <s v=" -   "/>
    <s v=" -   "/>
    <s v=" -   "/>
    <n v="7000"/>
    <n v="0"/>
    <s v=" -   "/>
    <s v=" -   "/>
    <s v=" -   "/>
    <s v=" -   "/>
    <s v=" -   "/>
    <s v=" -   "/>
    <n v="7000"/>
    <x v="2"/>
    <s v="P1"/>
    <m/>
    <m/>
    <m/>
    <m/>
    <m/>
    <m/>
    <m/>
    <m/>
    <m/>
    <m/>
    <x v="0"/>
    <s v="EN EJECUCION CON CONTRATO"/>
    <s v="000566-2026-SGSI/GITE"/>
    <s v="004445-2026-SGIST"/>
    <s v="002026-2026/GITE"/>
    <d v="2026-04-22T00:00:00"/>
    <m/>
    <s v="0768"/>
    <m/>
    <s v="MEMORANDO 002467-2026-GITE"/>
    <m/>
    <s v="RODRIGUEZ"/>
    <s v="CHACARA"/>
    <s v="BRYAN"/>
    <n v="45153030"/>
    <n v="10451530301"/>
    <n v="7000"/>
    <d v="2026-05-01T00:00:00"/>
    <d v="2026-05-31T00:00:00"/>
    <m/>
    <n v="30"/>
    <n v="7000"/>
    <n v="30"/>
    <n v="7000"/>
    <n v="30"/>
    <n v="7000"/>
    <n v="0"/>
    <n v="0"/>
    <m/>
    <n v="0"/>
    <n v="0"/>
    <n v="0"/>
    <n v="0"/>
    <n v="0"/>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FUNCIONAL SENIOR 1"/>
    <s v="LOCADOR"/>
    <n v="1"/>
    <n v="7000"/>
    <m/>
    <m/>
    <m/>
    <m/>
    <n v="0"/>
    <n v="30"/>
    <m/>
    <m/>
    <m/>
    <m/>
    <m/>
    <m/>
    <n v="7000"/>
    <s v=" -   "/>
    <s v=" -   "/>
    <s v=" -   "/>
    <s v=" -   "/>
    <n v="0"/>
    <n v="7000"/>
    <s v=" -   "/>
    <s v=" -   "/>
    <s v=" -   "/>
    <s v=" -   "/>
    <s v=" -   "/>
    <s v=" -   "/>
    <n v="7000"/>
    <x v="2"/>
    <s v="P1"/>
    <m/>
    <m/>
    <m/>
    <m/>
    <m/>
    <m/>
    <m/>
    <m/>
    <m/>
    <m/>
    <x v="0"/>
    <s v="EN EJECUCION CON CONTRATO"/>
    <s v="000876-2026-SGSI"/>
    <s v="006092-2026-SGIST"/>
    <s v="002718-2026/GITE"/>
    <d v="2026-05-14T00:00:00"/>
    <m/>
    <m/>
    <m/>
    <m/>
    <m/>
    <s v="AVALOS"/>
    <s v="HUAMANI"/>
    <s v="JANNET KATHERINE"/>
    <n v="41979561"/>
    <n v="10419795611"/>
    <n v="7000"/>
    <d v="2026-06-02T00:00:00"/>
    <d v="2026-06-30T00:00:00"/>
    <m/>
    <n v="0"/>
    <n v="0"/>
    <m/>
    <n v="0"/>
    <m/>
    <n v="0"/>
    <n v="0"/>
    <n v="0"/>
    <m/>
    <n v="30"/>
    <n v="7000"/>
    <n v="29"/>
    <n v="6766.666666666667"/>
    <n v="29"/>
    <n v="6766.666666666667"/>
    <n v="233.33333333333303"/>
    <n v="233.33333333333303"/>
    <m/>
    <n v="7000"/>
    <n v="6766.666666666667"/>
    <n v="6766.666666666667"/>
    <n v="233.33333333333303"/>
    <n v="233.33333333333303"/>
    <m/>
    <m/>
    <s v="SGSI - Correo 29/05/2026 - comunica desitimiento de  RODRIGUEZ CHACARA BRYAN Informe 000744-SGSI y Memorando 002409-GITE"/>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1"/>
    <s v="LOCADOR"/>
    <n v="1"/>
    <n v="6000"/>
    <m/>
    <m/>
    <m/>
    <m/>
    <n v="30"/>
    <n v="0"/>
    <m/>
    <m/>
    <m/>
    <m/>
    <m/>
    <m/>
    <n v="6000"/>
    <s v=" -   "/>
    <s v=" -   "/>
    <s v=" -   "/>
    <s v=" -   "/>
    <n v="6000"/>
    <n v="0"/>
    <s v=" -   "/>
    <s v=" -   "/>
    <s v=" -   "/>
    <s v=" -   "/>
    <s v=" -   "/>
    <s v=" -   "/>
    <n v="6000"/>
    <x v="2"/>
    <s v="P1"/>
    <m/>
    <m/>
    <m/>
    <m/>
    <m/>
    <m/>
    <m/>
    <m/>
    <m/>
    <m/>
    <x v="0"/>
    <s v="EN EJECUCION CON CONTRATO"/>
    <s v="000566-2026-SGSI/GITE"/>
    <s v="004445-2026-SGIST/GITE"/>
    <s v="002026-2026/GITE"/>
    <d v="2026-04-22T00:00:00"/>
    <m/>
    <s v="0777"/>
    <m/>
    <s v="MEMORANDO 002467-2026-GITE"/>
    <m/>
    <s v="MALLQUI"/>
    <s v="PARRA"/>
    <s v="FRANCO ERNESTO"/>
    <n v="70443940"/>
    <n v="10704439402"/>
    <n v="6000"/>
    <d v="2026-05-01T00:00:00"/>
    <d v="2026-05-31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1"/>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m/>
    <m/>
    <m/>
    <m/>
    <s v="MALLQUI"/>
    <s v="PARRA"/>
    <s v="FRANCO ERNESTO"/>
    <n v="70443940"/>
    <n v="10704439402"/>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2"/>
    <s v="LOCADOR"/>
    <n v="1"/>
    <n v="6000"/>
    <m/>
    <m/>
    <m/>
    <m/>
    <n v="30"/>
    <n v="0"/>
    <m/>
    <m/>
    <m/>
    <m/>
    <m/>
    <m/>
    <n v="6000"/>
    <s v=" -   "/>
    <s v=" -   "/>
    <s v=" -   "/>
    <s v=" -   "/>
    <n v="6000"/>
    <n v="0"/>
    <s v=" -   "/>
    <s v=" -   "/>
    <s v=" -   "/>
    <s v=" -   "/>
    <s v=" -   "/>
    <s v=" -   "/>
    <n v="6000"/>
    <x v="2"/>
    <s v="P1"/>
    <m/>
    <m/>
    <m/>
    <m/>
    <m/>
    <m/>
    <m/>
    <m/>
    <m/>
    <m/>
    <x v="0"/>
    <s v="EN EJECUCION CON CONTRATO"/>
    <s v="000566-2026-SGSI/GITE"/>
    <s v="004445-2026-SGIST/GITE"/>
    <s v="002026-2026/GITE"/>
    <d v="2026-04-22T00:00:00"/>
    <m/>
    <s v="0779"/>
    <m/>
    <s v="MEMORANDO 002467-2026-GITE"/>
    <m/>
    <s v="ELGUERA "/>
    <s v="MACHA "/>
    <s v="JOSE DAVID"/>
    <n v="73827602"/>
    <n v="10738276022"/>
    <n v="6000"/>
    <d v="2026-05-01T00:00:00"/>
    <d v="2026-05-31T00:00:00"/>
    <m/>
    <n v="30"/>
    <n v="6000"/>
    <n v="30"/>
    <n v="6000"/>
    <n v="30"/>
    <n v="6000"/>
    <n v="0"/>
    <n v="0"/>
    <m/>
    <n v="0"/>
    <n v="0"/>
    <m/>
    <n v="0"/>
    <m/>
    <n v="0"/>
    <n v="0"/>
    <n v="0"/>
    <m/>
    <n v="6000"/>
    <n v="6000"/>
    <n v="6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2"/>
    <s v="LOCADOR"/>
    <n v="1"/>
    <n v="6000"/>
    <m/>
    <m/>
    <m/>
    <m/>
    <n v="0"/>
    <n v="30"/>
    <m/>
    <m/>
    <m/>
    <m/>
    <m/>
    <m/>
    <n v="6000"/>
    <s v=" -   "/>
    <s v=" -   "/>
    <s v=" -   "/>
    <s v=" -   "/>
    <n v="0"/>
    <n v="6000"/>
    <s v=" -   "/>
    <s v=" -   "/>
    <s v=" -   "/>
    <s v=" -   "/>
    <s v=" -   "/>
    <s v=" -   "/>
    <n v="6000"/>
    <x v="2"/>
    <s v="P1"/>
    <m/>
    <m/>
    <m/>
    <m/>
    <m/>
    <m/>
    <m/>
    <m/>
    <m/>
    <m/>
    <x v="0"/>
    <s v="EN EJECUCION CON CONTRATO"/>
    <s v="000744-2026-SGSI/GITE"/>
    <s v="005330-2026-SGSIT/GITE"/>
    <s v="0024092026/GITE"/>
    <d v="2026-05-14T00:00:00"/>
    <m/>
    <m/>
    <m/>
    <m/>
    <m/>
    <s v="ELGUERA "/>
    <s v="MACHA "/>
    <s v="JOSE DAVID"/>
    <n v="73827602"/>
    <n v="10738276022"/>
    <n v="6000"/>
    <d v="2026-06-01T00:00:00"/>
    <d v="2026-06-30T00:00:00"/>
    <m/>
    <n v="0"/>
    <n v="0"/>
    <m/>
    <n v="0"/>
    <m/>
    <n v="0"/>
    <n v="0"/>
    <n v="0"/>
    <m/>
    <n v="30"/>
    <n v="6000"/>
    <n v="30"/>
    <n v="6000"/>
    <n v="30"/>
    <n v="6000"/>
    <n v="0"/>
    <n v="0"/>
    <m/>
    <n v="6000"/>
    <n v="6000"/>
    <n v="6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1"/>
    <s v="LOCADOR"/>
    <n v="1"/>
    <n v="7000"/>
    <m/>
    <m/>
    <m/>
    <m/>
    <n v="30"/>
    <n v="0"/>
    <m/>
    <m/>
    <m/>
    <m/>
    <m/>
    <m/>
    <n v="7000"/>
    <s v=" -   "/>
    <s v=" -   "/>
    <s v=" -   "/>
    <s v=" -   "/>
    <n v="7000"/>
    <n v="0"/>
    <s v=" -   "/>
    <s v=" -   "/>
    <s v=" -   "/>
    <s v=" -   "/>
    <s v=" -   "/>
    <s v=" -   "/>
    <n v="7000"/>
    <x v="2"/>
    <s v="P1"/>
    <m/>
    <m/>
    <m/>
    <m/>
    <m/>
    <m/>
    <m/>
    <m/>
    <m/>
    <m/>
    <x v="0"/>
    <s v="EN EJECUCION CON CONTRATO"/>
    <s v="000565-2026-SGSI"/>
    <s v="0004460-2026-SGIST"/>
    <s v=" 002026-2026-GITE"/>
    <d v="2026-04-22T00:00:00"/>
    <m/>
    <s v="0698"/>
    <m/>
    <s v="MEMORANDO 002465-2026-GITE"/>
    <m/>
    <s v="ESCALANTE"/>
    <s v="BAÑARES"/>
    <s v="JUAN CARLOS"/>
    <n v="77037007"/>
    <n v="10770370073"/>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1"/>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698"/>
    <m/>
    <m/>
    <m/>
    <s v="ESCALANTE"/>
    <s v="BAÑARES"/>
    <s v="JUAN CARLOS"/>
    <n v="77037007"/>
    <n v="10770370073"/>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PROGRAMADOR SENIOR 35"/>
    <s v="LOCADOR"/>
    <n v="1"/>
    <n v="7000"/>
    <m/>
    <m/>
    <m/>
    <m/>
    <n v="30"/>
    <n v="0"/>
    <m/>
    <m/>
    <m/>
    <m/>
    <m/>
    <m/>
    <n v="7000"/>
    <s v=" -   "/>
    <s v=" -   "/>
    <s v=" -   "/>
    <s v=" -   "/>
    <n v="7000"/>
    <n v="0"/>
    <s v=" -   "/>
    <s v=" -   "/>
    <s v=" -   "/>
    <s v=" -   "/>
    <s v=" -   "/>
    <s v=" -   "/>
    <n v="7000"/>
    <x v="2"/>
    <s v="P1"/>
    <m/>
    <m/>
    <m/>
    <m/>
    <m/>
    <m/>
    <m/>
    <m/>
    <m/>
    <m/>
    <x v="0"/>
    <s v="EN EJECUCION CON CONTRATO"/>
    <s v="000567-2026-SGSI"/>
    <s v="004438-2026-SGIST"/>
    <s v="002025-2026-GITE"/>
    <d v="2026-04-22T00:00:00"/>
    <m/>
    <s v="0509"/>
    <m/>
    <s v="MEMORANDO 002465-2026-GITE"/>
    <m/>
    <s v="TAIPE"/>
    <s v="CARRION"/>
    <s v="ERICK RAFAEL CAMILO"/>
    <n v="74438705"/>
    <n v="10744387057"/>
    <n v="7000"/>
    <d v="2026-05-01T00:00:00"/>
    <d v="2026-05-31T00:00:00"/>
    <m/>
    <n v="30"/>
    <n v="7000"/>
    <n v="30"/>
    <n v="7000"/>
    <n v="30"/>
    <n v="7000"/>
    <n v="0"/>
    <n v="0"/>
    <m/>
    <n v="0"/>
    <n v="0"/>
    <m/>
    <n v="0"/>
    <m/>
    <n v="0"/>
    <n v="0"/>
    <n v="0"/>
    <m/>
    <n v="7000"/>
    <n v="7000"/>
    <n v="70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ANALISTA PROGRAMADOR SENIOR 35"/>
    <s v="LOCADOR"/>
    <n v="1"/>
    <n v="7000"/>
    <m/>
    <m/>
    <m/>
    <m/>
    <n v="0"/>
    <n v="30"/>
    <m/>
    <m/>
    <m/>
    <m/>
    <m/>
    <m/>
    <n v="7000"/>
    <s v=" -   "/>
    <s v=" -   "/>
    <s v=" -   "/>
    <s v=" -   "/>
    <n v="0"/>
    <n v="7000"/>
    <s v=" -   "/>
    <s v=" -   "/>
    <s v=" -   "/>
    <s v=" -   "/>
    <s v=" -   "/>
    <s v=" -   "/>
    <n v="7000"/>
    <x v="2"/>
    <s v="P1"/>
    <m/>
    <m/>
    <m/>
    <m/>
    <m/>
    <m/>
    <m/>
    <m/>
    <m/>
    <m/>
    <x v="0"/>
    <s v="EN EJECUCION CON CONTRATO"/>
    <s v="000744-2026-SGSI/GITE"/>
    <s v="005330-2026-SGSIT/GITE"/>
    <s v="0024092026/GITE"/>
    <d v="2026-05-14T00:00:00"/>
    <m/>
    <s v="0509"/>
    <m/>
    <m/>
    <m/>
    <s v="TAIPE"/>
    <s v="CARRION"/>
    <s v="ERICK RAFAEL CAMILO"/>
    <n v="74438705"/>
    <n v="10744387057"/>
    <n v="7000"/>
    <d v="2026-06-01T00:00:00"/>
    <d v="2026-06-30T00:00:00"/>
    <m/>
    <n v="0"/>
    <n v="0"/>
    <m/>
    <n v="0"/>
    <m/>
    <n v="0"/>
    <n v="0"/>
    <n v="0"/>
    <m/>
    <n v="30"/>
    <n v="7000"/>
    <n v="30"/>
    <n v="7000"/>
    <n v="30"/>
    <n v="7000"/>
    <n v="0"/>
    <n v="0"/>
    <m/>
    <n v="7000"/>
    <n v="7000"/>
    <n v="7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DOCUMENTADOR 1"/>
    <s v="LOCADOR"/>
    <n v="1"/>
    <n v="4500"/>
    <m/>
    <m/>
    <m/>
    <m/>
    <n v="30"/>
    <n v="0"/>
    <m/>
    <m/>
    <m/>
    <m/>
    <m/>
    <m/>
    <n v="4500"/>
    <s v=" -   "/>
    <s v=" -   "/>
    <s v=" -   "/>
    <s v=" -   "/>
    <n v="4500"/>
    <n v="0"/>
    <s v=" -   "/>
    <s v=" -   "/>
    <s v=" -   "/>
    <s v=" -   "/>
    <s v=" -   "/>
    <s v=" -   "/>
    <n v="4500"/>
    <x v="2"/>
    <s v="P1"/>
    <m/>
    <m/>
    <m/>
    <m/>
    <m/>
    <m/>
    <m/>
    <m/>
    <m/>
    <m/>
    <x v="0"/>
    <s v="EN EJECUCION CON CONTRATO"/>
    <s v="000567-2026-SGSI"/>
    <s v="004438-2026-SGIST"/>
    <s v="002025-2026-GITE"/>
    <d v="2026-04-22T00:00:00"/>
    <m/>
    <s v="0522"/>
    <m/>
    <s v="MEMORANDO 002465-2026-GITE"/>
    <m/>
    <s v="QUISPE"/>
    <s v="SAUÑE"/>
    <s v="GUISELLA ANTONIA"/>
    <n v="44329546"/>
    <n v="10443295467"/>
    <n v="4500"/>
    <d v="2026-05-01T00:00:00"/>
    <d v="2026-05-31T00:00:00"/>
    <m/>
    <n v="30"/>
    <n v="4500"/>
    <n v="30"/>
    <n v="4500"/>
    <n v="30"/>
    <n v="4500"/>
    <n v="0"/>
    <n v="0"/>
    <m/>
    <n v="0"/>
    <n v="0"/>
    <m/>
    <n v="0"/>
    <m/>
    <n v="0"/>
    <n v="0"/>
    <n v="0"/>
    <m/>
    <n v="4500"/>
    <n v="4500"/>
    <n v="4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DOCUMENTADOR 1"/>
    <s v="LOCADOR"/>
    <n v="1"/>
    <n v="4500"/>
    <m/>
    <m/>
    <m/>
    <m/>
    <n v="0"/>
    <n v="30"/>
    <m/>
    <m/>
    <m/>
    <m/>
    <m/>
    <m/>
    <n v="4500"/>
    <s v=" -   "/>
    <s v=" -   "/>
    <s v=" -   "/>
    <s v=" -   "/>
    <n v="0"/>
    <n v="4500"/>
    <s v=" -   "/>
    <s v=" -   "/>
    <s v=" -   "/>
    <s v=" -   "/>
    <s v=" -   "/>
    <s v=" -   "/>
    <n v="4500"/>
    <x v="2"/>
    <s v="P1"/>
    <m/>
    <m/>
    <m/>
    <m/>
    <m/>
    <m/>
    <m/>
    <m/>
    <m/>
    <m/>
    <x v="0"/>
    <s v="EN EJECUCION CON CONTRATO"/>
    <s v="000744-2026-SGSI/GITE"/>
    <s v="005330-2026-SGSIT/GITE"/>
    <s v="0024092026/GITE"/>
    <d v="2026-05-14T00:00:00"/>
    <m/>
    <s v="0522"/>
    <m/>
    <m/>
    <m/>
    <s v="QUISPE"/>
    <s v="SAUÑE"/>
    <s v="GUISELLA ANTONIA"/>
    <n v="44329546"/>
    <n v="10443295467"/>
    <n v="4500"/>
    <d v="2026-06-01T00:00:00"/>
    <d v="2026-06-30T00:00:00"/>
    <m/>
    <n v="0"/>
    <n v="0"/>
    <m/>
    <n v="0"/>
    <m/>
    <n v="0"/>
    <n v="0"/>
    <n v="0"/>
    <m/>
    <n v="30"/>
    <n v="4500"/>
    <n v="30"/>
    <n v="4500"/>
    <n v="30"/>
    <n v="4500"/>
    <n v="0"/>
    <n v="0"/>
    <m/>
    <n v="4500"/>
    <n v="4500"/>
    <n v="45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COORDINADOR DE SOPORTE INFORMATICO DE DESARROLLO"/>
    <s v="LOCADOR"/>
    <n v="1"/>
    <n v="8000"/>
    <m/>
    <m/>
    <m/>
    <m/>
    <n v="30"/>
    <n v="0"/>
    <m/>
    <m/>
    <m/>
    <m/>
    <m/>
    <m/>
    <n v="8000"/>
    <s v=" -   "/>
    <s v=" -   "/>
    <s v=" -   "/>
    <s v=" -   "/>
    <n v="8000"/>
    <n v="0"/>
    <s v=" -   "/>
    <s v=" -   "/>
    <s v=" -   "/>
    <s v=" -   "/>
    <s v=" -   "/>
    <s v=" -   "/>
    <n v="8000"/>
    <x v="2"/>
    <s v="P1"/>
    <m/>
    <m/>
    <m/>
    <m/>
    <m/>
    <m/>
    <m/>
    <m/>
    <m/>
    <m/>
    <x v="0"/>
    <s v="EN EJECUCION CON CONTRATO"/>
    <s v="000567-2026-SGSI"/>
    <s v="004438-2026-SGIST"/>
    <s v="002025-2026-GITE"/>
    <d v="2026-04-22T00:00:00"/>
    <m/>
    <s v="0545"/>
    <m/>
    <s v="MEMORANDO 002465-2026-GITE"/>
    <m/>
    <s v="MONZON"/>
    <s v="SANDOVAL"/>
    <s v="MILI ROSARIO"/>
    <n v="41915781"/>
    <n v="10419157819"/>
    <n v="8000"/>
    <d v="2026-05-01T00:00:00"/>
    <d v="2026-05-31T00:00:00"/>
    <m/>
    <n v="30"/>
    <n v="8000"/>
    <n v="30"/>
    <n v="8000.0000000000009"/>
    <n v="30"/>
    <n v="8000.0000000000009"/>
    <n v="0"/>
    <n v="0"/>
    <m/>
    <n v="0"/>
    <n v="0"/>
    <m/>
    <n v="0"/>
    <m/>
    <n v="0"/>
    <n v="0"/>
    <n v="0"/>
    <m/>
    <n v="8000"/>
    <n v="8000.0000000000009"/>
    <n v="8000.0000000000009"/>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COORDINADOR DE SOPORTE INFORMATICO DE DESARROLLO"/>
    <s v="LOCADOR"/>
    <n v="1"/>
    <n v="8000"/>
    <m/>
    <m/>
    <m/>
    <m/>
    <n v="0"/>
    <n v="30"/>
    <m/>
    <m/>
    <m/>
    <m/>
    <m/>
    <m/>
    <n v="8000"/>
    <s v=" -   "/>
    <s v=" -   "/>
    <s v=" -   "/>
    <s v=" -   "/>
    <n v="0"/>
    <n v="8000"/>
    <s v=" -   "/>
    <s v=" -   "/>
    <s v=" -   "/>
    <s v=" -   "/>
    <s v=" -   "/>
    <s v=" -   "/>
    <n v="8000"/>
    <x v="2"/>
    <s v="P1"/>
    <m/>
    <m/>
    <m/>
    <m/>
    <m/>
    <m/>
    <m/>
    <m/>
    <m/>
    <m/>
    <x v="0"/>
    <s v="EN EJECUCION CON CONTRATO"/>
    <s v="000744-2026-SGSI/GITE"/>
    <s v="005330-2026-SGSIT/GITE"/>
    <s v="0024092026/GITE"/>
    <d v="2026-05-14T00:00:00"/>
    <m/>
    <s v="0545"/>
    <m/>
    <m/>
    <m/>
    <s v="MONZON"/>
    <s v="SANDOVAL"/>
    <s v="MILI ROSARIO"/>
    <n v="41915781"/>
    <n v="10419157819"/>
    <n v="8000"/>
    <d v="2026-06-01T00:00:00"/>
    <d v="2026-06-30T00:00:00"/>
    <m/>
    <n v="0"/>
    <n v="0"/>
    <m/>
    <n v="0"/>
    <m/>
    <n v="0"/>
    <n v="0"/>
    <n v="0"/>
    <m/>
    <n v="30"/>
    <n v="8000"/>
    <n v="30"/>
    <n v="8000.0000000000009"/>
    <n v="30"/>
    <n v="8000.0000000000009"/>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GESTOR DE PROYECTOS 3"/>
    <s v="LOCADOR"/>
    <n v="1"/>
    <n v="8500"/>
    <m/>
    <m/>
    <m/>
    <m/>
    <n v="30"/>
    <n v="0"/>
    <m/>
    <m/>
    <m/>
    <m/>
    <m/>
    <m/>
    <n v="8500"/>
    <s v=" -   "/>
    <s v=" -   "/>
    <s v=" -   "/>
    <s v=" -   "/>
    <n v="8500"/>
    <n v="0"/>
    <s v=" -   "/>
    <s v=" -   "/>
    <s v=" -   "/>
    <s v=" -   "/>
    <s v=" -   "/>
    <s v=" -   "/>
    <n v="8500"/>
    <x v="2"/>
    <s v="P1"/>
    <m/>
    <m/>
    <m/>
    <m/>
    <m/>
    <m/>
    <m/>
    <m/>
    <m/>
    <m/>
    <x v="0"/>
    <s v="EN EJECUCION CON CONTRATO"/>
    <s v="000567-2026-SGSI"/>
    <s v="004438-2026-SGIST"/>
    <s v="002025-2026-GITE"/>
    <d v="2026-04-22T00:00:00"/>
    <m/>
    <s v="0544"/>
    <m/>
    <s v="MEMORANDO 002465-2026-GITE"/>
    <m/>
    <s v="SANDOVAL"/>
    <s v="MEZA"/>
    <s v="PETER WILLIAM"/>
    <n v="43306779"/>
    <n v="10433067792"/>
    <n v="8500"/>
    <d v="2026-05-01T00:00:00"/>
    <d v="2026-05-31T00:00:00"/>
    <m/>
    <n v="30"/>
    <n v="8500"/>
    <n v="30"/>
    <n v="8500"/>
    <n v="30"/>
    <n v="8500"/>
    <n v="0"/>
    <n v="0"/>
    <m/>
    <n v="0"/>
    <n v="0"/>
    <m/>
    <n v="0"/>
    <m/>
    <n v="0"/>
    <n v="0"/>
    <n v="0"/>
    <m/>
    <n v="8500"/>
    <n v="8500"/>
    <n v="8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GESTOR DE PROYECTOS 3"/>
    <s v="LOCADOR"/>
    <n v="1"/>
    <n v="8500"/>
    <m/>
    <m/>
    <m/>
    <m/>
    <n v="0"/>
    <n v="30"/>
    <m/>
    <m/>
    <m/>
    <m/>
    <m/>
    <m/>
    <n v="8500"/>
    <s v=" -   "/>
    <s v=" -   "/>
    <s v=" -   "/>
    <s v=" -   "/>
    <n v="0"/>
    <n v="8500"/>
    <s v=" -   "/>
    <s v=" -   "/>
    <s v=" -   "/>
    <s v=" -   "/>
    <s v=" -   "/>
    <s v=" -   "/>
    <n v="8500"/>
    <x v="2"/>
    <s v="P1"/>
    <m/>
    <m/>
    <m/>
    <m/>
    <m/>
    <m/>
    <m/>
    <m/>
    <m/>
    <m/>
    <x v="0"/>
    <s v="EN EJECUCION CON CONTRATO"/>
    <s v="000744-2026-SGSI/GITE"/>
    <s v="005330-2026-SGSIT/GITE"/>
    <s v="0024092026/GITE"/>
    <d v="2026-05-14T00:00:00"/>
    <m/>
    <s v="0544"/>
    <m/>
    <m/>
    <m/>
    <s v="SANDOVAL"/>
    <s v="MEZA"/>
    <s v="PETER WILLIAM"/>
    <n v="43306779"/>
    <n v="10433067792"/>
    <n v="8500"/>
    <d v="2026-06-01T00:00:00"/>
    <d v="2026-06-30T00:00:00"/>
    <m/>
    <n v="0"/>
    <n v="0"/>
    <m/>
    <n v="0"/>
    <m/>
    <n v="0"/>
    <n v="0"/>
    <n v="0"/>
    <m/>
    <n v="30"/>
    <n v="8500"/>
    <n v="30"/>
    <n v="8500"/>
    <n v="30"/>
    <n v="8500"/>
    <n v="0"/>
    <n v="0"/>
    <m/>
    <n v="8500"/>
    <n v="8500"/>
    <n v="8500"/>
    <n v="0"/>
    <n v="0"/>
    <m/>
    <m/>
    <m/>
  </r>
  <r>
    <n v="2026"/>
    <n v="479"/>
    <s v="PROCESOS DE SOPORTE"/>
    <s v="GESTION DE LAS TECNOLOGIAS DE LA INFORMACION Y COMUNICACIONES "/>
    <n v="125"/>
    <n v="3000654"/>
    <n v="5005023"/>
    <n v="3"/>
    <n v="12"/>
    <n v="24"/>
    <n v="135560"/>
    <s v="2026EG 2026 (SEP)GITEMANTENIMIENTO Y SOPORTE A LAS SOLUCIONES TECNOLÓGICAS"/>
    <x v="3"/>
    <n v="97"/>
    <m/>
    <s v="GITE"/>
    <s v="EG 2026 (SEP)"/>
    <s v="2.3"/>
    <s v="2.3.2.9.1.1"/>
    <m/>
    <s v="SOPORTE ADMINISTRATIVO"/>
    <s v="LOCADOR"/>
    <n v="1"/>
    <n v="4000"/>
    <m/>
    <m/>
    <m/>
    <m/>
    <n v="30"/>
    <n v="30"/>
    <m/>
    <m/>
    <m/>
    <m/>
    <m/>
    <m/>
    <n v="8000"/>
    <s v=" -   "/>
    <s v=" -   "/>
    <s v=" -   "/>
    <s v=" -   "/>
    <n v="4000"/>
    <n v="4000"/>
    <s v=" -   "/>
    <s v=" -   "/>
    <s v=" -   "/>
    <s v=" -   "/>
    <s v=" -   "/>
    <s v=" -   "/>
    <n v="8000"/>
    <x v="2"/>
    <s v="P1"/>
    <m/>
    <m/>
    <m/>
    <m/>
    <m/>
    <m/>
    <m/>
    <m/>
    <m/>
    <m/>
    <x v="0"/>
    <s v="EN EJECUCION CON CONTRATO"/>
    <s v="000567-2026-SGSI"/>
    <s v="004438-2026-SGIST"/>
    <s v="002025-2026-GITE"/>
    <d v="2026-04-22T00:00:00"/>
    <m/>
    <s v="0566"/>
    <m/>
    <s v="MEMORANDO 002465-2026-GITE"/>
    <m/>
    <s v="CABALLERO"/>
    <s v="RODRIGUEZ"/>
    <s v="JORGE"/>
    <n v="71558948"/>
    <n v="10715589481"/>
    <n v="4000"/>
    <d v="2026-05-01T00:00:00"/>
    <d v="2026-06-30T00:00:00"/>
    <m/>
    <n v="30"/>
    <n v="4000"/>
    <n v="30"/>
    <n v="4000.0000000000005"/>
    <n v="30"/>
    <n v="4000.0000000000005"/>
    <n v="0"/>
    <n v="0"/>
    <m/>
    <n v="30"/>
    <n v="4000"/>
    <n v="30"/>
    <n v="4000.0000000000005"/>
    <n v="30"/>
    <n v="4000.0000000000005"/>
    <n v="0"/>
    <n v="0"/>
    <m/>
    <n v="8000"/>
    <n v="8000.0000000000009"/>
    <n v="8000.0000000000009"/>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ESTRATEGIAS DE GOBIERNO DIGITAL DE TI"/>
    <s v="LOCADOR"/>
    <n v="1"/>
    <n v="10000"/>
    <m/>
    <m/>
    <m/>
    <m/>
    <n v="30"/>
    <n v="30"/>
    <m/>
    <m/>
    <m/>
    <m/>
    <m/>
    <m/>
    <n v="20000"/>
    <s v=" -   "/>
    <s v=" -   "/>
    <s v=" -   "/>
    <s v=" -   "/>
    <n v="10000"/>
    <n v="10000"/>
    <s v=" -   "/>
    <s v=" -   "/>
    <s v=" -   "/>
    <s v=" -   "/>
    <s v=" -   "/>
    <s v=" -   "/>
    <n v="20000"/>
    <x v="3"/>
    <s v="P1"/>
    <m/>
    <m/>
    <m/>
    <m/>
    <m/>
    <m/>
    <m/>
    <m/>
    <m/>
    <m/>
    <x v="0"/>
    <s v="EN EJECUCION CON CONTRATO"/>
    <m/>
    <s v="004384-2026-SGIST"/>
    <s v="002001-2026-GITE"/>
    <d v="2026-04-21T00:00:00"/>
    <m/>
    <s v="0504"/>
    <m/>
    <s v="MEMORANDO 002426-2026-GITE"/>
    <s v="MEMORANDO 002931-2026-GITE"/>
    <s v="VALDEZ"/>
    <s v="CORDOVA"/>
    <s v="HJALMAR NERYGHT YOGHT"/>
    <n v="3898117"/>
    <n v="10038981175"/>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SENIOR EN PLANIFICACIÓN DE PROYECTOS DE TI"/>
    <s v="LOCADOR"/>
    <n v="1"/>
    <n v="10000"/>
    <m/>
    <m/>
    <m/>
    <m/>
    <n v="30"/>
    <n v="30"/>
    <m/>
    <m/>
    <m/>
    <m/>
    <m/>
    <m/>
    <n v="20000"/>
    <s v=" -   "/>
    <s v=" -   "/>
    <s v=" -   "/>
    <s v=" -   "/>
    <n v="10000"/>
    <n v="10000"/>
    <s v=" -   "/>
    <s v=" -   "/>
    <s v=" -   "/>
    <s v=" -   "/>
    <s v=" -   "/>
    <s v=" -   "/>
    <n v="20000"/>
    <x v="3"/>
    <s v="P1"/>
    <m/>
    <m/>
    <m/>
    <m/>
    <m/>
    <m/>
    <m/>
    <m/>
    <m/>
    <m/>
    <x v="0"/>
    <s v="EN EJECUCION CON CONTRATO"/>
    <m/>
    <s v="004384-2026-SGIST"/>
    <s v="002001-2026-GITE"/>
    <d v="2026-04-21T00:00:00"/>
    <m/>
    <s v="0508"/>
    <m/>
    <s v="MEMORANDO 002426-2026-GITE"/>
    <s v="MEMORANDO 002931-2026-GITE"/>
    <s v="CHIARELLA"/>
    <s v="CANDIOTTI"/>
    <s v="GEOVANNI ALBERTO"/>
    <n v="44095082"/>
    <n v="10440950821"/>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GESTIÓN DE PROYECTOS DE TI ELECTORALES"/>
    <s v="LOCADOR"/>
    <n v="1"/>
    <n v="10000"/>
    <m/>
    <m/>
    <m/>
    <m/>
    <n v="30"/>
    <n v="30"/>
    <m/>
    <m/>
    <m/>
    <m/>
    <m/>
    <m/>
    <n v="20000"/>
    <s v=" -   "/>
    <s v=" -   "/>
    <s v=" -   "/>
    <s v=" -   "/>
    <n v="10000"/>
    <n v="10000"/>
    <s v=" -   "/>
    <s v=" -   "/>
    <s v=" -   "/>
    <s v=" -   "/>
    <s v=" -   "/>
    <s v=" -   "/>
    <n v="20000"/>
    <x v="3"/>
    <s v="P1"/>
    <m/>
    <m/>
    <m/>
    <m/>
    <m/>
    <m/>
    <m/>
    <m/>
    <m/>
    <m/>
    <x v="1"/>
    <s v="PENDIENTE DE REQUERIR"/>
    <m/>
    <m/>
    <m/>
    <m/>
    <m/>
    <m/>
    <m/>
    <m/>
    <m/>
    <m/>
    <m/>
    <m/>
    <m/>
    <m/>
    <m/>
    <m/>
    <m/>
    <m/>
    <n v="30"/>
    <n v="10000"/>
    <m/>
    <n v="0"/>
    <m/>
    <n v="0"/>
    <n v="10000"/>
    <n v="10000"/>
    <m/>
    <n v="30"/>
    <n v="10000"/>
    <m/>
    <n v="0"/>
    <m/>
    <n v="0"/>
    <n v="10000"/>
    <n v="10000"/>
    <m/>
    <n v="20000"/>
    <n v="0"/>
    <n v="0"/>
    <n v="20000"/>
    <n v="2000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ESPECIALISTA EN SEGURIDAD DIGITAL APLICADA A PROCESOS ELECTORALES"/>
    <s v="LOCADOR"/>
    <n v="1"/>
    <n v="10000"/>
    <m/>
    <m/>
    <m/>
    <m/>
    <n v="30"/>
    <n v="30"/>
    <m/>
    <m/>
    <m/>
    <m/>
    <m/>
    <m/>
    <n v="20000"/>
    <s v=" -   "/>
    <s v=" -   "/>
    <s v=" -   "/>
    <s v=" -   "/>
    <n v="10000"/>
    <n v="10000"/>
    <s v=" -   "/>
    <s v=" -   "/>
    <s v=" -   "/>
    <s v=" -   "/>
    <s v=" -   "/>
    <s v=" -   "/>
    <n v="20000"/>
    <x v="3"/>
    <s v="P1"/>
    <m/>
    <m/>
    <m/>
    <m/>
    <m/>
    <m/>
    <m/>
    <m/>
    <m/>
    <m/>
    <x v="0"/>
    <s v="EN EJECUCION CON CONTRATO"/>
    <m/>
    <s v="004384-2026-SGIST"/>
    <s v="002001-2026-GITE"/>
    <d v="2026-04-21T00:00:00"/>
    <m/>
    <s v="0505"/>
    <m/>
    <s v="MEMORANDO 002426-2026-GITE"/>
    <s v="MEMORANDO 002931-2026-GITE"/>
    <s v="COTRINA"/>
    <s v="CASTAÑEDA"/>
    <s v="LIDER JEN"/>
    <n v="8679106"/>
    <n v="10086791060"/>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ESPECIALISTA EN PROYECTOS ELECTORALES"/>
    <s v="LOCADOR"/>
    <n v="1"/>
    <n v="10000"/>
    <m/>
    <m/>
    <m/>
    <m/>
    <n v="30"/>
    <n v="30"/>
    <m/>
    <m/>
    <m/>
    <m/>
    <m/>
    <m/>
    <n v="20000"/>
    <s v=" -   "/>
    <s v=" -   "/>
    <s v=" -   "/>
    <s v=" -   "/>
    <n v="10000"/>
    <n v="10000"/>
    <s v=" -   "/>
    <s v=" -   "/>
    <s v=" -   "/>
    <s v=" -   "/>
    <s v=" -   "/>
    <s v=" -   "/>
    <n v="20000"/>
    <x v="3"/>
    <s v="P1"/>
    <m/>
    <m/>
    <m/>
    <m/>
    <m/>
    <m/>
    <m/>
    <m/>
    <m/>
    <m/>
    <x v="0"/>
    <s v="EN EJECUCION CON CONTRATO"/>
    <m/>
    <s v="004384-2026-SGIST"/>
    <s v="002001-2026-GITE"/>
    <d v="2026-04-21T00:00:00"/>
    <m/>
    <s v="0501"/>
    <m/>
    <s v="MEMORANDO 002426-2026-GITE"/>
    <s v="MEMORANDO 002931-2026-GITE"/>
    <s v="CUEVA"/>
    <s v="AGUIRRE"/>
    <s v="ROBERTO ANGEL"/>
    <n v="6086296"/>
    <n v="10060862961"/>
    <n v="10000"/>
    <d v="2026-05-01T00:00:00"/>
    <d v="2026-06-30T00:00:00"/>
    <m/>
    <n v="30"/>
    <n v="10000"/>
    <n v="30"/>
    <n v="10000"/>
    <n v="30"/>
    <n v="10000"/>
    <n v="0"/>
    <n v="0"/>
    <m/>
    <n v="30"/>
    <n v="10000"/>
    <n v="30"/>
    <n v="10000"/>
    <n v="30"/>
    <n v="10000"/>
    <n v="0"/>
    <n v="0"/>
    <m/>
    <n v="20000"/>
    <n v="20000"/>
    <n v="20000"/>
    <n v="0"/>
    <n v="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ADMINISTRADOR DE CLAVES DE SEGURIDAD"/>
    <s v="LOCADOR"/>
    <n v="1"/>
    <n v="6000"/>
    <m/>
    <m/>
    <m/>
    <m/>
    <n v="30"/>
    <n v="30"/>
    <m/>
    <m/>
    <m/>
    <m/>
    <m/>
    <m/>
    <n v="12000"/>
    <s v=" -   "/>
    <s v=" -   "/>
    <s v=" -   "/>
    <s v=" -   "/>
    <n v="6000"/>
    <n v="6000"/>
    <s v=" -   "/>
    <s v=" -   "/>
    <s v=" -   "/>
    <s v=" -   "/>
    <s v=" -   "/>
    <s v=" -   "/>
    <n v="12000"/>
    <x v="3"/>
    <s v="P1"/>
    <m/>
    <m/>
    <m/>
    <m/>
    <m/>
    <m/>
    <m/>
    <m/>
    <m/>
    <m/>
    <x v="0"/>
    <s v="EN EJECUCION CON CONTRATO"/>
    <m/>
    <s v="004384-2026-SGIST"/>
    <s v="002001-2026-GITE"/>
    <d v="2026-04-21T00:00:00"/>
    <m/>
    <s v="0497"/>
    <m/>
    <s v="MEMORANDO 002426-2026-GITE"/>
    <s v="MEMORANDO 002931-2026-GITE"/>
    <s v="BARDALES"/>
    <s v="CARLOS"/>
    <s v="CARLOS ALBERTO"/>
    <n v="41401296"/>
    <n v="10414012961"/>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GESTIÓN DE LA SEGURIDAD INFORMÁTICA Y CONTINUIDAD DE LOS SERVICIOS TECNOLÓGICOS"/>
    <x v="1"/>
    <n v="96"/>
    <m/>
    <s v="GITE"/>
    <s v="EG 2026 (SEP)"/>
    <s v="2.3"/>
    <s v="2.3.2.9.1.1"/>
    <m/>
    <s v="ASISTENTE  DE CLAVES DE SEGURIDAD"/>
    <s v="LOCADOR"/>
    <n v="1"/>
    <n v="5000"/>
    <m/>
    <m/>
    <m/>
    <m/>
    <n v="30"/>
    <n v="30"/>
    <m/>
    <m/>
    <m/>
    <m/>
    <m/>
    <m/>
    <n v="10000"/>
    <s v=" -   "/>
    <s v=" -   "/>
    <s v=" -   "/>
    <s v=" -   "/>
    <n v="5000"/>
    <n v="5000"/>
    <s v=" -   "/>
    <s v=" -   "/>
    <s v=" -   "/>
    <s v=" -   "/>
    <s v=" -   "/>
    <s v=" -   "/>
    <n v="1700"/>
    <x v="3"/>
    <s v="P1"/>
    <m/>
    <m/>
    <m/>
    <s v="2. SOLICITUD N° 098-SISPLAN_x000a_1. SOLICITUD N° 087"/>
    <s v="2. SOLICITUD N° 098-SISPLAN_x000a_1. SOLICITUD N° 087"/>
    <s v="15/05/2026_x000a_12/05/2026"/>
    <s v="1. 000945-2026/GPP_x000a_2. 000907-2026/GPP"/>
    <d v="2026-05-19T00:00:00"/>
    <m/>
    <s v="2. SE PRIORIZO SALDOS DE FORMATOS CLAVES Y DEL ASISTENTE CLAVES NUMERADAS PARA NUEVO LS SOLICITADO POR LA SGGDI_x000a_1. SE PRIORIZO SALDOS DEL ASISTENTE DE CLAVES PARA NUEVO CARGO SOLICITADO POR LA GITE ASISTENTE DE RECURSOS INFORMATICOS"/>
    <x v="2"/>
    <m/>
    <m/>
    <m/>
    <m/>
    <m/>
    <m/>
    <m/>
    <m/>
    <m/>
    <m/>
    <m/>
    <m/>
    <m/>
    <m/>
    <m/>
    <m/>
    <m/>
    <m/>
    <m/>
    <n v="30"/>
    <n v="5000"/>
    <m/>
    <n v="0"/>
    <m/>
    <n v="0"/>
    <n v="5000"/>
    <n v="5000"/>
    <m/>
    <n v="30"/>
    <n v="5000"/>
    <m/>
    <n v="0"/>
    <m/>
    <n v="0"/>
    <n v="5000"/>
    <n v="5000"/>
    <m/>
    <n v="1700"/>
    <n v="0"/>
    <n v="0"/>
    <n v="1700"/>
    <n v="1700"/>
    <m/>
    <m/>
    <m/>
  </r>
  <r>
    <n v="2026"/>
    <n v="479"/>
    <s v="PROCESOS DE SOPORTE"/>
    <s v="ATENCION AL CIUDADANO Y GESTION DOCUMENTAL"/>
    <n v="125"/>
    <n v="3000001"/>
    <n v="5000276"/>
    <n v="3"/>
    <n v="12"/>
    <n v="24"/>
    <n v="47173"/>
    <s v="2026EG 2026 (SEP)GITEGESTION DOCUMENTAL"/>
    <x v="4"/>
    <n v="92"/>
    <m/>
    <s v="GITE"/>
    <s v="EG 2026 (SEP)"/>
    <s v="2.3"/>
    <s v="2.3.2.9.1.1"/>
    <m/>
    <s v="ESPECIALISTA EN GESTIÓN Y CONTROL OPERATIVO DE PROCESOS ELECTORALES"/>
    <s v="LOCADOR"/>
    <n v="1"/>
    <n v="9000"/>
    <m/>
    <m/>
    <m/>
    <m/>
    <n v="30"/>
    <n v="30"/>
    <m/>
    <m/>
    <m/>
    <m/>
    <m/>
    <m/>
    <n v="18000"/>
    <s v=" -   "/>
    <s v=" -   "/>
    <s v=" -   "/>
    <s v=" -   "/>
    <n v="9000"/>
    <n v="9000"/>
    <s v=" -   "/>
    <s v=" -   "/>
    <s v=" -   "/>
    <s v=" -   "/>
    <s v=" -   "/>
    <s v=" -   "/>
    <n v="18000"/>
    <x v="3"/>
    <s v="P1"/>
    <m/>
    <m/>
    <m/>
    <m/>
    <m/>
    <m/>
    <m/>
    <m/>
    <m/>
    <m/>
    <x v="0"/>
    <s v="EN EJECUCION CON CONTRATO"/>
    <m/>
    <s v="004384-2026-SGIST"/>
    <s v="002001-2026-GITE"/>
    <d v="2026-04-21T00:00:00"/>
    <m/>
    <s v="0503"/>
    <m/>
    <s v="MEMORANDO 002426-2026-GITE"/>
    <s v="MEMORANDO 002931-2026-GITE"/>
    <s v="ESPINOZA"/>
    <s v="PITOT"/>
    <s v="JUAN CARLOS"/>
    <n v="9439449"/>
    <n v="10094394495"/>
    <n v="9000"/>
    <d v="2026-05-01T00:00:00"/>
    <d v="2026-06-30T00:00:00"/>
    <m/>
    <n v="30"/>
    <n v="9000"/>
    <n v="30"/>
    <n v="9000"/>
    <n v="30"/>
    <n v="9000"/>
    <n v="0"/>
    <n v="0"/>
    <m/>
    <n v="30"/>
    <n v="9000"/>
    <n v="30"/>
    <n v="9000"/>
    <n v="30"/>
    <n v="9000"/>
    <n v="0"/>
    <n v="0"/>
    <m/>
    <n v="18000"/>
    <n v="18000"/>
    <n v="18000"/>
    <n v="0"/>
    <n v="0"/>
    <m/>
    <m/>
    <m/>
  </r>
  <r>
    <n v="2026"/>
    <n v="479"/>
    <s v="PROCESOS DE SOPORTE"/>
    <s v="ATENCION AL CIUDADANO Y GESTION DOCUMENTAL"/>
    <n v="125"/>
    <n v="3000001"/>
    <n v="5000276"/>
    <n v="3"/>
    <n v="12"/>
    <n v="24"/>
    <n v="47173"/>
    <s v="2026EG 2026 (SEP)GITEGESTION DOCUMENTAL"/>
    <x v="4"/>
    <n v="92"/>
    <m/>
    <s v="GITE"/>
    <s v="EG 2026 (SEP)"/>
    <s v="2.3"/>
    <s v="2.3.2.9.1.1"/>
    <m/>
    <s v="ESPECIALISTA DE CONTROL DE TI"/>
    <s v="LOCADOR"/>
    <n v="1"/>
    <n v="9000"/>
    <m/>
    <m/>
    <m/>
    <m/>
    <n v="30"/>
    <n v="30"/>
    <m/>
    <m/>
    <m/>
    <m/>
    <m/>
    <m/>
    <n v="18000"/>
    <s v=" -   "/>
    <s v=" -   "/>
    <s v=" -   "/>
    <s v=" -   "/>
    <n v="9000"/>
    <n v="9000"/>
    <s v=" -   "/>
    <s v=" -   "/>
    <s v=" -   "/>
    <s v=" -   "/>
    <s v=" -   "/>
    <s v=" -   "/>
    <n v="18000"/>
    <x v="3"/>
    <s v="P1"/>
    <m/>
    <m/>
    <m/>
    <m/>
    <m/>
    <m/>
    <m/>
    <m/>
    <m/>
    <m/>
    <x v="0"/>
    <s v="EN EJECUCION CON CONTRATO"/>
    <m/>
    <s v="004384-2026-SGIST"/>
    <s v="002001-2026-GITE"/>
    <d v="2026-04-21T00:00:00"/>
    <m/>
    <s v="0502"/>
    <m/>
    <s v="MEMORANDO 002426-2026-GITE"/>
    <s v="MEMORANDO 002931-2026-GITE"/>
    <s v="AGÜERO"/>
    <s v="VILLEGAS"/>
    <s v="JOSE ANTONIO"/>
    <n v="7220467"/>
    <n v="10072204676"/>
    <n v="9000"/>
    <d v="2026-05-01T00:00:00"/>
    <d v="2026-06-30T00:00:00"/>
    <m/>
    <n v="30"/>
    <n v="9000"/>
    <n v="30"/>
    <n v="9000"/>
    <n v="30"/>
    <n v="9000"/>
    <n v="0"/>
    <n v="0"/>
    <m/>
    <n v="30"/>
    <n v="9000"/>
    <n v="30"/>
    <n v="9000"/>
    <n v="30"/>
    <n v="9000"/>
    <n v="0"/>
    <n v="0"/>
    <m/>
    <n v="18000"/>
    <n v="18000"/>
    <n v="18000"/>
    <n v="0"/>
    <n v="0"/>
    <m/>
    <m/>
    <m/>
  </r>
  <r>
    <n v="2026"/>
    <n v="479"/>
    <s v="PROCESOS DE SOPORTE"/>
    <s v="ATENCION AL CIUDADANO Y GESTION DOCUMENTAL"/>
    <n v="125"/>
    <n v="3000001"/>
    <n v="5000276"/>
    <n v="3"/>
    <n v="12"/>
    <n v="24"/>
    <n v="47173"/>
    <s v="2026EG 2026 (SEP)GITEGESTION DOCUMENTAL"/>
    <x v="4"/>
    <n v="92"/>
    <m/>
    <s v="GITE"/>
    <s v="EG 2026 (SEP)"/>
    <s v="2.3"/>
    <s v="2.3.2.9.1.1"/>
    <m/>
    <s v="ESPECIALISTA LEGAL"/>
    <s v="LOCADOR"/>
    <n v="1"/>
    <n v="8000"/>
    <m/>
    <m/>
    <m/>
    <m/>
    <n v="30"/>
    <n v="30"/>
    <m/>
    <m/>
    <m/>
    <m/>
    <m/>
    <m/>
    <n v="16000"/>
    <s v=" -   "/>
    <s v=" -   "/>
    <s v=" -   "/>
    <s v=" -   "/>
    <n v="8000"/>
    <n v="8000"/>
    <s v=" -   "/>
    <s v=" -   "/>
    <s v=" -   "/>
    <s v=" -   "/>
    <s v=" -   "/>
    <s v=" -   "/>
    <n v="16000"/>
    <x v="3"/>
    <s v="P1"/>
    <m/>
    <m/>
    <m/>
    <m/>
    <m/>
    <m/>
    <m/>
    <m/>
    <m/>
    <m/>
    <x v="0"/>
    <s v="EN EJECUCION CON CONTRATO"/>
    <m/>
    <s v="004384-2026-SGIST"/>
    <s v="002001-2026-GITE"/>
    <d v="2026-04-21T00:00:00"/>
    <m/>
    <s v="0506"/>
    <m/>
    <s v="MEMORANDO 002426-2026-GITE"/>
    <s v="MEMORANDO 002931-2026-GITE"/>
    <s v="VALDIVIA"/>
    <s v="BARRIONUEVO"/>
    <s v="JUAN CARLOS"/>
    <n v="45801976"/>
    <n v="10458019768"/>
    <n v="8000"/>
    <d v="2026-05-01T00:00:00"/>
    <d v="2026-06-30T00:00:00"/>
    <m/>
    <n v="30"/>
    <n v="8000"/>
    <n v="30"/>
    <n v="8000.0000000000009"/>
    <n v="30"/>
    <n v="8000.0000000000009"/>
    <n v="0"/>
    <n v="0"/>
    <m/>
    <n v="30"/>
    <n v="8000"/>
    <n v="30"/>
    <n v="8000.0000000000009"/>
    <n v="30"/>
    <n v="8000.0000000000009"/>
    <n v="0"/>
    <n v="0"/>
    <m/>
    <n v="16000"/>
    <n v="16000.000000000002"/>
    <n v="16000.000000000002"/>
    <n v="0"/>
    <n v="0"/>
    <m/>
    <m/>
    <m/>
  </r>
  <r>
    <n v="2026"/>
    <n v="479"/>
    <s v="PROCESOS DE SOPORTE"/>
    <s v="ATENCION AL CIUDADANO Y GESTION DOCUMENTAL"/>
    <n v="125"/>
    <n v="3000001"/>
    <n v="5000276"/>
    <n v="3"/>
    <n v="12"/>
    <n v="24"/>
    <n v="47173"/>
    <s v="2026EG 2026 (SEP)GITEGESTION DOCUMENTAL"/>
    <x v="4"/>
    <n v="92"/>
    <m/>
    <s v="GITE"/>
    <s v="EG 2026 (SEP)"/>
    <s v="2.3"/>
    <s v="2.3.2.9.1.1"/>
    <m/>
    <s v="ANALISTA EN GESTIÓN Y CONTROL"/>
    <s v="LOCADOR"/>
    <n v="1"/>
    <n v="6000"/>
    <m/>
    <m/>
    <m/>
    <m/>
    <n v="30"/>
    <n v="30"/>
    <m/>
    <m/>
    <m/>
    <m/>
    <m/>
    <m/>
    <n v="12000"/>
    <s v=" -   "/>
    <s v=" -   "/>
    <s v=" -   "/>
    <s v=" -   "/>
    <n v="6000"/>
    <n v="6000"/>
    <s v=" -   "/>
    <s v=" -   "/>
    <s v=" -   "/>
    <s v=" -   "/>
    <s v=" -   "/>
    <s v=" -   "/>
    <n v="12000"/>
    <x v="3"/>
    <s v="P1"/>
    <m/>
    <m/>
    <m/>
    <m/>
    <m/>
    <m/>
    <m/>
    <m/>
    <m/>
    <m/>
    <x v="1"/>
    <s v="PENDIENTE DE REQUERIR"/>
    <m/>
    <m/>
    <m/>
    <m/>
    <m/>
    <m/>
    <m/>
    <m/>
    <m/>
    <m/>
    <m/>
    <m/>
    <m/>
    <m/>
    <m/>
    <m/>
    <m/>
    <m/>
    <n v="30"/>
    <n v="6000"/>
    <m/>
    <n v="0"/>
    <m/>
    <n v="0"/>
    <n v="6000"/>
    <n v="6000"/>
    <m/>
    <n v="30"/>
    <n v="6000"/>
    <m/>
    <n v="0"/>
    <m/>
    <n v="0"/>
    <n v="6000"/>
    <n v="6000"/>
    <m/>
    <n v="12000"/>
    <n v="0"/>
    <n v="0"/>
    <n v="12000"/>
    <n v="12000"/>
    <m/>
    <m/>
    <m/>
  </r>
  <r>
    <n v="2026"/>
    <n v="479"/>
    <s v="PROCESOS DE SOPORTE"/>
    <s v="ATENCION AL CIUDADANO Y GESTION DOCUMENTAL"/>
    <n v="125"/>
    <n v="3000001"/>
    <n v="5000276"/>
    <n v="3"/>
    <n v="12"/>
    <n v="24"/>
    <n v="47173"/>
    <s v="2026EG 2026 (SEP)GITEGESTION DOCUMENTAL"/>
    <x v="4"/>
    <n v="92"/>
    <m/>
    <s v="GITE"/>
    <s v="EG 2026 (SEP)"/>
    <s v="2.3"/>
    <s v="2.3.2.9.1.1"/>
    <m/>
    <s v="ANALISTA TECNICO ADMINISTRATIVO"/>
    <s v="LOCADOR"/>
    <n v="1"/>
    <n v="6500"/>
    <m/>
    <m/>
    <m/>
    <m/>
    <n v="30"/>
    <n v="30"/>
    <m/>
    <m/>
    <m/>
    <m/>
    <m/>
    <m/>
    <n v="13000"/>
    <s v=" -   "/>
    <s v=" -   "/>
    <s v=" -   "/>
    <s v=" -   "/>
    <n v="6500"/>
    <n v="6500"/>
    <s v=" -   "/>
    <s v=" -   "/>
    <s v=" -   "/>
    <s v=" -   "/>
    <s v=" -   "/>
    <s v=" -   "/>
    <n v="13000"/>
    <x v="3"/>
    <s v="P1"/>
    <m/>
    <m/>
    <m/>
    <m/>
    <m/>
    <m/>
    <m/>
    <m/>
    <m/>
    <m/>
    <x v="0"/>
    <s v="EN EJECUCION CON CONTRATO"/>
    <m/>
    <s v="004384-2026-SGIST"/>
    <s v="002001-2026-GITE"/>
    <d v="2026-04-21T00:00:00"/>
    <m/>
    <s v="0499"/>
    <m/>
    <s v="MEMORANDO 002426-2026-GITE"/>
    <s v="MEMORANDO 002931-2026-GITE"/>
    <s v="MARTINEZ"/>
    <s v="MELENDEZ"/>
    <s v="SUSY JAQUELINE"/>
    <n v="43524820"/>
    <n v="10435248204"/>
    <n v="6500"/>
    <d v="2026-05-01T00:00:00"/>
    <d v="2026-06-30T00:00:00"/>
    <m/>
    <n v="30"/>
    <n v="6500"/>
    <n v="30"/>
    <n v="6500"/>
    <n v="30"/>
    <n v="6500"/>
    <n v="0"/>
    <n v="0"/>
    <m/>
    <n v="30"/>
    <n v="6500"/>
    <n v="30"/>
    <n v="6500"/>
    <n v="30"/>
    <n v="6500"/>
    <n v="0"/>
    <n v="0"/>
    <m/>
    <n v="13000"/>
    <n v="13000"/>
    <n v="13000"/>
    <n v="0"/>
    <n v="0"/>
    <m/>
    <m/>
    <m/>
  </r>
  <r>
    <n v="2026"/>
    <n v="479"/>
    <s v="PROCESOS DE SOPORTE"/>
    <s v="ATENCION AL CIUDADANO Y GESTION DOCUMENTAL"/>
    <n v="125"/>
    <n v="3000001"/>
    <n v="5000276"/>
    <n v="3"/>
    <n v="12"/>
    <n v="24"/>
    <n v="47173"/>
    <s v="2026EG 2026 (SEP)GITEGESTION DOCUMENTAL"/>
    <x v="4"/>
    <n v="92"/>
    <m/>
    <s v="GITE"/>
    <s v="EG 2026 (SEP)"/>
    <s v="2.3"/>
    <s v="2.3.2.9.1.1"/>
    <m/>
    <s v="ANALISTA EN GESTION ADMINISTRATIVA 1"/>
    <s v="LOCADOR"/>
    <n v="1"/>
    <n v="5500"/>
    <m/>
    <m/>
    <m/>
    <m/>
    <n v="30"/>
    <n v="30"/>
    <m/>
    <m/>
    <m/>
    <m/>
    <m/>
    <m/>
    <n v="11000"/>
    <s v=" -   "/>
    <s v=" -   "/>
    <s v=" -   "/>
    <s v=" -   "/>
    <n v="5500"/>
    <n v="5500"/>
    <s v=" -   "/>
    <s v=" -   "/>
    <s v=" -   "/>
    <s v=" -   "/>
    <s v=" -   "/>
    <s v=" -   "/>
    <n v="11000"/>
    <x v="3"/>
    <s v="P1"/>
    <m/>
    <m/>
    <m/>
    <m/>
    <m/>
    <m/>
    <m/>
    <m/>
    <m/>
    <m/>
    <x v="0"/>
    <s v="EN EJECUCION CON CONTRATO"/>
    <m/>
    <s v="004384-2026-SGIST"/>
    <s v="002001-2026-GITE"/>
    <d v="2026-04-21T00:00:00"/>
    <m/>
    <s v="0498"/>
    <m/>
    <s v="MEMORANDO 002426-2026-GITE"/>
    <s v="MEMORANDO 002931-2026-GITE"/>
    <s v="SALVADOR"/>
    <s v="MENESES"/>
    <s v="CHRISTIAN ARMANDO"/>
    <n v="40128698"/>
    <n v="10401286981"/>
    <n v="5500"/>
    <d v="2026-05-01T00:00:00"/>
    <d v="2026-06-30T00:00:00"/>
    <m/>
    <n v="30"/>
    <n v="5500"/>
    <n v="30"/>
    <n v="5500"/>
    <n v="30"/>
    <n v="5500"/>
    <n v="0"/>
    <n v="0"/>
    <m/>
    <n v="30"/>
    <n v="5500"/>
    <n v="30"/>
    <n v="5500"/>
    <n v="30"/>
    <n v="5500"/>
    <n v="0"/>
    <n v="0"/>
    <m/>
    <n v="11000"/>
    <n v="11000"/>
    <n v="11000"/>
    <n v="0"/>
    <n v="0"/>
    <m/>
    <m/>
    <m/>
  </r>
  <r>
    <n v="2026"/>
    <n v="479"/>
    <s v="PROCESOS DE SOPORTE"/>
    <s v="ATENCION AL CIUDADANO Y GESTION DOCUMENTAL"/>
    <n v="125"/>
    <n v="3000001"/>
    <n v="5000276"/>
    <n v="3"/>
    <n v="12"/>
    <n v="24"/>
    <n v="47173"/>
    <s v="2026EG 2026 (SEP)GITEGESTION DOCUMENTAL"/>
    <x v="4"/>
    <n v="92"/>
    <m/>
    <s v="GITE"/>
    <s v="EG 2026 (SEP)"/>
    <s v="2.3"/>
    <s v="2.3.2.9.1.1"/>
    <m/>
    <s v="ANALISTA EN GESTION ADMINISTRATIVA 2"/>
    <s v="LOCADOR"/>
    <n v="1"/>
    <n v="5500"/>
    <m/>
    <m/>
    <m/>
    <m/>
    <n v="30"/>
    <n v="30"/>
    <m/>
    <m/>
    <m/>
    <m/>
    <m/>
    <m/>
    <n v="11000"/>
    <s v=" -   "/>
    <s v=" -   "/>
    <s v=" -   "/>
    <s v=" -   "/>
    <n v="5500"/>
    <n v="5500"/>
    <s v=" -   "/>
    <s v=" -   "/>
    <s v=" -   "/>
    <s v=" -   "/>
    <s v=" -   "/>
    <s v=" -   "/>
    <n v="11000"/>
    <x v="3"/>
    <s v="P1"/>
    <m/>
    <m/>
    <m/>
    <m/>
    <m/>
    <m/>
    <m/>
    <m/>
    <m/>
    <m/>
    <x v="1"/>
    <s v="PENDIENTE DE REQUERIR"/>
    <m/>
    <m/>
    <m/>
    <m/>
    <m/>
    <m/>
    <m/>
    <m/>
    <m/>
    <m/>
    <m/>
    <m/>
    <m/>
    <m/>
    <m/>
    <m/>
    <m/>
    <m/>
    <n v="30"/>
    <n v="5500"/>
    <m/>
    <n v="0"/>
    <m/>
    <n v="0"/>
    <n v="5500"/>
    <n v="5500"/>
    <m/>
    <n v="30"/>
    <n v="5500"/>
    <m/>
    <n v="0"/>
    <m/>
    <n v="0"/>
    <n v="5500"/>
    <n v="5500"/>
    <m/>
    <n v="11000"/>
    <n v="0"/>
    <n v="0"/>
    <n v="11000"/>
    <n v="11000"/>
    <m/>
    <m/>
    <m/>
  </r>
  <r>
    <n v="2026"/>
    <n v="479"/>
    <s v="PROCESOS DE SOPORTE"/>
    <s v="ATENCION AL CIUDADANO Y GESTION DOCUMENTAL"/>
    <n v="125"/>
    <n v="3000001"/>
    <n v="5000276"/>
    <n v="3"/>
    <n v="12"/>
    <n v="24"/>
    <n v="47173"/>
    <s v="2026EG 2026 (SEP)GITEGESTION DOCUMENTAL"/>
    <x v="4"/>
    <n v="92"/>
    <m/>
    <s v="GITE"/>
    <s v="EG 2026 (SEP)"/>
    <s v="2.3"/>
    <s v="2.3.2.9.1.1"/>
    <m/>
    <s v="ASISTENTE EN GESTION DOCUMENTAL "/>
    <s v="LOCADOR"/>
    <n v="1"/>
    <n v="5000"/>
    <m/>
    <m/>
    <m/>
    <m/>
    <n v="30"/>
    <n v="30"/>
    <m/>
    <m/>
    <m/>
    <m/>
    <m/>
    <m/>
    <n v="10000"/>
    <s v=" -   "/>
    <s v=" -   "/>
    <s v=" -   "/>
    <s v=" -   "/>
    <n v="5000"/>
    <n v="5000"/>
    <s v=" -   "/>
    <s v=" -   "/>
    <s v=" -   "/>
    <s v=" -   "/>
    <s v=" -   "/>
    <s v=" -   "/>
    <n v="10000"/>
    <x v="3"/>
    <s v="P1"/>
    <m/>
    <m/>
    <m/>
    <m/>
    <m/>
    <m/>
    <m/>
    <m/>
    <m/>
    <m/>
    <x v="0"/>
    <s v="EN EJECUCION CON CONTRATO"/>
    <m/>
    <s v="004384-2026-SGIST"/>
    <s v="002001-2026-GITE"/>
    <d v="2026-04-21T00:00:00"/>
    <m/>
    <s v="0500"/>
    <m/>
    <s v="MEMORANDO 002426-2026-GITE"/>
    <s v="MEMORANDO 002931-2026-GITE"/>
    <s v="GUERRA"/>
    <s v="GOSSIN"/>
    <s v="MARIANNE CARLA"/>
    <n v="25844628"/>
    <n v="10258446289"/>
    <n v="5000"/>
    <d v="2026-05-01T00:00:00"/>
    <d v="2026-06-30T00:00:00"/>
    <m/>
    <n v="30"/>
    <n v="5000"/>
    <n v="30"/>
    <n v="5000"/>
    <n v="30"/>
    <n v="5000"/>
    <n v="0"/>
    <n v="0"/>
    <m/>
    <n v="30"/>
    <n v="5000"/>
    <n v="30"/>
    <n v="5000"/>
    <n v="30"/>
    <n v="5000"/>
    <n v="0"/>
    <n v="0"/>
    <m/>
    <n v="10000"/>
    <n v="10000"/>
    <n v="10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ALISTA EN OPERACIONES TECNOLOGICAS"/>
    <s v="LOCADOR"/>
    <n v="1"/>
    <n v="6000"/>
    <m/>
    <m/>
    <m/>
    <m/>
    <n v="30"/>
    <n v="30"/>
    <m/>
    <m/>
    <m/>
    <m/>
    <m/>
    <m/>
    <n v="12000"/>
    <s v=" -   "/>
    <s v=" -   "/>
    <s v=" -   "/>
    <s v=" -   "/>
    <n v="6000"/>
    <n v="6000"/>
    <s v=" -   "/>
    <s v=" -   "/>
    <s v=" -   "/>
    <s v=" -   "/>
    <s v=" -   "/>
    <s v=" -   "/>
    <n v="12000"/>
    <x v="3"/>
    <s v="P1"/>
    <m/>
    <m/>
    <m/>
    <m/>
    <m/>
    <m/>
    <m/>
    <m/>
    <m/>
    <m/>
    <x v="0"/>
    <s v="EN EJECUCION CON CONTRATO"/>
    <m/>
    <s v="004384-2026-SGIST"/>
    <s v="002001-2026-GITE"/>
    <d v="2026-04-21T00:00:00"/>
    <m/>
    <s v="0507"/>
    <m/>
    <s v="MEMORANDO 002426-2026-GITE"/>
    <s v="MEMORANDO 002931-2026-GITE"/>
    <s v="VELASQUEZ "/>
    <s v="YSUIZA"/>
    <s v="MIGUEL ANGEL"/>
    <n v="46480250"/>
    <n v="10464802504"/>
    <n v="6000"/>
    <d v="2026-05-01T00:00:00"/>
    <d v="2026-06-30T00:00:00"/>
    <m/>
    <n v="30"/>
    <n v="6000"/>
    <n v="30"/>
    <n v="6000"/>
    <n v="30"/>
    <n v="6000"/>
    <n v="0"/>
    <n v="0"/>
    <m/>
    <n v="30"/>
    <n v="6000"/>
    <n v="30"/>
    <n v="6000"/>
    <n v="30"/>
    <n v="6000"/>
    <n v="0"/>
    <n v="0"/>
    <m/>
    <n v="12000"/>
    <n v="12000"/>
    <n v="12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ANALISTA DE CONTROL DE CALIDAD DE PROYECTOS DE INNOVACION_x000a_NUEVO: ANALISTA DE CONTROL DE CALIDAD DE PROYECTOS DE INNOVACION_x000a_"/>
    <s v="LOCADOR"/>
    <n v="1"/>
    <n v="6500"/>
    <m/>
    <m/>
    <m/>
    <m/>
    <n v="30"/>
    <n v="30"/>
    <m/>
    <m/>
    <m/>
    <m/>
    <m/>
    <m/>
    <n v="13000"/>
    <m/>
    <m/>
    <m/>
    <m/>
    <n v="6500"/>
    <n v="6500"/>
    <m/>
    <m/>
    <m/>
    <m/>
    <m/>
    <m/>
    <n v="13000"/>
    <x v="1"/>
    <m/>
    <m/>
    <m/>
    <s v="SGGDI comunico cambio de denominación el  22/04/2026"/>
    <m/>
    <m/>
    <m/>
    <m/>
    <m/>
    <m/>
    <m/>
    <x v="0"/>
    <s v="EN EJECUCION CON CONTRATO"/>
    <s v="000442-2026-SGGDI-GITE"/>
    <s v="004516-2026-SGIST"/>
    <s v="002060-2026-GITE"/>
    <d v="2026-04-23T00:00:00"/>
    <m/>
    <s v="0853"/>
    <m/>
    <s v="MEMORANDO 002457-2026-GITE"/>
    <m/>
    <s v="MENDOCILLA"/>
    <s v="POLO"/>
    <s v="_x001c_IVETTE SHIRLEY"/>
    <n v="47532113"/>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ANALISTA DE CONTROL DE CALIDAD DE PROYECTOS DE INNOVACION_x000a_NUEVO: ANALISTA DE CONTROL DE CALIDAD DE PROYECTOS DE INNOVACION_x000a_"/>
    <s v="LOCADOR"/>
    <n v="1"/>
    <n v="6500"/>
    <m/>
    <m/>
    <m/>
    <m/>
    <n v="30"/>
    <n v="30"/>
    <m/>
    <m/>
    <m/>
    <m/>
    <m/>
    <m/>
    <n v="13000"/>
    <m/>
    <m/>
    <m/>
    <m/>
    <n v="6500"/>
    <n v="6500"/>
    <m/>
    <m/>
    <m/>
    <m/>
    <m/>
    <m/>
    <n v="13000"/>
    <x v="1"/>
    <m/>
    <m/>
    <m/>
    <s v="SGGDI comunico cambio de denominación el  22/04/2026"/>
    <m/>
    <m/>
    <m/>
    <m/>
    <m/>
    <m/>
    <m/>
    <x v="0"/>
    <s v="EN EJECUCION CON CONTRATO"/>
    <s v="000443-2026-SGGDI-GITE"/>
    <s v="004508-2026-SGSIST"/>
    <s v="002061-2026-GITE"/>
    <d v="2026-04-23T00:00:00"/>
    <m/>
    <s v="0857"/>
    <m/>
    <s v="MEMORANDO 002457-2026-GITE"/>
    <m/>
    <s v="PEÑA"/>
    <s v="ESPINOZA"/>
    <s v="ABIGAIL ARELI"/>
    <n v="43711999"/>
    <m/>
    <n v="6500"/>
    <d v="2026-05-01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243"/>
    <m/>
    <s v="MEMORANDO 002457-2026-GITE"/>
    <m/>
    <s v="TOLENTINO"/>
    <s v="MENDIVIL"/>
    <s v="ANGEL ALBERTO"/>
    <n v="76970393"/>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244"/>
    <m/>
    <s v="MEMORANDO 002457-2026-GITE"/>
    <m/>
    <s v="QUEREVALU"/>
    <s v="PURIZACA"/>
    <s v="MANUEL JESUS"/>
    <n v="46707555"/>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245"/>
    <m/>
    <s v="MEMORANDO 002457-2026-GITE"/>
    <m/>
    <s v="DIAZ"/>
    <s v="ECHEVARRIA"/>
    <s v="IRVIN CHARLY"/>
    <n v="45112144"/>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309"/>
    <m/>
    <s v="MEMORANDO 002457-2026-GITE"/>
    <m/>
    <s v="CASTILLO"/>
    <s v="ALIAGA"/>
    <s v="JORGE ALONSO"/>
    <n v="73002607"/>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246"/>
    <m/>
    <s v="MEMORANDO 002457-2026-GITE"/>
    <m/>
    <s v="HUAYANAY "/>
    <s v="CASIMIRO"/>
    <s v="LINN KERRY"/>
    <n v="70033475"/>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247"/>
    <m/>
    <s v="MEMORANDO 002457-2026-GITE"/>
    <m/>
    <s v="POLO"/>
    <s v="QUISPE"/>
    <s v="JOSE LUIS"/>
    <n v="74500488"/>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NTES: ANALISTA DE CONTROL DE CALIDAD DE PROYECTOS DE INNOVACION_x000a_NUEVO: ANALISTA PROGRAMADOR FULL STACK DE PROYECTOS DE INNOVACIÓN"/>
    <s v="LOCADOR"/>
    <n v="1"/>
    <n v="6500"/>
    <m/>
    <m/>
    <m/>
    <m/>
    <n v="30"/>
    <n v="30"/>
    <m/>
    <m/>
    <m/>
    <m/>
    <m/>
    <m/>
    <n v="13000"/>
    <m/>
    <m/>
    <m/>
    <m/>
    <n v="6500"/>
    <n v="6500"/>
    <m/>
    <m/>
    <m/>
    <m/>
    <m/>
    <m/>
    <n v="13000"/>
    <x v="1"/>
    <m/>
    <m/>
    <m/>
    <s v="SGGDI comunico cambio de denominación el  22/04/2026"/>
    <m/>
    <m/>
    <m/>
    <m/>
    <m/>
    <m/>
    <m/>
    <x v="0"/>
    <s v="EN EJECUCION CON CONTRATO"/>
    <s v="000441-2026-SGGDI"/>
    <s v="004501-2026-SGIST"/>
    <s v="002053-2026-GITE"/>
    <d v="2026-04-23T00:00:00"/>
    <m/>
    <n v="3248"/>
    <m/>
    <s v="MEMORANDO 002457-2026-GITE"/>
    <m/>
    <s v="YACTAYO"/>
    <s v="SULLER"/>
    <s v="ADRIANA ROCIO"/>
    <n v="74762589"/>
    <m/>
    <n v="6500"/>
    <d v="2026-05-02T00:00:00"/>
    <d v="2026-06-30T00:00:00"/>
    <m/>
    <n v="30"/>
    <n v="6500"/>
    <n v="30"/>
    <n v="6500"/>
    <n v="30"/>
    <n v="6500"/>
    <n v="0"/>
    <n v="0"/>
    <m/>
    <n v="30"/>
    <n v="6500"/>
    <n v="30"/>
    <n v="6500"/>
    <n v="30"/>
    <n v="6500"/>
    <n v="0"/>
    <n v="0"/>
    <m/>
    <n v="13000"/>
    <n v="13000"/>
    <n v="130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ADMINISTRADOR DE PROYECTOS Y GESTOR DE RIESGOS"/>
    <s v="LOCADOR"/>
    <n v="1"/>
    <n v="10000"/>
    <m/>
    <m/>
    <m/>
    <m/>
    <n v="30"/>
    <n v="30"/>
    <m/>
    <m/>
    <m/>
    <m/>
    <m/>
    <m/>
    <s v="NO PROGRAMADO"/>
    <m/>
    <m/>
    <m/>
    <m/>
    <n v="10000"/>
    <n v="10000"/>
    <m/>
    <m/>
    <m/>
    <m/>
    <m/>
    <m/>
    <n v="20000"/>
    <x v="3"/>
    <m/>
    <m/>
    <m/>
    <m/>
    <s v="SOLICITUD N° 026"/>
    <s v="SOLICITUD N° 026"/>
    <d v="2026-04-21T00:00:00"/>
    <s v="000786-2026/GPP"/>
    <d v="2026-04-28T00:00:00"/>
    <m/>
    <s v="SE HABILITO PRESUPUESTO PARA EL CARGO POR LS DEL ADMINISTRADOR DE PROYECTOS Y GESTOR DE RIESGOS DE LA GITE"/>
    <x v="0"/>
    <s v="EN EJECUCION CON CONTRATO"/>
    <m/>
    <s v="004384-2026-SGIST"/>
    <s v="002001-2026-GITE"/>
    <d v="2026-04-21T00:00:00"/>
    <m/>
    <n v="3306"/>
    <m/>
    <s v="MEMORANDO 002426-2026-GITE"/>
    <s v="MEMORANDO 002931-2026-GITE"/>
    <s v="QUISPE"/>
    <s v="RAMOS"/>
    <s v="GUILLERMO JAZMANI"/>
    <n v="44671699"/>
    <n v="10446716994"/>
    <n v="10000"/>
    <d v="2026-05-01T00:00:00"/>
    <d v="2026-06-30T00:00:00"/>
    <m/>
    <n v="30"/>
    <n v="10000"/>
    <n v="30"/>
    <n v="10000"/>
    <n v="30"/>
    <n v="10000"/>
    <n v="0"/>
    <n v="0"/>
    <m/>
    <n v="30"/>
    <n v="10000"/>
    <n v="30"/>
    <n v="10000"/>
    <n v="30"/>
    <n v="10000"/>
    <m/>
    <m/>
    <m/>
    <n v="20000"/>
    <n v="20000"/>
    <n v="20000"/>
    <n v="0"/>
    <n v="0"/>
    <m/>
    <m/>
    <m/>
  </r>
  <r>
    <n v="2026"/>
    <n v="479"/>
    <s v="PROCESOS DE SOPORTE"/>
    <s v="GESTION DE LAS TECNOLOGIAS DE LA INFORMACION Y COMUNICACIONES "/>
    <n v="125"/>
    <n v="3000654"/>
    <n v="5005023"/>
    <n v="3"/>
    <n v="12"/>
    <n v="24"/>
    <n v="135560"/>
    <s v="2026EG 2026 (SEP)GITEDISEÑO, DESARROLLO Y DESPLIEGUE SOLUCIONES TECNOLOGICAS"/>
    <x v="4"/>
    <n v="94"/>
    <m/>
    <s v="GITE"/>
    <s v="EG 2026 (SEP)"/>
    <s v="2.3"/>
    <s v="2.3.2.9.1.1"/>
    <m/>
    <s v="ASISTENTE EN RECURSOS INFORMATICOS"/>
    <s v="LOCADOR"/>
    <n v="1"/>
    <n v="4500"/>
    <m/>
    <m/>
    <m/>
    <m/>
    <n v="18"/>
    <n v="30"/>
    <m/>
    <m/>
    <m/>
    <m/>
    <m/>
    <m/>
    <s v="NO PROGRAMADO"/>
    <m/>
    <m/>
    <m/>
    <m/>
    <n v="2700"/>
    <n v="4500"/>
    <m/>
    <m/>
    <m/>
    <m/>
    <m/>
    <m/>
    <n v="7200"/>
    <x v="3"/>
    <m/>
    <m/>
    <m/>
    <m/>
    <s v="SOLICITUD N° 087"/>
    <s v="SOLICITUD N° 087"/>
    <d v="2026-05-12T00:00:00"/>
    <s v="000907-2026/GPP"/>
    <d v="2026-05-13T00:00:00"/>
    <m/>
    <s v="MODIFICACION PRESUPUESTARIA PARA LA CONTRATACION DE 1 LOCADOR DE SERVICIO DE LA GITE"/>
    <x v="0"/>
    <s v="EN EJECUCION CON CONTRATO"/>
    <m/>
    <s v="005273-2026-SGIST/GITE"/>
    <s v="002385-2026-GITE"/>
    <d v="2026-05-13T00:00:00"/>
    <m/>
    <n v="3805"/>
    <m/>
    <s v="MEMORANDO 002489-2026-GITE"/>
    <s v="MEMORANDO 002931-2026-GITE"/>
    <s v="ANAYA"/>
    <s v="FLORIAN"/>
    <s v="REBECA FERNANDA"/>
    <n v="71448944"/>
    <n v="10714489441"/>
    <n v="4500"/>
    <s v=" 14/05/2026"/>
    <d v="2026-06-30T00:00:00"/>
    <m/>
    <n v="18"/>
    <n v="2700"/>
    <n v="18"/>
    <n v="2700"/>
    <n v="18"/>
    <n v="2700"/>
    <n v="0"/>
    <n v="0"/>
    <m/>
    <n v="30"/>
    <n v="4500"/>
    <n v="30"/>
    <n v="4500"/>
    <n v="30"/>
    <n v="4500"/>
    <m/>
    <m/>
    <m/>
    <n v="7200"/>
    <n v="7200"/>
    <n v="7200"/>
    <n v="0"/>
    <n v="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OPERADOR DE CONTROL DE CALIDAD DE SOFTWARE"/>
    <s v="LOCADOR"/>
    <n v="1"/>
    <n v="3000"/>
    <m/>
    <m/>
    <m/>
    <m/>
    <n v="14"/>
    <n v="30"/>
    <m/>
    <m/>
    <m/>
    <m/>
    <m/>
    <m/>
    <s v="NO PROGRAMADO"/>
    <s v=" -   "/>
    <s v=" -   "/>
    <s v=" -   "/>
    <s v=" -   "/>
    <n v="1400"/>
    <n v="3000"/>
    <s v=" -   "/>
    <s v=" -   "/>
    <s v=" -   "/>
    <s v=" -   "/>
    <s v=" -   "/>
    <s v=" -   "/>
    <n v="4400"/>
    <x v="1"/>
    <m/>
    <m/>
    <m/>
    <s v="SGGDI SOLICITO MODIFICACION DEL ITEM FORMATOS CLAVES Y DEL ASISTENTE CLAVES NUMERADAS PARA NUEVO CARGO DE LS OPERADOR"/>
    <s v="SOLICITUD N° 098-SISPLAN"/>
    <s v="SOLICITUD N° 098-SISPLAN"/>
    <d v="2026-05-15T00:00:00"/>
    <s v="000945-2026/GPP"/>
    <d v="2026-05-19T00:00:00"/>
    <m/>
    <s v="SE PRIORIZO SALDOS DE FORMATOS CLAVES Y DEL ASISTENTE CLAVES NUMERADAS PARA NUEVO LS SOLICITADO POR LA SGGDI"/>
    <x v="0"/>
    <s v="EN EJECUCION CON CONTRATO"/>
    <s v="000601-2026-SGGDI-GITE"/>
    <s v="005589-2026-SGSIT-GITE"/>
    <s v="002672-2026-GITE"/>
    <d v="2026-05-28T00:00:00"/>
    <m/>
    <n v="4831"/>
    <m/>
    <m/>
    <s v="se paga en junio "/>
    <s v="ZARATE"/>
    <s v="VICTORIA"/>
    <s v="PIERO"/>
    <n v="10050111"/>
    <m/>
    <n v="3000"/>
    <d v="2026-05-29T00:00:00"/>
    <d v="2026-06-30T00:00:00"/>
    <m/>
    <n v="14"/>
    <n v="1400"/>
    <n v="3"/>
    <n v="300"/>
    <n v="3"/>
    <n v="300"/>
    <n v="1100"/>
    <n v="1100"/>
    <m/>
    <n v="30"/>
    <n v="3000"/>
    <n v="30"/>
    <n v="3000"/>
    <n v="30"/>
    <n v="3000"/>
    <n v="0"/>
    <n v="0"/>
    <m/>
    <n v="4400"/>
    <n v="3300"/>
    <n v="3300"/>
    <n v="1100"/>
    <n v="1100"/>
    <m/>
    <m/>
    <s v="SGGDI: CORREO 28/05/2026  DE DESESTIMIENTO CASTILLO CAJA OSCAR ENRIQUE REF. INFORME 000571-2026-SGGDI-GITE"/>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OPERADOR DE CONTROL DE CALIDAD DE SOFTWARE"/>
    <s v="LOCADOR"/>
    <n v="1"/>
    <n v="3000"/>
    <m/>
    <m/>
    <m/>
    <m/>
    <n v="14"/>
    <n v="30"/>
    <m/>
    <m/>
    <m/>
    <m/>
    <m/>
    <m/>
    <s v="NO PROGRAMADO"/>
    <s v=" -   "/>
    <s v=" -   "/>
    <s v=" -   "/>
    <s v=" -   "/>
    <n v="1400"/>
    <n v="3000"/>
    <s v=" -   "/>
    <s v=" -   "/>
    <s v=" -   "/>
    <s v=" -   "/>
    <s v=" -   "/>
    <s v=" -   "/>
    <n v="4400"/>
    <x v="1"/>
    <m/>
    <m/>
    <m/>
    <s v="SGGDI SOLICITO MODIFICACION DEL ITEM FORMATOS CLAVES Y DEL ASISTENTE CLAVES NUMERADAS PARA NUEVO CARGO DE LS OPERADOR"/>
    <s v="SOLICITUD N° 098-SISPLAN"/>
    <s v="SOLICITUD N° 098-SISPLAN"/>
    <d v="2026-05-15T00:00:00"/>
    <s v="000945-2026/GPP"/>
    <d v="2026-05-19T00:00:00"/>
    <m/>
    <s v="SE PRIORIZO SALDOS DE FORMATOS CLAVES Y DEL ASISTENTE CLAVES NUMERADAS PARA NUEVO LS SOLICITADO POR LA SGGDI"/>
    <x v="0"/>
    <s v="EN EJECUCION CON CONTRATO"/>
    <s v="000571-2026-SGGDI-GITE"/>
    <s v="005589-2026-SGSIT-GITE"/>
    <s v="002494-2026-GITE"/>
    <d v="2026-05-19T00:00:00"/>
    <m/>
    <n v="4784"/>
    <m/>
    <m/>
    <s v="se paga en junio "/>
    <s v="MAZA"/>
    <s v="ZAPATA"/>
    <s v="FLOR MARIA"/>
    <n v="46358360"/>
    <m/>
    <n v="3000"/>
    <d v="2026-05-22T00:00:00"/>
    <d v="2026-06-30T00:00:00"/>
    <m/>
    <n v="14"/>
    <n v="1400"/>
    <n v="10"/>
    <n v="1000"/>
    <n v="10"/>
    <n v="1000"/>
    <n v="400"/>
    <n v="400"/>
    <m/>
    <n v="30"/>
    <n v="3000"/>
    <n v="30"/>
    <n v="3000"/>
    <n v="30"/>
    <n v="3000"/>
    <n v="0"/>
    <n v="0"/>
    <m/>
    <n v="4400"/>
    <n v="4000"/>
    <n v="4000"/>
    <n v="400"/>
    <n v="40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OPERADOR DE CONTROL DE CALIDAD DE SOFTWARE"/>
    <s v="LOCADOR"/>
    <n v="1"/>
    <n v="3000"/>
    <m/>
    <m/>
    <m/>
    <m/>
    <n v="14"/>
    <n v="30"/>
    <m/>
    <m/>
    <m/>
    <m/>
    <m/>
    <m/>
    <s v="NO PROGRAMADO"/>
    <s v=" -   "/>
    <s v=" -   "/>
    <s v=" -   "/>
    <s v=" -   "/>
    <n v="1400"/>
    <n v="3000"/>
    <s v=" -   "/>
    <s v=" -   "/>
    <s v=" -   "/>
    <s v=" -   "/>
    <s v=" -   "/>
    <s v=" -   "/>
    <n v="4400"/>
    <x v="1"/>
    <m/>
    <m/>
    <m/>
    <s v="SGGDI SOLICITO MODIFICACION DEL ITEM FORMATOS CLAVES Y DEL ASISTENTE CLAVES NUMERADAS PARA NUEVO CARGO DE LS OPERADOR"/>
    <s v="SOLICITUD N° 098-SISPLAN"/>
    <s v="SOLICITUD N° 098-SISPLAN"/>
    <d v="2026-05-15T00:00:00"/>
    <s v="000945-2026/GPP"/>
    <d v="2026-05-19T00:00:00"/>
    <m/>
    <s v="SE PRIORIZO SALDOS DE FORMATOS CLAVES Y DEL ASISTENTE CLAVES NUMERADAS PARA NUEVO LS SOLICITADO POR LA SGGDI"/>
    <x v="0"/>
    <s v="EN EJECUCION CON CONTRATO"/>
    <s v="000571-2026-SGGDI-GITE"/>
    <s v="005589-2026-SGSIT-GITE"/>
    <s v="002494-2026-GITE"/>
    <d v="2026-05-19T00:00:00"/>
    <m/>
    <n v="4785"/>
    <m/>
    <m/>
    <s v="se paga en junio"/>
    <s v="NAJARRO"/>
    <s v="SANDOVAL"/>
    <s v="ASTRID LESLY"/>
    <n v="73191230"/>
    <m/>
    <n v="3000"/>
    <d v="2026-05-22T00:00:00"/>
    <d v="2026-06-30T00:00:00"/>
    <m/>
    <n v="14"/>
    <n v="1400"/>
    <n v="10"/>
    <n v="1000"/>
    <n v="10"/>
    <n v="1000"/>
    <n v="400"/>
    <n v="400"/>
    <m/>
    <n v="30"/>
    <n v="3000"/>
    <n v="30"/>
    <n v="3000"/>
    <n v="30"/>
    <n v="3000"/>
    <n v="0"/>
    <n v="0"/>
    <m/>
    <n v="4400"/>
    <n v="4000"/>
    <n v="4000"/>
    <n v="400"/>
    <n v="400"/>
    <m/>
    <m/>
    <m/>
  </r>
  <r>
    <n v="2026"/>
    <n v="479"/>
    <s v="PROCESOS DE SOPORTE"/>
    <s v="GESTION DE LAS TECNOLOGIAS DE LA INFORMACION Y COMUNICACIONES "/>
    <n v="125"/>
    <n v="3000654"/>
    <n v="5005023"/>
    <n v="3"/>
    <n v="12"/>
    <n v="24"/>
    <n v="135560"/>
    <s v="2026EG 2026 (SEP)GITEDISEÑO, DESARROLLO Y DESPLIEGUE SOLUCIONES TECNOLOGICAS"/>
    <x v="2"/>
    <n v="94"/>
    <m/>
    <s v="GITE"/>
    <s v="EG 2026 (SEP)"/>
    <s v="2.3"/>
    <s v="2.3.2.9.1.1"/>
    <m/>
    <s v="OPERADOR DE CONTROL DE CALIDAD DE SOFTWARE"/>
    <s v="LOCADOR"/>
    <n v="1"/>
    <n v="3000"/>
    <m/>
    <m/>
    <m/>
    <m/>
    <n v="14"/>
    <n v="30"/>
    <m/>
    <m/>
    <m/>
    <m/>
    <m/>
    <m/>
    <s v="NO PROGRAMADO"/>
    <s v=" -   "/>
    <s v=" -   "/>
    <s v=" -   "/>
    <s v=" -   "/>
    <n v="1400"/>
    <n v="3000"/>
    <s v=" -   "/>
    <s v=" -   "/>
    <s v=" -   "/>
    <s v=" -   "/>
    <s v=" -   "/>
    <s v=" -   "/>
    <n v="4400"/>
    <x v="1"/>
    <m/>
    <m/>
    <m/>
    <s v="SGGDI SOLICITO MODIFICACION DEL ITEM FORMATOS CLAVES Y DEL ASISTENTE CLAVES NUMERADAS PARA NUEVO CARGO DE LS OPERADOR"/>
    <s v="SOLICITUD N° 098-SISPLAN"/>
    <s v="SOLICITUD N° 098-SISPLAN"/>
    <d v="2026-05-15T00:00:00"/>
    <s v="000945-2026/GPP"/>
    <d v="2026-05-19T00:00:00"/>
    <m/>
    <s v="SE PRIORIZO SALDOS DE FORMATOS CLAVES Y DEL ASISTENTE CLAVES NUMERADAS PARA NUEVO LS SOLICITADO POR LA SGGDI"/>
    <x v="0"/>
    <s v="EN EJECUCION CON CONTRATO"/>
    <s v="000571-2026-SGGDI-GITE"/>
    <s v="005589-2026-SGSIT-GITE"/>
    <s v="002494-2026-GITE"/>
    <d v="2026-05-19T00:00:00"/>
    <m/>
    <n v="4786"/>
    <m/>
    <m/>
    <s v="se paga en junio"/>
    <s v="ROJAS"/>
    <s v="PRIMO"/>
    <s v="ANDRES ENRIQUE"/>
    <n v="75116964"/>
    <m/>
    <n v="3000"/>
    <d v="2026-05-22T00:00:00"/>
    <d v="2026-06-30T00:00:00"/>
    <m/>
    <n v="14"/>
    <n v="1400"/>
    <n v="10"/>
    <n v="1000"/>
    <n v="10"/>
    <n v="1000"/>
    <n v="400"/>
    <n v="400"/>
    <m/>
    <n v="30"/>
    <n v="3000"/>
    <n v="30"/>
    <n v="3000"/>
    <n v="30"/>
    <n v="3000"/>
    <n v="0"/>
    <n v="0"/>
    <m/>
    <n v="4400"/>
    <n v="4000"/>
    <n v="4000"/>
    <n v="400"/>
    <n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B8EB92-2DF2-43AF-9B03-ECC867F67C38}"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META">
  <location ref="A3:C22" firstHeaderRow="0" firstDataRow="1" firstDataCol="1"/>
  <pivotFields count="54">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1"/>
        <item x="4"/>
        <item x="3"/>
        <item t="default"/>
      </items>
    </pivotField>
    <pivotField axis="axisRow" showAll="0">
      <items count="6">
        <item x="4"/>
        <item x="2"/>
        <item x="0"/>
        <item x="1"/>
        <item x="3"/>
        <item t="default"/>
      </items>
    </pivotField>
    <pivotField showAll="0"/>
    <pivotField showAll="0"/>
    <pivotField showAll="0"/>
    <pivotField showAll="0"/>
    <pivotField showAll="0"/>
    <pivotField showAll="0"/>
    <pivotField showAll="0"/>
    <pivotField axis="axisRow" showAll="0">
      <items count="4">
        <item h="1" x="1"/>
        <item x="2"/>
        <item h="1"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s>
  <rowFields count="3">
    <field x="13"/>
    <field x="21"/>
    <field x="50"/>
  </rowFields>
  <rowItems count="19">
    <i>
      <x/>
    </i>
    <i r="1">
      <x v="1"/>
    </i>
    <i r="2">
      <x/>
    </i>
    <i>
      <x v="1"/>
    </i>
    <i r="1">
      <x v="1"/>
    </i>
    <i r="2">
      <x/>
    </i>
    <i r="2">
      <x v="1"/>
    </i>
    <i r="2">
      <x v="3"/>
    </i>
    <i>
      <x v="2"/>
    </i>
    <i r="1">
      <x v="1"/>
    </i>
    <i r="2">
      <x v="2"/>
    </i>
    <i>
      <x v="3"/>
    </i>
    <i r="1">
      <x v="1"/>
    </i>
    <i r="2">
      <x/>
    </i>
    <i r="2">
      <x v="2"/>
    </i>
    <i>
      <x v="4"/>
    </i>
    <i r="1">
      <x v="1"/>
    </i>
    <i r="2">
      <x v="3"/>
    </i>
    <i t="grand">
      <x/>
    </i>
  </rowItems>
  <colFields count="1">
    <field x="-2"/>
  </colFields>
  <colItems count="2">
    <i>
      <x/>
    </i>
    <i i="1">
      <x v="1"/>
    </i>
  </colItems>
  <dataFields count="2">
    <dataField name="CANTIDAD DE PERSOMAS" fld="22" baseField="13" baseItem="0"/>
    <dataField name="MONTO TOTAL" fld="36" baseField="21" baseItem="1" numFmtId="164"/>
  </dataFields>
  <formats count="62">
    <format dxfId="62">
      <pivotArea dataOnly="0" labelOnly="1" fieldPosition="0">
        <references count="3">
          <reference field="13" count="1" selected="0">
            <x v="1"/>
          </reference>
          <reference field="21" count="0"/>
          <reference field="50" count="1" selected="0">
            <x v="0"/>
          </reference>
        </references>
      </pivotArea>
    </format>
    <format dxfId="61">
      <pivotArea field="13" type="button" dataOnly="0" labelOnly="1" outline="0" axis="axisRow" fieldPosition="0"/>
    </format>
    <format dxfId="60">
      <pivotArea dataOnly="0" labelOnly="1" outline="0" fieldPosition="0">
        <references count="1">
          <reference field="4294967294" count="2">
            <x v="0"/>
            <x v="1"/>
          </reference>
        </references>
      </pivotArea>
    </format>
    <format dxfId="59">
      <pivotArea field="13" type="button" dataOnly="0" labelOnly="1" outline="0" axis="axisRow" fieldPosition="0"/>
    </format>
    <format dxfId="58">
      <pivotArea dataOnly="0" labelOnly="1" outline="0" fieldPosition="0">
        <references count="1">
          <reference field="4294967294" count="2">
            <x v="0"/>
            <x v="1"/>
          </reference>
        </references>
      </pivotArea>
    </format>
    <format dxfId="57">
      <pivotArea type="all" dataOnly="0" outline="0" fieldPosition="0"/>
    </format>
    <format dxfId="56">
      <pivotArea outline="0" collapsedLevelsAreSubtotals="1" fieldPosition="0"/>
    </format>
    <format dxfId="55">
      <pivotArea field="13" type="button" dataOnly="0" labelOnly="1" outline="0" axis="axisRow" fieldPosition="0"/>
    </format>
    <format dxfId="54">
      <pivotArea dataOnly="0" labelOnly="1" fieldPosition="0">
        <references count="1">
          <reference field="13" count="0"/>
        </references>
      </pivotArea>
    </format>
    <format dxfId="53">
      <pivotArea dataOnly="0" labelOnly="1" grandRow="1" outline="0" fieldPosition="0"/>
    </format>
    <format dxfId="52">
      <pivotArea dataOnly="0" labelOnly="1" fieldPosition="0">
        <references count="2">
          <reference field="13" count="1" selected="0">
            <x v="0"/>
          </reference>
          <reference field="50" count="1">
            <x v="0"/>
          </reference>
        </references>
      </pivotArea>
    </format>
    <format dxfId="51">
      <pivotArea dataOnly="0" labelOnly="1" fieldPosition="0">
        <references count="2">
          <reference field="13" count="1" selected="0">
            <x v="1"/>
          </reference>
          <reference field="50" count="3">
            <x v="0"/>
            <x v="1"/>
            <x v="3"/>
          </reference>
        </references>
      </pivotArea>
    </format>
    <format dxfId="50">
      <pivotArea dataOnly="0" labelOnly="1" fieldPosition="0">
        <references count="2">
          <reference field="13" count="1" selected="0">
            <x v="2"/>
          </reference>
          <reference field="50" count="1">
            <x v="2"/>
          </reference>
        </references>
      </pivotArea>
    </format>
    <format dxfId="49">
      <pivotArea dataOnly="0" labelOnly="1" fieldPosition="0">
        <references count="2">
          <reference field="13" count="1" selected="0">
            <x v="3"/>
          </reference>
          <reference field="50" count="2">
            <x v="0"/>
            <x v="2"/>
          </reference>
        </references>
      </pivotArea>
    </format>
    <format dxfId="48">
      <pivotArea dataOnly="0" labelOnly="1" fieldPosition="0">
        <references count="2">
          <reference field="13" count="1" selected="0">
            <x v="4"/>
          </reference>
          <reference field="50" count="1">
            <x v="3"/>
          </reference>
        </references>
      </pivotArea>
    </format>
    <format dxfId="47">
      <pivotArea dataOnly="0" labelOnly="1" fieldPosition="0">
        <references count="3">
          <reference field="13" count="1" selected="0">
            <x v="0"/>
          </reference>
          <reference field="21" count="0"/>
          <reference field="50" count="1" selected="0">
            <x v="0"/>
          </reference>
        </references>
      </pivotArea>
    </format>
    <format dxfId="46">
      <pivotArea dataOnly="0" labelOnly="1" fieldPosition="0">
        <references count="3">
          <reference field="13" count="1" selected="0">
            <x v="1"/>
          </reference>
          <reference field="21" count="0"/>
          <reference field="50" count="1" selected="0">
            <x v="0"/>
          </reference>
        </references>
      </pivotArea>
    </format>
    <format dxfId="45">
      <pivotArea dataOnly="0" labelOnly="1" fieldPosition="0">
        <references count="3">
          <reference field="13" count="1" selected="0">
            <x v="1"/>
          </reference>
          <reference field="21" count="0"/>
          <reference field="50" count="1" selected="0">
            <x v="1"/>
          </reference>
        </references>
      </pivotArea>
    </format>
    <format dxfId="44">
      <pivotArea dataOnly="0" labelOnly="1" fieldPosition="0">
        <references count="3">
          <reference field="13" count="1" selected="0">
            <x v="1"/>
          </reference>
          <reference field="21" count="0"/>
          <reference field="50" count="1" selected="0">
            <x v="3"/>
          </reference>
        </references>
      </pivotArea>
    </format>
    <format dxfId="43">
      <pivotArea dataOnly="0" labelOnly="1" fieldPosition="0">
        <references count="3">
          <reference field="13" count="1" selected="0">
            <x v="2"/>
          </reference>
          <reference field="21" count="0"/>
          <reference field="50" count="1" selected="0">
            <x v="2"/>
          </reference>
        </references>
      </pivotArea>
    </format>
    <format dxfId="42">
      <pivotArea dataOnly="0" labelOnly="1" fieldPosition="0">
        <references count="3">
          <reference field="13" count="1" selected="0">
            <x v="3"/>
          </reference>
          <reference field="21" count="0"/>
          <reference field="50" count="1" selected="0">
            <x v="0"/>
          </reference>
        </references>
      </pivotArea>
    </format>
    <format dxfId="41">
      <pivotArea dataOnly="0" labelOnly="1" fieldPosition="0">
        <references count="3">
          <reference field="13" count="1" selected="0">
            <x v="3"/>
          </reference>
          <reference field="21" count="0"/>
          <reference field="50" count="1" selected="0">
            <x v="2"/>
          </reference>
        </references>
      </pivotArea>
    </format>
    <format dxfId="40">
      <pivotArea dataOnly="0" labelOnly="1" fieldPosition="0">
        <references count="3">
          <reference field="13" count="1" selected="0">
            <x v="4"/>
          </reference>
          <reference field="21" count="0"/>
          <reference field="50" count="1" selected="0">
            <x v="3"/>
          </reference>
        </references>
      </pivotArea>
    </format>
    <format dxfId="39">
      <pivotArea dataOnly="0" labelOnly="1" outline="0" fieldPosition="0">
        <references count="1">
          <reference field="4294967294" count="2">
            <x v="0"/>
            <x v="1"/>
          </reference>
        </references>
      </pivotArea>
    </format>
    <format dxfId="38">
      <pivotArea outline="0" fieldPosition="0">
        <references count="1">
          <reference field="4294967294" count="1">
            <x v="1"/>
          </reference>
        </references>
      </pivotArea>
    </format>
    <format dxfId="37">
      <pivotArea collapsedLevelsAreSubtotals="1" fieldPosition="0">
        <references count="1">
          <reference field="13" count="1">
            <x v="0"/>
          </reference>
        </references>
      </pivotArea>
    </format>
    <format dxfId="36">
      <pivotArea collapsedLevelsAreSubtotals="1" fieldPosition="0">
        <references count="2">
          <reference field="13" count="1" selected="0">
            <x v="0"/>
          </reference>
          <reference field="50" count="1">
            <x v="0"/>
          </reference>
        </references>
      </pivotArea>
    </format>
    <format dxfId="35">
      <pivotArea collapsedLevelsAreSubtotals="1" fieldPosition="0">
        <references count="3">
          <reference field="13" count="1" selected="0">
            <x v="0"/>
          </reference>
          <reference field="21" count="0"/>
          <reference field="50" count="1" selected="0">
            <x v="0"/>
          </reference>
        </references>
      </pivotArea>
    </format>
    <format dxfId="34">
      <pivotArea collapsedLevelsAreSubtotals="1" fieldPosition="0">
        <references count="1">
          <reference field="13" count="1">
            <x v="1"/>
          </reference>
        </references>
      </pivotArea>
    </format>
    <format dxfId="33">
      <pivotArea collapsedLevelsAreSubtotals="1" fieldPosition="0">
        <references count="2">
          <reference field="13" count="1" selected="0">
            <x v="1"/>
          </reference>
          <reference field="50" count="1">
            <x v="0"/>
          </reference>
        </references>
      </pivotArea>
    </format>
    <format dxfId="32">
      <pivotArea collapsedLevelsAreSubtotals="1" fieldPosition="0">
        <references count="3">
          <reference field="13" count="1" selected="0">
            <x v="1"/>
          </reference>
          <reference field="21" count="0"/>
          <reference field="50" count="1" selected="0">
            <x v="0"/>
          </reference>
        </references>
      </pivotArea>
    </format>
    <format dxfId="31">
      <pivotArea collapsedLevelsAreSubtotals="1" fieldPosition="0">
        <references count="2">
          <reference field="13" count="1" selected="0">
            <x v="1"/>
          </reference>
          <reference field="50" count="1">
            <x v="1"/>
          </reference>
        </references>
      </pivotArea>
    </format>
    <format dxfId="30">
      <pivotArea collapsedLevelsAreSubtotals="1" fieldPosition="0">
        <references count="3">
          <reference field="13" count="1" selected="0">
            <x v="1"/>
          </reference>
          <reference field="21" count="0"/>
          <reference field="50" count="1" selected="0">
            <x v="1"/>
          </reference>
        </references>
      </pivotArea>
    </format>
    <format dxfId="29">
      <pivotArea collapsedLevelsAreSubtotals="1" fieldPosition="0">
        <references count="2">
          <reference field="13" count="1" selected="0">
            <x v="1"/>
          </reference>
          <reference field="50" count="1">
            <x v="3"/>
          </reference>
        </references>
      </pivotArea>
    </format>
    <format dxfId="28">
      <pivotArea collapsedLevelsAreSubtotals="1" fieldPosition="0">
        <references count="3">
          <reference field="13" count="1" selected="0">
            <x v="1"/>
          </reference>
          <reference field="21" count="0"/>
          <reference field="50" count="1" selected="0">
            <x v="3"/>
          </reference>
        </references>
      </pivotArea>
    </format>
    <format dxfId="27">
      <pivotArea collapsedLevelsAreSubtotals="1" fieldPosition="0">
        <references count="1">
          <reference field="13" count="1">
            <x v="2"/>
          </reference>
        </references>
      </pivotArea>
    </format>
    <format dxfId="26">
      <pivotArea collapsedLevelsAreSubtotals="1" fieldPosition="0">
        <references count="2">
          <reference field="13" count="1" selected="0">
            <x v="2"/>
          </reference>
          <reference field="50" count="1">
            <x v="2"/>
          </reference>
        </references>
      </pivotArea>
    </format>
    <format dxfId="25">
      <pivotArea collapsedLevelsAreSubtotals="1" fieldPosition="0">
        <references count="3">
          <reference field="13" count="1" selected="0">
            <x v="2"/>
          </reference>
          <reference field="21" count="0"/>
          <reference field="50" count="1" selected="0">
            <x v="2"/>
          </reference>
        </references>
      </pivotArea>
    </format>
    <format dxfId="24">
      <pivotArea collapsedLevelsAreSubtotals="1" fieldPosition="0">
        <references count="1">
          <reference field="13" count="1">
            <x v="3"/>
          </reference>
        </references>
      </pivotArea>
    </format>
    <format dxfId="23">
      <pivotArea collapsedLevelsAreSubtotals="1" fieldPosition="0">
        <references count="2">
          <reference field="13" count="1" selected="0">
            <x v="3"/>
          </reference>
          <reference field="50" count="1">
            <x v="0"/>
          </reference>
        </references>
      </pivotArea>
    </format>
    <format dxfId="22">
      <pivotArea collapsedLevelsAreSubtotals="1" fieldPosition="0">
        <references count="3">
          <reference field="13" count="1" selected="0">
            <x v="3"/>
          </reference>
          <reference field="21" count="0"/>
          <reference field="50" count="1" selected="0">
            <x v="0"/>
          </reference>
        </references>
      </pivotArea>
    </format>
    <format dxfId="21">
      <pivotArea collapsedLevelsAreSubtotals="1" fieldPosition="0">
        <references count="2">
          <reference field="13" count="1" selected="0">
            <x v="3"/>
          </reference>
          <reference field="50" count="1">
            <x v="2"/>
          </reference>
        </references>
      </pivotArea>
    </format>
    <format dxfId="20">
      <pivotArea collapsedLevelsAreSubtotals="1" fieldPosition="0">
        <references count="3">
          <reference field="13" count="1" selected="0">
            <x v="3"/>
          </reference>
          <reference field="21" count="0"/>
          <reference field="50" count="1" selected="0">
            <x v="2"/>
          </reference>
        </references>
      </pivotArea>
    </format>
    <format dxfId="19">
      <pivotArea collapsedLevelsAreSubtotals="1" fieldPosition="0">
        <references count="1">
          <reference field="13" count="1">
            <x v="4"/>
          </reference>
        </references>
      </pivotArea>
    </format>
    <format dxfId="18">
      <pivotArea collapsedLevelsAreSubtotals="1" fieldPosition="0">
        <references count="2">
          <reference field="13" count="1" selected="0">
            <x v="4"/>
          </reference>
          <reference field="50" count="1">
            <x v="3"/>
          </reference>
        </references>
      </pivotArea>
    </format>
    <format dxfId="17">
      <pivotArea collapsedLevelsAreSubtotals="1" fieldPosition="0">
        <references count="3">
          <reference field="13" count="1" selected="0">
            <x v="4"/>
          </reference>
          <reference field="21" count="0"/>
          <reference field="50" count="1" selected="0">
            <x v="3"/>
          </reference>
        </references>
      </pivotArea>
    </format>
    <format dxfId="16">
      <pivotArea dataOnly="0" labelOnly="1" fieldPosition="0">
        <references count="1">
          <reference field="13" count="0"/>
        </references>
      </pivotArea>
    </format>
    <format dxfId="15">
      <pivotArea dataOnly="0" labelOnly="1" fieldPosition="0">
        <references count="2">
          <reference field="13" count="1" selected="0">
            <x v="0"/>
          </reference>
          <reference field="50" count="1">
            <x v="0"/>
          </reference>
        </references>
      </pivotArea>
    </format>
    <format dxfId="14">
      <pivotArea dataOnly="0" labelOnly="1" fieldPosition="0">
        <references count="2">
          <reference field="13" count="1" selected="0">
            <x v="1"/>
          </reference>
          <reference field="50" count="3">
            <x v="0"/>
            <x v="1"/>
            <x v="3"/>
          </reference>
        </references>
      </pivotArea>
    </format>
    <format dxfId="13">
      <pivotArea dataOnly="0" labelOnly="1" fieldPosition="0">
        <references count="2">
          <reference field="13" count="1" selected="0">
            <x v="2"/>
          </reference>
          <reference field="50" count="1">
            <x v="2"/>
          </reference>
        </references>
      </pivotArea>
    </format>
    <format dxfId="12">
      <pivotArea dataOnly="0" labelOnly="1" fieldPosition="0">
        <references count="2">
          <reference field="13" count="1" selected="0">
            <x v="3"/>
          </reference>
          <reference field="50" count="2">
            <x v="0"/>
            <x v="2"/>
          </reference>
        </references>
      </pivotArea>
    </format>
    <format dxfId="11">
      <pivotArea dataOnly="0" labelOnly="1" fieldPosition="0">
        <references count="2">
          <reference field="13" count="1" selected="0">
            <x v="4"/>
          </reference>
          <reference field="50" count="1">
            <x v="3"/>
          </reference>
        </references>
      </pivotArea>
    </format>
    <format dxfId="10">
      <pivotArea dataOnly="0" labelOnly="1" fieldPosition="0">
        <references count="3">
          <reference field="13" count="1" selected="0">
            <x v="0"/>
          </reference>
          <reference field="21" count="0"/>
          <reference field="50" count="1" selected="0">
            <x v="0"/>
          </reference>
        </references>
      </pivotArea>
    </format>
    <format dxfId="9">
      <pivotArea dataOnly="0" labelOnly="1" fieldPosition="0">
        <references count="3">
          <reference field="13" count="1" selected="0">
            <x v="1"/>
          </reference>
          <reference field="21" count="0"/>
          <reference field="50" count="1" selected="0">
            <x v="0"/>
          </reference>
        </references>
      </pivotArea>
    </format>
    <format dxfId="8">
      <pivotArea dataOnly="0" labelOnly="1" fieldPosition="0">
        <references count="3">
          <reference field="13" count="1" selected="0">
            <x v="1"/>
          </reference>
          <reference field="21" count="0"/>
          <reference field="50" count="1" selected="0">
            <x v="1"/>
          </reference>
        </references>
      </pivotArea>
    </format>
    <format dxfId="7">
      <pivotArea dataOnly="0" labelOnly="1" fieldPosition="0">
        <references count="3">
          <reference field="13" count="1" selected="0">
            <x v="1"/>
          </reference>
          <reference field="21" count="0"/>
          <reference field="50" count="1" selected="0">
            <x v="3"/>
          </reference>
        </references>
      </pivotArea>
    </format>
    <format dxfId="6">
      <pivotArea dataOnly="0" labelOnly="1" fieldPosition="0">
        <references count="3">
          <reference field="13" count="1" selected="0">
            <x v="2"/>
          </reference>
          <reference field="21" count="0"/>
          <reference field="50" count="1" selected="0">
            <x v="2"/>
          </reference>
        </references>
      </pivotArea>
    </format>
    <format dxfId="5">
      <pivotArea dataOnly="0" labelOnly="1" fieldPosition="0">
        <references count="3">
          <reference field="13" count="1" selected="0">
            <x v="3"/>
          </reference>
          <reference field="21" count="0"/>
          <reference field="50" count="1" selected="0">
            <x v="0"/>
          </reference>
        </references>
      </pivotArea>
    </format>
    <format dxfId="4">
      <pivotArea dataOnly="0" labelOnly="1" fieldPosition="0">
        <references count="3">
          <reference field="13" count="1" selected="0">
            <x v="3"/>
          </reference>
          <reference field="21" count="0"/>
          <reference field="50" count="1" selected="0">
            <x v="2"/>
          </reference>
        </references>
      </pivotArea>
    </format>
    <format dxfId="3">
      <pivotArea dataOnly="0" labelOnly="1" fieldPosition="0">
        <references count="3">
          <reference field="13" count="1" selected="0">
            <x v="4"/>
          </reference>
          <reference field="21" count="0"/>
          <reference field="50" count="1" selected="0">
            <x v="3"/>
          </reference>
        </references>
      </pivotArea>
    </format>
    <format dxfId="2">
      <pivotArea outline="0" collapsedLevelsAreSubtotals="1" fieldPosition="0">
        <references count="1">
          <reference field="4294967294" count="1" selected="0">
            <x v="0"/>
          </reference>
        </references>
      </pivotArea>
    </format>
    <format dxfId="1">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9C7639-4F1F-49B3-B878-CEC17848FFFF}" name="TablaDinámica1"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I19" firstHeaderRow="1" firstDataRow="3" firstDataCol="1"/>
  <pivotFields count="10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showAll="0" defaultSubtotal="0">
      <items count="5">
        <item x="0"/>
        <item x="2"/>
        <item x="1"/>
        <item x="4"/>
        <item x="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defaultSubtotal="0">
      <items count="4">
        <item x="3"/>
        <item x="1"/>
        <item x="0"/>
        <item x="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1"/>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s>
  <rowFields count="2">
    <field x="12"/>
    <field x="50"/>
  </rowFields>
  <rowItems count="14">
    <i>
      <x/>
    </i>
    <i r="1">
      <x v="2"/>
    </i>
    <i>
      <x v="1"/>
    </i>
    <i r="1">
      <x/>
    </i>
    <i r="1">
      <x v="1"/>
    </i>
    <i r="1">
      <x v="3"/>
    </i>
    <i>
      <x v="2"/>
    </i>
    <i r="1">
      <x/>
    </i>
    <i r="1">
      <x v="2"/>
    </i>
    <i>
      <x v="3"/>
    </i>
    <i r="1">
      <x/>
    </i>
    <i>
      <x v="4"/>
    </i>
    <i r="1">
      <x v="3"/>
    </i>
    <i t="grand">
      <x/>
    </i>
  </rowItems>
  <colFields count="2">
    <field x="62"/>
    <field x="-2"/>
  </colFields>
  <colItems count="8">
    <i>
      <x/>
      <x/>
    </i>
    <i r="1" i="1">
      <x v="1"/>
    </i>
    <i>
      <x v="1"/>
      <x/>
    </i>
    <i r="1" i="1">
      <x v="1"/>
    </i>
    <i>
      <x v="2"/>
      <x/>
    </i>
    <i r="1" i="1">
      <x v="1"/>
    </i>
    <i t="grand">
      <x/>
    </i>
    <i t="grand" i="1">
      <x/>
    </i>
  </colItems>
  <dataFields count="2">
    <dataField name="Suma de TOTAL PIM" fld="49" baseField="0" baseItem="0"/>
    <dataField name="Suma de SALDOS DE PROGRAMACION /EJECUCION" fld="104" baseField="0"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K124" dT="2026-05-06T21:45:23.26" personId="{5E0FDC10-F859-4E59-986A-9536B69DBDE4}" id="{B9D78BF6-E2E4-4C75-BBC7-60EF6A40E395}">
    <text xml:space="preserve">decia 6,500 se actualizo a 7,000 de acuerdo alo programado 
</text>
  </threadedComment>
</ThreadedComments>
</file>

<file path=xl/threadedComments/threadedComment2.xml><?xml version="1.0" encoding="utf-8"?>
<ThreadedComments xmlns="http://schemas.microsoft.com/office/spreadsheetml/2018/threadedcomments" xmlns:x="http://schemas.openxmlformats.org/spreadsheetml/2006/main">
  <threadedComment ref="H20" dT="2026-05-19T16:49:32.14" personId="{2C0EC561-5417-42B3-948F-301DACBA98C0}" id="{765AE815-EDB0-4E45-AD2D-F681368450F3}">
    <text>SE PRIORIZO 1100 DEL LS ASISTENTE CLAVES NUMERADAS</text>
  </threadedComment>
</ThreadedComments>
</file>

<file path=xl/threadedComments/threadedComment3.xml><?xml version="1.0" encoding="utf-8"?>
<ThreadedComments xmlns="http://schemas.microsoft.com/office/spreadsheetml/2018/threadedcomments" xmlns:x="http://schemas.openxmlformats.org/spreadsheetml/2006/main">
  <threadedComment ref="BV413" dT="2026-05-07T22:00:28.71" personId="{5E0FDC10-F859-4E59-986A-9536B69DBDE4}" id="{CB597D9D-44F8-4219-A691-22FB6FBBE9BD}">
    <text>SGSI COMUNICÓ DESISTIMIENTO DE  MAZA ALCALDE LUISIN</text>
  </threadedComment>
</ThreadedComments>
</file>

<file path=xl/threadedComments/threadedComment4.xml><?xml version="1.0" encoding="utf-8"?>
<ThreadedComments xmlns="http://schemas.microsoft.com/office/spreadsheetml/2018/threadedcomments" xmlns:x="http://schemas.openxmlformats.org/spreadsheetml/2006/main">
  <threadedComment ref="I6" dT="2026-05-15T17:09:52.86" personId="{5E0FDC10-F859-4E59-986A-9536B69DBDE4}" id="{540A633B-37E8-4519-9C14-7E6654D43BF1}">
    <text>ADMINISTRADOR DE PROYECTOS Y GESTOR DE RIESGOS</text>
  </threadedComment>
  <threadedComment ref="E28" dT="2026-05-08T16:14:04.80" personId="{5E0FDC10-F859-4E59-986A-9536B69DBDE4}" id="{A65FCB73-E335-4A8E-A6E1-3308AFF56FCA}">
    <text>64LS</text>
  </threadedComment>
  <threadedComment ref="E31" dT="2026-05-20T17:25:59.89" personId="{5E0FDC10-F859-4E59-986A-9536B69DBDE4}" id="{847862FB-1029-44F6-B59E-D5EDACD70F1C}">
    <text xml:space="preserve">203LS
</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C8784-BE05-4D9B-BEAD-F0FCE54FC725}">
  <dimension ref="A3:C25"/>
  <sheetViews>
    <sheetView workbookViewId="0">
      <selection activeCell="A3" sqref="A3:C22"/>
    </sheetView>
  </sheetViews>
  <sheetFormatPr baseColWidth="10" defaultColWidth="11.42578125" defaultRowHeight="15" x14ac:dyDescent="0.25"/>
  <cols>
    <col min="1" max="1" width="13.85546875" bestFit="1" customWidth="1"/>
    <col min="2" max="2" width="24.28515625" style="71" bestFit="1" customWidth="1"/>
    <col min="3" max="3" width="14" bestFit="1" customWidth="1"/>
  </cols>
  <sheetData>
    <row r="3" spans="1:3" x14ac:dyDescent="0.25">
      <c r="A3" s="131" t="s">
        <v>0</v>
      </c>
      <c r="B3" s="132" t="s">
        <v>1</v>
      </c>
      <c r="C3" s="132" t="s">
        <v>2</v>
      </c>
    </row>
    <row r="4" spans="1:3" x14ac:dyDescent="0.25">
      <c r="A4" s="133">
        <v>92</v>
      </c>
      <c r="B4" s="137">
        <v>8</v>
      </c>
      <c r="C4" s="135">
        <v>109000</v>
      </c>
    </row>
    <row r="5" spans="1:3" x14ac:dyDescent="0.25">
      <c r="A5" s="134" t="s">
        <v>3</v>
      </c>
      <c r="B5" s="137">
        <v>8</v>
      </c>
      <c r="C5" s="135">
        <v>109000</v>
      </c>
    </row>
    <row r="6" spans="1:3" x14ac:dyDescent="0.25">
      <c r="A6" s="136" t="s">
        <v>4</v>
      </c>
      <c r="B6" s="137">
        <v>8</v>
      </c>
      <c r="C6" s="135">
        <v>109000</v>
      </c>
    </row>
    <row r="7" spans="1:3" x14ac:dyDescent="0.25">
      <c r="A7" s="133">
        <v>94</v>
      </c>
      <c r="B7" s="137">
        <v>147</v>
      </c>
      <c r="C7" s="135">
        <v>1599000</v>
      </c>
    </row>
    <row r="8" spans="1:3" x14ac:dyDescent="0.25">
      <c r="A8" s="134" t="s">
        <v>3</v>
      </c>
      <c r="B8" s="137">
        <v>147</v>
      </c>
      <c r="C8" s="135">
        <v>1599000</v>
      </c>
    </row>
    <row r="9" spans="1:3" x14ac:dyDescent="0.25">
      <c r="A9" s="136" t="s">
        <v>4</v>
      </c>
      <c r="B9" s="137">
        <v>5</v>
      </c>
      <c r="C9" s="135">
        <v>92000</v>
      </c>
    </row>
    <row r="10" spans="1:3" x14ac:dyDescent="0.25">
      <c r="A10" s="136" t="s">
        <v>5</v>
      </c>
      <c r="B10" s="137">
        <v>77</v>
      </c>
      <c r="C10" s="135">
        <v>1082000</v>
      </c>
    </row>
    <row r="11" spans="1:3" x14ac:dyDescent="0.25">
      <c r="A11" s="136" t="s">
        <v>6</v>
      </c>
      <c r="B11" s="137">
        <v>65</v>
      </c>
      <c r="C11" s="135">
        <v>425000</v>
      </c>
    </row>
    <row r="12" spans="1:3" x14ac:dyDescent="0.25">
      <c r="A12" s="133">
        <v>95</v>
      </c>
      <c r="B12" s="137">
        <v>275</v>
      </c>
      <c r="C12" s="135">
        <v>1900000</v>
      </c>
    </row>
    <row r="13" spans="1:3" x14ac:dyDescent="0.25">
      <c r="A13" s="134" t="s">
        <v>3</v>
      </c>
      <c r="B13" s="137">
        <v>275</v>
      </c>
      <c r="C13" s="135">
        <v>1900000</v>
      </c>
    </row>
    <row r="14" spans="1:3" x14ac:dyDescent="0.25">
      <c r="A14" s="136" t="s">
        <v>7</v>
      </c>
      <c r="B14" s="137">
        <v>275</v>
      </c>
      <c r="C14" s="135">
        <v>1900000</v>
      </c>
    </row>
    <row r="15" spans="1:3" x14ac:dyDescent="0.25">
      <c r="A15" s="133">
        <v>96</v>
      </c>
      <c r="B15" s="137">
        <v>8</v>
      </c>
      <c r="C15" s="135">
        <v>107000</v>
      </c>
    </row>
    <row r="16" spans="1:3" x14ac:dyDescent="0.25">
      <c r="A16" s="134" t="s">
        <v>3</v>
      </c>
      <c r="B16" s="137">
        <v>8</v>
      </c>
      <c r="C16" s="135">
        <v>107000</v>
      </c>
    </row>
    <row r="17" spans="1:3" x14ac:dyDescent="0.25">
      <c r="A17" s="136" t="s">
        <v>4</v>
      </c>
      <c r="B17" s="137">
        <v>3</v>
      </c>
      <c r="C17" s="135">
        <v>42000</v>
      </c>
    </row>
    <row r="18" spans="1:3" x14ac:dyDescent="0.25">
      <c r="A18" s="136" t="s">
        <v>7</v>
      </c>
      <c r="B18" s="137">
        <v>5</v>
      </c>
      <c r="C18" s="135">
        <v>65000</v>
      </c>
    </row>
    <row r="19" spans="1:3" x14ac:dyDescent="0.25">
      <c r="A19" s="133">
        <v>97</v>
      </c>
      <c r="B19" s="137">
        <v>203</v>
      </c>
      <c r="C19" s="135">
        <v>2176500</v>
      </c>
    </row>
    <row r="20" spans="1:3" x14ac:dyDescent="0.25">
      <c r="A20" s="134" t="s">
        <v>3</v>
      </c>
      <c r="B20" s="137">
        <v>203</v>
      </c>
      <c r="C20" s="135">
        <v>2176500</v>
      </c>
    </row>
    <row r="21" spans="1:3" x14ac:dyDescent="0.25">
      <c r="A21" s="136" t="s">
        <v>6</v>
      </c>
      <c r="B21" s="137">
        <v>203</v>
      </c>
      <c r="C21" s="135">
        <v>2176500</v>
      </c>
    </row>
    <row r="22" spans="1:3" x14ac:dyDescent="0.25">
      <c r="A22" s="133" t="s">
        <v>8</v>
      </c>
      <c r="B22" s="137">
        <v>641</v>
      </c>
      <c r="C22" s="135">
        <v>5891500</v>
      </c>
    </row>
    <row r="23" spans="1:3" x14ac:dyDescent="0.25">
      <c r="B23"/>
    </row>
    <row r="24" spans="1:3" x14ac:dyDescent="0.25">
      <c r="B24"/>
    </row>
    <row r="25" spans="1:3" x14ac:dyDescent="0.25">
      <c r="B25"/>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3D28C-A2C7-4865-844D-9B7C93D09C72}">
  <dimension ref="A1:XFB398"/>
  <sheetViews>
    <sheetView topLeftCell="D1" zoomScale="85" zoomScaleNormal="85" workbookViewId="0">
      <selection activeCell="U406" sqref="U406"/>
    </sheetView>
  </sheetViews>
  <sheetFormatPr baseColWidth="10" defaultColWidth="11.42578125" defaultRowHeight="15" outlineLevelCol="1" x14ac:dyDescent="0.25"/>
  <cols>
    <col min="1" max="1" width="7.28515625" customWidth="1"/>
    <col min="2" max="11" width="11.42578125" customWidth="1"/>
    <col min="12" max="12" width="18" customWidth="1"/>
    <col min="13" max="13" width="16.85546875" customWidth="1"/>
    <col min="15" max="15" width="4.7109375" customWidth="1"/>
    <col min="16" max="16" width="6.140625" customWidth="1"/>
    <col min="18" max="18" width="3.140625" customWidth="1"/>
    <col min="20" max="20" width="3.28515625" style="4" customWidth="1"/>
    <col min="21" max="21" width="29.5703125" customWidth="1"/>
    <col min="22" max="22" width="11.42578125" customWidth="1"/>
    <col min="23" max="23" width="4.5703125" customWidth="1"/>
    <col min="24" max="24" width="11.42578125" customWidth="1"/>
    <col min="25" max="36" width="7" customWidth="1" outlineLevel="1"/>
    <col min="37" max="37" width="14" customWidth="1"/>
    <col min="38" max="49" width="11.42578125" customWidth="1" outlineLevel="1"/>
    <col min="50" max="51" width="11.42578125" customWidth="1"/>
    <col min="52" max="52" width="6.28515625" customWidth="1"/>
    <col min="53" max="53" width="5.140625" customWidth="1"/>
    <col min="54" max="54" width="16.28515625" customWidth="1"/>
  </cols>
  <sheetData>
    <row r="1" spans="1:55" s="6" customFormat="1" ht="38.25" x14ac:dyDescent="0.25">
      <c r="A1" s="14" t="s">
        <v>9</v>
      </c>
      <c r="B1" s="9" t="s">
        <v>10</v>
      </c>
      <c r="C1" s="3" t="s">
        <v>11</v>
      </c>
      <c r="D1" s="3" t="s">
        <v>12</v>
      </c>
      <c r="E1" s="3" t="s">
        <v>13</v>
      </c>
      <c r="F1" s="3" t="s">
        <v>14</v>
      </c>
      <c r="G1" s="3" t="s">
        <v>15</v>
      </c>
      <c r="H1" s="3" t="s">
        <v>16</v>
      </c>
      <c r="I1" s="3" t="s">
        <v>17</v>
      </c>
      <c r="J1" s="3" t="s">
        <v>18</v>
      </c>
      <c r="K1" s="3" t="s">
        <v>19</v>
      </c>
      <c r="L1" s="7" t="s">
        <v>20</v>
      </c>
      <c r="M1" s="17" t="s">
        <v>21</v>
      </c>
      <c r="N1" s="16" t="s">
        <v>22</v>
      </c>
      <c r="O1" s="10" t="s">
        <v>23</v>
      </c>
      <c r="P1" s="8" t="s">
        <v>24</v>
      </c>
      <c r="Q1" s="15" t="s">
        <v>25</v>
      </c>
      <c r="R1" s="11" t="s">
        <v>26</v>
      </c>
      <c r="S1" s="14" t="s">
        <v>27</v>
      </c>
      <c r="T1" s="12" t="s">
        <v>28</v>
      </c>
      <c r="U1" s="17" t="s">
        <v>29</v>
      </c>
      <c r="V1" s="14" t="s">
        <v>30</v>
      </c>
      <c r="W1" s="14" t="s">
        <v>31</v>
      </c>
      <c r="X1" s="9" t="s">
        <v>32</v>
      </c>
      <c r="Y1" s="3" t="s">
        <v>33</v>
      </c>
      <c r="Z1" s="3" t="s">
        <v>34</v>
      </c>
      <c r="AA1" s="3" t="s">
        <v>35</v>
      </c>
      <c r="AB1" s="3" t="s">
        <v>36</v>
      </c>
      <c r="AC1" s="3" t="s">
        <v>37</v>
      </c>
      <c r="AD1" s="3" t="s">
        <v>38</v>
      </c>
      <c r="AE1" s="3" t="s">
        <v>39</v>
      </c>
      <c r="AF1" s="3" t="s">
        <v>40</v>
      </c>
      <c r="AG1" s="3" t="s">
        <v>41</v>
      </c>
      <c r="AH1" s="3" t="s">
        <v>42</v>
      </c>
      <c r="AI1" s="3" t="s">
        <v>43</v>
      </c>
      <c r="AJ1" s="7" t="s">
        <v>44</v>
      </c>
      <c r="AK1" s="17" t="s">
        <v>45</v>
      </c>
      <c r="AL1" s="13" t="s">
        <v>46</v>
      </c>
      <c r="AM1" s="1" t="s">
        <v>47</v>
      </c>
      <c r="AN1" s="1" t="s">
        <v>48</v>
      </c>
      <c r="AO1" s="1" t="s">
        <v>49</v>
      </c>
      <c r="AP1" s="1" t="s">
        <v>50</v>
      </c>
      <c r="AQ1" s="1" t="s">
        <v>51</v>
      </c>
      <c r="AR1" s="1" t="s">
        <v>52</v>
      </c>
      <c r="AS1" s="1" t="s">
        <v>53</v>
      </c>
      <c r="AT1" s="1" t="s">
        <v>54</v>
      </c>
      <c r="AU1" s="1" t="s">
        <v>55</v>
      </c>
      <c r="AV1" s="1" t="s">
        <v>56</v>
      </c>
      <c r="AW1" s="1" t="s">
        <v>57</v>
      </c>
      <c r="AX1" s="3" t="s">
        <v>58</v>
      </c>
      <c r="AY1" s="3" t="s">
        <v>59</v>
      </c>
      <c r="AZ1" s="3" t="s">
        <v>60</v>
      </c>
      <c r="BA1" s="179" t="s">
        <v>61</v>
      </c>
      <c r="BB1" s="3" t="s">
        <v>62</v>
      </c>
      <c r="BC1" s="3" t="s">
        <v>63</v>
      </c>
    </row>
    <row r="2" spans="1:55" ht="51" x14ac:dyDescent="0.25">
      <c r="A2" s="19">
        <v>2026</v>
      </c>
      <c r="B2" s="20">
        <v>479</v>
      </c>
      <c r="C2" s="21" t="s">
        <v>64</v>
      </c>
      <c r="D2" s="21" t="s">
        <v>65</v>
      </c>
      <c r="E2" s="20">
        <v>125</v>
      </c>
      <c r="F2" s="20">
        <v>3000654</v>
      </c>
      <c r="G2" s="20">
        <v>5005023</v>
      </c>
      <c r="H2" s="20">
        <v>3</v>
      </c>
      <c r="I2" s="20">
        <v>12</v>
      </c>
      <c r="J2" s="20">
        <v>24</v>
      </c>
      <c r="K2" s="20">
        <v>135560</v>
      </c>
      <c r="L2" s="21" t="s">
        <v>66</v>
      </c>
      <c r="M2" s="22" t="s">
        <v>67</v>
      </c>
      <c r="N2" s="19">
        <v>95</v>
      </c>
      <c r="O2" s="2"/>
      <c r="P2" s="2" t="s">
        <v>4</v>
      </c>
      <c r="Q2" s="23" t="s">
        <v>68</v>
      </c>
      <c r="R2" s="25" t="s">
        <v>69</v>
      </c>
      <c r="S2" s="24" t="s">
        <v>70</v>
      </c>
      <c r="T2" s="25"/>
      <c r="U2" s="26" t="s">
        <v>71</v>
      </c>
      <c r="V2" s="24" t="s">
        <v>72</v>
      </c>
      <c r="W2" s="24"/>
      <c r="X2" s="27">
        <v>6000000</v>
      </c>
      <c r="Y2" s="1142"/>
      <c r="Z2" s="1143"/>
      <c r="AA2" s="1143"/>
      <c r="AB2" s="1144"/>
      <c r="AC2" s="25"/>
      <c r="AD2" s="25">
        <v>1</v>
      </c>
      <c r="AE2" s="25"/>
      <c r="AF2" s="1142"/>
      <c r="AG2" s="1143"/>
      <c r="AH2" s="1143"/>
      <c r="AI2" s="1143"/>
      <c r="AJ2" s="1144"/>
      <c r="AK2" s="28">
        <v>6000000</v>
      </c>
      <c r="AL2" s="29" t="s">
        <v>73</v>
      </c>
      <c r="AM2" s="29" t="s">
        <v>73</v>
      </c>
      <c r="AN2" s="29" t="s">
        <v>73</v>
      </c>
      <c r="AO2" s="29" t="s">
        <v>73</v>
      </c>
      <c r="AP2" s="29" t="s">
        <v>73</v>
      </c>
      <c r="AQ2" s="30">
        <v>6000000</v>
      </c>
      <c r="AR2" s="29" t="s">
        <v>73</v>
      </c>
      <c r="AS2" s="29" t="s">
        <v>73</v>
      </c>
      <c r="AT2" s="29" t="s">
        <v>73</v>
      </c>
      <c r="AU2" s="29" t="s">
        <v>73</v>
      </c>
      <c r="AV2" s="29" t="s">
        <v>73</v>
      </c>
      <c r="AW2" s="29" t="s">
        <v>73</v>
      </c>
      <c r="AX2" s="30">
        <v>6000000</v>
      </c>
      <c r="AY2" s="30" t="s">
        <v>7</v>
      </c>
      <c r="AZ2" s="2" t="s">
        <v>74</v>
      </c>
      <c r="BA2" s="2"/>
      <c r="BB2" t="s">
        <v>71</v>
      </c>
      <c r="BC2" t="s">
        <v>75</v>
      </c>
    </row>
    <row r="3" spans="1:55" ht="63.75" x14ac:dyDescent="0.25">
      <c r="A3" s="19">
        <v>2026</v>
      </c>
      <c r="B3" s="20">
        <v>479</v>
      </c>
      <c r="C3" s="21" t="s">
        <v>64</v>
      </c>
      <c r="D3" s="21" t="s">
        <v>65</v>
      </c>
      <c r="E3" s="20">
        <v>125</v>
      </c>
      <c r="F3" s="20">
        <v>3000654</v>
      </c>
      <c r="G3" s="20">
        <v>5005023</v>
      </c>
      <c r="H3" s="20">
        <v>3</v>
      </c>
      <c r="I3" s="20">
        <v>12</v>
      </c>
      <c r="J3" s="20">
        <v>24</v>
      </c>
      <c r="K3" s="20">
        <v>135560</v>
      </c>
      <c r="L3" s="21" t="s">
        <v>66</v>
      </c>
      <c r="M3" s="22" t="s">
        <v>67</v>
      </c>
      <c r="N3" s="19">
        <v>95</v>
      </c>
      <c r="O3" s="2"/>
      <c r="P3" s="2" t="s">
        <v>4</v>
      </c>
      <c r="Q3" s="20" t="s">
        <v>68</v>
      </c>
      <c r="R3" s="25" t="s">
        <v>69</v>
      </c>
      <c r="S3" s="25" t="s">
        <v>76</v>
      </c>
      <c r="T3" s="25"/>
      <c r="U3" s="31" t="s">
        <v>77</v>
      </c>
      <c r="V3" s="25" t="s">
        <v>72</v>
      </c>
      <c r="W3" s="25"/>
      <c r="X3" s="27">
        <v>20000000</v>
      </c>
      <c r="Y3" s="1142"/>
      <c r="Z3" s="1143"/>
      <c r="AA3" s="1143"/>
      <c r="AB3" s="1144"/>
      <c r="AC3" s="25"/>
      <c r="AD3" s="25">
        <v>1</v>
      </c>
      <c r="AE3" s="25"/>
      <c r="AF3" s="1142"/>
      <c r="AG3" s="1143"/>
      <c r="AH3" s="1143"/>
      <c r="AI3" s="1143"/>
      <c r="AJ3" s="1144"/>
      <c r="AK3" s="32">
        <v>20000000</v>
      </c>
      <c r="AL3" s="29" t="s">
        <v>73</v>
      </c>
      <c r="AM3" s="29" t="s">
        <v>73</v>
      </c>
      <c r="AN3" s="29" t="s">
        <v>73</v>
      </c>
      <c r="AO3" s="29" t="s">
        <v>73</v>
      </c>
      <c r="AP3" s="29" t="s">
        <v>73</v>
      </c>
      <c r="AQ3" s="30">
        <v>20000000</v>
      </c>
      <c r="AR3" s="29" t="s">
        <v>73</v>
      </c>
      <c r="AS3" s="29" t="s">
        <v>73</v>
      </c>
      <c r="AT3" s="29" t="s">
        <v>73</v>
      </c>
      <c r="AU3" s="29" t="s">
        <v>73</v>
      </c>
      <c r="AV3" s="29" t="s">
        <v>73</v>
      </c>
      <c r="AW3" s="29" t="s">
        <v>73</v>
      </c>
      <c r="AX3" s="30">
        <v>20000000</v>
      </c>
      <c r="AY3" s="30" t="s">
        <v>7</v>
      </c>
      <c r="AZ3" s="2" t="s">
        <v>74</v>
      </c>
      <c r="BA3" s="2"/>
      <c r="BB3" s="31" t="s">
        <v>77</v>
      </c>
      <c r="BC3" t="s">
        <v>75</v>
      </c>
    </row>
    <row r="4" spans="1:55" ht="51" x14ac:dyDescent="0.25">
      <c r="A4" s="19">
        <v>2026</v>
      </c>
      <c r="B4" s="20">
        <v>479</v>
      </c>
      <c r="C4" s="21" t="s">
        <v>64</v>
      </c>
      <c r="D4" s="21" t="s">
        <v>65</v>
      </c>
      <c r="E4" s="20">
        <v>125</v>
      </c>
      <c r="F4" s="20">
        <v>3000654</v>
      </c>
      <c r="G4" s="20">
        <v>5005023</v>
      </c>
      <c r="H4" s="20">
        <v>3</v>
      </c>
      <c r="I4" s="20">
        <v>12</v>
      </c>
      <c r="J4" s="20">
        <v>24</v>
      </c>
      <c r="K4" s="20">
        <v>135560</v>
      </c>
      <c r="L4" s="21" t="s">
        <v>66</v>
      </c>
      <c r="M4" s="22" t="s">
        <v>67</v>
      </c>
      <c r="N4" s="19">
        <v>95</v>
      </c>
      <c r="O4" s="2"/>
      <c r="P4" s="2" t="s">
        <v>4</v>
      </c>
      <c r="Q4" s="20" t="s">
        <v>68</v>
      </c>
      <c r="R4" s="25" t="s">
        <v>69</v>
      </c>
      <c r="S4" s="25" t="s">
        <v>70</v>
      </c>
      <c r="T4" s="25"/>
      <c r="U4" s="31" t="s">
        <v>78</v>
      </c>
      <c r="V4" s="25" t="s">
        <v>72</v>
      </c>
      <c r="W4" s="25"/>
      <c r="X4" s="27">
        <v>1169000</v>
      </c>
      <c r="Y4" s="1142"/>
      <c r="Z4" s="1143"/>
      <c r="AA4" s="1143"/>
      <c r="AB4" s="1144"/>
      <c r="AC4" s="25"/>
      <c r="AD4" s="25">
        <v>1</v>
      </c>
      <c r="AE4" s="25"/>
      <c r="AF4" s="1142"/>
      <c r="AG4" s="1143"/>
      <c r="AH4" s="1143"/>
      <c r="AI4" s="1143"/>
      <c r="AJ4" s="1144"/>
      <c r="AK4" s="32">
        <v>1169000</v>
      </c>
      <c r="AL4" s="29" t="s">
        <v>73</v>
      </c>
      <c r="AM4" s="29" t="s">
        <v>73</v>
      </c>
      <c r="AN4" s="29" t="s">
        <v>73</v>
      </c>
      <c r="AO4" s="29" t="s">
        <v>73</v>
      </c>
      <c r="AP4" s="29" t="s">
        <v>73</v>
      </c>
      <c r="AQ4" s="30">
        <v>1169000</v>
      </c>
      <c r="AR4" s="29" t="s">
        <v>73</v>
      </c>
      <c r="AS4" s="29" t="s">
        <v>73</v>
      </c>
      <c r="AT4" s="29" t="s">
        <v>73</v>
      </c>
      <c r="AU4" s="29" t="s">
        <v>73</v>
      </c>
      <c r="AV4" s="29" t="s">
        <v>73</v>
      </c>
      <c r="AW4" s="29" t="s">
        <v>73</v>
      </c>
      <c r="AX4" s="30">
        <v>1169000</v>
      </c>
      <c r="AY4" s="30" t="s">
        <v>7</v>
      </c>
      <c r="AZ4" s="2" t="s">
        <v>74</v>
      </c>
      <c r="BA4" s="2"/>
      <c r="BB4" s="31" t="s">
        <v>78</v>
      </c>
      <c r="BC4" t="s">
        <v>75</v>
      </c>
    </row>
    <row r="5" spans="1:55" ht="51" x14ac:dyDescent="0.25">
      <c r="A5" s="19">
        <v>2026</v>
      </c>
      <c r="B5" s="20">
        <v>479</v>
      </c>
      <c r="C5" s="21" t="s">
        <v>64</v>
      </c>
      <c r="D5" s="21" t="s">
        <v>65</v>
      </c>
      <c r="E5" s="20">
        <v>125</v>
      </c>
      <c r="F5" s="20">
        <v>3000654</v>
      </c>
      <c r="G5" s="20">
        <v>5005023</v>
      </c>
      <c r="H5" s="20">
        <v>3</v>
      </c>
      <c r="I5" s="20">
        <v>12</v>
      </c>
      <c r="J5" s="20">
        <v>24</v>
      </c>
      <c r="K5" s="20">
        <v>135560</v>
      </c>
      <c r="L5" s="21" t="s">
        <v>66</v>
      </c>
      <c r="M5" s="22" t="s">
        <v>67</v>
      </c>
      <c r="N5" s="19">
        <v>95</v>
      </c>
      <c r="O5" s="2"/>
      <c r="P5" s="2" t="s">
        <v>4</v>
      </c>
      <c r="Q5" s="20" t="s">
        <v>68</v>
      </c>
      <c r="R5" s="25" t="s">
        <v>69</v>
      </c>
      <c r="S5" s="25" t="s">
        <v>70</v>
      </c>
      <c r="T5" s="25"/>
      <c r="U5" s="31" t="s">
        <v>79</v>
      </c>
      <c r="V5" s="25" t="s">
        <v>72</v>
      </c>
      <c r="W5" s="25"/>
      <c r="X5" s="27">
        <v>2500000</v>
      </c>
      <c r="Y5" s="1142"/>
      <c r="Z5" s="1143"/>
      <c r="AA5" s="1143"/>
      <c r="AB5" s="1144"/>
      <c r="AC5" s="25"/>
      <c r="AD5" s="25">
        <v>1</v>
      </c>
      <c r="AE5" s="25"/>
      <c r="AF5" s="1142"/>
      <c r="AG5" s="1143"/>
      <c r="AH5" s="1143"/>
      <c r="AI5" s="1143"/>
      <c r="AJ5" s="1144"/>
      <c r="AK5" s="32">
        <v>2500000</v>
      </c>
      <c r="AL5" s="29" t="s">
        <v>73</v>
      </c>
      <c r="AM5" s="29" t="s">
        <v>73</v>
      </c>
      <c r="AN5" s="29" t="s">
        <v>73</v>
      </c>
      <c r="AO5" s="29" t="s">
        <v>73</v>
      </c>
      <c r="AP5" s="29" t="s">
        <v>73</v>
      </c>
      <c r="AQ5" s="30">
        <v>2500000</v>
      </c>
      <c r="AR5" s="29" t="s">
        <v>73</v>
      </c>
      <c r="AS5" s="29" t="s">
        <v>73</v>
      </c>
      <c r="AT5" s="29" t="s">
        <v>73</v>
      </c>
      <c r="AU5" s="29" t="s">
        <v>73</v>
      </c>
      <c r="AV5" s="29" t="s">
        <v>73</v>
      </c>
      <c r="AW5" s="29" t="s">
        <v>73</v>
      </c>
      <c r="AX5" s="30">
        <v>2500000</v>
      </c>
      <c r="AY5" s="30" t="s">
        <v>7</v>
      </c>
      <c r="AZ5" s="2" t="s">
        <v>74</v>
      </c>
      <c r="BA5" s="2"/>
      <c r="BB5" s="31" t="s">
        <v>79</v>
      </c>
      <c r="BC5" t="s">
        <v>75</v>
      </c>
    </row>
    <row r="6" spans="1:55" ht="51" x14ac:dyDescent="0.25">
      <c r="A6" s="19">
        <v>2026</v>
      </c>
      <c r="B6" s="20">
        <v>479</v>
      </c>
      <c r="C6" s="21" t="s">
        <v>64</v>
      </c>
      <c r="D6" s="21" t="s">
        <v>65</v>
      </c>
      <c r="E6" s="20">
        <v>125</v>
      </c>
      <c r="F6" s="20">
        <v>3000654</v>
      </c>
      <c r="G6" s="20">
        <v>5005023</v>
      </c>
      <c r="H6" s="20">
        <v>3</v>
      </c>
      <c r="I6" s="20">
        <v>12</v>
      </c>
      <c r="J6" s="20">
        <v>24</v>
      </c>
      <c r="K6" s="20">
        <v>135560</v>
      </c>
      <c r="L6" s="21" t="s">
        <v>66</v>
      </c>
      <c r="M6" s="22" t="s">
        <v>67</v>
      </c>
      <c r="N6" s="19">
        <v>95</v>
      </c>
      <c r="O6" s="2"/>
      <c r="P6" s="2" t="s">
        <v>4</v>
      </c>
      <c r="Q6" s="20" t="s">
        <v>68</v>
      </c>
      <c r="R6" s="25" t="s">
        <v>69</v>
      </c>
      <c r="S6" s="25" t="s">
        <v>80</v>
      </c>
      <c r="T6" s="25"/>
      <c r="U6" s="31" t="s">
        <v>81</v>
      </c>
      <c r="V6" s="25" t="s">
        <v>72</v>
      </c>
      <c r="W6" s="25"/>
      <c r="X6" s="27">
        <v>40000</v>
      </c>
      <c r="Y6" s="1142"/>
      <c r="Z6" s="1143"/>
      <c r="AA6" s="1143"/>
      <c r="AB6" s="1144"/>
      <c r="AC6" s="25"/>
      <c r="AD6" s="25">
        <v>1</v>
      </c>
      <c r="AE6" s="25"/>
      <c r="AF6" s="1142"/>
      <c r="AG6" s="1143"/>
      <c r="AH6" s="1143"/>
      <c r="AI6" s="1143"/>
      <c r="AJ6" s="1144"/>
      <c r="AK6" s="32">
        <v>40000</v>
      </c>
      <c r="AL6" s="29" t="s">
        <v>73</v>
      </c>
      <c r="AM6" s="29" t="s">
        <v>73</v>
      </c>
      <c r="AN6" s="29" t="s">
        <v>73</v>
      </c>
      <c r="AO6" s="29" t="s">
        <v>73</v>
      </c>
      <c r="AP6" s="29" t="s">
        <v>73</v>
      </c>
      <c r="AQ6" s="30">
        <v>40000</v>
      </c>
      <c r="AR6" s="29" t="s">
        <v>73</v>
      </c>
      <c r="AS6" s="29" t="s">
        <v>73</v>
      </c>
      <c r="AT6" s="29" t="s">
        <v>73</v>
      </c>
      <c r="AU6" s="29" t="s">
        <v>73</v>
      </c>
      <c r="AV6" s="29" t="s">
        <v>73</v>
      </c>
      <c r="AW6" s="29" t="s">
        <v>73</v>
      </c>
      <c r="AX6" s="30">
        <v>40000</v>
      </c>
      <c r="AY6" s="30" t="s">
        <v>7</v>
      </c>
      <c r="AZ6" s="2" t="s">
        <v>74</v>
      </c>
      <c r="BA6" s="2"/>
      <c r="BB6" s="31" t="s">
        <v>81</v>
      </c>
      <c r="BC6" t="s">
        <v>75</v>
      </c>
    </row>
    <row r="7" spans="1:55" ht="76.5" x14ac:dyDescent="0.25">
      <c r="A7" s="19">
        <v>2026</v>
      </c>
      <c r="B7" s="20">
        <v>479</v>
      </c>
      <c r="C7" s="21" t="s">
        <v>64</v>
      </c>
      <c r="D7" s="21" t="s">
        <v>65</v>
      </c>
      <c r="E7" s="20">
        <v>125</v>
      </c>
      <c r="F7" s="20">
        <v>3000654</v>
      </c>
      <c r="G7" s="20">
        <v>5005023</v>
      </c>
      <c r="H7" s="20">
        <v>3</v>
      </c>
      <c r="I7" s="20">
        <v>12</v>
      </c>
      <c r="J7" s="20">
        <v>24</v>
      </c>
      <c r="K7" s="20">
        <v>135560</v>
      </c>
      <c r="L7" s="21" t="s">
        <v>82</v>
      </c>
      <c r="M7" s="33" t="s">
        <v>83</v>
      </c>
      <c r="N7" s="19">
        <v>96</v>
      </c>
      <c r="O7" s="2"/>
      <c r="P7" s="2" t="s">
        <v>4</v>
      </c>
      <c r="Q7" s="20" t="s">
        <v>68</v>
      </c>
      <c r="R7" s="25" t="s">
        <v>69</v>
      </c>
      <c r="S7" s="25" t="s">
        <v>80</v>
      </c>
      <c r="T7" s="25"/>
      <c r="U7" s="31" t="s">
        <v>84</v>
      </c>
      <c r="V7" s="25" t="s">
        <v>72</v>
      </c>
      <c r="W7" s="25"/>
      <c r="X7" s="27">
        <v>45000</v>
      </c>
      <c r="Y7" s="1142"/>
      <c r="Z7" s="1143"/>
      <c r="AA7" s="1143"/>
      <c r="AB7" s="1144"/>
      <c r="AC7" s="25"/>
      <c r="AD7" s="25">
        <v>1</v>
      </c>
      <c r="AE7" s="25"/>
      <c r="AF7" s="1142"/>
      <c r="AG7" s="1143"/>
      <c r="AH7" s="1143"/>
      <c r="AI7" s="1143"/>
      <c r="AJ7" s="1144"/>
      <c r="AK7" s="32">
        <v>45000</v>
      </c>
      <c r="AL7" s="29" t="s">
        <v>73</v>
      </c>
      <c r="AM7" s="29" t="s">
        <v>73</v>
      </c>
      <c r="AN7" s="29" t="s">
        <v>73</v>
      </c>
      <c r="AO7" s="29" t="s">
        <v>73</v>
      </c>
      <c r="AP7" s="29" t="s">
        <v>73</v>
      </c>
      <c r="AQ7" s="30">
        <v>45000</v>
      </c>
      <c r="AR7" s="29" t="s">
        <v>73</v>
      </c>
      <c r="AS7" s="29" t="s">
        <v>73</v>
      </c>
      <c r="AT7" s="29" t="s">
        <v>73</v>
      </c>
      <c r="AU7" s="29" t="s">
        <v>73</v>
      </c>
      <c r="AV7" s="29" t="s">
        <v>73</v>
      </c>
      <c r="AW7" s="29" t="s">
        <v>73</v>
      </c>
      <c r="AX7" s="30">
        <v>45000</v>
      </c>
      <c r="AY7" s="34" t="s">
        <v>7</v>
      </c>
      <c r="AZ7" s="2" t="s">
        <v>74</v>
      </c>
      <c r="BA7" s="2"/>
      <c r="BB7" s="31" t="s">
        <v>84</v>
      </c>
      <c r="BC7" t="s">
        <v>75</v>
      </c>
    </row>
    <row r="8" spans="1:55" ht="51" x14ac:dyDescent="0.25">
      <c r="A8" s="19">
        <v>2026</v>
      </c>
      <c r="B8" s="20">
        <v>479</v>
      </c>
      <c r="C8" s="21" t="s">
        <v>64</v>
      </c>
      <c r="D8" s="21" t="s">
        <v>65</v>
      </c>
      <c r="E8" s="20">
        <v>125</v>
      </c>
      <c r="F8" s="20">
        <v>3000654</v>
      </c>
      <c r="G8" s="20">
        <v>5005023</v>
      </c>
      <c r="H8" s="20">
        <v>3</v>
      </c>
      <c r="I8" s="20">
        <v>12</v>
      </c>
      <c r="J8" s="20">
        <v>24</v>
      </c>
      <c r="K8" s="20">
        <v>135560</v>
      </c>
      <c r="L8" s="21" t="s">
        <v>66</v>
      </c>
      <c r="M8" s="22" t="s">
        <v>67</v>
      </c>
      <c r="N8" s="19">
        <v>95</v>
      </c>
      <c r="O8" s="2"/>
      <c r="P8" s="2" t="s">
        <v>4</v>
      </c>
      <c r="Q8" s="20" t="s">
        <v>68</v>
      </c>
      <c r="R8" s="25" t="s">
        <v>69</v>
      </c>
      <c r="S8" s="25" t="s">
        <v>85</v>
      </c>
      <c r="T8" s="25">
        <v>942500010040</v>
      </c>
      <c r="U8" s="31" t="s">
        <v>86</v>
      </c>
      <c r="V8" s="25" t="s">
        <v>72</v>
      </c>
      <c r="W8" s="25"/>
      <c r="X8" s="27">
        <v>70000</v>
      </c>
      <c r="Y8" s="1142"/>
      <c r="Z8" s="1143"/>
      <c r="AA8" s="1143"/>
      <c r="AB8" s="1144"/>
      <c r="AC8" s="25"/>
      <c r="AD8" s="25">
        <v>1</v>
      </c>
      <c r="AE8" s="25"/>
      <c r="AF8" s="1142"/>
      <c r="AG8" s="1143"/>
      <c r="AH8" s="1143"/>
      <c r="AI8" s="1143"/>
      <c r="AJ8" s="1144"/>
      <c r="AK8" s="32">
        <v>70000</v>
      </c>
      <c r="AL8" s="29" t="s">
        <v>73</v>
      </c>
      <c r="AM8" s="29" t="s">
        <v>73</v>
      </c>
      <c r="AN8" s="29" t="s">
        <v>73</v>
      </c>
      <c r="AO8" s="29" t="s">
        <v>73</v>
      </c>
      <c r="AP8" s="29" t="s">
        <v>73</v>
      </c>
      <c r="AQ8" s="30">
        <v>70000</v>
      </c>
      <c r="AR8" s="29" t="s">
        <v>73</v>
      </c>
      <c r="AS8" s="29" t="s">
        <v>73</v>
      </c>
      <c r="AT8" s="29" t="s">
        <v>73</v>
      </c>
      <c r="AU8" s="29" t="s">
        <v>73</v>
      </c>
      <c r="AV8" s="29" t="s">
        <v>73</v>
      </c>
      <c r="AW8" s="29" t="s">
        <v>73</v>
      </c>
      <c r="AX8" s="30">
        <v>70000</v>
      </c>
      <c r="AY8" s="30" t="s">
        <v>7</v>
      </c>
      <c r="AZ8" s="2" t="s">
        <v>74</v>
      </c>
      <c r="BA8" s="2"/>
      <c r="BB8" s="31" t="s">
        <v>87</v>
      </c>
      <c r="BC8" t="s">
        <v>75</v>
      </c>
    </row>
    <row r="9" spans="1:55" ht="51" x14ac:dyDescent="0.25">
      <c r="A9" s="19">
        <v>2026</v>
      </c>
      <c r="B9" s="20">
        <v>479</v>
      </c>
      <c r="C9" s="21" t="s">
        <v>64</v>
      </c>
      <c r="D9" s="21" t="s">
        <v>65</v>
      </c>
      <c r="E9" s="20">
        <v>125</v>
      </c>
      <c r="F9" s="20">
        <v>3000654</v>
      </c>
      <c r="G9" s="20">
        <v>5005023</v>
      </c>
      <c r="H9" s="20">
        <v>3</v>
      </c>
      <c r="I9" s="20">
        <v>12</v>
      </c>
      <c r="J9" s="20">
        <v>24</v>
      </c>
      <c r="K9" s="20">
        <v>135560</v>
      </c>
      <c r="L9" s="21" t="s">
        <v>66</v>
      </c>
      <c r="M9" s="22" t="s">
        <v>67</v>
      </c>
      <c r="N9" s="19">
        <v>95</v>
      </c>
      <c r="O9" s="2"/>
      <c r="P9" s="2" t="s">
        <v>4</v>
      </c>
      <c r="Q9" s="20" t="s">
        <v>68</v>
      </c>
      <c r="R9" s="25" t="s">
        <v>69</v>
      </c>
      <c r="S9" s="25" t="s">
        <v>80</v>
      </c>
      <c r="T9" s="25"/>
      <c r="U9" s="31" t="s">
        <v>88</v>
      </c>
      <c r="V9" s="25" t="s">
        <v>72</v>
      </c>
      <c r="W9" s="25"/>
      <c r="X9" s="27">
        <v>420000</v>
      </c>
      <c r="Y9" s="1142"/>
      <c r="Z9" s="1143"/>
      <c r="AA9" s="1143"/>
      <c r="AB9" s="1144"/>
      <c r="AC9" s="25"/>
      <c r="AD9" s="25">
        <v>1</v>
      </c>
      <c r="AE9" s="25"/>
      <c r="AF9" s="1142"/>
      <c r="AG9" s="1143"/>
      <c r="AH9" s="1143"/>
      <c r="AI9" s="1143"/>
      <c r="AJ9" s="1144"/>
      <c r="AK9" s="32">
        <v>420000</v>
      </c>
      <c r="AL9" s="29" t="s">
        <v>73</v>
      </c>
      <c r="AM9" s="29" t="s">
        <v>73</v>
      </c>
      <c r="AN9" s="29" t="s">
        <v>73</v>
      </c>
      <c r="AO9" s="29" t="s">
        <v>73</v>
      </c>
      <c r="AP9" s="29" t="s">
        <v>73</v>
      </c>
      <c r="AQ9" s="30">
        <v>420000</v>
      </c>
      <c r="AR9" s="29" t="s">
        <v>73</v>
      </c>
      <c r="AS9" s="29" t="s">
        <v>73</v>
      </c>
      <c r="AT9" s="29" t="s">
        <v>73</v>
      </c>
      <c r="AU9" s="29" t="s">
        <v>73</v>
      </c>
      <c r="AV9" s="29" t="s">
        <v>73</v>
      </c>
      <c r="AW9" s="29" t="s">
        <v>73</v>
      </c>
      <c r="AX9" s="30">
        <v>420000</v>
      </c>
      <c r="AY9" s="30" t="s">
        <v>7</v>
      </c>
      <c r="AZ9" s="2" t="s">
        <v>74</v>
      </c>
      <c r="BA9" s="2"/>
      <c r="BB9" s="31" t="s">
        <v>88</v>
      </c>
      <c r="BC9" t="s">
        <v>75</v>
      </c>
    </row>
    <row r="10" spans="1:55" ht="51" x14ac:dyDescent="0.25">
      <c r="A10" s="19">
        <v>2026</v>
      </c>
      <c r="B10" s="20">
        <v>479</v>
      </c>
      <c r="C10" s="21" t="s">
        <v>64</v>
      </c>
      <c r="D10" s="21" t="s">
        <v>65</v>
      </c>
      <c r="E10" s="20">
        <v>125</v>
      </c>
      <c r="F10" s="20">
        <v>3000654</v>
      </c>
      <c r="G10" s="20">
        <v>5005023</v>
      </c>
      <c r="H10" s="20">
        <v>3</v>
      </c>
      <c r="I10" s="20">
        <v>12</v>
      </c>
      <c r="J10" s="20">
        <v>24</v>
      </c>
      <c r="K10" s="20">
        <v>135560</v>
      </c>
      <c r="L10" s="21" t="s">
        <v>66</v>
      </c>
      <c r="M10" s="22" t="s">
        <v>67</v>
      </c>
      <c r="N10" s="19">
        <v>95</v>
      </c>
      <c r="O10" s="2"/>
      <c r="P10" s="2" t="s">
        <v>4</v>
      </c>
      <c r="Q10" s="20" t="s">
        <v>68</v>
      </c>
      <c r="R10" s="25" t="s">
        <v>69</v>
      </c>
      <c r="S10" s="25" t="s">
        <v>89</v>
      </c>
      <c r="T10" s="25">
        <v>940100030022</v>
      </c>
      <c r="U10" s="31" t="s">
        <v>90</v>
      </c>
      <c r="V10" s="25" t="s">
        <v>72</v>
      </c>
      <c r="W10" s="25"/>
      <c r="X10" s="27">
        <v>40000</v>
      </c>
      <c r="Y10" s="1142"/>
      <c r="Z10" s="1143"/>
      <c r="AA10" s="1143"/>
      <c r="AB10" s="1144"/>
      <c r="AC10" s="25"/>
      <c r="AD10" s="25">
        <v>1</v>
      </c>
      <c r="AE10" s="25">
        <v>1</v>
      </c>
      <c r="AF10" s="1142"/>
      <c r="AG10" s="1143"/>
      <c r="AH10" s="1143"/>
      <c r="AI10" s="1143"/>
      <c r="AJ10" s="1145"/>
      <c r="AK10" s="35">
        <v>80000</v>
      </c>
      <c r="AL10" s="29" t="s">
        <v>73</v>
      </c>
      <c r="AM10" s="29" t="s">
        <v>73</v>
      </c>
      <c r="AN10" s="29" t="s">
        <v>73</v>
      </c>
      <c r="AO10" s="29" t="s">
        <v>73</v>
      </c>
      <c r="AP10" s="29" t="s">
        <v>73</v>
      </c>
      <c r="AQ10" s="30">
        <v>40000</v>
      </c>
      <c r="AR10" s="30">
        <v>40000</v>
      </c>
      <c r="AS10" s="29" t="s">
        <v>73</v>
      </c>
      <c r="AT10" s="29" t="s">
        <v>73</v>
      </c>
      <c r="AU10" s="29" t="s">
        <v>73</v>
      </c>
      <c r="AV10" s="29" t="s">
        <v>73</v>
      </c>
      <c r="AW10" s="29" t="s">
        <v>73</v>
      </c>
      <c r="AX10" s="30">
        <v>80000</v>
      </c>
      <c r="AY10" s="30" t="s">
        <v>7</v>
      </c>
      <c r="AZ10" s="2" t="s">
        <v>74</v>
      </c>
      <c r="BA10" s="2"/>
      <c r="BB10" s="31" t="s">
        <v>90</v>
      </c>
      <c r="BC10" t="s">
        <v>75</v>
      </c>
    </row>
    <row r="11" spans="1:55" ht="51" x14ac:dyDescent="0.25">
      <c r="A11" s="19">
        <v>2026</v>
      </c>
      <c r="B11" s="20">
        <v>479</v>
      </c>
      <c r="C11" s="21" t="s">
        <v>64</v>
      </c>
      <c r="D11" s="21" t="s">
        <v>65</v>
      </c>
      <c r="E11" s="20">
        <v>125</v>
      </c>
      <c r="F11" s="20">
        <v>3000654</v>
      </c>
      <c r="G11" s="20">
        <v>5005023</v>
      </c>
      <c r="H11" s="20">
        <v>3</v>
      </c>
      <c r="I11" s="20">
        <v>12</v>
      </c>
      <c r="J11" s="20">
        <v>24</v>
      </c>
      <c r="K11" s="20">
        <v>135560</v>
      </c>
      <c r="L11" s="21" t="s">
        <v>66</v>
      </c>
      <c r="M11" s="22" t="s">
        <v>67</v>
      </c>
      <c r="N11" s="19">
        <v>95</v>
      </c>
      <c r="O11" s="2"/>
      <c r="P11" s="2" t="s">
        <v>4</v>
      </c>
      <c r="Q11" s="20" t="s">
        <v>68</v>
      </c>
      <c r="R11" s="25" t="s">
        <v>69</v>
      </c>
      <c r="S11" s="25" t="s">
        <v>89</v>
      </c>
      <c r="T11" s="25">
        <v>940100030047</v>
      </c>
      <c r="U11" s="31" t="s">
        <v>91</v>
      </c>
      <c r="V11" s="25" t="s">
        <v>72</v>
      </c>
      <c r="W11" s="25"/>
      <c r="X11" s="27">
        <v>25000</v>
      </c>
      <c r="Y11" s="1142"/>
      <c r="Z11" s="1143"/>
      <c r="AA11" s="1143"/>
      <c r="AB11" s="1144"/>
      <c r="AC11" s="25"/>
      <c r="AD11" s="25">
        <v>1</v>
      </c>
      <c r="AE11" s="25"/>
      <c r="AF11" s="1142"/>
      <c r="AG11" s="1143"/>
      <c r="AH11" s="1143"/>
      <c r="AI11" s="1143"/>
      <c r="AJ11" s="1145"/>
      <c r="AK11" s="35">
        <v>25000</v>
      </c>
      <c r="AL11" s="29" t="s">
        <v>73</v>
      </c>
      <c r="AM11" s="29" t="s">
        <v>73</v>
      </c>
      <c r="AN11" s="29" t="s">
        <v>73</v>
      </c>
      <c r="AO11" s="29" t="s">
        <v>73</v>
      </c>
      <c r="AP11" s="29" t="s">
        <v>73</v>
      </c>
      <c r="AQ11" s="30">
        <v>25000</v>
      </c>
      <c r="AR11" s="29" t="s">
        <v>73</v>
      </c>
      <c r="AS11" s="29" t="s">
        <v>73</v>
      </c>
      <c r="AT11" s="29" t="s">
        <v>73</v>
      </c>
      <c r="AU11" s="29" t="s">
        <v>73</v>
      </c>
      <c r="AV11" s="29" t="s">
        <v>73</v>
      </c>
      <c r="AW11" s="29" t="s">
        <v>73</v>
      </c>
      <c r="AX11" s="30">
        <v>25000</v>
      </c>
      <c r="AY11" s="30" t="s">
        <v>7</v>
      </c>
      <c r="AZ11" s="2" t="s">
        <v>74</v>
      </c>
      <c r="BA11" s="2"/>
      <c r="BB11" s="31" t="s">
        <v>91</v>
      </c>
      <c r="BC11" t="s">
        <v>75</v>
      </c>
    </row>
    <row r="12" spans="1:55" ht="51" x14ac:dyDescent="0.25">
      <c r="A12" s="19">
        <v>2026</v>
      </c>
      <c r="B12" s="20">
        <v>479</v>
      </c>
      <c r="C12" s="21" t="s">
        <v>64</v>
      </c>
      <c r="D12" s="21" t="s">
        <v>65</v>
      </c>
      <c r="E12" s="20">
        <v>125</v>
      </c>
      <c r="F12" s="20">
        <v>3000654</v>
      </c>
      <c r="G12" s="20">
        <v>5005023</v>
      </c>
      <c r="H12" s="20">
        <v>3</v>
      </c>
      <c r="I12" s="20">
        <v>12</v>
      </c>
      <c r="J12" s="20">
        <v>24</v>
      </c>
      <c r="K12" s="20">
        <v>135560</v>
      </c>
      <c r="L12" s="21" t="s">
        <v>66</v>
      </c>
      <c r="M12" s="22" t="s">
        <v>67</v>
      </c>
      <c r="N12" s="19">
        <v>95</v>
      </c>
      <c r="O12" s="2"/>
      <c r="P12" s="2" t="s">
        <v>4</v>
      </c>
      <c r="Q12" s="20" t="s">
        <v>68</v>
      </c>
      <c r="R12" s="25" t="s">
        <v>69</v>
      </c>
      <c r="S12" s="25" t="s">
        <v>92</v>
      </c>
      <c r="T12" s="25"/>
      <c r="U12" s="31" t="s">
        <v>93</v>
      </c>
      <c r="V12" s="25" t="s">
        <v>72</v>
      </c>
      <c r="W12" s="25"/>
      <c r="X12" s="27">
        <v>25000</v>
      </c>
      <c r="Y12" s="1142"/>
      <c r="Z12" s="1143"/>
      <c r="AA12" s="1143"/>
      <c r="AB12" s="1144"/>
      <c r="AC12" s="25"/>
      <c r="AD12" s="25">
        <v>1</v>
      </c>
      <c r="AE12" s="25"/>
      <c r="AF12" s="1142"/>
      <c r="AG12" s="1143"/>
      <c r="AH12" s="1143"/>
      <c r="AI12" s="1143"/>
      <c r="AJ12" s="1145"/>
      <c r="AK12" s="35">
        <v>25000</v>
      </c>
      <c r="AL12" s="29" t="s">
        <v>73</v>
      </c>
      <c r="AM12" s="29" t="s">
        <v>73</v>
      </c>
      <c r="AN12" s="29" t="s">
        <v>73</v>
      </c>
      <c r="AO12" s="29" t="s">
        <v>73</v>
      </c>
      <c r="AP12" s="29" t="s">
        <v>73</v>
      </c>
      <c r="AQ12" s="30">
        <v>25000</v>
      </c>
      <c r="AR12" s="29" t="s">
        <v>73</v>
      </c>
      <c r="AS12" s="29" t="s">
        <v>73</v>
      </c>
      <c r="AT12" s="29" t="s">
        <v>73</v>
      </c>
      <c r="AU12" s="29" t="s">
        <v>73</v>
      </c>
      <c r="AV12" s="29" t="s">
        <v>73</v>
      </c>
      <c r="AW12" s="29" t="s">
        <v>73</v>
      </c>
      <c r="AX12" s="30">
        <v>25000</v>
      </c>
      <c r="AY12" s="30" t="s">
        <v>7</v>
      </c>
      <c r="AZ12" s="2" t="s">
        <v>74</v>
      </c>
      <c r="BA12" s="2"/>
      <c r="BB12" t="s">
        <v>94</v>
      </c>
      <c r="BC12" t="s">
        <v>75</v>
      </c>
    </row>
    <row r="13" spans="1:55" ht="51" x14ac:dyDescent="0.25">
      <c r="A13" s="19">
        <v>2026</v>
      </c>
      <c r="B13" s="20">
        <v>479</v>
      </c>
      <c r="C13" s="21" t="s">
        <v>64</v>
      </c>
      <c r="D13" s="21" t="s">
        <v>65</v>
      </c>
      <c r="E13" s="20">
        <v>125</v>
      </c>
      <c r="F13" s="20">
        <v>3000654</v>
      </c>
      <c r="G13" s="20">
        <v>5005023</v>
      </c>
      <c r="H13" s="20">
        <v>3</v>
      </c>
      <c r="I13" s="20">
        <v>12</v>
      </c>
      <c r="J13" s="20">
        <v>24</v>
      </c>
      <c r="K13" s="20">
        <v>135560</v>
      </c>
      <c r="L13" s="21" t="s">
        <v>66</v>
      </c>
      <c r="M13" s="22" t="s">
        <v>67</v>
      </c>
      <c r="N13" s="19">
        <v>95</v>
      </c>
      <c r="O13" s="2"/>
      <c r="P13" s="2" t="s">
        <v>4</v>
      </c>
      <c r="Q13" s="20" t="s">
        <v>68</v>
      </c>
      <c r="R13" s="25" t="s">
        <v>69</v>
      </c>
      <c r="S13" s="25" t="s">
        <v>95</v>
      </c>
      <c r="T13" s="25"/>
      <c r="U13" s="31" t="s">
        <v>96</v>
      </c>
      <c r="V13" s="25" t="s">
        <v>72</v>
      </c>
      <c r="W13" s="25"/>
      <c r="X13" s="27">
        <v>30000</v>
      </c>
      <c r="Y13" s="1142"/>
      <c r="Z13" s="1143"/>
      <c r="AA13" s="1143"/>
      <c r="AB13" s="1144"/>
      <c r="AC13" s="25"/>
      <c r="AD13" s="25">
        <v>1</v>
      </c>
      <c r="AE13" s="25"/>
      <c r="AF13" s="1142"/>
      <c r="AG13" s="1143"/>
      <c r="AH13" s="1143"/>
      <c r="AI13" s="1143"/>
      <c r="AJ13" s="1145"/>
      <c r="AK13" s="35">
        <v>30000</v>
      </c>
      <c r="AL13" s="29" t="s">
        <v>73</v>
      </c>
      <c r="AM13" s="29" t="s">
        <v>73</v>
      </c>
      <c r="AN13" s="29" t="s">
        <v>73</v>
      </c>
      <c r="AO13" s="29" t="s">
        <v>73</v>
      </c>
      <c r="AP13" s="29" t="s">
        <v>73</v>
      </c>
      <c r="AQ13" s="30">
        <v>30000</v>
      </c>
      <c r="AR13" s="29" t="s">
        <v>73</v>
      </c>
      <c r="AS13" s="29" t="s">
        <v>73</v>
      </c>
      <c r="AT13" s="29" t="s">
        <v>73</v>
      </c>
      <c r="AU13" s="29" t="s">
        <v>73</v>
      </c>
      <c r="AV13" s="29" t="s">
        <v>73</v>
      </c>
      <c r="AW13" s="29" t="s">
        <v>73</v>
      </c>
      <c r="AX13" s="30">
        <v>30000</v>
      </c>
      <c r="AY13" s="30" t="s">
        <v>7</v>
      </c>
      <c r="AZ13" s="2" t="s">
        <v>74</v>
      </c>
      <c r="BA13" s="2"/>
      <c r="BB13" s="31" t="s">
        <v>96</v>
      </c>
      <c r="BC13" t="s">
        <v>75</v>
      </c>
    </row>
    <row r="14" spans="1:55" ht="51" x14ac:dyDescent="0.25">
      <c r="A14" s="19">
        <v>2026</v>
      </c>
      <c r="B14" s="20">
        <v>479</v>
      </c>
      <c r="C14" s="21" t="s">
        <v>64</v>
      </c>
      <c r="D14" s="21" t="s">
        <v>65</v>
      </c>
      <c r="E14" s="20">
        <v>125</v>
      </c>
      <c r="F14" s="20">
        <v>3000654</v>
      </c>
      <c r="G14" s="20">
        <v>5005023</v>
      </c>
      <c r="H14" s="20">
        <v>3</v>
      </c>
      <c r="I14" s="20">
        <v>12</v>
      </c>
      <c r="J14" s="20">
        <v>24</v>
      </c>
      <c r="K14" s="20">
        <v>135560</v>
      </c>
      <c r="L14" s="21" t="s">
        <v>66</v>
      </c>
      <c r="M14" s="36" t="s">
        <v>67</v>
      </c>
      <c r="N14" s="19">
        <v>95</v>
      </c>
      <c r="O14" s="2"/>
      <c r="P14" s="2" t="s">
        <v>4</v>
      </c>
      <c r="Q14" s="20" t="s">
        <v>68</v>
      </c>
      <c r="R14" s="25" t="s">
        <v>69</v>
      </c>
      <c r="S14" s="37" t="s">
        <v>95</v>
      </c>
      <c r="T14" s="37"/>
      <c r="U14" s="38" t="s">
        <v>97</v>
      </c>
      <c r="V14" s="37" t="s">
        <v>72</v>
      </c>
      <c r="W14" s="37"/>
      <c r="X14" s="39">
        <v>12800</v>
      </c>
      <c r="Y14" s="1142"/>
      <c r="Z14" s="1143"/>
      <c r="AA14" s="1143"/>
      <c r="AB14" s="1144"/>
      <c r="AC14" s="37"/>
      <c r="AD14" s="37">
        <v>1</v>
      </c>
      <c r="AE14" s="37">
        <v>1</v>
      </c>
      <c r="AF14" s="1142"/>
      <c r="AG14" s="1143"/>
      <c r="AH14" s="1143"/>
      <c r="AI14" s="1143"/>
      <c r="AJ14" s="1145"/>
      <c r="AK14" s="35">
        <v>25600</v>
      </c>
      <c r="AL14" s="29" t="s">
        <v>73</v>
      </c>
      <c r="AM14" s="29" t="s">
        <v>73</v>
      </c>
      <c r="AN14" s="29" t="s">
        <v>73</v>
      </c>
      <c r="AO14" s="29" t="s">
        <v>73</v>
      </c>
      <c r="AP14" s="29" t="s">
        <v>73</v>
      </c>
      <c r="AQ14" s="30">
        <v>12800</v>
      </c>
      <c r="AR14" s="30">
        <v>12800</v>
      </c>
      <c r="AS14" s="29" t="s">
        <v>73</v>
      </c>
      <c r="AT14" s="29" t="s">
        <v>73</v>
      </c>
      <c r="AU14" s="29" t="s">
        <v>73</v>
      </c>
      <c r="AV14" s="29" t="s">
        <v>73</v>
      </c>
      <c r="AW14" s="29" t="s">
        <v>73</v>
      </c>
      <c r="AX14" s="30">
        <v>25600</v>
      </c>
      <c r="AY14" s="30" t="s">
        <v>7</v>
      </c>
      <c r="AZ14" s="2" t="s">
        <v>74</v>
      </c>
      <c r="BA14" s="2"/>
      <c r="BB14" s="38" t="s">
        <v>97</v>
      </c>
      <c r="BC14" t="s">
        <v>75</v>
      </c>
    </row>
    <row r="15" spans="1:55" ht="51" x14ac:dyDescent="0.25">
      <c r="A15" s="19">
        <v>2026</v>
      </c>
      <c r="B15" s="20">
        <v>479</v>
      </c>
      <c r="C15" s="21" t="s">
        <v>64</v>
      </c>
      <c r="D15" s="21" t="s">
        <v>65</v>
      </c>
      <c r="E15" s="20">
        <v>125</v>
      </c>
      <c r="F15" s="20">
        <v>3000654</v>
      </c>
      <c r="G15" s="20">
        <v>5005023</v>
      </c>
      <c r="H15" s="20">
        <v>3</v>
      </c>
      <c r="I15" s="20">
        <v>12</v>
      </c>
      <c r="J15" s="20">
        <v>24</v>
      </c>
      <c r="K15" s="20">
        <v>135560</v>
      </c>
      <c r="L15" s="21" t="s">
        <v>98</v>
      </c>
      <c r="M15" s="22" t="s">
        <v>99</v>
      </c>
      <c r="N15" s="19">
        <v>94</v>
      </c>
      <c r="O15" s="2"/>
      <c r="P15" s="2" t="s">
        <v>4</v>
      </c>
      <c r="Q15" s="20" t="s">
        <v>68</v>
      </c>
      <c r="R15" s="25" t="s">
        <v>69</v>
      </c>
      <c r="S15" s="25" t="s">
        <v>100</v>
      </c>
      <c r="T15" s="40">
        <v>940500010002</v>
      </c>
      <c r="U15" s="33" t="s">
        <v>101</v>
      </c>
      <c r="V15" s="25" t="s">
        <v>72</v>
      </c>
      <c r="W15" s="25"/>
      <c r="X15" s="27">
        <v>12000</v>
      </c>
      <c r="Y15" s="1142"/>
      <c r="Z15" s="1143"/>
      <c r="AA15" s="1143"/>
      <c r="AB15" s="1144"/>
      <c r="AC15" s="25"/>
      <c r="AD15" s="25">
        <v>1</v>
      </c>
      <c r="AE15" s="25">
        <v>1</v>
      </c>
      <c r="AF15" s="1142"/>
      <c r="AG15" s="1143"/>
      <c r="AH15" s="1143"/>
      <c r="AI15" s="1143"/>
      <c r="AJ15" s="1145"/>
      <c r="AK15" s="35">
        <v>24000</v>
      </c>
      <c r="AL15" s="29" t="s">
        <v>73</v>
      </c>
      <c r="AM15" s="29" t="s">
        <v>73</v>
      </c>
      <c r="AN15" s="29" t="s">
        <v>73</v>
      </c>
      <c r="AO15" s="29" t="s">
        <v>73</v>
      </c>
      <c r="AP15" s="29" t="s">
        <v>73</v>
      </c>
      <c r="AQ15" s="30">
        <v>12000</v>
      </c>
      <c r="AR15" s="30">
        <v>12000</v>
      </c>
      <c r="AS15" s="29" t="s">
        <v>73</v>
      </c>
      <c r="AT15" s="29" t="s">
        <v>73</v>
      </c>
      <c r="AU15" s="29" t="s">
        <v>73</v>
      </c>
      <c r="AV15" s="29" t="s">
        <v>73</v>
      </c>
      <c r="AW15" s="29" t="s">
        <v>73</v>
      </c>
      <c r="AX15" s="30">
        <v>24000</v>
      </c>
      <c r="AY15" s="34" t="s">
        <v>5</v>
      </c>
      <c r="AZ15" s="2" t="s">
        <v>74</v>
      </c>
      <c r="BA15" s="2"/>
      <c r="BB15" t="s">
        <v>102</v>
      </c>
      <c r="BC15" t="s">
        <v>75</v>
      </c>
    </row>
    <row r="16" spans="1:55" ht="51" x14ac:dyDescent="0.25">
      <c r="A16" s="19">
        <v>2026</v>
      </c>
      <c r="B16" s="20">
        <v>479</v>
      </c>
      <c r="C16" s="21" t="s">
        <v>64</v>
      </c>
      <c r="D16" s="21" t="s">
        <v>65</v>
      </c>
      <c r="E16" s="20">
        <v>125</v>
      </c>
      <c r="F16" s="20">
        <v>3000654</v>
      </c>
      <c r="G16" s="20">
        <v>5005023</v>
      </c>
      <c r="H16" s="20">
        <v>3</v>
      </c>
      <c r="I16" s="20">
        <v>12</v>
      </c>
      <c r="J16" s="20">
        <v>24</v>
      </c>
      <c r="K16" s="20">
        <v>135560</v>
      </c>
      <c r="L16" s="21" t="s">
        <v>98</v>
      </c>
      <c r="M16" s="22" t="s">
        <v>99</v>
      </c>
      <c r="N16" s="19">
        <v>94</v>
      </c>
      <c r="O16" s="2"/>
      <c r="P16" s="2" t="s">
        <v>4</v>
      </c>
      <c r="Q16" s="20" t="s">
        <v>68</v>
      </c>
      <c r="R16" s="25" t="s">
        <v>69</v>
      </c>
      <c r="S16" s="25" t="s">
        <v>100</v>
      </c>
      <c r="T16" s="40">
        <v>940500010002</v>
      </c>
      <c r="U16" s="31" t="s">
        <v>103</v>
      </c>
      <c r="V16" s="25" t="s">
        <v>72</v>
      </c>
      <c r="W16" s="25">
        <v>1</v>
      </c>
      <c r="X16" s="27">
        <v>12000</v>
      </c>
      <c r="Y16" s="1142"/>
      <c r="Z16" s="1143"/>
      <c r="AA16" s="1143"/>
      <c r="AB16" s="1144"/>
      <c r="AC16" s="25"/>
      <c r="AD16" s="25">
        <v>1</v>
      </c>
      <c r="AE16" s="25">
        <v>1</v>
      </c>
      <c r="AF16" s="1142"/>
      <c r="AG16" s="1143"/>
      <c r="AH16" s="1143"/>
      <c r="AI16" s="1143"/>
      <c r="AJ16" s="1145"/>
      <c r="AK16" s="35">
        <v>24000</v>
      </c>
      <c r="AL16" s="29" t="s">
        <v>73</v>
      </c>
      <c r="AM16" s="29" t="s">
        <v>73</v>
      </c>
      <c r="AN16" s="29" t="s">
        <v>73</v>
      </c>
      <c r="AO16" s="29" t="s">
        <v>73</v>
      </c>
      <c r="AP16" s="29" t="s">
        <v>73</v>
      </c>
      <c r="AQ16" s="30">
        <v>12000</v>
      </c>
      <c r="AR16" s="30">
        <v>12000</v>
      </c>
      <c r="AS16" s="29" t="s">
        <v>73</v>
      </c>
      <c r="AT16" s="29" t="s">
        <v>73</v>
      </c>
      <c r="AU16" s="29" t="s">
        <v>73</v>
      </c>
      <c r="AV16" s="29" t="s">
        <v>73</v>
      </c>
      <c r="AW16" s="29" t="s">
        <v>73</v>
      </c>
      <c r="AX16" s="30">
        <v>24000</v>
      </c>
      <c r="AY16" s="18" t="s">
        <v>6</v>
      </c>
      <c r="AZ16" s="2" t="s">
        <v>74</v>
      </c>
      <c r="BA16" s="2"/>
      <c r="BB16" t="s">
        <v>102</v>
      </c>
      <c r="BC16" t="s">
        <v>75</v>
      </c>
    </row>
    <row r="17" spans="1:55 16360:16382" ht="51" x14ac:dyDescent="0.25">
      <c r="A17" s="19">
        <v>2026</v>
      </c>
      <c r="B17" s="20">
        <v>479</v>
      </c>
      <c r="C17" s="21" t="s">
        <v>64</v>
      </c>
      <c r="D17" s="21" t="s">
        <v>65</v>
      </c>
      <c r="E17" s="20">
        <v>125</v>
      </c>
      <c r="F17" s="20">
        <v>3000654</v>
      </c>
      <c r="G17" s="20">
        <v>5005023</v>
      </c>
      <c r="H17" s="20">
        <v>3</v>
      </c>
      <c r="I17" s="20">
        <v>12</v>
      </c>
      <c r="J17" s="20">
        <v>24</v>
      </c>
      <c r="K17" s="20">
        <v>135560</v>
      </c>
      <c r="L17" s="21" t="s">
        <v>98</v>
      </c>
      <c r="M17" s="22" t="s">
        <v>99</v>
      </c>
      <c r="N17" s="19">
        <v>94</v>
      </c>
      <c r="O17" s="2"/>
      <c r="P17" s="2" t="s">
        <v>4</v>
      </c>
      <c r="Q17" s="20" t="s">
        <v>68</v>
      </c>
      <c r="R17" s="25" t="s">
        <v>69</v>
      </c>
      <c r="S17" s="25" t="s">
        <v>92</v>
      </c>
      <c r="T17" s="25"/>
      <c r="U17" s="31" t="s">
        <v>104</v>
      </c>
      <c r="V17" s="25" t="s">
        <v>72</v>
      </c>
      <c r="W17" s="25">
        <v>1</v>
      </c>
      <c r="X17" s="27">
        <v>10000</v>
      </c>
      <c r="Y17" s="1142"/>
      <c r="Z17" s="1143"/>
      <c r="AA17" s="1143"/>
      <c r="AB17" s="1144"/>
      <c r="AC17" s="25"/>
      <c r="AD17" s="25">
        <v>1</v>
      </c>
      <c r="AE17" s="25">
        <v>1</v>
      </c>
      <c r="AF17" s="1142"/>
      <c r="AG17" s="1143"/>
      <c r="AH17" s="1143"/>
      <c r="AI17" s="1143"/>
      <c r="AJ17" s="1145"/>
      <c r="AK17" s="35">
        <v>20000</v>
      </c>
      <c r="AL17" s="29" t="s">
        <v>73</v>
      </c>
      <c r="AM17" s="29" t="s">
        <v>73</v>
      </c>
      <c r="AN17" s="29" t="s">
        <v>73</v>
      </c>
      <c r="AO17" s="29" t="s">
        <v>73</v>
      </c>
      <c r="AP17" s="29" t="s">
        <v>73</v>
      </c>
      <c r="AQ17" s="30">
        <v>10000</v>
      </c>
      <c r="AR17" s="30">
        <v>10000</v>
      </c>
      <c r="AS17" s="29" t="s">
        <v>73</v>
      </c>
      <c r="AT17" s="29" t="s">
        <v>73</v>
      </c>
      <c r="AU17" s="29" t="s">
        <v>73</v>
      </c>
      <c r="AV17" s="29" t="s">
        <v>73</v>
      </c>
      <c r="AW17" s="29" t="s">
        <v>73</v>
      </c>
      <c r="AX17" s="30">
        <v>20000</v>
      </c>
      <c r="AY17" s="18" t="s">
        <v>6</v>
      </c>
      <c r="AZ17" s="2" t="s">
        <v>74</v>
      </c>
      <c r="BA17" s="2"/>
      <c r="BB17" t="s">
        <v>94</v>
      </c>
      <c r="BC17" t="s">
        <v>75</v>
      </c>
    </row>
    <row r="18" spans="1:55 16360:16382" ht="51" x14ac:dyDescent="0.25">
      <c r="A18" s="19">
        <v>2026</v>
      </c>
      <c r="B18" s="20">
        <v>479</v>
      </c>
      <c r="C18" s="21" t="s">
        <v>64</v>
      </c>
      <c r="D18" s="21" t="s">
        <v>65</v>
      </c>
      <c r="E18" s="20">
        <v>125</v>
      </c>
      <c r="F18" s="20">
        <v>3000654</v>
      </c>
      <c r="G18" s="20">
        <v>5005023</v>
      </c>
      <c r="H18" s="20">
        <v>3</v>
      </c>
      <c r="I18" s="20">
        <v>12</v>
      </c>
      <c r="J18" s="20">
        <v>24</v>
      </c>
      <c r="K18" s="20">
        <v>135560</v>
      </c>
      <c r="L18" s="21" t="s">
        <v>98</v>
      </c>
      <c r="M18" s="22" t="s">
        <v>99</v>
      </c>
      <c r="N18" s="19">
        <v>94</v>
      </c>
      <c r="O18" s="2"/>
      <c r="P18" s="2" t="s">
        <v>4</v>
      </c>
      <c r="Q18" s="20" t="s">
        <v>68</v>
      </c>
      <c r="R18" s="25" t="s">
        <v>69</v>
      </c>
      <c r="S18" s="25" t="s">
        <v>92</v>
      </c>
      <c r="T18" s="25"/>
      <c r="U18" s="31" t="s">
        <v>105</v>
      </c>
      <c r="V18" s="25" t="s">
        <v>72</v>
      </c>
      <c r="W18" s="25">
        <v>1</v>
      </c>
      <c r="X18" s="27">
        <v>10000</v>
      </c>
      <c r="Y18" s="1142"/>
      <c r="Z18" s="1143"/>
      <c r="AA18" s="1143"/>
      <c r="AB18" s="1144"/>
      <c r="AC18" s="25"/>
      <c r="AD18" s="25">
        <v>1</v>
      </c>
      <c r="AE18" s="25">
        <v>1</v>
      </c>
      <c r="AF18" s="1142"/>
      <c r="AG18" s="1143"/>
      <c r="AH18" s="1143"/>
      <c r="AI18" s="1143"/>
      <c r="AJ18" s="1145"/>
      <c r="AK18" s="35">
        <v>20000</v>
      </c>
      <c r="AL18" s="29" t="s">
        <v>73</v>
      </c>
      <c r="AM18" s="29" t="s">
        <v>73</v>
      </c>
      <c r="AN18" s="29" t="s">
        <v>73</v>
      </c>
      <c r="AO18" s="29" t="s">
        <v>73</v>
      </c>
      <c r="AP18" s="29" t="s">
        <v>73</v>
      </c>
      <c r="AQ18" s="30">
        <v>10000</v>
      </c>
      <c r="AR18" s="30">
        <v>10000</v>
      </c>
      <c r="AS18" s="29" t="s">
        <v>73</v>
      </c>
      <c r="AT18" s="29" t="s">
        <v>73</v>
      </c>
      <c r="AU18" s="29" t="s">
        <v>73</v>
      </c>
      <c r="AV18" s="29" t="s">
        <v>73</v>
      </c>
      <c r="AW18" s="29" t="s">
        <v>73</v>
      </c>
      <c r="AX18" s="30">
        <v>20000</v>
      </c>
      <c r="AY18" s="18" t="s">
        <v>6</v>
      </c>
      <c r="AZ18" s="2" t="s">
        <v>74</v>
      </c>
      <c r="BA18" s="2"/>
      <c r="BB18" t="s">
        <v>94</v>
      </c>
      <c r="BC18" t="s">
        <v>75</v>
      </c>
    </row>
    <row r="19" spans="1:55 16360:16382" ht="51" x14ac:dyDescent="0.25">
      <c r="A19" s="19">
        <v>2026</v>
      </c>
      <c r="B19" s="20">
        <v>479</v>
      </c>
      <c r="C19" s="21" t="s">
        <v>64</v>
      </c>
      <c r="D19" s="21" t="s">
        <v>65</v>
      </c>
      <c r="E19" s="20">
        <v>125</v>
      </c>
      <c r="F19" s="20">
        <v>3000654</v>
      </c>
      <c r="G19" s="20">
        <v>5005023</v>
      </c>
      <c r="H19" s="20">
        <v>3</v>
      </c>
      <c r="I19" s="20">
        <v>12</v>
      </c>
      <c r="J19" s="20">
        <v>24</v>
      </c>
      <c r="K19" s="20">
        <v>135560</v>
      </c>
      <c r="L19" s="21" t="s">
        <v>98</v>
      </c>
      <c r="M19" s="22" t="s">
        <v>99</v>
      </c>
      <c r="N19" s="19">
        <v>94</v>
      </c>
      <c r="O19" s="2"/>
      <c r="P19" s="2" t="s">
        <v>4</v>
      </c>
      <c r="Q19" s="20" t="s">
        <v>68</v>
      </c>
      <c r="R19" s="25" t="s">
        <v>69</v>
      </c>
      <c r="S19" s="41" t="s">
        <v>89</v>
      </c>
      <c r="T19" s="41"/>
      <c r="U19" s="31" t="s">
        <v>106</v>
      </c>
      <c r="V19" s="25" t="s">
        <v>72</v>
      </c>
      <c r="W19" s="25">
        <v>1</v>
      </c>
      <c r="X19" s="27">
        <v>12500</v>
      </c>
      <c r="Y19" s="1142"/>
      <c r="Z19" s="1143"/>
      <c r="AA19" s="1143"/>
      <c r="AB19" s="1144"/>
      <c r="AC19" s="25"/>
      <c r="AD19" s="25">
        <v>1</v>
      </c>
      <c r="AE19" s="25">
        <v>1</v>
      </c>
      <c r="AF19" s="1142"/>
      <c r="AG19" s="1143"/>
      <c r="AH19" s="1143"/>
      <c r="AI19" s="1143"/>
      <c r="AJ19" s="1145"/>
      <c r="AK19" s="35">
        <v>25000</v>
      </c>
      <c r="AL19" s="29" t="s">
        <v>73</v>
      </c>
      <c r="AM19" s="29" t="s">
        <v>73</v>
      </c>
      <c r="AN19" s="29" t="s">
        <v>73</v>
      </c>
      <c r="AO19" s="29" t="s">
        <v>73</v>
      </c>
      <c r="AP19" s="29" t="s">
        <v>73</v>
      </c>
      <c r="AQ19" s="30">
        <v>12500</v>
      </c>
      <c r="AR19" s="30">
        <v>12500</v>
      </c>
      <c r="AS19" s="29" t="s">
        <v>73</v>
      </c>
      <c r="AT19" s="29" t="s">
        <v>73</v>
      </c>
      <c r="AU19" s="29" t="s">
        <v>73</v>
      </c>
      <c r="AV19" s="29" t="s">
        <v>73</v>
      </c>
      <c r="AW19" s="29" t="s">
        <v>73</v>
      </c>
      <c r="AX19" s="30">
        <v>25000</v>
      </c>
      <c r="AY19" s="18" t="s">
        <v>6</v>
      </c>
      <c r="AZ19" s="2" t="s">
        <v>74</v>
      </c>
      <c r="BA19" s="2"/>
      <c r="BB19" t="s">
        <v>106</v>
      </c>
      <c r="BC19" t="s">
        <v>75</v>
      </c>
    </row>
    <row r="20" spans="1:55 16360:16382" ht="68.25" customHeight="1" x14ac:dyDescent="0.25">
      <c r="A20" s="19">
        <v>2026</v>
      </c>
      <c r="B20" s="21">
        <v>479</v>
      </c>
      <c r="C20" s="22" t="s">
        <v>64</v>
      </c>
      <c r="D20" s="19" t="s">
        <v>65</v>
      </c>
      <c r="E20" s="20">
        <v>125</v>
      </c>
      <c r="F20" s="41">
        <v>3000654</v>
      </c>
      <c r="G20" s="31">
        <v>5005023</v>
      </c>
      <c r="H20" s="25">
        <v>3</v>
      </c>
      <c r="I20" s="25">
        <v>12</v>
      </c>
      <c r="J20" s="27">
        <v>24</v>
      </c>
      <c r="K20" s="21">
        <v>135560</v>
      </c>
      <c r="L20" s="21" t="s">
        <v>98</v>
      </c>
      <c r="M20" s="22" t="s">
        <v>99</v>
      </c>
      <c r="N20" s="19">
        <v>94</v>
      </c>
      <c r="O20" s="19"/>
      <c r="P20" s="25" t="s">
        <v>4</v>
      </c>
      <c r="Q20" s="25" t="s">
        <v>68</v>
      </c>
      <c r="R20" s="41" t="s">
        <v>69</v>
      </c>
      <c r="S20" s="41" t="s">
        <v>76</v>
      </c>
      <c r="T20" s="41"/>
      <c r="U20" s="31" t="s">
        <v>107</v>
      </c>
      <c r="V20" s="31" t="s">
        <v>72</v>
      </c>
      <c r="W20" s="35">
        <v>1</v>
      </c>
      <c r="X20" s="30">
        <v>250000</v>
      </c>
      <c r="Y20" s="2"/>
      <c r="Z20" s="2"/>
      <c r="AC20" s="25"/>
      <c r="AD20" s="25">
        <v>0.5</v>
      </c>
      <c r="AE20" s="25">
        <v>0.5</v>
      </c>
      <c r="AK20" s="35">
        <v>250000</v>
      </c>
      <c r="AL20" t="s">
        <v>73</v>
      </c>
      <c r="AM20" t="s">
        <v>73</v>
      </c>
      <c r="AN20" t="s">
        <v>73</v>
      </c>
      <c r="AO20" t="s">
        <v>73</v>
      </c>
      <c r="AP20" t="s">
        <v>73</v>
      </c>
      <c r="AQ20">
        <v>125000</v>
      </c>
      <c r="AR20">
        <v>125000</v>
      </c>
      <c r="AS20" t="s">
        <v>73</v>
      </c>
      <c r="AT20" t="s">
        <v>73</v>
      </c>
      <c r="AU20" t="s">
        <v>73</v>
      </c>
      <c r="AV20" t="s">
        <v>73</v>
      </c>
      <c r="AW20" t="s">
        <v>73</v>
      </c>
      <c r="AX20" s="30">
        <v>250000</v>
      </c>
      <c r="AY20" s="18" t="s">
        <v>6</v>
      </c>
      <c r="AZ20" t="s">
        <v>74</v>
      </c>
      <c r="BB20" t="s">
        <v>107</v>
      </c>
      <c r="BC20" t="s">
        <v>75</v>
      </c>
      <c r="XEF20" s="19"/>
      <c r="XEG20" s="21"/>
      <c r="XEH20" s="22"/>
      <c r="XEI20" s="19"/>
      <c r="XEJ20" s="20"/>
      <c r="XEK20" s="41"/>
      <c r="XEL20" s="31"/>
      <c r="XEM20" s="25"/>
      <c r="XEN20" s="25"/>
      <c r="XEO20" s="27"/>
      <c r="XEP20" s="1142"/>
      <c r="XEQ20" s="1143"/>
      <c r="XER20" s="1143"/>
      <c r="XES20" s="1144"/>
      <c r="XET20" s="25"/>
      <c r="XEU20" s="25"/>
      <c r="XEV20" s="25"/>
      <c r="XEW20" s="1142"/>
      <c r="XEX20" s="1143"/>
      <c r="XEY20" s="1143"/>
      <c r="XEZ20" s="1143"/>
      <c r="XFA20" s="1145"/>
      <c r="XFB20" s="35"/>
    </row>
    <row r="21" spans="1:55 16360:16382" ht="51" x14ac:dyDescent="0.25">
      <c r="A21" s="19">
        <v>2026</v>
      </c>
      <c r="B21" s="20">
        <v>479</v>
      </c>
      <c r="C21" s="21" t="s">
        <v>64</v>
      </c>
      <c r="D21" s="21" t="s">
        <v>65</v>
      </c>
      <c r="E21" s="20">
        <v>125</v>
      </c>
      <c r="F21" s="20">
        <v>3000654</v>
      </c>
      <c r="G21" s="20">
        <v>5005023</v>
      </c>
      <c r="H21" s="20">
        <v>3</v>
      </c>
      <c r="I21" s="20">
        <v>12</v>
      </c>
      <c r="J21" s="20">
        <v>24</v>
      </c>
      <c r="K21" s="20">
        <v>135560</v>
      </c>
      <c r="L21" s="21" t="s">
        <v>98</v>
      </c>
      <c r="M21" s="22" t="s">
        <v>99</v>
      </c>
      <c r="N21" s="19">
        <v>94</v>
      </c>
      <c r="O21" s="2"/>
      <c r="P21" s="2" t="s">
        <v>4</v>
      </c>
      <c r="Q21" s="20" t="s">
        <v>68</v>
      </c>
      <c r="R21" s="25" t="s">
        <v>69</v>
      </c>
      <c r="S21" s="25" t="s">
        <v>108</v>
      </c>
      <c r="T21" s="40">
        <v>716000010187</v>
      </c>
      <c r="U21" s="31" t="s">
        <v>109</v>
      </c>
      <c r="V21" s="25" t="s">
        <v>110</v>
      </c>
      <c r="W21" s="25">
        <v>1</v>
      </c>
      <c r="X21" s="25">
        <v>2</v>
      </c>
      <c r="Y21" s="1142"/>
      <c r="Z21" s="1143"/>
      <c r="AA21" s="1143"/>
      <c r="AB21" s="1144"/>
      <c r="AC21" s="25"/>
      <c r="AD21" s="25">
        <v>25</v>
      </c>
      <c r="AE21" s="25"/>
      <c r="AF21" s="1142"/>
      <c r="AG21" s="1143"/>
      <c r="AH21" s="1143"/>
      <c r="AI21" s="1143"/>
      <c r="AJ21" s="1145"/>
      <c r="AK21" s="42">
        <v>50</v>
      </c>
      <c r="AL21" s="29" t="s">
        <v>73</v>
      </c>
      <c r="AM21" s="29" t="s">
        <v>73</v>
      </c>
      <c r="AN21" s="29" t="s">
        <v>73</v>
      </c>
      <c r="AO21" s="29" t="s">
        <v>73</v>
      </c>
      <c r="AP21" s="29" t="s">
        <v>73</v>
      </c>
      <c r="AQ21" s="29">
        <v>50</v>
      </c>
      <c r="AR21" s="29" t="s">
        <v>73</v>
      </c>
      <c r="AS21" s="29" t="s">
        <v>73</v>
      </c>
      <c r="AT21" s="29" t="s">
        <v>73</v>
      </c>
      <c r="AU21" s="29" t="s">
        <v>73</v>
      </c>
      <c r="AV21" s="29" t="s">
        <v>73</v>
      </c>
      <c r="AW21" s="29" t="s">
        <v>73</v>
      </c>
      <c r="AX21" s="29">
        <v>50</v>
      </c>
      <c r="AY21" s="18" t="s">
        <v>6</v>
      </c>
      <c r="AZ21" s="2" t="s">
        <v>74</v>
      </c>
      <c r="BA21" s="2"/>
      <c r="BB21" s="31" t="s">
        <v>109</v>
      </c>
      <c r="BC21" t="s">
        <v>75</v>
      </c>
    </row>
    <row r="22" spans="1:55 16360:16382" ht="51" x14ac:dyDescent="0.25">
      <c r="A22" s="19">
        <v>2026</v>
      </c>
      <c r="B22" s="20">
        <v>479</v>
      </c>
      <c r="C22" s="21" t="s">
        <v>64</v>
      </c>
      <c r="D22" s="21" t="s">
        <v>65</v>
      </c>
      <c r="E22" s="20">
        <v>125</v>
      </c>
      <c r="F22" s="20">
        <v>3000654</v>
      </c>
      <c r="G22" s="20">
        <v>5005023</v>
      </c>
      <c r="H22" s="20">
        <v>3</v>
      </c>
      <c r="I22" s="20">
        <v>12</v>
      </c>
      <c r="J22" s="20">
        <v>24</v>
      </c>
      <c r="K22" s="20">
        <v>135560</v>
      </c>
      <c r="L22" s="21" t="s">
        <v>98</v>
      </c>
      <c r="M22" s="22" t="s">
        <v>99</v>
      </c>
      <c r="N22" s="19">
        <v>94</v>
      </c>
      <c r="O22" s="2"/>
      <c r="P22" s="2" t="s">
        <v>4</v>
      </c>
      <c r="Q22" s="20" t="s">
        <v>68</v>
      </c>
      <c r="R22" s="25" t="s">
        <v>69</v>
      </c>
      <c r="S22" s="25" t="s">
        <v>108</v>
      </c>
      <c r="T22" s="40">
        <v>716000010208</v>
      </c>
      <c r="U22" s="31" t="s">
        <v>111</v>
      </c>
      <c r="V22" s="25" t="s">
        <v>110</v>
      </c>
      <c r="W22" s="25">
        <v>1</v>
      </c>
      <c r="X22" s="25">
        <v>2</v>
      </c>
      <c r="Y22" s="1142"/>
      <c r="Z22" s="1143"/>
      <c r="AA22" s="1143"/>
      <c r="AB22" s="1144"/>
      <c r="AC22" s="25"/>
      <c r="AD22" s="25">
        <v>50</v>
      </c>
      <c r="AE22" s="25"/>
      <c r="AF22" s="1142"/>
      <c r="AG22" s="1143"/>
      <c r="AH22" s="1143"/>
      <c r="AI22" s="1143"/>
      <c r="AJ22" s="1145"/>
      <c r="AK22" s="42">
        <v>100</v>
      </c>
      <c r="AL22" s="29" t="s">
        <v>73</v>
      </c>
      <c r="AM22" s="29" t="s">
        <v>73</v>
      </c>
      <c r="AN22" s="29" t="s">
        <v>73</v>
      </c>
      <c r="AO22" s="29" t="s">
        <v>73</v>
      </c>
      <c r="AP22" s="29" t="s">
        <v>73</v>
      </c>
      <c r="AQ22" s="29">
        <v>100</v>
      </c>
      <c r="AR22" s="29" t="s">
        <v>73</v>
      </c>
      <c r="AS22" s="29" t="s">
        <v>73</v>
      </c>
      <c r="AT22" s="29" t="s">
        <v>73</v>
      </c>
      <c r="AU22" s="29" t="s">
        <v>73</v>
      </c>
      <c r="AV22" s="29" t="s">
        <v>73</v>
      </c>
      <c r="AW22" s="29" t="s">
        <v>73</v>
      </c>
      <c r="AX22" s="29">
        <v>100</v>
      </c>
      <c r="AY22" s="18" t="s">
        <v>6</v>
      </c>
      <c r="AZ22" s="2" t="s">
        <v>74</v>
      </c>
      <c r="BA22" s="2"/>
      <c r="BB22" t="s">
        <v>111</v>
      </c>
      <c r="BC22" t="s">
        <v>75</v>
      </c>
    </row>
    <row r="23" spans="1:55 16360:16382" ht="51" x14ac:dyDescent="0.25">
      <c r="A23" s="19">
        <v>2026</v>
      </c>
      <c r="B23" s="20">
        <v>479</v>
      </c>
      <c r="C23" s="21" t="s">
        <v>64</v>
      </c>
      <c r="D23" s="21" t="s">
        <v>65</v>
      </c>
      <c r="E23" s="20">
        <v>125</v>
      </c>
      <c r="F23" s="20">
        <v>3000654</v>
      </c>
      <c r="G23" s="20">
        <v>5005023</v>
      </c>
      <c r="H23" s="20">
        <v>3</v>
      </c>
      <c r="I23" s="20">
        <v>12</v>
      </c>
      <c r="J23" s="20">
        <v>24</v>
      </c>
      <c r="K23" s="20">
        <v>135560</v>
      </c>
      <c r="L23" s="21" t="s">
        <v>98</v>
      </c>
      <c r="M23" s="22" t="s">
        <v>99</v>
      </c>
      <c r="N23" s="19">
        <v>94</v>
      </c>
      <c r="O23" s="2"/>
      <c r="P23" s="2" t="s">
        <v>4</v>
      </c>
      <c r="Q23" s="20" t="s">
        <v>68</v>
      </c>
      <c r="R23" s="25" t="s">
        <v>69</v>
      </c>
      <c r="S23" s="25" t="s">
        <v>108</v>
      </c>
      <c r="T23" s="40">
        <v>716000010209</v>
      </c>
      <c r="U23" s="31" t="s">
        <v>112</v>
      </c>
      <c r="V23" s="25" t="s">
        <v>110</v>
      </c>
      <c r="W23" s="25">
        <v>1</v>
      </c>
      <c r="X23" s="25">
        <v>2</v>
      </c>
      <c r="Y23" s="1142"/>
      <c r="Z23" s="1143"/>
      <c r="AA23" s="1143"/>
      <c r="AB23" s="1144"/>
      <c r="AC23" s="25"/>
      <c r="AD23" s="25">
        <v>50</v>
      </c>
      <c r="AE23" s="25"/>
      <c r="AF23" s="1142"/>
      <c r="AG23" s="1143"/>
      <c r="AH23" s="1143"/>
      <c r="AI23" s="1143"/>
      <c r="AJ23" s="1145"/>
      <c r="AK23" s="42">
        <v>100</v>
      </c>
      <c r="AL23" s="29" t="s">
        <v>73</v>
      </c>
      <c r="AM23" s="29" t="s">
        <v>73</v>
      </c>
      <c r="AN23" s="29" t="s">
        <v>73</v>
      </c>
      <c r="AO23" s="29" t="s">
        <v>73</v>
      </c>
      <c r="AP23" s="29" t="s">
        <v>73</v>
      </c>
      <c r="AQ23" s="29">
        <v>100</v>
      </c>
      <c r="AR23" s="29" t="s">
        <v>73</v>
      </c>
      <c r="AS23" s="29" t="s">
        <v>73</v>
      </c>
      <c r="AT23" s="29" t="s">
        <v>73</v>
      </c>
      <c r="AU23" s="29" t="s">
        <v>73</v>
      </c>
      <c r="AV23" s="29" t="s">
        <v>73</v>
      </c>
      <c r="AW23" s="29" t="s">
        <v>73</v>
      </c>
      <c r="AX23" s="29">
        <v>100</v>
      </c>
      <c r="AY23" s="18" t="s">
        <v>6</v>
      </c>
      <c r="AZ23" s="2" t="s">
        <v>74</v>
      </c>
      <c r="BA23" s="2"/>
      <c r="BB23" t="s">
        <v>112</v>
      </c>
      <c r="BC23" t="s">
        <v>75</v>
      </c>
    </row>
    <row r="24" spans="1:55 16360:16382" ht="51" x14ac:dyDescent="0.25">
      <c r="A24" s="19">
        <v>2026</v>
      </c>
      <c r="B24" s="20">
        <v>479</v>
      </c>
      <c r="C24" s="21" t="s">
        <v>64</v>
      </c>
      <c r="D24" s="21" t="s">
        <v>65</v>
      </c>
      <c r="E24" s="20">
        <v>125</v>
      </c>
      <c r="F24" s="20">
        <v>3000654</v>
      </c>
      <c r="G24" s="20">
        <v>5005023</v>
      </c>
      <c r="H24" s="20">
        <v>3</v>
      </c>
      <c r="I24" s="20">
        <v>12</v>
      </c>
      <c r="J24" s="20">
        <v>24</v>
      </c>
      <c r="K24" s="20">
        <v>135560</v>
      </c>
      <c r="L24" s="21" t="s">
        <v>98</v>
      </c>
      <c r="M24" s="22" t="s">
        <v>99</v>
      </c>
      <c r="N24" s="19">
        <v>94</v>
      </c>
      <c r="O24" s="2"/>
      <c r="P24" s="2" t="s">
        <v>4</v>
      </c>
      <c r="Q24" s="20" t="s">
        <v>68</v>
      </c>
      <c r="R24" s="25" t="s">
        <v>69</v>
      </c>
      <c r="S24" s="25" t="s">
        <v>108</v>
      </c>
      <c r="T24" s="40">
        <v>716000040112</v>
      </c>
      <c r="U24" s="31" t="s">
        <v>113</v>
      </c>
      <c r="V24" s="25" t="s">
        <v>110</v>
      </c>
      <c r="W24" s="25">
        <v>1</v>
      </c>
      <c r="X24" s="25">
        <v>1</v>
      </c>
      <c r="Y24" s="1142"/>
      <c r="Z24" s="1143"/>
      <c r="AA24" s="1143"/>
      <c r="AB24" s="1144"/>
      <c r="AC24" s="25"/>
      <c r="AD24" s="25">
        <v>50</v>
      </c>
      <c r="AE24" s="25"/>
      <c r="AF24" s="1142"/>
      <c r="AG24" s="1143"/>
      <c r="AH24" s="1143"/>
      <c r="AI24" s="1143"/>
      <c r="AJ24" s="1145"/>
      <c r="AK24" s="42">
        <v>50</v>
      </c>
      <c r="AL24" s="29" t="s">
        <v>73</v>
      </c>
      <c r="AM24" s="29" t="s">
        <v>73</v>
      </c>
      <c r="AN24" s="29" t="s">
        <v>73</v>
      </c>
      <c r="AO24" s="29" t="s">
        <v>73</v>
      </c>
      <c r="AP24" s="29" t="s">
        <v>73</v>
      </c>
      <c r="AQ24" s="29">
        <v>50</v>
      </c>
      <c r="AR24" s="29" t="s">
        <v>73</v>
      </c>
      <c r="AS24" s="29" t="s">
        <v>73</v>
      </c>
      <c r="AT24" s="29" t="s">
        <v>73</v>
      </c>
      <c r="AU24" s="29" t="s">
        <v>73</v>
      </c>
      <c r="AV24" s="29" t="s">
        <v>73</v>
      </c>
      <c r="AW24" s="29" t="s">
        <v>73</v>
      </c>
      <c r="AX24" s="29">
        <v>50</v>
      </c>
      <c r="AY24" s="18" t="s">
        <v>6</v>
      </c>
      <c r="AZ24" s="2" t="s">
        <v>74</v>
      </c>
      <c r="BA24" s="2"/>
      <c r="BB24" s="31" t="s">
        <v>113</v>
      </c>
      <c r="BC24" t="s">
        <v>75</v>
      </c>
    </row>
    <row r="25" spans="1:55 16360:16382" ht="51" x14ac:dyDescent="0.25">
      <c r="A25" s="19">
        <v>2026</v>
      </c>
      <c r="B25" s="20">
        <v>479</v>
      </c>
      <c r="C25" s="21" t="s">
        <v>64</v>
      </c>
      <c r="D25" s="21" t="s">
        <v>65</v>
      </c>
      <c r="E25" s="20">
        <v>125</v>
      </c>
      <c r="F25" s="20">
        <v>3000654</v>
      </c>
      <c r="G25" s="20">
        <v>5005023</v>
      </c>
      <c r="H25" s="20">
        <v>3</v>
      </c>
      <c r="I25" s="20">
        <v>12</v>
      </c>
      <c r="J25" s="20">
        <v>24</v>
      </c>
      <c r="K25" s="20">
        <v>135560</v>
      </c>
      <c r="L25" s="21" t="s">
        <v>98</v>
      </c>
      <c r="M25" s="22" t="s">
        <v>99</v>
      </c>
      <c r="N25" s="19">
        <v>94</v>
      </c>
      <c r="O25" s="2"/>
      <c r="P25" s="2" t="s">
        <v>4</v>
      </c>
      <c r="Q25" s="20" t="s">
        <v>68</v>
      </c>
      <c r="R25" s="25" t="s">
        <v>69</v>
      </c>
      <c r="S25" s="25" t="s">
        <v>108</v>
      </c>
      <c r="T25" s="40">
        <v>716000060413</v>
      </c>
      <c r="U25" s="31" t="s">
        <v>114</v>
      </c>
      <c r="V25" s="25" t="s">
        <v>110</v>
      </c>
      <c r="W25" s="25">
        <v>1</v>
      </c>
      <c r="X25" s="25">
        <v>3</v>
      </c>
      <c r="Y25" s="1142"/>
      <c r="Z25" s="1143"/>
      <c r="AA25" s="1143"/>
      <c r="AB25" s="1144"/>
      <c r="AC25" s="25"/>
      <c r="AD25" s="25">
        <v>10</v>
      </c>
      <c r="AE25" s="25"/>
      <c r="AF25" s="1142"/>
      <c r="AG25" s="1143"/>
      <c r="AH25" s="1143"/>
      <c r="AI25" s="1143"/>
      <c r="AJ25" s="1145"/>
      <c r="AK25" s="42">
        <v>30</v>
      </c>
      <c r="AL25" s="29" t="s">
        <v>73</v>
      </c>
      <c r="AM25" s="29" t="s">
        <v>73</v>
      </c>
      <c r="AN25" s="29" t="s">
        <v>73</v>
      </c>
      <c r="AO25" s="29" t="s">
        <v>73</v>
      </c>
      <c r="AP25" s="29" t="s">
        <v>73</v>
      </c>
      <c r="AQ25" s="29">
        <v>30</v>
      </c>
      <c r="AR25" s="29" t="s">
        <v>73</v>
      </c>
      <c r="AS25" s="29" t="s">
        <v>73</v>
      </c>
      <c r="AT25" s="29" t="s">
        <v>73</v>
      </c>
      <c r="AU25" s="29" t="s">
        <v>73</v>
      </c>
      <c r="AV25" s="29" t="s">
        <v>73</v>
      </c>
      <c r="AW25" s="29" t="s">
        <v>73</v>
      </c>
      <c r="AX25" s="29">
        <v>30</v>
      </c>
      <c r="AY25" s="18" t="s">
        <v>6</v>
      </c>
      <c r="AZ25" s="2" t="s">
        <v>74</v>
      </c>
      <c r="BA25" s="2"/>
      <c r="BB25" t="s">
        <v>114</v>
      </c>
      <c r="BC25" t="s">
        <v>75</v>
      </c>
    </row>
    <row r="26" spans="1:55 16360:16382" ht="51" x14ac:dyDescent="0.25">
      <c r="A26" s="19">
        <v>2026</v>
      </c>
      <c r="B26" s="20">
        <v>479</v>
      </c>
      <c r="C26" s="21" t="s">
        <v>64</v>
      </c>
      <c r="D26" s="21" t="s">
        <v>65</v>
      </c>
      <c r="E26" s="20">
        <v>125</v>
      </c>
      <c r="F26" s="20">
        <v>3000654</v>
      </c>
      <c r="G26" s="20">
        <v>5005023</v>
      </c>
      <c r="H26" s="20">
        <v>3</v>
      </c>
      <c r="I26" s="20">
        <v>12</v>
      </c>
      <c r="J26" s="20">
        <v>24</v>
      </c>
      <c r="K26" s="20">
        <v>135560</v>
      </c>
      <c r="L26" s="21" t="s">
        <v>98</v>
      </c>
      <c r="M26" s="22" t="s">
        <v>99</v>
      </c>
      <c r="N26" s="19">
        <v>94</v>
      </c>
      <c r="O26" s="2"/>
      <c r="P26" s="2" t="s">
        <v>4</v>
      </c>
      <c r="Q26" s="20" t="s">
        <v>68</v>
      </c>
      <c r="R26" s="25" t="s">
        <v>69</v>
      </c>
      <c r="S26" s="25" t="s">
        <v>108</v>
      </c>
      <c r="T26" s="40">
        <v>716000060432</v>
      </c>
      <c r="U26" s="31" t="s">
        <v>115</v>
      </c>
      <c r="V26" s="25" t="s">
        <v>110</v>
      </c>
      <c r="W26" s="25">
        <v>1</v>
      </c>
      <c r="X26" s="25">
        <v>2.7</v>
      </c>
      <c r="Y26" s="1142"/>
      <c r="Z26" s="1143"/>
      <c r="AA26" s="1143"/>
      <c r="AB26" s="1144"/>
      <c r="AC26" s="25"/>
      <c r="AD26" s="25">
        <v>5</v>
      </c>
      <c r="AE26" s="25"/>
      <c r="AF26" s="1142"/>
      <c r="AG26" s="1143"/>
      <c r="AH26" s="1143"/>
      <c r="AI26" s="1143"/>
      <c r="AJ26" s="1145"/>
      <c r="AK26" s="42">
        <v>14</v>
      </c>
      <c r="AL26" s="29" t="s">
        <v>73</v>
      </c>
      <c r="AM26" s="29" t="s">
        <v>73</v>
      </c>
      <c r="AN26" s="29" t="s">
        <v>73</v>
      </c>
      <c r="AO26" s="29" t="s">
        <v>73</v>
      </c>
      <c r="AP26" s="29" t="s">
        <v>73</v>
      </c>
      <c r="AQ26" s="29">
        <v>14</v>
      </c>
      <c r="AR26" s="29" t="s">
        <v>73</v>
      </c>
      <c r="AS26" s="29" t="s">
        <v>73</v>
      </c>
      <c r="AT26" s="29" t="s">
        <v>73</v>
      </c>
      <c r="AU26" s="29" t="s">
        <v>73</v>
      </c>
      <c r="AV26" s="29" t="s">
        <v>73</v>
      </c>
      <c r="AW26" s="29" t="s">
        <v>73</v>
      </c>
      <c r="AX26" s="29">
        <v>14</v>
      </c>
      <c r="AY26" s="18" t="s">
        <v>6</v>
      </c>
      <c r="AZ26" s="2" t="s">
        <v>74</v>
      </c>
      <c r="BA26" s="2"/>
      <c r="BB26" t="s">
        <v>115</v>
      </c>
      <c r="BC26" t="s">
        <v>116</v>
      </c>
    </row>
    <row r="27" spans="1:55 16360:16382" ht="51" x14ac:dyDescent="0.25">
      <c r="A27" s="19">
        <v>2026</v>
      </c>
      <c r="B27" s="20">
        <v>479</v>
      </c>
      <c r="C27" s="21" t="s">
        <v>64</v>
      </c>
      <c r="D27" s="21" t="s">
        <v>65</v>
      </c>
      <c r="E27" s="20">
        <v>125</v>
      </c>
      <c r="F27" s="20">
        <v>3000654</v>
      </c>
      <c r="G27" s="20">
        <v>5005023</v>
      </c>
      <c r="H27" s="20">
        <v>3</v>
      </c>
      <c r="I27" s="20">
        <v>12</v>
      </c>
      <c r="J27" s="20">
        <v>24</v>
      </c>
      <c r="K27" s="20">
        <v>135560</v>
      </c>
      <c r="L27" s="21" t="s">
        <v>98</v>
      </c>
      <c r="M27" s="22" t="s">
        <v>99</v>
      </c>
      <c r="N27" s="19">
        <v>94</v>
      </c>
      <c r="O27" s="2"/>
      <c r="P27" s="2" t="s">
        <v>4</v>
      </c>
      <c r="Q27" s="20" t="s">
        <v>68</v>
      </c>
      <c r="R27" s="25" t="s">
        <v>69</v>
      </c>
      <c r="S27" s="25" t="s">
        <v>108</v>
      </c>
      <c r="T27" s="40">
        <v>716000060443</v>
      </c>
      <c r="U27" s="31" t="s">
        <v>117</v>
      </c>
      <c r="V27" s="25" t="s">
        <v>110</v>
      </c>
      <c r="W27" s="25">
        <v>1</v>
      </c>
      <c r="X27" s="25">
        <v>1.5</v>
      </c>
      <c r="Y27" s="1142"/>
      <c r="Z27" s="1143"/>
      <c r="AA27" s="1143"/>
      <c r="AB27" s="1144"/>
      <c r="AC27" s="25"/>
      <c r="AD27" s="25">
        <v>20</v>
      </c>
      <c r="AE27" s="25"/>
      <c r="AF27" s="1142"/>
      <c r="AG27" s="1143"/>
      <c r="AH27" s="1143"/>
      <c r="AI27" s="1143"/>
      <c r="AJ27" s="1145"/>
      <c r="AK27" s="42">
        <v>30</v>
      </c>
      <c r="AL27" s="29" t="s">
        <v>73</v>
      </c>
      <c r="AM27" s="29" t="s">
        <v>73</v>
      </c>
      <c r="AN27" s="29" t="s">
        <v>73</v>
      </c>
      <c r="AO27" s="29" t="s">
        <v>73</v>
      </c>
      <c r="AP27" s="29" t="s">
        <v>73</v>
      </c>
      <c r="AQ27" s="29">
        <v>30</v>
      </c>
      <c r="AR27" s="29" t="s">
        <v>73</v>
      </c>
      <c r="AS27" s="29" t="s">
        <v>73</v>
      </c>
      <c r="AT27" s="29" t="s">
        <v>73</v>
      </c>
      <c r="AU27" s="29" t="s">
        <v>73</v>
      </c>
      <c r="AV27" s="29" t="s">
        <v>73</v>
      </c>
      <c r="AW27" s="29" t="s">
        <v>73</v>
      </c>
      <c r="AX27" s="29">
        <v>30</v>
      </c>
      <c r="AY27" s="18" t="s">
        <v>6</v>
      </c>
      <c r="AZ27" s="2" t="s">
        <v>74</v>
      </c>
      <c r="BA27" s="2"/>
      <c r="BB27" s="31" t="s">
        <v>117</v>
      </c>
      <c r="BC27" t="s">
        <v>118</v>
      </c>
    </row>
    <row r="28" spans="1:55 16360:16382" ht="51" x14ac:dyDescent="0.25">
      <c r="A28" s="19">
        <v>2026</v>
      </c>
      <c r="B28" s="20">
        <v>479</v>
      </c>
      <c r="C28" s="21" t="s">
        <v>64</v>
      </c>
      <c r="D28" s="21" t="s">
        <v>65</v>
      </c>
      <c r="E28" s="20">
        <v>125</v>
      </c>
      <c r="F28" s="20">
        <v>3000654</v>
      </c>
      <c r="G28" s="20">
        <v>5005023</v>
      </c>
      <c r="H28" s="20">
        <v>3</v>
      </c>
      <c r="I28" s="20">
        <v>12</v>
      </c>
      <c r="J28" s="20">
        <v>24</v>
      </c>
      <c r="K28" s="20">
        <v>135560</v>
      </c>
      <c r="L28" s="21" t="s">
        <v>98</v>
      </c>
      <c r="M28" s="22" t="s">
        <v>99</v>
      </c>
      <c r="N28" s="19">
        <v>94</v>
      </c>
      <c r="O28" s="2"/>
      <c r="P28" s="2" t="s">
        <v>4</v>
      </c>
      <c r="Q28" s="20" t="s">
        <v>68</v>
      </c>
      <c r="R28" s="25" t="s">
        <v>69</v>
      </c>
      <c r="S28" s="25" t="s">
        <v>108</v>
      </c>
      <c r="T28" s="40">
        <v>716000060444</v>
      </c>
      <c r="U28" s="31" t="s">
        <v>119</v>
      </c>
      <c r="V28" s="25" t="s">
        <v>110</v>
      </c>
      <c r="W28" s="25">
        <v>1</v>
      </c>
      <c r="X28" s="25">
        <v>1.5</v>
      </c>
      <c r="Y28" s="1142"/>
      <c r="Z28" s="1143"/>
      <c r="AA28" s="1143"/>
      <c r="AB28" s="1144"/>
      <c r="AC28" s="25"/>
      <c r="AD28" s="25">
        <v>20</v>
      </c>
      <c r="AE28" s="25"/>
      <c r="AF28" s="1142"/>
      <c r="AG28" s="1143"/>
      <c r="AH28" s="1143"/>
      <c r="AI28" s="1143"/>
      <c r="AJ28" s="1145"/>
      <c r="AK28" s="42">
        <v>30</v>
      </c>
      <c r="AL28" s="29" t="s">
        <v>73</v>
      </c>
      <c r="AM28" s="29" t="s">
        <v>73</v>
      </c>
      <c r="AN28" s="29" t="s">
        <v>73</v>
      </c>
      <c r="AO28" s="29" t="s">
        <v>73</v>
      </c>
      <c r="AP28" s="29" t="s">
        <v>73</v>
      </c>
      <c r="AQ28" s="29">
        <v>30</v>
      </c>
      <c r="AR28" s="29" t="s">
        <v>73</v>
      </c>
      <c r="AS28" s="29" t="s">
        <v>73</v>
      </c>
      <c r="AT28" s="29" t="s">
        <v>73</v>
      </c>
      <c r="AU28" s="29" t="s">
        <v>73</v>
      </c>
      <c r="AV28" s="29" t="s">
        <v>73</v>
      </c>
      <c r="AW28" s="29" t="s">
        <v>73</v>
      </c>
      <c r="AX28" s="29">
        <v>30</v>
      </c>
      <c r="AY28" s="18" t="s">
        <v>6</v>
      </c>
      <c r="AZ28" s="2" t="s">
        <v>74</v>
      </c>
      <c r="BA28" s="2"/>
      <c r="BB28" s="31" t="s">
        <v>120</v>
      </c>
      <c r="BC28" t="s">
        <v>118</v>
      </c>
    </row>
    <row r="29" spans="1:55 16360:16382" ht="51" x14ac:dyDescent="0.25">
      <c r="A29" s="19">
        <v>2026</v>
      </c>
      <c r="B29" s="20">
        <v>479</v>
      </c>
      <c r="C29" s="21" t="s">
        <v>64</v>
      </c>
      <c r="D29" s="21" t="s">
        <v>65</v>
      </c>
      <c r="E29" s="20">
        <v>125</v>
      </c>
      <c r="F29" s="20">
        <v>3000654</v>
      </c>
      <c r="G29" s="20">
        <v>5005023</v>
      </c>
      <c r="H29" s="20">
        <v>3</v>
      </c>
      <c r="I29" s="20">
        <v>12</v>
      </c>
      <c r="J29" s="20">
        <v>24</v>
      </c>
      <c r="K29" s="20">
        <v>135560</v>
      </c>
      <c r="L29" s="21" t="s">
        <v>98</v>
      </c>
      <c r="M29" s="22" t="s">
        <v>99</v>
      </c>
      <c r="N29" s="19">
        <v>94</v>
      </c>
      <c r="O29" s="2"/>
      <c r="P29" s="2" t="s">
        <v>4</v>
      </c>
      <c r="Q29" s="20" t="s">
        <v>68</v>
      </c>
      <c r="R29" s="25" t="s">
        <v>69</v>
      </c>
      <c r="S29" s="25" t="s">
        <v>108</v>
      </c>
      <c r="T29" s="40">
        <v>717200030013</v>
      </c>
      <c r="U29" s="31" t="s">
        <v>121</v>
      </c>
      <c r="V29" s="25" t="s">
        <v>110</v>
      </c>
      <c r="W29" s="25">
        <v>1</v>
      </c>
      <c r="X29" s="25">
        <v>8</v>
      </c>
      <c r="Y29" s="1142"/>
      <c r="Z29" s="1143"/>
      <c r="AA29" s="1143"/>
      <c r="AB29" s="1144"/>
      <c r="AC29" s="25"/>
      <c r="AD29" s="25">
        <v>20</v>
      </c>
      <c r="AE29" s="25"/>
      <c r="AF29" s="1142"/>
      <c r="AG29" s="1143"/>
      <c r="AH29" s="1143"/>
      <c r="AI29" s="1143"/>
      <c r="AJ29" s="1145"/>
      <c r="AK29" s="42">
        <v>160</v>
      </c>
      <c r="AL29" s="29" t="s">
        <v>73</v>
      </c>
      <c r="AM29" s="29" t="s">
        <v>73</v>
      </c>
      <c r="AN29" s="29" t="s">
        <v>73</v>
      </c>
      <c r="AO29" s="29" t="s">
        <v>73</v>
      </c>
      <c r="AP29" s="29" t="s">
        <v>73</v>
      </c>
      <c r="AQ29" s="29">
        <v>160</v>
      </c>
      <c r="AR29" s="29" t="s">
        <v>73</v>
      </c>
      <c r="AS29" s="29" t="s">
        <v>73</v>
      </c>
      <c r="AT29" s="29" t="s">
        <v>73</v>
      </c>
      <c r="AU29" s="29" t="s">
        <v>73</v>
      </c>
      <c r="AV29" s="29" t="s">
        <v>73</v>
      </c>
      <c r="AW29" s="29" t="s">
        <v>73</v>
      </c>
      <c r="AX29" s="29">
        <v>160</v>
      </c>
      <c r="AY29" s="18" t="s">
        <v>6</v>
      </c>
      <c r="AZ29" s="2" t="s">
        <v>74</v>
      </c>
      <c r="BA29" s="2"/>
      <c r="BB29" t="s">
        <v>122</v>
      </c>
      <c r="BC29" t="s">
        <v>75</v>
      </c>
    </row>
    <row r="30" spans="1:55 16360:16382" ht="51" x14ac:dyDescent="0.25">
      <c r="A30" s="19">
        <v>2026</v>
      </c>
      <c r="B30" s="20">
        <v>479</v>
      </c>
      <c r="C30" s="21" t="s">
        <v>64</v>
      </c>
      <c r="D30" s="21" t="s">
        <v>65</v>
      </c>
      <c r="E30" s="20">
        <v>125</v>
      </c>
      <c r="F30" s="20">
        <v>3000654</v>
      </c>
      <c r="G30" s="20">
        <v>5005023</v>
      </c>
      <c r="H30" s="20">
        <v>3</v>
      </c>
      <c r="I30" s="20">
        <v>12</v>
      </c>
      <c r="J30" s="20">
        <v>24</v>
      </c>
      <c r="K30" s="20">
        <v>135560</v>
      </c>
      <c r="L30" s="21" t="s">
        <v>98</v>
      </c>
      <c r="M30" s="22" t="s">
        <v>99</v>
      </c>
      <c r="N30" s="19">
        <v>94</v>
      </c>
      <c r="O30" s="2"/>
      <c r="P30" s="2" t="s">
        <v>4</v>
      </c>
      <c r="Q30" s="20" t="s">
        <v>68</v>
      </c>
      <c r="R30" s="25" t="s">
        <v>69</v>
      </c>
      <c r="S30" s="25" t="s">
        <v>108</v>
      </c>
      <c r="T30" s="40"/>
      <c r="U30" s="31" t="s">
        <v>123</v>
      </c>
      <c r="V30" s="25" t="s">
        <v>110</v>
      </c>
      <c r="W30" s="25">
        <v>1</v>
      </c>
      <c r="X30" s="25">
        <v>4</v>
      </c>
      <c r="Y30" s="1142"/>
      <c r="Z30" s="1143"/>
      <c r="AA30" s="1143"/>
      <c r="AB30" s="1144"/>
      <c r="AC30" s="25"/>
      <c r="AD30" s="25">
        <v>30</v>
      </c>
      <c r="AE30" s="25"/>
      <c r="AF30" s="1142"/>
      <c r="AG30" s="1143"/>
      <c r="AH30" s="1143"/>
      <c r="AI30" s="1143"/>
      <c r="AJ30" s="1145"/>
      <c r="AK30" s="42">
        <v>120</v>
      </c>
      <c r="AL30" s="29" t="s">
        <v>73</v>
      </c>
      <c r="AM30" s="29" t="s">
        <v>73</v>
      </c>
      <c r="AN30" s="29" t="s">
        <v>73</v>
      </c>
      <c r="AO30" s="29" t="s">
        <v>73</v>
      </c>
      <c r="AP30" s="29" t="s">
        <v>73</v>
      </c>
      <c r="AQ30" s="29">
        <v>120</v>
      </c>
      <c r="AR30" s="29" t="s">
        <v>73</v>
      </c>
      <c r="AS30" s="29" t="s">
        <v>73</v>
      </c>
      <c r="AT30" s="29" t="s">
        <v>73</v>
      </c>
      <c r="AU30" s="29" t="s">
        <v>73</v>
      </c>
      <c r="AV30" s="29" t="s">
        <v>73</v>
      </c>
      <c r="AW30" s="29" t="s">
        <v>73</v>
      </c>
      <c r="AX30" s="29">
        <v>120</v>
      </c>
      <c r="AY30" s="18" t="s">
        <v>6</v>
      </c>
      <c r="AZ30" s="2" t="s">
        <v>74</v>
      </c>
      <c r="BA30" s="2"/>
      <c r="BB30" s="29" t="s">
        <v>124</v>
      </c>
      <c r="BC30" t="s">
        <v>75</v>
      </c>
    </row>
    <row r="31" spans="1:55 16360:16382" ht="51" x14ac:dyDescent="0.25">
      <c r="A31" s="19">
        <v>2026</v>
      </c>
      <c r="B31" s="20">
        <v>479</v>
      </c>
      <c r="C31" s="21" t="s">
        <v>64</v>
      </c>
      <c r="D31" s="21" t="s">
        <v>65</v>
      </c>
      <c r="E31" s="20">
        <v>125</v>
      </c>
      <c r="F31" s="20">
        <v>3000654</v>
      </c>
      <c r="G31" s="20">
        <v>5005023</v>
      </c>
      <c r="H31" s="20">
        <v>3</v>
      </c>
      <c r="I31" s="20">
        <v>12</v>
      </c>
      <c r="J31" s="20">
        <v>24</v>
      </c>
      <c r="K31" s="20">
        <v>135560</v>
      </c>
      <c r="L31" s="21" t="s">
        <v>98</v>
      </c>
      <c r="M31" s="22" t="s">
        <v>99</v>
      </c>
      <c r="N31" s="19">
        <v>94</v>
      </c>
      <c r="O31" s="2"/>
      <c r="P31" s="2" t="s">
        <v>4</v>
      </c>
      <c r="Q31" s="20" t="s">
        <v>68</v>
      </c>
      <c r="R31" s="25" t="s">
        <v>69</v>
      </c>
      <c r="S31" s="25" t="s">
        <v>108</v>
      </c>
      <c r="T31" s="40">
        <v>718500050058</v>
      </c>
      <c r="U31" s="31" t="s">
        <v>125</v>
      </c>
      <c r="V31" s="25" t="s">
        <v>110</v>
      </c>
      <c r="W31" s="25">
        <v>1</v>
      </c>
      <c r="X31" s="25">
        <v>2</v>
      </c>
      <c r="Y31" s="1142"/>
      <c r="Z31" s="1143"/>
      <c r="AA31" s="1143"/>
      <c r="AB31" s="1144"/>
      <c r="AC31" s="25"/>
      <c r="AD31" s="25">
        <v>50</v>
      </c>
      <c r="AE31" s="25"/>
      <c r="AF31" s="1142"/>
      <c r="AG31" s="1143"/>
      <c r="AH31" s="1143"/>
      <c r="AI31" s="1143"/>
      <c r="AJ31" s="1145"/>
      <c r="AK31" s="42">
        <v>100</v>
      </c>
      <c r="AL31" s="29" t="s">
        <v>73</v>
      </c>
      <c r="AM31" s="29" t="s">
        <v>73</v>
      </c>
      <c r="AN31" s="29" t="s">
        <v>73</v>
      </c>
      <c r="AO31" s="29" t="s">
        <v>73</v>
      </c>
      <c r="AP31" s="29" t="s">
        <v>73</v>
      </c>
      <c r="AQ31" s="29">
        <v>100</v>
      </c>
      <c r="AR31" s="29" t="s">
        <v>73</v>
      </c>
      <c r="AS31" s="29" t="s">
        <v>73</v>
      </c>
      <c r="AT31" s="29" t="s">
        <v>73</v>
      </c>
      <c r="AU31" s="29" t="s">
        <v>73</v>
      </c>
      <c r="AV31" s="29" t="s">
        <v>73</v>
      </c>
      <c r="AW31" s="29" t="s">
        <v>73</v>
      </c>
      <c r="AX31" s="29">
        <v>100</v>
      </c>
      <c r="AY31" s="18" t="s">
        <v>6</v>
      </c>
      <c r="AZ31" s="2" t="s">
        <v>74</v>
      </c>
      <c r="BA31" s="2"/>
      <c r="BB31" s="31" t="s">
        <v>126</v>
      </c>
      <c r="BC31" t="s">
        <v>75</v>
      </c>
    </row>
    <row r="32" spans="1:55 16360:16382" ht="51" x14ac:dyDescent="0.25">
      <c r="A32" s="19">
        <v>2026</v>
      </c>
      <c r="B32" s="20">
        <v>479</v>
      </c>
      <c r="C32" s="21" t="s">
        <v>64</v>
      </c>
      <c r="D32" s="21" t="s">
        <v>65</v>
      </c>
      <c r="E32" s="20">
        <v>125</v>
      </c>
      <c r="F32" s="20">
        <v>3000654</v>
      </c>
      <c r="G32" s="20">
        <v>5005023</v>
      </c>
      <c r="H32" s="20">
        <v>3</v>
      </c>
      <c r="I32" s="20">
        <v>12</v>
      </c>
      <c r="J32" s="20">
        <v>24</v>
      </c>
      <c r="K32" s="20">
        <v>135560</v>
      </c>
      <c r="L32" s="21" t="s">
        <v>98</v>
      </c>
      <c r="M32" s="22" t="s">
        <v>99</v>
      </c>
      <c r="N32" s="19">
        <v>94</v>
      </c>
      <c r="O32" s="2"/>
      <c r="P32" s="2" t="s">
        <v>4</v>
      </c>
      <c r="Q32" s="20" t="s">
        <v>68</v>
      </c>
      <c r="R32" s="25" t="s">
        <v>69</v>
      </c>
      <c r="S32" s="25" t="s">
        <v>127</v>
      </c>
      <c r="T32" s="25">
        <v>501100041599</v>
      </c>
      <c r="U32" s="31" t="s">
        <v>128</v>
      </c>
      <c r="V32" s="25" t="s">
        <v>110</v>
      </c>
      <c r="W32" s="25">
        <v>1</v>
      </c>
      <c r="X32" s="25">
        <v>0.7</v>
      </c>
      <c r="Y32" s="1142"/>
      <c r="Z32" s="1143"/>
      <c r="AA32" s="1143"/>
      <c r="AB32" s="1144"/>
      <c r="AC32" s="25"/>
      <c r="AD32" s="25">
        <v>100</v>
      </c>
      <c r="AE32" s="25"/>
      <c r="AF32" s="1142"/>
      <c r="AG32" s="1143"/>
      <c r="AH32" s="1143"/>
      <c r="AI32" s="1143"/>
      <c r="AJ32" s="1145"/>
      <c r="AK32" s="42">
        <v>70</v>
      </c>
      <c r="AL32" s="29" t="s">
        <v>73</v>
      </c>
      <c r="AM32" s="29" t="s">
        <v>73</v>
      </c>
      <c r="AN32" s="29" t="s">
        <v>73</v>
      </c>
      <c r="AO32" s="29" t="s">
        <v>73</v>
      </c>
      <c r="AP32" s="29" t="s">
        <v>73</v>
      </c>
      <c r="AQ32" s="29">
        <v>70</v>
      </c>
      <c r="AR32" s="29" t="s">
        <v>73</v>
      </c>
      <c r="AS32" s="29" t="s">
        <v>73</v>
      </c>
      <c r="AT32" s="29" t="s">
        <v>73</v>
      </c>
      <c r="AU32" s="29" t="s">
        <v>73</v>
      </c>
      <c r="AV32" s="29" t="s">
        <v>73</v>
      </c>
      <c r="AW32" s="29" t="s">
        <v>73</v>
      </c>
      <c r="AX32" s="29">
        <v>70</v>
      </c>
      <c r="AY32" s="18" t="s">
        <v>6</v>
      </c>
      <c r="AZ32" s="2" t="s">
        <v>74</v>
      </c>
      <c r="BA32" s="2"/>
      <c r="BB32" s="29" t="s">
        <v>129</v>
      </c>
      <c r="BC32" s="29" t="s">
        <v>75</v>
      </c>
    </row>
    <row r="33" spans="1:55" ht="67.5" customHeight="1" x14ac:dyDescent="0.25">
      <c r="A33" s="19">
        <v>2026</v>
      </c>
      <c r="B33" s="20">
        <v>479</v>
      </c>
      <c r="C33" s="21" t="s">
        <v>64</v>
      </c>
      <c r="D33" s="21" t="s">
        <v>65</v>
      </c>
      <c r="E33" s="20">
        <v>125</v>
      </c>
      <c r="F33" s="20">
        <v>3000654</v>
      </c>
      <c r="G33" s="20">
        <v>5005023</v>
      </c>
      <c r="H33" s="20">
        <v>3</v>
      </c>
      <c r="I33" s="20">
        <v>12</v>
      </c>
      <c r="J33" s="20">
        <v>24</v>
      </c>
      <c r="K33" s="20">
        <v>135560</v>
      </c>
      <c r="L33" s="21" t="s">
        <v>98</v>
      </c>
      <c r="M33" s="22" t="s">
        <v>99</v>
      </c>
      <c r="N33" s="19">
        <v>94</v>
      </c>
      <c r="O33" s="2"/>
      <c r="P33" s="2" t="s">
        <v>4</v>
      </c>
      <c r="Q33" s="20" t="s">
        <v>68</v>
      </c>
      <c r="R33" s="25" t="s">
        <v>69</v>
      </c>
      <c r="S33" s="25" t="s">
        <v>108</v>
      </c>
      <c r="T33" s="40">
        <v>443600250055</v>
      </c>
      <c r="U33" s="31" t="s">
        <v>130</v>
      </c>
      <c r="V33" s="25" t="s">
        <v>110</v>
      </c>
      <c r="W33" s="25">
        <v>1</v>
      </c>
      <c r="X33" s="25">
        <v>75</v>
      </c>
      <c r="Y33" s="1142"/>
      <c r="Z33" s="1143"/>
      <c r="AA33" s="1143"/>
      <c r="AB33" s="1144"/>
      <c r="AC33" s="25"/>
      <c r="AD33" s="41" t="s">
        <v>131</v>
      </c>
      <c r="AE33" s="25"/>
      <c r="AF33" s="1142"/>
      <c r="AG33" s="1143"/>
      <c r="AH33" s="1143"/>
      <c r="AI33" s="1143"/>
      <c r="AJ33" s="1145"/>
      <c r="AK33" s="42">
        <v>150</v>
      </c>
      <c r="AL33" s="29" t="s">
        <v>73</v>
      </c>
      <c r="AM33" s="29" t="s">
        <v>73</v>
      </c>
      <c r="AN33" s="29" t="s">
        <v>73</v>
      </c>
      <c r="AO33" s="29" t="s">
        <v>73</v>
      </c>
      <c r="AP33" s="29" t="s">
        <v>73</v>
      </c>
      <c r="AQ33" s="29">
        <v>150</v>
      </c>
      <c r="AR33" s="29" t="s">
        <v>73</v>
      </c>
      <c r="AS33" s="29" t="s">
        <v>73</v>
      </c>
      <c r="AT33" s="29" t="s">
        <v>73</v>
      </c>
      <c r="AU33" s="29" t="s">
        <v>73</v>
      </c>
      <c r="AV33" s="29" t="s">
        <v>73</v>
      </c>
      <c r="AW33" s="29" t="s">
        <v>73</v>
      </c>
      <c r="AX33" s="29">
        <v>150</v>
      </c>
      <c r="AY33" s="18" t="s">
        <v>6</v>
      </c>
      <c r="AZ33" s="2" t="s">
        <v>74</v>
      </c>
      <c r="BA33" s="2"/>
      <c r="BB33" s="29" t="s">
        <v>132</v>
      </c>
      <c r="BC33" t="s">
        <v>75</v>
      </c>
    </row>
    <row r="34" spans="1:55" ht="57.75" customHeight="1" x14ac:dyDescent="0.25">
      <c r="A34" s="19">
        <v>2026</v>
      </c>
      <c r="B34" s="20">
        <v>479</v>
      </c>
      <c r="C34" s="21" t="s">
        <v>64</v>
      </c>
      <c r="D34" s="21" t="s">
        <v>65</v>
      </c>
      <c r="E34" s="20">
        <v>125</v>
      </c>
      <c r="F34" s="20">
        <v>3000654</v>
      </c>
      <c r="G34" s="20">
        <v>5005023</v>
      </c>
      <c r="H34" s="20">
        <v>3</v>
      </c>
      <c r="I34" s="20">
        <v>12</v>
      </c>
      <c r="J34" s="20">
        <v>24</v>
      </c>
      <c r="K34" s="20">
        <v>135560</v>
      </c>
      <c r="L34" s="21" t="s">
        <v>98</v>
      </c>
      <c r="M34" s="22" t="s">
        <v>99</v>
      </c>
      <c r="N34" s="19">
        <v>94</v>
      </c>
      <c r="O34" s="2"/>
      <c r="P34" s="2" t="s">
        <v>4</v>
      </c>
      <c r="Q34" s="20" t="s">
        <v>68</v>
      </c>
      <c r="R34" s="25" t="s">
        <v>69</v>
      </c>
      <c r="S34" s="25" t="s">
        <v>108</v>
      </c>
      <c r="T34" s="40">
        <v>443600250053</v>
      </c>
      <c r="U34" s="31" t="s">
        <v>133</v>
      </c>
      <c r="V34" s="25" t="s">
        <v>110</v>
      </c>
      <c r="W34" s="25">
        <v>1</v>
      </c>
      <c r="X34" s="25">
        <v>130</v>
      </c>
      <c r="Y34" s="1142"/>
      <c r="Z34" s="1143"/>
      <c r="AA34" s="1143"/>
      <c r="AB34" s="1144"/>
      <c r="AC34" s="25"/>
      <c r="AD34" s="41" t="s">
        <v>134</v>
      </c>
      <c r="AE34" s="25"/>
      <c r="AF34" s="1142"/>
      <c r="AG34" s="1143"/>
      <c r="AH34" s="1143"/>
      <c r="AI34" s="1143"/>
      <c r="AJ34" s="1145"/>
      <c r="AK34" s="42">
        <v>130</v>
      </c>
      <c r="AL34" s="29" t="s">
        <v>73</v>
      </c>
      <c r="AM34" s="29" t="s">
        <v>73</v>
      </c>
      <c r="AN34" s="29" t="s">
        <v>73</v>
      </c>
      <c r="AO34" s="29" t="s">
        <v>73</v>
      </c>
      <c r="AP34" s="29" t="s">
        <v>73</v>
      </c>
      <c r="AQ34" s="29">
        <v>130</v>
      </c>
      <c r="AR34" s="29" t="s">
        <v>73</v>
      </c>
      <c r="AS34" s="29" t="s">
        <v>73</v>
      </c>
      <c r="AT34" s="29" t="s">
        <v>73</v>
      </c>
      <c r="AU34" s="29" t="s">
        <v>73</v>
      </c>
      <c r="AV34" s="29" t="s">
        <v>73</v>
      </c>
      <c r="AW34" s="29" t="s">
        <v>73</v>
      </c>
      <c r="AX34" s="29">
        <v>130</v>
      </c>
      <c r="AY34" s="18" t="s">
        <v>6</v>
      </c>
      <c r="AZ34" s="2" t="s">
        <v>74</v>
      </c>
      <c r="BA34" s="2"/>
      <c r="BB34" s="29" t="s">
        <v>135</v>
      </c>
      <c r="BC34" t="s">
        <v>75</v>
      </c>
    </row>
    <row r="35" spans="1:55" ht="51" x14ac:dyDescent="0.25">
      <c r="A35" s="19">
        <v>2026</v>
      </c>
      <c r="B35" s="20">
        <v>479</v>
      </c>
      <c r="C35" s="21" t="s">
        <v>64</v>
      </c>
      <c r="D35" s="21" t="s">
        <v>65</v>
      </c>
      <c r="E35" s="20">
        <v>125</v>
      </c>
      <c r="F35" s="20">
        <v>3000654</v>
      </c>
      <c r="G35" s="20">
        <v>5005023</v>
      </c>
      <c r="H35" s="20">
        <v>3</v>
      </c>
      <c r="I35" s="20">
        <v>12</v>
      </c>
      <c r="J35" s="20">
        <v>24</v>
      </c>
      <c r="K35" s="20">
        <v>135560</v>
      </c>
      <c r="L35" s="21" t="s">
        <v>98</v>
      </c>
      <c r="M35" s="22" t="s">
        <v>99</v>
      </c>
      <c r="N35" s="19">
        <v>94</v>
      </c>
      <c r="O35" s="2"/>
      <c r="P35" s="2" t="s">
        <v>4</v>
      </c>
      <c r="Q35" s="20" t="s">
        <v>68</v>
      </c>
      <c r="R35" s="25" t="s">
        <v>69</v>
      </c>
      <c r="S35" s="41" t="s">
        <v>85</v>
      </c>
      <c r="T35" s="41">
        <v>942500010037</v>
      </c>
      <c r="U35" s="31" t="s">
        <v>136</v>
      </c>
      <c r="V35" s="25" t="s">
        <v>72</v>
      </c>
      <c r="W35" s="25">
        <v>1</v>
      </c>
      <c r="X35" s="27">
        <v>20000</v>
      </c>
      <c r="Y35" s="1142"/>
      <c r="Z35" s="1143"/>
      <c r="AA35" s="1143"/>
      <c r="AB35" s="1144"/>
      <c r="AC35" s="25"/>
      <c r="AD35" s="25">
        <v>1</v>
      </c>
      <c r="AE35" s="25"/>
      <c r="AF35" s="1142"/>
      <c r="AG35" s="1143"/>
      <c r="AH35" s="1143"/>
      <c r="AI35" s="1143"/>
      <c r="AJ35" s="1145"/>
      <c r="AK35" s="35">
        <v>20000</v>
      </c>
      <c r="AL35" s="29" t="s">
        <v>73</v>
      </c>
      <c r="AM35" s="29" t="s">
        <v>73</v>
      </c>
      <c r="AN35" s="29" t="s">
        <v>73</v>
      </c>
      <c r="AO35" s="29" t="s">
        <v>73</v>
      </c>
      <c r="AP35" s="29" t="s">
        <v>73</v>
      </c>
      <c r="AQ35" s="30">
        <v>20000</v>
      </c>
      <c r="AR35" s="29" t="s">
        <v>73</v>
      </c>
      <c r="AS35" s="29" t="s">
        <v>73</v>
      </c>
      <c r="AT35" s="29" t="s">
        <v>73</v>
      </c>
      <c r="AU35" s="29" t="s">
        <v>73</v>
      </c>
      <c r="AV35" s="29" t="s">
        <v>73</v>
      </c>
      <c r="AW35" s="29" t="s">
        <v>73</v>
      </c>
      <c r="AX35" s="30">
        <v>20000</v>
      </c>
      <c r="AY35" s="18" t="s">
        <v>6</v>
      </c>
      <c r="AZ35" s="2" t="s">
        <v>74</v>
      </c>
      <c r="BA35" s="2"/>
      <c r="BB35" s="31" t="s">
        <v>136</v>
      </c>
      <c r="BC35" t="s">
        <v>75</v>
      </c>
    </row>
    <row r="36" spans="1:55" ht="51" x14ac:dyDescent="0.25">
      <c r="A36" s="19">
        <v>2026</v>
      </c>
      <c r="B36" s="20">
        <v>479</v>
      </c>
      <c r="C36" s="21" t="s">
        <v>64</v>
      </c>
      <c r="D36" s="21" t="s">
        <v>65</v>
      </c>
      <c r="E36" s="20">
        <v>125</v>
      </c>
      <c r="F36" s="20">
        <v>3000654</v>
      </c>
      <c r="G36" s="20">
        <v>5005023</v>
      </c>
      <c r="H36" s="20">
        <v>3</v>
      </c>
      <c r="I36" s="20">
        <v>12</v>
      </c>
      <c r="J36" s="20">
        <v>24</v>
      </c>
      <c r="K36" s="20">
        <v>135560</v>
      </c>
      <c r="L36" s="21" t="s">
        <v>66</v>
      </c>
      <c r="M36" s="43" t="s">
        <v>67</v>
      </c>
      <c r="N36" s="19">
        <v>95</v>
      </c>
      <c r="O36" s="2"/>
      <c r="P36" s="2" t="s">
        <v>4</v>
      </c>
      <c r="Q36" s="20" t="s">
        <v>68</v>
      </c>
      <c r="R36" s="25" t="s">
        <v>69</v>
      </c>
      <c r="S36" s="25" t="s">
        <v>137</v>
      </c>
      <c r="T36" s="25"/>
      <c r="U36" s="31" t="s">
        <v>138</v>
      </c>
      <c r="V36" s="25" t="s">
        <v>3</v>
      </c>
      <c r="W36" s="25">
        <v>2</v>
      </c>
      <c r="X36" s="27">
        <v>6000</v>
      </c>
      <c r="Y36" s="1142"/>
      <c r="Z36" s="1143"/>
      <c r="AA36" s="1143"/>
      <c r="AB36" s="1144"/>
      <c r="AC36" s="25">
        <v>30</v>
      </c>
      <c r="AD36" s="25">
        <v>30</v>
      </c>
      <c r="AE36" s="1142"/>
      <c r="AF36" s="1143"/>
      <c r="AG36" s="1143"/>
      <c r="AH36" s="1143"/>
      <c r="AI36" s="1143"/>
      <c r="AJ36" s="1145"/>
      <c r="AK36" s="35">
        <v>24000</v>
      </c>
      <c r="AL36" s="29" t="s">
        <v>73</v>
      </c>
      <c r="AM36" s="29" t="s">
        <v>73</v>
      </c>
      <c r="AN36" s="29" t="s">
        <v>73</v>
      </c>
      <c r="AO36" s="29" t="s">
        <v>73</v>
      </c>
      <c r="AP36" s="30">
        <v>12000</v>
      </c>
      <c r="AQ36" s="30">
        <v>12000</v>
      </c>
      <c r="AR36" s="29" t="s">
        <v>73</v>
      </c>
      <c r="AS36" s="29" t="s">
        <v>73</v>
      </c>
      <c r="AT36" s="29" t="s">
        <v>73</v>
      </c>
      <c r="AU36" s="29" t="s">
        <v>73</v>
      </c>
      <c r="AV36" s="29" t="s">
        <v>73</v>
      </c>
      <c r="AW36" s="29" t="s">
        <v>73</v>
      </c>
      <c r="AX36" s="30">
        <v>24000</v>
      </c>
      <c r="AY36" s="30" t="s">
        <v>7</v>
      </c>
      <c r="AZ36" s="2" t="s">
        <v>74</v>
      </c>
      <c r="BA36" s="2"/>
    </row>
    <row r="37" spans="1:55" ht="51" x14ac:dyDescent="0.25">
      <c r="A37" s="19">
        <v>2026</v>
      </c>
      <c r="B37" s="20">
        <v>479</v>
      </c>
      <c r="C37" s="21" t="s">
        <v>64</v>
      </c>
      <c r="D37" s="21" t="s">
        <v>65</v>
      </c>
      <c r="E37" s="20">
        <v>125</v>
      </c>
      <c r="F37" s="20">
        <v>3000654</v>
      </c>
      <c r="G37" s="20">
        <v>5005023</v>
      </c>
      <c r="H37" s="20">
        <v>3</v>
      </c>
      <c r="I37" s="20">
        <v>12</v>
      </c>
      <c r="J37" s="20">
        <v>24</v>
      </c>
      <c r="K37" s="20">
        <v>135560</v>
      </c>
      <c r="L37" s="21" t="s">
        <v>66</v>
      </c>
      <c r="M37" s="43" t="s">
        <v>67</v>
      </c>
      <c r="N37" s="19">
        <v>95</v>
      </c>
      <c r="O37" s="2"/>
      <c r="P37" s="2" t="s">
        <v>4</v>
      </c>
      <c r="Q37" s="20" t="s">
        <v>68</v>
      </c>
      <c r="R37" s="25" t="s">
        <v>69</v>
      </c>
      <c r="S37" s="25" t="s">
        <v>137</v>
      </c>
      <c r="T37" s="25"/>
      <c r="U37" s="31" t="s">
        <v>139</v>
      </c>
      <c r="V37" s="25" t="s">
        <v>3</v>
      </c>
      <c r="W37" s="25">
        <v>2</v>
      </c>
      <c r="X37" s="27">
        <v>6500</v>
      </c>
      <c r="Y37" s="1142"/>
      <c r="Z37" s="1143"/>
      <c r="AA37" s="1143"/>
      <c r="AB37" s="1144"/>
      <c r="AC37" s="25">
        <v>30</v>
      </c>
      <c r="AD37" s="25">
        <v>30</v>
      </c>
      <c r="AE37" s="1142"/>
      <c r="AF37" s="1143"/>
      <c r="AG37" s="1143"/>
      <c r="AH37" s="1143"/>
      <c r="AI37" s="1143"/>
      <c r="AJ37" s="1145"/>
      <c r="AK37" s="35">
        <v>26000</v>
      </c>
      <c r="AL37" s="29" t="s">
        <v>73</v>
      </c>
      <c r="AM37" s="29" t="s">
        <v>73</v>
      </c>
      <c r="AN37" s="29" t="s">
        <v>73</v>
      </c>
      <c r="AO37" s="29" t="s">
        <v>73</v>
      </c>
      <c r="AP37" s="30">
        <v>13000</v>
      </c>
      <c r="AQ37" s="30">
        <v>13000</v>
      </c>
      <c r="AR37" s="29" t="s">
        <v>73</v>
      </c>
      <c r="AS37" s="29" t="s">
        <v>73</v>
      </c>
      <c r="AT37" s="29" t="s">
        <v>73</v>
      </c>
      <c r="AU37" s="29" t="s">
        <v>73</v>
      </c>
      <c r="AV37" s="29" t="s">
        <v>73</v>
      </c>
      <c r="AW37" s="29" t="s">
        <v>73</v>
      </c>
      <c r="AX37" s="30">
        <v>26000</v>
      </c>
      <c r="AY37" s="30" t="s">
        <v>7</v>
      </c>
      <c r="AZ37" s="2" t="s">
        <v>74</v>
      </c>
      <c r="BA37" s="2"/>
    </row>
    <row r="38" spans="1:55" ht="51" x14ac:dyDescent="0.25">
      <c r="A38" s="19">
        <v>2026</v>
      </c>
      <c r="B38" s="20">
        <v>479</v>
      </c>
      <c r="C38" s="21" t="s">
        <v>64</v>
      </c>
      <c r="D38" s="21" t="s">
        <v>65</v>
      </c>
      <c r="E38" s="20">
        <v>125</v>
      </c>
      <c r="F38" s="20">
        <v>3000654</v>
      </c>
      <c r="G38" s="20">
        <v>5005023</v>
      </c>
      <c r="H38" s="20">
        <v>3</v>
      </c>
      <c r="I38" s="20">
        <v>12</v>
      </c>
      <c r="J38" s="20">
        <v>24</v>
      </c>
      <c r="K38" s="20">
        <v>135560</v>
      </c>
      <c r="L38" s="21" t="s">
        <v>66</v>
      </c>
      <c r="M38" s="43" t="s">
        <v>67</v>
      </c>
      <c r="N38" s="19">
        <v>95</v>
      </c>
      <c r="O38" s="2"/>
      <c r="P38" s="2" t="s">
        <v>4</v>
      </c>
      <c r="Q38" s="20" t="s">
        <v>68</v>
      </c>
      <c r="R38" s="25" t="s">
        <v>69</v>
      </c>
      <c r="S38" s="25" t="s">
        <v>137</v>
      </c>
      <c r="T38" s="25"/>
      <c r="U38" s="31" t="s">
        <v>140</v>
      </c>
      <c r="V38" s="25" t="s">
        <v>3</v>
      </c>
      <c r="W38" s="25">
        <v>2</v>
      </c>
      <c r="X38" s="27">
        <v>6000</v>
      </c>
      <c r="Y38" s="1142"/>
      <c r="Z38" s="1143"/>
      <c r="AA38" s="1143"/>
      <c r="AB38" s="1144"/>
      <c r="AC38" s="25">
        <v>30</v>
      </c>
      <c r="AD38" s="25">
        <v>30</v>
      </c>
      <c r="AE38" s="1142"/>
      <c r="AF38" s="1143"/>
      <c r="AG38" s="1143"/>
      <c r="AH38" s="1143"/>
      <c r="AI38" s="1143"/>
      <c r="AJ38" s="1145"/>
      <c r="AK38" s="35">
        <v>24000</v>
      </c>
      <c r="AL38" s="29" t="s">
        <v>73</v>
      </c>
      <c r="AM38" s="29" t="s">
        <v>73</v>
      </c>
      <c r="AN38" s="29" t="s">
        <v>73</v>
      </c>
      <c r="AO38" s="29" t="s">
        <v>73</v>
      </c>
      <c r="AP38" s="30">
        <v>12000</v>
      </c>
      <c r="AQ38" s="30">
        <v>12000</v>
      </c>
      <c r="AR38" s="29" t="s">
        <v>73</v>
      </c>
      <c r="AS38" s="29" t="s">
        <v>73</v>
      </c>
      <c r="AT38" s="29" t="s">
        <v>73</v>
      </c>
      <c r="AU38" s="29" t="s">
        <v>73</v>
      </c>
      <c r="AV38" s="29" t="s">
        <v>73</v>
      </c>
      <c r="AW38" s="29" t="s">
        <v>73</v>
      </c>
      <c r="AX38" s="30">
        <v>24000</v>
      </c>
      <c r="AY38" s="30" t="s">
        <v>7</v>
      </c>
      <c r="AZ38" s="2" t="s">
        <v>74</v>
      </c>
      <c r="BA38" s="2"/>
    </row>
    <row r="39" spans="1:55" ht="51" x14ac:dyDescent="0.25">
      <c r="A39" s="19">
        <v>2026</v>
      </c>
      <c r="B39" s="20">
        <v>479</v>
      </c>
      <c r="C39" s="21" t="s">
        <v>64</v>
      </c>
      <c r="D39" s="21" t="s">
        <v>65</v>
      </c>
      <c r="E39" s="20">
        <v>125</v>
      </c>
      <c r="F39" s="20">
        <v>3000654</v>
      </c>
      <c r="G39" s="20">
        <v>5005023</v>
      </c>
      <c r="H39" s="20">
        <v>3</v>
      </c>
      <c r="I39" s="20">
        <v>12</v>
      </c>
      <c r="J39" s="20">
        <v>24</v>
      </c>
      <c r="K39" s="20">
        <v>135560</v>
      </c>
      <c r="L39" s="21" t="s">
        <v>66</v>
      </c>
      <c r="M39" s="43" t="s">
        <v>67</v>
      </c>
      <c r="N39" s="19">
        <v>95</v>
      </c>
      <c r="O39" s="2"/>
      <c r="P39" s="2" t="s">
        <v>4</v>
      </c>
      <c r="Q39" s="20" t="s">
        <v>68</v>
      </c>
      <c r="R39" s="25" t="s">
        <v>69</v>
      </c>
      <c r="S39" s="25" t="s">
        <v>137</v>
      </c>
      <c r="T39" s="25"/>
      <c r="U39" s="31" t="s">
        <v>141</v>
      </c>
      <c r="V39" s="25" t="s">
        <v>3</v>
      </c>
      <c r="W39" s="25">
        <v>3</v>
      </c>
      <c r="X39" s="27">
        <v>5500</v>
      </c>
      <c r="Y39" s="1142"/>
      <c r="Z39" s="1143"/>
      <c r="AA39" s="1143"/>
      <c r="AB39" s="1144"/>
      <c r="AC39" s="25">
        <v>30</v>
      </c>
      <c r="AD39" s="25">
        <v>30</v>
      </c>
      <c r="AE39" s="1142"/>
      <c r="AF39" s="1143"/>
      <c r="AG39" s="1143"/>
      <c r="AH39" s="1143"/>
      <c r="AI39" s="1143"/>
      <c r="AJ39" s="1145"/>
      <c r="AK39" s="35">
        <v>33000</v>
      </c>
      <c r="AL39" s="29" t="s">
        <v>73</v>
      </c>
      <c r="AM39" s="29" t="s">
        <v>73</v>
      </c>
      <c r="AN39" s="29" t="s">
        <v>73</v>
      </c>
      <c r="AO39" s="29" t="s">
        <v>73</v>
      </c>
      <c r="AP39" s="30">
        <v>16500</v>
      </c>
      <c r="AQ39" s="30">
        <v>16500</v>
      </c>
      <c r="AR39" s="29" t="s">
        <v>73</v>
      </c>
      <c r="AS39" s="29" t="s">
        <v>73</v>
      </c>
      <c r="AT39" s="29" t="s">
        <v>73</v>
      </c>
      <c r="AU39" s="29" t="s">
        <v>73</v>
      </c>
      <c r="AV39" s="29" t="s">
        <v>73</v>
      </c>
      <c r="AW39" s="29" t="s">
        <v>73</v>
      </c>
      <c r="AX39" s="30">
        <v>33000</v>
      </c>
      <c r="AY39" s="30" t="s">
        <v>7</v>
      </c>
      <c r="AZ39" s="2" t="s">
        <v>74</v>
      </c>
      <c r="BA39" s="2"/>
    </row>
    <row r="40" spans="1:55" ht="51" x14ac:dyDescent="0.25">
      <c r="A40" s="19">
        <v>2026</v>
      </c>
      <c r="B40" s="20">
        <v>479</v>
      </c>
      <c r="C40" s="21" t="s">
        <v>64</v>
      </c>
      <c r="D40" s="21" t="s">
        <v>65</v>
      </c>
      <c r="E40" s="20">
        <v>125</v>
      </c>
      <c r="F40" s="20">
        <v>3000654</v>
      </c>
      <c r="G40" s="20">
        <v>5005023</v>
      </c>
      <c r="H40" s="20">
        <v>3</v>
      </c>
      <c r="I40" s="20">
        <v>12</v>
      </c>
      <c r="J40" s="20">
        <v>24</v>
      </c>
      <c r="K40" s="20">
        <v>135560</v>
      </c>
      <c r="L40" s="21" t="s">
        <v>66</v>
      </c>
      <c r="M40" s="43" t="s">
        <v>67</v>
      </c>
      <c r="N40" s="19">
        <v>95</v>
      </c>
      <c r="O40" s="2"/>
      <c r="P40" s="2" t="s">
        <v>4</v>
      </c>
      <c r="Q40" s="20" t="s">
        <v>68</v>
      </c>
      <c r="R40" s="25" t="s">
        <v>69</v>
      </c>
      <c r="S40" s="25" t="s">
        <v>137</v>
      </c>
      <c r="T40" s="25"/>
      <c r="U40" s="31" t="s">
        <v>142</v>
      </c>
      <c r="V40" s="25" t="s">
        <v>3</v>
      </c>
      <c r="W40" s="25">
        <v>2</v>
      </c>
      <c r="X40" s="27">
        <v>7000</v>
      </c>
      <c r="Y40" s="1142"/>
      <c r="Z40" s="1143"/>
      <c r="AA40" s="1143"/>
      <c r="AB40" s="1144"/>
      <c r="AC40" s="25">
        <v>30</v>
      </c>
      <c r="AD40" s="25">
        <v>30</v>
      </c>
      <c r="AE40" s="1142"/>
      <c r="AF40" s="1143"/>
      <c r="AG40" s="1143"/>
      <c r="AH40" s="1143"/>
      <c r="AI40" s="1143"/>
      <c r="AJ40" s="1145"/>
      <c r="AK40" s="35">
        <v>28000</v>
      </c>
      <c r="AL40" s="29" t="s">
        <v>73</v>
      </c>
      <c r="AM40" s="29" t="s">
        <v>73</v>
      </c>
      <c r="AN40" s="29" t="s">
        <v>73</v>
      </c>
      <c r="AO40" s="29" t="s">
        <v>73</v>
      </c>
      <c r="AP40" s="30">
        <v>14000</v>
      </c>
      <c r="AQ40" s="30">
        <v>14000</v>
      </c>
      <c r="AR40" s="29" t="s">
        <v>73</v>
      </c>
      <c r="AS40" s="29" t="s">
        <v>73</v>
      </c>
      <c r="AT40" s="29" t="s">
        <v>73</v>
      </c>
      <c r="AU40" s="29" t="s">
        <v>73</v>
      </c>
      <c r="AV40" s="29" t="s">
        <v>73</v>
      </c>
      <c r="AW40" s="29" t="s">
        <v>73</v>
      </c>
      <c r="AX40" s="30">
        <v>28000</v>
      </c>
      <c r="AY40" s="30" t="s">
        <v>7</v>
      </c>
      <c r="AZ40" s="2" t="s">
        <v>74</v>
      </c>
      <c r="BA40" s="2"/>
    </row>
    <row r="41" spans="1:55" ht="51" x14ac:dyDescent="0.25">
      <c r="A41" s="19">
        <v>2026</v>
      </c>
      <c r="B41" s="20">
        <v>479</v>
      </c>
      <c r="C41" s="21" t="s">
        <v>64</v>
      </c>
      <c r="D41" s="21" t="s">
        <v>65</v>
      </c>
      <c r="E41" s="20">
        <v>125</v>
      </c>
      <c r="F41" s="20">
        <v>3000654</v>
      </c>
      <c r="G41" s="20">
        <v>5005023</v>
      </c>
      <c r="H41" s="20">
        <v>3</v>
      </c>
      <c r="I41" s="20">
        <v>12</v>
      </c>
      <c r="J41" s="20">
        <v>24</v>
      </c>
      <c r="K41" s="20">
        <v>135560</v>
      </c>
      <c r="L41" s="21" t="s">
        <v>66</v>
      </c>
      <c r="M41" s="43" t="s">
        <v>67</v>
      </c>
      <c r="N41" s="19">
        <v>95</v>
      </c>
      <c r="O41" s="2"/>
      <c r="P41" s="2" t="s">
        <v>4</v>
      </c>
      <c r="Q41" s="20" t="s">
        <v>68</v>
      </c>
      <c r="R41" s="25" t="s">
        <v>69</v>
      </c>
      <c r="S41" s="25" t="s">
        <v>137</v>
      </c>
      <c r="T41" s="25"/>
      <c r="U41" s="31" t="s">
        <v>143</v>
      </c>
      <c r="V41" s="25" t="s">
        <v>3</v>
      </c>
      <c r="W41" s="25">
        <v>1</v>
      </c>
      <c r="X41" s="27">
        <v>6500</v>
      </c>
      <c r="Y41" s="1142"/>
      <c r="Z41" s="1143"/>
      <c r="AA41" s="1143"/>
      <c r="AB41" s="1144"/>
      <c r="AC41" s="25">
        <v>30</v>
      </c>
      <c r="AD41" s="25">
        <v>30</v>
      </c>
      <c r="AE41" s="1142"/>
      <c r="AF41" s="1143"/>
      <c r="AG41" s="1143"/>
      <c r="AH41" s="1143"/>
      <c r="AI41" s="1143"/>
      <c r="AJ41" s="1145"/>
      <c r="AK41" s="35">
        <v>13000</v>
      </c>
      <c r="AL41" s="29" t="s">
        <v>73</v>
      </c>
      <c r="AM41" s="29" t="s">
        <v>73</v>
      </c>
      <c r="AN41" s="29" t="s">
        <v>73</v>
      </c>
      <c r="AO41" s="29" t="s">
        <v>73</v>
      </c>
      <c r="AP41" s="30">
        <v>6500</v>
      </c>
      <c r="AQ41" s="30">
        <v>6500</v>
      </c>
      <c r="AR41" s="29" t="s">
        <v>73</v>
      </c>
      <c r="AS41" s="29" t="s">
        <v>73</v>
      </c>
      <c r="AT41" s="29" t="s">
        <v>73</v>
      </c>
      <c r="AU41" s="29" t="s">
        <v>73</v>
      </c>
      <c r="AV41" s="29" t="s">
        <v>73</v>
      </c>
      <c r="AW41" s="29" t="s">
        <v>73</v>
      </c>
      <c r="AX41" s="30">
        <v>13000</v>
      </c>
      <c r="AY41" s="30" t="s">
        <v>7</v>
      </c>
      <c r="AZ41" s="2" t="s">
        <v>74</v>
      </c>
      <c r="BA41" s="2"/>
    </row>
    <row r="42" spans="1:55" ht="51" x14ac:dyDescent="0.25">
      <c r="A42" s="19">
        <v>2026</v>
      </c>
      <c r="B42" s="20">
        <v>479</v>
      </c>
      <c r="C42" s="21" t="s">
        <v>64</v>
      </c>
      <c r="D42" s="21" t="s">
        <v>65</v>
      </c>
      <c r="E42" s="20">
        <v>125</v>
      </c>
      <c r="F42" s="20">
        <v>3000654</v>
      </c>
      <c r="G42" s="20">
        <v>5005023</v>
      </c>
      <c r="H42" s="20">
        <v>3</v>
      </c>
      <c r="I42" s="20">
        <v>12</v>
      </c>
      <c r="J42" s="20">
        <v>24</v>
      </c>
      <c r="K42" s="20">
        <v>135560</v>
      </c>
      <c r="L42" s="21" t="s">
        <v>66</v>
      </c>
      <c r="M42" s="43" t="s">
        <v>67</v>
      </c>
      <c r="N42" s="19">
        <v>95</v>
      </c>
      <c r="O42" s="2"/>
      <c r="P42" s="2" t="s">
        <v>4</v>
      </c>
      <c r="Q42" s="20" t="s">
        <v>68</v>
      </c>
      <c r="R42" s="25" t="s">
        <v>69</v>
      </c>
      <c r="S42" s="37" t="s">
        <v>137</v>
      </c>
      <c r="T42" s="37"/>
      <c r="U42" s="38" t="s">
        <v>144</v>
      </c>
      <c r="V42" s="37" t="s">
        <v>3</v>
      </c>
      <c r="W42" s="37">
        <v>1</v>
      </c>
      <c r="X42" s="39">
        <v>5500</v>
      </c>
      <c r="Y42" s="1142"/>
      <c r="Z42" s="1143"/>
      <c r="AA42" s="1143"/>
      <c r="AB42" s="1144"/>
      <c r="AC42" s="37">
        <v>30</v>
      </c>
      <c r="AD42" s="37">
        <v>30</v>
      </c>
      <c r="AE42" s="1142"/>
      <c r="AF42" s="1143"/>
      <c r="AG42" s="1143"/>
      <c r="AH42" s="1143"/>
      <c r="AI42" s="1143"/>
      <c r="AJ42" s="1145"/>
      <c r="AK42" s="35">
        <v>11000</v>
      </c>
      <c r="AL42" s="29" t="s">
        <v>73</v>
      </c>
      <c r="AM42" s="29" t="s">
        <v>73</v>
      </c>
      <c r="AN42" s="29" t="s">
        <v>73</v>
      </c>
      <c r="AO42" s="29" t="s">
        <v>73</v>
      </c>
      <c r="AP42" s="30">
        <v>5500</v>
      </c>
      <c r="AQ42" s="30">
        <v>5500</v>
      </c>
      <c r="AR42" s="29" t="s">
        <v>73</v>
      </c>
      <c r="AS42" s="29" t="s">
        <v>73</v>
      </c>
      <c r="AT42" s="29" t="s">
        <v>73</v>
      </c>
      <c r="AU42" s="29" t="s">
        <v>73</v>
      </c>
      <c r="AV42" s="29" t="s">
        <v>73</v>
      </c>
      <c r="AW42" s="29" t="s">
        <v>73</v>
      </c>
      <c r="AX42" s="30">
        <v>11000</v>
      </c>
      <c r="AY42" s="30" t="s">
        <v>7</v>
      </c>
      <c r="AZ42" s="2" t="s">
        <v>74</v>
      </c>
      <c r="BA42" s="2"/>
    </row>
    <row r="43" spans="1:55" ht="51" x14ac:dyDescent="0.25">
      <c r="A43" s="19">
        <v>2026</v>
      </c>
      <c r="B43" s="20">
        <v>479</v>
      </c>
      <c r="C43" s="21" t="s">
        <v>64</v>
      </c>
      <c r="D43" s="21" t="s">
        <v>65</v>
      </c>
      <c r="E43" s="20">
        <v>125</v>
      </c>
      <c r="F43" s="20">
        <v>3000654</v>
      </c>
      <c r="G43" s="20">
        <v>5005023</v>
      </c>
      <c r="H43" s="20">
        <v>3</v>
      </c>
      <c r="I43" s="20">
        <v>12</v>
      </c>
      <c r="J43" s="20">
        <v>24</v>
      </c>
      <c r="K43" s="20">
        <v>135560</v>
      </c>
      <c r="L43" s="21" t="s">
        <v>66</v>
      </c>
      <c r="M43" s="43" t="s">
        <v>67</v>
      </c>
      <c r="N43" s="19">
        <v>95</v>
      </c>
      <c r="O43" s="2"/>
      <c r="P43" s="2" t="s">
        <v>4</v>
      </c>
      <c r="Q43" s="20" t="s">
        <v>68</v>
      </c>
      <c r="R43" s="25" t="s">
        <v>69</v>
      </c>
      <c r="S43" s="25" t="s">
        <v>137</v>
      </c>
      <c r="T43" s="25"/>
      <c r="U43" s="31" t="s">
        <v>145</v>
      </c>
      <c r="V43" s="25" t="s">
        <v>3</v>
      </c>
      <c r="W43" s="25">
        <v>1</v>
      </c>
      <c r="X43" s="27">
        <v>7000</v>
      </c>
      <c r="Y43" s="1142"/>
      <c r="Z43" s="1143"/>
      <c r="AA43" s="1143"/>
      <c r="AB43" s="1144"/>
      <c r="AC43" s="25">
        <v>30</v>
      </c>
      <c r="AD43" s="25">
        <v>30</v>
      </c>
      <c r="AE43" s="1142"/>
      <c r="AF43" s="1143"/>
      <c r="AG43" s="1143"/>
      <c r="AH43" s="1143"/>
      <c r="AI43" s="1143"/>
      <c r="AJ43" s="1145"/>
      <c r="AK43" s="35">
        <v>14000</v>
      </c>
      <c r="AL43" s="29" t="s">
        <v>73</v>
      </c>
      <c r="AM43" s="29" t="s">
        <v>73</v>
      </c>
      <c r="AN43" s="29" t="s">
        <v>73</v>
      </c>
      <c r="AO43" s="29" t="s">
        <v>73</v>
      </c>
      <c r="AP43" s="30">
        <v>7000</v>
      </c>
      <c r="AQ43" s="30">
        <v>7000</v>
      </c>
      <c r="AR43" s="29" t="s">
        <v>73</v>
      </c>
      <c r="AS43" s="29" t="s">
        <v>73</v>
      </c>
      <c r="AT43" s="29" t="s">
        <v>73</v>
      </c>
      <c r="AU43" s="29" t="s">
        <v>73</v>
      </c>
      <c r="AV43" s="29" t="s">
        <v>73</v>
      </c>
      <c r="AW43" s="29" t="s">
        <v>73</v>
      </c>
      <c r="AX43" s="30">
        <v>14000</v>
      </c>
      <c r="AY43" s="30" t="s">
        <v>7</v>
      </c>
      <c r="AZ43" s="2" t="s">
        <v>74</v>
      </c>
      <c r="BA43" s="2"/>
    </row>
    <row r="44" spans="1:55" ht="51" x14ac:dyDescent="0.25">
      <c r="A44" s="19">
        <v>2026</v>
      </c>
      <c r="B44" s="20">
        <v>479</v>
      </c>
      <c r="C44" s="21" t="s">
        <v>64</v>
      </c>
      <c r="D44" s="21" t="s">
        <v>65</v>
      </c>
      <c r="E44" s="20">
        <v>125</v>
      </c>
      <c r="F44" s="20">
        <v>3000654</v>
      </c>
      <c r="G44" s="20">
        <v>5005023</v>
      </c>
      <c r="H44" s="20">
        <v>3</v>
      </c>
      <c r="I44" s="20">
        <v>12</v>
      </c>
      <c r="J44" s="20">
        <v>24</v>
      </c>
      <c r="K44" s="20">
        <v>135560</v>
      </c>
      <c r="L44" s="21" t="s">
        <v>66</v>
      </c>
      <c r="M44" s="43" t="s">
        <v>67</v>
      </c>
      <c r="N44" s="19">
        <v>95</v>
      </c>
      <c r="O44" s="2"/>
      <c r="P44" s="2" t="s">
        <v>4</v>
      </c>
      <c r="Q44" s="20" t="s">
        <v>68</v>
      </c>
      <c r="R44" s="25" t="s">
        <v>69</v>
      </c>
      <c r="S44" s="25" t="s">
        <v>137</v>
      </c>
      <c r="T44" s="25"/>
      <c r="U44" s="31" t="s">
        <v>146</v>
      </c>
      <c r="V44" s="25" t="s">
        <v>3</v>
      </c>
      <c r="W44" s="25">
        <v>1</v>
      </c>
      <c r="X44" s="27">
        <v>12000</v>
      </c>
      <c r="Y44" s="1142"/>
      <c r="Z44" s="1143"/>
      <c r="AA44" s="1143"/>
      <c r="AB44" s="1144"/>
      <c r="AC44" s="25">
        <v>30</v>
      </c>
      <c r="AD44" s="25">
        <v>30</v>
      </c>
      <c r="AE44" s="1142"/>
      <c r="AF44" s="1143"/>
      <c r="AG44" s="1143"/>
      <c r="AH44" s="1143"/>
      <c r="AI44" s="1143"/>
      <c r="AJ44" s="1145"/>
      <c r="AK44" s="35">
        <v>24000</v>
      </c>
      <c r="AL44" s="29" t="s">
        <v>73</v>
      </c>
      <c r="AM44" s="29" t="s">
        <v>73</v>
      </c>
      <c r="AN44" s="29" t="s">
        <v>73</v>
      </c>
      <c r="AO44" s="29" t="s">
        <v>73</v>
      </c>
      <c r="AP44" s="30">
        <v>12000</v>
      </c>
      <c r="AQ44" s="30">
        <v>12000</v>
      </c>
      <c r="AR44" s="29" t="s">
        <v>73</v>
      </c>
      <c r="AS44" s="29" t="s">
        <v>73</v>
      </c>
      <c r="AT44" s="29" t="s">
        <v>73</v>
      </c>
      <c r="AU44" s="29" t="s">
        <v>73</v>
      </c>
      <c r="AV44" s="29" t="s">
        <v>73</v>
      </c>
      <c r="AW44" s="29" t="s">
        <v>73</v>
      </c>
      <c r="AX44" s="30">
        <v>24000</v>
      </c>
      <c r="AY44" s="30" t="s">
        <v>7</v>
      </c>
      <c r="AZ44" s="2" t="s">
        <v>74</v>
      </c>
      <c r="BA44" s="2"/>
    </row>
    <row r="45" spans="1:55" ht="51" x14ac:dyDescent="0.25">
      <c r="A45" s="19">
        <v>2026</v>
      </c>
      <c r="B45" s="20">
        <v>479</v>
      </c>
      <c r="C45" s="21" t="s">
        <v>64</v>
      </c>
      <c r="D45" s="21" t="s">
        <v>65</v>
      </c>
      <c r="E45" s="20">
        <v>125</v>
      </c>
      <c r="F45" s="20">
        <v>3000654</v>
      </c>
      <c r="G45" s="20">
        <v>5005023</v>
      </c>
      <c r="H45" s="20">
        <v>3</v>
      </c>
      <c r="I45" s="20">
        <v>12</v>
      </c>
      <c r="J45" s="20">
        <v>24</v>
      </c>
      <c r="K45" s="20">
        <v>135560</v>
      </c>
      <c r="L45" s="21" t="s">
        <v>66</v>
      </c>
      <c r="M45" s="43" t="s">
        <v>67</v>
      </c>
      <c r="N45" s="19">
        <v>95</v>
      </c>
      <c r="O45" s="2"/>
      <c r="P45" s="2" t="s">
        <v>4</v>
      </c>
      <c r="Q45" s="20" t="s">
        <v>68</v>
      </c>
      <c r="R45" s="25" t="s">
        <v>69</v>
      </c>
      <c r="S45" s="25" t="s">
        <v>137</v>
      </c>
      <c r="T45" s="25"/>
      <c r="U45" s="31" t="s">
        <v>147</v>
      </c>
      <c r="V45" s="25" t="s">
        <v>3</v>
      </c>
      <c r="W45" s="25">
        <v>1</v>
      </c>
      <c r="X45" s="27">
        <v>12000</v>
      </c>
      <c r="Y45" s="1142"/>
      <c r="Z45" s="1143"/>
      <c r="AA45" s="1143"/>
      <c r="AB45" s="1144"/>
      <c r="AC45" s="25">
        <v>30</v>
      </c>
      <c r="AD45" s="25">
        <v>30</v>
      </c>
      <c r="AE45" s="1142"/>
      <c r="AF45" s="1143"/>
      <c r="AG45" s="1143"/>
      <c r="AH45" s="1143"/>
      <c r="AI45" s="1143"/>
      <c r="AJ45" s="1145"/>
      <c r="AK45" s="35">
        <v>24000</v>
      </c>
      <c r="AL45" s="29" t="s">
        <v>73</v>
      </c>
      <c r="AM45" s="29" t="s">
        <v>73</v>
      </c>
      <c r="AN45" s="29" t="s">
        <v>73</v>
      </c>
      <c r="AO45" s="29" t="s">
        <v>73</v>
      </c>
      <c r="AP45" s="30">
        <v>12000</v>
      </c>
      <c r="AQ45" s="30">
        <v>12000</v>
      </c>
      <c r="AR45" s="29" t="s">
        <v>73</v>
      </c>
      <c r="AS45" s="29" t="s">
        <v>73</v>
      </c>
      <c r="AT45" s="29" t="s">
        <v>73</v>
      </c>
      <c r="AU45" s="29" t="s">
        <v>73</v>
      </c>
      <c r="AV45" s="29" t="s">
        <v>73</v>
      </c>
      <c r="AW45" s="29" t="s">
        <v>73</v>
      </c>
      <c r="AX45" s="30">
        <v>24000</v>
      </c>
      <c r="AY45" s="30" t="s">
        <v>7</v>
      </c>
      <c r="AZ45" s="2" t="s">
        <v>74</v>
      </c>
      <c r="BA45" s="2"/>
    </row>
    <row r="46" spans="1:55" ht="51" x14ac:dyDescent="0.25">
      <c r="A46" s="19">
        <v>2026</v>
      </c>
      <c r="B46" s="20">
        <v>479</v>
      </c>
      <c r="C46" s="21" t="s">
        <v>64</v>
      </c>
      <c r="D46" s="21" t="s">
        <v>65</v>
      </c>
      <c r="E46" s="20">
        <v>125</v>
      </c>
      <c r="F46" s="20">
        <v>3000654</v>
      </c>
      <c r="G46" s="20">
        <v>5005023</v>
      </c>
      <c r="H46" s="20">
        <v>3</v>
      </c>
      <c r="I46" s="20">
        <v>12</v>
      </c>
      <c r="J46" s="20">
        <v>24</v>
      </c>
      <c r="K46" s="20">
        <v>135560</v>
      </c>
      <c r="L46" s="21" t="s">
        <v>66</v>
      </c>
      <c r="M46" s="43" t="s">
        <v>67</v>
      </c>
      <c r="N46" s="19">
        <v>95</v>
      </c>
      <c r="O46" s="2"/>
      <c r="P46" s="2" t="s">
        <v>4</v>
      </c>
      <c r="Q46" s="20" t="s">
        <v>68</v>
      </c>
      <c r="R46" s="25" t="s">
        <v>69</v>
      </c>
      <c r="S46" s="25" t="s">
        <v>137</v>
      </c>
      <c r="T46" s="25"/>
      <c r="U46" s="31" t="s">
        <v>148</v>
      </c>
      <c r="V46" s="25" t="s">
        <v>3</v>
      </c>
      <c r="W46" s="25">
        <v>1</v>
      </c>
      <c r="X46" s="27">
        <v>8000</v>
      </c>
      <c r="Y46" s="1142"/>
      <c r="Z46" s="1143"/>
      <c r="AA46" s="1143"/>
      <c r="AB46" s="1144"/>
      <c r="AC46" s="25">
        <v>30</v>
      </c>
      <c r="AD46" s="25">
        <v>30</v>
      </c>
      <c r="AE46" s="1142"/>
      <c r="AF46" s="1143"/>
      <c r="AG46" s="1143"/>
      <c r="AH46" s="1143"/>
      <c r="AI46" s="1143"/>
      <c r="AJ46" s="1145"/>
      <c r="AK46" s="35">
        <v>16000</v>
      </c>
      <c r="AL46" s="29" t="s">
        <v>73</v>
      </c>
      <c r="AM46" s="29" t="s">
        <v>73</v>
      </c>
      <c r="AN46" s="29" t="s">
        <v>73</v>
      </c>
      <c r="AO46" s="29" t="s">
        <v>73</v>
      </c>
      <c r="AP46" s="30">
        <v>8000</v>
      </c>
      <c r="AQ46" s="30">
        <v>8000</v>
      </c>
      <c r="AR46" s="29" t="s">
        <v>73</v>
      </c>
      <c r="AS46" s="29" t="s">
        <v>73</v>
      </c>
      <c r="AT46" s="29" t="s">
        <v>73</v>
      </c>
      <c r="AU46" s="29" t="s">
        <v>73</v>
      </c>
      <c r="AV46" s="29" t="s">
        <v>73</v>
      </c>
      <c r="AW46" s="29" t="s">
        <v>73</v>
      </c>
      <c r="AX46" s="30">
        <v>16000</v>
      </c>
      <c r="AY46" s="30" t="s">
        <v>7</v>
      </c>
      <c r="AZ46" s="2" t="s">
        <v>74</v>
      </c>
      <c r="BA46" s="2"/>
    </row>
    <row r="47" spans="1:55" ht="51" x14ac:dyDescent="0.25">
      <c r="A47" s="19">
        <v>2026</v>
      </c>
      <c r="B47" s="20">
        <v>479</v>
      </c>
      <c r="C47" s="21" t="s">
        <v>64</v>
      </c>
      <c r="D47" s="21" t="s">
        <v>65</v>
      </c>
      <c r="E47" s="20">
        <v>125</v>
      </c>
      <c r="F47" s="20">
        <v>3000654</v>
      </c>
      <c r="G47" s="20">
        <v>5005023</v>
      </c>
      <c r="H47" s="20">
        <v>3</v>
      </c>
      <c r="I47" s="20">
        <v>12</v>
      </c>
      <c r="J47" s="20">
        <v>24</v>
      </c>
      <c r="K47" s="20">
        <v>135560</v>
      </c>
      <c r="L47" s="21" t="s">
        <v>66</v>
      </c>
      <c r="M47" s="43" t="s">
        <v>67</v>
      </c>
      <c r="N47" s="19">
        <v>95</v>
      </c>
      <c r="O47" s="2"/>
      <c r="P47" s="2" t="s">
        <v>4</v>
      </c>
      <c r="Q47" s="20" t="s">
        <v>68</v>
      </c>
      <c r="R47" s="25" t="s">
        <v>69</v>
      </c>
      <c r="S47" s="25" t="s">
        <v>137</v>
      </c>
      <c r="T47" s="25"/>
      <c r="U47" s="31" t="s">
        <v>149</v>
      </c>
      <c r="V47" s="25" t="s">
        <v>3</v>
      </c>
      <c r="W47" s="25">
        <v>1</v>
      </c>
      <c r="X47" s="27">
        <v>8000</v>
      </c>
      <c r="Y47" s="1142"/>
      <c r="Z47" s="1143"/>
      <c r="AA47" s="1143"/>
      <c r="AB47" s="1144"/>
      <c r="AC47" s="25">
        <v>30</v>
      </c>
      <c r="AD47" s="25">
        <v>30</v>
      </c>
      <c r="AE47" s="1142"/>
      <c r="AF47" s="1143"/>
      <c r="AG47" s="1143"/>
      <c r="AH47" s="1143"/>
      <c r="AI47" s="1143"/>
      <c r="AJ47" s="1145"/>
      <c r="AK47" s="35">
        <v>16000</v>
      </c>
      <c r="AL47" s="29" t="s">
        <v>73</v>
      </c>
      <c r="AM47" s="29" t="s">
        <v>73</v>
      </c>
      <c r="AN47" s="29" t="s">
        <v>73</v>
      </c>
      <c r="AO47" s="29" t="s">
        <v>73</v>
      </c>
      <c r="AP47" s="30">
        <v>8000</v>
      </c>
      <c r="AQ47" s="30">
        <v>8000</v>
      </c>
      <c r="AR47" s="29" t="s">
        <v>73</v>
      </c>
      <c r="AS47" s="29" t="s">
        <v>73</v>
      </c>
      <c r="AT47" s="29" t="s">
        <v>73</v>
      </c>
      <c r="AU47" s="29" t="s">
        <v>73</v>
      </c>
      <c r="AV47" s="29" t="s">
        <v>73</v>
      </c>
      <c r="AW47" s="29" t="s">
        <v>73</v>
      </c>
      <c r="AX47" s="30">
        <v>16000</v>
      </c>
      <c r="AY47" s="30" t="s">
        <v>7</v>
      </c>
      <c r="AZ47" s="2" t="s">
        <v>74</v>
      </c>
      <c r="BA47" s="2"/>
    </row>
    <row r="48" spans="1:55" ht="51" x14ac:dyDescent="0.25">
      <c r="A48" s="19">
        <v>2026</v>
      </c>
      <c r="B48" s="20">
        <v>479</v>
      </c>
      <c r="C48" s="21" t="s">
        <v>64</v>
      </c>
      <c r="D48" s="21" t="s">
        <v>65</v>
      </c>
      <c r="E48" s="20">
        <v>125</v>
      </c>
      <c r="F48" s="20">
        <v>3000654</v>
      </c>
      <c r="G48" s="20">
        <v>5005023</v>
      </c>
      <c r="H48" s="20">
        <v>3</v>
      </c>
      <c r="I48" s="20">
        <v>12</v>
      </c>
      <c r="J48" s="20">
        <v>24</v>
      </c>
      <c r="K48" s="20">
        <v>135560</v>
      </c>
      <c r="L48" s="21" t="s">
        <v>66</v>
      </c>
      <c r="M48" s="43" t="s">
        <v>67</v>
      </c>
      <c r="N48" s="19">
        <v>95</v>
      </c>
      <c r="O48" s="2"/>
      <c r="P48" s="2" t="s">
        <v>4</v>
      </c>
      <c r="Q48" s="20" t="s">
        <v>68</v>
      </c>
      <c r="R48" s="25" t="s">
        <v>69</v>
      </c>
      <c r="S48" s="25" t="s">
        <v>137</v>
      </c>
      <c r="T48" s="25"/>
      <c r="U48" s="31" t="s">
        <v>150</v>
      </c>
      <c r="V48" s="25" t="s">
        <v>3</v>
      </c>
      <c r="W48" s="25">
        <v>1</v>
      </c>
      <c r="X48" s="27">
        <v>8000</v>
      </c>
      <c r="Y48" s="1142"/>
      <c r="Z48" s="1143"/>
      <c r="AA48" s="1143"/>
      <c r="AB48" s="1144"/>
      <c r="AC48" s="25">
        <v>30</v>
      </c>
      <c r="AD48" s="25">
        <v>30</v>
      </c>
      <c r="AE48" s="1142"/>
      <c r="AF48" s="1143"/>
      <c r="AG48" s="1143"/>
      <c r="AH48" s="1143"/>
      <c r="AI48" s="1143"/>
      <c r="AJ48" s="1145"/>
      <c r="AK48" s="35">
        <v>16000</v>
      </c>
      <c r="AL48" s="29" t="s">
        <v>73</v>
      </c>
      <c r="AM48" s="29" t="s">
        <v>73</v>
      </c>
      <c r="AN48" s="29" t="s">
        <v>73</v>
      </c>
      <c r="AO48" s="29" t="s">
        <v>73</v>
      </c>
      <c r="AP48" s="30">
        <v>8000</v>
      </c>
      <c r="AQ48" s="30">
        <v>8000</v>
      </c>
      <c r="AR48" s="29" t="s">
        <v>73</v>
      </c>
      <c r="AS48" s="29" t="s">
        <v>73</v>
      </c>
      <c r="AT48" s="29" t="s">
        <v>73</v>
      </c>
      <c r="AU48" s="29" t="s">
        <v>73</v>
      </c>
      <c r="AV48" s="29" t="s">
        <v>73</v>
      </c>
      <c r="AW48" s="29" t="s">
        <v>73</v>
      </c>
      <c r="AX48" s="30">
        <v>16000</v>
      </c>
      <c r="AY48" s="30" t="s">
        <v>7</v>
      </c>
      <c r="AZ48" s="2" t="s">
        <v>74</v>
      </c>
      <c r="BA48" s="2"/>
    </row>
    <row r="49" spans="1:53" ht="51" x14ac:dyDescent="0.25">
      <c r="A49" s="19">
        <v>2026</v>
      </c>
      <c r="B49" s="20">
        <v>479</v>
      </c>
      <c r="C49" s="21" t="s">
        <v>64</v>
      </c>
      <c r="D49" s="21" t="s">
        <v>65</v>
      </c>
      <c r="E49" s="20">
        <v>125</v>
      </c>
      <c r="F49" s="20">
        <v>3000654</v>
      </c>
      <c r="G49" s="20">
        <v>5005023</v>
      </c>
      <c r="H49" s="20">
        <v>3</v>
      </c>
      <c r="I49" s="20">
        <v>12</v>
      </c>
      <c r="J49" s="20">
        <v>24</v>
      </c>
      <c r="K49" s="20">
        <v>135560</v>
      </c>
      <c r="L49" s="21" t="s">
        <v>66</v>
      </c>
      <c r="M49" s="43" t="s">
        <v>67</v>
      </c>
      <c r="N49" s="19">
        <v>95</v>
      </c>
      <c r="O49" s="2"/>
      <c r="P49" s="2" t="s">
        <v>4</v>
      </c>
      <c r="Q49" s="20" t="s">
        <v>68</v>
      </c>
      <c r="R49" s="25" t="s">
        <v>69</v>
      </c>
      <c r="S49" s="25" t="s">
        <v>137</v>
      </c>
      <c r="T49" s="25"/>
      <c r="U49" s="31" t="s">
        <v>151</v>
      </c>
      <c r="V49" s="25" t="s">
        <v>3</v>
      </c>
      <c r="W49" s="25">
        <v>1</v>
      </c>
      <c r="X49" s="27">
        <v>8000</v>
      </c>
      <c r="Y49" s="1142"/>
      <c r="Z49" s="1143"/>
      <c r="AA49" s="1143"/>
      <c r="AB49" s="1144"/>
      <c r="AC49" s="25">
        <v>30</v>
      </c>
      <c r="AD49" s="25">
        <v>30</v>
      </c>
      <c r="AE49" s="1142"/>
      <c r="AF49" s="1143"/>
      <c r="AG49" s="1143"/>
      <c r="AH49" s="1143"/>
      <c r="AI49" s="1143"/>
      <c r="AJ49" s="1145"/>
      <c r="AK49" s="35">
        <v>16000</v>
      </c>
      <c r="AL49" s="29" t="s">
        <v>73</v>
      </c>
      <c r="AM49" s="29" t="s">
        <v>73</v>
      </c>
      <c r="AN49" s="29" t="s">
        <v>73</v>
      </c>
      <c r="AO49" s="29" t="s">
        <v>73</v>
      </c>
      <c r="AP49" s="30">
        <v>8000</v>
      </c>
      <c r="AQ49" s="30">
        <v>8000</v>
      </c>
      <c r="AR49" s="29" t="s">
        <v>73</v>
      </c>
      <c r="AS49" s="29" t="s">
        <v>73</v>
      </c>
      <c r="AT49" s="29" t="s">
        <v>73</v>
      </c>
      <c r="AU49" s="29" t="s">
        <v>73</v>
      </c>
      <c r="AV49" s="29" t="s">
        <v>73</v>
      </c>
      <c r="AW49" s="29" t="s">
        <v>73</v>
      </c>
      <c r="AX49" s="30">
        <v>16000</v>
      </c>
      <c r="AY49" s="30" t="s">
        <v>7</v>
      </c>
      <c r="AZ49" s="2" t="s">
        <v>74</v>
      </c>
      <c r="BA49" s="2"/>
    </row>
    <row r="50" spans="1:53" ht="51" x14ac:dyDescent="0.25">
      <c r="A50" s="19">
        <v>2026</v>
      </c>
      <c r="B50" s="20">
        <v>479</v>
      </c>
      <c r="C50" s="21" t="s">
        <v>64</v>
      </c>
      <c r="D50" s="21" t="s">
        <v>65</v>
      </c>
      <c r="E50" s="20">
        <v>125</v>
      </c>
      <c r="F50" s="20">
        <v>3000654</v>
      </c>
      <c r="G50" s="20">
        <v>5005023</v>
      </c>
      <c r="H50" s="20">
        <v>3</v>
      </c>
      <c r="I50" s="20">
        <v>12</v>
      </c>
      <c r="J50" s="20">
        <v>24</v>
      </c>
      <c r="K50" s="20">
        <v>135560</v>
      </c>
      <c r="L50" s="21" t="s">
        <v>66</v>
      </c>
      <c r="M50" s="43" t="s">
        <v>67</v>
      </c>
      <c r="N50" s="19">
        <v>95</v>
      </c>
      <c r="O50" s="2"/>
      <c r="P50" s="2" t="s">
        <v>4</v>
      </c>
      <c r="Q50" s="20" t="s">
        <v>68</v>
      </c>
      <c r="R50" s="25" t="s">
        <v>69</v>
      </c>
      <c r="S50" s="25" t="s">
        <v>137</v>
      </c>
      <c r="T50" s="25"/>
      <c r="U50" s="31" t="s">
        <v>152</v>
      </c>
      <c r="V50" s="25" t="s">
        <v>3</v>
      </c>
      <c r="W50" s="25">
        <v>1</v>
      </c>
      <c r="X50" s="27">
        <v>7000</v>
      </c>
      <c r="Y50" s="1142"/>
      <c r="Z50" s="1143"/>
      <c r="AA50" s="1143"/>
      <c r="AB50" s="1144"/>
      <c r="AC50" s="25">
        <v>30</v>
      </c>
      <c r="AD50" s="25">
        <v>30</v>
      </c>
      <c r="AE50" s="1142"/>
      <c r="AF50" s="1143"/>
      <c r="AG50" s="1143"/>
      <c r="AH50" s="1143"/>
      <c r="AI50" s="1143"/>
      <c r="AJ50" s="1145"/>
      <c r="AK50" s="35">
        <v>14000</v>
      </c>
      <c r="AL50" s="29" t="s">
        <v>73</v>
      </c>
      <c r="AM50" s="29" t="s">
        <v>73</v>
      </c>
      <c r="AN50" s="29" t="s">
        <v>73</v>
      </c>
      <c r="AO50" s="29" t="s">
        <v>73</v>
      </c>
      <c r="AP50" s="30">
        <v>7000</v>
      </c>
      <c r="AQ50" s="30">
        <v>7000</v>
      </c>
      <c r="AR50" s="29" t="s">
        <v>73</v>
      </c>
      <c r="AS50" s="29" t="s">
        <v>73</v>
      </c>
      <c r="AT50" s="29" t="s">
        <v>73</v>
      </c>
      <c r="AU50" s="29" t="s">
        <v>73</v>
      </c>
      <c r="AV50" s="29" t="s">
        <v>73</v>
      </c>
      <c r="AW50" s="29" t="s">
        <v>73</v>
      </c>
      <c r="AX50" s="30">
        <v>14000</v>
      </c>
      <c r="AY50" s="30" t="s">
        <v>7</v>
      </c>
      <c r="AZ50" s="2" t="s">
        <v>74</v>
      </c>
      <c r="BA50" s="2"/>
    </row>
    <row r="51" spans="1:53" ht="51" x14ac:dyDescent="0.25">
      <c r="A51" s="19">
        <v>2026</v>
      </c>
      <c r="B51" s="20">
        <v>479</v>
      </c>
      <c r="C51" s="21" t="s">
        <v>64</v>
      </c>
      <c r="D51" s="21" t="s">
        <v>65</v>
      </c>
      <c r="E51" s="20">
        <v>125</v>
      </c>
      <c r="F51" s="20">
        <v>3000654</v>
      </c>
      <c r="G51" s="20">
        <v>5005023</v>
      </c>
      <c r="H51" s="20">
        <v>3</v>
      </c>
      <c r="I51" s="20">
        <v>12</v>
      </c>
      <c r="J51" s="20">
        <v>24</v>
      </c>
      <c r="K51" s="20">
        <v>135560</v>
      </c>
      <c r="L51" s="21" t="s">
        <v>66</v>
      </c>
      <c r="M51" s="43" t="s">
        <v>67</v>
      </c>
      <c r="N51" s="19">
        <v>95</v>
      </c>
      <c r="O51" s="2"/>
      <c r="P51" s="2" t="s">
        <v>4</v>
      </c>
      <c r="Q51" s="20" t="s">
        <v>68</v>
      </c>
      <c r="R51" s="25" t="s">
        <v>69</v>
      </c>
      <c r="S51" s="25" t="s">
        <v>137</v>
      </c>
      <c r="T51" s="25"/>
      <c r="U51" s="31" t="s">
        <v>153</v>
      </c>
      <c r="V51" s="25" t="s">
        <v>3</v>
      </c>
      <c r="W51" s="25">
        <v>1</v>
      </c>
      <c r="X51" s="27">
        <v>6500</v>
      </c>
      <c r="Y51" s="1142"/>
      <c r="Z51" s="1143"/>
      <c r="AA51" s="1143"/>
      <c r="AB51" s="1144"/>
      <c r="AC51" s="25">
        <v>30</v>
      </c>
      <c r="AD51" s="25">
        <v>30</v>
      </c>
      <c r="AE51" s="1142"/>
      <c r="AF51" s="1143"/>
      <c r="AG51" s="1143"/>
      <c r="AH51" s="1143"/>
      <c r="AI51" s="1143"/>
      <c r="AJ51" s="1145"/>
      <c r="AK51" s="35">
        <v>13000</v>
      </c>
      <c r="AL51" s="29" t="s">
        <v>73</v>
      </c>
      <c r="AM51" s="29" t="s">
        <v>73</v>
      </c>
      <c r="AN51" s="29" t="s">
        <v>73</v>
      </c>
      <c r="AO51" s="29" t="s">
        <v>73</v>
      </c>
      <c r="AP51" s="30">
        <v>6500</v>
      </c>
      <c r="AQ51" s="30">
        <v>6500</v>
      </c>
      <c r="AR51" s="29" t="s">
        <v>73</v>
      </c>
      <c r="AS51" s="29" t="s">
        <v>73</v>
      </c>
      <c r="AT51" s="29" t="s">
        <v>73</v>
      </c>
      <c r="AU51" s="29" t="s">
        <v>73</v>
      </c>
      <c r="AV51" s="29" t="s">
        <v>73</v>
      </c>
      <c r="AW51" s="29" t="s">
        <v>73</v>
      </c>
      <c r="AX51" s="30">
        <v>13000</v>
      </c>
      <c r="AY51" s="30" t="s">
        <v>7</v>
      </c>
      <c r="AZ51" s="2" t="s">
        <v>74</v>
      </c>
      <c r="BA51" s="2"/>
    </row>
    <row r="52" spans="1:53" ht="51" x14ac:dyDescent="0.25">
      <c r="A52" s="19">
        <v>2026</v>
      </c>
      <c r="B52" s="20">
        <v>479</v>
      </c>
      <c r="C52" s="21" t="s">
        <v>64</v>
      </c>
      <c r="D52" s="21" t="s">
        <v>65</v>
      </c>
      <c r="E52" s="20">
        <v>125</v>
      </c>
      <c r="F52" s="20">
        <v>3000654</v>
      </c>
      <c r="G52" s="20">
        <v>5005023</v>
      </c>
      <c r="H52" s="20">
        <v>3</v>
      </c>
      <c r="I52" s="20">
        <v>12</v>
      </c>
      <c r="J52" s="20">
        <v>24</v>
      </c>
      <c r="K52" s="20">
        <v>135560</v>
      </c>
      <c r="L52" s="21" t="s">
        <v>66</v>
      </c>
      <c r="M52" s="43" t="s">
        <v>67</v>
      </c>
      <c r="N52" s="19">
        <v>95</v>
      </c>
      <c r="O52" s="2"/>
      <c r="P52" s="2" t="s">
        <v>4</v>
      </c>
      <c r="Q52" s="20" t="s">
        <v>68</v>
      </c>
      <c r="R52" s="25" t="s">
        <v>69</v>
      </c>
      <c r="S52" s="25" t="s">
        <v>137</v>
      </c>
      <c r="T52" s="25"/>
      <c r="U52" s="31" t="s">
        <v>154</v>
      </c>
      <c r="V52" s="25" t="s">
        <v>3</v>
      </c>
      <c r="W52" s="25">
        <v>3</v>
      </c>
      <c r="X52" s="27">
        <v>5500</v>
      </c>
      <c r="Y52" s="1142"/>
      <c r="Z52" s="1143"/>
      <c r="AA52" s="1143"/>
      <c r="AB52" s="1144"/>
      <c r="AC52" s="25">
        <v>30</v>
      </c>
      <c r="AD52" s="25">
        <v>30</v>
      </c>
      <c r="AE52" s="1142"/>
      <c r="AF52" s="1143"/>
      <c r="AG52" s="1143"/>
      <c r="AH52" s="1143"/>
      <c r="AI52" s="1143"/>
      <c r="AJ52" s="1145"/>
      <c r="AK52" s="35">
        <v>33000</v>
      </c>
      <c r="AL52" s="29" t="s">
        <v>73</v>
      </c>
      <c r="AM52" s="29" t="s">
        <v>73</v>
      </c>
      <c r="AN52" s="29" t="s">
        <v>73</v>
      </c>
      <c r="AO52" s="29" t="s">
        <v>73</v>
      </c>
      <c r="AP52" s="30">
        <v>16500</v>
      </c>
      <c r="AQ52" s="30">
        <v>16500</v>
      </c>
      <c r="AR52" s="29" t="s">
        <v>73</v>
      </c>
      <c r="AS52" s="29" t="s">
        <v>73</v>
      </c>
      <c r="AT52" s="29" t="s">
        <v>73</v>
      </c>
      <c r="AU52" s="29" t="s">
        <v>73</v>
      </c>
      <c r="AV52" s="29" t="s">
        <v>73</v>
      </c>
      <c r="AW52" s="29" t="s">
        <v>73</v>
      </c>
      <c r="AX52" s="30">
        <v>33000</v>
      </c>
      <c r="AY52" s="30" t="s">
        <v>7</v>
      </c>
      <c r="AZ52" s="2" t="s">
        <v>74</v>
      </c>
      <c r="BA52" s="2"/>
    </row>
    <row r="53" spans="1:53" ht="51" x14ac:dyDescent="0.25">
      <c r="A53" s="19">
        <v>2026</v>
      </c>
      <c r="B53" s="20">
        <v>479</v>
      </c>
      <c r="C53" s="21" t="s">
        <v>64</v>
      </c>
      <c r="D53" s="21" t="s">
        <v>65</v>
      </c>
      <c r="E53" s="20">
        <v>125</v>
      </c>
      <c r="F53" s="20">
        <v>3000654</v>
      </c>
      <c r="G53" s="20">
        <v>5005023</v>
      </c>
      <c r="H53" s="20">
        <v>3</v>
      </c>
      <c r="I53" s="20">
        <v>12</v>
      </c>
      <c r="J53" s="20">
        <v>24</v>
      </c>
      <c r="K53" s="20">
        <v>135560</v>
      </c>
      <c r="L53" s="21" t="s">
        <v>66</v>
      </c>
      <c r="M53" s="43" t="s">
        <v>67</v>
      </c>
      <c r="N53" s="19">
        <v>95</v>
      </c>
      <c r="O53" s="2"/>
      <c r="P53" s="2" t="s">
        <v>4</v>
      </c>
      <c r="Q53" s="20" t="s">
        <v>68</v>
      </c>
      <c r="R53" s="25" t="s">
        <v>69</v>
      </c>
      <c r="S53" s="25" t="s">
        <v>137</v>
      </c>
      <c r="T53" s="25"/>
      <c r="U53" s="31" t="s">
        <v>155</v>
      </c>
      <c r="V53" s="25" t="s">
        <v>3</v>
      </c>
      <c r="W53" s="25">
        <v>1</v>
      </c>
      <c r="X53" s="27">
        <v>6000</v>
      </c>
      <c r="Y53" s="1142"/>
      <c r="Z53" s="1143"/>
      <c r="AA53" s="1143"/>
      <c r="AB53" s="1144"/>
      <c r="AC53" s="25">
        <v>30</v>
      </c>
      <c r="AD53" s="25">
        <v>30</v>
      </c>
      <c r="AE53" s="1142"/>
      <c r="AF53" s="1143"/>
      <c r="AG53" s="1143"/>
      <c r="AH53" s="1143"/>
      <c r="AI53" s="1143"/>
      <c r="AJ53" s="1145"/>
      <c r="AK53" s="35">
        <v>12000</v>
      </c>
      <c r="AL53" s="29" t="s">
        <v>73</v>
      </c>
      <c r="AM53" s="29" t="s">
        <v>73</v>
      </c>
      <c r="AN53" s="29" t="s">
        <v>73</v>
      </c>
      <c r="AO53" s="29" t="s">
        <v>73</v>
      </c>
      <c r="AP53" s="30">
        <v>6000</v>
      </c>
      <c r="AQ53" s="30">
        <v>6000</v>
      </c>
      <c r="AR53" s="29" t="s">
        <v>73</v>
      </c>
      <c r="AS53" s="29" t="s">
        <v>73</v>
      </c>
      <c r="AT53" s="29" t="s">
        <v>73</v>
      </c>
      <c r="AU53" s="29" t="s">
        <v>73</v>
      </c>
      <c r="AV53" s="29" t="s">
        <v>73</v>
      </c>
      <c r="AW53" s="29" t="s">
        <v>73</v>
      </c>
      <c r="AX53" s="30">
        <v>12000</v>
      </c>
      <c r="AY53" s="30" t="s">
        <v>7</v>
      </c>
      <c r="AZ53" s="2" t="s">
        <v>74</v>
      </c>
      <c r="BA53" s="2"/>
    </row>
    <row r="54" spans="1:53" ht="51" x14ac:dyDescent="0.25">
      <c r="A54" s="19">
        <v>2026</v>
      </c>
      <c r="B54" s="20">
        <v>479</v>
      </c>
      <c r="C54" s="21" t="s">
        <v>64</v>
      </c>
      <c r="D54" s="21" t="s">
        <v>65</v>
      </c>
      <c r="E54" s="20">
        <v>125</v>
      </c>
      <c r="F54" s="20">
        <v>3000654</v>
      </c>
      <c r="G54" s="20">
        <v>5005023</v>
      </c>
      <c r="H54" s="20">
        <v>3</v>
      </c>
      <c r="I54" s="20">
        <v>12</v>
      </c>
      <c r="J54" s="20">
        <v>24</v>
      </c>
      <c r="K54" s="20">
        <v>135560</v>
      </c>
      <c r="L54" s="21" t="s">
        <v>66</v>
      </c>
      <c r="M54" s="43" t="s">
        <v>67</v>
      </c>
      <c r="N54" s="19">
        <v>95</v>
      </c>
      <c r="O54" s="2"/>
      <c r="P54" s="2" t="s">
        <v>4</v>
      </c>
      <c r="Q54" s="20" t="s">
        <v>68</v>
      </c>
      <c r="R54" s="25" t="s">
        <v>69</v>
      </c>
      <c r="S54" s="25" t="s">
        <v>137</v>
      </c>
      <c r="T54" s="25"/>
      <c r="U54" s="31" t="s">
        <v>156</v>
      </c>
      <c r="V54" s="25" t="s">
        <v>3</v>
      </c>
      <c r="W54" s="25">
        <v>1</v>
      </c>
      <c r="X54" s="27">
        <v>5500</v>
      </c>
      <c r="Y54" s="1142"/>
      <c r="Z54" s="1143"/>
      <c r="AA54" s="1143"/>
      <c r="AB54" s="1144"/>
      <c r="AC54" s="25">
        <v>30</v>
      </c>
      <c r="AD54" s="25">
        <v>30</v>
      </c>
      <c r="AE54" s="1142"/>
      <c r="AF54" s="1143"/>
      <c r="AG54" s="1143"/>
      <c r="AH54" s="1143"/>
      <c r="AI54" s="1143"/>
      <c r="AJ54" s="1145"/>
      <c r="AK54" s="35">
        <v>11000</v>
      </c>
      <c r="AL54" s="29" t="s">
        <v>73</v>
      </c>
      <c r="AM54" s="29" t="s">
        <v>73</v>
      </c>
      <c r="AN54" s="29" t="s">
        <v>73</v>
      </c>
      <c r="AO54" s="29" t="s">
        <v>73</v>
      </c>
      <c r="AP54" s="30">
        <v>5500</v>
      </c>
      <c r="AQ54" s="30">
        <v>5500</v>
      </c>
      <c r="AR54" s="29" t="s">
        <v>73</v>
      </c>
      <c r="AS54" s="29" t="s">
        <v>73</v>
      </c>
      <c r="AT54" s="29" t="s">
        <v>73</v>
      </c>
      <c r="AU54" s="29" t="s">
        <v>73</v>
      </c>
      <c r="AV54" s="29" t="s">
        <v>73</v>
      </c>
      <c r="AW54" s="29" t="s">
        <v>73</v>
      </c>
      <c r="AX54" s="30">
        <v>11000</v>
      </c>
      <c r="AY54" s="30" t="s">
        <v>7</v>
      </c>
      <c r="AZ54" s="2" t="s">
        <v>74</v>
      </c>
      <c r="BA54" s="2"/>
    </row>
    <row r="55" spans="1:53" ht="51" x14ac:dyDescent="0.25">
      <c r="A55" s="19">
        <v>2026</v>
      </c>
      <c r="B55" s="20">
        <v>479</v>
      </c>
      <c r="C55" s="21" t="s">
        <v>64</v>
      </c>
      <c r="D55" s="21" t="s">
        <v>65</v>
      </c>
      <c r="E55" s="20">
        <v>125</v>
      </c>
      <c r="F55" s="20">
        <v>3000654</v>
      </c>
      <c r="G55" s="20">
        <v>5005023</v>
      </c>
      <c r="H55" s="20">
        <v>3</v>
      </c>
      <c r="I55" s="20">
        <v>12</v>
      </c>
      <c r="J55" s="20">
        <v>24</v>
      </c>
      <c r="K55" s="20">
        <v>135560</v>
      </c>
      <c r="L55" s="21" t="s">
        <v>66</v>
      </c>
      <c r="M55" s="43" t="s">
        <v>67</v>
      </c>
      <c r="N55" s="19">
        <v>95</v>
      </c>
      <c r="O55" s="2"/>
      <c r="P55" s="2" t="s">
        <v>4</v>
      </c>
      <c r="Q55" s="20" t="s">
        <v>68</v>
      </c>
      <c r="R55" s="25" t="s">
        <v>69</v>
      </c>
      <c r="S55" s="25" t="s">
        <v>137</v>
      </c>
      <c r="T55" s="25"/>
      <c r="U55" s="31" t="s">
        <v>157</v>
      </c>
      <c r="V55" s="25" t="s">
        <v>3</v>
      </c>
      <c r="W55" s="25">
        <v>1</v>
      </c>
      <c r="X55" s="27">
        <v>6000</v>
      </c>
      <c r="Y55" s="1142"/>
      <c r="Z55" s="1143"/>
      <c r="AA55" s="1143"/>
      <c r="AB55" s="1144"/>
      <c r="AC55" s="25">
        <v>30</v>
      </c>
      <c r="AD55" s="25">
        <v>30</v>
      </c>
      <c r="AE55" s="1142"/>
      <c r="AF55" s="1143"/>
      <c r="AG55" s="1143"/>
      <c r="AH55" s="1143"/>
      <c r="AI55" s="1143"/>
      <c r="AJ55" s="1145"/>
      <c r="AK55" s="35">
        <v>12000</v>
      </c>
      <c r="AL55" s="29" t="s">
        <v>73</v>
      </c>
      <c r="AM55" s="29" t="s">
        <v>73</v>
      </c>
      <c r="AN55" s="29" t="s">
        <v>73</v>
      </c>
      <c r="AO55" s="29" t="s">
        <v>73</v>
      </c>
      <c r="AP55" s="30">
        <v>6000</v>
      </c>
      <c r="AQ55" s="30">
        <v>6000</v>
      </c>
      <c r="AR55" s="29" t="s">
        <v>73</v>
      </c>
      <c r="AS55" s="29" t="s">
        <v>73</v>
      </c>
      <c r="AT55" s="29" t="s">
        <v>73</v>
      </c>
      <c r="AU55" s="29" t="s">
        <v>73</v>
      </c>
      <c r="AV55" s="29" t="s">
        <v>73</v>
      </c>
      <c r="AW55" s="29" t="s">
        <v>73</v>
      </c>
      <c r="AX55" s="30">
        <v>12000</v>
      </c>
      <c r="AY55" s="30" t="s">
        <v>7</v>
      </c>
      <c r="AZ55" s="2" t="s">
        <v>74</v>
      </c>
      <c r="BA55" s="2"/>
    </row>
    <row r="56" spans="1:53" ht="51" x14ac:dyDescent="0.25">
      <c r="A56" s="19">
        <v>2026</v>
      </c>
      <c r="B56" s="20">
        <v>479</v>
      </c>
      <c r="C56" s="21" t="s">
        <v>64</v>
      </c>
      <c r="D56" s="21" t="s">
        <v>65</v>
      </c>
      <c r="E56" s="20">
        <v>125</v>
      </c>
      <c r="F56" s="20">
        <v>3000654</v>
      </c>
      <c r="G56" s="20">
        <v>5005023</v>
      </c>
      <c r="H56" s="20">
        <v>3</v>
      </c>
      <c r="I56" s="20">
        <v>12</v>
      </c>
      <c r="J56" s="20">
        <v>24</v>
      </c>
      <c r="K56" s="20">
        <v>135560</v>
      </c>
      <c r="L56" s="21" t="s">
        <v>66</v>
      </c>
      <c r="M56" s="43" t="s">
        <v>67</v>
      </c>
      <c r="N56" s="19">
        <v>95</v>
      </c>
      <c r="O56" s="2"/>
      <c r="P56" s="2" t="s">
        <v>4</v>
      </c>
      <c r="Q56" s="20" t="s">
        <v>68</v>
      </c>
      <c r="R56" s="25" t="s">
        <v>69</v>
      </c>
      <c r="S56" s="25" t="s">
        <v>137</v>
      </c>
      <c r="T56" s="25"/>
      <c r="U56" s="31" t="s">
        <v>158</v>
      </c>
      <c r="V56" s="25" t="s">
        <v>3</v>
      </c>
      <c r="W56" s="25">
        <v>3</v>
      </c>
      <c r="X56" s="27">
        <v>5000</v>
      </c>
      <c r="Y56" s="1142"/>
      <c r="Z56" s="1143"/>
      <c r="AA56" s="1143"/>
      <c r="AB56" s="1144"/>
      <c r="AC56" s="25">
        <v>30</v>
      </c>
      <c r="AD56" s="25">
        <v>30</v>
      </c>
      <c r="AE56" s="1142"/>
      <c r="AF56" s="1143"/>
      <c r="AG56" s="1143"/>
      <c r="AH56" s="1143"/>
      <c r="AI56" s="1143"/>
      <c r="AJ56" s="1145"/>
      <c r="AK56" s="35">
        <v>30000</v>
      </c>
      <c r="AL56" s="29" t="s">
        <v>73</v>
      </c>
      <c r="AM56" s="29" t="s">
        <v>73</v>
      </c>
      <c r="AN56" s="29" t="s">
        <v>73</v>
      </c>
      <c r="AO56" s="29" t="s">
        <v>73</v>
      </c>
      <c r="AP56" s="30">
        <v>15000</v>
      </c>
      <c r="AQ56" s="30">
        <v>15000</v>
      </c>
      <c r="AR56" s="29" t="s">
        <v>73</v>
      </c>
      <c r="AS56" s="29" t="s">
        <v>73</v>
      </c>
      <c r="AT56" s="29" t="s">
        <v>73</v>
      </c>
      <c r="AU56" s="29" t="s">
        <v>73</v>
      </c>
      <c r="AV56" s="29" t="s">
        <v>73</v>
      </c>
      <c r="AW56" s="29" t="s">
        <v>73</v>
      </c>
      <c r="AX56" s="30">
        <v>30000</v>
      </c>
      <c r="AY56" s="30" t="s">
        <v>7</v>
      </c>
      <c r="AZ56" s="2" t="s">
        <v>74</v>
      </c>
      <c r="BA56" s="2"/>
    </row>
    <row r="57" spans="1:53" ht="51" x14ac:dyDescent="0.25">
      <c r="A57" s="19">
        <v>2026</v>
      </c>
      <c r="B57" s="20">
        <v>479</v>
      </c>
      <c r="C57" s="21" t="s">
        <v>64</v>
      </c>
      <c r="D57" s="21" t="s">
        <v>65</v>
      </c>
      <c r="E57" s="20">
        <v>125</v>
      </c>
      <c r="F57" s="20">
        <v>3000654</v>
      </c>
      <c r="G57" s="20">
        <v>5005023</v>
      </c>
      <c r="H57" s="20">
        <v>3</v>
      </c>
      <c r="I57" s="20">
        <v>12</v>
      </c>
      <c r="J57" s="20">
        <v>24</v>
      </c>
      <c r="K57" s="20">
        <v>135560</v>
      </c>
      <c r="L57" s="21" t="s">
        <v>66</v>
      </c>
      <c r="M57" s="43" t="s">
        <v>67</v>
      </c>
      <c r="N57" s="19">
        <v>95</v>
      </c>
      <c r="O57" s="2"/>
      <c r="P57" s="2" t="s">
        <v>4</v>
      </c>
      <c r="Q57" s="20" t="s">
        <v>68</v>
      </c>
      <c r="R57" s="25" t="s">
        <v>69</v>
      </c>
      <c r="S57" s="25" t="s">
        <v>137</v>
      </c>
      <c r="T57" s="25"/>
      <c r="U57" s="31" t="s">
        <v>159</v>
      </c>
      <c r="V57" s="25" t="s">
        <v>3</v>
      </c>
      <c r="W57" s="25">
        <v>1</v>
      </c>
      <c r="X57" s="27">
        <v>8000</v>
      </c>
      <c r="Y57" s="1142"/>
      <c r="Z57" s="1143"/>
      <c r="AA57" s="1143"/>
      <c r="AB57" s="1144"/>
      <c r="AC57" s="25">
        <v>30</v>
      </c>
      <c r="AD57" s="25">
        <v>30</v>
      </c>
      <c r="AE57" s="1142"/>
      <c r="AF57" s="1143"/>
      <c r="AG57" s="1143"/>
      <c r="AH57" s="1143"/>
      <c r="AI57" s="1143"/>
      <c r="AJ57" s="1145"/>
      <c r="AK57" s="35">
        <v>16000</v>
      </c>
      <c r="AL57" s="29" t="s">
        <v>73</v>
      </c>
      <c r="AM57" s="29" t="s">
        <v>73</v>
      </c>
      <c r="AN57" s="29" t="s">
        <v>73</v>
      </c>
      <c r="AO57" s="29" t="s">
        <v>73</v>
      </c>
      <c r="AP57" s="30">
        <v>8000</v>
      </c>
      <c r="AQ57" s="30">
        <v>8000</v>
      </c>
      <c r="AR57" s="29" t="s">
        <v>73</v>
      </c>
      <c r="AS57" s="29" t="s">
        <v>73</v>
      </c>
      <c r="AT57" s="29" t="s">
        <v>73</v>
      </c>
      <c r="AU57" s="29" t="s">
        <v>73</v>
      </c>
      <c r="AV57" s="29" t="s">
        <v>73</v>
      </c>
      <c r="AW57" s="29" t="s">
        <v>73</v>
      </c>
      <c r="AX57" s="30">
        <v>16000</v>
      </c>
      <c r="AY57" s="30" t="s">
        <v>7</v>
      </c>
      <c r="AZ57" s="2" t="s">
        <v>74</v>
      </c>
      <c r="BA57" s="2"/>
    </row>
    <row r="58" spans="1:53" ht="51" x14ac:dyDescent="0.25">
      <c r="A58" s="19">
        <v>2026</v>
      </c>
      <c r="B58" s="20">
        <v>479</v>
      </c>
      <c r="C58" s="21" t="s">
        <v>64</v>
      </c>
      <c r="D58" s="21" t="s">
        <v>65</v>
      </c>
      <c r="E58" s="20">
        <v>125</v>
      </c>
      <c r="F58" s="20">
        <v>3000654</v>
      </c>
      <c r="G58" s="20">
        <v>5005023</v>
      </c>
      <c r="H58" s="20">
        <v>3</v>
      </c>
      <c r="I58" s="20">
        <v>12</v>
      </c>
      <c r="J58" s="20">
        <v>24</v>
      </c>
      <c r="K58" s="20">
        <v>135560</v>
      </c>
      <c r="L58" s="21" t="s">
        <v>66</v>
      </c>
      <c r="M58" s="43" t="s">
        <v>67</v>
      </c>
      <c r="N58" s="19">
        <v>95</v>
      </c>
      <c r="O58" s="2"/>
      <c r="P58" s="2" t="s">
        <v>4</v>
      </c>
      <c r="Q58" s="20" t="s">
        <v>68</v>
      </c>
      <c r="R58" s="25" t="s">
        <v>69</v>
      </c>
      <c r="S58" s="25" t="s">
        <v>137</v>
      </c>
      <c r="T58" s="25"/>
      <c r="U58" s="31" t="s">
        <v>160</v>
      </c>
      <c r="V58" s="25" t="s">
        <v>3</v>
      </c>
      <c r="W58" s="25">
        <v>3</v>
      </c>
      <c r="X58" s="27">
        <v>5000</v>
      </c>
      <c r="Y58" s="1142"/>
      <c r="Z58" s="1143"/>
      <c r="AA58" s="1143"/>
      <c r="AB58" s="1144"/>
      <c r="AC58" s="25">
        <v>30</v>
      </c>
      <c r="AD58" s="25">
        <v>30</v>
      </c>
      <c r="AE58" s="1142"/>
      <c r="AF58" s="1143"/>
      <c r="AG58" s="1143"/>
      <c r="AH58" s="1143"/>
      <c r="AI58" s="1143"/>
      <c r="AJ58" s="1145"/>
      <c r="AK58" s="35">
        <v>30000</v>
      </c>
      <c r="AL58" s="29" t="s">
        <v>73</v>
      </c>
      <c r="AM58" s="29" t="s">
        <v>73</v>
      </c>
      <c r="AN58" s="29" t="s">
        <v>73</v>
      </c>
      <c r="AO58" s="29" t="s">
        <v>73</v>
      </c>
      <c r="AP58" s="30">
        <v>15000</v>
      </c>
      <c r="AQ58" s="30">
        <v>15000</v>
      </c>
      <c r="AR58" s="29" t="s">
        <v>73</v>
      </c>
      <c r="AS58" s="29" t="s">
        <v>73</v>
      </c>
      <c r="AT58" s="29" t="s">
        <v>73</v>
      </c>
      <c r="AU58" s="29" t="s">
        <v>73</v>
      </c>
      <c r="AV58" s="29" t="s">
        <v>73</v>
      </c>
      <c r="AW58" s="29" t="s">
        <v>73</v>
      </c>
      <c r="AX58" s="30">
        <v>30000</v>
      </c>
      <c r="AY58" s="30" t="s">
        <v>7</v>
      </c>
      <c r="AZ58" s="2" t="s">
        <v>74</v>
      </c>
      <c r="BA58" s="2"/>
    </row>
    <row r="59" spans="1:53" ht="51" x14ac:dyDescent="0.25">
      <c r="A59" s="19">
        <v>2026</v>
      </c>
      <c r="B59" s="20">
        <v>479</v>
      </c>
      <c r="C59" s="21" t="s">
        <v>64</v>
      </c>
      <c r="D59" s="21" t="s">
        <v>65</v>
      </c>
      <c r="E59" s="20">
        <v>125</v>
      </c>
      <c r="F59" s="20">
        <v>3000654</v>
      </c>
      <c r="G59" s="20">
        <v>5005023</v>
      </c>
      <c r="H59" s="20">
        <v>3</v>
      </c>
      <c r="I59" s="20">
        <v>12</v>
      </c>
      <c r="J59" s="20">
        <v>24</v>
      </c>
      <c r="K59" s="20">
        <v>135560</v>
      </c>
      <c r="L59" s="21" t="s">
        <v>66</v>
      </c>
      <c r="M59" s="43" t="s">
        <v>67</v>
      </c>
      <c r="N59" s="19">
        <v>95</v>
      </c>
      <c r="O59" s="2"/>
      <c r="P59" s="2" t="s">
        <v>4</v>
      </c>
      <c r="Q59" s="20" t="s">
        <v>68</v>
      </c>
      <c r="R59" s="25" t="s">
        <v>69</v>
      </c>
      <c r="S59" s="25" t="s">
        <v>137</v>
      </c>
      <c r="T59" s="25"/>
      <c r="U59" s="31" t="s">
        <v>161</v>
      </c>
      <c r="V59" s="25" t="s">
        <v>3</v>
      </c>
      <c r="W59" s="25">
        <v>1</v>
      </c>
      <c r="X59" s="27">
        <v>6500</v>
      </c>
      <c r="Y59" s="1142"/>
      <c r="Z59" s="1143"/>
      <c r="AA59" s="1143"/>
      <c r="AB59" s="1144"/>
      <c r="AC59" s="25">
        <v>30</v>
      </c>
      <c r="AD59" s="25">
        <v>30</v>
      </c>
      <c r="AE59" s="1142"/>
      <c r="AF59" s="1143"/>
      <c r="AG59" s="1143"/>
      <c r="AH59" s="1143"/>
      <c r="AI59" s="1143"/>
      <c r="AJ59" s="1145"/>
      <c r="AK59" s="35">
        <v>13000</v>
      </c>
      <c r="AL59" s="29" t="s">
        <v>73</v>
      </c>
      <c r="AM59" s="29" t="s">
        <v>73</v>
      </c>
      <c r="AN59" s="29" t="s">
        <v>73</v>
      </c>
      <c r="AO59" s="29" t="s">
        <v>73</v>
      </c>
      <c r="AP59" s="30">
        <v>6500</v>
      </c>
      <c r="AQ59" s="30">
        <v>6500</v>
      </c>
      <c r="AR59" s="29" t="s">
        <v>73</v>
      </c>
      <c r="AS59" s="29" t="s">
        <v>73</v>
      </c>
      <c r="AT59" s="29" t="s">
        <v>73</v>
      </c>
      <c r="AU59" s="29" t="s">
        <v>73</v>
      </c>
      <c r="AV59" s="29" t="s">
        <v>73</v>
      </c>
      <c r="AW59" s="29" t="s">
        <v>73</v>
      </c>
      <c r="AX59" s="30">
        <v>13000</v>
      </c>
      <c r="AY59" s="30" t="s">
        <v>7</v>
      </c>
      <c r="AZ59" s="2" t="s">
        <v>74</v>
      </c>
      <c r="BA59" s="2"/>
    </row>
    <row r="60" spans="1:53" ht="51" x14ac:dyDescent="0.25">
      <c r="A60" s="19">
        <v>2026</v>
      </c>
      <c r="B60" s="20">
        <v>479</v>
      </c>
      <c r="C60" s="21" t="s">
        <v>64</v>
      </c>
      <c r="D60" s="21" t="s">
        <v>65</v>
      </c>
      <c r="E60" s="20">
        <v>125</v>
      </c>
      <c r="F60" s="20">
        <v>3000654</v>
      </c>
      <c r="G60" s="20">
        <v>5005023</v>
      </c>
      <c r="H60" s="20">
        <v>3</v>
      </c>
      <c r="I60" s="20">
        <v>12</v>
      </c>
      <c r="J60" s="20">
        <v>24</v>
      </c>
      <c r="K60" s="20">
        <v>135560</v>
      </c>
      <c r="L60" s="21" t="s">
        <v>66</v>
      </c>
      <c r="M60" s="43" t="s">
        <v>67</v>
      </c>
      <c r="N60" s="19">
        <v>95</v>
      </c>
      <c r="O60" s="2"/>
      <c r="P60" s="2" t="s">
        <v>4</v>
      </c>
      <c r="Q60" s="20" t="s">
        <v>68</v>
      </c>
      <c r="R60" s="25" t="s">
        <v>69</v>
      </c>
      <c r="S60" s="25" t="s">
        <v>137</v>
      </c>
      <c r="T60" s="25"/>
      <c r="U60" s="31" t="s">
        <v>162</v>
      </c>
      <c r="V60" s="25" t="s">
        <v>3</v>
      </c>
      <c r="W60" s="25">
        <v>1</v>
      </c>
      <c r="X60" s="27">
        <v>6000</v>
      </c>
      <c r="Y60" s="1142"/>
      <c r="Z60" s="1143"/>
      <c r="AA60" s="1143"/>
      <c r="AB60" s="1144"/>
      <c r="AC60" s="25">
        <v>30</v>
      </c>
      <c r="AD60" s="25">
        <v>30</v>
      </c>
      <c r="AE60" s="1142"/>
      <c r="AF60" s="1143"/>
      <c r="AG60" s="1143"/>
      <c r="AH60" s="1143"/>
      <c r="AI60" s="1143"/>
      <c r="AJ60" s="1145"/>
      <c r="AK60" s="35">
        <v>12000</v>
      </c>
      <c r="AL60" s="29" t="s">
        <v>73</v>
      </c>
      <c r="AM60" s="29" t="s">
        <v>73</v>
      </c>
      <c r="AN60" s="29" t="s">
        <v>73</v>
      </c>
      <c r="AO60" s="29" t="s">
        <v>73</v>
      </c>
      <c r="AP60" s="30">
        <v>6000</v>
      </c>
      <c r="AQ60" s="30">
        <v>6000</v>
      </c>
      <c r="AR60" s="29" t="s">
        <v>73</v>
      </c>
      <c r="AS60" s="29" t="s">
        <v>73</v>
      </c>
      <c r="AT60" s="29" t="s">
        <v>73</v>
      </c>
      <c r="AU60" s="29" t="s">
        <v>73</v>
      </c>
      <c r="AV60" s="29" t="s">
        <v>73</v>
      </c>
      <c r="AW60" s="29" t="s">
        <v>73</v>
      </c>
      <c r="AX60" s="30">
        <v>12000</v>
      </c>
      <c r="AY60" s="30" t="s">
        <v>7</v>
      </c>
      <c r="AZ60" s="2" t="s">
        <v>74</v>
      </c>
      <c r="BA60" s="2"/>
    </row>
    <row r="61" spans="1:53" ht="51" x14ac:dyDescent="0.25">
      <c r="A61" s="19">
        <v>2026</v>
      </c>
      <c r="B61" s="20">
        <v>479</v>
      </c>
      <c r="C61" s="21" t="s">
        <v>64</v>
      </c>
      <c r="D61" s="21" t="s">
        <v>65</v>
      </c>
      <c r="E61" s="20">
        <v>125</v>
      </c>
      <c r="F61" s="20">
        <v>3000654</v>
      </c>
      <c r="G61" s="20">
        <v>5005023</v>
      </c>
      <c r="H61" s="20">
        <v>3</v>
      </c>
      <c r="I61" s="20">
        <v>12</v>
      </c>
      <c r="J61" s="20">
        <v>24</v>
      </c>
      <c r="K61" s="20">
        <v>135560</v>
      </c>
      <c r="L61" s="21" t="s">
        <v>66</v>
      </c>
      <c r="M61" s="43" t="s">
        <v>67</v>
      </c>
      <c r="N61" s="19">
        <v>95</v>
      </c>
      <c r="O61" s="2"/>
      <c r="P61" s="2" t="s">
        <v>4</v>
      </c>
      <c r="Q61" s="20" t="s">
        <v>68</v>
      </c>
      <c r="R61" s="25" t="s">
        <v>69</v>
      </c>
      <c r="S61" s="25" t="s">
        <v>137</v>
      </c>
      <c r="T61" s="25"/>
      <c r="U61" s="31" t="s">
        <v>163</v>
      </c>
      <c r="V61" s="25" t="s">
        <v>3</v>
      </c>
      <c r="W61" s="25">
        <v>1</v>
      </c>
      <c r="X61" s="27">
        <v>5000</v>
      </c>
      <c r="Y61" s="1142"/>
      <c r="Z61" s="1143"/>
      <c r="AA61" s="1143"/>
      <c r="AB61" s="1144"/>
      <c r="AC61" s="25">
        <v>30</v>
      </c>
      <c r="AD61" s="25">
        <v>30</v>
      </c>
      <c r="AE61" s="1142"/>
      <c r="AF61" s="1143"/>
      <c r="AG61" s="1143"/>
      <c r="AH61" s="1143"/>
      <c r="AI61" s="1143"/>
      <c r="AJ61" s="1145"/>
      <c r="AK61" s="35">
        <v>10000</v>
      </c>
      <c r="AL61" s="29" t="s">
        <v>73</v>
      </c>
      <c r="AM61" s="29" t="s">
        <v>73</v>
      </c>
      <c r="AN61" s="29" t="s">
        <v>73</v>
      </c>
      <c r="AO61" s="29" t="s">
        <v>73</v>
      </c>
      <c r="AP61" s="30">
        <v>5000</v>
      </c>
      <c r="AQ61" s="30">
        <v>5000</v>
      </c>
      <c r="AR61" s="29" t="s">
        <v>73</v>
      </c>
      <c r="AS61" s="29" t="s">
        <v>73</v>
      </c>
      <c r="AT61" s="29" t="s">
        <v>73</v>
      </c>
      <c r="AU61" s="29" t="s">
        <v>73</v>
      </c>
      <c r="AV61" s="29" t="s">
        <v>73</v>
      </c>
      <c r="AW61" s="29" t="s">
        <v>73</v>
      </c>
      <c r="AX61" s="30">
        <v>10000</v>
      </c>
      <c r="AY61" s="30" t="s">
        <v>7</v>
      </c>
      <c r="AZ61" s="2" t="s">
        <v>74</v>
      </c>
      <c r="BA61" s="2"/>
    </row>
    <row r="62" spans="1:53" ht="51" x14ac:dyDescent="0.25">
      <c r="A62" s="19">
        <v>2026</v>
      </c>
      <c r="B62" s="20">
        <v>479</v>
      </c>
      <c r="C62" s="21" t="s">
        <v>64</v>
      </c>
      <c r="D62" s="21" t="s">
        <v>65</v>
      </c>
      <c r="E62" s="20">
        <v>125</v>
      </c>
      <c r="F62" s="20">
        <v>3000654</v>
      </c>
      <c r="G62" s="20">
        <v>5005023</v>
      </c>
      <c r="H62" s="20">
        <v>3</v>
      </c>
      <c r="I62" s="20">
        <v>12</v>
      </c>
      <c r="J62" s="20">
        <v>24</v>
      </c>
      <c r="K62" s="20">
        <v>135560</v>
      </c>
      <c r="L62" s="21" t="s">
        <v>66</v>
      </c>
      <c r="M62" s="43" t="s">
        <v>67</v>
      </c>
      <c r="N62" s="19">
        <v>95</v>
      </c>
      <c r="O62" s="2"/>
      <c r="P62" s="2" t="s">
        <v>4</v>
      </c>
      <c r="Q62" s="20" t="s">
        <v>68</v>
      </c>
      <c r="R62" s="25" t="s">
        <v>69</v>
      </c>
      <c r="S62" s="25" t="s">
        <v>137</v>
      </c>
      <c r="T62" s="25"/>
      <c r="U62" s="31" t="s">
        <v>164</v>
      </c>
      <c r="V62" s="25" t="s">
        <v>3</v>
      </c>
      <c r="W62" s="25">
        <v>3</v>
      </c>
      <c r="X62" s="27">
        <v>6000</v>
      </c>
      <c r="Y62" s="1142"/>
      <c r="Z62" s="1143"/>
      <c r="AA62" s="1143"/>
      <c r="AB62" s="1144"/>
      <c r="AC62" s="25">
        <v>30</v>
      </c>
      <c r="AD62" s="25">
        <v>30</v>
      </c>
      <c r="AE62" s="1142"/>
      <c r="AF62" s="1143"/>
      <c r="AG62" s="1143"/>
      <c r="AH62" s="1143"/>
      <c r="AI62" s="1143"/>
      <c r="AJ62" s="1145"/>
      <c r="AK62" s="35">
        <v>36000</v>
      </c>
      <c r="AL62" s="29" t="s">
        <v>73</v>
      </c>
      <c r="AM62" s="29" t="s">
        <v>73</v>
      </c>
      <c r="AN62" s="29" t="s">
        <v>73</v>
      </c>
      <c r="AO62" s="29" t="s">
        <v>73</v>
      </c>
      <c r="AP62" s="30">
        <v>18000</v>
      </c>
      <c r="AQ62" s="30">
        <v>18000</v>
      </c>
      <c r="AR62" s="29" t="s">
        <v>73</v>
      </c>
      <c r="AS62" s="29" t="s">
        <v>73</v>
      </c>
      <c r="AT62" s="29" t="s">
        <v>73</v>
      </c>
      <c r="AU62" s="29" t="s">
        <v>73</v>
      </c>
      <c r="AV62" s="29" t="s">
        <v>73</v>
      </c>
      <c r="AW62" s="29" t="s">
        <v>73</v>
      </c>
      <c r="AX62" s="30">
        <v>36000</v>
      </c>
      <c r="AY62" s="30" t="s">
        <v>7</v>
      </c>
      <c r="AZ62" s="2" t="s">
        <v>74</v>
      </c>
      <c r="BA62" s="2"/>
    </row>
    <row r="63" spans="1:53" ht="51" x14ac:dyDescent="0.25">
      <c r="A63" s="19">
        <v>2026</v>
      </c>
      <c r="B63" s="20">
        <v>479</v>
      </c>
      <c r="C63" s="21" t="s">
        <v>64</v>
      </c>
      <c r="D63" s="21" t="s">
        <v>65</v>
      </c>
      <c r="E63" s="20">
        <v>125</v>
      </c>
      <c r="F63" s="20">
        <v>3000654</v>
      </c>
      <c r="G63" s="20">
        <v>5005023</v>
      </c>
      <c r="H63" s="20">
        <v>3</v>
      </c>
      <c r="I63" s="20">
        <v>12</v>
      </c>
      <c r="J63" s="20">
        <v>24</v>
      </c>
      <c r="K63" s="20">
        <v>135560</v>
      </c>
      <c r="L63" s="21" t="s">
        <v>66</v>
      </c>
      <c r="M63" s="43" t="s">
        <v>67</v>
      </c>
      <c r="N63" s="19">
        <v>95</v>
      </c>
      <c r="O63" s="2"/>
      <c r="P63" s="2" t="s">
        <v>4</v>
      </c>
      <c r="Q63" s="20" t="s">
        <v>68</v>
      </c>
      <c r="R63" s="25" t="s">
        <v>69</v>
      </c>
      <c r="S63" s="25" t="s">
        <v>137</v>
      </c>
      <c r="T63" s="25"/>
      <c r="U63" s="31" t="s">
        <v>165</v>
      </c>
      <c r="V63" s="25" t="s">
        <v>3</v>
      </c>
      <c r="W63" s="25">
        <v>1</v>
      </c>
      <c r="X63" s="27">
        <v>7000</v>
      </c>
      <c r="Y63" s="1142"/>
      <c r="Z63" s="1143"/>
      <c r="AA63" s="1143"/>
      <c r="AB63" s="1144"/>
      <c r="AC63" s="25">
        <v>30</v>
      </c>
      <c r="AD63" s="25">
        <v>30</v>
      </c>
      <c r="AE63" s="1142"/>
      <c r="AF63" s="1143"/>
      <c r="AG63" s="1143"/>
      <c r="AH63" s="1143"/>
      <c r="AI63" s="1143"/>
      <c r="AJ63" s="1145"/>
      <c r="AK63" s="35">
        <v>14000</v>
      </c>
      <c r="AL63" s="29" t="s">
        <v>73</v>
      </c>
      <c r="AM63" s="29" t="s">
        <v>73</v>
      </c>
      <c r="AN63" s="29" t="s">
        <v>73</v>
      </c>
      <c r="AO63" s="29" t="s">
        <v>73</v>
      </c>
      <c r="AP63" s="30">
        <v>7000</v>
      </c>
      <c r="AQ63" s="30">
        <v>7000</v>
      </c>
      <c r="AR63" s="29" t="s">
        <v>73</v>
      </c>
      <c r="AS63" s="29" t="s">
        <v>73</v>
      </c>
      <c r="AT63" s="29" t="s">
        <v>73</v>
      </c>
      <c r="AU63" s="29" t="s">
        <v>73</v>
      </c>
      <c r="AV63" s="29" t="s">
        <v>73</v>
      </c>
      <c r="AW63" s="29" t="s">
        <v>73</v>
      </c>
      <c r="AX63" s="30">
        <v>14000</v>
      </c>
      <c r="AY63" s="30" t="s">
        <v>7</v>
      </c>
      <c r="AZ63" s="2" t="s">
        <v>74</v>
      </c>
      <c r="BA63" s="2"/>
    </row>
    <row r="64" spans="1:53" ht="51" x14ac:dyDescent="0.25">
      <c r="A64" s="19">
        <v>2026</v>
      </c>
      <c r="B64" s="20">
        <v>479</v>
      </c>
      <c r="C64" s="21" t="s">
        <v>64</v>
      </c>
      <c r="D64" s="21" t="s">
        <v>65</v>
      </c>
      <c r="E64" s="20">
        <v>125</v>
      </c>
      <c r="F64" s="20">
        <v>3000654</v>
      </c>
      <c r="G64" s="20">
        <v>5005023</v>
      </c>
      <c r="H64" s="20">
        <v>3</v>
      </c>
      <c r="I64" s="20">
        <v>12</v>
      </c>
      <c r="J64" s="20">
        <v>24</v>
      </c>
      <c r="K64" s="20">
        <v>135560</v>
      </c>
      <c r="L64" s="21" t="s">
        <v>66</v>
      </c>
      <c r="M64" s="43" t="s">
        <v>67</v>
      </c>
      <c r="N64" s="19">
        <v>95</v>
      </c>
      <c r="O64" s="2"/>
      <c r="P64" s="2" t="s">
        <v>4</v>
      </c>
      <c r="Q64" s="20" t="s">
        <v>68</v>
      </c>
      <c r="R64" s="25" t="s">
        <v>69</v>
      </c>
      <c r="S64" s="25" t="s">
        <v>137</v>
      </c>
      <c r="T64" s="25"/>
      <c r="U64" s="31" t="s">
        <v>166</v>
      </c>
      <c r="V64" s="25" t="s">
        <v>3</v>
      </c>
      <c r="W64" s="25">
        <v>1</v>
      </c>
      <c r="X64" s="27">
        <v>6500</v>
      </c>
      <c r="Y64" s="1142"/>
      <c r="Z64" s="1143"/>
      <c r="AA64" s="1143"/>
      <c r="AB64" s="1144"/>
      <c r="AC64" s="25">
        <v>30</v>
      </c>
      <c r="AD64" s="25">
        <v>30</v>
      </c>
      <c r="AE64" s="1142"/>
      <c r="AF64" s="1143"/>
      <c r="AG64" s="1143"/>
      <c r="AH64" s="1143"/>
      <c r="AI64" s="1143"/>
      <c r="AJ64" s="1145"/>
      <c r="AK64" s="35">
        <v>13000</v>
      </c>
      <c r="AL64" s="29" t="s">
        <v>73</v>
      </c>
      <c r="AM64" s="29" t="s">
        <v>73</v>
      </c>
      <c r="AN64" s="29" t="s">
        <v>73</v>
      </c>
      <c r="AO64" s="29" t="s">
        <v>73</v>
      </c>
      <c r="AP64" s="30">
        <v>6500</v>
      </c>
      <c r="AQ64" s="30">
        <v>6500</v>
      </c>
      <c r="AR64" s="29" t="s">
        <v>73</v>
      </c>
      <c r="AS64" s="29" t="s">
        <v>73</v>
      </c>
      <c r="AT64" s="29" t="s">
        <v>73</v>
      </c>
      <c r="AU64" s="29" t="s">
        <v>73</v>
      </c>
      <c r="AV64" s="29" t="s">
        <v>73</v>
      </c>
      <c r="AW64" s="29" t="s">
        <v>73</v>
      </c>
      <c r="AX64" s="30">
        <v>13000</v>
      </c>
      <c r="AY64" s="30" t="s">
        <v>7</v>
      </c>
      <c r="AZ64" s="2" t="s">
        <v>74</v>
      </c>
      <c r="BA64" s="2"/>
    </row>
    <row r="65" spans="1:53" ht="51" x14ac:dyDescent="0.25">
      <c r="A65" s="19">
        <v>2026</v>
      </c>
      <c r="B65" s="20">
        <v>479</v>
      </c>
      <c r="C65" s="21" t="s">
        <v>64</v>
      </c>
      <c r="D65" s="21" t="s">
        <v>65</v>
      </c>
      <c r="E65" s="20">
        <v>125</v>
      </c>
      <c r="F65" s="20">
        <v>3000654</v>
      </c>
      <c r="G65" s="20">
        <v>5005023</v>
      </c>
      <c r="H65" s="20">
        <v>3</v>
      </c>
      <c r="I65" s="20">
        <v>12</v>
      </c>
      <c r="J65" s="20">
        <v>24</v>
      </c>
      <c r="K65" s="20">
        <v>135560</v>
      </c>
      <c r="L65" s="21" t="s">
        <v>66</v>
      </c>
      <c r="M65" s="43" t="s">
        <v>67</v>
      </c>
      <c r="N65" s="19">
        <v>95</v>
      </c>
      <c r="O65" s="2"/>
      <c r="P65" s="2" t="s">
        <v>4</v>
      </c>
      <c r="Q65" s="20" t="s">
        <v>68</v>
      </c>
      <c r="R65" s="25" t="s">
        <v>69</v>
      </c>
      <c r="S65" s="25" t="s">
        <v>137</v>
      </c>
      <c r="T65" s="25"/>
      <c r="U65" s="31" t="s">
        <v>167</v>
      </c>
      <c r="V65" s="25" t="s">
        <v>3</v>
      </c>
      <c r="W65" s="25">
        <v>1</v>
      </c>
      <c r="X65" s="27">
        <v>6500</v>
      </c>
      <c r="Y65" s="1142"/>
      <c r="Z65" s="1143"/>
      <c r="AA65" s="1143"/>
      <c r="AB65" s="1144"/>
      <c r="AC65" s="25">
        <v>30</v>
      </c>
      <c r="AD65" s="25">
        <v>30</v>
      </c>
      <c r="AE65" s="1142"/>
      <c r="AF65" s="1143"/>
      <c r="AG65" s="1143"/>
      <c r="AH65" s="1143"/>
      <c r="AI65" s="1143"/>
      <c r="AJ65" s="1145"/>
      <c r="AK65" s="35">
        <v>13000</v>
      </c>
      <c r="AL65" s="29" t="s">
        <v>73</v>
      </c>
      <c r="AM65" s="29" t="s">
        <v>73</v>
      </c>
      <c r="AN65" s="29" t="s">
        <v>73</v>
      </c>
      <c r="AO65" s="29" t="s">
        <v>73</v>
      </c>
      <c r="AP65" s="30">
        <v>6500</v>
      </c>
      <c r="AQ65" s="30">
        <v>6500</v>
      </c>
      <c r="AR65" s="29" t="s">
        <v>73</v>
      </c>
      <c r="AS65" s="29" t="s">
        <v>73</v>
      </c>
      <c r="AT65" s="29" t="s">
        <v>73</v>
      </c>
      <c r="AU65" s="29" t="s">
        <v>73</v>
      </c>
      <c r="AV65" s="29" t="s">
        <v>73</v>
      </c>
      <c r="AW65" s="29" t="s">
        <v>73</v>
      </c>
      <c r="AX65" s="30">
        <v>13000</v>
      </c>
      <c r="AY65" s="30" t="s">
        <v>7</v>
      </c>
      <c r="AZ65" s="2" t="s">
        <v>74</v>
      </c>
      <c r="BA65" s="2"/>
    </row>
    <row r="66" spans="1:53" ht="51" x14ac:dyDescent="0.25">
      <c r="A66" s="19">
        <v>2026</v>
      </c>
      <c r="B66" s="20">
        <v>479</v>
      </c>
      <c r="C66" s="21" t="s">
        <v>64</v>
      </c>
      <c r="D66" s="21" t="s">
        <v>65</v>
      </c>
      <c r="E66" s="20">
        <v>125</v>
      </c>
      <c r="F66" s="20">
        <v>3000654</v>
      </c>
      <c r="G66" s="20">
        <v>5005023</v>
      </c>
      <c r="H66" s="20">
        <v>3</v>
      </c>
      <c r="I66" s="20">
        <v>12</v>
      </c>
      <c r="J66" s="20">
        <v>24</v>
      </c>
      <c r="K66" s="20">
        <v>135560</v>
      </c>
      <c r="L66" s="21" t="s">
        <v>66</v>
      </c>
      <c r="M66" s="43" t="s">
        <v>67</v>
      </c>
      <c r="N66" s="19">
        <v>95</v>
      </c>
      <c r="O66" s="2"/>
      <c r="P66" s="2" t="s">
        <v>4</v>
      </c>
      <c r="Q66" s="20" t="s">
        <v>68</v>
      </c>
      <c r="R66" s="25" t="s">
        <v>69</v>
      </c>
      <c r="S66" s="25" t="s">
        <v>137</v>
      </c>
      <c r="T66" s="25"/>
      <c r="U66" s="31" t="s">
        <v>168</v>
      </c>
      <c r="V66" s="25" t="s">
        <v>3</v>
      </c>
      <c r="W66" s="25">
        <v>1</v>
      </c>
      <c r="X66" s="27">
        <v>10000</v>
      </c>
      <c r="Y66" s="1142"/>
      <c r="Z66" s="1143"/>
      <c r="AA66" s="1143"/>
      <c r="AB66" s="1144"/>
      <c r="AC66" s="25">
        <v>30</v>
      </c>
      <c r="AD66" s="25">
        <v>30</v>
      </c>
      <c r="AE66" s="1142"/>
      <c r="AF66" s="1143"/>
      <c r="AG66" s="1143"/>
      <c r="AH66" s="1143"/>
      <c r="AI66" s="1143"/>
      <c r="AJ66" s="1145"/>
      <c r="AK66" s="35">
        <v>20000</v>
      </c>
      <c r="AL66" s="29" t="s">
        <v>73</v>
      </c>
      <c r="AM66" s="29" t="s">
        <v>73</v>
      </c>
      <c r="AN66" s="29" t="s">
        <v>73</v>
      </c>
      <c r="AO66" s="29" t="s">
        <v>73</v>
      </c>
      <c r="AP66" s="30">
        <v>10000</v>
      </c>
      <c r="AQ66" s="30">
        <v>10000</v>
      </c>
      <c r="AR66" s="29" t="s">
        <v>73</v>
      </c>
      <c r="AS66" s="29" t="s">
        <v>73</v>
      </c>
      <c r="AT66" s="29" t="s">
        <v>73</v>
      </c>
      <c r="AU66" s="29" t="s">
        <v>73</v>
      </c>
      <c r="AV66" s="29" t="s">
        <v>73</v>
      </c>
      <c r="AW66" s="29" t="s">
        <v>73</v>
      </c>
      <c r="AX66" s="30">
        <v>20000</v>
      </c>
      <c r="AY66" s="30" t="s">
        <v>7</v>
      </c>
      <c r="AZ66" s="2" t="s">
        <v>74</v>
      </c>
      <c r="BA66" s="2"/>
    </row>
    <row r="67" spans="1:53" ht="51" x14ac:dyDescent="0.25">
      <c r="A67" s="19">
        <v>2026</v>
      </c>
      <c r="B67" s="20">
        <v>479</v>
      </c>
      <c r="C67" s="21" t="s">
        <v>64</v>
      </c>
      <c r="D67" s="21" t="s">
        <v>65</v>
      </c>
      <c r="E67" s="20">
        <v>125</v>
      </c>
      <c r="F67" s="20">
        <v>3000654</v>
      </c>
      <c r="G67" s="20">
        <v>5005023</v>
      </c>
      <c r="H67" s="20">
        <v>3</v>
      </c>
      <c r="I67" s="20">
        <v>12</v>
      </c>
      <c r="J67" s="20">
        <v>24</v>
      </c>
      <c r="K67" s="20">
        <v>135560</v>
      </c>
      <c r="L67" s="21" t="s">
        <v>66</v>
      </c>
      <c r="M67" s="43" t="s">
        <v>67</v>
      </c>
      <c r="N67" s="19">
        <v>95</v>
      </c>
      <c r="O67" s="2"/>
      <c r="P67" s="2" t="s">
        <v>4</v>
      </c>
      <c r="Q67" s="20" t="s">
        <v>68</v>
      </c>
      <c r="R67" s="25" t="s">
        <v>69</v>
      </c>
      <c r="S67" s="25" t="s">
        <v>137</v>
      </c>
      <c r="T67" s="25"/>
      <c r="U67" s="31" t="s">
        <v>169</v>
      </c>
      <c r="V67" s="25" t="s">
        <v>3</v>
      </c>
      <c r="W67" s="25">
        <v>1</v>
      </c>
      <c r="X67" s="27">
        <v>6500</v>
      </c>
      <c r="Y67" s="1142"/>
      <c r="Z67" s="1143"/>
      <c r="AA67" s="1143"/>
      <c r="AB67" s="1144"/>
      <c r="AC67" s="25">
        <v>30</v>
      </c>
      <c r="AD67" s="25">
        <v>30</v>
      </c>
      <c r="AE67" s="1142"/>
      <c r="AF67" s="1143"/>
      <c r="AG67" s="1143"/>
      <c r="AH67" s="1143"/>
      <c r="AI67" s="1143"/>
      <c r="AJ67" s="1145"/>
      <c r="AK67" s="35">
        <v>13000</v>
      </c>
      <c r="AL67" s="29" t="s">
        <v>73</v>
      </c>
      <c r="AM67" s="29" t="s">
        <v>73</v>
      </c>
      <c r="AN67" s="29" t="s">
        <v>73</v>
      </c>
      <c r="AO67" s="29" t="s">
        <v>73</v>
      </c>
      <c r="AP67" s="30">
        <v>6500</v>
      </c>
      <c r="AQ67" s="30">
        <v>6500</v>
      </c>
      <c r="AR67" s="29" t="s">
        <v>73</v>
      </c>
      <c r="AS67" s="29" t="s">
        <v>73</v>
      </c>
      <c r="AT67" s="29" t="s">
        <v>73</v>
      </c>
      <c r="AU67" s="29" t="s">
        <v>73</v>
      </c>
      <c r="AV67" s="29" t="s">
        <v>73</v>
      </c>
      <c r="AW67" s="29" t="s">
        <v>73</v>
      </c>
      <c r="AX67" s="30">
        <v>13000</v>
      </c>
      <c r="AY67" s="30" t="s">
        <v>7</v>
      </c>
      <c r="AZ67" s="2" t="s">
        <v>74</v>
      </c>
      <c r="BA67" s="2"/>
    </row>
    <row r="68" spans="1:53" ht="51" x14ac:dyDescent="0.25">
      <c r="A68" s="19">
        <v>2026</v>
      </c>
      <c r="B68" s="20">
        <v>479</v>
      </c>
      <c r="C68" s="21" t="s">
        <v>64</v>
      </c>
      <c r="D68" s="21" t="s">
        <v>65</v>
      </c>
      <c r="E68" s="20">
        <v>125</v>
      </c>
      <c r="F68" s="20">
        <v>3000654</v>
      </c>
      <c r="G68" s="20">
        <v>5005023</v>
      </c>
      <c r="H68" s="20">
        <v>3</v>
      </c>
      <c r="I68" s="20">
        <v>12</v>
      </c>
      <c r="J68" s="20">
        <v>24</v>
      </c>
      <c r="K68" s="20">
        <v>135560</v>
      </c>
      <c r="L68" s="21" t="s">
        <v>66</v>
      </c>
      <c r="M68" s="43" t="s">
        <v>67</v>
      </c>
      <c r="N68" s="19">
        <v>95</v>
      </c>
      <c r="O68" s="2"/>
      <c r="P68" s="2" t="s">
        <v>4</v>
      </c>
      <c r="Q68" s="20" t="s">
        <v>68</v>
      </c>
      <c r="R68" s="25" t="s">
        <v>69</v>
      </c>
      <c r="S68" s="25" t="s">
        <v>137</v>
      </c>
      <c r="T68" s="25"/>
      <c r="U68" s="31" t="s">
        <v>170</v>
      </c>
      <c r="V68" s="25" t="s">
        <v>3</v>
      </c>
      <c r="W68" s="25">
        <v>2</v>
      </c>
      <c r="X68" s="27">
        <v>5000</v>
      </c>
      <c r="Y68" s="1142"/>
      <c r="Z68" s="1143"/>
      <c r="AA68" s="1143"/>
      <c r="AB68" s="1144"/>
      <c r="AC68" s="25">
        <v>30</v>
      </c>
      <c r="AD68" s="25">
        <v>30</v>
      </c>
      <c r="AE68" s="1142"/>
      <c r="AF68" s="1143"/>
      <c r="AG68" s="1143"/>
      <c r="AH68" s="1143"/>
      <c r="AI68" s="1143"/>
      <c r="AJ68" s="1145"/>
      <c r="AK68" s="35">
        <v>20000</v>
      </c>
      <c r="AL68" s="29" t="s">
        <v>73</v>
      </c>
      <c r="AM68" s="29" t="s">
        <v>73</v>
      </c>
      <c r="AN68" s="29" t="s">
        <v>73</v>
      </c>
      <c r="AO68" s="29" t="s">
        <v>73</v>
      </c>
      <c r="AP68" s="30">
        <v>10000</v>
      </c>
      <c r="AQ68" s="30">
        <v>10000</v>
      </c>
      <c r="AR68" s="29" t="s">
        <v>73</v>
      </c>
      <c r="AS68" s="29" t="s">
        <v>73</v>
      </c>
      <c r="AT68" s="29" t="s">
        <v>73</v>
      </c>
      <c r="AU68" s="29" t="s">
        <v>73</v>
      </c>
      <c r="AV68" s="29" t="s">
        <v>73</v>
      </c>
      <c r="AW68" s="29" t="s">
        <v>73</v>
      </c>
      <c r="AX68" s="30">
        <v>20000</v>
      </c>
      <c r="AY68" s="30" t="s">
        <v>7</v>
      </c>
      <c r="AZ68" s="2" t="s">
        <v>74</v>
      </c>
      <c r="BA68" s="2"/>
    </row>
    <row r="69" spans="1:53" ht="51" x14ac:dyDescent="0.25">
      <c r="A69" s="19">
        <v>2026</v>
      </c>
      <c r="B69" s="20">
        <v>479</v>
      </c>
      <c r="C69" s="21" t="s">
        <v>64</v>
      </c>
      <c r="D69" s="21" t="s">
        <v>65</v>
      </c>
      <c r="E69" s="20">
        <v>125</v>
      </c>
      <c r="F69" s="20">
        <v>3000654</v>
      </c>
      <c r="G69" s="20">
        <v>5005023</v>
      </c>
      <c r="H69" s="20">
        <v>3</v>
      </c>
      <c r="I69" s="20">
        <v>12</v>
      </c>
      <c r="J69" s="20">
        <v>24</v>
      </c>
      <c r="K69" s="20">
        <v>135560</v>
      </c>
      <c r="L69" s="21" t="s">
        <v>66</v>
      </c>
      <c r="M69" s="43" t="s">
        <v>67</v>
      </c>
      <c r="N69" s="19">
        <v>95</v>
      </c>
      <c r="O69" s="2"/>
      <c r="P69" s="2" t="s">
        <v>4</v>
      </c>
      <c r="Q69" s="20" t="s">
        <v>68</v>
      </c>
      <c r="R69" s="25" t="s">
        <v>69</v>
      </c>
      <c r="S69" s="25" t="s">
        <v>137</v>
      </c>
      <c r="T69" s="25"/>
      <c r="U69" s="31" t="s">
        <v>171</v>
      </c>
      <c r="V69" s="25" t="s">
        <v>3</v>
      </c>
      <c r="W69" s="25">
        <v>7</v>
      </c>
      <c r="X69" s="27">
        <v>5000</v>
      </c>
      <c r="Y69" s="1142"/>
      <c r="Z69" s="1143"/>
      <c r="AA69" s="1143"/>
      <c r="AB69" s="1144"/>
      <c r="AC69" s="25">
        <v>30</v>
      </c>
      <c r="AD69" s="25">
        <v>30</v>
      </c>
      <c r="AE69" s="1142"/>
      <c r="AF69" s="1143"/>
      <c r="AG69" s="1143"/>
      <c r="AH69" s="1143"/>
      <c r="AI69" s="1143"/>
      <c r="AJ69" s="1145"/>
      <c r="AK69" s="35">
        <v>70000</v>
      </c>
      <c r="AL69" s="29" t="s">
        <v>73</v>
      </c>
      <c r="AM69" s="29" t="s">
        <v>73</v>
      </c>
      <c r="AN69" s="29" t="s">
        <v>73</v>
      </c>
      <c r="AO69" s="29" t="s">
        <v>73</v>
      </c>
      <c r="AP69" s="30">
        <v>35000</v>
      </c>
      <c r="AQ69" s="30">
        <v>35000</v>
      </c>
      <c r="AR69" s="29" t="s">
        <v>73</v>
      </c>
      <c r="AS69" s="29" t="s">
        <v>73</v>
      </c>
      <c r="AT69" s="29" t="s">
        <v>73</v>
      </c>
      <c r="AU69" s="29" t="s">
        <v>73</v>
      </c>
      <c r="AV69" s="29" t="s">
        <v>73</v>
      </c>
      <c r="AW69" s="29" t="s">
        <v>73</v>
      </c>
      <c r="AX69" s="30">
        <v>70000</v>
      </c>
      <c r="AY69" s="30" t="s">
        <v>7</v>
      </c>
      <c r="AZ69" s="2" t="s">
        <v>74</v>
      </c>
      <c r="BA69" s="2"/>
    </row>
    <row r="70" spans="1:53" ht="51" x14ac:dyDescent="0.25">
      <c r="A70" s="19">
        <v>2026</v>
      </c>
      <c r="B70" s="20">
        <v>479</v>
      </c>
      <c r="C70" s="21" t="s">
        <v>64</v>
      </c>
      <c r="D70" s="21" t="s">
        <v>65</v>
      </c>
      <c r="E70" s="20">
        <v>125</v>
      </c>
      <c r="F70" s="20">
        <v>3000654</v>
      </c>
      <c r="G70" s="20">
        <v>5005023</v>
      </c>
      <c r="H70" s="20">
        <v>3</v>
      </c>
      <c r="I70" s="20">
        <v>12</v>
      </c>
      <c r="J70" s="20">
        <v>24</v>
      </c>
      <c r="K70" s="20">
        <v>135560</v>
      </c>
      <c r="L70" s="21" t="s">
        <v>66</v>
      </c>
      <c r="M70" s="43" t="s">
        <v>67</v>
      </c>
      <c r="N70" s="19">
        <v>95</v>
      </c>
      <c r="O70" s="2"/>
      <c r="P70" s="2" t="s">
        <v>4</v>
      </c>
      <c r="Q70" s="20" t="s">
        <v>68</v>
      </c>
      <c r="R70" s="25" t="s">
        <v>69</v>
      </c>
      <c r="S70" s="25" t="s">
        <v>137</v>
      </c>
      <c r="T70" s="25"/>
      <c r="U70" s="31" t="s">
        <v>172</v>
      </c>
      <c r="V70" s="25" t="s">
        <v>3</v>
      </c>
      <c r="W70" s="25">
        <v>1</v>
      </c>
      <c r="X70" s="27">
        <v>5000</v>
      </c>
      <c r="Y70" s="1142"/>
      <c r="Z70" s="1143"/>
      <c r="AA70" s="1143"/>
      <c r="AB70" s="1144"/>
      <c r="AC70" s="25">
        <v>30</v>
      </c>
      <c r="AD70" s="25">
        <v>30</v>
      </c>
      <c r="AE70" s="1142"/>
      <c r="AF70" s="1143"/>
      <c r="AG70" s="1143"/>
      <c r="AH70" s="1143"/>
      <c r="AI70" s="1143"/>
      <c r="AJ70" s="1145"/>
      <c r="AK70" s="35">
        <v>10000</v>
      </c>
      <c r="AL70" s="29" t="s">
        <v>73</v>
      </c>
      <c r="AM70" s="29" t="s">
        <v>73</v>
      </c>
      <c r="AN70" s="29" t="s">
        <v>73</v>
      </c>
      <c r="AO70" s="29" t="s">
        <v>73</v>
      </c>
      <c r="AP70" s="30">
        <v>5000</v>
      </c>
      <c r="AQ70" s="30">
        <v>5000</v>
      </c>
      <c r="AR70" s="29" t="s">
        <v>73</v>
      </c>
      <c r="AS70" s="29" t="s">
        <v>73</v>
      </c>
      <c r="AT70" s="29" t="s">
        <v>73</v>
      </c>
      <c r="AU70" s="29" t="s">
        <v>73</v>
      </c>
      <c r="AV70" s="29" t="s">
        <v>73</v>
      </c>
      <c r="AW70" s="29" t="s">
        <v>73</v>
      </c>
      <c r="AX70" s="30">
        <v>10000</v>
      </c>
      <c r="AY70" s="30" t="s">
        <v>7</v>
      </c>
      <c r="AZ70" s="2" t="s">
        <v>74</v>
      </c>
      <c r="BA70" s="2"/>
    </row>
    <row r="71" spans="1:53" ht="51" x14ac:dyDescent="0.25">
      <c r="A71" s="19">
        <v>2026</v>
      </c>
      <c r="B71" s="20">
        <v>479</v>
      </c>
      <c r="C71" s="21" t="s">
        <v>64</v>
      </c>
      <c r="D71" s="21" t="s">
        <v>65</v>
      </c>
      <c r="E71" s="20">
        <v>125</v>
      </c>
      <c r="F71" s="20">
        <v>3000654</v>
      </c>
      <c r="G71" s="20">
        <v>5005023</v>
      </c>
      <c r="H71" s="20">
        <v>3</v>
      </c>
      <c r="I71" s="20">
        <v>12</v>
      </c>
      <c r="J71" s="20">
        <v>24</v>
      </c>
      <c r="K71" s="20">
        <v>135560</v>
      </c>
      <c r="L71" s="21" t="s">
        <v>66</v>
      </c>
      <c r="M71" s="43" t="s">
        <v>67</v>
      </c>
      <c r="N71" s="19">
        <v>95</v>
      </c>
      <c r="O71" s="2"/>
      <c r="P71" s="2" t="s">
        <v>4</v>
      </c>
      <c r="Q71" s="20" t="s">
        <v>68</v>
      </c>
      <c r="R71" s="25" t="s">
        <v>69</v>
      </c>
      <c r="S71" s="25" t="s">
        <v>137</v>
      </c>
      <c r="T71" s="25"/>
      <c r="U71" s="31" t="s">
        <v>173</v>
      </c>
      <c r="V71" s="25" t="s">
        <v>3</v>
      </c>
      <c r="W71" s="25">
        <v>1</v>
      </c>
      <c r="X71" s="27">
        <v>6000</v>
      </c>
      <c r="Y71" s="1142"/>
      <c r="Z71" s="1143"/>
      <c r="AA71" s="1143"/>
      <c r="AB71" s="1144"/>
      <c r="AC71" s="25">
        <v>30</v>
      </c>
      <c r="AD71" s="25">
        <v>30</v>
      </c>
      <c r="AE71" s="1142"/>
      <c r="AF71" s="1143"/>
      <c r="AG71" s="1143"/>
      <c r="AH71" s="1143"/>
      <c r="AI71" s="1143"/>
      <c r="AJ71" s="1145"/>
      <c r="AK71" s="35">
        <v>12000</v>
      </c>
      <c r="AL71" s="29" t="s">
        <v>73</v>
      </c>
      <c r="AM71" s="29" t="s">
        <v>73</v>
      </c>
      <c r="AN71" s="29" t="s">
        <v>73</v>
      </c>
      <c r="AO71" s="29" t="s">
        <v>73</v>
      </c>
      <c r="AP71" s="30">
        <v>6000</v>
      </c>
      <c r="AQ71" s="30">
        <v>6000</v>
      </c>
      <c r="AR71" s="29" t="s">
        <v>73</v>
      </c>
      <c r="AS71" s="29" t="s">
        <v>73</v>
      </c>
      <c r="AT71" s="29" t="s">
        <v>73</v>
      </c>
      <c r="AU71" s="29" t="s">
        <v>73</v>
      </c>
      <c r="AV71" s="29" t="s">
        <v>73</v>
      </c>
      <c r="AW71" s="29" t="s">
        <v>73</v>
      </c>
      <c r="AX71" s="30">
        <v>12000</v>
      </c>
      <c r="AY71" s="30" t="s">
        <v>7</v>
      </c>
      <c r="AZ71" s="2" t="s">
        <v>74</v>
      </c>
      <c r="BA71" s="2"/>
    </row>
    <row r="72" spans="1:53" ht="51" x14ac:dyDescent="0.25">
      <c r="A72" s="19">
        <v>2026</v>
      </c>
      <c r="B72" s="20">
        <v>479</v>
      </c>
      <c r="C72" s="21" t="s">
        <v>64</v>
      </c>
      <c r="D72" s="21" t="s">
        <v>65</v>
      </c>
      <c r="E72" s="20">
        <v>125</v>
      </c>
      <c r="F72" s="20">
        <v>3000654</v>
      </c>
      <c r="G72" s="20">
        <v>5005023</v>
      </c>
      <c r="H72" s="20">
        <v>3</v>
      </c>
      <c r="I72" s="20">
        <v>12</v>
      </c>
      <c r="J72" s="20">
        <v>24</v>
      </c>
      <c r="K72" s="20">
        <v>135560</v>
      </c>
      <c r="L72" s="21" t="s">
        <v>66</v>
      </c>
      <c r="M72" s="43" t="s">
        <v>67</v>
      </c>
      <c r="N72" s="19">
        <v>95</v>
      </c>
      <c r="O72" s="2"/>
      <c r="P72" s="2" t="s">
        <v>4</v>
      </c>
      <c r="Q72" s="20" t="s">
        <v>68</v>
      </c>
      <c r="R72" s="25" t="s">
        <v>69</v>
      </c>
      <c r="S72" s="25" t="s">
        <v>137</v>
      </c>
      <c r="T72" s="25"/>
      <c r="U72" s="31" t="s">
        <v>174</v>
      </c>
      <c r="V72" s="25" t="s">
        <v>3</v>
      </c>
      <c r="W72" s="25">
        <v>1</v>
      </c>
      <c r="X72" s="27">
        <v>6000</v>
      </c>
      <c r="Y72" s="1142"/>
      <c r="Z72" s="1143"/>
      <c r="AA72" s="1143"/>
      <c r="AB72" s="1144"/>
      <c r="AC72" s="25">
        <v>30</v>
      </c>
      <c r="AD72" s="25">
        <v>30</v>
      </c>
      <c r="AE72" s="1142"/>
      <c r="AF72" s="1143"/>
      <c r="AG72" s="1143"/>
      <c r="AH72" s="1143"/>
      <c r="AI72" s="1143"/>
      <c r="AJ72" s="1145"/>
      <c r="AK72" s="35">
        <v>12000</v>
      </c>
      <c r="AL72" s="29" t="s">
        <v>73</v>
      </c>
      <c r="AM72" s="29" t="s">
        <v>73</v>
      </c>
      <c r="AN72" s="29" t="s">
        <v>73</v>
      </c>
      <c r="AO72" s="29" t="s">
        <v>73</v>
      </c>
      <c r="AP72" s="30">
        <v>6000</v>
      </c>
      <c r="AQ72" s="30">
        <v>6000</v>
      </c>
      <c r="AR72" s="29" t="s">
        <v>73</v>
      </c>
      <c r="AS72" s="29" t="s">
        <v>73</v>
      </c>
      <c r="AT72" s="29" t="s">
        <v>73</v>
      </c>
      <c r="AU72" s="29" t="s">
        <v>73</v>
      </c>
      <c r="AV72" s="29" t="s">
        <v>73</v>
      </c>
      <c r="AW72" s="29" t="s">
        <v>73</v>
      </c>
      <c r="AX72" s="30">
        <v>12000</v>
      </c>
      <c r="AY72" s="30" t="s">
        <v>7</v>
      </c>
      <c r="AZ72" s="2" t="s">
        <v>74</v>
      </c>
      <c r="BA72" s="2"/>
    </row>
    <row r="73" spans="1:53" ht="51" x14ac:dyDescent="0.25">
      <c r="A73" s="19">
        <v>2026</v>
      </c>
      <c r="B73" s="20">
        <v>479</v>
      </c>
      <c r="C73" s="21" t="s">
        <v>64</v>
      </c>
      <c r="D73" s="21" t="s">
        <v>65</v>
      </c>
      <c r="E73" s="20">
        <v>125</v>
      </c>
      <c r="F73" s="20">
        <v>3000654</v>
      </c>
      <c r="G73" s="20">
        <v>5005023</v>
      </c>
      <c r="H73" s="20">
        <v>3</v>
      </c>
      <c r="I73" s="20">
        <v>12</v>
      </c>
      <c r="J73" s="20">
        <v>24</v>
      </c>
      <c r="K73" s="20">
        <v>135560</v>
      </c>
      <c r="L73" s="21" t="s">
        <v>66</v>
      </c>
      <c r="M73" s="43" t="s">
        <v>67</v>
      </c>
      <c r="N73" s="19">
        <v>95</v>
      </c>
      <c r="O73" s="2"/>
      <c r="P73" s="2" t="s">
        <v>4</v>
      </c>
      <c r="Q73" s="20" t="s">
        <v>68</v>
      </c>
      <c r="R73" s="25" t="s">
        <v>69</v>
      </c>
      <c r="S73" s="25" t="s">
        <v>137</v>
      </c>
      <c r="T73" s="25"/>
      <c r="U73" s="31" t="s">
        <v>175</v>
      </c>
      <c r="V73" s="25" t="s">
        <v>3</v>
      </c>
      <c r="W73" s="25">
        <v>6</v>
      </c>
      <c r="X73" s="27">
        <v>5000</v>
      </c>
      <c r="Y73" s="1142"/>
      <c r="Z73" s="1143"/>
      <c r="AA73" s="1143"/>
      <c r="AB73" s="1144"/>
      <c r="AC73" s="25">
        <v>30</v>
      </c>
      <c r="AD73" s="25">
        <v>30</v>
      </c>
      <c r="AE73" s="1142"/>
      <c r="AF73" s="1143"/>
      <c r="AG73" s="1143"/>
      <c r="AH73" s="1143"/>
      <c r="AI73" s="1143"/>
      <c r="AJ73" s="1145"/>
      <c r="AK73" s="35">
        <v>60000</v>
      </c>
      <c r="AL73" s="29" t="s">
        <v>73</v>
      </c>
      <c r="AM73" s="29" t="s">
        <v>73</v>
      </c>
      <c r="AN73" s="29" t="s">
        <v>73</v>
      </c>
      <c r="AO73" s="29" t="s">
        <v>73</v>
      </c>
      <c r="AP73" s="30">
        <v>30000</v>
      </c>
      <c r="AQ73" s="30">
        <v>30000</v>
      </c>
      <c r="AR73" s="29" t="s">
        <v>73</v>
      </c>
      <c r="AS73" s="29" t="s">
        <v>73</v>
      </c>
      <c r="AT73" s="29" t="s">
        <v>73</v>
      </c>
      <c r="AU73" s="29" t="s">
        <v>73</v>
      </c>
      <c r="AV73" s="29" t="s">
        <v>73</v>
      </c>
      <c r="AW73" s="29" t="s">
        <v>73</v>
      </c>
      <c r="AX73" s="30">
        <v>60000</v>
      </c>
      <c r="AY73" s="30" t="s">
        <v>7</v>
      </c>
      <c r="AZ73" s="2" t="s">
        <v>74</v>
      </c>
      <c r="BA73" s="2"/>
    </row>
    <row r="74" spans="1:53" ht="76.5" x14ac:dyDescent="0.25">
      <c r="A74" s="19">
        <v>2026</v>
      </c>
      <c r="B74" s="20">
        <v>479</v>
      </c>
      <c r="C74" s="21" t="s">
        <v>64</v>
      </c>
      <c r="D74" s="21" t="s">
        <v>65</v>
      </c>
      <c r="E74" s="20">
        <v>125</v>
      </c>
      <c r="F74" s="20">
        <v>3000654</v>
      </c>
      <c r="G74" s="20">
        <v>5005023</v>
      </c>
      <c r="H74" s="20">
        <v>3</v>
      </c>
      <c r="I74" s="20">
        <v>12</v>
      </c>
      <c r="J74" s="20">
        <v>24</v>
      </c>
      <c r="K74" s="20">
        <v>135560</v>
      </c>
      <c r="L74" s="21" t="s">
        <v>82</v>
      </c>
      <c r="M74" s="33" t="s">
        <v>83</v>
      </c>
      <c r="N74" s="19">
        <v>96</v>
      </c>
      <c r="O74" s="2"/>
      <c r="P74" s="2" t="s">
        <v>4</v>
      </c>
      <c r="Q74" s="20" t="s">
        <v>68</v>
      </c>
      <c r="R74" s="25" t="s">
        <v>69</v>
      </c>
      <c r="S74" s="25" t="s">
        <v>137</v>
      </c>
      <c r="T74" s="25"/>
      <c r="U74" s="31" t="s">
        <v>176</v>
      </c>
      <c r="V74" s="25" t="s">
        <v>3</v>
      </c>
      <c r="W74" s="25">
        <v>2</v>
      </c>
      <c r="X74" s="27">
        <v>6500</v>
      </c>
      <c r="Y74" s="1142"/>
      <c r="Z74" s="1143"/>
      <c r="AA74" s="1143"/>
      <c r="AB74" s="1144"/>
      <c r="AC74" s="25">
        <v>30</v>
      </c>
      <c r="AD74" s="25">
        <v>30</v>
      </c>
      <c r="AE74" s="1142"/>
      <c r="AF74" s="1143"/>
      <c r="AG74" s="1143"/>
      <c r="AH74" s="1143"/>
      <c r="AI74" s="1143"/>
      <c r="AJ74" s="1145"/>
      <c r="AK74" s="35">
        <v>26000</v>
      </c>
      <c r="AL74" s="29" t="s">
        <v>73</v>
      </c>
      <c r="AM74" s="29" t="s">
        <v>73</v>
      </c>
      <c r="AN74" s="29" t="s">
        <v>73</v>
      </c>
      <c r="AO74" s="29" t="s">
        <v>73</v>
      </c>
      <c r="AP74" s="30">
        <v>13000</v>
      </c>
      <c r="AQ74" s="30">
        <v>13000</v>
      </c>
      <c r="AR74" s="29" t="s">
        <v>73</v>
      </c>
      <c r="AS74" s="29" t="s">
        <v>73</v>
      </c>
      <c r="AT74" s="29" t="s">
        <v>73</v>
      </c>
      <c r="AU74" s="29" t="s">
        <v>73</v>
      </c>
      <c r="AV74" s="29" t="s">
        <v>73</v>
      </c>
      <c r="AW74" s="29" t="s">
        <v>73</v>
      </c>
      <c r="AX74" s="30">
        <v>26000</v>
      </c>
      <c r="AY74" s="34" t="s">
        <v>7</v>
      </c>
      <c r="AZ74" s="2" t="s">
        <v>74</v>
      </c>
      <c r="BA74" s="2"/>
    </row>
    <row r="75" spans="1:53" ht="51" x14ac:dyDescent="0.25">
      <c r="A75" s="19">
        <v>2026</v>
      </c>
      <c r="B75" s="20">
        <v>479</v>
      </c>
      <c r="C75" s="21" t="s">
        <v>64</v>
      </c>
      <c r="D75" s="21" t="s">
        <v>65</v>
      </c>
      <c r="E75" s="20">
        <v>125</v>
      </c>
      <c r="F75" s="20">
        <v>3000654</v>
      </c>
      <c r="G75" s="20">
        <v>5005023</v>
      </c>
      <c r="H75" s="20">
        <v>3</v>
      </c>
      <c r="I75" s="20">
        <v>12</v>
      </c>
      <c r="J75" s="20">
        <v>24</v>
      </c>
      <c r="K75" s="20">
        <v>135560</v>
      </c>
      <c r="L75" s="21" t="s">
        <v>66</v>
      </c>
      <c r="M75" s="43" t="s">
        <v>67</v>
      </c>
      <c r="N75" s="19">
        <v>95</v>
      </c>
      <c r="O75" s="2"/>
      <c r="P75" s="2" t="s">
        <v>4</v>
      </c>
      <c r="Q75" s="20" t="s">
        <v>68</v>
      </c>
      <c r="R75" s="25" t="s">
        <v>69</v>
      </c>
      <c r="S75" s="25" t="s">
        <v>137</v>
      </c>
      <c r="T75" s="25"/>
      <c r="U75" s="31" t="s">
        <v>177</v>
      </c>
      <c r="V75" s="25" t="s">
        <v>3</v>
      </c>
      <c r="W75" s="25">
        <v>1</v>
      </c>
      <c r="X75" s="27">
        <v>4000</v>
      </c>
      <c r="Y75" s="1142"/>
      <c r="Z75" s="1143"/>
      <c r="AA75" s="1143"/>
      <c r="AB75" s="1144"/>
      <c r="AC75" s="25">
        <v>30</v>
      </c>
      <c r="AD75" s="25">
        <v>30</v>
      </c>
      <c r="AE75" s="1142"/>
      <c r="AF75" s="1143"/>
      <c r="AG75" s="1143"/>
      <c r="AH75" s="1143"/>
      <c r="AI75" s="1143"/>
      <c r="AJ75" s="1145"/>
      <c r="AK75" s="35">
        <v>8000</v>
      </c>
      <c r="AL75" s="29" t="s">
        <v>73</v>
      </c>
      <c r="AM75" s="29" t="s">
        <v>73</v>
      </c>
      <c r="AN75" s="29" t="s">
        <v>73</v>
      </c>
      <c r="AO75" s="29" t="s">
        <v>73</v>
      </c>
      <c r="AP75" s="30">
        <v>4000</v>
      </c>
      <c r="AQ75" s="30">
        <v>4000</v>
      </c>
      <c r="AR75" s="29" t="s">
        <v>73</v>
      </c>
      <c r="AS75" s="29" t="s">
        <v>73</v>
      </c>
      <c r="AT75" s="29" t="s">
        <v>73</v>
      </c>
      <c r="AU75" s="29" t="s">
        <v>73</v>
      </c>
      <c r="AV75" s="29" t="s">
        <v>73</v>
      </c>
      <c r="AW75" s="29" t="s">
        <v>73</v>
      </c>
      <c r="AX75" s="30">
        <v>8000</v>
      </c>
      <c r="AY75" s="30" t="s">
        <v>7</v>
      </c>
      <c r="AZ75" s="2" t="s">
        <v>74</v>
      </c>
      <c r="BA75" s="2"/>
    </row>
    <row r="76" spans="1:53" ht="51" x14ac:dyDescent="0.25">
      <c r="A76" s="19">
        <v>2026</v>
      </c>
      <c r="B76" s="20">
        <v>479</v>
      </c>
      <c r="C76" s="21" t="s">
        <v>64</v>
      </c>
      <c r="D76" s="21" t="s">
        <v>65</v>
      </c>
      <c r="E76" s="20">
        <v>125</v>
      </c>
      <c r="F76" s="20">
        <v>3000654</v>
      </c>
      <c r="G76" s="20">
        <v>5005023</v>
      </c>
      <c r="H76" s="20">
        <v>3</v>
      </c>
      <c r="I76" s="20">
        <v>12</v>
      </c>
      <c r="J76" s="20">
        <v>24</v>
      </c>
      <c r="K76" s="20">
        <v>135560</v>
      </c>
      <c r="L76" s="21" t="s">
        <v>66</v>
      </c>
      <c r="M76" s="43" t="s">
        <v>67</v>
      </c>
      <c r="N76" s="19">
        <v>95</v>
      </c>
      <c r="O76" s="2"/>
      <c r="P76" s="2" t="s">
        <v>4</v>
      </c>
      <c r="Q76" s="20" t="s">
        <v>68</v>
      </c>
      <c r="R76" s="25" t="s">
        <v>69</v>
      </c>
      <c r="S76" s="25" t="s">
        <v>137</v>
      </c>
      <c r="T76" s="25"/>
      <c r="U76" s="31" t="s">
        <v>178</v>
      </c>
      <c r="V76" s="25" t="s">
        <v>3</v>
      </c>
      <c r="W76" s="25">
        <v>7</v>
      </c>
      <c r="X76" s="27">
        <v>5000</v>
      </c>
      <c r="Y76" s="1142"/>
      <c r="Z76" s="1143"/>
      <c r="AA76" s="1143"/>
      <c r="AB76" s="1144"/>
      <c r="AC76" s="25">
        <v>30</v>
      </c>
      <c r="AD76" s="25">
        <v>30</v>
      </c>
      <c r="AE76" s="1142"/>
      <c r="AF76" s="1143"/>
      <c r="AG76" s="1143"/>
      <c r="AH76" s="1143"/>
      <c r="AI76" s="1143"/>
      <c r="AJ76" s="1145"/>
      <c r="AK76" s="35">
        <v>70000</v>
      </c>
      <c r="AL76" s="29" t="s">
        <v>73</v>
      </c>
      <c r="AM76" s="29" t="s">
        <v>73</v>
      </c>
      <c r="AN76" s="29" t="s">
        <v>73</v>
      </c>
      <c r="AO76" s="29" t="s">
        <v>73</v>
      </c>
      <c r="AP76" s="30">
        <v>35000</v>
      </c>
      <c r="AQ76" s="30">
        <v>35000</v>
      </c>
      <c r="AR76" s="29" t="s">
        <v>73</v>
      </c>
      <c r="AS76" s="29" t="s">
        <v>73</v>
      </c>
      <c r="AT76" s="29" t="s">
        <v>73</v>
      </c>
      <c r="AU76" s="29" t="s">
        <v>73</v>
      </c>
      <c r="AV76" s="29" t="s">
        <v>73</v>
      </c>
      <c r="AW76" s="29" t="s">
        <v>73</v>
      </c>
      <c r="AX76" s="30">
        <v>70000</v>
      </c>
      <c r="AY76" s="30" t="s">
        <v>7</v>
      </c>
      <c r="AZ76" s="2" t="s">
        <v>74</v>
      </c>
      <c r="BA76" s="2"/>
    </row>
    <row r="77" spans="1:53" ht="76.5" x14ac:dyDescent="0.25">
      <c r="A77" s="19">
        <v>2026</v>
      </c>
      <c r="B77" s="20">
        <v>479</v>
      </c>
      <c r="C77" s="21" t="s">
        <v>64</v>
      </c>
      <c r="D77" s="21" t="s">
        <v>65</v>
      </c>
      <c r="E77" s="20">
        <v>125</v>
      </c>
      <c r="F77" s="20">
        <v>3000654</v>
      </c>
      <c r="G77" s="20">
        <v>5005023</v>
      </c>
      <c r="H77" s="20">
        <v>3</v>
      </c>
      <c r="I77" s="20">
        <v>12</v>
      </c>
      <c r="J77" s="20">
        <v>24</v>
      </c>
      <c r="K77" s="20">
        <v>135560</v>
      </c>
      <c r="L77" s="21" t="s">
        <v>82</v>
      </c>
      <c r="M77" s="33" t="s">
        <v>83</v>
      </c>
      <c r="N77" s="19">
        <v>96</v>
      </c>
      <c r="O77" s="2"/>
      <c r="P77" s="2" t="s">
        <v>4</v>
      </c>
      <c r="Q77" s="20" t="s">
        <v>68</v>
      </c>
      <c r="R77" s="25" t="s">
        <v>69</v>
      </c>
      <c r="S77" s="25" t="s">
        <v>137</v>
      </c>
      <c r="T77" s="25"/>
      <c r="U77" s="31" t="s">
        <v>179</v>
      </c>
      <c r="V77" s="25" t="s">
        <v>3</v>
      </c>
      <c r="W77" s="25">
        <v>1</v>
      </c>
      <c r="X77" s="27">
        <v>7000</v>
      </c>
      <c r="Y77" s="1142"/>
      <c r="Z77" s="1143"/>
      <c r="AA77" s="1143"/>
      <c r="AB77" s="1144"/>
      <c r="AC77" s="25">
        <v>30</v>
      </c>
      <c r="AD77" s="25">
        <v>30</v>
      </c>
      <c r="AE77" s="1142"/>
      <c r="AF77" s="1143"/>
      <c r="AG77" s="1143"/>
      <c r="AH77" s="1143"/>
      <c r="AI77" s="1143"/>
      <c r="AJ77" s="1145"/>
      <c r="AK77" s="35">
        <v>14000</v>
      </c>
      <c r="AL77" s="29" t="s">
        <v>73</v>
      </c>
      <c r="AM77" s="29" t="s">
        <v>73</v>
      </c>
      <c r="AN77" s="29" t="s">
        <v>73</v>
      </c>
      <c r="AO77" s="29" t="s">
        <v>73</v>
      </c>
      <c r="AP77" s="30">
        <v>7000</v>
      </c>
      <c r="AQ77" s="30">
        <v>7000</v>
      </c>
      <c r="AR77" s="29" t="s">
        <v>73</v>
      </c>
      <c r="AS77" s="29" t="s">
        <v>73</v>
      </c>
      <c r="AT77" s="29" t="s">
        <v>73</v>
      </c>
      <c r="AU77" s="29" t="s">
        <v>73</v>
      </c>
      <c r="AV77" s="29" t="s">
        <v>73</v>
      </c>
      <c r="AW77" s="29" t="s">
        <v>73</v>
      </c>
      <c r="AX77" s="30">
        <v>14000</v>
      </c>
      <c r="AY77" s="34" t="s">
        <v>7</v>
      </c>
      <c r="AZ77" s="2" t="s">
        <v>74</v>
      </c>
      <c r="BA77" s="2"/>
    </row>
    <row r="78" spans="1:53" ht="76.5" x14ac:dyDescent="0.25">
      <c r="A78" s="19">
        <v>2026</v>
      </c>
      <c r="B78" s="20">
        <v>479</v>
      </c>
      <c r="C78" s="21" t="s">
        <v>64</v>
      </c>
      <c r="D78" s="21" t="s">
        <v>65</v>
      </c>
      <c r="E78" s="20">
        <v>125</v>
      </c>
      <c r="F78" s="20">
        <v>3000654</v>
      </c>
      <c r="G78" s="20">
        <v>5005023</v>
      </c>
      <c r="H78" s="20">
        <v>3</v>
      </c>
      <c r="I78" s="20">
        <v>12</v>
      </c>
      <c r="J78" s="20">
        <v>24</v>
      </c>
      <c r="K78" s="20">
        <v>135560</v>
      </c>
      <c r="L78" s="21" t="s">
        <v>82</v>
      </c>
      <c r="M78" s="33" t="s">
        <v>83</v>
      </c>
      <c r="N78" s="19">
        <v>96</v>
      </c>
      <c r="O78" s="2"/>
      <c r="P78" s="2" t="s">
        <v>4</v>
      </c>
      <c r="Q78" s="20" t="s">
        <v>68</v>
      </c>
      <c r="R78" s="25" t="s">
        <v>69</v>
      </c>
      <c r="S78" s="25" t="s">
        <v>137</v>
      </c>
      <c r="T78" s="25"/>
      <c r="U78" s="31" t="s">
        <v>180</v>
      </c>
      <c r="V78" s="25" t="s">
        <v>3</v>
      </c>
      <c r="W78" s="25">
        <v>1</v>
      </c>
      <c r="X78" s="27">
        <v>4500</v>
      </c>
      <c r="Y78" s="1142"/>
      <c r="Z78" s="1143"/>
      <c r="AA78" s="1143"/>
      <c r="AB78" s="1144"/>
      <c r="AC78" s="25">
        <v>30</v>
      </c>
      <c r="AD78" s="25">
        <v>30</v>
      </c>
      <c r="AE78" s="1142"/>
      <c r="AF78" s="1143"/>
      <c r="AG78" s="1143"/>
      <c r="AH78" s="1143"/>
      <c r="AI78" s="1143"/>
      <c r="AJ78" s="1145"/>
      <c r="AK78" s="35">
        <v>9000</v>
      </c>
      <c r="AL78" s="29" t="s">
        <v>73</v>
      </c>
      <c r="AM78" s="29" t="s">
        <v>73</v>
      </c>
      <c r="AN78" s="29" t="s">
        <v>73</v>
      </c>
      <c r="AO78" s="29" t="s">
        <v>73</v>
      </c>
      <c r="AP78" s="30">
        <v>4500</v>
      </c>
      <c r="AQ78" s="30">
        <v>4500</v>
      </c>
      <c r="AR78" s="29" t="s">
        <v>73</v>
      </c>
      <c r="AS78" s="29" t="s">
        <v>73</v>
      </c>
      <c r="AT78" s="29" t="s">
        <v>73</v>
      </c>
      <c r="AU78" s="29" t="s">
        <v>73</v>
      </c>
      <c r="AV78" s="29" t="s">
        <v>73</v>
      </c>
      <c r="AW78" s="29" t="s">
        <v>73</v>
      </c>
      <c r="AX78" s="30">
        <v>9000</v>
      </c>
      <c r="AY78" s="34" t="s">
        <v>7</v>
      </c>
      <c r="AZ78" s="2" t="s">
        <v>74</v>
      </c>
      <c r="BA78" s="2"/>
    </row>
    <row r="79" spans="1:53" ht="76.5" x14ac:dyDescent="0.25">
      <c r="A79" s="19">
        <v>2026</v>
      </c>
      <c r="B79" s="20">
        <v>479</v>
      </c>
      <c r="C79" s="21" t="s">
        <v>64</v>
      </c>
      <c r="D79" s="21" t="s">
        <v>65</v>
      </c>
      <c r="E79" s="20">
        <v>125</v>
      </c>
      <c r="F79" s="20">
        <v>3000654</v>
      </c>
      <c r="G79" s="20">
        <v>5005023</v>
      </c>
      <c r="H79" s="20">
        <v>3</v>
      </c>
      <c r="I79" s="20">
        <v>12</v>
      </c>
      <c r="J79" s="20">
        <v>24</v>
      </c>
      <c r="K79" s="20">
        <v>135560</v>
      </c>
      <c r="L79" s="21" t="s">
        <v>82</v>
      </c>
      <c r="M79" s="33" t="s">
        <v>83</v>
      </c>
      <c r="N79" s="19">
        <v>96</v>
      </c>
      <c r="O79" s="2"/>
      <c r="P79" s="2" t="s">
        <v>4</v>
      </c>
      <c r="Q79" s="20" t="s">
        <v>68</v>
      </c>
      <c r="R79" s="25" t="s">
        <v>69</v>
      </c>
      <c r="S79" s="25" t="s">
        <v>137</v>
      </c>
      <c r="T79" s="25"/>
      <c r="U79" s="31" t="s">
        <v>181</v>
      </c>
      <c r="V79" s="25" t="s">
        <v>3</v>
      </c>
      <c r="W79" s="25">
        <v>1</v>
      </c>
      <c r="X79" s="27">
        <v>8000</v>
      </c>
      <c r="Y79" s="1142"/>
      <c r="Z79" s="1143"/>
      <c r="AA79" s="1143"/>
      <c r="AB79" s="1144"/>
      <c r="AC79" s="25">
        <v>30</v>
      </c>
      <c r="AD79" s="25">
        <v>30</v>
      </c>
      <c r="AE79" s="1142"/>
      <c r="AF79" s="1143"/>
      <c r="AG79" s="1143"/>
      <c r="AH79" s="1143"/>
      <c r="AI79" s="1143"/>
      <c r="AJ79" s="1145"/>
      <c r="AK79" s="35">
        <v>16000</v>
      </c>
      <c r="AL79" s="29" t="s">
        <v>73</v>
      </c>
      <c r="AM79" s="29" t="s">
        <v>73</v>
      </c>
      <c r="AN79" s="29" t="s">
        <v>73</v>
      </c>
      <c r="AO79" s="29" t="s">
        <v>73</v>
      </c>
      <c r="AP79" s="30">
        <v>8000</v>
      </c>
      <c r="AQ79" s="30">
        <v>8000</v>
      </c>
      <c r="AR79" s="29" t="s">
        <v>73</v>
      </c>
      <c r="AS79" s="29" t="s">
        <v>73</v>
      </c>
      <c r="AT79" s="29" t="s">
        <v>73</v>
      </c>
      <c r="AU79" s="29" t="s">
        <v>73</v>
      </c>
      <c r="AV79" s="29" t="s">
        <v>73</v>
      </c>
      <c r="AW79" s="29" t="s">
        <v>73</v>
      </c>
      <c r="AX79" s="30">
        <v>16000</v>
      </c>
      <c r="AY79" s="34" t="s">
        <v>7</v>
      </c>
      <c r="AZ79" s="2" t="s">
        <v>74</v>
      </c>
      <c r="BA79" s="2"/>
    </row>
    <row r="80" spans="1:53" ht="51" x14ac:dyDescent="0.25">
      <c r="A80" s="19">
        <v>2026</v>
      </c>
      <c r="B80" s="20">
        <v>479</v>
      </c>
      <c r="C80" s="21" t="s">
        <v>64</v>
      </c>
      <c r="D80" s="21" t="s">
        <v>65</v>
      </c>
      <c r="E80" s="20">
        <v>125</v>
      </c>
      <c r="F80" s="20">
        <v>3000654</v>
      </c>
      <c r="G80" s="20">
        <v>5005023</v>
      </c>
      <c r="H80" s="20">
        <v>3</v>
      </c>
      <c r="I80" s="20">
        <v>12</v>
      </c>
      <c r="J80" s="20">
        <v>24</v>
      </c>
      <c r="K80" s="20">
        <v>135560</v>
      </c>
      <c r="L80" s="21" t="s">
        <v>66</v>
      </c>
      <c r="M80" s="43" t="s">
        <v>67</v>
      </c>
      <c r="N80" s="19">
        <v>95</v>
      </c>
      <c r="O80" s="2"/>
      <c r="P80" s="2" t="s">
        <v>4</v>
      </c>
      <c r="Q80" s="20" t="s">
        <v>68</v>
      </c>
      <c r="R80" s="25" t="s">
        <v>69</v>
      </c>
      <c r="S80" s="25" t="s">
        <v>137</v>
      </c>
      <c r="T80" s="25"/>
      <c r="U80" s="31" t="s">
        <v>182</v>
      </c>
      <c r="V80" s="25" t="s">
        <v>3</v>
      </c>
      <c r="W80" s="25">
        <v>24</v>
      </c>
      <c r="X80" s="27">
        <v>5000</v>
      </c>
      <c r="Y80" s="1142"/>
      <c r="Z80" s="1143"/>
      <c r="AA80" s="1143"/>
      <c r="AB80" s="1144"/>
      <c r="AC80" s="25">
        <v>30</v>
      </c>
      <c r="AD80" s="25">
        <v>30</v>
      </c>
      <c r="AE80" s="1142"/>
      <c r="AF80" s="1143"/>
      <c r="AG80" s="1143"/>
      <c r="AH80" s="1143"/>
      <c r="AI80" s="1143"/>
      <c r="AJ80" s="1145"/>
      <c r="AK80" s="35">
        <v>240000</v>
      </c>
      <c r="AL80" s="29" t="s">
        <v>73</v>
      </c>
      <c r="AM80" s="29" t="s">
        <v>73</v>
      </c>
      <c r="AN80" s="29" t="s">
        <v>73</v>
      </c>
      <c r="AO80" s="29" t="s">
        <v>73</v>
      </c>
      <c r="AP80" s="30">
        <v>120000</v>
      </c>
      <c r="AQ80" s="30">
        <v>120000</v>
      </c>
      <c r="AR80" s="29" t="s">
        <v>73</v>
      </c>
      <c r="AS80" s="29" t="s">
        <v>73</v>
      </c>
      <c r="AT80" s="29" t="s">
        <v>73</v>
      </c>
      <c r="AU80" s="29" t="s">
        <v>73</v>
      </c>
      <c r="AV80" s="29" t="s">
        <v>73</v>
      </c>
      <c r="AW80" s="29" t="s">
        <v>73</v>
      </c>
      <c r="AX80" s="30">
        <v>240000</v>
      </c>
      <c r="AY80" s="30" t="s">
        <v>7</v>
      </c>
      <c r="AZ80" s="2" t="s">
        <v>74</v>
      </c>
      <c r="BA80" s="2"/>
    </row>
    <row r="81" spans="1:53" ht="51" x14ac:dyDescent="0.25">
      <c r="A81" s="19">
        <v>2026</v>
      </c>
      <c r="B81" s="20">
        <v>479</v>
      </c>
      <c r="C81" s="21" t="s">
        <v>64</v>
      </c>
      <c r="D81" s="21" t="s">
        <v>65</v>
      </c>
      <c r="E81" s="20">
        <v>125</v>
      </c>
      <c r="F81" s="20">
        <v>3000654</v>
      </c>
      <c r="G81" s="20">
        <v>5005023</v>
      </c>
      <c r="H81" s="20">
        <v>3</v>
      </c>
      <c r="I81" s="20">
        <v>12</v>
      </c>
      <c r="J81" s="20">
        <v>24</v>
      </c>
      <c r="K81" s="20">
        <v>135560</v>
      </c>
      <c r="L81" s="21" t="s">
        <v>66</v>
      </c>
      <c r="M81" s="43" t="s">
        <v>67</v>
      </c>
      <c r="N81" s="19">
        <v>95</v>
      </c>
      <c r="O81" s="2"/>
      <c r="P81" s="2" t="s">
        <v>4</v>
      </c>
      <c r="Q81" s="20" t="s">
        <v>68</v>
      </c>
      <c r="R81" s="25" t="s">
        <v>69</v>
      </c>
      <c r="S81" s="25" t="s">
        <v>137</v>
      </c>
      <c r="T81" s="25"/>
      <c r="U81" s="33" t="s">
        <v>183</v>
      </c>
      <c r="V81" s="25" t="s">
        <v>3</v>
      </c>
      <c r="W81" s="25">
        <v>1</v>
      </c>
      <c r="X81" s="27">
        <v>6000</v>
      </c>
      <c r="Y81" s="1142"/>
      <c r="Z81" s="1143"/>
      <c r="AA81" s="1143"/>
      <c r="AB81" s="1144"/>
      <c r="AC81" s="25">
        <v>30</v>
      </c>
      <c r="AD81" s="25">
        <v>30</v>
      </c>
      <c r="AE81" s="1142"/>
      <c r="AF81" s="1143"/>
      <c r="AG81" s="1143"/>
      <c r="AH81" s="1143"/>
      <c r="AI81" s="1143"/>
      <c r="AJ81" s="1145"/>
      <c r="AK81" s="35">
        <v>12000</v>
      </c>
      <c r="AL81" s="29" t="s">
        <v>73</v>
      </c>
      <c r="AM81" s="29" t="s">
        <v>73</v>
      </c>
      <c r="AN81" s="29" t="s">
        <v>73</v>
      </c>
      <c r="AO81" s="29" t="s">
        <v>73</v>
      </c>
      <c r="AP81" s="30">
        <v>6000</v>
      </c>
      <c r="AQ81" s="30">
        <v>6000</v>
      </c>
      <c r="AR81" s="29" t="s">
        <v>73</v>
      </c>
      <c r="AS81" s="29" t="s">
        <v>73</v>
      </c>
      <c r="AT81" s="29" t="s">
        <v>73</v>
      </c>
      <c r="AU81" s="29" t="s">
        <v>73</v>
      </c>
      <c r="AV81" s="29" t="s">
        <v>73</v>
      </c>
      <c r="AW81" s="29" t="s">
        <v>73</v>
      </c>
      <c r="AX81" s="30">
        <v>12000</v>
      </c>
      <c r="AY81" s="30" t="s">
        <v>7</v>
      </c>
      <c r="AZ81" s="2" t="s">
        <v>74</v>
      </c>
      <c r="BA81" s="2"/>
    </row>
    <row r="82" spans="1:53" ht="51" x14ac:dyDescent="0.25">
      <c r="A82" s="19">
        <v>2026</v>
      </c>
      <c r="B82" s="20">
        <v>479</v>
      </c>
      <c r="C82" s="21" t="s">
        <v>64</v>
      </c>
      <c r="D82" s="21" t="s">
        <v>65</v>
      </c>
      <c r="E82" s="20">
        <v>125</v>
      </c>
      <c r="F82" s="20">
        <v>3000654</v>
      </c>
      <c r="G82" s="20">
        <v>5005023</v>
      </c>
      <c r="H82" s="20">
        <v>3</v>
      </c>
      <c r="I82" s="20">
        <v>12</v>
      </c>
      <c r="J82" s="20">
        <v>24</v>
      </c>
      <c r="K82" s="20">
        <v>135560</v>
      </c>
      <c r="L82" s="21" t="s">
        <v>66</v>
      </c>
      <c r="M82" s="43" t="s">
        <v>67</v>
      </c>
      <c r="N82" s="19">
        <v>95</v>
      </c>
      <c r="O82" s="2"/>
      <c r="P82" s="2" t="s">
        <v>4</v>
      </c>
      <c r="Q82" s="20" t="s">
        <v>68</v>
      </c>
      <c r="R82" s="25" t="s">
        <v>69</v>
      </c>
      <c r="S82" s="25" t="s">
        <v>137</v>
      </c>
      <c r="T82" s="25"/>
      <c r="U82" s="33" t="s">
        <v>184</v>
      </c>
      <c r="V82" s="25" t="s">
        <v>3</v>
      </c>
      <c r="W82" s="25">
        <v>1</v>
      </c>
      <c r="X82" s="27">
        <v>4500</v>
      </c>
      <c r="Y82" s="1142"/>
      <c r="Z82" s="1143"/>
      <c r="AA82" s="1143"/>
      <c r="AB82" s="1144"/>
      <c r="AC82" s="25">
        <v>30</v>
      </c>
      <c r="AD82" s="25">
        <v>30</v>
      </c>
      <c r="AE82" s="1142"/>
      <c r="AF82" s="1143"/>
      <c r="AG82" s="1143"/>
      <c r="AH82" s="1143"/>
      <c r="AI82" s="1143"/>
      <c r="AJ82" s="1145"/>
      <c r="AK82" s="35">
        <v>9000</v>
      </c>
      <c r="AL82" s="29" t="s">
        <v>73</v>
      </c>
      <c r="AM82" s="29" t="s">
        <v>73</v>
      </c>
      <c r="AN82" s="29" t="s">
        <v>73</v>
      </c>
      <c r="AO82" s="29" t="s">
        <v>73</v>
      </c>
      <c r="AP82" s="30">
        <v>4500</v>
      </c>
      <c r="AQ82" s="30">
        <v>4500</v>
      </c>
      <c r="AR82" s="29" t="s">
        <v>73</v>
      </c>
      <c r="AS82" s="29" t="s">
        <v>73</v>
      </c>
      <c r="AT82" s="29" t="s">
        <v>73</v>
      </c>
      <c r="AU82" s="29" t="s">
        <v>73</v>
      </c>
      <c r="AV82" s="29" t="s">
        <v>73</v>
      </c>
      <c r="AW82" s="29" t="s">
        <v>73</v>
      </c>
      <c r="AX82" s="30">
        <v>9000</v>
      </c>
      <c r="AY82" s="30" t="s">
        <v>7</v>
      </c>
      <c r="AZ82" s="2" t="s">
        <v>74</v>
      </c>
      <c r="BA82" s="2"/>
    </row>
    <row r="83" spans="1:53" ht="51" x14ac:dyDescent="0.25">
      <c r="A83" s="19">
        <v>2026</v>
      </c>
      <c r="B83" s="20">
        <v>479</v>
      </c>
      <c r="C83" s="21" t="s">
        <v>64</v>
      </c>
      <c r="D83" s="21" t="s">
        <v>65</v>
      </c>
      <c r="E83" s="20">
        <v>125</v>
      </c>
      <c r="F83" s="20">
        <v>3000654</v>
      </c>
      <c r="G83" s="20">
        <v>5005023</v>
      </c>
      <c r="H83" s="20">
        <v>3</v>
      </c>
      <c r="I83" s="20">
        <v>12</v>
      </c>
      <c r="J83" s="20">
        <v>24</v>
      </c>
      <c r="K83" s="20">
        <v>135560</v>
      </c>
      <c r="L83" s="21" t="s">
        <v>66</v>
      </c>
      <c r="M83" s="43" t="s">
        <v>67</v>
      </c>
      <c r="N83" s="19">
        <v>95</v>
      </c>
      <c r="O83" s="2"/>
      <c r="P83" s="2" t="s">
        <v>4</v>
      </c>
      <c r="Q83" s="20" t="s">
        <v>68</v>
      </c>
      <c r="R83" s="25" t="s">
        <v>69</v>
      </c>
      <c r="S83" s="25" t="s">
        <v>137</v>
      </c>
      <c r="T83" s="25"/>
      <c r="U83" s="33" t="s">
        <v>185</v>
      </c>
      <c r="V83" s="25" t="s">
        <v>3</v>
      </c>
      <c r="W83" s="25">
        <v>1</v>
      </c>
      <c r="X83" s="27">
        <v>6000</v>
      </c>
      <c r="Y83" s="1142"/>
      <c r="Z83" s="1143"/>
      <c r="AA83" s="1143"/>
      <c r="AB83" s="1144"/>
      <c r="AC83" s="25">
        <v>30</v>
      </c>
      <c r="AD83" s="25">
        <v>30</v>
      </c>
      <c r="AE83" s="1142"/>
      <c r="AF83" s="1143"/>
      <c r="AG83" s="1143"/>
      <c r="AH83" s="1143"/>
      <c r="AI83" s="1143"/>
      <c r="AJ83" s="1145"/>
      <c r="AK83" s="35">
        <v>12000</v>
      </c>
      <c r="AL83" s="29" t="s">
        <v>73</v>
      </c>
      <c r="AM83" s="29" t="s">
        <v>73</v>
      </c>
      <c r="AN83" s="29" t="s">
        <v>73</v>
      </c>
      <c r="AO83" s="29" t="s">
        <v>73</v>
      </c>
      <c r="AP83" s="30">
        <v>6000</v>
      </c>
      <c r="AQ83" s="30">
        <v>6000</v>
      </c>
      <c r="AR83" s="29" t="s">
        <v>73</v>
      </c>
      <c r="AS83" s="29" t="s">
        <v>73</v>
      </c>
      <c r="AT83" s="29" t="s">
        <v>73</v>
      </c>
      <c r="AU83" s="29" t="s">
        <v>73</v>
      </c>
      <c r="AV83" s="29" t="s">
        <v>73</v>
      </c>
      <c r="AW83" s="29" t="s">
        <v>73</v>
      </c>
      <c r="AX83" s="30">
        <v>12000</v>
      </c>
      <c r="AY83" s="30" t="s">
        <v>7</v>
      </c>
      <c r="AZ83" s="2" t="s">
        <v>74</v>
      </c>
      <c r="BA83" s="2"/>
    </row>
    <row r="84" spans="1:53" ht="51" x14ac:dyDescent="0.25">
      <c r="A84" s="19">
        <v>2026</v>
      </c>
      <c r="B84" s="20">
        <v>479</v>
      </c>
      <c r="C84" s="21" t="s">
        <v>64</v>
      </c>
      <c r="D84" s="21" t="s">
        <v>65</v>
      </c>
      <c r="E84" s="20">
        <v>125</v>
      </c>
      <c r="F84" s="20">
        <v>3000654</v>
      </c>
      <c r="G84" s="20">
        <v>5005023</v>
      </c>
      <c r="H84" s="20">
        <v>3</v>
      </c>
      <c r="I84" s="20">
        <v>12</v>
      </c>
      <c r="J84" s="20">
        <v>24</v>
      </c>
      <c r="K84" s="20">
        <v>135560</v>
      </c>
      <c r="L84" s="21" t="s">
        <v>66</v>
      </c>
      <c r="M84" s="43" t="s">
        <v>67</v>
      </c>
      <c r="N84" s="19">
        <v>95</v>
      </c>
      <c r="O84" s="2"/>
      <c r="P84" s="2" t="s">
        <v>4</v>
      </c>
      <c r="Q84" s="20" t="s">
        <v>68</v>
      </c>
      <c r="R84" s="25" t="s">
        <v>69</v>
      </c>
      <c r="S84" s="25" t="s">
        <v>137</v>
      </c>
      <c r="T84" s="25"/>
      <c r="U84" s="33" t="s">
        <v>186</v>
      </c>
      <c r="V84" s="25" t="s">
        <v>3</v>
      </c>
      <c r="W84" s="25">
        <v>2</v>
      </c>
      <c r="X84" s="27">
        <v>5000</v>
      </c>
      <c r="Y84" s="1142"/>
      <c r="Z84" s="1143"/>
      <c r="AA84" s="1143"/>
      <c r="AB84" s="1144"/>
      <c r="AC84" s="25">
        <v>30</v>
      </c>
      <c r="AD84" s="25">
        <v>30</v>
      </c>
      <c r="AE84" s="1142"/>
      <c r="AF84" s="1143"/>
      <c r="AG84" s="1143"/>
      <c r="AH84" s="1143"/>
      <c r="AI84" s="1143"/>
      <c r="AJ84" s="1145"/>
      <c r="AK84" s="35">
        <v>20000</v>
      </c>
      <c r="AL84" s="29" t="s">
        <v>73</v>
      </c>
      <c r="AM84" s="29" t="s">
        <v>73</v>
      </c>
      <c r="AN84" s="29" t="s">
        <v>73</v>
      </c>
      <c r="AO84" s="29" t="s">
        <v>73</v>
      </c>
      <c r="AP84" s="30">
        <v>10000</v>
      </c>
      <c r="AQ84" s="30">
        <v>10000</v>
      </c>
      <c r="AR84" s="29" t="s">
        <v>73</v>
      </c>
      <c r="AS84" s="29" t="s">
        <v>73</v>
      </c>
      <c r="AT84" s="29" t="s">
        <v>73</v>
      </c>
      <c r="AU84" s="29" t="s">
        <v>73</v>
      </c>
      <c r="AV84" s="29" t="s">
        <v>73</v>
      </c>
      <c r="AW84" s="29" t="s">
        <v>73</v>
      </c>
      <c r="AX84" s="30">
        <v>20000</v>
      </c>
      <c r="AY84" s="30" t="s">
        <v>7</v>
      </c>
      <c r="AZ84" s="2" t="s">
        <v>74</v>
      </c>
      <c r="BA84" s="2"/>
    </row>
    <row r="85" spans="1:53" ht="51" x14ac:dyDescent="0.25">
      <c r="A85" s="19">
        <v>2026</v>
      </c>
      <c r="B85" s="20">
        <v>479</v>
      </c>
      <c r="C85" s="21" t="s">
        <v>64</v>
      </c>
      <c r="D85" s="21" t="s">
        <v>65</v>
      </c>
      <c r="E85" s="20">
        <v>125</v>
      </c>
      <c r="F85" s="20">
        <v>3000654</v>
      </c>
      <c r="G85" s="20">
        <v>5005023</v>
      </c>
      <c r="H85" s="20">
        <v>3</v>
      </c>
      <c r="I85" s="20">
        <v>12</v>
      </c>
      <c r="J85" s="20">
        <v>24</v>
      </c>
      <c r="K85" s="20">
        <v>135560</v>
      </c>
      <c r="L85" s="21" t="s">
        <v>66</v>
      </c>
      <c r="M85" s="43" t="s">
        <v>67</v>
      </c>
      <c r="N85" s="19">
        <v>95</v>
      </c>
      <c r="O85" s="2"/>
      <c r="P85" s="2" t="s">
        <v>4</v>
      </c>
      <c r="Q85" s="20" t="s">
        <v>68</v>
      </c>
      <c r="R85" s="25" t="s">
        <v>69</v>
      </c>
      <c r="S85" s="25" t="s">
        <v>137</v>
      </c>
      <c r="T85" s="25"/>
      <c r="U85" s="31" t="s">
        <v>187</v>
      </c>
      <c r="V85" s="25" t="s">
        <v>3</v>
      </c>
      <c r="W85" s="25">
        <v>1</v>
      </c>
      <c r="X85" s="27">
        <v>8000</v>
      </c>
      <c r="Y85" s="1142"/>
      <c r="Z85" s="1143"/>
      <c r="AA85" s="1143"/>
      <c r="AB85" s="1144"/>
      <c r="AC85" s="25">
        <v>30</v>
      </c>
      <c r="AD85" s="25">
        <v>30</v>
      </c>
      <c r="AE85" s="1142"/>
      <c r="AF85" s="1143"/>
      <c r="AG85" s="1143"/>
      <c r="AH85" s="1143"/>
      <c r="AI85" s="1143"/>
      <c r="AJ85" s="1145"/>
      <c r="AK85" s="35">
        <v>16000</v>
      </c>
      <c r="AL85" s="29" t="s">
        <v>73</v>
      </c>
      <c r="AM85" s="29" t="s">
        <v>73</v>
      </c>
      <c r="AN85" s="29" t="s">
        <v>73</v>
      </c>
      <c r="AO85" s="29" t="s">
        <v>73</v>
      </c>
      <c r="AP85" s="30">
        <v>8000</v>
      </c>
      <c r="AQ85" s="30">
        <v>8000</v>
      </c>
      <c r="AR85" s="29" t="s">
        <v>73</v>
      </c>
      <c r="AS85" s="29" t="s">
        <v>73</v>
      </c>
      <c r="AT85" s="29" t="s">
        <v>73</v>
      </c>
      <c r="AU85" s="29" t="s">
        <v>73</v>
      </c>
      <c r="AV85" s="29" t="s">
        <v>73</v>
      </c>
      <c r="AW85" s="29" t="s">
        <v>73</v>
      </c>
      <c r="AX85" s="30">
        <v>16000</v>
      </c>
      <c r="AY85" s="30" t="s">
        <v>7</v>
      </c>
      <c r="AZ85" s="2" t="s">
        <v>74</v>
      </c>
      <c r="BA85" s="2"/>
    </row>
    <row r="86" spans="1:53" ht="51" x14ac:dyDescent="0.25">
      <c r="A86" s="19">
        <v>2026</v>
      </c>
      <c r="B86" s="20">
        <v>479</v>
      </c>
      <c r="C86" s="21" t="s">
        <v>64</v>
      </c>
      <c r="D86" s="21" t="s">
        <v>65</v>
      </c>
      <c r="E86" s="20">
        <v>125</v>
      </c>
      <c r="F86" s="20">
        <v>3000654</v>
      </c>
      <c r="G86" s="20">
        <v>5005023</v>
      </c>
      <c r="H86" s="20">
        <v>3</v>
      </c>
      <c r="I86" s="20">
        <v>12</v>
      </c>
      <c r="J86" s="20">
        <v>24</v>
      </c>
      <c r="K86" s="20">
        <v>135560</v>
      </c>
      <c r="L86" s="21" t="s">
        <v>66</v>
      </c>
      <c r="M86" s="43" t="s">
        <v>67</v>
      </c>
      <c r="N86" s="19">
        <v>95</v>
      </c>
      <c r="O86" s="2"/>
      <c r="P86" s="2" t="s">
        <v>4</v>
      </c>
      <c r="Q86" s="20" t="s">
        <v>68</v>
      </c>
      <c r="R86" s="25" t="s">
        <v>69</v>
      </c>
      <c r="S86" s="25" t="s">
        <v>137</v>
      </c>
      <c r="T86" s="25"/>
      <c r="U86" s="31" t="s">
        <v>188</v>
      </c>
      <c r="V86" s="25" t="s">
        <v>3</v>
      </c>
      <c r="W86" s="25">
        <v>3</v>
      </c>
      <c r="X86" s="27">
        <v>7000</v>
      </c>
      <c r="Y86" s="1142"/>
      <c r="Z86" s="1143"/>
      <c r="AA86" s="1143"/>
      <c r="AB86" s="1144"/>
      <c r="AC86" s="25">
        <v>30</v>
      </c>
      <c r="AD86" s="25">
        <v>30</v>
      </c>
      <c r="AE86" s="1142"/>
      <c r="AF86" s="1143"/>
      <c r="AG86" s="1143"/>
      <c r="AH86" s="1143"/>
      <c r="AI86" s="1143"/>
      <c r="AJ86" s="1145"/>
      <c r="AK86" s="35">
        <v>42000</v>
      </c>
      <c r="AL86" s="29" t="s">
        <v>73</v>
      </c>
      <c r="AM86" s="29" t="s">
        <v>73</v>
      </c>
      <c r="AN86" s="29" t="s">
        <v>73</v>
      </c>
      <c r="AO86" s="29" t="s">
        <v>73</v>
      </c>
      <c r="AP86" s="30">
        <v>21000</v>
      </c>
      <c r="AQ86" s="30">
        <v>21000</v>
      </c>
      <c r="AR86" s="29" t="s">
        <v>73</v>
      </c>
      <c r="AS86" s="29" t="s">
        <v>73</v>
      </c>
      <c r="AT86" s="29" t="s">
        <v>73</v>
      </c>
      <c r="AU86" s="29" t="s">
        <v>73</v>
      </c>
      <c r="AV86" s="29" t="s">
        <v>73</v>
      </c>
      <c r="AW86" s="29" t="s">
        <v>73</v>
      </c>
      <c r="AX86" s="30">
        <v>42000</v>
      </c>
      <c r="AY86" s="30" t="s">
        <v>7</v>
      </c>
      <c r="AZ86" s="2" t="s">
        <v>74</v>
      </c>
      <c r="BA86" s="2"/>
    </row>
    <row r="87" spans="1:53" ht="51" x14ac:dyDescent="0.25">
      <c r="A87" s="19">
        <v>2026</v>
      </c>
      <c r="B87" s="20">
        <v>479</v>
      </c>
      <c r="C87" s="21" t="s">
        <v>64</v>
      </c>
      <c r="D87" s="21" t="s">
        <v>65</v>
      </c>
      <c r="E87" s="20">
        <v>125</v>
      </c>
      <c r="F87" s="20">
        <v>3000654</v>
      </c>
      <c r="G87" s="20">
        <v>5005023</v>
      </c>
      <c r="H87" s="20">
        <v>3</v>
      </c>
      <c r="I87" s="20">
        <v>12</v>
      </c>
      <c r="J87" s="20">
        <v>24</v>
      </c>
      <c r="K87" s="20">
        <v>135560</v>
      </c>
      <c r="L87" s="21" t="s">
        <v>66</v>
      </c>
      <c r="M87" s="43" t="s">
        <v>67</v>
      </c>
      <c r="N87" s="19">
        <v>95</v>
      </c>
      <c r="O87" s="2"/>
      <c r="P87" s="2" t="s">
        <v>4</v>
      </c>
      <c r="Q87" s="20" t="s">
        <v>68</v>
      </c>
      <c r="R87" s="25" t="s">
        <v>69</v>
      </c>
      <c r="S87" s="25" t="s">
        <v>137</v>
      </c>
      <c r="T87" s="25"/>
      <c r="U87" s="31" t="s">
        <v>189</v>
      </c>
      <c r="V87" s="25" t="s">
        <v>3</v>
      </c>
      <c r="W87" s="25">
        <v>6</v>
      </c>
      <c r="X87" s="27">
        <v>5000</v>
      </c>
      <c r="Y87" s="1142"/>
      <c r="Z87" s="1143"/>
      <c r="AA87" s="1143"/>
      <c r="AB87" s="1144"/>
      <c r="AC87" s="25">
        <v>30</v>
      </c>
      <c r="AD87" s="25">
        <v>30</v>
      </c>
      <c r="AE87" s="1142"/>
      <c r="AF87" s="1143"/>
      <c r="AG87" s="1143"/>
      <c r="AH87" s="1143"/>
      <c r="AI87" s="1143"/>
      <c r="AJ87" s="1145"/>
      <c r="AK87" s="35">
        <v>60000</v>
      </c>
      <c r="AL87" s="29" t="s">
        <v>73</v>
      </c>
      <c r="AM87" s="29" t="s">
        <v>73</v>
      </c>
      <c r="AN87" s="29" t="s">
        <v>73</v>
      </c>
      <c r="AO87" s="29" t="s">
        <v>73</v>
      </c>
      <c r="AP87" s="30">
        <v>30000</v>
      </c>
      <c r="AQ87" s="30">
        <v>30000</v>
      </c>
      <c r="AR87" s="29" t="s">
        <v>73</v>
      </c>
      <c r="AS87" s="29" t="s">
        <v>73</v>
      </c>
      <c r="AT87" s="29" t="s">
        <v>73</v>
      </c>
      <c r="AU87" s="29" t="s">
        <v>73</v>
      </c>
      <c r="AV87" s="29" t="s">
        <v>73</v>
      </c>
      <c r="AW87" s="29" t="s">
        <v>73</v>
      </c>
      <c r="AX87" s="30">
        <v>60000</v>
      </c>
      <c r="AY87" s="30" t="s">
        <v>7</v>
      </c>
      <c r="AZ87" s="2" t="s">
        <v>74</v>
      </c>
      <c r="BA87" s="2"/>
    </row>
    <row r="88" spans="1:53" ht="51" x14ac:dyDescent="0.25">
      <c r="A88" s="19">
        <v>2026</v>
      </c>
      <c r="B88" s="20">
        <v>479</v>
      </c>
      <c r="C88" s="21" t="s">
        <v>64</v>
      </c>
      <c r="D88" s="21" t="s">
        <v>65</v>
      </c>
      <c r="E88" s="20">
        <v>125</v>
      </c>
      <c r="F88" s="20">
        <v>3000654</v>
      </c>
      <c r="G88" s="20">
        <v>5005023</v>
      </c>
      <c r="H88" s="20">
        <v>3</v>
      </c>
      <c r="I88" s="20">
        <v>12</v>
      </c>
      <c r="J88" s="20">
        <v>24</v>
      </c>
      <c r="K88" s="20">
        <v>135560</v>
      </c>
      <c r="L88" s="21" t="s">
        <v>66</v>
      </c>
      <c r="M88" s="43" t="s">
        <v>67</v>
      </c>
      <c r="N88" s="19">
        <v>95</v>
      </c>
      <c r="O88" s="2"/>
      <c r="P88" s="2" t="s">
        <v>4</v>
      </c>
      <c r="Q88" s="20" t="s">
        <v>68</v>
      </c>
      <c r="R88" s="25" t="s">
        <v>69</v>
      </c>
      <c r="S88" s="25" t="s">
        <v>137</v>
      </c>
      <c r="T88" s="25"/>
      <c r="U88" s="31" t="s">
        <v>190</v>
      </c>
      <c r="V88" s="25" t="s">
        <v>3</v>
      </c>
      <c r="W88" s="25">
        <v>16</v>
      </c>
      <c r="X88" s="27">
        <v>5500</v>
      </c>
      <c r="Y88" s="1142"/>
      <c r="Z88" s="1143"/>
      <c r="AA88" s="1143"/>
      <c r="AB88" s="1144"/>
      <c r="AC88" s="25">
        <v>30</v>
      </c>
      <c r="AD88" s="25">
        <v>30</v>
      </c>
      <c r="AE88" s="1142"/>
      <c r="AF88" s="1143"/>
      <c r="AG88" s="1143"/>
      <c r="AH88" s="1143"/>
      <c r="AI88" s="1143"/>
      <c r="AJ88" s="1145"/>
      <c r="AK88" s="35">
        <v>176000</v>
      </c>
      <c r="AL88" s="29" t="s">
        <v>73</v>
      </c>
      <c r="AM88" s="29" t="s">
        <v>73</v>
      </c>
      <c r="AN88" s="29" t="s">
        <v>73</v>
      </c>
      <c r="AO88" s="29" t="s">
        <v>73</v>
      </c>
      <c r="AP88" s="30">
        <v>88000</v>
      </c>
      <c r="AQ88" s="30">
        <v>88000</v>
      </c>
      <c r="AR88" s="29" t="s">
        <v>73</v>
      </c>
      <c r="AS88" s="29" t="s">
        <v>73</v>
      </c>
      <c r="AT88" s="29" t="s">
        <v>73</v>
      </c>
      <c r="AU88" s="29" t="s">
        <v>73</v>
      </c>
      <c r="AV88" s="29" t="s">
        <v>73</v>
      </c>
      <c r="AW88" s="29" t="s">
        <v>73</v>
      </c>
      <c r="AX88" s="30">
        <v>176000</v>
      </c>
      <c r="AY88" s="30" t="s">
        <v>7</v>
      </c>
      <c r="AZ88" s="2" t="s">
        <v>74</v>
      </c>
      <c r="BA88" s="2"/>
    </row>
    <row r="89" spans="1:53" ht="51" x14ac:dyDescent="0.25">
      <c r="A89" s="19">
        <v>2026</v>
      </c>
      <c r="B89" s="20">
        <v>479</v>
      </c>
      <c r="C89" s="21" t="s">
        <v>64</v>
      </c>
      <c r="D89" s="21" t="s">
        <v>65</v>
      </c>
      <c r="E89" s="20">
        <v>125</v>
      </c>
      <c r="F89" s="20">
        <v>3000654</v>
      </c>
      <c r="G89" s="20">
        <v>5005023</v>
      </c>
      <c r="H89" s="20">
        <v>3</v>
      </c>
      <c r="I89" s="20">
        <v>12</v>
      </c>
      <c r="J89" s="20">
        <v>24</v>
      </c>
      <c r="K89" s="20">
        <v>135560</v>
      </c>
      <c r="L89" s="21" t="s">
        <v>66</v>
      </c>
      <c r="M89" s="43" t="s">
        <v>67</v>
      </c>
      <c r="N89" s="19">
        <v>95</v>
      </c>
      <c r="O89" s="2"/>
      <c r="P89" s="2" t="s">
        <v>4</v>
      </c>
      <c r="Q89" s="20" t="s">
        <v>68</v>
      </c>
      <c r="R89" s="25" t="s">
        <v>69</v>
      </c>
      <c r="S89" s="25" t="s">
        <v>137</v>
      </c>
      <c r="T89" s="25"/>
      <c r="U89" s="31" t="s">
        <v>191</v>
      </c>
      <c r="V89" s="25" t="s">
        <v>3</v>
      </c>
      <c r="W89" s="25">
        <v>1</v>
      </c>
      <c r="X89" s="27">
        <v>5000</v>
      </c>
      <c r="Y89" s="1142"/>
      <c r="Z89" s="1143"/>
      <c r="AA89" s="1143"/>
      <c r="AB89" s="1144"/>
      <c r="AC89" s="25">
        <v>30</v>
      </c>
      <c r="AD89" s="25">
        <v>30</v>
      </c>
      <c r="AE89" s="1142"/>
      <c r="AF89" s="1143"/>
      <c r="AG89" s="1143"/>
      <c r="AH89" s="1143"/>
      <c r="AI89" s="1143"/>
      <c r="AJ89" s="1145"/>
      <c r="AK89" s="35">
        <v>10000</v>
      </c>
      <c r="AL89" s="29" t="s">
        <v>73</v>
      </c>
      <c r="AM89" s="29" t="s">
        <v>73</v>
      </c>
      <c r="AN89" s="29" t="s">
        <v>73</v>
      </c>
      <c r="AO89" s="29" t="s">
        <v>73</v>
      </c>
      <c r="AP89" s="30">
        <v>5000</v>
      </c>
      <c r="AQ89" s="30">
        <v>5000</v>
      </c>
      <c r="AR89" s="29" t="s">
        <v>73</v>
      </c>
      <c r="AS89" s="29" t="s">
        <v>73</v>
      </c>
      <c r="AT89" s="29" t="s">
        <v>73</v>
      </c>
      <c r="AU89" s="29" t="s">
        <v>73</v>
      </c>
      <c r="AV89" s="29" t="s">
        <v>73</v>
      </c>
      <c r="AW89" s="29" t="s">
        <v>73</v>
      </c>
      <c r="AX89" s="30">
        <v>10000</v>
      </c>
      <c r="AY89" s="30" t="s">
        <v>7</v>
      </c>
      <c r="AZ89" s="2" t="s">
        <v>74</v>
      </c>
      <c r="BA89" s="2"/>
    </row>
    <row r="90" spans="1:53" ht="51" x14ac:dyDescent="0.25">
      <c r="A90" s="19">
        <v>2026</v>
      </c>
      <c r="B90" s="20">
        <v>479</v>
      </c>
      <c r="C90" s="21" t="s">
        <v>64</v>
      </c>
      <c r="D90" s="21" t="s">
        <v>65</v>
      </c>
      <c r="E90" s="20">
        <v>125</v>
      </c>
      <c r="F90" s="20">
        <v>3000654</v>
      </c>
      <c r="G90" s="20">
        <v>5005023</v>
      </c>
      <c r="H90" s="20">
        <v>3</v>
      </c>
      <c r="I90" s="20">
        <v>12</v>
      </c>
      <c r="J90" s="20">
        <v>24</v>
      </c>
      <c r="K90" s="20">
        <v>135560</v>
      </c>
      <c r="L90" s="21" t="s">
        <v>66</v>
      </c>
      <c r="M90" s="43" t="s">
        <v>67</v>
      </c>
      <c r="N90" s="19">
        <v>95</v>
      </c>
      <c r="O90" s="2"/>
      <c r="P90" s="2" t="s">
        <v>4</v>
      </c>
      <c r="Q90" s="20" t="s">
        <v>68</v>
      </c>
      <c r="R90" s="25" t="s">
        <v>69</v>
      </c>
      <c r="S90" s="25" t="s">
        <v>137</v>
      </c>
      <c r="T90" s="25"/>
      <c r="U90" s="31" t="s">
        <v>192</v>
      </c>
      <c r="V90" s="25" t="s">
        <v>3</v>
      </c>
      <c r="W90" s="25">
        <v>75</v>
      </c>
      <c r="X90" s="27">
        <v>3000</v>
      </c>
      <c r="Y90" s="1142"/>
      <c r="Z90" s="1143"/>
      <c r="AA90" s="1143"/>
      <c r="AB90" s="1144"/>
      <c r="AC90" s="25"/>
      <c r="AD90" s="25">
        <v>30</v>
      </c>
      <c r="AE90" s="1142"/>
      <c r="AF90" s="1143"/>
      <c r="AG90" s="1143"/>
      <c r="AH90" s="1143"/>
      <c r="AI90" s="1143"/>
      <c r="AJ90" s="1145"/>
      <c r="AK90" s="35">
        <v>225000</v>
      </c>
      <c r="AL90" s="29" t="s">
        <v>73</v>
      </c>
      <c r="AM90" s="29" t="s">
        <v>73</v>
      </c>
      <c r="AN90" s="29" t="s">
        <v>73</v>
      </c>
      <c r="AO90" s="29" t="s">
        <v>73</v>
      </c>
      <c r="AP90" s="29" t="s">
        <v>73</v>
      </c>
      <c r="AQ90" s="30">
        <v>225000</v>
      </c>
      <c r="AR90" s="29" t="s">
        <v>73</v>
      </c>
      <c r="AS90" s="29" t="s">
        <v>73</v>
      </c>
      <c r="AT90" s="29" t="s">
        <v>73</v>
      </c>
      <c r="AU90" s="29" t="s">
        <v>73</v>
      </c>
      <c r="AV90" s="29" t="s">
        <v>73</v>
      </c>
      <c r="AW90" s="29" t="s">
        <v>73</v>
      </c>
      <c r="AX90" s="30">
        <v>225000</v>
      </c>
      <c r="AY90" s="30" t="s">
        <v>7</v>
      </c>
      <c r="AZ90" s="2" t="s">
        <v>74</v>
      </c>
      <c r="BA90" s="2"/>
    </row>
    <row r="91" spans="1:53" ht="51" x14ac:dyDescent="0.25">
      <c r="A91" s="19">
        <v>2026</v>
      </c>
      <c r="B91" s="20">
        <v>479</v>
      </c>
      <c r="C91" s="21" t="s">
        <v>64</v>
      </c>
      <c r="D91" s="21" t="s">
        <v>65</v>
      </c>
      <c r="E91" s="20">
        <v>125</v>
      </c>
      <c r="F91" s="20">
        <v>3000654</v>
      </c>
      <c r="G91" s="20">
        <v>5005023</v>
      </c>
      <c r="H91" s="20">
        <v>3</v>
      </c>
      <c r="I91" s="20">
        <v>12</v>
      </c>
      <c r="J91" s="20">
        <v>24</v>
      </c>
      <c r="K91" s="20">
        <v>135560</v>
      </c>
      <c r="L91" s="21" t="s">
        <v>66</v>
      </c>
      <c r="M91" s="43" t="s">
        <v>67</v>
      </c>
      <c r="N91" s="19">
        <v>95</v>
      </c>
      <c r="O91" s="2"/>
      <c r="P91" s="2" t="s">
        <v>4</v>
      </c>
      <c r="Q91" s="20" t="s">
        <v>68</v>
      </c>
      <c r="R91" s="25" t="s">
        <v>69</v>
      </c>
      <c r="S91" s="37" t="s">
        <v>137</v>
      </c>
      <c r="T91" s="37"/>
      <c r="U91" s="38" t="s">
        <v>193</v>
      </c>
      <c r="V91" s="37" t="s">
        <v>3</v>
      </c>
      <c r="W91" s="37">
        <v>72</v>
      </c>
      <c r="X91" s="39">
        <v>3000</v>
      </c>
      <c r="Y91" s="1142"/>
      <c r="Z91" s="1143"/>
      <c r="AA91" s="1143"/>
      <c r="AB91" s="1144"/>
      <c r="AC91" s="37"/>
      <c r="AD91" s="37">
        <v>30</v>
      </c>
      <c r="AE91" s="1142"/>
      <c r="AF91" s="1143"/>
      <c r="AG91" s="1143"/>
      <c r="AH91" s="1143"/>
      <c r="AI91" s="1143"/>
      <c r="AJ91" s="1145"/>
      <c r="AK91" s="35">
        <v>216000</v>
      </c>
      <c r="AL91" s="29" t="s">
        <v>73</v>
      </c>
      <c r="AM91" s="29" t="s">
        <v>73</v>
      </c>
      <c r="AN91" s="29" t="s">
        <v>73</v>
      </c>
      <c r="AO91" s="29" t="s">
        <v>73</v>
      </c>
      <c r="AP91" s="29" t="s">
        <v>73</v>
      </c>
      <c r="AQ91" s="30">
        <v>216000</v>
      </c>
      <c r="AR91" s="29" t="s">
        <v>73</v>
      </c>
      <c r="AS91" s="29" t="s">
        <v>73</v>
      </c>
      <c r="AT91" s="29" t="s">
        <v>73</v>
      </c>
      <c r="AU91" s="29" t="s">
        <v>73</v>
      </c>
      <c r="AV91" s="29" t="s">
        <v>73</v>
      </c>
      <c r="AW91" s="29" t="s">
        <v>73</v>
      </c>
      <c r="AX91" s="30">
        <v>216000</v>
      </c>
      <c r="AY91" s="30" t="s">
        <v>7</v>
      </c>
      <c r="AZ91" s="2" t="s">
        <v>74</v>
      </c>
      <c r="BA91" s="2"/>
    </row>
    <row r="92" spans="1:53" ht="51" x14ac:dyDescent="0.25">
      <c r="A92" s="19">
        <v>2026</v>
      </c>
      <c r="B92" s="20">
        <v>479</v>
      </c>
      <c r="C92" s="21" t="s">
        <v>64</v>
      </c>
      <c r="D92" s="21" t="s">
        <v>65</v>
      </c>
      <c r="E92" s="20">
        <v>125</v>
      </c>
      <c r="F92" s="20">
        <v>3000654</v>
      </c>
      <c r="G92" s="20">
        <v>5005023</v>
      </c>
      <c r="H92" s="20">
        <v>3</v>
      </c>
      <c r="I92" s="20">
        <v>12</v>
      </c>
      <c r="J92" s="20">
        <v>24</v>
      </c>
      <c r="K92" s="20">
        <v>135560</v>
      </c>
      <c r="L92" s="21" t="s">
        <v>98</v>
      </c>
      <c r="M92" s="33" t="s">
        <v>99</v>
      </c>
      <c r="N92" s="19">
        <v>94</v>
      </c>
      <c r="O92" s="2"/>
      <c r="P92" s="2" t="s">
        <v>4</v>
      </c>
      <c r="Q92" s="20" t="s">
        <v>68</v>
      </c>
      <c r="R92" s="25" t="s">
        <v>69</v>
      </c>
      <c r="S92" s="25" t="s">
        <v>137</v>
      </c>
      <c r="T92" s="25"/>
      <c r="U92" s="33" t="s">
        <v>194</v>
      </c>
      <c r="V92" s="25" t="s">
        <v>3</v>
      </c>
      <c r="W92" s="25">
        <v>1</v>
      </c>
      <c r="X92" s="27">
        <v>7000</v>
      </c>
      <c r="Y92" s="1142"/>
      <c r="Z92" s="1143"/>
      <c r="AA92" s="1143"/>
      <c r="AB92" s="1144"/>
      <c r="AC92" s="25">
        <v>30</v>
      </c>
      <c r="AD92" s="25">
        <v>30</v>
      </c>
      <c r="AE92" s="1142"/>
      <c r="AF92" s="1143"/>
      <c r="AG92" s="1143"/>
      <c r="AH92" s="1143"/>
      <c r="AI92" s="1143"/>
      <c r="AJ92" s="1145"/>
      <c r="AK92" s="35">
        <v>14000</v>
      </c>
      <c r="AL92" s="29" t="s">
        <v>73</v>
      </c>
      <c r="AM92" s="29" t="s">
        <v>73</v>
      </c>
      <c r="AN92" s="29" t="s">
        <v>73</v>
      </c>
      <c r="AO92" s="29" t="s">
        <v>73</v>
      </c>
      <c r="AP92" s="30">
        <v>7000</v>
      </c>
      <c r="AQ92" s="30">
        <v>7000</v>
      </c>
      <c r="AR92" s="29" t="s">
        <v>73</v>
      </c>
      <c r="AS92" s="29" t="s">
        <v>73</v>
      </c>
      <c r="AT92" s="29" t="s">
        <v>73</v>
      </c>
      <c r="AU92" s="29" t="s">
        <v>73</v>
      </c>
      <c r="AV92" s="29" t="s">
        <v>73</v>
      </c>
      <c r="AW92" s="29" t="s">
        <v>73</v>
      </c>
      <c r="AX92" s="30">
        <v>14000</v>
      </c>
      <c r="AY92" s="34" t="s">
        <v>5</v>
      </c>
      <c r="AZ92" s="2" t="s">
        <v>74</v>
      </c>
      <c r="BA92" s="2"/>
    </row>
    <row r="93" spans="1:53" ht="51" x14ac:dyDescent="0.25">
      <c r="A93" s="19">
        <v>2026</v>
      </c>
      <c r="B93" s="20">
        <v>479</v>
      </c>
      <c r="C93" s="21" t="s">
        <v>64</v>
      </c>
      <c r="D93" s="21" t="s">
        <v>65</v>
      </c>
      <c r="E93" s="20">
        <v>125</v>
      </c>
      <c r="F93" s="20">
        <v>3000654</v>
      </c>
      <c r="G93" s="20">
        <v>5005023</v>
      </c>
      <c r="H93" s="20">
        <v>3</v>
      </c>
      <c r="I93" s="20">
        <v>12</v>
      </c>
      <c r="J93" s="20">
        <v>24</v>
      </c>
      <c r="K93" s="20">
        <v>135560</v>
      </c>
      <c r="L93" s="21" t="s">
        <v>98</v>
      </c>
      <c r="M93" s="33" t="s">
        <v>99</v>
      </c>
      <c r="N93" s="19">
        <v>94</v>
      </c>
      <c r="O93" s="2"/>
      <c r="P93" s="2" t="s">
        <v>4</v>
      </c>
      <c r="Q93" s="20" t="s">
        <v>68</v>
      </c>
      <c r="R93" s="25" t="s">
        <v>69</v>
      </c>
      <c r="S93" s="25" t="s">
        <v>137</v>
      </c>
      <c r="T93" s="25"/>
      <c r="U93" s="33" t="s">
        <v>195</v>
      </c>
      <c r="V93" s="25" t="s">
        <v>3</v>
      </c>
      <c r="W93" s="25">
        <v>1</v>
      </c>
      <c r="X93" s="27">
        <v>10000</v>
      </c>
      <c r="Y93" s="1142"/>
      <c r="Z93" s="1143"/>
      <c r="AA93" s="1143"/>
      <c r="AB93" s="1144"/>
      <c r="AC93" s="25">
        <v>30</v>
      </c>
      <c r="AD93" s="25">
        <v>30</v>
      </c>
      <c r="AE93" s="1142"/>
      <c r="AF93" s="1143"/>
      <c r="AG93" s="1143"/>
      <c r="AH93" s="1143"/>
      <c r="AI93" s="1143"/>
      <c r="AJ93" s="1145"/>
      <c r="AK93" s="35">
        <v>20000</v>
      </c>
      <c r="AL93" s="29" t="s">
        <v>73</v>
      </c>
      <c r="AM93" s="29" t="s">
        <v>73</v>
      </c>
      <c r="AN93" s="29" t="s">
        <v>73</v>
      </c>
      <c r="AO93" s="29" t="s">
        <v>73</v>
      </c>
      <c r="AP93" s="30">
        <v>10000</v>
      </c>
      <c r="AQ93" s="30">
        <v>10000</v>
      </c>
      <c r="AR93" s="29" t="s">
        <v>73</v>
      </c>
      <c r="AS93" s="29" t="s">
        <v>73</v>
      </c>
      <c r="AT93" s="29" t="s">
        <v>73</v>
      </c>
      <c r="AU93" s="29" t="s">
        <v>73</v>
      </c>
      <c r="AV93" s="29" t="s">
        <v>73</v>
      </c>
      <c r="AW93" s="29" t="s">
        <v>73</v>
      </c>
      <c r="AX93" s="30">
        <v>20000</v>
      </c>
      <c r="AY93" s="34" t="s">
        <v>5</v>
      </c>
      <c r="AZ93" s="2" t="s">
        <v>74</v>
      </c>
      <c r="BA93" s="2"/>
    </row>
    <row r="94" spans="1:53" ht="51" x14ac:dyDescent="0.25">
      <c r="A94" s="19">
        <v>2026</v>
      </c>
      <c r="B94" s="20">
        <v>479</v>
      </c>
      <c r="C94" s="21" t="s">
        <v>64</v>
      </c>
      <c r="D94" s="21" t="s">
        <v>65</v>
      </c>
      <c r="E94" s="20">
        <v>125</v>
      </c>
      <c r="F94" s="20">
        <v>3000654</v>
      </c>
      <c r="G94" s="20">
        <v>5005023</v>
      </c>
      <c r="H94" s="20">
        <v>3</v>
      </c>
      <c r="I94" s="20">
        <v>12</v>
      </c>
      <c r="J94" s="20">
        <v>24</v>
      </c>
      <c r="K94" s="20">
        <v>135560</v>
      </c>
      <c r="L94" s="21" t="s">
        <v>98</v>
      </c>
      <c r="M94" s="33" t="s">
        <v>99</v>
      </c>
      <c r="N94" s="19">
        <v>94</v>
      </c>
      <c r="O94" s="2"/>
      <c r="P94" s="2" t="s">
        <v>4</v>
      </c>
      <c r="Q94" s="20" t="s">
        <v>68</v>
      </c>
      <c r="R94" s="25" t="s">
        <v>69</v>
      </c>
      <c r="S94" s="25" t="s">
        <v>137</v>
      </c>
      <c r="T94" s="25"/>
      <c r="U94" s="33" t="s">
        <v>196</v>
      </c>
      <c r="V94" s="25" t="s">
        <v>3</v>
      </c>
      <c r="W94" s="25">
        <v>1</v>
      </c>
      <c r="X94" s="27">
        <v>10000</v>
      </c>
      <c r="Y94" s="1142"/>
      <c r="Z94" s="1143"/>
      <c r="AA94" s="1143"/>
      <c r="AB94" s="1144"/>
      <c r="AC94" s="25">
        <v>30</v>
      </c>
      <c r="AD94" s="25">
        <v>30</v>
      </c>
      <c r="AE94" s="1142"/>
      <c r="AF94" s="1143"/>
      <c r="AG94" s="1143"/>
      <c r="AH94" s="1143"/>
      <c r="AI94" s="1143"/>
      <c r="AJ94" s="1145"/>
      <c r="AK94" s="35">
        <v>20000</v>
      </c>
      <c r="AL94" s="29" t="s">
        <v>73</v>
      </c>
      <c r="AM94" s="29" t="s">
        <v>73</v>
      </c>
      <c r="AN94" s="29" t="s">
        <v>73</v>
      </c>
      <c r="AO94" s="29" t="s">
        <v>73</v>
      </c>
      <c r="AP94" s="30">
        <v>10000</v>
      </c>
      <c r="AQ94" s="30">
        <v>10000</v>
      </c>
      <c r="AR94" s="29" t="s">
        <v>73</v>
      </c>
      <c r="AS94" s="29" t="s">
        <v>73</v>
      </c>
      <c r="AT94" s="29" t="s">
        <v>73</v>
      </c>
      <c r="AU94" s="29" t="s">
        <v>73</v>
      </c>
      <c r="AV94" s="29" t="s">
        <v>73</v>
      </c>
      <c r="AW94" s="29" t="s">
        <v>73</v>
      </c>
      <c r="AX94" s="30">
        <v>20000</v>
      </c>
      <c r="AY94" s="34" t="s">
        <v>5</v>
      </c>
      <c r="AZ94" s="2" t="s">
        <v>74</v>
      </c>
      <c r="BA94" s="2"/>
    </row>
    <row r="95" spans="1:53" ht="51" x14ac:dyDescent="0.25">
      <c r="A95" s="19">
        <v>2026</v>
      </c>
      <c r="B95" s="20">
        <v>479</v>
      </c>
      <c r="C95" s="21" t="s">
        <v>64</v>
      </c>
      <c r="D95" s="21" t="s">
        <v>65</v>
      </c>
      <c r="E95" s="20">
        <v>125</v>
      </c>
      <c r="F95" s="20">
        <v>3000654</v>
      </c>
      <c r="G95" s="20">
        <v>5005023</v>
      </c>
      <c r="H95" s="20">
        <v>3</v>
      </c>
      <c r="I95" s="20">
        <v>12</v>
      </c>
      <c r="J95" s="20">
        <v>24</v>
      </c>
      <c r="K95" s="20">
        <v>135560</v>
      </c>
      <c r="L95" s="21" t="s">
        <v>98</v>
      </c>
      <c r="M95" s="33" t="s">
        <v>99</v>
      </c>
      <c r="N95" s="19">
        <v>94</v>
      </c>
      <c r="O95" s="2"/>
      <c r="P95" s="2" t="s">
        <v>4</v>
      </c>
      <c r="Q95" s="20" t="s">
        <v>68</v>
      </c>
      <c r="R95" s="25" t="s">
        <v>69</v>
      </c>
      <c r="S95" s="25" t="s">
        <v>137</v>
      </c>
      <c r="T95" s="25"/>
      <c r="U95" s="33" t="s">
        <v>197</v>
      </c>
      <c r="V95" s="25" t="s">
        <v>3</v>
      </c>
      <c r="W95" s="25">
        <v>1</v>
      </c>
      <c r="X95" s="27">
        <v>9000</v>
      </c>
      <c r="Y95" s="1142"/>
      <c r="Z95" s="1143"/>
      <c r="AA95" s="1143"/>
      <c r="AB95" s="1144"/>
      <c r="AC95" s="25">
        <v>30</v>
      </c>
      <c r="AD95" s="25">
        <v>30</v>
      </c>
      <c r="AE95" s="1142"/>
      <c r="AF95" s="1143"/>
      <c r="AG95" s="1143"/>
      <c r="AH95" s="1143"/>
      <c r="AI95" s="1143"/>
      <c r="AJ95" s="1145"/>
      <c r="AK95" s="35">
        <v>18000</v>
      </c>
      <c r="AL95" s="29" t="s">
        <v>73</v>
      </c>
      <c r="AM95" s="29" t="s">
        <v>73</v>
      </c>
      <c r="AN95" s="29" t="s">
        <v>73</v>
      </c>
      <c r="AO95" s="29" t="s">
        <v>73</v>
      </c>
      <c r="AP95" s="30">
        <v>9000</v>
      </c>
      <c r="AQ95" s="30">
        <v>9000</v>
      </c>
      <c r="AR95" s="29" t="s">
        <v>73</v>
      </c>
      <c r="AS95" s="29" t="s">
        <v>73</v>
      </c>
      <c r="AT95" s="29" t="s">
        <v>73</v>
      </c>
      <c r="AU95" s="29" t="s">
        <v>73</v>
      </c>
      <c r="AV95" s="29" t="s">
        <v>73</v>
      </c>
      <c r="AW95" s="29" t="s">
        <v>73</v>
      </c>
      <c r="AX95" s="30">
        <v>18000</v>
      </c>
      <c r="AY95" s="34" t="s">
        <v>5</v>
      </c>
      <c r="AZ95" s="2" t="s">
        <v>74</v>
      </c>
      <c r="BA95" s="2"/>
    </row>
    <row r="96" spans="1:53" ht="51" x14ac:dyDescent="0.25">
      <c r="A96" s="19">
        <v>2026</v>
      </c>
      <c r="B96" s="20">
        <v>479</v>
      </c>
      <c r="C96" s="21" t="s">
        <v>64</v>
      </c>
      <c r="D96" s="21" t="s">
        <v>65</v>
      </c>
      <c r="E96" s="20">
        <v>125</v>
      </c>
      <c r="F96" s="20">
        <v>3000654</v>
      </c>
      <c r="G96" s="20">
        <v>5005023</v>
      </c>
      <c r="H96" s="20">
        <v>3</v>
      </c>
      <c r="I96" s="20">
        <v>12</v>
      </c>
      <c r="J96" s="20">
        <v>24</v>
      </c>
      <c r="K96" s="20">
        <v>135560</v>
      </c>
      <c r="L96" s="21" t="s">
        <v>98</v>
      </c>
      <c r="M96" s="33" t="s">
        <v>99</v>
      </c>
      <c r="N96" s="19">
        <v>94</v>
      </c>
      <c r="O96" s="2"/>
      <c r="P96" s="2" t="s">
        <v>4</v>
      </c>
      <c r="Q96" s="20" t="s">
        <v>68</v>
      </c>
      <c r="R96" s="25" t="s">
        <v>69</v>
      </c>
      <c r="S96" s="25" t="s">
        <v>137</v>
      </c>
      <c r="T96" s="25"/>
      <c r="U96" s="33" t="s">
        <v>198</v>
      </c>
      <c r="V96" s="25" t="s">
        <v>3</v>
      </c>
      <c r="W96" s="25">
        <v>1</v>
      </c>
      <c r="X96" s="27">
        <v>8000</v>
      </c>
      <c r="Y96" s="1142"/>
      <c r="Z96" s="1143"/>
      <c r="AA96" s="1143"/>
      <c r="AB96" s="1144"/>
      <c r="AC96" s="25">
        <v>30</v>
      </c>
      <c r="AD96" s="25">
        <v>30</v>
      </c>
      <c r="AE96" s="1142"/>
      <c r="AF96" s="1143"/>
      <c r="AG96" s="1143"/>
      <c r="AH96" s="1143"/>
      <c r="AI96" s="1143"/>
      <c r="AJ96" s="1145"/>
      <c r="AK96" s="35">
        <v>16000</v>
      </c>
      <c r="AL96" s="29" t="s">
        <v>73</v>
      </c>
      <c r="AM96" s="29" t="s">
        <v>73</v>
      </c>
      <c r="AN96" s="29" t="s">
        <v>73</v>
      </c>
      <c r="AO96" s="29" t="s">
        <v>73</v>
      </c>
      <c r="AP96" s="30">
        <v>8000</v>
      </c>
      <c r="AQ96" s="30">
        <v>8000</v>
      </c>
      <c r="AR96" s="29" t="s">
        <v>73</v>
      </c>
      <c r="AS96" s="29" t="s">
        <v>73</v>
      </c>
      <c r="AT96" s="29" t="s">
        <v>73</v>
      </c>
      <c r="AU96" s="29" t="s">
        <v>73</v>
      </c>
      <c r="AV96" s="29" t="s">
        <v>73</v>
      </c>
      <c r="AW96" s="29" t="s">
        <v>73</v>
      </c>
      <c r="AX96" s="30">
        <v>16000</v>
      </c>
      <c r="AY96" s="34" t="s">
        <v>5</v>
      </c>
      <c r="AZ96" s="2" t="s">
        <v>74</v>
      </c>
      <c r="BA96" s="2"/>
    </row>
    <row r="97" spans="1:53" ht="51" x14ac:dyDescent="0.25">
      <c r="A97" s="19">
        <v>2026</v>
      </c>
      <c r="B97" s="20">
        <v>479</v>
      </c>
      <c r="C97" s="21" t="s">
        <v>64</v>
      </c>
      <c r="D97" s="21" t="s">
        <v>65</v>
      </c>
      <c r="E97" s="20">
        <v>125</v>
      </c>
      <c r="F97" s="20">
        <v>3000654</v>
      </c>
      <c r="G97" s="20">
        <v>5005023</v>
      </c>
      <c r="H97" s="20">
        <v>3</v>
      </c>
      <c r="I97" s="20">
        <v>12</v>
      </c>
      <c r="J97" s="20">
        <v>24</v>
      </c>
      <c r="K97" s="20">
        <v>135560</v>
      </c>
      <c r="L97" s="21" t="s">
        <v>98</v>
      </c>
      <c r="M97" s="33" t="s">
        <v>99</v>
      </c>
      <c r="N97" s="19">
        <v>94</v>
      </c>
      <c r="O97" s="2"/>
      <c r="P97" s="2" t="s">
        <v>4</v>
      </c>
      <c r="Q97" s="20" t="s">
        <v>68</v>
      </c>
      <c r="R97" s="25" t="s">
        <v>69</v>
      </c>
      <c r="S97" s="25" t="s">
        <v>137</v>
      </c>
      <c r="T97" s="25"/>
      <c r="U97" s="33" t="s">
        <v>199</v>
      </c>
      <c r="V97" s="25" t="s">
        <v>3</v>
      </c>
      <c r="W97" s="25">
        <v>1</v>
      </c>
      <c r="X97" s="27">
        <v>4500</v>
      </c>
      <c r="Y97" s="1142"/>
      <c r="Z97" s="1143"/>
      <c r="AA97" s="1143"/>
      <c r="AB97" s="1144"/>
      <c r="AC97" s="25">
        <v>30</v>
      </c>
      <c r="AD97" s="25">
        <v>30</v>
      </c>
      <c r="AE97" s="1142"/>
      <c r="AF97" s="1143"/>
      <c r="AG97" s="1143"/>
      <c r="AH97" s="1143"/>
      <c r="AI97" s="1143"/>
      <c r="AJ97" s="1145"/>
      <c r="AK97" s="35">
        <v>9000</v>
      </c>
      <c r="AL97" s="29" t="s">
        <v>73</v>
      </c>
      <c r="AM97" s="29" t="s">
        <v>73</v>
      </c>
      <c r="AN97" s="29" t="s">
        <v>73</v>
      </c>
      <c r="AO97" s="29" t="s">
        <v>73</v>
      </c>
      <c r="AP97" s="30">
        <v>4500</v>
      </c>
      <c r="AQ97" s="30">
        <v>4500</v>
      </c>
      <c r="AR97" s="29" t="s">
        <v>73</v>
      </c>
      <c r="AS97" s="29" t="s">
        <v>73</v>
      </c>
      <c r="AT97" s="29" t="s">
        <v>73</v>
      </c>
      <c r="AU97" s="29" t="s">
        <v>73</v>
      </c>
      <c r="AV97" s="29" t="s">
        <v>73</v>
      </c>
      <c r="AW97" s="29" t="s">
        <v>73</v>
      </c>
      <c r="AX97" s="30">
        <v>9000</v>
      </c>
      <c r="AY97" s="34" t="s">
        <v>5</v>
      </c>
      <c r="AZ97" s="2" t="s">
        <v>74</v>
      </c>
      <c r="BA97" s="2"/>
    </row>
    <row r="98" spans="1:53" ht="51" x14ac:dyDescent="0.25">
      <c r="A98" s="19">
        <v>2026</v>
      </c>
      <c r="B98" s="20">
        <v>479</v>
      </c>
      <c r="C98" s="21" t="s">
        <v>64</v>
      </c>
      <c r="D98" s="21" t="s">
        <v>65</v>
      </c>
      <c r="E98" s="20">
        <v>125</v>
      </c>
      <c r="F98" s="20">
        <v>3000654</v>
      </c>
      <c r="G98" s="20">
        <v>5005023</v>
      </c>
      <c r="H98" s="20">
        <v>3</v>
      </c>
      <c r="I98" s="20">
        <v>12</v>
      </c>
      <c r="J98" s="20">
        <v>24</v>
      </c>
      <c r="K98" s="20">
        <v>135560</v>
      </c>
      <c r="L98" s="21" t="s">
        <v>98</v>
      </c>
      <c r="M98" s="33" t="s">
        <v>99</v>
      </c>
      <c r="N98" s="19">
        <v>94</v>
      </c>
      <c r="O98" s="2"/>
      <c r="P98" s="2" t="s">
        <v>4</v>
      </c>
      <c r="Q98" s="20" t="s">
        <v>68</v>
      </c>
      <c r="R98" s="25" t="s">
        <v>69</v>
      </c>
      <c r="S98" s="25" t="s">
        <v>137</v>
      </c>
      <c r="T98" s="25"/>
      <c r="U98" s="33" t="s">
        <v>199</v>
      </c>
      <c r="V98" s="25" t="s">
        <v>3</v>
      </c>
      <c r="W98" s="25">
        <v>1</v>
      </c>
      <c r="X98" s="27">
        <v>4500</v>
      </c>
      <c r="Y98" s="1142"/>
      <c r="Z98" s="1143"/>
      <c r="AA98" s="1143"/>
      <c r="AB98" s="1144"/>
      <c r="AC98" s="25">
        <v>30</v>
      </c>
      <c r="AD98" s="25">
        <v>30</v>
      </c>
      <c r="AE98" s="1142"/>
      <c r="AF98" s="1143"/>
      <c r="AG98" s="1143"/>
      <c r="AH98" s="1143"/>
      <c r="AI98" s="1143"/>
      <c r="AJ98" s="1145"/>
      <c r="AK98" s="35">
        <v>9000</v>
      </c>
      <c r="AL98" s="29" t="s">
        <v>73</v>
      </c>
      <c r="AM98" s="29" t="s">
        <v>73</v>
      </c>
      <c r="AN98" s="29" t="s">
        <v>73</v>
      </c>
      <c r="AO98" s="29" t="s">
        <v>73</v>
      </c>
      <c r="AP98" s="30">
        <v>4500</v>
      </c>
      <c r="AQ98" s="30">
        <v>4500</v>
      </c>
      <c r="AR98" s="29" t="s">
        <v>73</v>
      </c>
      <c r="AS98" s="29" t="s">
        <v>73</v>
      </c>
      <c r="AT98" s="29" t="s">
        <v>73</v>
      </c>
      <c r="AU98" s="29" t="s">
        <v>73</v>
      </c>
      <c r="AV98" s="29" t="s">
        <v>73</v>
      </c>
      <c r="AW98" s="29" t="s">
        <v>73</v>
      </c>
      <c r="AX98" s="30">
        <v>9000</v>
      </c>
      <c r="AY98" s="34" t="s">
        <v>5</v>
      </c>
      <c r="AZ98" s="2" t="s">
        <v>74</v>
      </c>
      <c r="BA98" s="2"/>
    </row>
    <row r="99" spans="1:53" ht="51" x14ac:dyDescent="0.25">
      <c r="A99" s="19">
        <v>2026</v>
      </c>
      <c r="B99" s="20">
        <v>479</v>
      </c>
      <c r="C99" s="21" t="s">
        <v>64</v>
      </c>
      <c r="D99" s="21" t="s">
        <v>65</v>
      </c>
      <c r="E99" s="20">
        <v>125</v>
      </c>
      <c r="F99" s="20">
        <v>3000654</v>
      </c>
      <c r="G99" s="20">
        <v>5005023</v>
      </c>
      <c r="H99" s="20">
        <v>3</v>
      </c>
      <c r="I99" s="20">
        <v>12</v>
      </c>
      <c r="J99" s="20">
        <v>24</v>
      </c>
      <c r="K99" s="20">
        <v>135560</v>
      </c>
      <c r="L99" s="21" t="s">
        <v>98</v>
      </c>
      <c r="M99" s="33" t="s">
        <v>99</v>
      </c>
      <c r="N99" s="19">
        <v>94</v>
      </c>
      <c r="O99" s="2"/>
      <c r="P99" s="2" t="s">
        <v>4</v>
      </c>
      <c r="Q99" s="20" t="s">
        <v>68</v>
      </c>
      <c r="R99" s="25" t="s">
        <v>69</v>
      </c>
      <c r="S99" s="25" t="s">
        <v>137</v>
      </c>
      <c r="T99" s="25"/>
      <c r="U99" s="33" t="s">
        <v>200</v>
      </c>
      <c r="V99" s="25" t="s">
        <v>3</v>
      </c>
      <c r="W99" s="25">
        <v>1</v>
      </c>
      <c r="X99" s="27">
        <v>9000</v>
      </c>
      <c r="Y99" s="1142"/>
      <c r="Z99" s="1143"/>
      <c r="AA99" s="1143"/>
      <c r="AB99" s="1144"/>
      <c r="AC99" s="25">
        <v>30</v>
      </c>
      <c r="AD99" s="25">
        <v>30</v>
      </c>
      <c r="AE99" s="1142"/>
      <c r="AF99" s="1143"/>
      <c r="AG99" s="1143"/>
      <c r="AH99" s="1143"/>
      <c r="AI99" s="1143"/>
      <c r="AJ99" s="1145"/>
      <c r="AK99" s="35">
        <v>18000</v>
      </c>
      <c r="AL99" s="29" t="s">
        <v>73</v>
      </c>
      <c r="AM99" s="29" t="s">
        <v>73</v>
      </c>
      <c r="AN99" s="29" t="s">
        <v>73</v>
      </c>
      <c r="AO99" s="29" t="s">
        <v>73</v>
      </c>
      <c r="AP99" s="30">
        <v>9000</v>
      </c>
      <c r="AQ99" s="30">
        <v>9000</v>
      </c>
      <c r="AR99" s="29" t="s">
        <v>73</v>
      </c>
      <c r="AS99" s="29" t="s">
        <v>73</v>
      </c>
      <c r="AT99" s="29" t="s">
        <v>73</v>
      </c>
      <c r="AU99" s="29" t="s">
        <v>73</v>
      </c>
      <c r="AV99" s="29" t="s">
        <v>73</v>
      </c>
      <c r="AW99" s="29" t="s">
        <v>73</v>
      </c>
      <c r="AX99" s="30">
        <v>18000</v>
      </c>
      <c r="AY99" s="34" t="s">
        <v>5</v>
      </c>
      <c r="AZ99" s="2" t="s">
        <v>74</v>
      </c>
      <c r="BA99" s="2"/>
    </row>
    <row r="100" spans="1:53" ht="51" x14ac:dyDescent="0.25">
      <c r="A100" s="19">
        <v>2026</v>
      </c>
      <c r="B100" s="20">
        <v>479</v>
      </c>
      <c r="C100" s="21" t="s">
        <v>64</v>
      </c>
      <c r="D100" s="21" t="s">
        <v>65</v>
      </c>
      <c r="E100" s="20">
        <v>125</v>
      </c>
      <c r="F100" s="20">
        <v>3000654</v>
      </c>
      <c r="G100" s="20">
        <v>5005023</v>
      </c>
      <c r="H100" s="20">
        <v>3</v>
      </c>
      <c r="I100" s="20">
        <v>12</v>
      </c>
      <c r="J100" s="20">
        <v>24</v>
      </c>
      <c r="K100" s="20">
        <v>135560</v>
      </c>
      <c r="L100" s="21" t="s">
        <v>98</v>
      </c>
      <c r="M100" s="33" t="s">
        <v>99</v>
      </c>
      <c r="N100" s="19">
        <v>94</v>
      </c>
      <c r="O100" s="2"/>
      <c r="P100" s="2" t="s">
        <v>4</v>
      </c>
      <c r="Q100" s="20" t="s">
        <v>68</v>
      </c>
      <c r="R100" s="25" t="s">
        <v>69</v>
      </c>
      <c r="S100" s="25" t="s">
        <v>137</v>
      </c>
      <c r="T100" s="25"/>
      <c r="U100" s="33" t="s">
        <v>201</v>
      </c>
      <c r="V100" s="25" t="s">
        <v>3</v>
      </c>
      <c r="W100" s="25">
        <v>1</v>
      </c>
      <c r="X100" s="27">
        <v>8000</v>
      </c>
      <c r="Y100" s="1142"/>
      <c r="Z100" s="1143"/>
      <c r="AA100" s="1143"/>
      <c r="AB100" s="1144"/>
      <c r="AC100" s="25">
        <v>30</v>
      </c>
      <c r="AD100" s="25">
        <v>30</v>
      </c>
      <c r="AE100" s="1142"/>
      <c r="AF100" s="1143"/>
      <c r="AG100" s="1143"/>
      <c r="AH100" s="1143"/>
      <c r="AI100" s="1143"/>
      <c r="AJ100" s="1145"/>
      <c r="AK100" s="35">
        <v>16000</v>
      </c>
      <c r="AL100" s="29" t="s">
        <v>73</v>
      </c>
      <c r="AM100" s="29" t="s">
        <v>73</v>
      </c>
      <c r="AN100" s="29" t="s">
        <v>73</v>
      </c>
      <c r="AO100" s="29" t="s">
        <v>73</v>
      </c>
      <c r="AP100" s="30">
        <v>8000</v>
      </c>
      <c r="AQ100" s="30">
        <v>8000</v>
      </c>
      <c r="AR100" s="29" t="s">
        <v>73</v>
      </c>
      <c r="AS100" s="29" t="s">
        <v>73</v>
      </c>
      <c r="AT100" s="29" t="s">
        <v>73</v>
      </c>
      <c r="AU100" s="29" t="s">
        <v>73</v>
      </c>
      <c r="AV100" s="29" t="s">
        <v>73</v>
      </c>
      <c r="AW100" s="29" t="s">
        <v>73</v>
      </c>
      <c r="AX100" s="30">
        <v>16000</v>
      </c>
      <c r="AY100" s="34" t="s">
        <v>5</v>
      </c>
      <c r="AZ100" s="2" t="s">
        <v>74</v>
      </c>
      <c r="BA100" s="2"/>
    </row>
    <row r="101" spans="1:53" ht="51" x14ac:dyDescent="0.25">
      <c r="A101" s="19">
        <v>2026</v>
      </c>
      <c r="B101" s="20">
        <v>479</v>
      </c>
      <c r="C101" s="21" t="s">
        <v>64</v>
      </c>
      <c r="D101" s="21" t="s">
        <v>65</v>
      </c>
      <c r="E101" s="20">
        <v>125</v>
      </c>
      <c r="F101" s="20">
        <v>3000654</v>
      </c>
      <c r="G101" s="20">
        <v>5005023</v>
      </c>
      <c r="H101" s="20">
        <v>3</v>
      </c>
      <c r="I101" s="20">
        <v>12</v>
      </c>
      <c r="J101" s="20">
        <v>24</v>
      </c>
      <c r="K101" s="20">
        <v>135560</v>
      </c>
      <c r="L101" s="21" t="s">
        <v>98</v>
      </c>
      <c r="M101" s="33" t="s">
        <v>99</v>
      </c>
      <c r="N101" s="19">
        <v>94</v>
      </c>
      <c r="O101" s="2"/>
      <c r="P101" s="2" t="s">
        <v>4</v>
      </c>
      <c r="Q101" s="20" t="s">
        <v>68</v>
      </c>
      <c r="R101" s="25" t="s">
        <v>69</v>
      </c>
      <c r="S101" s="25" t="s">
        <v>137</v>
      </c>
      <c r="T101" s="25"/>
      <c r="U101" s="33" t="s">
        <v>202</v>
      </c>
      <c r="V101" s="25" t="s">
        <v>3</v>
      </c>
      <c r="W101" s="25">
        <v>1</v>
      </c>
      <c r="X101" s="27">
        <v>6000</v>
      </c>
      <c r="Y101" s="1142"/>
      <c r="Z101" s="1143"/>
      <c r="AA101" s="1143"/>
      <c r="AB101" s="1144"/>
      <c r="AC101" s="25">
        <v>30</v>
      </c>
      <c r="AD101" s="25">
        <v>30</v>
      </c>
      <c r="AE101" s="1142"/>
      <c r="AF101" s="1143"/>
      <c r="AG101" s="1143"/>
      <c r="AH101" s="1143"/>
      <c r="AI101" s="1143"/>
      <c r="AJ101" s="1145"/>
      <c r="AK101" s="35">
        <v>12000</v>
      </c>
      <c r="AL101" s="29" t="s">
        <v>73</v>
      </c>
      <c r="AM101" s="29" t="s">
        <v>73</v>
      </c>
      <c r="AN101" s="29" t="s">
        <v>73</v>
      </c>
      <c r="AO101" s="29" t="s">
        <v>73</v>
      </c>
      <c r="AP101" s="30">
        <v>6000</v>
      </c>
      <c r="AQ101" s="30">
        <v>6000</v>
      </c>
      <c r="AR101" s="29" t="s">
        <v>73</v>
      </c>
      <c r="AS101" s="29" t="s">
        <v>73</v>
      </c>
      <c r="AT101" s="29" t="s">
        <v>73</v>
      </c>
      <c r="AU101" s="29" t="s">
        <v>73</v>
      </c>
      <c r="AV101" s="29" t="s">
        <v>73</v>
      </c>
      <c r="AW101" s="29" t="s">
        <v>73</v>
      </c>
      <c r="AX101" s="30">
        <v>12000</v>
      </c>
      <c r="AY101" s="34" t="s">
        <v>5</v>
      </c>
      <c r="AZ101" s="2" t="s">
        <v>74</v>
      </c>
      <c r="BA101" s="2"/>
    </row>
    <row r="102" spans="1:53" ht="51" x14ac:dyDescent="0.25">
      <c r="A102" s="19">
        <v>2026</v>
      </c>
      <c r="B102" s="20">
        <v>479</v>
      </c>
      <c r="C102" s="21" t="s">
        <v>64</v>
      </c>
      <c r="D102" s="21" t="s">
        <v>65</v>
      </c>
      <c r="E102" s="20">
        <v>125</v>
      </c>
      <c r="F102" s="20">
        <v>3000654</v>
      </c>
      <c r="G102" s="20">
        <v>5005023</v>
      </c>
      <c r="H102" s="20">
        <v>3</v>
      </c>
      <c r="I102" s="20">
        <v>12</v>
      </c>
      <c r="J102" s="20">
        <v>24</v>
      </c>
      <c r="K102" s="20">
        <v>135560</v>
      </c>
      <c r="L102" s="21" t="s">
        <v>98</v>
      </c>
      <c r="M102" s="33" t="s">
        <v>99</v>
      </c>
      <c r="N102" s="19">
        <v>94</v>
      </c>
      <c r="O102" s="2"/>
      <c r="P102" s="2" t="s">
        <v>4</v>
      </c>
      <c r="Q102" s="20" t="s">
        <v>68</v>
      </c>
      <c r="R102" s="25" t="s">
        <v>69</v>
      </c>
      <c r="S102" s="25" t="s">
        <v>137</v>
      </c>
      <c r="T102" s="25"/>
      <c r="U102" s="33" t="s">
        <v>203</v>
      </c>
      <c r="V102" s="25" t="s">
        <v>3</v>
      </c>
      <c r="W102" s="25">
        <v>1</v>
      </c>
      <c r="X102" s="27">
        <v>6000</v>
      </c>
      <c r="Y102" s="1142"/>
      <c r="Z102" s="1143"/>
      <c r="AA102" s="1143"/>
      <c r="AB102" s="1144"/>
      <c r="AC102" s="25">
        <v>30</v>
      </c>
      <c r="AD102" s="25">
        <v>30</v>
      </c>
      <c r="AE102" s="1142"/>
      <c r="AF102" s="1143"/>
      <c r="AG102" s="1143"/>
      <c r="AH102" s="1143"/>
      <c r="AI102" s="1143"/>
      <c r="AJ102" s="1145"/>
      <c r="AK102" s="35">
        <v>12000</v>
      </c>
      <c r="AL102" s="29" t="s">
        <v>73</v>
      </c>
      <c r="AM102" s="29" t="s">
        <v>73</v>
      </c>
      <c r="AN102" s="29" t="s">
        <v>73</v>
      </c>
      <c r="AO102" s="29" t="s">
        <v>73</v>
      </c>
      <c r="AP102" s="30">
        <v>6000</v>
      </c>
      <c r="AQ102" s="30">
        <v>6000</v>
      </c>
      <c r="AR102" s="29" t="s">
        <v>73</v>
      </c>
      <c r="AS102" s="29" t="s">
        <v>73</v>
      </c>
      <c r="AT102" s="29" t="s">
        <v>73</v>
      </c>
      <c r="AU102" s="29" t="s">
        <v>73</v>
      </c>
      <c r="AV102" s="29" t="s">
        <v>73</v>
      </c>
      <c r="AW102" s="29" t="s">
        <v>73</v>
      </c>
      <c r="AX102" s="30">
        <v>12000</v>
      </c>
      <c r="AY102" s="34" t="s">
        <v>5</v>
      </c>
      <c r="AZ102" s="2" t="s">
        <v>74</v>
      </c>
      <c r="BA102" s="2"/>
    </row>
    <row r="103" spans="1:53" ht="51" x14ac:dyDescent="0.25">
      <c r="A103" s="19">
        <v>2026</v>
      </c>
      <c r="B103" s="20">
        <v>479</v>
      </c>
      <c r="C103" s="21" t="s">
        <v>64</v>
      </c>
      <c r="D103" s="21" t="s">
        <v>65</v>
      </c>
      <c r="E103" s="20">
        <v>125</v>
      </c>
      <c r="F103" s="20">
        <v>3000654</v>
      </c>
      <c r="G103" s="20">
        <v>5005023</v>
      </c>
      <c r="H103" s="20">
        <v>3</v>
      </c>
      <c r="I103" s="20">
        <v>12</v>
      </c>
      <c r="J103" s="20">
        <v>24</v>
      </c>
      <c r="K103" s="20">
        <v>135560</v>
      </c>
      <c r="L103" s="21" t="s">
        <v>98</v>
      </c>
      <c r="M103" s="33" t="s">
        <v>99</v>
      </c>
      <c r="N103" s="19">
        <v>94</v>
      </c>
      <c r="O103" s="2"/>
      <c r="P103" s="2" t="s">
        <v>4</v>
      </c>
      <c r="Q103" s="20" t="s">
        <v>68</v>
      </c>
      <c r="R103" s="25" t="s">
        <v>69</v>
      </c>
      <c r="S103" s="25" t="s">
        <v>137</v>
      </c>
      <c r="T103" s="25"/>
      <c r="U103" s="33" t="s">
        <v>204</v>
      </c>
      <c r="V103" s="25" t="s">
        <v>3</v>
      </c>
      <c r="W103" s="25">
        <v>1</v>
      </c>
      <c r="X103" s="27">
        <v>9000</v>
      </c>
      <c r="Y103" s="1142"/>
      <c r="Z103" s="1143"/>
      <c r="AA103" s="1143"/>
      <c r="AB103" s="1144"/>
      <c r="AC103" s="25">
        <v>30</v>
      </c>
      <c r="AD103" s="25">
        <v>30</v>
      </c>
      <c r="AE103" s="1142"/>
      <c r="AF103" s="1143"/>
      <c r="AG103" s="1143"/>
      <c r="AH103" s="1143"/>
      <c r="AI103" s="1143"/>
      <c r="AJ103" s="1145"/>
      <c r="AK103" s="35">
        <v>18000</v>
      </c>
      <c r="AL103" s="29" t="s">
        <v>73</v>
      </c>
      <c r="AM103" s="29" t="s">
        <v>73</v>
      </c>
      <c r="AN103" s="29" t="s">
        <v>73</v>
      </c>
      <c r="AO103" s="29" t="s">
        <v>73</v>
      </c>
      <c r="AP103" s="30">
        <v>9000</v>
      </c>
      <c r="AQ103" s="30">
        <v>9000</v>
      </c>
      <c r="AR103" s="29" t="s">
        <v>73</v>
      </c>
      <c r="AS103" s="29" t="s">
        <v>73</v>
      </c>
      <c r="AT103" s="29" t="s">
        <v>73</v>
      </c>
      <c r="AU103" s="29" t="s">
        <v>73</v>
      </c>
      <c r="AV103" s="29" t="s">
        <v>73</v>
      </c>
      <c r="AW103" s="29" t="s">
        <v>73</v>
      </c>
      <c r="AX103" s="30">
        <v>18000</v>
      </c>
      <c r="AY103" s="18" t="s">
        <v>5</v>
      </c>
      <c r="AZ103" s="2" t="s">
        <v>74</v>
      </c>
      <c r="BA103" s="44"/>
    </row>
    <row r="104" spans="1:53" ht="51" x14ac:dyDescent="0.25">
      <c r="A104" s="19">
        <v>2026</v>
      </c>
      <c r="B104" s="20">
        <v>479</v>
      </c>
      <c r="C104" s="21" t="s">
        <v>64</v>
      </c>
      <c r="D104" s="21" t="s">
        <v>65</v>
      </c>
      <c r="E104" s="20">
        <v>125</v>
      </c>
      <c r="F104" s="20">
        <v>3000654</v>
      </c>
      <c r="G104" s="20">
        <v>5005023</v>
      </c>
      <c r="H104" s="20">
        <v>3</v>
      </c>
      <c r="I104" s="20">
        <v>12</v>
      </c>
      <c r="J104" s="20">
        <v>24</v>
      </c>
      <c r="K104" s="20">
        <v>135560</v>
      </c>
      <c r="L104" s="21" t="s">
        <v>98</v>
      </c>
      <c r="M104" s="33" t="s">
        <v>99</v>
      </c>
      <c r="N104" s="19">
        <v>94</v>
      </c>
      <c r="O104" s="2"/>
      <c r="P104" s="2" t="s">
        <v>4</v>
      </c>
      <c r="Q104" s="20" t="s">
        <v>68</v>
      </c>
      <c r="R104" s="25" t="s">
        <v>69</v>
      </c>
      <c r="S104" s="25" t="s">
        <v>137</v>
      </c>
      <c r="T104" s="25"/>
      <c r="U104" s="33" t="s">
        <v>205</v>
      </c>
      <c r="V104" s="25" t="s">
        <v>3</v>
      </c>
      <c r="W104" s="25">
        <v>3</v>
      </c>
      <c r="X104" s="27">
        <v>7500</v>
      </c>
      <c r="Y104" s="1142"/>
      <c r="Z104" s="1143"/>
      <c r="AA104" s="1143"/>
      <c r="AB104" s="1144"/>
      <c r="AC104" s="25">
        <v>30</v>
      </c>
      <c r="AD104" s="25">
        <v>30</v>
      </c>
      <c r="AE104" s="1142"/>
      <c r="AF104" s="1143"/>
      <c r="AG104" s="1143"/>
      <c r="AH104" s="1143"/>
      <c r="AI104" s="1143"/>
      <c r="AJ104" s="1145"/>
      <c r="AK104" s="35">
        <v>45000</v>
      </c>
      <c r="AL104" s="29" t="s">
        <v>73</v>
      </c>
      <c r="AM104" s="29" t="s">
        <v>73</v>
      </c>
      <c r="AN104" s="29" t="s">
        <v>73</v>
      </c>
      <c r="AO104" s="29" t="s">
        <v>73</v>
      </c>
      <c r="AP104" s="30">
        <v>22500</v>
      </c>
      <c r="AQ104" s="30">
        <v>22500</v>
      </c>
      <c r="AR104" s="29" t="s">
        <v>73</v>
      </c>
      <c r="AS104" s="29" t="s">
        <v>73</v>
      </c>
      <c r="AT104" s="29" t="s">
        <v>73</v>
      </c>
      <c r="AU104" s="29" t="s">
        <v>73</v>
      </c>
      <c r="AV104" s="29" t="s">
        <v>73</v>
      </c>
      <c r="AW104" s="29" t="s">
        <v>73</v>
      </c>
      <c r="AX104" s="30">
        <v>45000</v>
      </c>
      <c r="AY104" s="34" t="s">
        <v>5</v>
      </c>
      <c r="AZ104" s="2" t="s">
        <v>74</v>
      </c>
      <c r="BA104" s="2"/>
    </row>
    <row r="105" spans="1:53" ht="51" x14ac:dyDescent="0.25">
      <c r="A105" s="19">
        <v>2026</v>
      </c>
      <c r="B105" s="20">
        <v>479</v>
      </c>
      <c r="C105" s="21" t="s">
        <v>64</v>
      </c>
      <c r="D105" s="21" t="s">
        <v>65</v>
      </c>
      <c r="E105" s="20">
        <v>125</v>
      </c>
      <c r="F105" s="20">
        <v>3000654</v>
      </c>
      <c r="G105" s="20">
        <v>5005023</v>
      </c>
      <c r="H105" s="20">
        <v>3</v>
      </c>
      <c r="I105" s="20">
        <v>12</v>
      </c>
      <c r="J105" s="20">
        <v>24</v>
      </c>
      <c r="K105" s="20">
        <v>135560</v>
      </c>
      <c r="L105" s="21" t="s">
        <v>98</v>
      </c>
      <c r="M105" s="33" t="s">
        <v>99</v>
      </c>
      <c r="N105" s="19">
        <v>94</v>
      </c>
      <c r="O105" s="2"/>
      <c r="P105" s="2" t="s">
        <v>4</v>
      </c>
      <c r="Q105" s="20" t="s">
        <v>68</v>
      </c>
      <c r="R105" s="25" t="s">
        <v>69</v>
      </c>
      <c r="S105" s="25" t="s">
        <v>137</v>
      </c>
      <c r="T105" s="25"/>
      <c r="U105" s="33" t="s">
        <v>206</v>
      </c>
      <c r="V105" s="25" t="s">
        <v>3</v>
      </c>
      <c r="W105" s="25">
        <v>2</v>
      </c>
      <c r="X105" s="27">
        <v>7500</v>
      </c>
      <c r="Y105" s="1142"/>
      <c r="Z105" s="1143"/>
      <c r="AA105" s="1143"/>
      <c r="AB105" s="1144"/>
      <c r="AC105" s="25">
        <v>30</v>
      </c>
      <c r="AD105" s="25">
        <v>30</v>
      </c>
      <c r="AE105" s="1142"/>
      <c r="AF105" s="1143"/>
      <c r="AG105" s="1143"/>
      <c r="AH105" s="1143"/>
      <c r="AI105" s="1143"/>
      <c r="AJ105" s="1145"/>
      <c r="AK105" s="35">
        <v>30000</v>
      </c>
      <c r="AL105" s="29" t="s">
        <v>73</v>
      </c>
      <c r="AM105" s="29" t="s">
        <v>73</v>
      </c>
      <c r="AN105" s="29" t="s">
        <v>73</v>
      </c>
      <c r="AO105" s="29" t="s">
        <v>73</v>
      </c>
      <c r="AP105" s="30">
        <v>15000</v>
      </c>
      <c r="AQ105" s="30">
        <v>15000</v>
      </c>
      <c r="AR105" s="29" t="s">
        <v>73</v>
      </c>
      <c r="AS105" s="29" t="s">
        <v>73</v>
      </c>
      <c r="AT105" s="29" t="s">
        <v>73</v>
      </c>
      <c r="AU105" s="29" t="s">
        <v>73</v>
      </c>
      <c r="AV105" s="29" t="s">
        <v>73</v>
      </c>
      <c r="AW105" s="29" t="s">
        <v>73</v>
      </c>
      <c r="AX105" s="30">
        <v>30000</v>
      </c>
      <c r="AY105" s="34" t="s">
        <v>5</v>
      </c>
      <c r="AZ105" s="2" t="s">
        <v>74</v>
      </c>
      <c r="BA105" s="2"/>
    </row>
    <row r="106" spans="1:53" ht="51" x14ac:dyDescent="0.25">
      <c r="A106" s="19">
        <v>2026</v>
      </c>
      <c r="B106" s="20">
        <v>479</v>
      </c>
      <c r="C106" s="21" t="s">
        <v>64</v>
      </c>
      <c r="D106" s="21" t="s">
        <v>65</v>
      </c>
      <c r="E106" s="20">
        <v>125</v>
      </c>
      <c r="F106" s="20">
        <v>3000654</v>
      </c>
      <c r="G106" s="20">
        <v>5005023</v>
      </c>
      <c r="H106" s="20">
        <v>3</v>
      </c>
      <c r="I106" s="20">
        <v>12</v>
      </c>
      <c r="J106" s="20">
        <v>24</v>
      </c>
      <c r="K106" s="20">
        <v>135560</v>
      </c>
      <c r="L106" s="21" t="s">
        <v>98</v>
      </c>
      <c r="M106" s="33" t="s">
        <v>99</v>
      </c>
      <c r="N106" s="19">
        <v>94</v>
      </c>
      <c r="O106" s="2"/>
      <c r="P106" s="2" t="s">
        <v>4</v>
      </c>
      <c r="Q106" s="20" t="s">
        <v>68</v>
      </c>
      <c r="R106" s="25" t="s">
        <v>69</v>
      </c>
      <c r="S106" s="25" t="s">
        <v>137</v>
      </c>
      <c r="T106" s="25"/>
      <c r="U106" s="33" t="s">
        <v>207</v>
      </c>
      <c r="V106" s="25" t="s">
        <v>3</v>
      </c>
      <c r="W106" s="25">
        <v>2</v>
      </c>
      <c r="X106" s="27">
        <v>7500</v>
      </c>
      <c r="Y106" s="1142"/>
      <c r="Z106" s="1143"/>
      <c r="AA106" s="1143"/>
      <c r="AB106" s="1144"/>
      <c r="AC106" s="25">
        <v>30</v>
      </c>
      <c r="AD106" s="25">
        <v>30</v>
      </c>
      <c r="AE106" s="1142"/>
      <c r="AF106" s="1143"/>
      <c r="AG106" s="1143"/>
      <c r="AH106" s="1143"/>
      <c r="AI106" s="1143"/>
      <c r="AJ106" s="1145"/>
      <c r="AK106" s="35">
        <v>30000</v>
      </c>
      <c r="AL106" s="29" t="s">
        <v>73</v>
      </c>
      <c r="AM106" s="29" t="s">
        <v>73</v>
      </c>
      <c r="AN106" s="29" t="s">
        <v>73</v>
      </c>
      <c r="AO106" s="29" t="s">
        <v>73</v>
      </c>
      <c r="AP106" s="30">
        <v>15000</v>
      </c>
      <c r="AQ106" s="30">
        <v>15000</v>
      </c>
      <c r="AR106" s="29" t="s">
        <v>73</v>
      </c>
      <c r="AS106" s="29" t="s">
        <v>73</v>
      </c>
      <c r="AT106" s="29" t="s">
        <v>73</v>
      </c>
      <c r="AU106" s="29" t="s">
        <v>73</v>
      </c>
      <c r="AV106" s="29" t="s">
        <v>73</v>
      </c>
      <c r="AW106" s="29" t="s">
        <v>73</v>
      </c>
      <c r="AX106" s="30">
        <v>30000</v>
      </c>
      <c r="AY106" s="34" t="s">
        <v>5</v>
      </c>
      <c r="AZ106" s="2" t="s">
        <v>74</v>
      </c>
      <c r="BA106" s="2"/>
    </row>
    <row r="107" spans="1:53" ht="51" x14ac:dyDescent="0.25">
      <c r="A107" s="19">
        <v>2026</v>
      </c>
      <c r="B107" s="20">
        <v>479</v>
      </c>
      <c r="C107" s="21" t="s">
        <v>64</v>
      </c>
      <c r="D107" s="21" t="s">
        <v>65</v>
      </c>
      <c r="E107" s="20">
        <v>125</v>
      </c>
      <c r="F107" s="20">
        <v>3000654</v>
      </c>
      <c r="G107" s="20">
        <v>5005023</v>
      </c>
      <c r="H107" s="20">
        <v>3</v>
      </c>
      <c r="I107" s="20">
        <v>12</v>
      </c>
      <c r="J107" s="20">
        <v>24</v>
      </c>
      <c r="K107" s="20">
        <v>135560</v>
      </c>
      <c r="L107" s="21" t="s">
        <v>98</v>
      </c>
      <c r="M107" s="33" t="s">
        <v>99</v>
      </c>
      <c r="N107" s="19">
        <v>94</v>
      </c>
      <c r="O107" s="2"/>
      <c r="P107" s="2" t="s">
        <v>4</v>
      </c>
      <c r="Q107" s="20" t="s">
        <v>68</v>
      </c>
      <c r="R107" s="25" t="s">
        <v>69</v>
      </c>
      <c r="S107" s="25" t="s">
        <v>137</v>
      </c>
      <c r="T107" s="25"/>
      <c r="U107" s="33" t="s">
        <v>208</v>
      </c>
      <c r="V107" s="25" t="s">
        <v>3</v>
      </c>
      <c r="W107" s="25">
        <v>9</v>
      </c>
      <c r="X107" s="27">
        <v>6500</v>
      </c>
      <c r="Y107" s="1142"/>
      <c r="Z107" s="1143"/>
      <c r="AA107" s="1143"/>
      <c r="AB107" s="1144"/>
      <c r="AC107" s="25">
        <v>30</v>
      </c>
      <c r="AD107" s="25">
        <v>30</v>
      </c>
      <c r="AE107" s="1142"/>
      <c r="AF107" s="1143"/>
      <c r="AG107" s="1143"/>
      <c r="AH107" s="1143"/>
      <c r="AI107" s="1143"/>
      <c r="AJ107" s="1145"/>
      <c r="AK107" s="35">
        <v>117000</v>
      </c>
      <c r="AL107" s="29" t="s">
        <v>73</v>
      </c>
      <c r="AM107" s="29" t="s">
        <v>73</v>
      </c>
      <c r="AN107" s="29" t="s">
        <v>73</v>
      </c>
      <c r="AO107" s="29" t="s">
        <v>73</v>
      </c>
      <c r="AP107" s="30">
        <v>58500</v>
      </c>
      <c r="AQ107" s="30">
        <v>58500</v>
      </c>
      <c r="AR107" s="29" t="s">
        <v>73</v>
      </c>
      <c r="AS107" s="29" t="s">
        <v>73</v>
      </c>
      <c r="AT107" s="29" t="s">
        <v>73</v>
      </c>
      <c r="AU107" s="29" t="s">
        <v>73</v>
      </c>
      <c r="AV107" s="29" t="s">
        <v>73</v>
      </c>
      <c r="AW107" s="29" t="s">
        <v>73</v>
      </c>
      <c r="AX107" s="30">
        <v>117000</v>
      </c>
      <c r="AY107" s="34" t="s">
        <v>5</v>
      </c>
      <c r="AZ107" s="2" t="s">
        <v>74</v>
      </c>
      <c r="BA107" s="2"/>
    </row>
    <row r="108" spans="1:53" ht="51" x14ac:dyDescent="0.25">
      <c r="A108" s="19">
        <v>2026</v>
      </c>
      <c r="B108" s="20">
        <v>479</v>
      </c>
      <c r="C108" s="21" t="s">
        <v>64</v>
      </c>
      <c r="D108" s="21" t="s">
        <v>65</v>
      </c>
      <c r="E108" s="20">
        <v>125</v>
      </c>
      <c r="F108" s="20">
        <v>3000654</v>
      </c>
      <c r="G108" s="20">
        <v>5005023</v>
      </c>
      <c r="H108" s="20">
        <v>3</v>
      </c>
      <c r="I108" s="20">
        <v>12</v>
      </c>
      <c r="J108" s="20">
        <v>24</v>
      </c>
      <c r="K108" s="20">
        <v>135560</v>
      </c>
      <c r="L108" s="21" t="s">
        <v>98</v>
      </c>
      <c r="M108" s="33" t="s">
        <v>99</v>
      </c>
      <c r="N108" s="19">
        <v>94</v>
      </c>
      <c r="O108" s="2"/>
      <c r="P108" s="2" t="s">
        <v>4</v>
      </c>
      <c r="Q108" s="20" t="s">
        <v>68</v>
      </c>
      <c r="R108" s="25" t="s">
        <v>69</v>
      </c>
      <c r="S108" s="25" t="s">
        <v>137</v>
      </c>
      <c r="T108" s="25"/>
      <c r="U108" s="33" t="s">
        <v>209</v>
      </c>
      <c r="V108" s="25" t="s">
        <v>3</v>
      </c>
      <c r="W108" s="25">
        <v>2</v>
      </c>
      <c r="X108" s="27">
        <v>4500</v>
      </c>
      <c r="Y108" s="1142"/>
      <c r="Z108" s="1143"/>
      <c r="AA108" s="1143"/>
      <c r="AB108" s="1144"/>
      <c r="AC108" s="25">
        <v>30</v>
      </c>
      <c r="AD108" s="25">
        <v>30</v>
      </c>
      <c r="AE108" s="1142"/>
      <c r="AF108" s="1143"/>
      <c r="AG108" s="1143"/>
      <c r="AH108" s="1143"/>
      <c r="AI108" s="1143"/>
      <c r="AJ108" s="1145"/>
      <c r="AK108" s="35">
        <v>18000</v>
      </c>
      <c r="AL108" s="29" t="s">
        <v>73</v>
      </c>
      <c r="AM108" s="29" t="s">
        <v>73</v>
      </c>
      <c r="AN108" s="29" t="s">
        <v>73</v>
      </c>
      <c r="AO108" s="29" t="s">
        <v>73</v>
      </c>
      <c r="AP108" s="30">
        <v>9000</v>
      </c>
      <c r="AQ108" s="30">
        <v>9000</v>
      </c>
      <c r="AR108" s="29" t="s">
        <v>73</v>
      </c>
      <c r="AS108" s="29" t="s">
        <v>73</v>
      </c>
      <c r="AT108" s="29" t="s">
        <v>73</v>
      </c>
      <c r="AU108" s="29" t="s">
        <v>73</v>
      </c>
      <c r="AV108" s="29" t="s">
        <v>73</v>
      </c>
      <c r="AW108" s="29" t="s">
        <v>73</v>
      </c>
      <c r="AX108" s="30">
        <v>18000</v>
      </c>
      <c r="AY108" s="34" t="s">
        <v>5</v>
      </c>
      <c r="AZ108" s="2" t="s">
        <v>74</v>
      </c>
      <c r="BA108" s="2"/>
    </row>
    <row r="109" spans="1:53" ht="51" x14ac:dyDescent="0.25">
      <c r="A109" s="19">
        <v>2026</v>
      </c>
      <c r="B109" s="20">
        <v>479</v>
      </c>
      <c r="C109" s="21" t="s">
        <v>64</v>
      </c>
      <c r="D109" s="21" t="s">
        <v>65</v>
      </c>
      <c r="E109" s="20">
        <v>125</v>
      </c>
      <c r="F109" s="20">
        <v>3000654</v>
      </c>
      <c r="G109" s="20">
        <v>5005023</v>
      </c>
      <c r="H109" s="20">
        <v>3</v>
      </c>
      <c r="I109" s="20">
        <v>12</v>
      </c>
      <c r="J109" s="20">
        <v>24</v>
      </c>
      <c r="K109" s="20">
        <v>135560</v>
      </c>
      <c r="L109" s="21" t="s">
        <v>98</v>
      </c>
      <c r="M109" s="33" t="s">
        <v>99</v>
      </c>
      <c r="N109" s="19">
        <v>94</v>
      </c>
      <c r="O109" s="2"/>
      <c r="P109" s="2" t="s">
        <v>4</v>
      </c>
      <c r="Q109" s="20" t="s">
        <v>68</v>
      </c>
      <c r="R109" s="25" t="s">
        <v>69</v>
      </c>
      <c r="S109" s="25" t="s">
        <v>137</v>
      </c>
      <c r="T109" s="25"/>
      <c r="U109" s="33" t="s">
        <v>209</v>
      </c>
      <c r="V109" s="25" t="s">
        <v>3</v>
      </c>
      <c r="W109" s="25">
        <v>1</v>
      </c>
      <c r="X109" s="27">
        <v>4500</v>
      </c>
      <c r="Y109" s="1142"/>
      <c r="Z109" s="1143"/>
      <c r="AA109" s="1143"/>
      <c r="AB109" s="1144"/>
      <c r="AC109" s="25">
        <v>30</v>
      </c>
      <c r="AD109" s="25">
        <v>30</v>
      </c>
      <c r="AE109" s="1142"/>
      <c r="AF109" s="1143"/>
      <c r="AG109" s="1143"/>
      <c r="AH109" s="1143"/>
      <c r="AI109" s="1143"/>
      <c r="AJ109" s="1145"/>
      <c r="AK109" s="35">
        <v>9000</v>
      </c>
      <c r="AL109" s="29" t="s">
        <v>73</v>
      </c>
      <c r="AM109" s="29" t="s">
        <v>73</v>
      </c>
      <c r="AN109" s="29" t="s">
        <v>73</v>
      </c>
      <c r="AO109" s="29" t="s">
        <v>73</v>
      </c>
      <c r="AP109" s="30">
        <v>4500</v>
      </c>
      <c r="AQ109" s="30">
        <v>4500</v>
      </c>
      <c r="AR109" s="29" t="s">
        <v>73</v>
      </c>
      <c r="AS109" s="29" t="s">
        <v>73</v>
      </c>
      <c r="AT109" s="29" t="s">
        <v>73</v>
      </c>
      <c r="AU109" s="29" t="s">
        <v>73</v>
      </c>
      <c r="AV109" s="29" t="s">
        <v>73</v>
      </c>
      <c r="AW109" s="29" t="s">
        <v>73</v>
      </c>
      <c r="AX109" s="30">
        <v>9000</v>
      </c>
      <c r="AY109" s="34" t="s">
        <v>5</v>
      </c>
      <c r="AZ109" s="2" t="s">
        <v>74</v>
      </c>
      <c r="BA109" s="2"/>
    </row>
    <row r="110" spans="1:53" ht="51" x14ac:dyDescent="0.25">
      <c r="A110" s="19">
        <v>2026</v>
      </c>
      <c r="B110" s="20">
        <v>479</v>
      </c>
      <c r="C110" s="21" t="s">
        <v>64</v>
      </c>
      <c r="D110" s="21" t="s">
        <v>65</v>
      </c>
      <c r="E110" s="20">
        <v>125</v>
      </c>
      <c r="F110" s="20">
        <v>3000654</v>
      </c>
      <c r="G110" s="20">
        <v>5005023</v>
      </c>
      <c r="H110" s="20">
        <v>3</v>
      </c>
      <c r="I110" s="20">
        <v>12</v>
      </c>
      <c r="J110" s="20">
        <v>24</v>
      </c>
      <c r="K110" s="20">
        <v>135560</v>
      </c>
      <c r="L110" s="21" t="s">
        <v>98</v>
      </c>
      <c r="M110" s="33" t="s">
        <v>99</v>
      </c>
      <c r="N110" s="19">
        <v>94</v>
      </c>
      <c r="O110" s="2"/>
      <c r="P110" s="2" t="s">
        <v>4</v>
      </c>
      <c r="Q110" s="20" t="s">
        <v>68</v>
      </c>
      <c r="R110" s="25" t="s">
        <v>69</v>
      </c>
      <c r="S110" s="25" t="s">
        <v>137</v>
      </c>
      <c r="T110" s="25"/>
      <c r="U110" s="33" t="s">
        <v>210</v>
      </c>
      <c r="V110" s="25" t="s">
        <v>3</v>
      </c>
      <c r="W110" s="25">
        <v>4</v>
      </c>
      <c r="X110" s="27">
        <v>9000</v>
      </c>
      <c r="Y110" s="1142"/>
      <c r="Z110" s="1143"/>
      <c r="AA110" s="1143"/>
      <c r="AB110" s="1144"/>
      <c r="AC110" s="25">
        <v>30</v>
      </c>
      <c r="AD110" s="25">
        <v>30</v>
      </c>
      <c r="AE110" s="1142"/>
      <c r="AF110" s="1143"/>
      <c r="AG110" s="1143"/>
      <c r="AH110" s="1143"/>
      <c r="AI110" s="1143"/>
      <c r="AJ110" s="1145"/>
      <c r="AK110" s="35">
        <v>72000</v>
      </c>
      <c r="AL110" s="29" t="s">
        <v>73</v>
      </c>
      <c r="AM110" s="29" t="s">
        <v>73</v>
      </c>
      <c r="AN110" s="29" t="s">
        <v>73</v>
      </c>
      <c r="AO110" s="29" t="s">
        <v>73</v>
      </c>
      <c r="AP110" s="30">
        <v>36000</v>
      </c>
      <c r="AQ110" s="30">
        <v>36000</v>
      </c>
      <c r="AR110" s="29" t="s">
        <v>73</v>
      </c>
      <c r="AS110" s="29" t="s">
        <v>73</v>
      </c>
      <c r="AT110" s="29" t="s">
        <v>73</v>
      </c>
      <c r="AU110" s="29" t="s">
        <v>73</v>
      </c>
      <c r="AV110" s="29" t="s">
        <v>73</v>
      </c>
      <c r="AW110" s="29" t="s">
        <v>73</v>
      </c>
      <c r="AX110" s="30">
        <v>72000</v>
      </c>
      <c r="AY110" s="34" t="s">
        <v>5</v>
      </c>
      <c r="AZ110" s="2" t="s">
        <v>74</v>
      </c>
      <c r="BA110" s="2"/>
    </row>
    <row r="111" spans="1:53" ht="51" x14ac:dyDescent="0.25">
      <c r="A111" s="19">
        <v>2026</v>
      </c>
      <c r="B111" s="20">
        <v>479</v>
      </c>
      <c r="C111" s="21" t="s">
        <v>64</v>
      </c>
      <c r="D111" s="21" t="s">
        <v>65</v>
      </c>
      <c r="E111" s="20">
        <v>125</v>
      </c>
      <c r="F111" s="20">
        <v>3000654</v>
      </c>
      <c r="G111" s="20">
        <v>5005023</v>
      </c>
      <c r="H111" s="20">
        <v>3</v>
      </c>
      <c r="I111" s="20">
        <v>12</v>
      </c>
      <c r="J111" s="20">
        <v>24</v>
      </c>
      <c r="K111" s="20">
        <v>135560</v>
      </c>
      <c r="L111" s="21" t="s">
        <v>98</v>
      </c>
      <c r="M111" s="33" t="s">
        <v>99</v>
      </c>
      <c r="N111" s="19">
        <v>94</v>
      </c>
      <c r="O111" s="2"/>
      <c r="P111" s="2" t="s">
        <v>4</v>
      </c>
      <c r="Q111" s="20" t="s">
        <v>68</v>
      </c>
      <c r="R111" s="25" t="s">
        <v>69</v>
      </c>
      <c r="S111" s="25" t="s">
        <v>137</v>
      </c>
      <c r="T111" s="25"/>
      <c r="U111" s="33" t="s">
        <v>211</v>
      </c>
      <c r="V111" s="25" t="s">
        <v>3</v>
      </c>
      <c r="W111" s="25">
        <v>1</v>
      </c>
      <c r="X111" s="27">
        <v>5000</v>
      </c>
      <c r="Y111" s="1142"/>
      <c r="Z111" s="1143"/>
      <c r="AA111" s="1143"/>
      <c r="AB111" s="1144"/>
      <c r="AC111" s="25">
        <v>30</v>
      </c>
      <c r="AD111" s="25">
        <v>30</v>
      </c>
      <c r="AE111" s="1142"/>
      <c r="AF111" s="1143"/>
      <c r="AG111" s="1143"/>
      <c r="AH111" s="1143"/>
      <c r="AI111" s="1143"/>
      <c r="AJ111" s="1145"/>
      <c r="AK111" s="35">
        <v>10000</v>
      </c>
      <c r="AL111" s="29" t="s">
        <v>73</v>
      </c>
      <c r="AM111" s="29" t="s">
        <v>73</v>
      </c>
      <c r="AN111" s="29" t="s">
        <v>73</v>
      </c>
      <c r="AO111" s="29" t="s">
        <v>73</v>
      </c>
      <c r="AP111" s="30">
        <v>5000</v>
      </c>
      <c r="AQ111" s="30">
        <v>5000</v>
      </c>
      <c r="AR111" s="29" t="s">
        <v>73</v>
      </c>
      <c r="AS111" s="29" t="s">
        <v>73</v>
      </c>
      <c r="AT111" s="29" t="s">
        <v>73</v>
      </c>
      <c r="AU111" s="29" t="s">
        <v>73</v>
      </c>
      <c r="AV111" s="29" t="s">
        <v>73</v>
      </c>
      <c r="AW111" s="29" t="s">
        <v>73</v>
      </c>
      <c r="AX111" s="30">
        <v>10000</v>
      </c>
      <c r="AY111" s="34" t="s">
        <v>5</v>
      </c>
      <c r="AZ111" s="2" t="s">
        <v>74</v>
      </c>
      <c r="BA111" s="2"/>
    </row>
    <row r="112" spans="1:53" ht="51" x14ac:dyDescent="0.25">
      <c r="A112" s="19">
        <v>2026</v>
      </c>
      <c r="B112" s="20">
        <v>479</v>
      </c>
      <c r="C112" s="21" t="s">
        <v>64</v>
      </c>
      <c r="D112" s="21" t="s">
        <v>65</v>
      </c>
      <c r="E112" s="20">
        <v>125</v>
      </c>
      <c r="F112" s="20">
        <v>3000654</v>
      </c>
      <c r="G112" s="20">
        <v>5005023</v>
      </c>
      <c r="H112" s="20">
        <v>3</v>
      </c>
      <c r="I112" s="20">
        <v>12</v>
      </c>
      <c r="J112" s="20">
        <v>24</v>
      </c>
      <c r="K112" s="20">
        <v>135560</v>
      </c>
      <c r="L112" s="21" t="s">
        <v>98</v>
      </c>
      <c r="M112" s="33" t="s">
        <v>99</v>
      </c>
      <c r="N112" s="19">
        <v>94</v>
      </c>
      <c r="O112" s="2"/>
      <c r="P112" s="2" t="s">
        <v>4</v>
      </c>
      <c r="Q112" s="20" t="s">
        <v>68</v>
      </c>
      <c r="R112" s="25" t="s">
        <v>69</v>
      </c>
      <c r="S112" s="25" t="s">
        <v>137</v>
      </c>
      <c r="T112" s="25"/>
      <c r="U112" s="33" t="s">
        <v>212</v>
      </c>
      <c r="V112" s="25" t="s">
        <v>3</v>
      </c>
      <c r="W112" s="25">
        <v>1</v>
      </c>
      <c r="X112" s="27">
        <v>7500</v>
      </c>
      <c r="Y112" s="1142"/>
      <c r="Z112" s="1143"/>
      <c r="AA112" s="1143"/>
      <c r="AB112" s="1144"/>
      <c r="AC112" s="25">
        <v>30</v>
      </c>
      <c r="AD112" s="25">
        <v>30</v>
      </c>
      <c r="AE112" s="1142"/>
      <c r="AF112" s="1143"/>
      <c r="AG112" s="1143"/>
      <c r="AH112" s="1143"/>
      <c r="AI112" s="1143"/>
      <c r="AJ112" s="1145"/>
      <c r="AK112" s="35">
        <v>15000</v>
      </c>
      <c r="AL112" s="29" t="s">
        <v>73</v>
      </c>
      <c r="AM112" s="29" t="s">
        <v>73</v>
      </c>
      <c r="AN112" s="29" t="s">
        <v>73</v>
      </c>
      <c r="AO112" s="29" t="s">
        <v>73</v>
      </c>
      <c r="AP112" s="30">
        <v>7500</v>
      </c>
      <c r="AQ112" s="30">
        <v>7500</v>
      </c>
      <c r="AR112" s="29" t="s">
        <v>73</v>
      </c>
      <c r="AS112" s="29" t="s">
        <v>73</v>
      </c>
      <c r="AT112" s="29" t="s">
        <v>73</v>
      </c>
      <c r="AU112" s="29" t="s">
        <v>73</v>
      </c>
      <c r="AV112" s="29" t="s">
        <v>73</v>
      </c>
      <c r="AW112" s="29" t="s">
        <v>73</v>
      </c>
      <c r="AX112" s="30">
        <v>15000</v>
      </c>
      <c r="AY112" s="34" t="s">
        <v>5</v>
      </c>
      <c r="AZ112" s="2" t="s">
        <v>74</v>
      </c>
      <c r="BA112" s="2"/>
    </row>
    <row r="113" spans="1:53" ht="51" x14ac:dyDescent="0.25">
      <c r="A113" s="19">
        <v>2026</v>
      </c>
      <c r="B113" s="20">
        <v>479</v>
      </c>
      <c r="C113" s="21" t="s">
        <v>64</v>
      </c>
      <c r="D113" s="21" t="s">
        <v>65</v>
      </c>
      <c r="E113" s="20">
        <v>125</v>
      </c>
      <c r="F113" s="20">
        <v>3000654</v>
      </c>
      <c r="G113" s="20">
        <v>5005023</v>
      </c>
      <c r="H113" s="20">
        <v>3</v>
      </c>
      <c r="I113" s="20">
        <v>12</v>
      </c>
      <c r="J113" s="20">
        <v>24</v>
      </c>
      <c r="K113" s="20">
        <v>135560</v>
      </c>
      <c r="L113" s="21" t="s">
        <v>98</v>
      </c>
      <c r="M113" s="33" t="s">
        <v>99</v>
      </c>
      <c r="N113" s="19">
        <v>94</v>
      </c>
      <c r="O113" s="2"/>
      <c r="P113" s="2" t="s">
        <v>4</v>
      </c>
      <c r="Q113" s="20" t="s">
        <v>68</v>
      </c>
      <c r="R113" s="25" t="s">
        <v>69</v>
      </c>
      <c r="S113" s="25" t="s">
        <v>137</v>
      </c>
      <c r="T113" s="25"/>
      <c r="U113" s="33" t="s">
        <v>212</v>
      </c>
      <c r="V113" s="25" t="s">
        <v>3</v>
      </c>
      <c r="W113" s="25">
        <v>2</v>
      </c>
      <c r="X113" s="27">
        <v>7500</v>
      </c>
      <c r="Y113" s="1142"/>
      <c r="Z113" s="1143"/>
      <c r="AA113" s="1143"/>
      <c r="AB113" s="1144"/>
      <c r="AC113" s="25">
        <v>30</v>
      </c>
      <c r="AD113" s="25">
        <v>30</v>
      </c>
      <c r="AE113" s="1142"/>
      <c r="AF113" s="1143"/>
      <c r="AG113" s="1143"/>
      <c r="AH113" s="1143"/>
      <c r="AI113" s="1143"/>
      <c r="AJ113" s="1145"/>
      <c r="AK113" s="35">
        <v>30000</v>
      </c>
      <c r="AL113" s="29" t="s">
        <v>73</v>
      </c>
      <c r="AM113" s="29" t="s">
        <v>73</v>
      </c>
      <c r="AN113" s="29" t="s">
        <v>73</v>
      </c>
      <c r="AO113" s="29" t="s">
        <v>73</v>
      </c>
      <c r="AP113" s="30">
        <v>15000</v>
      </c>
      <c r="AQ113" s="30">
        <v>15000</v>
      </c>
      <c r="AR113" s="29" t="s">
        <v>73</v>
      </c>
      <c r="AS113" s="29" t="s">
        <v>73</v>
      </c>
      <c r="AT113" s="29" t="s">
        <v>73</v>
      </c>
      <c r="AU113" s="29" t="s">
        <v>73</v>
      </c>
      <c r="AV113" s="29" t="s">
        <v>73</v>
      </c>
      <c r="AW113" s="29" t="s">
        <v>73</v>
      </c>
      <c r="AX113" s="30">
        <v>30000</v>
      </c>
      <c r="AY113" s="34" t="s">
        <v>5</v>
      </c>
      <c r="AZ113" s="2" t="s">
        <v>74</v>
      </c>
      <c r="BA113" s="2"/>
    </row>
    <row r="114" spans="1:53" ht="51" x14ac:dyDescent="0.25">
      <c r="A114" s="19">
        <v>2026</v>
      </c>
      <c r="B114" s="20">
        <v>479</v>
      </c>
      <c r="C114" s="21" t="s">
        <v>64</v>
      </c>
      <c r="D114" s="21" t="s">
        <v>65</v>
      </c>
      <c r="E114" s="20">
        <v>125</v>
      </c>
      <c r="F114" s="20">
        <v>3000654</v>
      </c>
      <c r="G114" s="20">
        <v>5005023</v>
      </c>
      <c r="H114" s="20">
        <v>3</v>
      </c>
      <c r="I114" s="20">
        <v>12</v>
      </c>
      <c r="J114" s="20">
        <v>24</v>
      </c>
      <c r="K114" s="20">
        <v>135560</v>
      </c>
      <c r="L114" s="21" t="s">
        <v>98</v>
      </c>
      <c r="M114" s="33" t="s">
        <v>99</v>
      </c>
      <c r="N114" s="19">
        <v>94</v>
      </c>
      <c r="O114" s="2"/>
      <c r="P114" s="2" t="s">
        <v>4</v>
      </c>
      <c r="Q114" s="20" t="s">
        <v>68</v>
      </c>
      <c r="R114" s="25" t="s">
        <v>69</v>
      </c>
      <c r="S114" s="25" t="s">
        <v>137</v>
      </c>
      <c r="T114" s="25"/>
      <c r="U114" s="33" t="s">
        <v>213</v>
      </c>
      <c r="V114" s="25" t="s">
        <v>3</v>
      </c>
      <c r="W114" s="25">
        <v>1</v>
      </c>
      <c r="X114" s="27">
        <v>7500</v>
      </c>
      <c r="Y114" s="1142"/>
      <c r="Z114" s="1143"/>
      <c r="AA114" s="1143"/>
      <c r="AB114" s="1144"/>
      <c r="AC114" s="25">
        <v>30</v>
      </c>
      <c r="AD114" s="25">
        <v>30</v>
      </c>
      <c r="AE114" s="1142"/>
      <c r="AF114" s="1143"/>
      <c r="AG114" s="1143"/>
      <c r="AH114" s="1143"/>
      <c r="AI114" s="1143"/>
      <c r="AJ114" s="1145"/>
      <c r="AK114" s="35">
        <v>15000</v>
      </c>
      <c r="AL114" s="29" t="s">
        <v>73</v>
      </c>
      <c r="AM114" s="29" t="s">
        <v>73</v>
      </c>
      <c r="AN114" s="29" t="s">
        <v>73</v>
      </c>
      <c r="AO114" s="29" t="s">
        <v>73</v>
      </c>
      <c r="AP114" s="30">
        <v>7500</v>
      </c>
      <c r="AQ114" s="30">
        <v>7500</v>
      </c>
      <c r="AR114" s="29" t="s">
        <v>73</v>
      </c>
      <c r="AS114" s="29" t="s">
        <v>73</v>
      </c>
      <c r="AT114" s="29" t="s">
        <v>73</v>
      </c>
      <c r="AU114" s="29" t="s">
        <v>73</v>
      </c>
      <c r="AV114" s="29" t="s">
        <v>73</v>
      </c>
      <c r="AW114" s="29" t="s">
        <v>73</v>
      </c>
      <c r="AX114" s="30">
        <v>15000</v>
      </c>
      <c r="AY114" s="34" t="s">
        <v>5</v>
      </c>
      <c r="AZ114" s="2" t="s">
        <v>74</v>
      </c>
      <c r="BA114" s="2"/>
    </row>
    <row r="115" spans="1:53" ht="51" x14ac:dyDescent="0.25">
      <c r="A115" s="19">
        <v>2026</v>
      </c>
      <c r="B115" s="20">
        <v>479</v>
      </c>
      <c r="C115" s="21" t="s">
        <v>64</v>
      </c>
      <c r="D115" s="21" t="s">
        <v>65</v>
      </c>
      <c r="E115" s="20">
        <v>125</v>
      </c>
      <c r="F115" s="20">
        <v>3000654</v>
      </c>
      <c r="G115" s="20">
        <v>5005023</v>
      </c>
      <c r="H115" s="20">
        <v>3</v>
      </c>
      <c r="I115" s="20">
        <v>12</v>
      </c>
      <c r="J115" s="20">
        <v>24</v>
      </c>
      <c r="K115" s="20">
        <v>135560</v>
      </c>
      <c r="L115" s="21" t="s">
        <v>98</v>
      </c>
      <c r="M115" s="33" t="s">
        <v>99</v>
      </c>
      <c r="N115" s="19">
        <v>94</v>
      </c>
      <c r="O115" s="2"/>
      <c r="P115" s="2" t="s">
        <v>4</v>
      </c>
      <c r="Q115" s="20" t="s">
        <v>68</v>
      </c>
      <c r="R115" s="25" t="s">
        <v>69</v>
      </c>
      <c r="S115" s="25" t="s">
        <v>137</v>
      </c>
      <c r="T115" s="25"/>
      <c r="U115" s="33" t="s">
        <v>213</v>
      </c>
      <c r="V115" s="25" t="s">
        <v>3</v>
      </c>
      <c r="W115" s="25">
        <v>2</v>
      </c>
      <c r="X115" s="27">
        <v>7500</v>
      </c>
      <c r="Y115" s="1142"/>
      <c r="Z115" s="1143"/>
      <c r="AA115" s="1143"/>
      <c r="AB115" s="1144"/>
      <c r="AC115" s="25">
        <v>30</v>
      </c>
      <c r="AD115" s="25">
        <v>30</v>
      </c>
      <c r="AE115" s="1142"/>
      <c r="AF115" s="1143"/>
      <c r="AG115" s="1143"/>
      <c r="AH115" s="1143"/>
      <c r="AI115" s="1143"/>
      <c r="AJ115" s="1145"/>
      <c r="AK115" s="35">
        <v>30000</v>
      </c>
      <c r="AL115" s="29" t="s">
        <v>73</v>
      </c>
      <c r="AM115" s="29" t="s">
        <v>73</v>
      </c>
      <c r="AN115" s="29" t="s">
        <v>73</v>
      </c>
      <c r="AO115" s="29" t="s">
        <v>73</v>
      </c>
      <c r="AP115" s="30">
        <v>15000</v>
      </c>
      <c r="AQ115" s="30">
        <v>15000</v>
      </c>
      <c r="AR115" s="29" t="s">
        <v>73</v>
      </c>
      <c r="AS115" s="29" t="s">
        <v>73</v>
      </c>
      <c r="AT115" s="29" t="s">
        <v>73</v>
      </c>
      <c r="AU115" s="29" t="s">
        <v>73</v>
      </c>
      <c r="AV115" s="29" t="s">
        <v>73</v>
      </c>
      <c r="AW115" s="29" t="s">
        <v>73</v>
      </c>
      <c r="AX115" s="30">
        <v>30000</v>
      </c>
      <c r="AY115" s="34" t="s">
        <v>5</v>
      </c>
      <c r="AZ115" s="2" t="s">
        <v>74</v>
      </c>
      <c r="BA115" s="2"/>
    </row>
    <row r="116" spans="1:53" ht="51" x14ac:dyDescent="0.25">
      <c r="A116" s="19">
        <v>2026</v>
      </c>
      <c r="B116" s="20">
        <v>479</v>
      </c>
      <c r="C116" s="21" t="s">
        <v>64</v>
      </c>
      <c r="D116" s="21" t="s">
        <v>65</v>
      </c>
      <c r="E116" s="20">
        <v>125</v>
      </c>
      <c r="F116" s="20">
        <v>3000654</v>
      </c>
      <c r="G116" s="20">
        <v>5005023</v>
      </c>
      <c r="H116" s="20">
        <v>3</v>
      </c>
      <c r="I116" s="20">
        <v>12</v>
      </c>
      <c r="J116" s="20">
        <v>24</v>
      </c>
      <c r="K116" s="20">
        <v>135560</v>
      </c>
      <c r="L116" s="21" t="s">
        <v>98</v>
      </c>
      <c r="M116" s="33" t="s">
        <v>99</v>
      </c>
      <c r="N116" s="19">
        <v>94</v>
      </c>
      <c r="O116" s="2"/>
      <c r="P116" s="2" t="s">
        <v>4</v>
      </c>
      <c r="Q116" s="20" t="s">
        <v>68</v>
      </c>
      <c r="R116" s="25" t="s">
        <v>69</v>
      </c>
      <c r="S116" s="25" t="s">
        <v>137</v>
      </c>
      <c r="T116" s="25"/>
      <c r="U116" s="33" t="s">
        <v>214</v>
      </c>
      <c r="V116" s="25" t="s">
        <v>3</v>
      </c>
      <c r="W116" s="25">
        <v>2</v>
      </c>
      <c r="X116" s="27">
        <v>7500</v>
      </c>
      <c r="Y116" s="1142"/>
      <c r="Z116" s="1143"/>
      <c r="AA116" s="1143"/>
      <c r="AB116" s="1144"/>
      <c r="AC116" s="25">
        <v>30</v>
      </c>
      <c r="AD116" s="25">
        <v>30</v>
      </c>
      <c r="AE116" s="1142"/>
      <c r="AF116" s="1143"/>
      <c r="AG116" s="1143"/>
      <c r="AH116" s="1143"/>
      <c r="AI116" s="1143"/>
      <c r="AJ116" s="1145"/>
      <c r="AK116" s="35">
        <v>30000</v>
      </c>
      <c r="AL116" s="29" t="s">
        <v>73</v>
      </c>
      <c r="AM116" s="29" t="s">
        <v>73</v>
      </c>
      <c r="AN116" s="29" t="s">
        <v>73</v>
      </c>
      <c r="AO116" s="29" t="s">
        <v>73</v>
      </c>
      <c r="AP116" s="30">
        <v>15000</v>
      </c>
      <c r="AQ116" s="30">
        <v>15000</v>
      </c>
      <c r="AR116" s="29" t="s">
        <v>73</v>
      </c>
      <c r="AS116" s="29" t="s">
        <v>73</v>
      </c>
      <c r="AT116" s="29" t="s">
        <v>73</v>
      </c>
      <c r="AU116" s="29" t="s">
        <v>73</v>
      </c>
      <c r="AV116" s="29" t="s">
        <v>73</v>
      </c>
      <c r="AW116" s="29" t="s">
        <v>73</v>
      </c>
      <c r="AX116" s="30">
        <v>30000</v>
      </c>
      <c r="AY116" s="34" t="s">
        <v>5</v>
      </c>
      <c r="AZ116" s="2" t="s">
        <v>74</v>
      </c>
      <c r="BA116" s="2"/>
    </row>
    <row r="117" spans="1:53" ht="51" x14ac:dyDescent="0.25">
      <c r="A117" s="19">
        <v>2026</v>
      </c>
      <c r="B117" s="20">
        <v>479</v>
      </c>
      <c r="C117" s="21" t="s">
        <v>64</v>
      </c>
      <c r="D117" s="21" t="s">
        <v>65</v>
      </c>
      <c r="E117" s="20">
        <v>125</v>
      </c>
      <c r="F117" s="20">
        <v>3000654</v>
      </c>
      <c r="G117" s="20">
        <v>5005023</v>
      </c>
      <c r="H117" s="20">
        <v>3</v>
      </c>
      <c r="I117" s="20">
        <v>12</v>
      </c>
      <c r="J117" s="20">
        <v>24</v>
      </c>
      <c r="K117" s="20">
        <v>135560</v>
      </c>
      <c r="L117" s="21" t="s">
        <v>98</v>
      </c>
      <c r="M117" s="33" t="s">
        <v>99</v>
      </c>
      <c r="N117" s="19">
        <v>94</v>
      </c>
      <c r="O117" s="2"/>
      <c r="P117" s="2" t="s">
        <v>4</v>
      </c>
      <c r="Q117" s="20" t="s">
        <v>68</v>
      </c>
      <c r="R117" s="25" t="s">
        <v>69</v>
      </c>
      <c r="S117" s="25" t="s">
        <v>137</v>
      </c>
      <c r="T117" s="25"/>
      <c r="U117" s="33" t="s">
        <v>214</v>
      </c>
      <c r="V117" s="25" t="s">
        <v>3</v>
      </c>
      <c r="W117" s="25">
        <v>1</v>
      </c>
      <c r="X117" s="27">
        <v>7500</v>
      </c>
      <c r="Y117" s="1142"/>
      <c r="Z117" s="1143"/>
      <c r="AA117" s="1143"/>
      <c r="AB117" s="1144"/>
      <c r="AC117" s="25">
        <v>30</v>
      </c>
      <c r="AD117" s="25">
        <v>30</v>
      </c>
      <c r="AE117" s="1142"/>
      <c r="AF117" s="1143"/>
      <c r="AG117" s="1143"/>
      <c r="AH117" s="1143"/>
      <c r="AI117" s="1143"/>
      <c r="AJ117" s="1145"/>
      <c r="AK117" s="35">
        <v>15000</v>
      </c>
      <c r="AL117" s="29" t="s">
        <v>73</v>
      </c>
      <c r="AM117" s="29" t="s">
        <v>73</v>
      </c>
      <c r="AN117" s="29" t="s">
        <v>73</v>
      </c>
      <c r="AO117" s="29" t="s">
        <v>73</v>
      </c>
      <c r="AP117" s="30">
        <v>7500</v>
      </c>
      <c r="AQ117" s="30">
        <v>7500</v>
      </c>
      <c r="AR117" s="29" t="s">
        <v>73</v>
      </c>
      <c r="AS117" s="29" t="s">
        <v>73</v>
      </c>
      <c r="AT117" s="29" t="s">
        <v>73</v>
      </c>
      <c r="AU117" s="29" t="s">
        <v>73</v>
      </c>
      <c r="AV117" s="29" t="s">
        <v>73</v>
      </c>
      <c r="AW117" s="29" t="s">
        <v>73</v>
      </c>
      <c r="AX117" s="30">
        <v>15000</v>
      </c>
      <c r="AY117" s="34" t="s">
        <v>5</v>
      </c>
      <c r="AZ117" s="2" t="s">
        <v>74</v>
      </c>
      <c r="BA117" s="2"/>
    </row>
    <row r="118" spans="1:53" ht="51" x14ac:dyDescent="0.25">
      <c r="A118" s="19">
        <v>2026</v>
      </c>
      <c r="B118" s="20">
        <v>479</v>
      </c>
      <c r="C118" s="21" t="s">
        <v>64</v>
      </c>
      <c r="D118" s="21" t="s">
        <v>65</v>
      </c>
      <c r="E118" s="20">
        <v>125</v>
      </c>
      <c r="F118" s="20">
        <v>3000654</v>
      </c>
      <c r="G118" s="20">
        <v>5005023</v>
      </c>
      <c r="H118" s="20">
        <v>3</v>
      </c>
      <c r="I118" s="20">
        <v>12</v>
      </c>
      <c r="J118" s="20">
        <v>24</v>
      </c>
      <c r="K118" s="20">
        <v>135560</v>
      </c>
      <c r="L118" s="21" t="s">
        <v>98</v>
      </c>
      <c r="M118" s="33" t="s">
        <v>99</v>
      </c>
      <c r="N118" s="19">
        <v>94</v>
      </c>
      <c r="O118" s="2"/>
      <c r="P118" s="2" t="s">
        <v>4</v>
      </c>
      <c r="Q118" s="20" t="s">
        <v>68</v>
      </c>
      <c r="R118" s="25" t="s">
        <v>69</v>
      </c>
      <c r="S118" s="25" t="s">
        <v>137</v>
      </c>
      <c r="T118" s="25"/>
      <c r="U118" s="33" t="s">
        <v>215</v>
      </c>
      <c r="V118" s="25" t="s">
        <v>3</v>
      </c>
      <c r="W118" s="25">
        <v>6</v>
      </c>
      <c r="X118" s="27">
        <v>7500</v>
      </c>
      <c r="Y118" s="1142"/>
      <c r="Z118" s="1143"/>
      <c r="AA118" s="1143"/>
      <c r="AB118" s="1144"/>
      <c r="AC118" s="25">
        <v>30</v>
      </c>
      <c r="AD118" s="25">
        <v>30</v>
      </c>
      <c r="AE118" s="1142"/>
      <c r="AF118" s="1143"/>
      <c r="AG118" s="1143"/>
      <c r="AH118" s="1143"/>
      <c r="AI118" s="1143"/>
      <c r="AJ118" s="1145"/>
      <c r="AK118" s="35">
        <v>90000</v>
      </c>
      <c r="AL118" s="29" t="s">
        <v>73</v>
      </c>
      <c r="AM118" s="29" t="s">
        <v>73</v>
      </c>
      <c r="AN118" s="29" t="s">
        <v>73</v>
      </c>
      <c r="AO118" s="29" t="s">
        <v>73</v>
      </c>
      <c r="AP118" s="30">
        <v>45000</v>
      </c>
      <c r="AQ118" s="30">
        <v>45000</v>
      </c>
      <c r="AR118" s="29" t="s">
        <v>73</v>
      </c>
      <c r="AS118" s="29" t="s">
        <v>73</v>
      </c>
      <c r="AT118" s="29" t="s">
        <v>73</v>
      </c>
      <c r="AU118" s="29" t="s">
        <v>73</v>
      </c>
      <c r="AV118" s="29" t="s">
        <v>73</v>
      </c>
      <c r="AW118" s="29" t="s">
        <v>73</v>
      </c>
      <c r="AX118" s="30">
        <v>90000</v>
      </c>
      <c r="AY118" s="34" t="s">
        <v>5</v>
      </c>
      <c r="AZ118" s="2" t="s">
        <v>74</v>
      </c>
      <c r="BA118" s="2"/>
    </row>
    <row r="119" spans="1:53" ht="51" x14ac:dyDescent="0.25">
      <c r="A119" s="19">
        <v>2026</v>
      </c>
      <c r="B119" s="20">
        <v>479</v>
      </c>
      <c r="C119" s="21" t="s">
        <v>64</v>
      </c>
      <c r="D119" s="21" t="s">
        <v>65</v>
      </c>
      <c r="E119" s="20">
        <v>125</v>
      </c>
      <c r="F119" s="20">
        <v>3000654</v>
      </c>
      <c r="G119" s="20">
        <v>5005023</v>
      </c>
      <c r="H119" s="20">
        <v>3</v>
      </c>
      <c r="I119" s="20">
        <v>12</v>
      </c>
      <c r="J119" s="20">
        <v>24</v>
      </c>
      <c r="K119" s="20">
        <v>135560</v>
      </c>
      <c r="L119" s="21" t="s">
        <v>98</v>
      </c>
      <c r="M119" s="33" t="s">
        <v>99</v>
      </c>
      <c r="N119" s="19">
        <v>94</v>
      </c>
      <c r="O119" s="2"/>
      <c r="P119" s="2" t="s">
        <v>4</v>
      </c>
      <c r="Q119" s="20" t="s">
        <v>68</v>
      </c>
      <c r="R119" s="25" t="s">
        <v>69</v>
      </c>
      <c r="S119" s="25" t="s">
        <v>137</v>
      </c>
      <c r="T119" s="25"/>
      <c r="U119" s="33" t="s">
        <v>215</v>
      </c>
      <c r="V119" s="25" t="s">
        <v>3</v>
      </c>
      <c r="W119" s="25">
        <v>10</v>
      </c>
      <c r="X119" s="27">
        <v>7500</v>
      </c>
      <c r="Y119" s="1142"/>
      <c r="Z119" s="1143"/>
      <c r="AA119" s="1143"/>
      <c r="AB119" s="1144"/>
      <c r="AC119" s="25">
        <v>30</v>
      </c>
      <c r="AD119" s="25">
        <v>30</v>
      </c>
      <c r="AE119" s="1142"/>
      <c r="AF119" s="1143"/>
      <c r="AG119" s="1143"/>
      <c r="AH119" s="1143"/>
      <c r="AI119" s="1143"/>
      <c r="AJ119" s="1145"/>
      <c r="AK119" s="35">
        <v>150000</v>
      </c>
      <c r="AL119" s="29" t="s">
        <v>73</v>
      </c>
      <c r="AM119" s="29" t="s">
        <v>73</v>
      </c>
      <c r="AN119" s="29" t="s">
        <v>73</v>
      </c>
      <c r="AO119" s="29" t="s">
        <v>73</v>
      </c>
      <c r="AP119" s="30">
        <v>75000</v>
      </c>
      <c r="AQ119" s="30">
        <v>75000</v>
      </c>
      <c r="AR119" s="29" t="s">
        <v>73</v>
      </c>
      <c r="AS119" s="29" t="s">
        <v>73</v>
      </c>
      <c r="AT119" s="29" t="s">
        <v>73</v>
      </c>
      <c r="AU119" s="29" t="s">
        <v>73</v>
      </c>
      <c r="AV119" s="29" t="s">
        <v>73</v>
      </c>
      <c r="AW119" s="29" t="s">
        <v>73</v>
      </c>
      <c r="AX119" s="30">
        <v>150000</v>
      </c>
      <c r="AY119" s="34" t="s">
        <v>5</v>
      </c>
      <c r="AZ119" s="2" t="s">
        <v>74</v>
      </c>
      <c r="BA119" s="2"/>
    </row>
    <row r="120" spans="1:53" ht="51" x14ac:dyDescent="0.25">
      <c r="A120" s="19">
        <v>2026</v>
      </c>
      <c r="B120" s="20">
        <v>479</v>
      </c>
      <c r="C120" s="21" t="s">
        <v>64</v>
      </c>
      <c r="D120" s="21" t="s">
        <v>65</v>
      </c>
      <c r="E120" s="20">
        <v>125</v>
      </c>
      <c r="F120" s="20">
        <v>3000654</v>
      </c>
      <c r="G120" s="20">
        <v>5005023</v>
      </c>
      <c r="H120" s="20">
        <v>3</v>
      </c>
      <c r="I120" s="20">
        <v>12</v>
      </c>
      <c r="J120" s="20">
        <v>24</v>
      </c>
      <c r="K120" s="20">
        <v>135560</v>
      </c>
      <c r="L120" s="21" t="s">
        <v>98</v>
      </c>
      <c r="M120" s="33" t="s">
        <v>99</v>
      </c>
      <c r="N120" s="19">
        <v>94</v>
      </c>
      <c r="O120" s="2"/>
      <c r="P120" s="2" t="s">
        <v>4</v>
      </c>
      <c r="Q120" s="20" t="s">
        <v>68</v>
      </c>
      <c r="R120" s="25" t="s">
        <v>69</v>
      </c>
      <c r="S120" s="25" t="s">
        <v>137</v>
      </c>
      <c r="T120" s="25"/>
      <c r="U120" s="33" t="s">
        <v>216</v>
      </c>
      <c r="V120" s="25" t="s">
        <v>3</v>
      </c>
      <c r="W120" s="25">
        <v>5</v>
      </c>
      <c r="X120" s="27">
        <v>6500</v>
      </c>
      <c r="Y120" s="1142"/>
      <c r="Z120" s="1143"/>
      <c r="AA120" s="1143"/>
      <c r="AB120" s="1144"/>
      <c r="AC120" s="25">
        <v>30</v>
      </c>
      <c r="AD120" s="25">
        <v>30</v>
      </c>
      <c r="AE120" s="1142"/>
      <c r="AF120" s="1143"/>
      <c r="AG120" s="1143"/>
      <c r="AH120" s="1143"/>
      <c r="AI120" s="1143"/>
      <c r="AJ120" s="1145"/>
      <c r="AK120" s="35">
        <v>65000</v>
      </c>
      <c r="AL120" s="29" t="s">
        <v>73</v>
      </c>
      <c r="AM120" s="29" t="s">
        <v>73</v>
      </c>
      <c r="AN120" s="29" t="s">
        <v>73</v>
      </c>
      <c r="AO120" s="29" t="s">
        <v>73</v>
      </c>
      <c r="AP120" s="30">
        <v>32500</v>
      </c>
      <c r="AQ120" s="30">
        <v>32500</v>
      </c>
      <c r="AR120" s="29" t="s">
        <v>73</v>
      </c>
      <c r="AS120" s="29" t="s">
        <v>73</v>
      </c>
      <c r="AT120" s="29" t="s">
        <v>73</v>
      </c>
      <c r="AU120" s="29" t="s">
        <v>73</v>
      </c>
      <c r="AV120" s="29" t="s">
        <v>73</v>
      </c>
      <c r="AW120" s="29" t="s">
        <v>73</v>
      </c>
      <c r="AX120" s="30">
        <v>65000</v>
      </c>
      <c r="AY120" s="34" t="s">
        <v>5</v>
      </c>
      <c r="AZ120" s="2" t="s">
        <v>74</v>
      </c>
      <c r="BA120" s="2"/>
    </row>
    <row r="121" spans="1:53" ht="51" x14ac:dyDescent="0.25">
      <c r="A121" s="19">
        <v>2026</v>
      </c>
      <c r="B121" s="20">
        <v>479</v>
      </c>
      <c r="C121" s="21" t="s">
        <v>64</v>
      </c>
      <c r="D121" s="21" t="s">
        <v>65</v>
      </c>
      <c r="E121" s="20">
        <v>125</v>
      </c>
      <c r="F121" s="20">
        <v>3000654</v>
      </c>
      <c r="G121" s="20">
        <v>5005023</v>
      </c>
      <c r="H121" s="20">
        <v>3</v>
      </c>
      <c r="I121" s="20">
        <v>12</v>
      </c>
      <c r="J121" s="20">
        <v>24</v>
      </c>
      <c r="K121" s="20">
        <v>135560</v>
      </c>
      <c r="L121" s="21" t="s">
        <v>98</v>
      </c>
      <c r="M121" s="33" t="s">
        <v>99</v>
      </c>
      <c r="N121" s="19">
        <v>94</v>
      </c>
      <c r="O121" s="2"/>
      <c r="P121" s="2" t="s">
        <v>4</v>
      </c>
      <c r="Q121" s="20" t="s">
        <v>68</v>
      </c>
      <c r="R121" s="25" t="s">
        <v>69</v>
      </c>
      <c r="S121" s="25" t="s">
        <v>137</v>
      </c>
      <c r="T121" s="25"/>
      <c r="U121" s="33" t="s">
        <v>216</v>
      </c>
      <c r="V121" s="25" t="s">
        <v>3</v>
      </c>
      <c r="W121" s="25">
        <v>8</v>
      </c>
      <c r="X121" s="27">
        <v>6500</v>
      </c>
      <c r="Y121" s="1142"/>
      <c r="Z121" s="1143"/>
      <c r="AA121" s="1143"/>
      <c r="AB121" s="1144"/>
      <c r="AC121" s="25">
        <v>30</v>
      </c>
      <c r="AD121" s="25">
        <v>30</v>
      </c>
      <c r="AE121" s="1142"/>
      <c r="AF121" s="1143"/>
      <c r="AG121" s="1143"/>
      <c r="AH121" s="1143"/>
      <c r="AI121" s="1143"/>
      <c r="AJ121" s="1145"/>
      <c r="AK121" s="35">
        <v>104000</v>
      </c>
      <c r="AL121" s="29" t="s">
        <v>73</v>
      </c>
      <c r="AM121" s="29" t="s">
        <v>73</v>
      </c>
      <c r="AN121" s="29" t="s">
        <v>73</v>
      </c>
      <c r="AO121" s="29" t="s">
        <v>73</v>
      </c>
      <c r="AP121" s="30">
        <v>52000</v>
      </c>
      <c r="AQ121" s="30">
        <v>52000</v>
      </c>
      <c r="AR121" s="29" t="s">
        <v>73</v>
      </c>
      <c r="AS121" s="29" t="s">
        <v>73</v>
      </c>
      <c r="AT121" s="29" t="s">
        <v>73</v>
      </c>
      <c r="AU121" s="29" t="s">
        <v>73</v>
      </c>
      <c r="AV121" s="29" t="s">
        <v>73</v>
      </c>
      <c r="AW121" s="29" t="s">
        <v>73</v>
      </c>
      <c r="AX121" s="30">
        <v>104000</v>
      </c>
      <c r="AY121" s="34" t="s">
        <v>5</v>
      </c>
      <c r="AZ121" s="2" t="s">
        <v>74</v>
      </c>
      <c r="BA121" s="2"/>
    </row>
    <row r="122" spans="1:53" ht="51" x14ac:dyDescent="0.25">
      <c r="A122" s="19">
        <v>2026</v>
      </c>
      <c r="B122" s="20">
        <v>479</v>
      </c>
      <c r="C122" s="21" t="s">
        <v>64</v>
      </c>
      <c r="D122" s="21" t="s">
        <v>65</v>
      </c>
      <c r="E122" s="20">
        <v>125</v>
      </c>
      <c r="F122" s="20">
        <v>3000654</v>
      </c>
      <c r="G122" s="20">
        <v>5005023</v>
      </c>
      <c r="H122" s="20">
        <v>3</v>
      </c>
      <c r="I122" s="20">
        <v>12</v>
      </c>
      <c r="J122" s="20">
        <v>24</v>
      </c>
      <c r="K122" s="20">
        <v>135560</v>
      </c>
      <c r="L122" s="21" t="s">
        <v>98</v>
      </c>
      <c r="M122" s="33" t="s">
        <v>99</v>
      </c>
      <c r="N122" s="19">
        <v>94</v>
      </c>
      <c r="O122" s="2"/>
      <c r="P122" s="2" t="s">
        <v>4</v>
      </c>
      <c r="Q122" s="20" t="s">
        <v>68</v>
      </c>
      <c r="R122" s="25" t="s">
        <v>69</v>
      </c>
      <c r="S122" s="25" t="s">
        <v>137</v>
      </c>
      <c r="T122" s="25"/>
      <c r="U122" s="33" t="s">
        <v>217</v>
      </c>
      <c r="V122" s="25" t="s">
        <v>3</v>
      </c>
      <c r="W122" s="25">
        <v>3</v>
      </c>
      <c r="X122" s="27">
        <v>4500</v>
      </c>
      <c r="Y122" s="1142"/>
      <c r="Z122" s="1143"/>
      <c r="AA122" s="1143"/>
      <c r="AB122" s="1144"/>
      <c r="AC122" s="25">
        <v>30</v>
      </c>
      <c r="AD122" s="25">
        <v>30</v>
      </c>
      <c r="AE122" s="1142"/>
      <c r="AF122" s="1143"/>
      <c r="AG122" s="1143"/>
      <c r="AH122" s="1143"/>
      <c r="AI122" s="1143"/>
      <c r="AJ122" s="1145"/>
      <c r="AK122" s="35">
        <v>27000</v>
      </c>
      <c r="AL122" s="29" t="s">
        <v>73</v>
      </c>
      <c r="AM122" s="29" t="s">
        <v>73</v>
      </c>
      <c r="AN122" s="29" t="s">
        <v>73</v>
      </c>
      <c r="AO122" s="29" t="s">
        <v>73</v>
      </c>
      <c r="AP122" s="30">
        <v>13500</v>
      </c>
      <c r="AQ122" s="30">
        <v>13500</v>
      </c>
      <c r="AR122" s="29" t="s">
        <v>73</v>
      </c>
      <c r="AS122" s="29" t="s">
        <v>73</v>
      </c>
      <c r="AT122" s="29" t="s">
        <v>73</v>
      </c>
      <c r="AU122" s="29" t="s">
        <v>73</v>
      </c>
      <c r="AV122" s="29" t="s">
        <v>73</v>
      </c>
      <c r="AW122" s="29" t="s">
        <v>73</v>
      </c>
      <c r="AX122" s="30">
        <v>27000</v>
      </c>
      <c r="AY122" s="34" t="s">
        <v>5</v>
      </c>
      <c r="AZ122" s="2" t="s">
        <v>74</v>
      </c>
      <c r="BA122" s="2"/>
    </row>
    <row r="123" spans="1:53" ht="51" x14ac:dyDescent="0.25">
      <c r="A123" s="19">
        <v>2026</v>
      </c>
      <c r="B123" s="20">
        <v>479</v>
      </c>
      <c r="C123" s="21" t="s">
        <v>64</v>
      </c>
      <c r="D123" s="21" t="s">
        <v>65</v>
      </c>
      <c r="E123" s="20">
        <v>125</v>
      </c>
      <c r="F123" s="20">
        <v>3000654</v>
      </c>
      <c r="G123" s="20">
        <v>5005023</v>
      </c>
      <c r="H123" s="20">
        <v>3</v>
      </c>
      <c r="I123" s="20">
        <v>12</v>
      </c>
      <c r="J123" s="20">
        <v>24</v>
      </c>
      <c r="K123" s="20">
        <v>135560</v>
      </c>
      <c r="L123" s="21" t="s">
        <v>98</v>
      </c>
      <c r="M123" s="33" t="s">
        <v>99</v>
      </c>
      <c r="N123" s="19">
        <v>94</v>
      </c>
      <c r="O123" s="2"/>
      <c r="P123" s="2" t="s">
        <v>4</v>
      </c>
      <c r="Q123" s="20" t="s">
        <v>68</v>
      </c>
      <c r="R123" s="25" t="s">
        <v>69</v>
      </c>
      <c r="S123" s="25" t="s">
        <v>137</v>
      </c>
      <c r="T123" s="25"/>
      <c r="U123" s="33" t="s">
        <v>218</v>
      </c>
      <c r="V123" s="25" t="s">
        <v>3</v>
      </c>
      <c r="W123" s="25">
        <v>1</v>
      </c>
      <c r="X123" s="27">
        <v>8000</v>
      </c>
      <c r="Y123" s="1142"/>
      <c r="Z123" s="1143"/>
      <c r="AA123" s="1143"/>
      <c r="AB123" s="1144"/>
      <c r="AC123" s="25">
        <v>30</v>
      </c>
      <c r="AD123" s="25">
        <v>30</v>
      </c>
      <c r="AE123" s="1142"/>
      <c r="AF123" s="1143"/>
      <c r="AG123" s="1143"/>
      <c r="AH123" s="1143"/>
      <c r="AI123" s="1143"/>
      <c r="AJ123" s="1145"/>
      <c r="AK123" s="35">
        <v>16000</v>
      </c>
      <c r="AL123" s="29" t="s">
        <v>73</v>
      </c>
      <c r="AM123" s="29" t="s">
        <v>73</v>
      </c>
      <c r="AN123" s="29" t="s">
        <v>73</v>
      </c>
      <c r="AO123" s="29" t="s">
        <v>73</v>
      </c>
      <c r="AP123" s="30">
        <v>8000</v>
      </c>
      <c r="AQ123" s="30">
        <v>8000</v>
      </c>
      <c r="AR123" s="29" t="s">
        <v>73</v>
      </c>
      <c r="AS123" s="29" t="s">
        <v>73</v>
      </c>
      <c r="AT123" s="29" t="s">
        <v>73</v>
      </c>
      <c r="AU123" s="29" t="s">
        <v>73</v>
      </c>
      <c r="AV123" s="29" t="s">
        <v>73</v>
      </c>
      <c r="AW123" s="29" t="s">
        <v>73</v>
      </c>
      <c r="AX123" s="30">
        <v>16000</v>
      </c>
      <c r="AY123" s="34" t="s">
        <v>5</v>
      </c>
      <c r="AZ123" s="2" t="s">
        <v>74</v>
      </c>
      <c r="BA123" s="2"/>
    </row>
    <row r="124" spans="1:53" s="81" customFormat="1" ht="51" x14ac:dyDescent="0.25">
      <c r="A124" s="166">
        <v>2026</v>
      </c>
      <c r="B124" s="167">
        <v>479</v>
      </c>
      <c r="C124" s="168" t="s">
        <v>64</v>
      </c>
      <c r="D124" s="168" t="s">
        <v>65</v>
      </c>
      <c r="E124" s="167">
        <v>125</v>
      </c>
      <c r="F124" s="167">
        <v>3000654</v>
      </c>
      <c r="G124" s="167">
        <v>5005023</v>
      </c>
      <c r="H124" s="167">
        <v>3</v>
      </c>
      <c r="I124" s="167">
        <v>12</v>
      </c>
      <c r="J124" s="167">
        <v>24</v>
      </c>
      <c r="K124" s="167">
        <v>135560</v>
      </c>
      <c r="L124" s="168" t="s">
        <v>98</v>
      </c>
      <c r="M124" s="169" t="s">
        <v>99</v>
      </c>
      <c r="N124" s="166">
        <v>94</v>
      </c>
      <c r="O124" s="170"/>
      <c r="P124" s="170" t="s">
        <v>4</v>
      </c>
      <c r="Q124" s="167" t="s">
        <v>68</v>
      </c>
      <c r="R124" s="37" t="s">
        <v>69</v>
      </c>
      <c r="S124" s="171" t="s">
        <v>137</v>
      </c>
      <c r="T124" s="171"/>
      <c r="U124" s="38" t="s">
        <v>219</v>
      </c>
      <c r="V124" s="37" t="s">
        <v>3</v>
      </c>
      <c r="W124" s="37">
        <v>1</v>
      </c>
      <c r="X124" s="39">
        <v>7000</v>
      </c>
      <c r="Y124" s="1147"/>
      <c r="Z124" s="1148"/>
      <c r="AA124" s="1148"/>
      <c r="AB124" s="1149"/>
      <c r="AC124" s="37">
        <v>30</v>
      </c>
      <c r="AD124" s="37"/>
      <c r="AE124" s="1147"/>
      <c r="AF124" s="1148"/>
      <c r="AG124" s="1148"/>
      <c r="AH124" s="1148"/>
      <c r="AI124" s="1148"/>
      <c r="AJ124" s="1150"/>
      <c r="AK124" s="172">
        <v>7000</v>
      </c>
      <c r="AL124" s="173" t="s">
        <v>73</v>
      </c>
      <c r="AM124" s="173" t="s">
        <v>73</v>
      </c>
      <c r="AN124" s="173" t="s">
        <v>73</v>
      </c>
      <c r="AO124" s="173" t="s">
        <v>73</v>
      </c>
      <c r="AP124" s="174">
        <v>7000</v>
      </c>
      <c r="AQ124" s="173" t="s">
        <v>73</v>
      </c>
      <c r="AR124" s="173" t="s">
        <v>73</v>
      </c>
      <c r="AS124" s="173" t="s">
        <v>73</v>
      </c>
      <c r="AT124" s="173" t="s">
        <v>73</v>
      </c>
      <c r="AU124" s="173" t="s">
        <v>73</v>
      </c>
      <c r="AV124" s="173" t="s">
        <v>73</v>
      </c>
      <c r="AW124" s="173" t="s">
        <v>73</v>
      </c>
      <c r="AX124" s="174">
        <v>7000</v>
      </c>
      <c r="AY124" s="175" t="s">
        <v>6</v>
      </c>
      <c r="AZ124" s="170" t="s">
        <v>74</v>
      </c>
      <c r="BA124" s="170"/>
    </row>
    <row r="125" spans="1:53" ht="51" x14ac:dyDescent="0.25">
      <c r="A125" s="19">
        <v>2026</v>
      </c>
      <c r="B125" s="20">
        <v>479</v>
      </c>
      <c r="C125" s="21" t="s">
        <v>64</v>
      </c>
      <c r="D125" s="21" t="s">
        <v>65</v>
      </c>
      <c r="E125" s="20">
        <v>125</v>
      </c>
      <c r="F125" s="20">
        <v>3000654</v>
      </c>
      <c r="G125" s="20">
        <v>5005023</v>
      </c>
      <c r="H125" s="20">
        <v>3</v>
      </c>
      <c r="I125" s="20">
        <v>12</v>
      </c>
      <c r="J125" s="20">
        <v>24</v>
      </c>
      <c r="K125" s="20">
        <v>135560</v>
      </c>
      <c r="L125" s="21" t="s">
        <v>220</v>
      </c>
      <c r="M125" s="33" t="s">
        <v>221</v>
      </c>
      <c r="N125" s="19">
        <v>97</v>
      </c>
      <c r="O125" s="2"/>
      <c r="P125" s="2" t="s">
        <v>4</v>
      </c>
      <c r="Q125" s="20" t="s">
        <v>68</v>
      </c>
      <c r="R125" s="25" t="s">
        <v>69</v>
      </c>
      <c r="S125" s="41" t="s">
        <v>137</v>
      </c>
      <c r="T125" s="41"/>
      <c r="U125" s="31" t="s">
        <v>219</v>
      </c>
      <c r="V125" s="25" t="s">
        <v>3</v>
      </c>
      <c r="W125" s="25">
        <v>1</v>
      </c>
      <c r="X125" s="27">
        <v>7000</v>
      </c>
      <c r="Y125" s="1142"/>
      <c r="Z125" s="1143"/>
      <c r="AA125" s="1143"/>
      <c r="AB125" s="1144"/>
      <c r="AC125" s="25"/>
      <c r="AD125" s="25">
        <v>30</v>
      </c>
      <c r="AE125" s="1142"/>
      <c r="AF125" s="1143"/>
      <c r="AG125" s="1143"/>
      <c r="AH125" s="1143"/>
      <c r="AI125" s="1143"/>
      <c r="AJ125" s="1145"/>
      <c r="AK125" s="35">
        <v>7000</v>
      </c>
      <c r="AL125" s="29" t="s">
        <v>73</v>
      </c>
      <c r="AM125" s="29" t="s">
        <v>73</v>
      </c>
      <c r="AN125" s="29" t="s">
        <v>73</v>
      </c>
      <c r="AO125" s="29" t="s">
        <v>73</v>
      </c>
      <c r="AP125" s="29" t="s">
        <v>73</v>
      </c>
      <c r="AQ125" s="30">
        <v>7000</v>
      </c>
      <c r="AR125" s="29" t="s">
        <v>73</v>
      </c>
      <c r="AS125" s="29" t="s">
        <v>73</v>
      </c>
      <c r="AT125" s="29" t="s">
        <v>73</v>
      </c>
      <c r="AU125" s="29" t="s">
        <v>73</v>
      </c>
      <c r="AV125" s="29" t="s">
        <v>73</v>
      </c>
      <c r="AW125" s="29" t="s">
        <v>73</v>
      </c>
      <c r="AX125" s="30">
        <v>7000</v>
      </c>
      <c r="AY125" s="30" t="s">
        <v>6</v>
      </c>
      <c r="AZ125" s="2" t="s">
        <v>74</v>
      </c>
      <c r="BA125" s="2"/>
    </row>
    <row r="126" spans="1:53" ht="51" x14ac:dyDescent="0.25">
      <c r="A126" s="19">
        <v>2026</v>
      </c>
      <c r="B126" s="20">
        <v>479</v>
      </c>
      <c r="C126" s="21" t="s">
        <v>64</v>
      </c>
      <c r="D126" s="21" t="s">
        <v>65</v>
      </c>
      <c r="E126" s="20">
        <v>125</v>
      </c>
      <c r="F126" s="20">
        <v>3000654</v>
      </c>
      <c r="G126" s="20">
        <v>5005023</v>
      </c>
      <c r="H126" s="20">
        <v>3</v>
      </c>
      <c r="I126" s="20">
        <v>12</v>
      </c>
      <c r="J126" s="20">
        <v>24</v>
      </c>
      <c r="K126" s="20">
        <v>135560</v>
      </c>
      <c r="L126" s="21" t="s">
        <v>220</v>
      </c>
      <c r="M126" s="33" t="s">
        <v>221</v>
      </c>
      <c r="N126" s="19">
        <v>97</v>
      </c>
      <c r="O126" s="2"/>
      <c r="P126" s="2" t="s">
        <v>4</v>
      </c>
      <c r="Q126" s="20" t="s">
        <v>68</v>
      </c>
      <c r="R126" s="25" t="s">
        <v>69</v>
      </c>
      <c r="S126" s="41" t="s">
        <v>137</v>
      </c>
      <c r="T126" s="41"/>
      <c r="U126" s="31" t="s">
        <v>222</v>
      </c>
      <c r="V126" s="25" t="s">
        <v>3</v>
      </c>
      <c r="W126" s="25">
        <v>1</v>
      </c>
      <c r="X126" s="27">
        <v>7000</v>
      </c>
      <c r="Y126" s="1142"/>
      <c r="Z126" s="1143"/>
      <c r="AA126" s="1143"/>
      <c r="AB126" s="1144"/>
      <c r="AC126" s="25">
        <v>30</v>
      </c>
      <c r="AD126" s="25">
        <v>30</v>
      </c>
      <c r="AE126" s="1142"/>
      <c r="AF126" s="1143"/>
      <c r="AG126" s="1143"/>
      <c r="AH126" s="1143"/>
      <c r="AI126" s="1143"/>
      <c r="AJ126" s="1145"/>
      <c r="AK126" s="35">
        <v>14000</v>
      </c>
      <c r="AL126" s="29" t="s">
        <v>73</v>
      </c>
      <c r="AM126" s="29" t="s">
        <v>73</v>
      </c>
      <c r="AN126" s="29" t="s">
        <v>73</v>
      </c>
      <c r="AO126" s="29" t="s">
        <v>73</v>
      </c>
      <c r="AP126" s="30">
        <v>7000</v>
      </c>
      <c r="AQ126" s="30">
        <v>7000</v>
      </c>
      <c r="AR126" s="29" t="s">
        <v>73</v>
      </c>
      <c r="AS126" s="29" t="s">
        <v>73</v>
      </c>
      <c r="AT126" s="29" t="s">
        <v>73</v>
      </c>
      <c r="AU126" s="29" t="s">
        <v>73</v>
      </c>
      <c r="AV126" s="29" t="s">
        <v>73</v>
      </c>
      <c r="AW126" s="29" t="s">
        <v>73</v>
      </c>
      <c r="AX126" s="30">
        <v>14000</v>
      </c>
      <c r="AY126" s="30" t="s">
        <v>6</v>
      </c>
      <c r="AZ126" s="2" t="s">
        <v>74</v>
      </c>
      <c r="BA126" s="2"/>
    </row>
    <row r="127" spans="1:53" ht="51" x14ac:dyDescent="0.25">
      <c r="A127" s="19">
        <v>2026</v>
      </c>
      <c r="B127" s="20">
        <v>479</v>
      </c>
      <c r="C127" s="21" t="s">
        <v>64</v>
      </c>
      <c r="D127" s="21" t="s">
        <v>65</v>
      </c>
      <c r="E127" s="20">
        <v>125</v>
      </c>
      <c r="F127" s="20">
        <v>3000654</v>
      </c>
      <c r="G127" s="20">
        <v>5005023</v>
      </c>
      <c r="H127" s="20">
        <v>3</v>
      </c>
      <c r="I127" s="20">
        <v>12</v>
      </c>
      <c r="J127" s="20">
        <v>24</v>
      </c>
      <c r="K127" s="20">
        <v>135560</v>
      </c>
      <c r="L127" s="21" t="s">
        <v>98</v>
      </c>
      <c r="M127" s="33" t="s">
        <v>99</v>
      </c>
      <c r="N127" s="19">
        <v>94</v>
      </c>
      <c r="O127" s="2"/>
      <c r="P127" s="2" t="s">
        <v>4</v>
      </c>
      <c r="Q127" s="20" t="s">
        <v>68</v>
      </c>
      <c r="R127" s="25" t="s">
        <v>69</v>
      </c>
      <c r="S127" s="41" t="s">
        <v>137</v>
      </c>
      <c r="T127" s="41"/>
      <c r="U127" s="31" t="s">
        <v>223</v>
      </c>
      <c r="V127" s="25" t="s">
        <v>3</v>
      </c>
      <c r="W127" s="25">
        <v>1</v>
      </c>
      <c r="X127" s="27">
        <v>3500</v>
      </c>
      <c r="Y127" s="1142"/>
      <c r="Z127" s="1143"/>
      <c r="AA127" s="1143"/>
      <c r="AB127" s="1144"/>
      <c r="AC127" s="25">
        <v>30</v>
      </c>
      <c r="AD127" s="25"/>
      <c r="AE127" s="1142"/>
      <c r="AF127" s="1143"/>
      <c r="AG127" s="1143"/>
      <c r="AH127" s="1143"/>
      <c r="AI127" s="1143"/>
      <c r="AJ127" s="1145"/>
      <c r="AK127" s="35">
        <v>3500</v>
      </c>
      <c r="AL127" s="29" t="s">
        <v>73</v>
      </c>
      <c r="AM127" s="29" t="s">
        <v>73</v>
      </c>
      <c r="AN127" s="29" t="s">
        <v>73</v>
      </c>
      <c r="AO127" s="29" t="s">
        <v>73</v>
      </c>
      <c r="AP127" s="30">
        <v>3500</v>
      </c>
      <c r="AQ127" s="29" t="s">
        <v>73</v>
      </c>
      <c r="AR127" s="29" t="s">
        <v>73</v>
      </c>
      <c r="AS127" s="29" t="s">
        <v>73</v>
      </c>
      <c r="AT127" s="29" t="s">
        <v>73</v>
      </c>
      <c r="AU127" s="29" t="s">
        <v>73</v>
      </c>
      <c r="AV127" s="29" t="s">
        <v>73</v>
      </c>
      <c r="AW127" s="29" t="s">
        <v>73</v>
      </c>
      <c r="AX127" s="30">
        <v>3500</v>
      </c>
      <c r="AY127" s="18" t="s">
        <v>6</v>
      </c>
      <c r="AZ127" s="2" t="s">
        <v>74</v>
      </c>
      <c r="BA127" s="2"/>
    </row>
    <row r="128" spans="1:53" ht="51" x14ac:dyDescent="0.25">
      <c r="A128" s="19">
        <v>2026</v>
      </c>
      <c r="B128" s="20">
        <v>479</v>
      </c>
      <c r="C128" s="21" t="s">
        <v>64</v>
      </c>
      <c r="D128" s="21" t="s">
        <v>65</v>
      </c>
      <c r="E128" s="20">
        <v>125</v>
      </c>
      <c r="F128" s="20">
        <v>3000654</v>
      </c>
      <c r="G128" s="20">
        <v>5005023</v>
      </c>
      <c r="H128" s="20">
        <v>3</v>
      </c>
      <c r="I128" s="20">
        <v>12</v>
      </c>
      <c r="J128" s="20">
        <v>24</v>
      </c>
      <c r="K128" s="20">
        <v>135560</v>
      </c>
      <c r="L128" s="21" t="s">
        <v>220</v>
      </c>
      <c r="M128" s="33" t="s">
        <v>221</v>
      </c>
      <c r="N128" s="19">
        <v>97</v>
      </c>
      <c r="O128" s="2"/>
      <c r="P128" s="2" t="s">
        <v>4</v>
      </c>
      <c r="Q128" s="20" t="s">
        <v>68</v>
      </c>
      <c r="R128" s="25" t="s">
        <v>69</v>
      </c>
      <c r="S128" s="41" t="s">
        <v>137</v>
      </c>
      <c r="T128" s="41"/>
      <c r="U128" s="31" t="s">
        <v>223</v>
      </c>
      <c r="V128" s="25" t="s">
        <v>3</v>
      </c>
      <c r="W128" s="25">
        <v>1</v>
      </c>
      <c r="X128" s="27">
        <v>3500</v>
      </c>
      <c r="Y128" s="1142"/>
      <c r="Z128" s="1143"/>
      <c r="AA128" s="1143"/>
      <c r="AB128" s="1144"/>
      <c r="AC128" s="25"/>
      <c r="AD128" s="25">
        <v>30</v>
      </c>
      <c r="AE128" s="1142"/>
      <c r="AF128" s="1143"/>
      <c r="AG128" s="1143"/>
      <c r="AH128" s="1143"/>
      <c r="AI128" s="1143"/>
      <c r="AJ128" s="1145"/>
      <c r="AK128" s="35">
        <v>3500</v>
      </c>
      <c r="AL128" s="29" t="s">
        <v>73</v>
      </c>
      <c r="AM128" s="29" t="s">
        <v>73</v>
      </c>
      <c r="AN128" s="29" t="s">
        <v>73</v>
      </c>
      <c r="AO128" s="29" t="s">
        <v>73</v>
      </c>
      <c r="AP128" s="29" t="s">
        <v>73</v>
      </c>
      <c r="AQ128" s="30">
        <v>3500</v>
      </c>
      <c r="AR128" s="29" t="s">
        <v>73</v>
      </c>
      <c r="AS128" s="29" t="s">
        <v>73</v>
      </c>
      <c r="AT128" s="29" t="s">
        <v>73</v>
      </c>
      <c r="AU128" s="29" t="s">
        <v>73</v>
      </c>
      <c r="AV128" s="29" t="s">
        <v>73</v>
      </c>
      <c r="AW128" s="29" t="s">
        <v>73</v>
      </c>
      <c r="AX128" s="30">
        <v>3500</v>
      </c>
      <c r="AY128" s="30" t="s">
        <v>6</v>
      </c>
      <c r="AZ128" s="2" t="s">
        <v>74</v>
      </c>
      <c r="BA128" s="2"/>
    </row>
    <row r="129" spans="1:53" ht="51" x14ac:dyDescent="0.25">
      <c r="A129" s="19">
        <v>2026</v>
      </c>
      <c r="B129" s="20">
        <v>479</v>
      </c>
      <c r="C129" s="21" t="s">
        <v>64</v>
      </c>
      <c r="D129" s="21" t="s">
        <v>65</v>
      </c>
      <c r="E129" s="20">
        <v>125</v>
      </c>
      <c r="F129" s="20">
        <v>3000654</v>
      </c>
      <c r="G129" s="20">
        <v>5005023</v>
      </c>
      <c r="H129" s="20">
        <v>3</v>
      </c>
      <c r="I129" s="20">
        <v>12</v>
      </c>
      <c r="J129" s="20">
        <v>24</v>
      </c>
      <c r="K129" s="20">
        <v>135560</v>
      </c>
      <c r="L129" s="21" t="s">
        <v>220</v>
      </c>
      <c r="M129" s="33" t="s">
        <v>221</v>
      </c>
      <c r="N129" s="19">
        <v>97</v>
      </c>
      <c r="O129" s="2"/>
      <c r="P129" s="2" t="s">
        <v>4</v>
      </c>
      <c r="Q129" s="20" t="s">
        <v>68</v>
      </c>
      <c r="R129" s="25" t="s">
        <v>69</v>
      </c>
      <c r="S129" s="41" t="s">
        <v>137</v>
      </c>
      <c r="T129" s="41"/>
      <c r="U129" s="31" t="s">
        <v>224</v>
      </c>
      <c r="V129" s="25" t="s">
        <v>3</v>
      </c>
      <c r="W129" s="25">
        <v>1</v>
      </c>
      <c r="X129" s="27">
        <v>4500</v>
      </c>
      <c r="Y129" s="1142"/>
      <c r="Z129" s="1143"/>
      <c r="AA129" s="1143"/>
      <c r="AB129" s="1144"/>
      <c r="AC129" s="25">
        <v>30</v>
      </c>
      <c r="AD129" s="25">
        <v>30</v>
      </c>
      <c r="AE129" s="1142"/>
      <c r="AF129" s="1143"/>
      <c r="AG129" s="1143"/>
      <c r="AH129" s="1143"/>
      <c r="AI129" s="1143"/>
      <c r="AJ129" s="1145"/>
      <c r="AK129" s="35">
        <v>9000</v>
      </c>
      <c r="AL129" s="29" t="s">
        <v>73</v>
      </c>
      <c r="AM129" s="29" t="s">
        <v>73</v>
      </c>
      <c r="AN129" s="29" t="s">
        <v>73</v>
      </c>
      <c r="AO129" s="29" t="s">
        <v>73</v>
      </c>
      <c r="AP129" s="30">
        <v>4500</v>
      </c>
      <c r="AQ129" s="30">
        <v>4500</v>
      </c>
      <c r="AR129" s="29" t="s">
        <v>73</v>
      </c>
      <c r="AS129" s="29" t="s">
        <v>73</v>
      </c>
      <c r="AT129" s="29" t="s">
        <v>73</v>
      </c>
      <c r="AU129" s="29" t="s">
        <v>73</v>
      </c>
      <c r="AV129" s="29" t="s">
        <v>73</v>
      </c>
      <c r="AW129" s="29" t="s">
        <v>73</v>
      </c>
      <c r="AX129" s="30">
        <v>9000</v>
      </c>
      <c r="AY129" s="30" t="s">
        <v>6</v>
      </c>
      <c r="AZ129" s="2" t="s">
        <v>74</v>
      </c>
      <c r="BA129" s="2"/>
    </row>
    <row r="130" spans="1:53" ht="51" x14ac:dyDescent="0.25">
      <c r="A130" s="19">
        <v>2026</v>
      </c>
      <c r="B130" s="20">
        <v>479</v>
      </c>
      <c r="C130" s="21" t="s">
        <v>64</v>
      </c>
      <c r="D130" s="21" t="s">
        <v>65</v>
      </c>
      <c r="E130" s="20">
        <v>125</v>
      </c>
      <c r="F130" s="20">
        <v>3000654</v>
      </c>
      <c r="G130" s="20">
        <v>5005023</v>
      </c>
      <c r="H130" s="20">
        <v>3</v>
      </c>
      <c r="I130" s="20">
        <v>12</v>
      </c>
      <c r="J130" s="20">
        <v>24</v>
      </c>
      <c r="K130" s="20">
        <v>135560</v>
      </c>
      <c r="L130" s="21" t="s">
        <v>220</v>
      </c>
      <c r="M130" s="33" t="s">
        <v>221</v>
      </c>
      <c r="N130" s="19">
        <v>97</v>
      </c>
      <c r="O130" s="2"/>
      <c r="P130" s="2" t="s">
        <v>4</v>
      </c>
      <c r="Q130" s="20" t="s">
        <v>68</v>
      </c>
      <c r="R130" s="25" t="s">
        <v>69</v>
      </c>
      <c r="S130" s="41" t="s">
        <v>137</v>
      </c>
      <c r="T130" s="41"/>
      <c r="U130" s="31" t="s">
        <v>225</v>
      </c>
      <c r="V130" s="25" t="s">
        <v>3</v>
      </c>
      <c r="W130" s="25">
        <v>1</v>
      </c>
      <c r="X130" s="27">
        <v>6000</v>
      </c>
      <c r="Y130" s="1142"/>
      <c r="Z130" s="1143"/>
      <c r="AA130" s="1143"/>
      <c r="AB130" s="1144"/>
      <c r="AC130" s="25">
        <v>30</v>
      </c>
      <c r="AD130" s="25">
        <v>30</v>
      </c>
      <c r="AE130" s="1142"/>
      <c r="AF130" s="1143"/>
      <c r="AG130" s="1143"/>
      <c r="AH130" s="1143"/>
      <c r="AI130" s="1143"/>
      <c r="AJ130" s="1145"/>
      <c r="AK130" s="35">
        <v>12000</v>
      </c>
      <c r="AL130" s="29" t="s">
        <v>73</v>
      </c>
      <c r="AM130" s="29" t="s">
        <v>73</v>
      </c>
      <c r="AN130" s="29" t="s">
        <v>73</v>
      </c>
      <c r="AO130" s="29" t="s">
        <v>73</v>
      </c>
      <c r="AP130" s="30">
        <v>6000</v>
      </c>
      <c r="AQ130" s="30">
        <v>6000</v>
      </c>
      <c r="AR130" s="29" t="s">
        <v>73</v>
      </c>
      <c r="AS130" s="29" t="s">
        <v>73</v>
      </c>
      <c r="AT130" s="29" t="s">
        <v>73</v>
      </c>
      <c r="AU130" s="29" t="s">
        <v>73</v>
      </c>
      <c r="AV130" s="29" t="s">
        <v>73</v>
      </c>
      <c r="AW130" s="29" t="s">
        <v>73</v>
      </c>
      <c r="AX130" s="30">
        <v>12000</v>
      </c>
      <c r="AY130" s="30" t="s">
        <v>6</v>
      </c>
      <c r="AZ130" s="2" t="s">
        <v>74</v>
      </c>
      <c r="BA130" s="2"/>
    </row>
    <row r="131" spans="1:53" ht="51" x14ac:dyDescent="0.25">
      <c r="A131" s="19">
        <v>2026</v>
      </c>
      <c r="B131" s="20">
        <v>479</v>
      </c>
      <c r="C131" s="21" t="s">
        <v>64</v>
      </c>
      <c r="D131" s="21" t="s">
        <v>65</v>
      </c>
      <c r="E131" s="20">
        <v>125</v>
      </c>
      <c r="F131" s="20">
        <v>3000654</v>
      </c>
      <c r="G131" s="20">
        <v>5005023</v>
      </c>
      <c r="H131" s="20">
        <v>3</v>
      </c>
      <c r="I131" s="20">
        <v>12</v>
      </c>
      <c r="J131" s="20">
        <v>24</v>
      </c>
      <c r="K131" s="20">
        <v>135560</v>
      </c>
      <c r="L131" s="21" t="s">
        <v>98</v>
      </c>
      <c r="M131" s="33" t="s">
        <v>99</v>
      </c>
      <c r="N131" s="19">
        <v>94</v>
      </c>
      <c r="O131" s="2"/>
      <c r="P131" s="2" t="s">
        <v>4</v>
      </c>
      <c r="Q131" s="20" t="s">
        <v>68</v>
      </c>
      <c r="R131" s="25" t="s">
        <v>69</v>
      </c>
      <c r="S131" s="41" t="s">
        <v>137</v>
      </c>
      <c r="T131" s="41"/>
      <c r="U131" s="31" t="s">
        <v>226</v>
      </c>
      <c r="V131" s="25" t="s">
        <v>3</v>
      </c>
      <c r="W131" s="25">
        <v>1</v>
      </c>
      <c r="X131" s="27">
        <v>6000</v>
      </c>
      <c r="Y131" s="1142"/>
      <c r="Z131" s="1143"/>
      <c r="AA131" s="1143"/>
      <c r="AB131" s="1144"/>
      <c r="AC131" s="25">
        <v>30</v>
      </c>
      <c r="AD131" s="25"/>
      <c r="AE131" s="1142"/>
      <c r="AF131" s="1143"/>
      <c r="AG131" s="1143"/>
      <c r="AH131" s="1143"/>
      <c r="AI131" s="1143"/>
      <c r="AJ131" s="1145"/>
      <c r="AK131" s="35">
        <v>6000</v>
      </c>
      <c r="AL131" s="29" t="s">
        <v>73</v>
      </c>
      <c r="AM131" s="29" t="s">
        <v>73</v>
      </c>
      <c r="AN131" s="29" t="s">
        <v>73</v>
      </c>
      <c r="AO131" s="29" t="s">
        <v>73</v>
      </c>
      <c r="AP131" s="30">
        <v>6000</v>
      </c>
      <c r="AQ131" s="29" t="s">
        <v>73</v>
      </c>
      <c r="AR131" s="29" t="s">
        <v>73</v>
      </c>
      <c r="AS131" s="29" t="s">
        <v>73</v>
      </c>
      <c r="AT131" s="29" t="s">
        <v>73</v>
      </c>
      <c r="AU131" s="29" t="s">
        <v>73</v>
      </c>
      <c r="AV131" s="29" t="s">
        <v>73</v>
      </c>
      <c r="AW131" s="29" t="s">
        <v>73</v>
      </c>
      <c r="AX131" s="30">
        <v>6000</v>
      </c>
      <c r="AY131" s="18" t="s">
        <v>6</v>
      </c>
      <c r="AZ131" s="2" t="s">
        <v>74</v>
      </c>
      <c r="BA131" s="2"/>
    </row>
    <row r="132" spans="1:53" ht="51" x14ac:dyDescent="0.25">
      <c r="A132" s="19">
        <v>2026</v>
      </c>
      <c r="B132" s="20">
        <v>479</v>
      </c>
      <c r="C132" s="21" t="s">
        <v>64</v>
      </c>
      <c r="D132" s="21" t="s">
        <v>65</v>
      </c>
      <c r="E132" s="20">
        <v>125</v>
      </c>
      <c r="F132" s="20">
        <v>3000654</v>
      </c>
      <c r="G132" s="20">
        <v>5005023</v>
      </c>
      <c r="H132" s="20">
        <v>3</v>
      </c>
      <c r="I132" s="20">
        <v>12</v>
      </c>
      <c r="J132" s="20">
        <v>24</v>
      </c>
      <c r="K132" s="20">
        <v>135560</v>
      </c>
      <c r="L132" s="21" t="s">
        <v>220</v>
      </c>
      <c r="M132" s="33" t="s">
        <v>221</v>
      </c>
      <c r="N132" s="19">
        <v>97</v>
      </c>
      <c r="O132" s="2"/>
      <c r="P132" s="2" t="s">
        <v>4</v>
      </c>
      <c r="Q132" s="20" t="s">
        <v>68</v>
      </c>
      <c r="R132" s="25" t="s">
        <v>69</v>
      </c>
      <c r="S132" s="41" t="s">
        <v>137</v>
      </c>
      <c r="T132" s="41"/>
      <c r="U132" s="31" t="s">
        <v>226</v>
      </c>
      <c r="V132" s="25" t="s">
        <v>3</v>
      </c>
      <c r="W132" s="25">
        <v>1</v>
      </c>
      <c r="X132" s="27">
        <v>6000</v>
      </c>
      <c r="Y132" s="1142"/>
      <c r="Z132" s="1143"/>
      <c r="AA132" s="1143"/>
      <c r="AB132" s="1144"/>
      <c r="AC132" s="25"/>
      <c r="AD132" s="25">
        <v>30</v>
      </c>
      <c r="AE132" s="1142"/>
      <c r="AF132" s="1143"/>
      <c r="AG132" s="1143"/>
      <c r="AH132" s="1143"/>
      <c r="AI132" s="1143"/>
      <c r="AJ132" s="1145"/>
      <c r="AK132" s="35">
        <v>6000</v>
      </c>
      <c r="AL132" s="29" t="s">
        <v>73</v>
      </c>
      <c r="AM132" s="29" t="s">
        <v>73</v>
      </c>
      <c r="AN132" s="29" t="s">
        <v>73</v>
      </c>
      <c r="AO132" s="29" t="s">
        <v>73</v>
      </c>
      <c r="AP132" s="29" t="s">
        <v>73</v>
      </c>
      <c r="AQ132" s="30">
        <v>6000</v>
      </c>
      <c r="AR132" s="29" t="s">
        <v>73</v>
      </c>
      <c r="AS132" s="29" t="s">
        <v>73</v>
      </c>
      <c r="AT132" s="29" t="s">
        <v>73</v>
      </c>
      <c r="AU132" s="29" t="s">
        <v>73</v>
      </c>
      <c r="AV132" s="29" t="s">
        <v>73</v>
      </c>
      <c r="AW132" s="29" t="s">
        <v>73</v>
      </c>
      <c r="AX132" s="30">
        <v>6000</v>
      </c>
      <c r="AY132" s="30" t="s">
        <v>6</v>
      </c>
      <c r="AZ132" s="2" t="s">
        <v>74</v>
      </c>
      <c r="BA132" s="2"/>
    </row>
    <row r="133" spans="1:53" ht="51" x14ac:dyDescent="0.25">
      <c r="A133" s="19">
        <v>2026</v>
      </c>
      <c r="B133" s="20">
        <v>479</v>
      </c>
      <c r="C133" s="21" t="s">
        <v>64</v>
      </c>
      <c r="D133" s="21" t="s">
        <v>65</v>
      </c>
      <c r="E133" s="20">
        <v>125</v>
      </c>
      <c r="F133" s="20">
        <v>3000654</v>
      </c>
      <c r="G133" s="20">
        <v>5005023</v>
      </c>
      <c r="H133" s="20">
        <v>3</v>
      </c>
      <c r="I133" s="20">
        <v>12</v>
      </c>
      <c r="J133" s="20">
        <v>24</v>
      </c>
      <c r="K133" s="20">
        <v>135560</v>
      </c>
      <c r="L133" s="21" t="s">
        <v>220</v>
      </c>
      <c r="M133" s="33" t="s">
        <v>221</v>
      </c>
      <c r="N133" s="19">
        <v>97</v>
      </c>
      <c r="O133" s="2"/>
      <c r="P133" s="2" t="s">
        <v>4</v>
      </c>
      <c r="Q133" s="20" t="s">
        <v>68</v>
      </c>
      <c r="R133" s="25" t="s">
        <v>69</v>
      </c>
      <c r="S133" s="41" t="s">
        <v>137</v>
      </c>
      <c r="T133" s="41"/>
      <c r="U133" s="31" t="s">
        <v>227</v>
      </c>
      <c r="V133" s="25" t="s">
        <v>3</v>
      </c>
      <c r="W133" s="25">
        <v>1</v>
      </c>
      <c r="X133" s="27">
        <v>6000</v>
      </c>
      <c r="Y133" s="1142"/>
      <c r="Z133" s="1143"/>
      <c r="AA133" s="1143"/>
      <c r="AB133" s="1144"/>
      <c r="AC133" s="25">
        <v>30</v>
      </c>
      <c r="AD133" s="25">
        <v>30</v>
      </c>
      <c r="AE133" s="1142"/>
      <c r="AF133" s="1143"/>
      <c r="AG133" s="1143"/>
      <c r="AH133" s="1143"/>
      <c r="AI133" s="1143"/>
      <c r="AJ133" s="1145"/>
      <c r="AK133" s="35">
        <v>12000</v>
      </c>
      <c r="AL133" s="29" t="s">
        <v>73</v>
      </c>
      <c r="AM133" s="29" t="s">
        <v>73</v>
      </c>
      <c r="AN133" s="29" t="s">
        <v>73</v>
      </c>
      <c r="AO133" s="29" t="s">
        <v>73</v>
      </c>
      <c r="AP133" s="30">
        <v>6000</v>
      </c>
      <c r="AQ133" s="30">
        <v>6000</v>
      </c>
      <c r="AR133" s="29" t="s">
        <v>73</v>
      </c>
      <c r="AS133" s="29" t="s">
        <v>73</v>
      </c>
      <c r="AT133" s="29" t="s">
        <v>73</v>
      </c>
      <c r="AU133" s="29" t="s">
        <v>73</v>
      </c>
      <c r="AV133" s="29" t="s">
        <v>73</v>
      </c>
      <c r="AW133" s="29" t="s">
        <v>73</v>
      </c>
      <c r="AX133" s="30">
        <v>12000</v>
      </c>
      <c r="AY133" s="30" t="s">
        <v>6</v>
      </c>
      <c r="AZ133" s="2" t="s">
        <v>74</v>
      </c>
      <c r="BA133" s="2"/>
    </row>
    <row r="134" spans="1:53" ht="51" x14ac:dyDescent="0.25">
      <c r="A134" s="19">
        <v>2026</v>
      </c>
      <c r="B134" s="20">
        <v>479</v>
      </c>
      <c r="C134" s="21" t="s">
        <v>64</v>
      </c>
      <c r="D134" s="21" t="s">
        <v>65</v>
      </c>
      <c r="E134" s="20">
        <v>125</v>
      </c>
      <c r="F134" s="20">
        <v>3000654</v>
      </c>
      <c r="G134" s="20">
        <v>5005023</v>
      </c>
      <c r="H134" s="20">
        <v>3</v>
      </c>
      <c r="I134" s="20">
        <v>12</v>
      </c>
      <c r="J134" s="20">
        <v>24</v>
      </c>
      <c r="K134" s="20">
        <v>135560</v>
      </c>
      <c r="L134" s="21" t="s">
        <v>220</v>
      </c>
      <c r="M134" s="33" t="s">
        <v>221</v>
      </c>
      <c r="N134" s="19">
        <v>97</v>
      </c>
      <c r="O134" s="2"/>
      <c r="P134" s="2" t="s">
        <v>4</v>
      </c>
      <c r="Q134" s="20" t="s">
        <v>68</v>
      </c>
      <c r="R134" s="25" t="s">
        <v>69</v>
      </c>
      <c r="S134" s="41" t="s">
        <v>137</v>
      </c>
      <c r="T134" s="41"/>
      <c r="U134" s="31" t="s">
        <v>228</v>
      </c>
      <c r="V134" s="25" t="s">
        <v>3</v>
      </c>
      <c r="W134" s="25">
        <v>1</v>
      </c>
      <c r="X134" s="27">
        <v>6000</v>
      </c>
      <c r="Y134" s="1142"/>
      <c r="Z134" s="1143"/>
      <c r="AA134" s="1143"/>
      <c r="AB134" s="1144"/>
      <c r="AC134" s="25">
        <v>30</v>
      </c>
      <c r="AD134" s="25">
        <v>30</v>
      </c>
      <c r="AE134" s="1142"/>
      <c r="AF134" s="1143"/>
      <c r="AG134" s="1143"/>
      <c r="AH134" s="1143"/>
      <c r="AI134" s="1143"/>
      <c r="AJ134" s="1145"/>
      <c r="AK134" s="35">
        <v>12000</v>
      </c>
      <c r="AL134" s="29" t="s">
        <v>73</v>
      </c>
      <c r="AM134" s="29" t="s">
        <v>73</v>
      </c>
      <c r="AN134" s="29" t="s">
        <v>73</v>
      </c>
      <c r="AO134" s="29" t="s">
        <v>73</v>
      </c>
      <c r="AP134" s="30">
        <v>6000</v>
      </c>
      <c r="AQ134" s="30">
        <v>6000</v>
      </c>
      <c r="AR134" s="29" t="s">
        <v>73</v>
      </c>
      <c r="AS134" s="29" t="s">
        <v>73</v>
      </c>
      <c r="AT134" s="29" t="s">
        <v>73</v>
      </c>
      <c r="AU134" s="29" t="s">
        <v>73</v>
      </c>
      <c r="AV134" s="29" t="s">
        <v>73</v>
      </c>
      <c r="AW134" s="29" t="s">
        <v>73</v>
      </c>
      <c r="AX134" s="30">
        <v>12000</v>
      </c>
      <c r="AY134" s="30" t="s">
        <v>6</v>
      </c>
      <c r="AZ134" s="2" t="s">
        <v>74</v>
      </c>
      <c r="BA134" s="2"/>
    </row>
    <row r="135" spans="1:53" ht="51" x14ac:dyDescent="0.25">
      <c r="A135" s="19">
        <v>2026</v>
      </c>
      <c r="B135" s="20">
        <v>479</v>
      </c>
      <c r="C135" s="21" t="s">
        <v>64</v>
      </c>
      <c r="D135" s="21" t="s">
        <v>65</v>
      </c>
      <c r="E135" s="20">
        <v>125</v>
      </c>
      <c r="F135" s="20">
        <v>3000654</v>
      </c>
      <c r="G135" s="20">
        <v>5005023</v>
      </c>
      <c r="H135" s="20">
        <v>3</v>
      </c>
      <c r="I135" s="20">
        <v>12</v>
      </c>
      <c r="J135" s="20">
        <v>24</v>
      </c>
      <c r="K135" s="20">
        <v>135560</v>
      </c>
      <c r="L135" s="21" t="s">
        <v>220</v>
      </c>
      <c r="M135" s="33" t="s">
        <v>221</v>
      </c>
      <c r="N135" s="19">
        <v>97</v>
      </c>
      <c r="O135" s="2"/>
      <c r="P135" s="2" t="s">
        <v>4</v>
      </c>
      <c r="Q135" s="20" t="s">
        <v>68</v>
      </c>
      <c r="R135" s="25" t="s">
        <v>69</v>
      </c>
      <c r="S135" s="41" t="s">
        <v>137</v>
      </c>
      <c r="T135" s="41"/>
      <c r="U135" s="31" t="s">
        <v>229</v>
      </c>
      <c r="V135" s="25" t="s">
        <v>3</v>
      </c>
      <c r="W135" s="25">
        <v>1</v>
      </c>
      <c r="X135" s="27">
        <v>6000</v>
      </c>
      <c r="Y135" s="1142"/>
      <c r="Z135" s="1143"/>
      <c r="AA135" s="1143"/>
      <c r="AB135" s="1144"/>
      <c r="AC135" s="25">
        <v>30</v>
      </c>
      <c r="AD135" s="25">
        <v>30</v>
      </c>
      <c r="AE135" s="1142"/>
      <c r="AF135" s="1143"/>
      <c r="AG135" s="1143"/>
      <c r="AH135" s="1143"/>
      <c r="AI135" s="1143"/>
      <c r="AJ135" s="1145"/>
      <c r="AK135" s="35">
        <v>12000</v>
      </c>
      <c r="AL135" s="29" t="s">
        <v>73</v>
      </c>
      <c r="AM135" s="29" t="s">
        <v>73</v>
      </c>
      <c r="AN135" s="29" t="s">
        <v>73</v>
      </c>
      <c r="AO135" s="29" t="s">
        <v>73</v>
      </c>
      <c r="AP135" s="30">
        <v>6000</v>
      </c>
      <c r="AQ135" s="30">
        <v>6000</v>
      </c>
      <c r="AR135" s="29" t="s">
        <v>73</v>
      </c>
      <c r="AS135" s="29" t="s">
        <v>73</v>
      </c>
      <c r="AT135" s="29" t="s">
        <v>73</v>
      </c>
      <c r="AU135" s="29" t="s">
        <v>73</v>
      </c>
      <c r="AV135" s="29" t="s">
        <v>73</v>
      </c>
      <c r="AW135" s="29" t="s">
        <v>73</v>
      </c>
      <c r="AX135" s="30">
        <v>12000</v>
      </c>
      <c r="AY135" s="30" t="s">
        <v>6</v>
      </c>
      <c r="AZ135" s="2" t="s">
        <v>74</v>
      </c>
      <c r="BA135" s="2"/>
    </row>
    <row r="136" spans="1:53" ht="51" x14ac:dyDescent="0.25">
      <c r="A136" s="19">
        <v>2026</v>
      </c>
      <c r="B136" s="20">
        <v>479</v>
      </c>
      <c r="C136" s="21" t="s">
        <v>64</v>
      </c>
      <c r="D136" s="21" t="s">
        <v>65</v>
      </c>
      <c r="E136" s="20">
        <v>125</v>
      </c>
      <c r="F136" s="20">
        <v>3000654</v>
      </c>
      <c r="G136" s="20">
        <v>5005023</v>
      </c>
      <c r="H136" s="20">
        <v>3</v>
      </c>
      <c r="I136" s="20">
        <v>12</v>
      </c>
      <c r="J136" s="20">
        <v>24</v>
      </c>
      <c r="K136" s="20">
        <v>135560</v>
      </c>
      <c r="L136" s="21" t="s">
        <v>220</v>
      </c>
      <c r="M136" s="33" t="s">
        <v>221</v>
      </c>
      <c r="N136" s="19">
        <v>97</v>
      </c>
      <c r="O136" s="2"/>
      <c r="P136" s="2" t="s">
        <v>4</v>
      </c>
      <c r="Q136" s="20" t="s">
        <v>68</v>
      </c>
      <c r="R136" s="25" t="s">
        <v>69</v>
      </c>
      <c r="S136" s="41" t="s">
        <v>137</v>
      </c>
      <c r="T136" s="41"/>
      <c r="U136" s="31" t="s">
        <v>230</v>
      </c>
      <c r="V136" s="25" t="s">
        <v>3</v>
      </c>
      <c r="W136" s="25">
        <v>1</v>
      </c>
      <c r="X136" s="27">
        <v>6000</v>
      </c>
      <c r="Y136" s="1142"/>
      <c r="Z136" s="1143"/>
      <c r="AA136" s="1143"/>
      <c r="AB136" s="1144"/>
      <c r="AC136" s="25">
        <v>30</v>
      </c>
      <c r="AD136" s="25">
        <v>30</v>
      </c>
      <c r="AE136" s="1142"/>
      <c r="AF136" s="1143"/>
      <c r="AG136" s="1143"/>
      <c r="AH136" s="1143"/>
      <c r="AI136" s="1143"/>
      <c r="AJ136" s="1145"/>
      <c r="AK136" s="35">
        <v>12000</v>
      </c>
      <c r="AL136" s="29" t="s">
        <v>73</v>
      </c>
      <c r="AM136" s="29" t="s">
        <v>73</v>
      </c>
      <c r="AN136" s="29" t="s">
        <v>73</v>
      </c>
      <c r="AO136" s="29" t="s">
        <v>73</v>
      </c>
      <c r="AP136" s="30">
        <v>6000</v>
      </c>
      <c r="AQ136" s="30">
        <v>6000</v>
      </c>
      <c r="AR136" s="29" t="s">
        <v>73</v>
      </c>
      <c r="AS136" s="29" t="s">
        <v>73</v>
      </c>
      <c r="AT136" s="29" t="s">
        <v>73</v>
      </c>
      <c r="AU136" s="29" t="s">
        <v>73</v>
      </c>
      <c r="AV136" s="29" t="s">
        <v>73</v>
      </c>
      <c r="AW136" s="29" t="s">
        <v>73</v>
      </c>
      <c r="AX136" s="30">
        <v>12000</v>
      </c>
      <c r="AY136" s="30" t="s">
        <v>6</v>
      </c>
      <c r="AZ136" s="2" t="s">
        <v>74</v>
      </c>
      <c r="BA136" s="2"/>
    </row>
    <row r="137" spans="1:53" ht="51" x14ac:dyDescent="0.25">
      <c r="A137" s="19">
        <v>2026</v>
      </c>
      <c r="B137" s="20">
        <v>479</v>
      </c>
      <c r="C137" s="21" t="s">
        <v>64</v>
      </c>
      <c r="D137" s="21" t="s">
        <v>65</v>
      </c>
      <c r="E137" s="20">
        <v>125</v>
      </c>
      <c r="F137" s="20">
        <v>3000654</v>
      </c>
      <c r="G137" s="20">
        <v>5005023</v>
      </c>
      <c r="H137" s="20">
        <v>3</v>
      </c>
      <c r="I137" s="20">
        <v>12</v>
      </c>
      <c r="J137" s="20">
        <v>24</v>
      </c>
      <c r="K137" s="20">
        <v>135560</v>
      </c>
      <c r="L137" s="21" t="s">
        <v>98</v>
      </c>
      <c r="M137" s="33" t="s">
        <v>99</v>
      </c>
      <c r="N137" s="19">
        <v>94</v>
      </c>
      <c r="O137" s="2"/>
      <c r="P137" s="2" t="s">
        <v>4</v>
      </c>
      <c r="Q137" s="20" t="s">
        <v>68</v>
      </c>
      <c r="R137" s="25" t="s">
        <v>69</v>
      </c>
      <c r="S137" s="41" t="s">
        <v>137</v>
      </c>
      <c r="T137" s="41"/>
      <c r="U137" s="31" t="s">
        <v>231</v>
      </c>
      <c r="V137" s="25" t="s">
        <v>3</v>
      </c>
      <c r="W137" s="25">
        <v>1</v>
      </c>
      <c r="X137" s="27">
        <v>6000</v>
      </c>
      <c r="Y137" s="1142"/>
      <c r="Z137" s="1143"/>
      <c r="AA137" s="1143"/>
      <c r="AB137" s="1144"/>
      <c r="AC137" s="25">
        <v>30</v>
      </c>
      <c r="AD137" s="25"/>
      <c r="AE137" s="1142"/>
      <c r="AF137" s="1143"/>
      <c r="AG137" s="1143"/>
      <c r="AH137" s="1143"/>
      <c r="AI137" s="1143"/>
      <c r="AJ137" s="1145"/>
      <c r="AK137" s="35">
        <v>6000</v>
      </c>
      <c r="AL137" s="29" t="s">
        <v>73</v>
      </c>
      <c r="AM137" s="29" t="s">
        <v>73</v>
      </c>
      <c r="AN137" s="29" t="s">
        <v>73</v>
      </c>
      <c r="AO137" s="29" t="s">
        <v>73</v>
      </c>
      <c r="AP137" s="30">
        <v>6000</v>
      </c>
      <c r="AQ137" s="29" t="s">
        <v>73</v>
      </c>
      <c r="AR137" s="29" t="s">
        <v>73</v>
      </c>
      <c r="AS137" s="29" t="s">
        <v>73</v>
      </c>
      <c r="AT137" s="29" t="s">
        <v>73</v>
      </c>
      <c r="AU137" s="29" t="s">
        <v>73</v>
      </c>
      <c r="AV137" s="29" t="s">
        <v>73</v>
      </c>
      <c r="AW137" s="29" t="s">
        <v>73</v>
      </c>
      <c r="AX137" s="30">
        <v>6000</v>
      </c>
      <c r="AY137" s="18" t="s">
        <v>6</v>
      </c>
      <c r="AZ137" s="2" t="s">
        <v>74</v>
      </c>
      <c r="BA137" s="2"/>
    </row>
    <row r="138" spans="1:53" ht="51" x14ac:dyDescent="0.25">
      <c r="A138" s="19">
        <v>2026</v>
      </c>
      <c r="B138" s="20">
        <v>479</v>
      </c>
      <c r="C138" s="21" t="s">
        <v>64</v>
      </c>
      <c r="D138" s="21" t="s">
        <v>65</v>
      </c>
      <c r="E138" s="20">
        <v>125</v>
      </c>
      <c r="F138" s="20">
        <v>3000654</v>
      </c>
      <c r="G138" s="20">
        <v>5005023</v>
      </c>
      <c r="H138" s="20">
        <v>3</v>
      </c>
      <c r="I138" s="20">
        <v>12</v>
      </c>
      <c r="J138" s="20">
        <v>24</v>
      </c>
      <c r="K138" s="20">
        <v>135560</v>
      </c>
      <c r="L138" s="21" t="s">
        <v>220</v>
      </c>
      <c r="M138" s="33" t="s">
        <v>221</v>
      </c>
      <c r="N138" s="19">
        <v>97</v>
      </c>
      <c r="O138" s="2"/>
      <c r="P138" s="2" t="s">
        <v>4</v>
      </c>
      <c r="Q138" s="20" t="s">
        <v>68</v>
      </c>
      <c r="R138" s="25" t="s">
        <v>69</v>
      </c>
      <c r="S138" s="41" t="s">
        <v>137</v>
      </c>
      <c r="T138" s="41"/>
      <c r="U138" s="31" t="s">
        <v>231</v>
      </c>
      <c r="V138" s="25" t="s">
        <v>3</v>
      </c>
      <c r="W138" s="25">
        <v>1</v>
      </c>
      <c r="X138" s="27">
        <v>6000</v>
      </c>
      <c r="Y138" s="1142"/>
      <c r="Z138" s="1143"/>
      <c r="AA138" s="1143"/>
      <c r="AB138" s="1144"/>
      <c r="AC138" s="25"/>
      <c r="AD138" s="25">
        <v>30</v>
      </c>
      <c r="AE138" s="1142"/>
      <c r="AF138" s="1143"/>
      <c r="AG138" s="1143"/>
      <c r="AH138" s="1143"/>
      <c r="AI138" s="1143"/>
      <c r="AJ138" s="1145"/>
      <c r="AK138" s="35">
        <v>6000</v>
      </c>
      <c r="AL138" s="29" t="s">
        <v>73</v>
      </c>
      <c r="AM138" s="29" t="s">
        <v>73</v>
      </c>
      <c r="AN138" s="29" t="s">
        <v>73</v>
      </c>
      <c r="AO138" s="29" t="s">
        <v>73</v>
      </c>
      <c r="AP138" s="29" t="s">
        <v>73</v>
      </c>
      <c r="AQ138" s="30">
        <v>6000</v>
      </c>
      <c r="AR138" s="29" t="s">
        <v>73</v>
      </c>
      <c r="AS138" s="29" t="s">
        <v>73</v>
      </c>
      <c r="AT138" s="29" t="s">
        <v>73</v>
      </c>
      <c r="AU138" s="29" t="s">
        <v>73</v>
      </c>
      <c r="AV138" s="29" t="s">
        <v>73</v>
      </c>
      <c r="AW138" s="29" t="s">
        <v>73</v>
      </c>
      <c r="AX138" s="30">
        <v>6000</v>
      </c>
      <c r="AY138" s="30" t="s">
        <v>6</v>
      </c>
      <c r="AZ138" s="2" t="s">
        <v>74</v>
      </c>
      <c r="BA138" s="2"/>
    </row>
    <row r="139" spans="1:53" ht="51" x14ac:dyDescent="0.25">
      <c r="A139" s="19">
        <v>2026</v>
      </c>
      <c r="B139" s="20">
        <v>479</v>
      </c>
      <c r="C139" s="21" t="s">
        <v>64</v>
      </c>
      <c r="D139" s="21" t="s">
        <v>65</v>
      </c>
      <c r="E139" s="20">
        <v>125</v>
      </c>
      <c r="F139" s="20">
        <v>3000654</v>
      </c>
      <c r="G139" s="20">
        <v>5005023</v>
      </c>
      <c r="H139" s="20">
        <v>3</v>
      </c>
      <c r="I139" s="20">
        <v>12</v>
      </c>
      <c r="J139" s="20">
        <v>24</v>
      </c>
      <c r="K139" s="20">
        <v>135560</v>
      </c>
      <c r="L139" s="21" t="s">
        <v>220</v>
      </c>
      <c r="M139" s="33" t="s">
        <v>221</v>
      </c>
      <c r="N139" s="19">
        <v>97</v>
      </c>
      <c r="O139" s="2"/>
      <c r="P139" s="2" t="s">
        <v>4</v>
      </c>
      <c r="Q139" s="20" t="s">
        <v>68</v>
      </c>
      <c r="R139" s="25" t="s">
        <v>69</v>
      </c>
      <c r="S139" s="41" t="s">
        <v>137</v>
      </c>
      <c r="T139" s="41"/>
      <c r="U139" s="31" t="s">
        <v>232</v>
      </c>
      <c r="V139" s="25" t="s">
        <v>3</v>
      </c>
      <c r="W139" s="25">
        <v>1</v>
      </c>
      <c r="X139" s="27">
        <v>6000</v>
      </c>
      <c r="Y139" s="1142"/>
      <c r="Z139" s="1143"/>
      <c r="AA139" s="1143"/>
      <c r="AB139" s="1144"/>
      <c r="AC139" s="25">
        <v>30</v>
      </c>
      <c r="AD139" s="25">
        <v>30</v>
      </c>
      <c r="AE139" s="1142"/>
      <c r="AF139" s="1143"/>
      <c r="AG139" s="1143"/>
      <c r="AH139" s="1143"/>
      <c r="AI139" s="1143"/>
      <c r="AJ139" s="1145"/>
      <c r="AK139" s="35">
        <v>12000</v>
      </c>
      <c r="AL139" s="29" t="s">
        <v>73</v>
      </c>
      <c r="AM139" s="29" t="s">
        <v>73</v>
      </c>
      <c r="AN139" s="29" t="s">
        <v>73</v>
      </c>
      <c r="AO139" s="29" t="s">
        <v>73</v>
      </c>
      <c r="AP139" s="30">
        <v>6000</v>
      </c>
      <c r="AQ139" s="30">
        <v>6000</v>
      </c>
      <c r="AR139" s="29" t="s">
        <v>73</v>
      </c>
      <c r="AS139" s="29" t="s">
        <v>73</v>
      </c>
      <c r="AT139" s="29" t="s">
        <v>73</v>
      </c>
      <c r="AU139" s="29" t="s">
        <v>73</v>
      </c>
      <c r="AV139" s="29" t="s">
        <v>73</v>
      </c>
      <c r="AW139" s="29" t="s">
        <v>73</v>
      </c>
      <c r="AX139" s="30">
        <v>12000</v>
      </c>
      <c r="AY139" s="30" t="s">
        <v>6</v>
      </c>
      <c r="AZ139" s="2" t="s">
        <v>74</v>
      </c>
      <c r="BA139" s="2"/>
    </row>
    <row r="140" spans="1:53" ht="51" x14ac:dyDescent="0.25">
      <c r="A140" s="19">
        <v>2026</v>
      </c>
      <c r="B140" s="20">
        <v>479</v>
      </c>
      <c r="C140" s="21" t="s">
        <v>64</v>
      </c>
      <c r="D140" s="21" t="s">
        <v>65</v>
      </c>
      <c r="E140" s="20">
        <v>125</v>
      </c>
      <c r="F140" s="20">
        <v>3000654</v>
      </c>
      <c r="G140" s="20">
        <v>5005023</v>
      </c>
      <c r="H140" s="20">
        <v>3</v>
      </c>
      <c r="I140" s="20">
        <v>12</v>
      </c>
      <c r="J140" s="20">
        <v>24</v>
      </c>
      <c r="K140" s="20">
        <v>135560</v>
      </c>
      <c r="L140" s="21" t="s">
        <v>98</v>
      </c>
      <c r="M140" s="33" t="s">
        <v>99</v>
      </c>
      <c r="N140" s="19">
        <v>94</v>
      </c>
      <c r="O140" s="2"/>
      <c r="P140" s="2" t="s">
        <v>4</v>
      </c>
      <c r="Q140" s="20" t="s">
        <v>68</v>
      </c>
      <c r="R140" s="25" t="s">
        <v>69</v>
      </c>
      <c r="S140" s="41" t="s">
        <v>137</v>
      </c>
      <c r="T140" s="41"/>
      <c r="U140" s="31" t="s">
        <v>233</v>
      </c>
      <c r="V140" s="25" t="s">
        <v>3</v>
      </c>
      <c r="W140" s="25">
        <v>1</v>
      </c>
      <c r="X140" s="27">
        <v>5500</v>
      </c>
      <c r="Y140" s="1142"/>
      <c r="Z140" s="1143"/>
      <c r="AA140" s="1143"/>
      <c r="AB140" s="1144"/>
      <c r="AC140" s="25">
        <v>30</v>
      </c>
      <c r="AD140" s="25"/>
      <c r="AE140" s="1142"/>
      <c r="AF140" s="1143"/>
      <c r="AG140" s="1143"/>
      <c r="AH140" s="1143"/>
      <c r="AI140" s="1143"/>
      <c r="AJ140" s="1145"/>
      <c r="AK140" s="35">
        <v>5500</v>
      </c>
      <c r="AL140" s="29" t="s">
        <v>73</v>
      </c>
      <c r="AM140" s="29" t="s">
        <v>73</v>
      </c>
      <c r="AN140" s="29" t="s">
        <v>73</v>
      </c>
      <c r="AO140" s="29" t="s">
        <v>73</v>
      </c>
      <c r="AP140" s="30">
        <v>5500</v>
      </c>
      <c r="AQ140" s="29" t="s">
        <v>73</v>
      </c>
      <c r="AR140" s="29" t="s">
        <v>73</v>
      </c>
      <c r="AS140" s="29" t="s">
        <v>73</v>
      </c>
      <c r="AT140" s="29" t="s">
        <v>73</v>
      </c>
      <c r="AU140" s="29" t="s">
        <v>73</v>
      </c>
      <c r="AV140" s="29" t="s">
        <v>73</v>
      </c>
      <c r="AW140" s="29" t="s">
        <v>73</v>
      </c>
      <c r="AX140" s="30">
        <v>5500</v>
      </c>
      <c r="AY140" s="18" t="s">
        <v>6</v>
      </c>
      <c r="AZ140" s="2" t="s">
        <v>74</v>
      </c>
      <c r="BA140" s="2"/>
    </row>
    <row r="141" spans="1:53" ht="51" x14ac:dyDescent="0.25">
      <c r="A141" s="19">
        <v>2026</v>
      </c>
      <c r="B141" s="20">
        <v>479</v>
      </c>
      <c r="C141" s="21" t="s">
        <v>64</v>
      </c>
      <c r="D141" s="21" t="s">
        <v>65</v>
      </c>
      <c r="E141" s="20">
        <v>125</v>
      </c>
      <c r="F141" s="20">
        <v>3000654</v>
      </c>
      <c r="G141" s="20">
        <v>5005023</v>
      </c>
      <c r="H141" s="20">
        <v>3</v>
      </c>
      <c r="I141" s="20">
        <v>12</v>
      </c>
      <c r="J141" s="20">
        <v>24</v>
      </c>
      <c r="K141" s="20">
        <v>135560</v>
      </c>
      <c r="L141" s="21" t="s">
        <v>220</v>
      </c>
      <c r="M141" s="33" t="s">
        <v>221</v>
      </c>
      <c r="N141" s="19">
        <v>97</v>
      </c>
      <c r="O141" s="2"/>
      <c r="P141" s="2" t="s">
        <v>4</v>
      </c>
      <c r="Q141" s="20" t="s">
        <v>68</v>
      </c>
      <c r="R141" s="25" t="s">
        <v>69</v>
      </c>
      <c r="S141" s="41" t="s">
        <v>137</v>
      </c>
      <c r="T141" s="41"/>
      <c r="U141" s="31" t="s">
        <v>233</v>
      </c>
      <c r="V141" s="25" t="s">
        <v>3</v>
      </c>
      <c r="W141" s="25">
        <v>1</v>
      </c>
      <c r="X141" s="27">
        <v>5500</v>
      </c>
      <c r="Y141" s="1142"/>
      <c r="Z141" s="1143"/>
      <c r="AA141" s="1143"/>
      <c r="AB141" s="1144"/>
      <c r="AC141" s="25"/>
      <c r="AD141" s="25">
        <v>30</v>
      </c>
      <c r="AE141" s="1142"/>
      <c r="AF141" s="1143"/>
      <c r="AG141" s="1143"/>
      <c r="AH141" s="1143"/>
      <c r="AI141" s="1143"/>
      <c r="AJ141" s="1145"/>
      <c r="AK141" s="35">
        <v>5500</v>
      </c>
      <c r="AL141" s="29" t="s">
        <v>73</v>
      </c>
      <c r="AM141" s="29" t="s">
        <v>73</v>
      </c>
      <c r="AN141" s="29" t="s">
        <v>73</v>
      </c>
      <c r="AO141" s="29" t="s">
        <v>73</v>
      </c>
      <c r="AP141" s="29" t="s">
        <v>73</v>
      </c>
      <c r="AQ141" s="30">
        <v>5500</v>
      </c>
      <c r="AR141" s="29" t="s">
        <v>73</v>
      </c>
      <c r="AS141" s="29" t="s">
        <v>73</v>
      </c>
      <c r="AT141" s="29" t="s">
        <v>73</v>
      </c>
      <c r="AU141" s="29" t="s">
        <v>73</v>
      </c>
      <c r="AV141" s="29" t="s">
        <v>73</v>
      </c>
      <c r="AW141" s="29" t="s">
        <v>73</v>
      </c>
      <c r="AX141" s="30">
        <v>5500</v>
      </c>
      <c r="AY141" s="30" t="s">
        <v>6</v>
      </c>
      <c r="AZ141" s="2" t="s">
        <v>74</v>
      </c>
      <c r="BA141" s="2"/>
    </row>
    <row r="142" spans="1:53" ht="51" x14ac:dyDescent="0.25">
      <c r="A142" s="19">
        <v>2026</v>
      </c>
      <c r="B142" s="20">
        <v>479</v>
      </c>
      <c r="C142" s="21" t="s">
        <v>64</v>
      </c>
      <c r="D142" s="21" t="s">
        <v>65</v>
      </c>
      <c r="E142" s="20">
        <v>125</v>
      </c>
      <c r="F142" s="20">
        <v>3000654</v>
      </c>
      <c r="G142" s="20">
        <v>5005023</v>
      </c>
      <c r="H142" s="20">
        <v>3</v>
      </c>
      <c r="I142" s="20">
        <v>12</v>
      </c>
      <c r="J142" s="20">
        <v>24</v>
      </c>
      <c r="K142" s="20">
        <v>135560</v>
      </c>
      <c r="L142" s="21" t="s">
        <v>220</v>
      </c>
      <c r="M142" s="33" t="s">
        <v>221</v>
      </c>
      <c r="N142" s="19">
        <v>97</v>
      </c>
      <c r="O142" s="2"/>
      <c r="P142" s="2" t="s">
        <v>4</v>
      </c>
      <c r="Q142" s="20" t="s">
        <v>68</v>
      </c>
      <c r="R142" s="25" t="s">
        <v>69</v>
      </c>
      <c r="S142" s="41" t="s">
        <v>137</v>
      </c>
      <c r="T142" s="41"/>
      <c r="U142" s="31" t="s">
        <v>234</v>
      </c>
      <c r="V142" s="25" t="s">
        <v>3</v>
      </c>
      <c r="W142" s="25">
        <v>1</v>
      </c>
      <c r="X142" s="27">
        <v>6500</v>
      </c>
      <c r="Y142" s="1142"/>
      <c r="Z142" s="1143"/>
      <c r="AA142" s="1143"/>
      <c r="AB142" s="1144"/>
      <c r="AC142" s="25">
        <v>30</v>
      </c>
      <c r="AD142" s="25">
        <v>30</v>
      </c>
      <c r="AE142" s="1142"/>
      <c r="AF142" s="1143"/>
      <c r="AG142" s="1143"/>
      <c r="AH142" s="1143"/>
      <c r="AI142" s="1143"/>
      <c r="AJ142" s="1145"/>
      <c r="AK142" s="35">
        <v>13000</v>
      </c>
      <c r="AL142" s="29" t="s">
        <v>73</v>
      </c>
      <c r="AM142" s="29" t="s">
        <v>73</v>
      </c>
      <c r="AN142" s="29" t="s">
        <v>73</v>
      </c>
      <c r="AO142" s="29" t="s">
        <v>73</v>
      </c>
      <c r="AP142" s="30">
        <v>6500</v>
      </c>
      <c r="AQ142" s="30">
        <v>6500</v>
      </c>
      <c r="AR142" s="29" t="s">
        <v>73</v>
      </c>
      <c r="AS142" s="29" t="s">
        <v>73</v>
      </c>
      <c r="AT142" s="29" t="s">
        <v>73</v>
      </c>
      <c r="AU142" s="29" t="s">
        <v>73</v>
      </c>
      <c r="AV142" s="29" t="s">
        <v>73</v>
      </c>
      <c r="AW142" s="29" t="s">
        <v>73</v>
      </c>
      <c r="AX142" s="30">
        <v>13000</v>
      </c>
      <c r="AY142" s="30" t="s">
        <v>6</v>
      </c>
      <c r="AZ142" s="2" t="s">
        <v>74</v>
      </c>
      <c r="BA142" s="2"/>
    </row>
    <row r="143" spans="1:53" ht="51" x14ac:dyDescent="0.25">
      <c r="A143" s="19">
        <v>2026</v>
      </c>
      <c r="B143" s="20">
        <v>479</v>
      </c>
      <c r="C143" s="21" t="s">
        <v>64</v>
      </c>
      <c r="D143" s="21" t="s">
        <v>65</v>
      </c>
      <c r="E143" s="20">
        <v>125</v>
      </c>
      <c r="F143" s="20">
        <v>3000654</v>
      </c>
      <c r="G143" s="20">
        <v>5005023</v>
      </c>
      <c r="H143" s="20">
        <v>3</v>
      </c>
      <c r="I143" s="20">
        <v>12</v>
      </c>
      <c r="J143" s="20">
        <v>24</v>
      </c>
      <c r="K143" s="20">
        <v>135560</v>
      </c>
      <c r="L143" s="21" t="s">
        <v>220</v>
      </c>
      <c r="M143" s="33" t="s">
        <v>221</v>
      </c>
      <c r="N143" s="19">
        <v>97</v>
      </c>
      <c r="O143" s="2"/>
      <c r="P143" s="2" t="s">
        <v>4</v>
      </c>
      <c r="Q143" s="20" t="s">
        <v>68</v>
      </c>
      <c r="R143" s="25" t="s">
        <v>69</v>
      </c>
      <c r="S143" s="41" t="s">
        <v>137</v>
      </c>
      <c r="T143" s="41"/>
      <c r="U143" s="31" t="s">
        <v>235</v>
      </c>
      <c r="V143" s="25" t="s">
        <v>3</v>
      </c>
      <c r="W143" s="25">
        <v>1</v>
      </c>
      <c r="X143" s="27">
        <v>7000</v>
      </c>
      <c r="Y143" s="1142"/>
      <c r="Z143" s="1143"/>
      <c r="AA143" s="1143"/>
      <c r="AB143" s="1144"/>
      <c r="AC143" s="25">
        <v>30</v>
      </c>
      <c r="AD143" s="25">
        <v>30</v>
      </c>
      <c r="AE143" s="1142"/>
      <c r="AF143" s="1143"/>
      <c r="AG143" s="1143"/>
      <c r="AH143" s="1143"/>
      <c r="AI143" s="1143"/>
      <c r="AJ143" s="1145"/>
      <c r="AK143" s="35">
        <v>14000</v>
      </c>
      <c r="AL143" s="29" t="s">
        <v>73</v>
      </c>
      <c r="AM143" s="29" t="s">
        <v>73</v>
      </c>
      <c r="AN143" s="29" t="s">
        <v>73</v>
      </c>
      <c r="AO143" s="29" t="s">
        <v>73</v>
      </c>
      <c r="AP143" s="30">
        <v>7000</v>
      </c>
      <c r="AQ143" s="30">
        <v>7000</v>
      </c>
      <c r="AR143" s="29" t="s">
        <v>73</v>
      </c>
      <c r="AS143" s="29" t="s">
        <v>73</v>
      </c>
      <c r="AT143" s="29" t="s">
        <v>73</v>
      </c>
      <c r="AU143" s="29" t="s">
        <v>73</v>
      </c>
      <c r="AV143" s="29" t="s">
        <v>73</v>
      </c>
      <c r="AW143" s="29" t="s">
        <v>73</v>
      </c>
      <c r="AX143" s="30">
        <v>14000</v>
      </c>
      <c r="AY143" s="30" t="s">
        <v>6</v>
      </c>
      <c r="AZ143" s="2" t="s">
        <v>74</v>
      </c>
      <c r="BA143" s="2"/>
    </row>
    <row r="144" spans="1:53" ht="51" x14ac:dyDescent="0.25">
      <c r="A144" s="19">
        <v>2026</v>
      </c>
      <c r="B144" s="20">
        <v>479</v>
      </c>
      <c r="C144" s="21" t="s">
        <v>64</v>
      </c>
      <c r="D144" s="21" t="s">
        <v>65</v>
      </c>
      <c r="E144" s="20">
        <v>125</v>
      </c>
      <c r="F144" s="20">
        <v>3000654</v>
      </c>
      <c r="G144" s="20">
        <v>5005023</v>
      </c>
      <c r="H144" s="20">
        <v>3</v>
      </c>
      <c r="I144" s="20">
        <v>12</v>
      </c>
      <c r="J144" s="20">
        <v>24</v>
      </c>
      <c r="K144" s="20">
        <v>135560</v>
      </c>
      <c r="L144" s="21" t="s">
        <v>220</v>
      </c>
      <c r="M144" s="33" t="s">
        <v>221</v>
      </c>
      <c r="N144" s="19">
        <v>97</v>
      </c>
      <c r="O144" s="2"/>
      <c r="P144" s="2" t="s">
        <v>4</v>
      </c>
      <c r="Q144" s="20" t="s">
        <v>68</v>
      </c>
      <c r="R144" s="25" t="s">
        <v>69</v>
      </c>
      <c r="S144" s="41" t="s">
        <v>137</v>
      </c>
      <c r="T144" s="41"/>
      <c r="U144" s="31" t="s">
        <v>236</v>
      </c>
      <c r="V144" s="25" t="s">
        <v>3</v>
      </c>
      <c r="W144" s="25">
        <v>1</v>
      </c>
      <c r="X144" s="27">
        <v>6500</v>
      </c>
      <c r="Y144" s="1142"/>
      <c r="Z144" s="1143"/>
      <c r="AA144" s="1143"/>
      <c r="AB144" s="1144"/>
      <c r="AC144" s="25">
        <v>30</v>
      </c>
      <c r="AD144" s="25">
        <v>30</v>
      </c>
      <c r="AE144" s="1142"/>
      <c r="AF144" s="1143"/>
      <c r="AG144" s="1143"/>
      <c r="AH144" s="1143"/>
      <c r="AI144" s="1143"/>
      <c r="AJ144" s="1145"/>
      <c r="AK144" s="35">
        <v>13000</v>
      </c>
      <c r="AL144" s="29" t="s">
        <v>73</v>
      </c>
      <c r="AM144" s="29" t="s">
        <v>73</v>
      </c>
      <c r="AN144" s="29" t="s">
        <v>73</v>
      </c>
      <c r="AO144" s="29" t="s">
        <v>73</v>
      </c>
      <c r="AP144" s="30">
        <v>6500</v>
      </c>
      <c r="AQ144" s="30">
        <v>6500</v>
      </c>
      <c r="AR144" s="29" t="s">
        <v>73</v>
      </c>
      <c r="AS144" s="29" t="s">
        <v>73</v>
      </c>
      <c r="AT144" s="29" t="s">
        <v>73</v>
      </c>
      <c r="AU144" s="29" t="s">
        <v>73</v>
      </c>
      <c r="AV144" s="29" t="s">
        <v>73</v>
      </c>
      <c r="AW144" s="29" t="s">
        <v>73</v>
      </c>
      <c r="AX144" s="30">
        <v>13000</v>
      </c>
      <c r="AY144" s="30" t="s">
        <v>6</v>
      </c>
      <c r="AZ144" s="2" t="s">
        <v>74</v>
      </c>
      <c r="BA144" s="2"/>
    </row>
    <row r="145" spans="1:53" ht="51" x14ac:dyDescent="0.25">
      <c r="A145" s="19">
        <v>2026</v>
      </c>
      <c r="B145" s="20">
        <v>479</v>
      </c>
      <c r="C145" s="21" t="s">
        <v>64</v>
      </c>
      <c r="D145" s="21" t="s">
        <v>65</v>
      </c>
      <c r="E145" s="20">
        <v>125</v>
      </c>
      <c r="F145" s="20">
        <v>3000654</v>
      </c>
      <c r="G145" s="20">
        <v>5005023</v>
      </c>
      <c r="H145" s="20">
        <v>3</v>
      </c>
      <c r="I145" s="20">
        <v>12</v>
      </c>
      <c r="J145" s="20">
        <v>24</v>
      </c>
      <c r="K145" s="20">
        <v>135560</v>
      </c>
      <c r="L145" s="21" t="s">
        <v>220</v>
      </c>
      <c r="M145" s="33" t="s">
        <v>221</v>
      </c>
      <c r="N145" s="19">
        <v>97</v>
      </c>
      <c r="O145" s="2"/>
      <c r="P145" s="2" t="s">
        <v>4</v>
      </c>
      <c r="Q145" s="20" t="s">
        <v>68</v>
      </c>
      <c r="R145" s="25" t="s">
        <v>69</v>
      </c>
      <c r="S145" s="41" t="s">
        <v>137</v>
      </c>
      <c r="T145" s="41"/>
      <c r="U145" s="31" t="s">
        <v>237</v>
      </c>
      <c r="V145" s="25" t="s">
        <v>3</v>
      </c>
      <c r="W145" s="25">
        <v>1</v>
      </c>
      <c r="X145" s="27">
        <v>6500</v>
      </c>
      <c r="Y145" s="1142"/>
      <c r="Z145" s="1143"/>
      <c r="AA145" s="1143"/>
      <c r="AB145" s="1144"/>
      <c r="AC145" s="25">
        <v>30</v>
      </c>
      <c r="AD145" s="25">
        <v>30</v>
      </c>
      <c r="AE145" s="1142"/>
      <c r="AF145" s="1143"/>
      <c r="AG145" s="1143"/>
      <c r="AH145" s="1143"/>
      <c r="AI145" s="1143"/>
      <c r="AJ145" s="1145"/>
      <c r="AK145" s="35">
        <v>13000</v>
      </c>
      <c r="AL145" s="29" t="s">
        <v>73</v>
      </c>
      <c r="AM145" s="29" t="s">
        <v>73</v>
      </c>
      <c r="AN145" s="29" t="s">
        <v>73</v>
      </c>
      <c r="AO145" s="29" t="s">
        <v>73</v>
      </c>
      <c r="AP145" s="30">
        <v>6500</v>
      </c>
      <c r="AQ145" s="30">
        <v>6500</v>
      </c>
      <c r="AR145" s="29" t="s">
        <v>73</v>
      </c>
      <c r="AS145" s="29" t="s">
        <v>73</v>
      </c>
      <c r="AT145" s="29" t="s">
        <v>73</v>
      </c>
      <c r="AU145" s="29" t="s">
        <v>73</v>
      </c>
      <c r="AV145" s="29" t="s">
        <v>73</v>
      </c>
      <c r="AW145" s="29" t="s">
        <v>73</v>
      </c>
      <c r="AX145" s="30">
        <v>13000</v>
      </c>
      <c r="AY145" s="30" t="s">
        <v>6</v>
      </c>
      <c r="AZ145" s="2" t="s">
        <v>74</v>
      </c>
      <c r="BA145" s="2"/>
    </row>
    <row r="146" spans="1:53" ht="51" x14ac:dyDescent="0.25">
      <c r="A146" s="19">
        <v>2026</v>
      </c>
      <c r="B146" s="20">
        <v>479</v>
      </c>
      <c r="C146" s="21" t="s">
        <v>64</v>
      </c>
      <c r="D146" s="21" t="s">
        <v>65</v>
      </c>
      <c r="E146" s="20">
        <v>125</v>
      </c>
      <c r="F146" s="20">
        <v>3000654</v>
      </c>
      <c r="G146" s="20">
        <v>5005023</v>
      </c>
      <c r="H146" s="20">
        <v>3</v>
      </c>
      <c r="I146" s="20">
        <v>12</v>
      </c>
      <c r="J146" s="20">
        <v>24</v>
      </c>
      <c r="K146" s="20">
        <v>135560</v>
      </c>
      <c r="L146" s="21" t="s">
        <v>98</v>
      </c>
      <c r="M146" s="33" t="s">
        <v>99</v>
      </c>
      <c r="N146" s="19">
        <v>94</v>
      </c>
      <c r="O146" s="2"/>
      <c r="P146" s="2" t="s">
        <v>4</v>
      </c>
      <c r="Q146" s="20" t="s">
        <v>68</v>
      </c>
      <c r="R146" s="25" t="s">
        <v>69</v>
      </c>
      <c r="S146" s="41" t="s">
        <v>137</v>
      </c>
      <c r="T146" s="41"/>
      <c r="U146" s="31" t="s">
        <v>238</v>
      </c>
      <c r="V146" s="25" t="s">
        <v>3</v>
      </c>
      <c r="W146" s="25">
        <v>1</v>
      </c>
      <c r="X146" s="27">
        <v>7000</v>
      </c>
      <c r="Y146" s="1142"/>
      <c r="Z146" s="1143"/>
      <c r="AA146" s="1143"/>
      <c r="AB146" s="1144"/>
      <c r="AC146" s="25">
        <v>30</v>
      </c>
      <c r="AD146" s="25"/>
      <c r="AE146" s="1142"/>
      <c r="AF146" s="1143"/>
      <c r="AG146" s="1143"/>
      <c r="AH146" s="1143"/>
      <c r="AI146" s="1143"/>
      <c r="AJ146" s="1145"/>
      <c r="AK146" s="35">
        <v>7000</v>
      </c>
      <c r="AL146" s="29" t="s">
        <v>73</v>
      </c>
      <c r="AM146" s="29" t="s">
        <v>73</v>
      </c>
      <c r="AN146" s="29" t="s">
        <v>73</v>
      </c>
      <c r="AO146" s="29" t="s">
        <v>73</v>
      </c>
      <c r="AP146" s="30">
        <v>7000</v>
      </c>
      <c r="AQ146" s="29" t="s">
        <v>73</v>
      </c>
      <c r="AR146" s="29" t="s">
        <v>73</v>
      </c>
      <c r="AS146" s="29" t="s">
        <v>73</v>
      </c>
      <c r="AT146" s="29" t="s">
        <v>73</v>
      </c>
      <c r="AU146" s="29" t="s">
        <v>73</v>
      </c>
      <c r="AV146" s="29" t="s">
        <v>73</v>
      </c>
      <c r="AW146" s="29" t="s">
        <v>73</v>
      </c>
      <c r="AX146" s="30">
        <v>7000</v>
      </c>
      <c r="AY146" s="18" t="s">
        <v>6</v>
      </c>
      <c r="AZ146" s="2" t="s">
        <v>74</v>
      </c>
      <c r="BA146" s="2"/>
    </row>
    <row r="147" spans="1:53" ht="51" x14ac:dyDescent="0.25">
      <c r="A147" s="19">
        <v>2026</v>
      </c>
      <c r="B147" s="20">
        <v>479</v>
      </c>
      <c r="C147" s="21" t="s">
        <v>64</v>
      </c>
      <c r="D147" s="21" t="s">
        <v>65</v>
      </c>
      <c r="E147" s="20">
        <v>125</v>
      </c>
      <c r="F147" s="20">
        <v>3000654</v>
      </c>
      <c r="G147" s="20">
        <v>5005023</v>
      </c>
      <c r="H147" s="20">
        <v>3</v>
      </c>
      <c r="I147" s="20">
        <v>12</v>
      </c>
      <c r="J147" s="20">
        <v>24</v>
      </c>
      <c r="K147" s="20">
        <v>135560</v>
      </c>
      <c r="L147" s="21" t="s">
        <v>220</v>
      </c>
      <c r="M147" s="33" t="s">
        <v>221</v>
      </c>
      <c r="N147" s="19">
        <v>97</v>
      </c>
      <c r="O147" s="2"/>
      <c r="P147" s="2" t="s">
        <v>4</v>
      </c>
      <c r="Q147" s="20" t="s">
        <v>68</v>
      </c>
      <c r="R147" s="25" t="s">
        <v>69</v>
      </c>
      <c r="S147" s="41" t="s">
        <v>137</v>
      </c>
      <c r="T147" s="41"/>
      <c r="U147" s="31" t="s">
        <v>238</v>
      </c>
      <c r="V147" s="25" t="s">
        <v>3</v>
      </c>
      <c r="W147" s="25">
        <v>1</v>
      </c>
      <c r="X147" s="27">
        <v>7000</v>
      </c>
      <c r="Y147" s="1142"/>
      <c r="Z147" s="1143"/>
      <c r="AA147" s="1143"/>
      <c r="AB147" s="1144"/>
      <c r="AC147" s="25"/>
      <c r="AD147" s="25">
        <v>30</v>
      </c>
      <c r="AE147" s="1142"/>
      <c r="AF147" s="1143"/>
      <c r="AG147" s="1143"/>
      <c r="AH147" s="1143"/>
      <c r="AI147" s="1143"/>
      <c r="AJ147" s="1145"/>
      <c r="AK147" s="35">
        <v>7000</v>
      </c>
      <c r="AL147" s="29" t="s">
        <v>73</v>
      </c>
      <c r="AM147" s="29" t="s">
        <v>73</v>
      </c>
      <c r="AN147" s="29" t="s">
        <v>73</v>
      </c>
      <c r="AO147" s="29" t="s">
        <v>73</v>
      </c>
      <c r="AP147" s="29" t="s">
        <v>73</v>
      </c>
      <c r="AQ147" s="30">
        <v>7000</v>
      </c>
      <c r="AR147" s="29" t="s">
        <v>73</v>
      </c>
      <c r="AS147" s="29" t="s">
        <v>73</v>
      </c>
      <c r="AT147" s="29" t="s">
        <v>73</v>
      </c>
      <c r="AU147" s="29" t="s">
        <v>73</v>
      </c>
      <c r="AV147" s="29" t="s">
        <v>73</v>
      </c>
      <c r="AW147" s="29" t="s">
        <v>73</v>
      </c>
      <c r="AX147" s="30">
        <v>7000</v>
      </c>
      <c r="AY147" s="30" t="s">
        <v>6</v>
      </c>
      <c r="AZ147" s="2" t="s">
        <v>74</v>
      </c>
      <c r="BA147" s="2"/>
    </row>
    <row r="148" spans="1:53" ht="51" x14ac:dyDescent="0.25">
      <c r="A148" s="19">
        <v>2026</v>
      </c>
      <c r="B148" s="20">
        <v>479</v>
      </c>
      <c r="C148" s="21" t="s">
        <v>64</v>
      </c>
      <c r="D148" s="21" t="s">
        <v>65</v>
      </c>
      <c r="E148" s="20">
        <v>125</v>
      </c>
      <c r="F148" s="20">
        <v>3000654</v>
      </c>
      <c r="G148" s="20">
        <v>5005023</v>
      </c>
      <c r="H148" s="20">
        <v>3</v>
      </c>
      <c r="I148" s="20">
        <v>12</v>
      </c>
      <c r="J148" s="20">
        <v>24</v>
      </c>
      <c r="K148" s="20">
        <v>135560</v>
      </c>
      <c r="L148" s="21" t="s">
        <v>98</v>
      </c>
      <c r="M148" s="33" t="s">
        <v>99</v>
      </c>
      <c r="N148" s="19">
        <v>94</v>
      </c>
      <c r="O148" s="2"/>
      <c r="P148" s="2" t="s">
        <v>4</v>
      </c>
      <c r="Q148" s="20" t="s">
        <v>68</v>
      </c>
      <c r="R148" s="25" t="s">
        <v>69</v>
      </c>
      <c r="S148" s="41" t="s">
        <v>137</v>
      </c>
      <c r="T148" s="41"/>
      <c r="U148" s="31" t="s">
        <v>239</v>
      </c>
      <c r="V148" s="25" t="s">
        <v>3</v>
      </c>
      <c r="W148" s="25">
        <v>1</v>
      </c>
      <c r="X148" s="27">
        <v>7500</v>
      </c>
      <c r="Y148" s="1142"/>
      <c r="Z148" s="1143"/>
      <c r="AA148" s="1143"/>
      <c r="AB148" s="1144"/>
      <c r="AC148" s="25">
        <v>30</v>
      </c>
      <c r="AD148" s="25"/>
      <c r="AE148" s="1142"/>
      <c r="AF148" s="1143"/>
      <c r="AG148" s="1143"/>
      <c r="AH148" s="1143"/>
      <c r="AI148" s="1143"/>
      <c r="AJ148" s="1145"/>
      <c r="AK148" s="35">
        <v>7500</v>
      </c>
      <c r="AL148" s="29" t="s">
        <v>73</v>
      </c>
      <c r="AM148" s="29" t="s">
        <v>73</v>
      </c>
      <c r="AN148" s="29" t="s">
        <v>73</v>
      </c>
      <c r="AO148" s="29" t="s">
        <v>73</v>
      </c>
      <c r="AP148" s="30">
        <v>7500</v>
      </c>
      <c r="AQ148" s="29" t="s">
        <v>73</v>
      </c>
      <c r="AR148" s="29" t="s">
        <v>73</v>
      </c>
      <c r="AS148" s="29" t="s">
        <v>73</v>
      </c>
      <c r="AT148" s="29" t="s">
        <v>73</v>
      </c>
      <c r="AU148" s="29" t="s">
        <v>73</v>
      </c>
      <c r="AV148" s="29" t="s">
        <v>73</v>
      </c>
      <c r="AW148" s="29" t="s">
        <v>73</v>
      </c>
      <c r="AX148" s="30">
        <v>7500</v>
      </c>
      <c r="AY148" s="18" t="s">
        <v>6</v>
      </c>
      <c r="AZ148" s="2" t="s">
        <v>74</v>
      </c>
      <c r="BA148" s="2"/>
    </row>
    <row r="149" spans="1:53" ht="51" x14ac:dyDescent="0.25">
      <c r="A149" s="19">
        <v>2026</v>
      </c>
      <c r="B149" s="20">
        <v>479</v>
      </c>
      <c r="C149" s="21" t="s">
        <v>64</v>
      </c>
      <c r="D149" s="21" t="s">
        <v>65</v>
      </c>
      <c r="E149" s="20">
        <v>125</v>
      </c>
      <c r="F149" s="20">
        <v>3000654</v>
      </c>
      <c r="G149" s="20">
        <v>5005023</v>
      </c>
      <c r="H149" s="20">
        <v>3</v>
      </c>
      <c r="I149" s="20">
        <v>12</v>
      </c>
      <c r="J149" s="20">
        <v>24</v>
      </c>
      <c r="K149" s="20">
        <v>135560</v>
      </c>
      <c r="L149" s="21" t="s">
        <v>220</v>
      </c>
      <c r="M149" s="33" t="s">
        <v>221</v>
      </c>
      <c r="N149" s="19">
        <v>97</v>
      </c>
      <c r="O149" s="2"/>
      <c r="P149" s="2" t="s">
        <v>4</v>
      </c>
      <c r="Q149" s="20" t="s">
        <v>68</v>
      </c>
      <c r="R149" s="25" t="s">
        <v>69</v>
      </c>
      <c r="S149" s="41" t="s">
        <v>137</v>
      </c>
      <c r="T149" s="41"/>
      <c r="U149" s="31" t="s">
        <v>239</v>
      </c>
      <c r="V149" s="25" t="s">
        <v>3</v>
      </c>
      <c r="W149" s="25">
        <v>1</v>
      </c>
      <c r="X149" s="27">
        <v>7500</v>
      </c>
      <c r="Y149" s="1142"/>
      <c r="Z149" s="1143"/>
      <c r="AA149" s="1143"/>
      <c r="AB149" s="1144"/>
      <c r="AC149" s="25"/>
      <c r="AD149" s="25">
        <v>30</v>
      </c>
      <c r="AE149" s="1142"/>
      <c r="AF149" s="1143"/>
      <c r="AG149" s="1143"/>
      <c r="AH149" s="1143"/>
      <c r="AI149" s="1143"/>
      <c r="AJ149" s="1145"/>
      <c r="AK149" s="35">
        <v>7500</v>
      </c>
      <c r="AL149" s="29" t="s">
        <v>73</v>
      </c>
      <c r="AM149" s="29" t="s">
        <v>73</v>
      </c>
      <c r="AN149" s="29" t="s">
        <v>73</v>
      </c>
      <c r="AO149" s="29" t="s">
        <v>73</v>
      </c>
      <c r="AP149" s="29" t="s">
        <v>73</v>
      </c>
      <c r="AQ149" s="30">
        <v>7500</v>
      </c>
      <c r="AR149" s="29" t="s">
        <v>73</v>
      </c>
      <c r="AS149" s="29" t="s">
        <v>73</v>
      </c>
      <c r="AT149" s="29" t="s">
        <v>73</v>
      </c>
      <c r="AU149" s="29" t="s">
        <v>73</v>
      </c>
      <c r="AV149" s="29" t="s">
        <v>73</v>
      </c>
      <c r="AW149" s="29" t="s">
        <v>73</v>
      </c>
      <c r="AX149" s="30">
        <v>7500</v>
      </c>
      <c r="AY149" s="30" t="s">
        <v>6</v>
      </c>
      <c r="AZ149" s="2" t="s">
        <v>74</v>
      </c>
      <c r="BA149" s="2"/>
    </row>
    <row r="150" spans="1:53" ht="51" x14ac:dyDescent="0.25">
      <c r="A150" s="19">
        <v>2026</v>
      </c>
      <c r="B150" s="20">
        <v>479</v>
      </c>
      <c r="C150" s="21" t="s">
        <v>64</v>
      </c>
      <c r="D150" s="21" t="s">
        <v>65</v>
      </c>
      <c r="E150" s="20">
        <v>125</v>
      </c>
      <c r="F150" s="20">
        <v>3000654</v>
      </c>
      <c r="G150" s="20">
        <v>5005023</v>
      </c>
      <c r="H150" s="20">
        <v>3</v>
      </c>
      <c r="I150" s="20">
        <v>12</v>
      </c>
      <c r="J150" s="20">
        <v>24</v>
      </c>
      <c r="K150" s="20">
        <v>135560</v>
      </c>
      <c r="L150" s="21" t="s">
        <v>98</v>
      </c>
      <c r="M150" s="33" t="s">
        <v>99</v>
      </c>
      <c r="N150" s="19">
        <v>94</v>
      </c>
      <c r="O150" s="2"/>
      <c r="P150" s="2" t="s">
        <v>4</v>
      </c>
      <c r="Q150" s="20" t="s">
        <v>68</v>
      </c>
      <c r="R150" s="25" t="s">
        <v>69</v>
      </c>
      <c r="S150" s="41" t="s">
        <v>137</v>
      </c>
      <c r="T150" s="41"/>
      <c r="U150" s="31" t="s">
        <v>240</v>
      </c>
      <c r="V150" s="25" t="s">
        <v>3</v>
      </c>
      <c r="W150" s="25">
        <v>1</v>
      </c>
      <c r="X150" s="27">
        <v>5500</v>
      </c>
      <c r="Y150" s="1142"/>
      <c r="Z150" s="1143"/>
      <c r="AA150" s="1143"/>
      <c r="AB150" s="1144"/>
      <c r="AC150" s="25">
        <v>30</v>
      </c>
      <c r="AD150" s="25"/>
      <c r="AE150" s="1142"/>
      <c r="AF150" s="1143"/>
      <c r="AG150" s="1143"/>
      <c r="AH150" s="1143"/>
      <c r="AI150" s="1143"/>
      <c r="AJ150" s="1145"/>
      <c r="AK150" s="35">
        <v>5500</v>
      </c>
      <c r="AL150" s="29" t="s">
        <v>73</v>
      </c>
      <c r="AM150" s="29" t="s">
        <v>73</v>
      </c>
      <c r="AN150" s="29" t="s">
        <v>73</v>
      </c>
      <c r="AO150" s="29" t="s">
        <v>73</v>
      </c>
      <c r="AP150" s="30">
        <v>5500</v>
      </c>
      <c r="AQ150" s="29" t="s">
        <v>73</v>
      </c>
      <c r="AR150" s="29" t="s">
        <v>73</v>
      </c>
      <c r="AS150" s="29" t="s">
        <v>73</v>
      </c>
      <c r="AT150" s="29" t="s">
        <v>73</v>
      </c>
      <c r="AU150" s="29" t="s">
        <v>73</v>
      </c>
      <c r="AV150" s="29" t="s">
        <v>73</v>
      </c>
      <c r="AW150" s="29" t="s">
        <v>73</v>
      </c>
      <c r="AX150" s="30">
        <v>5500</v>
      </c>
      <c r="AY150" s="18" t="s">
        <v>6</v>
      </c>
      <c r="AZ150" s="2" t="s">
        <v>74</v>
      </c>
      <c r="BA150" s="2"/>
    </row>
    <row r="151" spans="1:53" ht="51" x14ac:dyDescent="0.25">
      <c r="A151" s="19">
        <v>2026</v>
      </c>
      <c r="B151" s="20">
        <v>479</v>
      </c>
      <c r="C151" s="21" t="s">
        <v>64</v>
      </c>
      <c r="D151" s="21" t="s">
        <v>65</v>
      </c>
      <c r="E151" s="20">
        <v>125</v>
      </c>
      <c r="F151" s="20">
        <v>3000654</v>
      </c>
      <c r="G151" s="20">
        <v>5005023</v>
      </c>
      <c r="H151" s="20">
        <v>3</v>
      </c>
      <c r="I151" s="20">
        <v>12</v>
      </c>
      <c r="J151" s="20">
        <v>24</v>
      </c>
      <c r="K151" s="20">
        <v>135560</v>
      </c>
      <c r="L151" s="21" t="s">
        <v>220</v>
      </c>
      <c r="M151" s="33" t="s">
        <v>221</v>
      </c>
      <c r="N151" s="19">
        <v>97</v>
      </c>
      <c r="O151" s="2"/>
      <c r="P151" s="2" t="s">
        <v>4</v>
      </c>
      <c r="Q151" s="20" t="s">
        <v>68</v>
      </c>
      <c r="R151" s="25" t="s">
        <v>69</v>
      </c>
      <c r="S151" s="41" t="s">
        <v>137</v>
      </c>
      <c r="T151" s="41"/>
      <c r="U151" s="31" t="s">
        <v>240</v>
      </c>
      <c r="V151" s="25" t="s">
        <v>3</v>
      </c>
      <c r="W151" s="25">
        <v>1</v>
      </c>
      <c r="X151" s="27">
        <v>5500</v>
      </c>
      <c r="Y151" s="1142"/>
      <c r="Z151" s="1143"/>
      <c r="AA151" s="1143"/>
      <c r="AB151" s="1144"/>
      <c r="AC151" s="25"/>
      <c r="AD151" s="25">
        <v>30</v>
      </c>
      <c r="AE151" s="1142"/>
      <c r="AF151" s="1143"/>
      <c r="AG151" s="1143"/>
      <c r="AH151" s="1143"/>
      <c r="AI151" s="1143"/>
      <c r="AJ151" s="1145"/>
      <c r="AK151" s="35">
        <v>5500</v>
      </c>
      <c r="AL151" s="29" t="s">
        <v>73</v>
      </c>
      <c r="AM151" s="29" t="s">
        <v>73</v>
      </c>
      <c r="AN151" s="29" t="s">
        <v>73</v>
      </c>
      <c r="AO151" s="29" t="s">
        <v>73</v>
      </c>
      <c r="AP151" s="29" t="s">
        <v>73</v>
      </c>
      <c r="AQ151" s="30">
        <v>5500</v>
      </c>
      <c r="AR151" s="29" t="s">
        <v>73</v>
      </c>
      <c r="AS151" s="29" t="s">
        <v>73</v>
      </c>
      <c r="AT151" s="29" t="s">
        <v>73</v>
      </c>
      <c r="AU151" s="29" t="s">
        <v>73</v>
      </c>
      <c r="AV151" s="29" t="s">
        <v>73</v>
      </c>
      <c r="AW151" s="29" t="s">
        <v>73</v>
      </c>
      <c r="AX151" s="30">
        <v>5500</v>
      </c>
      <c r="AY151" s="30" t="s">
        <v>6</v>
      </c>
      <c r="AZ151" s="2" t="s">
        <v>74</v>
      </c>
      <c r="BA151" s="2"/>
    </row>
    <row r="152" spans="1:53" ht="51" x14ac:dyDescent="0.25">
      <c r="A152" s="19">
        <v>2026</v>
      </c>
      <c r="B152" s="20">
        <v>479</v>
      </c>
      <c r="C152" s="21" t="s">
        <v>64</v>
      </c>
      <c r="D152" s="21" t="s">
        <v>65</v>
      </c>
      <c r="E152" s="20">
        <v>125</v>
      </c>
      <c r="F152" s="20">
        <v>3000654</v>
      </c>
      <c r="G152" s="20">
        <v>5005023</v>
      </c>
      <c r="H152" s="20">
        <v>3</v>
      </c>
      <c r="I152" s="20">
        <v>12</v>
      </c>
      <c r="J152" s="20">
        <v>24</v>
      </c>
      <c r="K152" s="20">
        <v>135560</v>
      </c>
      <c r="L152" s="21" t="s">
        <v>98</v>
      </c>
      <c r="M152" s="33" t="s">
        <v>99</v>
      </c>
      <c r="N152" s="19">
        <v>94</v>
      </c>
      <c r="O152" s="2"/>
      <c r="P152" s="2" t="s">
        <v>4</v>
      </c>
      <c r="Q152" s="20" t="s">
        <v>68</v>
      </c>
      <c r="R152" s="25" t="s">
        <v>69</v>
      </c>
      <c r="S152" s="41" t="s">
        <v>137</v>
      </c>
      <c r="T152" s="41"/>
      <c r="U152" s="31" t="s">
        <v>241</v>
      </c>
      <c r="V152" s="25" t="s">
        <v>3</v>
      </c>
      <c r="W152" s="25">
        <v>1</v>
      </c>
      <c r="X152" s="27">
        <v>5500</v>
      </c>
      <c r="Y152" s="1142"/>
      <c r="Z152" s="1143"/>
      <c r="AA152" s="1143"/>
      <c r="AB152" s="1144"/>
      <c r="AC152" s="25">
        <v>30</v>
      </c>
      <c r="AD152" s="25"/>
      <c r="AE152" s="1142"/>
      <c r="AF152" s="1143"/>
      <c r="AG152" s="1143"/>
      <c r="AH152" s="1143"/>
      <c r="AI152" s="1143"/>
      <c r="AJ152" s="1145"/>
      <c r="AK152" s="35">
        <v>5500</v>
      </c>
      <c r="AL152" s="29" t="s">
        <v>73</v>
      </c>
      <c r="AM152" s="29" t="s">
        <v>73</v>
      </c>
      <c r="AN152" s="29" t="s">
        <v>73</v>
      </c>
      <c r="AO152" s="29" t="s">
        <v>73</v>
      </c>
      <c r="AP152" s="30">
        <v>5500</v>
      </c>
      <c r="AQ152" s="29" t="s">
        <v>73</v>
      </c>
      <c r="AR152" s="29" t="s">
        <v>73</v>
      </c>
      <c r="AS152" s="29" t="s">
        <v>73</v>
      </c>
      <c r="AT152" s="29" t="s">
        <v>73</v>
      </c>
      <c r="AU152" s="29" t="s">
        <v>73</v>
      </c>
      <c r="AV152" s="29" t="s">
        <v>73</v>
      </c>
      <c r="AW152" s="29" t="s">
        <v>73</v>
      </c>
      <c r="AX152" s="30">
        <v>5500</v>
      </c>
      <c r="AY152" s="18" t="s">
        <v>6</v>
      </c>
      <c r="AZ152" s="2" t="s">
        <v>74</v>
      </c>
      <c r="BA152" s="2"/>
    </row>
    <row r="153" spans="1:53" ht="51" x14ac:dyDescent="0.25">
      <c r="A153" s="19">
        <v>2026</v>
      </c>
      <c r="B153" s="20">
        <v>479</v>
      </c>
      <c r="C153" s="21" t="s">
        <v>64</v>
      </c>
      <c r="D153" s="21" t="s">
        <v>65</v>
      </c>
      <c r="E153" s="20">
        <v>125</v>
      </c>
      <c r="F153" s="20">
        <v>3000654</v>
      </c>
      <c r="G153" s="20">
        <v>5005023</v>
      </c>
      <c r="H153" s="20">
        <v>3</v>
      </c>
      <c r="I153" s="20">
        <v>12</v>
      </c>
      <c r="J153" s="20">
        <v>24</v>
      </c>
      <c r="K153" s="20">
        <v>135560</v>
      </c>
      <c r="L153" s="21" t="s">
        <v>220</v>
      </c>
      <c r="M153" s="33" t="s">
        <v>221</v>
      </c>
      <c r="N153" s="19">
        <v>97</v>
      </c>
      <c r="O153" s="2"/>
      <c r="P153" s="2" t="s">
        <v>4</v>
      </c>
      <c r="Q153" s="20" t="s">
        <v>68</v>
      </c>
      <c r="R153" s="25" t="s">
        <v>69</v>
      </c>
      <c r="S153" s="41" t="s">
        <v>137</v>
      </c>
      <c r="T153" s="41"/>
      <c r="U153" s="31" t="s">
        <v>241</v>
      </c>
      <c r="V153" s="25" t="s">
        <v>3</v>
      </c>
      <c r="W153" s="25">
        <v>1</v>
      </c>
      <c r="X153" s="27">
        <v>5500</v>
      </c>
      <c r="Y153" s="1142"/>
      <c r="Z153" s="1143"/>
      <c r="AA153" s="1143"/>
      <c r="AB153" s="1144"/>
      <c r="AC153" s="25"/>
      <c r="AD153" s="25">
        <v>30</v>
      </c>
      <c r="AE153" s="1142"/>
      <c r="AF153" s="1143"/>
      <c r="AG153" s="1143"/>
      <c r="AH153" s="1143"/>
      <c r="AI153" s="1143"/>
      <c r="AJ153" s="1145"/>
      <c r="AK153" s="35">
        <v>5500</v>
      </c>
      <c r="AL153" s="29" t="s">
        <v>73</v>
      </c>
      <c r="AM153" s="29" t="s">
        <v>73</v>
      </c>
      <c r="AN153" s="29" t="s">
        <v>73</v>
      </c>
      <c r="AO153" s="29" t="s">
        <v>73</v>
      </c>
      <c r="AP153" s="29" t="s">
        <v>73</v>
      </c>
      <c r="AQ153" s="30">
        <v>5500</v>
      </c>
      <c r="AR153" s="29" t="s">
        <v>73</v>
      </c>
      <c r="AS153" s="29" t="s">
        <v>73</v>
      </c>
      <c r="AT153" s="29" t="s">
        <v>73</v>
      </c>
      <c r="AU153" s="29" t="s">
        <v>73</v>
      </c>
      <c r="AV153" s="29" t="s">
        <v>73</v>
      </c>
      <c r="AW153" s="29" t="s">
        <v>73</v>
      </c>
      <c r="AX153" s="30">
        <v>5500</v>
      </c>
      <c r="AY153" s="30" t="s">
        <v>6</v>
      </c>
      <c r="AZ153" s="2" t="s">
        <v>74</v>
      </c>
      <c r="BA153" s="2"/>
    </row>
    <row r="154" spans="1:53" ht="51" x14ac:dyDescent="0.25">
      <c r="A154" s="19">
        <v>2026</v>
      </c>
      <c r="B154" s="20">
        <v>479</v>
      </c>
      <c r="C154" s="21" t="s">
        <v>64</v>
      </c>
      <c r="D154" s="21" t="s">
        <v>65</v>
      </c>
      <c r="E154" s="20">
        <v>125</v>
      </c>
      <c r="F154" s="20">
        <v>3000654</v>
      </c>
      <c r="G154" s="20">
        <v>5005023</v>
      </c>
      <c r="H154" s="20">
        <v>3</v>
      </c>
      <c r="I154" s="20">
        <v>12</v>
      </c>
      <c r="J154" s="20">
        <v>24</v>
      </c>
      <c r="K154" s="20">
        <v>135560</v>
      </c>
      <c r="L154" s="21" t="s">
        <v>98</v>
      </c>
      <c r="M154" s="33" t="s">
        <v>99</v>
      </c>
      <c r="N154" s="19">
        <v>94</v>
      </c>
      <c r="O154" s="2"/>
      <c r="P154" s="2" t="s">
        <v>4</v>
      </c>
      <c r="Q154" s="20" t="s">
        <v>68</v>
      </c>
      <c r="R154" s="25" t="s">
        <v>69</v>
      </c>
      <c r="S154" s="41" t="s">
        <v>137</v>
      </c>
      <c r="T154" s="41"/>
      <c r="U154" s="31" t="s">
        <v>242</v>
      </c>
      <c r="V154" s="25" t="s">
        <v>3</v>
      </c>
      <c r="W154" s="25">
        <v>1</v>
      </c>
      <c r="X154" s="27">
        <v>5500</v>
      </c>
      <c r="Y154" s="1142"/>
      <c r="Z154" s="1143"/>
      <c r="AA154" s="1143"/>
      <c r="AB154" s="1144"/>
      <c r="AC154" s="25">
        <v>30</v>
      </c>
      <c r="AD154" s="25"/>
      <c r="AE154" s="1142"/>
      <c r="AF154" s="1143"/>
      <c r="AG154" s="1143"/>
      <c r="AH154" s="1143"/>
      <c r="AI154" s="1143"/>
      <c r="AJ154" s="1145"/>
      <c r="AK154" s="35">
        <v>5500</v>
      </c>
      <c r="AL154" s="29" t="s">
        <v>73</v>
      </c>
      <c r="AM154" s="29" t="s">
        <v>73</v>
      </c>
      <c r="AN154" s="29" t="s">
        <v>73</v>
      </c>
      <c r="AO154" s="29" t="s">
        <v>73</v>
      </c>
      <c r="AP154" s="30">
        <v>5500</v>
      </c>
      <c r="AQ154" s="29" t="s">
        <v>73</v>
      </c>
      <c r="AR154" s="29" t="s">
        <v>73</v>
      </c>
      <c r="AS154" s="29" t="s">
        <v>73</v>
      </c>
      <c r="AT154" s="29" t="s">
        <v>73</v>
      </c>
      <c r="AU154" s="29" t="s">
        <v>73</v>
      </c>
      <c r="AV154" s="29" t="s">
        <v>73</v>
      </c>
      <c r="AW154" s="29" t="s">
        <v>73</v>
      </c>
      <c r="AX154" s="30">
        <v>5500</v>
      </c>
      <c r="AY154" s="18" t="s">
        <v>6</v>
      </c>
      <c r="AZ154" s="2" t="s">
        <v>74</v>
      </c>
      <c r="BA154" s="2"/>
    </row>
    <row r="155" spans="1:53" ht="51" x14ac:dyDescent="0.25">
      <c r="A155" s="19">
        <v>2026</v>
      </c>
      <c r="B155" s="20">
        <v>479</v>
      </c>
      <c r="C155" s="21" t="s">
        <v>64</v>
      </c>
      <c r="D155" s="21" t="s">
        <v>65</v>
      </c>
      <c r="E155" s="20">
        <v>125</v>
      </c>
      <c r="F155" s="20">
        <v>3000654</v>
      </c>
      <c r="G155" s="20">
        <v>5005023</v>
      </c>
      <c r="H155" s="20">
        <v>3</v>
      </c>
      <c r="I155" s="20">
        <v>12</v>
      </c>
      <c r="J155" s="20">
        <v>24</v>
      </c>
      <c r="K155" s="20">
        <v>135560</v>
      </c>
      <c r="L155" s="21" t="s">
        <v>220</v>
      </c>
      <c r="M155" s="33" t="s">
        <v>221</v>
      </c>
      <c r="N155" s="19">
        <v>97</v>
      </c>
      <c r="O155" s="2"/>
      <c r="P155" s="2" t="s">
        <v>4</v>
      </c>
      <c r="Q155" s="20" t="s">
        <v>68</v>
      </c>
      <c r="R155" s="25" t="s">
        <v>69</v>
      </c>
      <c r="S155" s="41" t="s">
        <v>137</v>
      </c>
      <c r="T155" s="41"/>
      <c r="U155" s="31" t="s">
        <v>242</v>
      </c>
      <c r="V155" s="25" t="s">
        <v>3</v>
      </c>
      <c r="W155" s="25">
        <v>1</v>
      </c>
      <c r="X155" s="27">
        <v>5500</v>
      </c>
      <c r="Y155" s="1142"/>
      <c r="Z155" s="1143"/>
      <c r="AA155" s="1143"/>
      <c r="AB155" s="1144"/>
      <c r="AC155" s="25"/>
      <c r="AD155" s="25">
        <v>30</v>
      </c>
      <c r="AE155" s="1142"/>
      <c r="AF155" s="1143"/>
      <c r="AG155" s="1143"/>
      <c r="AH155" s="1143"/>
      <c r="AI155" s="1143"/>
      <c r="AJ155" s="1145"/>
      <c r="AK155" s="35">
        <v>5500</v>
      </c>
      <c r="AL155" s="29" t="s">
        <v>73</v>
      </c>
      <c r="AM155" s="29" t="s">
        <v>73</v>
      </c>
      <c r="AN155" s="29" t="s">
        <v>73</v>
      </c>
      <c r="AO155" s="29" t="s">
        <v>73</v>
      </c>
      <c r="AP155" s="29" t="s">
        <v>73</v>
      </c>
      <c r="AQ155" s="30">
        <v>5500</v>
      </c>
      <c r="AR155" s="29" t="s">
        <v>73</v>
      </c>
      <c r="AS155" s="29" t="s">
        <v>73</v>
      </c>
      <c r="AT155" s="29" t="s">
        <v>73</v>
      </c>
      <c r="AU155" s="29" t="s">
        <v>73</v>
      </c>
      <c r="AV155" s="29" t="s">
        <v>73</v>
      </c>
      <c r="AW155" s="29" t="s">
        <v>73</v>
      </c>
      <c r="AX155" s="30">
        <v>5500</v>
      </c>
      <c r="AY155" s="30" t="s">
        <v>6</v>
      </c>
      <c r="AZ155" s="2" t="s">
        <v>74</v>
      </c>
      <c r="BA155" s="2"/>
    </row>
    <row r="156" spans="1:53" ht="51" x14ac:dyDescent="0.25">
      <c r="A156" s="19">
        <v>2026</v>
      </c>
      <c r="B156" s="20">
        <v>479</v>
      </c>
      <c r="C156" s="21" t="s">
        <v>64</v>
      </c>
      <c r="D156" s="21" t="s">
        <v>65</v>
      </c>
      <c r="E156" s="20">
        <v>125</v>
      </c>
      <c r="F156" s="20">
        <v>3000654</v>
      </c>
      <c r="G156" s="20">
        <v>5005023</v>
      </c>
      <c r="H156" s="20">
        <v>3</v>
      </c>
      <c r="I156" s="20">
        <v>12</v>
      </c>
      <c r="J156" s="20">
        <v>24</v>
      </c>
      <c r="K156" s="20">
        <v>135560</v>
      </c>
      <c r="L156" s="21" t="s">
        <v>98</v>
      </c>
      <c r="M156" s="33" t="s">
        <v>99</v>
      </c>
      <c r="N156" s="19">
        <v>94</v>
      </c>
      <c r="O156" s="2"/>
      <c r="P156" s="2" t="s">
        <v>4</v>
      </c>
      <c r="Q156" s="20" t="s">
        <v>68</v>
      </c>
      <c r="R156" s="25" t="s">
        <v>69</v>
      </c>
      <c r="S156" s="41" t="s">
        <v>137</v>
      </c>
      <c r="T156" s="41"/>
      <c r="U156" s="31" t="s">
        <v>243</v>
      </c>
      <c r="V156" s="25" t="s">
        <v>3</v>
      </c>
      <c r="W156" s="25">
        <v>1</v>
      </c>
      <c r="X156" s="27">
        <v>5500</v>
      </c>
      <c r="Y156" s="1142"/>
      <c r="Z156" s="1143"/>
      <c r="AA156" s="1143"/>
      <c r="AB156" s="1144"/>
      <c r="AC156" s="25">
        <v>30</v>
      </c>
      <c r="AD156" s="25"/>
      <c r="AE156" s="1142"/>
      <c r="AF156" s="1143"/>
      <c r="AG156" s="1143"/>
      <c r="AH156" s="1143"/>
      <c r="AI156" s="1143"/>
      <c r="AJ156" s="1145"/>
      <c r="AK156" s="35">
        <v>5500</v>
      </c>
      <c r="AL156" s="29" t="s">
        <v>73</v>
      </c>
      <c r="AM156" s="29" t="s">
        <v>73</v>
      </c>
      <c r="AN156" s="29" t="s">
        <v>73</v>
      </c>
      <c r="AO156" s="29" t="s">
        <v>73</v>
      </c>
      <c r="AP156" s="30">
        <v>5500</v>
      </c>
      <c r="AQ156" s="29" t="s">
        <v>73</v>
      </c>
      <c r="AR156" s="29" t="s">
        <v>73</v>
      </c>
      <c r="AS156" s="29" t="s">
        <v>73</v>
      </c>
      <c r="AT156" s="29" t="s">
        <v>73</v>
      </c>
      <c r="AU156" s="29" t="s">
        <v>73</v>
      </c>
      <c r="AV156" s="29" t="s">
        <v>73</v>
      </c>
      <c r="AW156" s="29" t="s">
        <v>73</v>
      </c>
      <c r="AX156" s="30">
        <v>5500</v>
      </c>
      <c r="AY156" s="18" t="s">
        <v>6</v>
      </c>
      <c r="AZ156" s="2" t="s">
        <v>74</v>
      </c>
      <c r="BA156" s="2"/>
    </row>
    <row r="157" spans="1:53" ht="51" x14ac:dyDescent="0.25">
      <c r="A157" s="19">
        <v>2026</v>
      </c>
      <c r="B157" s="20">
        <v>479</v>
      </c>
      <c r="C157" s="21" t="s">
        <v>64</v>
      </c>
      <c r="D157" s="21" t="s">
        <v>65</v>
      </c>
      <c r="E157" s="20">
        <v>125</v>
      </c>
      <c r="F157" s="20">
        <v>3000654</v>
      </c>
      <c r="G157" s="20">
        <v>5005023</v>
      </c>
      <c r="H157" s="20">
        <v>3</v>
      </c>
      <c r="I157" s="20">
        <v>12</v>
      </c>
      <c r="J157" s="20">
        <v>24</v>
      </c>
      <c r="K157" s="20">
        <v>135560</v>
      </c>
      <c r="L157" s="21" t="s">
        <v>220</v>
      </c>
      <c r="M157" s="33" t="s">
        <v>221</v>
      </c>
      <c r="N157" s="19">
        <v>97</v>
      </c>
      <c r="O157" s="2"/>
      <c r="P157" s="2" t="s">
        <v>4</v>
      </c>
      <c r="Q157" s="20" t="s">
        <v>68</v>
      </c>
      <c r="R157" s="25" t="s">
        <v>69</v>
      </c>
      <c r="S157" s="41" t="s">
        <v>137</v>
      </c>
      <c r="T157" s="41"/>
      <c r="U157" s="31" t="s">
        <v>243</v>
      </c>
      <c r="V157" s="25" t="s">
        <v>3</v>
      </c>
      <c r="W157" s="25">
        <v>1</v>
      </c>
      <c r="X157" s="27">
        <v>5500</v>
      </c>
      <c r="Y157" s="1142"/>
      <c r="Z157" s="1143"/>
      <c r="AA157" s="1143"/>
      <c r="AB157" s="1144"/>
      <c r="AC157" s="25"/>
      <c r="AD157" s="25">
        <v>30</v>
      </c>
      <c r="AE157" s="1142"/>
      <c r="AF157" s="1143"/>
      <c r="AG157" s="1143"/>
      <c r="AH157" s="1143"/>
      <c r="AI157" s="1143"/>
      <c r="AJ157" s="1145"/>
      <c r="AK157" s="35">
        <v>5500</v>
      </c>
      <c r="AL157" s="29" t="s">
        <v>73</v>
      </c>
      <c r="AM157" s="29" t="s">
        <v>73</v>
      </c>
      <c r="AN157" s="29" t="s">
        <v>73</v>
      </c>
      <c r="AO157" s="29" t="s">
        <v>73</v>
      </c>
      <c r="AP157" s="29" t="s">
        <v>73</v>
      </c>
      <c r="AQ157" s="30">
        <v>5500</v>
      </c>
      <c r="AR157" s="29" t="s">
        <v>73</v>
      </c>
      <c r="AS157" s="29" t="s">
        <v>73</v>
      </c>
      <c r="AT157" s="29" t="s">
        <v>73</v>
      </c>
      <c r="AU157" s="29" t="s">
        <v>73</v>
      </c>
      <c r="AV157" s="29" t="s">
        <v>73</v>
      </c>
      <c r="AW157" s="29" t="s">
        <v>73</v>
      </c>
      <c r="AX157" s="30">
        <v>5500</v>
      </c>
      <c r="AY157" s="30" t="s">
        <v>6</v>
      </c>
      <c r="AZ157" s="2" t="s">
        <v>74</v>
      </c>
      <c r="BA157" s="2"/>
    </row>
    <row r="158" spans="1:53" ht="51" x14ac:dyDescent="0.25">
      <c r="A158" s="19">
        <v>2026</v>
      </c>
      <c r="B158" s="20">
        <v>479</v>
      </c>
      <c r="C158" s="21" t="s">
        <v>64</v>
      </c>
      <c r="D158" s="21" t="s">
        <v>65</v>
      </c>
      <c r="E158" s="20">
        <v>125</v>
      </c>
      <c r="F158" s="20">
        <v>3000654</v>
      </c>
      <c r="G158" s="20">
        <v>5005023</v>
      </c>
      <c r="H158" s="20">
        <v>3</v>
      </c>
      <c r="I158" s="20">
        <v>12</v>
      </c>
      <c r="J158" s="20">
        <v>24</v>
      </c>
      <c r="K158" s="20">
        <v>135560</v>
      </c>
      <c r="L158" s="21" t="s">
        <v>220</v>
      </c>
      <c r="M158" s="33" t="s">
        <v>221</v>
      </c>
      <c r="N158" s="19">
        <v>97</v>
      </c>
      <c r="O158" s="2"/>
      <c r="P158" s="2" t="s">
        <v>4</v>
      </c>
      <c r="Q158" s="20" t="s">
        <v>68</v>
      </c>
      <c r="R158" s="25" t="s">
        <v>69</v>
      </c>
      <c r="S158" s="41" t="s">
        <v>137</v>
      </c>
      <c r="T158" s="41"/>
      <c r="U158" s="31" t="s">
        <v>244</v>
      </c>
      <c r="V158" s="25" t="s">
        <v>3</v>
      </c>
      <c r="W158" s="25">
        <v>1</v>
      </c>
      <c r="X158" s="27">
        <v>5500</v>
      </c>
      <c r="Y158" s="1142"/>
      <c r="Z158" s="1143"/>
      <c r="AA158" s="1143"/>
      <c r="AB158" s="1144"/>
      <c r="AC158" s="25">
        <v>30</v>
      </c>
      <c r="AD158" s="25">
        <v>30</v>
      </c>
      <c r="AE158" s="1142"/>
      <c r="AF158" s="1143"/>
      <c r="AG158" s="1143"/>
      <c r="AH158" s="1143"/>
      <c r="AI158" s="1143"/>
      <c r="AJ158" s="1145"/>
      <c r="AK158" s="35">
        <v>11000</v>
      </c>
      <c r="AL158" s="29" t="s">
        <v>73</v>
      </c>
      <c r="AM158" s="29" t="s">
        <v>73</v>
      </c>
      <c r="AN158" s="29" t="s">
        <v>73</v>
      </c>
      <c r="AO158" s="29" t="s">
        <v>73</v>
      </c>
      <c r="AP158" s="30">
        <v>5500</v>
      </c>
      <c r="AQ158" s="30">
        <v>5500</v>
      </c>
      <c r="AR158" s="29" t="s">
        <v>73</v>
      </c>
      <c r="AS158" s="29" t="s">
        <v>73</v>
      </c>
      <c r="AT158" s="29" t="s">
        <v>73</v>
      </c>
      <c r="AU158" s="29" t="s">
        <v>73</v>
      </c>
      <c r="AV158" s="29" t="s">
        <v>73</v>
      </c>
      <c r="AW158" s="29" t="s">
        <v>73</v>
      </c>
      <c r="AX158" s="30">
        <v>11000</v>
      </c>
      <c r="AY158" s="30" t="s">
        <v>6</v>
      </c>
      <c r="AZ158" s="2" t="s">
        <v>74</v>
      </c>
      <c r="BA158" s="2"/>
    </row>
    <row r="159" spans="1:53" ht="51" x14ac:dyDescent="0.25">
      <c r="A159" s="19">
        <v>2026</v>
      </c>
      <c r="B159" s="20">
        <v>479</v>
      </c>
      <c r="C159" s="21" t="s">
        <v>64</v>
      </c>
      <c r="D159" s="21" t="s">
        <v>65</v>
      </c>
      <c r="E159" s="20">
        <v>125</v>
      </c>
      <c r="F159" s="20">
        <v>3000654</v>
      </c>
      <c r="G159" s="20">
        <v>5005023</v>
      </c>
      <c r="H159" s="20">
        <v>3</v>
      </c>
      <c r="I159" s="20">
        <v>12</v>
      </c>
      <c r="J159" s="20">
        <v>24</v>
      </c>
      <c r="K159" s="20">
        <v>135560</v>
      </c>
      <c r="L159" s="21" t="s">
        <v>220</v>
      </c>
      <c r="M159" s="33" t="s">
        <v>221</v>
      </c>
      <c r="N159" s="19">
        <v>97</v>
      </c>
      <c r="O159" s="2"/>
      <c r="P159" s="2" t="s">
        <v>4</v>
      </c>
      <c r="Q159" s="20" t="s">
        <v>68</v>
      </c>
      <c r="R159" s="25" t="s">
        <v>69</v>
      </c>
      <c r="S159" s="41" t="s">
        <v>137</v>
      </c>
      <c r="T159" s="41"/>
      <c r="U159" s="31" t="s">
        <v>245</v>
      </c>
      <c r="V159" s="25" t="s">
        <v>3</v>
      </c>
      <c r="W159" s="25">
        <v>1</v>
      </c>
      <c r="X159" s="27">
        <v>5500</v>
      </c>
      <c r="Y159" s="1142"/>
      <c r="Z159" s="1143"/>
      <c r="AA159" s="1143"/>
      <c r="AB159" s="1144"/>
      <c r="AC159" s="25">
        <v>30</v>
      </c>
      <c r="AD159" s="25">
        <v>30</v>
      </c>
      <c r="AE159" s="1142"/>
      <c r="AF159" s="1143"/>
      <c r="AG159" s="1143"/>
      <c r="AH159" s="1143"/>
      <c r="AI159" s="1143"/>
      <c r="AJ159" s="1145"/>
      <c r="AK159" s="35">
        <v>11000</v>
      </c>
      <c r="AL159" s="29" t="s">
        <v>73</v>
      </c>
      <c r="AM159" s="29" t="s">
        <v>73</v>
      </c>
      <c r="AN159" s="29" t="s">
        <v>73</v>
      </c>
      <c r="AO159" s="29" t="s">
        <v>73</v>
      </c>
      <c r="AP159" s="30">
        <v>5500</v>
      </c>
      <c r="AQ159" s="30">
        <v>5500</v>
      </c>
      <c r="AR159" s="29" t="s">
        <v>73</v>
      </c>
      <c r="AS159" s="29" t="s">
        <v>73</v>
      </c>
      <c r="AT159" s="29" t="s">
        <v>73</v>
      </c>
      <c r="AU159" s="29" t="s">
        <v>73</v>
      </c>
      <c r="AV159" s="29" t="s">
        <v>73</v>
      </c>
      <c r="AW159" s="29" t="s">
        <v>73</v>
      </c>
      <c r="AX159" s="30">
        <v>11000</v>
      </c>
      <c r="AY159" s="30" t="s">
        <v>6</v>
      </c>
      <c r="AZ159" s="2" t="s">
        <v>74</v>
      </c>
      <c r="BA159" s="2"/>
    </row>
    <row r="160" spans="1:53" ht="51" x14ac:dyDescent="0.25">
      <c r="A160" s="19">
        <v>2026</v>
      </c>
      <c r="B160" s="20">
        <v>479</v>
      </c>
      <c r="C160" s="21" t="s">
        <v>64</v>
      </c>
      <c r="D160" s="21" t="s">
        <v>65</v>
      </c>
      <c r="E160" s="20">
        <v>125</v>
      </c>
      <c r="F160" s="20">
        <v>3000654</v>
      </c>
      <c r="G160" s="20">
        <v>5005023</v>
      </c>
      <c r="H160" s="20">
        <v>3</v>
      </c>
      <c r="I160" s="20">
        <v>12</v>
      </c>
      <c r="J160" s="20">
        <v>24</v>
      </c>
      <c r="K160" s="20">
        <v>135560</v>
      </c>
      <c r="L160" s="21" t="s">
        <v>220</v>
      </c>
      <c r="M160" s="33" t="s">
        <v>221</v>
      </c>
      <c r="N160" s="19">
        <v>97</v>
      </c>
      <c r="O160" s="2"/>
      <c r="P160" s="2" t="s">
        <v>4</v>
      </c>
      <c r="Q160" s="20" t="s">
        <v>68</v>
      </c>
      <c r="R160" s="25" t="s">
        <v>69</v>
      </c>
      <c r="S160" s="41" t="s">
        <v>137</v>
      </c>
      <c r="T160" s="41"/>
      <c r="U160" s="31" t="s">
        <v>246</v>
      </c>
      <c r="V160" s="25" t="s">
        <v>3</v>
      </c>
      <c r="W160" s="25">
        <v>1</v>
      </c>
      <c r="X160" s="27">
        <v>5500</v>
      </c>
      <c r="Y160" s="1142"/>
      <c r="Z160" s="1143"/>
      <c r="AA160" s="1143"/>
      <c r="AB160" s="1144"/>
      <c r="AC160" s="25">
        <v>30</v>
      </c>
      <c r="AD160" s="25">
        <v>30</v>
      </c>
      <c r="AE160" s="1142"/>
      <c r="AF160" s="1143"/>
      <c r="AG160" s="1143"/>
      <c r="AH160" s="1143"/>
      <c r="AI160" s="1143"/>
      <c r="AJ160" s="1145"/>
      <c r="AK160" s="35">
        <v>11000</v>
      </c>
      <c r="AL160" s="29" t="s">
        <v>73</v>
      </c>
      <c r="AM160" s="29" t="s">
        <v>73</v>
      </c>
      <c r="AN160" s="29" t="s">
        <v>73</v>
      </c>
      <c r="AO160" s="29" t="s">
        <v>73</v>
      </c>
      <c r="AP160" s="30">
        <v>5500</v>
      </c>
      <c r="AQ160" s="30">
        <v>5500</v>
      </c>
      <c r="AR160" s="29" t="s">
        <v>73</v>
      </c>
      <c r="AS160" s="29" t="s">
        <v>73</v>
      </c>
      <c r="AT160" s="29" t="s">
        <v>73</v>
      </c>
      <c r="AU160" s="29" t="s">
        <v>73</v>
      </c>
      <c r="AV160" s="29" t="s">
        <v>73</v>
      </c>
      <c r="AW160" s="29" t="s">
        <v>73</v>
      </c>
      <c r="AX160" s="30">
        <v>11000</v>
      </c>
      <c r="AY160" s="30" t="s">
        <v>6</v>
      </c>
      <c r="AZ160" s="2" t="s">
        <v>74</v>
      </c>
      <c r="BA160" s="2"/>
    </row>
    <row r="161" spans="1:53" ht="51" x14ac:dyDescent="0.25">
      <c r="A161" s="19">
        <v>2026</v>
      </c>
      <c r="B161" s="20">
        <v>479</v>
      </c>
      <c r="C161" s="21" t="s">
        <v>64</v>
      </c>
      <c r="D161" s="21" t="s">
        <v>65</v>
      </c>
      <c r="E161" s="20">
        <v>125</v>
      </c>
      <c r="F161" s="20">
        <v>3000654</v>
      </c>
      <c r="G161" s="20">
        <v>5005023</v>
      </c>
      <c r="H161" s="20">
        <v>3</v>
      </c>
      <c r="I161" s="20">
        <v>12</v>
      </c>
      <c r="J161" s="20">
        <v>24</v>
      </c>
      <c r="K161" s="20">
        <v>135560</v>
      </c>
      <c r="L161" s="21" t="s">
        <v>220</v>
      </c>
      <c r="M161" s="33" t="s">
        <v>221</v>
      </c>
      <c r="N161" s="19">
        <v>97</v>
      </c>
      <c r="O161" s="2"/>
      <c r="P161" s="2" t="s">
        <v>4</v>
      </c>
      <c r="Q161" s="20" t="s">
        <v>68</v>
      </c>
      <c r="R161" s="25" t="s">
        <v>69</v>
      </c>
      <c r="S161" s="41" t="s">
        <v>137</v>
      </c>
      <c r="T161" s="41"/>
      <c r="U161" s="31" t="s">
        <v>247</v>
      </c>
      <c r="V161" s="25" t="s">
        <v>3</v>
      </c>
      <c r="W161" s="25">
        <v>1</v>
      </c>
      <c r="X161" s="27">
        <v>5500</v>
      </c>
      <c r="Y161" s="1142"/>
      <c r="Z161" s="1143"/>
      <c r="AA161" s="1143"/>
      <c r="AB161" s="1144"/>
      <c r="AC161" s="25">
        <v>30</v>
      </c>
      <c r="AD161" s="25">
        <v>30</v>
      </c>
      <c r="AE161" s="1142"/>
      <c r="AF161" s="1143"/>
      <c r="AG161" s="1143"/>
      <c r="AH161" s="1143"/>
      <c r="AI161" s="1143"/>
      <c r="AJ161" s="1145"/>
      <c r="AK161" s="35">
        <v>11000</v>
      </c>
      <c r="AL161" s="29" t="s">
        <v>73</v>
      </c>
      <c r="AM161" s="29" t="s">
        <v>73</v>
      </c>
      <c r="AN161" s="29" t="s">
        <v>73</v>
      </c>
      <c r="AO161" s="29" t="s">
        <v>73</v>
      </c>
      <c r="AP161" s="30">
        <v>5500</v>
      </c>
      <c r="AQ161" s="30">
        <v>5500</v>
      </c>
      <c r="AR161" s="29" t="s">
        <v>73</v>
      </c>
      <c r="AS161" s="29" t="s">
        <v>73</v>
      </c>
      <c r="AT161" s="29" t="s">
        <v>73</v>
      </c>
      <c r="AU161" s="29" t="s">
        <v>73</v>
      </c>
      <c r="AV161" s="29" t="s">
        <v>73</v>
      </c>
      <c r="AW161" s="29" t="s">
        <v>73</v>
      </c>
      <c r="AX161" s="30">
        <v>11000</v>
      </c>
      <c r="AY161" s="30" t="s">
        <v>6</v>
      </c>
      <c r="AZ161" s="2" t="s">
        <v>74</v>
      </c>
      <c r="BA161" s="2"/>
    </row>
    <row r="162" spans="1:53" ht="51" x14ac:dyDescent="0.25">
      <c r="A162" s="19">
        <v>2026</v>
      </c>
      <c r="B162" s="20">
        <v>479</v>
      </c>
      <c r="C162" s="21" t="s">
        <v>64</v>
      </c>
      <c r="D162" s="21" t="s">
        <v>65</v>
      </c>
      <c r="E162" s="20">
        <v>125</v>
      </c>
      <c r="F162" s="20">
        <v>3000654</v>
      </c>
      <c r="G162" s="20">
        <v>5005023</v>
      </c>
      <c r="H162" s="20">
        <v>3</v>
      </c>
      <c r="I162" s="20">
        <v>12</v>
      </c>
      <c r="J162" s="20">
        <v>24</v>
      </c>
      <c r="K162" s="20">
        <v>135560</v>
      </c>
      <c r="L162" s="21" t="s">
        <v>220</v>
      </c>
      <c r="M162" s="33" t="s">
        <v>221</v>
      </c>
      <c r="N162" s="19">
        <v>97</v>
      </c>
      <c r="O162" s="2"/>
      <c r="P162" s="2" t="s">
        <v>4</v>
      </c>
      <c r="Q162" s="20" t="s">
        <v>68</v>
      </c>
      <c r="R162" s="25" t="s">
        <v>69</v>
      </c>
      <c r="S162" s="41" t="s">
        <v>137</v>
      </c>
      <c r="T162" s="41"/>
      <c r="U162" s="31" t="s">
        <v>248</v>
      </c>
      <c r="V162" s="25" t="s">
        <v>3</v>
      </c>
      <c r="W162" s="25">
        <v>1</v>
      </c>
      <c r="X162" s="27">
        <v>5500</v>
      </c>
      <c r="Y162" s="1142"/>
      <c r="Z162" s="1143"/>
      <c r="AA162" s="1143"/>
      <c r="AB162" s="1144"/>
      <c r="AC162" s="25">
        <v>30</v>
      </c>
      <c r="AD162" s="25">
        <v>30</v>
      </c>
      <c r="AE162" s="1142"/>
      <c r="AF162" s="1143"/>
      <c r="AG162" s="1143"/>
      <c r="AH162" s="1143"/>
      <c r="AI162" s="1143"/>
      <c r="AJ162" s="1145"/>
      <c r="AK162" s="35">
        <v>11000</v>
      </c>
      <c r="AL162" s="29" t="s">
        <v>73</v>
      </c>
      <c r="AM162" s="29" t="s">
        <v>73</v>
      </c>
      <c r="AN162" s="29" t="s">
        <v>73</v>
      </c>
      <c r="AO162" s="29" t="s">
        <v>73</v>
      </c>
      <c r="AP162" s="30">
        <v>5500</v>
      </c>
      <c r="AQ162" s="30">
        <v>5500</v>
      </c>
      <c r="AR162" s="29" t="s">
        <v>73</v>
      </c>
      <c r="AS162" s="29" t="s">
        <v>73</v>
      </c>
      <c r="AT162" s="29" t="s">
        <v>73</v>
      </c>
      <c r="AU162" s="29" t="s">
        <v>73</v>
      </c>
      <c r="AV162" s="29" t="s">
        <v>73</v>
      </c>
      <c r="AW162" s="29" t="s">
        <v>73</v>
      </c>
      <c r="AX162" s="30">
        <v>11000</v>
      </c>
      <c r="AY162" s="30" t="s">
        <v>6</v>
      </c>
      <c r="AZ162" s="2" t="s">
        <v>74</v>
      </c>
      <c r="BA162" s="2"/>
    </row>
    <row r="163" spans="1:53" ht="51" x14ac:dyDescent="0.25">
      <c r="A163" s="19">
        <v>2026</v>
      </c>
      <c r="B163" s="20">
        <v>479</v>
      </c>
      <c r="C163" s="21" t="s">
        <v>64</v>
      </c>
      <c r="D163" s="21" t="s">
        <v>65</v>
      </c>
      <c r="E163" s="20">
        <v>125</v>
      </c>
      <c r="F163" s="20">
        <v>3000654</v>
      </c>
      <c r="G163" s="20">
        <v>5005023</v>
      </c>
      <c r="H163" s="20">
        <v>3</v>
      </c>
      <c r="I163" s="20">
        <v>12</v>
      </c>
      <c r="J163" s="20">
        <v>24</v>
      </c>
      <c r="K163" s="20">
        <v>135560</v>
      </c>
      <c r="L163" s="21" t="s">
        <v>98</v>
      </c>
      <c r="M163" s="33" t="s">
        <v>99</v>
      </c>
      <c r="N163" s="19">
        <v>94</v>
      </c>
      <c r="O163" s="2"/>
      <c r="P163" s="2" t="s">
        <v>4</v>
      </c>
      <c r="Q163" s="20" t="s">
        <v>68</v>
      </c>
      <c r="R163" s="25" t="s">
        <v>69</v>
      </c>
      <c r="S163" s="41" t="s">
        <v>137</v>
      </c>
      <c r="T163" s="41"/>
      <c r="U163" s="31" t="s">
        <v>249</v>
      </c>
      <c r="V163" s="25" t="s">
        <v>3</v>
      </c>
      <c r="W163" s="25">
        <v>1</v>
      </c>
      <c r="X163" s="27">
        <v>5500</v>
      </c>
      <c r="Y163" s="1142"/>
      <c r="Z163" s="1143"/>
      <c r="AA163" s="1143"/>
      <c r="AB163" s="1144"/>
      <c r="AC163" s="25">
        <v>30</v>
      </c>
      <c r="AD163" s="25"/>
      <c r="AE163" s="1142"/>
      <c r="AF163" s="1143"/>
      <c r="AG163" s="1143"/>
      <c r="AH163" s="1143"/>
      <c r="AI163" s="1143"/>
      <c r="AJ163" s="1145"/>
      <c r="AK163" s="35">
        <v>5500</v>
      </c>
      <c r="AL163" s="29" t="s">
        <v>73</v>
      </c>
      <c r="AM163" s="29" t="s">
        <v>73</v>
      </c>
      <c r="AN163" s="29" t="s">
        <v>73</v>
      </c>
      <c r="AO163" s="29" t="s">
        <v>73</v>
      </c>
      <c r="AP163" s="30">
        <v>5500</v>
      </c>
      <c r="AQ163" s="29" t="s">
        <v>73</v>
      </c>
      <c r="AR163" s="29" t="s">
        <v>73</v>
      </c>
      <c r="AS163" s="29" t="s">
        <v>73</v>
      </c>
      <c r="AT163" s="29" t="s">
        <v>73</v>
      </c>
      <c r="AU163" s="29" t="s">
        <v>73</v>
      </c>
      <c r="AV163" s="29" t="s">
        <v>73</v>
      </c>
      <c r="AW163" s="29" t="s">
        <v>73</v>
      </c>
      <c r="AX163" s="30">
        <v>5500</v>
      </c>
      <c r="AY163" s="18" t="s">
        <v>6</v>
      </c>
      <c r="AZ163" s="2" t="s">
        <v>74</v>
      </c>
      <c r="BA163" s="2"/>
    </row>
    <row r="164" spans="1:53" ht="51" x14ac:dyDescent="0.25">
      <c r="A164" s="19">
        <v>2026</v>
      </c>
      <c r="B164" s="20">
        <v>479</v>
      </c>
      <c r="C164" s="21" t="s">
        <v>64</v>
      </c>
      <c r="D164" s="21" t="s">
        <v>65</v>
      </c>
      <c r="E164" s="20">
        <v>125</v>
      </c>
      <c r="F164" s="20">
        <v>3000654</v>
      </c>
      <c r="G164" s="20">
        <v>5005023</v>
      </c>
      <c r="H164" s="20">
        <v>3</v>
      </c>
      <c r="I164" s="20">
        <v>12</v>
      </c>
      <c r="J164" s="20">
        <v>24</v>
      </c>
      <c r="K164" s="20">
        <v>135560</v>
      </c>
      <c r="L164" s="21" t="s">
        <v>220</v>
      </c>
      <c r="M164" s="33" t="s">
        <v>221</v>
      </c>
      <c r="N164" s="19">
        <v>97</v>
      </c>
      <c r="O164" s="2"/>
      <c r="P164" s="2" t="s">
        <v>4</v>
      </c>
      <c r="Q164" s="20" t="s">
        <v>68</v>
      </c>
      <c r="R164" s="25" t="s">
        <v>69</v>
      </c>
      <c r="S164" s="41" t="s">
        <v>137</v>
      </c>
      <c r="T164" s="41"/>
      <c r="U164" s="31" t="s">
        <v>249</v>
      </c>
      <c r="V164" s="25" t="s">
        <v>3</v>
      </c>
      <c r="W164" s="25">
        <v>1</v>
      </c>
      <c r="X164" s="27">
        <v>5500</v>
      </c>
      <c r="Y164" s="1142"/>
      <c r="Z164" s="1143"/>
      <c r="AA164" s="1143"/>
      <c r="AB164" s="1144"/>
      <c r="AC164" s="25"/>
      <c r="AD164" s="25">
        <v>30</v>
      </c>
      <c r="AE164" s="1142"/>
      <c r="AF164" s="1143"/>
      <c r="AG164" s="1143"/>
      <c r="AH164" s="1143"/>
      <c r="AI164" s="1143"/>
      <c r="AJ164" s="1145"/>
      <c r="AK164" s="35">
        <v>5500</v>
      </c>
      <c r="AL164" s="29" t="s">
        <v>73</v>
      </c>
      <c r="AM164" s="29" t="s">
        <v>73</v>
      </c>
      <c r="AN164" s="29" t="s">
        <v>73</v>
      </c>
      <c r="AO164" s="29" t="s">
        <v>73</v>
      </c>
      <c r="AP164" s="29" t="s">
        <v>73</v>
      </c>
      <c r="AQ164" s="30">
        <v>5500</v>
      </c>
      <c r="AR164" s="29" t="s">
        <v>73</v>
      </c>
      <c r="AS164" s="29" t="s">
        <v>73</v>
      </c>
      <c r="AT164" s="29" t="s">
        <v>73</v>
      </c>
      <c r="AU164" s="29" t="s">
        <v>73</v>
      </c>
      <c r="AV164" s="29" t="s">
        <v>73</v>
      </c>
      <c r="AW164" s="29" t="s">
        <v>73</v>
      </c>
      <c r="AX164" s="30">
        <v>5500</v>
      </c>
      <c r="AY164" s="30" t="s">
        <v>6</v>
      </c>
      <c r="AZ164" s="2" t="s">
        <v>74</v>
      </c>
      <c r="BA164" s="2"/>
    </row>
    <row r="165" spans="1:53" ht="51" x14ac:dyDescent="0.25">
      <c r="A165" s="19">
        <v>2026</v>
      </c>
      <c r="B165" s="20">
        <v>479</v>
      </c>
      <c r="C165" s="21" t="s">
        <v>64</v>
      </c>
      <c r="D165" s="21" t="s">
        <v>65</v>
      </c>
      <c r="E165" s="20">
        <v>125</v>
      </c>
      <c r="F165" s="20">
        <v>3000654</v>
      </c>
      <c r="G165" s="20">
        <v>5005023</v>
      </c>
      <c r="H165" s="20">
        <v>3</v>
      </c>
      <c r="I165" s="20">
        <v>12</v>
      </c>
      <c r="J165" s="20">
        <v>24</v>
      </c>
      <c r="K165" s="20">
        <v>135560</v>
      </c>
      <c r="L165" s="21" t="s">
        <v>220</v>
      </c>
      <c r="M165" s="33" t="s">
        <v>221</v>
      </c>
      <c r="N165" s="19">
        <v>97</v>
      </c>
      <c r="O165" s="2"/>
      <c r="P165" s="2" t="s">
        <v>4</v>
      </c>
      <c r="Q165" s="20" t="s">
        <v>68</v>
      </c>
      <c r="R165" s="25" t="s">
        <v>69</v>
      </c>
      <c r="S165" s="41" t="s">
        <v>137</v>
      </c>
      <c r="T165" s="41"/>
      <c r="U165" s="31" t="s">
        <v>250</v>
      </c>
      <c r="V165" s="25" t="s">
        <v>3</v>
      </c>
      <c r="W165" s="25">
        <v>1</v>
      </c>
      <c r="X165" s="27">
        <v>5500</v>
      </c>
      <c r="Y165" s="1142"/>
      <c r="Z165" s="1143"/>
      <c r="AA165" s="1143"/>
      <c r="AB165" s="1144"/>
      <c r="AC165" s="25">
        <v>30</v>
      </c>
      <c r="AD165" s="25">
        <v>30</v>
      </c>
      <c r="AE165" s="1142"/>
      <c r="AF165" s="1143"/>
      <c r="AG165" s="1143"/>
      <c r="AH165" s="1143"/>
      <c r="AI165" s="1143"/>
      <c r="AJ165" s="1145"/>
      <c r="AK165" s="35">
        <v>11000</v>
      </c>
      <c r="AL165" s="29" t="s">
        <v>73</v>
      </c>
      <c r="AM165" s="29" t="s">
        <v>73</v>
      </c>
      <c r="AN165" s="29" t="s">
        <v>73</v>
      </c>
      <c r="AO165" s="29" t="s">
        <v>73</v>
      </c>
      <c r="AP165" s="30">
        <v>5500</v>
      </c>
      <c r="AQ165" s="30">
        <v>5500</v>
      </c>
      <c r="AR165" s="29" t="s">
        <v>73</v>
      </c>
      <c r="AS165" s="29" t="s">
        <v>73</v>
      </c>
      <c r="AT165" s="29" t="s">
        <v>73</v>
      </c>
      <c r="AU165" s="29" t="s">
        <v>73</v>
      </c>
      <c r="AV165" s="29" t="s">
        <v>73</v>
      </c>
      <c r="AW165" s="29" t="s">
        <v>73</v>
      </c>
      <c r="AX165" s="30">
        <v>11000</v>
      </c>
      <c r="AY165" s="30" t="s">
        <v>6</v>
      </c>
      <c r="AZ165" s="2" t="s">
        <v>74</v>
      </c>
      <c r="BA165" s="2"/>
    </row>
    <row r="166" spans="1:53" ht="51" x14ac:dyDescent="0.25">
      <c r="A166" s="19">
        <v>2026</v>
      </c>
      <c r="B166" s="20">
        <v>479</v>
      </c>
      <c r="C166" s="21" t="s">
        <v>64</v>
      </c>
      <c r="D166" s="21" t="s">
        <v>65</v>
      </c>
      <c r="E166" s="20">
        <v>125</v>
      </c>
      <c r="F166" s="20">
        <v>3000654</v>
      </c>
      <c r="G166" s="20">
        <v>5005023</v>
      </c>
      <c r="H166" s="20">
        <v>3</v>
      </c>
      <c r="I166" s="20">
        <v>12</v>
      </c>
      <c r="J166" s="20">
        <v>24</v>
      </c>
      <c r="K166" s="20">
        <v>135560</v>
      </c>
      <c r="L166" s="21" t="s">
        <v>220</v>
      </c>
      <c r="M166" s="33" t="s">
        <v>221</v>
      </c>
      <c r="N166" s="19">
        <v>97</v>
      </c>
      <c r="O166" s="2"/>
      <c r="P166" s="2" t="s">
        <v>4</v>
      </c>
      <c r="Q166" s="20" t="s">
        <v>68</v>
      </c>
      <c r="R166" s="25" t="s">
        <v>69</v>
      </c>
      <c r="S166" s="41" t="s">
        <v>137</v>
      </c>
      <c r="T166" s="41"/>
      <c r="U166" s="31" t="s">
        <v>251</v>
      </c>
      <c r="V166" s="25" t="s">
        <v>3</v>
      </c>
      <c r="W166" s="25">
        <v>1</v>
      </c>
      <c r="X166" s="27">
        <v>5500</v>
      </c>
      <c r="Y166" s="1142"/>
      <c r="Z166" s="1143"/>
      <c r="AA166" s="1143"/>
      <c r="AB166" s="1144"/>
      <c r="AC166" s="25">
        <v>30</v>
      </c>
      <c r="AD166" s="25">
        <v>30</v>
      </c>
      <c r="AE166" s="1142"/>
      <c r="AF166" s="1143"/>
      <c r="AG166" s="1143"/>
      <c r="AH166" s="1143"/>
      <c r="AI166" s="1143"/>
      <c r="AJ166" s="1145"/>
      <c r="AK166" s="35">
        <v>11000</v>
      </c>
      <c r="AL166" s="29" t="s">
        <v>73</v>
      </c>
      <c r="AM166" s="29" t="s">
        <v>73</v>
      </c>
      <c r="AN166" s="29" t="s">
        <v>73</v>
      </c>
      <c r="AO166" s="29" t="s">
        <v>73</v>
      </c>
      <c r="AP166" s="30">
        <v>5500</v>
      </c>
      <c r="AQ166" s="30">
        <v>5500</v>
      </c>
      <c r="AR166" s="29" t="s">
        <v>73</v>
      </c>
      <c r="AS166" s="29" t="s">
        <v>73</v>
      </c>
      <c r="AT166" s="29" t="s">
        <v>73</v>
      </c>
      <c r="AU166" s="29" t="s">
        <v>73</v>
      </c>
      <c r="AV166" s="29" t="s">
        <v>73</v>
      </c>
      <c r="AW166" s="29" t="s">
        <v>73</v>
      </c>
      <c r="AX166" s="30">
        <v>11000</v>
      </c>
      <c r="AY166" s="30" t="s">
        <v>6</v>
      </c>
      <c r="AZ166" s="2" t="s">
        <v>74</v>
      </c>
      <c r="BA166" s="2"/>
    </row>
    <row r="167" spans="1:53" ht="51" x14ac:dyDescent="0.25">
      <c r="A167" s="19">
        <v>2026</v>
      </c>
      <c r="B167" s="20">
        <v>479</v>
      </c>
      <c r="C167" s="21" t="s">
        <v>64</v>
      </c>
      <c r="D167" s="21" t="s">
        <v>65</v>
      </c>
      <c r="E167" s="20">
        <v>125</v>
      </c>
      <c r="F167" s="20">
        <v>3000654</v>
      </c>
      <c r="G167" s="20">
        <v>5005023</v>
      </c>
      <c r="H167" s="20">
        <v>3</v>
      </c>
      <c r="I167" s="20">
        <v>12</v>
      </c>
      <c r="J167" s="20">
        <v>24</v>
      </c>
      <c r="K167" s="20">
        <v>135560</v>
      </c>
      <c r="L167" s="21" t="s">
        <v>220</v>
      </c>
      <c r="M167" s="33" t="s">
        <v>221</v>
      </c>
      <c r="N167" s="19">
        <v>97</v>
      </c>
      <c r="O167" s="2"/>
      <c r="P167" s="2" t="s">
        <v>4</v>
      </c>
      <c r="Q167" s="20" t="s">
        <v>68</v>
      </c>
      <c r="R167" s="25" t="s">
        <v>69</v>
      </c>
      <c r="S167" s="41" t="s">
        <v>137</v>
      </c>
      <c r="T167" s="41"/>
      <c r="U167" s="31" t="s">
        <v>252</v>
      </c>
      <c r="V167" s="25" t="s">
        <v>3</v>
      </c>
      <c r="W167" s="25">
        <v>1</v>
      </c>
      <c r="X167" s="27">
        <v>5500</v>
      </c>
      <c r="Y167" s="1142"/>
      <c r="Z167" s="1143"/>
      <c r="AA167" s="1143"/>
      <c r="AB167" s="1144"/>
      <c r="AC167" s="25">
        <v>30</v>
      </c>
      <c r="AD167" s="25">
        <v>30</v>
      </c>
      <c r="AE167" s="1142"/>
      <c r="AF167" s="1143"/>
      <c r="AG167" s="1143"/>
      <c r="AH167" s="1143"/>
      <c r="AI167" s="1143"/>
      <c r="AJ167" s="1145"/>
      <c r="AK167" s="35">
        <v>11000</v>
      </c>
      <c r="AL167" s="29" t="s">
        <v>73</v>
      </c>
      <c r="AM167" s="29" t="s">
        <v>73</v>
      </c>
      <c r="AN167" s="29" t="s">
        <v>73</v>
      </c>
      <c r="AO167" s="29" t="s">
        <v>73</v>
      </c>
      <c r="AP167" s="30">
        <v>5500</v>
      </c>
      <c r="AQ167" s="30">
        <v>5500</v>
      </c>
      <c r="AR167" s="29" t="s">
        <v>73</v>
      </c>
      <c r="AS167" s="29" t="s">
        <v>73</v>
      </c>
      <c r="AT167" s="29" t="s">
        <v>73</v>
      </c>
      <c r="AU167" s="29" t="s">
        <v>73</v>
      </c>
      <c r="AV167" s="29" t="s">
        <v>73</v>
      </c>
      <c r="AW167" s="29" t="s">
        <v>73</v>
      </c>
      <c r="AX167" s="30">
        <v>11000</v>
      </c>
      <c r="AY167" s="30" t="s">
        <v>6</v>
      </c>
      <c r="AZ167" s="2" t="s">
        <v>74</v>
      </c>
      <c r="BA167" s="2"/>
    </row>
    <row r="168" spans="1:53" ht="51" x14ac:dyDescent="0.25">
      <c r="A168" s="19">
        <v>2026</v>
      </c>
      <c r="B168" s="20">
        <v>479</v>
      </c>
      <c r="C168" s="21" t="s">
        <v>64</v>
      </c>
      <c r="D168" s="21" t="s">
        <v>65</v>
      </c>
      <c r="E168" s="20">
        <v>125</v>
      </c>
      <c r="F168" s="20">
        <v>3000654</v>
      </c>
      <c r="G168" s="20">
        <v>5005023</v>
      </c>
      <c r="H168" s="20">
        <v>3</v>
      </c>
      <c r="I168" s="20">
        <v>12</v>
      </c>
      <c r="J168" s="20">
        <v>24</v>
      </c>
      <c r="K168" s="20">
        <v>135560</v>
      </c>
      <c r="L168" s="21" t="s">
        <v>220</v>
      </c>
      <c r="M168" s="33" t="s">
        <v>221</v>
      </c>
      <c r="N168" s="19">
        <v>97</v>
      </c>
      <c r="O168" s="2"/>
      <c r="P168" s="2" t="s">
        <v>4</v>
      </c>
      <c r="Q168" s="20" t="s">
        <v>68</v>
      </c>
      <c r="R168" s="25" t="s">
        <v>69</v>
      </c>
      <c r="S168" s="41" t="s">
        <v>137</v>
      </c>
      <c r="T168" s="41"/>
      <c r="U168" s="31" t="s">
        <v>253</v>
      </c>
      <c r="V168" s="25" t="s">
        <v>3</v>
      </c>
      <c r="W168" s="25">
        <v>3</v>
      </c>
      <c r="X168" s="27">
        <v>5500</v>
      </c>
      <c r="Y168" s="1142"/>
      <c r="Z168" s="1143"/>
      <c r="AA168" s="1143"/>
      <c r="AB168" s="1144"/>
      <c r="AC168" s="25">
        <v>30</v>
      </c>
      <c r="AD168" s="25">
        <v>30</v>
      </c>
      <c r="AE168" s="1142"/>
      <c r="AF168" s="1143"/>
      <c r="AG168" s="1143"/>
      <c r="AH168" s="1143"/>
      <c r="AI168" s="1143"/>
      <c r="AJ168" s="1145"/>
      <c r="AK168" s="35">
        <v>33000</v>
      </c>
      <c r="AL168" s="29" t="s">
        <v>73</v>
      </c>
      <c r="AM168" s="29" t="s">
        <v>73</v>
      </c>
      <c r="AN168" s="29" t="s">
        <v>73</v>
      </c>
      <c r="AO168" s="29" t="s">
        <v>73</v>
      </c>
      <c r="AP168" s="30">
        <v>16500</v>
      </c>
      <c r="AQ168" s="30">
        <v>16500</v>
      </c>
      <c r="AR168" s="29" t="s">
        <v>73</v>
      </c>
      <c r="AS168" s="29" t="s">
        <v>73</v>
      </c>
      <c r="AT168" s="29" t="s">
        <v>73</v>
      </c>
      <c r="AU168" s="29" t="s">
        <v>73</v>
      </c>
      <c r="AV168" s="29" t="s">
        <v>73</v>
      </c>
      <c r="AW168" s="29" t="s">
        <v>73</v>
      </c>
      <c r="AX168" s="30">
        <v>33000</v>
      </c>
      <c r="AY168" s="30" t="s">
        <v>6</v>
      </c>
      <c r="AZ168" s="2" t="s">
        <v>74</v>
      </c>
      <c r="BA168" s="2"/>
    </row>
    <row r="169" spans="1:53" ht="51" x14ac:dyDescent="0.25">
      <c r="A169" s="19">
        <v>2026</v>
      </c>
      <c r="B169" s="20">
        <v>479</v>
      </c>
      <c r="C169" s="21" t="s">
        <v>64</v>
      </c>
      <c r="D169" s="21" t="s">
        <v>65</v>
      </c>
      <c r="E169" s="20">
        <v>125</v>
      </c>
      <c r="F169" s="20">
        <v>3000654</v>
      </c>
      <c r="G169" s="20">
        <v>5005023</v>
      </c>
      <c r="H169" s="20">
        <v>3</v>
      </c>
      <c r="I169" s="20">
        <v>12</v>
      </c>
      <c r="J169" s="20">
        <v>24</v>
      </c>
      <c r="K169" s="20">
        <v>135560</v>
      </c>
      <c r="L169" s="21" t="s">
        <v>220</v>
      </c>
      <c r="M169" s="33" t="s">
        <v>221</v>
      </c>
      <c r="N169" s="19">
        <v>97</v>
      </c>
      <c r="O169" s="2"/>
      <c r="P169" s="2" t="s">
        <v>4</v>
      </c>
      <c r="Q169" s="20" t="s">
        <v>68</v>
      </c>
      <c r="R169" s="25" t="s">
        <v>69</v>
      </c>
      <c r="S169" s="41" t="s">
        <v>137</v>
      </c>
      <c r="T169" s="41"/>
      <c r="U169" s="31" t="s">
        <v>254</v>
      </c>
      <c r="V169" s="25" t="s">
        <v>3</v>
      </c>
      <c r="W169" s="25">
        <v>1</v>
      </c>
      <c r="X169" s="27">
        <v>5500</v>
      </c>
      <c r="Y169" s="1142"/>
      <c r="Z169" s="1143"/>
      <c r="AA169" s="1143"/>
      <c r="AB169" s="1144"/>
      <c r="AC169" s="25">
        <v>30</v>
      </c>
      <c r="AD169" s="25">
        <v>30</v>
      </c>
      <c r="AE169" s="1142"/>
      <c r="AF169" s="1143"/>
      <c r="AG169" s="1143"/>
      <c r="AH169" s="1143"/>
      <c r="AI169" s="1143"/>
      <c r="AJ169" s="1145"/>
      <c r="AK169" s="35">
        <v>11000</v>
      </c>
      <c r="AL169" s="29" t="s">
        <v>73</v>
      </c>
      <c r="AM169" s="29" t="s">
        <v>73</v>
      </c>
      <c r="AN169" s="29" t="s">
        <v>73</v>
      </c>
      <c r="AO169" s="29" t="s">
        <v>73</v>
      </c>
      <c r="AP169" s="30">
        <v>5500</v>
      </c>
      <c r="AQ169" s="30">
        <v>5500</v>
      </c>
      <c r="AR169" s="29" t="s">
        <v>73</v>
      </c>
      <c r="AS169" s="29" t="s">
        <v>73</v>
      </c>
      <c r="AT169" s="29" t="s">
        <v>73</v>
      </c>
      <c r="AU169" s="29" t="s">
        <v>73</v>
      </c>
      <c r="AV169" s="29" t="s">
        <v>73</v>
      </c>
      <c r="AW169" s="29" t="s">
        <v>73</v>
      </c>
      <c r="AX169" s="30">
        <v>11000</v>
      </c>
      <c r="AY169" s="30" t="s">
        <v>6</v>
      </c>
      <c r="AZ169" s="2" t="s">
        <v>74</v>
      </c>
      <c r="BA169" s="2"/>
    </row>
    <row r="170" spans="1:53" ht="51" x14ac:dyDescent="0.25">
      <c r="A170" s="19">
        <v>2026</v>
      </c>
      <c r="B170" s="20">
        <v>479</v>
      </c>
      <c r="C170" s="21" t="s">
        <v>64</v>
      </c>
      <c r="D170" s="21" t="s">
        <v>65</v>
      </c>
      <c r="E170" s="20">
        <v>125</v>
      </c>
      <c r="F170" s="20">
        <v>3000654</v>
      </c>
      <c r="G170" s="20">
        <v>5005023</v>
      </c>
      <c r="H170" s="20">
        <v>3</v>
      </c>
      <c r="I170" s="20">
        <v>12</v>
      </c>
      <c r="J170" s="20">
        <v>24</v>
      </c>
      <c r="K170" s="20">
        <v>135560</v>
      </c>
      <c r="L170" s="21" t="s">
        <v>220</v>
      </c>
      <c r="M170" s="33" t="s">
        <v>221</v>
      </c>
      <c r="N170" s="19">
        <v>97</v>
      </c>
      <c r="O170" s="2"/>
      <c r="P170" s="2" t="s">
        <v>4</v>
      </c>
      <c r="Q170" s="20" t="s">
        <v>68</v>
      </c>
      <c r="R170" s="25" t="s">
        <v>69</v>
      </c>
      <c r="S170" s="41" t="s">
        <v>137</v>
      </c>
      <c r="T170" s="41"/>
      <c r="U170" s="31" t="s">
        <v>255</v>
      </c>
      <c r="V170" s="25" t="s">
        <v>3</v>
      </c>
      <c r="W170" s="25">
        <v>1</v>
      </c>
      <c r="X170" s="27">
        <v>6000</v>
      </c>
      <c r="Y170" s="1142"/>
      <c r="Z170" s="1143"/>
      <c r="AA170" s="1143"/>
      <c r="AB170" s="1144"/>
      <c r="AC170" s="25">
        <v>30</v>
      </c>
      <c r="AD170" s="25">
        <v>30</v>
      </c>
      <c r="AE170" s="1142"/>
      <c r="AF170" s="1143"/>
      <c r="AG170" s="1143"/>
      <c r="AH170" s="1143"/>
      <c r="AI170" s="1143"/>
      <c r="AJ170" s="1145"/>
      <c r="AK170" s="35">
        <v>12000</v>
      </c>
      <c r="AL170" s="29" t="s">
        <v>73</v>
      </c>
      <c r="AM170" s="29" t="s">
        <v>73</v>
      </c>
      <c r="AN170" s="29" t="s">
        <v>73</v>
      </c>
      <c r="AO170" s="29" t="s">
        <v>73</v>
      </c>
      <c r="AP170" s="30">
        <v>6000</v>
      </c>
      <c r="AQ170" s="30">
        <v>6000</v>
      </c>
      <c r="AR170" s="29" t="s">
        <v>73</v>
      </c>
      <c r="AS170" s="29" t="s">
        <v>73</v>
      </c>
      <c r="AT170" s="29" t="s">
        <v>73</v>
      </c>
      <c r="AU170" s="29" t="s">
        <v>73</v>
      </c>
      <c r="AV170" s="29" t="s">
        <v>73</v>
      </c>
      <c r="AW170" s="29" t="s">
        <v>73</v>
      </c>
      <c r="AX170" s="30">
        <v>12000</v>
      </c>
      <c r="AY170" s="30" t="s">
        <v>6</v>
      </c>
      <c r="AZ170" s="2" t="s">
        <v>74</v>
      </c>
      <c r="BA170" s="2"/>
    </row>
    <row r="171" spans="1:53" ht="51" x14ac:dyDescent="0.25">
      <c r="A171" s="19">
        <v>2026</v>
      </c>
      <c r="B171" s="20">
        <v>479</v>
      </c>
      <c r="C171" s="21" t="s">
        <v>64</v>
      </c>
      <c r="D171" s="21" t="s">
        <v>65</v>
      </c>
      <c r="E171" s="20">
        <v>125</v>
      </c>
      <c r="F171" s="20">
        <v>3000654</v>
      </c>
      <c r="G171" s="20">
        <v>5005023</v>
      </c>
      <c r="H171" s="20">
        <v>3</v>
      </c>
      <c r="I171" s="20">
        <v>12</v>
      </c>
      <c r="J171" s="20">
        <v>24</v>
      </c>
      <c r="K171" s="20">
        <v>135560</v>
      </c>
      <c r="L171" s="21" t="s">
        <v>220</v>
      </c>
      <c r="M171" s="33" t="s">
        <v>221</v>
      </c>
      <c r="N171" s="19">
        <v>97</v>
      </c>
      <c r="O171" s="2"/>
      <c r="P171" s="2" t="s">
        <v>4</v>
      </c>
      <c r="Q171" s="20" t="s">
        <v>68</v>
      </c>
      <c r="R171" s="25" t="s">
        <v>69</v>
      </c>
      <c r="S171" s="41" t="s">
        <v>137</v>
      </c>
      <c r="T171" s="41"/>
      <c r="U171" s="31" t="s">
        <v>256</v>
      </c>
      <c r="V171" s="25" t="s">
        <v>3</v>
      </c>
      <c r="W171" s="25">
        <v>1</v>
      </c>
      <c r="X171" s="27">
        <v>8000</v>
      </c>
      <c r="Y171" s="1142"/>
      <c r="Z171" s="1143"/>
      <c r="AA171" s="1143"/>
      <c r="AB171" s="1144"/>
      <c r="AC171" s="25">
        <v>30</v>
      </c>
      <c r="AD171" s="25">
        <v>30</v>
      </c>
      <c r="AE171" s="1142"/>
      <c r="AF171" s="1143"/>
      <c r="AG171" s="1143"/>
      <c r="AH171" s="1143"/>
      <c r="AI171" s="1143"/>
      <c r="AJ171" s="1145"/>
      <c r="AK171" s="35">
        <v>16000</v>
      </c>
      <c r="AL171" s="29" t="s">
        <v>73</v>
      </c>
      <c r="AM171" s="29" t="s">
        <v>73</v>
      </c>
      <c r="AN171" s="29" t="s">
        <v>73</v>
      </c>
      <c r="AO171" s="29" t="s">
        <v>73</v>
      </c>
      <c r="AP171" s="30">
        <v>8000</v>
      </c>
      <c r="AQ171" s="30">
        <v>8000</v>
      </c>
      <c r="AR171" s="29" t="s">
        <v>73</v>
      </c>
      <c r="AS171" s="29" t="s">
        <v>73</v>
      </c>
      <c r="AT171" s="29" t="s">
        <v>73</v>
      </c>
      <c r="AU171" s="29" t="s">
        <v>73</v>
      </c>
      <c r="AV171" s="29" t="s">
        <v>73</v>
      </c>
      <c r="AW171" s="29" t="s">
        <v>73</v>
      </c>
      <c r="AX171" s="30">
        <v>16000</v>
      </c>
      <c r="AY171" s="30" t="s">
        <v>6</v>
      </c>
      <c r="AZ171" s="2" t="s">
        <v>74</v>
      </c>
      <c r="BA171" s="2"/>
    </row>
    <row r="172" spans="1:53" ht="51" x14ac:dyDescent="0.25">
      <c r="A172" s="19">
        <v>2026</v>
      </c>
      <c r="B172" s="20">
        <v>479</v>
      </c>
      <c r="C172" s="21" t="s">
        <v>64</v>
      </c>
      <c r="D172" s="21" t="s">
        <v>65</v>
      </c>
      <c r="E172" s="20">
        <v>125</v>
      </c>
      <c r="F172" s="20">
        <v>3000654</v>
      </c>
      <c r="G172" s="20">
        <v>5005023</v>
      </c>
      <c r="H172" s="20">
        <v>3</v>
      </c>
      <c r="I172" s="20">
        <v>12</v>
      </c>
      <c r="J172" s="20">
        <v>24</v>
      </c>
      <c r="K172" s="20">
        <v>135560</v>
      </c>
      <c r="L172" s="21" t="s">
        <v>98</v>
      </c>
      <c r="M172" s="33" t="s">
        <v>99</v>
      </c>
      <c r="N172" s="19">
        <v>94</v>
      </c>
      <c r="O172" s="2"/>
      <c r="P172" s="2" t="s">
        <v>4</v>
      </c>
      <c r="Q172" s="20" t="s">
        <v>68</v>
      </c>
      <c r="R172" s="25" t="s">
        <v>69</v>
      </c>
      <c r="S172" s="41" t="s">
        <v>137</v>
      </c>
      <c r="T172" s="41"/>
      <c r="U172" s="31" t="s">
        <v>257</v>
      </c>
      <c r="V172" s="25" t="s">
        <v>3</v>
      </c>
      <c r="W172" s="25">
        <v>1</v>
      </c>
      <c r="X172" s="27">
        <v>7000</v>
      </c>
      <c r="Y172" s="1142"/>
      <c r="Z172" s="1143"/>
      <c r="AA172" s="1143"/>
      <c r="AB172" s="1144"/>
      <c r="AC172" s="25">
        <v>30</v>
      </c>
      <c r="AD172" s="25"/>
      <c r="AE172" s="1142"/>
      <c r="AF172" s="1143"/>
      <c r="AG172" s="1143"/>
      <c r="AH172" s="1143"/>
      <c r="AI172" s="1143"/>
      <c r="AJ172" s="1145"/>
      <c r="AK172" s="35">
        <v>7000</v>
      </c>
      <c r="AL172" s="29" t="s">
        <v>73</v>
      </c>
      <c r="AM172" s="29" t="s">
        <v>73</v>
      </c>
      <c r="AN172" s="29" t="s">
        <v>73</v>
      </c>
      <c r="AO172" s="29" t="s">
        <v>73</v>
      </c>
      <c r="AP172" s="30">
        <v>7000</v>
      </c>
      <c r="AQ172" s="29" t="s">
        <v>73</v>
      </c>
      <c r="AR172" s="29" t="s">
        <v>73</v>
      </c>
      <c r="AS172" s="29" t="s">
        <v>73</v>
      </c>
      <c r="AT172" s="29" t="s">
        <v>73</v>
      </c>
      <c r="AU172" s="29" t="s">
        <v>73</v>
      </c>
      <c r="AV172" s="29" t="s">
        <v>73</v>
      </c>
      <c r="AW172" s="29" t="s">
        <v>73</v>
      </c>
      <c r="AX172" s="30">
        <v>7000</v>
      </c>
      <c r="AY172" s="18" t="s">
        <v>6</v>
      </c>
      <c r="AZ172" s="2" t="s">
        <v>74</v>
      </c>
      <c r="BA172" s="2"/>
    </row>
    <row r="173" spans="1:53" ht="51" x14ac:dyDescent="0.25">
      <c r="A173" s="19">
        <v>2026</v>
      </c>
      <c r="B173" s="20">
        <v>479</v>
      </c>
      <c r="C173" s="21" t="s">
        <v>64</v>
      </c>
      <c r="D173" s="21" t="s">
        <v>65</v>
      </c>
      <c r="E173" s="20">
        <v>125</v>
      </c>
      <c r="F173" s="20">
        <v>3000654</v>
      </c>
      <c r="G173" s="20">
        <v>5005023</v>
      </c>
      <c r="H173" s="20">
        <v>3</v>
      </c>
      <c r="I173" s="20">
        <v>12</v>
      </c>
      <c r="J173" s="20">
        <v>24</v>
      </c>
      <c r="K173" s="20">
        <v>135560</v>
      </c>
      <c r="L173" s="21" t="s">
        <v>220</v>
      </c>
      <c r="M173" s="33" t="s">
        <v>221</v>
      </c>
      <c r="N173" s="19">
        <v>97</v>
      </c>
      <c r="O173" s="2"/>
      <c r="P173" s="2" t="s">
        <v>4</v>
      </c>
      <c r="Q173" s="20" t="s">
        <v>68</v>
      </c>
      <c r="R173" s="25" t="s">
        <v>69</v>
      </c>
      <c r="S173" s="41" t="s">
        <v>137</v>
      </c>
      <c r="T173" s="41"/>
      <c r="U173" s="31" t="s">
        <v>257</v>
      </c>
      <c r="V173" s="25" t="s">
        <v>3</v>
      </c>
      <c r="W173" s="25">
        <v>1</v>
      </c>
      <c r="X173" s="27">
        <v>7000</v>
      </c>
      <c r="Y173" s="1142"/>
      <c r="Z173" s="1143"/>
      <c r="AA173" s="1143"/>
      <c r="AB173" s="1144"/>
      <c r="AC173" s="25"/>
      <c r="AD173" s="25">
        <v>30</v>
      </c>
      <c r="AE173" s="1142"/>
      <c r="AF173" s="1143"/>
      <c r="AG173" s="1143"/>
      <c r="AH173" s="1143"/>
      <c r="AI173" s="1143"/>
      <c r="AJ173" s="1145"/>
      <c r="AK173" s="35">
        <v>7000</v>
      </c>
      <c r="AL173" s="29" t="s">
        <v>73</v>
      </c>
      <c r="AM173" s="29" t="s">
        <v>73</v>
      </c>
      <c r="AN173" s="29" t="s">
        <v>73</v>
      </c>
      <c r="AO173" s="29" t="s">
        <v>73</v>
      </c>
      <c r="AP173" s="29" t="s">
        <v>73</v>
      </c>
      <c r="AQ173" s="30">
        <v>7000</v>
      </c>
      <c r="AR173" s="29" t="s">
        <v>73</v>
      </c>
      <c r="AS173" s="29" t="s">
        <v>73</v>
      </c>
      <c r="AT173" s="29" t="s">
        <v>73</v>
      </c>
      <c r="AU173" s="29" t="s">
        <v>73</v>
      </c>
      <c r="AV173" s="29" t="s">
        <v>73</v>
      </c>
      <c r="AW173" s="29" t="s">
        <v>73</v>
      </c>
      <c r="AX173" s="30">
        <v>7000</v>
      </c>
      <c r="AY173" s="30" t="s">
        <v>6</v>
      </c>
      <c r="AZ173" s="2" t="s">
        <v>74</v>
      </c>
      <c r="BA173" s="2"/>
    </row>
    <row r="174" spans="1:53" ht="51" x14ac:dyDescent="0.25">
      <c r="A174" s="19">
        <v>2026</v>
      </c>
      <c r="B174" s="20">
        <v>479</v>
      </c>
      <c r="C174" s="21" t="s">
        <v>64</v>
      </c>
      <c r="D174" s="21" t="s">
        <v>65</v>
      </c>
      <c r="E174" s="20">
        <v>125</v>
      </c>
      <c r="F174" s="20">
        <v>3000654</v>
      </c>
      <c r="G174" s="20">
        <v>5005023</v>
      </c>
      <c r="H174" s="20">
        <v>3</v>
      </c>
      <c r="I174" s="20">
        <v>12</v>
      </c>
      <c r="J174" s="20">
        <v>24</v>
      </c>
      <c r="K174" s="20">
        <v>135560</v>
      </c>
      <c r="L174" s="21" t="s">
        <v>220</v>
      </c>
      <c r="M174" s="33" t="s">
        <v>221</v>
      </c>
      <c r="N174" s="19">
        <v>97</v>
      </c>
      <c r="O174" s="2"/>
      <c r="P174" s="2" t="s">
        <v>4</v>
      </c>
      <c r="Q174" s="20" t="s">
        <v>68</v>
      </c>
      <c r="R174" s="25" t="s">
        <v>69</v>
      </c>
      <c r="S174" s="41" t="s">
        <v>137</v>
      </c>
      <c r="T174" s="41"/>
      <c r="U174" s="31" t="s">
        <v>258</v>
      </c>
      <c r="V174" s="25" t="s">
        <v>3</v>
      </c>
      <c r="W174" s="25">
        <v>1</v>
      </c>
      <c r="X174" s="27">
        <v>7000</v>
      </c>
      <c r="Y174" s="1142"/>
      <c r="Z174" s="1143"/>
      <c r="AA174" s="1143"/>
      <c r="AB174" s="1144"/>
      <c r="AC174" s="25">
        <v>30</v>
      </c>
      <c r="AD174" s="25">
        <v>30</v>
      </c>
      <c r="AE174" s="1142"/>
      <c r="AF174" s="1143"/>
      <c r="AG174" s="1143"/>
      <c r="AH174" s="1143"/>
      <c r="AI174" s="1143"/>
      <c r="AJ174" s="1145"/>
      <c r="AK174" s="35">
        <v>14000</v>
      </c>
      <c r="AL174" s="29" t="s">
        <v>73</v>
      </c>
      <c r="AM174" s="29" t="s">
        <v>73</v>
      </c>
      <c r="AN174" s="29" t="s">
        <v>73</v>
      </c>
      <c r="AO174" s="29" t="s">
        <v>73</v>
      </c>
      <c r="AP174" s="30">
        <v>7000</v>
      </c>
      <c r="AQ174" s="30">
        <v>7000</v>
      </c>
      <c r="AR174" s="29" t="s">
        <v>73</v>
      </c>
      <c r="AS174" s="29" t="s">
        <v>73</v>
      </c>
      <c r="AT174" s="29" t="s">
        <v>73</v>
      </c>
      <c r="AU174" s="29" t="s">
        <v>73</v>
      </c>
      <c r="AV174" s="29" t="s">
        <v>73</v>
      </c>
      <c r="AW174" s="29" t="s">
        <v>73</v>
      </c>
      <c r="AX174" s="30">
        <v>14000</v>
      </c>
      <c r="AY174" s="30" t="s">
        <v>6</v>
      </c>
      <c r="AZ174" s="2" t="s">
        <v>74</v>
      </c>
      <c r="BA174" s="2"/>
    </row>
    <row r="175" spans="1:53" ht="51" x14ac:dyDescent="0.25">
      <c r="A175" s="19">
        <v>2026</v>
      </c>
      <c r="B175" s="20">
        <v>479</v>
      </c>
      <c r="C175" s="21" t="s">
        <v>64</v>
      </c>
      <c r="D175" s="21" t="s">
        <v>65</v>
      </c>
      <c r="E175" s="20">
        <v>125</v>
      </c>
      <c r="F175" s="20">
        <v>3000654</v>
      </c>
      <c r="G175" s="20">
        <v>5005023</v>
      </c>
      <c r="H175" s="20">
        <v>3</v>
      </c>
      <c r="I175" s="20">
        <v>12</v>
      </c>
      <c r="J175" s="20">
        <v>24</v>
      </c>
      <c r="K175" s="20">
        <v>135560</v>
      </c>
      <c r="L175" s="21" t="s">
        <v>220</v>
      </c>
      <c r="M175" s="33" t="s">
        <v>221</v>
      </c>
      <c r="N175" s="19">
        <v>97</v>
      </c>
      <c r="O175" s="2"/>
      <c r="P175" s="2" t="s">
        <v>4</v>
      </c>
      <c r="Q175" s="20" t="s">
        <v>68</v>
      </c>
      <c r="R175" s="25" t="s">
        <v>69</v>
      </c>
      <c r="S175" s="41" t="s">
        <v>137</v>
      </c>
      <c r="T175" s="41"/>
      <c r="U175" s="31" t="s">
        <v>259</v>
      </c>
      <c r="V175" s="25" t="s">
        <v>3</v>
      </c>
      <c r="W175" s="25">
        <v>1</v>
      </c>
      <c r="X175" s="27">
        <v>7000</v>
      </c>
      <c r="Y175" s="1142"/>
      <c r="Z175" s="1143"/>
      <c r="AA175" s="1143"/>
      <c r="AB175" s="1144"/>
      <c r="AC175" s="25">
        <v>30</v>
      </c>
      <c r="AD175" s="25">
        <v>30</v>
      </c>
      <c r="AE175" s="1142"/>
      <c r="AF175" s="1143"/>
      <c r="AG175" s="1143"/>
      <c r="AH175" s="1143"/>
      <c r="AI175" s="1143"/>
      <c r="AJ175" s="1145"/>
      <c r="AK175" s="35">
        <v>14000</v>
      </c>
      <c r="AL175" s="29" t="s">
        <v>73</v>
      </c>
      <c r="AM175" s="29" t="s">
        <v>73</v>
      </c>
      <c r="AN175" s="29" t="s">
        <v>73</v>
      </c>
      <c r="AO175" s="29" t="s">
        <v>73</v>
      </c>
      <c r="AP175" s="30">
        <v>7000</v>
      </c>
      <c r="AQ175" s="30">
        <v>7000</v>
      </c>
      <c r="AR175" s="29" t="s">
        <v>73</v>
      </c>
      <c r="AS175" s="29" t="s">
        <v>73</v>
      </c>
      <c r="AT175" s="29" t="s">
        <v>73</v>
      </c>
      <c r="AU175" s="29" t="s">
        <v>73</v>
      </c>
      <c r="AV175" s="29" t="s">
        <v>73</v>
      </c>
      <c r="AW175" s="29" t="s">
        <v>73</v>
      </c>
      <c r="AX175" s="30">
        <v>14000</v>
      </c>
      <c r="AY175" s="30" t="s">
        <v>6</v>
      </c>
      <c r="AZ175" s="2" t="s">
        <v>74</v>
      </c>
      <c r="BA175" s="2"/>
    </row>
    <row r="176" spans="1:53" ht="51" x14ac:dyDescent="0.25">
      <c r="A176" s="19">
        <v>2026</v>
      </c>
      <c r="B176" s="20">
        <v>479</v>
      </c>
      <c r="C176" s="21" t="s">
        <v>64</v>
      </c>
      <c r="D176" s="21" t="s">
        <v>65</v>
      </c>
      <c r="E176" s="20">
        <v>125</v>
      </c>
      <c r="F176" s="20">
        <v>3000654</v>
      </c>
      <c r="G176" s="20">
        <v>5005023</v>
      </c>
      <c r="H176" s="20">
        <v>3</v>
      </c>
      <c r="I176" s="20">
        <v>12</v>
      </c>
      <c r="J176" s="20">
        <v>24</v>
      </c>
      <c r="K176" s="20">
        <v>135560</v>
      </c>
      <c r="L176" s="21" t="s">
        <v>220</v>
      </c>
      <c r="M176" s="33" t="s">
        <v>221</v>
      </c>
      <c r="N176" s="19">
        <v>97</v>
      </c>
      <c r="O176" s="2"/>
      <c r="P176" s="2" t="s">
        <v>4</v>
      </c>
      <c r="Q176" s="20" t="s">
        <v>68</v>
      </c>
      <c r="R176" s="25" t="s">
        <v>69</v>
      </c>
      <c r="S176" s="41" t="s">
        <v>137</v>
      </c>
      <c r="T176" s="41"/>
      <c r="U176" s="31" t="s">
        <v>260</v>
      </c>
      <c r="V176" s="25" t="s">
        <v>3</v>
      </c>
      <c r="W176" s="25">
        <v>2</v>
      </c>
      <c r="X176" s="27">
        <v>7000</v>
      </c>
      <c r="Y176" s="1142"/>
      <c r="Z176" s="1143"/>
      <c r="AA176" s="1143"/>
      <c r="AB176" s="1144"/>
      <c r="AC176" s="25">
        <v>30</v>
      </c>
      <c r="AD176" s="25">
        <v>30</v>
      </c>
      <c r="AE176" s="1142"/>
      <c r="AF176" s="1143"/>
      <c r="AG176" s="1143"/>
      <c r="AH176" s="1143"/>
      <c r="AI176" s="1143"/>
      <c r="AJ176" s="1145"/>
      <c r="AK176" s="35">
        <v>28000</v>
      </c>
      <c r="AL176" s="29" t="s">
        <v>73</v>
      </c>
      <c r="AM176" s="29" t="s">
        <v>73</v>
      </c>
      <c r="AN176" s="29" t="s">
        <v>73</v>
      </c>
      <c r="AO176" s="29" t="s">
        <v>73</v>
      </c>
      <c r="AP176" s="30">
        <v>14000</v>
      </c>
      <c r="AQ176" s="30">
        <v>14000</v>
      </c>
      <c r="AR176" s="29" t="s">
        <v>73</v>
      </c>
      <c r="AS176" s="29" t="s">
        <v>73</v>
      </c>
      <c r="AT176" s="29" t="s">
        <v>73</v>
      </c>
      <c r="AU176" s="29" t="s">
        <v>73</v>
      </c>
      <c r="AV176" s="29" t="s">
        <v>73</v>
      </c>
      <c r="AW176" s="29" t="s">
        <v>73</v>
      </c>
      <c r="AX176" s="30">
        <v>28000</v>
      </c>
      <c r="AY176" s="30" t="s">
        <v>6</v>
      </c>
      <c r="AZ176" s="2" t="s">
        <v>74</v>
      </c>
      <c r="BA176" s="2"/>
    </row>
    <row r="177" spans="1:53" ht="51" x14ac:dyDescent="0.25">
      <c r="A177" s="19">
        <v>2026</v>
      </c>
      <c r="B177" s="20">
        <v>479</v>
      </c>
      <c r="C177" s="21" t="s">
        <v>64</v>
      </c>
      <c r="D177" s="21" t="s">
        <v>65</v>
      </c>
      <c r="E177" s="20">
        <v>125</v>
      </c>
      <c r="F177" s="20">
        <v>3000654</v>
      </c>
      <c r="G177" s="20">
        <v>5005023</v>
      </c>
      <c r="H177" s="20">
        <v>3</v>
      </c>
      <c r="I177" s="20">
        <v>12</v>
      </c>
      <c r="J177" s="20">
        <v>24</v>
      </c>
      <c r="K177" s="20">
        <v>135560</v>
      </c>
      <c r="L177" s="21" t="s">
        <v>220</v>
      </c>
      <c r="M177" s="33" t="s">
        <v>221</v>
      </c>
      <c r="N177" s="19">
        <v>97</v>
      </c>
      <c r="O177" s="2"/>
      <c r="P177" s="2" t="s">
        <v>4</v>
      </c>
      <c r="Q177" s="20" t="s">
        <v>68</v>
      </c>
      <c r="R177" s="25" t="s">
        <v>69</v>
      </c>
      <c r="S177" s="41" t="s">
        <v>137</v>
      </c>
      <c r="T177" s="41"/>
      <c r="U177" s="31" t="s">
        <v>261</v>
      </c>
      <c r="V177" s="25" t="s">
        <v>3</v>
      </c>
      <c r="W177" s="25">
        <v>1</v>
      </c>
      <c r="X177" s="27">
        <v>7000</v>
      </c>
      <c r="Y177" s="1142"/>
      <c r="Z177" s="1143"/>
      <c r="AA177" s="1143"/>
      <c r="AB177" s="1144"/>
      <c r="AC177" s="25">
        <v>30</v>
      </c>
      <c r="AD177" s="25">
        <v>30</v>
      </c>
      <c r="AE177" s="1142"/>
      <c r="AF177" s="1143"/>
      <c r="AG177" s="1143"/>
      <c r="AH177" s="1143"/>
      <c r="AI177" s="1143"/>
      <c r="AJ177" s="1145"/>
      <c r="AK177" s="35">
        <v>14000</v>
      </c>
      <c r="AL177" s="29" t="s">
        <v>73</v>
      </c>
      <c r="AM177" s="29" t="s">
        <v>73</v>
      </c>
      <c r="AN177" s="29" t="s">
        <v>73</v>
      </c>
      <c r="AO177" s="29" t="s">
        <v>73</v>
      </c>
      <c r="AP177" s="30">
        <v>7000</v>
      </c>
      <c r="AQ177" s="30">
        <v>7000</v>
      </c>
      <c r="AR177" s="29" t="s">
        <v>73</v>
      </c>
      <c r="AS177" s="29" t="s">
        <v>73</v>
      </c>
      <c r="AT177" s="29" t="s">
        <v>73</v>
      </c>
      <c r="AU177" s="29" t="s">
        <v>73</v>
      </c>
      <c r="AV177" s="29" t="s">
        <v>73</v>
      </c>
      <c r="AW177" s="29" t="s">
        <v>73</v>
      </c>
      <c r="AX177" s="30">
        <v>14000</v>
      </c>
      <c r="AY177" s="30" t="s">
        <v>6</v>
      </c>
      <c r="AZ177" s="2" t="s">
        <v>74</v>
      </c>
      <c r="BA177" s="2"/>
    </row>
    <row r="178" spans="1:53" ht="51" x14ac:dyDescent="0.25">
      <c r="A178" s="19">
        <v>2026</v>
      </c>
      <c r="B178" s="20">
        <v>479</v>
      </c>
      <c r="C178" s="21" t="s">
        <v>64</v>
      </c>
      <c r="D178" s="21" t="s">
        <v>65</v>
      </c>
      <c r="E178" s="20">
        <v>125</v>
      </c>
      <c r="F178" s="20">
        <v>3000654</v>
      </c>
      <c r="G178" s="20">
        <v>5005023</v>
      </c>
      <c r="H178" s="20">
        <v>3</v>
      </c>
      <c r="I178" s="20">
        <v>12</v>
      </c>
      <c r="J178" s="20">
        <v>24</v>
      </c>
      <c r="K178" s="20">
        <v>135560</v>
      </c>
      <c r="L178" s="21" t="s">
        <v>98</v>
      </c>
      <c r="M178" s="33" t="s">
        <v>99</v>
      </c>
      <c r="N178" s="19">
        <v>94</v>
      </c>
      <c r="O178" s="2"/>
      <c r="P178" s="2" t="s">
        <v>4</v>
      </c>
      <c r="Q178" s="20" t="s">
        <v>68</v>
      </c>
      <c r="R178" s="25" t="s">
        <v>69</v>
      </c>
      <c r="S178" s="41" t="s">
        <v>137</v>
      </c>
      <c r="T178" s="41"/>
      <c r="U178" s="31" t="s">
        <v>262</v>
      </c>
      <c r="V178" s="25" t="s">
        <v>3</v>
      </c>
      <c r="W178" s="25">
        <v>1</v>
      </c>
      <c r="X178" s="27">
        <v>7000</v>
      </c>
      <c r="Y178" s="1142"/>
      <c r="Z178" s="1143"/>
      <c r="AA178" s="1143"/>
      <c r="AB178" s="1144"/>
      <c r="AC178" s="25">
        <v>30</v>
      </c>
      <c r="AD178" s="25"/>
      <c r="AE178" s="1142"/>
      <c r="AF178" s="1143"/>
      <c r="AG178" s="1143"/>
      <c r="AH178" s="1143"/>
      <c r="AI178" s="1143"/>
      <c r="AJ178" s="1145"/>
      <c r="AK178" s="35">
        <v>7000</v>
      </c>
      <c r="AL178" s="29" t="s">
        <v>73</v>
      </c>
      <c r="AM178" s="29" t="s">
        <v>73</v>
      </c>
      <c r="AN178" s="29" t="s">
        <v>73</v>
      </c>
      <c r="AO178" s="29" t="s">
        <v>73</v>
      </c>
      <c r="AP178" s="30">
        <v>7000</v>
      </c>
      <c r="AQ178" s="29" t="s">
        <v>73</v>
      </c>
      <c r="AR178" s="29" t="s">
        <v>73</v>
      </c>
      <c r="AS178" s="29" t="s">
        <v>73</v>
      </c>
      <c r="AT178" s="29" t="s">
        <v>73</v>
      </c>
      <c r="AU178" s="29" t="s">
        <v>73</v>
      </c>
      <c r="AV178" s="29" t="s">
        <v>73</v>
      </c>
      <c r="AW178" s="29" t="s">
        <v>73</v>
      </c>
      <c r="AX178" s="30">
        <v>7000</v>
      </c>
      <c r="AY178" s="18" t="s">
        <v>6</v>
      </c>
      <c r="AZ178" s="2" t="s">
        <v>74</v>
      </c>
      <c r="BA178" s="2"/>
    </row>
    <row r="179" spans="1:53" ht="51" x14ac:dyDescent="0.25">
      <c r="A179" s="19">
        <v>2026</v>
      </c>
      <c r="B179" s="20">
        <v>479</v>
      </c>
      <c r="C179" s="21" t="s">
        <v>64</v>
      </c>
      <c r="D179" s="21" t="s">
        <v>65</v>
      </c>
      <c r="E179" s="20">
        <v>125</v>
      </c>
      <c r="F179" s="20">
        <v>3000654</v>
      </c>
      <c r="G179" s="20">
        <v>5005023</v>
      </c>
      <c r="H179" s="20">
        <v>3</v>
      </c>
      <c r="I179" s="20">
        <v>12</v>
      </c>
      <c r="J179" s="20">
        <v>24</v>
      </c>
      <c r="K179" s="20">
        <v>135560</v>
      </c>
      <c r="L179" s="21" t="s">
        <v>220</v>
      </c>
      <c r="M179" s="33" t="s">
        <v>221</v>
      </c>
      <c r="N179" s="19">
        <v>97</v>
      </c>
      <c r="O179" s="2"/>
      <c r="P179" s="2" t="s">
        <v>4</v>
      </c>
      <c r="Q179" s="20" t="s">
        <v>68</v>
      </c>
      <c r="R179" s="25" t="s">
        <v>69</v>
      </c>
      <c r="S179" s="41" t="s">
        <v>137</v>
      </c>
      <c r="T179" s="41"/>
      <c r="U179" s="31" t="s">
        <v>262</v>
      </c>
      <c r="V179" s="25" t="s">
        <v>3</v>
      </c>
      <c r="W179" s="25">
        <v>1</v>
      </c>
      <c r="X179" s="27">
        <v>7000</v>
      </c>
      <c r="Y179" s="1142"/>
      <c r="Z179" s="1143"/>
      <c r="AA179" s="1143"/>
      <c r="AB179" s="1144"/>
      <c r="AC179" s="25"/>
      <c r="AD179" s="25">
        <v>30</v>
      </c>
      <c r="AE179" s="1142"/>
      <c r="AF179" s="1143"/>
      <c r="AG179" s="1143"/>
      <c r="AH179" s="1143"/>
      <c r="AI179" s="1143"/>
      <c r="AJ179" s="1145"/>
      <c r="AK179" s="35">
        <v>7000</v>
      </c>
      <c r="AL179" s="29" t="s">
        <v>73</v>
      </c>
      <c r="AM179" s="29" t="s">
        <v>73</v>
      </c>
      <c r="AN179" s="29" t="s">
        <v>73</v>
      </c>
      <c r="AO179" s="29" t="s">
        <v>73</v>
      </c>
      <c r="AP179" s="29" t="s">
        <v>73</v>
      </c>
      <c r="AQ179" s="30">
        <v>7000</v>
      </c>
      <c r="AR179" s="29" t="s">
        <v>73</v>
      </c>
      <c r="AS179" s="29" t="s">
        <v>73</v>
      </c>
      <c r="AT179" s="29" t="s">
        <v>73</v>
      </c>
      <c r="AU179" s="29" t="s">
        <v>73</v>
      </c>
      <c r="AV179" s="29" t="s">
        <v>73</v>
      </c>
      <c r="AW179" s="29" t="s">
        <v>73</v>
      </c>
      <c r="AX179" s="30">
        <v>7000</v>
      </c>
      <c r="AY179" s="30" t="s">
        <v>6</v>
      </c>
      <c r="AZ179" s="2" t="s">
        <v>74</v>
      </c>
      <c r="BA179" s="2"/>
    </row>
    <row r="180" spans="1:53" ht="51" x14ac:dyDescent="0.25">
      <c r="A180" s="19">
        <v>2026</v>
      </c>
      <c r="B180" s="20">
        <v>479</v>
      </c>
      <c r="C180" s="21" t="s">
        <v>64</v>
      </c>
      <c r="D180" s="21" t="s">
        <v>65</v>
      </c>
      <c r="E180" s="20">
        <v>125</v>
      </c>
      <c r="F180" s="20">
        <v>3000654</v>
      </c>
      <c r="G180" s="20">
        <v>5005023</v>
      </c>
      <c r="H180" s="20">
        <v>3</v>
      </c>
      <c r="I180" s="20">
        <v>12</v>
      </c>
      <c r="J180" s="20">
        <v>24</v>
      </c>
      <c r="K180" s="20">
        <v>135560</v>
      </c>
      <c r="L180" s="21" t="s">
        <v>98</v>
      </c>
      <c r="M180" s="33" t="s">
        <v>99</v>
      </c>
      <c r="N180" s="19">
        <v>94</v>
      </c>
      <c r="O180" s="2"/>
      <c r="P180" s="2" t="s">
        <v>4</v>
      </c>
      <c r="Q180" s="20" t="s">
        <v>68</v>
      </c>
      <c r="R180" s="25" t="s">
        <v>69</v>
      </c>
      <c r="S180" s="41" t="s">
        <v>137</v>
      </c>
      <c r="T180" s="41"/>
      <c r="U180" s="31" t="s">
        <v>263</v>
      </c>
      <c r="V180" s="25" t="s">
        <v>3</v>
      </c>
      <c r="W180" s="25">
        <v>1</v>
      </c>
      <c r="X180" s="27">
        <v>7000</v>
      </c>
      <c r="Y180" s="1142"/>
      <c r="Z180" s="1143"/>
      <c r="AA180" s="1143"/>
      <c r="AB180" s="1144"/>
      <c r="AC180" s="25">
        <v>30</v>
      </c>
      <c r="AD180" s="25"/>
      <c r="AE180" s="1142"/>
      <c r="AF180" s="1143"/>
      <c r="AG180" s="1143"/>
      <c r="AH180" s="1143"/>
      <c r="AI180" s="1143"/>
      <c r="AJ180" s="1145"/>
      <c r="AK180" s="35">
        <v>7000</v>
      </c>
      <c r="AL180" s="29" t="s">
        <v>73</v>
      </c>
      <c r="AM180" s="29" t="s">
        <v>73</v>
      </c>
      <c r="AN180" s="29" t="s">
        <v>73</v>
      </c>
      <c r="AO180" s="29" t="s">
        <v>73</v>
      </c>
      <c r="AP180" s="30">
        <v>7000</v>
      </c>
      <c r="AQ180" s="29" t="s">
        <v>73</v>
      </c>
      <c r="AR180" s="29" t="s">
        <v>73</v>
      </c>
      <c r="AS180" s="29" t="s">
        <v>73</v>
      </c>
      <c r="AT180" s="29" t="s">
        <v>73</v>
      </c>
      <c r="AU180" s="29" t="s">
        <v>73</v>
      </c>
      <c r="AV180" s="29" t="s">
        <v>73</v>
      </c>
      <c r="AW180" s="29" t="s">
        <v>73</v>
      </c>
      <c r="AX180" s="30">
        <v>7000</v>
      </c>
      <c r="AY180" s="18" t="s">
        <v>6</v>
      </c>
      <c r="AZ180" s="2" t="s">
        <v>74</v>
      </c>
      <c r="BA180" s="2"/>
    </row>
    <row r="181" spans="1:53" ht="51" x14ac:dyDescent="0.25">
      <c r="A181" s="19">
        <v>2026</v>
      </c>
      <c r="B181" s="20">
        <v>479</v>
      </c>
      <c r="C181" s="21" t="s">
        <v>64</v>
      </c>
      <c r="D181" s="21" t="s">
        <v>65</v>
      </c>
      <c r="E181" s="20">
        <v>125</v>
      </c>
      <c r="F181" s="20">
        <v>3000654</v>
      </c>
      <c r="G181" s="20">
        <v>5005023</v>
      </c>
      <c r="H181" s="20">
        <v>3</v>
      </c>
      <c r="I181" s="20">
        <v>12</v>
      </c>
      <c r="J181" s="20">
        <v>24</v>
      </c>
      <c r="K181" s="20">
        <v>135560</v>
      </c>
      <c r="L181" s="21" t="s">
        <v>220</v>
      </c>
      <c r="M181" s="33" t="s">
        <v>221</v>
      </c>
      <c r="N181" s="19">
        <v>97</v>
      </c>
      <c r="O181" s="2"/>
      <c r="P181" s="2" t="s">
        <v>4</v>
      </c>
      <c r="Q181" s="20" t="s">
        <v>68</v>
      </c>
      <c r="R181" s="25" t="s">
        <v>69</v>
      </c>
      <c r="S181" s="41" t="s">
        <v>137</v>
      </c>
      <c r="T181" s="41"/>
      <c r="U181" s="31" t="s">
        <v>263</v>
      </c>
      <c r="V181" s="25" t="s">
        <v>3</v>
      </c>
      <c r="W181" s="25">
        <v>1</v>
      </c>
      <c r="X181" s="27">
        <v>7000</v>
      </c>
      <c r="Y181" s="1142"/>
      <c r="Z181" s="1143"/>
      <c r="AA181" s="1143"/>
      <c r="AB181" s="1144"/>
      <c r="AC181" s="25"/>
      <c r="AD181" s="25">
        <v>30</v>
      </c>
      <c r="AE181" s="1142"/>
      <c r="AF181" s="1143"/>
      <c r="AG181" s="1143"/>
      <c r="AH181" s="1143"/>
      <c r="AI181" s="1143"/>
      <c r="AJ181" s="1145"/>
      <c r="AK181" s="35">
        <v>7000</v>
      </c>
      <c r="AL181" s="29" t="s">
        <v>73</v>
      </c>
      <c r="AM181" s="29" t="s">
        <v>73</v>
      </c>
      <c r="AN181" s="29" t="s">
        <v>73</v>
      </c>
      <c r="AO181" s="29" t="s">
        <v>73</v>
      </c>
      <c r="AP181" s="29" t="s">
        <v>73</v>
      </c>
      <c r="AQ181" s="30">
        <v>7000</v>
      </c>
      <c r="AR181" s="29" t="s">
        <v>73</v>
      </c>
      <c r="AS181" s="29" t="s">
        <v>73</v>
      </c>
      <c r="AT181" s="29" t="s">
        <v>73</v>
      </c>
      <c r="AU181" s="29" t="s">
        <v>73</v>
      </c>
      <c r="AV181" s="29" t="s">
        <v>73</v>
      </c>
      <c r="AW181" s="29" t="s">
        <v>73</v>
      </c>
      <c r="AX181" s="30">
        <v>7000</v>
      </c>
      <c r="AY181" s="30" t="s">
        <v>6</v>
      </c>
      <c r="AZ181" s="2" t="s">
        <v>74</v>
      </c>
      <c r="BA181" s="2"/>
    </row>
    <row r="182" spans="1:53" ht="51" x14ac:dyDescent="0.25">
      <c r="A182" s="19">
        <v>2026</v>
      </c>
      <c r="B182" s="20">
        <v>479</v>
      </c>
      <c r="C182" s="21" t="s">
        <v>64</v>
      </c>
      <c r="D182" s="21" t="s">
        <v>65</v>
      </c>
      <c r="E182" s="20">
        <v>125</v>
      </c>
      <c r="F182" s="20">
        <v>3000654</v>
      </c>
      <c r="G182" s="20">
        <v>5005023</v>
      </c>
      <c r="H182" s="20">
        <v>3</v>
      </c>
      <c r="I182" s="20">
        <v>12</v>
      </c>
      <c r="J182" s="20">
        <v>24</v>
      </c>
      <c r="K182" s="20">
        <v>135560</v>
      </c>
      <c r="L182" s="21" t="s">
        <v>98</v>
      </c>
      <c r="M182" s="33" t="s">
        <v>99</v>
      </c>
      <c r="N182" s="19">
        <v>94</v>
      </c>
      <c r="O182" s="2"/>
      <c r="P182" s="2" t="s">
        <v>4</v>
      </c>
      <c r="Q182" s="20" t="s">
        <v>68</v>
      </c>
      <c r="R182" s="25" t="s">
        <v>69</v>
      </c>
      <c r="S182" s="41" t="s">
        <v>137</v>
      </c>
      <c r="T182" s="41"/>
      <c r="U182" s="31" t="s">
        <v>264</v>
      </c>
      <c r="V182" s="25" t="s">
        <v>3</v>
      </c>
      <c r="W182" s="25">
        <v>1</v>
      </c>
      <c r="X182" s="27">
        <v>7000</v>
      </c>
      <c r="Y182" s="1142"/>
      <c r="Z182" s="1143"/>
      <c r="AA182" s="1143"/>
      <c r="AB182" s="1144"/>
      <c r="AC182" s="25">
        <v>30</v>
      </c>
      <c r="AD182" s="25"/>
      <c r="AE182" s="1142"/>
      <c r="AF182" s="1143"/>
      <c r="AG182" s="1143"/>
      <c r="AH182" s="1143"/>
      <c r="AI182" s="1143"/>
      <c r="AJ182" s="1145"/>
      <c r="AK182" s="35">
        <v>7000</v>
      </c>
      <c r="AL182" s="29" t="s">
        <v>73</v>
      </c>
      <c r="AM182" s="29" t="s">
        <v>73</v>
      </c>
      <c r="AN182" s="29" t="s">
        <v>73</v>
      </c>
      <c r="AO182" s="29" t="s">
        <v>73</v>
      </c>
      <c r="AP182" s="30">
        <v>7000</v>
      </c>
      <c r="AQ182" s="29" t="s">
        <v>73</v>
      </c>
      <c r="AR182" s="29" t="s">
        <v>73</v>
      </c>
      <c r="AS182" s="29" t="s">
        <v>73</v>
      </c>
      <c r="AT182" s="29" t="s">
        <v>73</v>
      </c>
      <c r="AU182" s="29" t="s">
        <v>73</v>
      </c>
      <c r="AV182" s="29" t="s">
        <v>73</v>
      </c>
      <c r="AW182" s="29" t="s">
        <v>73</v>
      </c>
      <c r="AX182" s="30">
        <v>7000</v>
      </c>
      <c r="AY182" s="18" t="s">
        <v>6</v>
      </c>
      <c r="AZ182" s="2" t="s">
        <v>74</v>
      </c>
      <c r="BA182" s="2"/>
    </row>
    <row r="183" spans="1:53" ht="51" x14ac:dyDescent="0.25">
      <c r="A183" s="19">
        <v>2026</v>
      </c>
      <c r="B183" s="20">
        <v>479</v>
      </c>
      <c r="C183" s="21" t="s">
        <v>64</v>
      </c>
      <c r="D183" s="21" t="s">
        <v>65</v>
      </c>
      <c r="E183" s="20">
        <v>125</v>
      </c>
      <c r="F183" s="20">
        <v>3000654</v>
      </c>
      <c r="G183" s="20">
        <v>5005023</v>
      </c>
      <c r="H183" s="20">
        <v>3</v>
      </c>
      <c r="I183" s="20">
        <v>12</v>
      </c>
      <c r="J183" s="20">
        <v>24</v>
      </c>
      <c r="K183" s="20">
        <v>135560</v>
      </c>
      <c r="L183" s="21" t="s">
        <v>220</v>
      </c>
      <c r="M183" s="33" t="s">
        <v>221</v>
      </c>
      <c r="N183" s="19">
        <v>97</v>
      </c>
      <c r="O183" s="2"/>
      <c r="P183" s="2" t="s">
        <v>4</v>
      </c>
      <c r="Q183" s="20" t="s">
        <v>68</v>
      </c>
      <c r="R183" s="25" t="s">
        <v>69</v>
      </c>
      <c r="S183" s="41" t="s">
        <v>137</v>
      </c>
      <c r="T183" s="41"/>
      <c r="U183" s="31" t="s">
        <v>264</v>
      </c>
      <c r="V183" s="25" t="s">
        <v>3</v>
      </c>
      <c r="W183" s="25">
        <v>1</v>
      </c>
      <c r="X183" s="27">
        <v>7000</v>
      </c>
      <c r="Y183" s="1142"/>
      <c r="Z183" s="1143"/>
      <c r="AA183" s="1143"/>
      <c r="AB183" s="1144"/>
      <c r="AC183" s="25"/>
      <c r="AD183" s="25">
        <v>30</v>
      </c>
      <c r="AE183" s="1142"/>
      <c r="AF183" s="1143"/>
      <c r="AG183" s="1143"/>
      <c r="AH183" s="1143"/>
      <c r="AI183" s="1143"/>
      <c r="AJ183" s="1145"/>
      <c r="AK183" s="35">
        <v>7000</v>
      </c>
      <c r="AL183" s="29" t="s">
        <v>73</v>
      </c>
      <c r="AM183" s="29" t="s">
        <v>73</v>
      </c>
      <c r="AN183" s="29" t="s">
        <v>73</v>
      </c>
      <c r="AO183" s="29" t="s">
        <v>73</v>
      </c>
      <c r="AP183" s="29" t="s">
        <v>73</v>
      </c>
      <c r="AQ183" s="30">
        <v>7000</v>
      </c>
      <c r="AR183" s="29" t="s">
        <v>73</v>
      </c>
      <c r="AS183" s="29" t="s">
        <v>73</v>
      </c>
      <c r="AT183" s="29" t="s">
        <v>73</v>
      </c>
      <c r="AU183" s="29" t="s">
        <v>73</v>
      </c>
      <c r="AV183" s="29" t="s">
        <v>73</v>
      </c>
      <c r="AW183" s="29" t="s">
        <v>73</v>
      </c>
      <c r="AX183" s="30">
        <v>7000</v>
      </c>
      <c r="AY183" s="30" t="s">
        <v>6</v>
      </c>
      <c r="AZ183" s="2" t="s">
        <v>74</v>
      </c>
      <c r="BA183" s="2"/>
    </row>
    <row r="184" spans="1:53" ht="51" x14ac:dyDescent="0.25">
      <c r="A184" s="19">
        <v>2026</v>
      </c>
      <c r="B184" s="20">
        <v>479</v>
      </c>
      <c r="C184" s="21" t="s">
        <v>64</v>
      </c>
      <c r="D184" s="21" t="s">
        <v>65</v>
      </c>
      <c r="E184" s="20">
        <v>125</v>
      </c>
      <c r="F184" s="20">
        <v>3000654</v>
      </c>
      <c r="G184" s="20">
        <v>5005023</v>
      </c>
      <c r="H184" s="20">
        <v>3</v>
      </c>
      <c r="I184" s="20">
        <v>12</v>
      </c>
      <c r="J184" s="20">
        <v>24</v>
      </c>
      <c r="K184" s="20">
        <v>135560</v>
      </c>
      <c r="L184" s="21" t="s">
        <v>220</v>
      </c>
      <c r="M184" s="33" t="s">
        <v>221</v>
      </c>
      <c r="N184" s="19">
        <v>97</v>
      </c>
      <c r="O184" s="2"/>
      <c r="P184" s="2" t="s">
        <v>4</v>
      </c>
      <c r="Q184" s="20" t="s">
        <v>68</v>
      </c>
      <c r="R184" s="25" t="s">
        <v>69</v>
      </c>
      <c r="S184" s="41" t="s">
        <v>137</v>
      </c>
      <c r="T184" s="41"/>
      <c r="U184" s="31" t="s">
        <v>265</v>
      </c>
      <c r="V184" s="25" t="s">
        <v>3</v>
      </c>
      <c r="W184" s="25">
        <v>1</v>
      </c>
      <c r="X184" s="27">
        <v>7000</v>
      </c>
      <c r="Y184" s="1142"/>
      <c r="Z184" s="1143"/>
      <c r="AA184" s="1143"/>
      <c r="AB184" s="1144"/>
      <c r="AC184" s="25">
        <v>30</v>
      </c>
      <c r="AD184" s="25">
        <v>30</v>
      </c>
      <c r="AE184" s="1142"/>
      <c r="AF184" s="1143"/>
      <c r="AG184" s="1143"/>
      <c r="AH184" s="1143"/>
      <c r="AI184" s="1143"/>
      <c r="AJ184" s="1145"/>
      <c r="AK184" s="35">
        <v>14000</v>
      </c>
      <c r="AL184" s="29" t="s">
        <v>73</v>
      </c>
      <c r="AM184" s="29" t="s">
        <v>73</v>
      </c>
      <c r="AN184" s="29" t="s">
        <v>73</v>
      </c>
      <c r="AO184" s="29" t="s">
        <v>73</v>
      </c>
      <c r="AP184" s="30">
        <v>7000</v>
      </c>
      <c r="AQ184" s="30">
        <v>7000</v>
      </c>
      <c r="AR184" s="29" t="s">
        <v>73</v>
      </c>
      <c r="AS184" s="29" t="s">
        <v>73</v>
      </c>
      <c r="AT184" s="29" t="s">
        <v>73</v>
      </c>
      <c r="AU184" s="29" t="s">
        <v>73</v>
      </c>
      <c r="AV184" s="29" t="s">
        <v>73</v>
      </c>
      <c r="AW184" s="29" t="s">
        <v>73</v>
      </c>
      <c r="AX184" s="30">
        <v>14000</v>
      </c>
      <c r="AY184" s="30" t="s">
        <v>6</v>
      </c>
      <c r="AZ184" s="2" t="s">
        <v>74</v>
      </c>
      <c r="BA184" s="2"/>
    </row>
    <row r="185" spans="1:53" ht="51" x14ac:dyDescent="0.25">
      <c r="A185" s="19">
        <v>2026</v>
      </c>
      <c r="B185" s="20">
        <v>479</v>
      </c>
      <c r="C185" s="21" t="s">
        <v>64</v>
      </c>
      <c r="D185" s="21" t="s">
        <v>65</v>
      </c>
      <c r="E185" s="20">
        <v>125</v>
      </c>
      <c r="F185" s="20">
        <v>3000654</v>
      </c>
      <c r="G185" s="20">
        <v>5005023</v>
      </c>
      <c r="H185" s="20">
        <v>3</v>
      </c>
      <c r="I185" s="20">
        <v>12</v>
      </c>
      <c r="J185" s="20">
        <v>24</v>
      </c>
      <c r="K185" s="20">
        <v>135560</v>
      </c>
      <c r="L185" s="21" t="s">
        <v>220</v>
      </c>
      <c r="M185" s="33" t="s">
        <v>221</v>
      </c>
      <c r="N185" s="19">
        <v>97</v>
      </c>
      <c r="O185" s="2"/>
      <c r="P185" s="2" t="s">
        <v>4</v>
      </c>
      <c r="Q185" s="20" t="s">
        <v>68</v>
      </c>
      <c r="R185" s="25" t="s">
        <v>69</v>
      </c>
      <c r="S185" s="41" t="s">
        <v>137</v>
      </c>
      <c r="T185" s="41"/>
      <c r="U185" s="31" t="s">
        <v>266</v>
      </c>
      <c r="V185" s="25" t="s">
        <v>3</v>
      </c>
      <c r="W185" s="25">
        <v>1</v>
      </c>
      <c r="X185" s="27">
        <v>7000</v>
      </c>
      <c r="Y185" s="1142"/>
      <c r="Z185" s="1143"/>
      <c r="AA185" s="1143"/>
      <c r="AB185" s="1144"/>
      <c r="AC185" s="25">
        <v>30</v>
      </c>
      <c r="AD185" s="25">
        <v>30</v>
      </c>
      <c r="AE185" s="1142"/>
      <c r="AF185" s="1143"/>
      <c r="AG185" s="1143"/>
      <c r="AH185" s="1143"/>
      <c r="AI185" s="1143"/>
      <c r="AJ185" s="1145"/>
      <c r="AK185" s="35">
        <v>14000</v>
      </c>
      <c r="AL185" s="29" t="s">
        <v>73</v>
      </c>
      <c r="AM185" s="29" t="s">
        <v>73</v>
      </c>
      <c r="AN185" s="29" t="s">
        <v>73</v>
      </c>
      <c r="AO185" s="29" t="s">
        <v>73</v>
      </c>
      <c r="AP185" s="30">
        <v>7000</v>
      </c>
      <c r="AQ185" s="30">
        <v>7000</v>
      </c>
      <c r="AR185" s="29" t="s">
        <v>73</v>
      </c>
      <c r="AS185" s="29" t="s">
        <v>73</v>
      </c>
      <c r="AT185" s="29" t="s">
        <v>73</v>
      </c>
      <c r="AU185" s="29" t="s">
        <v>73</v>
      </c>
      <c r="AV185" s="29" t="s">
        <v>73</v>
      </c>
      <c r="AW185" s="29" t="s">
        <v>73</v>
      </c>
      <c r="AX185" s="30">
        <v>14000</v>
      </c>
      <c r="AY185" s="30" t="s">
        <v>6</v>
      </c>
      <c r="AZ185" s="2" t="s">
        <v>74</v>
      </c>
      <c r="BA185" s="2"/>
    </row>
    <row r="186" spans="1:53" ht="51" x14ac:dyDescent="0.25">
      <c r="A186" s="19">
        <v>2026</v>
      </c>
      <c r="B186" s="20">
        <v>479</v>
      </c>
      <c r="C186" s="21" t="s">
        <v>64</v>
      </c>
      <c r="D186" s="21" t="s">
        <v>65</v>
      </c>
      <c r="E186" s="20">
        <v>125</v>
      </c>
      <c r="F186" s="20">
        <v>3000654</v>
      </c>
      <c r="G186" s="20">
        <v>5005023</v>
      </c>
      <c r="H186" s="20">
        <v>3</v>
      </c>
      <c r="I186" s="20">
        <v>12</v>
      </c>
      <c r="J186" s="20">
        <v>24</v>
      </c>
      <c r="K186" s="20">
        <v>135560</v>
      </c>
      <c r="L186" s="21" t="s">
        <v>220</v>
      </c>
      <c r="M186" s="33" t="s">
        <v>221</v>
      </c>
      <c r="N186" s="19">
        <v>97</v>
      </c>
      <c r="O186" s="2"/>
      <c r="P186" s="2" t="s">
        <v>4</v>
      </c>
      <c r="Q186" s="20" t="s">
        <v>68</v>
      </c>
      <c r="R186" s="25" t="s">
        <v>69</v>
      </c>
      <c r="S186" s="41" t="s">
        <v>137</v>
      </c>
      <c r="T186" s="41"/>
      <c r="U186" s="31" t="s">
        <v>267</v>
      </c>
      <c r="V186" s="25" t="s">
        <v>3</v>
      </c>
      <c r="W186" s="25">
        <v>1</v>
      </c>
      <c r="X186" s="27">
        <v>7000</v>
      </c>
      <c r="Y186" s="1142"/>
      <c r="Z186" s="1143"/>
      <c r="AA186" s="1143"/>
      <c r="AB186" s="1144"/>
      <c r="AC186" s="25">
        <v>30</v>
      </c>
      <c r="AD186" s="25">
        <v>30</v>
      </c>
      <c r="AE186" s="1142"/>
      <c r="AF186" s="1143"/>
      <c r="AG186" s="1143"/>
      <c r="AH186" s="1143"/>
      <c r="AI186" s="1143"/>
      <c r="AJ186" s="1145"/>
      <c r="AK186" s="35">
        <v>14000</v>
      </c>
      <c r="AL186" s="29" t="s">
        <v>73</v>
      </c>
      <c r="AM186" s="29" t="s">
        <v>73</v>
      </c>
      <c r="AN186" s="29" t="s">
        <v>73</v>
      </c>
      <c r="AO186" s="29" t="s">
        <v>73</v>
      </c>
      <c r="AP186" s="30">
        <v>7000</v>
      </c>
      <c r="AQ186" s="30">
        <v>7000</v>
      </c>
      <c r="AR186" s="29" t="s">
        <v>73</v>
      </c>
      <c r="AS186" s="29" t="s">
        <v>73</v>
      </c>
      <c r="AT186" s="29" t="s">
        <v>73</v>
      </c>
      <c r="AU186" s="29" t="s">
        <v>73</v>
      </c>
      <c r="AV186" s="29" t="s">
        <v>73</v>
      </c>
      <c r="AW186" s="29" t="s">
        <v>73</v>
      </c>
      <c r="AX186" s="30">
        <v>14000</v>
      </c>
      <c r="AY186" s="30" t="s">
        <v>6</v>
      </c>
      <c r="AZ186" s="2" t="s">
        <v>74</v>
      </c>
      <c r="BA186" s="2"/>
    </row>
    <row r="187" spans="1:53" ht="51" x14ac:dyDescent="0.25">
      <c r="A187" s="19">
        <v>2026</v>
      </c>
      <c r="B187" s="20">
        <v>479</v>
      </c>
      <c r="C187" s="21" t="s">
        <v>64</v>
      </c>
      <c r="D187" s="21" t="s">
        <v>65</v>
      </c>
      <c r="E187" s="20">
        <v>125</v>
      </c>
      <c r="F187" s="20">
        <v>3000654</v>
      </c>
      <c r="G187" s="20">
        <v>5005023</v>
      </c>
      <c r="H187" s="20">
        <v>3</v>
      </c>
      <c r="I187" s="20">
        <v>12</v>
      </c>
      <c r="J187" s="20">
        <v>24</v>
      </c>
      <c r="K187" s="20">
        <v>135560</v>
      </c>
      <c r="L187" s="21" t="s">
        <v>220</v>
      </c>
      <c r="M187" s="33" t="s">
        <v>221</v>
      </c>
      <c r="N187" s="19">
        <v>97</v>
      </c>
      <c r="O187" s="2"/>
      <c r="P187" s="2" t="s">
        <v>4</v>
      </c>
      <c r="Q187" s="20" t="s">
        <v>68</v>
      </c>
      <c r="R187" s="25" t="s">
        <v>69</v>
      </c>
      <c r="S187" s="41" t="s">
        <v>137</v>
      </c>
      <c r="T187" s="41"/>
      <c r="U187" s="31" t="s">
        <v>268</v>
      </c>
      <c r="V187" s="25" t="s">
        <v>3</v>
      </c>
      <c r="W187" s="25">
        <v>1</v>
      </c>
      <c r="X187" s="27">
        <v>7500</v>
      </c>
      <c r="Y187" s="1142"/>
      <c r="Z187" s="1143"/>
      <c r="AA187" s="1143"/>
      <c r="AB187" s="1144"/>
      <c r="AC187" s="25">
        <v>30</v>
      </c>
      <c r="AD187" s="25">
        <v>30</v>
      </c>
      <c r="AE187" s="1142"/>
      <c r="AF187" s="1143"/>
      <c r="AG187" s="1143"/>
      <c r="AH187" s="1143"/>
      <c r="AI187" s="1143"/>
      <c r="AJ187" s="1145"/>
      <c r="AK187" s="35">
        <v>15000</v>
      </c>
      <c r="AL187" s="29" t="s">
        <v>73</v>
      </c>
      <c r="AM187" s="29" t="s">
        <v>73</v>
      </c>
      <c r="AN187" s="29" t="s">
        <v>73</v>
      </c>
      <c r="AO187" s="29" t="s">
        <v>73</v>
      </c>
      <c r="AP187" s="30">
        <v>7500</v>
      </c>
      <c r="AQ187" s="30">
        <v>7500</v>
      </c>
      <c r="AR187" s="29" t="s">
        <v>73</v>
      </c>
      <c r="AS187" s="29" t="s">
        <v>73</v>
      </c>
      <c r="AT187" s="29" t="s">
        <v>73</v>
      </c>
      <c r="AU187" s="29" t="s">
        <v>73</v>
      </c>
      <c r="AV187" s="29" t="s">
        <v>73</v>
      </c>
      <c r="AW187" s="29" t="s">
        <v>73</v>
      </c>
      <c r="AX187" s="30">
        <v>15000</v>
      </c>
      <c r="AY187" s="30" t="s">
        <v>6</v>
      </c>
      <c r="AZ187" s="2" t="s">
        <v>74</v>
      </c>
      <c r="BA187" s="2"/>
    </row>
    <row r="188" spans="1:53" ht="51" x14ac:dyDescent="0.25">
      <c r="A188" s="19">
        <v>2026</v>
      </c>
      <c r="B188" s="20">
        <v>479</v>
      </c>
      <c r="C188" s="21" t="s">
        <v>64</v>
      </c>
      <c r="D188" s="21" t="s">
        <v>65</v>
      </c>
      <c r="E188" s="20">
        <v>125</v>
      </c>
      <c r="F188" s="20">
        <v>3000654</v>
      </c>
      <c r="G188" s="20">
        <v>5005023</v>
      </c>
      <c r="H188" s="20">
        <v>3</v>
      </c>
      <c r="I188" s="20">
        <v>12</v>
      </c>
      <c r="J188" s="20">
        <v>24</v>
      </c>
      <c r="K188" s="20">
        <v>135560</v>
      </c>
      <c r="L188" s="21" t="s">
        <v>220</v>
      </c>
      <c r="M188" s="33" t="s">
        <v>221</v>
      </c>
      <c r="N188" s="19">
        <v>97</v>
      </c>
      <c r="O188" s="2"/>
      <c r="P188" s="2" t="s">
        <v>4</v>
      </c>
      <c r="Q188" s="20" t="s">
        <v>68</v>
      </c>
      <c r="R188" s="25" t="s">
        <v>69</v>
      </c>
      <c r="S188" s="41" t="s">
        <v>137</v>
      </c>
      <c r="T188" s="41"/>
      <c r="U188" s="31" t="s">
        <v>269</v>
      </c>
      <c r="V188" s="25" t="s">
        <v>3</v>
      </c>
      <c r="W188" s="25">
        <v>1</v>
      </c>
      <c r="X188" s="27">
        <v>8000</v>
      </c>
      <c r="Y188" s="1142"/>
      <c r="Z188" s="1143"/>
      <c r="AA188" s="1143"/>
      <c r="AB188" s="1144"/>
      <c r="AC188" s="25">
        <v>30</v>
      </c>
      <c r="AD188" s="25">
        <v>30</v>
      </c>
      <c r="AE188" s="1142"/>
      <c r="AF188" s="1143"/>
      <c r="AG188" s="1143"/>
      <c r="AH188" s="1143"/>
      <c r="AI188" s="1143"/>
      <c r="AJ188" s="1145"/>
      <c r="AK188" s="35">
        <v>16000</v>
      </c>
      <c r="AL188" s="29" t="s">
        <v>73</v>
      </c>
      <c r="AM188" s="29" t="s">
        <v>73</v>
      </c>
      <c r="AN188" s="29" t="s">
        <v>73</v>
      </c>
      <c r="AO188" s="29" t="s">
        <v>73</v>
      </c>
      <c r="AP188" s="30">
        <v>8000</v>
      </c>
      <c r="AQ188" s="30">
        <v>8000</v>
      </c>
      <c r="AR188" s="29" t="s">
        <v>73</v>
      </c>
      <c r="AS188" s="29" t="s">
        <v>73</v>
      </c>
      <c r="AT188" s="29" t="s">
        <v>73</v>
      </c>
      <c r="AU188" s="29" t="s">
        <v>73</v>
      </c>
      <c r="AV188" s="29" t="s">
        <v>73</v>
      </c>
      <c r="AW188" s="29" t="s">
        <v>73</v>
      </c>
      <c r="AX188" s="30">
        <v>16000</v>
      </c>
      <c r="AY188" s="30" t="s">
        <v>6</v>
      </c>
      <c r="AZ188" s="2" t="s">
        <v>74</v>
      </c>
      <c r="BA188" s="2"/>
    </row>
    <row r="189" spans="1:53" ht="51" x14ac:dyDescent="0.25">
      <c r="A189" s="19">
        <v>2026</v>
      </c>
      <c r="B189" s="20">
        <v>479</v>
      </c>
      <c r="C189" s="21" t="s">
        <v>64</v>
      </c>
      <c r="D189" s="21" t="s">
        <v>65</v>
      </c>
      <c r="E189" s="20">
        <v>125</v>
      </c>
      <c r="F189" s="20">
        <v>3000654</v>
      </c>
      <c r="G189" s="20">
        <v>5005023</v>
      </c>
      <c r="H189" s="20">
        <v>3</v>
      </c>
      <c r="I189" s="20">
        <v>12</v>
      </c>
      <c r="J189" s="20">
        <v>24</v>
      </c>
      <c r="K189" s="20">
        <v>135560</v>
      </c>
      <c r="L189" s="21" t="s">
        <v>220</v>
      </c>
      <c r="M189" s="33" t="s">
        <v>221</v>
      </c>
      <c r="N189" s="19">
        <v>97</v>
      </c>
      <c r="O189" s="2"/>
      <c r="P189" s="2" t="s">
        <v>4</v>
      </c>
      <c r="Q189" s="20" t="s">
        <v>68</v>
      </c>
      <c r="R189" s="25" t="s">
        <v>69</v>
      </c>
      <c r="S189" s="41" t="s">
        <v>137</v>
      </c>
      <c r="T189" s="41"/>
      <c r="U189" s="31" t="s">
        <v>270</v>
      </c>
      <c r="V189" s="25" t="s">
        <v>3</v>
      </c>
      <c r="W189" s="25">
        <v>1</v>
      </c>
      <c r="X189" s="27">
        <v>8000</v>
      </c>
      <c r="Y189" s="1142"/>
      <c r="Z189" s="1143"/>
      <c r="AA189" s="1143"/>
      <c r="AB189" s="1144"/>
      <c r="AC189" s="25">
        <v>30</v>
      </c>
      <c r="AD189" s="25">
        <v>30</v>
      </c>
      <c r="AE189" s="1142"/>
      <c r="AF189" s="1143"/>
      <c r="AG189" s="1143"/>
      <c r="AH189" s="1143"/>
      <c r="AI189" s="1143"/>
      <c r="AJ189" s="1145"/>
      <c r="AK189" s="35">
        <v>16000</v>
      </c>
      <c r="AL189" s="29" t="s">
        <v>73</v>
      </c>
      <c r="AM189" s="29" t="s">
        <v>73</v>
      </c>
      <c r="AN189" s="29" t="s">
        <v>73</v>
      </c>
      <c r="AO189" s="29" t="s">
        <v>73</v>
      </c>
      <c r="AP189" s="30">
        <v>8000</v>
      </c>
      <c r="AQ189" s="30">
        <v>8000</v>
      </c>
      <c r="AR189" s="29" t="s">
        <v>73</v>
      </c>
      <c r="AS189" s="29" t="s">
        <v>73</v>
      </c>
      <c r="AT189" s="29" t="s">
        <v>73</v>
      </c>
      <c r="AU189" s="29" t="s">
        <v>73</v>
      </c>
      <c r="AV189" s="29" t="s">
        <v>73</v>
      </c>
      <c r="AW189" s="29" t="s">
        <v>73</v>
      </c>
      <c r="AX189" s="30">
        <v>16000</v>
      </c>
      <c r="AY189" s="30" t="s">
        <v>6</v>
      </c>
      <c r="AZ189" s="2" t="s">
        <v>74</v>
      </c>
      <c r="BA189" s="2"/>
    </row>
    <row r="190" spans="1:53" ht="51" x14ac:dyDescent="0.25">
      <c r="A190" s="19">
        <v>2026</v>
      </c>
      <c r="B190" s="20">
        <v>479</v>
      </c>
      <c r="C190" s="21" t="s">
        <v>64</v>
      </c>
      <c r="D190" s="21" t="s">
        <v>65</v>
      </c>
      <c r="E190" s="20">
        <v>125</v>
      </c>
      <c r="F190" s="20">
        <v>3000654</v>
      </c>
      <c r="G190" s="20">
        <v>5005023</v>
      </c>
      <c r="H190" s="20">
        <v>3</v>
      </c>
      <c r="I190" s="20">
        <v>12</v>
      </c>
      <c r="J190" s="20">
        <v>24</v>
      </c>
      <c r="K190" s="20">
        <v>135560</v>
      </c>
      <c r="L190" s="21" t="s">
        <v>220</v>
      </c>
      <c r="M190" s="33" t="s">
        <v>221</v>
      </c>
      <c r="N190" s="19">
        <v>97</v>
      </c>
      <c r="O190" s="2"/>
      <c r="P190" s="2" t="s">
        <v>4</v>
      </c>
      <c r="Q190" s="20" t="s">
        <v>68</v>
      </c>
      <c r="R190" s="25" t="s">
        <v>69</v>
      </c>
      <c r="S190" s="41" t="s">
        <v>137</v>
      </c>
      <c r="T190" s="41"/>
      <c r="U190" s="31" t="s">
        <v>271</v>
      </c>
      <c r="V190" s="25" t="s">
        <v>3</v>
      </c>
      <c r="W190" s="25">
        <v>1</v>
      </c>
      <c r="X190" s="27">
        <v>5500</v>
      </c>
      <c r="Y190" s="1142"/>
      <c r="Z190" s="1143"/>
      <c r="AA190" s="1143"/>
      <c r="AB190" s="1144"/>
      <c r="AC190" s="25">
        <v>30</v>
      </c>
      <c r="AD190" s="25">
        <v>30</v>
      </c>
      <c r="AE190" s="1142"/>
      <c r="AF190" s="1143"/>
      <c r="AG190" s="1143"/>
      <c r="AH190" s="1143"/>
      <c r="AI190" s="1143"/>
      <c r="AJ190" s="1145"/>
      <c r="AK190" s="35">
        <v>11000</v>
      </c>
      <c r="AL190" s="29" t="s">
        <v>73</v>
      </c>
      <c r="AM190" s="29" t="s">
        <v>73</v>
      </c>
      <c r="AN190" s="29" t="s">
        <v>73</v>
      </c>
      <c r="AO190" s="29" t="s">
        <v>73</v>
      </c>
      <c r="AP190" s="30">
        <v>5500</v>
      </c>
      <c r="AQ190" s="30">
        <v>5500</v>
      </c>
      <c r="AR190" s="29" t="s">
        <v>73</v>
      </c>
      <c r="AS190" s="29" t="s">
        <v>73</v>
      </c>
      <c r="AT190" s="29" t="s">
        <v>73</v>
      </c>
      <c r="AU190" s="29" t="s">
        <v>73</v>
      </c>
      <c r="AV190" s="29" t="s">
        <v>73</v>
      </c>
      <c r="AW190" s="29" t="s">
        <v>73</v>
      </c>
      <c r="AX190" s="30">
        <v>11000</v>
      </c>
      <c r="AY190" s="30" t="s">
        <v>6</v>
      </c>
      <c r="AZ190" s="2" t="s">
        <v>74</v>
      </c>
      <c r="BA190" s="2"/>
    </row>
    <row r="191" spans="1:53" ht="51" x14ac:dyDescent="0.25">
      <c r="A191" s="19">
        <v>2026</v>
      </c>
      <c r="B191" s="20">
        <v>479</v>
      </c>
      <c r="C191" s="21" t="s">
        <v>64</v>
      </c>
      <c r="D191" s="21" t="s">
        <v>65</v>
      </c>
      <c r="E191" s="20">
        <v>125</v>
      </c>
      <c r="F191" s="20">
        <v>3000654</v>
      </c>
      <c r="G191" s="20">
        <v>5005023</v>
      </c>
      <c r="H191" s="20">
        <v>3</v>
      </c>
      <c r="I191" s="20">
        <v>12</v>
      </c>
      <c r="J191" s="20">
        <v>24</v>
      </c>
      <c r="K191" s="20">
        <v>135560</v>
      </c>
      <c r="L191" s="21" t="s">
        <v>220</v>
      </c>
      <c r="M191" s="33" t="s">
        <v>221</v>
      </c>
      <c r="N191" s="19">
        <v>97</v>
      </c>
      <c r="O191" s="2"/>
      <c r="P191" s="2" t="s">
        <v>4</v>
      </c>
      <c r="Q191" s="20" t="s">
        <v>68</v>
      </c>
      <c r="R191" s="25" t="s">
        <v>69</v>
      </c>
      <c r="S191" s="41" t="s">
        <v>137</v>
      </c>
      <c r="T191" s="41"/>
      <c r="U191" s="31" t="s">
        <v>272</v>
      </c>
      <c r="V191" s="25" t="s">
        <v>3</v>
      </c>
      <c r="W191" s="25">
        <v>2</v>
      </c>
      <c r="X191" s="27">
        <v>6000</v>
      </c>
      <c r="Y191" s="1142"/>
      <c r="Z191" s="1143"/>
      <c r="AA191" s="1143"/>
      <c r="AB191" s="1144"/>
      <c r="AC191" s="25">
        <v>30</v>
      </c>
      <c r="AD191" s="25">
        <v>30</v>
      </c>
      <c r="AE191" s="1142"/>
      <c r="AF191" s="1143"/>
      <c r="AG191" s="1143"/>
      <c r="AH191" s="1143"/>
      <c r="AI191" s="1143"/>
      <c r="AJ191" s="1145"/>
      <c r="AK191" s="35">
        <v>24000</v>
      </c>
      <c r="AL191" s="29" t="s">
        <v>73</v>
      </c>
      <c r="AM191" s="29" t="s">
        <v>73</v>
      </c>
      <c r="AN191" s="29" t="s">
        <v>73</v>
      </c>
      <c r="AO191" s="29" t="s">
        <v>73</v>
      </c>
      <c r="AP191" s="30">
        <v>12000</v>
      </c>
      <c r="AQ191" s="30">
        <v>12000</v>
      </c>
      <c r="AR191" s="29" t="s">
        <v>73</v>
      </c>
      <c r="AS191" s="29" t="s">
        <v>73</v>
      </c>
      <c r="AT191" s="29" t="s">
        <v>73</v>
      </c>
      <c r="AU191" s="29" t="s">
        <v>73</v>
      </c>
      <c r="AV191" s="29" t="s">
        <v>73</v>
      </c>
      <c r="AW191" s="29" t="s">
        <v>73</v>
      </c>
      <c r="AX191" s="30">
        <v>24000</v>
      </c>
      <c r="AY191" s="30" t="s">
        <v>6</v>
      </c>
      <c r="AZ191" s="2" t="s">
        <v>74</v>
      </c>
      <c r="BA191" s="2"/>
    </row>
    <row r="192" spans="1:53" ht="51" x14ac:dyDescent="0.25">
      <c r="A192" s="19">
        <v>2026</v>
      </c>
      <c r="B192" s="20">
        <v>479</v>
      </c>
      <c r="C192" s="21" t="s">
        <v>64</v>
      </c>
      <c r="D192" s="21" t="s">
        <v>65</v>
      </c>
      <c r="E192" s="20">
        <v>125</v>
      </c>
      <c r="F192" s="20">
        <v>3000654</v>
      </c>
      <c r="G192" s="20">
        <v>5005023</v>
      </c>
      <c r="H192" s="20">
        <v>3</v>
      </c>
      <c r="I192" s="20">
        <v>12</v>
      </c>
      <c r="J192" s="20">
        <v>24</v>
      </c>
      <c r="K192" s="20">
        <v>135560</v>
      </c>
      <c r="L192" s="21" t="s">
        <v>98</v>
      </c>
      <c r="M192" s="33" t="s">
        <v>99</v>
      </c>
      <c r="N192" s="19">
        <v>94</v>
      </c>
      <c r="O192" s="2"/>
      <c r="P192" s="2" t="s">
        <v>4</v>
      </c>
      <c r="Q192" s="20" t="s">
        <v>68</v>
      </c>
      <c r="R192" s="25" t="s">
        <v>69</v>
      </c>
      <c r="S192" s="41" t="s">
        <v>137</v>
      </c>
      <c r="T192" s="41"/>
      <c r="U192" s="31" t="s">
        <v>273</v>
      </c>
      <c r="V192" s="25" t="s">
        <v>3</v>
      </c>
      <c r="W192" s="25">
        <v>1</v>
      </c>
      <c r="X192" s="27">
        <v>6000</v>
      </c>
      <c r="Y192" s="1142"/>
      <c r="Z192" s="1143"/>
      <c r="AA192" s="1143"/>
      <c r="AB192" s="1144"/>
      <c r="AC192" s="25">
        <v>30</v>
      </c>
      <c r="AD192" s="25"/>
      <c r="AE192" s="1142"/>
      <c r="AF192" s="1143"/>
      <c r="AG192" s="1143"/>
      <c r="AH192" s="1143"/>
      <c r="AI192" s="1143"/>
      <c r="AJ192" s="1145"/>
      <c r="AK192" s="35">
        <v>6000</v>
      </c>
      <c r="AL192" s="29" t="s">
        <v>73</v>
      </c>
      <c r="AM192" s="29" t="s">
        <v>73</v>
      </c>
      <c r="AN192" s="29" t="s">
        <v>73</v>
      </c>
      <c r="AO192" s="29" t="s">
        <v>73</v>
      </c>
      <c r="AP192" s="30">
        <v>6000</v>
      </c>
      <c r="AQ192" s="29" t="s">
        <v>73</v>
      </c>
      <c r="AR192" s="29" t="s">
        <v>73</v>
      </c>
      <c r="AS192" s="29" t="s">
        <v>73</v>
      </c>
      <c r="AT192" s="29" t="s">
        <v>73</v>
      </c>
      <c r="AU192" s="29" t="s">
        <v>73</v>
      </c>
      <c r="AV192" s="29" t="s">
        <v>73</v>
      </c>
      <c r="AW192" s="29" t="s">
        <v>73</v>
      </c>
      <c r="AX192" s="30">
        <v>6000</v>
      </c>
      <c r="AY192" s="18" t="s">
        <v>6</v>
      </c>
      <c r="AZ192" s="2" t="s">
        <v>74</v>
      </c>
      <c r="BA192" s="2"/>
    </row>
    <row r="193" spans="1:53" ht="51" x14ac:dyDescent="0.25">
      <c r="A193" s="19">
        <v>2026</v>
      </c>
      <c r="B193" s="20">
        <v>479</v>
      </c>
      <c r="C193" s="21" t="s">
        <v>64</v>
      </c>
      <c r="D193" s="21" t="s">
        <v>65</v>
      </c>
      <c r="E193" s="20">
        <v>125</v>
      </c>
      <c r="F193" s="20">
        <v>3000654</v>
      </c>
      <c r="G193" s="20">
        <v>5005023</v>
      </c>
      <c r="H193" s="20">
        <v>3</v>
      </c>
      <c r="I193" s="20">
        <v>12</v>
      </c>
      <c r="J193" s="20">
        <v>24</v>
      </c>
      <c r="K193" s="20">
        <v>135560</v>
      </c>
      <c r="L193" s="21" t="s">
        <v>220</v>
      </c>
      <c r="M193" s="33" t="s">
        <v>221</v>
      </c>
      <c r="N193" s="19">
        <v>97</v>
      </c>
      <c r="O193" s="2"/>
      <c r="P193" s="2" t="s">
        <v>4</v>
      </c>
      <c r="Q193" s="20" t="s">
        <v>68</v>
      </c>
      <c r="R193" s="25" t="s">
        <v>69</v>
      </c>
      <c r="S193" s="41" t="s">
        <v>137</v>
      </c>
      <c r="T193" s="41"/>
      <c r="U193" s="31" t="s">
        <v>273</v>
      </c>
      <c r="V193" s="25" t="s">
        <v>3</v>
      </c>
      <c r="W193" s="25">
        <v>1</v>
      </c>
      <c r="X193" s="27">
        <v>6000</v>
      </c>
      <c r="Y193" s="1142"/>
      <c r="Z193" s="1143"/>
      <c r="AA193" s="1143"/>
      <c r="AB193" s="1144"/>
      <c r="AC193" s="25"/>
      <c r="AD193" s="25">
        <v>30</v>
      </c>
      <c r="AE193" s="1142"/>
      <c r="AF193" s="1143"/>
      <c r="AG193" s="1143"/>
      <c r="AH193" s="1143"/>
      <c r="AI193" s="1143"/>
      <c r="AJ193" s="1145"/>
      <c r="AK193" s="35">
        <v>6000</v>
      </c>
      <c r="AL193" s="29" t="s">
        <v>73</v>
      </c>
      <c r="AM193" s="29" t="s">
        <v>73</v>
      </c>
      <c r="AN193" s="29" t="s">
        <v>73</v>
      </c>
      <c r="AO193" s="29" t="s">
        <v>73</v>
      </c>
      <c r="AP193" s="29" t="s">
        <v>73</v>
      </c>
      <c r="AQ193" s="30">
        <v>6000</v>
      </c>
      <c r="AR193" s="29" t="s">
        <v>73</v>
      </c>
      <c r="AS193" s="29" t="s">
        <v>73</v>
      </c>
      <c r="AT193" s="29" t="s">
        <v>73</v>
      </c>
      <c r="AU193" s="29" t="s">
        <v>73</v>
      </c>
      <c r="AV193" s="29" t="s">
        <v>73</v>
      </c>
      <c r="AW193" s="29" t="s">
        <v>73</v>
      </c>
      <c r="AX193" s="30">
        <v>6000</v>
      </c>
      <c r="AY193" s="30" t="s">
        <v>6</v>
      </c>
      <c r="AZ193" s="2" t="s">
        <v>74</v>
      </c>
      <c r="BA193" s="2"/>
    </row>
    <row r="194" spans="1:53" ht="51" x14ac:dyDescent="0.25">
      <c r="A194" s="19">
        <v>2026</v>
      </c>
      <c r="B194" s="20">
        <v>479</v>
      </c>
      <c r="C194" s="21" t="s">
        <v>64</v>
      </c>
      <c r="D194" s="21" t="s">
        <v>65</v>
      </c>
      <c r="E194" s="20">
        <v>125</v>
      </c>
      <c r="F194" s="20">
        <v>3000654</v>
      </c>
      <c r="G194" s="20">
        <v>5005023</v>
      </c>
      <c r="H194" s="20">
        <v>3</v>
      </c>
      <c r="I194" s="20">
        <v>12</v>
      </c>
      <c r="J194" s="20">
        <v>24</v>
      </c>
      <c r="K194" s="20">
        <v>135560</v>
      </c>
      <c r="L194" s="21" t="s">
        <v>220</v>
      </c>
      <c r="M194" s="33" t="s">
        <v>221</v>
      </c>
      <c r="N194" s="19">
        <v>97</v>
      </c>
      <c r="O194" s="2"/>
      <c r="P194" s="2" t="s">
        <v>4</v>
      </c>
      <c r="Q194" s="20" t="s">
        <v>68</v>
      </c>
      <c r="R194" s="25" t="s">
        <v>69</v>
      </c>
      <c r="S194" s="41" t="s">
        <v>137</v>
      </c>
      <c r="T194" s="41"/>
      <c r="U194" s="31" t="s">
        <v>274</v>
      </c>
      <c r="V194" s="25" t="s">
        <v>3</v>
      </c>
      <c r="W194" s="25">
        <v>2</v>
      </c>
      <c r="X194" s="27">
        <v>6000</v>
      </c>
      <c r="Y194" s="1142"/>
      <c r="Z194" s="1143"/>
      <c r="AA194" s="1143"/>
      <c r="AB194" s="1144"/>
      <c r="AC194" s="25">
        <v>30</v>
      </c>
      <c r="AD194" s="25">
        <v>30</v>
      </c>
      <c r="AE194" s="1142"/>
      <c r="AF194" s="1143"/>
      <c r="AG194" s="1143"/>
      <c r="AH194" s="1143"/>
      <c r="AI194" s="1143"/>
      <c r="AJ194" s="1145"/>
      <c r="AK194" s="35">
        <v>24000</v>
      </c>
      <c r="AL194" s="29" t="s">
        <v>73</v>
      </c>
      <c r="AM194" s="29" t="s">
        <v>73</v>
      </c>
      <c r="AN194" s="29" t="s">
        <v>73</v>
      </c>
      <c r="AO194" s="29" t="s">
        <v>73</v>
      </c>
      <c r="AP194" s="30">
        <v>12000</v>
      </c>
      <c r="AQ194" s="30">
        <v>12000</v>
      </c>
      <c r="AR194" s="29" t="s">
        <v>73</v>
      </c>
      <c r="AS194" s="29" t="s">
        <v>73</v>
      </c>
      <c r="AT194" s="29" t="s">
        <v>73</v>
      </c>
      <c r="AU194" s="29" t="s">
        <v>73</v>
      </c>
      <c r="AV194" s="29" t="s">
        <v>73</v>
      </c>
      <c r="AW194" s="29" t="s">
        <v>73</v>
      </c>
      <c r="AX194" s="30">
        <v>24000</v>
      </c>
      <c r="AY194" s="30" t="s">
        <v>6</v>
      </c>
      <c r="AZ194" s="2" t="s">
        <v>74</v>
      </c>
      <c r="BA194" s="2"/>
    </row>
    <row r="195" spans="1:53" ht="51" x14ac:dyDescent="0.25">
      <c r="A195" s="19">
        <v>2026</v>
      </c>
      <c r="B195" s="20">
        <v>479</v>
      </c>
      <c r="C195" s="21" t="s">
        <v>64</v>
      </c>
      <c r="D195" s="21" t="s">
        <v>65</v>
      </c>
      <c r="E195" s="20">
        <v>125</v>
      </c>
      <c r="F195" s="20">
        <v>3000654</v>
      </c>
      <c r="G195" s="20">
        <v>5005023</v>
      </c>
      <c r="H195" s="20">
        <v>3</v>
      </c>
      <c r="I195" s="20">
        <v>12</v>
      </c>
      <c r="J195" s="20">
        <v>24</v>
      </c>
      <c r="K195" s="20">
        <v>135560</v>
      </c>
      <c r="L195" s="21" t="s">
        <v>220</v>
      </c>
      <c r="M195" s="33" t="s">
        <v>221</v>
      </c>
      <c r="N195" s="19">
        <v>97</v>
      </c>
      <c r="O195" s="2"/>
      <c r="P195" s="2" t="s">
        <v>4</v>
      </c>
      <c r="Q195" s="20" t="s">
        <v>68</v>
      </c>
      <c r="R195" s="25" t="s">
        <v>69</v>
      </c>
      <c r="S195" s="41" t="s">
        <v>137</v>
      </c>
      <c r="T195" s="41"/>
      <c r="U195" s="31" t="s">
        <v>275</v>
      </c>
      <c r="V195" s="25" t="s">
        <v>3</v>
      </c>
      <c r="W195" s="25">
        <v>1</v>
      </c>
      <c r="X195" s="27">
        <v>6000</v>
      </c>
      <c r="Y195" s="1142"/>
      <c r="Z195" s="1143"/>
      <c r="AA195" s="1143"/>
      <c r="AB195" s="1144"/>
      <c r="AC195" s="25">
        <v>30</v>
      </c>
      <c r="AD195" s="25">
        <v>30</v>
      </c>
      <c r="AE195" s="1142"/>
      <c r="AF195" s="1143"/>
      <c r="AG195" s="1143"/>
      <c r="AH195" s="1143"/>
      <c r="AI195" s="1143"/>
      <c r="AJ195" s="1145"/>
      <c r="AK195" s="35">
        <v>12000</v>
      </c>
      <c r="AL195" s="29" t="s">
        <v>73</v>
      </c>
      <c r="AM195" s="29" t="s">
        <v>73</v>
      </c>
      <c r="AN195" s="29" t="s">
        <v>73</v>
      </c>
      <c r="AO195" s="29" t="s">
        <v>73</v>
      </c>
      <c r="AP195" s="30">
        <v>6000</v>
      </c>
      <c r="AQ195" s="30">
        <v>6000</v>
      </c>
      <c r="AR195" s="29" t="s">
        <v>73</v>
      </c>
      <c r="AS195" s="29" t="s">
        <v>73</v>
      </c>
      <c r="AT195" s="29" t="s">
        <v>73</v>
      </c>
      <c r="AU195" s="29" t="s">
        <v>73</v>
      </c>
      <c r="AV195" s="29" t="s">
        <v>73</v>
      </c>
      <c r="AW195" s="29" t="s">
        <v>73</v>
      </c>
      <c r="AX195" s="30">
        <v>12000</v>
      </c>
      <c r="AY195" s="30" t="s">
        <v>6</v>
      </c>
      <c r="AZ195" s="2" t="s">
        <v>74</v>
      </c>
      <c r="BA195" s="2"/>
    </row>
    <row r="196" spans="1:53" ht="51" x14ac:dyDescent="0.25">
      <c r="A196" s="19">
        <v>2026</v>
      </c>
      <c r="B196" s="20">
        <v>479</v>
      </c>
      <c r="C196" s="21" t="s">
        <v>64</v>
      </c>
      <c r="D196" s="21" t="s">
        <v>65</v>
      </c>
      <c r="E196" s="20">
        <v>125</v>
      </c>
      <c r="F196" s="20">
        <v>3000654</v>
      </c>
      <c r="G196" s="20">
        <v>5005023</v>
      </c>
      <c r="H196" s="20">
        <v>3</v>
      </c>
      <c r="I196" s="20">
        <v>12</v>
      </c>
      <c r="J196" s="20">
        <v>24</v>
      </c>
      <c r="K196" s="20">
        <v>135560</v>
      </c>
      <c r="L196" s="21" t="s">
        <v>220</v>
      </c>
      <c r="M196" s="33" t="s">
        <v>221</v>
      </c>
      <c r="N196" s="19">
        <v>97</v>
      </c>
      <c r="O196" s="2"/>
      <c r="P196" s="2" t="s">
        <v>4</v>
      </c>
      <c r="Q196" s="20" t="s">
        <v>68</v>
      </c>
      <c r="R196" s="25" t="s">
        <v>69</v>
      </c>
      <c r="S196" s="41" t="s">
        <v>137</v>
      </c>
      <c r="T196" s="41"/>
      <c r="U196" s="31" t="s">
        <v>276</v>
      </c>
      <c r="V196" s="25" t="s">
        <v>3</v>
      </c>
      <c r="W196" s="25">
        <v>1</v>
      </c>
      <c r="X196" s="27">
        <v>6000</v>
      </c>
      <c r="Y196" s="1142"/>
      <c r="Z196" s="1143"/>
      <c r="AA196" s="1143"/>
      <c r="AB196" s="1144"/>
      <c r="AC196" s="25">
        <v>30</v>
      </c>
      <c r="AD196" s="25">
        <v>30</v>
      </c>
      <c r="AE196" s="1142"/>
      <c r="AF196" s="1143"/>
      <c r="AG196" s="1143"/>
      <c r="AH196" s="1143"/>
      <c r="AI196" s="1143"/>
      <c r="AJ196" s="1145"/>
      <c r="AK196" s="35">
        <v>12000</v>
      </c>
      <c r="AL196" s="29" t="s">
        <v>73</v>
      </c>
      <c r="AM196" s="29" t="s">
        <v>73</v>
      </c>
      <c r="AN196" s="29" t="s">
        <v>73</v>
      </c>
      <c r="AO196" s="29" t="s">
        <v>73</v>
      </c>
      <c r="AP196" s="30">
        <v>6000</v>
      </c>
      <c r="AQ196" s="30">
        <v>6000</v>
      </c>
      <c r="AR196" s="29" t="s">
        <v>73</v>
      </c>
      <c r="AS196" s="29" t="s">
        <v>73</v>
      </c>
      <c r="AT196" s="29" t="s">
        <v>73</v>
      </c>
      <c r="AU196" s="29" t="s">
        <v>73</v>
      </c>
      <c r="AV196" s="29" t="s">
        <v>73</v>
      </c>
      <c r="AW196" s="29" t="s">
        <v>73</v>
      </c>
      <c r="AX196" s="30">
        <v>12000</v>
      </c>
      <c r="AY196" s="30" t="s">
        <v>6</v>
      </c>
      <c r="AZ196" s="2" t="s">
        <v>74</v>
      </c>
      <c r="BA196" s="2"/>
    </row>
    <row r="197" spans="1:53" ht="51" x14ac:dyDescent="0.25">
      <c r="A197" s="19">
        <v>2026</v>
      </c>
      <c r="B197" s="20">
        <v>479</v>
      </c>
      <c r="C197" s="21" t="s">
        <v>64</v>
      </c>
      <c r="D197" s="21" t="s">
        <v>65</v>
      </c>
      <c r="E197" s="20">
        <v>125</v>
      </c>
      <c r="F197" s="20">
        <v>3000654</v>
      </c>
      <c r="G197" s="20">
        <v>5005023</v>
      </c>
      <c r="H197" s="20">
        <v>3</v>
      </c>
      <c r="I197" s="20">
        <v>12</v>
      </c>
      <c r="J197" s="20">
        <v>24</v>
      </c>
      <c r="K197" s="20">
        <v>135560</v>
      </c>
      <c r="L197" s="21" t="s">
        <v>220</v>
      </c>
      <c r="M197" s="33" t="s">
        <v>221</v>
      </c>
      <c r="N197" s="19">
        <v>97</v>
      </c>
      <c r="O197" s="2"/>
      <c r="P197" s="2" t="s">
        <v>4</v>
      </c>
      <c r="Q197" s="20" t="s">
        <v>68</v>
      </c>
      <c r="R197" s="25" t="s">
        <v>69</v>
      </c>
      <c r="S197" s="41" t="s">
        <v>137</v>
      </c>
      <c r="T197" s="41"/>
      <c r="U197" s="31" t="s">
        <v>277</v>
      </c>
      <c r="V197" s="25" t="s">
        <v>3</v>
      </c>
      <c r="W197" s="25">
        <v>1</v>
      </c>
      <c r="X197" s="27">
        <v>6000</v>
      </c>
      <c r="Y197" s="1142"/>
      <c r="Z197" s="1143"/>
      <c r="AA197" s="1143"/>
      <c r="AB197" s="1144"/>
      <c r="AC197" s="25">
        <v>30</v>
      </c>
      <c r="AD197" s="25">
        <v>30</v>
      </c>
      <c r="AE197" s="1142"/>
      <c r="AF197" s="1143"/>
      <c r="AG197" s="1143"/>
      <c r="AH197" s="1143"/>
      <c r="AI197" s="1143"/>
      <c r="AJ197" s="1145"/>
      <c r="AK197" s="35">
        <v>12000</v>
      </c>
      <c r="AL197" s="29" t="s">
        <v>73</v>
      </c>
      <c r="AM197" s="29" t="s">
        <v>73</v>
      </c>
      <c r="AN197" s="29" t="s">
        <v>73</v>
      </c>
      <c r="AO197" s="29" t="s">
        <v>73</v>
      </c>
      <c r="AP197" s="30">
        <v>6000</v>
      </c>
      <c r="AQ197" s="30">
        <v>6000</v>
      </c>
      <c r="AR197" s="29" t="s">
        <v>73</v>
      </c>
      <c r="AS197" s="29" t="s">
        <v>73</v>
      </c>
      <c r="AT197" s="29" t="s">
        <v>73</v>
      </c>
      <c r="AU197" s="29" t="s">
        <v>73</v>
      </c>
      <c r="AV197" s="29" t="s">
        <v>73</v>
      </c>
      <c r="AW197" s="29" t="s">
        <v>73</v>
      </c>
      <c r="AX197" s="30">
        <v>12000</v>
      </c>
      <c r="AY197" s="30" t="s">
        <v>6</v>
      </c>
      <c r="AZ197" s="2" t="s">
        <v>74</v>
      </c>
      <c r="BA197" s="2"/>
    </row>
    <row r="198" spans="1:53" ht="51" x14ac:dyDescent="0.25">
      <c r="A198" s="19">
        <v>2026</v>
      </c>
      <c r="B198" s="20">
        <v>479</v>
      </c>
      <c r="C198" s="21" t="s">
        <v>64</v>
      </c>
      <c r="D198" s="21" t="s">
        <v>65</v>
      </c>
      <c r="E198" s="20">
        <v>125</v>
      </c>
      <c r="F198" s="20">
        <v>3000654</v>
      </c>
      <c r="G198" s="20">
        <v>5005023</v>
      </c>
      <c r="H198" s="20">
        <v>3</v>
      </c>
      <c r="I198" s="20">
        <v>12</v>
      </c>
      <c r="J198" s="20">
        <v>24</v>
      </c>
      <c r="K198" s="20">
        <v>135560</v>
      </c>
      <c r="L198" s="21" t="s">
        <v>220</v>
      </c>
      <c r="M198" s="33" t="s">
        <v>221</v>
      </c>
      <c r="N198" s="19">
        <v>97</v>
      </c>
      <c r="O198" s="2"/>
      <c r="P198" s="2" t="s">
        <v>4</v>
      </c>
      <c r="Q198" s="20" t="s">
        <v>68</v>
      </c>
      <c r="R198" s="25" t="s">
        <v>69</v>
      </c>
      <c r="S198" s="41" t="s">
        <v>137</v>
      </c>
      <c r="T198" s="41"/>
      <c r="U198" s="31" t="s">
        <v>278</v>
      </c>
      <c r="V198" s="25" t="s">
        <v>3</v>
      </c>
      <c r="W198" s="25">
        <v>1</v>
      </c>
      <c r="X198" s="27">
        <v>6000</v>
      </c>
      <c r="Y198" s="1142"/>
      <c r="Z198" s="1143"/>
      <c r="AA198" s="1143"/>
      <c r="AB198" s="1144"/>
      <c r="AC198" s="25">
        <v>30</v>
      </c>
      <c r="AD198" s="25">
        <v>30</v>
      </c>
      <c r="AE198" s="1142"/>
      <c r="AF198" s="1143"/>
      <c r="AG198" s="1143"/>
      <c r="AH198" s="1143"/>
      <c r="AI198" s="1143"/>
      <c r="AJ198" s="1145"/>
      <c r="AK198" s="35">
        <v>12000</v>
      </c>
      <c r="AL198" s="29" t="s">
        <v>73</v>
      </c>
      <c r="AM198" s="29" t="s">
        <v>73</v>
      </c>
      <c r="AN198" s="29" t="s">
        <v>73</v>
      </c>
      <c r="AO198" s="29" t="s">
        <v>73</v>
      </c>
      <c r="AP198" s="30">
        <v>6000</v>
      </c>
      <c r="AQ198" s="30">
        <v>6000</v>
      </c>
      <c r="AR198" s="29" t="s">
        <v>73</v>
      </c>
      <c r="AS198" s="29" t="s">
        <v>73</v>
      </c>
      <c r="AT198" s="29" t="s">
        <v>73</v>
      </c>
      <c r="AU198" s="29" t="s">
        <v>73</v>
      </c>
      <c r="AV198" s="29" t="s">
        <v>73</v>
      </c>
      <c r="AW198" s="29" t="s">
        <v>73</v>
      </c>
      <c r="AX198" s="30">
        <v>12000</v>
      </c>
      <c r="AY198" s="30" t="s">
        <v>6</v>
      </c>
      <c r="AZ198" s="2" t="s">
        <v>74</v>
      </c>
      <c r="BA198" s="2"/>
    </row>
    <row r="199" spans="1:53" ht="51" x14ac:dyDescent="0.25">
      <c r="A199" s="19">
        <v>2026</v>
      </c>
      <c r="B199" s="20">
        <v>479</v>
      </c>
      <c r="C199" s="21" t="s">
        <v>64</v>
      </c>
      <c r="D199" s="21" t="s">
        <v>65</v>
      </c>
      <c r="E199" s="20">
        <v>125</v>
      </c>
      <c r="F199" s="20">
        <v>3000654</v>
      </c>
      <c r="G199" s="20">
        <v>5005023</v>
      </c>
      <c r="H199" s="20">
        <v>3</v>
      </c>
      <c r="I199" s="20">
        <v>12</v>
      </c>
      <c r="J199" s="20">
        <v>24</v>
      </c>
      <c r="K199" s="20">
        <v>135560</v>
      </c>
      <c r="L199" s="21" t="s">
        <v>98</v>
      </c>
      <c r="M199" s="33" t="s">
        <v>99</v>
      </c>
      <c r="N199" s="19">
        <v>94</v>
      </c>
      <c r="O199" s="2"/>
      <c r="P199" s="2" t="s">
        <v>4</v>
      </c>
      <c r="Q199" s="20" t="s">
        <v>68</v>
      </c>
      <c r="R199" s="25" t="s">
        <v>69</v>
      </c>
      <c r="S199" s="41" t="s">
        <v>137</v>
      </c>
      <c r="T199" s="41"/>
      <c r="U199" s="31" t="s">
        <v>279</v>
      </c>
      <c r="V199" s="25" t="s">
        <v>3</v>
      </c>
      <c r="W199" s="25">
        <v>1</v>
      </c>
      <c r="X199" s="27">
        <v>6000</v>
      </c>
      <c r="Y199" s="1142"/>
      <c r="Z199" s="1143"/>
      <c r="AA199" s="1143"/>
      <c r="AB199" s="1144"/>
      <c r="AC199" s="25">
        <v>30</v>
      </c>
      <c r="AD199" s="25"/>
      <c r="AE199" s="1142"/>
      <c r="AF199" s="1143"/>
      <c r="AG199" s="1143"/>
      <c r="AH199" s="1143"/>
      <c r="AI199" s="1143"/>
      <c r="AJ199" s="1145"/>
      <c r="AK199" s="35">
        <v>6000</v>
      </c>
      <c r="AL199" s="29" t="s">
        <v>73</v>
      </c>
      <c r="AM199" s="29" t="s">
        <v>73</v>
      </c>
      <c r="AN199" s="29" t="s">
        <v>73</v>
      </c>
      <c r="AO199" s="29" t="s">
        <v>73</v>
      </c>
      <c r="AP199" s="30">
        <v>6000</v>
      </c>
      <c r="AQ199" s="29" t="s">
        <v>73</v>
      </c>
      <c r="AR199" s="29" t="s">
        <v>73</v>
      </c>
      <c r="AS199" s="29" t="s">
        <v>73</v>
      </c>
      <c r="AT199" s="29" t="s">
        <v>73</v>
      </c>
      <c r="AU199" s="29" t="s">
        <v>73</v>
      </c>
      <c r="AV199" s="29" t="s">
        <v>73</v>
      </c>
      <c r="AW199" s="29" t="s">
        <v>73</v>
      </c>
      <c r="AX199" s="30">
        <v>6000</v>
      </c>
      <c r="AY199" s="18" t="s">
        <v>6</v>
      </c>
      <c r="AZ199" s="2" t="s">
        <v>74</v>
      </c>
      <c r="BA199" s="2"/>
    </row>
    <row r="200" spans="1:53" ht="51" x14ac:dyDescent="0.25">
      <c r="A200" s="19">
        <v>2026</v>
      </c>
      <c r="B200" s="20">
        <v>479</v>
      </c>
      <c r="C200" s="21" t="s">
        <v>64</v>
      </c>
      <c r="D200" s="21" t="s">
        <v>65</v>
      </c>
      <c r="E200" s="20">
        <v>125</v>
      </c>
      <c r="F200" s="20">
        <v>3000654</v>
      </c>
      <c r="G200" s="20">
        <v>5005023</v>
      </c>
      <c r="H200" s="20">
        <v>3</v>
      </c>
      <c r="I200" s="20">
        <v>12</v>
      </c>
      <c r="J200" s="20">
        <v>24</v>
      </c>
      <c r="K200" s="20">
        <v>135560</v>
      </c>
      <c r="L200" s="21" t="s">
        <v>220</v>
      </c>
      <c r="M200" s="33" t="s">
        <v>221</v>
      </c>
      <c r="N200" s="19">
        <v>97</v>
      </c>
      <c r="O200" s="2"/>
      <c r="P200" s="2" t="s">
        <v>4</v>
      </c>
      <c r="Q200" s="20" t="s">
        <v>68</v>
      </c>
      <c r="R200" s="25" t="s">
        <v>69</v>
      </c>
      <c r="S200" s="41" t="s">
        <v>137</v>
      </c>
      <c r="T200" s="41"/>
      <c r="U200" s="31" t="s">
        <v>279</v>
      </c>
      <c r="V200" s="25" t="s">
        <v>3</v>
      </c>
      <c r="W200" s="25">
        <v>1</v>
      </c>
      <c r="X200" s="27">
        <v>6000</v>
      </c>
      <c r="Y200" s="1142"/>
      <c r="Z200" s="1143"/>
      <c r="AA200" s="1143"/>
      <c r="AB200" s="1144"/>
      <c r="AC200" s="25"/>
      <c r="AD200" s="25">
        <v>30</v>
      </c>
      <c r="AE200" s="1142"/>
      <c r="AF200" s="1143"/>
      <c r="AG200" s="1143"/>
      <c r="AH200" s="1143"/>
      <c r="AI200" s="1143"/>
      <c r="AJ200" s="1145"/>
      <c r="AK200" s="35">
        <v>6000</v>
      </c>
      <c r="AL200" s="29" t="s">
        <v>73</v>
      </c>
      <c r="AM200" s="29" t="s">
        <v>73</v>
      </c>
      <c r="AN200" s="29" t="s">
        <v>73</v>
      </c>
      <c r="AO200" s="29" t="s">
        <v>73</v>
      </c>
      <c r="AP200" s="29" t="s">
        <v>73</v>
      </c>
      <c r="AQ200" s="30">
        <v>6000</v>
      </c>
      <c r="AR200" s="29" t="s">
        <v>73</v>
      </c>
      <c r="AS200" s="29" t="s">
        <v>73</v>
      </c>
      <c r="AT200" s="29" t="s">
        <v>73</v>
      </c>
      <c r="AU200" s="29" t="s">
        <v>73</v>
      </c>
      <c r="AV200" s="29" t="s">
        <v>73</v>
      </c>
      <c r="AW200" s="29" t="s">
        <v>73</v>
      </c>
      <c r="AX200" s="30">
        <v>6000</v>
      </c>
      <c r="AY200" s="30" t="s">
        <v>6</v>
      </c>
      <c r="AZ200" s="2" t="s">
        <v>74</v>
      </c>
      <c r="BA200" s="2"/>
    </row>
    <row r="201" spans="1:53" ht="51" x14ac:dyDescent="0.25">
      <c r="A201" s="19">
        <v>2026</v>
      </c>
      <c r="B201" s="20">
        <v>479</v>
      </c>
      <c r="C201" s="21" t="s">
        <v>64</v>
      </c>
      <c r="D201" s="21" t="s">
        <v>65</v>
      </c>
      <c r="E201" s="20">
        <v>125</v>
      </c>
      <c r="F201" s="20">
        <v>3000654</v>
      </c>
      <c r="G201" s="20">
        <v>5005023</v>
      </c>
      <c r="H201" s="20">
        <v>3</v>
      </c>
      <c r="I201" s="20">
        <v>12</v>
      </c>
      <c r="J201" s="20">
        <v>24</v>
      </c>
      <c r="K201" s="20">
        <v>135560</v>
      </c>
      <c r="L201" s="21" t="s">
        <v>220</v>
      </c>
      <c r="M201" s="33" t="s">
        <v>221</v>
      </c>
      <c r="N201" s="19">
        <v>97</v>
      </c>
      <c r="O201" s="2"/>
      <c r="P201" s="2" t="s">
        <v>4</v>
      </c>
      <c r="Q201" s="20" t="s">
        <v>68</v>
      </c>
      <c r="R201" s="25" t="s">
        <v>69</v>
      </c>
      <c r="S201" s="41" t="s">
        <v>137</v>
      </c>
      <c r="T201" s="41"/>
      <c r="U201" s="31" t="s">
        <v>280</v>
      </c>
      <c r="V201" s="25" t="s">
        <v>3</v>
      </c>
      <c r="W201" s="25">
        <v>1</v>
      </c>
      <c r="X201" s="27">
        <v>6000</v>
      </c>
      <c r="Y201" s="1142"/>
      <c r="Z201" s="1143"/>
      <c r="AA201" s="1143"/>
      <c r="AB201" s="1144"/>
      <c r="AC201" s="25">
        <v>30</v>
      </c>
      <c r="AD201" s="25">
        <v>30</v>
      </c>
      <c r="AE201" s="1142"/>
      <c r="AF201" s="1143"/>
      <c r="AG201" s="1143"/>
      <c r="AH201" s="1143"/>
      <c r="AI201" s="1143"/>
      <c r="AJ201" s="1145"/>
      <c r="AK201" s="35">
        <v>12000</v>
      </c>
      <c r="AL201" s="29" t="s">
        <v>73</v>
      </c>
      <c r="AM201" s="29" t="s">
        <v>73</v>
      </c>
      <c r="AN201" s="29" t="s">
        <v>73</v>
      </c>
      <c r="AO201" s="29" t="s">
        <v>73</v>
      </c>
      <c r="AP201" s="30">
        <v>6000</v>
      </c>
      <c r="AQ201" s="30">
        <v>6000</v>
      </c>
      <c r="AR201" s="29" t="s">
        <v>73</v>
      </c>
      <c r="AS201" s="29" t="s">
        <v>73</v>
      </c>
      <c r="AT201" s="29" t="s">
        <v>73</v>
      </c>
      <c r="AU201" s="29" t="s">
        <v>73</v>
      </c>
      <c r="AV201" s="29" t="s">
        <v>73</v>
      </c>
      <c r="AW201" s="29" t="s">
        <v>73</v>
      </c>
      <c r="AX201" s="30">
        <v>12000</v>
      </c>
      <c r="AY201" s="30" t="s">
        <v>6</v>
      </c>
      <c r="AZ201" s="2" t="s">
        <v>74</v>
      </c>
      <c r="BA201" s="2"/>
    </row>
    <row r="202" spans="1:53" ht="51" x14ac:dyDescent="0.25">
      <c r="A202" s="19">
        <v>2026</v>
      </c>
      <c r="B202" s="20">
        <v>479</v>
      </c>
      <c r="C202" s="21" t="s">
        <v>64</v>
      </c>
      <c r="D202" s="21" t="s">
        <v>65</v>
      </c>
      <c r="E202" s="20">
        <v>125</v>
      </c>
      <c r="F202" s="20">
        <v>3000654</v>
      </c>
      <c r="G202" s="20">
        <v>5005023</v>
      </c>
      <c r="H202" s="20">
        <v>3</v>
      </c>
      <c r="I202" s="20">
        <v>12</v>
      </c>
      <c r="J202" s="20">
        <v>24</v>
      </c>
      <c r="K202" s="20">
        <v>135560</v>
      </c>
      <c r="L202" s="21" t="s">
        <v>98</v>
      </c>
      <c r="M202" s="33" t="s">
        <v>99</v>
      </c>
      <c r="N202" s="19">
        <v>94</v>
      </c>
      <c r="O202" s="2"/>
      <c r="P202" s="2" t="s">
        <v>4</v>
      </c>
      <c r="Q202" s="20" t="s">
        <v>68</v>
      </c>
      <c r="R202" s="25" t="s">
        <v>69</v>
      </c>
      <c r="S202" s="41" t="s">
        <v>137</v>
      </c>
      <c r="T202" s="41"/>
      <c r="U202" s="31" t="s">
        <v>281</v>
      </c>
      <c r="V202" s="25" t="s">
        <v>3</v>
      </c>
      <c r="W202" s="25">
        <v>1</v>
      </c>
      <c r="X202" s="27">
        <v>6000</v>
      </c>
      <c r="Y202" s="1142"/>
      <c r="Z202" s="1143"/>
      <c r="AA202" s="1143"/>
      <c r="AB202" s="1144"/>
      <c r="AC202" s="25">
        <v>30</v>
      </c>
      <c r="AD202" s="25"/>
      <c r="AE202" s="1142"/>
      <c r="AF202" s="1143"/>
      <c r="AG202" s="1143"/>
      <c r="AH202" s="1143"/>
      <c r="AI202" s="1143"/>
      <c r="AJ202" s="1145"/>
      <c r="AK202" s="35">
        <v>6000</v>
      </c>
      <c r="AL202" s="29" t="s">
        <v>73</v>
      </c>
      <c r="AM202" s="29" t="s">
        <v>73</v>
      </c>
      <c r="AN202" s="29" t="s">
        <v>73</v>
      </c>
      <c r="AO202" s="29" t="s">
        <v>73</v>
      </c>
      <c r="AP202" s="30">
        <v>6000</v>
      </c>
      <c r="AQ202" s="29" t="s">
        <v>73</v>
      </c>
      <c r="AR202" s="29" t="s">
        <v>73</v>
      </c>
      <c r="AS202" s="29" t="s">
        <v>73</v>
      </c>
      <c r="AT202" s="29" t="s">
        <v>73</v>
      </c>
      <c r="AU202" s="29" t="s">
        <v>73</v>
      </c>
      <c r="AV202" s="29" t="s">
        <v>73</v>
      </c>
      <c r="AW202" s="29" t="s">
        <v>73</v>
      </c>
      <c r="AX202" s="30">
        <v>6000</v>
      </c>
      <c r="AY202" s="18" t="s">
        <v>6</v>
      </c>
      <c r="AZ202" s="2" t="s">
        <v>74</v>
      </c>
      <c r="BA202" s="2"/>
    </row>
    <row r="203" spans="1:53" ht="51" x14ac:dyDescent="0.25">
      <c r="A203" s="19">
        <v>2026</v>
      </c>
      <c r="B203" s="20">
        <v>479</v>
      </c>
      <c r="C203" s="21" t="s">
        <v>64</v>
      </c>
      <c r="D203" s="21" t="s">
        <v>65</v>
      </c>
      <c r="E203" s="20">
        <v>125</v>
      </c>
      <c r="F203" s="20">
        <v>3000654</v>
      </c>
      <c r="G203" s="20">
        <v>5005023</v>
      </c>
      <c r="H203" s="20">
        <v>3</v>
      </c>
      <c r="I203" s="20">
        <v>12</v>
      </c>
      <c r="J203" s="20">
        <v>24</v>
      </c>
      <c r="K203" s="20">
        <v>135560</v>
      </c>
      <c r="L203" s="21" t="s">
        <v>220</v>
      </c>
      <c r="M203" s="33" t="s">
        <v>221</v>
      </c>
      <c r="N203" s="19">
        <v>97</v>
      </c>
      <c r="O203" s="2"/>
      <c r="P203" s="2" t="s">
        <v>4</v>
      </c>
      <c r="Q203" s="20" t="s">
        <v>68</v>
      </c>
      <c r="R203" s="25" t="s">
        <v>69</v>
      </c>
      <c r="S203" s="41" t="s">
        <v>137</v>
      </c>
      <c r="T203" s="41"/>
      <c r="U203" s="31" t="s">
        <v>281</v>
      </c>
      <c r="V203" s="25" t="s">
        <v>3</v>
      </c>
      <c r="W203" s="25">
        <v>1</v>
      </c>
      <c r="X203" s="27">
        <v>6000</v>
      </c>
      <c r="Y203" s="1142"/>
      <c r="Z203" s="1143"/>
      <c r="AA203" s="1143"/>
      <c r="AB203" s="1144"/>
      <c r="AC203" s="25"/>
      <c r="AD203" s="25">
        <v>30</v>
      </c>
      <c r="AE203" s="1142"/>
      <c r="AF203" s="1143"/>
      <c r="AG203" s="1143"/>
      <c r="AH203" s="1143"/>
      <c r="AI203" s="1143"/>
      <c r="AJ203" s="1145"/>
      <c r="AK203" s="35">
        <v>6000</v>
      </c>
      <c r="AL203" s="29" t="s">
        <v>73</v>
      </c>
      <c r="AM203" s="29" t="s">
        <v>73</v>
      </c>
      <c r="AN203" s="29" t="s">
        <v>73</v>
      </c>
      <c r="AO203" s="29" t="s">
        <v>73</v>
      </c>
      <c r="AP203" s="29" t="s">
        <v>73</v>
      </c>
      <c r="AQ203" s="30">
        <v>6000</v>
      </c>
      <c r="AR203" s="29" t="s">
        <v>73</v>
      </c>
      <c r="AS203" s="29" t="s">
        <v>73</v>
      </c>
      <c r="AT203" s="29" t="s">
        <v>73</v>
      </c>
      <c r="AU203" s="29" t="s">
        <v>73</v>
      </c>
      <c r="AV203" s="29" t="s">
        <v>73</v>
      </c>
      <c r="AW203" s="29" t="s">
        <v>73</v>
      </c>
      <c r="AX203" s="30">
        <v>6000</v>
      </c>
      <c r="AY203" s="30" t="s">
        <v>6</v>
      </c>
      <c r="AZ203" s="2" t="s">
        <v>74</v>
      </c>
      <c r="BA203" s="2"/>
    </row>
    <row r="204" spans="1:53" ht="51" x14ac:dyDescent="0.25">
      <c r="A204" s="19">
        <v>2026</v>
      </c>
      <c r="B204" s="20">
        <v>479</v>
      </c>
      <c r="C204" s="21" t="s">
        <v>64</v>
      </c>
      <c r="D204" s="21" t="s">
        <v>65</v>
      </c>
      <c r="E204" s="20">
        <v>125</v>
      </c>
      <c r="F204" s="20">
        <v>3000654</v>
      </c>
      <c r="G204" s="20">
        <v>5005023</v>
      </c>
      <c r="H204" s="20">
        <v>3</v>
      </c>
      <c r="I204" s="20">
        <v>12</v>
      </c>
      <c r="J204" s="20">
        <v>24</v>
      </c>
      <c r="K204" s="20">
        <v>135560</v>
      </c>
      <c r="L204" s="21" t="s">
        <v>220</v>
      </c>
      <c r="M204" s="33" t="s">
        <v>221</v>
      </c>
      <c r="N204" s="19">
        <v>97</v>
      </c>
      <c r="O204" s="2"/>
      <c r="P204" s="2" t="s">
        <v>4</v>
      </c>
      <c r="Q204" s="20" t="s">
        <v>68</v>
      </c>
      <c r="R204" s="25" t="s">
        <v>69</v>
      </c>
      <c r="S204" s="41" t="s">
        <v>137</v>
      </c>
      <c r="T204" s="41"/>
      <c r="U204" s="31" t="s">
        <v>282</v>
      </c>
      <c r="V204" s="25" t="s">
        <v>3</v>
      </c>
      <c r="W204" s="25">
        <v>1</v>
      </c>
      <c r="X204" s="27">
        <v>6000</v>
      </c>
      <c r="Y204" s="1142"/>
      <c r="Z204" s="1143"/>
      <c r="AA204" s="1143"/>
      <c r="AB204" s="1144"/>
      <c r="AC204" s="25">
        <v>30</v>
      </c>
      <c r="AD204" s="25">
        <v>30</v>
      </c>
      <c r="AE204" s="1142"/>
      <c r="AF204" s="1143"/>
      <c r="AG204" s="1143"/>
      <c r="AH204" s="1143"/>
      <c r="AI204" s="1143"/>
      <c r="AJ204" s="1145"/>
      <c r="AK204" s="35">
        <v>12000</v>
      </c>
      <c r="AL204" s="29" t="s">
        <v>73</v>
      </c>
      <c r="AM204" s="29" t="s">
        <v>73</v>
      </c>
      <c r="AN204" s="29" t="s">
        <v>73</v>
      </c>
      <c r="AO204" s="29" t="s">
        <v>73</v>
      </c>
      <c r="AP204" s="30">
        <v>6000</v>
      </c>
      <c r="AQ204" s="30">
        <v>6000</v>
      </c>
      <c r="AR204" s="29" t="s">
        <v>73</v>
      </c>
      <c r="AS204" s="29" t="s">
        <v>73</v>
      </c>
      <c r="AT204" s="29" t="s">
        <v>73</v>
      </c>
      <c r="AU204" s="29" t="s">
        <v>73</v>
      </c>
      <c r="AV204" s="29" t="s">
        <v>73</v>
      </c>
      <c r="AW204" s="29" t="s">
        <v>73</v>
      </c>
      <c r="AX204" s="30">
        <v>12000</v>
      </c>
      <c r="AY204" s="30" t="s">
        <v>6</v>
      </c>
      <c r="AZ204" s="2" t="s">
        <v>74</v>
      </c>
      <c r="BA204" s="2"/>
    </row>
    <row r="205" spans="1:53" ht="51" x14ac:dyDescent="0.25">
      <c r="A205" s="19">
        <v>2026</v>
      </c>
      <c r="B205" s="20">
        <v>479</v>
      </c>
      <c r="C205" s="21" t="s">
        <v>64</v>
      </c>
      <c r="D205" s="21" t="s">
        <v>65</v>
      </c>
      <c r="E205" s="20">
        <v>125</v>
      </c>
      <c r="F205" s="20">
        <v>3000654</v>
      </c>
      <c r="G205" s="20">
        <v>5005023</v>
      </c>
      <c r="H205" s="20">
        <v>3</v>
      </c>
      <c r="I205" s="20">
        <v>12</v>
      </c>
      <c r="J205" s="20">
        <v>24</v>
      </c>
      <c r="K205" s="20">
        <v>135560</v>
      </c>
      <c r="L205" s="21" t="s">
        <v>220</v>
      </c>
      <c r="M205" s="33" t="s">
        <v>221</v>
      </c>
      <c r="N205" s="19">
        <v>97</v>
      </c>
      <c r="O205" s="2"/>
      <c r="P205" s="2" t="s">
        <v>4</v>
      </c>
      <c r="Q205" s="20" t="s">
        <v>68</v>
      </c>
      <c r="R205" s="25" t="s">
        <v>69</v>
      </c>
      <c r="S205" s="41" t="s">
        <v>137</v>
      </c>
      <c r="T205" s="41"/>
      <c r="U205" s="31" t="s">
        <v>283</v>
      </c>
      <c r="V205" s="25" t="s">
        <v>3</v>
      </c>
      <c r="W205" s="25">
        <v>1</v>
      </c>
      <c r="X205" s="27">
        <v>6000</v>
      </c>
      <c r="Y205" s="1142"/>
      <c r="Z205" s="1143"/>
      <c r="AA205" s="1143"/>
      <c r="AB205" s="1144"/>
      <c r="AC205" s="25">
        <v>30</v>
      </c>
      <c r="AD205" s="25">
        <v>30</v>
      </c>
      <c r="AE205" s="1142"/>
      <c r="AF205" s="1143"/>
      <c r="AG205" s="1143"/>
      <c r="AH205" s="1143"/>
      <c r="AI205" s="1143"/>
      <c r="AJ205" s="1145"/>
      <c r="AK205" s="35">
        <v>12000</v>
      </c>
      <c r="AL205" s="29" t="s">
        <v>73</v>
      </c>
      <c r="AM205" s="29" t="s">
        <v>73</v>
      </c>
      <c r="AN205" s="29" t="s">
        <v>73</v>
      </c>
      <c r="AO205" s="29" t="s">
        <v>73</v>
      </c>
      <c r="AP205" s="30">
        <v>6000</v>
      </c>
      <c r="AQ205" s="30">
        <v>6000</v>
      </c>
      <c r="AR205" s="29" t="s">
        <v>73</v>
      </c>
      <c r="AS205" s="29" t="s">
        <v>73</v>
      </c>
      <c r="AT205" s="29" t="s">
        <v>73</v>
      </c>
      <c r="AU205" s="29" t="s">
        <v>73</v>
      </c>
      <c r="AV205" s="29" t="s">
        <v>73</v>
      </c>
      <c r="AW205" s="29" t="s">
        <v>73</v>
      </c>
      <c r="AX205" s="30">
        <v>12000</v>
      </c>
      <c r="AY205" s="30" t="s">
        <v>6</v>
      </c>
      <c r="AZ205" s="2" t="s">
        <v>74</v>
      </c>
      <c r="BA205" s="2"/>
    </row>
    <row r="206" spans="1:53" ht="51" x14ac:dyDescent="0.25">
      <c r="A206" s="19">
        <v>2026</v>
      </c>
      <c r="B206" s="20">
        <v>479</v>
      </c>
      <c r="C206" s="21" t="s">
        <v>64</v>
      </c>
      <c r="D206" s="21" t="s">
        <v>65</v>
      </c>
      <c r="E206" s="20">
        <v>125</v>
      </c>
      <c r="F206" s="20">
        <v>3000654</v>
      </c>
      <c r="G206" s="20">
        <v>5005023</v>
      </c>
      <c r="H206" s="20">
        <v>3</v>
      </c>
      <c r="I206" s="20">
        <v>12</v>
      </c>
      <c r="J206" s="20">
        <v>24</v>
      </c>
      <c r="K206" s="20">
        <v>135560</v>
      </c>
      <c r="L206" s="21" t="s">
        <v>220</v>
      </c>
      <c r="M206" s="33" t="s">
        <v>221</v>
      </c>
      <c r="N206" s="19">
        <v>97</v>
      </c>
      <c r="O206" s="2"/>
      <c r="P206" s="2" t="s">
        <v>4</v>
      </c>
      <c r="Q206" s="20" t="s">
        <v>68</v>
      </c>
      <c r="R206" s="25" t="s">
        <v>69</v>
      </c>
      <c r="S206" s="41" t="s">
        <v>137</v>
      </c>
      <c r="T206" s="41"/>
      <c r="U206" s="31" t="s">
        <v>284</v>
      </c>
      <c r="V206" s="25" t="s">
        <v>3</v>
      </c>
      <c r="W206" s="25">
        <v>1</v>
      </c>
      <c r="X206" s="27">
        <v>6000</v>
      </c>
      <c r="Y206" s="1142"/>
      <c r="Z206" s="1143"/>
      <c r="AA206" s="1143"/>
      <c r="AB206" s="1144"/>
      <c r="AC206" s="25">
        <v>30</v>
      </c>
      <c r="AD206" s="25">
        <v>30</v>
      </c>
      <c r="AE206" s="1142"/>
      <c r="AF206" s="1143"/>
      <c r="AG206" s="1143"/>
      <c r="AH206" s="1143"/>
      <c r="AI206" s="1143"/>
      <c r="AJ206" s="1145"/>
      <c r="AK206" s="35">
        <v>12000</v>
      </c>
      <c r="AL206" s="29" t="s">
        <v>73</v>
      </c>
      <c r="AM206" s="29" t="s">
        <v>73</v>
      </c>
      <c r="AN206" s="29" t="s">
        <v>73</v>
      </c>
      <c r="AO206" s="29" t="s">
        <v>73</v>
      </c>
      <c r="AP206" s="30">
        <v>6000</v>
      </c>
      <c r="AQ206" s="30">
        <v>6000</v>
      </c>
      <c r="AR206" s="29" t="s">
        <v>73</v>
      </c>
      <c r="AS206" s="29" t="s">
        <v>73</v>
      </c>
      <c r="AT206" s="29" t="s">
        <v>73</v>
      </c>
      <c r="AU206" s="29" t="s">
        <v>73</v>
      </c>
      <c r="AV206" s="29" t="s">
        <v>73</v>
      </c>
      <c r="AW206" s="29" t="s">
        <v>73</v>
      </c>
      <c r="AX206" s="30">
        <v>12000</v>
      </c>
      <c r="AY206" s="30" t="s">
        <v>6</v>
      </c>
      <c r="AZ206" s="2" t="s">
        <v>74</v>
      </c>
      <c r="BA206" s="2"/>
    </row>
    <row r="207" spans="1:53" ht="51" x14ac:dyDescent="0.25">
      <c r="A207" s="19">
        <v>2026</v>
      </c>
      <c r="B207" s="20">
        <v>479</v>
      </c>
      <c r="C207" s="21" t="s">
        <v>64</v>
      </c>
      <c r="D207" s="21" t="s">
        <v>65</v>
      </c>
      <c r="E207" s="20">
        <v>125</v>
      </c>
      <c r="F207" s="20">
        <v>3000654</v>
      </c>
      <c r="G207" s="20">
        <v>5005023</v>
      </c>
      <c r="H207" s="20">
        <v>3</v>
      </c>
      <c r="I207" s="20">
        <v>12</v>
      </c>
      <c r="J207" s="20">
        <v>24</v>
      </c>
      <c r="K207" s="20">
        <v>135560</v>
      </c>
      <c r="L207" s="21" t="s">
        <v>98</v>
      </c>
      <c r="M207" s="33" t="s">
        <v>99</v>
      </c>
      <c r="N207" s="19">
        <v>94</v>
      </c>
      <c r="O207" s="2"/>
      <c r="P207" s="2" t="s">
        <v>4</v>
      </c>
      <c r="Q207" s="20" t="s">
        <v>68</v>
      </c>
      <c r="R207" s="25" t="s">
        <v>69</v>
      </c>
      <c r="S207" s="41" t="s">
        <v>137</v>
      </c>
      <c r="T207" s="41"/>
      <c r="U207" s="31" t="s">
        <v>285</v>
      </c>
      <c r="V207" s="25" t="s">
        <v>3</v>
      </c>
      <c r="W207" s="25">
        <v>1</v>
      </c>
      <c r="X207" s="27">
        <v>6000</v>
      </c>
      <c r="Y207" s="1142"/>
      <c r="Z207" s="1143"/>
      <c r="AA207" s="1143"/>
      <c r="AB207" s="1144"/>
      <c r="AC207" s="25">
        <v>30</v>
      </c>
      <c r="AD207" s="25"/>
      <c r="AE207" s="1142"/>
      <c r="AF207" s="1143"/>
      <c r="AG207" s="1143"/>
      <c r="AH207" s="1143"/>
      <c r="AI207" s="1143"/>
      <c r="AJ207" s="1145"/>
      <c r="AK207" s="35">
        <v>6000</v>
      </c>
      <c r="AL207" s="29" t="s">
        <v>73</v>
      </c>
      <c r="AM207" s="29" t="s">
        <v>73</v>
      </c>
      <c r="AN207" s="29" t="s">
        <v>73</v>
      </c>
      <c r="AO207" s="29" t="s">
        <v>73</v>
      </c>
      <c r="AP207" s="30">
        <v>6000</v>
      </c>
      <c r="AQ207" s="29" t="s">
        <v>73</v>
      </c>
      <c r="AR207" s="29" t="s">
        <v>73</v>
      </c>
      <c r="AS207" s="29" t="s">
        <v>73</v>
      </c>
      <c r="AT207" s="29" t="s">
        <v>73</v>
      </c>
      <c r="AU207" s="29" t="s">
        <v>73</v>
      </c>
      <c r="AV207" s="29" t="s">
        <v>73</v>
      </c>
      <c r="AW207" s="29" t="s">
        <v>73</v>
      </c>
      <c r="AX207" s="30">
        <v>6000</v>
      </c>
      <c r="AY207" s="18" t="s">
        <v>6</v>
      </c>
      <c r="AZ207" s="2" t="s">
        <v>74</v>
      </c>
      <c r="BA207" s="2"/>
    </row>
    <row r="208" spans="1:53" ht="51" x14ac:dyDescent="0.25">
      <c r="A208" s="19">
        <v>2026</v>
      </c>
      <c r="B208" s="20">
        <v>479</v>
      </c>
      <c r="C208" s="21" t="s">
        <v>64</v>
      </c>
      <c r="D208" s="21" t="s">
        <v>65</v>
      </c>
      <c r="E208" s="20">
        <v>125</v>
      </c>
      <c r="F208" s="20">
        <v>3000654</v>
      </c>
      <c r="G208" s="20">
        <v>5005023</v>
      </c>
      <c r="H208" s="20">
        <v>3</v>
      </c>
      <c r="I208" s="20">
        <v>12</v>
      </c>
      <c r="J208" s="20">
        <v>24</v>
      </c>
      <c r="K208" s="20">
        <v>135560</v>
      </c>
      <c r="L208" s="21" t="s">
        <v>220</v>
      </c>
      <c r="M208" s="33" t="s">
        <v>221</v>
      </c>
      <c r="N208" s="19">
        <v>97</v>
      </c>
      <c r="O208" s="2"/>
      <c r="P208" s="2" t="s">
        <v>4</v>
      </c>
      <c r="Q208" s="20" t="s">
        <v>68</v>
      </c>
      <c r="R208" s="25" t="s">
        <v>69</v>
      </c>
      <c r="S208" s="41" t="s">
        <v>137</v>
      </c>
      <c r="T208" s="41"/>
      <c r="U208" s="31" t="s">
        <v>285</v>
      </c>
      <c r="V208" s="25" t="s">
        <v>3</v>
      </c>
      <c r="W208" s="25">
        <v>1</v>
      </c>
      <c r="X208" s="27">
        <v>6000</v>
      </c>
      <c r="Y208" s="1142"/>
      <c r="Z208" s="1143"/>
      <c r="AA208" s="1143"/>
      <c r="AB208" s="1144"/>
      <c r="AC208" s="25"/>
      <c r="AD208" s="25">
        <v>30</v>
      </c>
      <c r="AE208" s="1142"/>
      <c r="AF208" s="1143"/>
      <c r="AG208" s="1143"/>
      <c r="AH208" s="1143"/>
      <c r="AI208" s="1143"/>
      <c r="AJ208" s="1145"/>
      <c r="AK208" s="35">
        <v>6000</v>
      </c>
      <c r="AL208" s="29" t="s">
        <v>73</v>
      </c>
      <c r="AM208" s="29" t="s">
        <v>73</v>
      </c>
      <c r="AN208" s="29" t="s">
        <v>73</v>
      </c>
      <c r="AO208" s="29" t="s">
        <v>73</v>
      </c>
      <c r="AP208" s="29" t="s">
        <v>73</v>
      </c>
      <c r="AQ208" s="30">
        <v>6000</v>
      </c>
      <c r="AR208" s="29" t="s">
        <v>73</v>
      </c>
      <c r="AS208" s="29" t="s">
        <v>73</v>
      </c>
      <c r="AT208" s="29" t="s">
        <v>73</v>
      </c>
      <c r="AU208" s="29" t="s">
        <v>73</v>
      </c>
      <c r="AV208" s="29" t="s">
        <v>73</v>
      </c>
      <c r="AW208" s="29" t="s">
        <v>73</v>
      </c>
      <c r="AX208" s="30">
        <v>6000</v>
      </c>
      <c r="AY208" s="30" t="s">
        <v>6</v>
      </c>
      <c r="AZ208" s="2" t="s">
        <v>74</v>
      </c>
      <c r="BA208" s="2"/>
    </row>
    <row r="209" spans="1:53" ht="51" x14ac:dyDescent="0.25">
      <c r="A209" s="19">
        <v>2026</v>
      </c>
      <c r="B209" s="20">
        <v>479</v>
      </c>
      <c r="C209" s="21" t="s">
        <v>64</v>
      </c>
      <c r="D209" s="21" t="s">
        <v>65</v>
      </c>
      <c r="E209" s="20">
        <v>125</v>
      </c>
      <c r="F209" s="20">
        <v>3000654</v>
      </c>
      <c r="G209" s="20">
        <v>5005023</v>
      </c>
      <c r="H209" s="20">
        <v>3</v>
      </c>
      <c r="I209" s="20">
        <v>12</v>
      </c>
      <c r="J209" s="20">
        <v>24</v>
      </c>
      <c r="K209" s="20">
        <v>135560</v>
      </c>
      <c r="L209" s="21" t="s">
        <v>220</v>
      </c>
      <c r="M209" s="33" t="s">
        <v>221</v>
      </c>
      <c r="N209" s="19">
        <v>97</v>
      </c>
      <c r="O209" s="2"/>
      <c r="P209" s="2" t="s">
        <v>4</v>
      </c>
      <c r="Q209" s="20" t="s">
        <v>68</v>
      </c>
      <c r="R209" s="25" t="s">
        <v>69</v>
      </c>
      <c r="S209" s="41" t="s">
        <v>137</v>
      </c>
      <c r="T209" s="41"/>
      <c r="U209" s="31" t="s">
        <v>286</v>
      </c>
      <c r="V209" s="25" t="s">
        <v>3</v>
      </c>
      <c r="W209" s="25">
        <v>1</v>
      </c>
      <c r="X209" s="27">
        <v>6000</v>
      </c>
      <c r="Y209" s="1142"/>
      <c r="Z209" s="1143"/>
      <c r="AA209" s="1143"/>
      <c r="AB209" s="1144"/>
      <c r="AC209" s="25">
        <v>30</v>
      </c>
      <c r="AD209" s="25">
        <v>30</v>
      </c>
      <c r="AE209" s="1142"/>
      <c r="AF209" s="1143"/>
      <c r="AG209" s="1143"/>
      <c r="AH209" s="1143"/>
      <c r="AI209" s="1143"/>
      <c r="AJ209" s="1145"/>
      <c r="AK209" s="35">
        <v>12000</v>
      </c>
      <c r="AL209" s="29" t="s">
        <v>73</v>
      </c>
      <c r="AM209" s="29" t="s">
        <v>73</v>
      </c>
      <c r="AN209" s="29" t="s">
        <v>73</v>
      </c>
      <c r="AO209" s="29" t="s">
        <v>73</v>
      </c>
      <c r="AP209" s="30">
        <v>6000</v>
      </c>
      <c r="AQ209" s="30">
        <v>6000</v>
      </c>
      <c r="AR209" s="29" t="s">
        <v>73</v>
      </c>
      <c r="AS209" s="29" t="s">
        <v>73</v>
      </c>
      <c r="AT209" s="29" t="s">
        <v>73</v>
      </c>
      <c r="AU209" s="29" t="s">
        <v>73</v>
      </c>
      <c r="AV209" s="29" t="s">
        <v>73</v>
      </c>
      <c r="AW209" s="29" t="s">
        <v>73</v>
      </c>
      <c r="AX209" s="30">
        <v>12000</v>
      </c>
      <c r="AY209" s="30" t="s">
        <v>6</v>
      </c>
      <c r="AZ209" s="2" t="s">
        <v>74</v>
      </c>
      <c r="BA209" s="2"/>
    </row>
    <row r="210" spans="1:53" ht="51" x14ac:dyDescent="0.25">
      <c r="A210" s="19">
        <v>2026</v>
      </c>
      <c r="B210" s="20">
        <v>479</v>
      </c>
      <c r="C210" s="21" t="s">
        <v>64</v>
      </c>
      <c r="D210" s="21" t="s">
        <v>65</v>
      </c>
      <c r="E210" s="20">
        <v>125</v>
      </c>
      <c r="F210" s="20">
        <v>3000654</v>
      </c>
      <c r="G210" s="20">
        <v>5005023</v>
      </c>
      <c r="H210" s="20">
        <v>3</v>
      </c>
      <c r="I210" s="20">
        <v>12</v>
      </c>
      <c r="J210" s="20">
        <v>24</v>
      </c>
      <c r="K210" s="20">
        <v>135560</v>
      </c>
      <c r="L210" s="21" t="s">
        <v>220</v>
      </c>
      <c r="M210" s="33" t="s">
        <v>221</v>
      </c>
      <c r="N210" s="19">
        <v>97</v>
      </c>
      <c r="O210" s="2"/>
      <c r="P210" s="2" t="s">
        <v>4</v>
      </c>
      <c r="Q210" s="20" t="s">
        <v>68</v>
      </c>
      <c r="R210" s="25" t="s">
        <v>69</v>
      </c>
      <c r="S210" s="41" t="s">
        <v>137</v>
      </c>
      <c r="T210" s="41"/>
      <c r="U210" s="31" t="s">
        <v>287</v>
      </c>
      <c r="V210" s="25" t="s">
        <v>3</v>
      </c>
      <c r="W210" s="25">
        <v>1</v>
      </c>
      <c r="X210" s="27">
        <v>6000</v>
      </c>
      <c r="Y210" s="1142"/>
      <c r="Z210" s="1143"/>
      <c r="AA210" s="1143"/>
      <c r="AB210" s="1144"/>
      <c r="AC210" s="25">
        <v>30</v>
      </c>
      <c r="AD210" s="25">
        <v>30</v>
      </c>
      <c r="AE210" s="1142"/>
      <c r="AF210" s="1143"/>
      <c r="AG210" s="1143"/>
      <c r="AH210" s="1143"/>
      <c r="AI210" s="1143"/>
      <c r="AJ210" s="1145"/>
      <c r="AK210" s="35">
        <v>12000</v>
      </c>
      <c r="AL210" s="29" t="s">
        <v>73</v>
      </c>
      <c r="AM210" s="29" t="s">
        <v>73</v>
      </c>
      <c r="AN210" s="29" t="s">
        <v>73</v>
      </c>
      <c r="AO210" s="29" t="s">
        <v>73</v>
      </c>
      <c r="AP210" s="30">
        <v>6000</v>
      </c>
      <c r="AQ210" s="30">
        <v>6000</v>
      </c>
      <c r="AR210" s="29" t="s">
        <v>73</v>
      </c>
      <c r="AS210" s="29" t="s">
        <v>73</v>
      </c>
      <c r="AT210" s="29" t="s">
        <v>73</v>
      </c>
      <c r="AU210" s="29" t="s">
        <v>73</v>
      </c>
      <c r="AV210" s="29" t="s">
        <v>73</v>
      </c>
      <c r="AW210" s="29" t="s">
        <v>73</v>
      </c>
      <c r="AX210" s="30">
        <v>12000</v>
      </c>
      <c r="AY210" s="30" t="s">
        <v>6</v>
      </c>
      <c r="AZ210" s="2" t="s">
        <v>74</v>
      </c>
      <c r="BA210" s="2"/>
    </row>
    <row r="211" spans="1:53" ht="51" x14ac:dyDescent="0.25">
      <c r="A211" s="19">
        <v>2026</v>
      </c>
      <c r="B211" s="20">
        <v>479</v>
      </c>
      <c r="C211" s="21" t="s">
        <v>64</v>
      </c>
      <c r="D211" s="21" t="s">
        <v>65</v>
      </c>
      <c r="E211" s="20">
        <v>125</v>
      </c>
      <c r="F211" s="20">
        <v>3000654</v>
      </c>
      <c r="G211" s="20">
        <v>5005023</v>
      </c>
      <c r="H211" s="20">
        <v>3</v>
      </c>
      <c r="I211" s="20">
        <v>12</v>
      </c>
      <c r="J211" s="20">
        <v>24</v>
      </c>
      <c r="K211" s="20">
        <v>135560</v>
      </c>
      <c r="L211" s="21" t="s">
        <v>220</v>
      </c>
      <c r="M211" s="33" t="s">
        <v>221</v>
      </c>
      <c r="N211" s="19">
        <v>97</v>
      </c>
      <c r="O211" s="2"/>
      <c r="P211" s="2" t="s">
        <v>4</v>
      </c>
      <c r="Q211" s="20" t="s">
        <v>68</v>
      </c>
      <c r="R211" s="25" t="s">
        <v>69</v>
      </c>
      <c r="S211" s="41" t="s">
        <v>137</v>
      </c>
      <c r="T211" s="41"/>
      <c r="U211" s="31" t="s">
        <v>288</v>
      </c>
      <c r="V211" s="25" t="s">
        <v>3</v>
      </c>
      <c r="W211" s="25">
        <v>1</v>
      </c>
      <c r="X211" s="27">
        <v>6000</v>
      </c>
      <c r="Y211" s="1142"/>
      <c r="Z211" s="1143"/>
      <c r="AA211" s="1143"/>
      <c r="AB211" s="1144"/>
      <c r="AC211" s="25">
        <v>30</v>
      </c>
      <c r="AD211" s="25">
        <v>30</v>
      </c>
      <c r="AE211" s="1142"/>
      <c r="AF211" s="1143"/>
      <c r="AG211" s="1143"/>
      <c r="AH211" s="1143"/>
      <c r="AI211" s="1143"/>
      <c r="AJ211" s="1145"/>
      <c r="AK211" s="35">
        <v>12000</v>
      </c>
      <c r="AL211" s="29" t="s">
        <v>73</v>
      </c>
      <c r="AM211" s="29" t="s">
        <v>73</v>
      </c>
      <c r="AN211" s="29" t="s">
        <v>73</v>
      </c>
      <c r="AO211" s="29" t="s">
        <v>73</v>
      </c>
      <c r="AP211" s="30">
        <v>6000</v>
      </c>
      <c r="AQ211" s="30">
        <v>6000</v>
      </c>
      <c r="AR211" s="29" t="s">
        <v>73</v>
      </c>
      <c r="AS211" s="29" t="s">
        <v>73</v>
      </c>
      <c r="AT211" s="29" t="s">
        <v>73</v>
      </c>
      <c r="AU211" s="29" t="s">
        <v>73</v>
      </c>
      <c r="AV211" s="29" t="s">
        <v>73</v>
      </c>
      <c r="AW211" s="29" t="s">
        <v>73</v>
      </c>
      <c r="AX211" s="30">
        <v>12000</v>
      </c>
      <c r="AY211" s="30" t="s">
        <v>6</v>
      </c>
      <c r="AZ211" s="2" t="s">
        <v>74</v>
      </c>
      <c r="BA211" s="2"/>
    </row>
    <row r="212" spans="1:53" ht="51" x14ac:dyDescent="0.25">
      <c r="A212" s="19">
        <v>2026</v>
      </c>
      <c r="B212" s="20">
        <v>479</v>
      </c>
      <c r="C212" s="21" t="s">
        <v>64</v>
      </c>
      <c r="D212" s="21" t="s">
        <v>65</v>
      </c>
      <c r="E212" s="20">
        <v>125</v>
      </c>
      <c r="F212" s="20">
        <v>3000654</v>
      </c>
      <c r="G212" s="20">
        <v>5005023</v>
      </c>
      <c r="H212" s="20">
        <v>3</v>
      </c>
      <c r="I212" s="20">
        <v>12</v>
      </c>
      <c r="J212" s="20">
        <v>24</v>
      </c>
      <c r="K212" s="20">
        <v>135560</v>
      </c>
      <c r="L212" s="21" t="s">
        <v>98</v>
      </c>
      <c r="M212" s="33" t="s">
        <v>99</v>
      </c>
      <c r="N212" s="19">
        <v>94</v>
      </c>
      <c r="O212" s="2"/>
      <c r="P212" s="2" t="s">
        <v>4</v>
      </c>
      <c r="Q212" s="20" t="s">
        <v>68</v>
      </c>
      <c r="R212" s="25" t="s">
        <v>69</v>
      </c>
      <c r="S212" s="41" t="s">
        <v>137</v>
      </c>
      <c r="T212" s="41"/>
      <c r="U212" s="31" t="s">
        <v>289</v>
      </c>
      <c r="V212" s="25" t="s">
        <v>3</v>
      </c>
      <c r="W212" s="25">
        <v>1</v>
      </c>
      <c r="X212" s="27">
        <v>8000</v>
      </c>
      <c r="Y212" s="1142"/>
      <c r="Z212" s="1143"/>
      <c r="AA212" s="1143"/>
      <c r="AB212" s="1144"/>
      <c r="AC212" s="25">
        <v>30</v>
      </c>
      <c r="AD212" s="25"/>
      <c r="AE212" s="1142"/>
      <c r="AF212" s="1143"/>
      <c r="AG212" s="1143"/>
      <c r="AH212" s="1143"/>
      <c r="AI212" s="1143"/>
      <c r="AJ212" s="1145"/>
      <c r="AK212" s="35">
        <v>8000</v>
      </c>
      <c r="AL212" s="29" t="s">
        <v>73</v>
      </c>
      <c r="AM212" s="29" t="s">
        <v>73</v>
      </c>
      <c r="AN212" s="29" t="s">
        <v>73</v>
      </c>
      <c r="AO212" s="29" t="s">
        <v>73</v>
      </c>
      <c r="AP212" s="30">
        <v>8000</v>
      </c>
      <c r="AQ212" s="29" t="s">
        <v>73</v>
      </c>
      <c r="AR212" s="29" t="s">
        <v>73</v>
      </c>
      <c r="AS212" s="29" t="s">
        <v>73</v>
      </c>
      <c r="AT212" s="29" t="s">
        <v>73</v>
      </c>
      <c r="AU212" s="29" t="s">
        <v>73</v>
      </c>
      <c r="AV212" s="29" t="s">
        <v>73</v>
      </c>
      <c r="AW212" s="29" t="s">
        <v>73</v>
      </c>
      <c r="AX212" s="30">
        <v>8000</v>
      </c>
      <c r="AY212" s="18" t="s">
        <v>6</v>
      </c>
      <c r="AZ212" s="2" t="s">
        <v>74</v>
      </c>
      <c r="BA212" s="2"/>
    </row>
    <row r="213" spans="1:53" ht="51" x14ac:dyDescent="0.25">
      <c r="A213" s="19">
        <v>2026</v>
      </c>
      <c r="B213" s="20">
        <v>479</v>
      </c>
      <c r="C213" s="21" t="s">
        <v>64</v>
      </c>
      <c r="D213" s="21" t="s">
        <v>65</v>
      </c>
      <c r="E213" s="20">
        <v>125</v>
      </c>
      <c r="F213" s="20">
        <v>3000654</v>
      </c>
      <c r="G213" s="20">
        <v>5005023</v>
      </c>
      <c r="H213" s="20">
        <v>3</v>
      </c>
      <c r="I213" s="20">
        <v>12</v>
      </c>
      <c r="J213" s="20">
        <v>24</v>
      </c>
      <c r="K213" s="20">
        <v>135560</v>
      </c>
      <c r="L213" s="21" t="s">
        <v>220</v>
      </c>
      <c r="M213" s="33" t="s">
        <v>221</v>
      </c>
      <c r="N213" s="19">
        <v>97</v>
      </c>
      <c r="O213" s="2"/>
      <c r="P213" s="2" t="s">
        <v>4</v>
      </c>
      <c r="Q213" s="20" t="s">
        <v>68</v>
      </c>
      <c r="R213" s="25" t="s">
        <v>69</v>
      </c>
      <c r="S213" s="41" t="s">
        <v>137</v>
      </c>
      <c r="T213" s="41"/>
      <c r="U213" s="31" t="s">
        <v>289</v>
      </c>
      <c r="V213" s="25" t="s">
        <v>3</v>
      </c>
      <c r="W213" s="25">
        <v>1</v>
      </c>
      <c r="X213" s="27">
        <v>8000</v>
      </c>
      <c r="Y213" s="1142"/>
      <c r="Z213" s="1143"/>
      <c r="AA213" s="1143"/>
      <c r="AB213" s="1144"/>
      <c r="AC213" s="25"/>
      <c r="AD213" s="25">
        <v>30</v>
      </c>
      <c r="AE213" s="1142"/>
      <c r="AF213" s="1143"/>
      <c r="AG213" s="1143"/>
      <c r="AH213" s="1143"/>
      <c r="AI213" s="1143"/>
      <c r="AJ213" s="1145"/>
      <c r="AK213" s="35">
        <v>8000</v>
      </c>
      <c r="AL213" s="29" t="s">
        <v>73</v>
      </c>
      <c r="AM213" s="29" t="s">
        <v>73</v>
      </c>
      <c r="AN213" s="29" t="s">
        <v>73</v>
      </c>
      <c r="AO213" s="29" t="s">
        <v>73</v>
      </c>
      <c r="AP213" s="29" t="s">
        <v>73</v>
      </c>
      <c r="AQ213" s="30">
        <v>8000</v>
      </c>
      <c r="AR213" s="29" t="s">
        <v>73</v>
      </c>
      <c r="AS213" s="29" t="s">
        <v>73</v>
      </c>
      <c r="AT213" s="29" t="s">
        <v>73</v>
      </c>
      <c r="AU213" s="29" t="s">
        <v>73</v>
      </c>
      <c r="AV213" s="29" t="s">
        <v>73</v>
      </c>
      <c r="AW213" s="29" t="s">
        <v>73</v>
      </c>
      <c r="AX213" s="30">
        <v>8000</v>
      </c>
      <c r="AY213" s="30" t="s">
        <v>6</v>
      </c>
      <c r="AZ213" s="2" t="s">
        <v>74</v>
      </c>
      <c r="BA213" s="2"/>
    </row>
    <row r="214" spans="1:53" ht="51" x14ac:dyDescent="0.25">
      <c r="A214" s="19">
        <v>2026</v>
      </c>
      <c r="B214" s="20">
        <v>479</v>
      </c>
      <c r="C214" s="21" t="s">
        <v>64</v>
      </c>
      <c r="D214" s="21" t="s">
        <v>65</v>
      </c>
      <c r="E214" s="20">
        <v>125</v>
      </c>
      <c r="F214" s="20">
        <v>3000654</v>
      </c>
      <c r="G214" s="20">
        <v>5005023</v>
      </c>
      <c r="H214" s="20">
        <v>3</v>
      </c>
      <c r="I214" s="20">
        <v>12</v>
      </c>
      <c r="J214" s="20">
        <v>24</v>
      </c>
      <c r="K214" s="20">
        <v>135560</v>
      </c>
      <c r="L214" s="21" t="s">
        <v>98</v>
      </c>
      <c r="M214" s="33" t="s">
        <v>99</v>
      </c>
      <c r="N214" s="19">
        <v>94</v>
      </c>
      <c r="O214" s="2"/>
      <c r="P214" s="2" t="s">
        <v>4</v>
      </c>
      <c r="Q214" s="20" t="s">
        <v>68</v>
      </c>
      <c r="R214" s="25" t="s">
        <v>69</v>
      </c>
      <c r="S214" s="41" t="s">
        <v>137</v>
      </c>
      <c r="T214" s="41"/>
      <c r="U214" s="31" t="s">
        <v>290</v>
      </c>
      <c r="V214" s="25" t="s">
        <v>3</v>
      </c>
      <c r="W214" s="25">
        <v>1</v>
      </c>
      <c r="X214" s="27">
        <v>8000</v>
      </c>
      <c r="Y214" s="1142"/>
      <c r="Z214" s="1143"/>
      <c r="AA214" s="1143"/>
      <c r="AB214" s="1144"/>
      <c r="AC214" s="25">
        <v>30</v>
      </c>
      <c r="AD214" s="25"/>
      <c r="AE214" s="1142"/>
      <c r="AF214" s="1143"/>
      <c r="AG214" s="1143"/>
      <c r="AH214" s="1143"/>
      <c r="AI214" s="1143"/>
      <c r="AJ214" s="1145"/>
      <c r="AK214" s="35">
        <v>8000</v>
      </c>
      <c r="AL214" s="29" t="s">
        <v>73</v>
      </c>
      <c r="AM214" s="29" t="s">
        <v>73</v>
      </c>
      <c r="AN214" s="29" t="s">
        <v>73</v>
      </c>
      <c r="AO214" s="29" t="s">
        <v>73</v>
      </c>
      <c r="AP214" s="30">
        <v>8000</v>
      </c>
      <c r="AQ214" s="29" t="s">
        <v>73</v>
      </c>
      <c r="AR214" s="29" t="s">
        <v>73</v>
      </c>
      <c r="AS214" s="29" t="s">
        <v>73</v>
      </c>
      <c r="AT214" s="29" t="s">
        <v>73</v>
      </c>
      <c r="AU214" s="29" t="s">
        <v>73</v>
      </c>
      <c r="AV214" s="29" t="s">
        <v>73</v>
      </c>
      <c r="AW214" s="29" t="s">
        <v>73</v>
      </c>
      <c r="AX214" s="30">
        <v>8000</v>
      </c>
      <c r="AY214" s="18" t="s">
        <v>6</v>
      </c>
      <c r="AZ214" s="2" t="s">
        <v>74</v>
      </c>
      <c r="BA214" s="2"/>
    </row>
    <row r="215" spans="1:53" ht="51" x14ac:dyDescent="0.25">
      <c r="A215" s="19">
        <v>2026</v>
      </c>
      <c r="B215" s="20">
        <v>479</v>
      </c>
      <c r="C215" s="21" t="s">
        <v>64</v>
      </c>
      <c r="D215" s="21" t="s">
        <v>65</v>
      </c>
      <c r="E215" s="20">
        <v>125</v>
      </c>
      <c r="F215" s="20">
        <v>3000654</v>
      </c>
      <c r="G215" s="20">
        <v>5005023</v>
      </c>
      <c r="H215" s="20">
        <v>3</v>
      </c>
      <c r="I215" s="20">
        <v>12</v>
      </c>
      <c r="J215" s="20">
        <v>24</v>
      </c>
      <c r="K215" s="20">
        <v>135560</v>
      </c>
      <c r="L215" s="21" t="s">
        <v>220</v>
      </c>
      <c r="M215" s="33" t="s">
        <v>221</v>
      </c>
      <c r="N215" s="19">
        <v>97</v>
      </c>
      <c r="O215" s="2"/>
      <c r="P215" s="2" t="s">
        <v>4</v>
      </c>
      <c r="Q215" s="20" t="s">
        <v>68</v>
      </c>
      <c r="R215" s="25" t="s">
        <v>69</v>
      </c>
      <c r="S215" s="41" t="s">
        <v>137</v>
      </c>
      <c r="T215" s="41"/>
      <c r="U215" s="31" t="s">
        <v>290</v>
      </c>
      <c r="V215" s="25" t="s">
        <v>3</v>
      </c>
      <c r="W215" s="25">
        <v>1</v>
      </c>
      <c r="X215" s="27">
        <v>8000</v>
      </c>
      <c r="Y215" s="1142"/>
      <c r="Z215" s="1143"/>
      <c r="AA215" s="1143"/>
      <c r="AB215" s="1144"/>
      <c r="AC215" s="25"/>
      <c r="AD215" s="25">
        <v>30</v>
      </c>
      <c r="AE215" s="1142"/>
      <c r="AF215" s="1143"/>
      <c r="AG215" s="1143"/>
      <c r="AH215" s="1143"/>
      <c r="AI215" s="1143"/>
      <c r="AJ215" s="1145"/>
      <c r="AK215" s="35">
        <v>8000</v>
      </c>
      <c r="AL215" s="29" t="s">
        <v>73</v>
      </c>
      <c r="AM215" s="29" t="s">
        <v>73</v>
      </c>
      <c r="AN215" s="29" t="s">
        <v>73</v>
      </c>
      <c r="AO215" s="29" t="s">
        <v>73</v>
      </c>
      <c r="AP215" s="29" t="s">
        <v>73</v>
      </c>
      <c r="AQ215" s="30">
        <v>8000</v>
      </c>
      <c r="AR215" s="29" t="s">
        <v>73</v>
      </c>
      <c r="AS215" s="29" t="s">
        <v>73</v>
      </c>
      <c r="AT215" s="29" t="s">
        <v>73</v>
      </c>
      <c r="AU215" s="29" t="s">
        <v>73</v>
      </c>
      <c r="AV215" s="29" t="s">
        <v>73</v>
      </c>
      <c r="AW215" s="29" t="s">
        <v>73</v>
      </c>
      <c r="AX215" s="30">
        <v>8000</v>
      </c>
      <c r="AY215" s="30" t="s">
        <v>6</v>
      </c>
      <c r="AZ215" s="2" t="s">
        <v>74</v>
      </c>
      <c r="BA215" s="2"/>
    </row>
    <row r="216" spans="1:53" ht="51" x14ac:dyDescent="0.25">
      <c r="A216" s="19">
        <v>2026</v>
      </c>
      <c r="B216" s="20">
        <v>479</v>
      </c>
      <c r="C216" s="21" t="s">
        <v>64</v>
      </c>
      <c r="D216" s="21" t="s">
        <v>65</v>
      </c>
      <c r="E216" s="20">
        <v>125</v>
      </c>
      <c r="F216" s="20">
        <v>3000654</v>
      </c>
      <c r="G216" s="20">
        <v>5005023</v>
      </c>
      <c r="H216" s="20">
        <v>3</v>
      </c>
      <c r="I216" s="20">
        <v>12</v>
      </c>
      <c r="J216" s="20">
        <v>24</v>
      </c>
      <c r="K216" s="20">
        <v>135560</v>
      </c>
      <c r="L216" s="21" t="s">
        <v>98</v>
      </c>
      <c r="M216" s="33" t="s">
        <v>99</v>
      </c>
      <c r="N216" s="19">
        <v>94</v>
      </c>
      <c r="O216" s="2"/>
      <c r="P216" s="2" t="s">
        <v>4</v>
      </c>
      <c r="Q216" s="20" t="s">
        <v>68</v>
      </c>
      <c r="R216" s="25" t="s">
        <v>69</v>
      </c>
      <c r="S216" s="41" t="s">
        <v>137</v>
      </c>
      <c r="T216" s="41"/>
      <c r="U216" s="31" t="s">
        <v>291</v>
      </c>
      <c r="V216" s="25" t="s">
        <v>3</v>
      </c>
      <c r="W216" s="25">
        <v>1</v>
      </c>
      <c r="X216" s="27">
        <v>8000</v>
      </c>
      <c r="Y216" s="1142"/>
      <c r="Z216" s="1143"/>
      <c r="AA216" s="1143"/>
      <c r="AB216" s="1144"/>
      <c r="AC216" s="25">
        <v>30</v>
      </c>
      <c r="AD216" s="25"/>
      <c r="AE216" s="1142"/>
      <c r="AF216" s="1143"/>
      <c r="AG216" s="1143"/>
      <c r="AH216" s="1143"/>
      <c r="AI216" s="1143"/>
      <c r="AJ216" s="1145"/>
      <c r="AK216" s="35">
        <v>8000</v>
      </c>
      <c r="AL216" s="29" t="s">
        <v>73</v>
      </c>
      <c r="AM216" s="29" t="s">
        <v>73</v>
      </c>
      <c r="AN216" s="29" t="s">
        <v>73</v>
      </c>
      <c r="AO216" s="29" t="s">
        <v>73</v>
      </c>
      <c r="AP216" s="30">
        <v>8000</v>
      </c>
      <c r="AQ216" s="29" t="s">
        <v>73</v>
      </c>
      <c r="AR216" s="29" t="s">
        <v>73</v>
      </c>
      <c r="AS216" s="29" t="s">
        <v>73</v>
      </c>
      <c r="AT216" s="29" t="s">
        <v>73</v>
      </c>
      <c r="AU216" s="29" t="s">
        <v>73</v>
      </c>
      <c r="AV216" s="29" t="s">
        <v>73</v>
      </c>
      <c r="AW216" s="29" t="s">
        <v>73</v>
      </c>
      <c r="AX216" s="30">
        <v>8000</v>
      </c>
      <c r="AY216" s="18" t="s">
        <v>6</v>
      </c>
      <c r="AZ216" s="2" t="s">
        <v>74</v>
      </c>
      <c r="BA216" s="2"/>
    </row>
    <row r="217" spans="1:53" ht="51" x14ac:dyDescent="0.25">
      <c r="A217" s="19">
        <v>2026</v>
      </c>
      <c r="B217" s="20">
        <v>479</v>
      </c>
      <c r="C217" s="21" t="s">
        <v>64</v>
      </c>
      <c r="D217" s="21" t="s">
        <v>65</v>
      </c>
      <c r="E217" s="20">
        <v>125</v>
      </c>
      <c r="F217" s="20">
        <v>3000654</v>
      </c>
      <c r="G217" s="20">
        <v>5005023</v>
      </c>
      <c r="H217" s="20">
        <v>3</v>
      </c>
      <c r="I217" s="20">
        <v>12</v>
      </c>
      <c r="J217" s="20">
        <v>24</v>
      </c>
      <c r="K217" s="20">
        <v>135560</v>
      </c>
      <c r="L217" s="21" t="s">
        <v>220</v>
      </c>
      <c r="M217" s="33" t="s">
        <v>221</v>
      </c>
      <c r="N217" s="19">
        <v>97</v>
      </c>
      <c r="O217" s="2"/>
      <c r="P217" s="2" t="s">
        <v>4</v>
      </c>
      <c r="Q217" s="20" t="s">
        <v>68</v>
      </c>
      <c r="R217" s="25" t="s">
        <v>69</v>
      </c>
      <c r="S217" s="41" t="s">
        <v>137</v>
      </c>
      <c r="T217" s="41"/>
      <c r="U217" s="31" t="s">
        <v>291</v>
      </c>
      <c r="V217" s="25" t="s">
        <v>3</v>
      </c>
      <c r="W217" s="25">
        <v>1</v>
      </c>
      <c r="X217" s="27">
        <v>8000</v>
      </c>
      <c r="Y217" s="1142"/>
      <c r="Z217" s="1143"/>
      <c r="AA217" s="1143"/>
      <c r="AB217" s="1144"/>
      <c r="AC217" s="25"/>
      <c r="AD217" s="25">
        <v>30</v>
      </c>
      <c r="AE217" s="1142"/>
      <c r="AF217" s="1143"/>
      <c r="AG217" s="1143"/>
      <c r="AH217" s="1143"/>
      <c r="AI217" s="1143"/>
      <c r="AJ217" s="1145"/>
      <c r="AK217" s="35">
        <v>8000</v>
      </c>
      <c r="AL217" s="29" t="s">
        <v>73</v>
      </c>
      <c r="AM217" s="29" t="s">
        <v>73</v>
      </c>
      <c r="AN217" s="29" t="s">
        <v>73</v>
      </c>
      <c r="AO217" s="29" t="s">
        <v>73</v>
      </c>
      <c r="AP217" s="29" t="s">
        <v>73</v>
      </c>
      <c r="AQ217" s="30">
        <v>8000</v>
      </c>
      <c r="AR217" s="29" t="s">
        <v>73</v>
      </c>
      <c r="AS217" s="29" t="s">
        <v>73</v>
      </c>
      <c r="AT217" s="29" t="s">
        <v>73</v>
      </c>
      <c r="AU217" s="29" t="s">
        <v>73</v>
      </c>
      <c r="AV217" s="29" t="s">
        <v>73</v>
      </c>
      <c r="AW217" s="29" t="s">
        <v>73</v>
      </c>
      <c r="AX217" s="30">
        <v>8000</v>
      </c>
      <c r="AY217" s="30" t="s">
        <v>6</v>
      </c>
      <c r="AZ217" s="2" t="s">
        <v>74</v>
      </c>
      <c r="BA217" s="2"/>
    </row>
    <row r="218" spans="1:53" ht="51" x14ac:dyDescent="0.25">
      <c r="A218" s="19">
        <v>2026</v>
      </c>
      <c r="B218" s="20">
        <v>479</v>
      </c>
      <c r="C218" s="21" t="s">
        <v>64</v>
      </c>
      <c r="D218" s="21" t="s">
        <v>65</v>
      </c>
      <c r="E218" s="20">
        <v>125</v>
      </c>
      <c r="F218" s="20">
        <v>3000654</v>
      </c>
      <c r="G218" s="20">
        <v>5005023</v>
      </c>
      <c r="H218" s="20">
        <v>3</v>
      </c>
      <c r="I218" s="20">
        <v>12</v>
      </c>
      <c r="J218" s="20">
        <v>24</v>
      </c>
      <c r="K218" s="20">
        <v>135560</v>
      </c>
      <c r="L218" s="21" t="s">
        <v>98</v>
      </c>
      <c r="M218" s="33" t="s">
        <v>99</v>
      </c>
      <c r="N218" s="19">
        <v>94</v>
      </c>
      <c r="O218" s="2"/>
      <c r="P218" s="2" t="s">
        <v>4</v>
      </c>
      <c r="Q218" s="20" t="s">
        <v>68</v>
      </c>
      <c r="R218" s="25" t="s">
        <v>69</v>
      </c>
      <c r="S218" s="41" t="s">
        <v>137</v>
      </c>
      <c r="T218" s="41"/>
      <c r="U218" s="31" t="s">
        <v>292</v>
      </c>
      <c r="V218" s="25" t="s">
        <v>3</v>
      </c>
      <c r="W218" s="25">
        <v>1</v>
      </c>
      <c r="X218" s="27">
        <v>8000</v>
      </c>
      <c r="Y218" s="1142"/>
      <c r="Z218" s="1143"/>
      <c r="AA218" s="1143"/>
      <c r="AB218" s="1144"/>
      <c r="AC218" s="25">
        <v>30</v>
      </c>
      <c r="AD218" s="25"/>
      <c r="AE218" s="1142"/>
      <c r="AF218" s="1143"/>
      <c r="AG218" s="1143"/>
      <c r="AH218" s="1143"/>
      <c r="AI218" s="1143"/>
      <c r="AJ218" s="1145"/>
      <c r="AK218" s="35">
        <v>8000</v>
      </c>
      <c r="AL218" s="29" t="s">
        <v>73</v>
      </c>
      <c r="AM218" s="29" t="s">
        <v>73</v>
      </c>
      <c r="AN218" s="29" t="s">
        <v>73</v>
      </c>
      <c r="AO218" s="29" t="s">
        <v>73</v>
      </c>
      <c r="AP218" s="30">
        <v>8000</v>
      </c>
      <c r="AQ218" s="29" t="s">
        <v>73</v>
      </c>
      <c r="AR218" s="29" t="s">
        <v>73</v>
      </c>
      <c r="AS218" s="29" t="s">
        <v>73</v>
      </c>
      <c r="AT218" s="29" t="s">
        <v>73</v>
      </c>
      <c r="AU218" s="29" t="s">
        <v>73</v>
      </c>
      <c r="AV218" s="29" t="s">
        <v>73</v>
      </c>
      <c r="AW218" s="29" t="s">
        <v>73</v>
      </c>
      <c r="AX218" s="30">
        <v>8000</v>
      </c>
      <c r="AY218" s="18" t="s">
        <v>6</v>
      </c>
      <c r="AZ218" s="2" t="s">
        <v>74</v>
      </c>
      <c r="BA218" s="2"/>
    </row>
    <row r="219" spans="1:53" ht="51" x14ac:dyDescent="0.25">
      <c r="A219" s="19">
        <v>2026</v>
      </c>
      <c r="B219" s="20">
        <v>479</v>
      </c>
      <c r="C219" s="21" t="s">
        <v>64</v>
      </c>
      <c r="D219" s="21" t="s">
        <v>65</v>
      </c>
      <c r="E219" s="20">
        <v>125</v>
      </c>
      <c r="F219" s="20">
        <v>3000654</v>
      </c>
      <c r="G219" s="20">
        <v>5005023</v>
      </c>
      <c r="H219" s="20">
        <v>3</v>
      </c>
      <c r="I219" s="20">
        <v>12</v>
      </c>
      <c r="J219" s="20">
        <v>24</v>
      </c>
      <c r="K219" s="20">
        <v>135560</v>
      </c>
      <c r="L219" s="21" t="s">
        <v>220</v>
      </c>
      <c r="M219" s="33" t="s">
        <v>221</v>
      </c>
      <c r="N219" s="19">
        <v>97</v>
      </c>
      <c r="O219" s="2"/>
      <c r="P219" s="2" t="s">
        <v>4</v>
      </c>
      <c r="Q219" s="20" t="s">
        <v>68</v>
      </c>
      <c r="R219" s="25" t="s">
        <v>69</v>
      </c>
      <c r="S219" s="41" t="s">
        <v>137</v>
      </c>
      <c r="T219" s="41"/>
      <c r="U219" s="31" t="s">
        <v>292</v>
      </c>
      <c r="V219" s="25" t="s">
        <v>3</v>
      </c>
      <c r="W219" s="25">
        <v>1</v>
      </c>
      <c r="X219" s="27">
        <v>8000</v>
      </c>
      <c r="Y219" s="1142"/>
      <c r="Z219" s="1143"/>
      <c r="AA219" s="1143"/>
      <c r="AB219" s="1144"/>
      <c r="AC219" s="25"/>
      <c r="AD219" s="25">
        <v>30</v>
      </c>
      <c r="AE219" s="1142"/>
      <c r="AF219" s="1143"/>
      <c r="AG219" s="1143"/>
      <c r="AH219" s="1143"/>
      <c r="AI219" s="1143"/>
      <c r="AJ219" s="1145"/>
      <c r="AK219" s="35">
        <v>8000</v>
      </c>
      <c r="AL219" s="29" t="s">
        <v>73</v>
      </c>
      <c r="AM219" s="29" t="s">
        <v>73</v>
      </c>
      <c r="AN219" s="29" t="s">
        <v>73</v>
      </c>
      <c r="AO219" s="29" t="s">
        <v>73</v>
      </c>
      <c r="AP219" s="29" t="s">
        <v>73</v>
      </c>
      <c r="AQ219" s="30">
        <v>8000</v>
      </c>
      <c r="AR219" s="29" t="s">
        <v>73</v>
      </c>
      <c r="AS219" s="29" t="s">
        <v>73</v>
      </c>
      <c r="AT219" s="29" t="s">
        <v>73</v>
      </c>
      <c r="AU219" s="29" t="s">
        <v>73</v>
      </c>
      <c r="AV219" s="29" t="s">
        <v>73</v>
      </c>
      <c r="AW219" s="29" t="s">
        <v>73</v>
      </c>
      <c r="AX219" s="30">
        <v>8000</v>
      </c>
      <c r="AY219" s="30" t="s">
        <v>6</v>
      </c>
      <c r="AZ219" s="2" t="s">
        <v>74</v>
      </c>
      <c r="BA219" s="2"/>
    </row>
    <row r="220" spans="1:53" ht="51" x14ac:dyDescent="0.25">
      <c r="A220" s="19">
        <v>2026</v>
      </c>
      <c r="B220" s="20">
        <v>479</v>
      </c>
      <c r="C220" s="21" t="s">
        <v>64</v>
      </c>
      <c r="D220" s="21" t="s">
        <v>65</v>
      </c>
      <c r="E220" s="20">
        <v>125</v>
      </c>
      <c r="F220" s="20">
        <v>3000654</v>
      </c>
      <c r="G220" s="20">
        <v>5005023</v>
      </c>
      <c r="H220" s="20">
        <v>3</v>
      </c>
      <c r="I220" s="20">
        <v>12</v>
      </c>
      <c r="J220" s="20">
        <v>24</v>
      </c>
      <c r="K220" s="20">
        <v>135560</v>
      </c>
      <c r="L220" s="21" t="s">
        <v>98</v>
      </c>
      <c r="M220" s="33" t="s">
        <v>99</v>
      </c>
      <c r="N220" s="19">
        <v>94</v>
      </c>
      <c r="O220" s="2"/>
      <c r="P220" s="2" t="s">
        <v>4</v>
      </c>
      <c r="Q220" s="20" t="s">
        <v>68</v>
      </c>
      <c r="R220" s="25" t="s">
        <v>69</v>
      </c>
      <c r="S220" s="41" t="s">
        <v>137</v>
      </c>
      <c r="T220" s="41"/>
      <c r="U220" s="31" t="s">
        <v>293</v>
      </c>
      <c r="V220" s="25" t="s">
        <v>3</v>
      </c>
      <c r="W220" s="25">
        <v>1</v>
      </c>
      <c r="X220" s="27">
        <v>8000</v>
      </c>
      <c r="Y220" s="1142"/>
      <c r="Z220" s="1143"/>
      <c r="AA220" s="1143"/>
      <c r="AB220" s="1144"/>
      <c r="AC220" s="25">
        <v>30</v>
      </c>
      <c r="AD220" s="25"/>
      <c r="AE220" s="1142"/>
      <c r="AF220" s="1143"/>
      <c r="AG220" s="1143"/>
      <c r="AH220" s="1143"/>
      <c r="AI220" s="1143"/>
      <c r="AJ220" s="1145"/>
      <c r="AK220" s="35">
        <v>8000</v>
      </c>
      <c r="AL220" s="29" t="s">
        <v>73</v>
      </c>
      <c r="AM220" s="29" t="s">
        <v>73</v>
      </c>
      <c r="AN220" s="29" t="s">
        <v>73</v>
      </c>
      <c r="AO220" s="29" t="s">
        <v>73</v>
      </c>
      <c r="AP220" s="30">
        <v>8000</v>
      </c>
      <c r="AQ220" s="29" t="s">
        <v>73</v>
      </c>
      <c r="AR220" s="29" t="s">
        <v>73</v>
      </c>
      <c r="AS220" s="29" t="s">
        <v>73</v>
      </c>
      <c r="AT220" s="29" t="s">
        <v>73</v>
      </c>
      <c r="AU220" s="29" t="s">
        <v>73</v>
      </c>
      <c r="AV220" s="29" t="s">
        <v>73</v>
      </c>
      <c r="AW220" s="29" t="s">
        <v>73</v>
      </c>
      <c r="AX220" s="30">
        <v>8000</v>
      </c>
      <c r="AY220" s="18" t="s">
        <v>6</v>
      </c>
      <c r="AZ220" s="2" t="s">
        <v>74</v>
      </c>
      <c r="BA220" s="2"/>
    </row>
    <row r="221" spans="1:53" ht="51" x14ac:dyDescent="0.25">
      <c r="A221" s="19">
        <v>2026</v>
      </c>
      <c r="B221" s="20">
        <v>479</v>
      </c>
      <c r="C221" s="21" t="s">
        <v>64</v>
      </c>
      <c r="D221" s="21" t="s">
        <v>65</v>
      </c>
      <c r="E221" s="20">
        <v>125</v>
      </c>
      <c r="F221" s="20">
        <v>3000654</v>
      </c>
      <c r="G221" s="20">
        <v>5005023</v>
      </c>
      <c r="H221" s="20">
        <v>3</v>
      </c>
      <c r="I221" s="20">
        <v>12</v>
      </c>
      <c r="J221" s="20">
        <v>24</v>
      </c>
      <c r="K221" s="20">
        <v>135560</v>
      </c>
      <c r="L221" s="21" t="s">
        <v>220</v>
      </c>
      <c r="M221" s="33" t="s">
        <v>221</v>
      </c>
      <c r="N221" s="19">
        <v>97</v>
      </c>
      <c r="O221" s="2"/>
      <c r="P221" s="2" t="s">
        <v>4</v>
      </c>
      <c r="Q221" s="20" t="s">
        <v>68</v>
      </c>
      <c r="R221" s="25" t="s">
        <v>69</v>
      </c>
      <c r="S221" s="41" t="s">
        <v>137</v>
      </c>
      <c r="T221" s="41"/>
      <c r="U221" s="31" t="s">
        <v>293</v>
      </c>
      <c r="V221" s="25" t="s">
        <v>3</v>
      </c>
      <c r="W221" s="25">
        <v>1</v>
      </c>
      <c r="X221" s="27">
        <v>8000</v>
      </c>
      <c r="Y221" s="1142"/>
      <c r="Z221" s="1143"/>
      <c r="AA221" s="1143"/>
      <c r="AB221" s="1144"/>
      <c r="AC221" s="25"/>
      <c r="AD221" s="25">
        <v>30</v>
      </c>
      <c r="AE221" s="1142"/>
      <c r="AF221" s="1143"/>
      <c r="AG221" s="1143"/>
      <c r="AH221" s="1143"/>
      <c r="AI221" s="1143"/>
      <c r="AJ221" s="1145"/>
      <c r="AK221" s="35">
        <v>8000</v>
      </c>
      <c r="AL221" s="29" t="s">
        <v>73</v>
      </c>
      <c r="AM221" s="29" t="s">
        <v>73</v>
      </c>
      <c r="AN221" s="29" t="s">
        <v>73</v>
      </c>
      <c r="AO221" s="29" t="s">
        <v>73</v>
      </c>
      <c r="AP221" s="29" t="s">
        <v>73</v>
      </c>
      <c r="AQ221" s="30">
        <v>8000</v>
      </c>
      <c r="AR221" s="29" t="s">
        <v>73</v>
      </c>
      <c r="AS221" s="29" t="s">
        <v>73</v>
      </c>
      <c r="AT221" s="29" t="s">
        <v>73</v>
      </c>
      <c r="AU221" s="29" t="s">
        <v>73</v>
      </c>
      <c r="AV221" s="29" t="s">
        <v>73</v>
      </c>
      <c r="AW221" s="29" t="s">
        <v>73</v>
      </c>
      <c r="AX221" s="30">
        <v>8000</v>
      </c>
      <c r="AY221" s="30" t="s">
        <v>6</v>
      </c>
      <c r="AZ221" s="2" t="s">
        <v>74</v>
      </c>
      <c r="BA221" s="2"/>
    </row>
    <row r="222" spans="1:53" ht="51" x14ac:dyDescent="0.25">
      <c r="A222" s="19">
        <v>2026</v>
      </c>
      <c r="B222" s="20">
        <v>479</v>
      </c>
      <c r="C222" s="21" t="s">
        <v>64</v>
      </c>
      <c r="D222" s="21" t="s">
        <v>65</v>
      </c>
      <c r="E222" s="20">
        <v>125</v>
      </c>
      <c r="F222" s="20">
        <v>3000654</v>
      </c>
      <c r="G222" s="20">
        <v>5005023</v>
      </c>
      <c r="H222" s="20">
        <v>3</v>
      </c>
      <c r="I222" s="20">
        <v>12</v>
      </c>
      <c r="J222" s="20">
        <v>24</v>
      </c>
      <c r="K222" s="20">
        <v>135560</v>
      </c>
      <c r="L222" s="21" t="s">
        <v>220</v>
      </c>
      <c r="M222" s="33" t="s">
        <v>221</v>
      </c>
      <c r="N222" s="19">
        <v>97</v>
      </c>
      <c r="O222" s="2"/>
      <c r="P222" s="2" t="s">
        <v>4</v>
      </c>
      <c r="Q222" s="20" t="s">
        <v>68</v>
      </c>
      <c r="R222" s="25" t="s">
        <v>69</v>
      </c>
      <c r="S222" s="41" t="s">
        <v>137</v>
      </c>
      <c r="T222" s="41"/>
      <c r="U222" s="31" t="s">
        <v>294</v>
      </c>
      <c r="V222" s="25" t="s">
        <v>3</v>
      </c>
      <c r="W222" s="25">
        <v>1</v>
      </c>
      <c r="X222" s="27">
        <v>8000</v>
      </c>
      <c r="Y222" s="1142"/>
      <c r="Z222" s="1143"/>
      <c r="AA222" s="1143"/>
      <c r="AB222" s="1144"/>
      <c r="AC222" s="25">
        <v>30</v>
      </c>
      <c r="AD222" s="25">
        <v>30</v>
      </c>
      <c r="AE222" s="1142"/>
      <c r="AF222" s="1143"/>
      <c r="AG222" s="1143"/>
      <c r="AH222" s="1143"/>
      <c r="AI222" s="1143"/>
      <c r="AJ222" s="1145"/>
      <c r="AK222" s="35">
        <v>16000</v>
      </c>
      <c r="AL222" s="29" t="s">
        <v>73</v>
      </c>
      <c r="AM222" s="29" t="s">
        <v>73</v>
      </c>
      <c r="AN222" s="29" t="s">
        <v>73</v>
      </c>
      <c r="AO222" s="29" t="s">
        <v>73</v>
      </c>
      <c r="AP222" s="30">
        <v>8000</v>
      </c>
      <c r="AQ222" s="30">
        <v>8000</v>
      </c>
      <c r="AR222" s="29" t="s">
        <v>73</v>
      </c>
      <c r="AS222" s="29" t="s">
        <v>73</v>
      </c>
      <c r="AT222" s="29" t="s">
        <v>73</v>
      </c>
      <c r="AU222" s="29" t="s">
        <v>73</v>
      </c>
      <c r="AV222" s="29" t="s">
        <v>73</v>
      </c>
      <c r="AW222" s="29" t="s">
        <v>73</v>
      </c>
      <c r="AX222" s="30">
        <v>16000</v>
      </c>
      <c r="AY222" s="30" t="s">
        <v>6</v>
      </c>
      <c r="AZ222" s="2" t="s">
        <v>74</v>
      </c>
      <c r="BA222" s="2"/>
    </row>
    <row r="223" spans="1:53" ht="51" x14ac:dyDescent="0.25">
      <c r="A223" s="19">
        <v>2026</v>
      </c>
      <c r="B223" s="20">
        <v>479</v>
      </c>
      <c r="C223" s="21" t="s">
        <v>64</v>
      </c>
      <c r="D223" s="21" t="s">
        <v>65</v>
      </c>
      <c r="E223" s="20">
        <v>125</v>
      </c>
      <c r="F223" s="20">
        <v>3000654</v>
      </c>
      <c r="G223" s="20">
        <v>5005023</v>
      </c>
      <c r="H223" s="20">
        <v>3</v>
      </c>
      <c r="I223" s="20">
        <v>12</v>
      </c>
      <c r="J223" s="20">
        <v>24</v>
      </c>
      <c r="K223" s="20">
        <v>135560</v>
      </c>
      <c r="L223" s="21" t="s">
        <v>220</v>
      </c>
      <c r="M223" s="33" t="s">
        <v>221</v>
      </c>
      <c r="N223" s="19">
        <v>97</v>
      </c>
      <c r="O223" s="2"/>
      <c r="P223" s="2" t="s">
        <v>4</v>
      </c>
      <c r="Q223" s="20" t="s">
        <v>68</v>
      </c>
      <c r="R223" s="25" t="s">
        <v>69</v>
      </c>
      <c r="S223" s="41" t="s">
        <v>137</v>
      </c>
      <c r="T223" s="41"/>
      <c r="U223" s="31" t="s">
        <v>295</v>
      </c>
      <c r="V223" s="25" t="s">
        <v>3</v>
      </c>
      <c r="W223" s="25">
        <v>1</v>
      </c>
      <c r="X223" s="27">
        <v>8000</v>
      </c>
      <c r="Y223" s="1142"/>
      <c r="Z223" s="1143"/>
      <c r="AA223" s="1143"/>
      <c r="AB223" s="1144"/>
      <c r="AC223" s="25">
        <v>30</v>
      </c>
      <c r="AD223" s="25">
        <v>30</v>
      </c>
      <c r="AE223" s="1142"/>
      <c r="AF223" s="1143"/>
      <c r="AG223" s="1143"/>
      <c r="AH223" s="1143"/>
      <c r="AI223" s="1143"/>
      <c r="AJ223" s="1145"/>
      <c r="AK223" s="35">
        <v>16000</v>
      </c>
      <c r="AL223" s="29" t="s">
        <v>73</v>
      </c>
      <c r="AM223" s="29" t="s">
        <v>73</v>
      </c>
      <c r="AN223" s="29" t="s">
        <v>73</v>
      </c>
      <c r="AO223" s="29" t="s">
        <v>73</v>
      </c>
      <c r="AP223" s="30">
        <v>8000</v>
      </c>
      <c r="AQ223" s="30">
        <v>8000</v>
      </c>
      <c r="AR223" s="29" t="s">
        <v>73</v>
      </c>
      <c r="AS223" s="29" t="s">
        <v>73</v>
      </c>
      <c r="AT223" s="29" t="s">
        <v>73</v>
      </c>
      <c r="AU223" s="29" t="s">
        <v>73</v>
      </c>
      <c r="AV223" s="29" t="s">
        <v>73</v>
      </c>
      <c r="AW223" s="29" t="s">
        <v>73</v>
      </c>
      <c r="AX223" s="30">
        <v>16000</v>
      </c>
      <c r="AY223" s="30" t="s">
        <v>6</v>
      </c>
      <c r="AZ223" s="2" t="s">
        <v>74</v>
      </c>
      <c r="BA223" s="2"/>
    </row>
    <row r="224" spans="1:53" ht="51" x14ac:dyDescent="0.25">
      <c r="A224" s="19">
        <v>2026</v>
      </c>
      <c r="B224" s="20">
        <v>479</v>
      </c>
      <c r="C224" s="21" t="s">
        <v>64</v>
      </c>
      <c r="D224" s="21" t="s">
        <v>65</v>
      </c>
      <c r="E224" s="20">
        <v>125</v>
      </c>
      <c r="F224" s="20">
        <v>3000654</v>
      </c>
      <c r="G224" s="20">
        <v>5005023</v>
      </c>
      <c r="H224" s="20">
        <v>3</v>
      </c>
      <c r="I224" s="20">
        <v>12</v>
      </c>
      <c r="J224" s="20">
        <v>24</v>
      </c>
      <c r="K224" s="20">
        <v>135560</v>
      </c>
      <c r="L224" s="21" t="s">
        <v>220</v>
      </c>
      <c r="M224" s="33" t="s">
        <v>221</v>
      </c>
      <c r="N224" s="19">
        <v>97</v>
      </c>
      <c r="O224" s="2"/>
      <c r="P224" s="2" t="s">
        <v>4</v>
      </c>
      <c r="Q224" s="20" t="s">
        <v>68</v>
      </c>
      <c r="R224" s="25" t="s">
        <v>69</v>
      </c>
      <c r="S224" s="41" t="s">
        <v>137</v>
      </c>
      <c r="T224" s="41"/>
      <c r="U224" s="31" t="s">
        <v>296</v>
      </c>
      <c r="V224" s="25" t="s">
        <v>3</v>
      </c>
      <c r="W224" s="25">
        <v>1</v>
      </c>
      <c r="X224" s="27">
        <v>8000</v>
      </c>
      <c r="Y224" s="1142"/>
      <c r="Z224" s="1143"/>
      <c r="AA224" s="1143"/>
      <c r="AB224" s="1144"/>
      <c r="AC224" s="25">
        <v>30</v>
      </c>
      <c r="AD224" s="25">
        <v>30</v>
      </c>
      <c r="AE224" s="1142"/>
      <c r="AF224" s="1143"/>
      <c r="AG224" s="1143"/>
      <c r="AH224" s="1143"/>
      <c r="AI224" s="1143"/>
      <c r="AJ224" s="1145"/>
      <c r="AK224" s="35">
        <v>16000</v>
      </c>
      <c r="AL224" s="29" t="s">
        <v>73</v>
      </c>
      <c r="AM224" s="29" t="s">
        <v>73</v>
      </c>
      <c r="AN224" s="29" t="s">
        <v>73</v>
      </c>
      <c r="AO224" s="29" t="s">
        <v>73</v>
      </c>
      <c r="AP224" s="30">
        <v>8000</v>
      </c>
      <c r="AQ224" s="30">
        <v>8000</v>
      </c>
      <c r="AR224" s="29" t="s">
        <v>73</v>
      </c>
      <c r="AS224" s="29" t="s">
        <v>73</v>
      </c>
      <c r="AT224" s="29" t="s">
        <v>73</v>
      </c>
      <c r="AU224" s="29" t="s">
        <v>73</v>
      </c>
      <c r="AV224" s="29" t="s">
        <v>73</v>
      </c>
      <c r="AW224" s="29" t="s">
        <v>73</v>
      </c>
      <c r="AX224" s="30">
        <v>16000</v>
      </c>
      <c r="AY224" s="30" t="s">
        <v>6</v>
      </c>
      <c r="AZ224" s="2" t="s">
        <v>74</v>
      </c>
      <c r="BA224" s="2"/>
    </row>
    <row r="225" spans="1:53" ht="51" x14ac:dyDescent="0.25">
      <c r="A225" s="19">
        <v>2026</v>
      </c>
      <c r="B225" s="20">
        <v>479</v>
      </c>
      <c r="C225" s="21" t="s">
        <v>64</v>
      </c>
      <c r="D225" s="21" t="s">
        <v>65</v>
      </c>
      <c r="E225" s="20">
        <v>125</v>
      </c>
      <c r="F225" s="20">
        <v>3000654</v>
      </c>
      <c r="G225" s="20">
        <v>5005023</v>
      </c>
      <c r="H225" s="20">
        <v>3</v>
      </c>
      <c r="I225" s="20">
        <v>12</v>
      </c>
      <c r="J225" s="20">
        <v>24</v>
      </c>
      <c r="K225" s="20">
        <v>135560</v>
      </c>
      <c r="L225" s="21" t="s">
        <v>220</v>
      </c>
      <c r="M225" s="33" t="s">
        <v>221</v>
      </c>
      <c r="N225" s="19">
        <v>97</v>
      </c>
      <c r="O225" s="2"/>
      <c r="P225" s="2" t="s">
        <v>4</v>
      </c>
      <c r="Q225" s="20" t="s">
        <v>68</v>
      </c>
      <c r="R225" s="25" t="s">
        <v>69</v>
      </c>
      <c r="S225" s="41" t="s">
        <v>137</v>
      </c>
      <c r="T225" s="41"/>
      <c r="U225" s="31" t="s">
        <v>297</v>
      </c>
      <c r="V225" s="25" t="s">
        <v>3</v>
      </c>
      <c r="W225" s="25">
        <v>1</v>
      </c>
      <c r="X225" s="27">
        <v>8000</v>
      </c>
      <c r="Y225" s="1142"/>
      <c r="Z225" s="1143"/>
      <c r="AA225" s="1143"/>
      <c r="AB225" s="1144"/>
      <c r="AC225" s="25">
        <v>30</v>
      </c>
      <c r="AD225" s="25">
        <v>30</v>
      </c>
      <c r="AE225" s="1142"/>
      <c r="AF225" s="1143"/>
      <c r="AG225" s="1143"/>
      <c r="AH225" s="1143"/>
      <c r="AI225" s="1143"/>
      <c r="AJ225" s="1145"/>
      <c r="AK225" s="35">
        <v>16000</v>
      </c>
      <c r="AL225" s="29" t="s">
        <v>73</v>
      </c>
      <c r="AM225" s="29" t="s">
        <v>73</v>
      </c>
      <c r="AN225" s="29" t="s">
        <v>73</v>
      </c>
      <c r="AO225" s="29" t="s">
        <v>73</v>
      </c>
      <c r="AP225" s="30">
        <v>8000</v>
      </c>
      <c r="AQ225" s="30">
        <v>8000</v>
      </c>
      <c r="AR225" s="29" t="s">
        <v>73</v>
      </c>
      <c r="AS225" s="29" t="s">
        <v>73</v>
      </c>
      <c r="AT225" s="29" t="s">
        <v>73</v>
      </c>
      <c r="AU225" s="29" t="s">
        <v>73</v>
      </c>
      <c r="AV225" s="29" t="s">
        <v>73</v>
      </c>
      <c r="AW225" s="29" t="s">
        <v>73</v>
      </c>
      <c r="AX225" s="30">
        <v>16000</v>
      </c>
      <c r="AY225" s="30" t="s">
        <v>6</v>
      </c>
      <c r="AZ225" s="2" t="s">
        <v>74</v>
      </c>
      <c r="BA225" s="2"/>
    </row>
    <row r="226" spans="1:53" ht="51" x14ac:dyDescent="0.25">
      <c r="A226" s="19">
        <v>2026</v>
      </c>
      <c r="B226" s="20">
        <v>479</v>
      </c>
      <c r="C226" s="21" t="s">
        <v>64</v>
      </c>
      <c r="D226" s="21" t="s">
        <v>65</v>
      </c>
      <c r="E226" s="20">
        <v>125</v>
      </c>
      <c r="F226" s="20">
        <v>3000654</v>
      </c>
      <c r="G226" s="20">
        <v>5005023</v>
      </c>
      <c r="H226" s="20">
        <v>3</v>
      </c>
      <c r="I226" s="20">
        <v>12</v>
      </c>
      <c r="J226" s="20">
        <v>24</v>
      </c>
      <c r="K226" s="20">
        <v>135560</v>
      </c>
      <c r="L226" s="21" t="s">
        <v>220</v>
      </c>
      <c r="M226" s="33" t="s">
        <v>221</v>
      </c>
      <c r="N226" s="19">
        <v>97</v>
      </c>
      <c r="O226" s="2"/>
      <c r="P226" s="2" t="s">
        <v>4</v>
      </c>
      <c r="Q226" s="20" t="s">
        <v>68</v>
      </c>
      <c r="R226" s="25" t="s">
        <v>69</v>
      </c>
      <c r="S226" s="41" t="s">
        <v>137</v>
      </c>
      <c r="T226" s="41"/>
      <c r="U226" s="31" t="s">
        <v>298</v>
      </c>
      <c r="V226" s="25" t="s">
        <v>3</v>
      </c>
      <c r="W226" s="25">
        <v>1</v>
      </c>
      <c r="X226" s="27">
        <v>8000</v>
      </c>
      <c r="Y226" s="1142"/>
      <c r="Z226" s="1143"/>
      <c r="AA226" s="1143"/>
      <c r="AB226" s="1144"/>
      <c r="AC226" s="25">
        <v>30</v>
      </c>
      <c r="AD226" s="25">
        <v>30</v>
      </c>
      <c r="AE226" s="1142"/>
      <c r="AF226" s="1143"/>
      <c r="AG226" s="1143"/>
      <c r="AH226" s="1143"/>
      <c r="AI226" s="1143"/>
      <c r="AJ226" s="1145"/>
      <c r="AK226" s="35">
        <v>16000</v>
      </c>
      <c r="AL226" s="29" t="s">
        <v>73</v>
      </c>
      <c r="AM226" s="29" t="s">
        <v>73</v>
      </c>
      <c r="AN226" s="29" t="s">
        <v>73</v>
      </c>
      <c r="AO226" s="29" t="s">
        <v>73</v>
      </c>
      <c r="AP226" s="30">
        <v>8000</v>
      </c>
      <c r="AQ226" s="30">
        <v>8000</v>
      </c>
      <c r="AR226" s="29" t="s">
        <v>73</v>
      </c>
      <c r="AS226" s="29" t="s">
        <v>73</v>
      </c>
      <c r="AT226" s="29" t="s">
        <v>73</v>
      </c>
      <c r="AU226" s="29" t="s">
        <v>73</v>
      </c>
      <c r="AV226" s="29" t="s">
        <v>73</v>
      </c>
      <c r="AW226" s="29" t="s">
        <v>73</v>
      </c>
      <c r="AX226" s="30">
        <v>16000</v>
      </c>
      <c r="AY226" s="30" t="s">
        <v>6</v>
      </c>
      <c r="AZ226" s="2" t="s">
        <v>74</v>
      </c>
      <c r="BA226" s="2"/>
    </row>
    <row r="227" spans="1:53" ht="51" x14ac:dyDescent="0.25">
      <c r="A227" s="19">
        <v>2026</v>
      </c>
      <c r="B227" s="20">
        <v>479</v>
      </c>
      <c r="C227" s="21" t="s">
        <v>64</v>
      </c>
      <c r="D227" s="21" t="s">
        <v>65</v>
      </c>
      <c r="E227" s="20">
        <v>125</v>
      </c>
      <c r="F227" s="20">
        <v>3000654</v>
      </c>
      <c r="G227" s="20">
        <v>5005023</v>
      </c>
      <c r="H227" s="20">
        <v>3</v>
      </c>
      <c r="I227" s="20">
        <v>12</v>
      </c>
      <c r="J227" s="20">
        <v>24</v>
      </c>
      <c r="K227" s="20">
        <v>135560</v>
      </c>
      <c r="L227" s="21" t="s">
        <v>220</v>
      </c>
      <c r="M227" s="33" t="s">
        <v>221</v>
      </c>
      <c r="N227" s="19">
        <v>97</v>
      </c>
      <c r="O227" s="2"/>
      <c r="P227" s="2" t="s">
        <v>4</v>
      </c>
      <c r="Q227" s="20" t="s">
        <v>68</v>
      </c>
      <c r="R227" s="25" t="s">
        <v>69</v>
      </c>
      <c r="S227" s="41" t="s">
        <v>137</v>
      </c>
      <c r="T227" s="41"/>
      <c r="U227" s="31" t="s">
        <v>299</v>
      </c>
      <c r="V227" s="25" t="s">
        <v>3</v>
      </c>
      <c r="W227" s="25">
        <v>1</v>
      </c>
      <c r="X227" s="27">
        <v>8000</v>
      </c>
      <c r="Y227" s="1142"/>
      <c r="Z227" s="1143"/>
      <c r="AA227" s="1143"/>
      <c r="AB227" s="1144"/>
      <c r="AC227" s="25">
        <v>30</v>
      </c>
      <c r="AD227" s="25">
        <v>30</v>
      </c>
      <c r="AE227" s="1142"/>
      <c r="AF227" s="1143"/>
      <c r="AG227" s="1143"/>
      <c r="AH227" s="1143"/>
      <c r="AI227" s="1143"/>
      <c r="AJ227" s="1145"/>
      <c r="AK227" s="35">
        <v>16000</v>
      </c>
      <c r="AL227" s="29" t="s">
        <v>73</v>
      </c>
      <c r="AM227" s="29" t="s">
        <v>73</v>
      </c>
      <c r="AN227" s="29" t="s">
        <v>73</v>
      </c>
      <c r="AO227" s="29" t="s">
        <v>73</v>
      </c>
      <c r="AP227" s="30">
        <v>8000</v>
      </c>
      <c r="AQ227" s="30">
        <v>8000</v>
      </c>
      <c r="AR227" s="29" t="s">
        <v>73</v>
      </c>
      <c r="AS227" s="29" t="s">
        <v>73</v>
      </c>
      <c r="AT227" s="29" t="s">
        <v>73</v>
      </c>
      <c r="AU227" s="29" t="s">
        <v>73</v>
      </c>
      <c r="AV227" s="29" t="s">
        <v>73</v>
      </c>
      <c r="AW227" s="29" t="s">
        <v>73</v>
      </c>
      <c r="AX227" s="30">
        <v>16000</v>
      </c>
      <c r="AY227" s="30" t="s">
        <v>6</v>
      </c>
      <c r="AZ227" s="2" t="s">
        <v>74</v>
      </c>
      <c r="BA227" s="2"/>
    </row>
    <row r="228" spans="1:53" ht="51" x14ac:dyDescent="0.25">
      <c r="A228" s="19">
        <v>2026</v>
      </c>
      <c r="B228" s="20">
        <v>479</v>
      </c>
      <c r="C228" s="21" t="s">
        <v>64</v>
      </c>
      <c r="D228" s="21" t="s">
        <v>65</v>
      </c>
      <c r="E228" s="20">
        <v>125</v>
      </c>
      <c r="F228" s="20">
        <v>3000654</v>
      </c>
      <c r="G228" s="20">
        <v>5005023</v>
      </c>
      <c r="H228" s="20">
        <v>3</v>
      </c>
      <c r="I228" s="20">
        <v>12</v>
      </c>
      <c r="J228" s="20">
        <v>24</v>
      </c>
      <c r="K228" s="20">
        <v>135560</v>
      </c>
      <c r="L228" s="21" t="s">
        <v>220</v>
      </c>
      <c r="M228" s="33" t="s">
        <v>221</v>
      </c>
      <c r="N228" s="19">
        <v>97</v>
      </c>
      <c r="O228" s="2"/>
      <c r="P228" s="2" t="s">
        <v>4</v>
      </c>
      <c r="Q228" s="20" t="s">
        <v>68</v>
      </c>
      <c r="R228" s="25" t="s">
        <v>69</v>
      </c>
      <c r="S228" s="41" t="s">
        <v>137</v>
      </c>
      <c r="T228" s="41"/>
      <c r="U228" s="31" t="s">
        <v>300</v>
      </c>
      <c r="V228" s="25" t="s">
        <v>3</v>
      </c>
      <c r="W228" s="25">
        <v>1</v>
      </c>
      <c r="X228" s="27">
        <v>8000</v>
      </c>
      <c r="Y228" s="1142"/>
      <c r="Z228" s="1143"/>
      <c r="AA228" s="1143"/>
      <c r="AB228" s="1144"/>
      <c r="AC228" s="25">
        <v>30</v>
      </c>
      <c r="AD228" s="25">
        <v>30</v>
      </c>
      <c r="AE228" s="1142"/>
      <c r="AF228" s="1143"/>
      <c r="AG228" s="1143"/>
      <c r="AH228" s="1143"/>
      <c r="AI228" s="1143"/>
      <c r="AJ228" s="1145"/>
      <c r="AK228" s="35">
        <v>16000</v>
      </c>
      <c r="AL228" s="29" t="s">
        <v>73</v>
      </c>
      <c r="AM228" s="29" t="s">
        <v>73</v>
      </c>
      <c r="AN228" s="29" t="s">
        <v>73</v>
      </c>
      <c r="AO228" s="29" t="s">
        <v>73</v>
      </c>
      <c r="AP228" s="30">
        <v>8000</v>
      </c>
      <c r="AQ228" s="30">
        <v>8000</v>
      </c>
      <c r="AR228" s="29" t="s">
        <v>73</v>
      </c>
      <c r="AS228" s="29" t="s">
        <v>73</v>
      </c>
      <c r="AT228" s="29" t="s">
        <v>73</v>
      </c>
      <c r="AU228" s="29" t="s">
        <v>73</v>
      </c>
      <c r="AV228" s="29" t="s">
        <v>73</v>
      </c>
      <c r="AW228" s="29" t="s">
        <v>73</v>
      </c>
      <c r="AX228" s="30">
        <v>16000</v>
      </c>
      <c r="AY228" s="30" t="s">
        <v>6</v>
      </c>
      <c r="AZ228" s="2" t="s">
        <v>74</v>
      </c>
      <c r="BA228" s="2"/>
    </row>
    <row r="229" spans="1:53" ht="51" x14ac:dyDescent="0.25">
      <c r="A229" s="19">
        <v>2026</v>
      </c>
      <c r="B229" s="20">
        <v>479</v>
      </c>
      <c r="C229" s="21" t="s">
        <v>64</v>
      </c>
      <c r="D229" s="21" t="s">
        <v>65</v>
      </c>
      <c r="E229" s="20">
        <v>125</v>
      </c>
      <c r="F229" s="20">
        <v>3000654</v>
      </c>
      <c r="G229" s="20">
        <v>5005023</v>
      </c>
      <c r="H229" s="20">
        <v>3</v>
      </c>
      <c r="I229" s="20">
        <v>12</v>
      </c>
      <c r="J229" s="20">
        <v>24</v>
      </c>
      <c r="K229" s="20">
        <v>135560</v>
      </c>
      <c r="L229" s="21" t="s">
        <v>98</v>
      </c>
      <c r="M229" s="33" t="s">
        <v>99</v>
      </c>
      <c r="N229" s="19">
        <v>94</v>
      </c>
      <c r="O229" s="2"/>
      <c r="P229" s="2" t="s">
        <v>4</v>
      </c>
      <c r="Q229" s="20" t="s">
        <v>68</v>
      </c>
      <c r="R229" s="25" t="s">
        <v>69</v>
      </c>
      <c r="S229" s="41" t="s">
        <v>137</v>
      </c>
      <c r="T229" s="41"/>
      <c r="U229" s="31" t="s">
        <v>301</v>
      </c>
      <c r="V229" s="25" t="s">
        <v>3</v>
      </c>
      <c r="W229" s="25">
        <v>1</v>
      </c>
      <c r="X229" s="27">
        <v>8000</v>
      </c>
      <c r="Y229" s="1142"/>
      <c r="Z229" s="1143"/>
      <c r="AA229" s="1143"/>
      <c r="AB229" s="1144"/>
      <c r="AC229" s="25">
        <v>30</v>
      </c>
      <c r="AD229" s="25"/>
      <c r="AE229" s="1142"/>
      <c r="AF229" s="1143"/>
      <c r="AG229" s="1143"/>
      <c r="AH229" s="1143"/>
      <c r="AI229" s="1143"/>
      <c r="AJ229" s="1145"/>
      <c r="AK229" s="35">
        <v>8000</v>
      </c>
      <c r="AL229" s="29" t="s">
        <v>73</v>
      </c>
      <c r="AM229" s="29" t="s">
        <v>73</v>
      </c>
      <c r="AN229" s="29" t="s">
        <v>73</v>
      </c>
      <c r="AO229" s="29" t="s">
        <v>73</v>
      </c>
      <c r="AP229" s="30">
        <v>8000</v>
      </c>
      <c r="AQ229" s="29" t="s">
        <v>73</v>
      </c>
      <c r="AR229" s="29" t="s">
        <v>73</v>
      </c>
      <c r="AS229" s="29" t="s">
        <v>73</v>
      </c>
      <c r="AT229" s="29" t="s">
        <v>73</v>
      </c>
      <c r="AU229" s="29" t="s">
        <v>73</v>
      </c>
      <c r="AV229" s="29" t="s">
        <v>73</v>
      </c>
      <c r="AW229" s="29" t="s">
        <v>73</v>
      </c>
      <c r="AX229" s="30">
        <v>8000</v>
      </c>
      <c r="AY229" s="18" t="s">
        <v>6</v>
      </c>
      <c r="AZ229" s="2" t="s">
        <v>74</v>
      </c>
      <c r="BA229" s="2"/>
    </row>
    <row r="230" spans="1:53" ht="51" x14ac:dyDescent="0.25">
      <c r="A230" s="19">
        <v>2026</v>
      </c>
      <c r="B230" s="20">
        <v>479</v>
      </c>
      <c r="C230" s="21" t="s">
        <v>64</v>
      </c>
      <c r="D230" s="21" t="s">
        <v>65</v>
      </c>
      <c r="E230" s="20">
        <v>125</v>
      </c>
      <c r="F230" s="20">
        <v>3000654</v>
      </c>
      <c r="G230" s="20">
        <v>5005023</v>
      </c>
      <c r="H230" s="20">
        <v>3</v>
      </c>
      <c r="I230" s="20">
        <v>12</v>
      </c>
      <c r="J230" s="20">
        <v>24</v>
      </c>
      <c r="K230" s="20">
        <v>135560</v>
      </c>
      <c r="L230" s="21" t="s">
        <v>220</v>
      </c>
      <c r="M230" s="33" t="s">
        <v>221</v>
      </c>
      <c r="N230" s="19">
        <v>97</v>
      </c>
      <c r="O230" s="2"/>
      <c r="P230" s="2" t="s">
        <v>4</v>
      </c>
      <c r="Q230" s="20" t="s">
        <v>68</v>
      </c>
      <c r="R230" s="25" t="s">
        <v>69</v>
      </c>
      <c r="S230" s="41" t="s">
        <v>137</v>
      </c>
      <c r="T230" s="41"/>
      <c r="U230" s="31" t="s">
        <v>301</v>
      </c>
      <c r="V230" s="25" t="s">
        <v>3</v>
      </c>
      <c r="W230" s="25">
        <v>1</v>
      </c>
      <c r="X230" s="27">
        <v>8000</v>
      </c>
      <c r="Y230" s="1142"/>
      <c r="Z230" s="1143"/>
      <c r="AA230" s="1143"/>
      <c r="AB230" s="1144"/>
      <c r="AC230" s="25"/>
      <c r="AD230" s="25">
        <v>30</v>
      </c>
      <c r="AE230" s="1142"/>
      <c r="AF230" s="1143"/>
      <c r="AG230" s="1143"/>
      <c r="AH230" s="1143"/>
      <c r="AI230" s="1143"/>
      <c r="AJ230" s="1145"/>
      <c r="AK230" s="35">
        <v>8000</v>
      </c>
      <c r="AL230" s="29" t="s">
        <v>73</v>
      </c>
      <c r="AM230" s="29" t="s">
        <v>73</v>
      </c>
      <c r="AN230" s="29" t="s">
        <v>73</v>
      </c>
      <c r="AO230" s="29" t="s">
        <v>73</v>
      </c>
      <c r="AP230" s="29" t="s">
        <v>73</v>
      </c>
      <c r="AQ230" s="30">
        <v>8000</v>
      </c>
      <c r="AR230" s="29" t="s">
        <v>73</v>
      </c>
      <c r="AS230" s="29" t="s">
        <v>73</v>
      </c>
      <c r="AT230" s="29" t="s">
        <v>73</v>
      </c>
      <c r="AU230" s="29" t="s">
        <v>73</v>
      </c>
      <c r="AV230" s="29" t="s">
        <v>73</v>
      </c>
      <c r="AW230" s="29" t="s">
        <v>73</v>
      </c>
      <c r="AX230" s="30">
        <v>8000</v>
      </c>
      <c r="AY230" s="30" t="s">
        <v>6</v>
      </c>
      <c r="AZ230" s="2" t="s">
        <v>74</v>
      </c>
      <c r="BA230" s="2"/>
    </row>
    <row r="231" spans="1:53" ht="51" x14ac:dyDescent="0.25">
      <c r="A231" s="19">
        <v>2026</v>
      </c>
      <c r="B231" s="20">
        <v>479</v>
      </c>
      <c r="C231" s="21" t="s">
        <v>64</v>
      </c>
      <c r="D231" s="21" t="s">
        <v>65</v>
      </c>
      <c r="E231" s="20">
        <v>125</v>
      </c>
      <c r="F231" s="20">
        <v>3000654</v>
      </c>
      <c r="G231" s="20">
        <v>5005023</v>
      </c>
      <c r="H231" s="20">
        <v>3</v>
      </c>
      <c r="I231" s="20">
        <v>12</v>
      </c>
      <c r="J231" s="20">
        <v>24</v>
      </c>
      <c r="K231" s="20">
        <v>135560</v>
      </c>
      <c r="L231" s="21" t="s">
        <v>98</v>
      </c>
      <c r="M231" s="33" t="s">
        <v>99</v>
      </c>
      <c r="N231" s="19">
        <v>94</v>
      </c>
      <c r="O231" s="2"/>
      <c r="P231" s="2" t="s">
        <v>4</v>
      </c>
      <c r="Q231" s="20" t="s">
        <v>68</v>
      </c>
      <c r="R231" s="25" t="s">
        <v>69</v>
      </c>
      <c r="S231" s="41" t="s">
        <v>137</v>
      </c>
      <c r="T231" s="41"/>
      <c r="U231" s="31" t="s">
        <v>302</v>
      </c>
      <c r="V231" s="25" t="s">
        <v>3</v>
      </c>
      <c r="W231" s="25">
        <v>1</v>
      </c>
      <c r="X231" s="27">
        <v>8000</v>
      </c>
      <c r="Y231" s="1142"/>
      <c r="Z231" s="1143"/>
      <c r="AA231" s="1143"/>
      <c r="AB231" s="1144"/>
      <c r="AC231" s="25">
        <v>30</v>
      </c>
      <c r="AD231" s="25"/>
      <c r="AE231" s="1142"/>
      <c r="AF231" s="1143"/>
      <c r="AG231" s="1143"/>
      <c r="AH231" s="1143"/>
      <c r="AI231" s="1143"/>
      <c r="AJ231" s="1145"/>
      <c r="AK231" s="35">
        <v>8000</v>
      </c>
      <c r="AL231" s="29" t="s">
        <v>73</v>
      </c>
      <c r="AM231" s="29" t="s">
        <v>73</v>
      </c>
      <c r="AN231" s="29" t="s">
        <v>73</v>
      </c>
      <c r="AO231" s="29" t="s">
        <v>73</v>
      </c>
      <c r="AP231" s="30">
        <v>8000</v>
      </c>
      <c r="AQ231" s="29" t="s">
        <v>73</v>
      </c>
      <c r="AR231" s="29" t="s">
        <v>73</v>
      </c>
      <c r="AS231" s="29" t="s">
        <v>73</v>
      </c>
      <c r="AT231" s="29" t="s">
        <v>73</v>
      </c>
      <c r="AU231" s="29" t="s">
        <v>73</v>
      </c>
      <c r="AV231" s="29" t="s">
        <v>73</v>
      </c>
      <c r="AW231" s="29" t="s">
        <v>73</v>
      </c>
      <c r="AX231" s="30">
        <v>8000</v>
      </c>
      <c r="AY231" s="18" t="s">
        <v>6</v>
      </c>
      <c r="AZ231" s="2" t="s">
        <v>74</v>
      </c>
      <c r="BA231" s="2"/>
    </row>
    <row r="232" spans="1:53" ht="51" x14ac:dyDescent="0.25">
      <c r="A232" s="19">
        <v>2026</v>
      </c>
      <c r="B232" s="20">
        <v>479</v>
      </c>
      <c r="C232" s="21" t="s">
        <v>64</v>
      </c>
      <c r="D232" s="21" t="s">
        <v>65</v>
      </c>
      <c r="E232" s="20">
        <v>125</v>
      </c>
      <c r="F232" s="20">
        <v>3000654</v>
      </c>
      <c r="G232" s="20">
        <v>5005023</v>
      </c>
      <c r="H232" s="20">
        <v>3</v>
      </c>
      <c r="I232" s="20">
        <v>12</v>
      </c>
      <c r="J232" s="20">
        <v>24</v>
      </c>
      <c r="K232" s="20">
        <v>135560</v>
      </c>
      <c r="L232" s="21" t="s">
        <v>220</v>
      </c>
      <c r="M232" s="33" t="s">
        <v>221</v>
      </c>
      <c r="N232" s="19">
        <v>97</v>
      </c>
      <c r="O232" s="2"/>
      <c r="P232" s="2" t="s">
        <v>4</v>
      </c>
      <c r="Q232" s="20" t="s">
        <v>68</v>
      </c>
      <c r="R232" s="25" t="s">
        <v>69</v>
      </c>
      <c r="S232" s="41" t="s">
        <v>137</v>
      </c>
      <c r="T232" s="41"/>
      <c r="U232" s="31" t="s">
        <v>302</v>
      </c>
      <c r="V232" s="25" t="s">
        <v>3</v>
      </c>
      <c r="W232" s="25">
        <v>1</v>
      </c>
      <c r="X232" s="27">
        <v>8000</v>
      </c>
      <c r="Y232" s="1142"/>
      <c r="Z232" s="1143"/>
      <c r="AA232" s="1143"/>
      <c r="AB232" s="1144"/>
      <c r="AC232" s="25"/>
      <c r="AD232" s="25">
        <v>30</v>
      </c>
      <c r="AE232" s="1142"/>
      <c r="AF232" s="1143"/>
      <c r="AG232" s="1143"/>
      <c r="AH232" s="1143"/>
      <c r="AI232" s="1143"/>
      <c r="AJ232" s="1145"/>
      <c r="AK232" s="35">
        <v>8000</v>
      </c>
      <c r="AL232" s="29" t="s">
        <v>73</v>
      </c>
      <c r="AM232" s="29" t="s">
        <v>73</v>
      </c>
      <c r="AN232" s="29" t="s">
        <v>73</v>
      </c>
      <c r="AO232" s="29" t="s">
        <v>73</v>
      </c>
      <c r="AP232" s="29" t="s">
        <v>73</v>
      </c>
      <c r="AQ232" s="30">
        <v>8000</v>
      </c>
      <c r="AR232" s="29" t="s">
        <v>73</v>
      </c>
      <c r="AS232" s="29" t="s">
        <v>73</v>
      </c>
      <c r="AT232" s="29" t="s">
        <v>73</v>
      </c>
      <c r="AU232" s="29" t="s">
        <v>73</v>
      </c>
      <c r="AV232" s="29" t="s">
        <v>73</v>
      </c>
      <c r="AW232" s="29" t="s">
        <v>73</v>
      </c>
      <c r="AX232" s="30">
        <v>8000</v>
      </c>
      <c r="AY232" s="30" t="s">
        <v>6</v>
      </c>
      <c r="AZ232" s="2" t="s">
        <v>74</v>
      </c>
      <c r="BA232" s="2"/>
    </row>
    <row r="233" spans="1:53" ht="51" x14ac:dyDescent="0.25">
      <c r="A233" s="19">
        <v>2026</v>
      </c>
      <c r="B233" s="20">
        <v>479</v>
      </c>
      <c r="C233" s="21" t="s">
        <v>64</v>
      </c>
      <c r="D233" s="21" t="s">
        <v>65</v>
      </c>
      <c r="E233" s="20">
        <v>125</v>
      </c>
      <c r="F233" s="20">
        <v>3000654</v>
      </c>
      <c r="G233" s="20">
        <v>5005023</v>
      </c>
      <c r="H233" s="20">
        <v>3</v>
      </c>
      <c r="I233" s="20">
        <v>12</v>
      </c>
      <c r="J233" s="20">
        <v>24</v>
      </c>
      <c r="K233" s="20">
        <v>135560</v>
      </c>
      <c r="L233" s="21" t="s">
        <v>220</v>
      </c>
      <c r="M233" s="33" t="s">
        <v>221</v>
      </c>
      <c r="N233" s="19">
        <v>97</v>
      </c>
      <c r="O233" s="2"/>
      <c r="P233" s="2" t="s">
        <v>4</v>
      </c>
      <c r="Q233" s="20" t="s">
        <v>68</v>
      </c>
      <c r="R233" s="25" t="s">
        <v>69</v>
      </c>
      <c r="S233" s="41" t="s">
        <v>137</v>
      </c>
      <c r="T233" s="41"/>
      <c r="U233" s="31" t="s">
        <v>303</v>
      </c>
      <c r="V233" s="25" t="s">
        <v>3</v>
      </c>
      <c r="W233" s="25">
        <v>1</v>
      </c>
      <c r="X233" s="27">
        <v>8000</v>
      </c>
      <c r="Y233" s="1142"/>
      <c r="Z233" s="1143"/>
      <c r="AA233" s="1143"/>
      <c r="AB233" s="1144"/>
      <c r="AC233" s="25">
        <v>30</v>
      </c>
      <c r="AD233" s="25">
        <v>30</v>
      </c>
      <c r="AE233" s="1142"/>
      <c r="AF233" s="1143"/>
      <c r="AG233" s="1143"/>
      <c r="AH233" s="1143"/>
      <c r="AI233" s="1143"/>
      <c r="AJ233" s="1145"/>
      <c r="AK233" s="35">
        <v>16000</v>
      </c>
      <c r="AL233" s="29" t="s">
        <v>73</v>
      </c>
      <c r="AM233" s="29" t="s">
        <v>73</v>
      </c>
      <c r="AN233" s="29" t="s">
        <v>73</v>
      </c>
      <c r="AO233" s="29" t="s">
        <v>73</v>
      </c>
      <c r="AP233" s="30">
        <v>8000</v>
      </c>
      <c r="AQ233" s="30">
        <v>8000</v>
      </c>
      <c r="AR233" s="29" t="s">
        <v>73</v>
      </c>
      <c r="AS233" s="29" t="s">
        <v>73</v>
      </c>
      <c r="AT233" s="29" t="s">
        <v>73</v>
      </c>
      <c r="AU233" s="29" t="s">
        <v>73</v>
      </c>
      <c r="AV233" s="29" t="s">
        <v>73</v>
      </c>
      <c r="AW233" s="29" t="s">
        <v>73</v>
      </c>
      <c r="AX233" s="30">
        <v>16000</v>
      </c>
      <c r="AY233" s="30" t="s">
        <v>6</v>
      </c>
      <c r="AZ233" s="2" t="s">
        <v>74</v>
      </c>
      <c r="BA233" s="2"/>
    </row>
    <row r="234" spans="1:53" ht="51" x14ac:dyDescent="0.25">
      <c r="A234" s="19">
        <v>2026</v>
      </c>
      <c r="B234" s="20">
        <v>479</v>
      </c>
      <c r="C234" s="21" t="s">
        <v>64</v>
      </c>
      <c r="D234" s="21" t="s">
        <v>65</v>
      </c>
      <c r="E234" s="20">
        <v>125</v>
      </c>
      <c r="F234" s="20">
        <v>3000654</v>
      </c>
      <c r="G234" s="20">
        <v>5005023</v>
      </c>
      <c r="H234" s="20">
        <v>3</v>
      </c>
      <c r="I234" s="20">
        <v>12</v>
      </c>
      <c r="J234" s="20">
        <v>24</v>
      </c>
      <c r="K234" s="20">
        <v>135560</v>
      </c>
      <c r="L234" s="21" t="s">
        <v>220</v>
      </c>
      <c r="M234" s="33" t="s">
        <v>221</v>
      </c>
      <c r="N234" s="19">
        <v>97</v>
      </c>
      <c r="O234" s="2"/>
      <c r="P234" s="2" t="s">
        <v>4</v>
      </c>
      <c r="Q234" s="20" t="s">
        <v>68</v>
      </c>
      <c r="R234" s="25" t="s">
        <v>69</v>
      </c>
      <c r="S234" s="41" t="s">
        <v>137</v>
      </c>
      <c r="T234" s="41"/>
      <c r="U234" s="31" t="s">
        <v>304</v>
      </c>
      <c r="V234" s="25" t="s">
        <v>3</v>
      </c>
      <c r="W234" s="25">
        <v>1</v>
      </c>
      <c r="X234" s="27">
        <v>8000</v>
      </c>
      <c r="Y234" s="1142"/>
      <c r="Z234" s="1143"/>
      <c r="AA234" s="1143"/>
      <c r="AB234" s="1144"/>
      <c r="AC234" s="25">
        <v>30</v>
      </c>
      <c r="AD234" s="25">
        <v>30</v>
      </c>
      <c r="AE234" s="1142"/>
      <c r="AF234" s="1143"/>
      <c r="AG234" s="1143"/>
      <c r="AH234" s="1143"/>
      <c r="AI234" s="1143"/>
      <c r="AJ234" s="1145"/>
      <c r="AK234" s="35">
        <v>16000</v>
      </c>
      <c r="AL234" s="29" t="s">
        <v>73</v>
      </c>
      <c r="AM234" s="29" t="s">
        <v>73</v>
      </c>
      <c r="AN234" s="29" t="s">
        <v>73</v>
      </c>
      <c r="AO234" s="29" t="s">
        <v>73</v>
      </c>
      <c r="AP234" s="30">
        <v>8000</v>
      </c>
      <c r="AQ234" s="30">
        <v>8000</v>
      </c>
      <c r="AR234" s="29" t="s">
        <v>73</v>
      </c>
      <c r="AS234" s="29" t="s">
        <v>73</v>
      </c>
      <c r="AT234" s="29" t="s">
        <v>73</v>
      </c>
      <c r="AU234" s="29" t="s">
        <v>73</v>
      </c>
      <c r="AV234" s="29" t="s">
        <v>73</v>
      </c>
      <c r="AW234" s="29" t="s">
        <v>73</v>
      </c>
      <c r="AX234" s="30">
        <v>16000</v>
      </c>
      <c r="AY234" s="30" t="s">
        <v>6</v>
      </c>
      <c r="AZ234" s="2" t="s">
        <v>74</v>
      </c>
      <c r="BA234" s="2"/>
    </row>
    <row r="235" spans="1:53" ht="51" x14ac:dyDescent="0.25">
      <c r="A235" s="19">
        <v>2026</v>
      </c>
      <c r="B235" s="20">
        <v>479</v>
      </c>
      <c r="C235" s="21" t="s">
        <v>64</v>
      </c>
      <c r="D235" s="21" t="s">
        <v>65</v>
      </c>
      <c r="E235" s="20">
        <v>125</v>
      </c>
      <c r="F235" s="20">
        <v>3000654</v>
      </c>
      <c r="G235" s="20">
        <v>5005023</v>
      </c>
      <c r="H235" s="20">
        <v>3</v>
      </c>
      <c r="I235" s="20">
        <v>12</v>
      </c>
      <c r="J235" s="20">
        <v>24</v>
      </c>
      <c r="K235" s="20">
        <v>135560</v>
      </c>
      <c r="L235" s="21" t="s">
        <v>98</v>
      </c>
      <c r="M235" s="33" t="s">
        <v>99</v>
      </c>
      <c r="N235" s="19">
        <v>94</v>
      </c>
      <c r="O235" s="2"/>
      <c r="P235" s="2" t="s">
        <v>4</v>
      </c>
      <c r="Q235" s="20" t="s">
        <v>68</v>
      </c>
      <c r="R235" s="25" t="s">
        <v>69</v>
      </c>
      <c r="S235" s="41" t="s">
        <v>137</v>
      </c>
      <c r="T235" s="41"/>
      <c r="U235" s="31" t="s">
        <v>305</v>
      </c>
      <c r="V235" s="25" t="s">
        <v>3</v>
      </c>
      <c r="W235" s="25">
        <v>1</v>
      </c>
      <c r="X235" s="27">
        <v>8000</v>
      </c>
      <c r="Y235" s="1142"/>
      <c r="Z235" s="1143"/>
      <c r="AA235" s="1143"/>
      <c r="AB235" s="1144"/>
      <c r="AC235" s="25">
        <v>30</v>
      </c>
      <c r="AD235" s="25"/>
      <c r="AE235" s="1142"/>
      <c r="AF235" s="1143"/>
      <c r="AG235" s="1143"/>
      <c r="AH235" s="1143"/>
      <c r="AI235" s="1143"/>
      <c r="AJ235" s="1145"/>
      <c r="AK235" s="35">
        <v>8000</v>
      </c>
      <c r="AL235" s="29" t="s">
        <v>73</v>
      </c>
      <c r="AM235" s="29" t="s">
        <v>73</v>
      </c>
      <c r="AN235" s="29" t="s">
        <v>73</v>
      </c>
      <c r="AO235" s="29" t="s">
        <v>73</v>
      </c>
      <c r="AP235" s="30">
        <v>8000</v>
      </c>
      <c r="AQ235" s="29" t="s">
        <v>73</v>
      </c>
      <c r="AR235" s="29" t="s">
        <v>73</v>
      </c>
      <c r="AS235" s="29" t="s">
        <v>73</v>
      </c>
      <c r="AT235" s="29" t="s">
        <v>73</v>
      </c>
      <c r="AU235" s="29" t="s">
        <v>73</v>
      </c>
      <c r="AV235" s="29" t="s">
        <v>73</v>
      </c>
      <c r="AW235" s="29" t="s">
        <v>73</v>
      </c>
      <c r="AX235" s="30">
        <v>8000</v>
      </c>
      <c r="AY235" s="18" t="s">
        <v>6</v>
      </c>
      <c r="AZ235" s="2" t="s">
        <v>74</v>
      </c>
      <c r="BA235" s="2"/>
    </row>
    <row r="236" spans="1:53" ht="51" x14ac:dyDescent="0.25">
      <c r="A236" s="19">
        <v>2026</v>
      </c>
      <c r="B236" s="20">
        <v>479</v>
      </c>
      <c r="C236" s="21" t="s">
        <v>64</v>
      </c>
      <c r="D236" s="21" t="s">
        <v>65</v>
      </c>
      <c r="E236" s="20">
        <v>125</v>
      </c>
      <c r="F236" s="20">
        <v>3000654</v>
      </c>
      <c r="G236" s="20">
        <v>5005023</v>
      </c>
      <c r="H236" s="20">
        <v>3</v>
      </c>
      <c r="I236" s="20">
        <v>12</v>
      </c>
      <c r="J236" s="20">
        <v>24</v>
      </c>
      <c r="K236" s="20">
        <v>135560</v>
      </c>
      <c r="L236" s="21" t="s">
        <v>220</v>
      </c>
      <c r="M236" s="33" t="s">
        <v>221</v>
      </c>
      <c r="N236" s="19">
        <v>97</v>
      </c>
      <c r="O236" s="2"/>
      <c r="P236" s="2" t="s">
        <v>4</v>
      </c>
      <c r="Q236" s="20" t="s">
        <v>68</v>
      </c>
      <c r="R236" s="25" t="s">
        <v>69</v>
      </c>
      <c r="S236" s="41" t="s">
        <v>137</v>
      </c>
      <c r="T236" s="41"/>
      <c r="U236" s="31" t="s">
        <v>305</v>
      </c>
      <c r="V236" s="25" t="s">
        <v>3</v>
      </c>
      <c r="W236" s="25">
        <v>1</v>
      </c>
      <c r="X236" s="27">
        <v>8000</v>
      </c>
      <c r="Y236" s="1142"/>
      <c r="Z236" s="1143"/>
      <c r="AA236" s="1143"/>
      <c r="AB236" s="1144"/>
      <c r="AC236" s="25"/>
      <c r="AD236" s="25">
        <v>30</v>
      </c>
      <c r="AE236" s="1142"/>
      <c r="AF236" s="1143"/>
      <c r="AG236" s="1143"/>
      <c r="AH236" s="1143"/>
      <c r="AI236" s="1143"/>
      <c r="AJ236" s="1145"/>
      <c r="AK236" s="35">
        <v>8000</v>
      </c>
      <c r="AL236" s="29" t="s">
        <v>73</v>
      </c>
      <c r="AM236" s="29" t="s">
        <v>73</v>
      </c>
      <c r="AN236" s="29" t="s">
        <v>73</v>
      </c>
      <c r="AO236" s="29" t="s">
        <v>73</v>
      </c>
      <c r="AP236" s="29" t="s">
        <v>73</v>
      </c>
      <c r="AQ236" s="30">
        <v>8000</v>
      </c>
      <c r="AR236" s="29" t="s">
        <v>73</v>
      </c>
      <c r="AS236" s="29" t="s">
        <v>73</v>
      </c>
      <c r="AT236" s="29" t="s">
        <v>73</v>
      </c>
      <c r="AU236" s="29" t="s">
        <v>73</v>
      </c>
      <c r="AV236" s="29" t="s">
        <v>73</v>
      </c>
      <c r="AW236" s="29" t="s">
        <v>73</v>
      </c>
      <c r="AX236" s="30">
        <v>8000</v>
      </c>
      <c r="AY236" s="30" t="s">
        <v>6</v>
      </c>
      <c r="AZ236" s="2" t="s">
        <v>74</v>
      </c>
      <c r="BA236" s="2"/>
    </row>
    <row r="237" spans="1:53" ht="51" x14ac:dyDescent="0.25">
      <c r="A237" s="19">
        <v>2026</v>
      </c>
      <c r="B237" s="20">
        <v>479</v>
      </c>
      <c r="C237" s="21" t="s">
        <v>64</v>
      </c>
      <c r="D237" s="21" t="s">
        <v>65</v>
      </c>
      <c r="E237" s="20">
        <v>125</v>
      </c>
      <c r="F237" s="20">
        <v>3000654</v>
      </c>
      <c r="G237" s="20">
        <v>5005023</v>
      </c>
      <c r="H237" s="20">
        <v>3</v>
      </c>
      <c r="I237" s="20">
        <v>12</v>
      </c>
      <c r="J237" s="20">
        <v>24</v>
      </c>
      <c r="K237" s="20">
        <v>135560</v>
      </c>
      <c r="L237" s="21" t="s">
        <v>98</v>
      </c>
      <c r="M237" s="33" t="s">
        <v>99</v>
      </c>
      <c r="N237" s="19">
        <v>94</v>
      </c>
      <c r="O237" s="2"/>
      <c r="P237" s="2" t="s">
        <v>4</v>
      </c>
      <c r="Q237" s="20" t="s">
        <v>68</v>
      </c>
      <c r="R237" s="25" t="s">
        <v>69</v>
      </c>
      <c r="S237" s="41" t="s">
        <v>137</v>
      </c>
      <c r="T237" s="41"/>
      <c r="U237" s="31" t="s">
        <v>306</v>
      </c>
      <c r="V237" s="25" t="s">
        <v>3</v>
      </c>
      <c r="W237" s="25">
        <v>1</v>
      </c>
      <c r="X237" s="27">
        <v>3500</v>
      </c>
      <c r="Y237" s="1142"/>
      <c r="Z237" s="1143"/>
      <c r="AA237" s="1143"/>
      <c r="AB237" s="1144"/>
      <c r="AC237" s="25">
        <v>30</v>
      </c>
      <c r="AD237" s="25"/>
      <c r="AE237" s="1142"/>
      <c r="AF237" s="1143"/>
      <c r="AG237" s="1143"/>
      <c r="AH237" s="1143"/>
      <c r="AI237" s="1143"/>
      <c r="AJ237" s="1145"/>
      <c r="AK237" s="35">
        <v>3500</v>
      </c>
      <c r="AL237" s="29" t="s">
        <v>73</v>
      </c>
      <c r="AM237" s="29" t="s">
        <v>73</v>
      </c>
      <c r="AN237" s="29" t="s">
        <v>73</v>
      </c>
      <c r="AO237" s="29" t="s">
        <v>73</v>
      </c>
      <c r="AP237" s="30">
        <v>3500</v>
      </c>
      <c r="AQ237" s="29" t="s">
        <v>73</v>
      </c>
      <c r="AR237" s="29" t="s">
        <v>73</v>
      </c>
      <c r="AS237" s="29" t="s">
        <v>73</v>
      </c>
      <c r="AT237" s="29" t="s">
        <v>73</v>
      </c>
      <c r="AU237" s="29" t="s">
        <v>73</v>
      </c>
      <c r="AV237" s="29" t="s">
        <v>73</v>
      </c>
      <c r="AW237" s="29" t="s">
        <v>73</v>
      </c>
      <c r="AX237" s="30">
        <v>3500</v>
      </c>
      <c r="AY237" s="18" t="s">
        <v>6</v>
      </c>
      <c r="AZ237" s="2" t="s">
        <v>74</v>
      </c>
      <c r="BA237" s="2"/>
    </row>
    <row r="238" spans="1:53" ht="51" x14ac:dyDescent="0.25">
      <c r="A238" s="19">
        <v>2026</v>
      </c>
      <c r="B238" s="20">
        <v>479</v>
      </c>
      <c r="C238" s="21" t="s">
        <v>64</v>
      </c>
      <c r="D238" s="21" t="s">
        <v>65</v>
      </c>
      <c r="E238" s="20">
        <v>125</v>
      </c>
      <c r="F238" s="20">
        <v>3000654</v>
      </c>
      <c r="G238" s="20">
        <v>5005023</v>
      </c>
      <c r="H238" s="20">
        <v>3</v>
      </c>
      <c r="I238" s="20">
        <v>12</v>
      </c>
      <c r="J238" s="20">
        <v>24</v>
      </c>
      <c r="K238" s="20">
        <v>135560</v>
      </c>
      <c r="L238" s="21" t="s">
        <v>220</v>
      </c>
      <c r="M238" s="33" t="s">
        <v>221</v>
      </c>
      <c r="N238" s="19">
        <v>97</v>
      </c>
      <c r="O238" s="2"/>
      <c r="P238" s="2" t="s">
        <v>4</v>
      </c>
      <c r="Q238" s="20" t="s">
        <v>68</v>
      </c>
      <c r="R238" s="25" t="s">
        <v>69</v>
      </c>
      <c r="S238" s="41" t="s">
        <v>137</v>
      </c>
      <c r="T238" s="41"/>
      <c r="U238" s="31" t="s">
        <v>306</v>
      </c>
      <c r="V238" s="25" t="s">
        <v>3</v>
      </c>
      <c r="W238" s="25">
        <v>1</v>
      </c>
      <c r="X238" s="27">
        <v>3500</v>
      </c>
      <c r="Y238" s="1142"/>
      <c r="Z238" s="1143"/>
      <c r="AA238" s="1143"/>
      <c r="AB238" s="1144"/>
      <c r="AC238" s="25"/>
      <c r="AD238" s="25">
        <v>30</v>
      </c>
      <c r="AE238" s="1142"/>
      <c r="AF238" s="1143"/>
      <c r="AG238" s="1143"/>
      <c r="AH238" s="1143"/>
      <c r="AI238" s="1143"/>
      <c r="AJ238" s="1145"/>
      <c r="AK238" s="35">
        <v>3500</v>
      </c>
      <c r="AL238" s="29" t="s">
        <v>73</v>
      </c>
      <c r="AM238" s="29" t="s">
        <v>73</v>
      </c>
      <c r="AN238" s="29" t="s">
        <v>73</v>
      </c>
      <c r="AO238" s="29" t="s">
        <v>73</v>
      </c>
      <c r="AP238" s="29" t="s">
        <v>73</v>
      </c>
      <c r="AQ238" s="30">
        <v>3500</v>
      </c>
      <c r="AR238" s="29" t="s">
        <v>73</v>
      </c>
      <c r="AS238" s="29" t="s">
        <v>73</v>
      </c>
      <c r="AT238" s="29" t="s">
        <v>73</v>
      </c>
      <c r="AU238" s="29" t="s">
        <v>73</v>
      </c>
      <c r="AV238" s="29" t="s">
        <v>73</v>
      </c>
      <c r="AW238" s="29" t="s">
        <v>73</v>
      </c>
      <c r="AX238" s="30">
        <v>3500</v>
      </c>
      <c r="AY238" s="30" t="s">
        <v>6</v>
      </c>
      <c r="AZ238" s="2" t="s">
        <v>74</v>
      </c>
      <c r="BA238" s="2"/>
    </row>
    <row r="239" spans="1:53" ht="51" x14ac:dyDescent="0.25">
      <c r="A239" s="19">
        <v>2026</v>
      </c>
      <c r="B239" s="20">
        <v>479</v>
      </c>
      <c r="C239" s="21" t="s">
        <v>64</v>
      </c>
      <c r="D239" s="21" t="s">
        <v>65</v>
      </c>
      <c r="E239" s="20">
        <v>125</v>
      </c>
      <c r="F239" s="20">
        <v>3000654</v>
      </c>
      <c r="G239" s="20">
        <v>5005023</v>
      </c>
      <c r="H239" s="20">
        <v>3</v>
      </c>
      <c r="I239" s="20">
        <v>12</v>
      </c>
      <c r="J239" s="20">
        <v>24</v>
      </c>
      <c r="K239" s="20">
        <v>135560</v>
      </c>
      <c r="L239" s="21" t="s">
        <v>220</v>
      </c>
      <c r="M239" s="33" t="s">
        <v>221</v>
      </c>
      <c r="N239" s="19">
        <v>97</v>
      </c>
      <c r="O239" s="2"/>
      <c r="P239" s="2" t="s">
        <v>4</v>
      </c>
      <c r="Q239" s="20" t="s">
        <v>68</v>
      </c>
      <c r="R239" s="25" t="s">
        <v>69</v>
      </c>
      <c r="S239" s="41" t="s">
        <v>137</v>
      </c>
      <c r="T239" s="41"/>
      <c r="U239" s="31" t="s">
        <v>307</v>
      </c>
      <c r="V239" s="25" t="s">
        <v>3</v>
      </c>
      <c r="W239" s="25">
        <v>1</v>
      </c>
      <c r="X239" s="27">
        <v>3500</v>
      </c>
      <c r="Y239" s="1142"/>
      <c r="Z239" s="1143"/>
      <c r="AA239" s="1143"/>
      <c r="AB239" s="1144"/>
      <c r="AC239" s="25">
        <v>30</v>
      </c>
      <c r="AD239" s="25">
        <v>30</v>
      </c>
      <c r="AE239" s="1142"/>
      <c r="AF239" s="1143"/>
      <c r="AG239" s="1143"/>
      <c r="AH239" s="1143"/>
      <c r="AI239" s="1143"/>
      <c r="AJ239" s="1145"/>
      <c r="AK239" s="35">
        <v>7000</v>
      </c>
      <c r="AL239" s="29" t="s">
        <v>73</v>
      </c>
      <c r="AM239" s="29" t="s">
        <v>73</v>
      </c>
      <c r="AN239" s="29" t="s">
        <v>73</v>
      </c>
      <c r="AO239" s="29" t="s">
        <v>73</v>
      </c>
      <c r="AP239" s="30">
        <v>3500</v>
      </c>
      <c r="AQ239" s="30">
        <v>3500</v>
      </c>
      <c r="AR239" s="29" t="s">
        <v>73</v>
      </c>
      <c r="AS239" s="29" t="s">
        <v>73</v>
      </c>
      <c r="AT239" s="29" t="s">
        <v>73</v>
      </c>
      <c r="AU239" s="29" t="s">
        <v>73</v>
      </c>
      <c r="AV239" s="29" t="s">
        <v>73</v>
      </c>
      <c r="AW239" s="29" t="s">
        <v>73</v>
      </c>
      <c r="AX239" s="30">
        <v>7000</v>
      </c>
      <c r="AY239" s="30" t="s">
        <v>6</v>
      </c>
      <c r="AZ239" s="2" t="s">
        <v>74</v>
      </c>
      <c r="BA239" s="2"/>
    </row>
    <row r="240" spans="1:53" ht="51" x14ac:dyDescent="0.25">
      <c r="A240" s="19">
        <v>2026</v>
      </c>
      <c r="B240" s="20">
        <v>479</v>
      </c>
      <c r="C240" s="21" t="s">
        <v>64</v>
      </c>
      <c r="D240" s="21" t="s">
        <v>65</v>
      </c>
      <c r="E240" s="20">
        <v>125</v>
      </c>
      <c r="F240" s="20">
        <v>3000654</v>
      </c>
      <c r="G240" s="20">
        <v>5005023</v>
      </c>
      <c r="H240" s="20">
        <v>3</v>
      </c>
      <c r="I240" s="20">
        <v>12</v>
      </c>
      <c r="J240" s="20">
        <v>24</v>
      </c>
      <c r="K240" s="20">
        <v>135560</v>
      </c>
      <c r="L240" s="21" t="s">
        <v>220</v>
      </c>
      <c r="M240" s="33" t="s">
        <v>221</v>
      </c>
      <c r="N240" s="19">
        <v>97</v>
      </c>
      <c r="O240" s="2"/>
      <c r="P240" s="2" t="s">
        <v>4</v>
      </c>
      <c r="Q240" s="20" t="s">
        <v>68</v>
      </c>
      <c r="R240" s="25" t="s">
        <v>69</v>
      </c>
      <c r="S240" s="41" t="s">
        <v>137</v>
      </c>
      <c r="T240" s="41"/>
      <c r="U240" s="31" t="s">
        <v>308</v>
      </c>
      <c r="V240" s="25" t="s">
        <v>3</v>
      </c>
      <c r="W240" s="25">
        <v>1</v>
      </c>
      <c r="X240" s="27">
        <v>3500</v>
      </c>
      <c r="Y240" s="1142"/>
      <c r="Z240" s="1143"/>
      <c r="AA240" s="1143"/>
      <c r="AB240" s="1144"/>
      <c r="AC240" s="25">
        <v>30</v>
      </c>
      <c r="AD240" s="25">
        <v>30</v>
      </c>
      <c r="AE240" s="1142"/>
      <c r="AF240" s="1143"/>
      <c r="AG240" s="1143"/>
      <c r="AH240" s="1143"/>
      <c r="AI240" s="1143"/>
      <c r="AJ240" s="1145"/>
      <c r="AK240" s="35">
        <v>7000</v>
      </c>
      <c r="AL240" s="29" t="s">
        <v>73</v>
      </c>
      <c r="AM240" s="29" t="s">
        <v>73</v>
      </c>
      <c r="AN240" s="29" t="s">
        <v>73</v>
      </c>
      <c r="AO240" s="29" t="s">
        <v>73</v>
      </c>
      <c r="AP240" s="30">
        <v>3500</v>
      </c>
      <c r="AQ240" s="30">
        <v>3500</v>
      </c>
      <c r="AR240" s="29" t="s">
        <v>73</v>
      </c>
      <c r="AS240" s="29" t="s">
        <v>73</v>
      </c>
      <c r="AT240" s="29" t="s">
        <v>73</v>
      </c>
      <c r="AU240" s="29" t="s">
        <v>73</v>
      </c>
      <c r="AV240" s="29" t="s">
        <v>73</v>
      </c>
      <c r="AW240" s="29" t="s">
        <v>73</v>
      </c>
      <c r="AX240" s="30">
        <v>7000</v>
      </c>
      <c r="AY240" s="30" t="s">
        <v>6</v>
      </c>
      <c r="AZ240" s="2" t="s">
        <v>74</v>
      </c>
      <c r="BA240" s="2"/>
    </row>
    <row r="241" spans="1:53" ht="51" x14ac:dyDescent="0.25">
      <c r="A241" s="19">
        <v>2026</v>
      </c>
      <c r="B241" s="20">
        <v>479</v>
      </c>
      <c r="C241" s="21" t="s">
        <v>64</v>
      </c>
      <c r="D241" s="21" t="s">
        <v>65</v>
      </c>
      <c r="E241" s="20">
        <v>125</v>
      </c>
      <c r="F241" s="20">
        <v>3000654</v>
      </c>
      <c r="G241" s="20">
        <v>5005023</v>
      </c>
      <c r="H241" s="20">
        <v>3</v>
      </c>
      <c r="I241" s="20">
        <v>12</v>
      </c>
      <c r="J241" s="20">
        <v>24</v>
      </c>
      <c r="K241" s="20">
        <v>135560</v>
      </c>
      <c r="L241" s="21" t="s">
        <v>220</v>
      </c>
      <c r="M241" s="33" t="s">
        <v>221</v>
      </c>
      <c r="N241" s="19">
        <v>97</v>
      </c>
      <c r="O241" s="2"/>
      <c r="P241" s="2" t="s">
        <v>4</v>
      </c>
      <c r="Q241" s="20" t="s">
        <v>68</v>
      </c>
      <c r="R241" s="25" t="s">
        <v>69</v>
      </c>
      <c r="S241" s="41" t="s">
        <v>137</v>
      </c>
      <c r="T241" s="41"/>
      <c r="U241" s="31" t="s">
        <v>309</v>
      </c>
      <c r="V241" s="25" t="s">
        <v>3</v>
      </c>
      <c r="W241" s="25">
        <v>1</v>
      </c>
      <c r="X241" s="27">
        <v>3500</v>
      </c>
      <c r="Y241" s="1142"/>
      <c r="Z241" s="1143"/>
      <c r="AA241" s="1143"/>
      <c r="AB241" s="1144"/>
      <c r="AC241" s="25">
        <v>30</v>
      </c>
      <c r="AD241" s="25">
        <v>30</v>
      </c>
      <c r="AE241" s="1142"/>
      <c r="AF241" s="1143"/>
      <c r="AG241" s="1143"/>
      <c r="AH241" s="1143"/>
      <c r="AI241" s="1143"/>
      <c r="AJ241" s="1145"/>
      <c r="AK241" s="35">
        <v>7000</v>
      </c>
      <c r="AL241" s="29" t="s">
        <v>73</v>
      </c>
      <c r="AM241" s="29" t="s">
        <v>73</v>
      </c>
      <c r="AN241" s="29" t="s">
        <v>73</v>
      </c>
      <c r="AO241" s="29" t="s">
        <v>73</v>
      </c>
      <c r="AP241" s="30">
        <v>3500</v>
      </c>
      <c r="AQ241" s="30">
        <v>3500</v>
      </c>
      <c r="AR241" s="29" t="s">
        <v>73</v>
      </c>
      <c r="AS241" s="29" t="s">
        <v>73</v>
      </c>
      <c r="AT241" s="29" t="s">
        <v>73</v>
      </c>
      <c r="AU241" s="29" t="s">
        <v>73</v>
      </c>
      <c r="AV241" s="29" t="s">
        <v>73</v>
      </c>
      <c r="AW241" s="29" t="s">
        <v>73</v>
      </c>
      <c r="AX241" s="30">
        <v>7000</v>
      </c>
      <c r="AY241" s="30" t="s">
        <v>6</v>
      </c>
      <c r="AZ241" s="2" t="s">
        <v>74</v>
      </c>
      <c r="BA241" s="2"/>
    </row>
    <row r="242" spans="1:53" ht="51" x14ac:dyDescent="0.25">
      <c r="A242" s="19">
        <v>2026</v>
      </c>
      <c r="B242" s="20">
        <v>479</v>
      </c>
      <c r="C242" s="21" t="s">
        <v>64</v>
      </c>
      <c r="D242" s="21" t="s">
        <v>65</v>
      </c>
      <c r="E242" s="20">
        <v>125</v>
      </c>
      <c r="F242" s="20">
        <v>3000654</v>
      </c>
      <c r="G242" s="20">
        <v>5005023</v>
      </c>
      <c r="H242" s="20">
        <v>3</v>
      </c>
      <c r="I242" s="20">
        <v>12</v>
      </c>
      <c r="J242" s="20">
        <v>24</v>
      </c>
      <c r="K242" s="20">
        <v>135560</v>
      </c>
      <c r="L242" s="21" t="s">
        <v>220</v>
      </c>
      <c r="M242" s="33" t="s">
        <v>221</v>
      </c>
      <c r="N242" s="19">
        <v>97</v>
      </c>
      <c r="O242" s="2"/>
      <c r="P242" s="2" t="s">
        <v>4</v>
      </c>
      <c r="Q242" s="20" t="s">
        <v>68</v>
      </c>
      <c r="R242" s="25" t="s">
        <v>69</v>
      </c>
      <c r="S242" s="41" t="s">
        <v>137</v>
      </c>
      <c r="T242" s="41"/>
      <c r="U242" s="31" t="s">
        <v>310</v>
      </c>
      <c r="V242" s="25" t="s">
        <v>3</v>
      </c>
      <c r="W242" s="25">
        <v>1</v>
      </c>
      <c r="X242" s="27">
        <v>7000</v>
      </c>
      <c r="Y242" s="1142"/>
      <c r="Z242" s="1143"/>
      <c r="AA242" s="1143"/>
      <c r="AB242" s="1144"/>
      <c r="AC242" s="25">
        <v>30</v>
      </c>
      <c r="AD242" s="25">
        <v>30</v>
      </c>
      <c r="AE242" s="1142"/>
      <c r="AF242" s="1143"/>
      <c r="AG242" s="1143"/>
      <c r="AH242" s="1143"/>
      <c r="AI242" s="1143"/>
      <c r="AJ242" s="1145"/>
      <c r="AK242" s="35">
        <v>14000</v>
      </c>
      <c r="AL242" s="29" t="s">
        <v>73</v>
      </c>
      <c r="AM242" s="29" t="s">
        <v>73</v>
      </c>
      <c r="AN242" s="29" t="s">
        <v>73</v>
      </c>
      <c r="AO242" s="29" t="s">
        <v>73</v>
      </c>
      <c r="AP242" s="30">
        <v>7000</v>
      </c>
      <c r="AQ242" s="30">
        <v>7000</v>
      </c>
      <c r="AR242" s="29" t="s">
        <v>73</v>
      </c>
      <c r="AS242" s="29" t="s">
        <v>73</v>
      </c>
      <c r="AT242" s="29" t="s">
        <v>73</v>
      </c>
      <c r="AU242" s="29" t="s">
        <v>73</v>
      </c>
      <c r="AV242" s="29" t="s">
        <v>73</v>
      </c>
      <c r="AW242" s="29" t="s">
        <v>73</v>
      </c>
      <c r="AX242" s="30">
        <v>14000</v>
      </c>
      <c r="AY242" s="30" t="s">
        <v>6</v>
      </c>
      <c r="AZ242" s="2" t="s">
        <v>74</v>
      </c>
      <c r="BA242" s="2"/>
    </row>
    <row r="243" spans="1:53" ht="51" x14ac:dyDescent="0.25">
      <c r="A243" s="19">
        <v>2026</v>
      </c>
      <c r="B243" s="20">
        <v>479</v>
      </c>
      <c r="C243" s="21" t="s">
        <v>64</v>
      </c>
      <c r="D243" s="21" t="s">
        <v>65</v>
      </c>
      <c r="E243" s="20">
        <v>125</v>
      </c>
      <c r="F243" s="20">
        <v>3000654</v>
      </c>
      <c r="G243" s="20">
        <v>5005023</v>
      </c>
      <c r="H243" s="20">
        <v>3</v>
      </c>
      <c r="I243" s="20">
        <v>12</v>
      </c>
      <c r="J243" s="20">
        <v>24</v>
      </c>
      <c r="K243" s="20">
        <v>135560</v>
      </c>
      <c r="L243" s="21" t="s">
        <v>98</v>
      </c>
      <c r="M243" s="33" t="s">
        <v>99</v>
      </c>
      <c r="N243" s="19">
        <v>94</v>
      </c>
      <c r="O243" s="2"/>
      <c r="P243" s="2" t="s">
        <v>4</v>
      </c>
      <c r="Q243" s="20" t="s">
        <v>68</v>
      </c>
      <c r="R243" s="25" t="s">
        <v>69</v>
      </c>
      <c r="S243" s="41" t="s">
        <v>137</v>
      </c>
      <c r="T243" s="41"/>
      <c r="U243" s="31" t="s">
        <v>311</v>
      </c>
      <c r="V243" s="25" t="s">
        <v>3</v>
      </c>
      <c r="W243" s="25">
        <v>1</v>
      </c>
      <c r="X243" s="27">
        <v>7000</v>
      </c>
      <c r="Y243" s="1142"/>
      <c r="Z243" s="1143"/>
      <c r="AA243" s="1143"/>
      <c r="AB243" s="1144"/>
      <c r="AC243" s="25">
        <v>30</v>
      </c>
      <c r="AD243" s="25"/>
      <c r="AE243" s="1142"/>
      <c r="AF243" s="1143"/>
      <c r="AG243" s="1143"/>
      <c r="AH243" s="1143"/>
      <c r="AI243" s="1143"/>
      <c r="AJ243" s="1145"/>
      <c r="AK243" s="35">
        <v>7000</v>
      </c>
      <c r="AL243" s="29" t="s">
        <v>73</v>
      </c>
      <c r="AM243" s="29" t="s">
        <v>73</v>
      </c>
      <c r="AN243" s="29" t="s">
        <v>73</v>
      </c>
      <c r="AO243" s="29" t="s">
        <v>73</v>
      </c>
      <c r="AP243" s="30">
        <v>7000</v>
      </c>
      <c r="AQ243" s="29" t="s">
        <v>73</v>
      </c>
      <c r="AR243" s="29" t="s">
        <v>73</v>
      </c>
      <c r="AS243" s="29" t="s">
        <v>73</v>
      </c>
      <c r="AT243" s="29" t="s">
        <v>73</v>
      </c>
      <c r="AU243" s="29" t="s">
        <v>73</v>
      </c>
      <c r="AV243" s="29" t="s">
        <v>73</v>
      </c>
      <c r="AW243" s="29" t="s">
        <v>73</v>
      </c>
      <c r="AX243" s="30">
        <v>7000</v>
      </c>
      <c r="AY243" s="18" t="s">
        <v>6</v>
      </c>
      <c r="AZ243" s="2" t="s">
        <v>74</v>
      </c>
      <c r="BA243" s="2"/>
    </row>
    <row r="244" spans="1:53" ht="51" x14ac:dyDescent="0.25">
      <c r="A244" s="19">
        <v>2026</v>
      </c>
      <c r="B244" s="20">
        <v>479</v>
      </c>
      <c r="C244" s="21" t="s">
        <v>64</v>
      </c>
      <c r="D244" s="21" t="s">
        <v>65</v>
      </c>
      <c r="E244" s="20">
        <v>125</v>
      </c>
      <c r="F244" s="20">
        <v>3000654</v>
      </c>
      <c r="G244" s="20">
        <v>5005023</v>
      </c>
      <c r="H244" s="20">
        <v>3</v>
      </c>
      <c r="I244" s="20">
        <v>12</v>
      </c>
      <c r="J244" s="20">
        <v>24</v>
      </c>
      <c r="K244" s="20">
        <v>135560</v>
      </c>
      <c r="L244" s="21" t="s">
        <v>220</v>
      </c>
      <c r="M244" s="33" t="s">
        <v>221</v>
      </c>
      <c r="N244" s="19">
        <v>97</v>
      </c>
      <c r="O244" s="2"/>
      <c r="P244" s="2" t="s">
        <v>4</v>
      </c>
      <c r="Q244" s="20" t="s">
        <v>68</v>
      </c>
      <c r="R244" s="25" t="s">
        <v>69</v>
      </c>
      <c r="S244" s="41" t="s">
        <v>137</v>
      </c>
      <c r="T244" s="41"/>
      <c r="U244" s="31" t="s">
        <v>311</v>
      </c>
      <c r="V244" s="25" t="s">
        <v>3</v>
      </c>
      <c r="W244" s="25">
        <v>1</v>
      </c>
      <c r="X244" s="27">
        <v>7000</v>
      </c>
      <c r="Y244" s="1142"/>
      <c r="Z244" s="1143"/>
      <c r="AA244" s="1143"/>
      <c r="AB244" s="1144"/>
      <c r="AC244" s="25"/>
      <c r="AD244" s="25">
        <v>30</v>
      </c>
      <c r="AE244" s="1142"/>
      <c r="AF244" s="1143"/>
      <c r="AG244" s="1143"/>
      <c r="AH244" s="1143"/>
      <c r="AI244" s="1143"/>
      <c r="AJ244" s="1145"/>
      <c r="AK244" s="35">
        <v>7000</v>
      </c>
      <c r="AL244" s="29" t="s">
        <v>73</v>
      </c>
      <c r="AM244" s="29" t="s">
        <v>73</v>
      </c>
      <c r="AN244" s="29" t="s">
        <v>73</v>
      </c>
      <c r="AO244" s="29" t="s">
        <v>73</v>
      </c>
      <c r="AP244" s="29" t="s">
        <v>73</v>
      </c>
      <c r="AQ244" s="30">
        <v>7000</v>
      </c>
      <c r="AR244" s="29" t="s">
        <v>73</v>
      </c>
      <c r="AS244" s="29" t="s">
        <v>73</v>
      </c>
      <c r="AT244" s="29" t="s">
        <v>73</v>
      </c>
      <c r="AU244" s="29" t="s">
        <v>73</v>
      </c>
      <c r="AV244" s="29" t="s">
        <v>73</v>
      </c>
      <c r="AW244" s="29" t="s">
        <v>73</v>
      </c>
      <c r="AX244" s="30">
        <v>7000</v>
      </c>
      <c r="AY244" s="30" t="s">
        <v>6</v>
      </c>
      <c r="AZ244" s="2" t="s">
        <v>74</v>
      </c>
      <c r="BA244" s="2"/>
    </row>
    <row r="245" spans="1:53" ht="51" x14ac:dyDescent="0.25">
      <c r="A245" s="19">
        <v>2026</v>
      </c>
      <c r="B245" s="20">
        <v>479</v>
      </c>
      <c r="C245" s="21" t="s">
        <v>64</v>
      </c>
      <c r="D245" s="21" t="s">
        <v>65</v>
      </c>
      <c r="E245" s="20">
        <v>125</v>
      </c>
      <c r="F245" s="20">
        <v>3000654</v>
      </c>
      <c r="G245" s="20">
        <v>5005023</v>
      </c>
      <c r="H245" s="20">
        <v>3</v>
      </c>
      <c r="I245" s="20">
        <v>12</v>
      </c>
      <c r="J245" s="20">
        <v>24</v>
      </c>
      <c r="K245" s="20">
        <v>135560</v>
      </c>
      <c r="L245" s="21" t="s">
        <v>98</v>
      </c>
      <c r="M245" s="33" t="s">
        <v>99</v>
      </c>
      <c r="N245" s="19">
        <v>94</v>
      </c>
      <c r="O245" s="2"/>
      <c r="P245" s="2" t="s">
        <v>4</v>
      </c>
      <c r="Q245" s="20" t="s">
        <v>68</v>
      </c>
      <c r="R245" s="25" t="s">
        <v>69</v>
      </c>
      <c r="S245" s="41" t="s">
        <v>137</v>
      </c>
      <c r="T245" s="41"/>
      <c r="U245" s="31" t="s">
        <v>312</v>
      </c>
      <c r="V245" s="25" t="s">
        <v>3</v>
      </c>
      <c r="W245" s="25">
        <v>1</v>
      </c>
      <c r="X245" s="27">
        <v>7000</v>
      </c>
      <c r="Y245" s="1142"/>
      <c r="Z245" s="1143"/>
      <c r="AA245" s="1143"/>
      <c r="AB245" s="1144"/>
      <c r="AC245" s="25">
        <v>30</v>
      </c>
      <c r="AD245" s="25"/>
      <c r="AE245" s="1142"/>
      <c r="AF245" s="1143"/>
      <c r="AG245" s="1143"/>
      <c r="AH245" s="1143"/>
      <c r="AI245" s="1143"/>
      <c r="AJ245" s="1145"/>
      <c r="AK245" s="35">
        <v>7000</v>
      </c>
      <c r="AL245" s="29" t="s">
        <v>73</v>
      </c>
      <c r="AM245" s="29" t="s">
        <v>73</v>
      </c>
      <c r="AN245" s="29" t="s">
        <v>73</v>
      </c>
      <c r="AO245" s="29" t="s">
        <v>73</v>
      </c>
      <c r="AP245" s="30">
        <v>7000</v>
      </c>
      <c r="AQ245" s="29" t="s">
        <v>73</v>
      </c>
      <c r="AR245" s="29" t="s">
        <v>73</v>
      </c>
      <c r="AS245" s="29" t="s">
        <v>73</v>
      </c>
      <c r="AT245" s="29" t="s">
        <v>73</v>
      </c>
      <c r="AU245" s="29" t="s">
        <v>73</v>
      </c>
      <c r="AV245" s="29" t="s">
        <v>73</v>
      </c>
      <c r="AW245" s="29" t="s">
        <v>73</v>
      </c>
      <c r="AX245" s="30">
        <v>7000</v>
      </c>
      <c r="AY245" s="18" t="s">
        <v>6</v>
      </c>
      <c r="AZ245" s="2" t="s">
        <v>74</v>
      </c>
      <c r="BA245" s="2"/>
    </row>
    <row r="246" spans="1:53" ht="51" x14ac:dyDescent="0.25">
      <c r="A246" s="19">
        <v>2026</v>
      </c>
      <c r="B246" s="20">
        <v>479</v>
      </c>
      <c r="C246" s="21" t="s">
        <v>64</v>
      </c>
      <c r="D246" s="21" t="s">
        <v>65</v>
      </c>
      <c r="E246" s="20">
        <v>125</v>
      </c>
      <c r="F246" s="20">
        <v>3000654</v>
      </c>
      <c r="G246" s="20">
        <v>5005023</v>
      </c>
      <c r="H246" s="20">
        <v>3</v>
      </c>
      <c r="I246" s="20">
        <v>12</v>
      </c>
      <c r="J246" s="20">
        <v>24</v>
      </c>
      <c r="K246" s="20">
        <v>135560</v>
      </c>
      <c r="L246" s="21" t="s">
        <v>220</v>
      </c>
      <c r="M246" s="33" t="s">
        <v>221</v>
      </c>
      <c r="N246" s="19">
        <v>97</v>
      </c>
      <c r="O246" s="2"/>
      <c r="P246" s="2" t="s">
        <v>4</v>
      </c>
      <c r="Q246" s="20" t="s">
        <v>68</v>
      </c>
      <c r="R246" s="25" t="s">
        <v>69</v>
      </c>
      <c r="S246" s="41" t="s">
        <v>137</v>
      </c>
      <c r="T246" s="41"/>
      <c r="U246" s="31" t="s">
        <v>312</v>
      </c>
      <c r="V246" s="25" t="s">
        <v>3</v>
      </c>
      <c r="W246" s="25">
        <v>1</v>
      </c>
      <c r="X246" s="27">
        <v>7000</v>
      </c>
      <c r="Y246" s="1142"/>
      <c r="Z246" s="1143"/>
      <c r="AA246" s="1143"/>
      <c r="AB246" s="1144"/>
      <c r="AC246" s="25"/>
      <c r="AD246" s="25">
        <v>30</v>
      </c>
      <c r="AE246" s="1142"/>
      <c r="AF246" s="1143"/>
      <c r="AG246" s="1143"/>
      <c r="AH246" s="1143"/>
      <c r="AI246" s="1143"/>
      <c r="AJ246" s="1145"/>
      <c r="AK246" s="35">
        <v>7000</v>
      </c>
      <c r="AL246" s="29" t="s">
        <v>73</v>
      </c>
      <c r="AM246" s="29" t="s">
        <v>73</v>
      </c>
      <c r="AN246" s="29" t="s">
        <v>73</v>
      </c>
      <c r="AO246" s="29" t="s">
        <v>73</v>
      </c>
      <c r="AP246" s="29" t="s">
        <v>73</v>
      </c>
      <c r="AQ246" s="30">
        <v>7000</v>
      </c>
      <c r="AR246" s="29" t="s">
        <v>73</v>
      </c>
      <c r="AS246" s="29" t="s">
        <v>73</v>
      </c>
      <c r="AT246" s="29" t="s">
        <v>73</v>
      </c>
      <c r="AU246" s="29" t="s">
        <v>73</v>
      </c>
      <c r="AV246" s="29" t="s">
        <v>73</v>
      </c>
      <c r="AW246" s="29" t="s">
        <v>73</v>
      </c>
      <c r="AX246" s="30">
        <v>7000</v>
      </c>
      <c r="AY246" s="30" t="s">
        <v>6</v>
      </c>
      <c r="AZ246" s="2" t="s">
        <v>74</v>
      </c>
      <c r="BA246" s="2"/>
    </row>
    <row r="247" spans="1:53" ht="51" x14ac:dyDescent="0.25">
      <c r="A247" s="19">
        <v>2026</v>
      </c>
      <c r="B247" s="20">
        <v>479</v>
      </c>
      <c r="C247" s="21" t="s">
        <v>64</v>
      </c>
      <c r="D247" s="21" t="s">
        <v>65</v>
      </c>
      <c r="E247" s="20">
        <v>125</v>
      </c>
      <c r="F247" s="20">
        <v>3000654</v>
      </c>
      <c r="G247" s="20">
        <v>5005023</v>
      </c>
      <c r="H247" s="20">
        <v>3</v>
      </c>
      <c r="I247" s="20">
        <v>12</v>
      </c>
      <c r="J247" s="20">
        <v>24</v>
      </c>
      <c r="K247" s="20">
        <v>135560</v>
      </c>
      <c r="L247" s="21" t="s">
        <v>98</v>
      </c>
      <c r="M247" s="33" t="s">
        <v>99</v>
      </c>
      <c r="N247" s="19">
        <v>94</v>
      </c>
      <c r="O247" s="2"/>
      <c r="P247" s="2" t="s">
        <v>4</v>
      </c>
      <c r="Q247" s="20" t="s">
        <v>68</v>
      </c>
      <c r="R247" s="25" t="s">
        <v>69</v>
      </c>
      <c r="S247" s="41" t="s">
        <v>137</v>
      </c>
      <c r="T247" s="41"/>
      <c r="U247" s="31" t="s">
        <v>313</v>
      </c>
      <c r="V247" s="25" t="s">
        <v>3</v>
      </c>
      <c r="W247" s="25">
        <v>1</v>
      </c>
      <c r="X247" s="27">
        <v>7000</v>
      </c>
      <c r="Y247" s="1142"/>
      <c r="Z247" s="1143"/>
      <c r="AA247" s="1143"/>
      <c r="AB247" s="1144"/>
      <c r="AC247" s="25">
        <v>30</v>
      </c>
      <c r="AD247" s="25"/>
      <c r="AE247" s="1142"/>
      <c r="AF247" s="1143"/>
      <c r="AG247" s="1143"/>
      <c r="AH247" s="1143"/>
      <c r="AI247" s="1143"/>
      <c r="AJ247" s="1145"/>
      <c r="AK247" s="35">
        <v>7000</v>
      </c>
      <c r="AL247" s="29" t="s">
        <v>73</v>
      </c>
      <c r="AM247" s="29" t="s">
        <v>73</v>
      </c>
      <c r="AN247" s="29" t="s">
        <v>73</v>
      </c>
      <c r="AO247" s="29" t="s">
        <v>73</v>
      </c>
      <c r="AP247" s="30">
        <v>7000</v>
      </c>
      <c r="AQ247" s="29" t="s">
        <v>73</v>
      </c>
      <c r="AR247" s="29" t="s">
        <v>73</v>
      </c>
      <c r="AS247" s="29" t="s">
        <v>73</v>
      </c>
      <c r="AT247" s="29" t="s">
        <v>73</v>
      </c>
      <c r="AU247" s="29" t="s">
        <v>73</v>
      </c>
      <c r="AV247" s="29" t="s">
        <v>73</v>
      </c>
      <c r="AW247" s="29" t="s">
        <v>73</v>
      </c>
      <c r="AX247" s="30">
        <v>7000</v>
      </c>
      <c r="AY247" s="18" t="s">
        <v>6</v>
      </c>
      <c r="AZ247" s="2" t="s">
        <v>74</v>
      </c>
      <c r="BA247" s="2"/>
    </row>
    <row r="248" spans="1:53" ht="51" x14ac:dyDescent="0.25">
      <c r="A248" s="19">
        <v>2026</v>
      </c>
      <c r="B248" s="20">
        <v>479</v>
      </c>
      <c r="C248" s="21" t="s">
        <v>64</v>
      </c>
      <c r="D248" s="21" t="s">
        <v>65</v>
      </c>
      <c r="E248" s="20">
        <v>125</v>
      </c>
      <c r="F248" s="20">
        <v>3000654</v>
      </c>
      <c r="G248" s="20">
        <v>5005023</v>
      </c>
      <c r="H248" s="20">
        <v>3</v>
      </c>
      <c r="I248" s="20">
        <v>12</v>
      </c>
      <c r="J248" s="20">
        <v>24</v>
      </c>
      <c r="K248" s="20">
        <v>135560</v>
      </c>
      <c r="L248" s="21" t="s">
        <v>220</v>
      </c>
      <c r="M248" s="33" t="s">
        <v>221</v>
      </c>
      <c r="N248" s="19">
        <v>97</v>
      </c>
      <c r="O248" s="2"/>
      <c r="P248" s="2" t="s">
        <v>4</v>
      </c>
      <c r="Q248" s="20" t="s">
        <v>68</v>
      </c>
      <c r="R248" s="25" t="s">
        <v>69</v>
      </c>
      <c r="S248" s="41" t="s">
        <v>137</v>
      </c>
      <c r="T248" s="41"/>
      <c r="U248" s="31" t="s">
        <v>313</v>
      </c>
      <c r="V248" s="25" t="s">
        <v>3</v>
      </c>
      <c r="W248" s="25">
        <v>1</v>
      </c>
      <c r="X248" s="27">
        <v>7000</v>
      </c>
      <c r="Y248" s="1142"/>
      <c r="Z248" s="1143"/>
      <c r="AA248" s="1143"/>
      <c r="AB248" s="1144"/>
      <c r="AC248" s="25"/>
      <c r="AD248" s="25">
        <v>30</v>
      </c>
      <c r="AE248" s="1142"/>
      <c r="AF248" s="1143"/>
      <c r="AG248" s="1143"/>
      <c r="AH248" s="1143"/>
      <c r="AI248" s="1143"/>
      <c r="AJ248" s="1145"/>
      <c r="AK248" s="35">
        <v>7000</v>
      </c>
      <c r="AL248" s="29" t="s">
        <v>73</v>
      </c>
      <c r="AM248" s="29" t="s">
        <v>73</v>
      </c>
      <c r="AN248" s="29" t="s">
        <v>73</v>
      </c>
      <c r="AO248" s="29" t="s">
        <v>73</v>
      </c>
      <c r="AP248" s="29" t="s">
        <v>73</v>
      </c>
      <c r="AQ248" s="30">
        <v>7000</v>
      </c>
      <c r="AR248" s="29" t="s">
        <v>73</v>
      </c>
      <c r="AS248" s="29" t="s">
        <v>73</v>
      </c>
      <c r="AT248" s="29" t="s">
        <v>73</v>
      </c>
      <c r="AU248" s="29" t="s">
        <v>73</v>
      </c>
      <c r="AV248" s="29" t="s">
        <v>73</v>
      </c>
      <c r="AW248" s="29" t="s">
        <v>73</v>
      </c>
      <c r="AX248" s="30">
        <v>7000</v>
      </c>
      <c r="AY248" s="30" t="s">
        <v>6</v>
      </c>
      <c r="AZ248" s="2" t="s">
        <v>74</v>
      </c>
      <c r="BA248" s="2"/>
    </row>
    <row r="249" spans="1:53" ht="51" x14ac:dyDescent="0.25">
      <c r="A249" s="19">
        <v>2026</v>
      </c>
      <c r="B249" s="20">
        <v>479</v>
      </c>
      <c r="C249" s="21" t="s">
        <v>64</v>
      </c>
      <c r="D249" s="21" t="s">
        <v>65</v>
      </c>
      <c r="E249" s="20">
        <v>125</v>
      </c>
      <c r="F249" s="20">
        <v>3000654</v>
      </c>
      <c r="G249" s="20">
        <v>5005023</v>
      </c>
      <c r="H249" s="20">
        <v>3</v>
      </c>
      <c r="I249" s="20">
        <v>12</v>
      </c>
      <c r="J249" s="20">
        <v>24</v>
      </c>
      <c r="K249" s="20">
        <v>135560</v>
      </c>
      <c r="L249" s="21" t="s">
        <v>98</v>
      </c>
      <c r="M249" s="33" t="s">
        <v>99</v>
      </c>
      <c r="N249" s="19">
        <v>94</v>
      </c>
      <c r="O249" s="2"/>
      <c r="P249" s="2" t="s">
        <v>4</v>
      </c>
      <c r="Q249" s="20" t="s">
        <v>68</v>
      </c>
      <c r="R249" s="25" t="s">
        <v>69</v>
      </c>
      <c r="S249" s="41" t="s">
        <v>137</v>
      </c>
      <c r="T249" s="41"/>
      <c r="U249" s="31" t="s">
        <v>314</v>
      </c>
      <c r="V249" s="25" t="s">
        <v>3</v>
      </c>
      <c r="W249" s="25">
        <v>1</v>
      </c>
      <c r="X249" s="27">
        <v>7000</v>
      </c>
      <c r="Y249" s="1142"/>
      <c r="Z249" s="1143"/>
      <c r="AA249" s="1143"/>
      <c r="AB249" s="1144"/>
      <c r="AC249" s="25">
        <v>30</v>
      </c>
      <c r="AD249" s="25"/>
      <c r="AE249" s="1142"/>
      <c r="AF249" s="1143"/>
      <c r="AG249" s="1143"/>
      <c r="AH249" s="1143"/>
      <c r="AI249" s="1143"/>
      <c r="AJ249" s="1145"/>
      <c r="AK249" s="35">
        <v>7000</v>
      </c>
      <c r="AL249" s="29" t="s">
        <v>73</v>
      </c>
      <c r="AM249" s="29" t="s">
        <v>73</v>
      </c>
      <c r="AN249" s="29" t="s">
        <v>73</v>
      </c>
      <c r="AO249" s="29" t="s">
        <v>73</v>
      </c>
      <c r="AP249" s="30">
        <v>7000</v>
      </c>
      <c r="AQ249" s="29" t="s">
        <v>73</v>
      </c>
      <c r="AR249" s="29" t="s">
        <v>73</v>
      </c>
      <c r="AS249" s="29" t="s">
        <v>73</v>
      </c>
      <c r="AT249" s="29" t="s">
        <v>73</v>
      </c>
      <c r="AU249" s="29" t="s">
        <v>73</v>
      </c>
      <c r="AV249" s="29" t="s">
        <v>73</v>
      </c>
      <c r="AW249" s="29" t="s">
        <v>73</v>
      </c>
      <c r="AX249" s="30">
        <v>7000</v>
      </c>
      <c r="AY249" s="18" t="s">
        <v>6</v>
      </c>
      <c r="AZ249" s="2" t="s">
        <v>74</v>
      </c>
      <c r="BA249" s="2"/>
    </row>
    <row r="250" spans="1:53" ht="51" x14ac:dyDescent="0.25">
      <c r="A250" s="19">
        <v>2026</v>
      </c>
      <c r="B250" s="20">
        <v>479</v>
      </c>
      <c r="C250" s="21" t="s">
        <v>64</v>
      </c>
      <c r="D250" s="21" t="s">
        <v>65</v>
      </c>
      <c r="E250" s="20">
        <v>125</v>
      </c>
      <c r="F250" s="20">
        <v>3000654</v>
      </c>
      <c r="G250" s="20">
        <v>5005023</v>
      </c>
      <c r="H250" s="20">
        <v>3</v>
      </c>
      <c r="I250" s="20">
        <v>12</v>
      </c>
      <c r="J250" s="20">
        <v>24</v>
      </c>
      <c r="K250" s="20">
        <v>135560</v>
      </c>
      <c r="L250" s="21" t="s">
        <v>220</v>
      </c>
      <c r="M250" s="33" t="s">
        <v>221</v>
      </c>
      <c r="N250" s="19">
        <v>97</v>
      </c>
      <c r="O250" s="2"/>
      <c r="P250" s="2" t="s">
        <v>4</v>
      </c>
      <c r="Q250" s="20" t="s">
        <v>68</v>
      </c>
      <c r="R250" s="25" t="s">
        <v>69</v>
      </c>
      <c r="S250" s="41" t="s">
        <v>137</v>
      </c>
      <c r="T250" s="41"/>
      <c r="U250" s="31" t="s">
        <v>314</v>
      </c>
      <c r="V250" s="25" t="s">
        <v>3</v>
      </c>
      <c r="W250" s="25">
        <v>1</v>
      </c>
      <c r="X250" s="27">
        <v>7000</v>
      </c>
      <c r="Y250" s="1142"/>
      <c r="Z250" s="1143"/>
      <c r="AA250" s="1143"/>
      <c r="AB250" s="1144"/>
      <c r="AC250" s="25"/>
      <c r="AD250" s="25">
        <v>30</v>
      </c>
      <c r="AE250" s="1142"/>
      <c r="AF250" s="1143"/>
      <c r="AG250" s="1143"/>
      <c r="AH250" s="1143"/>
      <c r="AI250" s="1143"/>
      <c r="AJ250" s="1145"/>
      <c r="AK250" s="35">
        <v>7000</v>
      </c>
      <c r="AL250" s="29" t="s">
        <v>73</v>
      </c>
      <c r="AM250" s="29" t="s">
        <v>73</v>
      </c>
      <c r="AN250" s="29" t="s">
        <v>73</v>
      </c>
      <c r="AO250" s="29" t="s">
        <v>73</v>
      </c>
      <c r="AP250" s="29" t="s">
        <v>73</v>
      </c>
      <c r="AQ250" s="30">
        <v>7000</v>
      </c>
      <c r="AR250" s="29" t="s">
        <v>73</v>
      </c>
      <c r="AS250" s="29" t="s">
        <v>73</v>
      </c>
      <c r="AT250" s="29" t="s">
        <v>73</v>
      </c>
      <c r="AU250" s="29" t="s">
        <v>73</v>
      </c>
      <c r="AV250" s="29" t="s">
        <v>73</v>
      </c>
      <c r="AW250" s="29" t="s">
        <v>73</v>
      </c>
      <c r="AX250" s="30">
        <v>7000</v>
      </c>
      <c r="AY250" s="30" t="s">
        <v>6</v>
      </c>
      <c r="AZ250" s="2" t="s">
        <v>74</v>
      </c>
      <c r="BA250" s="2"/>
    </row>
    <row r="251" spans="1:53" ht="51" x14ac:dyDescent="0.25">
      <c r="A251" s="19">
        <v>2026</v>
      </c>
      <c r="B251" s="20">
        <v>479</v>
      </c>
      <c r="C251" s="21" t="s">
        <v>64</v>
      </c>
      <c r="D251" s="21" t="s">
        <v>65</v>
      </c>
      <c r="E251" s="20">
        <v>125</v>
      </c>
      <c r="F251" s="20">
        <v>3000654</v>
      </c>
      <c r="G251" s="20">
        <v>5005023</v>
      </c>
      <c r="H251" s="20">
        <v>3</v>
      </c>
      <c r="I251" s="20">
        <v>12</v>
      </c>
      <c r="J251" s="20">
        <v>24</v>
      </c>
      <c r="K251" s="20">
        <v>135560</v>
      </c>
      <c r="L251" s="21" t="s">
        <v>220</v>
      </c>
      <c r="M251" s="33" t="s">
        <v>221</v>
      </c>
      <c r="N251" s="19">
        <v>97</v>
      </c>
      <c r="O251" s="2"/>
      <c r="P251" s="2" t="s">
        <v>4</v>
      </c>
      <c r="Q251" s="20" t="s">
        <v>68</v>
      </c>
      <c r="R251" s="25" t="s">
        <v>69</v>
      </c>
      <c r="S251" s="41" t="s">
        <v>137</v>
      </c>
      <c r="T251" s="41"/>
      <c r="U251" s="31" t="s">
        <v>315</v>
      </c>
      <c r="V251" s="25" t="s">
        <v>3</v>
      </c>
      <c r="W251" s="25">
        <v>1</v>
      </c>
      <c r="X251" s="27">
        <v>7000</v>
      </c>
      <c r="Y251" s="1142"/>
      <c r="Z251" s="1143"/>
      <c r="AA251" s="1143"/>
      <c r="AB251" s="1144"/>
      <c r="AC251" s="25">
        <v>30</v>
      </c>
      <c r="AD251" s="25">
        <v>30</v>
      </c>
      <c r="AE251" s="1142"/>
      <c r="AF251" s="1143"/>
      <c r="AG251" s="1143"/>
      <c r="AH251" s="1143"/>
      <c r="AI251" s="1143"/>
      <c r="AJ251" s="1145"/>
      <c r="AK251" s="35">
        <v>14000</v>
      </c>
      <c r="AL251" s="29" t="s">
        <v>73</v>
      </c>
      <c r="AM251" s="29" t="s">
        <v>73</v>
      </c>
      <c r="AN251" s="29" t="s">
        <v>73</v>
      </c>
      <c r="AO251" s="29" t="s">
        <v>73</v>
      </c>
      <c r="AP251" s="30">
        <v>7000</v>
      </c>
      <c r="AQ251" s="30">
        <v>7000</v>
      </c>
      <c r="AR251" s="29" t="s">
        <v>73</v>
      </c>
      <c r="AS251" s="29" t="s">
        <v>73</v>
      </c>
      <c r="AT251" s="29" t="s">
        <v>73</v>
      </c>
      <c r="AU251" s="29" t="s">
        <v>73</v>
      </c>
      <c r="AV251" s="29" t="s">
        <v>73</v>
      </c>
      <c r="AW251" s="29" t="s">
        <v>73</v>
      </c>
      <c r="AX251" s="30">
        <v>14000</v>
      </c>
      <c r="AY251" s="30" t="s">
        <v>6</v>
      </c>
      <c r="AZ251" s="2" t="s">
        <v>74</v>
      </c>
      <c r="BA251" s="2"/>
    </row>
    <row r="252" spans="1:53" ht="51" x14ac:dyDescent="0.25">
      <c r="A252" s="19">
        <v>2026</v>
      </c>
      <c r="B252" s="20">
        <v>479</v>
      </c>
      <c r="C252" s="21" t="s">
        <v>64</v>
      </c>
      <c r="D252" s="21" t="s">
        <v>65</v>
      </c>
      <c r="E252" s="20">
        <v>125</v>
      </c>
      <c r="F252" s="20">
        <v>3000654</v>
      </c>
      <c r="G252" s="20">
        <v>5005023</v>
      </c>
      <c r="H252" s="20">
        <v>3</v>
      </c>
      <c r="I252" s="20">
        <v>12</v>
      </c>
      <c r="J252" s="20">
        <v>24</v>
      </c>
      <c r="K252" s="20">
        <v>135560</v>
      </c>
      <c r="L252" s="21" t="s">
        <v>220</v>
      </c>
      <c r="M252" s="33" t="s">
        <v>221</v>
      </c>
      <c r="N252" s="19">
        <v>97</v>
      </c>
      <c r="O252" s="2"/>
      <c r="P252" s="2" t="s">
        <v>4</v>
      </c>
      <c r="Q252" s="20" t="s">
        <v>68</v>
      </c>
      <c r="R252" s="25" t="s">
        <v>69</v>
      </c>
      <c r="S252" s="41" t="s">
        <v>137</v>
      </c>
      <c r="T252" s="41"/>
      <c r="U252" s="31" t="s">
        <v>316</v>
      </c>
      <c r="V252" s="25" t="s">
        <v>3</v>
      </c>
      <c r="W252" s="25">
        <v>1</v>
      </c>
      <c r="X252" s="27">
        <v>7000</v>
      </c>
      <c r="Y252" s="1142"/>
      <c r="Z252" s="1143"/>
      <c r="AA252" s="1143"/>
      <c r="AB252" s="1144"/>
      <c r="AC252" s="25">
        <v>30</v>
      </c>
      <c r="AD252" s="25">
        <v>30</v>
      </c>
      <c r="AE252" s="1142"/>
      <c r="AF252" s="1143"/>
      <c r="AG252" s="1143"/>
      <c r="AH252" s="1143"/>
      <c r="AI252" s="1143"/>
      <c r="AJ252" s="1145"/>
      <c r="AK252" s="35">
        <v>14000</v>
      </c>
      <c r="AL252" s="29" t="s">
        <v>73</v>
      </c>
      <c r="AM252" s="29" t="s">
        <v>73</v>
      </c>
      <c r="AN252" s="29" t="s">
        <v>73</v>
      </c>
      <c r="AO252" s="29" t="s">
        <v>73</v>
      </c>
      <c r="AP252" s="30">
        <v>7000</v>
      </c>
      <c r="AQ252" s="30">
        <v>7000</v>
      </c>
      <c r="AR252" s="29" t="s">
        <v>73</v>
      </c>
      <c r="AS252" s="29" t="s">
        <v>73</v>
      </c>
      <c r="AT252" s="29" t="s">
        <v>73</v>
      </c>
      <c r="AU252" s="29" t="s">
        <v>73</v>
      </c>
      <c r="AV252" s="29" t="s">
        <v>73</v>
      </c>
      <c r="AW252" s="29" t="s">
        <v>73</v>
      </c>
      <c r="AX252" s="30">
        <v>14000</v>
      </c>
      <c r="AY252" s="30" t="s">
        <v>6</v>
      </c>
      <c r="AZ252" s="2" t="s">
        <v>74</v>
      </c>
      <c r="BA252" s="2"/>
    </row>
    <row r="253" spans="1:53" ht="51" x14ac:dyDescent="0.25">
      <c r="A253" s="19">
        <v>2026</v>
      </c>
      <c r="B253" s="20">
        <v>479</v>
      </c>
      <c r="C253" s="21" t="s">
        <v>64</v>
      </c>
      <c r="D253" s="21" t="s">
        <v>65</v>
      </c>
      <c r="E253" s="20">
        <v>125</v>
      </c>
      <c r="F253" s="20">
        <v>3000654</v>
      </c>
      <c r="G253" s="20">
        <v>5005023</v>
      </c>
      <c r="H253" s="20">
        <v>3</v>
      </c>
      <c r="I253" s="20">
        <v>12</v>
      </c>
      <c r="J253" s="20">
        <v>24</v>
      </c>
      <c r="K253" s="20">
        <v>135560</v>
      </c>
      <c r="L253" s="21" t="s">
        <v>220</v>
      </c>
      <c r="M253" s="33" t="s">
        <v>221</v>
      </c>
      <c r="N253" s="19">
        <v>97</v>
      </c>
      <c r="O253" s="2"/>
      <c r="P253" s="2" t="s">
        <v>4</v>
      </c>
      <c r="Q253" s="20" t="s">
        <v>68</v>
      </c>
      <c r="R253" s="25" t="s">
        <v>69</v>
      </c>
      <c r="S253" s="41" t="s">
        <v>137</v>
      </c>
      <c r="T253" s="41"/>
      <c r="U253" s="31" t="s">
        <v>317</v>
      </c>
      <c r="V253" s="25" t="s">
        <v>3</v>
      </c>
      <c r="W253" s="25">
        <v>1</v>
      </c>
      <c r="X253" s="27">
        <v>7000</v>
      </c>
      <c r="Y253" s="1142"/>
      <c r="Z253" s="1143"/>
      <c r="AA253" s="1143"/>
      <c r="AB253" s="1144"/>
      <c r="AC253" s="25">
        <v>30</v>
      </c>
      <c r="AD253" s="25">
        <v>30</v>
      </c>
      <c r="AE253" s="1142"/>
      <c r="AF253" s="1143"/>
      <c r="AG253" s="1143"/>
      <c r="AH253" s="1143"/>
      <c r="AI253" s="1143"/>
      <c r="AJ253" s="1145"/>
      <c r="AK253" s="35">
        <v>14000</v>
      </c>
      <c r="AL253" s="29" t="s">
        <v>73</v>
      </c>
      <c r="AM253" s="29" t="s">
        <v>73</v>
      </c>
      <c r="AN253" s="29" t="s">
        <v>73</v>
      </c>
      <c r="AO253" s="29" t="s">
        <v>73</v>
      </c>
      <c r="AP253" s="30">
        <v>7000</v>
      </c>
      <c r="AQ253" s="30">
        <v>7000</v>
      </c>
      <c r="AR253" s="29" t="s">
        <v>73</v>
      </c>
      <c r="AS253" s="29" t="s">
        <v>73</v>
      </c>
      <c r="AT253" s="29" t="s">
        <v>73</v>
      </c>
      <c r="AU253" s="29" t="s">
        <v>73</v>
      </c>
      <c r="AV253" s="29" t="s">
        <v>73</v>
      </c>
      <c r="AW253" s="29" t="s">
        <v>73</v>
      </c>
      <c r="AX253" s="30">
        <v>14000</v>
      </c>
      <c r="AY253" s="30" t="s">
        <v>6</v>
      </c>
      <c r="AZ253" s="2" t="s">
        <v>74</v>
      </c>
      <c r="BA253" s="2"/>
    </row>
    <row r="254" spans="1:53" ht="51" x14ac:dyDescent="0.25">
      <c r="A254" s="19">
        <v>2026</v>
      </c>
      <c r="B254" s="20">
        <v>479</v>
      </c>
      <c r="C254" s="21" t="s">
        <v>64</v>
      </c>
      <c r="D254" s="21" t="s">
        <v>65</v>
      </c>
      <c r="E254" s="20">
        <v>125</v>
      </c>
      <c r="F254" s="20">
        <v>3000654</v>
      </c>
      <c r="G254" s="20">
        <v>5005023</v>
      </c>
      <c r="H254" s="20">
        <v>3</v>
      </c>
      <c r="I254" s="20">
        <v>12</v>
      </c>
      <c r="J254" s="20">
        <v>24</v>
      </c>
      <c r="K254" s="20">
        <v>135560</v>
      </c>
      <c r="L254" s="21" t="s">
        <v>220</v>
      </c>
      <c r="M254" s="33" t="s">
        <v>221</v>
      </c>
      <c r="N254" s="19">
        <v>97</v>
      </c>
      <c r="O254" s="2"/>
      <c r="P254" s="2" t="s">
        <v>4</v>
      </c>
      <c r="Q254" s="20" t="s">
        <v>68</v>
      </c>
      <c r="R254" s="25" t="s">
        <v>69</v>
      </c>
      <c r="S254" s="41" t="s">
        <v>137</v>
      </c>
      <c r="T254" s="41"/>
      <c r="U254" s="31" t="s">
        <v>318</v>
      </c>
      <c r="V254" s="25" t="s">
        <v>3</v>
      </c>
      <c r="W254" s="25">
        <v>1</v>
      </c>
      <c r="X254" s="27">
        <v>7000</v>
      </c>
      <c r="Y254" s="1142"/>
      <c r="Z254" s="1143"/>
      <c r="AA254" s="1143"/>
      <c r="AB254" s="1144"/>
      <c r="AC254" s="25">
        <v>30</v>
      </c>
      <c r="AD254" s="25">
        <v>30</v>
      </c>
      <c r="AE254" s="1142"/>
      <c r="AF254" s="1143"/>
      <c r="AG254" s="1143"/>
      <c r="AH254" s="1143"/>
      <c r="AI254" s="1143"/>
      <c r="AJ254" s="1145"/>
      <c r="AK254" s="35">
        <v>14000</v>
      </c>
      <c r="AL254" s="29" t="s">
        <v>73</v>
      </c>
      <c r="AM254" s="29" t="s">
        <v>73</v>
      </c>
      <c r="AN254" s="29" t="s">
        <v>73</v>
      </c>
      <c r="AO254" s="29" t="s">
        <v>73</v>
      </c>
      <c r="AP254" s="30">
        <v>7000</v>
      </c>
      <c r="AQ254" s="30">
        <v>7000</v>
      </c>
      <c r="AR254" s="29" t="s">
        <v>73</v>
      </c>
      <c r="AS254" s="29" t="s">
        <v>73</v>
      </c>
      <c r="AT254" s="29" t="s">
        <v>73</v>
      </c>
      <c r="AU254" s="29" t="s">
        <v>73</v>
      </c>
      <c r="AV254" s="29" t="s">
        <v>73</v>
      </c>
      <c r="AW254" s="29" t="s">
        <v>73</v>
      </c>
      <c r="AX254" s="30">
        <v>14000</v>
      </c>
      <c r="AY254" s="30" t="s">
        <v>6</v>
      </c>
      <c r="AZ254" s="2" t="s">
        <v>74</v>
      </c>
      <c r="BA254" s="2"/>
    </row>
    <row r="255" spans="1:53" ht="51" x14ac:dyDescent="0.25">
      <c r="A255" s="19">
        <v>2026</v>
      </c>
      <c r="B255" s="20">
        <v>479</v>
      </c>
      <c r="C255" s="21" t="s">
        <v>64</v>
      </c>
      <c r="D255" s="21" t="s">
        <v>65</v>
      </c>
      <c r="E255" s="20">
        <v>125</v>
      </c>
      <c r="F255" s="20">
        <v>3000654</v>
      </c>
      <c r="G255" s="20">
        <v>5005023</v>
      </c>
      <c r="H255" s="20">
        <v>3</v>
      </c>
      <c r="I255" s="20">
        <v>12</v>
      </c>
      <c r="J255" s="20">
        <v>24</v>
      </c>
      <c r="K255" s="20">
        <v>135560</v>
      </c>
      <c r="L255" s="21" t="s">
        <v>220</v>
      </c>
      <c r="M255" s="33" t="s">
        <v>221</v>
      </c>
      <c r="N255" s="19">
        <v>97</v>
      </c>
      <c r="O255" s="2"/>
      <c r="P255" s="2" t="s">
        <v>4</v>
      </c>
      <c r="Q255" s="20" t="s">
        <v>68</v>
      </c>
      <c r="R255" s="25" t="s">
        <v>69</v>
      </c>
      <c r="S255" s="41" t="s">
        <v>137</v>
      </c>
      <c r="T255" s="41"/>
      <c r="U255" s="31" t="s">
        <v>319</v>
      </c>
      <c r="V255" s="25" t="s">
        <v>3</v>
      </c>
      <c r="W255" s="25">
        <v>1</v>
      </c>
      <c r="X255" s="27">
        <v>7000</v>
      </c>
      <c r="Y255" s="1142"/>
      <c r="Z255" s="1143"/>
      <c r="AA255" s="1143"/>
      <c r="AB255" s="1144"/>
      <c r="AC255" s="25">
        <v>30</v>
      </c>
      <c r="AD255" s="25">
        <v>30</v>
      </c>
      <c r="AE255" s="1142"/>
      <c r="AF255" s="1143"/>
      <c r="AG255" s="1143"/>
      <c r="AH255" s="1143"/>
      <c r="AI255" s="1143"/>
      <c r="AJ255" s="1145"/>
      <c r="AK255" s="35">
        <v>14000</v>
      </c>
      <c r="AL255" s="29" t="s">
        <v>73</v>
      </c>
      <c r="AM255" s="29" t="s">
        <v>73</v>
      </c>
      <c r="AN255" s="29" t="s">
        <v>73</v>
      </c>
      <c r="AO255" s="29" t="s">
        <v>73</v>
      </c>
      <c r="AP255" s="30">
        <v>7000</v>
      </c>
      <c r="AQ255" s="30">
        <v>7000</v>
      </c>
      <c r="AR255" s="29" t="s">
        <v>73</v>
      </c>
      <c r="AS255" s="29" t="s">
        <v>73</v>
      </c>
      <c r="AT255" s="29" t="s">
        <v>73</v>
      </c>
      <c r="AU255" s="29" t="s">
        <v>73</v>
      </c>
      <c r="AV255" s="29" t="s">
        <v>73</v>
      </c>
      <c r="AW255" s="29" t="s">
        <v>73</v>
      </c>
      <c r="AX255" s="30">
        <v>14000</v>
      </c>
      <c r="AY255" s="30" t="s">
        <v>6</v>
      </c>
      <c r="AZ255" s="2" t="s">
        <v>74</v>
      </c>
      <c r="BA255" s="2"/>
    </row>
    <row r="256" spans="1:53" ht="51" x14ac:dyDescent="0.25">
      <c r="A256" s="19">
        <v>2026</v>
      </c>
      <c r="B256" s="20">
        <v>479</v>
      </c>
      <c r="C256" s="21" t="s">
        <v>64</v>
      </c>
      <c r="D256" s="21" t="s">
        <v>65</v>
      </c>
      <c r="E256" s="20">
        <v>125</v>
      </c>
      <c r="F256" s="20">
        <v>3000654</v>
      </c>
      <c r="G256" s="20">
        <v>5005023</v>
      </c>
      <c r="H256" s="20">
        <v>3</v>
      </c>
      <c r="I256" s="20">
        <v>12</v>
      </c>
      <c r="J256" s="20">
        <v>24</v>
      </c>
      <c r="K256" s="20">
        <v>135560</v>
      </c>
      <c r="L256" s="21" t="s">
        <v>220</v>
      </c>
      <c r="M256" s="33" t="s">
        <v>221</v>
      </c>
      <c r="N256" s="19">
        <v>97</v>
      </c>
      <c r="O256" s="2"/>
      <c r="P256" s="2" t="s">
        <v>4</v>
      </c>
      <c r="Q256" s="20" t="s">
        <v>68</v>
      </c>
      <c r="R256" s="25" t="s">
        <v>69</v>
      </c>
      <c r="S256" s="41" t="s">
        <v>137</v>
      </c>
      <c r="T256" s="41"/>
      <c r="U256" s="31" t="s">
        <v>320</v>
      </c>
      <c r="V256" s="25" t="s">
        <v>3</v>
      </c>
      <c r="W256" s="25">
        <v>1</v>
      </c>
      <c r="X256" s="27">
        <v>7000</v>
      </c>
      <c r="Y256" s="1142"/>
      <c r="Z256" s="1143"/>
      <c r="AA256" s="1143"/>
      <c r="AB256" s="1144"/>
      <c r="AC256" s="25">
        <v>30</v>
      </c>
      <c r="AD256" s="25">
        <v>30</v>
      </c>
      <c r="AE256" s="1142"/>
      <c r="AF256" s="1143"/>
      <c r="AG256" s="1143"/>
      <c r="AH256" s="1143"/>
      <c r="AI256" s="1143"/>
      <c r="AJ256" s="1145"/>
      <c r="AK256" s="35">
        <v>14000</v>
      </c>
      <c r="AL256" s="29" t="s">
        <v>73</v>
      </c>
      <c r="AM256" s="29" t="s">
        <v>73</v>
      </c>
      <c r="AN256" s="29" t="s">
        <v>73</v>
      </c>
      <c r="AO256" s="29" t="s">
        <v>73</v>
      </c>
      <c r="AP256" s="30">
        <v>7000</v>
      </c>
      <c r="AQ256" s="30">
        <v>7000</v>
      </c>
      <c r="AR256" s="29" t="s">
        <v>73</v>
      </c>
      <c r="AS256" s="29" t="s">
        <v>73</v>
      </c>
      <c r="AT256" s="29" t="s">
        <v>73</v>
      </c>
      <c r="AU256" s="29" t="s">
        <v>73</v>
      </c>
      <c r="AV256" s="29" t="s">
        <v>73</v>
      </c>
      <c r="AW256" s="29" t="s">
        <v>73</v>
      </c>
      <c r="AX256" s="30">
        <v>14000</v>
      </c>
      <c r="AY256" s="30" t="s">
        <v>6</v>
      </c>
      <c r="AZ256" s="2" t="s">
        <v>74</v>
      </c>
      <c r="BA256" s="2"/>
    </row>
    <row r="257" spans="1:53" ht="51" x14ac:dyDescent="0.25">
      <c r="A257" s="19">
        <v>2026</v>
      </c>
      <c r="B257" s="20">
        <v>479</v>
      </c>
      <c r="C257" s="21" t="s">
        <v>64</v>
      </c>
      <c r="D257" s="21" t="s">
        <v>65</v>
      </c>
      <c r="E257" s="20">
        <v>125</v>
      </c>
      <c r="F257" s="20">
        <v>3000654</v>
      </c>
      <c r="G257" s="20">
        <v>5005023</v>
      </c>
      <c r="H257" s="20">
        <v>3</v>
      </c>
      <c r="I257" s="20">
        <v>12</v>
      </c>
      <c r="J257" s="20">
        <v>24</v>
      </c>
      <c r="K257" s="20">
        <v>135560</v>
      </c>
      <c r="L257" s="21" t="s">
        <v>220</v>
      </c>
      <c r="M257" s="33" t="s">
        <v>221</v>
      </c>
      <c r="N257" s="19">
        <v>97</v>
      </c>
      <c r="O257" s="2"/>
      <c r="P257" s="2" t="s">
        <v>4</v>
      </c>
      <c r="Q257" s="20" t="s">
        <v>68</v>
      </c>
      <c r="R257" s="25" t="s">
        <v>69</v>
      </c>
      <c r="S257" s="41" t="s">
        <v>137</v>
      </c>
      <c r="T257" s="41"/>
      <c r="U257" s="31" t="s">
        <v>321</v>
      </c>
      <c r="V257" s="25" t="s">
        <v>3</v>
      </c>
      <c r="W257" s="25">
        <v>1</v>
      </c>
      <c r="X257" s="27">
        <v>7000</v>
      </c>
      <c r="Y257" s="1142"/>
      <c r="Z257" s="1143"/>
      <c r="AA257" s="1143"/>
      <c r="AB257" s="1144"/>
      <c r="AC257" s="25">
        <v>30</v>
      </c>
      <c r="AD257" s="25">
        <v>30</v>
      </c>
      <c r="AE257" s="1142"/>
      <c r="AF257" s="1143"/>
      <c r="AG257" s="1143"/>
      <c r="AH257" s="1143"/>
      <c r="AI257" s="1143"/>
      <c r="AJ257" s="1145"/>
      <c r="AK257" s="35">
        <v>14000</v>
      </c>
      <c r="AL257" s="29" t="s">
        <v>73</v>
      </c>
      <c r="AM257" s="29" t="s">
        <v>73</v>
      </c>
      <c r="AN257" s="29" t="s">
        <v>73</v>
      </c>
      <c r="AO257" s="29" t="s">
        <v>73</v>
      </c>
      <c r="AP257" s="30">
        <v>7000</v>
      </c>
      <c r="AQ257" s="30">
        <v>7000</v>
      </c>
      <c r="AR257" s="29" t="s">
        <v>73</v>
      </c>
      <c r="AS257" s="29" t="s">
        <v>73</v>
      </c>
      <c r="AT257" s="29" t="s">
        <v>73</v>
      </c>
      <c r="AU257" s="29" t="s">
        <v>73</v>
      </c>
      <c r="AV257" s="29" t="s">
        <v>73</v>
      </c>
      <c r="AW257" s="29" t="s">
        <v>73</v>
      </c>
      <c r="AX257" s="30">
        <v>14000</v>
      </c>
      <c r="AY257" s="30" t="s">
        <v>6</v>
      </c>
      <c r="AZ257" s="2" t="s">
        <v>74</v>
      </c>
      <c r="BA257" s="2"/>
    </row>
    <row r="258" spans="1:53" ht="51" x14ac:dyDescent="0.25">
      <c r="A258" s="19">
        <v>2026</v>
      </c>
      <c r="B258" s="20">
        <v>479</v>
      </c>
      <c r="C258" s="21" t="s">
        <v>64</v>
      </c>
      <c r="D258" s="21" t="s">
        <v>65</v>
      </c>
      <c r="E258" s="20">
        <v>125</v>
      </c>
      <c r="F258" s="20">
        <v>3000654</v>
      </c>
      <c r="G258" s="20">
        <v>5005023</v>
      </c>
      <c r="H258" s="20">
        <v>3</v>
      </c>
      <c r="I258" s="20">
        <v>12</v>
      </c>
      <c r="J258" s="20">
        <v>24</v>
      </c>
      <c r="K258" s="20">
        <v>135560</v>
      </c>
      <c r="L258" s="21" t="s">
        <v>98</v>
      </c>
      <c r="M258" s="33" t="s">
        <v>99</v>
      </c>
      <c r="N258" s="19">
        <v>94</v>
      </c>
      <c r="O258" s="2"/>
      <c r="P258" s="2" t="s">
        <v>4</v>
      </c>
      <c r="Q258" s="20" t="s">
        <v>68</v>
      </c>
      <c r="R258" s="25" t="s">
        <v>69</v>
      </c>
      <c r="S258" s="41" t="s">
        <v>137</v>
      </c>
      <c r="T258" s="41"/>
      <c r="U258" s="31" t="s">
        <v>322</v>
      </c>
      <c r="V258" s="25" t="s">
        <v>3</v>
      </c>
      <c r="W258" s="25">
        <v>1</v>
      </c>
      <c r="X258" s="27">
        <v>7000</v>
      </c>
      <c r="Y258" s="1142"/>
      <c r="Z258" s="1143"/>
      <c r="AA258" s="1143"/>
      <c r="AB258" s="1144"/>
      <c r="AC258" s="25">
        <v>30</v>
      </c>
      <c r="AD258" s="25"/>
      <c r="AE258" s="1142"/>
      <c r="AF258" s="1143"/>
      <c r="AG258" s="1143"/>
      <c r="AH258" s="1143"/>
      <c r="AI258" s="1143"/>
      <c r="AJ258" s="1145"/>
      <c r="AK258" s="35">
        <v>7000</v>
      </c>
      <c r="AL258" s="29" t="s">
        <v>73</v>
      </c>
      <c r="AM258" s="29" t="s">
        <v>73</v>
      </c>
      <c r="AN258" s="29" t="s">
        <v>73</v>
      </c>
      <c r="AO258" s="29" t="s">
        <v>73</v>
      </c>
      <c r="AP258" s="30">
        <v>7000</v>
      </c>
      <c r="AQ258" s="29" t="s">
        <v>73</v>
      </c>
      <c r="AR258" s="29" t="s">
        <v>73</v>
      </c>
      <c r="AS258" s="29" t="s">
        <v>73</v>
      </c>
      <c r="AT258" s="29" t="s">
        <v>73</v>
      </c>
      <c r="AU258" s="29" t="s">
        <v>73</v>
      </c>
      <c r="AV258" s="29" t="s">
        <v>73</v>
      </c>
      <c r="AW258" s="29" t="s">
        <v>73</v>
      </c>
      <c r="AX258" s="30">
        <v>7000</v>
      </c>
      <c r="AY258" s="18" t="s">
        <v>6</v>
      </c>
      <c r="AZ258" s="2" t="s">
        <v>74</v>
      </c>
      <c r="BA258" s="2"/>
    </row>
    <row r="259" spans="1:53" ht="51" x14ac:dyDescent="0.25">
      <c r="A259" s="19">
        <v>2026</v>
      </c>
      <c r="B259" s="20">
        <v>479</v>
      </c>
      <c r="C259" s="21" t="s">
        <v>64</v>
      </c>
      <c r="D259" s="21" t="s">
        <v>65</v>
      </c>
      <c r="E259" s="20">
        <v>125</v>
      </c>
      <c r="F259" s="20">
        <v>3000654</v>
      </c>
      <c r="G259" s="20">
        <v>5005023</v>
      </c>
      <c r="H259" s="20">
        <v>3</v>
      </c>
      <c r="I259" s="20">
        <v>12</v>
      </c>
      <c r="J259" s="20">
        <v>24</v>
      </c>
      <c r="K259" s="20">
        <v>135560</v>
      </c>
      <c r="L259" s="21" t="s">
        <v>220</v>
      </c>
      <c r="M259" s="33" t="s">
        <v>221</v>
      </c>
      <c r="N259" s="19">
        <v>97</v>
      </c>
      <c r="O259" s="2"/>
      <c r="P259" s="2" t="s">
        <v>4</v>
      </c>
      <c r="Q259" s="20" t="s">
        <v>68</v>
      </c>
      <c r="R259" s="25" t="s">
        <v>69</v>
      </c>
      <c r="S259" s="41" t="s">
        <v>137</v>
      </c>
      <c r="T259" s="41"/>
      <c r="U259" s="31" t="s">
        <v>322</v>
      </c>
      <c r="V259" s="25" t="s">
        <v>3</v>
      </c>
      <c r="W259" s="25">
        <v>1</v>
      </c>
      <c r="X259" s="27">
        <v>7000</v>
      </c>
      <c r="Y259" s="1142"/>
      <c r="Z259" s="1143"/>
      <c r="AA259" s="1143"/>
      <c r="AB259" s="1144"/>
      <c r="AC259" s="25"/>
      <c r="AD259" s="25">
        <v>30</v>
      </c>
      <c r="AE259" s="1142"/>
      <c r="AF259" s="1143"/>
      <c r="AG259" s="1143"/>
      <c r="AH259" s="1143"/>
      <c r="AI259" s="1143"/>
      <c r="AJ259" s="1145"/>
      <c r="AK259" s="35">
        <v>7000</v>
      </c>
      <c r="AL259" s="29" t="s">
        <v>73</v>
      </c>
      <c r="AM259" s="29" t="s">
        <v>73</v>
      </c>
      <c r="AN259" s="29" t="s">
        <v>73</v>
      </c>
      <c r="AO259" s="29" t="s">
        <v>73</v>
      </c>
      <c r="AP259" s="29" t="s">
        <v>73</v>
      </c>
      <c r="AQ259" s="30">
        <v>7000</v>
      </c>
      <c r="AR259" s="29" t="s">
        <v>73</v>
      </c>
      <c r="AS259" s="29" t="s">
        <v>73</v>
      </c>
      <c r="AT259" s="29" t="s">
        <v>73</v>
      </c>
      <c r="AU259" s="29" t="s">
        <v>73</v>
      </c>
      <c r="AV259" s="29" t="s">
        <v>73</v>
      </c>
      <c r="AW259" s="29" t="s">
        <v>73</v>
      </c>
      <c r="AX259" s="30">
        <v>7000</v>
      </c>
      <c r="AY259" s="30" t="s">
        <v>6</v>
      </c>
      <c r="AZ259" s="2" t="s">
        <v>74</v>
      </c>
      <c r="BA259" s="2"/>
    </row>
    <row r="260" spans="1:53" ht="51" x14ac:dyDescent="0.25">
      <c r="A260" s="19">
        <v>2026</v>
      </c>
      <c r="B260" s="20">
        <v>479</v>
      </c>
      <c r="C260" s="21" t="s">
        <v>64</v>
      </c>
      <c r="D260" s="21" t="s">
        <v>65</v>
      </c>
      <c r="E260" s="20">
        <v>125</v>
      </c>
      <c r="F260" s="20">
        <v>3000654</v>
      </c>
      <c r="G260" s="20">
        <v>5005023</v>
      </c>
      <c r="H260" s="20">
        <v>3</v>
      </c>
      <c r="I260" s="20">
        <v>12</v>
      </c>
      <c r="J260" s="20">
        <v>24</v>
      </c>
      <c r="K260" s="20">
        <v>135560</v>
      </c>
      <c r="L260" s="21" t="s">
        <v>98</v>
      </c>
      <c r="M260" s="33" t="s">
        <v>99</v>
      </c>
      <c r="N260" s="19">
        <v>94</v>
      </c>
      <c r="O260" s="2"/>
      <c r="P260" s="2" t="s">
        <v>4</v>
      </c>
      <c r="Q260" s="20" t="s">
        <v>68</v>
      </c>
      <c r="R260" s="25" t="s">
        <v>69</v>
      </c>
      <c r="S260" s="41" t="s">
        <v>137</v>
      </c>
      <c r="T260" s="41"/>
      <c r="U260" s="31" t="s">
        <v>323</v>
      </c>
      <c r="V260" s="25" t="s">
        <v>3</v>
      </c>
      <c r="W260" s="25">
        <v>1</v>
      </c>
      <c r="X260" s="27">
        <v>7000</v>
      </c>
      <c r="Y260" s="1142"/>
      <c r="Z260" s="1143"/>
      <c r="AA260" s="1143"/>
      <c r="AB260" s="1144"/>
      <c r="AC260" s="25">
        <v>30</v>
      </c>
      <c r="AD260" s="25"/>
      <c r="AE260" s="1142"/>
      <c r="AF260" s="1143"/>
      <c r="AG260" s="1143"/>
      <c r="AH260" s="1143"/>
      <c r="AI260" s="1143"/>
      <c r="AJ260" s="1145"/>
      <c r="AK260" s="35">
        <v>7000</v>
      </c>
      <c r="AL260" s="29" t="s">
        <v>73</v>
      </c>
      <c r="AM260" s="29" t="s">
        <v>73</v>
      </c>
      <c r="AN260" s="29" t="s">
        <v>73</v>
      </c>
      <c r="AO260" s="29" t="s">
        <v>73</v>
      </c>
      <c r="AP260" s="30">
        <v>7000</v>
      </c>
      <c r="AQ260" s="29" t="s">
        <v>73</v>
      </c>
      <c r="AR260" s="29" t="s">
        <v>73</v>
      </c>
      <c r="AS260" s="29" t="s">
        <v>73</v>
      </c>
      <c r="AT260" s="29" t="s">
        <v>73</v>
      </c>
      <c r="AU260" s="29" t="s">
        <v>73</v>
      </c>
      <c r="AV260" s="29" t="s">
        <v>73</v>
      </c>
      <c r="AW260" s="29" t="s">
        <v>73</v>
      </c>
      <c r="AX260" s="30">
        <v>7000</v>
      </c>
      <c r="AY260" s="18" t="s">
        <v>6</v>
      </c>
      <c r="AZ260" s="2" t="s">
        <v>74</v>
      </c>
      <c r="BA260" s="2"/>
    </row>
    <row r="261" spans="1:53" ht="51" x14ac:dyDescent="0.25">
      <c r="A261" s="19">
        <v>2026</v>
      </c>
      <c r="B261" s="20">
        <v>479</v>
      </c>
      <c r="C261" s="21" t="s">
        <v>64</v>
      </c>
      <c r="D261" s="21" t="s">
        <v>65</v>
      </c>
      <c r="E261" s="20">
        <v>125</v>
      </c>
      <c r="F261" s="20">
        <v>3000654</v>
      </c>
      <c r="G261" s="20">
        <v>5005023</v>
      </c>
      <c r="H261" s="20">
        <v>3</v>
      </c>
      <c r="I261" s="20">
        <v>12</v>
      </c>
      <c r="J261" s="20">
        <v>24</v>
      </c>
      <c r="K261" s="20">
        <v>135560</v>
      </c>
      <c r="L261" s="21" t="s">
        <v>220</v>
      </c>
      <c r="M261" s="33" t="s">
        <v>221</v>
      </c>
      <c r="N261" s="19">
        <v>97</v>
      </c>
      <c r="O261" s="2"/>
      <c r="P261" s="2" t="s">
        <v>4</v>
      </c>
      <c r="Q261" s="20" t="s">
        <v>68</v>
      </c>
      <c r="R261" s="25" t="s">
        <v>69</v>
      </c>
      <c r="S261" s="41" t="s">
        <v>137</v>
      </c>
      <c r="T261" s="41"/>
      <c r="U261" s="31" t="s">
        <v>323</v>
      </c>
      <c r="V261" s="25" t="s">
        <v>3</v>
      </c>
      <c r="W261" s="25">
        <v>1</v>
      </c>
      <c r="X261" s="27">
        <v>7000</v>
      </c>
      <c r="Y261" s="1142"/>
      <c r="Z261" s="1143"/>
      <c r="AA261" s="1143"/>
      <c r="AB261" s="1144"/>
      <c r="AC261" s="25"/>
      <c r="AD261" s="25">
        <v>30</v>
      </c>
      <c r="AE261" s="1142"/>
      <c r="AF261" s="1143"/>
      <c r="AG261" s="1143"/>
      <c r="AH261" s="1143"/>
      <c r="AI261" s="1143"/>
      <c r="AJ261" s="1145"/>
      <c r="AK261" s="35">
        <v>7000</v>
      </c>
      <c r="AL261" s="29" t="s">
        <v>73</v>
      </c>
      <c r="AM261" s="29" t="s">
        <v>73</v>
      </c>
      <c r="AN261" s="29" t="s">
        <v>73</v>
      </c>
      <c r="AO261" s="29" t="s">
        <v>73</v>
      </c>
      <c r="AP261" s="29" t="s">
        <v>73</v>
      </c>
      <c r="AQ261" s="30">
        <v>7000</v>
      </c>
      <c r="AR261" s="29" t="s">
        <v>73</v>
      </c>
      <c r="AS261" s="29" t="s">
        <v>73</v>
      </c>
      <c r="AT261" s="29" t="s">
        <v>73</v>
      </c>
      <c r="AU261" s="29" t="s">
        <v>73</v>
      </c>
      <c r="AV261" s="29" t="s">
        <v>73</v>
      </c>
      <c r="AW261" s="29" t="s">
        <v>73</v>
      </c>
      <c r="AX261" s="30">
        <v>7000</v>
      </c>
      <c r="AY261" s="30" t="s">
        <v>6</v>
      </c>
      <c r="AZ261" s="2" t="s">
        <v>74</v>
      </c>
      <c r="BA261" s="2"/>
    </row>
    <row r="262" spans="1:53" ht="51" x14ac:dyDescent="0.25">
      <c r="A262" s="19">
        <v>2026</v>
      </c>
      <c r="B262" s="20">
        <v>479</v>
      </c>
      <c r="C262" s="21" t="s">
        <v>64</v>
      </c>
      <c r="D262" s="21" t="s">
        <v>65</v>
      </c>
      <c r="E262" s="20">
        <v>125</v>
      </c>
      <c r="F262" s="20">
        <v>3000654</v>
      </c>
      <c r="G262" s="20">
        <v>5005023</v>
      </c>
      <c r="H262" s="20">
        <v>3</v>
      </c>
      <c r="I262" s="20">
        <v>12</v>
      </c>
      <c r="J262" s="20">
        <v>24</v>
      </c>
      <c r="K262" s="20">
        <v>135560</v>
      </c>
      <c r="L262" s="21" t="s">
        <v>98</v>
      </c>
      <c r="M262" s="33" t="s">
        <v>99</v>
      </c>
      <c r="N262" s="19">
        <v>94</v>
      </c>
      <c r="O262" s="2"/>
      <c r="P262" s="2" t="s">
        <v>4</v>
      </c>
      <c r="Q262" s="20" t="s">
        <v>68</v>
      </c>
      <c r="R262" s="25" t="s">
        <v>69</v>
      </c>
      <c r="S262" s="41" t="s">
        <v>137</v>
      </c>
      <c r="T262" s="41"/>
      <c r="U262" s="31" t="s">
        <v>324</v>
      </c>
      <c r="V262" s="25" t="s">
        <v>3</v>
      </c>
      <c r="W262" s="25">
        <v>1</v>
      </c>
      <c r="X262" s="27">
        <v>7000</v>
      </c>
      <c r="Y262" s="1142"/>
      <c r="Z262" s="1143"/>
      <c r="AA262" s="1143"/>
      <c r="AB262" s="1144"/>
      <c r="AC262" s="25">
        <v>30</v>
      </c>
      <c r="AD262" s="25"/>
      <c r="AE262" s="1142"/>
      <c r="AF262" s="1143"/>
      <c r="AG262" s="1143"/>
      <c r="AH262" s="1143"/>
      <c r="AI262" s="1143"/>
      <c r="AJ262" s="1145"/>
      <c r="AK262" s="35">
        <v>7000</v>
      </c>
      <c r="AL262" s="29" t="s">
        <v>73</v>
      </c>
      <c r="AM262" s="29" t="s">
        <v>73</v>
      </c>
      <c r="AN262" s="29" t="s">
        <v>73</v>
      </c>
      <c r="AO262" s="29" t="s">
        <v>73</v>
      </c>
      <c r="AP262" s="30">
        <v>7000</v>
      </c>
      <c r="AQ262" s="29" t="s">
        <v>73</v>
      </c>
      <c r="AR262" s="29" t="s">
        <v>73</v>
      </c>
      <c r="AS262" s="29" t="s">
        <v>73</v>
      </c>
      <c r="AT262" s="29" t="s">
        <v>73</v>
      </c>
      <c r="AU262" s="29" t="s">
        <v>73</v>
      </c>
      <c r="AV262" s="29" t="s">
        <v>73</v>
      </c>
      <c r="AW262" s="29" t="s">
        <v>73</v>
      </c>
      <c r="AX262" s="30">
        <v>7000</v>
      </c>
      <c r="AY262" s="18" t="s">
        <v>6</v>
      </c>
      <c r="AZ262" s="2" t="s">
        <v>74</v>
      </c>
      <c r="BA262" s="2"/>
    </row>
    <row r="263" spans="1:53" ht="51" x14ac:dyDescent="0.25">
      <c r="A263" s="19">
        <v>2026</v>
      </c>
      <c r="B263" s="20">
        <v>479</v>
      </c>
      <c r="C263" s="21" t="s">
        <v>64</v>
      </c>
      <c r="D263" s="21" t="s">
        <v>65</v>
      </c>
      <c r="E263" s="20">
        <v>125</v>
      </c>
      <c r="F263" s="20">
        <v>3000654</v>
      </c>
      <c r="G263" s="20">
        <v>5005023</v>
      </c>
      <c r="H263" s="20">
        <v>3</v>
      </c>
      <c r="I263" s="20">
        <v>12</v>
      </c>
      <c r="J263" s="20">
        <v>24</v>
      </c>
      <c r="K263" s="20">
        <v>135560</v>
      </c>
      <c r="L263" s="21" t="s">
        <v>220</v>
      </c>
      <c r="M263" s="33" t="s">
        <v>221</v>
      </c>
      <c r="N263" s="19">
        <v>97</v>
      </c>
      <c r="O263" s="2"/>
      <c r="P263" s="2" t="s">
        <v>4</v>
      </c>
      <c r="Q263" s="20" t="s">
        <v>68</v>
      </c>
      <c r="R263" s="25" t="s">
        <v>69</v>
      </c>
      <c r="S263" s="41" t="s">
        <v>137</v>
      </c>
      <c r="T263" s="41"/>
      <c r="U263" s="31" t="s">
        <v>324</v>
      </c>
      <c r="V263" s="25" t="s">
        <v>3</v>
      </c>
      <c r="W263" s="25">
        <v>1</v>
      </c>
      <c r="X263" s="27">
        <v>7000</v>
      </c>
      <c r="Y263" s="1142"/>
      <c r="Z263" s="1143"/>
      <c r="AA263" s="1143"/>
      <c r="AB263" s="1144"/>
      <c r="AC263" s="25"/>
      <c r="AD263" s="25">
        <v>30</v>
      </c>
      <c r="AE263" s="1142"/>
      <c r="AF263" s="1143"/>
      <c r="AG263" s="1143"/>
      <c r="AH263" s="1143"/>
      <c r="AI263" s="1143"/>
      <c r="AJ263" s="1145"/>
      <c r="AK263" s="35">
        <v>7000</v>
      </c>
      <c r="AL263" s="29" t="s">
        <v>73</v>
      </c>
      <c r="AM263" s="29" t="s">
        <v>73</v>
      </c>
      <c r="AN263" s="29" t="s">
        <v>73</v>
      </c>
      <c r="AO263" s="29" t="s">
        <v>73</v>
      </c>
      <c r="AP263" s="29" t="s">
        <v>73</v>
      </c>
      <c r="AQ263" s="30">
        <v>7000</v>
      </c>
      <c r="AR263" s="29" t="s">
        <v>73</v>
      </c>
      <c r="AS263" s="29" t="s">
        <v>73</v>
      </c>
      <c r="AT263" s="29" t="s">
        <v>73</v>
      </c>
      <c r="AU263" s="29" t="s">
        <v>73</v>
      </c>
      <c r="AV263" s="29" t="s">
        <v>73</v>
      </c>
      <c r="AW263" s="29" t="s">
        <v>73</v>
      </c>
      <c r="AX263" s="30">
        <v>7000</v>
      </c>
      <c r="AY263" s="30" t="s">
        <v>6</v>
      </c>
      <c r="AZ263" s="2" t="s">
        <v>74</v>
      </c>
      <c r="BA263" s="2"/>
    </row>
    <row r="264" spans="1:53" ht="51" x14ac:dyDescent="0.25">
      <c r="A264" s="19">
        <v>2026</v>
      </c>
      <c r="B264" s="20">
        <v>479</v>
      </c>
      <c r="C264" s="21" t="s">
        <v>64</v>
      </c>
      <c r="D264" s="21" t="s">
        <v>65</v>
      </c>
      <c r="E264" s="20">
        <v>125</v>
      </c>
      <c r="F264" s="20">
        <v>3000654</v>
      </c>
      <c r="G264" s="20">
        <v>5005023</v>
      </c>
      <c r="H264" s="20">
        <v>3</v>
      </c>
      <c r="I264" s="20">
        <v>12</v>
      </c>
      <c r="J264" s="20">
        <v>24</v>
      </c>
      <c r="K264" s="20">
        <v>135560</v>
      </c>
      <c r="L264" s="21" t="s">
        <v>98</v>
      </c>
      <c r="M264" s="33" t="s">
        <v>99</v>
      </c>
      <c r="N264" s="19">
        <v>94</v>
      </c>
      <c r="O264" s="2"/>
      <c r="P264" s="2" t="s">
        <v>4</v>
      </c>
      <c r="Q264" s="20" t="s">
        <v>68</v>
      </c>
      <c r="R264" s="25" t="s">
        <v>69</v>
      </c>
      <c r="S264" s="41" t="s">
        <v>137</v>
      </c>
      <c r="T264" s="41"/>
      <c r="U264" s="31" t="s">
        <v>325</v>
      </c>
      <c r="V264" s="25" t="s">
        <v>3</v>
      </c>
      <c r="W264" s="25">
        <v>1</v>
      </c>
      <c r="X264" s="27">
        <v>7000</v>
      </c>
      <c r="Y264" s="1142"/>
      <c r="Z264" s="1143"/>
      <c r="AA264" s="1143"/>
      <c r="AB264" s="1144"/>
      <c r="AC264" s="25">
        <v>30</v>
      </c>
      <c r="AD264" s="25"/>
      <c r="AE264" s="1142"/>
      <c r="AF264" s="1143"/>
      <c r="AG264" s="1143"/>
      <c r="AH264" s="1143"/>
      <c r="AI264" s="1143"/>
      <c r="AJ264" s="1145"/>
      <c r="AK264" s="35">
        <v>7000</v>
      </c>
      <c r="AL264" s="29" t="s">
        <v>73</v>
      </c>
      <c r="AM264" s="29" t="s">
        <v>73</v>
      </c>
      <c r="AN264" s="29" t="s">
        <v>73</v>
      </c>
      <c r="AO264" s="29" t="s">
        <v>73</v>
      </c>
      <c r="AP264" s="30">
        <v>7000</v>
      </c>
      <c r="AQ264" s="29" t="s">
        <v>73</v>
      </c>
      <c r="AR264" s="29" t="s">
        <v>73</v>
      </c>
      <c r="AS264" s="29" t="s">
        <v>73</v>
      </c>
      <c r="AT264" s="29" t="s">
        <v>73</v>
      </c>
      <c r="AU264" s="29" t="s">
        <v>73</v>
      </c>
      <c r="AV264" s="29" t="s">
        <v>73</v>
      </c>
      <c r="AW264" s="29" t="s">
        <v>73</v>
      </c>
      <c r="AX264" s="30">
        <v>7000</v>
      </c>
      <c r="AY264" s="18" t="s">
        <v>6</v>
      </c>
      <c r="AZ264" s="2" t="s">
        <v>74</v>
      </c>
      <c r="BA264" s="2"/>
    </row>
    <row r="265" spans="1:53" ht="51" x14ac:dyDescent="0.25">
      <c r="A265" s="19">
        <v>2026</v>
      </c>
      <c r="B265" s="20">
        <v>479</v>
      </c>
      <c r="C265" s="21" t="s">
        <v>64</v>
      </c>
      <c r="D265" s="21" t="s">
        <v>65</v>
      </c>
      <c r="E265" s="20">
        <v>125</v>
      </c>
      <c r="F265" s="20">
        <v>3000654</v>
      </c>
      <c r="G265" s="20">
        <v>5005023</v>
      </c>
      <c r="H265" s="20">
        <v>3</v>
      </c>
      <c r="I265" s="20">
        <v>12</v>
      </c>
      <c r="J265" s="20">
        <v>24</v>
      </c>
      <c r="K265" s="20">
        <v>135560</v>
      </c>
      <c r="L265" s="21" t="s">
        <v>220</v>
      </c>
      <c r="M265" s="33" t="s">
        <v>221</v>
      </c>
      <c r="N265" s="19">
        <v>97</v>
      </c>
      <c r="O265" s="2"/>
      <c r="P265" s="2" t="s">
        <v>4</v>
      </c>
      <c r="Q265" s="20" t="s">
        <v>68</v>
      </c>
      <c r="R265" s="25" t="s">
        <v>69</v>
      </c>
      <c r="S265" s="41" t="s">
        <v>137</v>
      </c>
      <c r="T265" s="41"/>
      <c r="U265" s="31" t="s">
        <v>325</v>
      </c>
      <c r="V265" s="25" t="s">
        <v>3</v>
      </c>
      <c r="W265" s="25">
        <v>1</v>
      </c>
      <c r="X265" s="27">
        <v>7000</v>
      </c>
      <c r="Y265" s="1142"/>
      <c r="Z265" s="1143"/>
      <c r="AA265" s="1143"/>
      <c r="AB265" s="1144"/>
      <c r="AC265" s="25"/>
      <c r="AD265" s="25">
        <v>30</v>
      </c>
      <c r="AE265" s="1142"/>
      <c r="AF265" s="1143"/>
      <c r="AG265" s="1143"/>
      <c r="AH265" s="1143"/>
      <c r="AI265" s="1143"/>
      <c r="AJ265" s="1145"/>
      <c r="AK265" s="35">
        <v>7000</v>
      </c>
      <c r="AL265" s="29" t="s">
        <v>73</v>
      </c>
      <c r="AM265" s="29" t="s">
        <v>73</v>
      </c>
      <c r="AN265" s="29" t="s">
        <v>73</v>
      </c>
      <c r="AO265" s="29" t="s">
        <v>73</v>
      </c>
      <c r="AP265" s="29" t="s">
        <v>73</v>
      </c>
      <c r="AQ265" s="30">
        <v>7000</v>
      </c>
      <c r="AR265" s="29" t="s">
        <v>73</v>
      </c>
      <c r="AS265" s="29" t="s">
        <v>73</v>
      </c>
      <c r="AT265" s="29" t="s">
        <v>73</v>
      </c>
      <c r="AU265" s="29" t="s">
        <v>73</v>
      </c>
      <c r="AV265" s="29" t="s">
        <v>73</v>
      </c>
      <c r="AW265" s="29" t="s">
        <v>73</v>
      </c>
      <c r="AX265" s="30">
        <v>7000</v>
      </c>
      <c r="AY265" s="30" t="s">
        <v>6</v>
      </c>
      <c r="AZ265" s="2" t="s">
        <v>74</v>
      </c>
      <c r="BA265" s="2"/>
    </row>
    <row r="266" spans="1:53" ht="51" x14ac:dyDescent="0.25">
      <c r="A266" s="19">
        <v>2026</v>
      </c>
      <c r="B266" s="20">
        <v>479</v>
      </c>
      <c r="C266" s="21" t="s">
        <v>64</v>
      </c>
      <c r="D266" s="21" t="s">
        <v>65</v>
      </c>
      <c r="E266" s="20">
        <v>125</v>
      </c>
      <c r="F266" s="20">
        <v>3000654</v>
      </c>
      <c r="G266" s="20">
        <v>5005023</v>
      </c>
      <c r="H266" s="20">
        <v>3</v>
      </c>
      <c r="I266" s="20">
        <v>12</v>
      </c>
      <c r="J266" s="20">
        <v>24</v>
      </c>
      <c r="K266" s="20">
        <v>135560</v>
      </c>
      <c r="L266" s="21" t="s">
        <v>98</v>
      </c>
      <c r="M266" s="33" t="s">
        <v>99</v>
      </c>
      <c r="N266" s="19">
        <v>94</v>
      </c>
      <c r="O266" s="2"/>
      <c r="P266" s="2" t="s">
        <v>4</v>
      </c>
      <c r="Q266" s="20" t="s">
        <v>68</v>
      </c>
      <c r="R266" s="25" t="s">
        <v>69</v>
      </c>
      <c r="S266" s="41" t="s">
        <v>137</v>
      </c>
      <c r="T266" s="41"/>
      <c r="U266" s="31" t="s">
        <v>326</v>
      </c>
      <c r="V266" s="25" t="s">
        <v>3</v>
      </c>
      <c r="W266" s="25">
        <v>1</v>
      </c>
      <c r="X266" s="27">
        <v>7000</v>
      </c>
      <c r="Y266" s="1142"/>
      <c r="Z266" s="1143"/>
      <c r="AA266" s="1143"/>
      <c r="AB266" s="1144"/>
      <c r="AC266" s="25">
        <v>30</v>
      </c>
      <c r="AD266" s="25"/>
      <c r="AE266" s="1142"/>
      <c r="AF266" s="1143"/>
      <c r="AG266" s="1143"/>
      <c r="AH266" s="1143"/>
      <c r="AI266" s="1143"/>
      <c r="AJ266" s="1145"/>
      <c r="AK266" s="35">
        <v>7000</v>
      </c>
      <c r="AL266" s="29" t="s">
        <v>73</v>
      </c>
      <c r="AM266" s="29" t="s">
        <v>73</v>
      </c>
      <c r="AN266" s="29" t="s">
        <v>73</v>
      </c>
      <c r="AO266" s="29" t="s">
        <v>73</v>
      </c>
      <c r="AP266" s="30">
        <v>7000</v>
      </c>
      <c r="AQ266" s="29" t="s">
        <v>73</v>
      </c>
      <c r="AR266" s="29" t="s">
        <v>73</v>
      </c>
      <c r="AS266" s="29" t="s">
        <v>73</v>
      </c>
      <c r="AT266" s="29" t="s">
        <v>73</v>
      </c>
      <c r="AU266" s="29" t="s">
        <v>73</v>
      </c>
      <c r="AV266" s="29" t="s">
        <v>73</v>
      </c>
      <c r="AW266" s="29" t="s">
        <v>73</v>
      </c>
      <c r="AX266" s="30">
        <v>7000</v>
      </c>
      <c r="AY266" s="18" t="s">
        <v>6</v>
      </c>
      <c r="AZ266" s="2" t="s">
        <v>74</v>
      </c>
      <c r="BA266" s="2"/>
    </row>
    <row r="267" spans="1:53" ht="51" x14ac:dyDescent="0.25">
      <c r="A267" s="19">
        <v>2026</v>
      </c>
      <c r="B267" s="20">
        <v>479</v>
      </c>
      <c r="C267" s="21" t="s">
        <v>64</v>
      </c>
      <c r="D267" s="21" t="s">
        <v>65</v>
      </c>
      <c r="E267" s="20">
        <v>125</v>
      </c>
      <c r="F267" s="20">
        <v>3000654</v>
      </c>
      <c r="G267" s="20">
        <v>5005023</v>
      </c>
      <c r="H267" s="20">
        <v>3</v>
      </c>
      <c r="I267" s="20">
        <v>12</v>
      </c>
      <c r="J267" s="20">
        <v>24</v>
      </c>
      <c r="K267" s="20">
        <v>135560</v>
      </c>
      <c r="L267" s="21" t="s">
        <v>220</v>
      </c>
      <c r="M267" s="33" t="s">
        <v>221</v>
      </c>
      <c r="N267" s="19">
        <v>97</v>
      </c>
      <c r="O267" s="2"/>
      <c r="P267" s="2" t="s">
        <v>4</v>
      </c>
      <c r="Q267" s="20" t="s">
        <v>68</v>
      </c>
      <c r="R267" s="25" t="s">
        <v>69</v>
      </c>
      <c r="S267" s="41" t="s">
        <v>137</v>
      </c>
      <c r="T267" s="41"/>
      <c r="U267" s="31" t="s">
        <v>326</v>
      </c>
      <c r="V267" s="25" t="s">
        <v>3</v>
      </c>
      <c r="W267" s="25">
        <v>1</v>
      </c>
      <c r="X267" s="27">
        <v>7000</v>
      </c>
      <c r="Y267" s="1142"/>
      <c r="Z267" s="1143"/>
      <c r="AA267" s="1143"/>
      <c r="AB267" s="1144"/>
      <c r="AC267" s="25"/>
      <c r="AD267" s="25">
        <v>30</v>
      </c>
      <c r="AE267" s="1142"/>
      <c r="AF267" s="1143"/>
      <c r="AG267" s="1143"/>
      <c r="AH267" s="1143"/>
      <c r="AI267" s="1143"/>
      <c r="AJ267" s="1145"/>
      <c r="AK267" s="35">
        <v>7000</v>
      </c>
      <c r="AL267" s="29" t="s">
        <v>73</v>
      </c>
      <c r="AM267" s="29" t="s">
        <v>73</v>
      </c>
      <c r="AN267" s="29" t="s">
        <v>73</v>
      </c>
      <c r="AO267" s="29" t="s">
        <v>73</v>
      </c>
      <c r="AP267" s="29" t="s">
        <v>73</v>
      </c>
      <c r="AQ267" s="30">
        <v>7000</v>
      </c>
      <c r="AR267" s="29" t="s">
        <v>73</v>
      </c>
      <c r="AS267" s="29" t="s">
        <v>73</v>
      </c>
      <c r="AT267" s="29" t="s">
        <v>73</v>
      </c>
      <c r="AU267" s="29" t="s">
        <v>73</v>
      </c>
      <c r="AV267" s="29" t="s">
        <v>73</v>
      </c>
      <c r="AW267" s="29" t="s">
        <v>73</v>
      </c>
      <c r="AX267" s="30">
        <v>7000</v>
      </c>
      <c r="AY267" s="30" t="s">
        <v>6</v>
      </c>
      <c r="AZ267" s="2" t="s">
        <v>74</v>
      </c>
      <c r="BA267" s="2"/>
    </row>
    <row r="268" spans="1:53" ht="51" x14ac:dyDescent="0.25">
      <c r="A268" s="19">
        <v>2026</v>
      </c>
      <c r="B268" s="20">
        <v>479</v>
      </c>
      <c r="C268" s="21" t="s">
        <v>64</v>
      </c>
      <c r="D268" s="21" t="s">
        <v>65</v>
      </c>
      <c r="E268" s="20">
        <v>125</v>
      </c>
      <c r="F268" s="20">
        <v>3000654</v>
      </c>
      <c r="G268" s="20">
        <v>5005023</v>
      </c>
      <c r="H268" s="20">
        <v>3</v>
      </c>
      <c r="I268" s="20">
        <v>12</v>
      </c>
      <c r="J268" s="20">
        <v>24</v>
      </c>
      <c r="K268" s="20">
        <v>135560</v>
      </c>
      <c r="L268" s="21" t="s">
        <v>220</v>
      </c>
      <c r="M268" s="33" t="s">
        <v>221</v>
      </c>
      <c r="N268" s="19">
        <v>97</v>
      </c>
      <c r="O268" s="2"/>
      <c r="P268" s="2" t="s">
        <v>4</v>
      </c>
      <c r="Q268" s="20" t="s">
        <v>68</v>
      </c>
      <c r="R268" s="25" t="s">
        <v>69</v>
      </c>
      <c r="S268" s="41" t="s">
        <v>137</v>
      </c>
      <c r="T268" s="41"/>
      <c r="U268" s="31" t="s">
        <v>327</v>
      </c>
      <c r="V268" s="25" t="s">
        <v>3</v>
      </c>
      <c r="W268" s="25">
        <v>1</v>
      </c>
      <c r="X268" s="27">
        <v>7000</v>
      </c>
      <c r="Y268" s="1142"/>
      <c r="Z268" s="1143"/>
      <c r="AA268" s="1143"/>
      <c r="AB268" s="1144"/>
      <c r="AC268" s="25">
        <v>30</v>
      </c>
      <c r="AD268" s="25">
        <v>30</v>
      </c>
      <c r="AE268" s="1142"/>
      <c r="AF268" s="1143"/>
      <c r="AG268" s="1143"/>
      <c r="AH268" s="1143"/>
      <c r="AI268" s="1143"/>
      <c r="AJ268" s="1145"/>
      <c r="AK268" s="35">
        <v>14000</v>
      </c>
      <c r="AL268" s="29" t="s">
        <v>73</v>
      </c>
      <c r="AM268" s="29" t="s">
        <v>73</v>
      </c>
      <c r="AN268" s="29" t="s">
        <v>73</v>
      </c>
      <c r="AO268" s="29" t="s">
        <v>73</v>
      </c>
      <c r="AP268" s="30">
        <v>7000</v>
      </c>
      <c r="AQ268" s="30">
        <v>7000</v>
      </c>
      <c r="AR268" s="29" t="s">
        <v>73</v>
      </c>
      <c r="AS268" s="29" t="s">
        <v>73</v>
      </c>
      <c r="AT268" s="29" t="s">
        <v>73</v>
      </c>
      <c r="AU268" s="29" t="s">
        <v>73</v>
      </c>
      <c r="AV268" s="29" t="s">
        <v>73</v>
      </c>
      <c r="AW268" s="29" t="s">
        <v>73</v>
      </c>
      <c r="AX268" s="30">
        <v>14000</v>
      </c>
      <c r="AY268" s="30" t="s">
        <v>6</v>
      </c>
      <c r="AZ268" s="2" t="s">
        <v>74</v>
      </c>
      <c r="BA268" s="2"/>
    </row>
    <row r="269" spans="1:53" ht="51" x14ac:dyDescent="0.25">
      <c r="A269" s="19">
        <v>2026</v>
      </c>
      <c r="B269" s="20">
        <v>479</v>
      </c>
      <c r="C269" s="21" t="s">
        <v>64</v>
      </c>
      <c r="D269" s="21" t="s">
        <v>65</v>
      </c>
      <c r="E269" s="20">
        <v>125</v>
      </c>
      <c r="F269" s="20">
        <v>3000654</v>
      </c>
      <c r="G269" s="20">
        <v>5005023</v>
      </c>
      <c r="H269" s="20">
        <v>3</v>
      </c>
      <c r="I269" s="20">
        <v>12</v>
      </c>
      <c r="J269" s="20">
        <v>24</v>
      </c>
      <c r="K269" s="20">
        <v>135560</v>
      </c>
      <c r="L269" s="21" t="s">
        <v>220</v>
      </c>
      <c r="M269" s="33" t="s">
        <v>221</v>
      </c>
      <c r="N269" s="19">
        <v>97</v>
      </c>
      <c r="O269" s="2"/>
      <c r="P269" s="2" t="s">
        <v>4</v>
      </c>
      <c r="Q269" s="20" t="s">
        <v>68</v>
      </c>
      <c r="R269" s="25" t="s">
        <v>69</v>
      </c>
      <c r="S269" s="41" t="s">
        <v>137</v>
      </c>
      <c r="T269" s="41"/>
      <c r="U269" s="31" t="s">
        <v>328</v>
      </c>
      <c r="V269" s="25" t="s">
        <v>3</v>
      </c>
      <c r="W269" s="25">
        <v>1</v>
      </c>
      <c r="X269" s="27">
        <v>7000</v>
      </c>
      <c r="Y269" s="1142"/>
      <c r="Z269" s="1143"/>
      <c r="AA269" s="1143"/>
      <c r="AB269" s="1144"/>
      <c r="AC269" s="25">
        <v>30</v>
      </c>
      <c r="AD269" s="25">
        <v>30</v>
      </c>
      <c r="AE269" s="1142"/>
      <c r="AF269" s="1143"/>
      <c r="AG269" s="1143"/>
      <c r="AH269" s="1143"/>
      <c r="AI269" s="1143"/>
      <c r="AJ269" s="1145"/>
      <c r="AK269" s="35">
        <v>14000</v>
      </c>
      <c r="AL269" s="29" t="s">
        <v>73</v>
      </c>
      <c r="AM269" s="29" t="s">
        <v>73</v>
      </c>
      <c r="AN269" s="29" t="s">
        <v>73</v>
      </c>
      <c r="AO269" s="29" t="s">
        <v>73</v>
      </c>
      <c r="AP269" s="30">
        <v>7000</v>
      </c>
      <c r="AQ269" s="30">
        <v>7000</v>
      </c>
      <c r="AR269" s="29" t="s">
        <v>73</v>
      </c>
      <c r="AS269" s="29" t="s">
        <v>73</v>
      </c>
      <c r="AT269" s="29" t="s">
        <v>73</v>
      </c>
      <c r="AU269" s="29" t="s">
        <v>73</v>
      </c>
      <c r="AV269" s="29" t="s">
        <v>73</v>
      </c>
      <c r="AW269" s="29" t="s">
        <v>73</v>
      </c>
      <c r="AX269" s="30">
        <v>14000</v>
      </c>
      <c r="AY269" s="30" t="s">
        <v>6</v>
      </c>
      <c r="AZ269" s="2" t="s">
        <v>74</v>
      </c>
      <c r="BA269" s="2"/>
    </row>
    <row r="270" spans="1:53" ht="51" x14ac:dyDescent="0.25">
      <c r="A270" s="19">
        <v>2026</v>
      </c>
      <c r="B270" s="20">
        <v>479</v>
      </c>
      <c r="C270" s="21" t="s">
        <v>64</v>
      </c>
      <c r="D270" s="21" t="s">
        <v>65</v>
      </c>
      <c r="E270" s="20">
        <v>125</v>
      </c>
      <c r="F270" s="20">
        <v>3000654</v>
      </c>
      <c r="G270" s="20">
        <v>5005023</v>
      </c>
      <c r="H270" s="20">
        <v>3</v>
      </c>
      <c r="I270" s="20">
        <v>12</v>
      </c>
      <c r="J270" s="20">
        <v>24</v>
      </c>
      <c r="K270" s="20">
        <v>135560</v>
      </c>
      <c r="L270" s="21" t="s">
        <v>220</v>
      </c>
      <c r="M270" s="33" t="s">
        <v>221</v>
      </c>
      <c r="N270" s="19">
        <v>97</v>
      </c>
      <c r="O270" s="2"/>
      <c r="P270" s="2" t="s">
        <v>4</v>
      </c>
      <c r="Q270" s="20" t="s">
        <v>68</v>
      </c>
      <c r="R270" s="25" t="s">
        <v>69</v>
      </c>
      <c r="S270" s="41" t="s">
        <v>137</v>
      </c>
      <c r="T270" s="41"/>
      <c r="U270" s="31" t="s">
        <v>329</v>
      </c>
      <c r="V270" s="25" t="s">
        <v>3</v>
      </c>
      <c r="W270" s="25">
        <v>1</v>
      </c>
      <c r="X270" s="27">
        <v>7000</v>
      </c>
      <c r="Y270" s="1142"/>
      <c r="Z270" s="1143"/>
      <c r="AA270" s="1143"/>
      <c r="AB270" s="1144"/>
      <c r="AC270" s="25">
        <v>30</v>
      </c>
      <c r="AD270" s="25">
        <v>30</v>
      </c>
      <c r="AE270" s="1142"/>
      <c r="AF270" s="1143"/>
      <c r="AG270" s="1143"/>
      <c r="AH270" s="1143"/>
      <c r="AI270" s="1143"/>
      <c r="AJ270" s="1145"/>
      <c r="AK270" s="35">
        <v>14000</v>
      </c>
      <c r="AL270" s="29" t="s">
        <v>73</v>
      </c>
      <c r="AM270" s="29" t="s">
        <v>73</v>
      </c>
      <c r="AN270" s="29" t="s">
        <v>73</v>
      </c>
      <c r="AO270" s="29" t="s">
        <v>73</v>
      </c>
      <c r="AP270" s="30">
        <v>7000</v>
      </c>
      <c r="AQ270" s="30">
        <v>7000</v>
      </c>
      <c r="AR270" s="29" t="s">
        <v>73</v>
      </c>
      <c r="AS270" s="29" t="s">
        <v>73</v>
      </c>
      <c r="AT270" s="29" t="s">
        <v>73</v>
      </c>
      <c r="AU270" s="29" t="s">
        <v>73</v>
      </c>
      <c r="AV270" s="29" t="s">
        <v>73</v>
      </c>
      <c r="AW270" s="29" t="s">
        <v>73</v>
      </c>
      <c r="AX270" s="30">
        <v>14000</v>
      </c>
      <c r="AY270" s="30" t="s">
        <v>6</v>
      </c>
      <c r="AZ270" s="2" t="s">
        <v>74</v>
      </c>
      <c r="BA270" s="2"/>
    </row>
    <row r="271" spans="1:53" ht="51" x14ac:dyDescent="0.25">
      <c r="A271" s="19">
        <v>2026</v>
      </c>
      <c r="B271" s="20">
        <v>479</v>
      </c>
      <c r="C271" s="21" t="s">
        <v>64</v>
      </c>
      <c r="D271" s="21" t="s">
        <v>65</v>
      </c>
      <c r="E271" s="20">
        <v>125</v>
      </c>
      <c r="F271" s="20">
        <v>3000654</v>
      </c>
      <c r="G271" s="20">
        <v>5005023</v>
      </c>
      <c r="H271" s="20">
        <v>3</v>
      </c>
      <c r="I271" s="20">
        <v>12</v>
      </c>
      <c r="J271" s="20">
        <v>24</v>
      </c>
      <c r="K271" s="20">
        <v>135560</v>
      </c>
      <c r="L271" s="21" t="s">
        <v>220</v>
      </c>
      <c r="M271" s="33" t="s">
        <v>221</v>
      </c>
      <c r="N271" s="19">
        <v>97</v>
      </c>
      <c r="O271" s="2"/>
      <c r="P271" s="2" t="s">
        <v>4</v>
      </c>
      <c r="Q271" s="20" t="s">
        <v>68</v>
      </c>
      <c r="R271" s="25" t="s">
        <v>69</v>
      </c>
      <c r="S271" s="41" t="s">
        <v>137</v>
      </c>
      <c r="T271" s="41"/>
      <c r="U271" s="31" t="s">
        <v>330</v>
      </c>
      <c r="V271" s="25" t="s">
        <v>3</v>
      </c>
      <c r="W271" s="25">
        <v>1</v>
      </c>
      <c r="X271" s="27">
        <v>7000</v>
      </c>
      <c r="Y271" s="1142"/>
      <c r="Z271" s="1143"/>
      <c r="AA271" s="1143"/>
      <c r="AB271" s="1144"/>
      <c r="AC271" s="25">
        <v>30</v>
      </c>
      <c r="AD271" s="25">
        <v>30</v>
      </c>
      <c r="AE271" s="1142"/>
      <c r="AF271" s="1143"/>
      <c r="AG271" s="1143"/>
      <c r="AH271" s="1143"/>
      <c r="AI271" s="1143"/>
      <c r="AJ271" s="1145"/>
      <c r="AK271" s="35">
        <v>14000</v>
      </c>
      <c r="AL271" s="29" t="s">
        <v>73</v>
      </c>
      <c r="AM271" s="29" t="s">
        <v>73</v>
      </c>
      <c r="AN271" s="29" t="s">
        <v>73</v>
      </c>
      <c r="AO271" s="29" t="s">
        <v>73</v>
      </c>
      <c r="AP271" s="30">
        <v>7000</v>
      </c>
      <c r="AQ271" s="30">
        <v>7000</v>
      </c>
      <c r="AR271" s="29" t="s">
        <v>73</v>
      </c>
      <c r="AS271" s="29" t="s">
        <v>73</v>
      </c>
      <c r="AT271" s="29" t="s">
        <v>73</v>
      </c>
      <c r="AU271" s="29" t="s">
        <v>73</v>
      </c>
      <c r="AV271" s="29" t="s">
        <v>73</v>
      </c>
      <c r="AW271" s="29" t="s">
        <v>73</v>
      </c>
      <c r="AX271" s="30">
        <v>14000</v>
      </c>
      <c r="AY271" s="30" t="s">
        <v>6</v>
      </c>
      <c r="AZ271" s="2" t="s">
        <v>74</v>
      </c>
      <c r="BA271" s="2"/>
    </row>
    <row r="272" spans="1:53" ht="51" x14ac:dyDescent="0.25">
      <c r="A272" s="19">
        <v>2026</v>
      </c>
      <c r="B272" s="20">
        <v>479</v>
      </c>
      <c r="C272" s="21" t="s">
        <v>64</v>
      </c>
      <c r="D272" s="21" t="s">
        <v>65</v>
      </c>
      <c r="E272" s="20">
        <v>125</v>
      </c>
      <c r="F272" s="20">
        <v>3000654</v>
      </c>
      <c r="G272" s="20">
        <v>5005023</v>
      </c>
      <c r="H272" s="20">
        <v>3</v>
      </c>
      <c r="I272" s="20">
        <v>12</v>
      </c>
      <c r="J272" s="20">
        <v>24</v>
      </c>
      <c r="K272" s="20">
        <v>135560</v>
      </c>
      <c r="L272" s="21" t="s">
        <v>220</v>
      </c>
      <c r="M272" s="33" t="s">
        <v>221</v>
      </c>
      <c r="N272" s="19">
        <v>97</v>
      </c>
      <c r="O272" s="2"/>
      <c r="P272" s="2" t="s">
        <v>4</v>
      </c>
      <c r="Q272" s="20" t="s">
        <v>68</v>
      </c>
      <c r="R272" s="25" t="s">
        <v>69</v>
      </c>
      <c r="S272" s="41" t="s">
        <v>137</v>
      </c>
      <c r="T272" s="41"/>
      <c r="U272" s="31" t="s">
        <v>331</v>
      </c>
      <c r="V272" s="25" t="s">
        <v>3</v>
      </c>
      <c r="W272" s="25">
        <v>1</v>
      </c>
      <c r="X272" s="27">
        <v>7000</v>
      </c>
      <c r="Y272" s="1142"/>
      <c r="Z272" s="1143"/>
      <c r="AA272" s="1143"/>
      <c r="AB272" s="1144"/>
      <c r="AC272" s="25">
        <v>30</v>
      </c>
      <c r="AD272" s="25">
        <v>30</v>
      </c>
      <c r="AE272" s="1142"/>
      <c r="AF272" s="1143"/>
      <c r="AG272" s="1143"/>
      <c r="AH272" s="1143"/>
      <c r="AI272" s="1143"/>
      <c r="AJ272" s="1145"/>
      <c r="AK272" s="35">
        <v>14000</v>
      </c>
      <c r="AL272" s="29" t="s">
        <v>73</v>
      </c>
      <c r="AM272" s="29" t="s">
        <v>73</v>
      </c>
      <c r="AN272" s="29" t="s">
        <v>73</v>
      </c>
      <c r="AO272" s="29" t="s">
        <v>73</v>
      </c>
      <c r="AP272" s="30">
        <v>7000</v>
      </c>
      <c r="AQ272" s="30">
        <v>7000</v>
      </c>
      <c r="AR272" s="29" t="s">
        <v>73</v>
      </c>
      <c r="AS272" s="29" t="s">
        <v>73</v>
      </c>
      <c r="AT272" s="29" t="s">
        <v>73</v>
      </c>
      <c r="AU272" s="29" t="s">
        <v>73</v>
      </c>
      <c r="AV272" s="29" t="s">
        <v>73</v>
      </c>
      <c r="AW272" s="29" t="s">
        <v>73</v>
      </c>
      <c r="AX272" s="30">
        <v>14000</v>
      </c>
      <c r="AY272" s="30" t="s">
        <v>6</v>
      </c>
      <c r="AZ272" s="2" t="s">
        <v>74</v>
      </c>
      <c r="BA272" s="2"/>
    </row>
    <row r="273" spans="1:53" ht="51" x14ac:dyDescent="0.25">
      <c r="A273" s="19">
        <v>2026</v>
      </c>
      <c r="B273" s="20">
        <v>479</v>
      </c>
      <c r="C273" s="21" t="s">
        <v>64</v>
      </c>
      <c r="D273" s="21" t="s">
        <v>65</v>
      </c>
      <c r="E273" s="20">
        <v>125</v>
      </c>
      <c r="F273" s="20">
        <v>3000654</v>
      </c>
      <c r="G273" s="20">
        <v>5005023</v>
      </c>
      <c r="H273" s="20">
        <v>3</v>
      </c>
      <c r="I273" s="20">
        <v>12</v>
      </c>
      <c r="J273" s="20">
        <v>24</v>
      </c>
      <c r="K273" s="20">
        <v>135560</v>
      </c>
      <c r="L273" s="21" t="s">
        <v>220</v>
      </c>
      <c r="M273" s="33" t="s">
        <v>221</v>
      </c>
      <c r="N273" s="19">
        <v>97</v>
      </c>
      <c r="O273" s="2"/>
      <c r="P273" s="2" t="s">
        <v>4</v>
      </c>
      <c r="Q273" s="20" t="s">
        <v>68</v>
      </c>
      <c r="R273" s="25" t="s">
        <v>69</v>
      </c>
      <c r="S273" s="41" t="s">
        <v>137</v>
      </c>
      <c r="T273" s="41"/>
      <c r="U273" s="31" t="s">
        <v>332</v>
      </c>
      <c r="V273" s="25" t="s">
        <v>3</v>
      </c>
      <c r="W273" s="25">
        <v>1</v>
      </c>
      <c r="X273" s="27">
        <v>7000</v>
      </c>
      <c r="Y273" s="1142"/>
      <c r="Z273" s="1143"/>
      <c r="AA273" s="1143"/>
      <c r="AB273" s="1144"/>
      <c r="AC273" s="25">
        <v>30</v>
      </c>
      <c r="AD273" s="25">
        <v>30</v>
      </c>
      <c r="AE273" s="1142"/>
      <c r="AF273" s="1143"/>
      <c r="AG273" s="1143"/>
      <c r="AH273" s="1143"/>
      <c r="AI273" s="1143"/>
      <c r="AJ273" s="1145"/>
      <c r="AK273" s="35">
        <v>14000</v>
      </c>
      <c r="AL273" s="29" t="s">
        <v>73</v>
      </c>
      <c r="AM273" s="29" t="s">
        <v>73</v>
      </c>
      <c r="AN273" s="29" t="s">
        <v>73</v>
      </c>
      <c r="AO273" s="29" t="s">
        <v>73</v>
      </c>
      <c r="AP273" s="30">
        <v>7000</v>
      </c>
      <c r="AQ273" s="30">
        <v>7000</v>
      </c>
      <c r="AR273" s="29" t="s">
        <v>73</v>
      </c>
      <c r="AS273" s="29" t="s">
        <v>73</v>
      </c>
      <c r="AT273" s="29" t="s">
        <v>73</v>
      </c>
      <c r="AU273" s="29" t="s">
        <v>73</v>
      </c>
      <c r="AV273" s="29" t="s">
        <v>73</v>
      </c>
      <c r="AW273" s="29" t="s">
        <v>73</v>
      </c>
      <c r="AX273" s="30">
        <v>14000</v>
      </c>
      <c r="AY273" s="30" t="s">
        <v>6</v>
      </c>
      <c r="AZ273" s="2" t="s">
        <v>74</v>
      </c>
      <c r="BA273" s="2"/>
    </row>
    <row r="274" spans="1:53" ht="51" x14ac:dyDescent="0.25">
      <c r="A274" s="19">
        <v>2026</v>
      </c>
      <c r="B274" s="20">
        <v>479</v>
      </c>
      <c r="C274" s="21" t="s">
        <v>64</v>
      </c>
      <c r="D274" s="21" t="s">
        <v>65</v>
      </c>
      <c r="E274" s="20">
        <v>125</v>
      </c>
      <c r="F274" s="20">
        <v>3000654</v>
      </c>
      <c r="G274" s="20">
        <v>5005023</v>
      </c>
      <c r="H274" s="20">
        <v>3</v>
      </c>
      <c r="I274" s="20">
        <v>12</v>
      </c>
      <c r="J274" s="20">
        <v>24</v>
      </c>
      <c r="K274" s="20">
        <v>135560</v>
      </c>
      <c r="L274" s="21" t="s">
        <v>220</v>
      </c>
      <c r="M274" s="33" t="s">
        <v>221</v>
      </c>
      <c r="N274" s="19">
        <v>97</v>
      </c>
      <c r="O274" s="2"/>
      <c r="P274" s="2" t="s">
        <v>4</v>
      </c>
      <c r="Q274" s="20" t="s">
        <v>68</v>
      </c>
      <c r="R274" s="25" t="s">
        <v>69</v>
      </c>
      <c r="S274" s="41" t="s">
        <v>137</v>
      </c>
      <c r="T274" s="41"/>
      <c r="U274" s="31" t="s">
        <v>333</v>
      </c>
      <c r="V274" s="25" t="s">
        <v>3</v>
      </c>
      <c r="W274" s="25">
        <v>2</v>
      </c>
      <c r="X274" s="27">
        <v>7000</v>
      </c>
      <c r="Y274" s="1142"/>
      <c r="Z274" s="1143"/>
      <c r="AA274" s="1143"/>
      <c r="AB274" s="1144"/>
      <c r="AC274" s="25">
        <v>30</v>
      </c>
      <c r="AD274" s="25">
        <v>30</v>
      </c>
      <c r="AE274" s="1142"/>
      <c r="AF274" s="1143"/>
      <c r="AG274" s="1143"/>
      <c r="AH274" s="1143"/>
      <c r="AI274" s="1143"/>
      <c r="AJ274" s="1145"/>
      <c r="AK274" s="35">
        <v>28000</v>
      </c>
      <c r="AL274" s="29" t="s">
        <v>73</v>
      </c>
      <c r="AM274" s="29" t="s">
        <v>73</v>
      </c>
      <c r="AN274" s="29" t="s">
        <v>73</v>
      </c>
      <c r="AO274" s="29" t="s">
        <v>73</v>
      </c>
      <c r="AP274" s="30">
        <v>14000</v>
      </c>
      <c r="AQ274" s="30">
        <v>14000</v>
      </c>
      <c r="AR274" s="29" t="s">
        <v>73</v>
      </c>
      <c r="AS274" s="29" t="s">
        <v>73</v>
      </c>
      <c r="AT274" s="29" t="s">
        <v>73</v>
      </c>
      <c r="AU274" s="29" t="s">
        <v>73</v>
      </c>
      <c r="AV274" s="29" t="s">
        <v>73</v>
      </c>
      <c r="AW274" s="29" t="s">
        <v>73</v>
      </c>
      <c r="AX274" s="30">
        <v>28000</v>
      </c>
      <c r="AY274" s="30" t="s">
        <v>6</v>
      </c>
      <c r="AZ274" s="2" t="s">
        <v>74</v>
      </c>
      <c r="BA274" s="2"/>
    </row>
    <row r="275" spans="1:53" ht="51" x14ac:dyDescent="0.25">
      <c r="A275" s="19">
        <v>2026</v>
      </c>
      <c r="B275" s="20">
        <v>479</v>
      </c>
      <c r="C275" s="21" t="s">
        <v>64</v>
      </c>
      <c r="D275" s="21" t="s">
        <v>65</v>
      </c>
      <c r="E275" s="20">
        <v>125</v>
      </c>
      <c r="F275" s="20">
        <v>3000654</v>
      </c>
      <c r="G275" s="20">
        <v>5005023</v>
      </c>
      <c r="H275" s="20">
        <v>3</v>
      </c>
      <c r="I275" s="20">
        <v>12</v>
      </c>
      <c r="J275" s="20">
        <v>24</v>
      </c>
      <c r="K275" s="20">
        <v>135560</v>
      </c>
      <c r="L275" s="21" t="s">
        <v>220</v>
      </c>
      <c r="M275" s="33" t="s">
        <v>221</v>
      </c>
      <c r="N275" s="19">
        <v>97</v>
      </c>
      <c r="O275" s="2"/>
      <c r="P275" s="2" t="s">
        <v>4</v>
      </c>
      <c r="Q275" s="20" t="s">
        <v>68</v>
      </c>
      <c r="R275" s="25" t="s">
        <v>69</v>
      </c>
      <c r="S275" s="41" t="s">
        <v>137</v>
      </c>
      <c r="T275" s="41"/>
      <c r="U275" s="31" t="s">
        <v>334</v>
      </c>
      <c r="V275" s="25" t="s">
        <v>3</v>
      </c>
      <c r="W275" s="25">
        <v>1</v>
      </c>
      <c r="X275" s="27">
        <v>7000</v>
      </c>
      <c r="Y275" s="1142"/>
      <c r="Z275" s="1143"/>
      <c r="AA275" s="1143"/>
      <c r="AB275" s="1144"/>
      <c r="AC275" s="25">
        <v>30</v>
      </c>
      <c r="AD275" s="25">
        <v>30</v>
      </c>
      <c r="AE275" s="1142"/>
      <c r="AF275" s="1143"/>
      <c r="AG275" s="1143"/>
      <c r="AH275" s="1143"/>
      <c r="AI275" s="1143"/>
      <c r="AJ275" s="1145"/>
      <c r="AK275" s="35">
        <v>14000</v>
      </c>
      <c r="AL275" s="29" t="s">
        <v>73</v>
      </c>
      <c r="AM275" s="29" t="s">
        <v>73</v>
      </c>
      <c r="AN275" s="29" t="s">
        <v>73</v>
      </c>
      <c r="AO275" s="29" t="s">
        <v>73</v>
      </c>
      <c r="AP275" s="30">
        <v>7000</v>
      </c>
      <c r="AQ275" s="30">
        <v>7000</v>
      </c>
      <c r="AR275" s="29" t="s">
        <v>73</v>
      </c>
      <c r="AS275" s="29" t="s">
        <v>73</v>
      </c>
      <c r="AT275" s="29" t="s">
        <v>73</v>
      </c>
      <c r="AU275" s="29" t="s">
        <v>73</v>
      </c>
      <c r="AV275" s="29" t="s">
        <v>73</v>
      </c>
      <c r="AW275" s="29" t="s">
        <v>73</v>
      </c>
      <c r="AX275" s="30">
        <v>14000</v>
      </c>
      <c r="AY275" s="30" t="s">
        <v>6</v>
      </c>
      <c r="AZ275" s="2" t="s">
        <v>74</v>
      </c>
      <c r="BA275" s="2"/>
    </row>
    <row r="276" spans="1:53" ht="51" x14ac:dyDescent="0.25">
      <c r="A276" s="19">
        <v>2026</v>
      </c>
      <c r="B276" s="20">
        <v>479</v>
      </c>
      <c r="C276" s="21" t="s">
        <v>64</v>
      </c>
      <c r="D276" s="21" t="s">
        <v>65</v>
      </c>
      <c r="E276" s="20">
        <v>125</v>
      </c>
      <c r="F276" s="20">
        <v>3000654</v>
      </c>
      <c r="G276" s="20">
        <v>5005023</v>
      </c>
      <c r="H276" s="20">
        <v>3</v>
      </c>
      <c r="I276" s="20">
        <v>12</v>
      </c>
      <c r="J276" s="20">
        <v>24</v>
      </c>
      <c r="K276" s="20">
        <v>135560</v>
      </c>
      <c r="L276" s="21" t="s">
        <v>220</v>
      </c>
      <c r="M276" s="33" t="s">
        <v>221</v>
      </c>
      <c r="N276" s="19">
        <v>97</v>
      </c>
      <c r="O276" s="2"/>
      <c r="P276" s="2" t="s">
        <v>4</v>
      </c>
      <c r="Q276" s="20" t="s">
        <v>68</v>
      </c>
      <c r="R276" s="25" t="s">
        <v>69</v>
      </c>
      <c r="S276" s="41" t="s">
        <v>137</v>
      </c>
      <c r="T276" s="41"/>
      <c r="U276" s="31" t="s">
        <v>335</v>
      </c>
      <c r="V276" s="25" t="s">
        <v>3</v>
      </c>
      <c r="W276" s="25">
        <v>1</v>
      </c>
      <c r="X276" s="27">
        <v>7000</v>
      </c>
      <c r="Y276" s="1142"/>
      <c r="Z276" s="1143"/>
      <c r="AA276" s="1143"/>
      <c r="AB276" s="1144"/>
      <c r="AC276" s="25">
        <v>30</v>
      </c>
      <c r="AD276" s="25">
        <v>30</v>
      </c>
      <c r="AE276" s="1142"/>
      <c r="AF276" s="1143"/>
      <c r="AG276" s="1143"/>
      <c r="AH276" s="1143"/>
      <c r="AI276" s="1143"/>
      <c r="AJ276" s="1145"/>
      <c r="AK276" s="35">
        <v>14000</v>
      </c>
      <c r="AL276" s="29" t="s">
        <v>73</v>
      </c>
      <c r="AM276" s="29" t="s">
        <v>73</v>
      </c>
      <c r="AN276" s="29" t="s">
        <v>73</v>
      </c>
      <c r="AO276" s="29" t="s">
        <v>73</v>
      </c>
      <c r="AP276" s="30">
        <v>7000</v>
      </c>
      <c r="AQ276" s="30">
        <v>7000</v>
      </c>
      <c r="AR276" s="29" t="s">
        <v>73</v>
      </c>
      <c r="AS276" s="29" t="s">
        <v>73</v>
      </c>
      <c r="AT276" s="29" t="s">
        <v>73</v>
      </c>
      <c r="AU276" s="29" t="s">
        <v>73</v>
      </c>
      <c r="AV276" s="29" t="s">
        <v>73</v>
      </c>
      <c r="AW276" s="29" t="s">
        <v>73</v>
      </c>
      <c r="AX276" s="30">
        <v>14000</v>
      </c>
      <c r="AY276" s="30" t="s">
        <v>6</v>
      </c>
      <c r="AZ276" s="2" t="s">
        <v>74</v>
      </c>
      <c r="BA276" s="2"/>
    </row>
    <row r="277" spans="1:53" ht="51" x14ac:dyDescent="0.25">
      <c r="A277" s="19">
        <v>2026</v>
      </c>
      <c r="B277" s="20">
        <v>479</v>
      </c>
      <c r="C277" s="21" t="s">
        <v>64</v>
      </c>
      <c r="D277" s="21" t="s">
        <v>65</v>
      </c>
      <c r="E277" s="20">
        <v>125</v>
      </c>
      <c r="F277" s="20">
        <v>3000654</v>
      </c>
      <c r="G277" s="20">
        <v>5005023</v>
      </c>
      <c r="H277" s="20">
        <v>3</v>
      </c>
      <c r="I277" s="20">
        <v>12</v>
      </c>
      <c r="J277" s="20">
        <v>24</v>
      </c>
      <c r="K277" s="20">
        <v>135560</v>
      </c>
      <c r="L277" s="21" t="s">
        <v>220</v>
      </c>
      <c r="M277" s="33" t="s">
        <v>221</v>
      </c>
      <c r="N277" s="19">
        <v>97</v>
      </c>
      <c r="O277" s="2"/>
      <c r="P277" s="2" t="s">
        <v>4</v>
      </c>
      <c r="Q277" s="20" t="s">
        <v>68</v>
      </c>
      <c r="R277" s="25" t="s">
        <v>69</v>
      </c>
      <c r="S277" s="41" t="s">
        <v>137</v>
      </c>
      <c r="T277" s="41"/>
      <c r="U277" s="31" t="s">
        <v>336</v>
      </c>
      <c r="V277" s="25" t="s">
        <v>3</v>
      </c>
      <c r="W277" s="25">
        <v>1</v>
      </c>
      <c r="X277" s="27">
        <v>7000</v>
      </c>
      <c r="Y277" s="1142"/>
      <c r="Z277" s="1143"/>
      <c r="AA277" s="1143"/>
      <c r="AB277" s="1144"/>
      <c r="AC277" s="25">
        <v>30</v>
      </c>
      <c r="AD277" s="25">
        <v>30</v>
      </c>
      <c r="AE277" s="1142"/>
      <c r="AF277" s="1143"/>
      <c r="AG277" s="1143"/>
      <c r="AH277" s="1143"/>
      <c r="AI277" s="1143"/>
      <c r="AJ277" s="1145"/>
      <c r="AK277" s="35">
        <v>14000</v>
      </c>
      <c r="AL277" s="29" t="s">
        <v>73</v>
      </c>
      <c r="AM277" s="29" t="s">
        <v>73</v>
      </c>
      <c r="AN277" s="29" t="s">
        <v>73</v>
      </c>
      <c r="AO277" s="29" t="s">
        <v>73</v>
      </c>
      <c r="AP277" s="30">
        <v>7000</v>
      </c>
      <c r="AQ277" s="30">
        <v>7000</v>
      </c>
      <c r="AR277" s="29" t="s">
        <v>73</v>
      </c>
      <c r="AS277" s="29" t="s">
        <v>73</v>
      </c>
      <c r="AT277" s="29" t="s">
        <v>73</v>
      </c>
      <c r="AU277" s="29" t="s">
        <v>73</v>
      </c>
      <c r="AV277" s="29" t="s">
        <v>73</v>
      </c>
      <c r="AW277" s="29" t="s">
        <v>73</v>
      </c>
      <c r="AX277" s="30">
        <v>14000</v>
      </c>
      <c r="AY277" s="30" t="s">
        <v>6</v>
      </c>
      <c r="AZ277" s="2" t="s">
        <v>74</v>
      </c>
      <c r="BA277" s="2"/>
    </row>
    <row r="278" spans="1:53" ht="51" x14ac:dyDescent="0.25">
      <c r="A278" s="19">
        <v>2026</v>
      </c>
      <c r="B278" s="20">
        <v>479</v>
      </c>
      <c r="C278" s="21" t="s">
        <v>64</v>
      </c>
      <c r="D278" s="21" t="s">
        <v>65</v>
      </c>
      <c r="E278" s="20">
        <v>125</v>
      </c>
      <c r="F278" s="20">
        <v>3000654</v>
      </c>
      <c r="G278" s="20">
        <v>5005023</v>
      </c>
      <c r="H278" s="20">
        <v>3</v>
      </c>
      <c r="I278" s="20">
        <v>12</v>
      </c>
      <c r="J278" s="20">
        <v>24</v>
      </c>
      <c r="K278" s="20">
        <v>135560</v>
      </c>
      <c r="L278" s="21" t="s">
        <v>220</v>
      </c>
      <c r="M278" s="33" t="s">
        <v>221</v>
      </c>
      <c r="N278" s="19">
        <v>97</v>
      </c>
      <c r="O278" s="2"/>
      <c r="P278" s="2" t="s">
        <v>4</v>
      </c>
      <c r="Q278" s="20" t="s">
        <v>68</v>
      </c>
      <c r="R278" s="25" t="s">
        <v>69</v>
      </c>
      <c r="S278" s="41" t="s">
        <v>137</v>
      </c>
      <c r="T278" s="41"/>
      <c r="U278" s="31" t="s">
        <v>337</v>
      </c>
      <c r="V278" s="25" t="s">
        <v>3</v>
      </c>
      <c r="W278" s="25">
        <v>1</v>
      </c>
      <c r="X278" s="27">
        <v>7000</v>
      </c>
      <c r="Y278" s="1142"/>
      <c r="Z278" s="1143"/>
      <c r="AA278" s="1143"/>
      <c r="AB278" s="1144"/>
      <c r="AC278" s="25">
        <v>30</v>
      </c>
      <c r="AD278" s="25">
        <v>30</v>
      </c>
      <c r="AE278" s="1142"/>
      <c r="AF278" s="1143"/>
      <c r="AG278" s="1143"/>
      <c r="AH278" s="1143"/>
      <c r="AI278" s="1143"/>
      <c r="AJ278" s="1145"/>
      <c r="AK278" s="35">
        <v>14000</v>
      </c>
      <c r="AL278" s="29" t="s">
        <v>73</v>
      </c>
      <c r="AM278" s="29" t="s">
        <v>73</v>
      </c>
      <c r="AN278" s="29" t="s">
        <v>73</v>
      </c>
      <c r="AO278" s="29" t="s">
        <v>73</v>
      </c>
      <c r="AP278" s="30">
        <v>7000</v>
      </c>
      <c r="AQ278" s="30">
        <v>7000</v>
      </c>
      <c r="AR278" s="29" t="s">
        <v>73</v>
      </c>
      <c r="AS278" s="29" t="s">
        <v>73</v>
      </c>
      <c r="AT278" s="29" t="s">
        <v>73</v>
      </c>
      <c r="AU278" s="29" t="s">
        <v>73</v>
      </c>
      <c r="AV278" s="29" t="s">
        <v>73</v>
      </c>
      <c r="AW278" s="29" t="s">
        <v>73</v>
      </c>
      <c r="AX278" s="30">
        <v>14000</v>
      </c>
      <c r="AY278" s="30" t="s">
        <v>6</v>
      </c>
      <c r="AZ278" s="2" t="s">
        <v>74</v>
      </c>
      <c r="BA278" s="2"/>
    </row>
    <row r="279" spans="1:53" ht="51" x14ac:dyDescent="0.25">
      <c r="A279" s="19">
        <v>2026</v>
      </c>
      <c r="B279" s="20">
        <v>479</v>
      </c>
      <c r="C279" s="21" t="s">
        <v>64</v>
      </c>
      <c r="D279" s="21" t="s">
        <v>65</v>
      </c>
      <c r="E279" s="20">
        <v>125</v>
      </c>
      <c r="F279" s="20">
        <v>3000654</v>
      </c>
      <c r="G279" s="20">
        <v>5005023</v>
      </c>
      <c r="H279" s="20">
        <v>3</v>
      </c>
      <c r="I279" s="20">
        <v>12</v>
      </c>
      <c r="J279" s="20">
        <v>24</v>
      </c>
      <c r="K279" s="20">
        <v>135560</v>
      </c>
      <c r="L279" s="21" t="s">
        <v>98</v>
      </c>
      <c r="M279" s="33" t="s">
        <v>99</v>
      </c>
      <c r="N279" s="19">
        <v>94</v>
      </c>
      <c r="O279" s="2"/>
      <c r="P279" s="2" t="s">
        <v>4</v>
      </c>
      <c r="Q279" s="20" t="s">
        <v>68</v>
      </c>
      <c r="R279" s="25" t="s">
        <v>69</v>
      </c>
      <c r="S279" s="41" t="s">
        <v>137</v>
      </c>
      <c r="T279" s="41"/>
      <c r="U279" s="31" t="s">
        <v>338</v>
      </c>
      <c r="V279" s="25" t="s">
        <v>3</v>
      </c>
      <c r="W279" s="25">
        <v>1</v>
      </c>
      <c r="X279" s="27">
        <v>7000</v>
      </c>
      <c r="Y279" s="1142"/>
      <c r="Z279" s="1143"/>
      <c r="AA279" s="1143"/>
      <c r="AB279" s="1144"/>
      <c r="AC279" s="25">
        <v>30</v>
      </c>
      <c r="AD279" s="25"/>
      <c r="AE279" s="1142"/>
      <c r="AF279" s="1143"/>
      <c r="AG279" s="1143"/>
      <c r="AH279" s="1143"/>
      <c r="AI279" s="1143"/>
      <c r="AJ279" s="1145"/>
      <c r="AK279" s="35">
        <v>7000</v>
      </c>
      <c r="AL279" s="29" t="s">
        <v>73</v>
      </c>
      <c r="AM279" s="29" t="s">
        <v>73</v>
      </c>
      <c r="AN279" s="29" t="s">
        <v>73</v>
      </c>
      <c r="AO279" s="29" t="s">
        <v>73</v>
      </c>
      <c r="AP279" s="30">
        <v>7000</v>
      </c>
      <c r="AQ279" s="29" t="s">
        <v>73</v>
      </c>
      <c r="AR279" s="29" t="s">
        <v>73</v>
      </c>
      <c r="AS279" s="29" t="s">
        <v>73</v>
      </c>
      <c r="AT279" s="29" t="s">
        <v>73</v>
      </c>
      <c r="AU279" s="29" t="s">
        <v>73</v>
      </c>
      <c r="AV279" s="29" t="s">
        <v>73</v>
      </c>
      <c r="AW279" s="29" t="s">
        <v>73</v>
      </c>
      <c r="AX279" s="30">
        <v>7000</v>
      </c>
      <c r="AY279" s="18" t="s">
        <v>6</v>
      </c>
      <c r="AZ279" s="2" t="s">
        <v>74</v>
      </c>
      <c r="BA279" s="2"/>
    </row>
    <row r="280" spans="1:53" ht="51" x14ac:dyDescent="0.25">
      <c r="A280" s="19">
        <v>2026</v>
      </c>
      <c r="B280" s="20">
        <v>479</v>
      </c>
      <c r="C280" s="21" t="s">
        <v>64</v>
      </c>
      <c r="D280" s="21" t="s">
        <v>65</v>
      </c>
      <c r="E280" s="20">
        <v>125</v>
      </c>
      <c r="F280" s="20">
        <v>3000654</v>
      </c>
      <c r="G280" s="20">
        <v>5005023</v>
      </c>
      <c r="H280" s="20">
        <v>3</v>
      </c>
      <c r="I280" s="20">
        <v>12</v>
      </c>
      <c r="J280" s="20">
        <v>24</v>
      </c>
      <c r="K280" s="20">
        <v>135560</v>
      </c>
      <c r="L280" s="21" t="s">
        <v>220</v>
      </c>
      <c r="M280" s="33" t="s">
        <v>221</v>
      </c>
      <c r="N280" s="19">
        <v>97</v>
      </c>
      <c r="O280" s="2"/>
      <c r="P280" s="2" t="s">
        <v>4</v>
      </c>
      <c r="Q280" s="20" t="s">
        <v>68</v>
      </c>
      <c r="R280" s="25" t="s">
        <v>69</v>
      </c>
      <c r="S280" s="41" t="s">
        <v>137</v>
      </c>
      <c r="T280" s="41"/>
      <c r="U280" s="31" t="s">
        <v>338</v>
      </c>
      <c r="V280" s="25" t="s">
        <v>3</v>
      </c>
      <c r="W280" s="25">
        <v>1</v>
      </c>
      <c r="X280" s="27">
        <v>7000</v>
      </c>
      <c r="Y280" s="1142"/>
      <c r="Z280" s="1143"/>
      <c r="AA280" s="1143"/>
      <c r="AB280" s="1144"/>
      <c r="AC280" s="25"/>
      <c r="AD280" s="25">
        <v>30</v>
      </c>
      <c r="AE280" s="1142"/>
      <c r="AF280" s="1143"/>
      <c r="AG280" s="1143"/>
      <c r="AH280" s="1143"/>
      <c r="AI280" s="1143"/>
      <c r="AJ280" s="1145"/>
      <c r="AK280" s="35">
        <v>7000</v>
      </c>
      <c r="AL280" s="29" t="s">
        <v>73</v>
      </c>
      <c r="AM280" s="29" t="s">
        <v>73</v>
      </c>
      <c r="AN280" s="29" t="s">
        <v>73</v>
      </c>
      <c r="AO280" s="29" t="s">
        <v>73</v>
      </c>
      <c r="AP280" s="29" t="s">
        <v>73</v>
      </c>
      <c r="AQ280" s="30">
        <v>7000</v>
      </c>
      <c r="AR280" s="29" t="s">
        <v>73</v>
      </c>
      <c r="AS280" s="29" t="s">
        <v>73</v>
      </c>
      <c r="AT280" s="29" t="s">
        <v>73</v>
      </c>
      <c r="AU280" s="29" t="s">
        <v>73</v>
      </c>
      <c r="AV280" s="29" t="s">
        <v>73</v>
      </c>
      <c r="AW280" s="29" t="s">
        <v>73</v>
      </c>
      <c r="AX280" s="30">
        <v>7000</v>
      </c>
      <c r="AY280" s="30" t="s">
        <v>6</v>
      </c>
      <c r="AZ280" s="2" t="s">
        <v>74</v>
      </c>
      <c r="BA280" s="2"/>
    </row>
    <row r="281" spans="1:53" ht="51" x14ac:dyDescent="0.25">
      <c r="A281" s="19">
        <v>2026</v>
      </c>
      <c r="B281" s="20">
        <v>479</v>
      </c>
      <c r="C281" s="21" t="s">
        <v>64</v>
      </c>
      <c r="D281" s="21" t="s">
        <v>65</v>
      </c>
      <c r="E281" s="20">
        <v>125</v>
      </c>
      <c r="F281" s="20">
        <v>3000654</v>
      </c>
      <c r="G281" s="20">
        <v>5005023</v>
      </c>
      <c r="H281" s="20">
        <v>3</v>
      </c>
      <c r="I281" s="20">
        <v>12</v>
      </c>
      <c r="J281" s="20">
        <v>24</v>
      </c>
      <c r="K281" s="20">
        <v>135560</v>
      </c>
      <c r="L281" s="21" t="s">
        <v>220</v>
      </c>
      <c r="M281" s="33" t="s">
        <v>221</v>
      </c>
      <c r="N281" s="19">
        <v>97</v>
      </c>
      <c r="O281" s="2"/>
      <c r="P281" s="2" t="s">
        <v>4</v>
      </c>
      <c r="Q281" s="20" t="s">
        <v>68</v>
      </c>
      <c r="R281" s="25" t="s">
        <v>69</v>
      </c>
      <c r="S281" s="41" t="s">
        <v>137</v>
      </c>
      <c r="T281" s="41"/>
      <c r="U281" s="31" t="s">
        <v>339</v>
      </c>
      <c r="V281" s="25" t="s">
        <v>3</v>
      </c>
      <c r="W281" s="25">
        <v>1</v>
      </c>
      <c r="X281" s="27">
        <v>7000</v>
      </c>
      <c r="Y281" s="1142"/>
      <c r="Z281" s="1143"/>
      <c r="AA281" s="1143"/>
      <c r="AB281" s="1144"/>
      <c r="AC281" s="25">
        <v>30</v>
      </c>
      <c r="AD281" s="25">
        <v>30</v>
      </c>
      <c r="AE281" s="1142"/>
      <c r="AF281" s="1143"/>
      <c r="AG281" s="1143"/>
      <c r="AH281" s="1143"/>
      <c r="AI281" s="1143"/>
      <c r="AJ281" s="1145"/>
      <c r="AK281" s="35">
        <v>14000</v>
      </c>
      <c r="AL281" s="29" t="s">
        <v>73</v>
      </c>
      <c r="AM281" s="29" t="s">
        <v>73</v>
      </c>
      <c r="AN281" s="29" t="s">
        <v>73</v>
      </c>
      <c r="AO281" s="29" t="s">
        <v>73</v>
      </c>
      <c r="AP281" s="30">
        <v>7000</v>
      </c>
      <c r="AQ281" s="30">
        <v>7000</v>
      </c>
      <c r="AR281" s="29" t="s">
        <v>73</v>
      </c>
      <c r="AS281" s="29" t="s">
        <v>73</v>
      </c>
      <c r="AT281" s="29" t="s">
        <v>73</v>
      </c>
      <c r="AU281" s="29" t="s">
        <v>73</v>
      </c>
      <c r="AV281" s="29" t="s">
        <v>73</v>
      </c>
      <c r="AW281" s="29" t="s">
        <v>73</v>
      </c>
      <c r="AX281" s="30">
        <v>14000</v>
      </c>
      <c r="AY281" s="30" t="s">
        <v>6</v>
      </c>
      <c r="AZ281" s="2" t="s">
        <v>74</v>
      </c>
      <c r="BA281" s="2"/>
    </row>
    <row r="282" spans="1:53" ht="51" x14ac:dyDescent="0.25">
      <c r="A282" s="19">
        <v>2026</v>
      </c>
      <c r="B282" s="20">
        <v>479</v>
      </c>
      <c r="C282" s="21" t="s">
        <v>64</v>
      </c>
      <c r="D282" s="21" t="s">
        <v>65</v>
      </c>
      <c r="E282" s="20">
        <v>125</v>
      </c>
      <c r="F282" s="20">
        <v>3000654</v>
      </c>
      <c r="G282" s="20">
        <v>5005023</v>
      </c>
      <c r="H282" s="20">
        <v>3</v>
      </c>
      <c r="I282" s="20">
        <v>12</v>
      </c>
      <c r="J282" s="20">
        <v>24</v>
      </c>
      <c r="K282" s="20">
        <v>135560</v>
      </c>
      <c r="L282" s="21" t="s">
        <v>220</v>
      </c>
      <c r="M282" s="33" t="s">
        <v>221</v>
      </c>
      <c r="N282" s="19">
        <v>97</v>
      </c>
      <c r="O282" s="2"/>
      <c r="P282" s="2" t="s">
        <v>4</v>
      </c>
      <c r="Q282" s="20" t="s">
        <v>68</v>
      </c>
      <c r="R282" s="25" t="s">
        <v>69</v>
      </c>
      <c r="S282" s="41" t="s">
        <v>137</v>
      </c>
      <c r="T282" s="41"/>
      <c r="U282" s="31" t="s">
        <v>340</v>
      </c>
      <c r="V282" s="25" t="s">
        <v>3</v>
      </c>
      <c r="W282" s="25">
        <v>1</v>
      </c>
      <c r="X282" s="27">
        <v>7000</v>
      </c>
      <c r="Y282" s="1142"/>
      <c r="Z282" s="1143"/>
      <c r="AA282" s="1143"/>
      <c r="AB282" s="1144"/>
      <c r="AC282" s="25">
        <v>30</v>
      </c>
      <c r="AD282" s="25">
        <v>30</v>
      </c>
      <c r="AE282" s="1142"/>
      <c r="AF282" s="1143"/>
      <c r="AG282" s="1143"/>
      <c r="AH282" s="1143"/>
      <c r="AI282" s="1143"/>
      <c r="AJ282" s="1145"/>
      <c r="AK282" s="35">
        <v>14000</v>
      </c>
      <c r="AL282" s="29" t="s">
        <v>73</v>
      </c>
      <c r="AM282" s="29" t="s">
        <v>73</v>
      </c>
      <c r="AN282" s="29" t="s">
        <v>73</v>
      </c>
      <c r="AO282" s="29" t="s">
        <v>73</v>
      </c>
      <c r="AP282" s="30">
        <v>7000</v>
      </c>
      <c r="AQ282" s="30">
        <v>7000</v>
      </c>
      <c r="AR282" s="29" t="s">
        <v>73</v>
      </c>
      <c r="AS282" s="29" t="s">
        <v>73</v>
      </c>
      <c r="AT282" s="29" t="s">
        <v>73</v>
      </c>
      <c r="AU282" s="29" t="s">
        <v>73</v>
      </c>
      <c r="AV282" s="29" t="s">
        <v>73</v>
      </c>
      <c r="AW282" s="29" t="s">
        <v>73</v>
      </c>
      <c r="AX282" s="30">
        <v>14000</v>
      </c>
      <c r="AY282" s="30" t="s">
        <v>6</v>
      </c>
      <c r="AZ282" s="2" t="s">
        <v>74</v>
      </c>
      <c r="BA282" s="2"/>
    </row>
    <row r="283" spans="1:53" ht="51" x14ac:dyDescent="0.25">
      <c r="A283" s="19">
        <v>2026</v>
      </c>
      <c r="B283" s="20">
        <v>479</v>
      </c>
      <c r="C283" s="21" t="s">
        <v>64</v>
      </c>
      <c r="D283" s="21" t="s">
        <v>65</v>
      </c>
      <c r="E283" s="20">
        <v>125</v>
      </c>
      <c r="F283" s="20">
        <v>3000654</v>
      </c>
      <c r="G283" s="20">
        <v>5005023</v>
      </c>
      <c r="H283" s="20">
        <v>3</v>
      </c>
      <c r="I283" s="20">
        <v>12</v>
      </c>
      <c r="J283" s="20">
        <v>24</v>
      </c>
      <c r="K283" s="20">
        <v>135560</v>
      </c>
      <c r="L283" s="21" t="s">
        <v>98</v>
      </c>
      <c r="M283" s="33" t="s">
        <v>99</v>
      </c>
      <c r="N283" s="19">
        <v>94</v>
      </c>
      <c r="O283" s="2"/>
      <c r="P283" s="2" t="s">
        <v>4</v>
      </c>
      <c r="Q283" s="20" t="s">
        <v>68</v>
      </c>
      <c r="R283" s="25" t="s">
        <v>69</v>
      </c>
      <c r="S283" s="41" t="s">
        <v>137</v>
      </c>
      <c r="T283" s="41"/>
      <c r="U283" s="31" t="s">
        <v>341</v>
      </c>
      <c r="V283" s="25" t="s">
        <v>3</v>
      </c>
      <c r="W283" s="25">
        <v>1</v>
      </c>
      <c r="X283" s="27">
        <v>5000</v>
      </c>
      <c r="Y283" s="1142"/>
      <c r="Z283" s="1143"/>
      <c r="AA283" s="1143"/>
      <c r="AB283" s="1144"/>
      <c r="AC283" s="25">
        <v>30</v>
      </c>
      <c r="AD283" s="25"/>
      <c r="AE283" s="1142"/>
      <c r="AF283" s="1143"/>
      <c r="AG283" s="1143"/>
      <c r="AH283" s="1143"/>
      <c r="AI283" s="1143"/>
      <c r="AJ283" s="1145"/>
      <c r="AK283" s="35">
        <v>5000</v>
      </c>
      <c r="AL283" s="29" t="s">
        <v>73</v>
      </c>
      <c r="AM283" s="29" t="s">
        <v>73</v>
      </c>
      <c r="AN283" s="29" t="s">
        <v>73</v>
      </c>
      <c r="AO283" s="29" t="s">
        <v>73</v>
      </c>
      <c r="AP283" s="30">
        <v>5000</v>
      </c>
      <c r="AQ283" s="29" t="s">
        <v>73</v>
      </c>
      <c r="AR283" s="29" t="s">
        <v>73</v>
      </c>
      <c r="AS283" s="29" t="s">
        <v>73</v>
      </c>
      <c r="AT283" s="29" t="s">
        <v>73</v>
      </c>
      <c r="AU283" s="29" t="s">
        <v>73</v>
      </c>
      <c r="AV283" s="29" t="s">
        <v>73</v>
      </c>
      <c r="AW283" s="29" t="s">
        <v>73</v>
      </c>
      <c r="AX283" s="30">
        <v>5000</v>
      </c>
      <c r="AY283" s="18" t="s">
        <v>6</v>
      </c>
      <c r="AZ283" s="2" t="s">
        <v>74</v>
      </c>
      <c r="BA283" s="2"/>
    </row>
    <row r="284" spans="1:53" ht="51" x14ac:dyDescent="0.25">
      <c r="A284" s="19">
        <v>2026</v>
      </c>
      <c r="B284" s="20">
        <v>479</v>
      </c>
      <c r="C284" s="21" t="s">
        <v>64</v>
      </c>
      <c r="D284" s="21" t="s">
        <v>65</v>
      </c>
      <c r="E284" s="20">
        <v>125</v>
      </c>
      <c r="F284" s="20">
        <v>3000654</v>
      </c>
      <c r="G284" s="20">
        <v>5005023</v>
      </c>
      <c r="H284" s="20">
        <v>3</v>
      </c>
      <c r="I284" s="20">
        <v>12</v>
      </c>
      <c r="J284" s="20">
        <v>24</v>
      </c>
      <c r="K284" s="20">
        <v>135560</v>
      </c>
      <c r="L284" s="21" t="s">
        <v>220</v>
      </c>
      <c r="M284" s="33" t="s">
        <v>221</v>
      </c>
      <c r="N284" s="19">
        <v>97</v>
      </c>
      <c r="O284" s="2"/>
      <c r="P284" s="2" t="s">
        <v>4</v>
      </c>
      <c r="Q284" s="20" t="s">
        <v>68</v>
      </c>
      <c r="R284" s="25" t="s">
        <v>69</v>
      </c>
      <c r="S284" s="41" t="s">
        <v>137</v>
      </c>
      <c r="T284" s="41"/>
      <c r="U284" s="31" t="s">
        <v>341</v>
      </c>
      <c r="V284" s="25" t="s">
        <v>3</v>
      </c>
      <c r="W284" s="25">
        <v>1</v>
      </c>
      <c r="X284" s="27">
        <v>5000</v>
      </c>
      <c r="Y284" s="1142"/>
      <c r="Z284" s="1143"/>
      <c r="AA284" s="1143"/>
      <c r="AB284" s="1144"/>
      <c r="AC284" s="25"/>
      <c r="AD284" s="25">
        <v>30</v>
      </c>
      <c r="AE284" s="1142"/>
      <c r="AF284" s="1143"/>
      <c r="AG284" s="1143"/>
      <c r="AH284" s="1143"/>
      <c r="AI284" s="1143"/>
      <c r="AJ284" s="1145"/>
      <c r="AK284" s="35">
        <v>5000</v>
      </c>
      <c r="AL284" s="29" t="s">
        <v>73</v>
      </c>
      <c r="AM284" s="29" t="s">
        <v>73</v>
      </c>
      <c r="AN284" s="29" t="s">
        <v>73</v>
      </c>
      <c r="AO284" s="29" t="s">
        <v>73</v>
      </c>
      <c r="AP284" s="29" t="s">
        <v>73</v>
      </c>
      <c r="AQ284" s="30">
        <v>5000</v>
      </c>
      <c r="AR284" s="29" t="s">
        <v>73</v>
      </c>
      <c r="AS284" s="29" t="s">
        <v>73</v>
      </c>
      <c r="AT284" s="29" t="s">
        <v>73</v>
      </c>
      <c r="AU284" s="29" t="s">
        <v>73</v>
      </c>
      <c r="AV284" s="29" t="s">
        <v>73</v>
      </c>
      <c r="AW284" s="29" t="s">
        <v>73</v>
      </c>
      <c r="AX284" s="30">
        <v>5000</v>
      </c>
      <c r="AY284" s="30" t="s">
        <v>6</v>
      </c>
      <c r="AZ284" s="2" t="s">
        <v>74</v>
      </c>
      <c r="BA284" s="2"/>
    </row>
    <row r="285" spans="1:53" ht="51" x14ac:dyDescent="0.25">
      <c r="A285" s="19">
        <v>2026</v>
      </c>
      <c r="B285" s="20">
        <v>479</v>
      </c>
      <c r="C285" s="21" t="s">
        <v>64</v>
      </c>
      <c r="D285" s="21" t="s">
        <v>65</v>
      </c>
      <c r="E285" s="20">
        <v>125</v>
      </c>
      <c r="F285" s="20">
        <v>3000654</v>
      </c>
      <c r="G285" s="20">
        <v>5005023</v>
      </c>
      <c r="H285" s="20">
        <v>3</v>
      </c>
      <c r="I285" s="20">
        <v>12</v>
      </c>
      <c r="J285" s="20">
        <v>24</v>
      </c>
      <c r="K285" s="20">
        <v>135560</v>
      </c>
      <c r="L285" s="21" t="s">
        <v>220</v>
      </c>
      <c r="M285" s="33" t="s">
        <v>221</v>
      </c>
      <c r="N285" s="19">
        <v>97</v>
      </c>
      <c r="O285" s="2"/>
      <c r="P285" s="2" t="s">
        <v>4</v>
      </c>
      <c r="Q285" s="20" t="s">
        <v>68</v>
      </c>
      <c r="R285" s="25" t="s">
        <v>69</v>
      </c>
      <c r="S285" s="41" t="s">
        <v>137</v>
      </c>
      <c r="T285" s="41"/>
      <c r="U285" s="31" t="s">
        <v>342</v>
      </c>
      <c r="V285" s="25" t="s">
        <v>3</v>
      </c>
      <c r="W285" s="25">
        <v>1</v>
      </c>
      <c r="X285" s="27">
        <v>7500</v>
      </c>
      <c r="Y285" s="1142"/>
      <c r="Z285" s="1143"/>
      <c r="AA285" s="1143"/>
      <c r="AB285" s="1144"/>
      <c r="AC285" s="25">
        <v>30</v>
      </c>
      <c r="AD285" s="25">
        <v>30</v>
      </c>
      <c r="AE285" s="1142"/>
      <c r="AF285" s="1143"/>
      <c r="AG285" s="1143"/>
      <c r="AH285" s="1143"/>
      <c r="AI285" s="1143"/>
      <c r="AJ285" s="1145"/>
      <c r="AK285" s="35">
        <v>15000</v>
      </c>
      <c r="AL285" s="29" t="s">
        <v>73</v>
      </c>
      <c r="AM285" s="29" t="s">
        <v>73</v>
      </c>
      <c r="AN285" s="29" t="s">
        <v>73</v>
      </c>
      <c r="AO285" s="29" t="s">
        <v>73</v>
      </c>
      <c r="AP285" s="30">
        <v>7500</v>
      </c>
      <c r="AQ285" s="30">
        <v>7500</v>
      </c>
      <c r="AR285" s="29" t="s">
        <v>73</v>
      </c>
      <c r="AS285" s="29" t="s">
        <v>73</v>
      </c>
      <c r="AT285" s="29" t="s">
        <v>73</v>
      </c>
      <c r="AU285" s="29" t="s">
        <v>73</v>
      </c>
      <c r="AV285" s="29" t="s">
        <v>73</v>
      </c>
      <c r="AW285" s="29" t="s">
        <v>73</v>
      </c>
      <c r="AX285" s="30">
        <v>15000</v>
      </c>
      <c r="AY285" s="30" t="s">
        <v>6</v>
      </c>
      <c r="AZ285" s="2" t="s">
        <v>74</v>
      </c>
      <c r="BA285" s="2"/>
    </row>
    <row r="286" spans="1:53" ht="51" x14ac:dyDescent="0.25">
      <c r="A286" s="19">
        <v>2026</v>
      </c>
      <c r="B286" s="20">
        <v>479</v>
      </c>
      <c r="C286" s="21" t="s">
        <v>64</v>
      </c>
      <c r="D286" s="21" t="s">
        <v>65</v>
      </c>
      <c r="E286" s="20">
        <v>125</v>
      </c>
      <c r="F286" s="20">
        <v>3000654</v>
      </c>
      <c r="G286" s="20">
        <v>5005023</v>
      </c>
      <c r="H286" s="20">
        <v>3</v>
      </c>
      <c r="I286" s="20">
        <v>12</v>
      </c>
      <c r="J286" s="20">
        <v>24</v>
      </c>
      <c r="K286" s="20">
        <v>135560</v>
      </c>
      <c r="L286" s="21" t="s">
        <v>98</v>
      </c>
      <c r="M286" s="33" t="s">
        <v>99</v>
      </c>
      <c r="N286" s="19">
        <v>94</v>
      </c>
      <c r="O286" s="2"/>
      <c r="P286" s="2" t="s">
        <v>4</v>
      </c>
      <c r="Q286" s="20" t="s">
        <v>68</v>
      </c>
      <c r="R286" s="25" t="s">
        <v>69</v>
      </c>
      <c r="S286" s="41" t="s">
        <v>137</v>
      </c>
      <c r="T286" s="41"/>
      <c r="U286" s="31" t="s">
        <v>343</v>
      </c>
      <c r="V286" s="25" t="s">
        <v>3</v>
      </c>
      <c r="W286" s="25">
        <v>1</v>
      </c>
      <c r="X286" s="27">
        <v>6500</v>
      </c>
      <c r="Y286" s="1142"/>
      <c r="Z286" s="1143"/>
      <c r="AA286" s="1143"/>
      <c r="AB286" s="1144"/>
      <c r="AC286" s="25">
        <v>30</v>
      </c>
      <c r="AD286" s="25"/>
      <c r="AE286" s="1142"/>
      <c r="AF286" s="1143"/>
      <c r="AG286" s="1143"/>
      <c r="AH286" s="1143"/>
      <c r="AI286" s="1143"/>
      <c r="AJ286" s="1145"/>
      <c r="AK286" s="35">
        <v>6500</v>
      </c>
      <c r="AL286" s="29" t="s">
        <v>73</v>
      </c>
      <c r="AM286" s="29" t="s">
        <v>73</v>
      </c>
      <c r="AN286" s="29" t="s">
        <v>73</v>
      </c>
      <c r="AO286" s="29" t="s">
        <v>73</v>
      </c>
      <c r="AP286" s="30">
        <v>6500</v>
      </c>
      <c r="AQ286" s="29" t="s">
        <v>73</v>
      </c>
      <c r="AR286" s="29" t="s">
        <v>73</v>
      </c>
      <c r="AS286" s="29" t="s">
        <v>73</v>
      </c>
      <c r="AT286" s="29" t="s">
        <v>73</v>
      </c>
      <c r="AU286" s="29" t="s">
        <v>73</v>
      </c>
      <c r="AV286" s="29" t="s">
        <v>73</v>
      </c>
      <c r="AW286" s="29" t="s">
        <v>73</v>
      </c>
      <c r="AX286" s="30">
        <v>6500</v>
      </c>
      <c r="AY286" s="18" t="s">
        <v>6</v>
      </c>
      <c r="AZ286" s="2" t="s">
        <v>74</v>
      </c>
      <c r="BA286" s="2"/>
    </row>
    <row r="287" spans="1:53" ht="51" x14ac:dyDescent="0.25">
      <c r="A287" s="19">
        <v>2026</v>
      </c>
      <c r="B287" s="20">
        <v>479</v>
      </c>
      <c r="C287" s="21" t="s">
        <v>64</v>
      </c>
      <c r="D287" s="21" t="s">
        <v>65</v>
      </c>
      <c r="E287" s="20">
        <v>125</v>
      </c>
      <c r="F287" s="20">
        <v>3000654</v>
      </c>
      <c r="G287" s="20">
        <v>5005023</v>
      </c>
      <c r="H287" s="20">
        <v>3</v>
      </c>
      <c r="I287" s="20">
        <v>12</v>
      </c>
      <c r="J287" s="20">
        <v>24</v>
      </c>
      <c r="K287" s="20">
        <v>135560</v>
      </c>
      <c r="L287" s="21" t="s">
        <v>220</v>
      </c>
      <c r="M287" s="33" t="s">
        <v>221</v>
      </c>
      <c r="N287" s="19">
        <v>97</v>
      </c>
      <c r="O287" s="2"/>
      <c r="P287" s="2" t="s">
        <v>4</v>
      </c>
      <c r="Q287" s="20" t="s">
        <v>68</v>
      </c>
      <c r="R287" s="25" t="s">
        <v>69</v>
      </c>
      <c r="S287" s="41" t="s">
        <v>137</v>
      </c>
      <c r="T287" s="41"/>
      <c r="U287" s="31" t="s">
        <v>343</v>
      </c>
      <c r="V287" s="25" t="s">
        <v>3</v>
      </c>
      <c r="W287" s="25">
        <v>1</v>
      </c>
      <c r="X287" s="27">
        <v>6500</v>
      </c>
      <c r="Y287" s="1142"/>
      <c r="Z287" s="1143"/>
      <c r="AA287" s="1143"/>
      <c r="AB287" s="1144"/>
      <c r="AC287" s="25"/>
      <c r="AD287" s="25">
        <v>30</v>
      </c>
      <c r="AE287" s="1142"/>
      <c r="AF287" s="1143"/>
      <c r="AG287" s="1143"/>
      <c r="AH287" s="1143"/>
      <c r="AI287" s="1143"/>
      <c r="AJ287" s="1145"/>
      <c r="AK287" s="35">
        <v>6500</v>
      </c>
      <c r="AL287" s="29" t="s">
        <v>73</v>
      </c>
      <c r="AM287" s="29" t="s">
        <v>73</v>
      </c>
      <c r="AN287" s="29" t="s">
        <v>73</v>
      </c>
      <c r="AO287" s="29" t="s">
        <v>73</v>
      </c>
      <c r="AP287" s="29" t="s">
        <v>73</v>
      </c>
      <c r="AQ287" s="30">
        <v>6500</v>
      </c>
      <c r="AR287" s="29" t="s">
        <v>73</v>
      </c>
      <c r="AS287" s="29" t="s">
        <v>73</v>
      </c>
      <c r="AT287" s="29" t="s">
        <v>73</v>
      </c>
      <c r="AU287" s="29" t="s">
        <v>73</v>
      </c>
      <c r="AV287" s="29" t="s">
        <v>73</v>
      </c>
      <c r="AW287" s="29" t="s">
        <v>73</v>
      </c>
      <c r="AX287" s="30">
        <v>6500</v>
      </c>
      <c r="AY287" s="30" t="s">
        <v>6</v>
      </c>
      <c r="AZ287" s="2" t="s">
        <v>74</v>
      </c>
      <c r="BA287" s="2"/>
    </row>
    <row r="288" spans="1:53" ht="51" x14ac:dyDescent="0.25">
      <c r="A288" s="19">
        <v>2026</v>
      </c>
      <c r="B288" s="20">
        <v>479</v>
      </c>
      <c r="C288" s="21" t="s">
        <v>64</v>
      </c>
      <c r="D288" s="21" t="s">
        <v>65</v>
      </c>
      <c r="E288" s="20">
        <v>125</v>
      </c>
      <c r="F288" s="20">
        <v>3000654</v>
      </c>
      <c r="G288" s="20">
        <v>5005023</v>
      </c>
      <c r="H288" s="20">
        <v>3</v>
      </c>
      <c r="I288" s="20">
        <v>12</v>
      </c>
      <c r="J288" s="20">
        <v>24</v>
      </c>
      <c r="K288" s="20">
        <v>135560</v>
      </c>
      <c r="L288" s="21" t="s">
        <v>220</v>
      </c>
      <c r="M288" s="33" t="s">
        <v>221</v>
      </c>
      <c r="N288" s="19">
        <v>97</v>
      </c>
      <c r="O288" s="2"/>
      <c r="P288" s="2" t="s">
        <v>4</v>
      </c>
      <c r="Q288" s="20" t="s">
        <v>68</v>
      </c>
      <c r="R288" s="25" t="s">
        <v>69</v>
      </c>
      <c r="S288" s="41" t="s">
        <v>137</v>
      </c>
      <c r="T288" s="41"/>
      <c r="U288" s="31" t="s">
        <v>344</v>
      </c>
      <c r="V288" s="25" t="s">
        <v>3</v>
      </c>
      <c r="W288" s="25">
        <v>1</v>
      </c>
      <c r="X288" s="27">
        <v>6500</v>
      </c>
      <c r="Y288" s="1142"/>
      <c r="Z288" s="1143"/>
      <c r="AA288" s="1143"/>
      <c r="AB288" s="1144"/>
      <c r="AC288" s="25">
        <v>30</v>
      </c>
      <c r="AD288" s="25">
        <v>30</v>
      </c>
      <c r="AE288" s="1142"/>
      <c r="AF288" s="1143"/>
      <c r="AG288" s="1143"/>
      <c r="AH288" s="1143"/>
      <c r="AI288" s="1143"/>
      <c r="AJ288" s="1145"/>
      <c r="AK288" s="35">
        <v>13000</v>
      </c>
      <c r="AL288" s="29" t="s">
        <v>73</v>
      </c>
      <c r="AM288" s="29" t="s">
        <v>73</v>
      </c>
      <c r="AN288" s="29" t="s">
        <v>73</v>
      </c>
      <c r="AO288" s="29" t="s">
        <v>73</v>
      </c>
      <c r="AP288" s="30">
        <v>6500</v>
      </c>
      <c r="AQ288" s="30">
        <v>6500</v>
      </c>
      <c r="AR288" s="29" t="s">
        <v>73</v>
      </c>
      <c r="AS288" s="29" t="s">
        <v>73</v>
      </c>
      <c r="AT288" s="29" t="s">
        <v>73</v>
      </c>
      <c r="AU288" s="29" t="s">
        <v>73</v>
      </c>
      <c r="AV288" s="29" t="s">
        <v>73</v>
      </c>
      <c r="AW288" s="29" t="s">
        <v>73</v>
      </c>
      <c r="AX288" s="30">
        <v>13000</v>
      </c>
      <c r="AY288" s="30" t="s">
        <v>6</v>
      </c>
      <c r="AZ288" s="2" t="s">
        <v>74</v>
      </c>
      <c r="BA288" s="2"/>
    </row>
    <row r="289" spans="1:53" ht="51" x14ac:dyDescent="0.25">
      <c r="A289" s="19">
        <v>2026</v>
      </c>
      <c r="B289" s="20">
        <v>479</v>
      </c>
      <c r="C289" s="21" t="s">
        <v>64</v>
      </c>
      <c r="D289" s="21" t="s">
        <v>65</v>
      </c>
      <c r="E289" s="20">
        <v>125</v>
      </c>
      <c r="F289" s="20">
        <v>3000654</v>
      </c>
      <c r="G289" s="20">
        <v>5005023</v>
      </c>
      <c r="H289" s="20">
        <v>3</v>
      </c>
      <c r="I289" s="20">
        <v>12</v>
      </c>
      <c r="J289" s="20">
        <v>24</v>
      </c>
      <c r="K289" s="20">
        <v>135560</v>
      </c>
      <c r="L289" s="21" t="s">
        <v>220</v>
      </c>
      <c r="M289" s="33" t="s">
        <v>221</v>
      </c>
      <c r="N289" s="19">
        <v>97</v>
      </c>
      <c r="O289" s="2"/>
      <c r="P289" s="2" t="s">
        <v>4</v>
      </c>
      <c r="Q289" s="20" t="s">
        <v>68</v>
      </c>
      <c r="R289" s="25" t="s">
        <v>69</v>
      </c>
      <c r="S289" s="41" t="s">
        <v>137</v>
      </c>
      <c r="T289" s="41"/>
      <c r="U289" s="31" t="s">
        <v>345</v>
      </c>
      <c r="V289" s="25" t="s">
        <v>3</v>
      </c>
      <c r="W289" s="25">
        <v>1</v>
      </c>
      <c r="X289" s="27">
        <v>6500</v>
      </c>
      <c r="Y289" s="1142"/>
      <c r="Z289" s="1143"/>
      <c r="AA289" s="1143"/>
      <c r="AB289" s="1144"/>
      <c r="AC289" s="25">
        <v>30</v>
      </c>
      <c r="AD289" s="25">
        <v>30</v>
      </c>
      <c r="AE289" s="1142"/>
      <c r="AF289" s="1143"/>
      <c r="AG289" s="1143"/>
      <c r="AH289" s="1143"/>
      <c r="AI289" s="1143"/>
      <c r="AJ289" s="1145"/>
      <c r="AK289" s="35">
        <v>13000</v>
      </c>
      <c r="AL289" s="29" t="s">
        <v>73</v>
      </c>
      <c r="AM289" s="29" t="s">
        <v>73</v>
      </c>
      <c r="AN289" s="29" t="s">
        <v>73</v>
      </c>
      <c r="AO289" s="29" t="s">
        <v>73</v>
      </c>
      <c r="AP289" s="30">
        <v>6500</v>
      </c>
      <c r="AQ289" s="30">
        <v>6500</v>
      </c>
      <c r="AR289" s="29" t="s">
        <v>73</v>
      </c>
      <c r="AS289" s="29" t="s">
        <v>73</v>
      </c>
      <c r="AT289" s="29" t="s">
        <v>73</v>
      </c>
      <c r="AU289" s="29" t="s">
        <v>73</v>
      </c>
      <c r="AV289" s="29" t="s">
        <v>73</v>
      </c>
      <c r="AW289" s="29" t="s">
        <v>73</v>
      </c>
      <c r="AX289" s="30">
        <v>13000</v>
      </c>
      <c r="AY289" s="30" t="s">
        <v>6</v>
      </c>
      <c r="AZ289" s="2" t="s">
        <v>74</v>
      </c>
      <c r="BA289" s="2"/>
    </row>
    <row r="290" spans="1:53" ht="51" x14ac:dyDescent="0.25">
      <c r="A290" s="19">
        <v>2026</v>
      </c>
      <c r="B290" s="20">
        <v>479</v>
      </c>
      <c r="C290" s="21" t="s">
        <v>64</v>
      </c>
      <c r="D290" s="21" t="s">
        <v>65</v>
      </c>
      <c r="E290" s="20">
        <v>125</v>
      </c>
      <c r="F290" s="20">
        <v>3000654</v>
      </c>
      <c r="G290" s="20">
        <v>5005023</v>
      </c>
      <c r="H290" s="20">
        <v>3</v>
      </c>
      <c r="I290" s="20">
        <v>12</v>
      </c>
      <c r="J290" s="20">
        <v>24</v>
      </c>
      <c r="K290" s="20">
        <v>135560</v>
      </c>
      <c r="L290" s="21" t="s">
        <v>220</v>
      </c>
      <c r="M290" s="33" t="s">
        <v>221</v>
      </c>
      <c r="N290" s="19">
        <v>97</v>
      </c>
      <c r="O290" s="2"/>
      <c r="P290" s="2" t="s">
        <v>4</v>
      </c>
      <c r="Q290" s="20" t="s">
        <v>68</v>
      </c>
      <c r="R290" s="25" t="s">
        <v>69</v>
      </c>
      <c r="S290" s="41" t="s">
        <v>137</v>
      </c>
      <c r="T290" s="41"/>
      <c r="U290" s="31" t="s">
        <v>346</v>
      </c>
      <c r="V290" s="25" t="s">
        <v>3</v>
      </c>
      <c r="W290" s="25">
        <v>1</v>
      </c>
      <c r="X290" s="27">
        <v>6000</v>
      </c>
      <c r="Y290" s="1142"/>
      <c r="Z290" s="1143"/>
      <c r="AA290" s="1143"/>
      <c r="AB290" s="1144"/>
      <c r="AC290" s="25">
        <v>30</v>
      </c>
      <c r="AD290" s="25">
        <v>30</v>
      </c>
      <c r="AE290" s="1142"/>
      <c r="AF290" s="1143"/>
      <c r="AG290" s="1143"/>
      <c r="AH290" s="1143"/>
      <c r="AI290" s="1143"/>
      <c r="AJ290" s="1145"/>
      <c r="AK290" s="35">
        <v>12000</v>
      </c>
      <c r="AL290" s="29" t="s">
        <v>73</v>
      </c>
      <c r="AM290" s="29" t="s">
        <v>73</v>
      </c>
      <c r="AN290" s="29" t="s">
        <v>73</v>
      </c>
      <c r="AO290" s="29" t="s">
        <v>73</v>
      </c>
      <c r="AP290" s="30">
        <v>6000</v>
      </c>
      <c r="AQ290" s="30">
        <v>6000</v>
      </c>
      <c r="AR290" s="29" t="s">
        <v>73</v>
      </c>
      <c r="AS290" s="29" t="s">
        <v>73</v>
      </c>
      <c r="AT290" s="29" t="s">
        <v>73</v>
      </c>
      <c r="AU290" s="29" t="s">
        <v>73</v>
      </c>
      <c r="AV290" s="29" t="s">
        <v>73</v>
      </c>
      <c r="AW290" s="29" t="s">
        <v>73</v>
      </c>
      <c r="AX290" s="30">
        <v>12000</v>
      </c>
      <c r="AY290" s="30" t="s">
        <v>6</v>
      </c>
      <c r="AZ290" s="2" t="s">
        <v>74</v>
      </c>
      <c r="BA290" s="2"/>
    </row>
    <row r="291" spans="1:53" ht="51" x14ac:dyDescent="0.25">
      <c r="A291" s="19">
        <v>2026</v>
      </c>
      <c r="B291" s="20">
        <v>479</v>
      </c>
      <c r="C291" s="21" t="s">
        <v>64</v>
      </c>
      <c r="D291" s="21" t="s">
        <v>65</v>
      </c>
      <c r="E291" s="20">
        <v>125</v>
      </c>
      <c r="F291" s="20">
        <v>3000654</v>
      </c>
      <c r="G291" s="20">
        <v>5005023</v>
      </c>
      <c r="H291" s="20">
        <v>3</v>
      </c>
      <c r="I291" s="20">
        <v>12</v>
      </c>
      <c r="J291" s="20">
        <v>24</v>
      </c>
      <c r="K291" s="20">
        <v>135560</v>
      </c>
      <c r="L291" s="21" t="s">
        <v>220</v>
      </c>
      <c r="M291" s="33" t="s">
        <v>221</v>
      </c>
      <c r="N291" s="19">
        <v>97</v>
      </c>
      <c r="O291" s="2"/>
      <c r="P291" s="2" t="s">
        <v>4</v>
      </c>
      <c r="Q291" s="20" t="s">
        <v>68</v>
      </c>
      <c r="R291" s="25" t="s">
        <v>69</v>
      </c>
      <c r="S291" s="41" t="s">
        <v>137</v>
      </c>
      <c r="T291" s="41"/>
      <c r="U291" s="31" t="s">
        <v>347</v>
      </c>
      <c r="V291" s="25" t="s">
        <v>3</v>
      </c>
      <c r="W291" s="25">
        <v>1</v>
      </c>
      <c r="X291" s="27">
        <v>6000</v>
      </c>
      <c r="Y291" s="1142"/>
      <c r="Z291" s="1143"/>
      <c r="AA291" s="1143"/>
      <c r="AB291" s="1144"/>
      <c r="AC291" s="25">
        <v>30</v>
      </c>
      <c r="AD291" s="25">
        <v>30</v>
      </c>
      <c r="AE291" s="1142"/>
      <c r="AF291" s="1143"/>
      <c r="AG291" s="1143"/>
      <c r="AH291" s="1143"/>
      <c r="AI291" s="1143"/>
      <c r="AJ291" s="1145"/>
      <c r="AK291" s="35">
        <v>12000</v>
      </c>
      <c r="AL291" s="29" t="s">
        <v>73</v>
      </c>
      <c r="AM291" s="29" t="s">
        <v>73</v>
      </c>
      <c r="AN291" s="29" t="s">
        <v>73</v>
      </c>
      <c r="AO291" s="29" t="s">
        <v>73</v>
      </c>
      <c r="AP291" s="30">
        <v>6000</v>
      </c>
      <c r="AQ291" s="30">
        <v>6000</v>
      </c>
      <c r="AR291" s="29" t="s">
        <v>73</v>
      </c>
      <c r="AS291" s="29" t="s">
        <v>73</v>
      </c>
      <c r="AT291" s="29" t="s">
        <v>73</v>
      </c>
      <c r="AU291" s="29" t="s">
        <v>73</v>
      </c>
      <c r="AV291" s="29" t="s">
        <v>73</v>
      </c>
      <c r="AW291" s="29" t="s">
        <v>73</v>
      </c>
      <c r="AX291" s="30">
        <v>12000</v>
      </c>
      <c r="AY291" s="30" t="s">
        <v>6</v>
      </c>
      <c r="AZ291" s="2" t="s">
        <v>74</v>
      </c>
      <c r="BA291" s="2"/>
    </row>
    <row r="292" spans="1:53" ht="51" x14ac:dyDescent="0.25">
      <c r="A292" s="19">
        <v>2026</v>
      </c>
      <c r="B292" s="20">
        <v>479</v>
      </c>
      <c r="C292" s="21" t="s">
        <v>64</v>
      </c>
      <c r="D292" s="21" t="s">
        <v>65</v>
      </c>
      <c r="E292" s="20">
        <v>125</v>
      </c>
      <c r="F292" s="20">
        <v>3000654</v>
      </c>
      <c r="G292" s="20">
        <v>5005023</v>
      </c>
      <c r="H292" s="20">
        <v>3</v>
      </c>
      <c r="I292" s="20">
        <v>12</v>
      </c>
      <c r="J292" s="20">
        <v>24</v>
      </c>
      <c r="K292" s="20">
        <v>135560</v>
      </c>
      <c r="L292" s="21" t="s">
        <v>220</v>
      </c>
      <c r="M292" s="33" t="s">
        <v>221</v>
      </c>
      <c r="N292" s="19">
        <v>97</v>
      </c>
      <c r="O292" s="2"/>
      <c r="P292" s="2" t="s">
        <v>4</v>
      </c>
      <c r="Q292" s="20" t="s">
        <v>68</v>
      </c>
      <c r="R292" s="25" t="s">
        <v>69</v>
      </c>
      <c r="S292" s="41" t="s">
        <v>137</v>
      </c>
      <c r="T292" s="41"/>
      <c r="U292" s="31" t="s">
        <v>348</v>
      </c>
      <c r="V292" s="25" t="s">
        <v>3</v>
      </c>
      <c r="W292" s="25">
        <v>1</v>
      </c>
      <c r="X292" s="27">
        <v>6000</v>
      </c>
      <c r="Y292" s="1142"/>
      <c r="Z292" s="1143"/>
      <c r="AA292" s="1143"/>
      <c r="AB292" s="1144"/>
      <c r="AC292" s="25">
        <v>30</v>
      </c>
      <c r="AD292" s="25">
        <v>30</v>
      </c>
      <c r="AE292" s="1142"/>
      <c r="AF292" s="1143"/>
      <c r="AG292" s="1143"/>
      <c r="AH292" s="1143"/>
      <c r="AI292" s="1143"/>
      <c r="AJ292" s="1145"/>
      <c r="AK292" s="35">
        <v>12000</v>
      </c>
      <c r="AL292" s="29" t="s">
        <v>73</v>
      </c>
      <c r="AM292" s="29" t="s">
        <v>73</v>
      </c>
      <c r="AN292" s="29" t="s">
        <v>73</v>
      </c>
      <c r="AO292" s="29" t="s">
        <v>73</v>
      </c>
      <c r="AP292" s="30">
        <v>6000</v>
      </c>
      <c r="AQ292" s="30">
        <v>6000</v>
      </c>
      <c r="AR292" s="29" t="s">
        <v>73</v>
      </c>
      <c r="AS292" s="29" t="s">
        <v>73</v>
      </c>
      <c r="AT292" s="29" t="s">
        <v>73</v>
      </c>
      <c r="AU292" s="29" t="s">
        <v>73</v>
      </c>
      <c r="AV292" s="29" t="s">
        <v>73</v>
      </c>
      <c r="AW292" s="29" t="s">
        <v>73</v>
      </c>
      <c r="AX292" s="30">
        <v>12000</v>
      </c>
      <c r="AY292" s="30" t="s">
        <v>6</v>
      </c>
      <c r="AZ292" s="2" t="s">
        <v>74</v>
      </c>
      <c r="BA292" s="2"/>
    </row>
    <row r="293" spans="1:53" ht="51" x14ac:dyDescent="0.25">
      <c r="A293" s="19">
        <v>2026</v>
      </c>
      <c r="B293" s="20">
        <v>479</v>
      </c>
      <c r="C293" s="21" t="s">
        <v>64</v>
      </c>
      <c r="D293" s="21" t="s">
        <v>65</v>
      </c>
      <c r="E293" s="20">
        <v>125</v>
      </c>
      <c r="F293" s="20">
        <v>3000654</v>
      </c>
      <c r="G293" s="20">
        <v>5005023</v>
      </c>
      <c r="H293" s="20">
        <v>3</v>
      </c>
      <c r="I293" s="20">
        <v>12</v>
      </c>
      <c r="J293" s="20">
        <v>24</v>
      </c>
      <c r="K293" s="20">
        <v>135560</v>
      </c>
      <c r="L293" s="21" t="s">
        <v>220</v>
      </c>
      <c r="M293" s="33" t="s">
        <v>221</v>
      </c>
      <c r="N293" s="19">
        <v>97</v>
      </c>
      <c r="O293" s="2"/>
      <c r="P293" s="2" t="s">
        <v>4</v>
      </c>
      <c r="Q293" s="20" t="s">
        <v>68</v>
      </c>
      <c r="R293" s="25" t="s">
        <v>69</v>
      </c>
      <c r="S293" s="41" t="s">
        <v>137</v>
      </c>
      <c r="T293" s="41"/>
      <c r="U293" s="31" t="s">
        <v>349</v>
      </c>
      <c r="V293" s="25" t="s">
        <v>3</v>
      </c>
      <c r="W293" s="25">
        <v>1</v>
      </c>
      <c r="X293" s="27">
        <v>6000</v>
      </c>
      <c r="Y293" s="1142"/>
      <c r="Z293" s="1143"/>
      <c r="AA293" s="1143"/>
      <c r="AB293" s="1144"/>
      <c r="AC293" s="25">
        <v>30</v>
      </c>
      <c r="AD293" s="25">
        <v>30</v>
      </c>
      <c r="AE293" s="1142"/>
      <c r="AF293" s="1143"/>
      <c r="AG293" s="1143"/>
      <c r="AH293" s="1143"/>
      <c r="AI293" s="1143"/>
      <c r="AJ293" s="1145"/>
      <c r="AK293" s="35">
        <v>12000</v>
      </c>
      <c r="AL293" s="29" t="s">
        <v>73</v>
      </c>
      <c r="AM293" s="29" t="s">
        <v>73</v>
      </c>
      <c r="AN293" s="29" t="s">
        <v>73</v>
      </c>
      <c r="AO293" s="29" t="s">
        <v>73</v>
      </c>
      <c r="AP293" s="30">
        <v>6000</v>
      </c>
      <c r="AQ293" s="30">
        <v>6000</v>
      </c>
      <c r="AR293" s="29" t="s">
        <v>73</v>
      </c>
      <c r="AS293" s="29" t="s">
        <v>73</v>
      </c>
      <c r="AT293" s="29" t="s">
        <v>73</v>
      </c>
      <c r="AU293" s="29" t="s">
        <v>73</v>
      </c>
      <c r="AV293" s="29" t="s">
        <v>73</v>
      </c>
      <c r="AW293" s="29" t="s">
        <v>73</v>
      </c>
      <c r="AX293" s="30">
        <v>12000</v>
      </c>
      <c r="AY293" s="30" t="s">
        <v>6</v>
      </c>
      <c r="AZ293" s="2" t="s">
        <v>74</v>
      </c>
      <c r="BA293" s="2"/>
    </row>
    <row r="294" spans="1:53" ht="51" x14ac:dyDescent="0.25">
      <c r="A294" s="19">
        <v>2026</v>
      </c>
      <c r="B294" s="20">
        <v>479</v>
      </c>
      <c r="C294" s="21" t="s">
        <v>64</v>
      </c>
      <c r="D294" s="21" t="s">
        <v>65</v>
      </c>
      <c r="E294" s="20">
        <v>125</v>
      </c>
      <c r="F294" s="20">
        <v>3000654</v>
      </c>
      <c r="G294" s="20">
        <v>5005023</v>
      </c>
      <c r="H294" s="20">
        <v>3</v>
      </c>
      <c r="I294" s="20">
        <v>12</v>
      </c>
      <c r="J294" s="20">
        <v>24</v>
      </c>
      <c r="K294" s="20">
        <v>135560</v>
      </c>
      <c r="L294" s="21" t="s">
        <v>220</v>
      </c>
      <c r="M294" s="33" t="s">
        <v>221</v>
      </c>
      <c r="N294" s="19">
        <v>97</v>
      </c>
      <c r="O294" s="2"/>
      <c r="P294" s="2" t="s">
        <v>4</v>
      </c>
      <c r="Q294" s="20" t="s">
        <v>68</v>
      </c>
      <c r="R294" s="25" t="s">
        <v>69</v>
      </c>
      <c r="S294" s="41" t="s">
        <v>137</v>
      </c>
      <c r="T294" s="41"/>
      <c r="U294" s="31" t="s">
        <v>350</v>
      </c>
      <c r="V294" s="25" t="s">
        <v>3</v>
      </c>
      <c r="W294" s="25">
        <v>1</v>
      </c>
      <c r="X294" s="27">
        <v>10000</v>
      </c>
      <c r="Y294" s="1142"/>
      <c r="Z294" s="1143"/>
      <c r="AA294" s="1143"/>
      <c r="AB294" s="1144"/>
      <c r="AC294" s="25">
        <v>30</v>
      </c>
      <c r="AD294" s="25">
        <v>30</v>
      </c>
      <c r="AE294" s="1142"/>
      <c r="AF294" s="1143"/>
      <c r="AG294" s="1143"/>
      <c r="AH294" s="1143"/>
      <c r="AI294" s="1143"/>
      <c r="AJ294" s="1145"/>
      <c r="AK294" s="35">
        <v>20000</v>
      </c>
      <c r="AL294" s="29" t="s">
        <v>73</v>
      </c>
      <c r="AM294" s="29" t="s">
        <v>73</v>
      </c>
      <c r="AN294" s="29" t="s">
        <v>73</v>
      </c>
      <c r="AO294" s="29" t="s">
        <v>73</v>
      </c>
      <c r="AP294" s="30">
        <v>10000</v>
      </c>
      <c r="AQ294" s="30">
        <v>10000</v>
      </c>
      <c r="AR294" s="29" t="s">
        <v>73</v>
      </c>
      <c r="AS294" s="29" t="s">
        <v>73</v>
      </c>
      <c r="AT294" s="29" t="s">
        <v>73</v>
      </c>
      <c r="AU294" s="29" t="s">
        <v>73</v>
      </c>
      <c r="AV294" s="29" t="s">
        <v>73</v>
      </c>
      <c r="AW294" s="29" t="s">
        <v>73</v>
      </c>
      <c r="AX294" s="30">
        <v>20000</v>
      </c>
      <c r="AY294" s="30" t="s">
        <v>6</v>
      </c>
      <c r="AZ294" s="2" t="s">
        <v>74</v>
      </c>
      <c r="BA294" s="2"/>
    </row>
    <row r="295" spans="1:53" ht="51" x14ac:dyDescent="0.25">
      <c r="A295" s="19">
        <v>2026</v>
      </c>
      <c r="B295" s="20">
        <v>479</v>
      </c>
      <c r="C295" s="21" t="s">
        <v>64</v>
      </c>
      <c r="D295" s="21" t="s">
        <v>65</v>
      </c>
      <c r="E295" s="20">
        <v>125</v>
      </c>
      <c r="F295" s="20">
        <v>3000654</v>
      </c>
      <c r="G295" s="20">
        <v>5005023</v>
      </c>
      <c r="H295" s="20">
        <v>3</v>
      </c>
      <c r="I295" s="20">
        <v>12</v>
      </c>
      <c r="J295" s="20">
        <v>24</v>
      </c>
      <c r="K295" s="20">
        <v>135560</v>
      </c>
      <c r="L295" s="21" t="s">
        <v>220</v>
      </c>
      <c r="M295" s="33" t="s">
        <v>221</v>
      </c>
      <c r="N295" s="19">
        <v>97</v>
      </c>
      <c r="O295" s="2"/>
      <c r="P295" s="2" t="s">
        <v>4</v>
      </c>
      <c r="Q295" s="20" t="s">
        <v>68</v>
      </c>
      <c r="R295" s="25" t="s">
        <v>69</v>
      </c>
      <c r="S295" s="41" t="s">
        <v>137</v>
      </c>
      <c r="T295" s="41"/>
      <c r="U295" s="31" t="s">
        <v>351</v>
      </c>
      <c r="V295" s="25" t="s">
        <v>3</v>
      </c>
      <c r="W295" s="25">
        <v>1</v>
      </c>
      <c r="X295" s="27">
        <v>10000</v>
      </c>
      <c r="Y295" s="1142"/>
      <c r="Z295" s="1143"/>
      <c r="AA295" s="1143"/>
      <c r="AB295" s="1144"/>
      <c r="AC295" s="25">
        <v>30</v>
      </c>
      <c r="AD295" s="25">
        <v>30</v>
      </c>
      <c r="AE295" s="1142"/>
      <c r="AF295" s="1143"/>
      <c r="AG295" s="1143"/>
      <c r="AH295" s="1143"/>
      <c r="AI295" s="1143"/>
      <c r="AJ295" s="1145"/>
      <c r="AK295" s="35">
        <v>20000</v>
      </c>
      <c r="AL295" s="29" t="s">
        <v>73</v>
      </c>
      <c r="AM295" s="29" t="s">
        <v>73</v>
      </c>
      <c r="AN295" s="29" t="s">
        <v>73</v>
      </c>
      <c r="AO295" s="29" t="s">
        <v>73</v>
      </c>
      <c r="AP295" s="30">
        <v>10000</v>
      </c>
      <c r="AQ295" s="30">
        <v>10000</v>
      </c>
      <c r="AR295" s="29" t="s">
        <v>73</v>
      </c>
      <c r="AS295" s="29" t="s">
        <v>73</v>
      </c>
      <c r="AT295" s="29" t="s">
        <v>73</v>
      </c>
      <c r="AU295" s="29" t="s">
        <v>73</v>
      </c>
      <c r="AV295" s="29" t="s">
        <v>73</v>
      </c>
      <c r="AW295" s="29" t="s">
        <v>73</v>
      </c>
      <c r="AX295" s="30">
        <v>20000</v>
      </c>
      <c r="AY295" s="30" t="s">
        <v>6</v>
      </c>
      <c r="AZ295" s="2" t="s">
        <v>74</v>
      </c>
      <c r="BA295" s="2"/>
    </row>
    <row r="296" spans="1:53" ht="51" x14ac:dyDescent="0.25">
      <c r="A296" s="19">
        <v>2026</v>
      </c>
      <c r="B296" s="20">
        <v>479</v>
      </c>
      <c r="C296" s="21" t="s">
        <v>64</v>
      </c>
      <c r="D296" s="21" t="s">
        <v>65</v>
      </c>
      <c r="E296" s="20">
        <v>125</v>
      </c>
      <c r="F296" s="20">
        <v>3000654</v>
      </c>
      <c r="G296" s="20">
        <v>5005023</v>
      </c>
      <c r="H296" s="20">
        <v>3</v>
      </c>
      <c r="I296" s="20">
        <v>12</v>
      </c>
      <c r="J296" s="20">
        <v>24</v>
      </c>
      <c r="K296" s="20">
        <v>135560</v>
      </c>
      <c r="L296" s="21" t="s">
        <v>220</v>
      </c>
      <c r="M296" s="33" t="s">
        <v>221</v>
      </c>
      <c r="N296" s="19">
        <v>97</v>
      </c>
      <c r="O296" s="2"/>
      <c r="P296" s="2" t="s">
        <v>4</v>
      </c>
      <c r="Q296" s="20" t="s">
        <v>68</v>
      </c>
      <c r="R296" s="25" t="s">
        <v>69</v>
      </c>
      <c r="S296" s="41" t="s">
        <v>137</v>
      </c>
      <c r="T296" s="41"/>
      <c r="U296" s="31" t="s">
        <v>352</v>
      </c>
      <c r="V296" s="25" t="s">
        <v>3</v>
      </c>
      <c r="W296" s="25">
        <v>1</v>
      </c>
      <c r="X296" s="27">
        <v>10000</v>
      </c>
      <c r="Y296" s="1142"/>
      <c r="Z296" s="1143"/>
      <c r="AA296" s="1143"/>
      <c r="AB296" s="1144"/>
      <c r="AC296" s="25">
        <v>30</v>
      </c>
      <c r="AD296" s="25">
        <v>30</v>
      </c>
      <c r="AE296" s="1142"/>
      <c r="AF296" s="1143"/>
      <c r="AG296" s="1143"/>
      <c r="AH296" s="1143"/>
      <c r="AI296" s="1143"/>
      <c r="AJ296" s="1145"/>
      <c r="AK296" s="35">
        <v>20000</v>
      </c>
      <c r="AL296" s="29" t="s">
        <v>73</v>
      </c>
      <c r="AM296" s="29" t="s">
        <v>73</v>
      </c>
      <c r="AN296" s="29" t="s">
        <v>73</v>
      </c>
      <c r="AO296" s="29" t="s">
        <v>73</v>
      </c>
      <c r="AP296" s="30">
        <v>10000</v>
      </c>
      <c r="AQ296" s="30">
        <v>10000</v>
      </c>
      <c r="AR296" s="29" t="s">
        <v>73</v>
      </c>
      <c r="AS296" s="29" t="s">
        <v>73</v>
      </c>
      <c r="AT296" s="29" t="s">
        <v>73</v>
      </c>
      <c r="AU296" s="29" t="s">
        <v>73</v>
      </c>
      <c r="AV296" s="29" t="s">
        <v>73</v>
      </c>
      <c r="AW296" s="29" t="s">
        <v>73</v>
      </c>
      <c r="AX296" s="30">
        <v>20000</v>
      </c>
      <c r="AY296" s="30" t="s">
        <v>6</v>
      </c>
      <c r="AZ296" s="2" t="s">
        <v>74</v>
      </c>
      <c r="BA296" s="2"/>
    </row>
    <row r="297" spans="1:53" ht="51" x14ac:dyDescent="0.25">
      <c r="A297" s="19">
        <v>2026</v>
      </c>
      <c r="B297" s="20">
        <v>479</v>
      </c>
      <c r="C297" s="21" t="s">
        <v>64</v>
      </c>
      <c r="D297" s="21" t="s">
        <v>65</v>
      </c>
      <c r="E297" s="20">
        <v>125</v>
      </c>
      <c r="F297" s="20">
        <v>3000654</v>
      </c>
      <c r="G297" s="20">
        <v>5005023</v>
      </c>
      <c r="H297" s="20">
        <v>3</v>
      </c>
      <c r="I297" s="20">
        <v>12</v>
      </c>
      <c r="J297" s="20">
        <v>24</v>
      </c>
      <c r="K297" s="20">
        <v>135560</v>
      </c>
      <c r="L297" s="21" t="s">
        <v>98</v>
      </c>
      <c r="M297" s="33" t="s">
        <v>99</v>
      </c>
      <c r="N297" s="19">
        <v>94</v>
      </c>
      <c r="O297" s="2"/>
      <c r="P297" s="2" t="s">
        <v>4</v>
      </c>
      <c r="Q297" s="20" t="s">
        <v>68</v>
      </c>
      <c r="R297" s="25" t="s">
        <v>69</v>
      </c>
      <c r="S297" s="41" t="s">
        <v>137</v>
      </c>
      <c r="T297" s="41"/>
      <c r="U297" s="31" t="s">
        <v>353</v>
      </c>
      <c r="V297" s="25" t="s">
        <v>3</v>
      </c>
      <c r="W297" s="25">
        <v>1</v>
      </c>
      <c r="X297" s="27">
        <v>9000</v>
      </c>
      <c r="Y297" s="1142"/>
      <c r="Z297" s="1143"/>
      <c r="AA297" s="1143"/>
      <c r="AB297" s="1144"/>
      <c r="AC297" s="25">
        <v>30</v>
      </c>
      <c r="AD297" s="25"/>
      <c r="AE297" s="1142"/>
      <c r="AF297" s="1143"/>
      <c r="AG297" s="1143"/>
      <c r="AH297" s="1143"/>
      <c r="AI297" s="1143"/>
      <c r="AJ297" s="1145"/>
      <c r="AK297" s="35">
        <v>9000</v>
      </c>
      <c r="AL297" s="29" t="s">
        <v>73</v>
      </c>
      <c r="AM297" s="29" t="s">
        <v>73</v>
      </c>
      <c r="AN297" s="29" t="s">
        <v>73</v>
      </c>
      <c r="AO297" s="29" t="s">
        <v>73</v>
      </c>
      <c r="AP297" s="30">
        <v>9000</v>
      </c>
      <c r="AQ297" s="29" t="s">
        <v>73</v>
      </c>
      <c r="AR297" s="29" t="s">
        <v>73</v>
      </c>
      <c r="AS297" s="29" t="s">
        <v>73</v>
      </c>
      <c r="AT297" s="29" t="s">
        <v>73</v>
      </c>
      <c r="AU297" s="29" t="s">
        <v>73</v>
      </c>
      <c r="AV297" s="29" t="s">
        <v>73</v>
      </c>
      <c r="AW297" s="29" t="s">
        <v>73</v>
      </c>
      <c r="AX297" s="30">
        <v>9000</v>
      </c>
      <c r="AY297" s="18" t="s">
        <v>6</v>
      </c>
      <c r="AZ297" s="2" t="s">
        <v>74</v>
      </c>
      <c r="BA297" s="2"/>
    </row>
    <row r="298" spans="1:53" ht="51" x14ac:dyDescent="0.25">
      <c r="A298" s="19">
        <v>2026</v>
      </c>
      <c r="B298" s="20">
        <v>479</v>
      </c>
      <c r="C298" s="21" t="s">
        <v>64</v>
      </c>
      <c r="D298" s="21" t="s">
        <v>65</v>
      </c>
      <c r="E298" s="20">
        <v>125</v>
      </c>
      <c r="F298" s="20">
        <v>3000654</v>
      </c>
      <c r="G298" s="20">
        <v>5005023</v>
      </c>
      <c r="H298" s="20">
        <v>3</v>
      </c>
      <c r="I298" s="20">
        <v>12</v>
      </c>
      <c r="J298" s="20">
        <v>24</v>
      </c>
      <c r="K298" s="20">
        <v>135560</v>
      </c>
      <c r="L298" s="21" t="s">
        <v>220</v>
      </c>
      <c r="M298" s="33" t="s">
        <v>221</v>
      </c>
      <c r="N298" s="19">
        <v>97</v>
      </c>
      <c r="O298" s="2"/>
      <c r="P298" s="2" t="s">
        <v>4</v>
      </c>
      <c r="Q298" s="20" t="s">
        <v>68</v>
      </c>
      <c r="R298" s="25" t="s">
        <v>69</v>
      </c>
      <c r="S298" s="41" t="s">
        <v>137</v>
      </c>
      <c r="T298" s="41"/>
      <c r="U298" s="31" t="s">
        <v>353</v>
      </c>
      <c r="V298" s="25" t="s">
        <v>3</v>
      </c>
      <c r="W298" s="25">
        <v>1</v>
      </c>
      <c r="X298" s="27">
        <v>9000</v>
      </c>
      <c r="Y298" s="1142"/>
      <c r="Z298" s="1143"/>
      <c r="AA298" s="1143"/>
      <c r="AB298" s="1144"/>
      <c r="AC298" s="25"/>
      <c r="AD298" s="25">
        <v>30</v>
      </c>
      <c r="AE298" s="1142"/>
      <c r="AF298" s="1143"/>
      <c r="AG298" s="1143"/>
      <c r="AH298" s="1143"/>
      <c r="AI298" s="1143"/>
      <c r="AJ298" s="1145"/>
      <c r="AK298" s="35">
        <v>9000</v>
      </c>
      <c r="AL298" s="29" t="s">
        <v>73</v>
      </c>
      <c r="AM298" s="29" t="s">
        <v>73</v>
      </c>
      <c r="AN298" s="29" t="s">
        <v>73</v>
      </c>
      <c r="AO298" s="29" t="s">
        <v>73</v>
      </c>
      <c r="AP298" s="29" t="s">
        <v>73</v>
      </c>
      <c r="AQ298" s="30">
        <v>9000</v>
      </c>
      <c r="AR298" s="29" t="s">
        <v>73</v>
      </c>
      <c r="AS298" s="29" t="s">
        <v>73</v>
      </c>
      <c r="AT298" s="29" t="s">
        <v>73</v>
      </c>
      <c r="AU298" s="29" t="s">
        <v>73</v>
      </c>
      <c r="AV298" s="29" t="s">
        <v>73</v>
      </c>
      <c r="AW298" s="29" t="s">
        <v>73</v>
      </c>
      <c r="AX298" s="30">
        <v>9000</v>
      </c>
      <c r="AY298" s="30" t="s">
        <v>6</v>
      </c>
      <c r="AZ298" s="2" t="s">
        <v>74</v>
      </c>
      <c r="BA298" s="2"/>
    </row>
    <row r="299" spans="1:53" ht="51" x14ac:dyDescent="0.25">
      <c r="A299" s="19">
        <v>2026</v>
      </c>
      <c r="B299" s="20">
        <v>479</v>
      </c>
      <c r="C299" s="21" t="s">
        <v>64</v>
      </c>
      <c r="D299" s="21" t="s">
        <v>65</v>
      </c>
      <c r="E299" s="20">
        <v>125</v>
      </c>
      <c r="F299" s="20">
        <v>3000654</v>
      </c>
      <c r="G299" s="20">
        <v>5005023</v>
      </c>
      <c r="H299" s="20">
        <v>3</v>
      </c>
      <c r="I299" s="20">
        <v>12</v>
      </c>
      <c r="J299" s="20">
        <v>24</v>
      </c>
      <c r="K299" s="20">
        <v>135560</v>
      </c>
      <c r="L299" s="21" t="s">
        <v>220</v>
      </c>
      <c r="M299" s="33" t="s">
        <v>221</v>
      </c>
      <c r="N299" s="19">
        <v>97</v>
      </c>
      <c r="O299" s="2"/>
      <c r="P299" s="2" t="s">
        <v>4</v>
      </c>
      <c r="Q299" s="20" t="s">
        <v>68</v>
      </c>
      <c r="R299" s="25" t="s">
        <v>69</v>
      </c>
      <c r="S299" s="41" t="s">
        <v>137</v>
      </c>
      <c r="T299" s="41"/>
      <c r="U299" s="31" t="s">
        <v>354</v>
      </c>
      <c r="V299" s="25" t="s">
        <v>3</v>
      </c>
      <c r="W299" s="25">
        <v>1</v>
      </c>
      <c r="X299" s="27">
        <v>4500</v>
      </c>
      <c r="Y299" s="1142"/>
      <c r="Z299" s="1143"/>
      <c r="AA299" s="1143"/>
      <c r="AB299" s="1144"/>
      <c r="AC299" s="25">
        <v>30</v>
      </c>
      <c r="AD299" s="25">
        <v>30</v>
      </c>
      <c r="AE299" s="1142"/>
      <c r="AF299" s="1143"/>
      <c r="AG299" s="1143"/>
      <c r="AH299" s="1143"/>
      <c r="AI299" s="1143"/>
      <c r="AJ299" s="1145"/>
      <c r="AK299" s="35">
        <v>9000</v>
      </c>
      <c r="AL299" s="29" t="s">
        <v>73</v>
      </c>
      <c r="AM299" s="29" t="s">
        <v>73</v>
      </c>
      <c r="AN299" s="29" t="s">
        <v>73</v>
      </c>
      <c r="AO299" s="29" t="s">
        <v>73</v>
      </c>
      <c r="AP299" s="30">
        <v>4500</v>
      </c>
      <c r="AQ299" s="30">
        <v>4500</v>
      </c>
      <c r="AR299" s="29" t="s">
        <v>73</v>
      </c>
      <c r="AS299" s="29" t="s">
        <v>73</v>
      </c>
      <c r="AT299" s="29" t="s">
        <v>73</v>
      </c>
      <c r="AU299" s="29" t="s">
        <v>73</v>
      </c>
      <c r="AV299" s="29" t="s">
        <v>73</v>
      </c>
      <c r="AW299" s="29" t="s">
        <v>73</v>
      </c>
      <c r="AX299" s="30">
        <v>9000</v>
      </c>
      <c r="AY299" s="30" t="s">
        <v>6</v>
      </c>
      <c r="AZ299" s="2" t="s">
        <v>74</v>
      </c>
      <c r="BA299" s="2"/>
    </row>
    <row r="300" spans="1:53" ht="51" x14ac:dyDescent="0.25">
      <c r="A300" s="19">
        <v>2026</v>
      </c>
      <c r="B300" s="20">
        <v>479</v>
      </c>
      <c r="C300" s="21" t="s">
        <v>64</v>
      </c>
      <c r="D300" s="21" t="s">
        <v>65</v>
      </c>
      <c r="E300" s="20">
        <v>125</v>
      </c>
      <c r="F300" s="20">
        <v>3000654</v>
      </c>
      <c r="G300" s="20">
        <v>5005023</v>
      </c>
      <c r="H300" s="20">
        <v>3</v>
      </c>
      <c r="I300" s="20">
        <v>12</v>
      </c>
      <c r="J300" s="20">
        <v>24</v>
      </c>
      <c r="K300" s="20">
        <v>135560</v>
      </c>
      <c r="L300" s="21" t="s">
        <v>220</v>
      </c>
      <c r="M300" s="33" t="s">
        <v>221</v>
      </c>
      <c r="N300" s="19">
        <v>97</v>
      </c>
      <c r="O300" s="2"/>
      <c r="P300" s="2" t="s">
        <v>4</v>
      </c>
      <c r="Q300" s="20" t="s">
        <v>68</v>
      </c>
      <c r="R300" s="25" t="s">
        <v>69</v>
      </c>
      <c r="S300" s="41" t="s">
        <v>137</v>
      </c>
      <c r="T300" s="41"/>
      <c r="U300" s="31" t="s">
        <v>355</v>
      </c>
      <c r="V300" s="25" t="s">
        <v>3</v>
      </c>
      <c r="W300" s="25">
        <v>1</v>
      </c>
      <c r="X300" s="27">
        <v>5000</v>
      </c>
      <c r="Y300" s="1142"/>
      <c r="Z300" s="1143"/>
      <c r="AA300" s="1143"/>
      <c r="AB300" s="1144"/>
      <c r="AC300" s="25">
        <v>30</v>
      </c>
      <c r="AD300" s="25">
        <v>30</v>
      </c>
      <c r="AE300" s="1142"/>
      <c r="AF300" s="1143"/>
      <c r="AG300" s="1143"/>
      <c r="AH300" s="1143"/>
      <c r="AI300" s="1143"/>
      <c r="AJ300" s="1145"/>
      <c r="AK300" s="35">
        <v>10000</v>
      </c>
      <c r="AL300" s="29" t="s">
        <v>73</v>
      </c>
      <c r="AM300" s="29" t="s">
        <v>73</v>
      </c>
      <c r="AN300" s="29" t="s">
        <v>73</v>
      </c>
      <c r="AO300" s="29" t="s">
        <v>73</v>
      </c>
      <c r="AP300" s="30">
        <v>5000</v>
      </c>
      <c r="AQ300" s="30">
        <v>5000</v>
      </c>
      <c r="AR300" s="29" t="s">
        <v>73</v>
      </c>
      <c r="AS300" s="29" t="s">
        <v>73</v>
      </c>
      <c r="AT300" s="29" t="s">
        <v>73</v>
      </c>
      <c r="AU300" s="29" t="s">
        <v>73</v>
      </c>
      <c r="AV300" s="29" t="s">
        <v>73</v>
      </c>
      <c r="AW300" s="29" t="s">
        <v>73</v>
      </c>
      <c r="AX300" s="30">
        <v>10000</v>
      </c>
      <c r="AY300" s="30" t="s">
        <v>6</v>
      </c>
      <c r="AZ300" s="2" t="s">
        <v>74</v>
      </c>
      <c r="BA300" s="2"/>
    </row>
    <row r="301" spans="1:53" ht="51" x14ac:dyDescent="0.25">
      <c r="A301" s="19">
        <v>2026</v>
      </c>
      <c r="B301" s="20">
        <v>479</v>
      </c>
      <c r="C301" s="21" t="s">
        <v>64</v>
      </c>
      <c r="D301" s="21" t="s">
        <v>65</v>
      </c>
      <c r="E301" s="20">
        <v>125</v>
      </c>
      <c r="F301" s="20">
        <v>3000654</v>
      </c>
      <c r="G301" s="20">
        <v>5005023</v>
      </c>
      <c r="H301" s="20">
        <v>3</v>
      </c>
      <c r="I301" s="20">
        <v>12</v>
      </c>
      <c r="J301" s="20">
        <v>24</v>
      </c>
      <c r="K301" s="20">
        <v>135560</v>
      </c>
      <c r="L301" s="21" t="s">
        <v>220</v>
      </c>
      <c r="M301" s="33" t="s">
        <v>221</v>
      </c>
      <c r="N301" s="19">
        <v>97</v>
      </c>
      <c r="O301" s="2"/>
      <c r="P301" s="2" t="s">
        <v>4</v>
      </c>
      <c r="Q301" s="20" t="s">
        <v>68</v>
      </c>
      <c r="R301" s="25" t="s">
        <v>69</v>
      </c>
      <c r="S301" s="41" t="s">
        <v>137</v>
      </c>
      <c r="T301" s="41"/>
      <c r="U301" s="31" t="s">
        <v>356</v>
      </c>
      <c r="V301" s="25" t="s">
        <v>3</v>
      </c>
      <c r="W301" s="25">
        <v>1</v>
      </c>
      <c r="X301" s="27">
        <v>5500</v>
      </c>
      <c r="Y301" s="1142"/>
      <c r="Z301" s="1143"/>
      <c r="AA301" s="1143"/>
      <c r="AB301" s="1144"/>
      <c r="AC301" s="25">
        <v>30</v>
      </c>
      <c r="AD301" s="25">
        <v>30</v>
      </c>
      <c r="AE301" s="1142"/>
      <c r="AF301" s="1143"/>
      <c r="AG301" s="1143"/>
      <c r="AH301" s="1143"/>
      <c r="AI301" s="1143"/>
      <c r="AJ301" s="1145"/>
      <c r="AK301" s="35">
        <v>11000</v>
      </c>
      <c r="AL301" s="29" t="s">
        <v>73</v>
      </c>
      <c r="AM301" s="29" t="s">
        <v>73</v>
      </c>
      <c r="AN301" s="29" t="s">
        <v>73</v>
      </c>
      <c r="AO301" s="29" t="s">
        <v>73</v>
      </c>
      <c r="AP301" s="30">
        <v>5500</v>
      </c>
      <c r="AQ301" s="30">
        <v>5500</v>
      </c>
      <c r="AR301" s="29" t="s">
        <v>73</v>
      </c>
      <c r="AS301" s="29" t="s">
        <v>73</v>
      </c>
      <c r="AT301" s="29" t="s">
        <v>73</v>
      </c>
      <c r="AU301" s="29" t="s">
        <v>73</v>
      </c>
      <c r="AV301" s="29" t="s">
        <v>73</v>
      </c>
      <c r="AW301" s="29" t="s">
        <v>73</v>
      </c>
      <c r="AX301" s="30">
        <v>11000</v>
      </c>
      <c r="AY301" s="30" t="s">
        <v>6</v>
      </c>
      <c r="AZ301" s="2" t="s">
        <v>74</v>
      </c>
      <c r="BA301" s="2"/>
    </row>
    <row r="302" spans="1:53" ht="51" x14ac:dyDescent="0.25">
      <c r="A302" s="19">
        <v>2026</v>
      </c>
      <c r="B302" s="20">
        <v>479</v>
      </c>
      <c r="C302" s="21" t="s">
        <v>64</v>
      </c>
      <c r="D302" s="21" t="s">
        <v>65</v>
      </c>
      <c r="E302" s="20">
        <v>125</v>
      </c>
      <c r="F302" s="20">
        <v>3000654</v>
      </c>
      <c r="G302" s="20">
        <v>5005023</v>
      </c>
      <c r="H302" s="20">
        <v>3</v>
      </c>
      <c r="I302" s="20">
        <v>12</v>
      </c>
      <c r="J302" s="20">
        <v>24</v>
      </c>
      <c r="K302" s="20">
        <v>135560</v>
      </c>
      <c r="L302" s="21" t="s">
        <v>220</v>
      </c>
      <c r="M302" s="33" t="s">
        <v>221</v>
      </c>
      <c r="N302" s="19">
        <v>97</v>
      </c>
      <c r="O302" s="2"/>
      <c r="P302" s="2" t="s">
        <v>4</v>
      </c>
      <c r="Q302" s="20" t="s">
        <v>68</v>
      </c>
      <c r="R302" s="25" t="s">
        <v>69</v>
      </c>
      <c r="S302" s="41" t="s">
        <v>137</v>
      </c>
      <c r="T302" s="41"/>
      <c r="U302" s="31" t="s">
        <v>357</v>
      </c>
      <c r="V302" s="25" t="s">
        <v>3</v>
      </c>
      <c r="W302" s="25">
        <v>1</v>
      </c>
      <c r="X302" s="27">
        <v>5500</v>
      </c>
      <c r="Y302" s="1142"/>
      <c r="Z302" s="1143"/>
      <c r="AA302" s="1143"/>
      <c r="AB302" s="1144"/>
      <c r="AC302" s="25">
        <v>30</v>
      </c>
      <c r="AD302" s="25">
        <v>30</v>
      </c>
      <c r="AE302" s="1142"/>
      <c r="AF302" s="1143"/>
      <c r="AG302" s="1143"/>
      <c r="AH302" s="1143"/>
      <c r="AI302" s="1143"/>
      <c r="AJ302" s="1145"/>
      <c r="AK302" s="35">
        <v>11000</v>
      </c>
      <c r="AL302" s="29" t="s">
        <v>73</v>
      </c>
      <c r="AM302" s="29" t="s">
        <v>73</v>
      </c>
      <c r="AN302" s="29" t="s">
        <v>73</v>
      </c>
      <c r="AO302" s="29" t="s">
        <v>73</v>
      </c>
      <c r="AP302" s="30">
        <v>5500</v>
      </c>
      <c r="AQ302" s="30">
        <v>5500</v>
      </c>
      <c r="AR302" s="29" t="s">
        <v>73</v>
      </c>
      <c r="AS302" s="29" t="s">
        <v>73</v>
      </c>
      <c r="AT302" s="29" t="s">
        <v>73</v>
      </c>
      <c r="AU302" s="29" t="s">
        <v>73</v>
      </c>
      <c r="AV302" s="29" t="s">
        <v>73</v>
      </c>
      <c r="AW302" s="29" t="s">
        <v>73</v>
      </c>
      <c r="AX302" s="30">
        <v>11000</v>
      </c>
      <c r="AY302" s="30" t="s">
        <v>6</v>
      </c>
      <c r="AZ302" s="2" t="s">
        <v>74</v>
      </c>
      <c r="BA302" s="2"/>
    </row>
    <row r="303" spans="1:53" ht="51" x14ac:dyDescent="0.25">
      <c r="A303" s="19">
        <v>2026</v>
      </c>
      <c r="B303" s="20">
        <v>479</v>
      </c>
      <c r="C303" s="21" t="s">
        <v>64</v>
      </c>
      <c r="D303" s="21" t="s">
        <v>65</v>
      </c>
      <c r="E303" s="20">
        <v>125</v>
      </c>
      <c r="F303" s="20">
        <v>3000654</v>
      </c>
      <c r="G303" s="20">
        <v>5005023</v>
      </c>
      <c r="H303" s="20">
        <v>3</v>
      </c>
      <c r="I303" s="20">
        <v>12</v>
      </c>
      <c r="J303" s="20">
        <v>24</v>
      </c>
      <c r="K303" s="20">
        <v>135560</v>
      </c>
      <c r="L303" s="21" t="s">
        <v>220</v>
      </c>
      <c r="M303" s="33" t="s">
        <v>221</v>
      </c>
      <c r="N303" s="19">
        <v>97</v>
      </c>
      <c r="O303" s="2"/>
      <c r="P303" s="2" t="s">
        <v>4</v>
      </c>
      <c r="Q303" s="20" t="s">
        <v>68</v>
      </c>
      <c r="R303" s="25" t="s">
        <v>69</v>
      </c>
      <c r="S303" s="41" t="s">
        <v>137</v>
      </c>
      <c r="T303" s="41"/>
      <c r="U303" s="31" t="s">
        <v>358</v>
      </c>
      <c r="V303" s="25" t="s">
        <v>3</v>
      </c>
      <c r="W303" s="25">
        <v>1</v>
      </c>
      <c r="X303" s="27">
        <v>5500</v>
      </c>
      <c r="Y303" s="1142"/>
      <c r="Z303" s="1143"/>
      <c r="AA303" s="1143"/>
      <c r="AB303" s="1144"/>
      <c r="AC303" s="25">
        <v>30</v>
      </c>
      <c r="AD303" s="25">
        <v>30</v>
      </c>
      <c r="AE303" s="1142"/>
      <c r="AF303" s="1143"/>
      <c r="AG303" s="1143"/>
      <c r="AH303" s="1143"/>
      <c r="AI303" s="1143"/>
      <c r="AJ303" s="1145"/>
      <c r="AK303" s="35">
        <v>11000</v>
      </c>
      <c r="AL303" s="29" t="s">
        <v>73</v>
      </c>
      <c r="AM303" s="29" t="s">
        <v>73</v>
      </c>
      <c r="AN303" s="29" t="s">
        <v>73</v>
      </c>
      <c r="AO303" s="29" t="s">
        <v>73</v>
      </c>
      <c r="AP303" s="30">
        <v>5500</v>
      </c>
      <c r="AQ303" s="30">
        <v>5500</v>
      </c>
      <c r="AR303" s="29" t="s">
        <v>73</v>
      </c>
      <c r="AS303" s="29" t="s">
        <v>73</v>
      </c>
      <c r="AT303" s="29" t="s">
        <v>73</v>
      </c>
      <c r="AU303" s="29" t="s">
        <v>73</v>
      </c>
      <c r="AV303" s="29" t="s">
        <v>73</v>
      </c>
      <c r="AW303" s="29" t="s">
        <v>73</v>
      </c>
      <c r="AX303" s="30">
        <v>11000</v>
      </c>
      <c r="AY303" s="30" t="s">
        <v>6</v>
      </c>
      <c r="AZ303" s="2" t="s">
        <v>74</v>
      </c>
      <c r="BA303" s="2"/>
    </row>
    <row r="304" spans="1:53" ht="51" x14ac:dyDescent="0.25">
      <c r="A304" s="19">
        <v>2026</v>
      </c>
      <c r="B304" s="20">
        <v>479</v>
      </c>
      <c r="C304" s="21" t="s">
        <v>64</v>
      </c>
      <c r="D304" s="21" t="s">
        <v>65</v>
      </c>
      <c r="E304" s="20">
        <v>125</v>
      </c>
      <c r="F304" s="20">
        <v>3000654</v>
      </c>
      <c r="G304" s="20">
        <v>5005023</v>
      </c>
      <c r="H304" s="20">
        <v>3</v>
      </c>
      <c r="I304" s="20">
        <v>12</v>
      </c>
      <c r="J304" s="20">
        <v>24</v>
      </c>
      <c r="K304" s="20">
        <v>135560</v>
      </c>
      <c r="L304" s="21" t="s">
        <v>98</v>
      </c>
      <c r="M304" s="33" t="s">
        <v>99</v>
      </c>
      <c r="N304" s="19">
        <v>94</v>
      </c>
      <c r="O304" s="2"/>
      <c r="P304" s="2" t="s">
        <v>4</v>
      </c>
      <c r="Q304" s="20" t="s">
        <v>68</v>
      </c>
      <c r="R304" s="25" t="s">
        <v>69</v>
      </c>
      <c r="S304" s="41" t="s">
        <v>137</v>
      </c>
      <c r="T304" s="41"/>
      <c r="U304" s="31" t="s">
        <v>359</v>
      </c>
      <c r="V304" s="25" t="s">
        <v>3</v>
      </c>
      <c r="W304" s="25">
        <v>1</v>
      </c>
      <c r="X304" s="27">
        <v>6500</v>
      </c>
      <c r="Y304" s="1142"/>
      <c r="Z304" s="1143"/>
      <c r="AA304" s="1143"/>
      <c r="AB304" s="1144"/>
      <c r="AC304" s="25">
        <v>30</v>
      </c>
      <c r="AD304" s="25"/>
      <c r="AE304" s="1142"/>
      <c r="AF304" s="1143"/>
      <c r="AG304" s="1143"/>
      <c r="AH304" s="1143"/>
      <c r="AI304" s="1143"/>
      <c r="AJ304" s="1145"/>
      <c r="AK304" s="35">
        <v>6500</v>
      </c>
      <c r="AL304" s="29" t="s">
        <v>73</v>
      </c>
      <c r="AM304" s="29" t="s">
        <v>73</v>
      </c>
      <c r="AN304" s="29" t="s">
        <v>73</v>
      </c>
      <c r="AO304" s="29" t="s">
        <v>73</v>
      </c>
      <c r="AP304" s="30">
        <v>6500</v>
      </c>
      <c r="AQ304" s="29" t="s">
        <v>73</v>
      </c>
      <c r="AR304" s="29" t="s">
        <v>73</v>
      </c>
      <c r="AS304" s="29" t="s">
        <v>73</v>
      </c>
      <c r="AT304" s="29" t="s">
        <v>73</v>
      </c>
      <c r="AU304" s="29" t="s">
        <v>73</v>
      </c>
      <c r="AV304" s="29" t="s">
        <v>73</v>
      </c>
      <c r="AW304" s="29" t="s">
        <v>73</v>
      </c>
      <c r="AX304" s="30">
        <v>6500</v>
      </c>
      <c r="AY304" s="18" t="s">
        <v>6</v>
      </c>
      <c r="AZ304" s="2" t="s">
        <v>74</v>
      </c>
      <c r="BA304" s="2"/>
    </row>
    <row r="305" spans="1:53" ht="51" x14ac:dyDescent="0.25">
      <c r="A305" s="19">
        <v>2026</v>
      </c>
      <c r="B305" s="20">
        <v>479</v>
      </c>
      <c r="C305" s="21" t="s">
        <v>64</v>
      </c>
      <c r="D305" s="21" t="s">
        <v>65</v>
      </c>
      <c r="E305" s="20">
        <v>125</v>
      </c>
      <c r="F305" s="20">
        <v>3000654</v>
      </c>
      <c r="G305" s="20">
        <v>5005023</v>
      </c>
      <c r="H305" s="20">
        <v>3</v>
      </c>
      <c r="I305" s="20">
        <v>12</v>
      </c>
      <c r="J305" s="20">
        <v>24</v>
      </c>
      <c r="K305" s="20">
        <v>135560</v>
      </c>
      <c r="L305" s="21" t="s">
        <v>220</v>
      </c>
      <c r="M305" s="33" t="s">
        <v>221</v>
      </c>
      <c r="N305" s="19">
        <v>97</v>
      </c>
      <c r="O305" s="2"/>
      <c r="P305" s="2" t="s">
        <v>4</v>
      </c>
      <c r="Q305" s="20" t="s">
        <v>68</v>
      </c>
      <c r="R305" s="25" t="s">
        <v>69</v>
      </c>
      <c r="S305" s="41" t="s">
        <v>137</v>
      </c>
      <c r="T305" s="41"/>
      <c r="U305" s="31" t="s">
        <v>359</v>
      </c>
      <c r="V305" s="25" t="s">
        <v>3</v>
      </c>
      <c r="W305" s="25">
        <v>1</v>
      </c>
      <c r="X305" s="27">
        <v>6500</v>
      </c>
      <c r="Y305" s="1142"/>
      <c r="Z305" s="1143"/>
      <c r="AA305" s="1143"/>
      <c r="AB305" s="1144"/>
      <c r="AC305" s="25"/>
      <c r="AD305" s="25">
        <v>30</v>
      </c>
      <c r="AE305" s="1142"/>
      <c r="AF305" s="1143"/>
      <c r="AG305" s="1143"/>
      <c r="AH305" s="1143"/>
      <c r="AI305" s="1143"/>
      <c r="AJ305" s="1145"/>
      <c r="AK305" s="35">
        <v>6500</v>
      </c>
      <c r="AL305" s="29" t="s">
        <v>73</v>
      </c>
      <c r="AM305" s="29" t="s">
        <v>73</v>
      </c>
      <c r="AN305" s="29" t="s">
        <v>73</v>
      </c>
      <c r="AO305" s="29" t="s">
        <v>73</v>
      </c>
      <c r="AP305" s="29" t="s">
        <v>73</v>
      </c>
      <c r="AQ305" s="30">
        <v>6500</v>
      </c>
      <c r="AR305" s="29" t="s">
        <v>73</v>
      </c>
      <c r="AS305" s="29" t="s">
        <v>73</v>
      </c>
      <c r="AT305" s="29" t="s">
        <v>73</v>
      </c>
      <c r="AU305" s="29" t="s">
        <v>73</v>
      </c>
      <c r="AV305" s="29" t="s">
        <v>73</v>
      </c>
      <c r="AW305" s="29" t="s">
        <v>73</v>
      </c>
      <c r="AX305" s="30">
        <v>6500</v>
      </c>
      <c r="AY305" s="30" t="s">
        <v>6</v>
      </c>
      <c r="AZ305" s="2" t="s">
        <v>74</v>
      </c>
      <c r="BA305" s="2"/>
    </row>
    <row r="306" spans="1:53" ht="51" x14ac:dyDescent="0.25">
      <c r="A306" s="19">
        <v>2026</v>
      </c>
      <c r="B306" s="20">
        <v>479</v>
      </c>
      <c r="C306" s="21" t="s">
        <v>64</v>
      </c>
      <c r="D306" s="21" t="s">
        <v>65</v>
      </c>
      <c r="E306" s="20">
        <v>125</v>
      </c>
      <c r="F306" s="20">
        <v>3000654</v>
      </c>
      <c r="G306" s="20">
        <v>5005023</v>
      </c>
      <c r="H306" s="20">
        <v>3</v>
      </c>
      <c r="I306" s="20">
        <v>12</v>
      </c>
      <c r="J306" s="20">
        <v>24</v>
      </c>
      <c r="K306" s="20">
        <v>135560</v>
      </c>
      <c r="L306" s="21" t="s">
        <v>220</v>
      </c>
      <c r="M306" s="33" t="s">
        <v>221</v>
      </c>
      <c r="N306" s="19">
        <v>97</v>
      </c>
      <c r="O306" s="2"/>
      <c r="P306" s="2" t="s">
        <v>4</v>
      </c>
      <c r="Q306" s="20" t="s">
        <v>68</v>
      </c>
      <c r="R306" s="25" t="s">
        <v>69</v>
      </c>
      <c r="S306" s="41" t="s">
        <v>137</v>
      </c>
      <c r="T306" s="41"/>
      <c r="U306" s="31" t="s">
        <v>360</v>
      </c>
      <c r="V306" s="25" t="s">
        <v>3</v>
      </c>
      <c r="W306" s="25">
        <v>1</v>
      </c>
      <c r="X306" s="27">
        <v>9000</v>
      </c>
      <c r="Y306" s="1142"/>
      <c r="Z306" s="1143"/>
      <c r="AA306" s="1143"/>
      <c r="AB306" s="1144"/>
      <c r="AC306" s="25">
        <v>30</v>
      </c>
      <c r="AD306" s="25">
        <v>30</v>
      </c>
      <c r="AE306" s="1142"/>
      <c r="AF306" s="1143"/>
      <c r="AG306" s="1143"/>
      <c r="AH306" s="1143"/>
      <c r="AI306" s="1143"/>
      <c r="AJ306" s="1145"/>
      <c r="AK306" s="35">
        <v>18000</v>
      </c>
      <c r="AL306" s="29" t="s">
        <v>73</v>
      </c>
      <c r="AM306" s="29" t="s">
        <v>73</v>
      </c>
      <c r="AN306" s="29" t="s">
        <v>73</v>
      </c>
      <c r="AO306" s="29" t="s">
        <v>73</v>
      </c>
      <c r="AP306" s="30">
        <v>9000</v>
      </c>
      <c r="AQ306" s="30">
        <v>9000</v>
      </c>
      <c r="AR306" s="29" t="s">
        <v>73</v>
      </c>
      <c r="AS306" s="29" t="s">
        <v>73</v>
      </c>
      <c r="AT306" s="29" t="s">
        <v>73</v>
      </c>
      <c r="AU306" s="29" t="s">
        <v>73</v>
      </c>
      <c r="AV306" s="29" t="s">
        <v>73</v>
      </c>
      <c r="AW306" s="29" t="s">
        <v>73</v>
      </c>
      <c r="AX306" s="30">
        <v>18000</v>
      </c>
      <c r="AY306" s="30" t="s">
        <v>6</v>
      </c>
      <c r="AZ306" s="2" t="s">
        <v>74</v>
      </c>
      <c r="BA306" s="2"/>
    </row>
    <row r="307" spans="1:53" ht="51" x14ac:dyDescent="0.25">
      <c r="A307" s="19">
        <v>2026</v>
      </c>
      <c r="B307" s="20">
        <v>479</v>
      </c>
      <c r="C307" s="21" t="s">
        <v>64</v>
      </c>
      <c r="D307" s="21" t="s">
        <v>65</v>
      </c>
      <c r="E307" s="20">
        <v>125</v>
      </c>
      <c r="F307" s="20">
        <v>3000654</v>
      </c>
      <c r="G307" s="20">
        <v>5005023</v>
      </c>
      <c r="H307" s="20">
        <v>3</v>
      </c>
      <c r="I307" s="20">
        <v>12</v>
      </c>
      <c r="J307" s="20">
        <v>24</v>
      </c>
      <c r="K307" s="20">
        <v>135560</v>
      </c>
      <c r="L307" s="21" t="s">
        <v>220</v>
      </c>
      <c r="M307" s="33" t="s">
        <v>221</v>
      </c>
      <c r="N307" s="19">
        <v>97</v>
      </c>
      <c r="O307" s="2"/>
      <c r="P307" s="2" t="s">
        <v>4</v>
      </c>
      <c r="Q307" s="20" t="s">
        <v>68</v>
      </c>
      <c r="R307" s="25" t="s">
        <v>69</v>
      </c>
      <c r="S307" s="41" t="s">
        <v>137</v>
      </c>
      <c r="T307" s="41"/>
      <c r="U307" s="31" t="s">
        <v>361</v>
      </c>
      <c r="V307" s="25" t="s">
        <v>3</v>
      </c>
      <c r="W307" s="25">
        <v>1</v>
      </c>
      <c r="X307" s="27">
        <v>8500</v>
      </c>
      <c r="Y307" s="1142"/>
      <c r="Z307" s="1143"/>
      <c r="AA307" s="1143"/>
      <c r="AB307" s="1144"/>
      <c r="AC307" s="25">
        <v>30</v>
      </c>
      <c r="AD307" s="25">
        <v>30</v>
      </c>
      <c r="AE307" s="1142"/>
      <c r="AF307" s="1143"/>
      <c r="AG307" s="1143"/>
      <c r="AH307" s="1143"/>
      <c r="AI307" s="1143"/>
      <c r="AJ307" s="1145"/>
      <c r="AK307" s="35">
        <v>17000</v>
      </c>
      <c r="AL307" s="29" t="s">
        <v>73</v>
      </c>
      <c r="AM307" s="29" t="s">
        <v>73</v>
      </c>
      <c r="AN307" s="29" t="s">
        <v>73</v>
      </c>
      <c r="AO307" s="29" t="s">
        <v>73</v>
      </c>
      <c r="AP307" s="30">
        <v>8500</v>
      </c>
      <c r="AQ307" s="30">
        <v>8500</v>
      </c>
      <c r="AR307" s="29" t="s">
        <v>73</v>
      </c>
      <c r="AS307" s="29" t="s">
        <v>73</v>
      </c>
      <c r="AT307" s="29" t="s">
        <v>73</v>
      </c>
      <c r="AU307" s="29" t="s">
        <v>73</v>
      </c>
      <c r="AV307" s="29" t="s">
        <v>73</v>
      </c>
      <c r="AW307" s="29" t="s">
        <v>73</v>
      </c>
      <c r="AX307" s="30">
        <v>17000</v>
      </c>
      <c r="AY307" s="30" t="s">
        <v>6</v>
      </c>
      <c r="AZ307" s="2" t="s">
        <v>74</v>
      </c>
      <c r="BA307" s="2"/>
    </row>
    <row r="308" spans="1:53" ht="51" x14ac:dyDescent="0.25">
      <c r="A308" s="19">
        <v>2026</v>
      </c>
      <c r="B308" s="20">
        <v>479</v>
      </c>
      <c r="C308" s="21" t="s">
        <v>64</v>
      </c>
      <c r="D308" s="21" t="s">
        <v>65</v>
      </c>
      <c r="E308" s="20">
        <v>125</v>
      </c>
      <c r="F308" s="20">
        <v>3000654</v>
      </c>
      <c r="G308" s="20">
        <v>5005023</v>
      </c>
      <c r="H308" s="20">
        <v>3</v>
      </c>
      <c r="I308" s="20">
        <v>12</v>
      </c>
      <c r="J308" s="20">
        <v>24</v>
      </c>
      <c r="K308" s="20">
        <v>135560</v>
      </c>
      <c r="L308" s="21" t="s">
        <v>98</v>
      </c>
      <c r="M308" s="33" t="s">
        <v>99</v>
      </c>
      <c r="N308" s="19">
        <v>94</v>
      </c>
      <c r="O308" s="2"/>
      <c r="P308" s="2" t="s">
        <v>4</v>
      </c>
      <c r="Q308" s="20" t="s">
        <v>68</v>
      </c>
      <c r="R308" s="25" t="s">
        <v>69</v>
      </c>
      <c r="S308" s="41" t="s">
        <v>137</v>
      </c>
      <c r="T308" s="41"/>
      <c r="U308" s="31" t="s">
        <v>362</v>
      </c>
      <c r="V308" s="25" t="s">
        <v>3</v>
      </c>
      <c r="W308" s="25">
        <v>1</v>
      </c>
      <c r="X308" s="27">
        <v>8500</v>
      </c>
      <c r="Y308" s="1142"/>
      <c r="Z308" s="1143"/>
      <c r="AA308" s="1143"/>
      <c r="AB308" s="1144"/>
      <c r="AC308" s="25">
        <v>30</v>
      </c>
      <c r="AD308" s="25"/>
      <c r="AE308" s="1142"/>
      <c r="AF308" s="1143"/>
      <c r="AG308" s="1143"/>
      <c r="AH308" s="1143"/>
      <c r="AI308" s="1143"/>
      <c r="AJ308" s="1145"/>
      <c r="AK308" s="35">
        <v>8500</v>
      </c>
      <c r="AL308" s="29" t="s">
        <v>73</v>
      </c>
      <c r="AM308" s="29" t="s">
        <v>73</v>
      </c>
      <c r="AN308" s="29" t="s">
        <v>73</v>
      </c>
      <c r="AO308" s="29" t="s">
        <v>73</v>
      </c>
      <c r="AP308" s="30">
        <v>8500</v>
      </c>
      <c r="AQ308" s="29" t="s">
        <v>73</v>
      </c>
      <c r="AR308" s="29" t="s">
        <v>73</v>
      </c>
      <c r="AS308" s="29" t="s">
        <v>73</v>
      </c>
      <c r="AT308" s="29" t="s">
        <v>73</v>
      </c>
      <c r="AU308" s="29" t="s">
        <v>73</v>
      </c>
      <c r="AV308" s="29" t="s">
        <v>73</v>
      </c>
      <c r="AW308" s="29" t="s">
        <v>73</v>
      </c>
      <c r="AX308" s="30">
        <v>8500</v>
      </c>
      <c r="AY308" s="18" t="s">
        <v>6</v>
      </c>
      <c r="AZ308" s="2" t="s">
        <v>74</v>
      </c>
      <c r="BA308" s="2"/>
    </row>
    <row r="309" spans="1:53" ht="51" x14ac:dyDescent="0.25">
      <c r="A309" s="19">
        <v>2026</v>
      </c>
      <c r="B309" s="20">
        <v>479</v>
      </c>
      <c r="C309" s="21" t="s">
        <v>64</v>
      </c>
      <c r="D309" s="21" t="s">
        <v>65</v>
      </c>
      <c r="E309" s="20">
        <v>125</v>
      </c>
      <c r="F309" s="20">
        <v>3000654</v>
      </c>
      <c r="G309" s="20">
        <v>5005023</v>
      </c>
      <c r="H309" s="20">
        <v>3</v>
      </c>
      <c r="I309" s="20">
        <v>12</v>
      </c>
      <c r="J309" s="20">
        <v>24</v>
      </c>
      <c r="K309" s="20">
        <v>135560</v>
      </c>
      <c r="L309" s="21" t="s">
        <v>220</v>
      </c>
      <c r="M309" s="33" t="s">
        <v>221</v>
      </c>
      <c r="N309" s="19">
        <v>97</v>
      </c>
      <c r="O309" s="2"/>
      <c r="P309" s="2" t="s">
        <v>4</v>
      </c>
      <c r="Q309" s="20" t="s">
        <v>68</v>
      </c>
      <c r="R309" s="25" t="s">
        <v>69</v>
      </c>
      <c r="S309" s="41" t="s">
        <v>137</v>
      </c>
      <c r="T309" s="41"/>
      <c r="U309" s="31" t="s">
        <v>362</v>
      </c>
      <c r="V309" s="25" t="s">
        <v>3</v>
      </c>
      <c r="W309" s="25">
        <v>1</v>
      </c>
      <c r="X309" s="27">
        <v>8500</v>
      </c>
      <c r="Y309" s="1142"/>
      <c r="Z309" s="1143"/>
      <c r="AA309" s="1143"/>
      <c r="AB309" s="1144"/>
      <c r="AC309" s="25"/>
      <c r="AD309" s="25">
        <v>30</v>
      </c>
      <c r="AE309" s="1142"/>
      <c r="AF309" s="1143"/>
      <c r="AG309" s="1143"/>
      <c r="AH309" s="1143"/>
      <c r="AI309" s="1143"/>
      <c r="AJ309" s="1145"/>
      <c r="AK309" s="35">
        <v>8500</v>
      </c>
      <c r="AL309" s="29" t="s">
        <v>73</v>
      </c>
      <c r="AM309" s="29" t="s">
        <v>73</v>
      </c>
      <c r="AN309" s="29" t="s">
        <v>73</v>
      </c>
      <c r="AO309" s="29" t="s">
        <v>73</v>
      </c>
      <c r="AP309" s="29" t="s">
        <v>73</v>
      </c>
      <c r="AQ309" s="30">
        <v>8500</v>
      </c>
      <c r="AR309" s="29" t="s">
        <v>73</v>
      </c>
      <c r="AS309" s="29" t="s">
        <v>73</v>
      </c>
      <c r="AT309" s="29" t="s">
        <v>73</v>
      </c>
      <c r="AU309" s="29" t="s">
        <v>73</v>
      </c>
      <c r="AV309" s="29" t="s">
        <v>73</v>
      </c>
      <c r="AW309" s="29" t="s">
        <v>73</v>
      </c>
      <c r="AX309" s="30">
        <v>8500</v>
      </c>
      <c r="AY309" s="30" t="s">
        <v>6</v>
      </c>
      <c r="AZ309" s="2" t="s">
        <v>74</v>
      </c>
      <c r="BA309" s="2"/>
    </row>
    <row r="310" spans="1:53" ht="51" x14ac:dyDescent="0.25">
      <c r="A310" s="19">
        <v>2026</v>
      </c>
      <c r="B310" s="20">
        <v>479</v>
      </c>
      <c r="C310" s="21" t="s">
        <v>64</v>
      </c>
      <c r="D310" s="21" t="s">
        <v>65</v>
      </c>
      <c r="E310" s="20">
        <v>125</v>
      </c>
      <c r="F310" s="20">
        <v>3000654</v>
      </c>
      <c r="G310" s="20">
        <v>5005023</v>
      </c>
      <c r="H310" s="20">
        <v>3</v>
      </c>
      <c r="I310" s="20">
        <v>12</v>
      </c>
      <c r="J310" s="20">
        <v>24</v>
      </c>
      <c r="K310" s="20">
        <v>135560</v>
      </c>
      <c r="L310" s="21" t="s">
        <v>220</v>
      </c>
      <c r="M310" s="33" t="s">
        <v>221</v>
      </c>
      <c r="N310" s="19">
        <v>97</v>
      </c>
      <c r="O310" s="2"/>
      <c r="P310" s="2" t="s">
        <v>4</v>
      </c>
      <c r="Q310" s="20" t="s">
        <v>68</v>
      </c>
      <c r="R310" s="25" t="s">
        <v>69</v>
      </c>
      <c r="S310" s="41" t="s">
        <v>137</v>
      </c>
      <c r="T310" s="41"/>
      <c r="U310" s="31" t="s">
        <v>363</v>
      </c>
      <c r="V310" s="25" t="s">
        <v>3</v>
      </c>
      <c r="W310" s="25">
        <v>1</v>
      </c>
      <c r="X310" s="27">
        <v>9000</v>
      </c>
      <c r="Y310" s="1142"/>
      <c r="Z310" s="1143"/>
      <c r="AA310" s="1143"/>
      <c r="AB310" s="1144"/>
      <c r="AC310" s="25">
        <v>30</v>
      </c>
      <c r="AD310" s="25">
        <v>30</v>
      </c>
      <c r="AE310" s="1142"/>
      <c r="AF310" s="1143"/>
      <c r="AG310" s="1143"/>
      <c r="AH310" s="1143"/>
      <c r="AI310" s="1143"/>
      <c r="AJ310" s="1145"/>
      <c r="AK310" s="35">
        <v>18000</v>
      </c>
      <c r="AL310" s="29" t="s">
        <v>73</v>
      </c>
      <c r="AM310" s="29" t="s">
        <v>73</v>
      </c>
      <c r="AN310" s="29" t="s">
        <v>73</v>
      </c>
      <c r="AO310" s="29" t="s">
        <v>73</v>
      </c>
      <c r="AP310" s="30">
        <v>9000</v>
      </c>
      <c r="AQ310" s="30">
        <v>9000</v>
      </c>
      <c r="AR310" s="29" t="s">
        <v>73</v>
      </c>
      <c r="AS310" s="29" t="s">
        <v>73</v>
      </c>
      <c r="AT310" s="29" t="s">
        <v>73</v>
      </c>
      <c r="AU310" s="29" t="s">
        <v>73</v>
      </c>
      <c r="AV310" s="29" t="s">
        <v>73</v>
      </c>
      <c r="AW310" s="29" t="s">
        <v>73</v>
      </c>
      <c r="AX310" s="30">
        <v>18000</v>
      </c>
      <c r="AY310" s="30" t="s">
        <v>6</v>
      </c>
      <c r="AZ310" s="2" t="s">
        <v>74</v>
      </c>
      <c r="BA310" s="2"/>
    </row>
    <row r="311" spans="1:53" ht="51" x14ac:dyDescent="0.25">
      <c r="A311" s="19">
        <v>2026</v>
      </c>
      <c r="B311" s="20">
        <v>479</v>
      </c>
      <c r="C311" s="21" t="s">
        <v>64</v>
      </c>
      <c r="D311" s="21" t="s">
        <v>65</v>
      </c>
      <c r="E311" s="20">
        <v>125</v>
      </c>
      <c r="F311" s="20">
        <v>3000654</v>
      </c>
      <c r="G311" s="20">
        <v>5005023</v>
      </c>
      <c r="H311" s="20">
        <v>3</v>
      </c>
      <c r="I311" s="20">
        <v>12</v>
      </c>
      <c r="J311" s="20">
        <v>24</v>
      </c>
      <c r="K311" s="20">
        <v>135560</v>
      </c>
      <c r="L311" s="21" t="s">
        <v>220</v>
      </c>
      <c r="M311" s="33" t="s">
        <v>221</v>
      </c>
      <c r="N311" s="19">
        <v>97</v>
      </c>
      <c r="O311" s="2"/>
      <c r="P311" s="2" t="s">
        <v>4</v>
      </c>
      <c r="Q311" s="20" t="s">
        <v>68</v>
      </c>
      <c r="R311" s="25" t="s">
        <v>69</v>
      </c>
      <c r="S311" s="41" t="s">
        <v>137</v>
      </c>
      <c r="T311" s="41"/>
      <c r="U311" s="31" t="s">
        <v>364</v>
      </c>
      <c r="V311" s="25" t="s">
        <v>3</v>
      </c>
      <c r="W311" s="25">
        <v>1</v>
      </c>
      <c r="X311" s="27">
        <v>9000</v>
      </c>
      <c r="Y311" s="1142"/>
      <c r="Z311" s="1143"/>
      <c r="AA311" s="1143"/>
      <c r="AB311" s="1144"/>
      <c r="AC311" s="25">
        <v>30</v>
      </c>
      <c r="AD311" s="25">
        <v>30</v>
      </c>
      <c r="AE311" s="1142"/>
      <c r="AF311" s="1143"/>
      <c r="AG311" s="1143"/>
      <c r="AH311" s="1143"/>
      <c r="AI311" s="1143"/>
      <c r="AJ311" s="1145"/>
      <c r="AK311" s="35">
        <v>18000</v>
      </c>
      <c r="AL311" s="29" t="s">
        <v>73</v>
      </c>
      <c r="AM311" s="29" t="s">
        <v>73</v>
      </c>
      <c r="AN311" s="29" t="s">
        <v>73</v>
      </c>
      <c r="AO311" s="29" t="s">
        <v>73</v>
      </c>
      <c r="AP311" s="30">
        <v>9000</v>
      </c>
      <c r="AQ311" s="30">
        <v>9000</v>
      </c>
      <c r="AR311" s="29" t="s">
        <v>73</v>
      </c>
      <c r="AS311" s="29" t="s">
        <v>73</v>
      </c>
      <c r="AT311" s="29" t="s">
        <v>73</v>
      </c>
      <c r="AU311" s="29" t="s">
        <v>73</v>
      </c>
      <c r="AV311" s="29" t="s">
        <v>73</v>
      </c>
      <c r="AW311" s="29" t="s">
        <v>73</v>
      </c>
      <c r="AX311" s="30">
        <v>18000</v>
      </c>
      <c r="AY311" s="30" t="s">
        <v>6</v>
      </c>
      <c r="AZ311" s="2" t="s">
        <v>74</v>
      </c>
      <c r="BA311" s="2"/>
    </row>
    <row r="312" spans="1:53" ht="51" x14ac:dyDescent="0.25">
      <c r="A312" s="19">
        <v>2026</v>
      </c>
      <c r="B312" s="20">
        <v>479</v>
      </c>
      <c r="C312" s="21" t="s">
        <v>64</v>
      </c>
      <c r="D312" s="21" t="s">
        <v>65</v>
      </c>
      <c r="E312" s="20">
        <v>125</v>
      </c>
      <c r="F312" s="20">
        <v>3000654</v>
      </c>
      <c r="G312" s="20">
        <v>5005023</v>
      </c>
      <c r="H312" s="20">
        <v>3</v>
      </c>
      <c r="I312" s="20">
        <v>12</v>
      </c>
      <c r="J312" s="20">
        <v>24</v>
      </c>
      <c r="K312" s="20">
        <v>135560</v>
      </c>
      <c r="L312" s="21" t="s">
        <v>220</v>
      </c>
      <c r="M312" s="33" t="s">
        <v>221</v>
      </c>
      <c r="N312" s="19">
        <v>97</v>
      </c>
      <c r="O312" s="2"/>
      <c r="P312" s="2" t="s">
        <v>4</v>
      </c>
      <c r="Q312" s="20" t="s">
        <v>68</v>
      </c>
      <c r="R312" s="25" t="s">
        <v>69</v>
      </c>
      <c r="S312" s="41" t="s">
        <v>137</v>
      </c>
      <c r="T312" s="41"/>
      <c r="U312" s="31" t="s">
        <v>365</v>
      </c>
      <c r="V312" s="25" t="s">
        <v>3</v>
      </c>
      <c r="W312" s="25">
        <v>1</v>
      </c>
      <c r="X312" s="27">
        <v>10000</v>
      </c>
      <c r="Y312" s="1142"/>
      <c r="Z312" s="1143"/>
      <c r="AA312" s="1143"/>
      <c r="AB312" s="1144"/>
      <c r="AC312" s="25">
        <v>30</v>
      </c>
      <c r="AD312" s="25">
        <v>30</v>
      </c>
      <c r="AE312" s="1142"/>
      <c r="AF312" s="1143"/>
      <c r="AG312" s="1143"/>
      <c r="AH312" s="1143"/>
      <c r="AI312" s="1143"/>
      <c r="AJ312" s="1145"/>
      <c r="AK312" s="35">
        <v>20000</v>
      </c>
      <c r="AL312" s="29" t="s">
        <v>73</v>
      </c>
      <c r="AM312" s="29" t="s">
        <v>73</v>
      </c>
      <c r="AN312" s="29" t="s">
        <v>73</v>
      </c>
      <c r="AO312" s="29" t="s">
        <v>73</v>
      </c>
      <c r="AP312" s="30">
        <v>10000</v>
      </c>
      <c r="AQ312" s="30">
        <v>10000</v>
      </c>
      <c r="AR312" s="29" t="s">
        <v>73</v>
      </c>
      <c r="AS312" s="29" t="s">
        <v>73</v>
      </c>
      <c r="AT312" s="29" t="s">
        <v>73</v>
      </c>
      <c r="AU312" s="29" t="s">
        <v>73</v>
      </c>
      <c r="AV312" s="29" t="s">
        <v>73</v>
      </c>
      <c r="AW312" s="29" t="s">
        <v>73</v>
      </c>
      <c r="AX312" s="30">
        <v>20000</v>
      </c>
      <c r="AY312" s="30" t="s">
        <v>6</v>
      </c>
      <c r="AZ312" s="2" t="s">
        <v>74</v>
      </c>
      <c r="BA312" s="2"/>
    </row>
    <row r="313" spans="1:53" ht="51" x14ac:dyDescent="0.25">
      <c r="A313" s="19">
        <v>2026</v>
      </c>
      <c r="B313" s="20">
        <v>479</v>
      </c>
      <c r="C313" s="21" t="s">
        <v>64</v>
      </c>
      <c r="D313" s="21" t="s">
        <v>65</v>
      </c>
      <c r="E313" s="20">
        <v>125</v>
      </c>
      <c r="F313" s="20">
        <v>3000654</v>
      </c>
      <c r="G313" s="20">
        <v>5005023</v>
      </c>
      <c r="H313" s="20">
        <v>3</v>
      </c>
      <c r="I313" s="20">
        <v>12</v>
      </c>
      <c r="J313" s="20">
        <v>24</v>
      </c>
      <c r="K313" s="20">
        <v>135560</v>
      </c>
      <c r="L313" s="21" t="s">
        <v>98</v>
      </c>
      <c r="M313" s="33" t="s">
        <v>99</v>
      </c>
      <c r="N313" s="19">
        <v>94</v>
      </c>
      <c r="O313" s="2"/>
      <c r="P313" s="2" t="s">
        <v>4</v>
      </c>
      <c r="Q313" s="20" t="s">
        <v>68</v>
      </c>
      <c r="R313" s="25" t="s">
        <v>69</v>
      </c>
      <c r="S313" s="41" t="s">
        <v>137</v>
      </c>
      <c r="T313" s="41"/>
      <c r="U313" s="31" t="s">
        <v>366</v>
      </c>
      <c r="V313" s="25" t="s">
        <v>3</v>
      </c>
      <c r="W313" s="25">
        <v>1</v>
      </c>
      <c r="X313" s="27">
        <v>8500</v>
      </c>
      <c r="Y313" s="1142"/>
      <c r="Z313" s="1143"/>
      <c r="AA313" s="1143"/>
      <c r="AB313" s="1144"/>
      <c r="AC313" s="25">
        <v>30</v>
      </c>
      <c r="AD313" s="25"/>
      <c r="AE313" s="1142"/>
      <c r="AF313" s="1143"/>
      <c r="AG313" s="1143"/>
      <c r="AH313" s="1143"/>
      <c r="AI313" s="1143"/>
      <c r="AJ313" s="1145"/>
      <c r="AK313" s="35">
        <v>8500</v>
      </c>
      <c r="AL313" s="29" t="s">
        <v>73</v>
      </c>
      <c r="AM313" s="29" t="s">
        <v>73</v>
      </c>
      <c r="AN313" s="29" t="s">
        <v>73</v>
      </c>
      <c r="AO313" s="29" t="s">
        <v>73</v>
      </c>
      <c r="AP313" s="30">
        <v>8500</v>
      </c>
      <c r="AQ313" s="29" t="s">
        <v>73</v>
      </c>
      <c r="AR313" s="29" t="s">
        <v>73</v>
      </c>
      <c r="AS313" s="29" t="s">
        <v>73</v>
      </c>
      <c r="AT313" s="29" t="s">
        <v>73</v>
      </c>
      <c r="AU313" s="29" t="s">
        <v>73</v>
      </c>
      <c r="AV313" s="29" t="s">
        <v>73</v>
      </c>
      <c r="AW313" s="29" t="s">
        <v>73</v>
      </c>
      <c r="AX313" s="30">
        <v>8500</v>
      </c>
      <c r="AY313" s="18" t="s">
        <v>6</v>
      </c>
      <c r="AZ313" s="2" t="s">
        <v>74</v>
      </c>
      <c r="BA313" s="2"/>
    </row>
    <row r="314" spans="1:53" ht="51" x14ac:dyDescent="0.25">
      <c r="A314" s="19">
        <v>2026</v>
      </c>
      <c r="B314" s="20">
        <v>479</v>
      </c>
      <c r="C314" s="21" t="s">
        <v>64</v>
      </c>
      <c r="D314" s="21" t="s">
        <v>65</v>
      </c>
      <c r="E314" s="20">
        <v>125</v>
      </c>
      <c r="F314" s="20">
        <v>3000654</v>
      </c>
      <c r="G314" s="20">
        <v>5005023</v>
      </c>
      <c r="H314" s="20">
        <v>3</v>
      </c>
      <c r="I314" s="20">
        <v>12</v>
      </c>
      <c r="J314" s="20">
        <v>24</v>
      </c>
      <c r="K314" s="20">
        <v>135560</v>
      </c>
      <c r="L314" s="21" t="s">
        <v>220</v>
      </c>
      <c r="M314" s="33" t="s">
        <v>221</v>
      </c>
      <c r="N314" s="19">
        <v>97</v>
      </c>
      <c r="O314" s="2"/>
      <c r="P314" s="2" t="s">
        <v>4</v>
      </c>
      <c r="Q314" s="20" t="s">
        <v>68</v>
      </c>
      <c r="R314" s="25" t="s">
        <v>69</v>
      </c>
      <c r="S314" s="41" t="s">
        <v>137</v>
      </c>
      <c r="T314" s="41"/>
      <c r="U314" s="31" t="s">
        <v>366</v>
      </c>
      <c r="V314" s="25" t="s">
        <v>3</v>
      </c>
      <c r="W314" s="25">
        <v>1</v>
      </c>
      <c r="X314" s="27">
        <v>8500</v>
      </c>
      <c r="Y314" s="1142"/>
      <c r="Z314" s="1143"/>
      <c r="AA314" s="1143"/>
      <c r="AB314" s="1144"/>
      <c r="AC314" s="25"/>
      <c r="AD314" s="25">
        <v>30</v>
      </c>
      <c r="AE314" s="1142"/>
      <c r="AF314" s="1143"/>
      <c r="AG314" s="1143"/>
      <c r="AH314" s="1143"/>
      <c r="AI314" s="1143"/>
      <c r="AJ314" s="1145"/>
      <c r="AK314" s="35">
        <v>8500</v>
      </c>
      <c r="AL314" s="29" t="s">
        <v>73</v>
      </c>
      <c r="AM314" s="29" t="s">
        <v>73</v>
      </c>
      <c r="AN314" s="29" t="s">
        <v>73</v>
      </c>
      <c r="AO314" s="29" t="s">
        <v>73</v>
      </c>
      <c r="AP314" s="29" t="s">
        <v>73</v>
      </c>
      <c r="AQ314" s="30">
        <v>8500</v>
      </c>
      <c r="AR314" s="29" t="s">
        <v>73</v>
      </c>
      <c r="AS314" s="29" t="s">
        <v>73</v>
      </c>
      <c r="AT314" s="29" t="s">
        <v>73</v>
      </c>
      <c r="AU314" s="29" t="s">
        <v>73</v>
      </c>
      <c r="AV314" s="29" t="s">
        <v>73</v>
      </c>
      <c r="AW314" s="29" t="s">
        <v>73</v>
      </c>
      <c r="AX314" s="30">
        <v>8500</v>
      </c>
      <c r="AY314" s="30" t="s">
        <v>6</v>
      </c>
      <c r="AZ314" s="2" t="s">
        <v>74</v>
      </c>
      <c r="BA314" s="2"/>
    </row>
    <row r="315" spans="1:53" ht="51" x14ac:dyDescent="0.25">
      <c r="A315" s="19">
        <v>2026</v>
      </c>
      <c r="B315" s="20">
        <v>479</v>
      </c>
      <c r="C315" s="21" t="s">
        <v>64</v>
      </c>
      <c r="D315" s="21" t="s">
        <v>65</v>
      </c>
      <c r="E315" s="20">
        <v>125</v>
      </c>
      <c r="F315" s="20">
        <v>3000654</v>
      </c>
      <c r="G315" s="20">
        <v>5005023</v>
      </c>
      <c r="H315" s="20">
        <v>3</v>
      </c>
      <c r="I315" s="20">
        <v>12</v>
      </c>
      <c r="J315" s="20">
        <v>24</v>
      </c>
      <c r="K315" s="20">
        <v>135560</v>
      </c>
      <c r="L315" s="21" t="s">
        <v>98</v>
      </c>
      <c r="M315" s="33" t="s">
        <v>99</v>
      </c>
      <c r="N315" s="19">
        <v>94</v>
      </c>
      <c r="O315" s="2"/>
      <c r="P315" s="2" t="s">
        <v>4</v>
      </c>
      <c r="Q315" s="20" t="s">
        <v>68</v>
      </c>
      <c r="R315" s="25" t="s">
        <v>69</v>
      </c>
      <c r="S315" s="41" t="s">
        <v>137</v>
      </c>
      <c r="T315" s="41"/>
      <c r="U315" s="31" t="s">
        <v>367</v>
      </c>
      <c r="V315" s="25" t="s">
        <v>3</v>
      </c>
      <c r="W315" s="25">
        <v>1</v>
      </c>
      <c r="X315" s="27">
        <v>8000</v>
      </c>
      <c r="Y315" s="1142"/>
      <c r="Z315" s="1143"/>
      <c r="AA315" s="1143"/>
      <c r="AB315" s="1144"/>
      <c r="AC315" s="25">
        <v>30</v>
      </c>
      <c r="AD315" s="25"/>
      <c r="AE315" s="1142"/>
      <c r="AF315" s="1143"/>
      <c r="AG315" s="1143"/>
      <c r="AH315" s="1143"/>
      <c r="AI315" s="1143"/>
      <c r="AJ315" s="1145"/>
      <c r="AK315" s="35">
        <v>8000</v>
      </c>
      <c r="AL315" s="29" t="s">
        <v>73</v>
      </c>
      <c r="AM315" s="29" t="s">
        <v>73</v>
      </c>
      <c r="AN315" s="29" t="s">
        <v>73</v>
      </c>
      <c r="AO315" s="29" t="s">
        <v>73</v>
      </c>
      <c r="AP315" s="30">
        <v>8000</v>
      </c>
      <c r="AQ315" s="29" t="s">
        <v>73</v>
      </c>
      <c r="AR315" s="29" t="s">
        <v>73</v>
      </c>
      <c r="AS315" s="29" t="s">
        <v>73</v>
      </c>
      <c r="AT315" s="29" t="s">
        <v>73</v>
      </c>
      <c r="AU315" s="29" t="s">
        <v>73</v>
      </c>
      <c r="AV315" s="29" t="s">
        <v>73</v>
      </c>
      <c r="AW315" s="29" t="s">
        <v>73</v>
      </c>
      <c r="AX315" s="30">
        <v>8000</v>
      </c>
      <c r="AY315" s="18" t="s">
        <v>6</v>
      </c>
      <c r="AZ315" s="2" t="s">
        <v>74</v>
      </c>
      <c r="BA315" s="2"/>
    </row>
    <row r="316" spans="1:53" ht="51" x14ac:dyDescent="0.25">
      <c r="A316" s="19">
        <v>2026</v>
      </c>
      <c r="B316" s="20">
        <v>479</v>
      </c>
      <c r="C316" s="21" t="s">
        <v>64</v>
      </c>
      <c r="D316" s="21" t="s">
        <v>65</v>
      </c>
      <c r="E316" s="20">
        <v>125</v>
      </c>
      <c r="F316" s="20">
        <v>3000654</v>
      </c>
      <c r="G316" s="20">
        <v>5005023</v>
      </c>
      <c r="H316" s="20">
        <v>3</v>
      </c>
      <c r="I316" s="20">
        <v>12</v>
      </c>
      <c r="J316" s="20">
        <v>24</v>
      </c>
      <c r="K316" s="20">
        <v>135560</v>
      </c>
      <c r="L316" s="21" t="s">
        <v>220</v>
      </c>
      <c r="M316" s="33" t="s">
        <v>221</v>
      </c>
      <c r="N316" s="19">
        <v>97</v>
      </c>
      <c r="O316" s="2"/>
      <c r="P316" s="2" t="s">
        <v>4</v>
      </c>
      <c r="Q316" s="20" t="s">
        <v>68</v>
      </c>
      <c r="R316" s="25" t="s">
        <v>69</v>
      </c>
      <c r="S316" s="41" t="s">
        <v>137</v>
      </c>
      <c r="T316" s="41"/>
      <c r="U316" s="31" t="s">
        <v>367</v>
      </c>
      <c r="V316" s="25" t="s">
        <v>3</v>
      </c>
      <c r="W316" s="25">
        <v>1</v>
      </c>
      <c r="X316" s="27">
        <v>8000</v>
      </c>
      <c r="Y316" s="1142"/>
      <c r="Z316" s="1143"/>
      <c r="AA316" s="1143"/>
      <c r="AB316" s="1144"/>
      <c r="AC316" s="25"/>
      <c r="AD316" s="25">
        <v>30</v>
      </c>
      <c r="AE316" s="1142"/>
      <c r="AF316" s="1143"/>
      <c r="AG316" s="1143"/>
      <c r="AH316" s="1143"/>
      <c r="AI316" s="1143"/>
      <c r="AJ316" s="1145"/>
      <c r="AK316" s="35">
        <v>8000</v>
      </c>
      <c r="AL316" s="29" t="s">
        <v>73</v>
      </c>
      <c r="AM316" s="29" t="s">
        <v>73</v>
      </c>
      <c r="AN316" s="29" t="s">
        <v>73</v>
      </c>
      <c r="AO316" s="29" t="s">
        <v>73</v>
      </c>
      <c r="AP316" s="29" t="s">
        <v>73</v>
      </c>
      <c r="AQ316" s="30">
        <v>8000</v>
      </c>
      <c r="AR316" s="29" t="s">
        <v>73</v>
      </c>
      <c r="AS316" s="29" t="s">
        <v>73</v>
      </c>
      <c r="AT316" s="29" t="s">
        <v>73</v>
      </c>
      <c r="AU316" s="29" t="s">
        <v>73</v>
      </c>
      <c r="AV316" s="29" t="s">
        <v>73</v>
      </c>
      <c r="AW316" s="29" t="s">
        <v>73</v>
      </c>
      <c r="AX316" s="30">
        <v>8000</v>
      </c>
      <c r="AY316" s="30" t="s">
        <v>6</v>
      </c>
      <c r="AZ316" s="2" t="s">
        <v>74</v>
      </c>
      <c r="BA316" s="2"/>
    </row>
    <row r="317" spans="1:53" ht="51" x14ac:dyDescent="0.25">
      <c r="A317" s="19">
        <v>2026</v>
      </c>
      <c r="B317" s="20">
        <v>479</v>
      </c>
      <c r="C317" s="21" t="s">
        <v>64</v>
      </c>
      <c r="D317" s="21" t="s">
        <v>65</v>
      </c>
      <c r="E317" s="20">
        <v>125</v>
      </c>
      <c r="F317" s="20">
        <v>3000654</v>
      </c>
      <c r="G317" s="20">
        <v>5005023</v>
      </c>
      <c r="H317" s="20">
        <v>3</v>
      </c>
      <c r="I317" s="20">
        <v>12</v>
      </c>
      <c r="J317" s="20">
        <v>24</v>
      </c>
      <c r="K317" s="20">
        <v>135560</v>
      </c>
      <c r="L317" s="21" t="s">
        <v>220</v>
      </c>
      <c r="M317" s="33" t="s">
        <v>221</v>
      </c>
      <c r="N317" s="19">
        <v>97</v>
      </c>
      <c r="O317" s="2"/>
      <c r="P317" s="2" t="s">
        <v>4</v>
      </c>
      <c r="Q317" s="20" t="s">
        <v>68</v>
      </c>
      <c r="R317" s="25" t="s">
        <v>69</v>
      </c>
      <c r="S317" s="41" t="s">
        <v>137</v>
      </c>
      <c r="T317" s="41"/>
      <c r="U317" s="31" t="s">
        <v>368</v>
      </c>
      <c r="V317" s="25" t="s">
        <v>3</v>
      </c>
      <c r="W317" s="25">
        <v>1</v>
      </c>
      <c r="X317" s="27">
        <v>12000</v>
      </c>
      <c r="Y317" s="1142"/>
      <c r="Z317" s="1143"/>
      <c r="AA317" s="1143"/>
      <c r="AB317" s="1144"/>
      <c r="AC317" s="25">
        <v>30</v>
      </c>
      <c r="AD317" s="25">
        <v>30</v>
      </c>
      <c r="AE317" s="1142"/>
      <c r="AF317" s="1143"/>
      <c r="AG317" s="1143"/>
      <c r="AH317" s="1143"/>
      <c r="AI317" s="1143"/>
      <c r="AJ317" s="1145"/>
      <c r="AK317" s="35">
        <v>24000</v>
      </c>
      <c r="AL317" s="29" t="s">
        <v>73</v>
      </c>
      <c r="AM317" s="29" t="s">
        <v>73</v>
      </c>
      <c r="AN317" s="29" t="s">
        <v>73</v>
      </c>
      <c r="AO317" s="29" t="s">
        <v>73</v>
      </c>
      <c r="AP317" s="30">
        <v>12000</v>
      </c>
      <c r="AQ317" s="30">
        <v>12000</v>
      </c>
      <c r="AR317" s="29" t="s">
        <v>73</v>
      </c>
      <c r="AS317" s="29" t="s">
        <v>73</v>
      </c>
      <c r="AT317" s="29" t="s">
        <v>73</v>
      </c>
      <c r="AU317" s="29" t="s">
        <v>73</v>
      </c>
      <c r="AV317" s="29" t="s">
        <v>73</v>
      </c>
      <c r="AW317" s="29" t="s">
        <v>73</v>
      </c>
      <c r="AX317" s="30">
        <v>24000</v>
      </c>
      <c r="AY317" s="30" t="s">
        <v>6</v>
      </c>
      <c r="AZ317" s="2" t="s">
        <v>74</v>
      </c>
      <c r="BA317" s="2"/>
    </row>
    <row r="318" spans="1:53" ht="51" x14ac:dyDescent="0.25">
      <c r="A318" s="19">
        <v>2026</v>
      </c>
      <c r="B318" s="20">
        <v>479</v>
      </c>
      <c r="C318" s="21" t="s">
        <v>64</v>
      </c>
      <c r="D318" s="21" t="s">
        <v>65</v>
      </c>
      <c r="E318" s="20">
        <v>125</v>
      </c>
      <c r="F318" s="20">
        <v>3000654</v>
      </c>
      <c r="G318" s="20">
        <v>5005023</v>
      </c>
      <c r="H318" s="20">
        <v>3</v>
      </c>
      <c r="I318" s="20">
        <v>12</v>
      </c>
      <c r="J318" s="20">
        <v>24</v>
      </c>
      <c r="K318" s="20">
        <v>135560</v>
      </c>
      <c r="L318" s="21" t="s">
        <v>220</v>
      </c>
      <c r="M318" s="33" t="s">
        <v>221</v>
      </c>
      <c r="N318" s="19">
        <v>97</v>
      </c>
      <c r="O318" s="2"/>
      <c r="P318" s="2" t="s">
        <v>4</v>
      </c>
      <c r="Q318" s="20" t="s">
        <v>68</v>
      </c>
      <c r="R318" s="25" t="s">
        <v>69</v>
      </c>
      <c r="S318" s="41" t="s">
        <v>137</v>
      </c>
      <c r="T318" s="41"/>
      <c r="U318" s="31" t="s">
        <v>369</v>
      </c>
      <c r="V318" s="25" t="s">
        <v>3</v>
      </c>
      <c r="W318" s="25">
        <v>1</v>
      </c>
      <c r="X318" s="27">
        <v>9000</v>
      </c>
      <c r="Y318" s="1142"/>
      <c r="Z318" s="1143"/>
      <c r="AA318" s="1143"/>
      <c r="AB318" s="1144"/>
      <c r="AC318" s="25">
        <v>30</v>
      </c>
      <c r="AD318" s="25">
        <v>30</v>
      </c>
      <c r="AE318" s="1142"/>
      <c r="AF318" s="1143"/>
      <c r="AG318" s="1143"/>
      <c r="AH318" s="1143"/>
      <c r="AI318" s="1143"/>
      <c r="AJ318" s="1145"/>
      <c r="AK318" s="35">
        <v>18000</v>
      </c>
      <c r="AL318" s="29" t="s">
        <v>73</v>
      </c>
      <c r="AM318" s="29" t="s">
        <v>73</v>
      </c>
      <c r="AN318" s="29" t="s">
        <v>73</v>
      </c>
      <c r="AO318" s="29" t="s">
        <v>73</v>
      </c>
      <c r="AP318" s="30">
        <v>9000</v>
      </c>
      <c r="AQ318" s="30">
        <v>9000</v>
      </c>
      <c r="AR318" s="29" t="s">
        <v>73</v>
      </c>
      <c r="AS318" s="29" t="s">
        <v>73</v>
      </c>
      <c r="AT318" s="29" t="s">
        <v>73</v>
      </c>
      <c r="AU318" s="29" t="s">
        <v>73</v>
      </c>
      <c r="AV318" s="29" t="s">
        <v>73</v>
      </c>
      <c r="AW318" s="29" t="s">
        <v>73</v>
      </c>
      <c r="AX318" s="30">
        <v>18000</v>
      </c>
      <c r="AY318" s="30" t="s">
        <v>6</v>
      </c>
      <c r="AZ318" s="2" t="s">
        <v>74</v>
      </c>
      <c r="BA318" s="2"/>
    </row>
    <row r="319" spans="1:53" ht="51" x14ac:dyDescent="0.25">
      <c r="A319" s="19">
        <v>2026</v>
      </c>
      <c r="B319" s="20">
        <v>479</v>
      </c>
      <c r="C319" s="21" t="s">
        <v>64</v>
      </c>
      <c r="D319" s="21" t="s">
        <v>65</v>
      </c>
      <c r="E319" s="20">
        <v>125</v>
      </c>
      <c r="F319" s="20">
        <v>3000654</v>
      </c>
      <c r="G319" s="20">
        <v>5005023</v>
      </c>
      <c r="H319" s="20">
        <v>3</v>
      </c>
      <c r="I319" s="20">
        <v>12</v>
      </c>
      <c r="J319" s="20">
        <v>24</v>
      </c>
      <c r="K319" s="20">
        <v>135560</v>
      </c>
      <c r="L319" s="21" t="s">
        <v>220</v>
      </c>
      <c r="M319" s="33" t="s">
        <v>221</v>
      </c>
      <c r="N319" s="19">
        <v>97</v>
      </c>
      <c r="O319" s="2"/>
      <c r="P319" s="2" t="s">
        <v>4</v>
      </c>
      <c r="Q319" s="20" t="s">
        <v>68</v>
      </c>
      <c r="R319" s="25" t="s">
        <v>69</v>
      </c>
      <c r="S319" s="41" t="s">
        <v>137</v>
      </c>
      <c r="T319" s="41"/>
      <c r="U319" s="31" t="s">
        <v>370</v>
      </c>
      <c r="V319" s="25" t="s">
        <v>3</v>
      </c>
      <c r="W319" s="25">
        <v>1</v>
      </c>
      <c r="X319" s="27">
        <v>10000</v>
      </c>
      <c r="Y319" s="1142"/>
      <c r="Z319" s="1143"/>
      <c r="AA319" s="1143"/>
      <c r="AB319" s="1144"/>
      <c r="AC319" s="25">
        <v>30</v>
      </c>
      <c r="AD319" s="25">
        <v>30</v>
      </c>
      <c r="AE319" s="1142"/>
      <c r="AF319" s="1143"/>
      <c r="AG319" s="1143"/>
      <c r="AH319" s="1143"/>
      <c r="AI319" s="1143"/>
      <c r="AJ319" s="1145"/>
      <c r="AK319" s="35">
        <v>20000</v>
      </c>
      <c r="AL319" s="29" t="s">
        <v>73</v>
      </c>
      <c r="AM319" s="29" t="s">
        <v>73</v>
      </c>
      <c r="AN319" s="29" t="s">
        <v>73</v>
      </c>
      <c r="AO319" s="29" t="s">
        <v>73</v>
      </c>
      <c r="AP319" s="30">
        <v>10000</v>
      </c>
      <c r="AQ319" s="30">
        <v>10000</v>
      </c>
      <c r="AR319" s="29" t="s">
        <v>73</v>
      </c>
      <c r="AS319" s="29" t="s">
        <v>73</v>
      </c>
      <c r="AT319" s="29" t="s">
        <v>73</v>
      </c>
      <c r="AU319" s="29" t="s">
        <v>73</v>
      </c>
      <c r="AV319" s="29" t="s">
        <v>73</v>
      </c>
      <c r="AW319" s="29" t="s">
        <v>73</v>
      </c>
      <c r="AX319" s="30">
        <v>20000</v>
      </c>
      <c r="AY319" s="30" t="s">
        <v>6</v>
      </c>
      <c r="AZ319" s="2" t="s">
        <v>74</v>
      </c>
      <c r="BA319" s="2"/>
    </row>
    <row r="320" spans="1:53" ht="51" x14ac:dyDescent="0.25">
      <c r="A320" s="19">
        <v>2026</v>
      </c>
      <c r="B320" s="20">
        <v>479</v>
      </c>
      <c r="C320" s="21" t="s">
        <v>64</v>
      </c>
      <c r="D320" s="21" t="s">
        <v>65</v>
      </c>
      <c r="E320" s="20">
        <v>125</v>
      </c>
      <c r="F320" s="20">
        <v>3000654</v>
      </c>
      <c r="G320" s="20">
        <v>5005023</v>
      </c>
      <c r="H320" s="20">
        <v>3</v>
      </c>
      <c r="I320" s="20">
        <v>12</v>
      </c>
      <c r="J320" s="20">
        <v>24</v>
      </c>
      <c r="K320" s="20">
        <v>135560</v>
      </c>
      <c r="L320" s="21" t="s">
        <v>220</v>
      </c>
      <c r="M320" s="33" t="s">
        <v>221</v>
      </c>
      <c r="N320" s="19">
        <v>97</v>
      </c>
      <c r="O320" s="2"/>
      <c r="P320" s="2" t="s">
        <v>4</v>
      </c>
      <c r="Q320" s="20" t="s">
        <v>68</v>
      </c>
      <c r="R320" s="25" t="s">
        <v>69</v>
      </c>
      <c r="S320" s="41" t="s">
        <v>137</v>
      </c>
      <c r="T320" s="41"/>
      <c r="U320" s="31" t="s">
        <v>371</v>
      </c>
      <c r="V320" s="25" t="s">
        <v>3</v>
      </c>
      <c r="W320" s="25">
        <v>1</v>
      </c>
      <c r="X320" s="27">
        <v>4500</v>
      </c>
      <c r="Y320" s="1142"/>
      <c r="Z320" s="1143"/>
      <c r="AA320" s="1143"/>
      <c r="AB320" s="1144"/>
      <c r="AC320" s="25">
        <v>30</v>
      </c>
      <c r="AD320" s="25">
        <v>30</v>
      </c>
      <c r="AE320" s="1142"/>
      <c r="AF320" s="1143"/>
      <c r="AG320" s="1143"/>
      <c r="AH320" s="1143"/>
      <c r="AI320" s="1143"/>
      <c r="AJ320" s="1145"/>
      <c r="AK320" s="35">
        <v>9000</v>
      </c>
      <c r="AL320" s="29" t="s">
        <v>73</v>
      </c>
      <c r="AM320" s="29" t="s">
        <v>73</v>
      </c>
      <c r="AN320" s="29" t="s">
        <v>73</v>
      </c>
      <c r="AO320" s="29" t="s">
        <v>73</v>
      </c>
      <c r="AP320" s="30">
        <v>4500</v>
      </c>
      <c r="AQ320" s="30">
        <v>4500</v>
      </c>
      <c r="AR320" s="29" t="s">
        <v>73</v>
      </c>
      <c r="AS320" s="29" t="s">
        <v>73</v>
      </c>
      <c r="AT320" s="29" t="s">
        <v>73</v>
      </c>
      <c r="AU320" s="29" t="s">
        <v>73</v>
      </c>
      <c r="AV320" s="29" t="s">
        <v>73</v>
      </c>
      <c r="AW320" s="29" t="s">
        <v>73</v>
      </c>
      <c r="AX320" s="30">
        <v>9000</v>
      </c>
      <c r="AY320" s="30" t="s">
        <v>6</v>
      </c>
      <c r="AZ320" s="2" t="s">
        <v>74</v>
      </c>
      <c r="BA320" s="2"/>
    </row>
    <row r="321" spans="1:53" ht="51" x14ac:dyDescent="0.25">
      <c r="A321" s="19">
        <v>2026</v>
      </c>
      <c r="B321" s="20">
        <v>479</v>
      </c>
      <c r="C321" s="21" t="s">
        <v>64</v>
      </c>
      <c r="D321" s="21" t="s">
        <v>65</v>
      </c>
      <c r="E321" s="20">
        <v>125</v>
      </c>
      <c r="F321" s="20">
        <v>3000654</v>
      </c>
      <c r="G321" s="20">
        <v>5005023</v>
      </c>
      <c r="H321" s="20">
        <v>3</v>
      </c>
      <c r="I321" s="20">
        <v>12</v>
      </c>
      <c r="J321" s="20">
        <v>24</v>
      </c>
      <c r="K321" s="20">
        <v>135560</v>
      </c>
      <c r="L321" s="21" t="s">
        <v>220</v>
      </c>
      <c r="M321" s="33" t="s">
        <v>221</v>
      </c>
      <c r="N321" s="19">
        <v>97</v>
      </c>
      <c r="O321" s="2"/>
      <c r="P321" s="2" t="s">
        <v>4</v>
      </c>
      <c r="Q321" s="20" t="s">
        <v>68</v>
      </c>
      <c r="R321" s="25" t="s">
        <v>69</v>
      </c>
      <c r="S321" s="41" t="s">
        <v>137</v>
      </c>
      <c r="T321" s="41"/>
      <c r="U321" s="31" t="s">
        <v>372</v>
      </c>
      <c r="V321" s="25" t="s">
        <v>3</v>
      </c>
      <c r="W321" s="25">
        <v>1</v>
      </c>
      <c r="X321" s="27">
        <v>4500</v>
      </c>
      <c r="Y321" s="1142"/>
      <c r="Z321" s="1143"/>
      <c r="AA321" s="1143"/>
      <c r="AB321" s="1144"/>
      <c r="AC321" s="25">
        <v>30</v>
      </c>
      <c r="AD321" s="25">
        <v>30</v>
      </c>
      <c r="AE321" s="1142"/>
      <c r="AF321" s="1143"/>
      <c r="AG321" s="1143"/>
      <c r="AH321" s="1143"/>
      <c r="AI321" s="1143"/>
      <c r="AJ321" s="1145"/>
      <c r="AK321" s="35">
        <v>9000</v>
      </c>
      <c r="AL321" s="29" t="s">
        <v>73</v>
      </c>
      <c r="AM321" s="29" t="s">
        <v>73</v>
      </c>
      <c r="AN321" s="29" t="s">
        <v>73</v>
      </c>
      <c r="AO321" s="29" t="s">
        <v>73</v>
      </c>
      <c r="AP321" s="30">
        <v>4500</v>
      </c>
      <c r="AQ321" s="30">
        <v>4500</v>
      </c>
      <c r="AR321" s="29" t="s">
        <v>73</v>
      </c>
      <c r="AS321" s="29" t="s">
        <v>73</v>
      </c>
      <c r="AT321" s="29" t="s">
        <v>73</v>
      </c>
      <c r="AU321" s="29" t="s">
        <v>73</v>
      </c>
      <c r="AV321" s="29" t="s">
        <v>73</v>
      </c>
      <c r="AW321" s="29" t="s">
        <v>73</v>
      </c>
      <c r="AX321" s="30">
        <v>9000</v>
      </c>
      <c r="AY321" s="30" t="s">
        <v>6</v>
      </c>
      <c r="AZ321" s="2" t="s">
        <v>74</v>
      </c>
      <c r="BA321" s="2"/>
    </row>
    <row r="322" spans="1:53" ht="51" x14ac:dyDescent="0.25">
      <c r="A322" s="19">
        <v>2026</v>
      </c>
      <c r="B322" s="20">
        <v>479</v>
      </c>
      <c r="C322" s="21" t="s">
        <v>64</v>
      </c>
      <c r="D322" s="21" t="s">
        <v>65</v>
      </c>
      <c r="E322" s="20">
        <v>125</v>
      </c>
      <c r="F322" s="20">
        <v>3000654</v>
      </c>
      <c r="G322" s="20">
        <v>5005023</v>
      </c>
      <c r="H322" s="20">
        <v>3</v>
      </c>
      <c r="I322" s="20">
        <v>12</v>
      </c>
      <c r="J322" s="20">
        <v>24</v>
      </c>
      <c r="K322" s="20">
        <v>135560</v>
      </c>
      <c r="L322" s="21" t="s">
        <v>220</v>
      </c>
      <c r="M322" s="33" t="s">
        <v>221</v>
      </c>
      <c r="N322" s="19">
        <v>97</v>
      </c>
      <c r="O322" s="2"/>
      <c r="P322" s="2" t="s">
        <v>4</v>
      </c>
      <c r="Q322" s="20" t="s">
        <v>68</v>
      </c>
      <c r="R322" s="25" t="s">
        <v>69</v>
      </c>
      <c r="S322" s="41" t="s">
        <v>137</v>
      </c>
      <c r="T322" s="41"/>
      <c r="U322" s="31" t="s">
        <v>373</v>
      </c>
      <c r="V322" s="25" t="s">
        <v>3</v>
      </c>
      <c r="W322" s="25">
        <v>1</v>
      </c>
      <c r="X322" s="27">
        <v>4500</v>
      </c>
      <c r="Y322" s="1142"/>
      <c r="Z322" s="1143"/>
      <c r="AA322" s="1143"/>
      <c r="AB322" s="1144"/>
      <c r="AC322" s="25">
        <v>30</v>
      </c>
      <c r="AD322" s="25">
        <v>30</v>
      </c>
      <c r="AE322" s="1142"/>
      <c r="AF322" s="1143"/>
      <c r="AG322" s="1143"/>
      <c r="AH322" s="1143"/>
      <c r="AI322" s="1143"/>
      <c r="AJ322" s="1145"/>
      <c r="AK322" s="35">
        <v>9000</v>
      </c>
      <c r="AL322" s="29" t="s">
        <v>73</v>
      </c>
      <c r="AM322" s="29" t="s">
        <v>73</v>
      </c>
      <c r="AN322" s="29" t="s">
        <v>73</v>
      </c>
      <c r="AO322" s="29" t="s">
        <v>73</v>
      </c>
      <c r="AP322" s="30">
        <v>4500</v>
      </c>
      <c r="AQ322" s="30">
        <v>4500</v>
      </c>
      <c r="AR322" s="29" t="s">
        <v>73</v>
      </c>
      <c r="AS322" s="29" t="s">
        <v>73</v>
      </c>
      <c r="AT322" s="29" t="s">
        <v>73</v>
      </c>
      <c r="AU322" s="29" t="s">
        <v>73</v>
      </c>
      <c r="AV322" s="29" t="s">
        <v>73</v>
      </c>
      <c r="AW322" s="29" t="s">
        <v>73</v>
      </c>
      <c r="AX322" s="30">
        <v>9000</v>
      </c>
      <c r="AY322" s="30" t="s">
        <v>6</v>
      </c>
      <c r="AZ322" s="2" t="s">
        <v>74</v>
      </c>
      <c r="BA322" s="2"/>
    </row>
    <row r="323" spans="1:53" ht="51" x14ac:dyDescent="0.25">
      <c r="A323" s="19">
        <v>2026</v>
      </c>
      <c r="B323" s="20">
        <v>479</v>
      </c>
      <c r="C323" s="21" t="s">
        <v>64</v>
      </c>
      <c r="D323" s="21" t="s">
        <v>65</v>
      </c>
      <c r="E323" s="20">
        <v>125</v>
      </c>
      <c r="F323" s="20">
        <v>3000654</v>
      </c>
      <c r="G323" s="20">
        <v>5005023</v>
      </c>
      <c r="H323" s="20">
        <v>3</v>
      </c>
      <c r="I323" s="20">
        <v>12</v>
      </c>
      <c r="J323" s="20">
        <v>24</v>
      </c>
      <c r="K323" s="20">
        <v>135560</v>
      </c>
      <c r="L323" s="21" t="s">
        <v>220</v>
      </c>
      <c r="M323" s="33" t="s">
        <v>221</v>
      </c>
      <c r="N323" s="19">
        <v>97</v>
      </c>
      <c r="O323" s="2"/>
      <c r="P323" s="2" t="s">
        <v>4</v>
      </c>
      <c r="Q323" s="20" t="s">
        <v>68</v>
      </c>
      <c r="R323" s="25" t="s">
        <v>69</v>
      </c>
      <c r="S323" s="41" t="s">
        <v>137</v>
      </c>
      <c r="T323" s="41"/>
      <c r="U323" s="31" t="s">
        <v>374</v>
      </c>
      <c r="V323" s="25" t="s">
        <v>3</v>
      </c>
      <c r="W323" s="25">
        <v>1</v>
      </c>
      <c r="X323" s="27">
        <v>4500</v>
      </c>
      <c r="Y323" s="1142"/>
      <c r="Z323" s="1143"/>
      <c r="AA323" s="1143"/>
      <c r="AB323" s="1144"/>
      <c r="AC323" s="25">
        <v>30</v>
      </c>
      <c r="AD323" s="25">
        <v>30</v>
      </c>
      <c r="AE323" s="1142"/>
      <c r="AF323" s="1143"/>
      <c r="AG323" s="1143"/>
      <c r="AH323" s="1143"/>
      <c r="AI323" s="1143"/>
      <c r="AJ323" s="1145"/>
      <c r="AK323" s="35">
        <v>9000</v>
      </c>
      <c r="AL323" s="29" t="s">
        <v>73</v>
      </c>
      <c r="AM323" s="29" t="s">
        <v>73</v>
      </c>
      <c r="AN323" s="29" t="s">
        <v>73</v>
      </c>
      <c r="AO323" s="29" t="s">
        <v>73</v>
      </c>
      <c r="AP323" s="30">
        <v>4500</v>
      </c>
      <c r="AQ323" s="30">
        <v>4500</v>
      </c>
      <c r="AR323" s="29" t="s">
        <v>73</v>
      </c>
      <c r="AS323" s="29" t="s">
        <v>73</v>
      </c>
      <c r="AT323" s="29" t="s">
        <v>73</v>
      </c>
      <c r="AU323" s="29" t="s">
        <v>73</v>
      </c>
      <c r="AV323" s="29" t="s">
        <v>73</v>
      </c>
      <c r="AW323" s="29" t="s">
        <v>73</v>
      </c>
      <c r="AX323" s="30">
        <v>9000</v>
      </c>
      <c r="AY323" s="30" t="s">
        <v>6</v>
      </c>
      <c r="AZ323" s="2" t="s">
        <v>74</v>
      </c>
      <c r="BA323" s="2"/>
    </row>
    <row r="324" spans="1:53" ht="51" x14ac:dyDescent="0.25">
      <c r="A324" s="19">
        <v>2026</v>
      </c>
      <c r="B324" s="20">
        <v>479</v>
      </c>
      <c r="C324" s="21" t="s">
        <v>64</v>
      </c>
      <c r="D324" s="21" t="s">
        <v>65</v>
      </c>
      <c r="E324" s="20">
        <v>125</v>
      </c>
      <c r="F324" s="20">
        <v>3000654</v>
      </c>
      <c r="G324" s="20">
        <v>5005023</v>
      </c>
      <c r="H324" s="20">
        <v>3</v>
      </c>
      <c r="I324" s="20">
        <v>12</v>
      </c>
      <c r="J324" s="20">
        <v>24</v>
      </c>
      <c r="K324" s="20">
        <v>135560</v>
      </c>
      <c r="L324" s="21" t="s">
        <v>220</v>
      </c>
      <c r="M324" s="33" t="s">
        <v>221</v>
      </c>
      <c r="N324" s="19">
        <v>97</v>
      </c>
      <c r="O324" s="2"/>
      <c r="P324" s="2" t="s">
        <v>4</v>
      </c>
      <c r="Q324" s="20" t="s">
        <v>68</v>
      </c>
      <c r="R324" s="25" t="s">
        <v>69</v>
      </c>
      <c r="S324" s="41" t="s">
        <v>137</v>
      </c>
      <c r="T324" s="41"/>
      <c r="U324" s="31" t="s">
        <v>375</v>
      </c>
      <c r="V324" s="25" t="s">
        <v>3</v>
      </c>
      <c r="W324" s="25">
        <v>1</v>
      </c>
      <c r="X324" s="27">
        <v>4500</v>
      </c>
      <c r="Y324" s="1142"/>
      <c r="Z324" s="1143"/>
      <c r="AA324" s="1143"/>
      <c r="AB324" s="1144"/>
      <c r="AC324" s="25">
        <v>30</v>
      </c>
      <c r="AD324" s="25">
        <v>30</v>
      </c>
      <c r="AE324" s="1142"/>
      <c r="AF324" s="1143"/>
      <c r="AG324" s="1143"/>
      <c r="AH324" s="1143"/>
      <c r="AI324" s="1143"/>
      <c r="AJ324" s="1145"/>
      <c r="AK324" s="35">
        <v>9000</v>
      </c>
      <c r="AL324" s="29" t="s">
        <v>73</v>
      </c>
      <c r="AM324" s="29" t="s">
        <v>73</v>
      </c>
      <c r="AN324" s="29" t="s">
        <v>73</v>
      </c>
      <c r="AO324" s="29" t="s">
        <v>73</v>
      </c>
      <c r="AP324" s="30">
        <v>4500</v>
      </c>
      <c r="AQ324" s="30">
        <v>4500</v>
      </c>
      <c r="AR324" s="29" t="s">
        <v>73</v>
      </c>
      <c r="AS324" s="29" t="s">
        <v>73</v>
      </c>
      <c r="AT324" s="29" t="s">
        <v>73</v>
      </c>
      <c r="AU324" s="29" t="s">
        <v>73</v>
      </c>
      <c r="AV324" s="29" t="s">
        <v>73</v>
      </c>
      <c r="AW324" s="29" t="s">
        <v>73</v>
      </c>
      <c r="AX324" s="30">
        <v>9000</v>
      </c>
      <c r="AY324" s="30" t="s">
        <v>6</v>
      </c>
      <c r="AZ324" s="2" t="s">
        <v>74</v>
      </c>
      <c r="BA324" s="2"/>
    </row>
    <row r="325" spans="1:53" ht="51" x14ac:dyDescent="0.25">
      <c r="A325" s="19">
        <v>2026</v>
      </c>
      <c r="B325" s="20">
        <v>479</v>
      </c>
      <c r="C325" s="21" t="s">
        <v>64</v>
      </c>
      <c r="D325" s="21" t="s">
        <v>65</v>
      </c>
      <c r="E325" s="20">
        <v>125</v>
      </c>
      <c r="F325" s="20">
        <v>3000654</v>
      </c>
      <c r="G325" s="20">
        <v>5005023</v>
      </c>
      <c r="H325" s="20">
        <v>3</v>
      </c>
      <c r="I325" s="20">
        <v>12</v>
      </c>
      <c r="J325" s="20">
        <v>24</v>
      </c>
      <c r="K325" s="20">
        <v>135560</v>
      </c>
      <c r="L325" s="21" t="s">
        <v>220</v>
      </c>
      <c r="M325" s="33" t="s">
        <v>221</v>
      </c>
      <c r="N325" s="19">
        <v>97</v>
      </c>
      <c r="O325" s="2"/>
      <c r="P325" s="2" t="s">
        <v>4</v>
      </c>
      <c r="Q325" s="20" t="s">
        <v>68</v>
      </c>
      <c r="R325" s="25" t="s">
        <v>69</v>
      </c>
      <c r="S325" s="41" t="s">
        <v>137</v>
      </c>
      <c r="T325" s="41"/>
      <c r="U325" s="31" t="s">
        <v>376</v>
      </c>
      <c r="V325" s="25" t="s">
        <v>3</v>
      </c>
      <c r="W325" s="25">
        <v>3</v>
      </c>
      <c r="X325" s="27">
        <v>4500</v>
      </c>
      <c r="Y325" s="1142"/>
      <c r="Z325" s="1143"/>
      <c r="AA325" s="1143"/>
      <c r="AB325" s="1144"/>
      <c r="AC325" s="25">
        <v>30</v>
      </c>
      <c r="AD325" s="25">
        <v>30</v>
      </c>
      <c r="AE325" s="1142"/>
      <c r="AF325" s="1143"/>
      <c r="AG325" s="1143"/>
      <c r="AH325" s="1143"/>
      <c r="AI325" s="1143"/>
      <c r="AJ325" s="1145"/>
      <c r="AK325" s="35">
        <v>27000</v>
      </c>
      <c r="AL325" s="29" t="s">
        <v>73</v>
      </c>
      <c r="AM325" s="29" t="s">
        <v>73</v>
      </c>
      <c r="AN325" s="29" t="s">
        <v>73</v>
      </c>
      <c r="AO325" s="29" t="s">
        <v>73</v>
      </c>
      <c r="AP325" s="30">
        <v>13500</v>
      </c>
      <c r="AQ325" s="30">
        <v>13500</v>
      </c>
      <c r="AR325" s="29" t="s">
        <v>73</v>
      </c>
      <c r="AS325" s="29" t="s">
        <v>73</v>
      </c>
      <c r="AT325" s="29" t="s">
        <v>73</v>
      </c>
      <c r="AU325" s="29" t="s">
        <v>73</v>
      </c>
      <c r="AV325" s="29" t="s">
        <v>73</v>
      </c>
      <c r="AW325" s="29" t="s">
        <v>73</v>
      </c>
      <c r="AX325" s="30">
        <v>27000</v>
      </c>
      <c r="AY325" s="30" t="s">
        <v>6</v>
      </c>
      <c r="AZ325" s="2" t="s">
        <v>74</v>
      </c>
      <c r="BA325" s="2"/>
    </row>
    <row r="326" spans="1:53" ht="51" x14ac:dyDescent="0.25">
      <c r="A326" s="19">
        <v>2026</v>
      </c>
      <c r="B326" s="20">
        <v>479</v>
      </c>
      <c r="C326" s="21" t="s">
        <v>64</v>
      </c>
      <c r="D326" s="21" t="s">
        <v>65</v>
      </c>
      <c r="E326" s="20">
        <v>125</v>
      </c>
      <c r="F326" s="20">
        <v>3000654</v>
      </c>
      <c r="G326" s="20">
        <v>5005023</v>
      </c>
      <c r="H326" s="20">
        <v>3</v>
      </c>
      <c r="I326" s="20">
        <v>12</v>
      </c>
      <c r="J326" s="20">
        <v>24</v>
      </c>
      <c r="K326" s="20">
        <v>135560</v>
      </c>
      <c r="L326" s="21" t="s">
        <v>98</v>
      </c>
      <c r="M326" s="33" t="s">
        <v>99</v>
      </c>
      <c r="N326" s="19">
        <v>94</v>
      </c>
      <c r="O326" s="2"/>
      <c r="P326" s="2" t="s">
        <v>4</v>
      </c>
      <c r="Q326" s="20" t="s">
        <v>68</v>
      </c>
      <c r="R326" s="25" t="s">
        <v>69</v>
      </c>
      <c r="S326" s="41" t="s">
        <v>137</v>
      </c>
      <c r="T326" s="41"/>
      <c r="U326" s="31" t="s">
        <v>377</v>
      </c>
      <c r="V326" s="25" t="s">
        <v>3</v>
      </c>
      <c r="W326" s="25">
        <v>2</v>
      </c>
      <c r="X326" s="27">
        <v>4500</v>
      </c>
      <c r="Y326" s="1142"/>
      <c r="Z326" s="1143"/>
      <c r="AA326" s="1143"/>
      <c r="AB326" s="1144"/>
      <c r="AC326" s="25">
        <v>30</v>
      </c>
      <c r="AD326" s="25"/>
      <c r="AE326" s="1142"/>
      <c r="AF326" s="1143"/>
      <c r="AG326" s="1143"/>
      <c r="AH326" s="1143"/>
      <c r="AI326" s="1143"/>
      <c r="AJ326" s="1145"/>
      <c r="AK326" s="35">
        <v>9000</v>
      </c>
      <c r="AL326" s="29" t="s">
        <v>73</v>
      </c>
      <c r="AM326" s="29" t="s">
        <v>73</v>
      </c>
      <c r="AN326" s="29" t="s">
        <v>73</v>
      </c>
      <c r="AO326" s="29" t="s">
        <v>73</v>
      </c>
      <c r="AP326" s="30">
        <v>9000</v>
      </c>
      <c r="AQ326" s="29" t="s">
        <v>73</v>
      </c>
      <c r="AR326" s="29" t="s">
        <v>73</v>
      </c>
      <c r="AS326" s="29" t="s">
        <v>73</v>
      </c>
      <c r="AT326" s="29" t="s">
        <v>73</v>
      </c>
      <c r="AU326" s="29" t="s">
        <v>73</v>
      </c>
      <c r="AV326" s="29" t="s">
        <v>73</v>
      </c>
      <c r="AW326" s="29" t="s">
        <v>73</v>
      </c>
      <c r="AX326" s="30">
        <v>9000</v>
      </c>
      <c r="AY326" s="18" t="s">
        <v>6</v>
      </c>
      <c r="AZ326" s="2" t="s">
        <v>74</v>
      </c>
      <c r="BA326" s="2"/>
    </row>
    <row r="327" spans="1:53" ht="51" x14ac:dyDescent="0.25">
      <c r="A327" s="19">
        <v>2026</v>
      </c>
      <c r="B327" s="20">
        <v>479</v>
      </c>
      <c r="C327" s="21" t="s">
        <v>64</v>
      </c>
      <c r="D327" s="21" t="s">
        <v>65</v>
      </c>
      <c r="E327" s="20">
        <v>125</v>
      </c>
      <c r="F327" s="20">
        <v>3000654</v>
      </c>
      <c r="G327" s="20">
        <v>5005023</v>
      </c>
      <c r="H327" s="20">
        <v>3</v>
      </c>
      <c r="I327" s="20">
        <v>12</v>
      </c>
      <c r="J327" s="20">
        <v>24</v>
      </c>
      <c r="K327" s="20">
        <v>135560</v>
      </c>
      <c r="L327" s="21" t="s">
        <v>220</v>
      </c>
      <c r="M327" s="33" t="s">
        <v>221</v>
      </c>
      <c r="N327" s="19">
        <v>97</v>
      </c>
      <c r="O327" s="2"/>
      <c r="P327" s="2" t="s">
        <v>4</v>
      </c>
      <c r="Q327" s="20" t="s">
        <v>68</v>
      </c>
      <c r="R327" s="25" t="s">
        <v>69</v>
      </c>
      <c r="S327" s="41" t="s">
        <v>137</v>
      </c>
      <c r="T327" s="41"/>
      <c r="U327" s="31" t="s">
        <v>377</v>
      </c>
      <c r="V327" s="25" t="s">
        <v>3</v>
      </c>
      <c r="W327" s="25">
        <v>2</v>
      </c>
      <c r="X327" s="27">
        <v>4500</v>
      </c>
      <c r="Y327" s="1142"/>
      <c r="Z327" s="1143"/>
      <c r="AA327" s="1143"/>
      <c r="AB327" s="1144"/>
      <c r="AC327" s="25"/>
      <c r="AD327" s="25">
        <v>30</v>
      </c>
      <c r="AE327" s="1142"/>
      <c r="AF327" s="1143"/>
      <c r="AG327" s="1143"/>
      <c r="AH327" s="1143"/>
      <c r="AI327" s="1143"/>
      <c r="AJ327" s="1145"/>
      <c r="AK327" s="35">
        <v>9000</v>
      </c>
      <c r="AL327" s="29" t="s">
        <v>73</v>
      </c>
      <c r="AM327" s="29" t="s">
        <v>73</v>
      </c>
      <c r="AN327" s="29" t="s">
        <v>73</v>
      </c>
      <c r="AO327" s="29" t="s">
        <v>73</v>
      </c>
      <c r="AP327" s="29" t="s">
        <v>73</v>
      </c>
      <c r="AQ327" s="30">
        <v>9000</v>
      </c>
      <c r="AR327" s="29" t="s">
        <v>73</v>
      </c>
      <c r="AS327" s="29" t="s">
        <v>73</v>
      </c>
      <c r="AT327" s="29" t="s">
        <v>73</v>
      </c>
      <c r="AU327" s="29" t="s">
        <v>73</v>
      </c>
      <c r="AV327" s="29" t="s">
        <v>73</v>
      </c>
      <c r="AW327" s="29" t="s">
        <v>73</v>
      </c>
      <c r="AX327" s="30">
        <v>9000</v>
      </c>
      <c r="AY327" s="30" t="s">
        <v>6</v>
      </c>
      <c r="AZ327" s="2" t="s">
        <v>74</v>
      </c>
      <c r="BA327" s="2"/>
    </row>
    <row r="328" spans="1:53" ht="51" x14ac:dyDescent="0.25">
      <c r="A328" s="19">
        <v>2026</v>
      </c>
      <c r="B328" s="20">
        <v>479</v>
      </c>
      <c r="C328" s="21" t="s">
        <v>64</v>
      </c>
      <c r="D328" s="21" t="s">
        <v>65</v>
      </c>
      <c r="E328" s="20">
        <v>125</v>
      </c>
      <c r="F328" s="20">
        <v>3000654</v>
      </c>
      <c r="G328" s="20">
        <v>5005023</v>
      </c>
      <c r="H328" s="20">
        <v>3</v>
      </c>
      <c r="I328" s="20">
        <v>12</v>
      </c>
      <c r="J328" s="20">
        <v>24</v>
      </c>
      <c r="K328" s="20">
        <v>135560</v>
      </c>
      <c r="L328" s="21" t="s">
        <v>98</v>
      </c>
      <c r="M328" s="33" t="s">
        <v>99</v>
      </c>
      <c r="N328" s="19">
        <v>94</v>
      </c>
      <c r="O328" s="2"/>
      <c r="P328" s="2" t="s">
        <v>4</v>
      </c>
      <c r="Q328" s="20" t="s">
        <v>68</v>
      </c>
      <c r="R328" s="25" t="s">
        <v>69</v>
      </c>
      <c r="S328" s="41" t="s">
        <v>137</v>
      </c>
      <c r="T328" s="41"/>
      <c r="U328" s="31" t="s">
        <v>378</v>
      </c>
      <c r="V328" s="25" t="s">
        <v>3</v>
      </c>
      <c r="W328" s="25">
        <v>1</v>
      </c>
      <c r="X328" s="27">
        <v>3000</v>
      </c>
      <c r="Y328" s="1142"/>
      <c r="Z328" s="1143"/>
      <c r="AA328" s="1143"/>
      <c r="AB328" s="1144"/>
      <c r="AC328" s="25">
        <v>30</v>
      </c>
      <c r="AD328" s="25"/>
      <c r="AE328" s="1142"/>
      <c r="AF328" s="1143"/>
      <c r="AG328" s="1143"/>
      <c r="AH328" s="1143"/>
      <c r="AI328" s="1143"/>
      <c r="AJ328" s="1145"/>
      <c r="AK328" s="35">
        <v>3000</v>
      </c>
      <c r="AL328" s="29" t="s">
        <v>73</v>
      </c>
      <c r="AM328" s="29" t="s">
        <v>73</v>
      </c>
      <c r="AN328" s="29" t="s">
        <v>73</v>
      </c>
      <c r="AO328" s="29" t="s">
        <v>73</v>
      </c>
      <c r="AP328" s="30">
        <v>3000</v>
      </c>
      <c r="AQ328" s="29" t="s">
        <v>73</v>
      </c>
      <c r="AR328" s="29" t="s">
        <v>73</v>
      </c>
      <c r="AS328" s="29" t="s">
        <v>73</v>
      </c>
      <c r="AT328" s="29" t="s">
        <v>73</v>
      </c>
      <c r="AU328" s="29" t="s">
        <v>73</v>
      </c>
      <c r="AV328" s="29" t="s">
        <v>73</v>
      </c>
      <c r="AW328" s="29" t="s">
        <v>73</v>
      </c>
      <c r="AX328" s="30">
        <v>3000</v>
      </c>
      <c r="AY328" s="18" t="s">
        <v>6</v>
      </c>
      <c r="AZ328" s="2" t="s">
        <v>74</v>
      </c>
      <c r="BA328" s="2"/>
    </row>
    <row r="329" spans="1:53" ht="51" x14ac:dyDescent="0.25">
      <c r="A329" s="19">
        <v>2026</v>
      </c>
      <c r="B329" s="20">
        <v>479</v>
      </c>
      <c r="C329" s="21" t="s">
        <v>64</v>
      </c>
      <c r="D329" s="21" t="s">
        <v>65</v>
      </c>
      <c r="E329" s="20">
        <v>125</v>
      </c>
      <c r="F329" s="20">
        <v>3000654</v>
      </c>
      <c r="G329" s="20">
        <v>5005023</v>
      </c>
      <c r="H329" s="20">
        <v>3</v>
      </c>
      <c r="I329" s="20">
        <v>12</v>
      </c>
      <c r="J329" s="20">
        <v>24</v>
      </c>
      <c r="K329" s="20">
        <v>135560</v>
      </c>
      <c r="L329" s="21" t="s">
        <v>220</v>
      </c>
      <c r="M329" s="33" t="s">
        <v>221</v>
      </c>
      <c r="N329" s="19">
        <v>97</v>
      </c>
      <c r="O329" s="2"/>
      <c r="P329" s="2" t="s">
        <v>4</v>
      </c>
      <c r="Q329" s="20" t="s">
        <v>68</v>
      </c>
      <c r="R329" s="25" t="s">
        <v>69</v>
      </c>
      <c r="S329" s="41" t="s">
        <v>137</v>
      </c>
      <c r="T329" s="41"/>
      <c r="U329" s="31" t="s">
        <v>378</v>
      </c>
      <c r="V329" s="25" t="s">
        <v>3</v>
      </c>
      <c r="W329" s="25">
        <v>1</v>
      </c>
      <c r="X329" s="27">
        <v>3000</v>
      </c>
      <c r="Y329" s="1142"/>
      <c r="Z329" s="1143"/>
      <c r="AA329" s="1143"/>
      <c r="AB329" s="1144"/>
      <c r="AC329" s="25"/>
      <c r="AD329" s="25">
        <v>30</v>
      </c>
      <c r="AE329" s="1142"/>
      <c r="AF329" s="1143"/>
      <c r="AG329" s="1143"/>
      <c r="AH329" s="1143"/>
      <c r="AI329" s="1143"/>
      <c r="AJ329" s="1145"/>
      <c r="AK329" s="35">
        <v>3000</v>
      </c>
      <c r="AL329" s="29" t="s">
        <v>73</v>
      </c>
      <c r="AM329" s="29" t="s">
        <v>73</v>
      </c>
      <c r="AN329" s="29" t="s">
        <v>73</v>
      </c>
      <c r="AO329" s="29" t="s">
        <v>73</v>
      </c>
      <c r="AP329" s="29" t="s">
        <v>73</v>
      </c>
      <c r="AQ329" s="30">
        <v>3000</v>
      </c>
      <c r="AR329" s="29" t="s">
        <v>73</v>
      </c>
      <c r="AS329" s="29" t="s">
        <v>73</v>
      </c>
      <c r="AT329" s="29" t="s">
        <v>73</v>
      </c>
      <c r="AU329" s="29" t="s">
        <v>73</v>
      </c>
      <c r="AV329" s="29" t="s">
        <v>73</v>
      </c>
      <c r="AW329" s="29" t="s">
        <v>73</v>
      </c>
      <c r="AX329" s="30">
        <v>3000</v>
      </c>
      <c r="AY329" s="30" t="s">
        <v>6</v>
      </c>
      <c r="AZ329" s="2" t="s">
        <v>74</v>
      </c>
      <c r="BA329" s="2"/>
    </row>
    <row r="330" spans="1:53" ht="51" x14ac:dyDescent="0.25">
      <c r="A330" s="19">
        <v>2026</v>
      </c>
      <c r="B330" s="20">
        <v>479</v>
      </c>
      <c r="C330" s="21" t="s">
        <v>64</v>
      </c>
      <c r="D330" s="21" t="s">
        <v>65</v>
      </c>
      <c r="E330" s="20">
        <v>125</v>
      </c>
      <c r="F330" s="20">
        <v>3000654</v>
      </c>
      <c r="G330" s="20">
        <v>5005023</v>
      </c>
      <c r="H330" s="20">
        <v>3</v>
      </c>
      <c r="I330" s="20">
        <v>12</v>
      </c>
      <c r="J330" s="20">
        <v>24</v>
      </c>
      <c r="K330" s="20">
        <v>135560</v>
      </c>
      <c r="L330" s="21" t="s">
        <v>98</v>
      </c>
      <c r="M330" s="33" t="s">
        <v>99</v>
      </c>
      <c r="N330" s="19">
        <v>94</v>
      </c>
      <c r="O330" s="2"/>
      <c r="P330" s="2" t="s">
        <v>4</v>
      </c>
      <c r="Q330" s="20" t="s">
        <v>68</v>
      </c>
      <c r="R330" s="25" t="s">
        <v>69</v>
      </c>
      <c r="S330" s="41" t="s">
        <v>137</v>
      </c>
      <c r="T330" s="41"/>
      <c r="U330" s="31" t="s">
        <v>379</v>
      </c>
      <c r="V330" s="25" t="s">
        <v>3</v>
      </c>
      <c r="W330" s="25">
        <v>1</v>
      </c>
      <c r="X330" s="27">
        <v>3000</v>
      </c>
      <c r="Y330" s="1142"/>
      <c r="Z330" s="1143"/>
      <c r="AA330" s="1143"/>
      <c r="AB330" s="1144"/>
      <c r="AC330" s="25">
        <v>30</v>
      </c>
      <c r="AD330" s="25"/>
      <c r="AE330" s="1142"/>
      <c r="AF330" s="1143"/>
      <c r="AG330" s="1143"/>
      <c r="AH330" s="1143"/>
      <c r="AI330" s="1143"/>
      <c r="AJ330" s="1145"/>
      <c r="AK330" s="35">
        <v>3000</v>
      </c>
      <c r="AL330" s="29" t="s">
        <v>73</v>
      </c>
      <c r="AM330" s="29" t="s">
        <v>73</v>
      </c>
      <c r="AN330" s="29" t="s">
        <v>73</v>
      </c>
      <c r="AO330" s="29" t="s">
        <v>73</v>
      </c>
      <c r="AP330" s="30">
        <v>3000</v>
      </c>
      <c r="AQ330" s="29" t="s">
        <v>73</v>
      </c>
      <c r="AR330" s="29" t="s">
        <v>73</v>
      </c>
      <c r="AS330" s="29" t="s">
        <v>73</v>
      </c>
      <c r="AT330" s="29" t="s">
        <v>73</v>
      </c>
      <c r="AU330" s="29" t="s">
        <v>73</v>
      </c>
      <c r="AV330" s="29" t="s">
        <v>73</v>
      </c>
      <c r="AW330" s="29" t="s">
        <v>73</v>
      </c>
      <c r="AX330" s="30">
        <v>3000</v>
      </c>
      <c r="AY330" s="18" t="s">
        <v>6</v>
      </c>
      <c r="AZ330" s="2" t="s">
        <v>74</v>
      </c>
      <c r="BA330" s="2"/>
    </row>
    <row r="331" spans="1:53" ht="51" x14ac:dyDescent="0.25">
      <c r="A331" s="19">
        <v>2026</v>
      </c>
      <c r="B331" s="20">
        <v>479</v>
      </c>
      <c r="C331" s="21" t="s">
        <v>64</v>
      </c>
      <c r="D331" s="21" t="s">
        <v>65</v>
      </c>
      <c r="E331" s="20">
        <v>125</v>
      </c>
      <c r="F331" s="20">
        <v>3000654</v>
      </c>
      <c r="G331" s="20">
        <v>5005023</v>
      </c>
      <c r="H331" s="20">
        <v>3</v>
      </c>
      <c r="I331" s="20">
        <v>12</v>
      </c>
      <c r="J331" s="20">
        <v>24</v>
      </c>
      <c r="K331" s="20">
        <v>135560</v>
      </c>
      <c r="L331" s="21" t="s">
        <v>220</v>
      </c>
      <c r="M331" s="33" t="s">
        <v>221</v>
      </c>
      <c r="N331" s="19">
        <v>97</v>
      </c>
      <c r="O331" s="2"/>
      <c r="P331" s="2" t="s">
        <v>4</v>
      </c>
      <c r="Q331" s="20" t="s">
        <v>68</v>
      </c>
      <c r="R331" s="25" t="s">
        <v>69</v>
      </c>
      <c r="S331" s="41" t="s">
        <v>137</v>
      </c>
      <c r="T331" s="41"/>
      <c r="U331" s="31" t="s">
        <v>379</v>
      </c>
      <c r="V331" s="25" t="s">
        <v>3</v>
      </c>
      <c r="W331" s="25">
        <v>1</v>
      </c>
      <c r="X331" s="27">
        <v>3000</v>
      </c>
      <c r="Y331" s="1142"/>
      <c r="Z331" s="1143"/>
      <c r="AA331" s="1143"/>
      <c r="AB331" s="1144"/>
      <c r="AC331" s="25"/>
      <c r="AD331" s="25">
        <v>30</v>
      </c>
      <c r="AE331" s="1142"/>
      <c r="AF331" s="1143"/>
      <c r="AG331" s="1143"/>
      <c r="AH331" s="1143"/>
      <c r="AI331" s="1143"/>
      <c r="AJ331" s="1145"/>
      <c r="AK331" s="35">
        <v>3000</v>
      </c>
      <c r="AL331" s="29" t="s">
        <v>73</v>
      </c>
      <c r="AM331" s="29" t="s">
        <v>73</v>
      </c>
      <c r="AN331" s="29" t="s">
        <v>73</v>
      </c>
      <c r="AO331" s="29" t="s">
        <v>73</v>
      </c>
      <c r="AP331" s="29" t="s">
        <v>73</v>
      </c>
      <c r="AQ331" s="30">
        <v>3000</v>
      </c>
      <c r="AR331" s="29" t="s">
        <v>73</v>
      </c>
      <c r="AS331" s="29" t="s">
        <v>73</v>
      </c>
      <c r="AT331" s="29" t="s">
        <v>73</v>
      </c>
      <c r="AU331" s="29" t="s">
        <v>73</v>
      </c>
      <c r="AV331" s="29" t="s">
        <v>73</v>
      </c>
      <c r="AW331" s="29" t="s">
        <v>73</v>
      </c>
      <c r="AX331" s="30">
        <v>3000</v>
      </c>
      <c r="AY331" s="30" t="s">
        <v>6</v>
      </c>
      <c r="AZ331" s="2" t="s">
        <v>74</v>
      </c>
      <c r="BA331" s="2"/>
    </row>
    <row r="332" spans="1:53" ht="51" x14ac:dyDescent="0.25">
      <c r="A332" s="19">
        <v>2026</v>
      </c>
      <c r="B332" s="20">
        <v>479</v>
      </c>
      <c r="C332" s="21" t="s">
        <v>64</v>
      </c>
      <c r="D332" s="21" t="s">
        <v>65</v>
      </c>
      <c r="E332" s="20">
        <v>125</v>
      </c>
      <c r="F332" s="20">
        <v>3000654</v>
      </c>
      <c r="G332" s="20">
        <v>5005023</v>
      </c>
      <c r="H332" s="20">
        <v>3</v>
      </c>
      <c r="I332" s="20">
        <v>12</v>
      </c>
      <c r="J332" s="20">
        <v>24</v>
      </c>
      <c r="K332" s="20">
        <v>135560</v>
      </c>
      <c r="L332" s="21" t="s">
        <v>98</v>
      </c>
      <c r="M332" s="33" t="s">
        <v>99</v>
      </c>
      <c r="N332" s="19">
        <v>94</v>
      </c>
      <c r="O332" s="2"/>
      <c r="P332" s="2" t="s">
        <v>4</v>
      </c>
      <c r="Q332" s="20" t="s">
        <v>68</v>
      </c>
      <c r="R332" s="25" t="s">
        <v>69</v>
      </c>
      <c r="S332" s="41" t="s">
        <v>137</v>
      </c>
      <c r="T332" s="41"/>
      <c r="U332" s="31" t="s">
        <v>380</v>
      </c>
      <c r="V332" s="25" t="s">
        <v>3</v>
      </c>
      <c r="W332" s="25">
        <v>1</v>
      </c>
      <c r="X332" s="27">
        <v>2500</v>
      </c>
      <c r="Y332" s="1142"/>
      <c r="Z332" s="1143"/>
      <c r="AA332" s="1143"/>
      <c r="AB332" s="1144"/>
      <c r="AC332" s="25">
        <v>30</v>
      </c>
      <c r="AD332" s="25"/>
      <c r="AE332" s="1142"/>
      <c r="AF332" s="1143"/>
      <c r="AG332" s="1143"/>
      <c r="AH332" s="1143"/>
      <c r="AI332" s="1143"/>
      <c r="AJ332" s="1145"/>
      <c r="AK332" s="35">
        <v>2500</v>
      </c>
      <c r="AL332" s="29" t="s">
        <v>73</v>
      </c>
      <c r="AM332" s="29" t="s">
        <v>73</v>
      </c>
      <c r="AN332" s="29" t="s">
        <v>73</v>
      </c>
      <c r="AO332" s="29" t="s">
        <v>73</v>
      </c>
      <c r="AP332" s="30">
        <v>2500</v>
      </c>
      <c r="AQ332" s="29" t="s">
        <v>73</v>
      </c>
      <c r="AR332" s="29" t="s">
        <v>73</v>
      </c>
      <c r="AS332" s="29" t="s">
        <v>73</v>
      </c>
      <c r="AT332" s="29" t="s">
        <v>73</v>
      </c>
      <c r="AU332" s="29" t="s">
        <v>73</v>
      </c>
      <c r="AV332" s="29" t="s">
        <v>73</v>
      </c>
      <c r="AW332" s="29" t="s">
        <v>73</v>
      </c>
      <c r="AX332" s="30">
        <v>2500</v>
      </c>
      <c r="AY332" s="18" t="s">
        <v>6</v>
      </c>
      <c r="AZ332" s="2" t="s">
        <v>74</v>
      </c>
      <c r="BA332" s="2"/>
    </row>
    <row r="333" spans="1:53" ht="51" x14ac:dyDescent="0.25">
      <c r="A333" s="19">
        <v>2026</v>
      </c>
      <c r="B333" s="20">
        <v>479</v>
      </c>
      <c r="C333" s="21" t="s">
        <v>64</v>
      </c>
      <c r="D333" s="21" t="s">
        <v>65</v>
      </c>
      <c r="E333" s="20">
        <v>125</v>
      </c>
      <c r="F333" s="20">
        <v>3000654</v>
      </c>
      <c r="G333" s="20">
        <v>5005023</v>
      </c>
      <c r="H333" s="20">
        <v>3</v>
      </c>
      <c r="I333" s="20">
        <v>12</v>
      </c>
      <c r="J333" s="20">
        <v>24</v>
      </c>
      <c r="K333" s="20">
        <v>135560</v>
      </c>
      <c r="L333" s="21" t="s">
        <v>220</v>
      </c>
      <c r="M333" s="33" t="s">
        <v>221</v>
      </c>
      <c r="N333" s="19">
        <v>97</v>
      </c>
      <c r="O333" s="2"/>
      <c r="P333" s="2" t="s">
        <v>4</v>
      </c>
      <c r="Q333" s="20" t="s">
        <v>68</v>
      </c>
      <c r="R333" s="25" t="s">
        <v>69</v>
      </c>
      <c r="S333" s="41" t="s">
        <v>137</v>
      </c>
      <c r="T333" s="41"/>
      <c r="U333" s="31" t="s">
        <v>380</v>
      </c>
      <c r="V333" s="25" t="s">
        <v>3</v>
      </c>
      <c r="W333" s="25">
        <v>1</v>
      </c>
      <c r="X333" s="27">
        <v>2500</v>
      </c>
      <c r="Y333" s="1142"/>
      <c r="Z333" s="1143"/>
      <c r="AA333" s="1143"/>
      <c r="AB333" s="1144"/>
      <c r="AC333" s="25"/>
      <c r="AD333" s="25">
        <v>30</v>
      </c>
      <c r="AE333" s="1142"/>
      <c r="AF333" s="1143"/>
      <c r="AG333" s="1143"/>
      <c r="AH333" s="1143"/>
      <c r="AI333" s="1143"/>
      <c r="AJ333" s="1145"/>
      <c r="AK333" s="35">
        <v>2500</v>
      </c>
      <c r="AL333" s="29" t="s">
        <v>73</v>
      </c>
      <c r="AM333" s="29" t="s">
        <v>73</v>
      </c>
      <c r="AN333" s="29" t="s">
        <v>73</v>
      </c>
      <c r="AO333" s="29" t="s">
        <v>73</v>
      </c>
      <c r="AP333" s="29" t="s">
        <v>73</v>
      </c>
      <c r="AQ333" s="30">
        <v>2500</v>
      </c>
      <c r="AR333" s="29" t="s">
        <v>73</v>
      </c>
      <c r="AS333" s="29" t="s">
        <v>73</v>
      </c>
      <c r="AT333" s="29" t="s">
        <v>73</v>
      </c>
      <c r="AU333" s="29" t="s">
        <v>73</v>
      </c>
      <c r="AV333" s="29" t="s">
        <v>73</v>
      </c>
      <c r="AW333" s="29" t="s">
        <v>73</v>
      </c>
      <c r="AX333" s="30">
        <v>2500</v>
      </c>
      <c r="AY333" s="30" t="s">
        <v>6</v>
      </c>
      <c r="AZ333" s="2" t="s">
        <v>74</v>
      </c>
      <c r="BA333" s="2"/>
    </row>
    <row r="334" spans="1:53" ht="51" x14ac:dyDescent="0.25">
      <c r="A334" s="19">
        <v>2026</v>
      </c>
      <c r="B334" s="20">
        <v>479</v>
      </c>
      <c r="C334" s="21" t="s">
        <v>64</v>
      </c>
      <c r="D334" s="21" t="s">
        <v>65</v>
      </c>
      <c r="E334" s="20">
        <v>125</v>
      </c>
      <c r="F334" s="20">
        <v>3000654</v>
      </c>
      <c r="G334" s="20">
        <v>5005023</v>
      </c>
      <c r="H334" s="20">
        <v>3</v>
      </c>
      <c r="I334" s="20">
        <v>12</v>
      </c>
      <c r="J334" s="20">
        <v>24</v>
      </c>
      <c r="K334" s="20">
        <v>135560</v>
      </c>
      <c r="L334" s="21" t="s">
        <v>98</v>
      </c>
      <c r="M334" s="33" t="s">
        <v>99</v>
      </c>
      <c r="N334" s="19">
        <v>94</v>
      </c>
      <c r="O334" s="2"/>
      <c r="P334" s="2" t="s">
        <v>4</v>
      </c>
      <c r="Q334" s="20" t="s">
        <v>68</v>
      </c>
      <c r="R334" s="25" t="s">
        <v>69</v>
      </c>
      <c r="S334" s="41" t="s">
        <v>137</v>
      </c>
      <c r="T334" s="41"/>
      <c r="U334" s="31" t="s">
        <v>381</v>
      </c>
      <c r="V334" s="25" t="s">
        <v>3</v>
      </c>
      <c r="W334" s="25">
        <v>1</v>
      </c>
      <c r="X334" s="27">
        <v>3000</v>
      </c>
      <c r="Y334" s="1142"/>
      <c r="Z334" s="1143"/>
      <c r="AA334" s="1143"/>
      <c r="AB334" s="1144"/>
      <c r="AC334" s="25">
        <v>30</v>
      </c>
      <c r="AD334" s="25"/>
      <c r="AE334" s="1142"/>
      <c r="AF334" s="1143"/>
      <c r="AG334" s="1143"/>
      <c r="AH334" s="1143"/>
      <c r="AI334" s="1143"/>
      <c r="AJ334" s="1145"/>
      <c r="AK334" s="35">
        <v>3000</v>
      </c>
      <c r="AL334" s="29" t="s">
        <v>73</v>
      </c>
      <c r="AM334" s="29" t="s">
        <v>73</v>
      </c>
      <c r="AN334" s="29" t="s">
        <v>73</v>
      </c>
      <c r="AO334" s="29" t="s">
        <v>73</v>
      </c>
      <c r="AP334" s="30">
        <v>3000</v>
      </c>
      <c r="AQ334" s="29" t="s">
        <v>73</v>
      </c>
      <c r="AR334" s="29" t="s">
        <v>73</v>
      </c>
      <c r="AS334" s="29" t="s">
        <v>73</v>
      </c>
      <c r="AT334" s="29" t="s">
        <v>73</v>
      </c>
      <c r="AU334" s="29" t="s">
        <v>73</v>
      </c>
      <c r="AV334" s="29" t="s">
        <v>73</v>
      </c>
      <c r="AW334" s="29" t="s">
        <v>73</v>
      </c>
      <c r="AX334" s="30">
        <v>3000</v>
      </c>
      <c r="AY334" s="18" t="s">
        <v>6</v>
      </c>
      <c r="AZ334" s="2" t="s">
        <v>74</v>
      </c>
      <c r="BA334" s="2"/>
    </row>
    <row r="335" spans="1:53" ht="51" x14ac:dyDescent="0.25">
      <c r="A335" s="19">
        <v>2026</v>
      </c>
      <c r="B335" s="20">
        <v>479</v>
      </c>
      <c r="C335" s="21" t="s">
        <v>64</v>
      </c>
      <c r="D335" s="21" t="s">
        <v>65</v>
      </c>
      <c r="E335" s="20">
        <v>125</v>
      </c>
      <c r="F335" s="20">
        <v>3000654</v>
      </c>
      <c r="G335" s="20">
        <v>5005023</v>
      </c>
      <c r="H335" s="20">
        <v>3</v>
      </c>
      <c r="I335" s="20">
        <v>12</v>
      </c>
      <c r="J335" s="20">
        <v>24</v>
      </c>
      <c r="K335" s="20">
        <v>135560</v>
      </c>
      <c r="L335" s="21" t="s">
        <v>220</v>
      </c>
      <c r="M335" s="33" t="s">
        <v>221</v>
      </c>
      <c r="N335" s="19">
        <v>97</v>
      </c>
      <c r="O335" s="2"/>
      <c r="P335" s="2" t="s">
        <v>4</v>
      </c>
      <c r="Q335" s="20" t="s">
        <v>68</v>
      </c>
      <c r="R335" s="25" t="s">
        <v>69</v>
      </c>
      <c r="S335" s="41" t="s">
        <v>137</v>
      </c>
      <c r="T335" s="41"/>
      <c r="U335" s="31" t="s">
        <v>381</v>
      </c>
      <c r="V335" s="25" t="s">
        <v>3</v>
      </c>
      <c r="W335" s="25">
        <v>1</v>
      </c>
      <c r="X335" s="27">
        <v>3000</v>
      </c>
      <c r="Y335" s="1142"/>
      <c r="Z335" s="1143"/>
      <c r="AA335" s="1143"/>
      <c r="AB335" s="1144"/>
      <c r="AC335" s="25"/>
      <c r="AD335" s="25">
        <v>30</v>
      </c>
      <c r="AE335" s="1142"/>
      <c r="AF335" s="1143"/>
      <c r="AG335" s="1143"/>
      <c r="AH335" s="1143"/>
      <c r="AI335" s="1143"/>
      <c r="AJ335" s="1145"/>
      <c r="AK335" s="35">
        <v>3000</v>
      </c>
      <c r="AL335" s="29" t="s">
        <v>73</v>
      </c>
      <c r="AM335" s="29" t="s">
        <v>73</v>
      </c>
      <c r="AN335" s="29" t="s">
        <v>73</v>
      </c>
      <c r="AO335" s="29" t="s">
        <v>73</v>
      </c>
      <c r="AP335" s="29" t="s">
        <v>73</v>
      </c>
      <c r="AQ335" s="30">
        <v>3000</v>
      </c>
      <c r="AR335" s="29" t="s">
        <v>73</v>
      </c>
      <c r="AS335" s="29" t="s">
        <v>73</v>
      </c>
      <c r="AT335" s="29" t="s">
        <v>73</v>
      </c>
      <c r="AU335" s="29" t="s">
        <v>73</v>
      </c>
      <c r="AV335" s="29" t="s">
        <v>73</v>
      </c>
      <c r="AW335" s="29" t="s">
        <v>73</v>
      </c>
      <c r="AX335" s="30">
        <v>3000</v>
      </c>
      <c r="AY335" s="30" t="s">
        <v>6</v>
      </c>
      <c r="AZ335" s="2" t="s">
        <v>74</v>
      </c>
      <c r="BA335" s="2"/>
    </row>
    <row r="336" spans="1:53" ht="51" x14ac:dyDescent="0.25">
      <c r="A336" s="19">
        <v>2026</v>
      </c>
      <c r="B336" s="20">
        <v>479</v>
      </c>
      <c r="C336" s="21" t="s">
        <v>64</v>
      </c>
      <c r="D336" s="21" t="s">
        <v>65</v>
      </c>
      <c r="E336" s="20">
        <v>125</v>
      </c>
      <c r="F336" s="20">
        <v>3000654</v>
      </c>
      <c r="G336" s="20">
        <v>5005023</v>
      </c>
      <c r="H336" s="20">
        <v>3</v>
      </c>
      <c r="I336" s="20">
        <v>12</v>
      </c>
      <c r="J336" s="20">
        <v>24</v>
      </c>
      <c r="K336" s="20">
        <v>135560</v>
      </c>
      <c r="L336" s="21" t="s">
        <v>220</v>
      </c>
      <c r="M336" s="33" t="s">
        <v>221</v>
      </c>
      <c r="N336" s="19">
        <v>97</v>
      </c>
      <c r="O336" s="2"/>
      <c r="P336" s="2" t="s">
        <v>4</v>
      </c>
      <c r="Q336" s="20" t="s">
        <v>68</v>
      </c>
      <c r="R336" s="25" t="s">
        <v>69</v>
      </c>
      <c r="S336" s="41" t="s">
        <v>137</v>
      </c>
      <c r="T336" s="41"/>
      <c r="U336" s="31" t="s">
        <v>382</v>
      </c>
      <c r="V336" s="25" t="s">
        <v>3</v>
      </c>
      <c r="W336" s="25">
        <v>1</v>
      </c>
      <c r="X336" s="27">
        <v>7000</v>
      </c>
      <c r="Y336" s="1142"/>
      <c r="Z336" s="1143"/>
      <c r="AA336" s="1143"/>
      <c r="AB336" s="1144"/>
      <c r="AC336" s="25">
        <v>30</v>
      </c>
      <c r="AD336" s="25">
        <v>30</v>
      </c>
      <c r="AE336" s="1142"/>
      <c r="AF336" s="1143"/>
      <c r="AG336" s="1143"/>
      <c r="AH336" s="1143"/>
      <c r="AI336" s="1143"/>
      <c r="AJ336" s="1145"/>
      <c r="AK336" s="35">
        <v>14000</v>
      </c>
      <c r="AL336" s="29" t="s">
        <v>73</v>
      </c>
      <c r="AM336" s="29" t="s">
        <v>73</v>
      </c>
      <c r="AN336" s="29" t="s">
        <v>73</v>
      </c>
      <c r="AO336" s="29" t="s">
        <v>73</v>
      </c>
      <c r="AP336" s="30">
        <v>7000</v>
      </c>
      <c r="AQ336" s="30">
        <v>7000</v>
      </c>
      <c r="AR336" s="29" t="s">
        <v>73</v>
      </c>
      <c r="AS336" s="29" t="s">
        <v>73</v>
      </c>
      <c r="AT336" s="29" t="s">
        <v>73</v>
      </c>
      <c r="AU336" s="29" t="s">
        <v>73</v>
      </c>
      <c r="AV336" s="29" t="s">
        <v>73</v>
      </c>
      <c r="AW336" s="29" t="s">
        <v>73</v>
      </c>
      <c r="AX336" s="30">
        <v>14000</v>
      </c>
      <c r="AY336" s="30" t="s">
        <v>6</v>
      </c>
      <c r="AZ336" s="2" t="s">
        <v>74</v>
      </c>
      <c r="BA336" s="2"/>
    </row>
    <row r="337" spans="1:53" ht="51" x14ac:dyDescent="0.25">
      <c r="A337" s="19">
        <v>2026</v>
      </c>
      <c r="B337" s="20">
        <v>479</v>
      </c>
      <c r="C337" s="21" t="s">
        <v>64</v>
      </c>
      <c r="D337" s="21" t="s">
        <v>65</v>
      </c>
      <c r="E337" s="20">
        <v>125</v>
      </c>
      <c r="F337" s="20">
        <v>3000654</v>
      </c>
      <c r="G337" s="20">
        <v>5005023</v>
      </c>
      <c r="H337" s="20">
        <v>3</v>
      </c>
      <c r="I337" s="20">
        <v>12</v>
      </c>
      <c r="J337" s="20">
        <v>24</v>
      </c>
      <c r="K337" s="20">
        <v>135560</v>
      </c>
      <c r="L337" s="21" t="s">
        <v>98</v>
      </c>
      <c r="M337" s="33" t="s">
        <v>99</v>
      </c>
      <c r="N337" s="19">
        <v>94</v>
      </c>
      <c r="O337" s="2"/>
      <c r="P337" s="2" t="s">
        <v>4</v>
      </c>
      <c r="Q337" s="20" t="s">
        <v>68</v>
      </c>
      <c r="R337" s="25" t="s">
        <v>69</v>
      </c>
      <c r="S337" s="41" t="s">
        <v>137</v>
      </c>
      <c r="T337" s="41"/>
      <c r="U337" s="31" t="s">
        <v>383</v>
      </c>
      <c r="V337" s="25" t="s">
        <v>3</v>
      </c>
      <c r="W337" s="25">
        <v>1</v>
      </c>
      <c r="X337" s="27">
        <v>5000</v>
      </c>
      <c r="Y337" s="1142"/>
      <c r="Z337" s="1143"/>
      <c r="AA337" s="1143"/>
      <c r="AB337" s="1144"/>
      <c r="AC337" s="25">
        <v>30</v>
      </c>
      <c r="AD337" s="25"/>
      <c r="AE337" s="1142"/>
      <c r="AF337" s="1143"/>
      <c r="AG337" s="1143"/>
      <c r="AH337" s="1143"/>
      <c r="AI337" s="1143"/>
      <c r="AJ337" s="1145"/>
      <c r="AK337" s="35">
        <v>5000</v>
      </c>
      <c r="AL337" s="29" t="s">
        <v>73</v>
      </c>
      <c r="AM337" s="29" t="s">
        <v>73</v>
      </c>
      <c r="AN337" s="29" t="s">
        <v>73</v>
      </c>
      <c r="AO337" s="29" t="s">
        <v>73</v>
      </c>
      <c r="AP337" s="30">
        <v>5000</v>
      </c>
      <c r="AQ337" s="29" t="s">
        <v>73</v>
      </c>
      <c r="AR337" s="29" t="s">
        <v>73</v>
      </c>
      <c r="AS337" s="29" t="s">
        <v>73</v>
      </c>
      <c r="AT337" s="29" t="s">
        <v>73</v>
      </c>
      <c r="AU337" s="29" t="s">
        <v>73</v>
      </c>
      <c r="AV337" s="29" t="s">
        <v>73</v>
      </c>
      <c r="AW337" s="29" t="s">
        <v>73</v>
      </c>
      <c r="AX337" s="30">
        <v>5000</v>
      </c>
      <c r="AY337" s="18" t="s">
        <v>6</v>
      </c>
      <c r="AZ337" s="2" t="s">
        <v>74</v>
      </c>
      <c r="BA337" s="2"/>
    </row>
    <row r="338" spans="1:53" ht="51" x14ac:dyDescent="0.25">
      <c r="A338" s="19">
        <v>2026</v>
      </c>
      <c r="B338" s="20">
        <v>479</v>
      </c>
      <c r="C338" s="21" t="s">
        <v>64</v>
      </c>
      <c r="D338" s="21" t="s">
        <v>65</v>
      </c>
      <c r="E338" s="20">
        <v>125</v>
      </c>
      <c r="F338" s="20">
        <v>3000654</v>
      </c>
      <c r="G338" s="20">
        <v>5005023</v>
      </c>
      <c r="H338" s="20">
        <v>3</v>
      </c>
      <c r="I338" s="20">
        <v>12</v>
      </c>
      <c r="J338" s="20">
        <v>24</v>
      </c>
      <c r="K338" s="20">
        <v>135560</v>
      </c>
      <c r="L338" s="21" t="s">
        <v>220</v>
      </c>
      <c r="M338" s="33" t="s">
        <v>221</v>
      </c>
      <c r="N338" s="19">
        <v>97</v>
      </c>
      <c r="O338" s="2"/>
      <c r="P338" s="2" t="s">
        <v>4</v>
      </c>
      <c r="Q338" s="20" t="s">
        <v>68</v>
      </c>
      <c r="R338" s="25" t="s">
        <v>69</v>
      </c>
      <c r="S338" s="41" t="s">
        <v>137</v>
      </c>
      <c r="T338" s="41"/>
      <c r="U338" s="31" t="s">
        <v>383</v>
      </c>
      <c r="V338" s="25" t="s">
        <v>3</v>
      </c>
      <c r="W338" s="25">
        <v>1</v>
      </c>
      <c r="X338" s="27">
        <v>5000</v>
      </c>
      <c r="Y338" s="1142"/>
      <c r="Z338" s="1143"/>
      <c r="AA338" s="1143"/>
      <c r="AB338" s="1144"/>
      <c r="AC338" s="25"/>
      <c r="AD338" s="25">
        <v>30</v>
      </c>
      <c r="AE338" s="1142"/>
      <c r="AF338" s="1143"/>
      <c r="AG338" s="1143"/>
      <c r="AH338" s="1143"/>
      <c r="AI338" s="1143"/>
      <c r="AJ338" s="1145"/>
      <c r="AK338" s="35">
        <v>5000</v>
      </c>
      <c r="AL338" s="29" t="s">
        <v>73</v>
      </c>
      <c r="AM338" s="29" t="s">
        <v>73</v>
      </c>
      <c r="AN338" s="29" t="s">
        <v>73</v>
      </c>
      <c r="AO338" s="29" t="s">
        <v>73</v>
      </c>
      <c r="AP338" s="29" t="s">
        <v>73</v>
      </c>
      <c r="AQ338" s="30">
        <v>5000</v>
      </c>
      <c r="AR338" s="29" t="s">
        <v>73</v>
      </c>
      <c r="AS338" s="29" t="s">
        <v>73</v>
      </c>
      <c r="AT338" s="29" t="s">
        <v>73</v>
      </c>
      <c r="AU338" s="29" t="s">
        <v>73</v>
      </c>
      <c r="AV338" s="29" t="s">
        <v>73</v>
      </c>
      <c r="AW338" s="29" t="s">
        <v>73</v>
      </c>
      <c r="AX338" s="30">
        <v>5000</v>
      </c>
      <c r="AY338" s="30" t="s">
        <v>6</v>
      </c>
      <c r="AZ338" s="2" t="s">
        <v>74</v>
      </c>
      <c r="BA338" s="2"/>
    </row>
    <row r="339" spans="1:53" ht="51" x14ac:dyDescent="0.25">
      <c r="A339" s="19">
        <v>2026</v>
      </c>
      <c r="B339" s="20">
        <v>479</v>
      </c>
      <c r="C339" s="21" t="s">
        <v>64</v>
      </c>
      <c r="D339" s="21" t="s">
        <v>65</v>
      </c>
      <c r="E339" s="20">
        <v>125</v>
      </c>
      <c r="F339" s="20">
        <v>3000654</v>
      </c>
      <c r="G339" s="20">
        <v>5005023</v>
      </c>
      <c r="H339" s="20">
        <v>3</v>
      </c>
      <c r="I339" s="20">
        <v>12</v>
      </c>
      <c r="J339" s="20">
        <v>24</v>
      </c>
      <c r="K339" s="20">
        <v>135560</v>
      </c>
      <c r="L339" s="21" t="s">
        <v>98</v>
      </c>
      <c r="M339" s="33" t="s">
        <v>99</v>
      </c>
      <c r="N339" s="19">
        <v>94</v>
      </c>
      <c r="O339" s="2"/>
      <c r="P339" s="2" t="s">
        <v>4</v>
      </c>
      <c r="Q339" s="20" t="s">
        <v>68</v>
      </c>
      <c r="R339" s="25" t="s">
        <v>69</v>
      </c>
      <c r="S339" s="41" t="s">
        <v>137</v>
      </c>
      <c r="T339" s="41"/>
      <c r="U339" s="31" t="s">
        <v>384</v>
      </c>
      <c r="V339" s="25" t="s">
        <v>3</v>
      </c>
      <c r="W339" s="25">
        <v>1</v>
      </c>
      <c r="X339" s="27">
        <v>5000</v>
      </c>
      <c r="Y339" s="1142"/>
      <c r="Z339" s="1143"/>
      <c r="AA339" s="1143"/>
      <c r="AB339" s="1144"/>
      <c r="AC339" s="25">
        <v>30</v>
      </c>
      <c r="AD339" s="25"/>
      <c r="AE339" s="1142"/>
      <c r="AF339" s="1143"/>
      <c r="AG339" s="1143"/>
      <c r="AH339" s="1143"/>
      <c r="AI339" s="1143"/>
      <c r="AJ339" s="1145"/>
      <c r="AK339" s="35">
        <v>5000</v>
      </c>
      <c r="AL339" s="29" t="s">
        <v>73</v>
      </c>
      <c r="AM339" s="29" t="s">
        <v>73</v>
      </c>
      <c r="AN339" s="29" t="s">
        <v>73</v>
      </c>
      <c r="AO339" s="29" t="s">
        <v>73</v>
      </c>
      <c r="AP339" s="30">
        <v>5000</v>
      </c>
      <c r="AQ339" s="29" t="s">
        <v>73</v>
      </c>
      <c r="AR339" s="29" t="s">
        <v>73</v>
      </c>
      <c r="AS339" s="29" t="s">
        <v>73</v>
      </c>
      <c r="AT339" s="29" t="s">
        <v>73</v>
      </c>
      <c r="AU339" s="29" t="s">
        <v>73</v>
      </c>
      <c r="AV339" s="29" t="s">
        <v>73</v>
      </c>
      <c r="AW339" s="29" t="s">
        <v>73</v>
      </c>
      <c r="AX339" s="30">
        <v>5000</v>
      </c>
      <c r="AY339" s="18" t="s">
        <v>6</v>
      </c>
      <c r="AZ339" s="2" t="s">
        <v>74</v>
      </c>
      <c r="BA339" s="2"/>
    </row>
    <row r="340" spans="1:53" ht="51" x14ac:dyDescent="0.25">
      <c r="A340" s="19">
        <v>2026</v>
      </c>
      <c r="B340" s="20">
        <v>479</v>
      </c>
      <c r="C340" s="21" t="s">
        <v>64</v>
      </c>
      <c r="D340" s="21" t="s">
        <v>65</v>
      </c>
      <c r="E340" s="20">
        <v>125</v>
      </c>
      <c r="F340" s="20">
        <v>3000654</v>
      </c>
      <c r="G340" s="20">
        <v>5005023</v>
      </c>
      <c r="H340" s="20">
        <v>3</v>
      </c>
      <c r="I340" s="20">
        <v>12</v>
      </c>
      <c r="J340" s="20">
        <v>24</v>
      </c>
      <c r="K340" s="20">
        <v>135560</v>
      </c>
      <c r="L340" s="21" t="s">
        <v>220</v>
      </c>
      <c r="M340" s="33" t="s">
        <v>221</v>
      </c>
      <c r="N340" s="19">
        <v>97</v>
      </c>
      <c r="O340" s="2"/>
      <c r="P340" s="2" t="s">
        <v>4</v>
      </c>
      <c r="Q340" s="20" t="s">
        <v>68</v>
      </c>
      <c r="R340" s="25" t="s">
        <v>69</v>
      </c>
      <c r="S340" s="41" t="s">
        <v>137</v>
      </c>
      <c r="T340" s="41"/>
      <c r="U340" s="31" t="s">
        <v>384</v>
      </c>
      <c r="V340" s="25" t="s">
        <v>3</v>
      </c>
      <c r="W340" s="25">
        <v>1</v>
      </c>
      <c r="X340" s="27">
        <v>5000</v>
      </c>
      <c r="Y340" s="1142"/>
      <c r="Z340" s="1143"/>
      <c r="AA340" s="1143"/>
      <c r="AB340" s="1144"/>
      <c r="AC340" s="25"/>
      <c r="AD340" s="25">
        <v>30</v>
      </c>
      <c r="AE340" s="1142"/>
      <c r="AF340" s="1143"/>
      <c r="AG340" s="1143"/>
      <c r="AH340" s="1143"/>
      <c r="AI340" s="1143"/>
      <c r="AJ340" s="1145"/>
      <c r="AK340" s="35">
        <v>5000</v>
      </c>
      <c r="AL340" s="29" t="s">
        <v>73</v>
      </c>
      <c r="AM340" s="29" t="s">
        <v>73</v>
      </c>
      <c r="AN340" s="29" t="s">
        <v>73</v>
      </c>
      <c r="AO340" s="29" t="s">
        <v>73</v>
      </c>
      <c r="AP340" s="29" t="s">
        <v>73</v>
      </c>
      <c r="AQ340" s="30">
        <v>5000</v>
      </c>
      <c r="AR340" s="29" t="s">
        <v>73</v>
      </c>
      <c r="AS340" s="29" t="s">
        <v>73</v>
      </c>
      <c r="AT340" s="29" t="s">
        <v>73</v>
      </c>
      <c r="AU340" s="29" t="s">
        <v>73</v>
      </c>
      <c r="AV340" s="29" t="s">
        <v>73</v>
      </c>
      <c r="AW340" s="29" t="s">
        <v>73</v>
      </c>
      <c r="AX340" s="30">
        <v>5000</v>
      </c>
      <c r="AY340" s="30" t="s">
        <v>6</v>
      </c>
      <c r="AZ340" s="2" t="s">
        <v>74</v>
      </c>
      <c r="BA340" s="2"/>
    </row>
    <row r="341" spans="1:53" ht="51" x14ac:dyDescent="0.25">
      <c r="A341" s="19">
        <v>2026</v>
      </c>
      <c r="B341" s="20">
        <v>479</v>
      </c>
      <c r="C341" s="21" t="s">
        <v>64</v>
      </c>
      <c r="D341" s="21" t="s">
        <v>65</v>
      </c>
      <c r="E341" s="20">
        <v>125</v>
      </c>
      <c r="F341" s="20">
        <v>3000654</v>
      </c>
      <c r="G341" s="20">
        <v>5005023</v>
      </c>
      <c r="H341" s="20">
        <v>3</v>
      </c>
      <c r="I341" s="20">
        <v>12</v>
      </c>
      <c r="J341" s="20">
        <v>24</v>
      </c>
      <c r="K341" s="20">
        <v>135560</v>
      </c>
      <c r="L341" s="21" t="s">
        <v>220</v>
      </c>
      <c r="M341" s="33" t="s">
        <v>221</v>
      </c>
      <c r="N341" s="19">
        <v>97</v>
      </c>
      <c r="O341" s="2"/>
      <c r="P341" s="2" t="s">
        <v>4</v>
      </c>
      <c r="Q341" s="20" t="s">
        <v>68</v>
      </c>
      <c r="R341" s="25" t="s">
        <v>69</v>
      </c>
      <c r="S341" s="41" t="s">
        <v>137</v>
      </c>
      <c r="T341" s="41"/>
      <c r="U341" s="31" t="s">
        <v>385</v>
      </c>
      <c r="V341" s="25" t="s">
        <v>3</v>
      </c>
      <c r="W341" s="25">
        <v>1</v>
      </c>
      <c r="X341" s="27">
        <v>5000</v>
      </c>
      <c r="Y341" s="1142"/>
      <c r="Z341" s="1143"/>
      <c r="AA341" s="1143"/>
      <c r="AB341" s="1144"/>
      <c r="AC341" s="25">
        <v>30</v>
      </c>
      <c r="AD341" s="25">
        <v>30</v>
      </c>
      <c r="AE341" s="1142"/>
      <c r="AF341" s="1143"/>
      <c r="AG341" s="1143"/>
      <c r="AH341" s="1143"/>
      <c r="AI341" s="1143"/>
      <c r="AJ341" s="1145"/>
      <c r="AK341" s="35">
        <v>10000</v>
      </c>
      <c r="AL341" s="29" t="s">
        <v>73</v>
      </c>
      <c r="AM341" s="29" t="s">
        <v>73</v>
      </c>
      <c r="AN341" s="29" t="s">
        <v>73</v>
      </c>
      <c r="AO341" s="29" t="s">
        <v>73</v>
      </c>
      <c r="AP341" s="30">
        <v>5000</v>
      </c>
      <c r="AQ341" s="30">
        <v>5000</v>
      </c>
      <c r="AR341" s="29" t="s">
        <v>73</v>
      </c>
      <c r="AS341" s="29" t="s">
        <v>73</v>
      </c>
      <c r="AT341" s="29" t="s">
        <v>73</v>
      </c>
      <c r="AU341" s="29" t="s">
        <v>73</v>
      </c>
      <c r="AV341" s="29" t="s">
        <v>73</v>
      </c>
      <c r="AW341" s="29" t="s">
        <v>73</v>
      </c>
      <c r="AX341" s="30">
        <v>10000</v>
      </c>
      <c r="AY341" s="30" t="s">
        <v>6</v>
      </c>
      <c r="AZ341" s="2" t="s">
        <v>74</v>
      </c>
      <c r="BA341" s="2"/>
    </row>
    <row r="342" spans="1:53" ht="51" x14ac:dyDescent="0.25">
      <c r="A342" s="19">
        <v>2026</v>
      </c>
      <c r="B342" s="20">
        <v>479</v>
      </c>
      <c r="C342" s="21" t="s">
        <v>64</v>
      </c>
      <c r="D342" s="21" t="s">
        <v>65</v>
      </c>
      <c r="E342" s="20">
        <v>125</v>
      </c>
      <c r="F342" s="20">
        <v>3000654</v>
      </c>
      <c r="G342" s="20">
        <v>5005023</v>
      </c>
      <c r="H342" s="20">
        <v>3</v>
      </c>
      <c r="I342" s="20">
        <v>12</v>
      </c>
      <c r="J342" s="20">
        <v>24</v>
      </c>
      <c r="K342" s="20">
        <v>135560</v>
      </c>
      <c r="L342" s="21" t="s">
        <v>220</v>
      </c>
      <c r="M342" s="33" t="s">
        <v>221</v>
      </c>
      <c r="N342" s="19">
        <v>97</v>
      </c>
      <c r="O342" s="2"/>
      <c r="P342" s="2" t="s">
        <v>4</v>
      </c>
      <c r="Q342" s="20" t="s">
        <v>68</v>
      </c>
      <c r="R342" s="25" t="s">
        <v>69</v>
      </c>
      <c r="S342" s="41" t="s">
        <v>137</v>
      </c>
      <c r="T342" s="41"/>
      <c r="U342" s="31" t="s">
        <v>386</v>
      </c>
      <c r="V342" s="25" t="s">
        <v>3</v>
      </c>
      <c r="W342" s="25">
        <v>1</v>
      </c>
      <c r="X342" s="27">
        <v>5000</v>
      </c>
      <c r="Y342" s="1142"/>
      <c r="Z342" s="1143"/>
      <c r="AA342" s="1143"/>
      <c r="AB342" s="1144"/>
      <c r="AC342" s="25">
        <v>30</v>
      </c>
      <c r="AD342" s="25">
        <v>30</v>
      </c>
      <c r="AE342" s="1142"/>
      <c r="AF342" s="1143"/>
      <c r="AG342" s="1143"/>
      <c r="AH342" s="1143"/>
      <c r="AI342" s="1143"/>
      <c r="AJ342" s="1145"/>
      <c r="AK342" s="35">
        <v>10000</v>
      </c>
      <c r="AL342" s="29" t="s">
        <v>73</v>
      </c>
      <c r="AM342" s="29" t="s">
        <v>73</v>
      </c>
      <c r="AN342" s="29" t="s">
        <v>73</v>
      </c>
      <c r="AO342" s="29" t="s">
        <v>73</v>
      </c>
      <c r="AP342" s="30">
        <v>5000</v>
      </c>
      <c r="AQ342" s="30">
        <v>5000</v>
      </c>
      <c r="AR342" s="29" t="s">
        <v>73</v>
      </c>
      <c r="AS342" s="29" t="s">
        <v>73</v>
      </c>
      <c r="AT342" s="29" t="s">
        <v>73</v>
      </c>
      <c r="AU342" s="29" t="s">
        <v>73</v>
      </c>
      <c r="AV342" s="29" t="s">
        <v>73</v>
      </c>
      <c r="AW342" s="29" t="s">
        <v>73</v>
      </c>
      <c r="AX342" s="30">
        <v>10000</v>
      </c>
      <c r="AY342" s="30" t="s">
        <v>6</v>
      </c>
      <c r="AZ342" s="2" t="s">
        <v>74</v>
      </c>
      <c r="BA342" s="2"/>
    </row>
    <row r="343" spans="1:53" ht="51" x14ac:dyDescent="0.25">
      <c r="A343" s="19">
        <v>2026</v>
      </c>
      <c r="B343" s="20">
        <v>479</v>
      </c>
      <c r="C343" s="21" t="s">
        <v>64</v>
      </c>
      <c r="D343" s="21" t="s">
        <v>65</v>
      </c>
      <c r="E343" s="20">
        <v>125</v>
      </c>
      <c r="F343" s="20">
        <v>3000654</v>
      </c>
      <c r="G343" s="20">
        <v>5005023</v>
      </c>
      <c r="H343" s="20">
        <v>3</v>
      </c>
      <c r="I343" s="20">
        <v>12</v>
      </c>
      <c r="J343" s="20">
        <v>24</v>
      </c>
      <c r="K343" s="20">
        <v>135560</v>
      </c>
      <c r="L343" s="21" t="s">
        <v>220</v>
      </c>
      <c r="M343" s="33" t="s">
        <v>221</v>
      </c>
      <c r="N343" s="19">
        <v>97</v>
      </c>
      <c r="O343" s="2"/>
      <c r="P343" s="2" t="s">
        <v>4</v>
      </c>
      <c r="Q343" s="20" t="s">
        <v>68</v>
      </c>
      <c r="R343" s="25" t="s">
        <v>69</v>
      </c>
      <c r="S343" s="41" t="s">
        <v>137</v>
      </c>
      <c r="T343" s="41"/>
      <c r="U343" s="31" t="s">
        <v>387</v>
      </c>
      <c r="V343" s="25" t="s">
        <v>3</v>
      </c>
      <c r="W343" s="25">
        <v>1</v>
      </c>
      <c r="X343" s="27">
        <v>5000</v>
      </c>
      <c r="Y343" s="1142"/>
      <c r="Z343" s="1143"/>
      <c r="AA343" s="1143"/>
      <c r="AB343" s="1144"/>
      <c r="AC343" s="25">
        <v>30</v>
      </c>
      <c r="AD343" s="25">
        <v>30</v>
      </c>
      <c r="AE343" s="1142"/>
      <c r="AF343" s="1143"/>
      <c r="AG343" s="1143"/>
      <c r="AH343" s="1143"/>
      <c r="AI343" s="1143"/>
      <c r="AJ343" s="1145"/>
      <c r="AK343" s="35">
        <v>10000</v>
      </c>
      <c r="AL343" s="29" t="s">
        <v>73</v>
      </c>
      <c r="AM343" s="29" t="s">
        <v>73</v>
      </c>
      <c r="AN343" s="29" t="s">
        <v>73</v>
      </c>
      <c r="AO343" s="29" t="s">
        <v>73</v>
      </c>
      <c r="AP343" s="30">
        <v>5000</v>
      </c>
      <c r="AQ343" s="30">
        <v>5000</v>
      </c>
      <c r="AR343" s="29" t="s">
        <v>73</v>
      </c>
      <c r="AS343" s="29" t="s">
        <v>73</v>
      </c>
      <c r="AT343" s="29" t="s">
        <v>73</v>
      </c>
      <c r="AU343" s="29" t="s">
        <v>73</v>
      </c>
      <c r="AV343" s="29" t="s">
        <v>73</v>
      </c>
      <c r="AW343" s="29" t="s">
        <v>73</v>
      </c>
      <c r="AX343" s="30">
        <v>10000</v>
      </c>
      <c r="AY343" s="30" t="s">
        <v>6</v>
      </c>
      <c r="AZ343" s="2" t="s">
        <v>74</v>
      </c>
      <c r="BA343" s="2"/>
    </row>
    <row r="344" spans="1:53" ht="51" x14ac:dyDescent="0.25">
      <c r="A344" s="19">
        <v>2026</v>
      </c>
      <c r="B344" s="20">
        <v>479</v>
      </c>
      <c r="C344" s="21" t="s">
        <v>64</v>
      </c>
      <c r="D344" s="21" t="s">
        <v>65</v>
      </c>
      <c r="E344" s="20">
        <v>125</v>
      </c>
      <c r="F344" s="20">
        <v>3000654</v>
      </c>
      <c r="G344" s="20">
        <v>5005023</v>
      </c>
      <c r="H344" s="20">
        <v>3</v>
      </c>
      <c r="I344" s="20">
        <v>12</v>
      </c>
      <c r="J344" s="20">
        <v>24</v>
      </c>
      <c r="K344" s="20">
        <v>135560</v>
      </c>
      <c r="L344" s="21" t="s">
        <v>220</v>
      </c>
      <c r="M344" s="33" t="s">
        <v>221</v>
      </c>
      <c r="N344" s="19">
        <v>97</v>
      </c>
      <c r="O344" s="2"/>
      <c r="P344" s="2" t="s">
        <v>4</v>
      </c>
      <c r="Q344" s="20" t="s">
        <v>68</v>
      </c>
      <c r="R344" s="25" t="s">
        <v>69</v>
      </c>
      <c r="S344" s="41" t="s">
        <v>137</v>
      </c>
      <c r="T344" s="41"/>
      <c r="U344" s="31" t="s">
        <v>388</v>
      </c>
      <c r="V344" s="25" t="s">
        <v>3</v>
      </c>
      <c r="W344" s="25">
        <v>1</v>
      </c>
      <c r="X344" s="27">
        <v>5000</v>
      </c>
      <c r="Y344" s="1142"/>
      <c r="Z344" s="1143"/>
      <c r="AA344" s="1143"/>
      <c r="AB344" s="1144"/>
      <c r="AC344" s="25">
        <v>30</v>
      </c>
      <c r="AD344" s="25">
        <v>30</v>
      </c>
      <c r="AE344" s="1142"/>
      <c r="AF344" s="1143"/>
      <c r="AG344" s="1143"/>
      <c r="AH344" s="1143"/>
      <c r="AI344" s="1143"/>
      <c r="AJ344" s="1145"/>
      <c r="AK344" s="35">
        <v>10000</v>
      </c>
      <c r="AL344" s="29" t="s">
        <v>73</v>
      </c>
      <c r="AM344" s="29" t="s">
        <v>73</v>
      </c>
      <c r="AN344" s="29" t="s">
        <v>73</v>
      </c>
      <c r="AO344" s="29" t="s">
        <v>73</v>
      </c>
      <c r="AP344" s="30">
        <v>5000</v>
      </c>
      <c r="AQ344" s="30">
        <v>5000</v>
      </c>
      <c r="AR344" s="29" t="s">
        <v>73</v>
      </c>
      <c r="AS344" s="29" t="s">
        <v>73</v>
      </c>
      <c r="AT344" s="29" t="s">
        <v>73</v>
      </c>
      <c r="AU344" s="29" t="s">
        <v>73</v>
      </c>
      <c r="AV344" s="29" t="s">
        <v>73</v>
      </c>
      <c r="AW344" s="29" t="s">
        <v>73</v>
      </c>
      <c r="AX344" s="30">
        <v>10000</v>
      </c>
      <c r="AY344" s="30" t="s">
        <v>6</v>
      </c>
      <c r="AZ344" s="2" t="s">
        <v>74</v>
      </c>
      <c r="BA344" s="2"/>
    </row>
    <row r="345" spans="1:53" ht="51" x14ac:dyDescent="0.25">
      <c r="A345" s="19">
        <v>2026</v>
      </c>
      <c r="B345" s="20">
        <v>479</v>
      </c>
      <c r="C345" s="21" t="s">
        <v>64</v>
      </c>
      <c r="D345" s="21" t="s">
        <v>65</v>
      </c>
      <c r="E345" s="20">
        <v>125</v>
      </c>
      <c r="F345" s="20">
        <v>3000654</v>
      </c>
      <c r="G345" s="20">
        <v>5005023</v>
      </c>
      <c r="H345" s="20">
        <v>3</v>
      </c>
      <c r="I345" s="20">
        <v>12</v>
      </c>
      <c r="J345" s="20">
        <v>24</v>
      </c>
      <c r="K345" s="20">
        <v>135560</v>
      </c>
      <c r="L345" s="21" t="s">
        <v>220</v>
      </c>
      <c r="M345" s="33" t="s">
        <v>221</v>
      </c>
      <c r="N345" s="19">
        <v>97</v>
      </c>
      <c r="O345" s="2"/>
      <c r="P345" s="2" t="s">
        <v>4</v>
      </c>
      <c r="Q345" s="20" t="s">
        <v>68</v>
      </c>
      <c r="R345" s="25" t="s">
        <v>69</v>
      </c>
      <c r="S345" s="41" t="s">
        <v>137</v>
      </c>
      <c r="T345" s="41"/>
      <c r="U345" s="31" t="s">
        <v>389</v>
      </c>
      <c r="V345" s="25" t="s">
        <v>3</v>
      </c>
      <c r="W345" s="25">
        <v>2</v>
      </c>
      <c r="X345" s="27">
        <v>5000</v>
      </c>
      <c r="Y345" s="1142"/>
      <c r="Z345" s="1143"/>
      <c r="AA345" s="1143"/>
      <c r="AB345" s="1144"/>
      <c r="AC345" s="25">
        <v>30</v>
      </c>
      <c r="AD345" s="25">
        <v>30</v>
      </c>
      <c r="AE345" s="1142"/>
      <c r="AF345" s="1143"/>
      <c r="AG345" s="1143"/>
      <c r="AH345" s="1143"/>
      <c r="AI345" s="1143"/>
      <c r="AJ345" s="1145"/>
      <c r="AK345" s="35">
        <v>20000</v>
      </c>
      <c r="AL345" s="29" t="s">
        <v>73</v>
      </c>
      <c r="AM345" s="29" t="s">
        <v>73</v>
      </c>
      <c r="AN345" s="29" t="s">
        <v>73</v>
      </c>
      <c r="AO345" s="29" t="s">
        <v>73</v>
      </c>
      <c r="AP345" s="30">
        <v>10000</v>
      </c>
      <c r="AQ345" s="30">
        <v>10000</v>
      </c>
      <c r="AR345" s="29" t="s">
        <v>73</v>
      </c>
      <c r="AS345" s="29" t="s">
        <v>73</v>
      </c>
      <c r="AT345" s="29" t="s">
        <v>73</v>
      </c>
      <c r="AU345" s="29" t="s">
        <v>73</v>
      </c>
      <c r="AV345" s="29" t="s">
        <v>73</v>
      </c>
      <c r="AW345" s="29" t="s">
        <v>73</v>
      </c>
      <c r="AX345" s="30">
        <v>20000</v>
      </c>
      <c r="AY345" s="30" t="s">
        <v>6</v>
      </c>
      <c r="AZ345" s="2" t="s">
        <v>74</v>
      </c>
      <c r="BA345" s="2"/>
    </row>
    <row r="346" spans="1:53" ht="51" x14ac:dyDescent="0.25">
      <c r="A346" s="19">
        <v>2026</v>
      </c>
      <c r="B346" s="20">
        <v>479</v>
      </c>
      <c r="C346" s="21" t="s">
        <v>64</v>
      </c>
      <c r="D346" s="21" t="s">
        <v>65</v>
      </c>
      <c r="E346" s="20">
        <v>125</v>
      </c>
      <c r="F346" s="20">
        <v>3000654</v>
      </c>
      <c r="G346" s="20">
        <v>5005023</v>
      </c>
      <c r="H346" s="20">
        <v>3</v>
      </c>
      <c r="I346" s="20">
        <v>12</v>
      </c>
      <c r="J346" s="20">
        <v>24</v>
      </c>
      <c r="K346" s="20">
        <v>135560</v>
      </c>
      <c r="L346" s="21" t="s">
        <v>220</v>
      </c>
      <c r="M346" s="33" t="s">
        <v>221</v>
      </c>
      <c r="N346" s="19">
        <v>97</v>
      </c>
      <c r="O346" s="2"/>
      <c r="P346" s="2" t="s">
        <v>4</v>
      </c>
      <c r="Q346" s="20" t="s">
        <v>68</v>
      </c>
      <c r="R346" s="25" t="s">
        <v>69</v>
      </c>
      <c r="S346" s="41" t="s">
        <v>137</v>
      </c>
      <c r="T346" s="41"/>
      <c r="U346" s="31" t="s">
        <v>390</v>
      </c>
      <c r="V346" s="25" t="s">
        <v>3</v>
      </c>
      <c r="W346" s="25">
        <v>2</v>
      </c>
      <c r="X346" s="27">
        <v>5000</v>
      </c>
      <c r="Y346" s="1142"/>
      <c r="Z346" s="1143"/>
      <c r="AA346" s="1143"/>
      <c r="AB346" s="1144"/>
      <c r="AC346" s="25">
        <v>30</v>
      </c>
      <c r="AD346" s="25">
        <v>30</v>
      </c>
      <c r="AE346" s="1142"/>
      <c r="AF346" s="1143"/>
      <c r="AG346" s="1143"/>
      <c r="AH346" s="1143"/>
      <c r="AI346" s="1143"/>
      <c r="AJ346" s="1145"/>
      <c r="AK346" s="35">
        <v>20000</v>
      </c>
      <c r="AL346" s="29" t="s">
        <v>73</v>
      </c>
      <c r="AM346" s="29" t="s">
        <v>73</v>
      </c>
      <c r="AN346" s="29" t="s">
        <v>73</v>
      </c>
      <c r="AO346" s="29" t="s">
        <v>73</v>
      </c>
      <c r="AP346" s="30">
        <v>10000</v>
      </c>
      <c r="AQ346" s="30">
        <v>10000</v>
      </c>
      <c r="AR346" s="29" t="s">
        <v>73</v>
      </c>
      <c r="AS346" s="29" t="s">
        <v>73</v>
      </c>
      <c r="AT346" s="29" t="s">
        <v>73</v>
      </c>
      <c r="AU346" s="29" t="s">
        <v>73</v>
      </c>
      <c r="AV346" s="29" t="s">
        <v>73</v>
      </c>
      <c r="AW346" s="29" t="s">
        <v>73</v>
      </c>
      <c r="AX346" s="30">
        <v>20000</v>
      </c>
      <c r="AY346" s="30" t="s">
        <v>6</v>
      </c>
      <c r="AZ346" s="2" t="s">
        <v>74</v>
      </c>
      <c r="BA346" s="2"/>
    </row>
    <row r="347" spans="1:53" ht="51" x14ac:dyDescent="0.25">
      <c r="A347" s="19">
        <v>2026</v>
      </c>
      <c r="B347" s="20">
        <v>479</v>
      </c>
      <c r="C347" s="21" t="s">
        <v>64</v>
      </c>
      <c r="D347" s="21" t="s">
        <v>65</v>
      </c>
      <c r="E347" s="20">
        <v>125</v>
      </c>
      <c r="F347" s="20">
        <v>3000654</v>
      </c>
      <c r="G347" s="20">
        <v>5005023</v>
      </c>
      <c r="H347" s="20">
        <v>3</v>
      </c>
      <c r="I347" s="20">
        <v>12</v>
      </c>
      <c r="J347" s="20">
        <v>24</v>
      </c>
      <c r="K347" s="20">
        <v>135560</v>
      </c>
      <c r="L347" s="21" t="s">
        <v>220</v>
      </c>
      <c r="M347" s="33" t="s">
        <v>221</v>
      </c>
      <c r="N347" s="19">
        <v>97</v>
      </c>
      <c r="O347" s="2"/>
      <c r="P347" s="2" t="s">
        <v>4</v>
      </c>
      <c r="Q347" s="20" t="s">
        <v>68</v>
      </c>
      <c r="R347" s="25" t="s">
        <v>69</v>
      </c>
      <c r="S347" s="41" t="s">
        <v>137</v>
      </c>
      <c r="T347" s="41"/>
      <c r="U347" s="31" t="s">
        <v>391</v>
      </c>
      <c r="V347" s="25" t="s">
        <v>3</v>
      </c>
      <c r="W347" s="25">
        <v>2</v>
      </c>
      <c r="X347" s="27">
        <v>5000</v>
      </c>
      <c r="Y347" s="1142"/>
      <c r="Z347" s="1143"/>
      <c r="AA347" s="1143"/>
      <c r="AB347" s="1144"/>
      <c r="AC347" s="25">
        <v>30</v>
      </c>
      <c r="AD347" s="25">
        <v>30</v>
      </c>
      <c r="AE347" s="1142"/>
      <c r="AF347" s="1143"/>
      <c r="AG347" s="1143"/>
      <c r="AH347" s="1143"/>
      <c r="AI347" s="1143"/>
      <c r="AJ347" s="1145"/>
      <c r="AK347" s="35">
        <v>20000</v>
      </c>
      <c r="AL347" s="29" t="s">
        <v>73</v>
      </c>
      <c r="AM347" s="29" t="s">
        <v>73</v>
      </c>
      <c r="AN347" s="29" t="s">
        <v>73</v>
      </c>
      <c r="AO347" s="29" t="s">
        <v>73</v>
      </c>
      <c r="AP347" s="30">
        <v>10000</v>
      </c>
      <c r="AQ347" s="30">
        <v>10000</v>
      </c>
      <c r="AR347" s="29" t="s">
        <v>73</v>
      </c>
      <c r="AS347" s="29" t="s">
        <v>73</v>
      </c>
      <c r="AT347" s="29" t="s">
        <v>73</v>
      </c>
      <c r="AU347" s="29" t="s">
        <v>73</v>
      </c>
      <c r="AV347" s="29" t="s">
        <v>73</v>
      </c>
      <c r="AW347" s="29" t="s">
        <v>73</v>
      </c>
      <c r="AX347" s="30">
        <v>20000</v>
      </c>
      <c r="AY347" s="30" t="s">
        <v>6</v>
      </c>
      <c r="AZ347" s="2" t="s">
        <v>74</v>
      </c>
      <c r="BA347" s="2"/>
    </row>
    <row r="348" spans="1:53" ht="51" x14ac:dyDescent="0.25">
      <c r="A348" s="19">
        <v>2026</v>
      </c>
      <c r="B348" s="20">
        <v>479</v>
      </c>
      <c r="C348" s="21" t="s">
        <v>64</v>
      </c>
      <c r="D348" s="21" t="s">
        <v>65</v>
      </c>
      <c r="E348" s="20">
        <v>125</v>
      </c>
      <c r="F348" s="20">
        <v>3000654</v>
      </c>
      <c r="G348" s="20">
        <v>5005023</v>
      </c>
      <c r="H348" s="20">
        <v>3</v>
      </c>
      <c r="I348" s="20">
        <v>12</v>
      </c>
      <c r="J348" s="20">
        <v>24</v>
      </c>
      <c r="K348" s="20">
        <v>135560</v>
      </c>
      <c r="L348" s="21" t="s">
        <v>220</v>
      </c>
      <c r="M348" s="33" t="s">
        <v>221</v>
      </c>
      <c r="N348" s="19">
        <v>97</v>
      </c>
      <c r="O348" s="2"/>
      <c r="P348" s="2" t="s">
        <v>4</v>
      </c>
      <c r="Q348" s="20" t="s">
        <v>68</v>
      </c>
      <c r="R348" s="25" t="s">
        <v>69</v>
      </c>
      <c r="S348" s="41" t="s">
        <v>137</v>
      </c>
      <c r="T348" s="41"/>
      <c r="U348" s="31" t="s">
        <v>392</v>
      </c>
      <c r="V348" s="25" t="s">
        <v>3</v>
      </c>
      <c r="W348" s="25">
        <v>1</v>
      </c>
      <c r="X348" s="27">
        <v>5000</v>
      </c>
      <c r="Y348" s="1142"/>
      <c r="Z348" s="1143"/>
      <c r="AA348" s="1143"/>
      <c r="AB348" s="1144"/>
      <c r="AC348" s="25">
        <v>30</v>
      </c>
      <c r="AD348" s="25">
        <v>30</v>
      </c>
      <c r="AE348" s="1142"/>
      <c r="AF348" s="1143"/>
      <c r="AG348" s="1143"/>
      <c r="AH348" s="1143"/>
      <c r="AI348" s="1143"/>
      <c r="AJ348" s="1145"/>
      <c r="AK348" s="35">
        <v>10000</v>
      </c>
      <c r="AL348" s="29" t="s">
        <v>73</v>
      </c>
      <c r="AM348" s="29" t="s">
        <v>73</v>
      </c>
      <c r="AN348" s="29" t="s">
        <v>73</v>
      </c>
      <c r="AO348" s="29" t="s">
        <v>73</v>
      </c>
      <c r="AP348" s="30">
        <v>5000</v>
      </c>
      <c r="AQ348" s="30">
        <v>5000</v>
      </c>
      <c r="AR348" s="29" t="s">
        <v>73</v>
      </c>
      <c r="AS348" s="29" t="s">
        <v>73</v>
      </c>
      <c r="AT348" s="29" t="s">
        <v>73</v>
      </c>
      <c r="AU348" s="29" t="s">
        <v>73</v>
      </c>
      <c r="AV348" s="29" t="s">
        <v>73</v>
      </c>
      <c r="AW348" s="29" t="s">
        <v>73</v>
      </c>
      <c r="AX348" s="30">
        <v>10000</v>
      </c>
      <c r="AY348" s="30" t="s">
        <v>6</v>
      </c>
      <c r="AZ348" s="2" t="s">
        <v>74</v>
      </c>
      <c r="BA348" s="2"/>
    </row>
    <row r="349" spans="1:53" ht="51" x14ac:dyDescent="0.25">
      <c r="A349" s="19">
        <v>2026</v>
      </c>
      <c r="B349" s="20">
        <v>479</v>
      </c>
      <c r="C349" s="21" t="s">
        <v>64</v>
      </c>
      <c r="D349" s="21" t="s">
        <v>65</v>
      </c>
      <c r="E349" s="20">
        <v>125</v>
      </c>
      <c r="F349" s="20">
        <v>3000654</v>
      </c>
      <c r="G349" s="20">
        <v>5005023</v>
      </c>
      <c r="H349" s="20">
        <v>3</v>
      </c>
      <c r="I349" s="20">
        <v>12</v>
      </c>
      <c r="J349" s="20">
        <v>24</v>
      </c>
      <c r="K349" s="20">
        <v>135560</v>
      </c>
      <c r="L349" s="21" t="s">
        <v>220</v>
      </c>
      <c r="M349" s="33" t="s">
        <v>221</v>
      </c>
      <c r="N349" s="19">
        <v>97</v>
      </c>
      <c r="O349" s="2"/>
      <c r="P349" s="2" t="s">
        <v>4</v>
      </c>
      <c r="Q349" s="20" t="s">
        <v>68</v>
      </c>
      <c r="R349" s="25" t="s">
        <v>69</v>
      </c>
      <c r="S349" s="41" t="s">
        <v>137</v>
      </c>
      <c r="T349" s="41"/>
      <c r="U349" s="31" t="s">
        <v>393</v>
      </c>
      <c r="V349" s="25" t="s">
        <v>3</v>
      </c>
      <c r="W349" s="25">
        <v>1</v>
      </c>
      <c r="X349" s="27">
        <v>5000</v>
      </c>
      <c r="Y349" s="1142"/>
      <c r="Z349" s="1143"/>
      <c r="AA349" s="1143"/>
      <c r="AB349" s="1144"/>
      <c r="AC349" s="25">
        <v>30</v>
      </c>
      <c r="AD349" s="25">
        <v>30</v>
      </c>
      <c r="AE349" s="1142"/>
      <c r="AF349" s="1143"/>
      <c r="AG349" s="1143"/>
      <c r="AH349" s="1143"/>
      <c r="AI349" s="1143"/>
      <c r="AJ349" s="1145"/>
      <c r="AK349" s="35">
        <v>10000</v>
      </c>
      <c r="AL349" s="29" t="s">
        <v>73</v>
      </c>
      <c r="AM349" s="29" t="s">
        <v>73</v>
      </c>
      <c r="AN349" s="29" t="s">
        <v>73</v>
      </c>
      <c r="AO349" s="29" t="s">
        <v>73</v>
      </c>
      <c r="AP349" s="30">
        <v>5000</v>
      </c>
      <c r="AQ349" s="30">
        <v>5000</v>
      </c>
      <c r="AR349" s="29" t="s">
        <v>73</v>
      </c>
      <c r="AS349" s="29" t="s">
        <v>73</v>
      </c>
      <c r="AT349" s="29" t="s">
        <v>73</v>
      </c>
      <c r="AU349" s="29" t="s">
        <v>73</v>
      </c>
      <c r="AV349" s="29" t="s">
        <v>73</v>
      </c>
      <c r="AW349" s="29" t="s">
        <v>73</v>
      </c>
      <c r="AX349" s="30">
        <v>10000</v>
      </c>
      <c r="AY349" s="30" t="s">
        <v>6</v>
      </c>
      <c r="AZ349" s="2" t="s">
        <v>74</v>
      </c>
      <c r="BA349" s="2"/>
    </row>
    <row r="350" spans="1:53" ht="51" x14ac:dyDescent="0.25">
      <c r="A350" s="19">
        <v>2026</v>
      </c>
      <c r="B350" s="20">
        <v>479</v>
      </c>
      <c r="C350" s="21" t="s">
        <v>64</v>
      </c>
      <c r="D350" s="21" t="s">
        <v>65</v>
      </c>
      <c r="E350" s="20">
        <v>125</v>
      </c>
      <c r="F350" s="20">
        <v>3000654</v>
      </c>
      <c r="G350" s="20">
        <v>5005023</v>
      </c>
      <c r="H350" s="20">
        <v>3</v>
      </c>
      <c r="I350" s="20">
        <v>12</v>
      </c>
      <c r="J350" s="20">
        <v>24</v>
      </c>
      <c r="K350" s="20">
        <v>135560</v>
      </c>
      <c r="L350" s="21" t="s">
        <v>220</v>
      </c>
      <c r="M350" s="33" t="s">
        <v>221</v>
      </c>
      <c r="N350" s="19">
        <v>97</v>
      </c>
      <c r="O350" s="2"/>
      <c r="P350" s="2" t="s">
        <v>4</v>
      </c>
      <c r="Q350" s="20" t="s">
        <v>68</v>
      </c>
      <c r="R350" s="25" t="s">
        <v>69</v>
      </c>
      <c r="S350" s="41" t="s">
        <v>137</v>
      </c>
      <c r="T350" s="41"/>
      <c r="U350" s="31" t="s">
        <v>394</v>
      </c>
      <c r="V350" s="25" t="s">
        <v>3</v>
      </c>
      <c r="W350" s="25">
        <v>2</v>
      </c>
      <c r="X350" s="27">
        <v>5000</v>
      </c>
      <c r="Y350" s="1142"/>
      <c r="Z350" s="1143"/>
      <c r="AA350" s="1143"/>
      <c r="AB350" s="1144"/>
      <c r="AC350" s="25">
        <v>30</v>
      </c>
      <c r="AD350" s="25">
        <v>30</v>
      </c>
      <c r="AE350" s="1142"/>
      <c r="AF350" s="1143"/>
      <c r="AG350" s="1143"/>
      <c r="AH350" s="1143"/>
      <c r="AI350" s="1143"/>
      <c r="AJ350" s="1145"/>
      <c r="AK350" s="35">
        <v>20000</v>
      </c>
      <c r="AL350" s="29" t="s">
        <v>73</v>
      </c>
      <c r="AM350" s="29" t="s">
        <v>73</v>
      </c>
      <c r="AN350" s="29" t="s">
        <v>73</v>
      </c>
      <c r="AO350" s="29" t="s">
        <v>73</v>
      </c>
      <c r="AP350" s="30">
        <v>10000</v>
      </c>
      <c r="AQ350" s="30">
        <v>10000</v>
      </c>
      <c r="AR350" s="29" t="s">
        <v>73</v>
      </c>
      <c r="AS350" s="29" t="s">
        <v>73</v>
      </c>
      <c r="AT350" s="29" t="s">
        <v>73</v>
      </c>
      <c r="AU350" s="29" t="s">
        <v>73</v>
      </c>
      <c r="AV350" s="29" t="s">
        <v>73</v>
      </c>
      <c r="AW350" s="29" t="s">
        <v>73</v>
      </c>
      <c r="AX350" s="30">
        <v>20000</v>
      </c>
      <c r="AY350" s="30" t="s">
        <v>6</v>
      </c>
      <c r="AZ350" s="2" t="s">
        <v>74</v>
      </c>
      <c r="BA350" s="2"/>
    </row>
    <row r="351" spans="1:53" ht="51" x14ac:dyDescent="0.25">
      <c r="A351" s="19">
        <v>2026</v>
      </c>
      <c r="B351" s="20">
        <v>479</v>
      </c>
      <c r="C351" s="21" t="s">
        <v>64</v>
      </c>
      <c r="D351" s="21" t="s">
        <v>65</v>
      </c>
      <c r="E351" s="20">
        <v>125</v>
      </c>
      <c r="F351" s="20">
        <v>3000654</v>
      </c>
      <c r="G351" s="20">
        <v>5005023</v>
      </c>
      <c r="H351" s="20">
        <v>3</v>
      </c>
      <c r="I351" s="20">
        <v>12</v>
      </c>
      <c r="J351" s="20">
        <v>24</v>
      </c>
      <c r="K351" s="20">
        <v>135560</v>
      </c>
      <c r="L351" s="21" t="s">
        <v>220</v>
      </c>
      <c r="M351" s="33" t="s">
        <v>221</v>
      </c>
      <c r="N351" s="19">
        <v>97</v>
      </c>
      <c r="O351" s="2"/>
      <c r="P351" s="2" t="s">
        <v>4</v>
      </c>
      <c r="Q351" s="20" t="s">
        <v>68</v>
      </c>
      <c r="R351" s="25" t="s">
        <v>69</v>
      </c>
      <c r="S351" s="41" t="s">
        <v>137</v>
      </c>
      <c r="T351" s="41"/>
      <c r="U351" s="31" t="s">
        <v>395</v>
      </c>
      <c r="V351" s="25" t="s">
        <v>3</v>
      </c>
      <c r="W351" s="25">
        <v>2</v>
      </c>
      <c r="X351" s="27">
        <v>5000</v>
      </c>
      <c r="Y351" s="1142"/>
      <c r="Z351" s="1143"/>
      <c r="AA351" s="1143"/>
      <c r="AB351" s="1144"/>
      <c r="AC351" s="25">
        <v>30</v>
      </c>
      <c r="AD351" s="25">
        <v>30</v>
      </c>
      <c r="AE351" s="1142"/>
      <c r="AF351" s="1143"/>
      <c r="AG351" s="1143"/>
      <c r="AH351" s="1143"/>
      <c r="AI351" s="1143"/>
      <c r="AJ351" s="1145"/>
      <c r="AK351" s="35">
        <v>20000</v>
      </c>
      <c r="AL351" s="29" t="s">
        <v>73</v>
      </c>
      <c r="AM351" s="29" t="s">
        <v>73</v>
      </c>
      <c r="AN351" s="29" t="s">
        <v>73</v>
      </c>
      <c r="AO351" s="29" t="s">
        <v>73</v>
      </c>
      <c r="AP351" s="30">
        <v>10000</v>
      </c>
      <c r="AQ351" s="30">
        <v>10000</v>
      </c>
      <c r="AR351" s="29" t="s">
        <v>73</v>
      </c>
      <c r="AS351" s="29" t="s">
        <v>73</v>
      </c>
      <c r="AT351" s="29" t="s">
        <v>73</v>
      </c>
      <c r="AU351" s="29" t="s">
        <v>73</v>
      </c>
      <c r="AV351" s="29" t="s">
        <v>73</v>
      </c>
      <c r="AW351" s="29" t="s">
        <v>73</v>
      </c>
      <c r="AX351" s="30">
        <v>20000</v>
      </c>
      <c r="AY351" s="30" t="s">
        <v>6</v>
      </c>
      <c r="AZ351" s="2" t="s">
        <v>74</v>
      </c>
      <c r="BA351" s="2"/>
    </row>
    <row r="352" spans="1:53" ht="51" x14ac:dyDescent="0.25">
      <c r="A352" s="19">
        <v>2026</v>
      </c>
      <c r="B352" s="20">
        <v>479</v>
      </c>
      <c r="C352" s="21" t="s">
        <v>64</v>
      </c>
      <c r="D352" s="21" t="s">
        <v>65</v>
      </c>
      <c r="E352" s="20">
        <v>125</v>
      </c>
      <c r="F352" s="20">
        <v>3000654</v>
      </c>
      <c r="G352" s="20">
        <v>5005023</v>
      </c>
      <c r="H352" s="20">
        <v>3</v>
      </c>
      <c r="I352" s="20">
        <v>12</v>
      </c>
      <c r="J352" s="20">
        <v>24</v>
      </c>
      <c r="K352" s="20">
        <v>135560</v>
      </c>
      <c r="L352" s="21" t="s">
        <v>220</v>
      </c>
      <c r="M352" s="33" t="s">
        <v>221</v>
      </c>
      <c r="N352" s="19">
        <v>97</v>
      </c>
      <c r="O352" s="2"/>
      <c r="P352" s="2" t="s">
        <v>4</v>
      </c>
      <c r="Q352" s="20" t="s">
        <v>68</v>
      </c>
      <c r="R352" s="25" t="s">
        <v>69</v>
      </c>
      <c r="S352" s="41" t="s">
        <v>137</v>
      </c>
      <c r="T352" s="41"/>
      <c r="U352" s="31" t="s">
        <v>396</v>
      </c>
      <c r="V352" s="25" t="s">
        <v>3</v>
      </c>
      <c r="W352" s="25">
        <v>2</v>
      </c>
      <c r="X352" s="27">
        <v>5000</v>
      </c>
      <c r="Y352" s="1142"/>
      <c r="Z352" s="1143"/>
      <c r="AA352" s="1143"/>
      <c r="AB352" s="1144"/>
      <c r="AC352" s="25">
        <v>30</v>
      </c>
      <c r="AD352" s="25">
        <v>30</v>
      </c>
      <c r="AE352" s="1142"/>
      <c r="AF352" s="1143"/>
      <c r="AG352" s="1143"/>
      <c r="AH352" s="1143"/>
      <c r="AI352" s="1143"/>
      <c r="AJ352" s="1145"/>
      <c r="AK352" s="35">
        <v>20000</v>
      </c>
      <c r="AL352" s="29" t="s">
        <v>73</v>
      </c>
      <c r="AM352" s="29" t="s">
        <v>73</v>
      </c>
      <c r="AN352" s="29" t="s">
        <v>73</v>
      </c>
      <c r="AO352" s="29" t="s">
        <v>73</v>
      </c>
      <c r="AP352" s="30">
        <v>10000</v>
      </c>
      <c r="AQ352" s="30">
        <v>10000</v>
      </c>
      <c r="AR352" s="29" t="s">
        <v>73</v>
      </c>
      <c r="AS352" s="29" t="s">
        <v>73</v>
      </c>
      <c r="AT352" s="29" t="s">
        <v>73</v>
      </c>
      <c r="AU352" s="29" t="s">
        <v>73</v>
      </c>
      <c r="AV352" s="29" t="s">
        <v>73</v>
      </c>
      <c r="AW352" s="29" t="s">
        <v>73</v>
      </c>
      <c r="AX352" s="30">
        <v>20000</v>
      </c>
      <c r="AY352" s="30" t="s">
        <v>6</v>
      </c>
      <c r="AZ352" s="2" t="s">
        <v>74</v>
      </c>
      <c r="BA352" s="2"/>
    </row>
    <row r="353" spans="1:53" ht="51" x14ac:dyDescent="0.25">
      <c r="A353" s="19">
        <v>2026</v>
      </c>
      <c r="B353" s="20">
        <v>479</v>
      </c>
      <c r="C353" s="21" t="s">
        <v>64</v>
      </c>
      <c r="D353" s="21" t="s">
        <v>65</v>
      </c>
      <c r="E353" s="20">
        <v>125</v>
      </c>
      <c r="F353" s="20">
        <v>3000654</v>
      </c>
      <c r="G353" s="20">
        <v>5005023</v>
      </c>
      <c r="H353" s="20">
        <v>3</v>
      </c>
      <c r="I353" s="20">
        <v>12</v>
      </c>
      <c r="J353" s="20">
        <v>24</v>
      </c>
      <c r="K353" s="20">
        <v>135560</v>
      </c>
      <c r="L353" s="21" t="s">
        <v>220</v>
      </c>
      <c r="M353" s="33" t="s">
        <v>221</v>
      </c>
      <c r="N353" s="19">
        <v>97</v>
      </c>
      <c r="O353" s="2"/>
      <c r="P353" s="2" t="s">
        <v>4</v>
      </c>
      <c r="Q353" s="20" t="s">
        <v>68</v>
      </c>
      <c r="R353" s="25" t="s">
        <v>69</v>
      </c>
      <c r="S353" s="41" t="s">
        <v>137</v>
      </c>
      <c r="T353" s="41"/>
      <c r="U353" s="31" t="s">
        <v>397</v>
      </c>
      <c r="V353" s="25" t="s">
        <v>3</v>
      </c>
      <c r="W353" s="25">
        <v>1</v>
      </c>
      <c r="X353" s="27">
        <v>5000</v>
      </c>
      <c r="Y353" s="1142"/>
      <c r="Z353" s="1143"/>
      <c r="AA353" s="1143"/>
      <c r="AB353" s="1144"/>
      <c r="AC353" s="25">
        <v>30</v>
      </c>
      <c r="AD353" s="25">
        <v>30</v>
      </c>
      <c r="AE353" s="1142"/>
      <c r="AF353" s="1143"/>
      <c r="AG353" s="1143"/>
      <c r="AH353" s="1143"/>
      <c r="AI353" s="1143"/>
      <c r="AJ353" s="1145"/>
      <c r="AK353" s="35">
        <v>10000</v>
      </c>
      <c r="AL353" s="29" t="s">
        <v>73</v>
      </c>
      <c r="AM353" s="29" t="s">
        <v>73</v>
      </c>
      <c r="AN353" s="29" t="s">
        <v>73</v>
      </c>
      <c r="AO353" s="29" t="s">
        <v>73</v>
      </c>
      <c r="AP353" s="30">
        <v>5000</v>
      </c>
      <c r="AQ353" s="30">
        <v>5000</v>
      </c>
      <c r="AR353" s="29" t="s">
        <v>73</v>
      </c>
      <c r="AS353" s="29" t="s">
        <v>73</v>
      </c>
      <c r="AT353" s="29" t="s">
        <v>73</v>
      </c>
      <c r="AU353" s="29" t="s">
        <v>73</v>
      </c>
      <c r="AV353" s="29" t="s">
        <v>73</v>
      </c>
      <c r="AW353" s="29" t="s">
        <v>73</v>
      </c>
      <c r="AX353" s="30">
        <v>10000</v>
      </c>
      <c r="AY353" s="30" t="s">
        <v>6</v>
      </c>
      <c r="AZ353" s="2" t="s">
        <v>74</v>
      </c>
      <c r="BA353" s="2"/>
    </row>
    <row r="354" spans="1:53" ht="51" x14ac:dyDescent="0.25">
      <c r="A354" s="19">
        <v>2026</v>
      </c>
      <c r="B354" s="20">
        <v>479</v>
      </c>
      <c r="C354" s="21" t="s">
        <v>64</v>
      </c>
      <c r="D354" s="21" t="s">
        <v>65</v>
      </c>
      <c r="E354" s="20">
        <v>125</v>
      </c>
      <c r="F354" s="20">
        <v>3000654</v>
      </c>
      <c r="G354" s="20">
        <v>5005023</v>
      </c>
      <c r="H354" s="20">
        <v>3</v>
      </c>
      <c r="I354" s="20">
        <v>12</v>
      </c>
      <c r="J354" s="20">
        <v>24</v>
      </c>
      <c r="K354" s="20">
        <v>135560</v>
      </c>
      <c r="L354" s="21" t="s">
        <v>98</v>
      </c>
      <c r="M354" s="33" t="s">
        <v>99</v>
      </c>
      <c r="N354" s="19">
        <v>94</v>
      </c>
      <c r="O354" s="2"/>
      <c r="P354" s="2" t="s">
        <v>4</v>
      </c>
      <c r="Q354" s="20" t="s">
        <v>68</v>
      </c>
      <c r="R354" s="25" t="s">
        <v>69</v>
      </c>
      <c r="S354" s="41" t="s">
        <v>137</v>
      </c>
      <c r="T354" s="41"/>
      <c r="U354" s="31" t="s">
        <v>226</v>
      </c>
      <c r="V354" s="25" t="s">
        <v>3</v>
      </c>
      <c r="W354" s="25">
        <v>1</v>
      </c>
      <c r="X354" s="27">
        <v>6000</v>
      </c>
      <c r="Y354" s="1142"/>
      <c r="Z354" s="1143"/>
      <c r="AA354" s="1143"/>
      <c r="AB354" s="1144"/>
      <c r="AC354" s="25">
        <v>30</v>
      </c>
      <c r="AD354" s="25"/>
      <c r="AE354" s="1142"/>
      <c r="AF354" s="1143"/>
      <c r="AG354" s="1143"/>
      <c r="AH354" s="1143"/>
      <c r="AI354" s="1143"/>
      <c r="AJ354" s="1145"/>
      <c r="AK354" s="35">
        <v>6000</v>
      </c>
      <c r="AL354" s="29" t="s">
        <v>73</v>
      </c>
      <c r="AM354" s="29" t="s">
        <v>73</v>
      </c>
      <c r="AN354" s="29" t="s">
        <v>73</v>
      </c>
      <c r="AO354" s="29" t="s">
        <v>73</v>
      </c>
      <c r="AP354" s="30">
        <v>6000</v>
      </c>
      <c r="AQ354" s="29" t="s">
        <v>73</v>
      </c>
      <c r="AR354" s="29" t="s">
        <v>73</v>
      </c>
      <c r="AS354" s="29" t="s">
        <v>73</v>
      </c>
      <c r="AT354" s="29" t="s">
        <v>73</v>
      </c>
      <c r="AU354" s="29" t="s">
        <v>73</v>
      </c>
      <c r="AV354" s="29" t="s">
        <v>73</v>
      </c>
      <c r="AW354" s="29" t="s">
        <v>73</v>
      </c>
      <c r="AX354" s="30">
        <v>6000</v>
      </c>
      <c r="AY354" s="18" t="s">
        <v>6</v>
      </c>
      <c r="AZ354" s="2" t="s">
        <v>74</v>
      </c>
      <c r="BA354" s="2"/>
    </row>
    <row r="355" spans="1:53" ht="51" x14ac:dyDescent="0.25">
      <c r="A355" s="19">
        <v>2026</v>
      </c>
      <c r="B355" s="20">
        <v>479</v>
      </c>
      <c r="C355" s="21" t="s">
        <v>64</v>
      </c>
      <c r="D355" s="21" t="s">
        <v>65</v>
      </c>
      <c r="E355" s="20">
        <v>125</v>
      </c>
      <c r="F355" s="20">
        <v>3000654</v>
      </c>
      <c r="G355" s="20">
        <v>5005023</v>
      </c>
      <c r="H355" s="20">
        <v>3</v>
      </c>
      <c r="I355" s="20">
        <v>12</v>
      </c>
      <c r="J355" s="20">
        <v>24</v>
      </c>
      <c r="K355" s="20">
        <v>135560</v>
      </c>
      <c r="L355" s="21" t="s">
        <v>220</v>
      </c>
      <c r="M355" s="33" t="s">
        <v>221</v>
      </c>
      <c r="N355" s="19">
        <v>97</v>
      </c>
      <c r="O355" s="2"/>
      <c r="P355" s="2" t="s">
        <v>4</v>
      </c>
      <c r="Q355" s="20" t="s">
        <v>68</v>
      </c>
      <c r="R355" s="25" t="s">
        <v>69</v>
      </c>
      <c r="S355" s="41" t="s">
        <v>137</v>
      </c>
      <c r="T355" s="41"/>
      <c r="U355" s="31" t="s">
        <v>226</v>
      </c>
      <c r="V355" s="25" t="s">
        <v>3</v>
      </c>
      <c r="W355" s="25">
        <v>1</v>
      </c>
      <c r="X355" s="27">
        <v>6000</v>
      </c>
      <c r="Y355" s="1142"/>
      <c r="Z355" s="1143"/>
      <c r="AA355" s="1143"/>
      <c r="AB355" s="1144"/>
      <c r="AC355" s="25"/>
      <c r="AD355" s="25">
        <v>30</v>
      </c>
      <c r="AE355" s="1142"/>
      <c r="AF355" s="1143"/>
      <c r="AG355" s="1143"/>
      <c r="AH355" s="1143"/>
      <c r="AI355" s="1143"/>
      <c r="AJ355" s="1145"/>
      <c r="AK355" s="35">
        <v>6000</v>
      </c>
      <c r="AL355" s="29" t="s">
        <v>73</v>
      </c>
      <c r="AM355" s="29" t="s">
        <v>73</v>
      </c>
      <c r="AN355" s="29" t="s">
        <v>73</v>
      </c>
      <c r="AO355" s="29" t="s">
        <v>73</v>
      </c>
      <c r="AP355" s="29" t="s">
        <v>73</v>
      </c>
      <c r="AQ355" s="30">
        <v>6000</v>
      </c>
      <c r="AR355" s="29" t="s">
        <v>73</v>
      </c>
      <c r="AS355" s="29" t="s">
        <v>73</v>
      </c>
      <c r="AT355" s="29" t="s">
        <v>73</v>
      </c>
      <c r="AU355" s="29" t="s">
        <v>73</v>
      </c>
      <c r="AV355" s="29" t="s">
        <v>73</v>
      </c>
      <c r="AW355" s="29" t="s">
        <v>73</v>
      </c>
      <c r="AX355" s="30">
        <v>6000</v>
      </c>
      <c r="AY355" s="30" t="s">
        <v>6</v>
      </c>
      <c r="AZ355" s="2" t="s">
        <v>74</v>
      </c>
      <c r="BA355" s="2"/>
    </row>
    <row r="356" spans="1:53" ht="51" x14ac:dyDescent="0.25">
      <c r="A356" s="19">
        <v>2026</v>
      </c>
      <c r="B356" s="20">
        <v>479</v>
      </c>
      <c r="C356" s="21" t="s">
        <v>64</v>
      </c>
      <c r="D356" s="21" t="s">
        <v>65</v>
      </c>
      <c r="E356" s="20">
        <v>125</v>
      </c>
      <c r="F356" s="20">
        <v>3000654</v>
      </c>
      <c r="G356" s="20">
        <v>5005023</v>
      </c>
      <c r="H356" s="20">
        <v>3</v>
      </c>
      <c r="I356" s="20">
        <v>12</v>
      </c>
      <c r="J356" s="20">
        <v>24</v>
      </c>
      <c r="K356" s="20">
        <v>135560</v>
      </c>
      <c r="L356" s="21" t="s">
        <v>98</v>
      </c>
      <c r="M356" s="33" t="s">
        <v>99</v>
      </c>
      <c r="N356" s="19">
        <v>94</v>
      </c>
      <c r="O356" s="2"/>
      <c r="P356" s="2" t="s">
        <v>4</v>
      </c>
      <c r="Q356" s="20" t="s">
        <v>68</v>
      </c>
      <c r="R356" s="25" t="s">
        <v>69</v>
      </c>
      <c r="S356" s="41" t="s">
        <v>137</v>
      </c>
      <c r="T356" s="41"/>
      <c r="U356" s="31" t="s">
        <v>240</v>
      </c>
      <c r="V356" s="25" t="s">
        <v>3</v>
      </c>
      <c r="W356" s="25">
        <v>1</v>
      </c>
      <c r="X356" s="27">
        <v>5500</v>
      </c>
      <c r="Y356" s="1142"/>
      <c r="Z356" s="1143"/>
      <c r="AA356" s="1143"/>
      <c r="AB356" s="1144"/>
      <c r="AC356" s="25">
        <v>30</v>
      </c>
      <c r="AD356" s="25"/>
      <c r="AE356" s="1142"/>
      <c r="AF356" s="1143"/>
      <c r="AG356" s="1143"/>
      <c r="AH356" s="1143"/>
      <c r="AI356" s="1143"/>
      <c r="AJ356" s="1145"/>
      <c r="AK356" s="35">
        <v>5500</v>
      </c>
      <c r="AL356" s="29" t="s">
        <v>73</v>
      </c>
      <c r="AM356" s="29" t="s">
        <v>73</v>
      </c>
      <c r="AN356" s="29" t="s">
        <v>73</v>
      </c>
      <c r="AO356" s="29" t="s">
        <v>73</v>
      </c>
      <c r="AP356" s="30">
        <v>5500</v>
      </c>
      <c r="AQ356" s="29" t="s">
        <v>73</v>
      </c>
      <c r="AR356" s="29" t="s">
        <v>73</v>
      </c>
      <c r="AS356" s="29" t="s">
        <v>73</v>
      </c>
      <c r="AT356" s="29" t="s">
        <v>73</v>
      </c>
      <c r="AU356" s="29" t="s">
        <v>73</v>
      </c>
      <c r="AV356" s="29" t="s">
        <v>73</v>
      </c>
      <c r="AW356" s="29" t="s">
        <v>73</v>
      </c>
      <c r="AX356" s="30">
        <v>5500</v>
      </c>
      <c r="AY356" s="18" t="s">
        <v>6</v>
      </c>
      <c r="AZ356" s="2" t="s">
        <v>74</v>
      </c>
      <c r="BA356" s="2"/>
    </row>
    <row r="357" spans="1:53" ht="51" x14ac:dyDescent="0.25">
      <c r="A357" s="19">
        <v>2026</v>
      </c>
      <c r="B357" s="20">
        <v>479</v>
      </c>
      <c r="C357" s="21" t="s">
        <v>64</v>
      </c>
      <c r="D357" s="21" t="s">
        <v>65</v>
      </c>
      <c r="E357" s="20">
        <v>125</v>
      </c>
      <c r="F357" s="20">
        <v>3000654</v>
      </c>
      <c r="G357" s="20">
        <v>5005023</v>
      </c>
      <c r="H357" s="20">
        <v>3</v>
      </c>
      <c r="I357" s="20">
        <v>12</v>
      </c>
      <c r="J357" s="20">
        <v>24</v>
      </c>
      <c r="K357" s="20">
        <v>135560</v>
      </c>
      <c r="L357" s="21" t="s">
        <v>220</v>
      </c>
      <c r="M357" s="33" t="s">
        <v>221</v>
      </c>
      <c r="N357" s="19">
        <v>97</v>
      </c>
      <c r="O357" s="2"/>
      <c r="P357" s="2" t="s">
        <v>4</v>
      </c>
      <c r="Q357" s="20" t="s">
        <v>68</v>
      </c>
      <c r="R357" s="25" t="s">
        <v>69</v>
      </c>
      <c r="S357" s="41" t="s">
        <v>137</v>
      </c>
      <c r="T357" s="41"/>
      <c r="U357" s="31" t="s">
        <v>240</v>
      </c>
      <c r="V357" s="25" t="s">
        <v>3</v>
      </c>
      <c r="W357" s="25">
        <v>1</v>
      </c>
      <c r="X357" s="27">
        <v>5500</v>
      </c>
      <c r="Y357" s="1142"/>
      <c r="Z357" s="1143"/>
      <c r="AA357" s="1143"/>
      <c r="AB357" s="1144"/>
      <c r="AC357" s="25"/>
      <c r="AD357" s="25">
        <v>30</v>
      </c>
      <c r="AE357" s="1142"/>
      <c r="AF357" s="1143"/>
      <c r="AG357" s="1143"/>
      <c r="AH357" s="1143"/>
      <c r="AI357" s="1143"/>
      <c r="AJ357" s="1145"/>
      <c r="AK357" s="35">
        <v>5500</v>
      </c>
      <c r="AL357" s="29" t="s">
        <v>73</v>
      </c>
      <c r="AM357" s="29" t="s">
        <v>73</v>
      </c>
      <c r="AN357" s="29" t="s">
        <v>73</v>
      </c>
      <c r="AO357" s="29" t="s">
        <v>73</v>
      </c>
      <c r="AP357" s="29" t="s">
        <v>73</v>
      </c>
      <c r="AQ357" s="30">
        <v>5500</v>
      </c>
      <c r="AR357" s="29" t="s">
        <v>73</v>
      </c>
      <c r="AS357" s="29" t="s">
        <v>73</v>
      </c>
      <c r="AT357" s="29" t="s">
        <v>73</v>
      </c>
      <c r="AU357" s="29" t="s">
        <v>73</v>
      </c>
      <c r="AV357" s="29" t="s">
        <v>73</v>
      </c>
      <c r="AW357" s="29" t="s">
        <v>73</v>
      </c>
      <c r="AX357" s="30">
        <v>5500</v>
      </c>
      <c r="AY357" s="30" t="s">
        <v>6</v>
      </c>
      <c r="AZ357" s="2" t="s">
        <v>74</v>
      </c>
      <c r="BA357" s="2"/>
    </row>
    <row r="358" spans="1:53" ht="51" x14ac:dyDescent="0.25">
      <c r="A358" s="19">
        <v>2026</v>
      </c>
      <c r="B358" s="20">
        <v>479</v>
      </c>
      <c r="C358" s="21" t="s">
        <v>64</v>
      </c>
      <c r="D358" s="21" t="s">
        <v>65</v>
      </c>
      <c r="E358" s="20">
        <v>125</v>
      </c>
      <c r="F358" s="20">
        <v>3000654</v>
      </c>
      <c r="G358" s="20">
        <v>5005023</v>
      </c>
      <c r="H358" s="20">
        <v>3</v>
      </c>
      <c r="I358" s="20">
        <v>12</v>
      </c>
      <c r="J358" s="20">
        <v>24</v>
      </c>
      <c r="K358" s="20">
        <v>135560</v>
      </c>
      <c r="L358" s="21" t="s">
        <v>98</v>
      </c>
      <c r="M358" s="33" t="s">
        <v>99</v>
      </c>
      <c r="N358" s="19">
        <v>94</v>
      </c>
      <c r="O358" s="2"/>
      <c r="P358" s="2" t="s">
        <v>4</v>
      </c>
      <c r="Q358" s="20" t="s">
        <v>68</v>
      </c>
      <c r="R358" s="25" t="s">
        <v>69</v>
      </c>
      <c r="S358" s="41" t="s">
        <v>137</v>
      </c>
      <c r="T358" s="41"/>
      <c r="U358" s="31" t="s">
        <v>259</v>
      </c>
      <c r="V358" s="25" t="s">
        <v>3</v>
      </c>
      <c r="W358" s="25">
        <v>1</v>
      </c>
      <c r="X358" s="27">
        <v>7000</v>
      </c>
      <c r="Y358" s="1142"/>
      <c r="Z358" s="1143"/>
      <c r="AA358" s="1143"/>
      <c r="AB358" s="1144"/>
      <c r="AC358" s="25">
        <v>30</v>
      </c>
      <c r="AD358" s="25"/>
      <c r="AE358" s="1142"/>
      <c r="AF358" s="1143"/>
      <c r="AG358" s="1143"/>
      <c r="AH358" s="1143"/>
      <c r="AI358" s="1143"/>
      <c r="AJ358" s="1145"/>
      <c r="AK358" s="35">
        <v>7000</v>
      </c>
      <c r="AL358" s="29" t="s">
        <v>73</v>
      </c>
      <c r="AM358" s="29" t="s">
        <v>73</v>
      </c>
      <c r="AN358" s="29" t="s">
        <v>73</v>
      </c>
      <c r="AO358" s="29" t="s">
        <v>73</v>
      </c>
      <c r="AP358" s="30">
        <v>7000</v>
      </c>
      <c r="AQ358" s="29" t="s">
        <v>73</v>
      </c>
      <c r="AR358" s="29" t="s">
        <v>73</v>
      </c>
      <c r="AS358" s="29" t="s">
        <v>73</v>
      </c>
      <c r="AT358" s="29" t="s">
        <v>73</v>
      </c>
      <c r="AU358" s="29" t="s">
        <v>73</v>
      </c>
      <c r="AV358" s="29" t="s">
        <v>73</v>
      </c>
      <c r="AW358" s="29" t="s">
        <v>73</v>
      </c>
      <c r="AX358" s="30">
        <v>7000</v>
      </c>
      <c r="AY358" s="18" t="s">
        <v>6</v>
      </c>
      <c r="AZ358" s="2" t="s">
        <v>74</v>
      </c>
      <c r="BA358" s="2"/>
    </row>
    <row r="359" spans="1:53" ht="51" x14ac:dyDescent="0.25">
      <c r="A359" s="19">
        <v>2026</v>
      </c>
      <c r="B359" s="20">
        <v>479</v>
      </c>
      <c r="C359" s="21" t="s">
        <v>64</v>
      </c>
      <c r="D359" s="21" t="s">
        <v>65</v>
      </c>
      <c r="E359" s="20">
        <v>125</v>
      </c>
      <c r="F359" s="20">
        <v>3000654</v>
      </c>
      <c r="G359" s="20">
        <v>5005023</v>
      </c>
      <c r="H359" s="20">
        <v>3</v>
      </c>
      <c r="I359" s="20">
        <v>12</v>
      </c>
      <c r="J359" s="20">
        <v>24</v>
      </c>
      <c r="K359" s="20">
        <v>135560</v>
      </c>
      <c r="L359" s="21" t="s">
        <v>220</v>
      </c>
      <c r="M359" s="33" t="s">
        <v>221</v>
      </c>
      <c r="N359" s="19">
        <v>97</v>
      </c>
      <c r="O359" s="2"/>
      <c r="P359" s="2" t="s">
        <v>4</v>
      </c>
      <c r="Q359" s="20" t="s">
        <v>68</v>
      </c>
      <c r="R359" s="25" t="s">
        <v>69</v>
      </c>
      <c r="S359" s="41" t="s">
        <v>137</v>
      </c>
      <c r="T359" s="41"/>
      <c r="U359" s="31" t="s">
        <v>259</v>
      </c>
      <c r="V359" s="25" t="s">
        <v>3</v>
      </c>
      <c r="W359" s="25">
        <v>1</v>
      </c>
      <c r="X359" s="27">
        <v>7000</v>
      </c>
      <c r="Y359" s="1142"/>
      <c r="Z359" s="1143"/>
      <c r="AA359" s="1143"/>
      <c r="AB359" s="1144"/>
      <c r="AC359" s="25"/>
      <c r="AD359" s="25">
        <v>30</v>
      </c>
      <c r="AE359" s="1142"/>
      <c r="AF359" s="1143"/>
      <c r="AG359" s="1143"/>
      <c r="AH359" s="1143"/>
      <c r="AI359" s="1143"/>
      <c r="AJ359" s="1145"/>
      <c r="AK359" s="35">
        <v>7000</v>
      </c>
      <c r="AL359" s="29" t="s">
        <v>73</v>
      </c>
      <c r="AM359" s="29" t="s">
        <v>73</v>
      </c>
      <c r="AN359" s="29" t="s">
        <v>73</v>
      </c>
      <c r="AO359" s="29" t="s">
        <v>73</v>
      </c>
      <c r="AP359" s="29" t="s">
        <v>73</v>
      </c>
      <c r="AQ359" s="30">
        <v>7000</v>
      </c>
      <c r="AR359" s="29" t="s">
        <v>73</v>
      </c>
      <c r="AS359" s="29" t="s">
        <v>73</v>
      </c>
      <c r="AT359" s="29" t="s">
        <v>73</v>
      </c>
      <c r="AU359" s="29" t="s">
        <v>73</v>
      </c>
      <c r="AV359" s="29" t="s">
        <v>73</v>
      </c>
      <c r="AW359" s="29" t="s">
        <v>73</v>
      </c>
      <c r="AX359" s="30">
        <v>7000</v>
      </c>
      <c r="AY359" s="30" t="s">
        <v>6</v>
      </c>
      <c r="AZ359" s="2" t="s">
        <v>74</v>
      </c>
      <c r="BA359" s="2"/>
    </row>
    <row r="360" spans="1:53" ht="51" x14ac:dyDescent="0.25">
      <c r="A360" s="19">
        <v>2026</v>
      </c>
      <c r="B360" s="20">
        <v>479</v>
      </c>
      <c r="C360" s="21" t="s">
        <v>64</v>
      </c>
      <c r="D360" s="21" t="s">
        <v>65</v>
      </c>
      <c r="E360" s="20">
        <v>125</v>
      </c>
      <c r="F360" s="20">
        <v>3000654</v>
      </c>
      <c r="G360" s="20">
        <v>5005023</v>
      </c>
      <c r="H360" s="20">
        <v>3</v>
      </c>
      <c r="I360" s="20">
        <v>12</v>
      </c>
      <c r="J360" s="20">
        <v>24</v>
      </c>
      <c r="K360" s="20">
        <v>135560</v>
      </c>
      <c r="L360" s="21" t="s">
        <v>98</v>
      </c>
      <c r="M360" s="33" t="s">
        <v>99</v>
      </c>
      <c r="N360" s="19">
        <v>94</v>
      </c>
      <c r="O360" s="2"/>
      <c r="P360" s="2" t="s">
        <v>4</v>
      </c>
      <c r="Q360" s="20" t="s">
        <v>68</v>
      </c>
      <c r="R360" s="25" t="s">
        <v>69</v>
      </c>
      <c r="S360" s="41" t="s">
        <v>137</v>
      </c>
      <c r="T360" s="41"/>
      <c r="U360" s="31" t="s">
        <v>272</v>
      </c>
      <c r="V360" s="25" t="s">
        <v>3</v>
      </c>
      <c r="W360" s="25">
        <v>1</v>
      </c>
      <c r="X360" s="27">
        <v>6000</v>
      </c>
      <c r="Y360" s="1142"/>
      <c r="Z360" s="1143"/>
      <c r="AA360" s="1143"/>
      <c r="AB360" s="1144"/>
      <c r="AC360" s="25">
        <v>30</v>
      </c>
      <c r="AD360" s="25"/>
      <c r="AE360" s="1142"/>
      <c r="AF360" s="1143"/>
      <c r="AG360" s="1143"/>
      <c r="AH360" s="1143"/>
      <c r="AI360" s="1143"/>
      <c r="AJ360" s="1145"/>
      <c r="AK360" s="35">
        <v>6000</v>
      </c>
      <c r="AL360" s="29" t="s">
        <v>73</v>
      </c>
      <c r="AM360" s="29" t="s">
        <v>73</v>
      </c>
      <c r="AN360" s="29" t="s">
        <v>73</v>
      </c>
      <c r="AO360" s="29" t="s">
        <v>73</v>
      </c>
      <c r="AP360" s="30">
        <v>6000</v>
      </c>
      <c r="AQ360" s="29" t="s">
        <v>73</v>
      </c>
      <c r="AR360" s="29" t="s">
        <v>73</v>
      </c>
      <c r="AS360" s="29" t="s">
        <v>73</v>
      </c>
      <c r="AT360" s="29" t="s">
        <v>73</v>
      </c>
      <c r="AU360" s="29" t="s">
        <v>73</v>
      </c>
      <c r="AV360" s="29" t="s">
        <v>73</v>
      </c>
      <c r="AW360" s="29" t="s">
        <v>73</v>
      </c>
      <c r="AX360" s="30">
        <v>6000</v>
      </c>
      <c r="AY360" s="18" t="s">
        <v>6</v>
      </c>
      <c r="AZ360" s="2" t="s">
        <v>74</v>
      </c>
      <c r="BA360" s="2"/>
    </row>
    <row r="361" spans="1:53" ht="51" x14ac:dyDescent="0.25">
      <c r="A361" s="19">
        <v>2026</v>
      </c>
      <c r="B361" s="20">
        <v>479</v>
      </c>
      <c r="C361" s="21" t="s">
        <v>64</v>
      </c>
      <c r="D361" s="21" t="s">
        <v>65</v>
      </c>
      <c r="E361" s="20">
        <v>125</v>
      </c>
      <c r="F361" s="20">
        <v>3000654</v>
      </c>
      <c r="G361" s="20">
        <v>5005023</v>
      </c>
      <c r="H361" s="20">
        <v>3</v>
      </c>
      <c r="I361" s="20">
        <v>12</v>
      </c>
      <c r="J361" s="20">
        <v>24</v>
      </c>
      <c r="K361" s="20">
        <v>135560</v>
      </c>
      <c r="L361" s="21" t="s">
        <v>220</v>
      </c>
      <c r="M361" s="33" t="s">
        <v>221</v>
      </c>
      <c r="N361" s="19">
        <v>97</v>
      </c>
      <c r="O361" s="2"/>
      <c r="P361" s="2" t="s">
        <v>4</v>
      </c>
      <c r="Q361" s="20" t="s">
        <v>68</v>
      </c>
      <c r="R361" s="25" t="s">
        <v>69</v>
      </c>
      <c r="S361" s="41" t="s">
        <v>137</v>
      </c>
      <c r="T361" s="41"/>
      <c r="U361" s="31" t="s">
        <v>272</v>
      </c>
      <c r="V361" s="25" t="s">
        <v>3</v>
      </c>
      <c r="W361" s="25">
        <v>1</v>
      </c>
      <c r="X361" s="27">
        <v>6000</v>
      </c>
      <c r="Y361" s="1142"/>
      <c r="Z361" s="1143"/>
      <c r="AA361" s="1143"/>
      <c r="AB361" s="1144"/>
      <c r="AC361" s="25"/>
      <c r="AD361" s="25">
        <v>30</v>
      </c>
      <c r="AE361" s="1142"/>
      <c r="AF361" s="1143"/>
      <c r="AG361" s="1143"/>
      <c r="AH361" s="1143"/>
      <c r="AI361" s="1143"/>
      <c r="AJ361" s="1145"/>
      <c r="AK361" s="35">
        <v>6000</v>
      </c>
      <c r="AL361" s="29" t="s">
        <v>73</v>
      </c>
      <c r="AM361" s="29" t="s">
        <v>73</v>
      </c>
      <c r="AN361" s="29" t="s">
        <v>73</v>
      </c>
      <c r="AO361" s="29" t="s">
        <v>73</v>
      </c>
      <c r="AP361" s="29" t="s">
        <v>73</v>
      </c>
      <c r="AQ361" s="30">
        <v>6000</v>
      </c>
      <c r="AR361" s="29" t="s">
        <v>73</v>
      </c>
      <c r="AS361" s="29" t="s">
        <v>73</v>
      </c>
      <c r="AT361" s="29" t="s">
        <v>73</v>
      </c>
      <c r="AU361" s="29" t="s">
        <v>73</v>
      </c>
      <c r="AV361" s="29" t="s">
        <v>73</v>
      </c>
      <c r="AW361" s="29" t="s">
        <v>73</v>
      </c>
      <c r="AX361" s="30">
        <v>6000</v>
      </c>
      <c r="AY361" s="30" t="s">
        <v>6</v>
      </c>
      <c r="AZ361" s="2" t="s">
        <v>74</v>
      </c>
      <c r="BA361" s="2"/>
    </row>
    <row r="362" spans="1:53" ht="51" x14ac:dyDescent="0.25">
      <c r="A362" s="19">
        <v>2026</v>
      </c>
      <c r="B362" s="20">
        <v>479</v>
      </c>
      <c r="C362" s="21" t="s">
        <v>64</v>
      </c>
      <c r="D362" s="21" t="s">
        <v>65</v>
      </c>
      <c r="E362" s="20">
        <v>125</v>
      </c>
      <c r="F362" s="20">
        <v>3000654</v>
      </c>
      <c r="G362" s="20">
        <v>5005023</v>
      </c>
      <c r="H362" s="20">
        <v>3</v>
      </c>
      <c r="I362" s="20">
        <v>12</v>
      </c>
      <c r="J362" s="20">
        <v>24</v>
      </c>
      <c r="K362" s="20">
        <v>135560</v>
      </c>
      <c r="L362" s="21" t="s">
        <v>98</v>
      </c>
      <c r="M362" s="33" t="s">
        <v>99</v>
      </c>
      <c r="N362" s="19">
        <v>94</v>
      </c>
      <c r="O362" s="2"/>
      <c r="P362" s="2" t="s">
        <v>4</v>
      </c>
      <c r="Q362" s="20" t="s">
        <v>68</v>
      </c>
      <c r="R362" s="25" t="s">
        <v>69</v>
      </c>
      <c r="S362" s="41" t="s">
        <v>137</v>
      </c>
      <c r="T362" s="41"/>
      <c r="U362" s="31" t="s">
        <v>273</v>
      </c>
      <c r="V362" s="25" t="s">
        <v>3</v>
      </c>
      <c r="W362" s="25">
        <v>1</v>
      </c>
      <c r="X362" s="27">
        <v>6000</v>
      </c>
      <c r="Y362" s="1142"/>
      <c r="Z362" s="1143"/>
      <c r="AA362" s="1143"/>
      <c r="AB362" s="1144"/>
      <c r="AC362" s="25">
        <v>30</v>
      </c>
      <c r="AD362" s="25"/>
      <c r="AE362" s="1142"/>
      <c r="AF362" s="1143"/>
      <c r="AG362" s="1143"/>
      <c r="AH362" s="1143"/>
      <c r="AI362" s="1143"/>
      <c r="AJ362" s="1145"/>
      <c r="AK362" s="35">
        <v>6000</v>
      </c>
      <c r="AL362" s="29" t="s">
        <v>73</v>
      </c>
      <c r="AM362" s="29" t="s">
        <v>73</v>
      </c>
      <c r="AN362" s="29" t="s">
        <v>73</v>
      </c>
      <c r="AO362" s="29" t="s">
        <v>73</v>
      </c>
      <c r="AP362" s="30">
        <v>6000</v>
      </c>
      <c r="AQ362" s="29" t="s">
        <v>73</v>
      </c>
      <c r="AR362" s="29" t="s">
        <v>73</v>
      </c>
      <c r="AS362" s="29" t="s">
        <v>73</v>
      </c>
      <c r="AT362" s="29" t="s">
        <v>73</v>
      </c>
      <c r="AU362" s="29" t="s">
        <v>73</v>
      </c>
      <c r="AV362" s="29" t="s">
        <v>73</v>
      </c>
      <c r="AW362" s="29" t="s">
        <v>73</v>
      </c>
      <c r="AX362" s="30">
        <v>6000</v>
      </c>
      <c r="AY362" s="18" t="s">
        <v>6</v>
      </c>
      <c r="AZ362" s="2" t="s">
        <v>74</v>
      </c>
      <c r="BA362" s="2"/>
    </row>
    <row r="363" spans="1:53" ht="51" x14ac:dyDescent="0.25">
      <c r="A363" s="19">
        <v>2026</v>
      </c>
      <c r="B363" s="20">
        <v>479</v>
      </c>
      <c r="C363" s="21" t="s">
        <v>64</v>
      </c>
      <c r="D363" s="21" t="s">
        <v>65</v>
      </c>
      <c r="E363" s="20">
        <v>125</v>
      </c>
      <c r="F363" s="20">
        <v>3000654</v>
      </c>
      <c r="G363" s="20">
        <v>5005023</v>
      </c>
      <c r="H363" s="20">
        <v>3</v>
      </c>
      <c r="I363" s="20">
        <v>12</v>
      </c>
      <c r="J363" s="20">
        <v>24</v>
      </c>
      <c r="K363" s="20">
        <v>135560</v>
      </c>
      <c r="L363" s="21" t="s">
        <v>220</v>
      </c>
      <c r="M363" s="33" t="s">
        <v>221</v>
      </c>
      <c r="N363" s="19">
        <v>97</v>
      </c>
      <c r="O363" s="2"/>
      <c r="P363" s="2" t="s">
        <v>4</v>
      </c>
      <c r="Q363" s="20" t="s">
        <v>68</v>
      </c>
      <c r="R363" s="25" t="s">
        <v>69</v>
      </c>
      <c r="S363" s="41" t="s">
        <v>137</v>
      </c>
      <c r="T363" s="41"/>
      <c r="U363" s="31" t="s">
        <v>273</v>
      </c>
      <c r="V363" s="25" t="s">
        <v>3</v>
      </c>
      <c r="W363" s="25">
        <v>1</v>
      </c>
      <c r="X363" s="27">
        <v>6000</v>
      </c>
      <c r="Y363" s="1142"/>
      <c r="Z363" s="1143"/>
      <c r="AA363" s="1143"/>
      <c r="AB363" s="1144"/>
      <c r="AC363" s="25"/>
      <c r="AD363" s="25">
        <v>30</v>
      </c>
      <c r="AE363" s="1142"/>
      <c r="AF363" s="1143"/>
      <c r="AG363" s="1143"/>
      <c r="AH363" s="1143"/>
      <c r="AI363" s="1143"/>
      <c r="AJ363" s="1145"/>
      <c r="AK363" s="35">
        <v>6000</v>
      </c>
      <c r="AL363" s="29" t="s">
        <v>73</v>
      </c>
      <c r="AM363" s="29" t="s">
        <v>73</v>
      </c>
      <c r="AN363" s="29" t="s">
        <v>73</v>
      </c>
      <c r="AO363" s="29" t="s">
        <v>73</v>
      </c>
      <c r="AP363" s="29" t="s">
        <v>73</v>
      </c>
      <c r="AQ363" s="30">
        <v>6000</v>
      </c>
      <c r="AR363" s="29" t="s">
        <v>73</v>
      </c>
      <c r="AS363" s="29" t="s">
        <v>73</v>
      </c>
      <c r="AT363" s="29" t="s">
        <v>73</v>
      </c>
      <c r="AU363" s="29" t="s">
        <v>73</v>
      </c>
      <c r="AV363" s="29" t="s">
        <v>73</v>
      </c>
      <c r="AW363" s="29" t="s">
        <v>73</v>
      </c>
      <c r="AX363" s="30">
        <v>6000</v>
      </c>
      <c r="AY363" s="30" t="s">
        <v>6</v>
      </c>
      <c r="AZ363" s="2" t="s">
        <v>74</v>
      </c>
      <c r="BA363" s="2"/>
    </row>
    <row r="364" spans="1:53" ht="51" x14ac:dyDescent="0.25">
      <c r="A364" s="19">
        <v>2026</v>
      </c>
      <c r="B364" s="20">
        <v>479</v>
      </c>
      <c r="C364" s="21" t="s">
        <v>64</v>
      </c>
      <c r="D364" s="21" t="s">
        <v>65</v>
      </c>
      <c r="E364" s="20">
        <v>125</v>
      </c>
      <c r="F364" s="20">
        <v>3000654</v>
      </c>
      <c r="G364" s="20">
        <v>5005023</v>
      </c>
      <c r="H364" s="20">
        <v>3</v>
      </c>
      <c r="I364" s="20">
        <v>12</v>
      </c>
      <c r="J364" s="20">
        <v>24</v>
      </c>
      <c r="K364" s="20">
        <v>135560</v>
      </c>
      <c r="L364" s="21" t="s">
        <v>98</v>
      </c>
      <c r="M364" s="33" t="s">
        <v>99</v>
      </c>
      <c r="N364" s="19">
        <v>94</v>
      </c>
      <c r="O364" s="2"/>
      <c r="P364" s="2" t="s">
        <v>4</v>
      </c>
      <c r="Q364" s="20" t="s">
        <v>68</v>
      </c>
      <c r="R364" s="25" t="s">
        <v>69</v>
      </c>
      <c r="S364" s="41" t="s">
        <v>137</v>
      </c>
      <c r="T364" s="41"/>
      <c r="U364" s="31" t="s">
        <v>311</v>
      </c>
      <c r="V364" s="25" t="s">
        <v>3</v>
      </c>
      <c r="W364" s="25">
        <v>1</v>
      </c>
      <c r="X364" s="27">
        <v>7000</v>
      </c>
      <c r="Y364" s="1142"/>
      <c r="Z364" s="1143"/>
      <c r="AA364" s="1143"/>
      <c r="AB364" s="1144"/>
      <c r="AC364" s="25">
        <v>30</v>
      </c>
      <c r="AD364" s="25"/>
      <c r="AE364" s="1142"/>
      <c r="AF364" s="1143"/>
      <c r="AG364" s="1143"/>
      <c r="AH364" s="1143"/>
      <c r="AI364" s="1143"/>
      <c r="AJ364" s="1145"/>
      <c r="AK364" s="35">
        <v>7000</v>
      </c>
      <c r="AL364" s="29" t="s">
        <v>73</v>
      </c>
      <c r="AM364" s="29" t="s">
        <v>73</v>
      </c>
      <c r="AN364" s="29" t="s">
        <v>73</v>
      </c>
      <c r="AO364" s="29" t="s">
        <v>73</v>
      </c>
      <c r="AP364" s="30">
        <v>7000</v>
      </c>
      <c r="AQ364" s="29" t="s">
        <v>73</v>
      </c>
      <c r="AR364" s="29" t="s">
        <v>73</v>
      </c>
      <c r="AS364" s="29" t="s">
        <v>73</v>
      </c>
      <c r="AT364" s="29" t="s">
        <v>73</v>
      </c>
      <c r="AU364" s="29" t="s">
        <v>73</v>
      </c>
      <c r="AV364" s="29" t="s">
        <v>73</v>
      </c>
      <c r="AW364" s="29" t="s">
        <v>73</v>
      </c>
      <c r="AX364" s="30">
        <v>7000</v>
      </c>
      <c r="AY364" s="18" t="s">
        <v>6</v>
      </c>
      <c r="AZ364" s="2" t="s">
        <v>74</v>
      </c>
      <c r="BA364" s="2"/>
    </row>
    <row r="365" spans="1:53" ht="51" x14ac:dyDescent="0.25">
      <c r="A365" s="19">
        <v>2026</v>
      </c>
      <c r="B365" s="20">
        <v>479</v>
      </c>
      <c r="C365" s="21" t="s">
        <v>64</v>
      </c>
      <c r="D365" s="21" t="s">
        <v>65</v>
      </c>
      <c r="E365" s="20">
        <v>125</v>
      </c>
      <c r="F365" s="20">
        <v>3000654</v>
      </c>
      <c r="G365" s="20">
        <v>5005023</v>
      </c>
      <c r="H365" s="20">
        <v>3</v>
      </c>
      <c r="I365" s="20">
        <v>12</v>
      </c>
      <c r="J365" s="20">
        <v>24</v>
      </c>
      <c r="K365" s="20">
        <v>135560</v>
      </c>
      <c r="L365" s="21" t="s">
        <v>220</v>
      </c>
      <c r="M365" s="33" t="s">
        <v>221</v>
      </c>
      <c r="N365" s="19">
        <v>97</v>
      </c>
      <c r="O365" s="2"/>
      <c r="P365" s="2" t="s">
        <v>4</v>
      </c>
      <c r="Q365" s="20" t="s">
        <v>68</v>
      </c>
      <c r="R365" s="25" t="s">
        <v>69</v>
      </c>
      <c r="S365" s="41" t="s">
        <v>137</v>
      </c>
      <c r="T365" s="41"/>
      <c r="U365" s="31" t="s">
        <v>311</v>
      </c>
      <c r="V365" s="25" t="s">
        <v>3</v>
      </c>
      <c r="W365" s="25">
        <v>1</v>
      </c>
      <c r="X365" s="27">
        <v>7000</v>
      </c>
      <c r="Y365" s="1142"/>
      <c r="Z365" s="1143"/>
      <c r="AA365" s="1143"/>
      <c r="AB365" s="1144"/>
      <c r="AC365" s="25"/>
      <c r="AD365" s="25">
        <v>30</v>
      </c>
      <c r="AE365" s="1142"/>
      <c r="AF365" s="1143"/>
      <c r="AG365" s="1143"/>
      <c r="AH365" s="1143"/>
      <c r="AI365" s="1143"/>
      <c r="AJ365" s="1145"/>
      <c r="AK365" s="35">
        <v>7000</v>
      </c>
      <c r="AL365" s="29" t="s">
        <v>73</v>
      </c>
      <c r="AM365" s="29" t="s">
        <v>73</v>
      </c>
      <c r="AN365" s="29" t="s">
        <v>73</v>
      </c>
      <c r="AO365" s="29" t="s">
        <v>73</v>
      </c>
      <c r="AP365" s="29" t="s">
        <v>73</v>
      </c>
      <c r="AQ365" s="30">
        <v>7000</v>
      </c>
      <c r="AR365" s="29" t="s">
        <v>73</v>
      </c>
      <c r="AS365" s="29" t="s">
        <v>73</v>
      </c>
      <c r="AT365" s="29" t="s">
        <v>73</v>
      </c>
      <c r="AU365" s="29" t="s">
        <v>73</v>
      </c>
      <c r="AV365" s="29" t="s">
        <v>73</v>
      </c>
      <c r="AW365" s="29" t="s">
        <v>73</v>
      </c>
      <c r="AX365" s="30">
        <v>7000</v>
      </c>
      <c r="AY365" s="30" t="s">
        <v>6</v>
      </c>
      <c r="AZ365" s="2" t="s">
        <v>74</v>
      </c>
      <c r="BA365" s="2"/>
    </row>
    <row r="366" spans="1:53" ht="51" x14ac:dyDescent="0.25">
      <c r="A366" s="19">
        <v>2026</v>
      </c>
      <c r="B366" s="20">
        <v>479</v>
      </c>
      <c r="C366" s="21" t="s">
        <v>64</v>
      </c>
      <c r="D366" s="21" t="s">
        <v>65</v>
      </c>
      <c r="E366" s="20">
        <v>125</v>
      </c>
      <c r="F366" s="20">
        <v>3000654</v>
      </c>
      <c r="G366" s="20">
        <v>5005023</v>
      </c>
      <c r="H366" s="20">
        <v>3</v>
      </c>
      <c r="I366" s="20">
        <v>12</v>
      </c>
      <c r="J366" s="20">
        <v>24</v>
      </c>
      <c r="K366" s="20">
        <v>135560</v>
      </c>
      <c r="L366" s="21" t="s">
        <v>98</v>
      </c>
      <c r="M366" s="33" t="s">
        <v>99</v>
      </c>
      <c r="N366" s="19">
        <v>94</v>
      </c>
      <c r="O366" s="2"/>
      <c r="P366" s="2" t="s">
        <v>4</v>
      </c>
      <c r="Q366" s="20" t="s">
        <v>68</v>
      </c>
      <c r="R366" s="25" t="s">
        <v>69</v>
      </c>
      <c r="S366" s="41" t="s">
        <v>137</v>
      </c>
      <c r="T366" s="41"/>
      <c r="U366" s="31" t="s">
        <v>398</v>
      </c>
      <c r="V366" s="25" t="s">
        <v>3</v>
      </c>
      <c r="W366" s="25">
        <v>1</v>
      </c>
      <c r="X366" s="27">
        <v>7000</v>
      </c>
      <c r="Y366" s="1142"/>
      <c r="Z366" s="1143"/>
      <c r="AA366" s="1143"/>
      <c r="AB366" s="1144"/>
      <c r="AC366" s="25">
        <v>30</v>
      </c>
      <c r="AD366" s="25"/>
      <c r="AE366" s="1142"/>
      <c r="AF366" s="1143"/>
      <c r="AG366" s="1143"/>
      <c r="AH366" s="1143"/>
      <c r="AI366" s="1143"/>
      <c r="AJ366" s="1145"/>
      <c r="AK366" s="35">
        <v>7000</v>
      </c>
      <c r="AL366" s="29" t="s">
        <v>73</v>
      </c>
      <c r="AM366" s="29" t="s">
        <v>73</v>
      </c>
      <c r="AN366" s="29" t="s">
        <v>73</v>
      </c>
      <c r="AO366" s="29" t="s">
        <v>73</v>
      </c>
      <c r="AP366" s="30">
        <v>7000</v>
      </c>
      <c r="AQ366" s="29" t="s">
        <v>73</v>
      </c>
      <c r="AR366" s="29" t="s">
        <v>73</v>
      </c>
      <c r="AS366" s="29" t="s">
        <v>73</v>
      </c>
      <c r="AT366" s="29" t="s">
        <v>73</v>
      </c>
      <c r="AU366" s="29" t="s">
        <v>73</v>
      </c>
      <c r="AV366" s="29" t="s">
        <v>73</v>
      </c>
      <c r="AW366" s="29" t="s">
        <v>73</v>
      </c>
      <c r="AX366" s="30">
        <v>7000</v>
      </c>
      <c r="AY366" s="18" t="s">
        <v>6</v>
      </c>
      <c r="AZ366" s="2" t="s">
        <v>74</v>
      </c>
      <c r="BA366" s="2"/>
    </row>
    <row r="367" spans="1:53" ht="51" x14ac:dyDescent="0.25">
      <c r="A367" s="19">
        <v>2026</v>
      </c>
      <c r="B367" s="20">
        <v>479</v>
      </c>
      <c r="C367" s="21" t="s">
        <v>64</v>
      </c>
      <c r="D367" s="21" t="s">
        <v>65</v>
      </c>
      <c r="E367" s="20">
        <v>125</v>
      </c>
      <c r="F367" s="20">
        <v>3000654</v>
      </c>
      <c r="G367" s="20">
        <v>5005023</v>
      </c>
      <c r="H367" s="20">
        <v>3</v>
      </c>
      <c r="I367" s="20">
        <v>12</v>
      </c>
      <c r="J367" s="20">
        <v>24</v>
      </c>
      <c r="K367" s="20">
        <v>135560</v>
      </c>
      <c r="L367" s="21" t="s">
        <v>220</v>
      </c>
      <c r="M367" s="33" t="s">
        <v>221</v>
      </c>
      <c r="N367" s="19">
        <v>97</v>
      </c>
      <c r="O367" s="2"/>
      <c r="P367" s="2" t="s">
        <v>4</v>
      </c>
      <c r="Q367" s="20" t="s">
        <v>68</v>
      </c>
      <c r="R367" s="25" t="s">
        <v>69</v>
      </c>
      <c r="S367" s="41" t="s">
        <v>137</v>
      </c>
      <c r="T367" s="41"/>
      <c r="U367" s="31" t="s">
        <v>398</v>
      </c>
      <c r="V367" s="25" t="s">
        <v>3</v>
      </c>
      <c r="W367" s="25">
        <v>1</v>
      </c>
      <c r="X367" s="27">
        <v>7000</v>
      </c>
      <c r="Y367" s="1142"/>
      <c r="Z367" s="1143"/>
      <c r="AA367" s="1143"/>
      <c r="AB367" s="1144"/>
      <c r="AC367" s="25"/>
      <c r="AD367" s="25">
        <v>30</v>
      </c>
      <c r="AE367" s="1142"/>
      <c r="AF367" s="1143"/>
      <c r="AG367" s="1143"/>
      <c r="AH367" s="1143"/>
      <c r="AI367" s="1143"/>
      <c r="AJ367" s="1145"/>
      <c r="AK367" s="35">
        <v>7000</v>
      </c>
      <c r="AL367" s="29" t="s">
        <v>73</v>
      </c>
      <c r="AM367" s="29" t="s">
        <v>73</v>
      </c>
      <c r="AN367" s="29" t="s">
        <v>73</v>
      </c>
      <c r="AO367" s="29" t="s">
        <v>73</v>
      </c>
      <c r="AP367" s="29" t="s">
        <v>73</v>
      </c>
      <c r="AQ367" s="30">
        <v>7000</v>
      </c>
      <c r="AR367" s="29" t="s">
        <v>73</v>
      </c>
      <c r="AS367" s="29" t="s">
        <v>73</v>
      </c>
      <c r="AT367" s="29" t="s">
        <v>73</v>
      </c>
      <c r="AU367" s="29" t="s">
        <v>73</v>
      </c>
      <c r="AV367" s="29" t="s">
        <v>73</v>
      </c>
      <c r="AW367" s="29" t="s">
        <v>73</v>
      </c>
      <c r="AX367" s="30">
        <v>7000</v>
      </c>
      <c r="AY367" s="30" t="s">
        <v>6</v>
      </c>
      <c r="AZ367" s="2" t="s">
        <v>74</v>
      </c>
      <c r="BA367" s="2"/>
    </row>
    <row r="368" spans="1:53" ht="51" x14ac:dyDescent="0.25">
      <c r="A368" s="19">
        <v>2026</v>
      </c>
      <c r="B368" s="20">
        <v>479</v>
      </c>
      <c r="C368" s="21" t="s">
        <v>64</v>
      </c>
      <c r="D368" s="21" t="s">
        <v>65</v>
      </c>
      <c r="E368" s="20">
        <v>125</v>
      </c>
      <c r="F368" s="20">
        <v>3000654</v>
      </c>
      <c r="G368" s="20">
        <v>5005023</v>
      </c>
      <c r="H368" s="20">
        <v>3</v>
      </c>
      <c r="I368" s="20">
        <v>12</v>
      </c>
      <c r="J368" s="20">
        <v>24</v>
      </c>
      <c r="K368" s="20">
        <v>135560</v>
      </c>
      <c r="L368" s="21" t="s">
        <v>98</v>
      </c>
      <c r="M368" s="33" t="s">
        <v>99</v>
      </c>
      <c r="N368" s="19">
        <v>94</v>
      </c>
      <c r="O368" s="2"/>
      <c r="P368" s="2" t="s">
        <v>4</v>
      </c>
      <c r="Q368" s="20" t="s">
        <v>68</v>
      </c>
      <c r="R368" s="25" t="s">
        <v>69</v>
      </c>
      <c r="S368" s="41" t="s">
        <v>137</v>
      </c>
      <c r="T368" s="41"/>
      <c r="U368" s="31" t="s">
        <v>372</v>
      </c>
      <c r="V368" s="25" t="s">
        <v>3</v>
      </c>
      <c r="W368" s="25">
        <v>1</v>
      </c>
      <c r="X368" s="27">
        <v>4500</v>
      </c>
      <c r="Y368" s="1142"/>
      <c r="Z368" s="1143"/>
      <c r="AA368" s="1143"/>
      <c r="AB368" s="1144"/>
      <c r="AC368" s="25">
        <v>30</v>
      </c>
      <c r="AD368" s="25"/>
      <c r="AE368" s="1142"/>
      <c r="AF368" s="1143"/>
      <c r="AG368" s="1143"/>
      <c r="AH368" s="1143"/>
      <c r="AI368" s="1143"/>
      <c r="AJ368" s="1145"/>
      <c r="AK368" s="35">
        <v>4500</v>
      </c>
      <c r="AL368" s="29" t="s">
        <v>73</v>
      </c>
      <c r="AM368" s="29" t="s">
        <v>73</v>
      </c>
      <c r="AN368" s="29" t="s">
        <v>73</v>
      </c>
      <c r="AO368" s="29" t="s">
        <v>73</v>
      </c>
      <c r="AP368" s="30">
        <v>4500</v>
      </c>
      <c r="AQ368" s="29" t="s">
        <v>73</v>
      </c>
      <c r="AR368" s="29" t="s">
        <v>73</v>
      </c>
      <c r="AS368" s="29" t="s">
        <v>73</v>
      </c>
      <c r="AT368" s="29" t="s">
        <v>73</v>
      </c>
      <c r="AU368" s="29" t="s">
        <v>73</v>
      </c>
      <c r="AV368" s="29" t="s">
        <v>73</v>
      </c>
      <c r="AW368" s="29" t="s">
        <v>73</v>
      </c>
      <c r="AX368" s="30">
        <v>4500</v>
      </c>
      <c r="AY368" s="18" t="s">
        <v>6</v>
      </c>
      <c r="AZ368" s="2" t="s">
        <v>74</v>
      </c>
      <c r="BA368" s="2"/>
    </row>
    <row r="369" spans="1:55" ht="51" x14ac:dyDescent="0.25">
      <c r="A369" s="19">
        <v>2026</v>
      </c>
      <c r="B369" s="20">
        <v>479</v>
      </c>
      <c r="C369" s="21" t="s">
        <v>64</v>
      </c>
      <c r="D369" s="21" t="s">
        <v>65</v>
      </c>
      <c r="E369" s="20">
        <v>125</v>
      </c>
      <c r="F369" s="20">
        <v>3000654</v>
      </c>
      <c r="G369" s="20">
        <v>5005023</v>
      </c>
      <c r="H369" s="20">
        <v>3</v>
      </c>
      <c r="I369" s="20">
        <v>12</v>
      </c>
      <c r="J369" s="20">
        <v>24</v>
      </c>
      <c r="K369" s="20">
        <v>135560</v>
      </c>
      <c r="L369" s="21" t="s">
        <v>220</v>
      </c>
      <c r="M369" s="33" t="s">
        <v>221</v>
      </c>
      <c r="N369" s="19">
        <v>97</v>
      </c>
      <c r="O369" s="2"/>
      <c r="P369" s="2" t="s">
        <v>4</v>
      </c>
      <c r="Q369" s="20" t="s">
        <v>68</v>
      </c>
      <c r="R369" s="25" t="s">
        <v>69</v>
      </c>
      <c r="S369" s="41" t="s">
        <v>137</v>
      </c>
      <c r="T369" s="41"/>
      <c r="U369" s="31" t="s">
        <v>372</v>
      </c>
      <c r="V369" s="25" t="s">
        <v>3</v>
      </c>
      <c r="W369" s="25">
        <v>1</v>
      </c>
      <c r="X369" s="27">
        <v>4500</v>
      </c>
      <c r="Y369" s="1142"/>
      <c r="Z369" s="1143"/>
      <c r="AA369" s="1143"/>
      <c r="AB369" s="1144"/>
      <c r="AC369" s="25"/>
      <c r="AD369" s="25">
        <v>30</v>
      </c>
      <c r="AE369" s="1142"/>
      <c r="AF369" s="1143"/>
      <c r="AG369" s="1143"/>
      <c r="AH369" s="1143"/>
      <c r="AI369" s="1143"/>
      <c r="AJ369" s="1145"/>
      <c r="AK369" s="35">
        <v>4500</v>
      </c>
      <c r="AL369" s="29" t="s">
        <v>73</v>
      </c>
      <c r="AM369" s="29" t="s">
        <v>73</v>
      </c>
      <c r="AN369" s="29" t="s">
        <v>73</v>
      </c>
      <c r="AO369" s="29" t="s">
        <v>73</v>
      </c>
      <c r="AP369" s="29" t="s">
        <v>73</v>
      </c>
      <c r="AQ369" s="30">
        <v>4500</v>
      </c>
      <c r="AR369" s="29" t="s">
        <v>73</v>
      </c>
      <c r="AS369" s="29" t="s">
        <v>73</v>
      </c>
      <c r="AT369" s="29" t="s">
        <v>73</v>
      </c>
      <c r="AU369" s="29" t="s">
        <v>73</v>
      </c>
      <c r="AV369" s="29" t="s">
        <v>73</v>
      </c>
      <c r="AW369" s="29" t="s">
        <v>73</v>
      </c>
      <c r="AX369" s="30">
        <v>4500</v>
      </c>
      <c r="AY369" s="30" t="s">
        <v>6</v>
      </c>
      <c r="AZ369" s="2" t="s">
        <v>74</v>
      </c>
      <c r="BA369" s="2"/>
    </row>
    <row r="370" spans="1:55" ht="51" x14ac:dyDescent="0.25">
      <c r="A370" s="19">
        <v>2026</v>
      </c>
      <c r="B370" s="20">
        <v>479</v>
      </c>
      <c r="C370" s="21" t="s">
        <v>64</v>
      </c>
      <c r="D370" s="21" t="s">
        <v>65</v>
      </c>
      <c r="E370" s="20">
        <v>125</v>
      </c>
      <c r="F370" s="20">
        <v>3000654</v>
      </c>
      <c r="G370" s="20">
        <v>5005023</v>
      </c>
      <c r="H370" s="20">
        <v>3</v>
      </c>
      <c r="I370" s="20">
        <v>12</v>
      </c>
      <c r="J370" s="20">
        <v>24</v>
      </c>
      <c r="K370" s="20">
        <v>135560</v>
      </c>
      <c r="L370" s="21" t="s">
        <v>98</v>
      </c>
      <c r="M370" s="33" t="s">
        <v>99</v>
      </c>
      <c r="N370" s="19">
        <v>94</v>
      </c>
      <c r="O370" s="2"/>
      <c r="P370" s="2" t="s">
        <v>4</v>
      </c>
      <c r="Q370" s="20" t="s">
        <v>68</v>
      </c>
      <c r="R370" s="25" t="s">
        <v>69</v>
      </c>
      <c r="S370" s="41" t="s">
        <v>137</v>
      </c>
      <c r="T370" s="41"/>
      <c r="U370" s="31" t="s">
        <v>399</v>
      </c>
      <c r="V370" s="25" t="s">
        <v>3</v>
      </c>
      <c r="W370" s="25">
        <v>1</v>
      </c>
      <c r="X370" s="27">
        <v>8000</v>
      </c>
      <c r="Y370" s="1142"/>
      <c r="Z370" s="1143"/>
      <c r="AA370" s="1143"/>
      <c r="AB370" s="1144"/>
      <c r="AC370" s="25">
        <v>30</v>
      </c>
      <c r="AD370" s="25"/>
      <c r="AE370" s="1142"/>
      <c r="AF370" s="1143"/>
      <c r="AG370" s="1143"/>
      <c r="AH370" s="1143"/>
      <c r="AI370" s="1143"/>
      <c r="AJ370" s="1145"/>
      <c r="AK370" s="35">
        <v>8000</v>
      </c>
      <c r="AL370" s="29" t="s">
        <v>73</v>
      </c>
      <c r="AM370" s="29" t="s">
        <v>73</v>
      </c>
      <c r="AN370" s="29" t="s">
        <v>73</v>
      </c>
      <c r="AO370" s="29" t="s">
        <v>73</v>
      </c>
      <c r="AP370" s="30">
        <v>8000</v>
      </c>
      <c r="AQ370" s="29" t="s">
        <v>73</v>
      </c>
      <c r="AR370" s="29" t="s">
        <v>73</v>
      </c>
      <c r="AS370" s="29" t="s">
        <v>73</v>
      </c>
      <c r="AT370" s="29" t="s">
        <v>73</v>
      </c>
      <c r="AU370" s="29" t="s">
        <v>73</v>
      </c>
      <c r="AV370" s="29" t="s">
        <v>73</v>
      </c>
      <c r="AW370" s="29" t="s">
        <v>73</v>
      </c>
      <c r="AX370" s="30">
        <v>8000</v>
      </c>
      <c r="AY370" s="18" t="s">
        <v>6</v>
      </c>
      <c r="AZ370" s="2" t="s">
        <v>74</v>
      </c>
      <c r="BA370" s="2"/>
    </row>
    <row r="371" spans="1:55" ht="51" x14ac:dyDescent="0.25">
      <c r="A371" s="19">
        <v>2026</v>
      </c>
      <c r="B371" s="20">
        <v>479</v>
      </c>
      <c r="C371" s="21" t="s">
        <v>64</v>
      </c>
      <c r="D371" s="21" t="s">
        <v>65</v>
      </c>
      <c r="E371" s="20">
        <v>125</v>
      </c>
      <c r="F371" s="20">
        <v>3000654</v>
      </c>
      <c r="G371" s="20">
        <v>5005023</v>
      </c>
      <c r="H371" s="20">
        <v>3</v>
      </c>
      <c r="I371" s="20">
        <v>12</v>
      </c>
      <c r="J371" s="20">
        <v>24</v>
      </c>
      <c r="K371" s="20">
        <v>135560</v>
      </c>
      <c r="L371" s="21" t="s">
        <v>220</v>
      </c>
      <c r="M371" s="33" t="s">
        <v>221</v>
      </c>
      <c r="N371" s="19">
        <v>97</v>
      </c>
      <c r="O371" s="2"/>
      <c r="P371" s="2" t="s">
        <v>4</v>
      </c>
      <c r="Q371" s="20" t="s">
        <v>68</v>
      </c>
      <c r="R371" s="25" t="s">
        <v>69</v>
      </c>
      <c r="S371" s="41" t="s">
        <v>137</v>
      </c>
      <c r="T371" s="41"/>
      <c r="U371" s="31" t="s">
        <v>399</v>
      </c>
      <c r="V371" s="25" t="s">
        <v>3</v>
      </c>
      <c r="W371" s="25">
        <v>1</v>
      </c>
      <c r="X371" s="27">
        <v>8000</v>
      </c>
      <c r="Y371" s="1142"/>
      <c r="Z371" s="1143"/>
      <c r="AA371" s="1143"/>
      <c r="AB371" s="1144"/>
      <c r="AC371" s="25"/>
      <c r="AD371" s="25">
        <v>30</v>
      </c>
      <c r="AE371" s="1142"/>
      <c r="AF371" s="1143"/>
      <c r="AG371" s="1143"/>
      <c r="AH371" s="1143"/>
      <c r="AI371" s="1143"/>
      <c r="AJ371" s="1145"/>
      <c r="AK371" s="35">
        <v>8000</v>
      </c>
      <c r="AL371" s="29" t="s">
        <v>73</v>
      </c>
      <c r="AM371" s="29" t="s">
        <v>73</v>
      </c>
      <c r="AN371" s="29" t="s">
        <v>73</v>
      </c>
      <c r="AO371" s="29" t="s">
        <v>73</v>
      </c>
      <c r="AP371" s="29" t="s">
        <v>73</v>
      </c>
      <c r="AQ371" s="30">
        <v>8000</v>
      </c>
      <c r="AR371" s="29" t="s">
        <v>73</v>
      </c>
      <c r="AS371" s="29" t="s">
        <v>73</v>
      </c>
      <c r="AT371" s="29" t="s">
        <v>73</v>
      </c>
      <c r="AU371" s="29" t="s">
        <v>73</v>
      </c>
      <c r="AV371" s="29" t="s">
        <v>73</v>
      </c>
      <c r="AW371" s="29" t="s">
        <v>73</v>
      </c>
      <c r="AX371" s="30">
        <v>8000</v>
      </c>
      <c r="AY371" s="30" t="s">
        <v>6</v>
      </c>
      <c r="AZ371" s="2" t="s">
        <v>74</v>
      </c>
      <c r="BA371" s="2"/>
    </row>
    <row r="372" spans="1:55" ht="51" x14ac:dyDescent="0.25">
      <c r="A372" s="19">
        <v>2026</v>
      </c>
      <c r="B372" s="20">
        <v>479</v>
      </c>
      <c r="C372" s="21" t="s">
        <v>64</v>
      </c>
      <c r="D372" s="21" t="s">
        <v>65</v>
      </c>
      <c r="E372" s="20">
        <v>125</v>
      </c>
      <c r="F372" s="20">
        <v>3000654</v>
      </c>
      <c r="G372" s="20">
        <v>5005023</v>
      </c>
      <c r="H372" s="20">
        <v>3</v>
      </c>
      <c r="I372" s="20">
        <v>12</v>
      </c>
      <c r="J372" s="20">
        <v>24</v>
      </c>
      <c r="K372" s="20">
        <v>135560</v>
      </c>
      <c r="L372" s="21" t="s">
        <v>98</v>
      </c>
      <c r="M372" s="33" t="s">
        <v>99</v>
      </c>
      <c r="N372" s="19">
        <v>94</v>
      </c>
      <c r="O372" s="2"/>
      <c r="P372" s="2" t="s">
        <v>4</v>
      </c>
      <c r="Q372" s="20" t="s">
        <v>68</v>
      </c>
      <c r="R372" s="25" t="s">
        <v>69</v>
      </c>
      <c r="S372" s="41" t="s">
        <v>137</v>
      </c>
      <c r="T372" s="41"/>
      <c r="U372" s="31" t="s">
        <v>400</v>
      </c>
      <c r="V372" s="25" t="s">
        <v>3</v>
      </c>
      <c r="W372" s="25">
        <v>1</v>
      </c>
      <c r="X372" s="27">
        <v>8500</v>
      </c>
      <c r="Y372" s="1142"/>
      <c r="Z372" s="1143"/>
      <c r="AA372" s="1143"/>
      <c r="AB372" s="1144"/>
      <c r="AC372" s="25">
        <v>30</v>
      </c>
      <c r="AD372" s="25"/>
      <c r="AE372" s="1142"/>
      <c r="AF372" s="1143"/>
      <c r="AG372" s="1143"/>
      <c r="AH372" s="1143"/>
      <c r="AI372" s="1143"/>
      <c r="AJ372" s="1145"/>
      <c r="AK372" s="35">
        <v>8500</v>
      </c>
      <c r="AL372" s="29" t="s">
        <v>73</v>
      </c>
      <c r="AM372" s="29" t="s">
        <v>73</v>
      </c>
      <c r="AN372" s="29" t="s">
        <v>73</v>
      </c>
      <c r="AO372" s="29" t="s">
        <v>73</v>
      </c>
      <c r="AP372" s="30">
        <v>8500</v>
      </c>
      <c r="AQ372" s="29" t="s">
        <v>73</v>
      </c>
      <c r="AR372" s="29" t="s">
        <v>73</v>
      </c>
      <c r="AS372" s="29" t="s">
        <v>73</v>
      </c>
      <c r="AT372" s="29" t="s">
        <v>73</v>
      </c>
      <c r="AU372" s="29" t="s">
        <v>73</v>
      </c>
      <c r="AV372" s="29" t="s">
        <v>73</v>
      </c>
      <c r="AW372" s="29" t="s">
        <v>73</v>
      </c>
      <c r="AX372" s="30">
        <v>8500</v>
      </c>
      <c r="AY372" s="18" t="s">
        <v>6</v>
      </c>
      <c r="AZ372" s="2" t="s">
        <v>74</v>
      </c>
      <c r="BA372" s="2"/>
    </row>
    <row r="373" spans="1:55" ht="51" x14ac:dyDescent="0.25">
      <c r="A373" s="19">
        <v>2026</v>
      </c>
      <c r="B373" s="20">
        <v>479</v>
      </c>
      <c r="C373" s="21" t="s">
        <v>64</v>
      </c>
      <c r="D373" s="21" t="s">
        <v>65</v>
      </c>
      <c r="E373" s="20">
        <v>125</v>
      </c>
      <c r="F373" s="20">
        <v>3000654</v>
      </c>
      <c r="G373" s="20">
        <v>5005023</v>
      </c>
      <c r="H373" s="20">
        <v>3</v>
      </c>
      <c r="I373" s="20">
        <v>12</v>
      </c>
      <c r="J373" s="20">
        <v>24</v>
      </c>
      <c r="K373" s="20">
        <v>135560</v>
      </c>
      <c r="L373" s="21" t="s">
        <v>220</v>
      </c>
      <c r="M373" s="33" t="s">
        <v>221</v>
      </c>
      <c r="N373" s="19">
        <v>97</v>
      </c>
      <c r="O373" s="2"/>
      <c r="P373" s="2" t="s">
        <v>4</v>
      </c>
      <c r="Q373" s="20" t="s">
        <v>68</v>
      </c>
      <c r="R373" s="25" t="s">
        <v>69</v>
      </c>
      <c r="S373" s="41" t="s">
        <v>137</v>
      </c>
      <c r="T373" s="41"/>
      <c r="U373" s="31" t="s">
        <v>400</v>
      </c>
      <c r="V373" s="25" t="s">
        <v>3</v>
      </c>
      <c r="W373" s="25">
        <v>1</v>
      </c>
      <c r="X373" s="27">
        <v>8500</v>
      </c>
      <c r="Y373" s="1142"/>
      <c r="Z373" s="1143"/>
      <c r="AA373" s="1143"/>
      <c r="AB373" s="1144"/>
      <c r="AC373" s="25"/>
      <c r="AD373" s="25">
        <v>30</v>
      </c>
      <c r="AE373" s="1142"/>
      <c r="AF373" s="1143"/>
      <c r="AG373" s="1143"/>
      <c r="AH373" s="1143"/>
      <c r="AI373" s="1143"/>
      <c r="AJ373" s="1145"/>
      <c r="AK373" s="35">
        <v>8500</v>
      </c>
      <c r="AL373" s="29" t="s">
        <v>73</v>
      </c>
      <c r="AM373" s="29" t="s">
        <v>73</v>
      </c>
      <c r="AN373" s="29" t="s">
        <v>73</v>
      </c>
      <c r="AO373" s="29" t="s">
        <v>73</v>
      </c>
      <c r="AP373" s="29" t="s">
        <v>73</v>
      </c>
      <c r="AQ373" s="30">
        <v>8500</v>
      </c>
      <c r="AR373" s="29" t="s">
        <v>73</v>
      </c>
      <c r="AS373" s="29" t="s">
        <v>73</v>
      </c>
      <c r="AT373" s="29" t="s">
        <v>73</v>
      </c>
      <c r="AU373" s="29" t="s">
        <v>73</v>
      </c>
      <c r="AV373" s="29" t="s">
        <v>73</v>
      </c>
      <c r="AW373" s="29" t="s">
        <v>73</v>
      </c>
      <c r="AX373" s="30">
        <v>8500</v>
      </c>
      <c r="AY373" s="30" t="s">
        <v>6</v>
      </c>
      <c r="AZ373" s="2" t="s">
        <v>74</v>
      </c>
      <c r="BA373" s="2"/>
    </row>
    <row r="374" spans="1:55" ht="51" x14ac:dyDescent="0.25">
      <c r="A374" s="19">
        <v>2026</v>
      </c>
      <c r="B374" s="20">
        <v>479</v>
      </c>
      <c r="C374" s="21" t="s">
        <v>64</v>
      </c>
      <c r="D374" s="21" t="s">
        <v>65</v>
      </c>
      <c r="E374" s="20">
        <v>125</v>
      </c>
      <c r="F374" s="20">
        <v>3000654</v>
      </c>
      <c r="G374" s="20">
        <v>5005023</v>
      </c>
      <c r="H374" s="20">
        <v>3</v>
      </c>
      <c r="I374" s="20">
        <v>12</v>
      </c>
      <c r="J374" s="20">
        <v>24</v>
      </c>
      <c r="K374" s="20">
        <v>135560</v>
      </c>
      <c r="L374" s="21" t="s">
        <v>220</v>
      </c>
      <c r="M374" s="45" t="s">
        <v>221</v>
      </c>
      <c r="N374" s="19">
        <v>97</v>
      </c>
      <c r="O374" s="2"/>
      <c r="P374" s="2" t="s">
        <v>4</v>
      </c>
      <c r="Q374" s="46" t="s">
        <v>68</v>
      </c>
      <c r="R374" s="25" t="s">
        <v>69</v>
      </c>
      <c r="S374" s="47" t="s">
        <v>137</v>
      </c>
      <c r="T374" s="41"/>
      <c r="U374" s="48" t="s">
        <v>401</v>
      </c>
      <c r="V374" s="49" t="s">
        <v>3</v>
      </c>
      <c r="W374" s="49">
        <v>1</v>
      </c>
      <c r="X374" s="27">
        <v>4000</v>
      </c>
      <c r="Y374" s="1142"/>
      <c r="Z374" s="1143"/>
      <c r="AA374" s="1143"/>
      <c r="AB374" s="1144"/>
      <c r="AC374" s="25">
        <v>30</v>
      </c>
      <c r="AD374" s="25">
        <v>30</v>
      </c>
      <c r="AE374" s="1142"/>
      <c r="AF374" s="1143"/>
      <c r="AG374" s="1143"/>
      <c r="AH374" s="1143"/>
      <c r="AI374" s="1143"/>
      <c r="AJ374" s="1145"/>
      <c r="AK374" s="50">
        <v>8000</v>
      </c>
      <c r="AL374" s="29" t="s">
        <v>73</v>
      </c>
      <c r="AM374" s="29" t="s">
        <v>73</v>
      </c>
      <c r="AN374" s="29" t="s">
        <v>73</v>
      </c>
      <c r="AO374" s="29" t="s">
        <v>73</v>
      </c>
      <c r="AP374" s="30">
        <v>4000</v>
      </c>
      <c r="AQ374" s="30">
        <v>4000</v>
      </c>
      <c r="AR374" s="29" t="s">
        <v>73</v>
      </c>
      <c r="AS374" s="29" t="s">
        <v>73</v>
      </c>
      <c r="AT374" s="29" t="s">
        <v>73</v>
      </c>
      <c r="AU374" s="29" t="s">
        <v>73</v>
      </c>
      <c r="AV374" s="29" t="s">
        <v>73</v>
      </c>
      <c r="AW374" s="29" t="s">
        <v>73</v>
      </c>
      <c r="AX374" s="30">
        <v>8000</v>
      </c>
      <c r="AY374" s="30" t="s">
        <v>6</v>
      </c>
      <c r="AZ374" s="2" t="s">
        <v>74</v>
      </c>
      <c r="BA374" s="2"/>
    </row>
    <row r="375" spans="1:55" ht="51" x14ac:dyDescent="0.25">
      <c r="A375" s="51">
        <v>2026</v>
      </c>
      <c r="B375" s="52">
        <v>479</v>
      </c>
      <c r="C375" s="21" t="s">
        <v>64</v>
      </c>
      <c r="D375" s="21" t="s">
        <v>65</v>
      </c>
      <c r="E375" s="20">
        <v>125</v>
      </c>
      <c r="F375" s="20">
        <v>3000654</v>
      </c>
      <c r="G375" s="20">
        <v>5005023</v>
      </c>
      <c r="H375" s="20">
        <v>3</v>
      </c>
      <c r="I375" s="20">
        <v>12</v>
      </c>
      <c r="J375" s="20">
        <v>24</v>
      </c>
      <c r="K375" s="20">
        <v>135560</v>
      </c>
      <c r="L375" s="53" t="s">
        <v>98</v>
      </c>
      <c r="M375" s="54" t="s">
        <v>99</v>
      </c>
      <c r="N375" s="51">
        <v>94</v>
      </c>
      <c r="O375" s="2"/>
      <c r="P375" s="2" t="s">
        <v>4</v>
      </c>
      <c r="Q375" s="51" t="s">
        <v>68</v>
      </c>
      <c r="R375" s="180" t="s">
        <v>69</v>
      </c>
      <c r="S375" s="55" t="s">
        <v>137</v>
      </c>
      <c r="T375" s="56"/>
      <c r="U375" s="57" t="s">
        <v>402</v>
      </c>
      <c r="V375" s="58" t="s">
        <v>72</v>
      </c>
      <c r="W375" s="58">
        <v>1</v>
      </c>
      <c r="X375" s="181">
        <v>38800</v>
      </c>
      <c r="Y375" s="1142"/>
      <c r="Z375" s="1143"/>
      <c r="AA375" s="1143"/>
      <c r="AB375" s="1144"/>
      <c r="AC375" s="25">
        <v>1</v>
      </c>
      <c r="AD375" s="25">
        <v>1</v>
      </c>
      <c r="AE375" s="1142"/>
      <c r="AF375" s="1143"/>
      <c r="AG375" s="1143"/>
      <c r="AH375" s="1143"/>
      <c r="AI375" s="1143"/>
      <c r="AJ375" s="1143"/>
      <c r="AK375" s="59">
        <v>77600</v>
      </c>
      <c r="AL375" s="29" t="s">
        <v>73</v>
      </c>
      <c r="AM375" s="29" t="s">
        <v>73</v>
      </c>
      <c r="AN375" s="29" t="s">
        <v>73</v>
      </c>
      <c r="AO375" s="29" t="s">
        <v>73</v>
      </c>
      <c r="AP375" s="30">
        <v>38800</v>
      </c>
      <c r="AQ375" s="30">
        <v>38800</v>
      </c>
      <c r="AR375" s="29" t="s">
        <v>73</v>
      </c>
      <c r="AS375" s="29" t="s">
        <v>73</v>
      </c>
      <c r="AT375" s="29" t="s">
        <v>73</v>
      </c>
      <c r="AU375" s="29" t="s">
        <v>73</v>
      </c>
      <c r="AV375" s="29" t="s">
        <v>73</v>
      </c>
      <c r="AW375" s="29" t="s">
        <v>73</v>
      </c>
      <c r="AX375" s="30">
        <v>77600</v>
      </c>
      <c r="AY375" s="18" t="s">
        <v>4</v>
      </c>
      <c r="AZ375" s="2" t="s">
        <v>74</v>
      </c>
      <c r="BA375" s="2"/>
      <c r="BC375" t="s">
        <v>403</v>
      </c>
    </row>
    <row r="376" spans="1:55" ht="51" x14ac:dyDescent="0.25">
      <c r="A376" s="19">
        <v>2026</v>
      </c>
      <c r="B376" s="20">
        <v>479</v>
      </c>
      <c r="C376" s="21" t="s">
        <v>64</v>
      </c>
      <c r="D376" s="21" t="s">
        <v>65</v>
      </c>
      <c r="E376" s="20">
        <v>125</v>
      </c>
      <c r="F376" s="20">
        <v>3000654</v>
      </c>
      <c r="G376" s="20">
        <v>5005023</v>
      </c>
      <c r="H376" s="20">
        <v>3</v>
      </c>
      <c r="I376" s="20">
        <v>12</v>
      </c>
      <c r="J376" s="20">
        <v>24</v>
      </c>
      <c r="K376" s="20">
        <v>135560</v>
      </c>
      <c r="L376" s="21" t="s">
        <v>98</v>
      </c>
      <c r="M376" s="26" t="s">
        <v>99</v>
      </c>
      <c r="N376" s="19">
        <v>94</v>
      </c>
      <c r="O376" s="2"/>
      <c r="P376" s="2" t="s">
        <v>4</v>
      </c>
      <c r="Q376" s="23" t="s">
        <v>68</v>
      </c>
      <c r="R376" s="25" t="s">
        <v>69</v>
      </c>
      <c r="S376" s="60" t="s">
        <v>137</v>
      </c>
      <c r="T376" s="41"/>
      <c r="U376" s="61" t="s">
        <v>404</v>
      </c>
      <c r="V376" s="24" t="s">
        <v>3</v>
      </c>
      <c r="W376" s="24">
        <v>1</v>
      </c>
      <c r="X376" s="27">
        <v>10000</v>
      </c>
      <c r="Y376" s="1142"/>
      <c r="Z376" s="1143"/>
      <c r="AA376" s="1143"/>
      <c r="AB376" s="1144"/>
      <c r="AC376" s="25">
        <v>30</v>
      </c>
      <c r="AD376" s="25">
        <v>30</v>
      </c>
      <c r="AE376" s="1142"/>
      <c r="AF376" s="1143"/>
      <c r="AG376" s="1143"/>
      <c r="AH376" s="1143"/>
      <c r="AI376" s="1143"/>
      <c r="AJ376" s="1145"/>
      <c r="AK376" s="62">
        <v>20000</v>
      </c>
      <c r="AL376" s="29" t="s">
        <v>73</v>
      </c>
      <c r="AM376" s="29" t="s">
        <v>73</v>
      </c>
      <c r="AN376" s="29" t="s">
        <v>73</v>
      </c>
      <c r="AO376" s="29" t="s">
        <v>73</v>
      </c>
      <c r="AP376" s="30">
        <v>10000</v>
      </c>
      <c r="AQ376" s="30">
        <v>10000</v>
      </c>
      <c r="AR376" s="29" t="s">
        <v>73</v>
      </c>
      <c r="AS376" s="29" t="s">
        <v>73</v>
      </c>
      <c r="AT376" s="29" t="s">
        <v>73</v>
      </c>
      <c r="AU376" s="29" t="s">
        <v>73</v>
      </c>
      <c r="AV376" s="29" t="s">
        <v>73</v>
      </c>
      <c r="AW376" s="29" t="s">
        <v>73</v>
      </c>
      <c r="AX376" s="30">
        <v>20000</v>
      </c>
      <c r="AY376" s="18" t="s">
        <v>4</v>
      </c>
      <c r="AZ376" s="2" t="s">
        <v>74</v>
      </c>
      <c r="BA376" s="2"/>
    </row>
    <row r="377" spans="1:55" ht="51" x14ac:dyDescent="0.25">
      <c r="A377" s="19">
        <v>2026</v>
      </c>
      <c r="B377" s="20">
        <v>479</v>
      </c>
      <c r="C377" s="21" t="s">
        <v>64</v>
      </c>
      <c r="D377" s="21" t="s">
        <v>65</v>
      </c>
      <c r="E377" s="20">
        <v>125</v>
      </c>
      <c r="F377" s="20">
        <v>3000654</v>
      </c>
      <c r="G377" s="20">
        <v>5005023</v>
      </c>
      <c r="H377" s="20">
        <v>3</v>
      </c>
      <c r="I377" s="20">
        <v>12</v>
      </c>
      <c r="J377" s="20">
        <v>24</v>
      </c>
      <c r="K377" s="20">
        <v>135560</v>
      </c>
      <c r="L377" s="21" t="s">
        <v>98</v>
      </c>
      <c r="M377" s="33" t="s">
        <v>99</v>
      </c>
      <c r="N377" s="19">
        <v>94</v>
      </c>
      <c r="O377" s="2"/>
      <c r="P377" s="2" t="s">
        <v>4</v>
      </c>
      <c r="Q377" s="20" t="s">
        <v>68</v>
      </c>
      <c r="R377" s="25" t="s">
        <v>69</v>
      </c>
      <c r="S377" s="41" t="s">
        <v>137</v>
      </c>
      <c r="T377" s="41"/>
      <c r="U377" s="31" t="s">
        <v>405</v>
      </c>
      <c r="V377" s="25" t="s">
        <v>3</v>
      </c>
      <c r="W377" s="25">
        <v>1</v>
      </c>
      <c r="X377" s="27">
        <v>10000</v>
      </c>
      <c r="Y377" s="1142"/>
      <c r="Z377" s="1143"/>
      <c r="AA377" s="1143"/>
      <c r="AB377" s="1144"/>
      <c r="AC377" s="25">
        <v>30</v>
      </c>
      <c r="AD377" s="25">
        <v>30</v>
      </c>
      <c r="AE377" s="1142"/>
      <c r="AF377" s="1143"/>
      <c r="AG377" s="1143"/>
      <c r="AH377" s="1143"/>
      <c r="AI377" s="1143"/>
      <c r="AJ377" s="1145"/>
      <c r="AK377" s="35">
        <v>20000</v>
      </c>
      <c r="AL377" s="29" t="s">
        <v>73</v>
      </c>
      <c r="AM377" s="29" t="s">
        <v>73</v>
      </c>
      <c r="AN377" s="29" t="s">
        <v>73</v>
      </c>
      <c r="AO377" s="29" t="s">
        <v>73</v>
      </c>
      <c r="AP377" s="30">
        <v>10000</v>
      </c>
      <c r="AQ377" s="30">
        <v>10000</v>
      </c>
      <c r="AR377" s="29" t="s">
        <v>73</v>
      </c>
      <c r="AS377" s="29" t="s">
        <v>73</v>
      </c>
      <c r="AT377" s="29" t="s">
        <v>73</v>
      </c>
      <c r="AU377" s="29" t="s">
        <v>73</v>
      </c>
      <c r="AV377" s="29" t="s">
        <v>73</v>
      </c>
      <c r="AW377" s="29" t="s">
        <v>73</v>
      </c>
      <c r="AX377" s="30">
        <v>20000</v>
      </c>
      <c r="AY377" s="18" t="s">
        <v>4</v>
      </c>
      <c r="AZ377" s="2" t="s">
        <v>74</v>
      </c>
      <c r="BA377" s="2"/>
    </row>
    <row r="378" spans="1:55" ht="51" x14ac:dyDescent="0.25">
      <c r="A378" s="19">
        <v>2026</v>
      </c>
      <c r="B378" s="20">
        <v>479</v>
      </c>
      <c r="C378" s="21" t="s">
        <v>64</v>
      </c>
      <c r="D378" s="21" t="s">
        <v>65</v>
      </c>
      <c r="E378" s="20">
        <v>125</v>
      </c>
      <c r="F378" s="20">
        <v>3000654</v>
      </c>
      <c r="G378" s="20">
        <v>5005023</v>
      </c>
      <c r="H378" s="20">
        <v>3</v>
      </c>
      <c r="I378" s="20">
        <v>12</v>
      </c>
      <c r="J378" s="20">
        <v>24</v>
      </c>
      <c r="K378" s="20">
        <v>135560</v>
      </c>
      <c r="L378" s="21" t="s">
        <v>98</v>
      </c>
      <c r="M378" s="33" t="s">
        <v>99</v>
      </c>
      <c r="N378" s="19">
        <v>94</v>
      </c>
      <c r="O378" s="2"/>
      <c r="P378" s="2" t="s">
        <v>4</v>
      </c>
      <c r="Q378" s="20" t="s">
        <v>68</v>
      </c>
      <c r="R378" s="25" t="s">
        <v>69</v>
      </c>
      <c r="S378" s="41" t="s">
        <v>137</v>
      </c>
      <c r="T378" s="41"/>
      <c r="U378" s="31" t="s">
        <v>406</v>
      </c>
      <c r="V378" s="25" t="s">
        <v>3</v>
      </c>
      <c r="W378" s="25">
        <v>1</v>
      </c>
      <c r="X378" s="27">
        <v>10000</v>
      </c>
      <c r="Y378" s="1142"/>
      <c r="Z378" s="1143"/>
      <c r="AA378" s="1143"/>
      <c r="AB378" s="1144"/>
      <c r="AC378" s="25">
        <v>30</v>
      </c>
      <c r="AD378" s="25">
        <v>30</v>
      </c>
      <c r="AE378" s="1142"/>
      <c r="AF378" s="1143"/>
      <c r="AG378" s="1143"/>
      <c r="AH378" s="1143"/>
      <c r="AI378" s="1143"/>
      <c r="AJ378" s="1145"/>
      <c r="AK378" s="35">
        <v>20000</v>
      </c>
      <c r="AL378" s="29" t="s">
        <v>73</v>
      </c>
      <c r="AM378" s="29" t="s">
        <v>73</v>
      </c>
      <c r="AN378" s="29" t="s">
        <v>73</v>
      </c>
      <c r="AO378" s="29" t="s">
        <v>73</v>
      </c>
      <c r="AP378" s="30">
        <v>10000</v>
      </c>
      <c r="AQ378" s="30">
        <v>10000</v>
      </c>
      <c r="AR378" s="29" t="s">
        <v>73</v>
      </c>
      <c r="AS378" s="29" t="s">
        <v>73</v>
      </c>
      <c r="AT378" s="29" t="s">
        <v>73</v>
      </c>
      <c r="AU378" s="29" t="s">
        <v>73</v>
      </c>
      <c r="AV378" s="29" t="s">
        <v>73</v>
      </c>
      <c r="AW378" s="29" t="s">
        <v>73</v>
      </c>
      <c r="AX378" s="30">
        <v>20000</v>
      </c>
      <c r="AY378" s="18" t="s">
        <v>4</v>
      </c>
      <c r="AZ378" s="2" t="s">
        <v>74</v>
      </c>
      <c r="BA378" s="2"/>
    </row>
    <row r="379" spans="1:55" ht="76.5" x14ac:dyDescent="0.25">
      <c r="A379" s="19">
        <v>2026</v>
      </c>
      <c r="B379" s="20">
        <v>479</v>
      </c>
      <c r="C379" s="21" t="s">
        <v>64</v>
      </c>
      <c r="D379" s="21" t="s">
        <v>65</v>
      </c>
      <c r="E379" s="20">
        <v>125</v>
      </c>
      <c r="F379" s="20">
        <v>3000654</v>
      </c>
      <c r="G379" s="20">
        <v>5005023</v>
      </c>
      <c r="H379" s="20">
        <v>3</v>
      </c>
      <c r="I379" s="20">
        <v>12</v>
      </c>
      <c r="J379" s="20">
        <v>24</v>
      </c>
      <c r="K379" s="20">
        <v>135560</v>
      </c>
      <c r="L379" s="21" t="s">
        <v>82</v>
      </c>
      <c r="M379" s="33" t="s">
        <v>83</v>
      </c>
      <c r="N379" s="19">
        <v>96</v>
      </c>
      <c r="O379" s="2"/>
      <c r="P379" s="2" t="s">
        <v>4</v>
      </c>
      <c r="Q379" s="20" t="s">
        <v>68</v>
      </c>
      <c r="R379" s="25" t="s">
        <v>69</v>
      </c>
      <c r="S379" s="41" t="s">
        <v>137</v>
      </c>
      <c r="T379" s="41"/>
      <c r="U379" s="31" t="s">
        <v>407</v>
      </c>
      <c r="V379" s="25" t="s">
        <v>3</v>
      </c>
      <c r="W379" s="25">
        <v>1</v>
      </c>
      <c r="X379" s="27">
        <v>10000</v>
      </c>
      <c r="Y379" s="1142"/>
      <c r="Z379" s="1143"/>
      <c r="AA379" s="1143"/>
      <c r="AB379" s="1144"/>
      <c r="AC379" s="25">
        <v>30</v>
      </c>
      <c r="AD379" s="25">
        <v>30</v>
      </c>
      <c r="AE379" s="1142"/>
      <c r="AF379" s="1143"/>
      <c r="AG379" s="1143"/>
      <c r="AH379" s="1143"/>
      <c r="AI379" s="1143"/>
      <c r="AJ379" s="1145"/>
      <c r="AK379" s="35">
        <v>20000</v>
      </c>
      <c r="AL379" s="29" t="s">
        <v>73</v>
      </c>
      <c r="AM379" s="29" t="s">
        <v>73</v>
      </c>
      <c r="AN379" s="29" t="s">
        <v>73</v>
      </c>
      <c r="AO379" s="29" t="s">
        <v>73</v>
      </c>
      <c r="AP379" s="30">
        <v>10000</v>
      </c>
      <c r="AQ379" s="30">
        <v>10000</v>
      </c>
      <c r="AR379" s="29" t="s">
        <v>73</v>
      </c>
      <c r="AS379" s="29" t="s">
        <v>73</v>
      </c>
      <c r="AT379" s="29" t="s">
        <v>73</v>
      </c>
      <c r="AU379" s="29" t="s">
        <v>73</v>
      </c>
      <c r="AV379" s="29" t="s">
        <v>73</v>
      </c>
      <c r="AW379" s="29" t="s">
        <v>73</v>
      </c>
      <c r="AX379" s="30">
        <v>20000</v>
      </c>
      <c r="AY379" s="18" t="s">
        <v>4</v>
      </c>
      <c r="AZ379" s="2" t="s">
        <v>74</v>
      </c>
      <c r="BA379" s="2"/>
    </row>
    <row r="380" spans="1:55" ht="51" x14ac:dyDescent="0.25">
      <c r="A380" s="19">
        <v>2026</v>
      </c>
      <c r="B380" s="20">
        <v>479</v>
      </c>
      <c r="C380" s="21" t="s">
        <v>64</v>
      </c>
      <c r="D380" s="21" t="s">
        <v>65</v>
      </c>
      <c r="E380" s="20">
        <v>125</v>
      </c>
      <c r="F380" s="20">
        <v>3000654</v>
      </c>
      <c r="G380" s="20">
        <v>5005023</v>
      </c>
      <c r="H380" s="20">
        <v>3</v>
      </c>
      <c r="I380" s="20">
        <v>12</v>
      </c>
      <c r="J380" s="20">
        <v>24</v>
      </c>
      <c r="K380" s="20">
        <v>135560</v>
      </c>
      <c r="L380" s="21" t="s">
        <v>98</v>
      </c>
      <c r="M380" s="33" t="s">
        <v>99</v>
      </c>
      <c r="N380" s="19">
        <v>94</v>
      </c>
      <c r="O380" s="2"/>
      <c r="P380" s="2" t="s">
        <v>4</v>
      </c>
      <c r="Q380" s="20" t="s">
        <v>68</v>
      </c>
      <c r="R380" s="25" t="s">
        <v>69</v>
      </c>
      <c r="S380" s="41" t="s">
        <v>137</v>
      </c>
      <c r="T380" s="41"/>
      <c r="U380" s="31" t="s">
        <v>408</v>
      </c>
      <c r="V380" s="25" t="s">
        <v>3</v>
      </c>
      <c r="W380" s="25">
        <v>1</v>
      </c>
      <c r="X380" s="27">
        <v>10000</v>
      </c>
      <c r="Y380" s="1142"/>
      <c r="Z380" s="1143"/>
      <c r="AA380" s="1143"/>
      <c r="AB380" s="1144"/>
      <c r="AC380" s="25">
        <v>30</v>
      </c>
      <c r="AD380" s="25">
        <v>30</v>
      </c>
      <c r="AE380" s="1142"/>
      <c r="AF380" s="1143"/>
      <c r="AG380" s="1143"/>
      <c r="AH380" s="1143"/>
      <c r="AI380" s="1143"/>
      <c r="AJ380" s="1145"/>
      <c r="AK380" s="35">
        <v>20000</v>
      </c>
      <c r="AL380" s="29" t="s">
        <v>73</v>
      </c>
      <c r="AM380" s="29" t="s">
        <v>73</v>
      </c>
      <c r="AN380" s="29" t="s">
        <v>73</v>
      </c>
      <c r="AO380" s="29" t="s">
        <v>73</v>
      </c>
      <c r="AP380" s="30">
        <v>10000</v>
      </c>
      <c r="AQ380" s="30">
        <v>10000</v>
      </c>
      <c r="AR380" s="29" t="s">
        <v>73</v>
      </c>
      <c r="AS380" s="29" t="s">
        <v>73</v>
      </c>
      <c r="AT380" s="29" t="s">
        <v>73</v>
      </c>
      <c r="AU380" s="29" t="s">
        <v>73</v>
      </c>
      <c r="AV380" s="29" t="s">
        <v>73</v>
      </c>
      <c r="AW380" s="29" t="s">
        <v>73</v>
      </c>
      <c r="AX380" s="30">
        <v>20000</v>
      </c>
      <c r="AY380" s="18" t="s">
        <v>4</v>
      </c>
      <c r="AZ380" s="2" t="s">
        <v>74</v>
      </c>
      <c r="BA380" s="2"/>
    </row>
    <row r="381" spans="1:55" ht="76.5" x14ac:dyDescent="0.25">
      <c r="A381" s="19">
        <v>2026</v>
      </c>
      <c r="B381" s="20">
        <v>479</v>
      </c>
      <c r="C381" s="21" t="s">
        <v>64</v>
      </c>
      <c r="D381" s="21" t="s">
        <v>65</v>
      </c>
      <c r="E381" s="20">
        <v>125</v>
      </c>
      <c r="F381" s="20">
        <v>3000654</v>
      </c>
      <c r="G381" s="20">
        <v>5005023</v>
      </c>
      <c r="H381" s="20">
        <v>3</v>
      </c>
      <c r="I381" s="20">
        <v>12</v>
      </c>
      <c r="J381" s="20">
        <v>24</v>
      </c>
      <c r="K381" s="20">
        <v>135560</v>
      </c>
      <c r="L381" s="21" t="s">
        <v>82</v>
      </c>
      <c r="M381" s="33" t="s">
        <v>83</v>
      </c>
      <c r="N381" s="19">
        <v>96</v>
      </c>
      <c r="O381" s="2"/>
      <c r="P381" s="2" t="s">
        <v>4</v>
      </c>
      <c r="Q381" s="20" t="s">
        <v>68</v>
      </c>
      <c r="R381" s="25" t="s">
        <v>69</v>
      </c>
      <c r="S381" s="41" t="s">
        <v>137</v>
      </c>
      <c r="T381" s="41"/>
      <c r="U381" s="31" t="s">
        <v>409</v>
      </c>
      <c r="V381" s="25" t="s">
        <v>3</v>
      </c>
      <c r="W381" s="25">
        <v>1</v>
      </c>
      <c r="X381" s="27">
        <v>6000</v>
      </c>
      <c r="Y381" s="1142"/>
      <c r="Z381" s="1143"/>
      <c r="AA381" s="1143"/>
      <c r="AB381" s="1144"/>
      <c r="AC381" s="25">
        <v>30</v>
      </c>
      <c r="AD381" s="25">
        <v>30</v>
      </c>
      <c r="AE381" s="1142"/>
      <c r="AF381" s="1143"/>
      <c r="AG381" s="1143"/>
      <c r="AH381" s="1143"/>
      <c r="AI381" s="1143"/>
      <c r="AJ381" s="1145"/>
      <c r="AK381" s="35">
        <v>12000</v>
      </c>
      <c r="AL381" s="29" t="s">
        <v>73</v>
      </c>
      <c r="AM381" s="29" t="s">
        <v>73</v>
      </c>
      <c r="AN381" s="29" t="s">
        <v>73</v>
      </c>
      <c r="AO381" s="29" t="s">
        <v>73</v>
      </c>
      <c r="AP381" s="30">
        <v>6000</v>
      </c>
      <c r="AQ381" s="30">
        <v>6000</v>
      </c>
      <c r="AR381" s="29" t="s">
        <v>73</v>
      </c>
      <c r="AS381" s="29" t="s">
        <v>73</v>
      </c>
      <c r="AT381" s="29" t="s">
        <v>73</v>
      </c>
      <c r="AU381" s="29" t="s">
        <v>73</v>
      </c>
      <c r="AV381" s="29" t="s">
        <v>73</v>
      </c>
      <c r="AW381" s="29" t="s">
        <v>73</v>
      </c>
      <c r="AX381" s="30">
        <v>12000</v>
      </c>
      <c r="AY381" s="18" t="s">
        <v>4</v>
      </c>
      <c r="AZ381" s="2" t="s">
        <v>74</v>
      </c>
      <c r="BA381" s="2"/>
    </row>
    <row r="382" spans="1:55" ht="76.5" x14ac:dyDescent="0.25">
      <c r="A382" s="19">
        <v>2026</v>
      </c>
      <c r="B382" s="20">
        <v>479</v>
      </c>
      <c r="C382" s="21" t="s">
        <v>64</v>
      </c>
      <c r="D382" s="21" t="s">
        <v>65</v>
      </c>
      <c r="E382" s="20">
        <v>125</v>
      </c>
      <c r="F382" s="20">
        <v>3000654</v>
      </c>
      <c r="G382" s="20">
        <v>5005023</v>
      </c>
      <c r="H382" s="20">
        <v>3</v>
      </c>
      <c r="I382" s="20">
        <v>12</v>
      </c>
      <c r="J382" s="20">
        <v>24</v>
      </c>
      <c r="K382" s="20">
        <v>135560</v>
      </c>
      <c r="L382" s="21" t="s">
        <v>82</v>
      </c>
      <c r="M382" s="33" t="s">
        <v>83</v>
      </c>
      <c r="N382" s="19">
        <v>96</v>
      </c>
      <c r="O382" s="2"/>
      <c r="P382" s="2" t="s">
        <v>4</v>
      </c>
      <c r="Q382" s="20" t="s">
        <v>68</v>
      </c>
      <c r="R382" s="25" t="s">
        <v>69</v>
      </c>
      <c r="S382" s="41" t="s">
        <v>137</v>
      </c>
      <c r="T382" s="41"/>
      <c r="U382" s="122" t="s">
        <v>410</v>
      </c>
      <c r="V382" s="138" t="s">
        <v>3</v>
      </c>
      <c r="W382" s="138">
        <v>1</v>
      </c>
      <c r="X382" s="229">
        <v>5000</v>
      </c>
      <c r="Y382" s="1142"/>
      <c r="Z382" s="1143"/>
      <c r="AA382" s="1143"/>
      <c r="AB382" s="1144"/>
      <c r="AC382" s="25">
        <v>30</v>
      </c>
      <c r="AD382" s="25">
        <v>30</v>
      </c>
      <c r="AE382" s="1142"/>
      <c r="AF382" s="1143"/>
      <c r="AG382" s="1143"/>
      <c r="AH382" s="1143"/>
      <c r="AI382" s="1143"/>
      <c r="AJ382" s="1145"/>
      <c r="AK382" s="35">
        <v>10000</v>
      </c>
      <c r="AL382" s="29" t="s">
        <v>73</v>
      </c>
      <c r="AM382" s="29" t="s">
        <v>73</v>
      </c>
      <c r="AN382" s="29" t="s">
        <v>73</v>
      </c>
      <c r="AO382" s="29" t="s">
        <v>73</v>
      </c>
      <c r="AP382" s="30">
        <v>5000</v>
      </c>
      <c r="AQ382" s="30">
        <v>5000</v>
      </c>
      <c r="AR382" s="29" t="s">
        <v>73</v>
      </c>
      <c r="AS382" s="29" t="s">
        <v>73</v>
      </c>
      <c r="AT382" s="29" t="s">
        <v>73</v>
      </c>
      <c r="AU382" s="29" t="s">
        <v>73</v>
      </c>
      <c r="AV382" s="29" t="s">
        <v>73</v>
      </c>
      <c r="AW382" s="29" t="s">
        <v>73</v>
      </c>
      <c r="AX382" s="30">
        <v>10000</v>
      </c>
      <c r="AY382" s="18" t="s">
        <v>4</v>
      </c>
      <c r="AZ382" s="2" t="s">
        <v>74</v>
      </c>
      <c r="BA382" s="2"/>
    </row>
    <row r="383" spans="1:55" ht="25.5" x14ac:dyDescent="0.25">
      <c r="A383" s="19">
        <v>2026</v>
      </c>
      <c r="B383" s="20">
        <v>479</v>
      </c>
      <c r="C383" s="21" t="s">
        <v>64</v>
      </c>
      <c r="D383" s="21" t="s">
        <v>411</v>
      </c>
      <c r="E383" s="20">
        <v>125</v>
      </c>
      <c r="F383" s="20">
        <v>3000001</v>
      </c>
      <c r="G383" s="20">
        <v>5000276</v>
      </c>
      <c r="H383" s="20">
        <v>3</v>
      </c>
      <c r="I383" s="20">
        <v>12</v>
      </c>
      <c r="J383" s="20">
        <v>24</v>
      </c>
      <c r="K383" s="20">
        <v>47173</v>
      </c>
      <c r="L383" s="21" t="s">
        <v>412</v>
      </c>
      <c r="M383" s="33" t="s">
        <v>413</v>
      </c>
      <c r="N383" s="19">
        <v>92</v>
      </c>
      <c r="O383" s="2"/>
      <c r="P383" s="2" t="s">
        <v>4</v>
      </c>
      <c r="Q383" s="20" t="s">
        <v>68</v>
      </c>
      <c r="R383" s="25" t="s">
        <v>69</v>
      </c>
      <c r="S383" s="41" t="s">
        <v>137</v>
      </c>
      <c r="T383" s="41"/>
      <c r="U383" s="31" t="s">
        <v>414</v>
      </c>
      <c r="V383" s="25" t="s">
        <v>3</v>
      </c>
      <c r="W383" s="25">
        <v>1</v>
      </c>
      <c r="X383" s="27">
        <v>9000</v>
      </c>
      <c r="Y383" s="1142"/>
      <c r="Z383" s="1143"/>
      <c r="AA383" s="1143"/>
      <c r="AB383" s="1144"/>
      <c r="AC383" s="25">
        <v>30</v>
      </c>
      <c r="AD383" s="25">
        <v>30</v>
      </c>
      <c r="AE383" s="1142"/>
      <c r="AF383" s="1143"/>
      <c r="AG383" s="1143"/>
      <c r="AH383" s="1143"/>
      <c r="AI383" s="1143"/>
      <c r="AJ383" s="1145"/>
      <c r="AK383" s="35">
        <v>18000</v>
      </c>
      <c r="AL383" s="29" t="s">
        <v>73</v>
      </c>
      <c r="AM383" s="29" t="s">
        <v>73</v>
      </c>
      <c r="AN383" s="29" t="s">
        <v>73</v>
      </c>
      <c r="AO383" s="29" t="s">
        <v>73</v>
      </c>
      <c r="AP383" s="30">
        <v>9000</v>
      </c>
      <c r="AQ383" s="30">
        <v>9000</v>
      </c>
      <c r="AR383" s="29" t="s">
        <v>73</v>
      </c>
      <c r="AS383" s="29" t="s">
        <v>73</v>
      </c>
      <c r="AT383" s="29" t="s">
        <v>73</v>
      </c>
      <c r="AU383" s="29" t="s">
        <v>73</v>
      </c>
      <c r="AV383" s="29" t="s">
        <v>73</v>
      </c>
      <c r="AW383" s="29" t="s">
        <v>73</v>
      </c>
      <c r="AX383" s="30">
        <v>18000</v>
      </c>
      <c r="AY383" s="30" t="s">
        <v>4</v>
      </c>
      <c r="AZ383" s="2" t="s">
        <v>74</v>
      </c>
      <c r="BA383" s="2"/>
    </row>
    <row r="384" spans="1:55" x14ac:dyDescent="0.25">
      <c r="A384" s="19">
        <v>2026</v>
      </c>
      <c r="B384" s="20">
        <v>479</v>
      </c>
      <c r="C384" s="21" t="s">
        <v>64</v>
      </c>
      <c r="D384" s="21" t="s">
        <v>411</v>
      </c>
      <c r="E384" s="20">
        <v>125</v>
      </c>
      <c r="F384" s="20">
        <v>3000001</v>
      </c>
      <c r="G384" s="20">
        <v>5000276</v>
      </c>
      <c r="H384" s="20">
        <v>3</v>
      </c>
      <c r="I384" s="20">
        <v>12</v>
      </c>
      <c r="J384" s="20">
        <v>24</v>
      </c>
      <c r="K384" s="20">
        <v>47173</v>
      </c>
      <c r="L384" s="21" t="s">
        <v>412</v>
      </c>
      <c r="M384" s="33" t="s">
        <v>413</v>
      </c>
      <c r="N384" s="19">
        <v>92</v>
      </c>
      <c r="O384" s="2"/>
      <c r="P384" s="2" t="s">
        <v>4</v>
      </c>
      <c r="Q384" s="20" t="s">
        <v>68</v>
      </c>
      <c r="R384" s="25" t="s">
        <v>69</v>
      </c>
      <c r="S384" s="41" t="s">
        <v>137</v>
      </c>
      <c r="T384" s="41"/>
      <c r="U384" s="31" t="s">
        <v>415</v>
      </c>
      <c r="V384" s="25" t="s">
        <v>3</v>
      </c>
      <c r="W384" s="25">
        <v>1</v>
      </c>
      <c r="X384" s="27">
        <v>9000</v>
      </c>
      <c r="Y384" s="1142"/>
      <c r="Z384" s="1143"/>
      <c r="AA384" s="1143"/>
      <c r="AB384" s="1144"/>
      <c r="AC384" s="25">
        <v>30</v>
      </c>
      <c r="AD384" s="25">
        <v>30</v>
      </c>
      <c r="AE384" s="1142"/>
      <c r="AF384" s="1143"/>
      <c r="AG384" s="1143"/>
      <c r="AH384" s="1143"/>
      <c r="AI384" s="1143"/>
      <c r="AJ384" s="1145"/>
      <c r="AK384" s="35">
        <v>18000</v>
      </c>
      <c r="AL384" s="29" t="s">
        <v>73</v>
      </c>
      <c r="AM384" s="29" t="s">
        <v>73</v>
      </c>
      <c r="AN384" s="29" t="s">
        <v>73</v>
      </c>
      <c r="AO384" s="29" t="s">
        <v>73</v>
      </c>
      <c r="AP384" s="30">
        <v>9000</v>
      </c>
      <c r="AQ384" s="30">
        <v>9000</v>
      </c>
      <c r="AR384" s="29" t="s">
        <v>73</v>
      </c>
      <c r="AS384" s="29" t="s">
        <v>73</v>
      </c>
      <c r="AT384" s="29" t="s">
        <v>73</v>
      </c>
      <c r="AU384" s="29" t="s">
        <v>73</v>
      </c>
      <c r="AV384" s="29" t="s">
        <v>73</v>
      </c>
      <c r="AW384" s="29" t="s">
        <v>73</v>
      </c>
      <c r="AX384" s="30">
        <v>18000</v>
      </c>
      <c r="AY384" s="30" t="s">
        <v>4</v>
      </c>
      <c r="AZ384" s="2" t="s">
        <v>74</v>
      </c>
      <c r="BA384" s="2"/>
    </row>
    <row r="385" spans="1:55" x14ac:dyDescent="0.25">
      <c r="A385" s="19">
        <v>2026</v>
      </c>
      <c r="B385" s="20">
        <v>479</v>
      </c>
      <c r="C385" s="21" t="s">
        <v>64</v>
      </c>
      <c r="D385" s="21" t="s">
        <v>411</v>
      </c>
      <c r="E385" s="20">
        <v>125</v>
      </c>
      <c r="F385" s="20">
        <v>3000001</v>
      </c>
      <c r="G385" s="20">
        <v>5000276</v>
      </c>
      <c r="H385" s="20">
        <v>3</v>
      </c>
      <c r="I385" s="20">
        <v>12</v>
      </c>
      <c r="J385" s="20">
        <v>24</v>
      </c>
      <c r="K385" s="20">
        <v>47173</v>
      </c>
      <c r="L385" s="21" t="s">
        <v>412</v>
      </c>
      <c r="M385" s="33" t="s">
        <v>413</v>
      </c>
      <c r="N385" s="19">
        <v>92</v>
      </c>
      <c r="O385" s="2"/>
      <c r="P385" s="2" t="s">
        <v>4</v>
      </c>
      <c r="Q385" s="20" t="s">
        <v>68</v>
      </c>
      <c r="R385" s="25" t="s">
        <v>69</v>
      </c>
      <c r="S385" s="41" t="s">
        <v>137</v>
      </c>
      <c r="T385" s="41"/>
      <c r="U385" s="31" t="s">
        <v>416</v>
      </c>
      <c r="V385" s="25" t="s">
        <v>3</v>
      </c>
      <c r="W385" s="25">
        <v>1</v>
      </c>
      <c r="X385" s="27">
        <v>8000</v>
      </c>
      <c r="Y385" s="1142"/>
      <c r="Z385" s="1143"/>
      <c r="AA385" s="1143"/>
      <c r="AB385" s="1144"/>
      <c r="AC385" s="25">
        <v>30</v>
      </c>
      <c r="AD385" s="25">
        <v>30</v>
      </c>
      <c r="AE385" s="1142"/>
      <c r="AF385" s="1143"/>
      <c r="AG385" s="1143"/>
      <c r="AH385" s="1143"/>
      <c r="AI385" s="1143"/>
      <c r="AJ385" s="1145"/>
      <c r="AK385" s="35">
        <v>16000</v>
      </c>
      <c r="AL385" s="29" t="s">
        <v>73</v>
      </c>
      <c r="AM385" s="29" t="s">
        <v>73</v>
      </c>
      <c r="AN385" s="29" t="s">
        <v>73</v>
      </c>
      <c r="AO385" s="29" t="s">
        <v>73</v>
      </c>
      <c r="AP385" s="30">
        <v>8000</v>
      </c>
      <c r="AQ385" s="30">
        <v>8000</v>
      </c>
      <c r="AR385" s="29" t="s">
        <v>73</v>
      </c>
      <c r="AS385" s="29" t="s">
        <v>73</v>
      </c>
      <c r="AT385" s="29" t="s">
        <v>73</v>
      </c>
      <c r="AU385" s="29" t="s">
        <v>73</v>
      </c>
      <c r="AV385" s="29" t="s">
        <v>73</v>
      </c>
      <c r="AW385" s="29" t="s">
        <v>73</v>
      </c>
      <c r="AX385" s="30">
        <v>16000</v>
      </c>
      <c r="AY385" s="30" t="s">
        <v>4</v>
      </c>
      <c r="AZ385" s="2" t="s">
        <v>74</v>
      </c>
      <c r="BA385" s="2"/>
    </row>
    <row r="386" spans="1:55" x14ac:dyDescent="0.25">
      <c r="A386" s="19">
        <v>2026</v>
      </c>
      <c r="B386" s="20">
        <v>479</v>
      </c>
      <c r="C386" s="21" t="s">
        <v>64</v>
      </c>
      <c r="D386" s="21" t="s">
        <v>411</v>
      </c>
      <c r="E386" s="20">
        <v>125</v>
      </c>
      <c r="F386" s="20">
        <v>3000001</v>
      </c>
      <c r="G386" s="20">
        <v>5000276</v>
      </c>
      <c r="H386" s="20">
        <v>3</v>
      </c>
      <c r="I386" s="20">
        <v>12</v>
      </c>
      <c r="J386" s="20">
        <v>24</v>
      </c>
      <c r="K386" s="20">
        <v>47173</v>
      </c>
      <c r="L386" s="21" t="s">
        <v>412</v>
      </c>
      <c r="M386" s="33" t="s">
        <v>413</v>
      </c>
      <c r="N386" s="19">
        <v>92</v>
      </c>
      <c r="O386" s="2"/>
      <c r="P386" s="2" t="s">
        <v>4</v>
      </c>
      <c r="Q386" s="20" t="s">
        <v>68</v>
      </c>
      <c r="R386" s="25" t="s">
        <v>69</v>
      </c>
      <c r="S386" s="41" t="s">
        <v>137</v>
      </c>
      <c r="T386" s="41"/>
      <c r="U386" s="31" t="s">
        <v>417</v>
      </c>
      <c r="V386" s="25" t="s">
        <v>3</v>
      </c>
      <c r="W386" s="25">
        <v>1</v>
      </c>
      <c r="X386" s="27">
        <v>6000</v>
      </c>
      <c r="Y386" s="1142"/>
      <c r="Z386" s="1143"/>
      <c r="AA386" s="1143"/>
      <c r="AB386" s="1144"/>
      <c r="AC386" s="25">
        <v>30</v>
      </c>
      <c r="AD386" s="25">
        <v>30</v>
      </c>
      <c r="AE386" s="1142"/>
      <c r="AF386" s="1143"/>
      <c r="AG386" s="1143"/>
      <c r="AH386" s="1143"/>
      <c r="AI386" s="1143"/>
      <c r="AJ386" s="1145"/>
      <c r="AK386" s="35">
        <v>12000</v>
      </c>
      <c r="AL386" s="29" t="s">
        <v>73</v>
      </c>
      <c r="AM386" s="29" t="s">
        <v>73</v>
      </c>
      <c r="AN386" s="29" t="s">
        <v>73</v>
      </c>
      <c r="AO386" s="29" t="s">
        <v>73</v>
      </c>
      <c r="AP386" s="30">
        <v>6000</v>
      </c>
      <c r="AQ386" s="30">
        <v>6000</v>
      </c>
      <c r="AR386" s="29" t="s">
        <v>73</v>
      </c>
      <c r="AS386" s="29" t="s">
        <v>73</v>
      </c>
      <c r="AT386" s="29" t="s">
        <v>73</v>
      </c>
      <c r="AU386" s="29" t="s">
        <v>73</v>
      </c>
      <c r="AV386" s="29" t="s">
        <v>73</v>
      </c>
      <c r="AW386" s="29" t="s">
        <v>73</v>
      </c>
      <c r="AX386" s="30">
        <v>12000</v>
      </c>
      <c r="AY386" s="30" t="s">
        <v>4</v>
      </c>
      <c r="AZ386" s="2" t="s">
        <v>74</v>
      </c>
      <c r="BA386" s="2"/>
    </row>
    <row r="387" spans="1:55" x14ac:dyDescent="0.25">
      <c r="A387" s="19">
        <v>2026</v>
      </c>
      <c r="B387" s="20">
        <v>479</v>
      </c>
      <c r="C387" s="21" t="s">
        <v>64</v>
      </c>
      <c r="D387" s="21" t="s">
        <v>411</v>
      </c>
      <c r="E387" s="20">
        <v>125</v>
      </c>
      <c r="F387" s="20">
        <v>3000001</v>
      </c>
      <c r="G387" s="20">
        <v>5000276</v>
      </c>
      <c r="H387" s="20">
        <v>3</v>
      </c>
      <c r="I387" s="20">
        <v>12</v>
      </c>
      <c r="J387" s="20">
        <v>24</v>
      </c>
      <c r="K387" s="20">
        <v>47173</v>
      </c>
      <c r="L387" s="21" t="s">
        <v>412</v>
      </c>
      <c r="M387" s="33" t="s">
        <v>413</v>
      </c>
      <c r="N387" s="19">
        <v>92</v>
      </c>
      <c r="O387" s="2"/>
      <c r="P387" s="2" t="s">
        <v>4</v>
      </c>
      <c r="Q387" s="20" t="s">
        <v>68</v>
      </c>
      <c r="R387" s="25" t="s">
        <v>69</v>
      </c>
      <c r="S387" s="41" t="s">
        <v>137</v>
      </c>
      <c r="T387" s="41"/>
      <c r="U387" s="31" t="s">
        <v>418</v>
      </c>
      <c r="V387" s="25" t="s">
        <v>3</v>
      </c>
      <c r="W387" s="25">
        <v>1</v>
      </c>
      <c r="X387" s="27">
        <v>6500</v>
      </c>
      <c r="Y387" s="1142"/>
      <c r="Z387" s="1143"/>
      <c r="AA387" s="1143"/>
      <c r="AB387" s="1144"/>
      <c r="AC387" s="25">
        <v>30</v>
      </c>
      <c r="AD387" s="25">
        <v>30</v>
      </c>
      <c r="AE387" s="1142"/>
      <c r="AF387" s="1143"/>
      <c r="AG387" s="1143"/>
      <c r="AH387" s="1143"/>
      <c r="AI387" s="1143"/>
      <c r="AJ387" s="1145"/>
      <c r="AK387" s="35">
        <v>13000</v>
      </c>
      <c r="AL387" s="29" t="s">
        <v>73</v>
      </c>
      <c r="AM387" s="29" t="s">
        <v>73</v>
      </c>
      <c r="AN387" s="29" t="s">
        <v>73</v>
      </c>
      <c r="AO387" s="29" t="s">
        <v>73</v>
      </c>
      <c r="AP387" s="30">
        <v>6500</v>
      </c>
      <c r="AQ387" s="30">
        <v>6500</v>
      </c>
      <c r="AR387" s="29" t="s">
        <v>73</v>
      </c>
      <c r="AS387" s="29" t="s">
        <v>73</v>
      </c>
      <c r="AT387" s="29" t="s">
        <v>73</v>
      </c>
      <c r="AU387" s="29" t="s">
        <v>73</v>
      </c>
      <c r="AV387" s="29" t="s">
        <v>73</v>
      </c>
      <c r="AW387" s="29" t="s">
        <v>73</v>
      </c>
      <c r="AX387" s="30">
        <v>13000</v>
      </c>
      <c r="AY387" s="30" t="s">
        <v>4</v>
      </c>
      <c r="AZ387" s="2" t="s">
        <v>74</v>
      </c>
      <c r="BA387" s="2"/>
    </row>
    <row r="388" spans="1:55" x14ac:dyDescent="0.25">
      <c r="A388" s="19">
        <v>2026</v>
      </c>
      <c r="B388" s="20">
        <v>479</v>
      </c>
      <c r="C388" s="21" t="s">
        <v>64</v>
      </c>
      <c r="D388" s="21" t="s">
        <v>411</v>
      </c>
      <c r="E388" s="20">
        <v>125</v>
      </c>
      <c r="F388" s="20">
        <v>3000001</v>
      </c>
      <c r="G388" s="20">
        <v>5000276</v>
      </c>
      <c r="H388" s="20">
        <v>3</v>
      </c>
      <c r="I388" s="20">
        <v>12</v>
      </c>
      <c r="J388" s="20">
        <v>24</v>
      </c>
      <c r="K388" s="20">
        <v>47173</v>
      </c>
      <c r="L388" s="21" t="s">
        <v>412</v>
      </c>
      <c r="M388" s="33" t="s">
        <v>413</v>
      </c>
      <c r="N388" s="19">
        <v>92</v>
      </c>
      <c r="O388" s="2"/>
      <c r="P388" s="2" t="s">
        <v>4</v>
      </c>
      <c r="Q388" s="20" t="s">
        <v>68</v>
      </c>
      <c r="R388" s="25" t="s">
        <v>69</v>
      </c>
      <c r="S388" s="41" t="s">
        <v>137</v>
      </c>
      <c r="T388" s="41"/>
      <c r="U388" s="31" t="s">
        <v>419</v>
      </c>
      <c r="V388" s="25" t="s">
        <v>3</v>
      </c>
      <c r="W388" s="25">
        <v>1</v>
      </c>
      <c r="X388" s="27">
        <v>5500</v>
      </c>
      <c r="Y388" s="1142"/>
      <c r="Z388" s="1143"/>
      <c r="AA388" s="1143"/>
      <c r="AB388" s="1144"/>
      <c r="AC388" s="25">
        <v>30</v>
      </c>
      <c r="AD388" s="25">
        <v>30</v>
      </c>
      <c r="AE388" s="1142"/>
      <c r="AF388" s="1143"/>
      <c r="AG388" s="1143"/>
      <c r="AH388" s="1143"/>
      <c r="AI388" s="1143"/>
      <c r="AJ388" s="1145"/>
      <c r="AK388" s="35">
        <v>11000</v>
      </c>
      <c r="AL388" s="29" t="s">
        <v>73</v>
      </c>
      <c r="AM388" s="29" t="s">
        <v>73</v>
      </c>
      <c r="AN388" s="29" t="s">
        <v>73</v>
      </c>
      <c r="AO388" s="29" t="s">
        <v>73</v>
      </c>
      <c r="AP388" s="30">
        <v>5500</v>
      </c>
      <c r="AQ388" s="30">
        <v>5500</v>
      </c>
      <c r="AR388" s="29" t="s">
        <v>73</v>
      </c>
      <c r="AS388" s="29" t="s">
        <v>73</v>
      </c>
      <c r="AT388" s="29" t="s">
        <v>73</v>
      </c>
      <c r="AU388" s="29" t="s">
        <v>73</v>
      </c>
      <c r="AV388" s="29" t="s">
        <v>73</v>
      </c>
      <c r="AW388" s="29" t="s">
        <v>73</v>
      </c>
      <c r="AX388" s="30">
        <v>11000</v>
      </c>
      <c r="AY388" s="30" t="s">
        <v>4</v>
      </c>
      <c r="AZ388" s="2" t="s">
        <v>74</v>
      </c>
      <c r="BA388" s="2"/>
    </row>
    <row r="389" spans="1:55" x14ac:dyDescent="0.25">
      <c r="A389" s="19">
        <v>2026</v>
      </c>
      <c r="B389" s="20">
        <v>479</v>
      </c>
      <c r="C389" s="21" t="s">
        <v>64</v>
      </c>
      <c r="D389" s="21" t="s">
        <v>411</v>
      </c>
      <c r="E389" s="20">
        <v>125</v>
      </c>
      <c r="F389" s="20">
        <v>3000001</v>
      </c>
      <c r="G389" s="20">
        <v>5000276</v>
      </c>
      <c r="H389" s="20">
        <v>3</v>
      </c>
      <c r="I389" s="20">
        <v>12</v>
      </c>
      <c r="J389" s="20">
        <v>24</v>
      </c>
      <c r="K389" s="20">
        <v>47173</v>
      </c>
      <c r="L389" s="21" t="s">
        <v>412</v>
      </c>
      <c r="M389" s="63" t="s">
        <v>413</v>
      </c>
      <c r="N389" s="19">
        <v>92</v>
      </c>
      <c r="O389" s="2"/>
      <c r="P389" s="2" t="s">
        <v>4</v>
      </c>
      <c r="Q389" s="20" t="s">
        <v>68</v>
      </c>
      <c r="R389" s="25" t="s">
        <v>69</v>
      </c>
      <c r="S389" s="41" t="s">
        <v>137</v>
      </c>
      <c r="T389" s="41"/>
      <c r="U389" s="31" t="s">
        <v>420</v>
      </c>
      <c r="V389" s="25" t="s">
        <v>3</v>
      </c>
      <c r="W389" s="25">
        <v>1</v>
      </c>
      <c r="X389" s="27">
        <v>5500</v>
      </c>
      <c r="Y389" s="1142"/>
      <c r="Z389" s="1143"/>
      <c r="AA389" s="1143"/>
      <c r="AB389" s="1144"/>
      <c r="AC389" s="25">
        <v>30</v>
      </c>
      <c r="AD389" s="25">
        <v>30</v>
      </c>
      <c r="AE389" s="1142"/>
      <c r="AF389" s="1143"/>
      <c r="AG389" s="1143"/>
      <c r="AH389" s="1143"/>
      <c r="AI389" s="1143"/>
      <c r="AJ389" s="1145"/>
      <c r="AK389" s="35">
        <v>11000</v>
      </c>
      <c r="AL389" s="29" t="s">
        <v>73</v>
      </c>
      <c r="AM389" s="29" t="s">
        <v>73</v>
      </c>
      <c r="AN389" s="29" t="s">
        <v>73</v>
      </c>
      <c r="AO389" s="29" t="s">
        <v>73</v>
      </c>
      <c r="AP389" s="30">
        <v>5500</v>
      </c>
      <c r="AQ389" s="30">
        <v>5500</v>
      </c>
      <c r="AR389" s="29" t="s">
        <v>73</v>
      </c>
      <c r="AS389" s="29" t="s">
        <v>73</v>
      </c>
      <c r="AT389" s="29" t="s">
        <v>73</v>
      </c>
      <c r="AU389" s="29" t="s">
        <v>73</v>
      </c>
      <c r="AV389" s="29" t="s">
        <v>73</v>
      </c>
      <c r="AW389" s="29" t="s">
        <v>73</v>
      </c>
      <c r="AX389" s="30">
        <v>11000</v>
      </c>
      <c r="AY389" s="30" t="s">
        <v>4</v>
      </c>
      <c r="AZ389" s="2" t="s">
        <v>74</v>
      </c>
      <c r="BA389" s="2"/>
    </row>
    <row r="390" spans="1:55" x14ac:dyDescent="0.25">
      <c r="A390" s="19">
        <v>2026</v>
      </c>
      <c r="B390" s="20">
        <v>479</v>
      </c>
      <c r="C390" s="21" t="s">
        <v>64</v>
      </c>
      <c r="D390" s="21" t="s">
        <v>411</v>
      </c>
      <c r="E390" s="20">
        <v>125</v>
      </c>
      <c r="F390" s="20">
        <v>3000001</v>
      </c>
      <c r="G390" s="20">
        <v>5000276</v>
      </c>
      <c r="H390" s="20">
        <v>3</v>
      </c>
      <c r="I390" s="20">
        <v>12</v>
      </c>
      <c r="J390" s="20">
        <v>24</v>
      </c>
      <c r="K390" s="20">
        <v>47173</v>
      </c>
      <c r="L390" s="21" t="s">
        <v>412</v>
      </c>
      <c r="M390" s="63" t="s">
        <v>413</v>
      </c>
      <c r="N390" s="19">
        <v>92</v>
      </c>
      <c r="O390" s="2"/>
      <c r="P390" s="2" t="s">
        <v>4</v>
      </c>
      <c r="Q390" s="20" t="s">
        <v>68</v>
      </c>
      <c r="R390" s="25" t="s">
        <v>69</v>
      </c>
      <c r="S390" s="41" t="s">
        <v>137</v>
      </c>
      <c r="T390" s="41"/>
      <c r="U390" s="31" t="s">
        <v>421</v>
      </c>
      <c r="V390" s="25" t="s">
        <v>3</v>
      </c>
      <c r="W390" s="25">
        <v>1</v>
      </c>
      <c r="X390" s="27">
        <v>5000</v>
      </c>
      <c r="Y390" s="1142"/>
      <c r="Z390" s="1143"/>
      <c r="AA390" s="1143"/>
      <c r="AB390" s="1144"/>
      <c r="AC390" s="25">
        <v>30</v>
      </c>
      <c r="AD390" s="25">
        <v>30</v>
      </c>
      <c r="AE390" s="1142"/>
      <c r="AF390" s="1143"/>
      <c r="AG390" s="1143"/>
      <c r="AH390" s="1143"/>
      <c r="AI390" s="1143"/>
      <c r="AJ390" s="1145"/>
      <c r="AK390" s="35">
        <v>10000</v>
      </c>
      <c r="AL390" s="29" t="s">
        <v>73</v>
      </c>
      <c r="AM390" s="29" t="s">
        <v>73</v>
      </c>
      <c r="AN390" s="29" t="s">
        <v>73</v>
      </c>
      <c r="AO390" s="29" t="s">
        <v>73</v>
      </c>
      <c r="AP390" s="30">
        <v>5000</v>
      </c>
      <c r="AQ390" s="30">
        <v>5000</v>
      </c>
      <c r="AR390" s="29" t="s">
        <v>73</v>
      </c>
      <c r="AS390" s="29" t="s">
        <v>73</v>
      </c>
      <c r="AT390" s="29" t="s">
        <v>73</v>
      </c>
      <c r="AU390" s="29" t="s">
        <v>73</v>
      </c>
      <c r="AV390" s="29" t="s">
        <v>73</v>
      </c>
      <c r="AW390" s="29" t="s">
        <v>73</v>
      </c>
      <c r="AX390" s="30">
        <v>10000</v>
      </c>
      <c r="AY390" s="30" t="s">
        <v>4</v>
      </c>
      <c r="AZ390" s="2" t="s">
        <v>74</v>
      </c>
      <c r="BA390" s="2"/>
    </row>
    <row r="391" spans="1:55" ht="51" x14ac:dyDescent="0.25">
      <c r="A391" s="19">
        <v>2026</v>
      </c>
      <c r="B391" s="20">
        <v>479</v>
      </c>
      <c r="C391" s="21" t="s">
        <v>64</v>
      </c>
      <c r="D391" s="21" t="s">
        <v>65</v>
      </c>
      <c r="E391" s="20">
        <v>125</v>
      </c>
      <c r="F391" s="20">
        <v>3000654</v>
      </c>
      <c r="G391" s="20">
        <v>5005023</v>
      </c>
      <c r="H391" s="20">
        <v>3</v>
      </c>
      <c r="I391" s="20">
        <v>12</v>
      </c>
      <c r="J391" s="20">
        <v>24</v>
      </c>
      <c r="K391" s="20">
        <v>135560</v>
      </c>
      <c r="L391" s="21" t="s">
        <v>98</v>
      </c>
      <c r="M391" s="33" t="s">
        <v>99</v>
      </c>
      <c r="N391" s="19">
        <v>94</v>
      </c>
      <c r="O391" s="2"/>
      <c r="P391" s="2" t="s">
        <v>4</v>
      </c>
      <c r="Q391" s="20" t="s">
        <v>68</v>
      </c>
      <c r="R391" s="25" t="s">
        <v>69</v>
      </c>
      <c r="S391" s="41" t="s">
        <v>137</v>
      </c>
      <c r="T391" s="41"/>
      <c r="U391" s="31" t="s">
        <v>422</v>
      </c>
      <c r="V391" s="25" t="s">
        <v>3</v>
      </c>
      <c r="W391" s="25">
        <v>1</v>
      </c>
      <c r="X391" s="27">
        <v>6000</v>
      </c>
      <c r="Y391" s="1142"/>
      <c r="Z391" s="1143"/>
      <c r="AA391" s="1143"/>
      <c r="AB391" s="1144"/>
      <c r="AC391" s="25">
        <v>30</v>
      </c>
      <c r="AD391" s="25">
        <v>30</v>
      </c>
      <c r="AE391" s="1142"/>
      <c r="AF391" s="1143"/>
      <c r="AG391" s="1143"/>
      <c r="AH391" s="1143"/>
      <c r="AI391" s="1143"/>
      <c r="AJ391" s="1145"/>
      <c r="AK391" s="50">
        <v>12000</v>
      </c>
      <c r="AL391" s="29" t="s">
        <v>73</v>
      </c>
      <c r="AM391" s="29" t="s">
        <v>73</v>
      </c>
      <c r="AN391" s="29" t="s">
        <v>73</v>
      </c>
      <c r="AO391" s="29" t="s">
        <v>73</v>
      </c>
      <c r="AP391" s="30">
        <v>6000</v>
      </c>
      <c r="AQ391" s="30">
        <v>6000</v>
      </c>
      <c r="AR391" s="29" t="s">
        <v>73</v>
      </c>
      <c r="AS391" s="29" t="s">
        <v>73</v>
      </c>
      <c r="AT391" s="29" t="s">
        <v>73</v>
      </c>
      <c r="AU391" s="29" t="s">
        <v>73</v>
      </c>
      <c r="AV391" s="29" t="s">
        <v>73</v>
      </c>
      <c r="AW391" s="29" t="s">
        <v>73</v>
      </c>
      <c r="AX391" s="30">
        <v>12000</v>
      </c>
      <c r="AY391" s="18" t="s">
        <v>4</v>
      </c>
      <c r="AZ391" s="2" t="s">
        <v>74</v>
      </c>
      <c r="BA391" s="2"/>
    </row>
    <row r="392" spans="1:55" x14ac:dyDescent="0.25">
      <c r="AK392" s="5">
        <f>SUBTOTAL(9,AK2:AK391)</f>
        <v>36783334</v>
      </c>
    </row>
    <row r="394" spans="1:55" ht="39.75" customHeight="1" x14ac:dyDescent="0.25">
      <c r="AP394">
        <f>AP375/20</f>
        <v>1940</v>
      </c>
      <c r="AY394" s="18"/>
      <c r="BC394" t="s">
        <v>118</v>
      </c>
    </row>
    <row r="398" spans="1:55" x14ac:dyDescent="0.25">
      <c r="AP398">
        <f>AP394/30</f>
        <v>64.666666666666671</v>
      </c>
    </row>
  </sheetData>
  <autoFilter ref="A1:BC391" xr:uid="{45F3D28C-A2C7-4865-844D-9B7C93D09C72}"/>
  <mergeCells count="1560">
    <mergeCell ref="Y2:Z2"/>
    <mergeCell ref="AA2:AB2"/>
    <mergeCell ref="AF2:AH2"/>
    <mergeCell ref="AI2:AJ2"/>
    <mergeCell ref="Y3:Z3"/>
    <mergeCell ref="AA3:AB3"/>
    <mergeCell ref="AF3:AH3"/>
    <mergeCell ref="AI3:AJ3"/>
    <mergeCell ref="Y8:Z8"/>
    <mergeCell ref="AA8:AB8"/>
    <mergeCell ref="AF8:AH8"/>
    <mergeCell ref="AI8:AJ8"/>
    <mergeCell ref="Y9:Z9"/>
    <mergeCell ref="AA9:AB9"/>
    <mergeCell ref="AF9:AH9"/>
    <mergeCell ref="AI9:AJ9"/>
    <mergeCell ref="Y6:Z6"/>
    <mergeCell ref="AA6:AB6"/>
    <mergeCell ref="AF6:AH6"/>
    <mergeCell ref="AI6:AJ6"/>
    <mergeCell ref="Y7:Z7"/>
    <mergeCell ref="AA7:AB7"/>
    <mergeCell ref="AF7:AH7"/>
    <mergeCell ref="AI7:AJ7"/>
    <mergeCell ref="Y4:Z4"/>
    <mergeCell ref="AA4:AB4"/>
    <mergeCell ref="AF4:AH4"/>
    <mergeCell ref="AI4:AJ4"/>
    <mergeCell ref="Y5:Z5"/>
    <mergeCell ref="AA5:AB5"/>
    <mergeCell ref="AF5:AH5"/>
    <mergeCell ref="AI5:AJ5"/>
    <mergeCell ref="Y14:Z14"/>
    <mergeCell ref="AA14:AB14"/>
    <mergeCell ref="AF14:AH14"/>
    <mergeCell ref="AI14:AJ14"/>
    <mergeCell ref="Y15:Z15"/>
    <mergeCell ref="AA15:AB15"/>
    <mergeCell ref="AF15:AH15"/>
    <mergeCell ref="AI15:AJ15"/>
    <mergeCell ref="Y12:Z12"/>
    <mergeCell ref="AA12:AB12"/>
    <mergeCell ref="AF12:AH12"/>
    <mergeCell ref="AI12:AJ12"/>
    <mergeCell ref="Y13:Z13"/>
    <mergeCell ref="AA13:AB13"/>
    <mergeCell ref="AF13:AH13"/>
    <mergeCell ref="AI13:AJ13"/>
    <mergeCell ref="Y10:Z10"/>
    <mergeCell ref="AA10:AB10"/>
    <mergeCell ref="AF10:AH10"/>
    <mergeCell ref="AI10:AJ10"/>
    <mergeCell ref="Y11:Z11"/>
    <mergeCell ref="AA11:AB11"/>
    <mergeCell ref="AF11:AH11"/>
    <mergeCell ref="AI11:AJ11"/>
    <mergeCell ref="XER20:XES20"/>
    <mergeCell ref="XEW20:XEY20"/>
    <mergeCell ref="XEZ20:XFA20"/>
    <mergeCell ref="Y21:Z21"/>
    <mergeCell ref="AA21:AB21"/>
    <mergeCell ref="AF21:AH21"/>
    <mergeCell ref="AI21:AJ21"/>
    <mergeCell ref="Y18:Z18"/>
    <mergeCell ref="AA18:AB18"/>
    <mergeCell ref="AF18:AH18"/>
    <mergeCell ref="AI18:AJ18"/>
    <mergeCell ref="Y19:Z19"/>
    <mergeCell ref="AA19:AB19"/>
    <mergeCell ref="AF19:AH19"/>
    <mergeCell ref="AI19:AJ19"/>
    <mergeCell ref="Y16:Z16"/>
    <mergeCell ref="AA16:AB16"/>
    <mergeCell ref="AF16:AH16"/>
    <mergeCell ref="AI16:AJ16"/>
    <mergeCell ref="Y17:Z17"/>
    <mergeCell ref="AA17:AB17"/>
    <mergeCell ref="AF17:AH17"/>
    <mergeCell ref="AI17:AJ17"/>
    <mergeCell ref="Y24:Z24"/>
    <mergeCell ref="AA24:AB24"/>
    <mergeCell ref="AF24:AH24"/>
    <mergeCell ref="AI24:AJ24"/>
    <mergeCell ref="Y25:Z25"/>
    <mergeCell ref="AA25:AB25"/>
    <mergeCell ref="AF25:AH25"/>
    <mergeCell ref="AI25:AJ25"/>
    <mergeCell ref="Y22:Z22"/>
    <mergeCell ref="AA22:AB22"/>
    <mergeCell ref="AF22:AH22"/>
    <mergeCell ref="AI22:AJ22"/>
    <mergeCell ref="Y23:Z23"/>
    <mergeCell ref="AA23:AB23"/>
    <mergeCell ref="AF23:AH23"/>
    <mergeCell ref="AI23:AJ23"/>
    <mergeCell ref="XEP20:XEQ20"/>
    <mergeCell ref="Y30:Z30"/>
    <mergeCell ref="AA30:AB30"/>
    <mergeCell ref="AF30:AH30"/>
    <mergeCell ref="AI30:AJ30"/>
    <mergeCell ref="Y31:Z31"/>
    <mergeCell ref="AA31:AB31"/>
    <mergeCell ref="AF31:AH31"/>
    <mergeCell ref="AI31:AJ31"/>
    <mergeCell ref="Y28:Z28"/>
    <mergeCell ref="AA28:AB28"/>
    <mergeCell ref="AF28:AH28"/>
    <mergeCell ref="AI28:AJ28"/>
    <mergeCell ref="Y29:Z29"/>
    <mergeCell ref="AA29:AB29"/>
    <mergeCell ref="AF29:AH29"/>
    <mergeCell ref="AI29:AJ29"/>
    <mergeCell ref="Y26:Z26"/>
    <mergeCell ref="AA26:AB26"/>
    <mergeCell ref="AF26:AH26"/>
    <mergeCell ref="AI26:AJ26"/>
    <mergeCell ref="Y27:Z27"/>
    <mergeCell ref="AA27:AB27"/>
    <mergeCell ref="AF27:AH27"/>
    <mergeCell ref="AI27:AJ27"/>
    <mergeCell ref="Y36:Z36"/>
    <mergeCell ref="AA36:AB36"/>
    <mergeCell ref="AE36:AG36"/>
    <mergeCell ref="AH36:AJ36"/>
    <mergeCell ref="Y37:Z37"/>
    <mergeCell ref="AA37:AB37"/>
    <mergeCell ref="AE37:AG37"/>
    <mergeCell ref="AH37:AJ37"/>
    <mergeCell ref="Y34:Z34"/>
    <mergeCell ref="AA34:AB34"/>
    <mergeCell ref="AF34:AH34"/>
    <mergeCell ref="AI34:AJ34"/>
    <mergeCell ref="Y35:Z35"/>
    <mergeCell ref="AA35:AB35"/>
    <mergeCell ref="AF35:AH35"/>
    <mergeCell ref="AI35:AJ35"/>
    <mergeCell ref="Y32:Z32"/>
    <mergeCell ref="AA32:AB32"/>
    <mergeCell ref="AF32:AH32"/>
    <mergeCell ref="AI32:AJ32"/>
    <mergeCell ref="Y33:Z33"/>
    <mergeCell ref="AA33:AB33"/>
    <mergeCell ref="AF33:AH33"/>
    <mergeCell ref="AI33:AJ33"/>
    <mergeCell ref="Y42:Z42"/>
    <mergeCell ref="AA42:AB42"/>
    <mergeCell ref="AE42:AG42"/>
    <mergeCell ref="AH42:AJ42"/>
    <mergeCell ref="Y43:Z43"/>
    <mergeCell ref="AA43:AB43"/>
    <mergeCell ref="AE43:AG43"/>
    <mergeCell ref="AH43:AJ43"/>
    <mergeCell ref="Y40:Z40"/>
    <mergeCell ref="AA40:AB40"/>
    <mergeCell ref="AE40:AG40"/>
    <mergeCell ref="AH40:AJ40"/>
    <mergeCell ref="Y41:Z41"/>
    <mergeCell ref="AA41:AB41"/>
    <mergeCell ref="AE41:AG41"/>
    <mergeCell ref="AH41:AJ41"/>
    <mergeCell ref="Y38:Z38"/>
    <mergeCell ref="AA38:AB38"/>
    <mergeCell ref="AE38:AG38"/>
    <mergeCell ref="AH38:AJ38"/>
    <mergeCell ref="Y39:Z39"/>
    <mergeCell ref="AA39:AB39"/>
    <mergeCell ref="AE39:AG39"/>
    <mergeCell ref="AH39:AJ39"/>
    <mergeCell ref="Y48:Z48"/>
    <mergeCell ref="AA48:AB48"/>
    <mergeCell ref="AE48:AG48"/>
    <mergeCell ref="AH48:AJ48"/>
    <mergeCell ref="Y49:Z49"/>
    <mergeCell ref="AA49:AB49"/>
    <mergeCell ref="AE49:AG49"/>
    <mergeCell ref="AH49:AJ49"/>
    <mergeCell ref="Y46:Z46"/>
    <mergeCell ref="AA46:AB46"/>
    <mergeCell ref="AE46:AG46"/>
    <mergeCell ref="AH46:AJ46"/>
    <mergeCell ref="Y47:Z47"/>
    <mergeCell ref="AA47:AB47"/>
    <mergeCell ref="AE47:AG47"/>
    <mergeCell ref="AH47:AJ47"/>
    <mergeCell ref="Y44:Z44"/>
    <mergeCell ref="AA44:AB44"/>
    <mergeCell ref="AE44:AG44"/>
    <mergeCell ref="AH44:AJ44"/>
    <mergeCell ref="Y45:Z45"/>
    <mergeCell ref="AA45:AB45"/>
    <mergeCell ref="AE45:AG45"/>
    <mergeCell ref="AH45:AJ45"/>
    <mergeCell ref="Y54:Z54"/>
    <mergeCell ref="AA54:AB54"/>
    <mergeCell ref="AE54:AG54"/>
    <mergeCell ref="AH54:AJ54"/>
    <mergeCell ref="Y55:Z55"/>
    <mergeCell ref="AA55:AB55"/>
    <mergeCell ref="AE55:AG55"/>
    <mergeCell ref="AH55:AJ55"/>
    <mergeCell ref="Y52:Z52"/>
    <mergeCell ref="AA52:AB52"/>
    <mergeCell ref="AE52:AG52"/>
    <mergeCell ref="AH52:AJ52"/>
    <mergeCell ref="Y53:Z53"/>
    <mergeCell ref="AA53:AB53"/>
    <mergeCell ref="AE53:AG53"/>
    <mergeCell ref="AH53:AJ53"/>
    <mergeCell ref="Y50:Z50"/>
    <mergeCell ref="AA50:AB50"/>
    <mergeCell ref="AE50:AG50"/>
    <mergeCell ref="AH50:AJ50"/>
    <mergeCell ref="Y51:Z51"/>
    <mergeCell ref="AA51:AB51"/>
    <mergeCell ref="AE51:AG51"/>
    <mergeCell ref="AH51:AJ51"/>
    <mergeCell ref="Y60:Z60"/>
    <mergeCell ref="AA60:AB60"/>
    <mergeCell ref="AE60:AG60"/>
    <mergeCell ref="AH60:AJ60"/>
    <mergeCell ref="Y61:Z61"/>
    <mergeCell ref="AA61:AB61"/>
    <mergeCell ref="AE61:AG61"/>
    <mergeCell ref="AH61:AJ61"/>
    <mergeCell ref="Y58:Z58"/>
    <mergeCell ref="AA58:AB58"/>
    <mergeCell ref="AE58:AG58"/>
    <mergeCell ref="AH58:AJ58"/>
    <mergeCell ref="Y59:Z59"/>
    <mergeCell ref="AA59:AB59"/>
    <mergeCell ref="AE59:AG59"/>
    <mergeCell ref="AH59:AJ59"/>
    <mergeCell ref="Y56:Z56"/>
    <mergeCell ref="AA56:AB56"/>
    <mergeCell ref="AE56:AG56"/>
    <mergeCell ref="AH56:AJ56"/>
    <mergeCell ref="Y57:Z57"/>
    <mergeCell ref="AA57:AB57"/>
    <mergeCell ref="AE57:AG57"/>
    <mergeCell ref="AH57:AJ57"/>
    <mergeCell ref="Y66:Z66"/>
    <mergeCell ref="AA66:AB66"/>
    <mergeCell ref="AE66:AG66"/>
    <mergeCell ref="AH66:AJ66"/>
    <mergeCell ref="Y67:Z67"/>
    <mergeCell ref="AA67:AB67"/>
    <mergeCell ref="AE67:AG67"/>
    <mergeCell ref="AH67:AJ67"/>
    <mergeCell ref="Y64:Z64"/>
    <mergeCell ref="AA64:AB64"/>
    <mergeCell ref="AE64:AG64"/>
    <mergeCell ref="AH64:AJ64"/>
    <mergeCell ref="Y65:Z65"/>
    <mergeCell ref="AA65:AB65"/>
    <mergeCell ref="AE65:AG65"/>
    <mergeCell ref="AH65:AJ65"/>
    <mergeCell ref="Y62:Z62"/>
    <mergeCell ref="AA62:AB62"/>
    <mergeCell ref="AE62:AG62"/>
    <mergeCell ref="AH62:AJ62"/>
    <mergeCell ref="Y63:Z63"/>
    <mergeCell ref="AA63:AB63"/>
    <mergeCell ref="AE63:AG63"/>
    <mergeCell ref="AH63:AJ63"/>
    <mergeCell ref="Y72:Z72"/>
    <mergeCell ref="AA72:AB72"/>
    <mergeCell ref="AE72:AG72"/>
    <mergeCell ref="AH72:AJ72"/>
    <mergeCell ref="Y73:Z73"/>
    <mergeCell ref="AA73:AB73"/>
    <mergeCell ref="AE73:AG73"/>
    <mergeCell ref="AH73:AJ73"/>
    <mergeCell ref="Y70:Z70"/>
    <mergeCell ref="AA70:AB70"/>
    <mergeCell ref="AE70:AG70"/>
    <mergeCell ref="AH70:AJ70"/>
    <mergeCell ref="Y71:Z71"/>
    <mergeCell ref="AA71:AB71"/>
    <mergeCell ref="AE71:AG71"/>
    <mergeCell ref="AH71:AJ71"/>
    <mergeCell ref="Y68:Z68"/>
    <mergeCell ref="AA68:AB68"/>
    <mergeCell ref="AE68:AG68"/>
    <mergeCell ref="AH68:AJ68"/>
    <mergeCell ref="Y69:Z69"/>
    <mergeCell ref="AA69:AB69"/>
    <mergeCell ref="AE69:AG69"/>
    <mergeCell ref="AH69:AJ69"/>
    <mergeCell ref="Y78:Z78"/>
    <mergeCell ref="AA78:AB78"/>
    <mergeCell ref="AE78:AG78"/>
    <mergeCell ref="AH78:AJ78"/>
    <mergeCell ref="Y79:Z79"/>
    <mergeCell ref="AA79:AB79"/>
    <mergeCell ref="AE79:AG79"/>
    <mergeCell ref="AH79:AJ79"/>
    <mergeCell ref="Y76:Z76"/>
    <mergeCell ref="AA76:AB76"/>
    <mergeCell ref="AE76:AG76"/>
    <mergeCell ref="AH76:AJ76"/>
    <mergeCell ref="Y77:Z77"/>
    <mergeCell ref="AA77:AB77"/>
    <mergeCell ref="AE77:AG77"/>
    <mergeCell ref="AH77:AJ77"/>
    <mergeCell ref="Y74:Z74"/>
    <mergeCell ref="AA74:AB74"/>
    <mergeCell ref="AE74:AG74"/>
    <mergeCell ref="AH74:AJ74"/>
    <mergeCell ref="Y75:Z75"/>
    <mergeCell ref="AA75:AB75"/>
    <mergeCell ref="AE75:AG75"/>
    <mergeCell ref="AH75:AJ75"/>
    <mergeCell ref="Y84:Z84"/>
    <mergeCell ref="AA84:AB84"/>
    <mergeCell ref="AE84:AG84"/>
    <mergeCell ref="AH84:AJ84"/>
    <mergeCell ref="Y85:Z85"/>
    <mergeCell ref="AA85:AB85"/>
    <mergeCell ref="AE85:AG85"/>
    <mergeCell ref="AH85:AJ85"/>
    <mergeCell ref="Y82:Z82"/>
    <mergeCell ref="AA82:AB82"/>
    <mergeCell ref="AE82:AG82"/>
    <mergeCell ref="AH82:AJ82"/>
    <mergeCell ref="Y83:Z83"/>
    <mergeCell ref="AA83:AB83"/>
    <mergeCell ref="AE83:AG83"/>
    <mergeCell ref="AH83:AJ83"/>
    <mergeCell ref="Y80:Z80"/>
    <mergeCell ref="AA80:AB80"/>
    <mergeCell ref="AE80:AG80"/>
    <mergeCell ref="AH80:AJ80"/>
    <mergeCell ref="Y81:Z81"/>
    <mergeCell ref="AA81:AB81"/>
    <mergeCell ref="AE81:AG81"/>
    <mergeCell ref="AH81:AJ81"/>
    <mergeCell ref="Y90:Z90"/>
    <mergeCell ref="AA90:AB90"/>
    <mergeCell ref="AE90:AG90"/>
    <mergeCell ref="AH90:AJ90"/>
    <mergeCell ref="Y91:Z91"/>
    <mergeCell ref="AA91:AB91"/>
    <mergeCell ref="AE91:AG91"/>
    <mergeCell ref="AH91:AJ91"/>
    <mergeCell ref="Y88:Z88"/>
    <mergeCell ref="AA88:AB88"/>
    <mergeCell ref="AE88:AG88"/>
    <mergeCell ref="AH88:AJ88"/>
    <mergeCell ref="Y89:Z89"/>
    <mergeCell ref="AA89:AB89"/>
    <mergeCell ref="AE89:AG89"/>
    <mergeCell ref="AH89:AJ89"/>
    <mergeCell ref="Y86:Z86"/>
    <mergeCell ref="AA86:AB86"/>
    <mergeCell ref="AE86:AG86"/>
    <mergeCell ref="AH86:AJ86"/>
    <mergeCell ref="Y87:Z87"/>
    <mergeCell ref="AA87:AB87"/>
    <mergeCell ref="AE87:AG87"/>
    <mergeCell ref="AH87:AJ87"/>
    <mergeCell ref="Y96:Z96"/>
    <mergeCell ref="AA96:AB96"/>
    <mergeCell ref="AE96:AG96"/>
    <mergeCell ref="AH96:AJ96"/>
    <mergeCell ref="Y97:Z97"/>
    <mergeCell ref="AA97:AB97"/>
    <mergeCell ref="AE97:AG97"/>
    <mergeCell ref="AH97:AJ97"/>
    <mergeCell ref="Y94:Z94"/>
    <mergeCell ref="AA94:AB94"/>
    <mergeCell ref="AE94:AG94"/>
    <mergeCell ref="AH94:AJ94"/>
    <mergeCell ref="Y95:Z95"/>
    <mergeCell ref="AA95:AB95"/>
    <mergeCell ref="AE95:AG95"/>
    <mergeCell ref="AH95:AJ95"/>
    <mergeCell ref="Y92:Z92"/>
    <mergeCell ref="AA92:AB92"/>
    <mergeCell ref="AE92:AG92"/>
    <mergeCell ref="AH92:AJ92"/>
    <mergeCell ref="Y93:Z93"/>
    <mergeCell ref="AA93:AB93"/>
    <mergeCell ref="AE93:AG93"/>
    <mergeCell ref="AH93:AJ93"/>
    <mergeCell ref="Y102:Z102"/>
    <mergeCell ref="AA102:AB102"/>
    <mergeCell ref="AE102:AG102"/>
    <mergeCell ref="AH102:AJ102"/>
    <mergeCell ref="Y103:Z103"/>
    <mergeCell ref="AA103:AB103"/>
    <mergeCell ref="AE103:AG103"/>
    <mergeCell ref="AH103:AJ103"/>
    <mergeCell ref="Y100:Z100"/>
    <mergeCell ref="AA100:AB100"/>
    <mergeCell ref="AE100:AG100"/>
    <mergeCell ref="AH100:AJ100"/>
    <mergeCell ref="Y101:Z101"/>
    <mergeCell ref="AA101:AB101"/>
    <mergeCell ref="AE101:AG101"/>
    <mergeCell ref="AH101:AJ101"/>
    <mergeCell ref="Y98:Z98"/>
    <mergeCell ref="AA98:AB98"/>
    <mergeCell ref="AE98:AG98"/>
    <mergeCell ref="AH98:AJ98"/>
    <mergeCell ref="Y99:Z99"/>
    <mergeCell ref="AA99:AB99"/>
    <mergeCell ref="AE99:AG99"/>
    <mergeCell ref="AH99:AJ99"/>
    <mergeCell ref="Y108:Z108"/>
    <mergeCell ref="AA108:AB108"/>
    <mergeCell ref="AE108:AG108"/>
    <mergeCell ref="AH108:AJ108"/>
    <mergeCell ref="Y109:Z109"/>
    <mergeCell ref="AA109:AB109"/>
    <mergeCell ref="AE109:AG109"/>
    <mergeCell ref="AH109:AJ109"/>
    <mergeCell ref="Y106:Z106"/>
    <mergeCell ref="AA106:AB106"/>
    <mergeCell ref="AE106:AG106"/>
    <mergeCell ref="AH106:AJ106"/>
    <mergeCell ref="Y107:Z107"/>
    <mergeCell ref="AA107:AB107"/>
    <mergeCell ref="AE107:AG107"/>
    <mergeCell ref="AH107:AJ107"/>
    <mergeCell ref="Y104:Z104"/>
    <mergeCell ref="AA104:AB104"/>
    <mergeCell ref="AE104:AG104"/>
    <mergeCell ref="AH104:AJ104"/>
    <mergeCell ref="Y105:Z105"/>
    <mergeCell ref="AA105:AB105"/>
    <mergeCell ref="AE105:AG105"/>
    <mergeCell ref="AH105:AJ105"/>
    <mergeCell ref="Y114:Z114"/>
    <mergeCell ref="AA114:AB114"/>
    <mergeCell ref="AE114:AG114"/>
    <mergeCell ref="AH114:AJ114"/>
    <mergeCell ref="Y115:Z115"/>
    <mergeCell ref="AA115:AB115"/>
    <mergeCell ref="AE115:AG115"/>
    <mergeCell ref="AH115:AJ115"/>
    <mergeCell ref="Y112:Z112"/>
    <mergeCell ref="AA112:AB112"/>
    <mergeCell ref="AE112:AG112"/>
    <mergeCell ref="AH112:AJ112"/>
    <mergeCell ref="Y113:Z113"/>
    <mergeCell ref="AA113:AB113"/>
    <mergeCell ref="AE113:AG113"/>
    <mergeCell ref="AH113:AJ113"/>
    <mergeCell ref="Y110:Z110"/>
    <mergeCell ref="AA110:AB110"/>
    <mergeCell ref="AE110:AG110"/>
    <mergeCell ref="AH110:AJ110"/>
    <mergeCell ref="Y111:Z111"/>
    <mergeCell ref="AA111:AB111"/>
    <mergeCell ref="AE111:AG111"/>
    <mergeCell ref="AH111:AJ111"/>
    <mergeCell ref="Y120:Z120"/>
    <mergeCell ref="AA120:AB120"/>
    <mergeCell ref="AE120:AG120"/>
    <mergeCell ref="AH120:AJ120"/>
    <mergeCell ref="Y121:Z121"/>
    <mergeCell ref="AA121:AB121"/>
    <mergeCell ref="AE121:AG121"/>
    <mergeCell ref="AH121:AJ121"/>
    <mergeCell ref="Y118:Z118"/>
    <mergeCell ref="AA118:AB118"/>
    <mergeCell ref="AE118:AG118"/>
    <mergeCell ref="AH118:AJ118"/>
    <mergeCell ref="Y119:Z119"/>
    <mergeCell ref="AA119:AB119"/>
    <mergeCell ref="AE119:AG119"/>
    <mergeCell ref="AH119:AJ119"/>
    <mergeCell ref="Y116:Z116"/>
    <mergeCell ref="AA116:AB116"/>
    <mergeCell ref="AE116:AG116"/>
    <mergeCell ref="AH116:AJ116"/>
    <mergeCell ref="Y117:Z117"/>
    <mergeCell ref="AA117:AB117"/>
    <mergeCell ref="AE117:AG117"/>
    <mergeCell ref="AH117:AJ117"/>
    <mergeCell ref="Y126:Z126"/>
    <mergeCell ref="AA126:AB126"/>
    <mergeCell ref="AE126:AG126"/>
    <mergeCell ref="AH126:AJ126"/>
    <mergeCell ref="Y127:Z127"/>
    <mergeCell ref="AA127:AB127"/>
    <mergeCell ref="AE127:AG127"/>
    <mergeCell ref="AH127:AJ127"/>
    <mergeCell ref="Y124:Z124"/>
    <mergeCell ref="AA124:AB124"/>
    <mergeCell ref="AE124:AG124"/>
    <mergeCell ref="AH124:AJ124"/>
    <mergeCell ref="Y125:Z125"/>
    <mergeCell ref="AA125:AB125"/>
    <mergeCell ref="AE125:AG125"/>
    <mergeCell ref="AH125:AJ125"/>
    <mergeCell ref="Y122:Z122"/>
    <mergeCell ref="AA122:AB122"/>
    <mergeCell ref="AE122:AG122"/>
    <mergeCell ref="AH122:AJ122"/>
    <mergeCell ref="Y123:Z123"/>
    <mergeCell ref="AA123:AB123"/>
    <mergeCell ref="AE123:AG123"/>
    <mergeCell ref="AH123:AJ123"/>
    <mergeCell ref="Y132:Z132"/>
    <mergeCell ref="AA132:AB132"/>
    <mergeCell ref="AE132:AG132"/>
    <mergeCell ref="AH132:AJ132"/>
    <mergeCell ref="Y133:Z133"/>
    <mergeCell ref="AA133:AB133"/>
    <mergeCell ref="AE133:AG133"/>
    <mergeCell ref="AH133:AJ133"/>
    <mergeCell ref="Y130:Z130"/>
    <mergeCell ref="AA130:AB130"/>
    <mergeCell ref="AE130:AG130"/>
    <mergeCell ref="AH130:AJ130"/>
    <mergeCell ref="Y131:Z131"/>
    <mergeCell ref="AA131:AB131"/>
    <mergeCell ref="AE131:AG131"/>
    <mergeCell ref="AH131:AJ131"/>
    <mergeCell ref="Y128:Z128"/>
    <mergeCell ref="AA128:AB128"/>
    <mergeCell ref="AE128:AG128"/>
    <mergeCell ref="AH128:AJ128"/>
    <mergeCell ref="Y129:Z129"/>
    <mergeCell ref="AA129:AB129"/>
    <mergeCell ref="AE129:AG129"/>
    <mergeCell ref="AH129:AJ129"/>
    <mergeCell ref="Y138:Z138"/>
    <mergeCell ref="AA138:AB138"/>
    <mergeCell ref="AE138:AG138"/>
    <mergeCell ref="AH138:AJ138"/>
    <mergeCell ref="Y139:Z139"/>
    <mergeCell ref="AA139:AB139"/>
    <mergeCell ref="AE139:AG139"/>
    <mergeCell ref="AH139:AJ139"/>
    <mergeCell ref="Y136:Z136"/>
    <mergeCell ref="AA136:AB136"/>
    <mergeCell ref="AE136:AG136"/>
    <mergeCell ref="AH136:AJ136"/>
    <mergeCell ref="Y137:Z137"/>
    <mergeCell ref="AA137:AB137"/>
    <mergeCell ref="AE137:AG137"/>
    <mergeCell ref="AH137:AJ137"/>
    <mergeCell ref="Y134:Z134"/>
    <mergeCell ref="AA134:AB134"/>
    <mergeCell ref="AE134:AG134"/>
    <mergeCell ref="AH134:AJ134"/>
    <mergeCell ref="Y135:Z135"/>
    <mergeCell ref="AA135:AB135"/>
    <mergeCell ref="AE135:AG135"/>
    <mergeCell ref="AH135:AJ135"/>
    <mergeCell ref="Y144:Z144"/>
    <mergeCell ref="AA144:AB144"/>
    <mergeCell ref="AE144:AG144"/>
    <mergeCell ref="AH144:AJ144"/>
    <mergeCell ref="Y145:Z145"/>
    <mergeCell ref="AA145:AB145"/>
    <mergeCell ref="AE145:AG145"/>
    <mergeCell ref="AH145:AJ145"/>
    <mergeCell ref="Y142:Z142"/>
    <mergeCell ref="AA142:AB142"/>
    <mergeCell ref="AE142:AG142"/>
    <mergeCell ref="AH142:AJ142"/>
    <mergeCell ref="Y143:Z143"/>
    <mergeCell ref="AA143:AB143"/>
    <mergeCell ref="AE143:AG143"/>
    <mergeCell ref="AH143:AJ143"/>
    <mergeCell ref="Y140:Z140"/>
    <mergeCell ref="AA140:AB140"/>
    <mergeCell ref="AE140:AG140"/>
    <mergeCell ref="AH140:AJ140"/>
    <mergeCell ref="Y141:Z141"/>
    <mergeCell ref="AA141:AB141"/>
    <mergeCell ref="AE141:AG141"/>
    <mergeCell ref="AH141:AJ141"/>
    <mergeCell ref="Y150:Z150"/>
    <mergeCell ref="AA150:AB150"/>
    <mergeCell ref="AE150:AG150"/>
    <mergeCell ref="AH150:AJ150"/>
    <mergeCell ref="Y151:Z151"/>
    <mergeCell ref="AA151:AB151"/>
    <mergeCell ref="AE151:AG151"/>
    <mergeCell ref="AH151:AJ151"/>
    <mergeCell ref="Y148:Z148"/>
    <mergeCell ref="AA148:AB148"/>
    <mergeCell ref="AE148:AG148"/>
    <mergeCell ref="AH148:AJ148"/>
    <mergeCell ref="Y149:Z149"/>
    <mergeCell ref="AA149:AB149"/>
    <mergeCell ref="AE149:AG149"/>
    <mergeCell ref="AH149:AJ149"/>
    <mergeCell ref="Y146:Z146"/>
    <mergeCell ref="AA146:AB146"/>
    <mergeCell ref="AE146:AG146"/>
    <mergeCell ref="AH146:AJ146"/>
    <mergeCell ref="Y147:Z147"/>
    <mergeCell ref="AA147:AB147"/>
    <mergeCell ref="AE147:AG147"/>
    <mergeCell ref="AH147:AJ147"/>
    <mergeCell ref="Y156:Z156"/>
    <mergeCell ref="AA156:AB156"/>
    <mergeCell ref="AE156:AG156"/>
    <mergeCell ref="AH156:AJ156"/>
    <mergeCell ref="Y157:Z157"/>
    <mergeCell ref="AA157:AB157"/>
    <mergeCell ref="AE157:AG157"/>
    <mergeCell ref="AH157:AJ157"/>
    <mergeCell ref="Y154:Z154"/>
    <mergeCell ref="AA154:AB154"/>
    <mergeCell ref="AE154:AG154"/>
    <mergeCell ref="AH154:AJ154"/>
    <mergeCell ref="Y155:Z155"/>
    <mergeCell ref="AA155:AB155"/>
    <mergeCell ref="AE155:AG155"/>
    <mergeCell ref="AH155:AJ155"/>
    <mergeCell ref="Y152:Z152"/>
    <mergeCell ref="AA152:AB152"/>
    <mergeCell ref="AE152:AG152"/>
    <mergeCell ref="AH152:AJ152"/>
    <mergeCell ref="Y153:Z153"/>
    <mergeCell ref="AA153:AB153"/>
    <mergeCell ref="AE153:AG153"/>
    <mergeCell ref="AH153:AJ153"/>
    <mergeCell ref="Y162:Z162"/>
    <mergeCell ref="AA162:AB162"/>
    <mergeCell ref="AE162:AG162"/>
    <mergeCell ref="AH162:AJ162"/>
    <mergeCell ref="Y163:Z163"/>
    <mergeCell ref="AA163:AB163"/>
    <mergeCell ref="AE163:AG163"/>
    <mergeCell ref="AH163:AJ163"/>
    <mergeCell ref="Y160:Z160"/>
    <mergeCell ref="AA160:AB160"/>
    <mergeCell ref="AE160:AG160"/>
    <mergeCell ref="AH160:AJ160"/>
    <mergeCell ref="Y161:Z161"/>
    <mergeCell ref="AA161:AB161"/>
    <mergeCell ref="AE161:AG161"/>
    <mergeCell ref="AH161:AJ161"/>
    <mergeCell ref="Y158:Z158"/>
    <mergeCell ref="AA158:AB158"/>
    <mergeCell ref="AE158:AG158"/>
    <mergeCell ref="AH158:AJ158"/>
    <mergeCell ref="Y159:Z159"/>
    <mergeCell ref="AA159:AB159"/>
    <mergeCell ref="AE159:AG159"/>
    <mergeCell ref="AH159:AJ159"/>
    <mergeCell ref="Y168:Z168"/>
    <mergeCell ref="AA168:AB168"/>
    <mergeCell ref="AE168:AG168"/>
    <mergeCell ref="AH168:AJ168"/>
    <mergeCell ref="Y169:Z169"/>
    <mergeCell ref="AA169:AB169"/>
    <mergeCell ref="AE169:AG169"/>
    <mergeCell ref="AH169:AJ169"/>
    <mergeCell ref="Y166:Z166"/>
    <mergeCell ref="AA166:AB166"/>
    <mergeCell ref="AE166:AG166"/>
    <mergeCell ref="AH166:AJ166"/>
    <mergeCell ref="Y167:Z167"/>
    <mergeCell ref="AA167:AB167"/>
    <mergeCell ref="AE167:AG167"/>
    <mergeCell ref="AH167:AJ167"/>
    <mergeCell ref="Y164:Z164"/>
    <mergeCell ref="AA164:AB164"/>
    <mergeCell ref="AE164:AG164"/>
    <mergeCell ref="AH164:AJ164"/>
    <mergeCell ref="Y165:Z165"/>
    <mergeCell ref="AA165:AB165"/>
    <mergeCell ref="AE165:AG165"/>
    <mergeCell ref="AH165:AJ165"/>
    <mergeCell ref="Y174:Z174"/>
    <mergeCell ref="AA174:AB174"/>
    <mergeCell ref="AE174:AG174"/>
    <mergeCell ref="AH174:AJ174"/>
    <mergeCell ref="Y175:Z175"/>
    <mergeCell ref="AA175:AB175"/>
    <mergeCell ref="AE175:AG175"/>
    <mergeCell ref="AH175:AJ175"/>
    <mergeCell ref="Y172:Z172"/>
    <mergeCell ref="AA172:AB172"/>
    <mergeCell ref="AE172:AG172"/>
    <mergeCell ref="AH172:AJ172"/>
    <mergeCell ref="Y173:Z173"/>
    <mergeCell ref="AA173:AB173"/>
    <mergeCell ref="AE173:AG173"/>
    <mergeCell ref="AH173:AJ173"/>
    <mergeCell ref="Y170:Z170"/>
    <mergeCell ref="AA170:AB170"/>
    <mergeCell ref="AE170:AG170"/>
    <mergeCell ref="AH170:AJ170"/>
    <mergeCell ref="Y171:Z171"/>
    <mergeCell ref="AA171:AB171"/>
    <mergeCell ref="AE171:AG171"/>
    <mergeCell ref="AH171:AJ171"/>
    <mergeCell ref="Y180:Z180"/>
    <mergeCell ref="AA180:AB180"/>
    <mergeCell ref="AE180:AG180"/>
    <mergeCell ref="AH180:AJ180"/>
    <mergeCell ref="Y181:Z181"/>
    <mergeCell ref="AA181:AB181"/>
    <mergeCell ref="AE181:AG181"/>
    <mergeCell ref="AH181:AJ181"/>
    <mergeCell ref="Y178:Z178"/>
    <mergeCell ref="AA178:AB178"/>
    <mergeCell ref="AE178:AG178"/>
    <mergeCell ref="AH178:AJ178"/>
    <mergeCell ref="Y179:Z179"/>
    <mergeCell ref="AA179:AB179"/>
    <mergeCell ref="AE179:AG179"/>
    <mergeCell ref="AH179:AJ179"/>
    <mergeCell ref="Y176:Z176"/>
    <mergeCell ref="AA176:AB176"/>
    <mergeCell ref="AE176:AG176"/>
    <mergeCell ref="AH176:AJ176"/>
    <mergeCell ref="Y177:Z177"/>
    <mergeCell ref="AA177:AB177"/>
    <mergeCell ref="AE177:AG177"/>
    <mergeCell ref="AH177:AJ177"/>
    <mergeCell ref="Y186:Z186"/>
    <mergeCell ref="AA186:AB186"/>
    <mergeCell ref="AE186:AG186"/>
    <mergeCell ref="AH186:AJ186"/>
    <mergeCell ref="Y187:Z187"/>
    <mergeCell ref="AA187:AB187"/>
    <mergeCell ref="AE187:AG187"/>
    <mergeCell ref="AH187:AJ187"/>
    <mergeCell ref="Y184:Z184"/>
    <mergeCell ref="AA184:AB184"/>
    <mergeCell ref="AE184:AG184"/>
    <mergeCell ref="AH184:AJ184"/>
    <mergeCell ref="Y185:Z185"/>
    <mergeCell ref="AA185:AB185"/>
    <mergeCell ref="AE185:AG185"/>
    <mergeCell ref="AH185:AJ185"/>
    <mergeCell ref="Y182:Z182"/>
    <mergeCell ref="AA182:AB182"/>
    <mergeCell ref="AE182:AG182"/>
    <mergeCell ref="AH182:AJ182"/>
    <mergeCell ref="Y183:Z183"/>
    <mergeCell ref="AA183:AB183"/>
    <mergeCell ref="AE183:AG183"/>
    <mergeCell ref="AH183:AJ183"/>
    <mergeCell ref="Y192:Z192"/>
    <mergeCell ref="AA192:AB192"/>
    <mergeCell ref="AE192:AG192"/>
    <mergeCell ref="AH192:AJ192"/>
    <mergeCell ref="Y193:Z193"/>
    <mergeCell ref="AA193:AB193"/>
    <mergeCell ref="AE193:AG193"/>
    <mergeCell ref="AH193:AJ193"/>
    <mergeCell ref="Y190:Z190"/>
    <mergeCell ref="AA190:AB190"/>
    <mergeCell ref="AE190:AG190"/>
    <mergeCell ref="AH190:AJ190"/>
    <mergeCell ref="Y191:Z191"/>
    <mergeCell ref="AA191:AB191"/>
    <mergeCell ref="AE191:AG191"/>
    <mergeCell ref="AH191:AJ191"/>
    <mergeCell ref="Y188:Z188"/>
    <mergeCell ref="AA188:AB188"/>
    <mergeCell ref="AE188:AG188"/>
    <mergeCell ref="AH188:AJ188"/>
    <mergeCell ref="Y189:Z189"/>
    <mergeCell ref="AA189:AB189"/>
    <mergeCell ref="AE189:AG189"/>
    <mergeCell ref="AH189:AJ189"/>
    <mergeCell ref="Y198:Z198"/>
    <mergeCell ref="AA198:AB198"/>
    <mergeCell ref="AE198:AG198"/>
    <mergeCell ref="AH198:AJ198"/>
    <mergeCell ref="Y199:Z199"/>
    <mergeCell ref="AA199:AB199"/>
    <mergeCell ref="AE199:AG199"/>
    <mergeCell ref="AH199:AJ199"/>
    <mergeCell ref="Y196:Z196"/>
    <mergeCell ref="AA196:AB196"/>
    <mergeCell ref="AE196:AG196"/>
    <mergeCell ref="AH196:AJ196"/>
    <mergeCell ref="Y197:Z197"/>
    <mergeCell ref="AA197:AB197"/>
    <mergeCell ref="AE197:AG197"/>
    <mergeCell ref="AH197:AJ197"/>
    <mergeCell ref="Y194:Z194"/>
    <mergeCell ref="AA194:AB194"/>
    <mergeCell ref="AE194:AG194"/>
    <mergeCell ref="AH194:AJ194"/>
    <mergeCell ref="Y195:Z195"/>
    <mergeCell ref="AA195:AB195"/>
    <mergeCell ref="AE195:AG195"/>
    <mergeCell ref="AH195:AJ195"/>
    <mergeCell ref="Y204:Z204"/>
    <mergeCell ref="AA204:AB204"/>
    <mergeCell ref="AE204:AG204"/>
    <mergeCell ref="AH204:AJ204"/>
    <mergeCell ref="Y205:Z205"/>
    <mergeCell ref="AA205:AB205"/>
    <mergeCell ref="AE205:AG205"/>
    <mergeCell ref="AH205:AJ205"/>
    <mergeCell ref="Y202:Z202"/>
    <mergeCell ref="AA202:AB202"/>
    <mergeCell ref="AE202:AG202"/>
    <mergeCell ref="AH202:AJ202"/>
    <mergeCell ref="Y203:Z203"/>
    <mergeCell ref="AA203:AB203"/>
    <mergeCell ref="AE203:AG203"/>
    <mergeCell ref="AH203:AJ203"/>
    <mergeCell ref="Y200:Z200"/>
    <mergeCell ref="AA200:AB200"/>
    <mergeCell ref="AE200:AG200"/>
    <mergeCell ref="AH200:AJ200"/>
    <mergeCell ref="Y201:Z201"/>
    <mergeCell ref="AA201:AB201"/>
    <mergeCell ref="AE201:AG201"/>
    <mergeCell ref="AH201:AJ201"/>
    <mergeCell ref="Y210:Z210"/>
    <mergeCell ref="AA210:AB210"/>
    <mergeCell ref="AE210:AG210"/>
    <mergeCell ref="AH210:AJ210"/>
    <mergeCell ref="Y211:Z211"/>
    <mergeCell ref="AA211:AB211"/>
    <mergeCell ref="AE211:AG211"/>
    <mergeCell ref="AH211:AJ211"/>
    <mergeCell ref="Y208:Z208"/>
    <mergeCell ref="AA208:AB208"/>
    <mergeCell ref="AE208:AG208"/>
    <mergeCell ref="AH208:AJ208"/>
    <mergeCell ref="Y209:Z209"/>
    <mergeCell ref="AA209:AB209"/>
    <mergeCell ref="AE209:AG209"/>
    <mergeCell ref="AH209:AJ209"/>
    <mergeCell ref="Y206:Z206"/>
    <mergeCell ref="AA206:AB206"/>
    <mergeCell ref="AE206:AG206"/>
    <mergeCell ref="AH206:AJ206"/>
    <mergeCell ref="Y207:Z207"/>
    <mergeCell ref="AA207:AB207"/>
    <mergeCell ref="AE207:AG207"/>
    <mergeCell ref="AH207:AJ207"/>
    <mergeCell ref="Y216:Z216"/>
    <mergeCell ref="AA216:AB216"/>
    <mergeCell ref="AE216:AG216"/>
    <mergeCell ref="AH216:AJ216"/>
    <mergeCell ref="Y217:Z217"/>
    <mergeCell ref="AA217:AB217"/>
    <mergeCell ref="AE217:AG217"/>
    <mergeCell ref="AH217:AJ217"/>
    <mergeCell ref="Y214:Z214"/>
    <mergeCell ref="AA214:AB214"/>
    <mergeCell ref="AE214:AG214"/>
    <mergeCell ref="AH214:AJ214"/>
    <mergeCell ref="Y215:Z215"/>
    <mergeCell ref="AA215:AB215"/>
    <mergeCell ref="AE215:AG215"/>
    <mergeCell ref="AH215:AJ215"/>
    <mergeCell ref="Y212:Z212"/>
    <mergeCell ref="AA212:AB212"/>
    <mergeCell ref="AE212:AG212"/>
    <mergeCell ref="AH212:AJ212"/>
    <mergeCell ref="Y213:Z213"/>
    <mergeCell ref="AA213:AB213"/>
    <mergeCell ref="AE213:AG213"/>
    <mergeCell ref="AH213:AJ213"/>
    <mergeCell ref="Y222:Z222"/>
    <mergeCell ref="AA222:AB222"/>
    <mergeCell ref="AE222:AG222"/>
    <mergeCell ref="AH222:AJ222"/>
    <mergeCell ref="Y223:Z223"/>
    <mergeCell ref="AA223:AB223"/>
    <mergeCell ref="AE223:AG223"/>
    <mergeCell ref="AH223:AJ223"/>
    <mergeCell ref="Y220:Z220"/>
    <mergeCell ref="AA220:AB220"/>
    <mergeCell ref="AE220:AG220"/>
    <mergeCell ref="AH220:AJ220"/>
    <mergeCell ref="Y221:Z221"/>
    <mergeCell ref="AA221:AB221"/>
    <mergeCell ref="AE221:AG221"/>
    <mergeCell ref="AH221:AJ221"/>
    <mergeCell ref="Y218:Z218"/>
    <mergeCell ref="AA218:AB218"/>
    <mergeCell ref="AE218:AG218"/>
    <mergeCell ref="AH218:AJ218"/>
    <mergeCell ref="Y219:Z219"/>
    <mergeCell ref="AA219:AB219"/>
    <mergeCell ref="AE219:AG219"/>
    <mergeCell ref="AH219:AJ219"/>
    <mergeCell ref="Y228:Z228"/>
    <mergeCell ref="AA228:AB228"/>
    <mergeCell ref="AE228:AG228"/>
    <mergeCell ref="AH228:AJ228"/>
    <mergeCell ref="Y229:Z229"/>
    <mergeCell ref="AA229:AB229"/>
    <mergeCell ref="AE229:AG229"/>
    <mergeCell ref="AH229:AJ229"/>
    <mergeCell ref="Y226:Z226"/>
    <mergeCell ref="AA226:AB226"/>
    <mergeCell ref="AE226:AG226"/>
    <mergeCell ref="AH226:AJ226"/>
    <mergeCell ref="Y227:Z227"/>
    <mergeCell ref="AA227:AB227"/>
    <mergeCell ref="AE227:AG227"/>
    <mergeCell ref="AH227:AJ227"/>
    <mergeCell ref="Y224:Z224"/>
    <mergeCell ref="AA224:AB224"/>
    <mergeCell ref="AE224:AG224"/>
    <mergeCell ref="AH224:AJ224"/>
    <mergeCell ref="Y225:Z225"/>
    <mergeCell ref="AA225:AB225"/>
    <mergeCell ref="AE225:AG225"/>
    <mergeCell ref="AH225:AJ225"/>
    <mergeCell ref="Y234:Z234"/>
    <mergeCell ref="AA234:AB234"/>
    <mergeCell ref="AE234:AG234"/>
    <mergeCell ref="AH234:AJ234"/>
    <mergeCell ref="Y235:Z235"/>
    <mergeCell ref="AA235:AB235"/>
    <mergeCell ref="AE235:AG235"/>
    <mergeCell ref="AH235:AJ235"/>
    <mergeCell ref="Y232:Z232"/>
    <mergeCell ref="AA232:AB232"/>
    <mergeCell ref="AE232:AG232"/>
    <mergeCell ref="AH232:AJ232"/>
    <mergeCell ref="Y233:Z233"/>
    <mergeCell ref="AA233:AB233"/>
    <mergeCell ref="AE233:AG233"/>
    <mergeCell ref="AH233:AJ233"/>
    <mergeCell ref="Y230:Z230"/>
    <mergeCell ref="AA230:AB230"/>
    <mergeCell ref="AE230:AG230"/>
    <mergeCell ref="AH230:AJ230"/>
    <mergeCell ref="Y231:Z231"/>
    <mergeCell ref="AA231:AB231"/>
    <mergeCell ref="AE231:AG231"/>
    <mergeCell ref="AH231:AJ231"/>
    <mergeCell ref="Y240:Z240"/>
    <mergeCell ref="AA240:AB240"/>
    <mergeCell ref="AE240:AG240"/>
    <mergeCell ref="AH240:AJ240"/>
    <mergeCell ref="Y241:Z241"/>
    <mergeCell ref="AA241:AB241"/>
    <mergeCell ref="AE241:AG241"/>
    <mergeCell ref="AH241:AJ241"/>
    <mergeCell ref="Y238:Z238"/>
    <mergeCell ref="AA238:AB238"/>
    <mergeCell ref="AE238:AG238"/>
    <mergeCell ref="AH238:AJ238"/>
    <mergeCell ref="Y239:Z239"/>
    <mergeCell ref="AA239:AB239"/>
    <mergeCell ref="AE239:AG239"/>
    <mergeCell ref="AH239:AJ239"/>
    <mergeCell ref="Y236:Z236"/>
    <mergeCell ref="AA236:AB236"/>
    <mergeCell ref="AE236:AG236"/>
    <mergeCell ref="AH236:AJ236"/>
    <mergeCell ref="Y237:Z237"/>
    <mergeCell ref="AA237:AB237"/>
    <mergeCell ref="AE237:AG237"/>
    <mergeCell ref="AH237:AJ237"/>
    <mergeCell ref="Y246:Z246"/>
    <mergeCell ref="AA246:AB246"/>
    <mergeCell ref="AE246:AG246"/>
    <mergeCell ref="AH246:AJ246"/>
    <mergeCell ref="Y247:Z247"/>
    <mergeCell ref="AA247:AB247"/>
    <mergeCell ref="AE247:AG247"/>
    <mergeCell ref="AH247:AJ247"/>
    <mergeCell ref="Y244:Z244"/>
    <mergeCell ref="AA244:AB244"/>
    <mergeCell ref="AE244:AG244"/>
    <mergeCell ref="AH244:AJ244"/>
    <mergeCell ref="Y245:Z245"/>
    <mergeCell ref="AA245:AB245"/>
    <mergeCell ref="AE245:AG245"/>
    <mergeCell ref="AH245:AJ245"/>
    <mergeCell ref="Y242:Z242"/>
    <mergeCell ref="AA242:AB242"/>
    <mergeCell ref="AE242:AG242"/>
    <mergeCell ref="AH242:AJ242"/>
    <mergeCell ref="Y243:Z243"/>
    <mergeCell ref="AA243:AB243"/>
    <mergeCell ref="AE243:AG243"/>
    <mergeCell ref="AH243:AJ243"/>
    <mergeCell ref="Y252:Z252"/>
    <mergeCell ref="AA252:AB252"/>
    <mergeCell ref="AE252:AG252"/>
    <mergeCell ref="AH252:AJ252"/>
    <mergeCell ref="Y253:Z253"/>
    <mergeCell ref="AA253:AB253"/>
    <mergeCell ref="AE253:AG253"/>
    <mergeCell ref="AH253:AJ253"/>
    <mergeCell ref="Y250:Z250"/>
    <mergeCell ref="AA250:AB250"/>
    <mergeCell ref="AE250:AG250"/>
    <mergeCell ref="AH250:AJ250"/>
    <mergeCell ref="Y251:Z251"/>
    <mergeCell ref="AA251:AB251"/>
    <mergeCell ref="AE251:AG251"/>
    <mergeCell ref="AH251:AJ251"/>
    <mergeCell ref="Y248:Z248"/>
    <mergeCell ref="AA248:AB248"/>
    <mergeCell ref="AE248:AG248"/>
    <mergeCell ref="AH248:AJ248"/>
    <mergeCell ref="Y249:Z249"/>
    <mergeCell ref="AA249:AB249"/>
    <mergeCell ref="AE249:AG249"/>
    <mergeCell ref="AH249:AJ249"/>
    <mergeCell ref="Y258:Z258"/>
    <mergeCell ref="AA258:AB258"/>
    <mergeCell ref="AE258:AG258"/>
    <mergeCell ref="AH258:AJ258"/>
    <mergeCell ref="Y259:Z259"/>
    <mergeCell ref="AA259:AB259"/>
    <mergeCell ref="AE259:AG259"/>
    <mergeCell ref="AH259:AJ259"/>
    <mergeCell ref="Y256:Z256"/>
    <mergeCell ref="AA256:AB256"/>
    <mergeCell ref="AE256:AG256"/>
    <mergeCell ref="AH256:AJ256"/>
    <mergeCell ref="Y257:Z257"/>
    <mergeCell ref="AA257:AB257"/>
    <mergeCell ref="AE257:AG257"/>
    <mergeCell ref="AH257:AJ257"/>
    <mergeCell ref="Y254:Z254"/>
    <mergeCell ref="AA254:AB254"/>
    <mergeCell ref="AE254:AG254"/>
    <mergeCell ref="AH254:AJ254"/>
    <mergeCell ref="Y255:Z255"/>
    <mergeCell ref="AA255:AB255"/>
    <mergeCell ref="AE255:AG255"/>
    <mergeCell ref="AH255:AJ255"/>
    <mergeCell ref="Y264:Z264"/>
    <mergeCell ref="AA264:AB264"/>
    <mergeCell ref="AE264:AG264"/>
    <mergeCell ref="AH264:AJ264"/>
    <mergeCell ref="Y265:Z265"/>
    <mergeCell ref="AA265:AB265"/>
    <mergeCell ref="AE265:AG265"/>
    <mergeCell ref="AH265:AJ265"/>
    <mergeCell ref="Y262:Z262"/>
    <mergeCell ref="AA262:AB262"/>
    <mergeCell ref="AE262:AG262"/>
    <mergeCell ref="AH262:AJ262"/>
    <mergeCell ref="Y263:Z263"/>
    <mergeCell ref="AA263:AB263"/>
    <mergeCell ref="AE263:AG263"/>
    <mergeCell ref="AH263:AJ263"/>
    <mergeCell ref="Y260:Z260"/>
    <mergeCell ref="AA260:AB260"/>
    <mergeCell ref="AE260:AG260"/>
    <mergeCell ref="AH260:AJ260"/>
    <mergeCell ref="Y261:Z261"/>
    <mergeCell ref="AA261:AB261"/>
    <mergeCell ref="AE261:AG261"/>
    <mergeCell ref="AH261:AJ261"/>
    <mergeCell ref="Y270:Z270"/>
    <mergeCell ref="AA270:AB270"/>
    <mergeCell ref="AE270:AG270"/>
    <mergeCell ref="AH270:AJ270"/>
    <mergeCell ref="Y271:Z271"/>
    <mergeCell ref="AA271:AB271"/>
    <mergeCell ref="AE271:AG271"/>
    <mergeCell ref="AH271:AJ271"/>
    <mergeCell ref="Y268:Z268"/>
    <mergeCell ref="AA268:AB268"/>
    <mergeCell ref="AE268:AG268"/>
    <mergeCell ref="AH268:AJ268"/>
    <mergeCell ref="Y269:Z269"/>
    <mergeCell ref="AA269:AB269"/>
    <mergeCell ref="AE269:AG269"/>
    <mergeCell ref="AH269:AJ269"/>
    <mergeCell ref="Y266:Z266"/>
    <mergeCell ref="AA266:AB266"/>
    <mergeCell ref="AE266:AG266"/>
    <mergeCell ref="AH266:AJ266"/>
    <mergeCell ref="Y267:Z267"/>
    <mergeCell ref="AA267:AB267"/>
    <mergeCell ref="AE267:AG267"/>
    <mergeCell ref="AH267:AJ267"/>
    <mergeCell ref="Y276:Z276"/>
    <mergeCell ref="AA276:AB276"/>
    <mergeCell ref="AE276:AG276"/>
    <mergeCell ref="AH276:AJ276"/>
    <mergeCell ref="Y277:Z277"/>
    <mergeCell ref="AA277:AB277"/>
    <mergeCell ref="AE277:AG277"/>
    <mergeCell ref="AH277:AJ277"/>
    <mergeCell ref="Y274:Z274"/>
    <mergeCell ref="AA274:AB274"/>
    <mergeCell ref="AE274:AG274"/>
    <mergeCell ref="AH274:AJ274"/>
    <mergeCell ref="Y275:Z275"/>
    <mergeCell ref="AA275:AB275"/>
    <mergeCell ref="AE275:AG275"/>
    <mergeCell ref="AH275:AJ275"/>
    <mergeCell ref="Y272:Z272"/>
    <mergeCell ref="AA272:AB272"/>
    <mergeCell ref="AE272:AG272"/>
    <mergeCell ref="AH272:AJ272"/>
    <mergeCell ref="Y273:Z273"/>
    <mergeCell ref="AA273:AB273"/>
    <mergeCell ref="AE273:AG273"/>
    <mergeCell ref="AH273:AJ273"/>
    <mergeCell ref="Y282:Z282"/>
    <mergeCell ref="AA282:AB282"/>
    <mergeCell ref="AE282:AG282"/>
    <mergeCell ref="AH282:AJ282"/>
    <mergeCell ref="Y283:Z283"/>
    <mergeCell ref="AA283:AB283"/>
    <mergeCell ref="AE283:AG283"/>
    <mergeCell ref="AH283:AJ283"/>
    <mergeCell ref="Y280:Z280"/>
    <mergeCell ref="AA280:AB280"/>
    <mergeCell ref="AE280:AG280"/>
    <mergeCell ref="AH280:AJ280"/>
    <mergeCell ref="Y281:Z281"/>
    <mergeCell ref="AA281:AB281"/>
    <mergeCell ref="AE281:AG281"/>
    <mergeCell ref="AH281:AJ281"/>
    <mergeCell ref="Y278:Z278"/>
    <mergeCell ref="AA278:AB278"/>
    <mergeCell ref="AE278:AG278"/>
    <mergeCell ref="AH278:AJ278"/>
    <mergeCell ref="Y279:Z279"/>
    <mergeCell ref="AA279:AB279"/>
    <mergeCell ref="AE279:AG279"/>
    <mergeCell ref="AH279:AJ279"/>
    <mergeCell ref="Y288:Z288"/>
    <mergeCell ref="AA288:AB288"/>
    <mergeCell ref="AE288:AG288"/>
    <mergeCell ref="AH288:AJ288"/>
    <mergeCell ref="Y289:Z289"/>
    <mergeCell ref="AA289:AB289"/>
    <mergeCell ref="AE289:AG289"/>
    <mergeCell ref="AH289:AJ289"/>
    <mergeCell ref="Y286:Z286"/>
    <mergeCell ref="AA286:AB286"/>
    <mergeCell ref="AE286:AG286"/>
    <mergeCell ref="AH286:AJ286"/>
    <mergeCell ref="Y287:Z287"/>
    <mergeCell ref="AA287:AB287"/>
    <mergeCell ref="AE287:AG287"/>
    <mergeCell ref="AH287:AJ287"/>
    <mergeCell ref="Y284:Z284"/>
    <mergeCell ref="AA284:AB284"/>
    <mergeCell ref="AE284:AG284"/>
    <mergeCell ref="AH284:AJ284"/>
    <mergeCell ref="Y285:Z285"/>
    <mergeCell ref="AA285:AB285"/>
    <mergeCell ref="AE285:AG285"/>
    <mergeCell ref="AH285:AJ285"/>
    <mergeCell ref="Y294:Z294"/>
    <mergeCell ref="AA294:AB294"/>
    <mergeCell ref="AE294:AG294"/>
    <mergeCell ref="AH294:AJ294"/>
    <mergeCell ref="Y295:Z295"/>
    <mergeCell ref="AA295:AB295"/>
    <mergeCell ref="AE295:AG295"/>
    <mergeCell ref="AH295:AJ295"/>
    <mergeCell ref="Y292:Z292"/>
    <mergeCell ref="AA292:AB292"/>
    <mergeCell ref="AE292:AG292"/>
    <mergeCell ref="AH292:AJ292"/>
    <mergeCell ref="Y293:Z293"/>
    <mergeCell ref="AA293:AB293"/>
    <mergeCell ref="AE293:AG293"/>
    <mergeCell ref="AH293:AJ293"/>
    <mergeCell ref="Y290:Z290"/>
    <mergeCell ref="AA290:AB290"/>
    <mergeCell ref="AE290:AG290"/>
    <mergeCell ref="AH290:AJ290"/>
    <mergeCell ref="Y291:Z291"/>
    <mergeCell ref="AA291:AB291"/>
    <mergeCell ref="AE291:AG291"/>
    <mergeCell ref="AH291:AJ291"/>
    <mergeCell ref="Y300:Z300"/>
    <mergeCell ref="AA300:AB300"/>
    <mergeCell ref="AE300:AG300"/>
    <mergeCell ref="AH300:AJ300"/>
    <mergeCell ref="Y301:Z301"/>
    <mergeCell ref="AA301:AB301"/>
    <mergeCell ref="AE301:AG301"/>
    <mergeCell ref="AH301:AJ301"/>
    <mergeCell ref="Y298:Z298"/>
    <mergeCell ref="AA298:AB298"/>
    <mergeCell ref="AE298:AG298"/>
    <mergeCell ref="AH298:AJ298"/>
    <mergeCell ref="Y299:Z299"/>
    <mergeCell ref="AA299:AB299"/>
    <mergeCell ref="AE299:AG299"/>
    <mergeCell ref="AH299:AJ299"/>
    <mergeCell ref="Y296:Z296"/>
    <mergeCell ref="AA296:AB296"/>
    <mergeCell ref="AE296:AG296"/>
    <mergeCell ref="AH296:AJ296"/>
    <mergeCell ref="Y297:Z297"/>
    <mergeCell ref="AA297:AB297"/>
    <mergeCell ref="AE297:AG297"/>
    <mergeCell ref="AH297:AJ297"/>
    <mergeCell ref="Y306:Z306"/>
    <mergeCell ref="AA306:AB306"/>
    <mergeCell ref="AE306:AG306"/>
    <mergeCell ref="AH306:AJ306"/>
    <mergeCell ref="Y307:Z307"/>
    <mergeCell ref="AA307:AB307"/>
    <mergeCell ref="AE307:AG307"/>
    <mergeCell ref="AH307:AJ307"/>
    <mergeCell ref="Y304:Z304"/>
    <mergeCell ref="AA304:AB304"/>
    <mergeCell ref="AE304:AG304"/>
    <mergeCell ref="AH304:AJ304"/>
    <mergeCell ref="Y305:Z305"/>
    <mergeCell ref="AA305:AB305"/>
    <mergeCell ref="AE305:AG305"/>
    <mergeCell ref="AH305:AJ305"/>
    <mergeCell ref="Y302:Z302"/>
    <mergeCell ref="AA302:AB302"/>
    <mergeCell ref="AE302:AG302"/>
    <mergeCell ref="AH302:AJ302"/>
    <mergeCell ref="Y303:Z303"/>
    <mergeCell ref="AA303:AB303"/>
    <mergeCell ref="AE303:AG303"/>
    <mergeCell ref="AH303:AJ303"/>
    <mergeCell ref="Y312:Z312"/>
    <mergeCell ref="AA312:AB312"/>
    <mergeCell ref="AE312:AG312"/>
    <mergeCell ref="AH312:AJ312"/>
    <mergeCell ref="Y313:Z313"/>
    <mergeCell ref="AA313:AB313"/>
    <mergeCell ref="AE313:AG313"/>
    <mergeCell ref="AH313:AJ313"/>
    <mergeCell ref="Y310:Z310"/>
    <mergeCell ref="AA310:AB310"/>
    <mergeCell ref="AE310:AG310"/>
    <mergeCell ref="AH310:AJ310"/>
    <mergeCell ref="Y311:Z311"/>
    <mergeCell ref="AA311:AB311"/>
    <mergeCell ref="AE311:AG311"/>
    <mergeCell ref="AH311:AJ311"/>
    <mergeCell ref="Y308:Z308"/>
    <mergeCell ref="AA308:AB308"/>
    <mergeCell ref="AE308:AG308"/>
    <mergeCell ref="AH308:AJ308"/>
    <mergeCell ref="Y309:Z309"/>
    <mergeCell ref="AA309:AB309"/>
    <mergeCell ref="AE309:AG309"/>
    <mergeCell ref="AH309:AJ309"/>
    <mergeCell ref="Y318:Z318"/>
    <mergeCell ref="AA318:AB318"/>
    <mergeCell ref="AE318:AG318"/>
    <mergeCell ref="AH318:AJ318"/>
    <mergeCell ref="Y319:Z319"/>
    <mergeCell ref="AA319:AB319"/>
    <mergeCell ref="AE319:AG319"/>
    <mergeCell ref="AH319:AJ319"/>
    <mergeCell ref="Y316:Z316"/>
    <mergeCell ref="AA316:AB316"/>
    <mergeCell ref="AE316:AG316"/>
    <mergeCell ref="AH316:AJ316"/>
    <mergeCell ref="Y317:Z317"/>
    <mergeCell ref="AA317:AB317"/>
    <mergeCell ref="AE317:AG317"/>
    <mergeCell ref="AH317:AJ317"/>
    <mergeCell ref="Y314:Z314"/>
    <mergeCell ref="AA314:AB314"/>
    <mergeCell ref="AE314:AG314"/>
    <mergeCell ref="AH314:AJ314"/>
    <mergeCell ref="Y315:Z315"/>
    <mergeCell ref="AA315:AB315"/>
    <mergeCell ref="AE315:AG315"/>
    <mergeCell ref="AH315:AJ315"/>
    <mergeCell ref="Y324:Z324"/>
    <mergeCell ref="AA324:AB324"/>
    <mergeCell ref="AE324:AG324"/>
    <mergeCell ref="AH324:AJ324"/>
    <mergeCell ref="Y325:Z325"/>
    <mergeCell ref="AA325:AB325"/>
    <mergeCell ref="AE325:AG325"/>
    <mergeCell ref="AH325:AJ325"/>
    <mergeCell ref="Y322:Z322"/>
    <mergeCell ref="AA322:AB322"/>
    <mergeCell ref="AE322:AG322"/>
    <mergeCell ref="AH322:AJ322"/>
    <mergeCell ref="Y323:Z323"/>
    <mergeCell ref="AA323:AB323"/>
    <mergeCell ref="AE323:AG323"/>
    <mergeCell ref="AH323:AJ323"/>
    <mergeCell ref="Y320:Z320"/>
    <mergeCell ref="AA320:AB320"/>
    <mergeCell ref="AE320:AG320"/>
    <mergeCell ref="AH320:AJ320"/>
    <mergeCell ref="Y321:Z321"/>
    <mergeCell ref="AA321:AB321"/>
    <mergeCell ref="AE321:AG321"/>
    <mergeCell ref="AH321:AJ321"/>
    <mergeCell ref="Y330:Z330"/>
    <mergeCell ref="AA330:AB330"/>
    <mergeCell ref="AE330:AG330"/>
    <mergeCell ref="AH330:AJ330"/>
    <mergeCell ref="Y331:Z331"/>
    <mergeCell ref="AA331:AB331"/>
    <mergeCell ref="AE331:AG331"/>
    <mergeCell ref="AH331:AJ331"/>
    <mergeCell ref="Y328:Z328"/>
    <mergeCell ref="AA328:AB328"/>
    <mergeCell ref="AE328:AG328"/>
    <mergeCell ref="AH328:AJ328"/>
    <mergeCell ref="Y329:Z329"/>
    <mergeCell ref="AA329:AB329"/>
    <mergeCell ref="AE329:AG329"/>
    <mergeCell ref="AH329:AJ329"/>
    <mergeCell ref="Y326:Z326"/>
    <mergeCell ref="AA326:AB326"/>
    <mergeCell ref="AE326:AG326"/>
    <mergeCell ref="AH326:AJ326"/>
    <mergeCell ref="Y327:Z327"/>
    <mergeCell ref="AA327:AB327"/>
    <mergeCell ref="AE327:AG327"/>
    <mergeCell ref="AH327:AJ327"/>
    <mergeCell ref="Y336:Z336"/>
    <mergeCell ref="AA336:AB336"/>
    <mergeCell ref="AE336:AG336"/>
    <mergeCell ref="AH336:AJ336"/>
    <mergeCell ref="Y337:Z337"/>
    <mergeCell ref="AA337:AB337"/>
    <mergeCell ref="AE337:AG337"/>
    <mergeCell ref="AH337:AJ337"/>
    <mergeCell ref="Y334:Z334"/>
    <mergeCell ref="AA334:AB334"/>
    <mergeCell ref="AE334:AG334"/>
    <mergeCell ref="AH334:AJ334"/>
    <mergeCell ref="Y335:Z335"/>
    <mergeCell ref="AA335:AB335"/>
    <mergeCell ref="AE335:AG335"/>
    <mergeCell ref="AH335:AJ335"/>
    <mergeCell ref="Y332:Z332"/>
    <mergeCell ref="AA332:AB332"/>
    <mergeCell ref="AE332:AG332"/>
    <mergeCell ref="AH332:AJ332"/>
    <mergeCell ref="Y333:Z333"/>
    <mergeCell ref="AA333:AB333"/>
    <mergeCell ref="AE333:AG333"/>
    <mergeCell ref="AH333:AJ333"/>
    <mergeCell ref="Y342:Z342"/>
    <mergeCell ref="AA342:AB342"/>
    <mergeCell ref="AE342:AG342"/>
    <mergeCell ref="AH342:AJ342"/>
    <mergeCell ref="Y343:Z343"/>
    <mergeCell ref="AA343:AB343"/>
    <mergeCell ref="AE343:AG343"/>
    <mergeCell ref="AH343:AJ343"/>
    <mergeCell ref="Y340:Z340"/>
    <mergeCell ref="AA340:AB340"/>
    <mergeCell ref="AE340:AG340"/>
    <mergeCell ref="AH340:AJ340"/>
    <mergeCell ref="Y341:Z341"/>
    <mergeCell ref="AA341:AB341"/>
    <mergeCell ref="AE341:AG341"/>
    <mergeCell ref="AH341:AJ341"/>
    <mergeCell ref="Y338:Z338"/>
    <mergeCell ref="AA338:AB338"/>
    <mergeCell ref="AE338:AG338"/>
    <mergeCell ref="AH338:AJ338"/>
    <mergeCell ref="Y339:Z339"/>
    <mergeCell ref="AA339:AB339"/>
    <mergeCell ref="AE339:AG339"/>
    <mergeCell ref="AH339:AJ339"/>
    <mergeCell ref="Y348:Z348"/>
    <mergeCell ref="AA348:AB348"/>
    <mergeCell ref="AE348:AG348"/>
    <mergeCell ref="AH348:AJ348"/>
    <mergeCell ref="Y349:Z349"/>
    <mergeCell ref="AA349:AB349"/>
    <mergeCell ref="AE349:AG349"/>
    <mergeCell ref="AH349:AJ349"/>
    <mergeCell ref="Y346:Z346"/>
    <mergeCell ref="AA346:AB346"/>
    <mergeCell ref="AE346:AG346"/>
    <mergeCell ref="AH346:AJ346"/>
    <mergeCell ref="Y347:Z347"/>
    <mergeCell ref="AA347:AB347"/>
    <mergeCell ref="AE347:AG347"/>
    <mergeCell ref="AH347:AJ347"/>
    <mergeCell ref="Y344:Z344"/>
    <mergeCell ref="AA344:AB344"/>
    <mergeCell ref="AE344:AG344"/>
    <mergeCell ref="AH344:AJ344"/>
    <mergeCell ref="Y345:Z345"/>
    <mergeCell ref="AA345:AB345"/>
    <mergeCell ref="AE345:AG345"/>
    <mergeCell ref="AH345:AJ345"/>
    <mergeCell ref="Y354:Z354"/>
    <mergeCell ref="AA354:AB354"/>
    <mergeCell ref="AE354:AG354"/>
    <mergeCell ref="AH354:AJ354"/>
    <mergeCell ref="Y355:Z355"/>
    <mergeCell ref="AA355:AB355"/>
    <mergeCell ref="AE355:AG355"/>
    <mergeCell ref="AH355:AJ355"/>
    <mergeCell ref="Y352:Z352"/>
    <mergeCell ref="AA352:AB352"/>
    <mergeCell ref="AE352:AG352"/>
    <mergeCell ref="AH352:AJ352"/>
    <mergeCell ref="Y353:Z353"/>
    <mergeCell ref="AA353:AB353"/>
    <mergeCell ref="AE353:AG353"/>
    <mergeCell ref="AH353:AJ353"/>
    <mergeCell ref="Y350:Z350"/>
    <mergeCell ref="AA350:AB350"/>
    <mergeCell ref="AE350:AG350"/>
    <mergeCell ref="AH350:AJ350"/>
    <mergeCell ref="Y351:Z351"/>
    <mergeCell ref="AA351:AB351"/>
    <mergeCell ref="AE351:AG351"/>
    <mergeCell ref="AH351:AJ351"/>
    <mergeCell ref="Y360:Z360"/>
    <mergeCell ref="AA360:AB360"/>
    <mergeCell ref="AE360:AG360"/>
    <mergeCell ref="AH360:AJ360"/>
    <mergeCell ref="Y361:Z361"/>
    <mergeCell ref="AA361:AB361"/>
    <mergeCell ref="AE361:AG361"/>
    <mergeCell ref="AH361:AJ361"/>
    <mergeCell ref="Y358:Z358"/>
    <mergeCell ref="AA358:AB358"/>
    <mergeCell ref="AE358:AG358"/>
    <mergeCell ref="AH358:AJ358"/>
    <mergeCell ref="Y359:Z359"/>
    <mergeCell ref="AA359:AB359"/>
    <mergeCell ref="AE359:AG359"/>
    <mergeCell ref="AH359:AJ359"/>
    <mergeCell ref="Y356:Z356"/>
    <mergeCell ref="AA356:AB356"/>
    <mergeCell ref="AE356:AG356"/>
    <mergeCell ref="AH356:AJ356"/>
    <mergeCell ref="Y357:Z357"/>
    <mergeCell ref="AA357:AB357"/>
    <mergeCell ref="AE357:AG357"/>
    <mergeCell ref="AH357:AJ357"/>
    <mergeCell ref="Y366:Z366"/>
    <mergeCell ref="AA366:AB366"/>
    <mergeCell ref="AE366:AG366"/>
    <mergeCell ref="AH366:AJ366"/>
    <mergeCell ref="Y367:Z367"/>
    <mergeCell ref="AA367:AB367"/>
    <mergeCell ref="AE367:AG367"/>
    <mergeCell ref="AH367:AJ367"/>
    <mergeCell ref="Y364:Z364"/>
    <mergeCell ref="AA364:AB364"/>
    <mergeCell ref="AE364:AG364"/>
    <mergeCell ref="AH364:AJ364"/>
    <mergeCell ref="Y365:Z365"/>
    <mergeCell ref="AA365:AB365"/>
    <mergeCell ref="AE365:AG365"/>
    <mergeCell ref="AH365:AJ365"/>
    <mergeCell ref="Y362:Z362"/>
    <mergeCell ref="AA362:AB362"/>
    <mergeCell ref="AE362:AG362"/>
    <mergeCell ref="AH362:AJ362"/>
    <mergeCell ref="Y363:Z363"/>
    <mergeCell ref="AA363:AB363"/>
    <mergeCell ref="AE363:AG363"/>
    <mergeCell ref="AH363:AJ363"/>
    <mergeCell ref="Y372:Z372"/>
    <mergeCell ref="AA372:AB372"/>
    <mergeCell ref="AE372:AG372"/>
    <mergeCell ref="AH372:AJ372"/>
    <mergeCell ref="Y373:Z373"/>
    <mergeCell ref="AA373:AB373"/>
    <mergeCell ref="AE373:AG373"/>
    <mergeCell ref="AH373:AJ373"/>
    <mergeCell ref="Y370:Z370"/>
    <mergeCell ref="AA370:AB370"/>
    <mergeCell ref="AE370:AG370"/>
    <mergeCell ref="AH370:AJ370"/>
    <mergeCell ref="Y371:Z371"/>
    <mergeCell ref="AA371:AB371"/>
    <mergeCell ref="AE371:AG371"/>
    <mergeCell ref="AH371:AJ371"/>
    <mergeCell ref="Y368:Z368"/>
    <mergeCell ref="AA368:AB368"/>
    <mergeCell ref="AE368:AG368"/>
    <mergeCell ref="AH368:AJ368"/>
    <mergeCell ref="Y369:Z369"/>
    <mergeCell ref="AA369:AB369"/>
    <mergeCell ref="AE369:AG369"/>
    <mergeCell ref="AH369:AJ369"/>
    <mergeCell ref="Y378:Z378"/>
    <mergeCell ref="AA378:AB378"/>
    <mergeCell ref="AE378:AG378"/>
    <mergeCell ref="AH378:AJ378"/>
    <mergeCell ref="Y379:Z379"/>
    <mergeCell ref="AA379:AB379"/>
    <mergeCell ref="AE379:AG379"/>
    <mergeCell ref="AH379:AJ379"/>
    <mergeCell ref="Y376:Z376"/>
    <mergeCell ref="AA376:AB376"/>
    <mergeCell ref="AE376:AG376"/>
    <mergeCell ref="AH376:AJ376"/>
    <mergeCell ref="Y377:Z377"/>
    <mergeCell ref="AA377:AB377"/>
    <mergeCell ref="AE377:AG377"/>
    <mergeCell ref="AH377:AJ377"/>
    <mergeCell ref="Y374:Z374"/>
    <mergeCell ref="AA374:AB374"/>
    <mergeCell ref="AE374:AG374"/>
    <mergeCell ref="AH374:AJ374"/>
    <mergeCell ref="Y375:Z375"/>
    <mergeCell ref="AA375:AB375"/>
    <mergeCell ref="AE375:AG375"/>
    <mergeCell ref="AH375:AJ375"/>
    <mergeCell ref="Y384:Z384"/>
    <mergeCell ref="AA384:AB384"/>
    <mergeCell ref="AE384:AG384"/>
    <mergeCell ref="AH384:AJ384"/>
    <mergeCell ref="Y385:Z385"/>
    <mergeCell ref="AA385:AB385"/>
    <mergeCell ref="AE385:AG385"/>
    <mergeCell ref="AH385:AJ385"/>
    <mergeCell ref="Y382:Z382"/>
    <mergeCell ref="AA382:AB382"/>
    <mergeCell ref="AE382:AG382"/>
    <mergeCell ref="AH382:AJ382"/>
    <mergeCell ref="Y383:Z383"/>
    <mergeCell ref="AA383:AB383"/>
    <mergeCell ref="AE383:AG383"/>
    <mergeCell ref="AH383:AJ383"/>
    <mergeCell ref="Y380:Z380"/>
    <mergeCell ref="AA380:AB380"/>
    <mergeCell ref="AE380:AG380"/>
    <mergeCell ref="AH380:AJ380"/>
    <mergeCell ref="Y381:Z381"/>
    <mergeCell ref="AA381:AB381"/>
    <mergeCell ref="AE381:AG381"/>
    <mergeCell ref="AH381:AJ381"/>
    <mergeCell ref="Y390:Z390"/>
    <mergeCell ref="AA390:AB390"/>
    <mergeCell ref="AE390:AG390"/>
    <mergeCell ref="AH390:AJ390"/>
    <mergeCell ref="Y391:Z391"/>
    <mergeCell ref="AA391:AB391"/>
    <mergeCell ref="AE391:AG391"/>
    <mergeCell ref="AH391:AJ391"/>
    <mergeCell ref="Y388:Z388"/>
    <mergeCell ref="AA388:AB388"/>
    <mergeCell ref="AE388:AG388"/>
    <mergeCell ref="AH388:AJ388"/>
    <mergeCell ref="Y389:Z389"/>
    <mergeCell ref="AA389:AB389"/>
    <mergeCell ref="AE389:AG389"/>
    <mergeCell ref="AH389:AJ389"/>
    <mergeCell ref="Y386:Z386"/>
    <mergeCell ref="AA386:AB386"/>
    <mergeCell ref="AE386:AG386"/>
    <mergeCell ref="AH386:AJ386"/>
    <mergeCell ref="Y387:Z387"/>
    <mergeCell ref="AA387:AB387"/>
    <mergeCell ref="AE387:AG387"/>
    <mergeCell ref="AH387:AJ387"/>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0A836-A3D1-4573-9591-2192023BE523}">
  <sheetPr filterMode="1"/>
  <dimension ref="A1:XFA54"/>
  <sheetViews>
    <sheetView showGridLines="0" tabSelected="1" zoomScale="70" zoomScaleNormal="70" workbookViewId="0">
      <pane ySplit="1" topLeftCell="A2" activePane="bottomLeft" state="frozen"/>
      <selection activeCell="AM1" sqref="AM1"/>
      <selection pane="bottomLeft" activeCell="BV41" activeCellId="1" sqref="BV40 BV41"/>
    </sheetView>
  </sheetViews>
  <sheetFormatPr baseColWidth="10" defaultColWidth="11.42578125" defaultRowHeight="15" outlineLevelCol="1" x14ac:dyDescent="0.25"/>
  <cols>
    <col min="1" max="1" width="7.28515625" customWidth="1"/>
    <col min="2" max="3" width="11.42578125" hidden="1" customWidth="1"/>
    <col min="4" max="4" width="18.85546875" hidden="1" customWidth="1"/>
    <col min="5" max="11" width="11.42578125" hidden="1" customWidth="1"/>
    <col min="12" max="12" width="18" hidden="1" customWidth="1"/>
    <col min="13" max="13" width="16.85546875" customWidth="1"/>
    <col min="15" max="15" width="4.7109375" hidden="1" customWidth="1"/>
    <col min="16" max="16" width="6.140625" hidden="1" customWidth="1"/>
    <col min="18" max="18" width="3.140625" customWidth="1"/>
    <col min="20" max="20" width="5.140625" style="4" hidden="1" customWidth="1"/>
    <col min="21" max="21" width="32.85546875" customWidth="1"/>
    <col min="22" max="22" width="11.42578125" customWidth="1"/>
    <col min="23" max="23" width="4.5703125" hidden="1" customWidth="1"/>
    <col min="24" max="24" width="11.42578125" hidden="1" customWidth="1"/>
    <col min="25" max="27" width="5" hidden="1" customWidth="1" outlineLevel="1"/>
    <col min="28" max="32" width="5" customWidth="1" outlineLevel="1"/>
    <col min="33" max="36" width="5" hidden="1" customWidth="1" outlineLevel="1"/>
    <col min="37" max="37" width="15.42578125" hidden="1" customWidth="1"/>
    <col min="38" max="49" width="5.5703125" hidden="1" customWidth="1" outlineLevel="1"/>
    <col min="50" max="50" width="28.28515625" customWidth="1" collapsed="1"/>
    <col min="51" max="51" width="11.42578125" customWidth="1"/>
    <col min="52" max="52" width="12.5703125" style="384" hidden="1" customWidth="1"/>
    <col min="53" max="53" width="13.7109375" style="384" hidden="1" customWidth="1"/>
    <col min="54" max="54" width="11.42578125" style="384" hidden="1" customWidth="1"/>
    <col min="55" max="58" width="11.42578125" hidden="1" customWidth="1" outlineLevel="1"/>
    <col min="59" max="59" width="11.42578125" hidden="1" customWidth="1" collapsed="1"/>
    <col min="60" max="60" width="21.140625" style="230" customWidth="1"/>
    <col min="61" max="61" width="11.42578125" style="322" customWidth="1"/>
    <col min="62" max="63" width="7.85546875" style="313" hidden="1" customWidth="1"/>
    <col min="64" max="64" width="12" style="313" hidden="1" customWidth="1"/>
    <col min="65" max="65" width="12.42578125" style="313" hidden="1" customWidth="1"/>
    <col min="66" max="66" width="10.28515625" style="313" hidden="1" customWidth="1"/>
    <col min="67" max="67" width="9.7109375" style="313" hidden="1" customWidth="1"/>
    <col min="68" max="68" width="10.85546875" style="313" hidden="1" customWidth="1"/>
    <col min="69" max="69" width="21.85546875" style="313" hidden="1" customWidth="1"/>
    <col min="70" max="70" width="6.7109375" style="319" hidden="1" customWidth="1"/>
    <col min="71" max="73" width="11.42578125" style="312" hidden="1" customWidth="1"/>
    <col min="74" max="74" width="17.42578125" style="322" customWidth="1"/>
    <col min="75" max="75" width="18.5703125" style="312" customWidth="1"/>
    <col min="76" max="76" width="20" style="312" customWidth="1"/>
    <col min="77" max="77" width="0" style="321" hidden="1" customWidth="1"/>
    <col min="78" max="78" width="16" style="321" customWidth="1"/>
    <col min="79" max="79" width="0" style="321" hidden="1" customWidth="1"/>
    <col min="80" max="81" width="11.42578125" style="313" hidden="1" customWidth="1"/>
    <col min="82" max="84" width="5.85546875" style="313" hidden="1" customWidth="1"/>
    <col min="85" max="88" width="5.85546875" style="312" hidden="1" customWidth="1"/>
    <col min="89" max="89" width="37.140625" style="312" hidden="1" customWidth="1"/>
    <col min="90" max="92" width="0" style="312" hidden="1" customWidth="1"/>
    <col min="93" max="95" width="0" style="308" hidden="1" customWidth="1"/>
    <col min="96" max="115" width="11.42578125" style="308"/>
  </cols>
  <sheetData>
    <row r="1" spans="1:115" s="6" customFormat="1" ht="47.25" customHeight="1" x14ac:dyDescent="0.25">
      <c r="A1" s="14" t="s">
        <v>9</v>
      </c>
      <c r="B1" s="9" t="s">
        <v>10</v>
      </c>
      <c r="C1" s="3" t="s">
        <v>11</v>
      </c>
      <c r="D1" s="3" t="s">
        <v>12</v>
      </c>
      <c r="E1" s="3" t="s">
        <v>13</v>
      </c>
      <c r="F1" s="3" t="s">
        <v>14</v>
      </c>
      <c r="G1" s="3" t="s">
        <v>15</v>
      </c>
      <c r="H1" s="3" t="s">
        <v>16</v>
      </c>
      <c r="I1" s="3" t="s">
        <v>17</v>
      </c>
      <c r="J1" s="3" t="s">
        <v>18</v>
      </c>
      <c r="K1" s="3" t="s">
        <v>19</v>
      </c>
      <c r="L1" s="7" t="s">
        <v>20</v>
      </c>
      <c r="M1" s="17" t="s">
        <v>21</v>
      </c>
      <c r="N1" s="16" t="s">
        <v>22</v>
      </c>
      <c r="O1" s="10" t="s">
        <v>23</v>
      </c>
      <c r="P1" s="8" t="s">
        <v>24</v>
      </c>
      <c r="Q1" s="15" t="s">
        <v>25</v>
      </c>
      <c r="R1" s="11" t="s">
        <v>26</v>
      </c>
      <c r="S1" s="14" t="s">
        <v>27</v>
      </c>
      <c r="T1" s="12" t="s">
        <v>28</v>
      </c>
      <c r="U1" s="17" t="s">
        <v>29</v>
      </c>
      <c r="V1" s="14" t="s">
        <v>30</v>
      </c>
      <c r="W1" s="14" t="s">
        <v>31</v>
      </c>
      <c r="X1" s="9" t="s">
        <v>32</v>
      </c>
      <c r="Y1" s="3" t="s">
        <v>33</v>
      </c>
      <c r="Z1" s="3" t="s">
        <v>34</v>
      </c>
      <c r="AA1" s="3" t="s">
        <v>35</v>
      </c>
      <c r="AB1" s="3" t="s">
        <v>36</v>
      </c>
      <c r="AC1" s="3" t="s">
        <v>37</v>
      </c>
      <c r="AD1" s="3" t="s">
        <v>38</v>
      </c>
      <c r="AE1" s="3" t="s">
        <v>39</v>
      </c>
      <c r="AF1" s="3" t="s">
        <v>40</v>
      </c>
      <c r="AG1" s="3" t="s">
        <v>41</v>
      </c>
      <c r="AH1" s="3" t="s">
        <v>42</v>
      </c>
      <c r="AI1" s="3" t="s">
        <v>43</v>
      </c>
      <c r="AJ1" s="7" t="s">
        <v>44</v>
      </c>
      <c r="AK1" s="17" t="s">
        <v>45</v>
      </c>
      <c r="AL1" s="17" t="s">
        <v>46</v>
      </c>
      <c r="AM1" s="17" t="s">
        <v>47</v>
      </c>
      <c r="AN1" s="17" t="s">
        <v>48</v>
      </c>
      <c r="AO1" s="17" t="s">
        <v>49</v>
      </c>
      <c r="AP1" s="17" t="s">
        <v>50</v>
      </c>
      <c r="AQ1" s="17" t="s">
        <v>51</v>
      </c>
      <c r="AR1" s="17" t="s">
        <v>52</v>
      </c>
      <c r="AS1" s="17" t="s">
        <v>53</v>
      </c>
      <c r="AT1" s="17" t="s">
        <v>54</v>
      </c>
      <c r="AU1" s="17" t="s">
        <v>55</v>
      </c>
      <c r="AV1" s="17" t="s">
        <v>56</v>
      </c>
      <c r="AW1" s="806" t="s">
        <v>57</v>
      </c>
      <c r="AX1" s="805" t="s">
        <v>423</v>
      </c>
      <c r="AY1" s="9" t="s">
        <v>59</v>
      </c>
      <c r="AZ1" s="3" t="s">
        <v>60</v>
      </c>
      <c r="BA1" s="407" t="s">
        <v>61</v>
      </c>
      <c r="BB1" s="3" t="s">
        <v>63</v>
      </c>
      <c r="BC1" s="64" t="s">
        <v>424</v>
      </c>
      <c r="BD1" s="64" t="s">
        <v>425</v>
      </c>
      <c r="BE1" s="64" t="s">
        <v>426</v>
      </c>
      <c r="BF1" s="64" t="s">
        <v>427</v>
      </c>
      <c r="BG1" s="64" t="s">
        <v>428</v>
      </c>
      <c r="BH1" s="242" t="s">
        <v>62</v>
      </c>
      <c r="BI1" s="300" t="s">
        <v>429</v>
      </c>
      <c r="BJ1" s="300" t="s">
        <v>430</v>
      </c>
      <c r="BK1" s="300" t="s">
        <v>431</v>
      </c>
      <c r="BL1" s="300" t="s">
        <v>432</v>
      </c>
      <c r="BM1" s="300" t="s">
        <v>433</v>
      </c>
      <c r="BN1" s="300" t="s">
        <v>434</v>
      </c>
      <c r="BO1" s="300" t="s">
        <v>435</v>
      </c>
      <c r="BP1" s="300" t="s">
        <v>436</v>
      </c>
      <c r="BQ1" s="301" t="s">
        <v>437</v>
      </c>
      <c r="BR1" s="302" t="s">
        <v>438</v>
      </c>
      <c r="BS1" s="303" t="s">
        <v>439</v>
      </c>
      <c r="BT1" s="303" t="s">
        <v>440</v>
      </c>
      <c r="BU1" s="303" t="s">
        <v>441</v>
      </c>
      <c r="BV1" s="303" t="s">
        <v>442</v>
      </c>
      <c r="BW1" s="303" t="s">
        <v>443</v>
      </c>
      <c r="BX1" s="303" t="s">
        <v>444</v>
      </c>
      <c r="BY1" s="320" t="s">
        <v>445</v>
      </c>
      <c r="BZ1" s="320" t="s">
        <v>446</v>
      </c>
      <c r="CA1" s="320" t="s">
        <v>447</v>
      </c>
      <c r="CB1" s="310" t="s">
        <v>448</v>
      </c>
      <c r="CC1" s="310" t="s">
        <v>449</v>
      </c>
      <c r="CD1" s="311" t="s">
        <v>450</v>
      </c>
      <c r="CE1" s="311" t="s">
        <v>451</v>
      </c>
      <c r="CF1" s="311" t="s">
        <v>452</v>
      </c>
      <c r="CG1" s="311" t="s">
        <v>453</v>
      </c>
      <c r="CH1" s="311" t="s">
        <v>454</v>
      </c>
      <c r="CI1" s="311" t="s">
        <v>455</v>
      </c>
      <c r="CJ1" s="311" t="s">
        <v>456</v>
      </c>
      <c r="CK1" s="311" t="s">
        <v>457</v>
      </c>
      <c r="CL1" s="311" t="s">
        <v>458</v>
      </c>
      <c r="CM1" s="311" t="s">
        <v>459</v>
      </c>
      <c r="CN1" s="311" t="s">
        <v>460</v>
      </c>
      <c r="CO1" s="304" t="s">
        <v>461</v>
      </c>
      <c r="CP1" s="305" t="s">
        <v>462</v>
      </c>
      <c r="CQ1" s="306" t="s">
        <v>463</v>
      </c>
      <c r="CR1" s="307"/>
      <c r="CS1" s="307"/>
      <c r="CT1" s="307"/>
      <c r="CU1" s="307"/>
      <c r="CV1" s="307"/>
      <c r="CW1" s="307"/>
      <c r="CX1" s="307"/>
      <c r="CY1" s="307"/>
      <c r="CZ1" s="307"/>
      <c r="DA1" s="307"/>
      <c r="DB1" s="307"/>
      <c r="DC1" s="307"/>
      <c r="DD1" s="307"/>
      <c r="DE1" s="307"/>
      <c r="DF1" s="307"/>
      <c r="DG1" s="307"/>
      <c r="DH1" s="307"/>
      <c r="DI1" s="307"/>
      <c r="DJ1" s="307"/>
      <c r="DK1" s="307"/>
    </row>
    <row r="2" spans="1:115" ht="47.25" customHeight="1" x14ac:dyDescent="0.25">
      <c r="A2" s="19">
        <v>2026</v>
      </c>
      <c r="B2" s="20">
        <v>479</v>
      </c>
      <c r="C2" s="21" t="s">
        <v>64</v>
      </c>
      <c r="D2" s="21" t="s">
        <v>65</v>
      </c>
      <c r="E2" s="20">
        <v>125</v>
      </c>
      <c r="F2" s="20">
        <v>3000654</v>
      </c>
      <c r="G2" s="20">
        <v>5005023</v>
      </c>
      <c r="H2" s="20">
        <v>3</v>
      </c>
      <c r="I2" s="20">
        <v>12</v>
      </c>
      <c r="J2" s="20">
        <v>24</v>
      </c>
      <c r="K2" s="20">
        <v>135560</v>
      </c>
      <c r="L2" s="21" t="s">
        <v>66</v>
      </c>
      <c r="M2" s="22" t="s">
        <v>67</v>
      </c>
      <c r="N2" s="19">
        <v>95</v>
      </c>
      <c r="O2" s="2"/>
      <c r="P2" s="2" t="s">
        <v>4</v>
      </c>
      <c r="Q2" s="23" t="s">
        <v>68</v>
      </c>
      <c r="R2" s="25" t="s">
        <v>69</v>
      </c>
      <c r="S2" s="24" t="s">
        <v>70</v>
      </c>
      <c r="T2" s="25"/>
      <c r="U2" s="26" t="s">
        <v>71</v>
      </c>
      <c r="V2" s="24" t="s">
        <v>72</v>
      </c>
      <c r="W2" s="24"/>
      <c r="X2" s="27">
        <v>6000000</v>
      </c>
      <c r="Y2" s="1142"/>
      <c r="Z2" s="1143"/>
      <c r="AA2" s="1143"/>
      <c r="AB2" s="1144"/>
      <c r="AC2" s="25"/>
      <c r="AD2" s="25">
        <v>1</v>
      </c>
      <c r="AE2" s="25"/>
      <c r="AF2" s="1142"/>
      <c r="AG2" s="1143"/>
      <c r="AH2" s="1143"/>
      <c r="AI2" s="1143"/>
      <c r="AJ2" s="1144"/>
      <c r="AK2" s="28">
        <v>6000000</v>
      </c>
      <c r="AL2" s="29" t="s">
        <v>73</v>
      </c>
      <c r="AM2" s="29" t="s">
        <v>73</v>
      </c>
      <c r="AN2" s="29" t="s">
        <v>73</v>
      </c>
      <c r="AO2" s="29" t="s">
        <v>73</v>
      </c>
      <c r="AP2" s="29" t="s">
        <v>73</v>
      </c>
      <c r="AQ2" s="30">
        <v>6000000</v>
      </c>
      <c r="AR2" s="29" t="s">
        <v>73</v>
      </c>
      <c r="AS2" s="29" t="s">
        <v>73</v>
      </c>
      <c r="AT2" s="29" t="s">
        <v>73</v>
      </c>
      <c r="AU2" s="29" t="s">
        <v>73</v>
      </c>
      <c r="AV2" s="29" t="s">
        <v>73</v>
      </c>
      <c r="AW2" s="29" t="s">
        <v>73</v>
      </c>
      <c r="AX2" s="823">
        <f>6000000+11129942</f>
        <v>17129942</v>
      </c>
      <c r="AY2" s="30" t="s">
        <v>7</v>
      </c>
      <c r="AZ2" s="1108" t="s">
        <v>74</v>
      </c>
      <c r="BA2" s="1108"/>
      <c r="BB2" s="384" t="s">
        <v>75</v>
      </c>
      <c r="BC2" t="s">
        <v>464</v>
      </c>
      <c r="BD2" t="s">
        <v>464</v>
      </c>
      <c r="BE2" t="s">
        <v>465</v>
      </c>
      <c r="BG2" s="94" t="s">
        <v>466</v>
      </c>
      <c r="BH2" s="31" t="s">
        <v>71</v>
      </c>
      <c r="BI2" s="322" t="s">
        <v>467</v>
      </c>
      <c r="BK2" s="313" t="s">
        <v>468</v>
      </c>
      <c r="BL2" s="314">
        <v>46113</v>
      </c>
      <c r="BM2" s="313" t="s">
        <v>469</v>
      </c>
      <c r="BN2" s="314">
        <v>46147</v>
      </c>
      <c r="BO2" s="313" t="s">
        <v>470</v>
      </c>
      <c r="BP2" s="314">
        <v>46149</v>
      </c>
      <c r="BQ2" s="313" t="s">
        <v>471</v>
      </c>
      <c r="BR2" s="1109" t="s">
        <v>472</v>
      </c>
      <c r="BS2" s="312" t="s">
        <v>473</v>
      </c>
      <c r="BT2" s="28">
        <v>17129941.030000001</v>
      </c>
      <c r="BU2" s="28">
        <f t="shared" ref="BU2:BU38" si="0">AX2-BT2</f>
        <v>0.9699999988079071</v>
      </c>
      <c r="BV2" s="1110" t="s">
        <v>474</v>
      </c>
      <c r="BW2" s="1111" t="s">
        <v>2841</v>
      </c>
      <c r="BX2" s="314">
        <v>46157</v>
      </c>
      <c r="BY2" s="28">
        <f t="shared" ref="BY2:BY36" si="1">AX2</f>
        <v>17129942</v>
      </c>
      <c r="BZ2" s="28">
        <v>17129941.030000001</v>
      </c>
      <c r="CA2" s="28">
        <f>BY2-BZ2</f>
        <v>0.9699999988079071</v>
      </c>
      <c r="CB2" s="313" t="s">
        <v>475</v>
      </c>
      <c r="CC2" s="313" t="s">
        <v>476</v>
      </c>
      <c r="CD2" s="313" t="s">
        <v>477</v>
      </c>
      <c r="CK2" s="312" t="s">
        <v>478</v>
      </c>
      <c r="CL2" s="312" t="s">
        <v>479</v>
      </c>
      <c r="CM2" s="312" t="s">
        <v>479</v>
      </c>
      <c r="CN2" s="312" t="s">
        <v>479</v>
      </c>
      <c r="CO2" s="308" t="s">
        <v>479</v>
      </c>
      <c r="CP2" s="308" t="s">
        <v>479</v>
      </c>
    </row>
    <row r="3" spans="1:115" ht="47.25" customHeight="1" x14ac:dyDescent="0.25">
      <c r="A3" s="19">
        <v>2026</v>
      </c>
      <c r="B3" s="20">
        <v>479</v>
      </c>
      <c r="C3" s="21" t="s">
        <v>64</v>
      </c>
      <c r="D3" s="21" t="s">
        <v>65</v>
      </c>
      <c r="E3" s="20">
        <v>125</v>
      </c>
      <c r="F3" s="20">
        <v>3000654</v>
      </c>
      <c r="G3" s="20">
        <v>5005023</v>
      </c>
      <c r="H3" s="20">
        <v>3</v>
      </c>
      <c r="I3" s="20">
        <v>12</v>
      </c>
      <c r="J3" s="20">
        <v>24</v>
      </c>
      <c r="K3" s="20">
        <v>135560</v>
      </c>
      <c r="L3" s="21" t="s">
        <v>66</v>
      </c>
      <c r="M3" s="22" t="s">
        <v>67</v>
      </c>
      <c r="N3" s="19">
        <v>95</v>
      </c>
      <c r="O3" s="2"/>
      <c r="P3" s="2" t="s">
        <v>4</v>
      </c>
      <c r="Q3" s="20" t="s">
        <v>68</v>
      </c>
      <c r="R3" s="25" t="s">
        <v>69</v>
      </c>
      <c r="S3" s="25" t="s">
        <v>76</v>
      </c>
      <c r="T3" s="25"/>
      <c r="U3" s="31" t="s">
        <v>77</v>
      </c>
      <c r="V3" s="25" t="s">
        <v>72</v>
      </c>
      <c r="W3" s="25"/>
      <c r="X3" s="27">
        <v>20000000</v>
      </c>
      <c r="Y3" s="1142"/>
      <c r="Z3" s="1143"/>
      <c r="AA3" s="1143"/>
      <c r="AB3" s="1144"/>
      <c r="AC3" s="25"/>
      <c r="AD3" s="25">
        <v>1</v>
      </c>
      <c r="AE3" s="25"/>
      <c r="AF3" s="1142"/>
      <c r="AG3" s="1143"/>
      <c r="AH3" s="1143"/>
      <c r="AI3" s="1143"/>
      <c r="AJ3" s="1144"/>
      <c r="AK3" s="32">
        <v>20000000</v>
      </c>
      <c r="AL3" s="29" t="s">
        <v>73</v>
      </c>
      <c r="AM3" s="29" t="s">
        <v>73</v>
      </c>
      <c r="AN3" s="29" t="s">
        <v>73</v>
      </c>
      <c r="AO3" s="29" t="s">
        <v>73</v>
      </c>
      <c r="AP3" s="29" t="s">
        <v>73</v>
      </c>
      <c r="AQ3" s="30">
        <v>20000000</v>
      </c>
      <c r="AR3" s="29" t="s">
        <v>73</v>
      </c>
      <c r="AS3" s="29" t="s">
        <v>73</v>
      </c>
      <c r="AT3" s="29" t="s">
        <v>73</v>
      </c>
      <c r="AU3" s="29" t="s">
        <v>73</v>
      </c>
      <c r="AV3" s="29" t="s">
        <v>73</v>
      </c>
      <c r="AW3" s="29" t="s">
        <v>73</v>
      </c>
      <c r="AX3" s="823">
        <f>20000000+43456744</f>
        <v>63456744</v>
      </c>
      <c r="AY3" s="30" t="s">
        <v>7</v>
      </c>
      <c r="AZ3" s="1108" t="s">
        <v>74</v>
      </c>
      <c r="BA3" s="1108"/>
      <c r="BB3" s="384" t="s">
        <v>75</v>
      </c>
      <c r="BC3" t="s">
        <v>480</v>
      </c>
      <c r="BD3" t="s">
        <v>480</v>
      </c>
      <c r="BE3" t="s">
        <v>481</v>
      </c>
      <c r="BH3" s="31" t="s">
        <v>77</v>
      </c>
      <c r="BI3" s="322" t="s">
        <v>467</v>
      </c>
      <c r="BK3" s="313" t="s">
        <v>468</v>
      </c>
      <c r="BL3" s="314">
        <v>46113</v>
      </c>
      <c r="BM3" s="313" t="s">
        <v>482</v>
      </c>
      <c r="BN3" s="314">
        <v>46150</v>
      </c>
      <c r="BO3" s="313" t="s">
        <v>483</v>
      </c>
      <c r="BP3" s="314">
        <v>46150</v>
      </c>
      <c r="BQ3" s="313" t="s">
        <v>471</v>
      </c>
      <c r="BR3" s="1109" t="s">
        <v>2842</v>
      </c>
      <c r="BS3" s="1112" t="s">
        <v>484</v>
      </c>
      <c r="BT3" s="28">
        <v>63456744</v>
      </c>
      <c r="BU3" s="28">
        <f t="shared" si="0"/>
        <v>0</v>
      </c>
      <c r="BV3" s="1113" t="s">
        <v>474</v>
      </c>
      <c r="BW3" s="1111" t="s">
        <v>485</v>
      </c>
      <c r="BX3" s="1114">
        <v>46178</v>
      </c>
      <c r="BY3" s="28">
        <f t="shared" si="1"/>
        <v>63456744</v>
      </c>
      <c r="BZ3" s="28">
        <f>63456744-712235</f>
        <v>62744509</v>
      </c>
      <c r="CA3" s="28">
        <f t="shared" ref="CA3:CA5" si="2">BY3-BZ3</f>
        <v>712235</v>
      </c>
      <c r="CB3" s="313" t="s">
        <v>486</v>
      </c>
      <c r="CC3" s="313" t="s">
        <v>487</v>
      </c>
      <c r="CD3" s="313" t="s">
        <v>488</v>
      </c>
      <c r="CE3" s="313" t="s">
        <v>489</v>
      </c>
      <c r="CF3" s="313" t="s">
        <v>489</v>
      </c>
      <c r="CG3" s="313" t="s">
        <v>489</v>
      </c>
      <c r="CH3" s="313" t="s">
        <v>489</v>
      </c>
      <c r="CI3" s="313" t="s">
        <v>489</v>
      </c>
      <c r="CJ3" s="313" t="s">
        <v>489</v>
      </c>
      <c r="CK3" s="313" t="s">
        <v>489</v>
      </c>
      <c r="CL3" s="313" t="s">
        <v>489</v>
      </c>
      <c r="CM3" s="313" t="s">
        <v>489</v>
      </c>
      <c r="CN3" s="313" t="s">
        <v>489</v>
      </c>
      <c r="CO3" s="313" t="s">
        <v>489</v>
      </c>
      <c r="CP3" s="313" t="s">
        <v>489</v>
      </c>
    </row>
    <row r="4" spans="1:115" ht="47.25" customHeight="1" x14ac:dyDescent="0.25">
      <c r="A4" s="19">
        <v>2026</v>
      </c>
      <c r="B4" s="20">
        <v>479</v>
      </c>
      <c r="C4" s="21" t="s">
        <v>64</v>
      </c>
      <c r="D4" s="21" t="s">
        <v>65</v>
      </c>
      <c r="E4" s="20">
        <v>125</v>
      </c>
      <c r="F4" s="20">
        <v>3000654</v>
      </c>
      <c r="G4" s="20">
        <v>5005023</v>
      </c>
      <c r="H4" s="20">
        <v>3</v>
      </c>
      <c r="I4" s="20">
        <v>12</v>
      </c>
      <c r="J4" s="20">
        <v>24</v>
      </c>
      <c r="K4" s="20">
        <v>135560</v>
      </c>
      <c r="L4" s="21" t="s">
        <v>66</v>
      </c>
      <c r="M4" s="22" t="s">
        <v>67</v>
      </c>
      <c r="N4" s="19">
        <v>95</v>
      </c>
      <c r="O4" s="2"/>
      <c r="P4" s="2" t="s">
        <v>4</v>
      </c>
      <c r="Q4" s="20" t="s">
        <v>68</v>
      </c>
      <c r="R4" s="25" t="s">
        <v>69</v>
      </c>
      <c r="S4" s="25" t="s">
        <v>70</v>
      </c>
      <c r="T4" s="25"/>
      <c r="U4" s="31" t="s">
        <v>78</v>
      </c>
      <c r="V4" s="25" t="s">
        <v>72</v>
      </c>
      <c r="W4" s="25"/>
      <c r="X4" s="27">
        <v>1169000</v>
      </c>
      <c r="Y4" s="1142"/>
      <c r="Z4" s="1143"/>
      <c r="AA4" s="1143"/>
      <c r="AB4" s="1144"/>
      <c r="AC4" s="25"/>
      <c r="AD4" s="25">
        <v>1</v>
      </c>
      <c r="AE4" s="25"/>
      <c r="AF4" s="1142"/>
      <c r="AG4" s="1143"/>
      <c r="AH4" s="1143"/>
      <c r="AI4" s="1143"/>
      <c r="AJ4" s="1144"/>
      <c r="AK4" s="32">
        <v>1169000</v>
      </c>
      <c r="AL4" s="29" t="s">
        <v>73</v>
      </c>
      <c r="AM4" s="29" t="s">
        <v>73</v>
      </c>
      <c r="AN4" s="29" t="s">
        <v>73</v>
      </c>
      <c r="AO4" s="29" t="s">
        <v>73</v>
      </c>
      <c r="AP4" s="29" t="s">
        <v>73</v>
      </c>
      <c r="AQ4" s="30">
        <v>1169000</v>
      </c>
      <c r="AR4" s="29" t="s">
        <v>73</v>
      </c>
      <c r="AS4" s="29" t="s">
        <v>73</v>
      </c>
      <c r="AT4" s="29" t="s">
        <v>73</v>
      </c>
      <c r="AU4" s="29" t="s">
        <v>73</v>
      </c>
      <c r="AV4" s="29" t="s">
        <v>73</v>
      </c>
      <c r="AW4" s="29" t="s">
        <v>73</v>
      </c>
      <c r="AX4" s="823">
        <v>1169000</v>
      </c>
      <c r="AY4" s="30" t="s">
        <v>7</v>
      </c>
      <c r="AZ4" s="1108" t="s">
        <v>74</v>
      </c>
      <c r="BA4" s="1108"/>
      <c r="BB4" s="384" t="s">
        <v>75</v>
      </c>
      <c r="BH4" s="31" t="s">
        <v>78</v>
      </c>
      <c r="BI4" s="322" t="s">
        <v>490</v>
      </c>
      <c r="BK4" s="313" t="s">
        <v>468</v>
      </c>
      <c r="BL4" s="314">
        <v>46113</v>
      </c>
      <c r="BM4" s="313" t="s">
        <v>491</v>
      </c>
      <c r="BN4" s="314" t="s">
        <v>492</v>
      </c>
      <c r="BO4" s="313" t="s">
        <v>493</v>
      </c>
      <c r="BP4" s="314">
        <v>46149</v>
      </c>
      <c r="BQ4" s="313" t="s">
        <v>471</v>
      </c>
      <c r="BR4" s="1109" t="s">
        <v>494</v>
      </c>
      <c r="BS4" s="1115" t="s">
        <v>495</v>
      </c>
      <c r="BT4" s="1116">
        <v>303062.5</v>
      </c>
      <c r="BU4" s="1116">
        <f t="shared" si="0"/>
        <v>865937.5</v>
      </c>
      <c r="BV4" s="1117" t="s">
        <v>474</v>
      </c>
      <c r="BW4" s="1117" t="s">
        <v>2840</v>
      </c>
      <c r="BX4" s="314">
        <v>46157</v>
      </c>
      <c r="BY4" s="28">
        <f>AX4</f>
        <v>1169000</v>
      </c>
      <c r="BZ4" s="28">
        <v>303062.5</v>
      </c>
      <c r="CA4" s="28">
        <f t="shared" si="2"/>
        <v>865937.5</v>
      </c>
      <c r="CB4" s="313" t="s">
        <v>497</v>
      </c>
      <c r="CC4" s="313" t="s">
        <v>498</v>
      </c>
      <c r="CD4" s="313" t="s">
        <v>499</v>
      </c>
      <c r="CK4" s="312" t="s">
        <v>489</v>
      </c>
      <c r="CL4" s="312" t="s">
        <v>489</v>
      </c>
      <c r="CM4" s="312" t="s">
        <v>489</v>
      </c>
      <c r="CN4" s="312" t="s">
        <v>489</v>
      </c>
    </row>
    <row r="5" spans="1:115" ht="47.25" customHeight="1" x14ac:dyDescent="0.25">
      <c r="A5" s="19">
        <v>2026</v>
      </c>
      <c r="B5" s="20">
        <v>479</v>
      </c>
      <c r="C5" s="21" t="s">
        <v>64</v>
      </c>
      <c r="D5" s="21" t="s">
        <v>65</v>
      </c>
      <c r="E5" s="20">
        <v>125</v>
      </c>
      <c r="F5" s="20">
        <v>3000654</v>
      </c>
      <c r="G5" s="20">
        <v>5005023</v>
      </c>
      <c r="H5" s="20">
        <v>3</v>
      </c>
      <c r="I5" s="20">
        <v>12</v>
      </c>
      <c r="J5" s="20">
        <v>24</v>
      </c>
      <c r="K5" s="20">
        <v>135560</v>
      </c>
      <c r="L5" s="21" t="s">
        <v>66</v>
      </c>
      <c r="M5" s="22" t="s">
        <v>67</v>
      </c>
      <c r="N5" s="19">
        <v>95</v>
      </c>
      <c r="O5" s="2"/>
      <c r="P5" s="2" t="s">
        <v>4</v>
      </c>
      <c r="Q5" s="20" t="s">
        <v>68</v>
      </c>
      <c r="R5" s="25" t="s">
        <v>69</v>
      </c>
      <c r="S5" s="25" t="s">
        <v>70</v>
      </c>
      <c r="T5" s="25"/>
      <c r="U5" s="31" t="s">
        <v>79</v>
      </c>
      <c r="V5" s="25" t="s">
        <v>72</v>
      </c>
      <c r="W5" s="25"/>
      <c r="X5" s="27">
        <v>2500000</v>
      </c>
      <c r="Y5" s="1142"/>
      <c r="Z5" s="1143"/>
      <c r="AA5" s="1143"/>
      <c r="AB5" s="1144"/>
      <c r="AC5" s="25"/>
      <c r="AD5" s="25">
        <v>1</v>
      </c>
      <c r="AE5" s="25"/>
      <c r="AF5" s="1142"/>
      <c r="AG5" s="1143"/>
      <c r="AH5" s="1143"/>
      <c r="AI5" s="1143"/>
      <c r="AJ5" s="1144"/>
      <c r="AK5" s="32">
        <v>2500000</v>
      </c>
      <c r="AL5" s="29" t="s">
        <v>73</v>
      </c>
      <c r="AM5" s="29" t="s">
        <v>73</v>
      </c>
      <c r="AN5" s="29" t="s">
        <v>73</v>
      </c>
      <c r="AO5" s="29" t="s">
        <v>73</v>
      </c>
      <c r="AP5" s="29" t="s">
        <v>73</v>
      </c>
      <c r="AQ5" s="30">
        <v>2500000</v>
      </c>
      <c r="AR5" s="29" t="s">
        <v>73</v>
      </c>
      <c r="AS5" s="29" t="s">
        <v>73</v>
      </c>
      <c r="AT5" s="29" t="s">
        <v>73</v>
      </c>
      <c r="AU5" s="29" t="s">
        <v>73</v>
      </c>
      <c r="AV5" s="29" t="s">
        <v>73</v>
      </c>
      <c r="AW5" s="29" t="s">
        <v>73</v>
      </c>
      <c r="AX5" s="823">
        <f>2500000+2022146</f>
        <v>4522146</v>
      </c>
      <c r="AY5" s="30" t="s">
        <v>7</v>
      </c>
      <c r="AZ5" s="1108" t="s">
        <v>74</v>
      </c>
      <c r="BA5" s="1108"/>
      <c r="BB5" s="384" t="s">
        <v>75</v>
      </c>
      <c r="BC5" t="s">
        <v>500</v>
      </c>
      <c r="BD5" t="s">
        <v>500</v>
      </c>
      <c r="BE5" t="s">
        <v>501</v>
      </c>
      <c r="BG5" s="94" t="s">
        <v>502</v>
      </c>
      <c r="BH5" s="31" t="s">
        <v>79</v>
      </c>
      <c r="BI5" s="322" t="s">
        <v>490</v>
      </c>
      <c r="BK5" s="313" t="s">
        <v>468</v>
      </c>
      <c r="BL5" s="314">
        <v>46113</v>
      </c>
      <c r="BM5" s="313" t="s">
        <v>503</v>
      </c>
      <c r="BN5" s="314">
        <v>46154</v>
      </c>
      <c r="BO5" s="313" t="s">
        <v>504</v>
      </c>
      <c r="BP5" s="314">
        <v>46155</v>
      </c>
      <c r="BQ5" s="313" t="s">
        <v>471</v>
      </c>
      <c r="BR5" s="1109" t="s">
        <v>505</v>
      </c>
      <c r="BS5" s="312" t="s">
        <v>506</v>
      </c>
      <c r="BT5" s="28">
        <v>4522144.09</v>
      </c>
      <c r="BU5" s="28">
        <f t="shared" si="0"/>
        <v>1.9100000001490116</v>
      </c>
      <c r="BV5" s="1110" t="s">
        <v>474</v>
      </c>
      <c r="BW5" s="1111" t="s">
        <v>507</v>
      </c>
      <c r="BX5" s="314">
        <v>46164</v>
      </c>
      <c r="BY5" s="28">
        <f>AX5</f>
        <v>4522146</v>
      </c>
      <c r="BZ5" s="28">
        <v>4522144.09</v>
      </c>
      <c r="CA5" s="28">
        <f t="shared" si="2"/>
        <v>1.9100000001490116</v>
      </c>
      <c r="CB5" s="313" t="s">
        <v>508</v>
      </c>
      <c r="CC5" s="313" t="s">
        <v>498</v>
      </c>
      <c r="CD5" s="313" t="s">
        <v>509</v>
      </c>
      <c r="CL5" s="313" t="s">
        <v>489</v>
      </c>
      <c r="CM5" s="313" t="s">
        <v>489</v>
      </c>
      <c r="CN5" s="313" t="s">
        <v>489</v>
      </c>
      <c r="CO5" s="313" t="s">
        <v>489</v>
      </c>
      <c r="CP5" s="313" t="s">
        <v>489</v>
      </c>
    </row>
    <row r="6" spans="1:115" ht="47.25" hidden="1" customHeight="1" x14ac:dyDescent="0.25">
      <c r="A6" s="19">
        <v>2026</v>
      </c>
      <c r="B6" s="20">
        <v>479</v>
      </c>
      <c r="C6" s="21" t="s">
        <v>64</v>
      </c>
      <c r="D6" s="21" t="s">
        <v>65</v>
      </c>
      <c r="E6" s="20">
        <v>125</v>
      </c>
      <c r="F6" s="20">
        <v>3000654</v>
      </c>
      <c r="G6" s="20">
        <v>5005023</v>
      </c>
      <c r="H6" s="20">
        <v>3</v>
      </c>
      <c r="I6" s="20">
        <v>12</v>
      </c>
      <c r="J6" s="20">
        <v>24</v>
      </c>
      <c r="K6" s="20">
        <v>135560</v>
      </c>
      <c r="L6" s="21" t="s">
        <v>66</v>
      </c>
      <c r="M6" s="22" t="s">
        <v>67</v>
      </c>
      <c r="N6" s="19">
        <v>95</v>
      </c>
      <c r="O6" s="2"/>
      <c r="P6" s="2" t="s">
        <v>4</v>
      </c>
      <c r="Q6" s="20" t="s">
        <v>68</v>
      </c>
      <c r="R6" s="25" t="s">
        <v>69</v>
      </c>
      <c r="S6" s="25" t="s">
        <v>80</v>
      </c>
      <c r="T6" s="25"/>
      <c r="U6" s="31" t="s">
        <v>81</v>
      </c>
      <c r="V6" s="25" t="s">
        <v>72</v>
      </c>
      <c r="W6" s="25"/>
      <c r="X6" s="27">
        <v>40000</v>
      </c>
      <c r="Y6" s="1142"/>
      <c r="Z6" s="1143"/>
      <c r="AA6" s="1143"/>
      <c r="AB6" s="1144"/>
      <c r="AC6" s="25"/>
      <c r="AD6" s="25">
        <v>1</v>
      </c>
      <c r="AE6" s="25"/>
      <c r="AF6" s="1142"/>
      <c r="AG6" s="1143"/>
      <c r="AH6" s="1143"/>
      <c r="AI6" s="1143"/>
      <c r="AJ6" s="1144"/>
      <c r="AK6" s="32">
        <v>40000</v>
      </c>
      <c r="AL6" s="29" t="s">
        <v>73</v>
      </c>
      <c r="AM6" s="29" t="s">
        <v>73</v>
      </c>
      <c r="AN6" s="29" t="s">
        <v>73</v>
      </c>
      <c r="AO6" s="29" t="s">
        <v>73</v>
      </c>
      <c r="AP6" s="29" t="s">
        <v>73</v>
      </c>
      <c r="AQ6" s="30">
        <v>40000</v>
      </c>
      <c r="AR6" s="29" t="s">
        <v>73</v>
      </c>
      <c r="AS6" s="29" t="s">
        <v>73</v>
      </c>
      <c r="AT6" s="29" t="s">
        <v>73</v>
      </c>
      <c r="AU6" s="29" t="s">
        <v>73</v>
      </c>
      <c r="AV6" s="29" t="s">
        <v>73</v>
      </c>
      <c r="AW6" s="29" t="s">
        <v>73</v>
      </c>
      <c r="AX6" s="823">
        <v>40000</v>
      </c>
      <c r="AY6" s="30" t="s">
        <v>7</v>
      </c>
      <c r="AZ6" s="1108" t="s">
        <v>74</v>
      </c>
      <c r="BA6" s="1108"/>
      <c r="BB6" s="384" t="s">
        <v>75</v>
      </c>
      <c r="BH6" s="31" t="s">
        <v>81</v>
      </c>
      <c r="BL6" s="314"/>
      <c r="BN6" s="314"/>
      <c r="BP6" s="314"/>
      <c r="BQ6" s="313" t="s">
        <v>510</v>
      </c>
      <c r="BR6" s="1118"/>
      <c r="BT6" s="28"/>
      <c r="BU6" s="28">
        <f t="shared" si="0"/>
        <v>40000</v>
      </c>
      <c r="BV6" s="1119" t="s">
        <v>510</v>
      </c>
      <c r="BW6" s="1111"/>
      <c r="BY6" s="28">
        <f t="shared" si="1"/>
        <v>40000</v>
      </c>
      <c r="BZ6" s="28"/>
      <c r="CA6" s="28">
        <f t="shared" ref="CA6:CA39" si="3">BY6-BZ6</f>
        <v>40000</v>
      </c>
    </row>
    <row r="7" spans="1:115" ht="47.25" customHeight="1" x14ac:dyDescent="0.25">
      <c r="A7" s="19">
        <v>2026</v>
      </c>
      <c r="B7" s="20">
        <v>479</v>
      </c>
      <c r="C7" s="21" t="s">
        <v>64</v>
      </c>
      <c r="D7" s="21" t="s">
        <v>65</v>
      </c>
      <c r="E7" s="20">
        <v>125</v>
      </c>
      <c r="F7" s="20">
        <v>3000654</v>
      </c>
      <c r="G7" s="20">
        <v>5005023</v>
      </c>
      <c r="H7" s="20">
        <v>3</v>
      </c>
      <c r="I7" s="20">
        <v>12</v>
      </c>
      <c r="J7" s="20">
        <v>24</v>
      </c>
      <c r="K7" s="20">
        <v>135560</v>
      </c>
      <c r="L7" s="21" t="s">
        <v>82</v>
      </c>
      <c r="M7" s="33" t="s">
        <v>83</v>
      </c>
      <c r="N7" s="19">
        <v>96</v>
      </c>
      <c r="O7" s="2"/>
      <c r="P7" s="2" t="s">
        <v>4</v>
      </c>
      <c r="Q7" s="20" t="s">
        <v>68</v>
      </c>
      <c r="R7" s="25" t="s">
        <v>69</v>
      </c>
      <c r="S7" s="25" t="s">
        <v>80</v>
      </c>
      <c r="T7" s="25"/>
      <c r="U7" s="31" t="s">
        <v>84</v>
      </c>
      <c r="V7" s="25" t="s">
        <v>72</v>
      </c>
      <c r="W7" s="25"/>
      <c r="X7" s="27">
        <v>45000</v>
      </c>
      <c r="Y7" s="1142"/>
      <c r="Z7" s="1143"/>
      <c r="AA7" s="1143"/>
      <c r="AB7" s="1144"/>
      <c r="AC7" s="25"/>
      <c r="AD7" s="25">
        <v>1</v>
      </c>
      <c r="AE7" s="25"/>
      <c r="AF7" s="1142"/>
      <c r="AG7" s="1143"/>
      <c r="AH7" s="1143"/>
      <c r="AI7" s="1143"/>
      <c r="AJ7" s="1144"/>
      <c r="AK7" s="32">
        <v>45000</v>
      </c>
      <c r="AL7" s="29" t="s">
        <v>73</v>
      </c>
      <c r="AM7" s="29" t="s">
        <v>73</v>
      </c>
      <c r="AN7" s="29" t="s">
        <v>73</v>
      </c>
      <c r="AO7" s="29" t="s">
        <v>73</v>
      </c>
      <c r="AP7" s="29" t="s">
        <v>73</v>
      </c>
      <c r="AQ7" s="30">
        <v>45000</v>
      </c>
      <c r="AR7" s="29" t="s">
        <v>73</v>
      </c>
      <c r="AS7" s="29" t="s">
        <v>73</v>
      </c>
      <c r="AT7" s="29" t="s">
        <v>73</v>
      </c>
      <c r="AU7" s="29" t="s">
        <v>73</v>
      </c>
      <c r="AV7" s="29" t="s">
        <v>73</v>
      </c>
      <c r="AW7" s="29" t="s">
        <v>73</v>
      </c>
      <c r="AX7" s="823">
        <v>45000</v>
      </c>
      <c r="AY7" s="34" t="s">
        <v>7</v>
      </c>
      <c r="AZ7" s="1108" t="s">
        <v>74</v>
      </c>
      <c r="BA7" s="1108"/>
      <c r="BB7" s="384" t="s">
        <v>75</v>
      </c>
      <c r="BH7" s="31" t="s">
        <v>84</v>
      </c>
      <c r="BI7" s="322">
        <v>1860</v>
      </c>
      <c r="BJ7" s="324" t="s">
        <v>511</v>
      </c>
      <c r="BK7" s="313" t="s">
        <v>512</v>
      </c>
      <c r="BL7" s="314">
        <v>46142</v>
      </c>
      <c r="BM7" s="313" t="s">
        <v>513</v>
      </c>
      <c r="BN7" s="314">
        <v>46146</v>
      </c>
      <c r="BO7" s="313" t="s">
        <v>514</v>
      </c>
      <c r="BP7" s="314">
        <v>46148</v>
      </c>
      <c r="BQ7" s="313" t="s">
        <v>471</v>
      </c>
      <c r="BR7" s="1118" t="s">
        <v>515</v>
      </c>
      <c r="BS7" t="s">
        <v>516</v>
      </c>
      <c r="BT7" s="28">
        <v>32000</v>
      </c>
      <c r="BU7" s="28">
        <f t="shared" si="0"/>
        <v>13000</v>
      </c>
      <c r="BV7" s="1113" t="s">
        <v>474</v>
      </c>
      <c r="BW7" s="1120" t="s">
        <v>517</v>
      </c>
      <c r="BX7" s="1121">
        <v>46167</v>
      </c>
      <c r="BY7" s="28">
        <f t="shared" si="1"/>
        <v>45000</v>
      </c>
      <c r="BZ7" s="28">
        <v>32000</v>
      </c>
      <c r="CA7" s="28">
        <f>BY7-BZ7</f>
        <v>13000</v>
      </c>
      <c r="CB7" s="325" t="s">
        <v>518</v>
      </c>
      <c r="CC7" s="325"/>
      <c r="CD7" s="325" t="s">
        <v>519</v>
      </c>
      <c r="CE7" t="s">
        <v>520</v>
      </c>
      <c r="CF7" t="s">
        <v>521</v>
      </c>
      <c r="CG7" t="s">
        <v>521</v>
      </c>
      <c r="CH7" t="s">
        <v>521</v>
      </c>
      <c r="CI7" t="s">
        <v>521</v>
      </c>
      <c r="CJ7" t="s">
        <v>521</v>
      </c>
      <c r="CK7" s="1118" t="s">
        <v>522</v>
      </c>
      <c r="CL7" t="s">
        <v>479</v>
      </c>
      <c r="CM7" t="s">
        <v>479</v>
      </c>
      <c r="CN7" t="s">
        <v>489</v>
      </c>
      <c r="CO7" t="s">
        <v>489</v>
      </c>
      <c r="CP7" t="s">
        <v>523</v>
      </c>
      <c r="CQ7"/>
      <c r="CR7"/>
      <c r="CS7"/>
      <c r="CT7"/>
      <c r="CU7"/>
      <c r="CV7"/>
      <c r="CW7"/>
      <c r="CX7"/>
      <c r="CY7"/>
      <c r="CZ7"/>
      <c r="DA7"/>
      <c r="DB7"/>
      <c r="DC7"/>
      <c r="DD7"/>
      <c r="DE7"/>
      <c r="DF7"/>
      <c r="DG7"/>
      <c r="DH7"/>
      <c r="DI7"/>
      <c r="DJ7"/>
      <c r="DK7"/>
    </row>
    <row r="8" spans="1:115" ht="47.25" hidden="1" customHeight="1" x14ac:dyDescent="0.25">
      <c r="A8" s="19">
        <v>2026</v>
      </c>
      <c r="B8" s="20">
        <v>479</v>
      </c>
      <c r="C8" s="21" t="s">
        <v>64</v>
      </c>
      <c r="D8" s="21" t="s">
        <v>65</v>
      </c>
      <c r="E8" s="20">
        <v>125</v>
      </c>
      <c r="F8" s="20">
        <v>3000654</v>
      </c>
      <c r="G8" s="20">
        <v>5005023</v>
      </c>
      <c r="H8" s="20">
        <v>3</v>
      </c>
      <c r="I8" s="20">
        <v>12</v>
      </c>
      <c r="J8" s="20">
        <v>24</v>
      </c>
      <c r="K8" s="20">
        <v>135560</v>
      </c>
      <c r="L8" s="21" t="s">
        <v>66</v>
      </c>
      <c r="M8" s="22" t="s">
        <v>67</v>
      </c>
      <c r="N8" s="19">
        <v>95</v>
      </c>
      <c r="O8" s="2"/>
      <c r="P8" s="2" t="s">
        <v>4</v>
      </c>
      <c r="Q8" s="20" t="s">
        <v>68</v>
      </c>
      <c r="R8" s="25" t="s">
        <v>69</v>
      </c>
      <c r="S8" s="25" t="s">
        <v>85</v>
      </c>
      <c r="T8" s="25">
        <v>942500010040</v>
      </c>
      <c r="U8" s="31" t="s">
        <v>86</v>
      </c>
      <c r="V8" s="25" t="s">
        <v>72</v>
      </c>
      <c r="W8" s="25"/>
      <c r="X8" s="27">
        <v>70000</v>
      </c>
      <c r="Y8" s="1142"/>
      <c r="Z8" s="1143"/>
      <c r="AA8" s="1143"/>
      <c r="AB8" s="1144"/>
      <c r="AC8" s="25"/>
      <c r="AD8" s="25">
        <v>1</v>
      </c>
      <c r="AE8" s="25"/>
      <c r="AF8" s="1142"/>
      <c r="AG8" s="1143"/>
      <c r="AH8" s="1143"/>
      <c r="AI8" s="1143"/>
      <c r="AJ8" s="1144"/>
      <c r="AK8" s="32">
        <v>70000</v>
      </c>
      <c r="AL8" s="29" t="s">
        <v>73</v>
      </c>
      <c r="AM8" s="29" t="s">
        <v>73</v>
      </c>
      <c r="AN8" s="29" t="s">
        <v>73</v>
      </c>
      <c r="AO8" s="29" t="s">
        <v>73</v>
      </c>
      <c r="AP8" s="29" t="s">
        <v>73</v>
      </c>
      <c r="AQ8" s="30">
        <v>70000</v>
      </c>
      <c r="AR8" s="29" t="s">
        <v>73</v>
      </c>
      <c r="AS8" s="29" t="s">
        <v>73</v>
      </c>
      <c r="AT8" s="29" t="s">
        <v>73</v>
      </c>
      <c r="AU8" s="29" t="s">
        <v>73</v>
      </c>
      <c r="AV8" s="29" t="s">
        <v>73</v>
      </c>
      <c r="AW8" s="29" t="s">
        <v>73</v>
      </c>
      <c r="AX8" s="823">
        <v>70000</v>
      </c>
      <c r="AY8" s="30" t="s">
        <v>7</v>
      </c>
      <c r="AZ8" s="1108" t="s">
        <v>74</v>
      </c>
      <c r="BA8" s="1108"/>
      <c r="BB8" s="384" t="s">
        <v>75</v>
      </c>
      <c r="BH8" s="31" t="s">
        <v>87</v>
      </c>
      <c r="BJ8" s="324"/>
      <c r="BL8" s="314"/>
      <c r="BN8" s="314"/>
      <c r="BP8" s="314"/>
      <c r="BQ8" s="313" t="s">
        <v>510</v>
      </c>
      <c r="BR8" s="312"/>
      <c r="BT8" s="28"/>
      <c r="BU8" s="28">
        <f t="shared" si="0"/>
        <v>70000</v>
      </c>
      <c r="BV8" s="1119" t="s">
        <v>510</v>
      </c>
      <c r="BW8" s="1111"/>
      <c r="BY8" s="28">
        <f t="shared" si="1"/>
        <v>70000</v>
      </c>
      <c r="BZ8" s="28"/>
      <c r="CA8" s="28">
        <f t="shared" si="3"/>
        <v>70000</v>
      </c>
    </row>
    <row r="9" spans="1:115" ht="47.25" customHeight="1" x14ac:dyDescent="0.25">
      <c r="A9" s="19">
        <v>2026</v>
      </c>
      <c r="B9" s="20">
        <v>479</v>
      </c>
      <c r="C9" s="21" t="s">
        <v>64</v>
      </c>
      <c r="D9" s="21" t="s">
        <v>65</v>
      </c>
      <c r="E9" s="20">
        <v>125</v>
      </c>
      <c r="F9" s="20">
        <v>3000654</v>
      </c>
      <c r="G9" s="20">
        <v>5005023</v>
      </c>
      <c r="H9" s="20">
        <v>3</v>
      </c>
      <c r="I9" s="20">
        <v>12</v>
      </c>
      <c r="J9" s="20">
        <v>24</v>
      </c>
      <c r="K9" s="20">
        <v>135560</v>
      </c>
      <c r="L9" s="21" t="s">
        <v>66</v>
      </c>
      <c r="M9" s="22" t="s">
        <v>67</v>
      </c>
      <c r="N9" s="19">
        <v>95</v>
      </c>
      <c r="O9" s="2"/>
      <c r="P9" s="2" t="s">
        <v>4</v>
      </c>
      <c r="Q9" s="20" t="s">
        <v>68</v>
      </c>
      <c r="R9" s="25" t="s">
        <v>69</v>
      </c>
      <c r="S9" s="25" t="s">
        <v>80</v>
      </c>
      <c r="T9" s="25"/>
      <c r="U9" s="31" t="s">
        <v>88</v>
      </c>
      <c r="V9" s="25" t="s">
        <v>72</v>
      </c>
      <c r="W9" s="25"/>
      <c r="X9" s="27">
        <v>420000</v>
      </c>
      <c r="Y9" s="1142"/>
      <c r="Z9" s="1143"/>
      <c r="AA9" s="1143"/>
      <c r="AB9" s="1144"/>
      <c r="AC9" s="25"/>
      <c r="AD9" s="25">
        <v>1</v>
      </c>
      <c r="AE9" s="25"/>
      <c r="AF9" s="1142"/>
      <c r="AG9" s="1143"/>
      <c r="AH9" s="1143"/>
      <c r="AI9" s="1143"/>
      <c r="AJ9" s="1144"/>
      <c r="AK9" s="32">
        <v>420000</v>
      </c>
      <c r="AL9" s="29" t="s">
        <v>73</v>
      </c>
      <c r="AM9" s="29" t="s">
        <v>73</v>
      </c>
      <c r="AN9" s="29" t="s">
        <v>73</v>
      </c>
      <c r="AO9" s="29" t="s">
        <v>73</v>
      </c>
      <c r="AP9" s="29" t="s">
        <v>73</v>
      </c>
      <c r="AQ9" s="30">
        <v>420000</v>
      </c>
      <c r="AR9" s="29" t="s">
        <v>73</v>
      </c>
      <c r="AS9" s="29" t="s">
        <v>73</v>
      </c>
      <c r="AT9" s="29" t="s">
        <v>73</v>
      </c>
      <c r="AU9" s="29" t="s">
        <v>73</v>
      </c>
      <c r="AV9" s="29" t="s">
        <v>73</v>
      </c>
      <c r="AW9" s="29" t="s">
        <v>73</v>
      </c>
      <c r="AX9" s="823">
        <v>420000</v>
      </c>
      <c r="AY9" s="30" t="s">
        <v>7</v>
      </c>
      <c r="AZ9" s="1108" t="s">
        <v>74</v>
      </c>
      <c r="BA9" s="1108"/>
      <c r="BB9" s="384" t="s">
        <v>75</v>
      </c>
      <c r="BH9" s="31" t="s">
        <v>88</v>
      </c>
      <c r="BI9" s="322" t="s">
        <v>490</v>
      </c>
      <c r="BJ9" s="324"/>
      <c r="BK9" s="313" t="s">
        <v>468</v>
      </c>
      <c r="BL9" s="314">
        <v>46113</v>
      </c>
      <c r="BM9" s="313" t="s">
        <v>524</v>
      </c>
      <c r="BN9" s="314">
        <v>46147</v>
      </c>
      <c r="BO9" s="313" t="s">
        <v>525</v>
      </c>
      <c r="BP9" s="314">
        <v>46149</v>
      </c>
      <c r="BQ9" s="313" t="s">
        <v>471</v>
      </c>
      <c r="BR9" s="1109" t="s">
        <v>526</v>
      </c>
      <c r="BS9" s="312" t="s">
        <v>527</v>
      </c>
      <c r="BT9" s="28">
        <v>152598.47</v>
      </c>
      <c r="BU9" s="28">
        <f t="shared" si="0"/>
        <v>267401.53000000003</v>
      </c>
      <c r="BV9" s="1110" t="s">
        <v>474</v>
      </c>
      <c r="BW9" s="1122" t="s">
        <v>528</v>
      </c>
      <c r="BX9" s="314">
        <v>46162</v>
      </c>
      <c r="BY9" s="28">
        <f t="shared" si="1"/>
        <v>420000</v>
      </c>
      <c r="BZ9" s="28">
        <v>152598.47</v>
      </c>
      <c r="CA9" s="28">
        <f>BY9-BZ9</f>
        <v>267401.53000000003</v>
      </c>
      <c r="CB9" s="313" t="s">
        <v>529</v>
      </c>
      <c r="CC9" s="313" t="s">
        <v>498</v>
      </c>
      <c r="CD9" s="313" t="s">
        <v>530</v>
      </c>
      <c r="CK9" s="312" t="s">
        <v>489</v>
      </c>
      <c r="CL9" s="312" t="s">
        <v>489</v>
      </c>
      <c r="CM9" s="312" t="s">
        <v>489</v>
      </c>
      <c r="CN9" s="312" t="s">
        <v>489</v>
      </c>
      <c r="CO9" s="312" t="s">
        <v>489</v>
      </c>
    </row>
    <row r="10" spans="1:115" ht="47.25" hidden="1" customHeight="1" x14ac:dyDescent="0.25">
      <c r="A10" s="19">
        <v>2026</v>
      </c>
      <c r="B10" s="20">
        <v>479</v>
      </c>
      <c r="C10" s="21" t="s">
        <v>64</v>
      </c>
      <c r="D10" s="21" t="s">
        <v>65</v>
      </c>
      <c r="E10" s="20">
        <v>125</v>
      </c>
      <c r="F10" s="20">
        <v>3000654</v>
      </c>
      <c r="G10" s="20">
        <v>5005023</v>
      </c>
      <c r="H10" s="20">
        <v>3</v>
      </c>
      <c r="I10" s="20">
        <v>12</v>
      </c>
      <c r="J10" s="20">
        <v>24</v>
      </c>
      <c r="K10" s="20">
        <v>135560</v>
      </c>
      <c r="L10" s="21" t="s">
        <v>66</v>
      </c>
      <c r="M10" s="22" t="s">
        <v>67</v>
      </c>
      <c r="N10" s="19">
        <v>95</v>
      </c>
      <c r="O10" s="2"/>
      <c r="P10" s="2" t="s">
        <v>4</v>
      </c>
      <c r="Q10" s="20" t="s">
        <v>68</v>
      </c>
      <c r="R10" s="25" t="s">
        <v>69</v>
      </c>
      <c r="S10" s="25" t="s">
        <v>89</v>
      </c>
      <c r="T10" s="25">
        <v>940100030022</v>
      </c>
      <c r="U10" s="31" t="s">
        <v>90</v>
      </c>
      <c r="V10" s="25" t="s">
        <v>72</v>
      </c>
      <c r="W10" s="25"/>
      <c r="X10" s="27">
        <v>40000</v>
      </c>
      <c r="Y10" s="1142"/>
      <c r="Z10" s="1143"/>
      <c r="AA10" s="1143"/>
      <c r="AB10" s="1144"/>
      <c r="AC10" s="25"/>
      <c r="AD10" s="25">
        <v>1</v>
      </c>
      <c r="AE10" s="25">
        <v>1</v>
      </c>
      <c r="AF10" s="1142"/>
      <c r="AG10" s="1143"/>
      <c r="AH10" s="1143"/>
      <c r="AI10" s="1143"/>
      <c r="AJ10" s="1145"/>
      <c r="AK10" s="35">
        <v>80000</v>
      </c>
      <c r="AL10" s="29" t="s">
        <v>73</v>
      </c>
      <c r="AM10" s="29" t="s">
        <v>73</v>
      </c>
      <c r="AN10" s="29" t="s">
        <v>73</v>
      </c>
      <c r="AO10" s="29" t="s">
        <v>73</v>
      </c>
      <c r="AP10" s="29" t="s">
        <v>73</v>
      </c>
      <c r="AQ10" s="30">
        <v>40000</v>
      </c>
      <c r="AR10" s="30">
        <v>40000</v>
      </c>
      <c r="AS10" s="29" t="s">
        <v>73</v>
      </c>
      <c r="AT10" s="29" t="s">
        <v>73</v>
      </c>
      <c r="AU10" s="29" t="s">
        <v>73</v>
      </c>
      <c r="AV10" s="29" t="s">
        <v>73</v>
      </c>
      <c r="AW10" s="29" t="s">
        <v>73</v>
      </c>
      <c r="AX10" s="823">
        <f>80000-40000</f>
        <v>40000</v>
      </c>
      <c r="AY10" s="30" t="s">
        <v>7</v>
      </c>
      <c r="AZ10" s="1108" t="s">
        <v>74</v>
      </c>
      <c r="BA10" s="1108"/>
      <c r="BB10" s="384" t="s">
        <v>75</v>
      </c>
      <c r="BH10" s="1123" t="s">
        <v>90</v>
      </c>
      <c r="BJ10" s="324"/>
      <c r="BL10" s="314"/>
      <c r="BN10" s="314"/>
      <c r="BP10" s="314"/>
      <c r="BQ10" s="313" t="s">
        <v>510</v>
      </c>
      <c r="BR10" s="312"/>
      <c r="BT10" s="28"/>
      <c r="BU10" s="28">
        <f t="shared" si="0"/>
        <v>40000</v>
      </c>
      <c r="BV10" s="1119" t="s">
        <v>510</v>
      </c>
      <c r="BW10" s="1111"/>
      <c r="BY10" s="28">
        <f t="shared" si="1"/>
        <v>40000</v>
      </c>
      <c r="BZ10" s="28"/>
      <c r="CA10" s="28">
        <f t="shared" si="3"/>
        <v>40000</v>
      </c>
    </row>
    <row r="11" spans="1:115" ht="47.25" customHeight="1" x14ac:dyDescent="0.25">
      <c r="A11" s="19">
        <v>2026</v>
      </c>
      <c r="B11" s="20">
        <v>479</v>
      </c>
      <c r="C11" s="21" t="s">
        <v>64</v>
      </c>
      <c r="D11" s="21" t="s">
        <v>65</v>
      </c>
      <c r="E11" s="20">
        <v>125</v>
      </c>
      <c r="F11" s="20">
        <v>3000654</v>
      </c>
      <c r="G11" s="20">
        <v>5005023</v>
      </c>
      <c r="H11" s="20">
        <v>3</v>
      </c>
      <c r="I11" s="20">
        <v>12</v>
      </c>
      <c r="J11" s="20">
        <v>24</v>
      </c>
      <c r="K11" s="20">
        <v>135560</v>
      </c>
      <c r="L11" s="21" t="s">
        <v>66</v>
      </c>
      <c r="M11" s="22" t="s">
        <v>67</v>
      </c>
      <c r="N11" s="19">
        <v>95</v>
      </c>
      <c r="O11" s="2"/>
      <c r="P11" s="2" t="s">
        <v>4</v>
      </c>
      <c r="Q11" s="20" t="s">
        <v>68</v>
      </c>
      <c r="R11" s="25" t="s">
        <v>69</v>
      </c>
      <c r="S11" s="25" t="s">
        <v>89</v>
      </c>
      <c r="T11" s="25">
        <v>940100030047</v>
      </c>
      <c r="U11" s="31" t="s">
        <v>91</v>
      </c>
      <c r="V11" s="25" t="s">
        <v>72</v>
      </c>
      <c r="W11" s="25"/>
      <c r="X11" s="27">
        <v>25000</v>
      </c>
      <c r="Y11" s="1142"/>
      <c r="Z11" s="1143"/>
      <c r="AA11" s="1143"/>
      <c r="AB11" s="1144"/>
      <c r="AC11" s="25"/>
      <c r="AD11" s="25">
        <v>1</v>
      </c>
      <c r="AE11" s="25"/>
      <c r="AF11" s="1142"/>
      <c r="AG11" s="1143"/>
      <c r="AH11" s="1143"/>
      <c r="AI11" s="1143"/>
      <c r="AJ11" s="1145"/>
      <c r="AK11" s="35">
        <v>25000</v>
      </c>
      <c r="AL11" s="29" t="s">
        <v>73</v>
      </c>
      <c r="AM11" s="29" t="s">
        <v>73</v>
      </c>
      <c r="AN11" s="29" t="s">
        <v>73</v>
      </c>
      <c r="AO11" s="29" t="s">
        <v>73</v>
      </c>
      <c r="AP11" s="29" t="s">
        <v>73</v>
      </c>
      <c r="AQ11" s="30">
        <v>25000</v>
      </c>
      <c r="AR11" s="29" t="s">
        <v>73</v>
      </c>
      <c r="AS11" s="29" t="s">
        <v>73</v>
      </c>
      <c r="AT11" s="29" t="s">
        <v>73</v>
      </c>
      <c r="AU11" s="29" t="s">
        <v>73</v>
      </c>
      <c r="AV11" s="29" t="s">
        <v>73</v>
      </c>
      <c r="AW11" s="29" t="s">
        <v>73</v>
      </c>
      <c r="AX11" s="823">
        <v>25000</v>
      </c>
      <c r="AY11" s="30" t="s">
        <v>7</v>
      </c>
      <c r="AZ11" s="1108" t="s">
        <v>74</v>
      </c>
      <c r="BA11" s="1108"/>
      <c r="BB11" s="384" t="s">
        <v>75</v>
      </c>
      <c r="BH11" s="1123" t="s">
        <v>91</v>
      </c>
      <c r="BI11" s="322">
        <v>1577</v>
      </c>
      <c r="BJ11" s="324"/>
      <c r="BK11" s="313" t="s">
        <v>531</v>
      </c>
      <c r="BL11" s="314">
        <v>46136</v>
      </c>
      <c r="BM11" s="313" t="s">
        <v>532</v>
      </c>
      <c r="BN11" s="314">
        <v>46139</v>
      </c>
      <c r="BO11" s="313" t="s">
        <v>533</v>
      </c>
      <c r="BP11" s="314">
        <v>46140</v>
      </c>
      <c r="BQ11" s="313" t="s">
        <v>471</v>
      </c>
      <c r="BR11" s="1109" t="s">
        <v>534</v>
      </c>
      <c r="BS11" s="312" t="s">
        <v>535</v>
      </c>
      <c r="BT11" s="28">
        <v>11475</v>
      </c>
      <c r="BU11" s="28">
        <f t="shared" si="0"/>
        <v>13525</v>
      </c>
      <c r="BV11" s="1110" t="s">
        <v>474</v>
      </c>
      <c r="BW11" s="1111" t="s">
        <v>536</v>
      </c>
      <c r="BX11" s="314">
        <v>46160</v>
      </c>
      <c r="BY11" s="28">
        <f t="shared" si="1"/>
        <v>25000</v>
      </c>
      <c r="BZ11" s="28">
        <v>11475</v>
      </c>
      <c r="CA11" s="28">
        <f>BY11-BZ11</f>
        <v>13525</v>
      </c>
      <c r="CB11" s="313" t="s">
        <v>537</v>
      </c>
      <c r="CD11" s="313" t="s">
        <v>538</v>
      </c>
      <c r="CE11" s="313" t="s">
        <v>2846</v>
      </c>
      <c r="CF11" s="314">
        <v>46220</v>
      </c>
      <c r="CK11" s="313" t="s">
        <v>2847</v>
      </c>
      <c r="CL11" t="s">
        <v>2845</v>
      </c>
      <c r="CM11" s="312" t="s">
        <v>696</v>
      </c>
      <c r="CN11" s="312" t="s">
        <v>460</v>
      </c>
      <c r="CO11" s="312" t="s">
        <v>489</v>
      </c>
      <c r="CP11" s="313" t="s">
        <v>539</v>
      </c>
    </row>
    <row r="12" spans="1:115" ht="47.25" hidden="1" customHeight="1" x14ac:dyDescent="0.25">
      <c r="A12" s="19">
        <v>2026</v>
      </c>
      <c r="B12" s="20">
        <v>479</v>
      </c>
      <c r="C12" s="21" t="s">
        <v>64</v>
      </c>
      <c r="D12" s="21" t="s">
        <v>65</v>
      </c>
      <c r="E12" s="20">
        <v>125</v>
      </c>
      <c r="F12" s="20">
        <v>3000654</v>
      </c>
      <c r="G12" s="20">
        <v>5005023</v>
      </c>
      <c r="H12" s="20">
        <v>3</v>
      </c>
      <c r="I12" s="20">
        <v>12</v>
      </c>
      <c r="J12" s="20">
        <v>24</v>
      </c>
      <c r="K12" s="20">
        <v>135560</v>
      </c>
      <c r="L12" s="21" t="s">
        <v>66</v>
      </c>
      <c r="M12" s="22" t="s">
        <v>67</v>
      </c>
      <c r="N12" s="19">
        <v>95</v>
      </c>
      <c r="O12" s="2"/>
      <c r="P12" s="2" t="s">
        <v>4</v>
      </c>
      <c r="Q12" s="20" t="s">
        <v>68</v>
      </c>
      <c r="R12" s="25" t="s">
        <v>69</v>
      </c>
      <c r="S12" s="25" t="s">
        <v>92</v>
      </c>
      <c r="T12" s="25"/>
      <c r="U12" s="31" t="s">
        <v>93</v>
      </c>
      <c r="V12" s="25" t="s">
        <v>72</v>
      </c>
      <c r="W12" s="25"/>
      <c r="X12" s="27">
        <v>25000</v>
      </c>
      <c r="Y12" s="1142"/>
      <c r="Z12" s="1143"/>
      <c r="AA12" s="1143"/>
      <c r="AB12" s="1144"/>
      <c r="AC12" s="25"/>
      <c r="AD12" s="25">
        <v>1</v>
      </c>
      <c r="AE12" s="25"/>
      <c r="AF12" s="1142"/>
      <c r="AG12" s="1143"/>
      <c r="AH12" s="1143"/>
      <c r="AI12" s="1143"/>
      <c r="AJ12" s="1145"/>
      <c r="AK12" s="35">
        <v>25000</v>
      </c>
      <c r="AL12" s="29" t="s">
        <v>73</v>
      </c>
      <c r="AM12" s="29" t="s">
        <v>73</v>
      </c>
      <c r="AN12" s="29" t="s">
        <v>73</v>
      </c>
      <c r="AO12" s="29" t="s">
        <v>73</v>
      </c>
      <c r="AP12" s="29" t="s">
        <v>73</v>
      </c>
      <c r="AQ12" s="30">
        <v>25000</v>
      </c>
      <c r="AR12" s="29" t="s">
        <v>73</v>
      </c>
      <c r="AS12" s="29" t="s">
        <v>73</v>
      </c>
      <c r="AT12" s="29" t="s">
        <v>73</v>
      </c>
      <c r="AU12" s="29" t="s">
        <v>73</v>
      </c>
      <c r="AV12" s="29" t="s">
        <v>73</v>
      </c>
      <c r="AW12" s="29" t="s">
        <v>73</v>
      </c>
      <c r="AX12" s="823">
        <v>25000</v>
      </c>
      <c r="AY12" s="30" t="s">
        <v>7</v>
      </c>
      <c r="AZ12" s="1108" t="s">
        <v>74</v>
      </c>
      <c r="BA12" s="1108"/>
      <c r="BB12" s="384" t="s">
        <v>75</v>
      </c>
      <c r="BH12" s="230" t="s">
        <v>94</v>
      </c>
      <c r="BJ12" s="324"/>
      <c r="BL12" s="314"/>
      <c r="BN12" s="314"/>
      <c r="BP12" s="314"/>
      <c r="BQ12" s="313" t="s">
        <v>510</v>
      </c>
      <c r="BR12" s="312"/>
      <c r="BT12" s="28"/>
      <c r="BU12" s="28">
        <f t="shared" si="0"/>
        <v>25000</v>
      </c>
      <c r="BV12" s="1119" t="s">
        <v>510</v>
      </c>
      <c r="BW12" s="1111"/>
      <c r="BY12" s="28">
        <f t="shared" si="1"/>
        <v>25000</v>
      </c>
      <c r="BZ12" s="28"/>
      <c r="CA12" s="28">
        <f t="shared" si="3"/>
        <v>25000</v>
      </c>
    </row>
    <row r="13" spans="1:115" ht="47.25" hidden="1" customHeight="1" x14ac:dyDescent="0.25">
      <c r="A13" s="19">
        <v>2026</v>
      </c>
      <c r="B13" s="20">
        <v>479</v>
      </c>
      <c r="C13" s="21" t="s">
        <v>64</v>
      </c>
      <c r="D13" s="21" t="s">
        <v>65</v>
      </c>
      <c r="E13" s="20">
        <v>125</v>
      </c>
      <c r="F13" s="20">
        <v>3000654</v>
      </c>
      <c r="G13" s="20">
        <v>5005023</v>
      </c>
      <c r="H13" s="20">
        <v>3</v>
      </c>
      <c r="I13" s="20">
        <v>12</v>
      </c>
      <c r="J13" s="20">
        <v>24</v>
      </c>
      <c r="K13" s="20">
        <v>135560</v>
      </c>
      <c r="L13" s="21" t="s">
        <v>66</v>
      </c>
      <c r="M13" s="22" t="s">
        <v>67</v>
      </c>
      <c r="N13" s="19">
        <v>95</v>
      </c>
      <c r="O13" s="2"/>
      <c r="P13" s="2" t="s">
        <v>4</v>
      </c>
      <c r="Q13" s="20" t="s">
        <v>68</v>
      </c>
      <c r="R13" s="25" t="s">
        <v>69</v>
      </c>
      <c r="S13" s="25" t="s">
        <v>95</v>
      </c>
      <c r="T13" s="25"/>
      <c r="U13" s="31" t="s">
        <v>96</v>
      </c>
      <c r="V13" s="25" t="s">
        <v>72</v>
      </c>
      <c r="W13" s="25"/>
      <c r="X13" s="27">
        <v>30000</v>
      </c>
      <c r="Y13" s="1142"/>
      <c r="Z13" s="1143"/>
      <c r="AA13" s="1143"/>
      <c r="AB13" s="1144"/>
      <c r="AC13" s="25"/>
      <c r="AD13" s="25">
        <v>1</v>
      </c>
      <c r="AE13" s="25"/>
      <c r="AF13" s="1142"/>
      <c r="AG13" s="1143"/>
      <c r="AH13" s="1143"/>
      <c r="AI13" s="1143"/>
      <c r="AJ13" s="1145"/>
      <c r="AK13" s="35">
        <v>30000</v>
      </c>
      <c r="AL13" s="29" t="s">
        <v>73</v>
      </c>
      <c r="AM13" s="29" t="s">
        <v>73</v>
      </c>
      <c r="AN13" s="29" t="s">
        <v>73</v>
      </c>
      <c r="AO13" s="29" t="s">
        <v>73</v>
      </c>
      <c r="AP13" s="29" t="s">
        <v>73</v>
      </c>
      <c r="AQ13" s="30">
        <v>30000</v>
      </c>
      <c r="AR13" s="29" t="s">
        <v>73</v>
      </c>
      <c r="AS13" s="29" t="s">
        <v>73</v>
      </c>
      <c r="AT13" s="29" t="s">
        <v>73</v>
      </c>
      <c r="AU13" s="29" t="s">
        <v>73</v>
      </c>
      <c r="AV13" s="29" t="s">
        <v>73</v>
      </c>
      <c r="AW13" s="29" t="s">
        <v>73</v>
      </c>
      <c r="AX13" s="823">
        <v>30000</v>
      </c>
      <c r="AY13" s="30" t="s">
        <v>7</v>
      </c>
      <c r="AZ13" s="1108" t="s">
        <v>74</v>
      </c>
      <c r="BA13" s="1108"/>
      <c r="BB13" s="384" t="s">
        <v>75</v>
      </c>
      <c r="BH13" s="31" t="s">
        <v>96</v>
      </c>
      <c r="BI13" s="322">
        <v>1841</v>
      </c>
      <c r="BJ13" s="324" t="s">
        <v>540</v>
      </c>
      <c r="BK13" s="313" t="s">
        <v>541</v>
      </c>
      <c r="BL13" s="314">
        <v>46141</v>
      </c>
      <c r="BM13" s="313" t="s">
        <v>541</v>
      </c>
      <c r="BN13" s="314">
        <v>46141</v>
      </c>
      <c r="BO13" s="313" t="s">
        <v>542</v>
      </c>
      <c r="BP13" s="314">
        <v>46142</v>
      </c>
      <c r="BQ13" s="313" t="s">
        <v>510</v>
      </c>
      <c r="BR13" s="1109" t="s">
        <v>543</v>
      </c>
      <c r="BS13" s="312" t="s">
        <v>544</v>
      </c>
      <c r="BT13" s="28">
        <v>18872</v>
      </c>
      <c r="BU13" s="28">
        <f t="shared" si="0"/>
        <v>11128</v>
      </c>
      <c r="BV13" s="1119" t="s">
        <v>510</v>
      </c>
      <c r="BW13" s="1111"/>
      <c r="BY13" s="28">
        <f t="shared" si="1"/>
        <v>30000</v>
      </c>
      <c r="BZ13" s="28"/>
      <c r="CA13" s="28">
        <f t="shared" si="3"/>
        <v>30000</v>
      </c>
      <c r="CC13" s="313" t="s">
        <v>498</v>
      </c>
    </row>
    <row r="14" spans="1:115" ht="47.25" hidden="1" customHeight="1" x14ac:dyDescent="0.25">
      <c r="A14" s="19">
        <v>2026</v>
      </c>
      <c r="B14" s="20">
        <v>479</v>
      </c>
      <c r="C14" s="21" t="s">
        <v>64</v>
      </c>
      <c r="D14" s="21" t="s">
        <v>65</v>
      </c>
      <c r="E14" s="20">
        <v>125</v>
      </c>
      <c r="F14" s="20">
        <v>3000654</v>
      </c>
      <c r="G14" s="20">
        <v>5005023</v>
      </c>
      <c r="H14" s="20">
        <v>3</v>
      </c>
      <c r="I14" s="20">
        <v>12</v>
      </c>
      <c r="J14" s="20">
        <v>24</v>
      </c>
      <c r="K14" s="20">
        <v>135560</v>
      </c>
      <c r="L14" s="21" t="s">
        <v>66</v>
      </c>
      <c r="M14" s="36" t="s">
        <v>67</v>
      </c>
      <c r="N14" s="19">
        <v>95</v>
      </c>
      <c r="O14" s="2"/>
      <c r="P14" s="2" t="s">
        <v>4</v>
      </c>
      <c r="Q14" s="20" t="s">
        <v>68</v>
      </c>
      <c r="R14" s="25" t="s">
        <v>69</v>
      </c>
      <c r="S14" s="37" t="s">
        <v>95</v>
      </c>
      <c r="T14" s="37"/>
      <c r="U14" s="38" t="s">
        <v>97</v>
      </c>
      <c r="V14" s="37" t="s">
        <v>72</v>
      </c>
      <c r="W14" s="37"/>
      <c r="X14" s="39">
        <v>12800</v>
      </c>
      <c r="Y14" s="1142"/>
      <c r="Z14" s="1143"/>
      <c r="AA14" s="1143"/>
      <c r="AB14" s="1144"/>
      <c r="AC14" s="37"/>
      <c r="AD14" s="37">
        <v>1</v>
      </c>
      <c r="AE14" s="37">
        <v>1</v>
      </c>
      <c r="AF14" s="1142"/>
      <c r="AG14" s="1143"/>
      <c r="AH14" s="1143"/>
      <c r="AI14" s="1143"/>
      <c r="AJ14" s="1145"/>
      <c r="AK14" s="35">
        <v>25600</v>
      </c>
      <c r="AL14" s="29" t="s">
        <v>73</v>
      </c>
      <c r="AM14" s="29" t="s">
        <v>73</v>
      </c>
      <c r="AN14" s="29" t="s">
        <v>73</v>
      </c>
      <c r="AO14" s="29" t="s">
        <v>73</v>
      </c>
      <c r="AP14" s="29" t="s">
        <v>73</v>
      </c>
      <c r="AQ14" s="30">
        <v>12800</v>
      </c>
      <c r="AR14" s="30">
        <v>12800</v>
      </c>
      <c r="AS14" s="29" t="s">
        <v>73</v>
      </c>
      <c r="AT14" s="29" t="s">
        <v>73</v>
      </c>
      <c r="AU14" s="29" t="s">
        <v>73</v>
      </c>
      <c r="AV14" s="29" t="s">
        <v>73</v>
      </c>
      <c r="AW14" s="29" t="s">
        <v>73</v>
      </c>
      <c r="AX14" s="823">
        <v>25600</v>
      </c>
      <c r="AY14" s="30" t="s">
        <v>7</v>
      </c>
      <c r="AZ14" s="1108" t="s">
        <v>74</v>
      </c>
      <c r="BA14" s="1108"/>
      <c r="BB14" s="384" t="s">
        <v>75</v>
      </c>
      <c r="BH14" s="38" t="s">
        <v>97</v>
      </c>
      <c r="BJ14" s="324"/>
      <c r="BL14" s="314"/>
      <c r="BN14" s="314"/>
      <c r="BP14" s="314"/>
      <c r="BQ14" s="313" t="s">
        <v>510</v>
      </c>
      <c r="BR14" s="1118" t="s">
        <v>543</v>
      </c>
      <c r="BS14" s="312" t="s">
        <v>544</v>
      </c>
      <c r="BT14" s="28">
        <v>18872</v>
      </c>
      <c r="BU14" s="28">
        <f t="shared" si="0"/>
        <v>6728</v>
      </c>
      <c r="BV14" s="1119" t="s">
        <v>510</v>
      </c>
      <c r="BW14" s="1111"/>
      <c r="BY14" s="28">
        <f t="shared" si="1"/>
        <v>25600</v>
      </c>
      <c r="BZ14" s="28"/>
      <c r="CA14" s="28">
        <f t="shared" si="3"/>
        <v>25600</v>
      </c>
    </row>
    <row r="15" spans="1:115" ht="47.25" hidden="1" customHeight="1" x14ac:dyDescent="0.25">
      <c r="A15" s="19">
        <v>2026</v>
      </c>
      <c r="B15" s="20">
        <v>479</v>
      </c>
      <c r="C15" s="21" t="s">
        <v>64</v>
      </c>
      <c r="D15" s="21" t="s">
        <v>65</v>
      </c>
      <c r="E15" s="20">
        <v>125</v>
      </c>
      <c r="F15" s="20">
        <v>3000654</v>
      </c>
      <c r="G15" s="20">
        <v>5005023</v>
      </c>
      <c r="H15" s="20">
        <v>3</v>
      </c>
      <c r="I15" s="20">
        <v>12</v>
      </c>
      <c r="J15" s="20">
        <v>24</v>
      </c>
      <c r="K15" s="20">
        <v>135560</v>
      </c>
      <c r="L15" s="21" t="s">
        <v>98</v>
      </c>
      <c r="M15" s="22" t="s">
        <v>99</v>
      </c>
      <c r="N15" s="19">
        <v>94</v>
      </c>
      <c r="O15" s="2"/>
      <c r="P15" s="2" t="s">
        <v>4</v>
      </c>
      <c r="Q15" s="20" t="s">
        <v>68</v>
      </c>
      <c r="R15" s="25" t="s">
        <v>69</v>
      </c>
      <c r="S15" s="25" t="s">
        <v>100</v>
      </c>
      <c r="T15" s="40">
        <v>940500010002</v>
      </c>
      <c r="U15" s="33" t="s">
        <v>101</v>
      </c>
      <c r="V15" s="25" t="s">
        <v>72</v>
      </c>
      <c r="W15" s="25"/>
      <c r="X15" s="27">
        <v>12000</v>
      </c>
      <c r="Y15" s="1142"/>
      <c r="Z15" s="1143"/>
      <c r="AA15" s="1143"/>
      <c r="AB15" s="1144"/>
      <c r="AC15" s="25"/>
      <c r="AD15" s="25">
        <v>1</v>
      </c>
      <c r="AE15" s="25">
        <v>1</v>
      </c>
      <c r="AF15" s="1142"/>
      <c r="AG15" s="1143"/>
      <c r="AH15" s="1143"/>
      <c r="AI15" s="1143"/>
      <c r="AJ15" s="1145"/>
      <c r="AK15" s="35">
        <v>24000</v>
      </c>
      <c r="AL15" s="29" t="s">
        <v>73</v>
      </c>
      <c r="AM15" s="29" t="s">
        <v>73</v>
      </c>
      <c r="AN15" s="29" t="s">
        <v>73</v>
      </c>
      <c r="AO15" s="29" t="s">
        <v>73</v>
      </c>
      <c r="AP15" s="29" t="s">
        <v>73</v>
      </c>
      <c r="AQ15" s="30">
        <v>12000</v>
      </c>
      <c r="AR15" s="30">
        <v>12000</v>
      </c>
      <c r="AS15" s="29" t="s">
        <v>73</v>
      </c>
      <c r="AT15" s="29" t="s">
        <v>73</v>
      </c>
      <c r="AU15" s="29" t="s">
        <v>73</v>
      </c>
      <c r="AV15" s="29" t="s">
        <v>73</v>
      </c>
      <c r="AW15" s="29" t="s">
        <v>73</v>
      </c>
      <c r="AX15" s="823">
        <v>24000</v>
      </c>
      <c r="AY15" s="1124" t="s">
        <v>5</v>
      </c>
      <c r="AZ15" s="1108" t="s">
        <v>74</v>
      </c>
      <c r="BA15" s="1108"/>
      <c r="BB15" s="384" t="s">
        <v>75</v>
      </c>
      <c r="BG15" t="s">
        <v>545</v>
      </c>
      <c r="BH15" s="230" t="s">
        <v>102</v>
      </c>
      <c r="BJ15" s="324"/>
      <c r="BL15" s="314"/>
      <c r="BN15" s="314"/>
      <c r="BP15" s="314"/>
      <c r="BQ15" s="313" t="s">
        <v>510</v>
      </c>
      <c r="BR15" s="313"/>
      <c r="BT15" s="28"/>
      <c r="BU15" s="28">
        <f t="shared" si="0"/>
        <v>24000</v>
      </c>
      <c r="BV15" s="1119" t="s">
        <v>510</v>
      </c>
      <c r="BW15"/>
      <c r="BX15"/>
      <c r="BY15" s="28">
        <f t="shared" si="1"/>
        <v>24000</v>
      </c>
      <c r="BZ15" s="28"/>
      <c r="CA15" s="28">
        <f t="shared" si="3"/>
        <v>24000</v>
      </c>
      <c r="CB15" s="325"/>
      <c r="CC15" s="325"/>
      <c r="CD15" s="325"/>
      <c r="CE15"/>
      <c r="CF15"/>
      <c r="CG15"/>
      <c r="CH15"/>
      <c r="CI15"/>
      <c r="CJ15"/>
      <c r="CK15"/>
      <c r="CL15"/>
      <c r="CM15"/>
      <c r="CN15"/>
      <c r="CO15"/>
      <c r="CP15"/>
      <c r="CQ15"/>
      <c r="CR15"/>
      <c r="CS15"/>
      <c r="CT15"/>
      <c r="CU15"/>
      <c r="CV15"/>
      <c r="CW15"/>
      <c r="CX15"/>
      <c r="CY15"/>
      <c r="CZ15"/>
      <c r="DA15"/>
      <c r="DB15"/>
      <c r="DC15"/>
      <c r="DD15"/>
      <c r="DE15"/>
      <c r="DF15"/>
      <c r="DG15"/>
      <c r="DH15"/>
      <c r="DI15"/>
      <c r="DJ15"/>
      <c r="DK15"/>
    </row>
    <row r="16" spans="1:115" ht="47.25" hidden="1" customHeight="1" x14ac:dyDescent="0.25">
      <c r="A16" s="19">
        <v>2026</v>
      </c>
      <c r="B16" s="20">
        <v>479</v>
      </c>
      <c r="C16" s="21" t="s">
        <v>64</v>
      </c>
      <c r="D16" s="21" t="s">
        <v>65</v>
      </c>
      <c r="E16" s="20">
        <v>125</v>
      </c>
      <c r="F16" s="20">
        <v>3000654</v>
      </c>
      <c r="G16" s="20">
        <v>5005023</v>
      </c>
      <c r="H16" s="20">
        <v>3</v>
      </c>
      <c r="I16" s="20">
        <v>12</v>
      </c>
      <c r="J16" s="20">
        <v>24</v>
      </c>
      <c r="K16" s="20">
        <v>135560</v>
      </c>
      <c r="L16" s="21" t="s">
        <v>98</v>
      </c>
      <c r="M16" s="22" t="s">
        <v>99</v>
      </c>
      <c r="N16" s="19">
        <v>94</v>
      </c>
      <c r="O16" s="2"/>
      <c r="P16" s="2" t="s">
        <v>4</v>
      </c>
      <c r="Q16" s="20" t="s">
        <v>68</v>
      </c>
      <c r="R16" s="25" t="s">
        <v>69</v>
      </c>
      <c r="S16" s="25" t="s">
        <v>100</v>
      </c>
      <c r="T16" s="40">
        <v>940500010002</v>
      </c>
      <c r="U16" s="31" t="s">
        <v>103</v>
      </c>
      <c r="V16" s="25" t="s">
        <v>72</v>
      </c>
      <c r="W16" s="25">
        <v>1</v>
      </c>
      <c r="X16" s="27">
        <v>12000</v>
      </c>
      <c r="Y16" s="1142"/>
      <c r="Z16" s="1143"/>
      <c r="AA16" s="1143"/>
      <c r="AB16" s="1144"/>
      <c r="AC16" s="25"/>
      <c r="AD16" s="25">
        <v>1</v>
      </c>
      <c r="AE16" s="25">
        <v>1</v>
      </c>
      <c r="AF16" s="1142"/>
      <c r="AG16" s="1143"/>
      <c r="AH16" s="1143"/>
      <c r="AI16" s="1143"/>
      <c r="AJ16" s="1145"/>
      <c r="AK16" s="35">
        <v>24000</v>
      </c>
      <c r="AL16" s="29" t="s">
        <v>73</v>
      </c>
      <c r="AM16" s="29" t="s">
        <v>73</v>
      </c>
      <c r="AN16" s="29" t="s">
        <v>73</v>
      </c>
      <c r="AO16" s="29" t="s">
        <v>73</v>
      </c>
      <c r="AP16" s="29" t="s">
        <v>73</v>
      </c>
      <c r="AQ16" s="30">
        <v>12000</v>
      </c>
      <c r="AR16" s="30">
        <v>12000</v>
      </c>
      <c r="AS16" s="29" t="s">
        <v>73</v>
      </c>
      <c r="AT16" s="29" t="s">
        <v>73</v>
      </c>
      <c r="AU16" s="29" t="s">
        <v>73</v>
      </c>
      <c r="AV16" s="29" t="s">
        <v>73</v>
      </c>
      <c r="AW16" s="29" t="s">
        <v>73</v>
      </c>
      <c r="AX16" s="823">
        <v>24000</v>
      </c>
      <c r="AY16" s="808" t="s">
        <v>6</v>
      </c>
      <c r="AZ16" s="1108" t="s">
        <v>74</v>
      </c>
      <c r="BA16" s="1108"/>
      <c r="BB16" s="384" t="s">
        <v>75</v>
      </c>
      <c r="BG16" t="s">
        <v>545</v>
      </c>
      <c r="BH16" s="230" t="s">
        <v>102</v>
      </c>
      <c r="BJ16" s="324"/>
      <c r="BL16" s="314"/>
      <c r="BN16" s="314"/>
      <c r="BP16" s="314"/>
      <c r="BQ16" s="313" t="s">
        <v>510</v>
      </c>
      <c r="BR16" s="313"/>
      <c r="BT16" s="28"/>
      <c r="BU16" s="28">
        <f t="shared" si="0"/>
        <v>24000</v>
      </c>
      <c r="BV16" s="1119" t="s">
        <v>510</v>
      </c>
      <c r="BW16"/>
      <c r="BX16"/>
      <c r="BY16" s="28">
        <f t="shared" si="1"/>
        <v>24000</v>
      </c>
      <c r="BZ16" s="28"/>
      <c r="CA16" s="28">
        <f t="shared" si="3"/>
        <v>24000</v>
      </c>
      <c r="CB16" s="325"/>
      <c r="CC16" s="325"/>
      <c r="CD16" s="325"/>
      <c r="CE16"/>
      <c r="CF16"/>
      <c r="CG16"/>
      <c r="CH16"/>
      <c r="CI16"/>
      <c r="CJ16"/>
      <c r="CK16"/>
      <c r="CL16"/>
      <c r="CM16"/>
      <c r="CN16"/>
      <c r="CO16"/>
      <c r="CP16"/>
      <c r="CQ16"/>
      <c r="CR16"/>
      <c r="CS16"/>
      <c r="CT16"/>
      <c r="CU16"/>
      <c r="CV16"/>
      <c r="CW16"/>
      <c r="CX16"/>
      <c r="CY16"/>
      <c r="CZ16"/>
      <c r="DA16"/>
      <c r="DB16"/>
      <c r="DC16"/>
      <c r="DD16"/>
      <c r="DE16"/>
      <c r="DF16"/>
      <c r="DG16"/>
      <c r="DH16"/>
      <c r="DI16"/>
      <c r="DJ16"/>
      <c r="DK16"/>
    </row>
    <row r="17" spans="1:94 16359:16381" customFormat="1" ht="47.25" hidden="1" customHeight="1" x14ac:dyDescent="0.25">
      <c r="A17" s="19">
        <v>2026</v>
      </c>
      <c r="B17" s="20">
        <v>479</v>
      </c>
      <c r="C17" s="21" t="s">
        <v>64</v>
      </c>
      <c r="D17" s="21" t="s">
        <v>65</v>
      </c>
      <c r="E17" s="20">
        <v>125</v>
      </c>
      <c r="F17" s="20">
        <v>3000654</v>
      </c>
      <c r="G17" s="20">
        <v>5005023</v>
      </c>
      <c r="H17" s="20">
        <v>3</v>
      </c>
      <c r="I17" s="20">
        <v>12</v>
      </c>
      <c r="J17" s="20">
        <v>24</v>
      </c>
      <c r="K17" s="20">
        <v>135560</v>
      </c>
      <c r="L17" s="21" t="s">
        <v>98</v>
      </c>
      <c r="M17" s="22" t="s">
        <v>99</v>
      </c>
      <c r="N17" s="19">
        <v>94</v>
      </c>
      <c r="O17" s="2"/>
      <c r="P17" s="2" t="s">
        <v>4</v>
      </c>
      <c r="Q17" s="20" t="s">
        <v>68</v>
      </c>
      <c r="R17" s="25" t="s">
        <v>69</v>
      </c>
      <c r="S17" s="25" t="s">
        <v>92</v>
      </c>
      <c r="T17" s="25"/>
      <c r="U17" s="31" t="s">
        <v>104</v>
      </c>
      <c r="V17" s="25" t="s">
        <v>72</v>
      </c>
      <c r="W17" s="25">
        <v>1</v>
      </c>
      <c r="X17" s="27">
        <v>10000</v>
      </c>
      <c r="Y17" s="1142"/>
      <c r="Z17" s="1143"/>
      <c r="AA17" s="1143"/>
      <c r="AB17" s="1144"/>
      <c r="AC17" s="25"/>
      <c r="AD17" s="25">
        <v>1</v>
      </c>
      <c r="AE17" s="25">
        <v>1</v>
      </c>
      <c r="AF17" s="1142"/>
      <c r="AG17" s="1143"/>
      <c r="AH17" s="1143"/>
      <c r="AI17" s="1143"/>
      <c r="AJ17" s="1145"/>
      <c r="AK17" s="35">
        <v>20000</v>
      </c>
      <c r="AL17" s="29" t="s">
        <v>73</v>
      </c>
      <c r="AM17" s="29" t="s">
        <v>73</v>
      </c>
      <c r="AN17" s="29" t="s">
        <v>73</v>
      </c>
      <c r="AO17" s="29" t="s">
        <v>73</v>
      </c>
      <c r="AP17" s="29" t="s">
        <v>73</v>
      </c>
      <c r="AQ17" s="30">
        <v>10000</v>
      </c>
      <c r="AR17" s="30">
        <v>10000</v>
      </c>
      <c r="AS17" s="29" t="s">
        <v>73</v>
      </c>
      <c r="AT17" s="29" t="s">
        <v>73</v>
      </c>
      <c r="AU17" s="29" t="s">
        <v>73</v>
      </c>
      <c r="AV17" s="29" t="s">
        <v>73</v>
      </c>
      <c r="AW17" s="29" t="s">
        <v>73</v>
      </c>
      <c r="AX17" s="823">
        <v>20000</v>
      </c>
      <c r="AY17" s="808" t="s">
        <v>6</v>
      </c>
      <c r="AZ17" s="1108" t="s">
        <v>74</v>
      </c>
      <c r="BA17" s="1108"/>
      <c r="BB17" s="384" t="s">
        <v>75</v>
      </c>
      <c r="BH17" s="230" t="s">
        <v>94</v>
      </c>
      <c r="BI17" s="322"/>
      <c r="BJ17" s="324"/>
      <c r="BK17" s="313"/>
      <c r="BL17" s="314"/>
      <c r="BM17" s="313"/>
      <c r="BN17" s="314"/>
      <c r="BO17" s="313"/>
      <c r="BP17" s="314"/>
      <c r="BQ17" s="313" t="s">
        <v>510</v>
      </c>
      <c r="BR17" s="313"/>
      <c r="BS17" s="312"/>
      <c r="BT17" s="28"/>
      <c r="BU17" s="28">
        <f t="shared" si="0"/>
        <v>20000</v>
      </c>
      <c r="BV17" s="1119" t="s">
        <v>510</v>
      </c>
      <c r="BY17" s="28">
        <f t="shared" si="1"/>
        <v>20000</v>
      </c>
      <c r="BZ17" s="28"/>
      <c r="CA17" s="28">
        <f t="shared" si="3"/>
        <v>20000</v>
      </c>
      <c r="CB17" s="325"/>
      <c r="CC17" s="325"/>
      <c r="CD17" s="325"/>
    </row>
    <row r="18" spans="1:94 16359:16381" customFormat="1" ht="47.25" hidden="1" customHeight="1" x14ac:dyDescent="0.25">
      <c r="A18" s="19">
        <v>2026</v>
      </c>
      <c r="B18" s="20">
        <v>479</v>
      </c>
      <c r="C18" s="21" t="s">
        <v>64</v>
      </c>
      <c r="D18" s="21" t="s">
        <v>65</v>
      </c>
      <c r="E18" s="20">
        <v>125</v>
      </c>
      <c r="F18" s="20">
        <v>3000654</v>
      </c>
      <c r="G18" s="20">
        <v>5005023</v>
      </c>
      <c r="H18" s="20">
        <v>3</v>
      </c>
      <c r="I18" s="20">
        <v>12</v>
      </c>
      <c r="J18" s="20">
        <v>24</v>
      </c>
      <c r="K18" s="20">
        <v>135560</v>
      </c>
      <c r="L18" s="21" t="s">
        <v>98</v>
      </c>
      <c r="M18" s="22" t="s">
        <v>99</v>
      </c>
      <c r="N18" s="19">
        <v>94</v>
      </c>
      <c r="O18" s="2"/>
      <c r="P18" s="2" t="s">
        <v>4</v>
      </c>
      <c r="Q18" s="20" t="s">
        <v>68</v>
      </c>
      <c r="R18" s="25" t="s">
        <v>69</v>
      </c>
      <c r="S18" s="25" t="s">
        <v>92</v>
      </c>
      <c r="T18" s="25"/>
      <c r="U18" s="31" t="s">
        <v>105</v>
      </c>
      <c r="V18" s="25" t="s">
        <v>72</v>
      </c>
      <c r="W18" s="25">
        <v>1</v>
      </c>
      <c r="X18" s="27">
        <v>10000</v>
      </c>
      <c r="Y18" s="1142"/>
      <c r="Z18" s="1143"/>
      <c r="AA18" s="1143"/>
      <c r="AB18" s="1144"/>
      <c r="AC18" s="25"/>
      <c r="AD18" s="25">
        <v>1</v>
      </c>
      <c r="AE18" s="25">
        <v>1</v>
      </c>
      <c r="AF18" s="1142"/>
      <c r="AG18" s="1143"/>
      <c r="AH18" s="1143"/>
      <c r="AI18" s="1143"/>
      <c r="AJ18" s="1145"/>
      <c r="AK18" s="35">
        <v>20000</v>
      </c>
      <c r="AL18" s="29" t="s">
        <v>73</v>
      </c>
      <c r="AM18" s="29" t="s">
        <v>73</v>
      </c>
      <c r="AN18" s="29" t="s">
        <v>73</v>
      </c>
      <c r="AO18" s="29" t="s">
        <v>73</v>
      </c>
      <c r="AP18" s="29" t="s">
        <v>73</v>
      </c>
      <c r="AQ18" s="30">
        <v>10000</v>
      </c>
      <c r="AR18" s="30">
        <v>10000</v>
      </c>
      <c r="AS18" s="29" t="s">
        <v>73</v>
      </c>
      <c r="AT18" s="29" t="s">
        <v>73</v>
      </c>
      <c r="AU18" s="29" t="s">
        <v>73</v>
      </c>
      <c r="AV18" s="29" t="s">
        <v>73</v>
      </c>
      <c r="AW18" s="29" t="s">
        <v>73</v>
      </c>
      <c r="AX18" s="823">
        <v>20000</v>
      </c>
      <c r="AY18" s="808" t="s">
        <v>6</v>
      </c>
      <c r="AZ18" s="1108" t="s">
        <v>74</v>
      </c>
      <c r="BA18" s="1108"/>
      <c r="BB18" s="384" t="s">
        <v>75</v>
      </c>
      <c r="BH18" s="230" t="s">
        <v>94</v>
      </c>
      <c r="BI18" s="322"/>
      <c r="BJ18" s="324"/>
      <c r="BK18" s="313"/>
      <c r="BL18" s="314"/>
      <c r="BM18" s="313"/>
      <c r="BN18" s="314"/>
      <c r="BO18" s="313"/>
      <c r="BP18" s="314"/>
      <c r="BQ18" s="313" t="s">
        <v>510</v>
      </c>
      <c r="BR18" s="313"/>
      <c r="BS18" s="312"/>
      <c r="BT18" s="28"/>
      <c r="BU18" s="28">
        <f t="shared" si="0"/>
        <v>20000</v>
      </c>
      <c r="BV18" s="1119" t="s">
        <v>510</v>
      </c>
      <c r="BY18" s="28">
        <f t="shared" si="1"/>
        <v>20000</v>
      </c>
      <c r="BZ18" s="28"/>
      <c r="CA18" s="28">
        <f t="shared" si="3"/>
        <v>20000</v>
      </c>
      <c r="CB18" s="325"/>
      <c r="CC18" s="325"/>
      <c r="CD18" s="325"/>
    </row>
    <row r="19" spans="1:94 16359:16381" customFormat="1" ht="47.25" hidden="1" customHeight="1" x14ac:dyDescent="0.25">
      <c r="A19" s="19">
        <v>2026</v>
      </c>
      <c r="B19" s="20">
        <v>479</v>
      </c>
      <c r="C19" s="21" t="s">
        <v>64</v>
      </c>
      <c r="D19" s="21" t="s">
        <v>65</v>
      </c>
      <c r="E19" s="20">
        <v>125</v>
      </c>
      <c r="F19" s="20">
        <v>3000654</v>
      </c>
      <c r="G19" s="20">
        <v>5005023</v>
      </c>
      <c r="H19" s="20">
        <v>3</v>
      </c>
      <c r="I19" s="20">
        <v>12</v>
      </c>
      <c r="J19" s="20">
        <v>24</v>
      </c>
      <c r="K19" s="20">
        <v>135560</v>
      </c>
      <c r="L19" s="21" t="s">
        <v>98</v>
      </c>
      <c r="M19" s="22" t="s">
        <v>99</v>
      </c>
      <c r="N19" s="19">
        <v>94</v>
      </c>
      <c r="O19" s="2"/>
      <c r="P19" s="2" t="s">
        <v>4</v>
      </c>
      <c r="Q19" s="20" t="s">
        <v>68</v>
      </c>
      <c r="R19" s="25" t="s">
        <v>69</v>
      </c>
      <c r="S19" s="41" t="s">
        <v>89</v>
      </c>
      <c r="T19" s="41"/>
      <c r="U19" s="31" t="s">
        <v>106</v>
      </c>
      <c r="V19" s="25" t="s">
        <v>72</v>
      </c>
      <c r="W19" s="25">
        <v>1</v>
      </c>
      <c r="X19" s="27">
        <v>12500</v>
      </c>
      <c r="Y19" s="1142"/>
      <c r="Z19" s="1143"/>
      <c r="AA19" s="1143"/>
      <c r="AB19" s="1144"/>
      <c r="AC19" s="25"/>
      <c r="AD19" s="25">
        <v>1</v>
      </c>
      <c r="AE19" s="25">
        <v>1</v>
      </c>
      <c r="AF19" s="1142"/>
      <c r="AG19" s="1143"/>
      <c r="AH19" s="1143"/>
      <c r="AI19" s="1143"/>
      <c r="AJ19" s="1145"/>
      <c r="AK19" s="35">
        <v>25000</v>
      </c>
      <c r="AL19" s="29" t="s">
        <v>73</v>
      </c>
      <c r="AM19" s="29" t="s">
        <v>73</v>
      </c>
      <c r="AN19" s="29" t="s">
        <v>73</v>
      </c>
      <c r="AO19" s="29" t="s">
        <v>73</v>
      </c>
      <c r="AP19" s="29" t="s">
        <v>73</v>
      </c>
      <c r="AQ19" s="30">
        <v>12500</v>
      </c>
      <c r="AR19" s="30">
        <v>12500</v>
      </c>
      <c r="AS19" s="29" t="s">
        <v>73</v>
      </c>
      <c r="AT19" s="29" t="s">
        <v>73</v>
      </c>
      <c r="AU19" s="29" t="s">
        <v>73</v>
      </c>
      <c r="AV19" s="29" t="s">
        <v>73</v>
      </c>
      <c r="AW19" s="29" t="s">
        <v>73</v>
      </c>
      <c r="AX19" s="823">
        <v>25000</v>
      </c>
      <c r="AY19" s="808" t="s">
        <v>6</v>
      </c>
      <c r="AZ19" s="1108" t="s">
        <v>74</v>
      </c>
      <c r="BA19" s="1108"/>
      <c r="BB19" s="384" t="s">
        <v>75</v>
      </c>
      <c r="BH19" s="230" t="s">
        <v>106</v>
      </c>
      <c r="BI19" s="322">
        <v>1584</v>
      </c>
      <c r="BJ19" s="324"/>
      <c r="BK19" s="313"/>
      <c r="BL19" s="314"/>
      <c r="BM19" s="313"/>
      <c r="BN19" s="314"/>
      <c r="BO19" s="313"/>
      <c r="BP19" s="314"/>
      <c r="BQ19" s="313" t="s">
        <v>510</v>
      </c>
      <c r="BR19" s="313"/>
      <c r="BS19" s="312"/>
      <c r="BT19" s="28"/>
      <c r="BU19" s="28">
        <f t="shared" si="0"/>
        <v>25000</v>
      </c>
      <c r="BV19" s="1119" t="s">
        <v>510</v>
      </c>
      <c r="BY19" s="28">
        <f t="shared" si="1"/>
        <v>25000</v>
      </c>
      <c r="BZ19" s="28"/>
      <c r="CA19" s="28">
        <f t="shared" si="3"/>
        <v>25000</v>
      </c>
      <c r="CB19" s="325"/>
      <c r="CC19" s="325"/>
      <c r="CD19" s="325"/>
    </row>
    <row r="20" spans="1:94 16359:16381" s="94" customFormat="1" ht="47.25" customHeight="1" x14ac:dyDescent="0.25">
      <c r="A20" s="1125">
        <v>2026</v>
      </c>
      <c r="B20" s="293">
        <v>479</v>
      </c>
      <c r="C20" s="22" t="s">
        <v>64</v>
      </c>
      <c r="D20" s="1125" t="s">
        <v>65</v>
      </c>
      <c r="E20" s="178">
        <v>125</v>
      </c>
      <c r="F20" s="41">
        <v>3000654</v>
      </c>
      <c r="G20" s="31">
        <v>5005023</v>
      </c>
      <c r="H20" s="41">
        <v>3</v>
      </c>
      <c r="I20" s="41">
        <v>12</v>
      </c>
      <c r="J20" s="1126">
        <v>24</v>
      </c>
      <c r="K20" s="293">
        <v>135560</v>
      </c>
      <c r="L20" s="293" t="s">
        <v>98</v>
      </c>
      <c r="M20" s="22" t="s">
        <v>99</v>
      </c>
      <c r="N20" s="1125">
        <v>94</v>
      </c>
      <c r="O20" s="1125"/>
      <c r="P20" s="41" t="s">
        <v>4</v>
      </c>
      <c r="Q20" s="41" t="s">
        <v>68</v>
      </c>
      <c r="R20" s="41" t="s">
        <v>69</v>
      </c>
      <c r="S20" s="41" t="s">
        <v>76</v>
      </c>
      <c r="T20" s="41"/>
      <c r="U20" s="31" t="s">
        <v>107</v>
      </c>
      <c r="V20" s="31" t="s">
        <v>72</v>
      </c>
      <c r="W20" s="1127">
        <v>1</v>
      </c>
      <c r="X20" s="1128">
        <v>250000</v>
      </c>
      <c r="Y20" s="2"/>
      <c r="Z20" s="2"/>
      <c r="AA20"/>
      <c r="AB20"/>
      <c r="AC20" s="25"/>
      <c r="AD20" s="25">
        <v>0.5</v>
      </c>
      <c r="AE20" s="25">
        <v>0.5</v>
      </c>
      <c r="AF20"/>
      <c r="AG20"/>
      <c r="AH20"/>
      <c r="AI20"/>
      <c r="AJ20"/>
      <c r="AK20" s="1127">
        <v>250000</v>
      </c>
      <c r="AL20" t="s">
        <v>73</v>
      </c>
      <c r="AM20" t="s">
        <v>73</v>
      </c>
      <c r="AN20" t="s">
        <v>73</v>
      </c>
      <c r="AO20" t="s">
        <v>73</v>
      </c>
      <c r="AP20" t="s">
        <v>73</v>
      </c>
      <c r="AQ20">
        <v>125000</v>
      </c>
      <c r="AR20">
        <v>125000</v>
      </c>
      <c r="AS20" t="s">
        <v>73</v>
      </c>
      <c r="AT20" t="s">
        <v>73</v>
      </c>
      <c r="AU20" t="s">
        <v>73</v>
      </c>
      <c r="AV20" t="s">
        <v>73</v>
      </c>
      <c r="AW20" t="s">
        <v>73</v>
      </c>
      <c r="AX20" s="823">
        <v>250000</v>
      </c>
      <c r="AY20" s="264" t="s">
        <v>6</v>
      </c>
      <c r="AZ20" s="384" t="s">
        <v>74</v>
      </c>
      <c r="BA20" s="384"/>
      <c r="BB20" s="384" t="s">
        <v>75</v>
      </c>
      <c r="BC20"/>
      <c r="BD20"/>
      <c r="BE20"/>
      <c r="BF20"/>
      <c r="BH20" s="94" t="s">
        <v>107</v>
      </c>
      <c r="BI20" s="322" t="s">
        <v>467</v>
      </c>
      <c r="BJ20" s="324"/>
      <c r="BK20" s="313" t="s">
        <v>468</v>
      </c>
      <c r="BL20" s="314">
        <v>46113</v>
      </c>
      <c r="BM20" s="313" t="s">
        <v>546</v>
      </c>
      <c r="BN20" s="314">
        <v>46113</v>
      </c>
      <c r="BO20" s="313" t="s">
        <v>546</v>
      </c>
      <c r="BP20" s="314">
        <v>46113</v>
      </c>
      <c r="BQ20" s="313" t="s">
        <v>471</v>
      </c>
      <c r="BR20" s="313" t="s">
        <v>547</v>
      </c>
      <c r="BS20" s="1129" t="s">
        <v>548</v>
      </c>
      <c r="BT20" s="28">
        <v>236000</v>
      </c>
      <c r="BU20" s="28">
        <f t="shared" si="0"/>
        <v>14000</v>
      </c>
      <c r="BV20" s="1119" t="s">
        <v>474</v>
      </c>
      <c r="BW20" s="94" t="s">
        <v>549</v>
      </c>
      <c r="BX20" s="471">
        <v>46164</v>
      </c>
      <c r="BY20" s="28">
        <f t="shared" si="1"/>
        <v>250000</v>
      </c>
      <c r="BZ20" s="28">
        <v>236000</v>
      </c>
      <c r="CA20" s="28">
        <f t="shared" si="3"/>
        <v>14000</v>
      </c>
      <c r="CB20" s="325" t="s">
        <v>550</v>
      </c>
      <c r="CC20" s="325" t="s">
        <v>498</v>
      </c>
      <c r="CD20" s="325" t="s">
        <v>551</v>
      </c>
      <c r="CE20" s="94" t="s">
        <v>552</v>
      </c>
      <c r="CF20" s="471">
        <v>46183</v>
      </c>
      <c r="CG20" s="94" t="s">
        <v>553</v>
      </c>
      <c r="CH20" s="471">
        <v>46183</v>
      </c>
      <c r="CK20" s="94" t="s">
        <v>554</v>
      </c>
      <c r="CL20" s="94" t="s">
        <v>458</v>
      </c>
      <c r="CM20" s="94" t="s">
        <v>489</v>
      </c>
      <c r="CN20" s="94" t="s">
        <v>489</v>
      </c>
      <c r="CP20" s="94" t="s">
        <v>555</v>
      </c>
      <c r="XEE20" s="1125"/>
      <c r="XEF20" s="293"/>
      <c r="XEG20" s="22"/>
      <c r="XEH20" s="1125"/>
      <c r="XEI20" s="178"/>
      <c r="XEJ20" s="41"/>
      <c r="XEK20" s="31"/>
      <c r="XEL20" s="41"/>
      <c r="XEM20" s="41"/>
      <c r="XEN20" s="1126"/>
      <c r="XEO20" s="1138"/>
      <c r="XEP20" s="1139"/>
      <c r="XEQ20" s="1139"/>
      <c r="XER20" s="1140"/>
      <c r="XES20" s="41"/>
      <c r="XET20" s="41"/>
      <c r="XEU20" s="41"/>
      <c r="XEV20" s="1138"/>
      <c r="XEW20" s="1139"/>
      <c r="XEX20" s="1139"/>
      <c r="XEY20" s="1139"/>
      <c r="XEZ20" s="1141"/>
      <c r="XFA20" s="1127"/>
    </row>
    <row r="21" spans="1:94 16359:16381" customFormat="1" ht="47.25" customHeight="1" x14ac:dyDescent="0.25">
      <c r="A21" s="19">
        <v>2026</v>
      </c>
      <c r="B21" s="20">
        <v>479</v>
      </c>
      <c r="C21" s="21" t="s">
        <v>64</v>
      </c>
      <c r="D21" s="21" t="s">
        <v>65</v>
      </c>
      <c r="E21" s="20">
        <v>125</v>
      </c>
      <c r="F21" s="20">
        <v>3000654</v>
      </c>
      <c r="G21" s="20">
        <v>5005023</v>
      </c>
      <c r="H21" s="20">
        <v>3</v>
      </c>
      <c r="I21" s="20">
        <v>12</v>
      </c>
      <c r="J21" s="20">
        <v>24</v>
      </c>
      <c r="K21" s="20">
        <v>135560</v>
      </c>
      <c r="L21" s="21" t="s">
        <v>98</v>
      </c>
      <c r="M21" s="22" t="s">
        <v>99</v>
      </c>
      <c r="N21" s="19">
        <v>94</v>
      </c>
      <c r="O21" s="2"/>
      <c r="P21" s="2" t="s">
        <v>4</v>
      </c>
      <c r="Q21" s="20" t="s">
        <v>68</v>
      </c>
      <c r="R21" s="25" t="s">
        <v>69</v>
      </c>
      <c r="S21" s="25" t="s">
        <v>108</v>
      </c>
      <c r="T21" s="40">
        <v>716000010187</v>
      </c>
      <c r="U21" s="31" t="s">
        <v>109</v>
      </c>
      <c r="V21" s="25" t="s">
        <v>110</v>
      </c>
      <c r="W21" s="25">
        <v>1</v>
      </c>
      <c r="X21" s="25">
        <v>2</v>
      </c>
      <c r="Y21" s="1142"/>
      <c r="Z21" s="1143"/>
      <c r="AA21" s="1143"/>
      <c r="AB21" s="1144"/>
      <c r="AC21" s="25"/>
      <c r="AD21" s="25">
        <v>25</v>
      </c>
      <c r="AE21" s="25"/>
      <c r="AF21" s="1142"/>
      <c r="AG21" s="1143"/>
      <c r="AH21" s="1143"/>
      <c r="AI21" s="1143"/>
      <c r="AJ21" s="1145"/>
      <c r="AK21" s="42">
        <v>50</v>
      </c>
      <c r="AL21" s="29" t="s">
        <v>73</v>
      </c>
      <c r="AM21" s="29" t="s">
        <v>73</v>
      </c>
      <c r="AN21" s="29" t="s">
        <v>73</v>
      </c>
      <c r="AO21" s="29" t="s">
        <v>73</v>
      </c>
      <c r="AP21" s="29" t="s">
        <v>73</v>
      </c>
      <c r="AQ21" s="29">
        <v>50</v>
      </c>
      <c r="AR21" s="29" t="s">
        <v>73</v>
      </c>
      <c r="AS21" s="29" t="s">
        <v>73</v>
      </c>
      <c r="AT21" s="29" t="s">
        <v>73</v>
      </c>
      <c r="AU21" s="29" t="s">
        <v>73</v>
      </c>
      <c r="AV21" s="29" t="s">
        <v>73</v>
      </c>
      <c r="AW21" s="29" t="s">
        <v>73</v>
      </c>
      <c r="AX21" s="823">
        <v>50</v>
      </c>
      <c r="AY21" s="18" t="s">
        <v>6</v>
      </c>
      <c r="AZ21" s="1108" t="s">
        <v>74</v>
      </c>
      <c r="BA21" s="1108"/>
      <c r="BB21" s="384" t="s">
        <v>75</v>
      </c>
      <c r="BH21" s="31" t="s">
        <v>109</v>
      </c>
      <c r="BI21" s="322">
        <v>362</v>
      </c>
      <c r="BJ21" s="324"/>
      <c r="BK21" s="313" t="s">
        <v>556</v>
      </c>
      <c r="BL21" s="314">
        <v>46135</v>
      </c>
      <c r="BM21" s="313" t="s">
        <v>556</v>
      </c>
      <c r="BN21" s="314">
        <v>46135</v>
      </c>
      <c r="BO21" s="313" t="s">
        <v>557</v>
      </c>
      <c r="BP21" s="314">
        <v>46136</v>
      </c>
      <c r="BQ21" s="313" t="s">
        <v>471</v>
      </c>
      <c r="BR21" s="313" t="s">
        <v>558</v>
      </c>
      <c r="BS21" s="312" t="s">
        <v>559</v>
      </c>
      <c r="BT21" s="28">
        <v>23.31</v>
      </c>
      <c r="BU21" s="28">
        <f t="shared" si="0"/>
        <v>26.69</v>
      </c>
      <c r="BV21" s="1119" t="s">
        <v>474</v>
      </c>
      <c r="BW21" s="384" t="s">
        <v>560</v>
      </c>
      <c r="BX21" s="140">
        <v>46174</v>
      </c>
      <c r="BY21" s="28">
        <f t="shared" si="1"/>
        <v>50</v>
      </c>
      <c r="BZ21" s="28">
        <v>29.21</v>
      </c>
      <c r="CA21" s="28">
        <f t="shared" si="3"/>
        <v>20.79</v>
      </c>
      <c r="CB21" s="325" t="s">
        <v>561</v>
      </c>
      <c r="CC21" s="325"/>
      <c r="CD21" s="325"/>
      <c r="CK21" t="s">
        <v>562</v>
      </c>
      <c r="CL21" t="s">
        <v>458</v>
      </c>
      <c r="CM21" t="s">
        <v>459</v>
      </c>
      <c r="CN21" t="s">
        <v>460</v>
      </c>
      <c r="CO21" s="140">
        <v>46184</v>
      </c>
      <c r="CP21" t="s">
        <v>562</v>
      </c>
    </row>
    <row r="22" spans="1:94 16359:16381" customFormat="1" ht="47.25" customHeight="1" x14ac:dyDescent="0.25">
      <c r="A22" s="19">
        <v>2026</v>
      </c>
      <c r="B22" s="20">
        <v>479</v>
      </c>
      <c r="C22" s="21" t="s">
        <v>64</v>
      </c>
      <c r="D22" s="21" t="s">
        <v>65</v>
      </c>
      <c r="E22" s="20">
        <v>125</v>
      </c>
      <c r="F22" s="20">
        <v>3000654</v>
      </c>
      <c r="G22" s="20">
        <v>5005023</v>
      </c>
      <c r="H22" s="20">
        <v>3</v>
      </c>
      <c r="I22" s="20">
        <v>12</v>
      </c>
      <c r="J22" s="20">
        <v>24</v>
      </c>
      <c r="K22" s="20">
        <v>135560</v>
      </c>
      <c r="L22" s="21" t="s">
        <v>98</v>
      </c>
      <c r="M22" s="22" t="s">
        <v>99</v>
      </c>
      <c r="N22" s="19">
        <v>94</v>
      </c>
      <c r="O22" s="2"/>
      <c r="P22" s="2" t="s">
        <v>4</v>
      </c>
      <c r="Q22" s="20" t="s">
        <v>68</v>
      </c>
      <c r="R22" s="25" t="s">
        <v>69</v>
      </c>
      <c r="S22" s="25" t="s">
        <v>108</v>
      </c>
      <c r="T22" s="40">
        <v>716000010208</v>
      </c>
      <c r="U22" s="31" t="s">
        <v>111</v>
      </c>
      <c r="V22" s="25" t="s">
        <v>110</v>
      </c>
      <c r="W22" s="25">
        <v>1</v>
      </c>
      <c r="X22" s="25">
        <v>2</v>
      </c>
      <c r="Y22" s="1142"/>
      <c r="Z22" s="1143"/>
      <c r="AA22" s="1143"/>
      <c r="AB22" s="1144"/>
      <c r="AC22" s="25"/>
      <c r="AD22" s="25">
        <v>50</v>
      </c>
      <c r="AE22" s="25"/>
      <c r="AF22" s="1142"/>
      <c r="AG22" s="1143"/>
      <c r="AH22" s="1143"/>
      <c r="AI22" s="1143"/>
      <c r="AJ22" s="1145"/>
      <c r="AK22" s="42">
        <v>100</v>
      </c>
      <c r="AL22" s="29" t="s">
        <v>73</v>
      </c>
      <c r="AM22" s="29" t="s">
        <v>73</v>
      </c>
      <c r="AN22" s="29" t="s">
        <v>73</v>
      </c>
      <c r="AO22" s="29" t="s">
        <v>73</v>
      </c>
      <c r="AP22" s="29" t="s">
        <v>73</v>
      </c>
      <c r="AQ22" s="29">
        <v>100</v>
      </c>
      <c r="AR22" s="29" t="s">
        <v>73</v>
      </c>
      <c r="AS22" s="29" t="s">
        <v>73</v>
      </c>
      <c r="AT22" s="29" t="s">
        <v>73</v>
      </c>
      <c r="AU22" s="29" t="s">
        <v>73</v>
      </c>
      <c r="AV22" s="29" t="s">
        <v>73</v>
      </c>
      <c r="AW22" s="29" t="s">
        <v>73</v>
      </c>
      <c r="AX22" s="823">
        <f>100-4</f>
        <v>96</v>
      </c>
      <c r="AY22" s="18" t="s">
        <v>6</v>
      </c>
      <c r="AZ22" s="1108" t="s">
        <v>74</v>
      </c>
      <c r="BA22" s="1108"/>
      <c r="BB22" s="384" t="s">
        <v>75</v>
      </c>
      <c r="BC22" t="s">
        <v>563</v>
      </c>
      <c r="BD22" t="s">
        <v>563</v>
      </c>
      <c r="BE22" t="s">
        <v>564</v>
      </c>
      <c r="BG22" t="s">
        <v>565</v>
      </c>
      <c r="BH22" s="94" t="s">
        <v>111</v>
      </c>
      <c r="BI22" s="322">
        <v>362</v>
      </c>
      <c r="BJ22" s="324"/>
      <c r="BK22" s="313" t="s">
        <v>556</v>
      </c>
      <c r="BL22" s="314">
        <v>46135</v>
      </c>
      <c r="BM22" s="313" t="s">
        <v>556</v>
      </c>
      <c r="BN22" s="314">
        <v>46135</v>
      </c>
      <c r="BO22" s="313" t="s">
        <v>557</v>
      </c>
      <c r="BP22" s="314">
        <v>46136</v>
      </c>
      <c r="BQ22" s="313" t="s">
        <v>471</v>
      </c>
      <c r="BR22" s="313" t="s">
        <v>558</v>
      </c>
      <c r="BS22" s="312" t="s">
        <v>559</v>
      </c>
      <c r="BT22" s="28">
        <v>48.38</v>
      </c>
      <c r="BU22" s="28">
        <f t="shared" si="0"/>
        <v>47.62</v>
      </c>
      <c r="BV22" s="1119" t="s">
        <v>474</v>
      </c>
      <c r="BW22" s="384" t="s">
        <v>560</v>
      </c>
      <c r="BX22" s="140">
        <v>46174</v>
      </c>
      <c r="BY22" s="28">
        <f t="shared" si="1"/>
        <v>96</v>
      </c>
      <c r="BZ22" s="28">
        <v>58.41</v>
      </c>
      <c r="CA22" s="28">
        <f t="shared" si="3"/>
        <v>37.590000000000003</v>
      </c>
      <c r="CB22" s="325" t="s">
        <v>561</v>
      </c>
      <c r="CC22" s="325"/>
      <c r="CD22" s="325"/>
      <c r="CK22" t="s">
        <v>562</v>
      </c>
      <c r="CL22" t="s">
        <v>458</v>
      </c>
      <c r="CM22" t="s">
        <v>459</v>
      </c>
      <c r="CN22" t="s">
        <v>460</v>
      </c>
      <c r="CO22" s="140">
        <v>46184</v>
      </c>
      <c r="CP22" t="s">
        <v>562</v>
      </c>
    </row>
    <row r="23" spans="1:94 16359:16381" customFormat="1" ht="47.25" customHeight="1" x14ac:dyDescent="0.25">
      <c r="A23" s="19">
        <v>2026</v>
      </c>
      <c r="B23" s="20">
        <v>479</v>
      </c>
      <c r="C23" s="21" t="s">
        <v>64</v>
      </c>
      <c r="D23" s="21" t="s">
        <v>65</v>
      </c>
      <c r="E23" s="20">
        <v>125</v>
      </c>
      <c r="F23" s="20">
        <v>3000654</v>
      </c>
      <c r="G23" s="20">
        <v>5005023</v>
      </c>
      <c r="H23" s="20">
        <v>3</v>
      </c>
      <c r="I23" s="20">
        <v>12</v>
      </c>
      <c r="J23" s="20">
        <v>24</v>
      </c>
      <c r="K23" s="20">
        <v>135560</v>
      </c>
      <c r="L23" s="21" t="s">
        <v>98</v>
      </c>
      <c r="M23" s="22" t="s">
        <v>99</v>
      </c>
      <c r="N23" s="19">
        <v>94</v>
      </c>
      <c r="O23" s="2"/>
      <c r="P23" s="2" t="s">
        <v>4</v>
      </c>
      <c r="Q23" s="20" t="s">
        <v>68</v>
      </c>
      <c r="R23" s="25" t="s">
        <v>69</v>
      </c>
      <c r="S23" s="25" t="s">
        <v>108</v>
      </c>
      <c r="T23" s="40">
        <v>716000010209</v>
      </c>
      <c r="U23" s="31" t="s">
        <v>112</v>
      </c>
      <c r="V23" s="25" t="s">
        <v>110</v>
      </c>
      <c r="W23" s="25">
        <v>1</v>
      </c>
      <c r="X23" s="25">
        <v>2</v>
      </c>
      <c r="Y23" s="1142"/>
      <c r="Z23" s="1143"/>
      <c r="AA23" s="1143"/>
      <c r="AB23" s="1144"/>
      <c r="AC23" s="25"/>
      <c r="AD23" s="25">
        <v>50</v>
      </c>
      <c r="AE23" s="25"/>
      <c r="AF23" s="1142"/>
      <c r="AG23" s="1143"/>
      <c r="AH23" s="1143"/>
      <c r="AI23" s="1143"/>
      <c r="AJ23" s="1145"/>
      <c r="AK23" s="42">
        <v>100</v>
      </c>
      <c r="AL23" s="29" t="s">
        <v>73</v>
      </c>
      <c r="AM23" s="29" t="s">
        <v>73</v>
      </c>
      <c r="AN23" s="29" t="s">
        <v>73</v>
      </c>
      <c r="AO23" s="29" t="s">
        <v>73</v>
      </c>
      <c r="AP23" s="29" t="s">
        <v>73</v>
      </c>
      <c r="AQ23" s="29">
        <v>100</v>
      </c>
      <c r="AR23" s="29" t="s">
        <v>73</v>
      </c>
      <c r="AS23" s="29" t="s">
        <v>73</v>
      </c>
      <c r="AT23" s="29" t="s">
        <v>73</v>
      </c>
      <c r="AU23" s="29" t="s">
        <v>73</v>
      </c>
      <c r="AV23" s="29" t="s">
        <v>73</v>
      </c>
      <c r="AW23" s="29" t="s">
        <v>73</v>
      </c>
      <c r="AX23" s="823">
        <v>100</v>
      </c>
      <c r="AY23" s="18" t="s">
        <v>6</v>
      </c>
      <c r="AZ23" s="1108" t="s">
        <v>74</v>
      </c>
      <c r="BA23" s="1108"/>
      <c r="BB23" s="384" t="s">
        <v>75</v>
      </c>
      <c r="BH23" s="94" t="s">
        <v>112</v>
      </c>
      <c r="BI23" s="322">
        <v>362</v>
      </c>
      <c r="BJ23" s="324"/>
      <c r="BK23" s="313" t="s">
        <v>556</v>
      </c>
      <c r="BL23" s="314">
        <v>46135</v>
      </c>
      <c r="BM23" s="313" t="s">
        <v>556</v>
      </c>
      <c r="BN23" s="314">
        <v>46135</v>
      </c>
      <c r="BO23" s="313" t="s">
        <v>557</v>
      </c>
      <c r="BP23" s="314">
        <v>46136</v>
      </c>
      <c r="BQ23" s="313" t="s">
        <v>471</v>
      </c>
      <c r="BR23" s="313" t="s">
        <v>558</v>
      </c>
      <c r="BS23" s="312" t="s">
        <v>559</v>
      </c>
      <c r="BT23" s="28">
        <v>74.34</v>
      </c>
      <c r="BU23" s="28">
        <f t="shared" si="0"/>
        <v>25.659999999999997</v>
      </c>
      <c r="BV23" s="1119" t="s">
        <v>474</v>
      </c>
      <c r="BW23" s="384" t="s">
        <v>560</v>
      </c>
      <c r="BX23" s="140">
        <v>46174</v>
      </c>
      <c r="BY23" s="28">
        <f t="shared" si="1"/>
        <v>100</v>
      </c>
      <c r="BZ23" s="1131">
        <v>58.41</v>
      </c>
      <c r="CA23" s="28">
        <f t="shared" si="3"/>
        <v>41.59</v>
      </c>
      <c r="CB23" s="325" t="s">
        <v>561</v>
      </c>
      <c r="CC23" s="325"/>
      <c r="CD23" s="325"/>
      <c r="CK23" t="s">
        <v>566</v>
      </c>
      <c r="CL23" t="s">
        <v>458</v>
      </c>
      <c r="CM23" t="s">
        <v>459</v>
      </c>
      <c r="CN23" t="s">
        <v>460</v>
      </c>
      <c r="CO23" s="140">
        <v>46184</v>
      </c>
      <c r="CP23" t="s">
        <v>566</v>
      </c>
    </row>
    <row r="24" spans="1:94 16359:16381" customFormat="1" ht="47.25" customHeight="1" x14ac:dyDescent="0.25">
      <c r="A24" s="19">
        <v>2026</v>
      </c>
      <c r="B24" s="20">
        <v>479</v>
      </c>
      <c r="C24" s="21" t="s">
        <v>64</v>
      </c>
      <c r="D24" s="21" t="s">
        <v>65</v>
      </c>
      <c r="E24" s="20">
        <v>125</v>
      </c>
      <c r="F24" s="20">
        <v>3000654</v>
      </c>
      <c r="G24" s="20">
        <v>5005023</v>
      </c>
      <c r="H24" s="20">
        <v>3</v>
      </c>
      <c r="I24" s="20">
        <v>12</v>
      </c>
      <c r="J24" s="20">
        <v>24</v>
      </c>
      <c r="K24" s="20">
        <v>135560</v>
      </c>
      <c r="L24" s="21" t="s">
        <v>98</v>
      </c>
      <c r="M24" s="22" t="s">
        <v>99</v>
      </c>
      <c r="N24" s="19">
        <v>94</v>
      </c>
      <c r="O24" s="2"/>
      <c r="P24" s="2" t="s">
        <v>4</v>
      </c>
      <c r="Q24" s="20" t="s">
        <v>68</v>
      </c>
      <c r="R24" s="25" t="s">
        <v>69</v>
      </c>
      <c r="S24" s="25" t="s">
        <v>108</v>
      </c>
      <c r="T24" s="40">
        <v>716000040112</v>
      </c>
      <c r="U24" s="31" t="s">
        <v>113</v>
      </c>
      <c r="V24" s="25" t="s">
        <v>110</v>
      </c>
      <c r="W24" s="25">
        <v>1</v>
      </c>
      <c r="X24" s="25">
        <v>1</v>
      </c>
      <c r="Y24" s="1142"/>
      <c r="Z24" s="1143"/>
      <c r="AA24" s="1143"/>
      <c r="AB24" s="1144"/>
      <c r="AC24" s="25"/>
      <c r="AD24" s="25">
        <v>50</v>
      </c>
      <c r="AE24" s="25"/>
      <c r="AF24" s="1142"/>
      <c r="AG24" s="1143"/>
      <c r="AH24" s="1143"/>
      <c r="AI24" s="1143"/>
      <c r="AJ24" s="1145"/>
      <c r="AK24" s="42">
        <v>50</v>
      </c>
      <c r="AL24" s="29" t="s">
        <v>73</v>
      </c>
      <c r="AM24" s="29" t="s">
        <v>73</v>
      </c>
      <c r="AN24" s="29" t="s">
        <v>73</v>
      </c>
      <c r="AO24" s="29" t="s">
        <v>73</v>
      </c>
      <c r="AP24" s="29" t="s">
        <v>73</v>
      </c>
      <c r="AQ24" s="29">
        <v>50</v>
      </c>
      <c r="AR24" s="29" t="s">
        <v>73</v>
      </c>
      <c r="AS24" s="29" t="s">
        <v>73</v>
      </c>
      <c r="AT24" s="29" t="s">
        <v>73</v>
      </c>
      <c r="AU24" s="29" t="s">
        <v>73</v>
      </c>
      <c r="AV24" s="29" t="s">
        <v>73</v>
      </c>
      <c r="AW24" s="29" t="s">
        <v>73</v>
      </c>
      <c r="AX24" s="823">
        <v>50</v>
      </c>
      <c r="AY24" s="18" t="s">
        <v>6</v>
      </c>
      <c r="AZ24" s="1108" t="s">
        <v>74</v>
      </c>
      <c r="BA24" s="1108"/>
      <c r="BB24" s="384" t="s">
        <v>75</v>
      </c>
      <c r="BH24" s="31" t="s">
        <v>113</v>
      </c>
      <c r="BI24" s="322">
        <v>362</v>
      </c>
      <c r="BJ24" s="324"/>
      <c r="BK24" s="313" t="s">
        <v>556</v>
      </c>
      <c r="BL24" s="314">
        <v>46135</v>
      </c>
      <c r="BM24" s="313" t="s">
        <v>556</v>
      </c>
      <c r="BN24" s="314">
        <v>46135</v>
      </c>
      <c r="BO24" s="313" t="s">
        <v>557</v>
      </c>
      <c r="BP24" s="314">
        <v>46136</v>
      </c>
      <c r="BQ24" s="313" t="s">
        <v>471</v>
      </c>
      <c r="BR24" s="313" t="s">
        <v>558</v>
      </c>
      <c r="BS24" s="312" t="s">
        <v>559</v>
      </c>
      <c r="BT24" s="28">
        <v>19.47</v>
      </c>
      <c r="BU24" s="28">
        <f t="shared" si="0"/>
        <v>30.53</v>
      </c>
      <c r="BV24" s="1119" t="s">
        <v>474</v>
      </c>
      <c r="BW24" s="384" t="s">
        <v>567</v>
      </c>
      <c r="BX24" s="140">
        <v>46174</v>
      </c>
      <c r="BY24" s="28">
        <f t="shared" si="1"/>
        <v>50</v>
      </c>
      <c r="BZ24" s="28">
        <v>26.55</v>
      </c>
      <c r="CA24" s="28">
        <f t="shared" si="3"/>
        <v>23.45</v>
      </c>
      <c r="CB24" s="325" t="s">
        <v>568</v>
      </c>
      <c r="CC24" s="325"/>
      <c r="CD24" s="325"/>
      <c r="CK24" t="s">
        <v>489</v>
      </c>
      <c r="CL24" t="s">
        <v>489</v>
      </c>
      <c r="CM24" t="s">
        <v>489</v>
      </c>
      <c r="CN24" t="s">
        <v>489</v>
      </c>
      <c r="CP24" t="s">
        <v>569</v>
      </c>
    </row>
    <row r="25" spans="1:94 16359:16381" customFormat="1" ht="47.25" hidden="1" customHeight="1" x14ac:dyDescent="0.25">
      <c r="A25" s="19">
        <v>2026</v>
      </c>
      <c r="B25" s="20">
        <v>479</v>
      </c>
      <c r="C25" s="21" t="s">
        <v>64</v>
      </c>
      <c r="D25" s="21" t="s">
        <v>65</v>
      </c>
      <c r="E25" s="20">
        <v>125</v>
      </c>
      <c r="F25" s="20">
        <v>3000654</v>
      </c>
      <c r="G25" s="20">
        <v>5005023</v>
      </c>
      <c r="H25" s="20">
        <v>3</v>
      </c>
      <c r="I25" s="20">
        <v>12</v>
      </c>
      <c r="J25" s="20">
        <v>24</v>
      </c>
      <c r="K25" s="20">
        <v>135560</v>
      </c>
      <c r="L25" s="21" t="s">
        <v>98</v>
      </c>
      <c r="M25" s="22" t="s">
        <v>99</v>
      </c>
      <c r="N25" s="19">
        <v>94</v>
      </c>
      <c r="O25" s="2"/>
      <c r="P25" s="2" t="s">
        <v>4</v>
      </c>
      <c r="Q25" s="20" t="s">
        <v>68</v>
      </c>
      <c r="R25" s="25" t="s">
        <v>69</v>
      </c>
      <c r="S25" s="25" t="s">
        <v>108</v>
      </c>
      <c r="T25" s="40">
        <v>716000060413</v>
      </c>
      <c r="U25" s="31" t="s">
        <v>114</v>
      </c>
      <c r="V25" s="25" t="s">
        <v>110</v>
      </c>
      <c r="W25" s="25">
        <v>1</v>
      </c>
      <c r="X25" s="25">
        <v>3</v>
      </c>
      <c r="Y25" s="1142"/>
      <c r="Z25" s="1143"/>
      <c r="AA25" s="1143"/>
      <c r="AB25" s="1144"/>
      <c r="AC25" s="25"/>
      <c r="AD25" s="25">
        <v>10</v>
      </c>
      <c r="AE25" s="25"/>
      <c r="AF25" s="1142"/>
      <c r="AG25" s="1143"/>
      <c r="AH25" s="1143"/>
      <c r="AI25" s="1143"/>
      <c r="AJ25" s="1145"/>
      <c r="AK25" s="42">
        <v>30</v>
      </c>
      <c r="AL25" s="29" t="s">
        <v>73</v>
      </c>
      <c r="AM25" s="29" t="s">
        <v>73</v>
      </c>
      <c r="AN25" s="29" t="s">
        <v>73</v>
      </c>
      <c r="AO25" s="29" t="s">
        <v>73</v>
      </c>
      <c r="AP25" s="29" t="s">
        <v>73</v>
      </c>
      <c r="AQ25" s="29">
        <v>30</v>
      </c>
      <c r="AR25" s="29" t="s">
        <v>73</v>
      </c>
      <c r="AS25" s="29" t="s">
        <v>73</v>
      </c>
      <c r="AT25" s="29" t="s">
        <v>73</v>
      </c>
      <c r="AU25" s="29" t="s">
        <v>73</v>
      </c>
      <c r="AV25" s="29" t="s">
        <v>73</v>
      </c>
      <c r="AW25" s="29" t="s">
        <v>73</v>
      </c>
      <c r="AX25" s="823">
        <v>30</v>
      </c>
      <c r="AY25" s="18" t="s">
        <v>6</v>
      </c>
      <c r="AZ25" s="1108" t="s">
        <v>74</v>
      </c>
      <c r="BA25" s="1108"/>
      <c r="BB25" s="384" t="s">
        <v>75</v>
      </c>
      <c r="BH25" s="94" t="s">
        <v>114</v>
      </c>
      <c r="BI25" s="322">
        <v>362</v>
      </c>
      <c r="BJ25" s="324"/>
      <c r="BK25" s="313" t="s">
        <v>556</v>
      </c>
      <c r="BL25" s="314">
        <v>46135</v>
      </c>
      <c r="BM25" s="313" t="s">
        <v>556</v>
      </c>
      <c r="BN25" s="314">
        <v>46135</v>
      </c>
      <c r="BO25" s="313" t="s">
        <v>557</v>
      </c>
      <c r="BP25" s="314">
        <v>46136</v>
      </c>
      <c r="BQ25" s="1119" t="s">
        <v>510</v>
      </c>
      <c r="BR25" s="313" t="s">
        <v>570</v>
      </c>
      <c r="BS25" s="312" t="s">
        <v>559</v>
      </c>
      <c r="BT25" s="28">
        <v>13.22</v>
      </c>
      <c r="BU25" s="28">
        <f t="shared" si="0"/>
        <v>16.78</v>
      </c>
      <c r="BV25" s="1119" t="s">
        <v>510</v>
      </c>
      <c r="BW25" s="384"/>
      <c r="BY25" s="28">
        <f t="shared" si="1"/>
        <v>30</v>
      </c>
      <c r="BZ25" s="28"/>
      <c r="CA25" s="28">
        <f t="shared" si="3"/>
        <v>30</v>
      </c>
      <c r="CB25" s="325"/>
      <c r="CC25" s="325"/>
      <c r="CD25" s="325"/>
    </row>
    <row r="26" spans="1:94 16359:16381" customFormat="1" ht="47.25" customHeight="1" x14ac:dyDescent="0.25">
      <c r="A26" s="19">
        <v>2026</v>
      </c>
      <c r="B26" s="20">
        <v>479</v>
      </c>
      <c r="C26" s="21" t="s">
        <v>64</v>
      </c>
      <c r="D26" s="21" t="s">
        <v>65</v>
      </c>
      <c r="E26" s="20">
        <v>125</v>
      </c>
      <c r="F26" s="20">
        <v>3000654</v>
      </c>
      <c r="G26" s="20">
        <v>5005023</v>
      </c>
      <c r="H26" s="20">
        <v>3</v>
      </c>
      <c r="I26" s="20">
        <v>12</v>
      </c>
      <c r="J26" s="20">
        <v>24</v>
      </c>
      <c r="K26" s="20">
        <v>135560</v>
      </c>
      <c r="L26" s="21" t="s">
        <v>98</v>
      </c>
      <c r="M26" s="22" t="s">
        <v>99</v>
      </c>
      <c r="N26" s="19">
        <v>94</v>
      </c>
      <c r="O26" s="2"/>
      <c r="P26" s="2" t="s">
        <v>4</v>
      </c>
      <c r="Q26" s="20" t="s">
        <v>68</v>
      </c>
      <c r="R26" s="25" t="s">
        <v>69</v>
      </c>
      <c r="S26" s="25" t="s">
        <v>108</v>
      </c>
      <c r="T26" s="40">
        <v>716000060432</v>
      </c>
      <c r="U26" s="31" t="s">
        <v>115</v>
      </c>
      <c r="V26" s="25" t="s">
        <v>110</v>
      </c>
      <c r="W26" s="25">
        <v>1</v>
      </c>
      <c r="X26" s="25">
        <v>2.7</v>
      </c>
      <c r="Y26" s="1142"/>
      <c r="Z26" s="1143"/>
      <c r="AA26" s="1143"/>
      <c r="AB26" s="1144"/>
      <c r="AC26" s="25"/>
      <c r="AD26" s="25">
        <v>5</v>
      </c>
      <c r="AE26" s="25"/>
      <c r="AF26" s="1142"/>
      <c r="AG26" s="1143"/>
      <c r="AH26" s="1143"/>
      <c r="AI26" s="1143"/>
      <c r="AJ26" s="1145"/>
      <c r="AK26" s="42">
        <v>14</v>
      </c>
      <c r="AL26" s="29" t="s">
        <v>73</v>
      </c>
      <c r="AM26" s="29" t="s">
        <v>73</v>
      </c>
      <c r="AN26" s="29" t="s">
        <v>73</v>
      </c>
      <c r="AO26" s="29" t="s">
        <v>73</v>
      </c>
      <c r="AP26" s="29" t="s">
        <v>73</v>
      </c>
      <c r="AQ26" s="29">
        <v>14</v>
      </c>
      <c r="AR26" s="29" t="s">
        <v>73</v>
      </c>
      <c r="AS26" s="29" t="s">
        <v>73</v>
      </c>
      <c r="AT26" s="29" t="s">
        <v>73</v>
      </c>
      <c r="AU26" s="29" t="s">
        <v>73</v>
      </c>
      <c r="AV26" s="29" t="s">
        <v>73</v>
      </c>
      <c r="AW26" s="29" t="s">
        <v>73</v>
      </c>
      <c r="AX26" s="823">
        <v>14</v>
      </c>
      <c r="AY26" s="18" t="s">
        <v>6</v>
      </c>
      <c r="AZ26" s="1108" t="s">
        <v>74</v>
      </c>
      <c r="BA26" s="1108"/>
      <c r="BB26" s="384" t="s">
        <v>116</v>
      </c>
      <c r="BH26" s="94" t="s">
        <v>115</v>
      </c>
      <c r="BI26" s="322">
        <v>362</v>
      </c>
      <c r="BJ26" s="324"/>
      <c r="BK26" s="313" t="s">
        <v>556</v>
      </c>
      <c r="BL26" s="314">
        <v>46135</v>
      </c>
      <c r="BM26" s="313" t="s">
        <v>556</v>
      </c>
      <c r="BN26" s="314">
        <v>46135</v>
      </c>
      <c r="BO26" s="313" t="s">
        <v>557</v>
      </c>
      <c r="BP26" s="314">
        <v>46136</v>
      </c>
      <c r="BQ26" s="313" t="s">
        <v>471</v>
      </c>
      <c r="BR26" s="313" t="s">
        <v>558</v>
      </c>
      <c r="BS26" s="312" t="s">
        <v>559</v>
      </c>
      <c r="BT26" s="28">
        <v>11.27</v>
      </c>
      <c r="BU26" s="28">
        <f t="shared" si="0"/>
        <v>2.7300000000000004</v>
      </c>
      <c r="BV26" s="1119" t="s">
        <v>474</v>
      </c>
      <c r="BW26" s="384" t="s">
        <v>571</v>
      </c>
      <c r="BX26" s="140">
        <v>46174</v>
      </c>
      <c r="BY26" s="28">
        <f t="shared" si="1"/>
        <v>14</v>
      </c>
      <c r="BZ26" s="28">
        <v>14.1</v>
      </c>
      <c r="CA26" s="28">
        <f t="shared" si="3"/>
        <v>-9.9999999999999645E-2</v>
      </c>
      <c r="CB26" s="325" t="s">
        <v>572</v>
      </c>
      <c r="CC26" s="325"/>
      <c r="CD26" s="325"/>
      <c r="CK26" t="s">
        <v>489</v>
      </c>
      <c r="CL26" t="s">
        <v>458</v>
      </c>
      <c r="CM26" t="s">
        <v>576</v>
      </c>
      <c r="CN26" t="s">
        <v>460</v>
      </c>
      <c r="CO26" s="140">
        <v>46203</v>
      </c>
      <c r="CP26" s="94" t="s">
        <v>2839</v>
      </c>
    </row>
    <row r="27" spans="1:94 16359:16381" customFormat="1" ht="47.25" customHeight="1" x14ac:dyDescent="0.25">
      <c r="A27" s="19">
        <v>2026</v>
      </c>
      <c r="B27" s="20">
        <v>479</v>
      </c>
      <c r="C27" s="21" t="s">
        <v>64</v>
      </c>
      <c r="D27" s="21" t="s">
        <v>65</v>
      </c>
      <c r="E27" s="20">
        <v>125</v>
      </c>
      <c r="F27" s="20">
        <v>3000654</v>
      </c>
      <c r="G27" s="20">
        <v>5005023</v>
      </c>
      <c r="H27" s="20">
        <v>3</v>
      </c>
      <c r="I27" s="20">
        <v>12</v>
      </c>
      <c r="J27" s="20">
        <v>24</v>
      </c>
      <c r="K27" s="20">
        <v>135560</v>
      </c>
      <c r="L27" s="21" t="s">
        <v>98</v>
      </c>
      <c r="M27" s="22" t="s">
        <v>99</v>
      </c>
      <c r="N27" s="19">
        <v>94</v>
      </c>
      <c r="O27" s="2"/>
      <c r="P27" s="2" t="s">
        <v>4</v>
      </c>
      <c r="Q27" s="20" t="s">
        <v>68</v>
      </c>
      <c r="R27" s="25" t="s">
        <v>69</v>
      </c>
      <c r="S27" s="25" t="s">
        <v>108</v>
      </c>
      <c r="T27" s="40">
        <v>716000060443</v>
      </c>
      <c r="U27" s="31" t="s">
        <v>117</v>
      </c>
      <c r="V27" s="25" t="s">
        <v>110</v>
      </c>
      <c r="W27" s="25">
        <v>1</v>
      </c>
      <c r="X27" s="25">
        <v>1.5</v>
      </c>
      <c r="Y27" s="1142"/>
      <c r="Z27" s="1143"/>
      <c r="AA27" s="1143"/>
      <c r="AB27" s="1144"/>
      <c r="AC27" s="25"/>
      <c r="AD27" s="25">
        <v>20</v>
      </c>
      <c r="AE27" s="25"/>
      <c r="AF27" s="1142"/>
      <c r="AG27" s="1143"/>
      <c r="AH27" s="1143"/>
      <c r="AI27" s="1143"/>
      <c r="AJ27" s="1145"/>
      <c r="AK27" s="42">
        <v>30</v>
      </c>
      <c r="AL27" s="29" t="s">
        <v>73</v>
      </c>
      <c r="AM27" s="29" t="s">
        <v>73</v>
      </c>
      <c r="AN27" s="29" t="s">
        <v>73</v>
      </c>
      <c r="AO27" s="29" t="s">
        <v>73</v>
      </c>
      <c r="AP27" s="29" t="s">
        <v>73</v>
      </c>
      <c r="AQ27" s="29">
        <v>30</v>
      </c>
      <c r="AR27" s="29" t="s">
        <v>73</v>
      </c>
      <c r="AS27" s="29" t="s">
        <v>73</v>
      </c>
      <c r="AT27" s="29" t="s">
        <v>73</v>
      </c>
      <c r="AU27" s="29" t="s">
        <v>73</v>
      </c>
      <c r="AV27" s="29" t="s">
        <v>73</v>
      </c>
      <c r="AW27" s="29" t="s">
        <v>73</v>
      </c>
      <c r="AX27" s="823">
        <v>30</v>
      </c>
      <c r="AY27" s="18" t="s">
        <v>6</v>
      </c>
      <c r="AZ27" s="1108" t="s">
        <v>74</v>
      </c>
      <c r="BA27" s="1108"/>
      <c r="BB27" s="384" t="s">
        <v>118</v>
      </c>
      <c r="BH27" s="31" t="s">
        <v>117</v>
      </c>
      <c r="BI27" s="322">
        <v>362</v>
      </c>
      <c r="BJ27" s="324"/>
      <c r="BK27" s="313" t="s">
        <v>556</v>
      </c>
      <c r="BL27" s="314">
        <v>46135</v>
      </c>
      <c r="BM27" s="313" t="s">
        <v>556</v>
      </c>
      <c r="BN27" s="314">
        <v>46135</v>
      </c>
      <c r="BO27" s="313" t="s">
        <v>557</v>
      </c>
      <c r="BP27" s="314">
        <v>46136</v>
      </c>
      <c r="BQ27" s="313" t="s">
        <v>471</v>
      </c>
      <c r="BR27" s="313" t="s">
        <v>558</v>
      </c>
      <c r="BS27" s="312" t="s">
        <v>559</v>
      </c>
      <c r="BT27" s="28">
        <v>26.9</v>
      </c>
      <c r="BU27" s="28">
        <f t="shared" si="0"/>
        <v>3.1000000000000014</v>
      </c>
      <c r="BV27" s="1119" t="s">
        <v>474</v>
      </c>
      <c r="BW27" s="384" t="s">
        <v>573</v>
      </c>
      <c r="BX27" s="140">
        <v>46174</v>
      </c>
      <c r="BY27" s="28">
        <f t="shared" si="1"/>
        <v>30</v>
      </c>
      <c r="BZ27" s="28">
        <v>28.08</v>
      </c>
      <c r="CA27" s="28">
        <f t="shared" si="3"/>
        <v>1.9200000000000017</v>
      </c>
      <c r="CB27" s="325" t="s">
        <v>574</v>
      </c>
      <c r="CC27" s="325"/>
      <c r="CD27" s="325"/>
      <c r="CK27" t="s">
        <v>575</v>
      </c>
      <c r="CL27" t="s">
        <v>458</v>
      </c>
      <c r="CM27" t="s">
        <v>576</v>
      </c>
      <c r="CN27" t="s">
        <v>460</v>
      </c>
      <c r="CO27" s="140">
        <v>46188</v>
      </c>
      <c r="CP27" t="s">
        <v>575</v>
      </c>
    </row>
    <row r="28" spans="1:94 16359:16381" customFormat="1" ht="47.25" customHeight="1" x14ac:dyDescent="0.25">
      <c r="A28" s="19">
        <v>2026</v>
      </c>
      <c r="B28" s="20">
        <v>479</v>
      </c>
      <c r="C28" s="21" t="s">
        <v>64</v>
      </c>
      <c r="D28" s="21" t="s">
        <v>65</v>
      </c>
      <c r="E28" s="20">
        <v>125</v>
      </c>
      <c r="F28" s="20">
        <v>3000654</v>
      </c>
      <c r="G28" s="20">
        <v>5005023</v>
      </c>
      <c r="H28" s="20">
        <v>3</v>
      </c>
      <c r="I28" s="20">
        <v>12</v>
      </c>
      <c r="J28" s="20">
        <v>24</v>
      </c>
      <c r="K28" s="20">
        <v>135560</v>
      </c>
      <c r="L28" s="21" t="s">
        <v>98</v>
      </c>
      <c r="M28" s="22" t="s">
        <v>99</v>
      </c>
      <c r="N28" s="19">
        <v>94</v>
      </c>
      <c r="O28" s="2"/>
      <c r="P28" s="2" t="s">
        <v>4</v>
      </c>
      <c r="Q28" s="20" t="s">
        <v>68</v>
      </c>
      <c r="R28" s="25" t="s">
        <v>69</v>
      </c>
      <c r="S28" s="25" t="s">
        <v>108</v>
      </c>
      <c r="T28" s="40">
        <v>716000060444</v>
      </c>
      <c r="U28" s="31" t="s">
        <v>119</v>
      </c>
      <c r="V28" s="25" t="s">
        <v>110</v>
      </c>
      <c r="W28" s="25">
        <v>1</v>
      </c>
      <c r="X28" s="25">
        <v>1.5</v>
      </c>
      <c r="Y28" s="1142"/>
      <c r="Z28" s="1143"/>
      <c r="AA28" s="1143"/>
      <c r="AB28" s="1144"/>
      <c r="AC28" s="25"/>
      <c r="AD28" s="25">
        <v>20</v>
      </c>
      <c r="AE28" s="25"/>
      <c r="AF28" s="1142"/>
      <c r="AG28" s="1143"/>
      <c r="AH28" s="1143"/>
      <c r="AI28" s="1143"/>
      <c r="AJ28" s="1145"/>
      <c r="AK28" s="42">
        <v>30</v>
      </c>
      <c r="AL28" s="29" t="s">
        <v>73</v>
      </c>
      <c r="AM28" s="29" t="s">
        <v>73</v>
      </c>
      <c r="AN28" s="29" t="s">
        <v>73</v>
      </c>
      <c r="AO28" s="29" t="s">
        <v>73</v>
      </c>
      <c r="AP28" s="29" t="s">
        <v>73</v>
      </c>
      <c r="AQ28" s="29">
        <v>30</v>
      </c>
      <c r="AR28" s="29" t="s">
        <v>73</v>
      </c>
      <c r="AS28" s="29" t="s">
        <v>73</v>
      </c>
      <c r="AT28" s="29" t="s">
        <v>73</v>
      </c>
      <c r="AU28" s="29" t="s">
        <v>73</v>
      </c>
      <c r="AV28" s="29" t="s">
        <v>73</v>
      </c>
      <c r="AW28" s="29" t="s">
        <v>73</v>
      </c>
      <c r="AX28" s="823">
        <f>30+4</f>
        <v>34</v>
      </c>
      <c r="AY28" s="18" t="s">
        <v>6</v>
      </c>
      <c r="AZ28" s="1108" t="s">
        <v>74</v>
      </c>
      <c r="BA28" s="1108"/>
      <c r="BB28" s="384" t="s">
        <v>118</v>
      </c>
      <c r="BC28" t="s">
        <v>563</v>
      </c>
      <c r="BD28" t="s">
        <v>563</v>
      </c>
      <c r="BE28" t="s">
        <v>564</v>
      </c>
      <c r="BG28" s="94" t="s">
        <v>565</v>
      </c>
      <c r="BH28" s="31" t="s">
        <v>120</v>
      </c>
      <c r="BI28" s="322">
        <v>362</v>
      </c>
      <c r="BJ28" s="324"/>
      <c r="BK28" s="313" t="s">
        <v>556</v>
      </c>
      <c r="BL28" s="314">
        <v>46135</v>
      </c>
      <c r="BM28" s="313" t="s">
        <v>556</v>
      </c>
      <c r="BN28" s="314">
        <v>46135</v>
      </c>
      <c r="BO28" s="313" t="s">
        <v>557</v>
      </c>
      <c r="BP28" s="314">
        <v>46136</v>
      </c>
      <c r="BQ28" s="313" t="s">
        <v>471</v>
      </c>
      <c r="BR28" s="313" t="s">
        <v>558</v>
      </c>
      <c r="BS28" s="312" t="s">
        <v>559</v>
      </c>
      <c r="BT28" s="28">
        <v>33.28</v>
      </c>
      <c r="BU28" s="28">
        <f t="shared" si="0"/>
        <v>0.71999999999999886</v>
      </c>
      <c r="BV28" s="1119" t="s">
        <v>474</v>
      </c>
      <c r="BW28" s="384" t="s">
        <v>573</v>
      </c>
      <c r="BX28" s="140">
        <v>46174</v>
      </c>
      <c r="BY28" s="28">
        <f t="shared" si="1"/>
        <v>34</v>
      </c>
      <c r="BZ28" s="28">
        <v>28.08</v>
      </c>
      <c r="CA28" s="28">
        <f t="shared" si="3"/>
        <v>5.9200000000000017</v>
      </c>
      <c r="CB28" s="325" t="s">
        <v>574</v>
      </c>
      <c r="CC28" s="325"/>
      <c r="CD28" s="325"/>
      <c r="CK28" t="s">
        <v>575</v>
      </c>
      <c r="CL28" t="s">
        <v>458</v>
      </c>
      <c r="CM28" t="s">
        <v>576</v>
      </c>
      <c r="CN28" t="s">
        <v>460</v>
      </c>
      <c r="CO28" s="140">
        <v>46188</v>
      </c>
      <c r="CP28" t="s">
        <v>575</v>
      </c>
    </row>
    <row r="29" spans="1:94 16359:16381" customFormat="1" ht="47.25" customHeight="1" x14ac:dyDescent="0.25">
      <c r="A29" s="19">
        <v>2026</v>
      </c>
      <c r="B29" s="20">
        <v>479</v>
      </c>
      <c r="C29" s="21" t="s">
        <v>64</v>
      </c>
      <c r="D29" s="21" t="s">
        <v>65</v>
      </c>
      <c r="E29" s="20">
        <v>125</v>
      </c>
      <c r="F29" s="20">
        <v>3000654</v>
      </c>
      <c r="G29" s="20">
        <v>5005023</v>
      </c>
      <c r="H29" s="20">
        <v>3</v>
      </c>
      <c r="I29" s="20">
        <v>12</v>
      </c>
      <c r="J29" s="20">
        <v>24</v>
      </c>
      <c r="K29" s="20">
        <v>135560</v>
      </c>
      <c r="L29" s="21" t="s">
        <v>98</v>
      </c>
      <c r="M29" s="22" t="s">
        <v>99</v>
      </c>
      <c r="N29" s="19">
        <v>94</v>
      </c>
      <c r="O29" s="2"/>
      <c r="P29" s="2" t="s">
        <v>4</v>
      </c>
      <c r="Q29" s="20" t="s">
        <v>68</v>
      </c>
      <c r="R29" s="25" t="s">
        <v>69</v>
      </c>
      <c r="S29" s="25" t="s">
        <v>108</v>
      </c>
      <c r="T29" s="40">
        <v>717200030013</v>
      </c>
      <c r="U29" s="31" t="s">
        <v>121</v>
      </c>
      <c r="V29" s="25" t="s">
        <v>110</v>
      </c>
      <c r="W29" s="25">
        <v>1</v>
      </c>
      <c r="X29" s="25">
        <v>8</v>
      </c>
      <c r="Y29" s="1142"/>
      <c r="Z29" s="1143"/>
      <c r="AA29" s="1143"/>
      <c r="AB29" s="1144"/>
      <c r="AC29" s="25"/>
      <c r="AD29" s="25">
        <v>20</v>
      </c>
      <c r="AE29" s="25"/>
      <c r="AF29" s="1142"/>
      <c r="AG29" s="1143"/>
      <c r="AH29" s="1143"/>
      <c r="AI29" s="1143"/>
      <c r="AJ29" s="1145"/>
      <c r="AK29" s="42">
        <v>160</v>
      </c>
      <c r="AL29" s="29" t="s">
        <v>73</v>
      </c>
      <c r="AM29" s="29" t="s">
        <v>73</v>
      </c>
      <c r="AN29" s="29" t="s">
        <v>73</v>
      </c>
      <c r="AO29" s="29" t="s">
        <v>73</v>
      </c>
      <c r="AP29" s="29" t="s">
        <v>73</v>
      </c>
      <c r="AQ29" s="29">
        <v>160</v>
      </c>
      <c r="AR29" s="29" t="s">
        <v>73</v>
      </c>
      <c r="AS29" s="29" t="s">
        <v>73</v>
      </c>
      <c r="AT29" s="29" t="s">
        <v>73</v>
      </c>
      <c r="AU29" s="29" t="s">
        <v>73</v>
      </c>
      <c r="AV29" s="29" t="s">
        <v>73</v>
      </c>
      <c r="AW29" s="29" t="s">
        <v>73</v>
      </c>
      <c r="AX29" s="823">
        <v>160</v>
      </c>
      <c r="AY29" s="18" t="s">
        <v>6</v>
      </c>
      <c r="AZ29" s="1108" t="s">
        <v>74</v>
      </c>
      <c r="BA29" s="1108"/>
      <c r="BB29" s="384" t="s">
        <v>75</v>
      </c>
      <c r="BH29" s="94" t="s">
        <v>122</v>
      </c>
      <c r="BI29" s="322">
        <v>362</v>
      </c>
      <c r="BJ29" s="324"/>
      <c r="BK29" s="313" t="s">
        <v>556</v>
      </c>
      <c r="BL29" s="314">
        <v>46135</v>
      </c>
      <c r="BM29" s="313" t="s">
        <v>556</v>
      </c>
      <c r="BN29" s="314">
        <v>46135</v>
      </c>
      <c r="BO29" s="313" t="s">
        <v>557</v>
      </c>
      <c r="BP29" s="314">
        <v>46136</v>
      </c>
      <c r="BQ29" s="313" t="s">
        <v>471</v>
      </c>
      <c r="BR29" s="313" t="s">
        <v>558</v>
      </c>
      <c r="BS29" s="312" t="s">
        <v>559</v>
      </c>
      <c r="BT29" s="28">
        <v>119.89</v>
      </c>
      <c r="BU29" s="28">
        <f t="shared" si="0"/>
        <v>40.11</v>
      </c>
      <c r="BV29" s="1119" t="s">
        <v>474</v>
      </c>
      <c r="BW29" s="384" t="s">
        <v>577</v>
      </c>
      <c r="BX29" s="140">
        <v>46174</v>
      </c>
      <c r="BY29" s="28">
        <f t="shared" si="1"/>
        <v>160</v>
      </c>
      <c r="BZ29" s="28">
        <v>99.59</v>
      </c>
      <c r="CA29" s="28">
        <f t="shared" si="3"/>
        <v>60.41</v>
      </c>
      <c r="CB29" s="325" t="s">
        <v>578</v>
      </c>
      <c r="CC29" s="325"/>
      <c r="CD29" s="325"/>
      <c r="CK29" t="s">
        <v>579</v>
      </c>
      <c r="CL29" t="s">
        <v>458</v>
      </c>
      <c r="CM29" t="s">
        <v>459</v>
      </c>
      <c r="CN29" t="s">
        <v>460</v>
      </c>
      <c r="CO29" s="140">
        <v>46190</v>
      </c>
      <c r="CP29" t="s">
        <v>579</v>
      </c>
    </row>
    <row r="30" spans="1:94 16359:16381" customFormat="1" ht="47.25" customHeight="1" x14ac:dyDescent="0.25">
      <c r="A30" s="19">
        <v>2026</v>
      </c>
      <c r="B30" s="20">
        <v>479</v>
      </c>
      <c r="C30" s="21" t="s">
        <v>64</v>
      </c>
      <c r="D30" s="21" t="s">
        <v>65</v>
      </c>
      <c r="E30" s="20">
        <v>125</v>
      </c>
      <c r="F30" s="20">
        <v>3000654</v>
      </c>
      <c r="G30" s="20">
        <v>5005023</v>
      </c>
      <c r="H30" s="20">
        <v>3</v>
      </c>
      <c r="I30" s="20">
        <v>12</v>
      </c>
      <c r="J30" s="20">
        <v>24</v>
      </c>
      <c r="K30" s="20">
        <v>135560</v>
      </c>
      <c r="L30" s="21" t="s">
        <v>98</v>
      </c>
      <c r="M30" s="22" t="s">
        <v>99</v>
      </c>
      <c r="N30" s="19">
        <v>94</v>
      </c>
      <c r="O30" s="2"/>
      <c r="P30" s="2" t="s">
        <v>4</v>
      </c>
      <c r="Q30" s="20" t="s">
        <v>68</v>
      </c>
      <c r="R30" s="25" t="s">
        <v>69</v>
      </c>
      <c r="S30" s="25" t="s">
        <v>108</v>
      </c>
      <c r="T30" s="40"/>
      <c r="U30" s="31" t="s">
        <v>123</v>
      </c>
      <c r="V30" s="25" t="s">
        <v>110</v>
      </c>
      <c r="W30" s="25">
        <v>1</v>
      </c>
      <c r="X30" s="25">
        <v>4</v>
      </c>
      <c r="Y30" s="1142"/>
      <c r="Z30" s="1143"/>
      <c r="AA30" s="1143"/>
      <c r="AB30" s="1144"/>
      <c r="AC30" s="25"/>
      <c r="AD30" s="25">
        <v>30</v>
      </c>
      <c r="AE30" s="25"/>
      <c r="AF30" s="1142"/>
      <c r="AG30" s="1143"/>
      <c r="AH30" s="1143"/>
      <c r="AI30" s="1143"/>
      <c r="AJ30" s="1145"/>
      <c r="AK30" s="42">
        <v>120</v>
      </c>
      <c r="AL30" s="29" t="s">
        <v>73</v>
      </c>
      <c r="AM30" s="29" t="s">
        <v>73</v>
      </c>
      <c r="AN30" s="29" t="s">
        <v>73</v>
      </c>
      <c r="AO30" s="29" t="s">
        <v>73</v>
      </c>
      <c r="AP30" s="29" t="s">
        <v>73</v>
      </c>
      <c r="AQ30" s="29">
        <v>120</v>
      </c>
      <c r="AR30" s="29" t="s">
        <v>73</v>
      </c>
      <c r="AS30" s="29" t="s">
        <v>73</v>
      </c>
      <c r="AT30" s="29" t="s">
        <v>73</v>
      </c>
      <c r="AU30" s="29" t="s">
        <v>73</v>
      </c>
      <c r="AV30" s="29" t="s">
        <v>73</v>
      </c>
      <c r="AW30" s="29" t="s">
        <v>73</v>
      </c>
      <c r="AX30" s="823">
        <v>120</v>
      </c>
      <c r="AY30" s="18" t="s">
        <v>6</v>
      </c>
      <c r="AZ30" s="1108" t="s">
        <v>74</v>
      </c>
      <c r="BA30" s="1108"/>
      <c r="BB30" s="384" t="s">
        <v>75</v>
      </c>
      <c r="BH30" s="1132" t="s">
        <v>124</v>
      </c>
      <c r="BI30" s="322">
        <v>362</v>
      </c>
      <c r="BJ30" s="324"/>
      <c r="BK30" s="313" t="s">
        <v>556</v>
      </c>
      <c r="BL30" s="314">
        <v>46135</v>
      </c>
      <c r="BM30" s="313" t="s">
        <v>556</v>
      </c>
      <c r="BN30" s="314">
        <v>46135</v>
      </c>
      <c r="BO30" s="313" t="s">
        <v>557</v>
      </c>
      <c r="BP30" s="314">
        <v>46136</v>
      </c>
      <c r="BQ30" s="313" t="s">
        <v>471</v>
      </c>
      <c r="BR30" s="313" t="s">
        <v>558</v>
      </c>
      <c r="BS30" s="312" t="s">
        <v>559</v>
      </c>
      <c r="BT30" s="28">
        <v>108.68</v>
      </c>
      <c r="BU30" s="28">
        <f t="shared" si="0"/>
        <v>11.319999999999993</v>
      </c>
      <c r="BV30" s="1119" t="s">
        <v>474</v>
      </c>
      <c r="BW30" s="384" t="s">
        <v>571</v>
      </c>
      <c r="BX30" s="140">
        <v>46174</v>
      </c>
      <c r="BY30" s="28">
        <f t="shared" si="1"/>
        <v>120</v>
      </c>
      <c r="BZ30" s="28">
        <v>97</v>
      </c>
      <c r="CA30" s="28">
        <f t="shared" si="3"/>
        <v>23</v>
      </c>
      <c r="CB30" s="325" t="s">
        <v>572</v>
      </c>
      <c r="CC30" s="325"/>
      <c r="CD30" s="325"/>
      <c r="CK30" t="s">
        <v>489</v>
      </c>
      <c r="CL30" t="s">
        <v>458</v>
      </c>
      <c r="CM30" t="s">
        <v>576</v>
      </c>
      <c r="CN30" t="s">
        <v>460</v>
      </c>
      <c r="CO30" s="140">
        <v>46203</v>
      </c>
      <c r="CP30" s="94" t="s">
        <v>2839</v>
      </c>
    </row>
    <row r="31" spans="1:94 16359:16381" customFormat="1" ht="47.25" customHeight="1" x14ac:dyDescent="0.25">
      <c r="A31" s="19">
        <v>2026</v>
      </c>
      <c r="B31" s="20">
        <v>479</v>
      </c>
      <c r="C31" s="21" t="s">
        <v>64</v>
      </c>
      <c r="D31" s="21" t="s">
        <v>65</v>
      </c>
      <c r="E31" s="20">
        <v>125</v>
      </c>
      <c r="F31" s="20">
        <v>3000654</v>
      </c>
      <c r="G31" s="20">
        <v>5005023</v>
      </c>
      <c r="H31" s="20">
        <v>3</v>
      </c>
      <c r="I31" s="20">
        <v>12</v>
      </c>
      <c r="J31" s="20">
        <v>24</v>
      </c>
      <c r="K31" s="20">
        <v>135560</v>
      </c>
      <c r="L31" s="21" t="s">
        <v>98</v>
      </c>
      <c r="M31" s="22" t="s">
        <v>99</v>
      </c>
      <c r="N31" s="19">
        <v>94</v>
      </c>
      <c r="O31" s="2"/>
      <c r="P31" s="2" t="s">
        <v>4</v>
      </c>
      <c r="Q31" s="20" t="s">
        <v>68</v>
      </c>
      <c r="R31" s="25" t="s">
        <v>69</v>
      </c>
      <c r="S31" s="25" t="s">
        <v>108</v>
      </c>
      <c r="T31" s="40">
        <v>718500050058</v>
      </c>
      <c r="U31" s="31" t="s">
        <v>580</v>
      </c>
      <c r="V31" s="25" t="s">
        <v>110</v>
      </c>
      <c r="W31" s="25">
        <v>1</v>
      </c>
      <c r="X31" s="25">
        <v>2</v>
      </c>
      <c r="Y31" s="1142"/>
      <c r="Z31" s="1143"/>
      <c r="AA31" s="1143"/>
      <c r="AB31" s="1144"/>
      <c r="AC31" s="25"/>
      <c r="AD31" s="25">
        <v>50</v>
      </c>
      <c r="AE31" s="25"/>
      <c r="AF31" s="1142"/>
      <c r="AG31" s="1143"/>
      <c r="AH31" s="1143"/>
      <c r="AI31" s="1143"/>
      <c r="AJ31" s="1145"/>
      <c r="AK31" s="42">
        <v>100</v>
      </c>
      <c r="AL31" s="29" t="s">
        <v>73</v>
      </c>
      <c r="AM31" s="29" t="s">
        <v>73</v>
      </c>
      <c r="AN31" s="29" t="s">
        <v>73</v>
      </c>
      <c r="AO31" s="29" t="s">
        <v>73</v>
      </c>
      <c r="AP31" s="29" t="s">
        <v>73</v>
      </c>
      <c r="AQ31" s="29">
        <v>100</v>
      </c>
      <c r="AR31" s="29" t="s">
        <v>73</v>
      </c>
      <c r="AS31" s="29" t="s">
        <v>73</v>
      </c>
      <c r="AT31" s="29" t="s">
        <v>73</v>
      </c>
      <c r="AU31" s="29" t="s">
        <v>73</v>
      </c>
      <c r="AV31" s="29" t="s">
        <v>73</v>
      </c>
      <c r="AW31" s="29" t="s">
        <v>73</v>
      </c>
      <c r="AX31" s="823">
        <v>100</v>
      </c>
      <c r="AY31" s="18" t="s">
        <v>6</v>
      </c>
      <c r="AZ31" s="1108" t="s">
        <v>74</v>
      </c>
      <c r="BA31" s="1108"/>
      <c r="BB31" s="384" t="s">
        <v>75</v>
      </c>
      <c r="BH31" s="31" t="s">
        <v>126</v>
      </c>
      <c r="BI31" s="322">
        <v>362</v>
      </c>
      <c r="BJ31" s="324"/>
      <c r="BK31" s="313" t="s">
        <v>556</v>
      </c>
      <c r="BL31" s="314">
        <v>46135</v>
      </c>
      <c r="BM31" s="313" t="s">
        <v>556</v>
      </c>
      <c r="BN31" s="314">
        <v>46135</v>
      </c>
      <c r="BO31" s="313" t="s">
        <v>557</v>
      </c>
      <c r="BP31" s="314">
        <v>46136</v>
      </c>
      <c r="BQ31" s="313" t="s">
        <v>471</v>
      </c>
      <c r="BR31" s="313" t="s">
        <v>558</v>
      </c>
      <c r="BS31" s="312" t="s">
        <v>559</v>
      </c>
      <c r="BT31" s="28">
        <v>55.46</v>
      </c>
      <c r="BU31" s="28">
        <f t="shared" si="0"/>
        <v>44.54</v>
      </c>
      <c r="BV31" s="1119" t="s">
        <v>474</v>
      </c>
      <c r="BW31" s="384" t="s">
        <v>567</v>
      </c>
      <c r="BX31" s="140">
        <v>46174</v>
      </c>
      <c r="BY31" s="28">
        <f t="shared" si="1"/>
        <v>100</v>
      </c>
      <c r="BZ31" s="28">
        <v>56.05</v>
      </c>
      <c r="CA31" s="28">
        <f t="shared" si="3"/>
        <v>43.95</v>
      </c>
      <c r="CB31" s="325" t="s">
        <v>568</v>
      </c>
      <c r="CC31" s="325"/>
      <c r="CD31" s="325"/>
      <c r="CK31" t="s">
        <v>489</v>
      </c>
      <c r="CL31" t="s">
        <v>489</v>
      </c>
      <c r="CM31" t="s">
        <v>489</v>
      </c>
      <c r="CN31" t="s">
        <v>489</v>
      </c>
      <c r="CP31" t="s">
        <v>569</v>
      </c>
    </row>
    <row r="32" spans="1:94 16359:16381" customFormat="1" ht="47.25" hidden="1" customHeight="1" x14ac:dyDescent="0.25">
      <c r="A32" s="19">
        <v>2026</v>
      </c>
      <c r="B32" s="20">
        <v>479</v>
      </c>
      <c r="C32" s="21" t="s">
        <v>64</v>
      </c>
      <c r="D32" s="21" t="s">
        <v>65</v>
      </c>
      <c r="E32" s="20">
        <v>125</v>
      </c>
      <c r="F32" s="20">
        <v>3000654</v>
      </c>
      <c r="G32" s="20">
        <v>5005023</v>
      </c>
      <c r="H32" s="20">
        <v>3</v>
      </c>
      <c r="I32" s="20">
        <v>12</v>
      </c>
      <c r="J32" s="20">
        <v>24</v>
      </c>
      <c r="K32" s="20">
        <v>135560</v>
      </c>
      <c r="L32" s="21" t="s">
        <v>98</v>
      </c>
      <c r="M32" s="22" t="s">
        <v>99</v>
      </c>
      <c r="N32" s="19">
        <v>94</v>
      </c>
      <c r="O32" s="2"/>
      <c r="P32" s="2" t="s">
        <v>4</v>
      </c>
      <c r="Q32" s="20" t="s">
        <v>68</v>
      </c>
      <c r="R32" s="25" t="s">
        <v>69</v>
      </c>
      <c r="S32" s="25" t="s">
        <v>127</v>
      </c>
      <c r="T32" s="25">
        <v>501100041599</v>
      </c>
      <c r="U32" s="31" t="s">
        <v>128</v>
      </c>
      <c r="V32" s="25" t="s">
        <v>110</v>
      </c>
      <c r="W32" s="25">
        <v>1</v>
      </c>
      <c r="X32" s="25">
        <v>0.7</v>
      </c>
      <c r="Y32" s="1142"/>
      <c r="Z32" s="1143"/>
      <c r="AA32" s="1143"/>
      <c r="AB32" s="1144"/>
      <c r="AC32" s="25"/>
      <c r="AD32" s="25">
        <v>100</v>
      </c>
      <c r="AE32" s="25"/>
      <c r="AF32" s="1142"/>
      <c r="AG32" s="1143"/>
      <c r="AH32" s="1143"/>
      <c r="AI32" s="1143"/>
      <c r="AJ32" s="1145"/>
      <c r="AK32" s="42">
        <v>70</v>
      </c>
      <c r="AL32" s="29" t="s">
        <v>73</v>
      </c>
      <c r="AM32" s="29" t="s">
        <v>73</v>
      </c>
      <c r="AN32" s="29" t="s">
        <v>73</v>
      </c>
      <c r="AO32" s="29" t="s">
        <v>73</v>
      </c>
      <c r="AP32" s="29" t="s">
        <v>73</v>
      </c>
      <c r="AQ32" s="29">
        <v>70</v>
      </c>
      <c r="AR32" s="29" t="s">
        <v>73</v>
      </c>
      <c r="AS32" s="29" t="s">
        <v>73</v>
      </c>
      <c r="AT32" s="29" t="s">
        <v>73</v>
      </c>
      <c r="AU32" s="29" t="s">
        <v>73</v>
      </c>
      <c r="AV32" s="29" t="s">
        <v>73</v>
      </c>
      <c r="AW32" s="29" t="s">
        <v>73</v>
      </c>
      <c r="AX32" s="823">
        <v>70</v>
      </c>
      <c r="AY32" s="808" t="s">
        <v>6</v>
      </c>
      <c r="AZ32" s="1108" t="s">
        <v>74</v>
      </c>
      <c r="BA32" s="1108"/>
      <c r="BB32" s="19" t="s">
        <v>75</v>
      </c>
      <c r="BH32" s="29" t="s">
        <v>129</v>
      </c>
      <c r="BI32" s="322"/>
      <c r="BJ32" s="324"/>
      <c r="BK32" s="313"/>
      <c r="BL32" s="314"/>
      <c r="BM32" s="313"/>
      <c r="BN32" s="314"/>
      <c r="BO32" s="313"/>
      <c r="BP32" s="314"/>
      <c r="BQ32" s="313" t="s">
        <v>510</v>
      </c>
      <c r="BR32" s="313"/>
      <c r="BS32" s="312"/>
      <c r="BT32" s="28"/>
      <c r="BU32" s="28">
        <f t="shared" si="0"/>
        <v>70</v>
      </c>
      <c r="BV32" s="1119" t="s">
        <v>510</v>
      </c>
      <c r="BY32" s="28">
        <f t="shared" si="1"/>
        <v>70</v>
      </c>
      <c r="BZ32" s="28"/>
      <c r="CA32" s="28">
        <f t="shared" si="3"/>
        <v>70</v>
      </c>
      <c r="CB32" s="325"/>
      <c r="CC32" s="325"/>
      <c r="CD32" s="325"/>
    </row>
    <row r="33" spans="1:115" ht="47.25" hidden="1" customHeight="1" x14ac:dyDescent="0.25">
      <c r="A33" s="19">
        <v>2026</v>
      </c>
      <c r="B33" s="20">
        <v>479</v>
      </c>
      <c r="C33" s="21" t="s">
        <v>64</v>
      </c>
      <c r="D33" s="21" t="s">
        <v>65</v>
      </c>
      <c r="E33" s="20">
        <v>125</v>
      </c>
      <c r="F33" s="20">
        <v>3000654</v>
      </c>
      <c r="G33" s="20">
        <v>5005023</v>
      </c>
      <c r="H33" s="20">
        <v>3</v>
      </c>
      <c r="I33" s="20">
        <v>12</v>
      </c>
      <c r="J33" s="20">
        <v>24</v>
      </c>
      <c r="K33" s="20">
        <v>135560</v>
      </c>
      <c r="L33" s="21" t="s">
        <v>98</v>
      </c>
      <c r="M33" s="22" t="s">
        <v>99</v>
      </c>
      <c r="N33" s="19">
        <v>94</v>
      </c>
      <c r="O33" s="2"/>
      <c r="P33" s="2" t="s">
        <v>4</v>
      </c>
      <c r="Q33" s="20" t="s">
        <v>68</v>
      </c>
      <c r="R33" s="25" t="s">
        <v>69</v>
      </c>
      <c r="S33" s="25" t="s">
        <v>108</v>
      </c>
      <c r="T33" s="40">
        <v>443600250055</v>
      </c>
      <c r="U33" s="31" t="s">
        <v>130</v>
      </c>
      <c r="V33" s="25" t="s">
        <v>110</v>
      </c>
      <c r="W33" s="25">
        <v>1</v>
      </c>
      <c r="X33" s="25">
        <v>75</v>
      </c>
      <c r="Y33" s="1142"/>
      <c r="Z33" s="1143"/>
      <c r="AA33" s="1143"/>
      <c r="AB33" s="1144"/>
      <c r="AC33" s="25"/>
      <c r="AD33" s="41" t="s">
        <v>131</v>
      </c>
      <c r="AE33" s="25"/>
      <c r="AF33" s="1142"/>
      <c r="AG33" s="1143"/>
      <c r="AH33" s="1143"/>
      <c r="AI33" s="1143"/>
      <c r="AJ33" s="1145"/>
      <c r="AK33" s="42">
        <v>150</v>
      </c>
      <c r="AL33" s="29" t="s">
        <v>73</v>
      </c>
      <c r="AM33" s="29" t="s">
        <v>73</v>
      </c>
      <c r="AN33" s="29" t="s">
        <v>73</v>
      </c>
      <c r="AO33" s="29" t="s">
        <v>73</v>
      </c>
      <c r="AP33" s="29" t="s">
        <v>73</v>
      </c>
      <c r="AQ33" s="29">
        <v>150</v>
      </c>
      <c r="AR33" s="29" t="s">
        <v>73</v>
      </c>
      <c r="AS33" s="29" t="s">
        <v>73</v>
      </c>
      <c r="AT33" s="29" t="s">
        <v>73</v>
      </c>
      <c r="AU33" s="29" t="s">
        <v>73</v>
      </c>
      <c r="AV33" s="29" t="s">
        <v>73</v>
      </c>
      <c r="AW33" s="29" t="s">
        <v>73</v>
      </c>
      <c r="AX33" s="823">
        <v>150</v>
      </c>
      <c r="AY33" s="808" t="s">
        <v>6</v>
      </c>
      <c r="AZ33" s="1108" t="s">
        <v>74</v>
      </c>
      <c r="BA33" s="1108"/>
      <c r="BB33" s="384" t="s">
        <v>75</v>
      </c>
      <c r="BH33" s="1132" t="s">
        <v>132</v>
      </c>
      <c r="BJ33" s="324"/>
      <c r="BL33" s="314"/>
      <c r="BN33" s="314"/>
      <c r="BP33" s="314"/>
      <c r="BQ33" s="313" t="s">
        <v>510</v>
      </c>
      <c r="BR33" s="313"/>
      <c r="BT33" s="28"/>
      <c r="BU33" s="28">
        <f t="shared" si="0"/>
        <v>150</v>
      </c>
      <c r="BV33" s="1119" t="s">
        <v>510</v>
      </c>
      <c r="BW33" s="384"/>
      <c r="BX33"/>
      <c r="BY33" s="28">
        <f t="shared" si="1"/>
        <v>150</v>
      </c>
      <c r="BZ33" s="28"/>
      <c r="CA33" s="28">
        <f t="shared" si="3"/>
        <v>150</v>
      </c>
      <c r="CB33" s="325"/>
      <c r="CC33" s="325"/>
      <c r="CD33" s="325"/>
      <c r="CE33"/>
      <c r="CF33"/>
      <c r="CG33"/>
      <c r="CH33"/>
      <c r="CI33"/>
      <c r="CJ33"/>
      <c r="CK33"/>
      <c r="CL33"/>
      <c r="CM33"/>
      <c r="CN33"/>
      <c r="CO33"/>
      <c r="CP33"/>
      <c r="CQ33"/>
      <c r="CR33"/>
      <c r="CS33"/>
      <c r="CT33"/>
      <c r="CU33"/>
      <c r="CV33"/>
      <c r="CW33"/>
      <c r="CX33"/>
      <c r="CY33"/>
      <c r="CZ33"/>
      <c r="DA33"/>
      <c r="DB33"/>
      <c r="DC33"/>
      <c r="DD33"/>
      <c r="DE33"/>
      <c r="DF33"/>
      <c r="DG33"/>
      <c r="DH33"/>
      <c r="DI33"/>
      <c r="DJ33"/>
      <c r="DK33"/>
    </row>
    <row r="34" spans="1:115" ht="47.25" hidden="1" customHeight="1" x14ac:dyDescent="0.25">
      <c r="A34" s="19">
        <v>2026</v>
      </c>
      <c r="B34" s="20">
        <v>479</v>
      </c>
      <c r="C34" s="21" t="s">
        <v>64</v>
      </c>
      <c r="D34" s="21" t="s">
        <v>65</v>
      </c>
      <c r="E34" s="20">
        <v>125</v>
      </c>
      <c r="F34" s="20">
        <v>3000654</v>
      </c>
      <c r="G34" s="20">
        <v>5005023</v>
      </c>
      <c r="H34" s="20">
        <v>3</v>
      </c>
      <c r="I34" s="20">
        <v>12</v>
      </c>
      <c r="J34" s="20">
        <v>24</v>
      </c>
      <c r="K34" s="20">
        <v>135560</v>
      </c>
      <c r="L34" s="21" t="s">
        <v>98</v>
      </c>
      <c r="M34" s="22" t="s">
        <v>99</v>
      </c>
      <c r="N34" s="19">
        <v>94</v>
      </c>
      <c r="O34" s="2"/>
      <c r="P34" s="2" t="s">
        <v>4</v>
      </c>
      <c r="Q34" s="20" t="s">
        <v>68</v>
      </c>
      <c r="R34" s="25" t="s">
        <v>69</v>
      </c>
      <c r="S34" s="25" t="s">
        <v>108</v>
      </c>
      <c r="T34" s="40">
        <v>443600250053</v>
      </c>
      <c r="U34" s="31" t="s">
        <v>133</v>
      </c>
      <c r="V34" s="25" t="s">
        <v>110</v>
      </c>
      <c r="W34" s="25">
        <v>1</v>
      </c>
      <c r="X34" s="25">
        <v>130</v>
      </c>
      <c r="Y34" s="1142"/>
      <c r="Z34" s="1143"/>
      <c r="AA34" s="1143"/>
      <c r="AB34" s="1144"/>
      <c r="AC34" s="25"/>
      <c r="AD34" s="41" t="s">
        <v>134</v>
      </c>
      <c r="AE34" s="25"/>
      <c r="AF34" s="1142"/>
      <c r="AG34" s="1143"/>
      <c r="AH34" s="1143"/>
      <c r="AI34" s="1143"/>
      <c r="AJ34" s="1145"/>
      <c r="AK34" s="42">
        <v>130</v>
      </c>
      <c r="AL34" s="29" t="s">
        <v>73</v>
      </c>
      <c r="AM34" s="29" t="s">
        <v>73</v>
      </c>
      <c r="AN34" s="29" t="s">
        <v>73</v>
      </c>
      <c r="AO34" s="29" t="s">
        <v>73</v>
      </c>
      <c r="AP34" s="29" t="s">
        <v>73</v>
      </c>
      <c r="AQ34" s="29">
        <v>130</v>
      </c>
      <c r="AR34" s="29" t="s">
        <v>73</v>
      </c>
      <c r="AS34" s="29" t="s">
        <v>73</v>
      </c>
      <c r="AT34" s="29" t="s">
        <v>73</v>
      </c>
      <c r="AU34" s="29" t="s">
        <v>73</v>
      </c>
      <c r="AV34" s="29" t="s">
        <v>73</v>
      </c>
      <c r="AW34" s="29" t="s">
        <v>73</v>
      </c>
      <c r="AX34" s="823">
        <v>130</v>
      </c>
      <c r="AY34" s="808" t="s">
        <v>6</v>
      </c>
      <c r="AZ34" s="1108" t="s">
        <v>74</v>
      </c>
      <c r="BA34" s="1108"/>
      <c r="BB34" s="384" t="s">
        <v>75</v>
      </c>
      <c r="BH34" s="1132" t="s">
        <v>135</v>
      </c>
      <c r="BJ34" s="324"/>
      <c r="BL34" s="314"/>
      <c r="BN34" s="314"/>
      <c r="BP34" s="314"/>
      <c r="BQ34" s="313" t="s">
        <v>510</v>
      </c>
      <c r="BR34" s="313"/>
      <c r="BT34" s="28"/>
      <c r="BU34" s="28">
        <f t="shared" si="0"/>
        <v>130</v>
      </c>
      <c r="BV34" s="1119" t="s">
        <v>510</v>
      </c>
      <c r="BW34" s="384"/>
      <c r="BX34"/>
      <c r="BY34" s="28">
        <f t="shared" si="1"/>
        <v>130</v>
      </c>
      <c r="BZ34" s="28"/>
      <c r="CA34" s="28">
        <f t="shared" si="3"/>
        <v>130</v>
      </c>
      <c r="CB34" s="325"/>
      <c r="CC34" s="325"/>
      <c r="CD34" s="325"/>
      <c r="CE34"/>
      <c r="CF34"/>
      <c r="CG34"/>
      <c r="CH34"/>
      <c r="CI34"/>
      <c r="CJ34"/>
      <c r="CK34"/>
      <c r="CL34"/>
      <c r="CM34"/>
      <c r="CN34"/>
      <c r="CO34"/>
      <c r="CP34"/>
      <c r="CQ34"/>
      <c r="CR34"/>
      <c r="CS34"/>
      <c r="CT34"/>
      <c r="CU34"/>
      <c r="CV34"/>
      <c r="CW34"/>
      <c r="CX34"/>
      <c r="CY34"/>
      <c r="CZ34"/>
      <c r="DA34"/>
      <c r="DB34"/>
      <c r="DC34"/>
      <c r="DD34"/>
      <c r="DE34"/>
      <c r="DF34"/>
      <c r="DG34"/>
      <c r="DH34"/>
      <c r="DI34"/>
      <c r="DJ34"/>
      <c r="DK34"/>
    </row>
    <row r="35" spans="1:115" ht="47.25" hidden="1" customHeight="1" x14ac:dyDescent="0.25">
      <c r="A35" s="19">
        <v>2026</v>
      </c>
      <c r="B35" s="20">
        <v>479</v>
      </c>
      <c r="C35" s="21" t="s">
        <v>64</v>
      </c>
      <c r="D35" s="21" t="s">
        <v>65</v>
      </c>
      <c r="E35" s="20">
        <v>125</v>
      </c>
      <c r="F35" s="20">
        <v>3000654</v>
      </c>
      <c r="G35" s="20">
        <v>5005023</v>
      </c>
      <c r="H35" s="20">
        <v>3</v>
      </c>
      <c r="I35" s="20">
        <v>12</v>
      </c>
      <c r="J35" s="20">
        <v>24</v>
      </c>
      <c r="K35" s="20">
        <v>135560</v>
      </c>
      <c r="L35" s="21" t="s">
        <v>98</v>
      </c>
      <c r="M35" s="22" t="s">
        <v>99</v>
      </c>
      <c r="N35" s="19">
        <v>94</v>
      </c>
      <c r="O35" s="2"/>
      <c r="P35" s="2" t="s">
        <v>4</v>
      </c>
      <c r="Q35" s="20" t="s">
        <v>68</v>
      </c>
      <c r="R35" s="25" t="s">
        <v>69</v>
      </c>
      <c r="S35" s="41" t="s">
        <v>85</v>
      </c>
      <c r="T35" s="41">
        <v>942500010037</v>
      </c>
      <c r="U35" s="31" t="s">
        <v>136</v>
      </c>
      <c r="V35" s="25" t="s">
        <v>72</v>
      </c>
      <c r="W35" s="25">
        <v>1</v>
      </c>
      <c r="X35" s="27">
        <v>20000</v>
      </c>
      <c r="Y35" s="1142"/>
      <c r="Z35" s="1143"/>
      <c r="AA35" s="1143"/>
      <c r="AB35" s="1144"/>
      <c r="AC35" s="25"/>
      <c r="AD35" s="25">
        <v>1</v>
      </c>
      <c r="AE35" s="25"/>
      <c r="AF35" s="1142"/>
      <c r="AG35" s="1143"/>
      <c r="AH35" s="1143"/>
      <c r="AI35" s="1143"/>
      <c r="AJ35" s="1145"/>
      <c r="AK35" s="35">
        <v>20000</v>
      </c>
      <c r="AL35" s="29" t="s">
        <v>73</v>
      </c>
      <c r="AM35" s="29" t="s">
        <v>73</v>
      </c>
      <c r="AN35" s="29" t="s">
        <v>73</v>
      </c>
      <c r="AO35" s="29" t="s">
        <v>73</v>
      </c>
      <c r="AP35" s="29" t="s">
        <v>73</v>
      </c>
      <c r="AQ35" s="30">
        <v>20000</v>
      </c>
      <c r="AR35" s="29" t="s">
        <v>73</v>
      </c>
      <c r="AS35" s="29" t="s">
        <v>73</v>
      </c>
      <c r="AT35" s="29" t="s">
        <v>73</v>
      </c>
      <c r="AU35" s="29" t="s">
        <v>73</v>
      </c>
      <c r="AV35" s="29" t="s">
        <v>73</v>
      </c>
      <c r="AW35" s="29" t="s">
        <v>73</v>
      </c>
      <c r="AX35" s="823">
        <v>20000</v>
      </c>
      <c r="AY35" s="808" t="s">
        <v>6</v>
      </c>
      <c r="AZ35" s="1108" t="s">
        <v>74</v>
      </c>
      <c r="BA35" s="1108"/>
      <c r="BB35" s="384" t="s">
        <v>75</v>
      </c>
      <c r="BH35" s="31" t="s">
        <v>136</v>
      </c>
      <c r="BJ35" s="324"/>
      <c r="BL35" s="314"/>
      <c r="BN35" s="314"/>
      <c r="BP35" s="314"/>
      <c r="BQ35" s="1119" t="s">
        <v>510</v>
      </c>
      <c r="BR35" s="313" t="s">
        <v>581</v>
      </c>
      <c r="BT35" s="28"/>
      <c r="BU35" s="28">
        <f t="shared" si="0"/>
        <v>20000</v>
      </c>
      <c r="BV35" s="1119" t="s">
        <v>510</v>
      </c>
      <c r="BW35" s="1130"/>
      <c r="BX35" s="2"/>
      <c r="BY35" s="28">
        <f t="shared" si="1"/>
        <v>20000</v>
      </c>
      <c r="BZ35" s="28"/>
      <c r="CA35" s="28">
        <f t="shared" si="3"/>
        <v>20000</v>
      </c>
      <c r="CB35" s="325"/>
      <c r="CC35" s="325"/>
      <c r="CD35" s="325"/>
      <c r="CE35"/>
      <c r="CF35"/>
      <c r="CG35"/>
      <c r="CH35"/>
      <c r="CI35"/>
      <c r="CJ35"/>
      <c r="CK35"/>
      <c r="CL35"/>
      <c r="CM35"/>
      <c r="CN35"/>
      <c r="CO35"/>
      <c r="CP35"/>
      <c r="CQ35"/>
      <c r="CR35"/>
      <c r="CS35"/>
      <c r="CT35"/>
      <c r="CU35"/>
      <c r="CV35"/>
      <c r="CW35"/>
      <c r="CX35"/>
      <c r="CY35"/>
      <c r="CZ35"/>
      <c r="DA35"/>
      <c r="DB35"/>
      <c r="DC35"/>
      <c r="DD35"/>
      <c r="DE35"/>
      <c r="DF35"/>
      <c r="DG35"/>
      <c r="DH35"/>
      <c r="DI35"/>
      <c r="DJ35"/>
      <c r="DK35"/>
    </row>
    <row r="36" spans="1:115" ht="47.25" hidden="1" customHeight="1" x14ac:dyDescent="0.25">
      <c r="A36" s="51">
        <v>2026</v>
      </c>
      <c r="B36" s="52">
        <v>479</v>
      </c>
      <c r="C36" s="21" t="s">
        <v>64</v>
      </c>
      <c r="D36" s="21" t="s">
        <v>65</v>
      </c>
      <c r="E36" s="20">
        <v>125</v>
      </c>
      <c r="F36" s="20">
        <v>3000654</v>
      </c>
      <c r="G36" s="20">
        <v>5005023</v>
      </c>
      <c r="H36" s="20">
        <v>3</v>
      </c>
      <c r="I36" s="20">
        <v>12</v>
      </c>
      <c r="J36" s="20">
        <v>24</v>
      </c>
      <c r="K36" s="20">
        <v>135560</v>
      </c>
      <c r="L36" s="53" t="s">
        <v>98</v>
      </c>
      <c r="M36" s="54" t="s">
        <v>99</v>
      </c>
      <c r="N36" s="51">
        <v>94</v>
      </c>
      <c r="O36" s="2"/>
      <c r="P36" s="2" t="s">
        <v>4</v>
      </c>
      <c r="Q36" s="51" t="s">
        <v>68</v>
      </c>
      <c r="R36" s="180" t="s">
        <v>69</v>
      </c>
      <c r="S36" s="55" t="s">
        <v>137</v>
      </c>
      <c r="T36" s="56"/>
      <c r="U36" s="57" t="s">
        <v>402</v>
      </c>
      <c r="V36" s="58" t="s">
        <v>72</v>
      </c>
      <c r="W36" s="58">
        <v>1</v>
      </c>
      <c r="X36" s="181">
        <v>38800</v>
      </c>
      <c r="Y36" s="1142"/>
      <c r="Z36" s="1143"/>
      <c r="AA36" s="1143"/>
      <c r="AB36" s="1144"/>
      <c r="AC36" s="25">
        <v>1</v>
      </c>
      <c r="AD36" s="25">
        <v>1</v>
      </c>
      <c r="AE36" s="1142"/>
      <c r="AF36" s="1143"/>
      <c r="AG36" s="1143"/>
      <c r="AH36" s="1143"/>
      <c r="AI36" s="1143"/>
      <c r="AJ36" s="1143"/>
      <c r="AK36" s="59">
        <v>77600</v>
      </c>
      <c r="AL36" s="29" t="s">
        <v>73</v>
      </c>
      <c r="AM36" s="29" t="s">
        <v>73</v>
      </c>
      <c r="AN36" s="29" t="s">
        <v>73</v>
      </c>
      <c r="AO36" s="29" t="s">
        <v>73</v>
      </c>
      <c r="AP36" s="30">
        <v>38800</v>
      </c>
      <c r="AQ36" s="30">
        <v>38800</v>
      </c>
      <c r="AR36" s="29" t="s">
        <v>73</v>
      </c>
      <c r="AS36" s="29" t="s">
        <v>73</v>
      </c>
      <c r="AT36" s="29" t="s">
        <v>73</v>
      </c>
      <c r="AU36" s="29" t="s">
        <v>73</v>
      </c>
      <c r="AV36" s="29" t="s">
        <v>73</v>
      </c>
      <c r="AW36" s="29" t="s">
        <v>73</v>
      </c>
      <c r="AX36" s="823">
        <v>77600</v>
      </c>
      <c r="AY36" s="808" t="s">
        <v>4</v>
      </c>
      <c r="AZ36" s="1108" t="s">
        <v>74</v>
      </c>
      <c r="BA36" s="1108"/>
      <c r="BB36" s="384" t="s">
        <v>403</v>
      </c>
      <c r="BH36" s="57" t="s">
        <v>402</v>
      </c>
      <c r="BI36" s="322">
        <v>1846</v>
      </c>
      <c r="BJ36" s="324" t="s">
        <v>540</v>
      </c>
      <c r="BK36" s="313" t="s">
        <v>541</v>
      </c>
      <c r="BL36" s="314">
        <v>46141</v>
      </c>
      <c r="BM36" s="313" t="s">
        <v>541</v>
      </c>
      <c r="BN36" s="314">
        <v>46141</v>
      </c>
      <c r="BO36" s="313" t="s">
        <v>542</v>
      </c>
      <c r="BP36" s="314">
        <v>46142</v>
      </c>
      <c r="BQ36" s="313" t="s">
        <v>510</v>
      </c>
      <c r="BR36" s="313" t="s">
        <v>582</v>
      </c>
      <c r="BS36" s="312" t="s">
        <v>544</v>
      </c>
      <c r="BT36" s="28">
        <v>46368</v>
      </c>
      <c r="BU36" s="28">
        <f t="shared" si="0"/>
        <v>31232</v>
      </c>
      <c r="BV36" s="1119" t="s">
        <v>510</v>
      </c>
      <c r="BW36"/>
      <c r="BX36"/>
      <c r="BY36" s="28">
        <f t="shared" si="1"/>
        <v>77600</v>
      </c>
      <c r="BZ36" s="28"/>
      <c r="CA36" s="28">
        <f t="shared" si="3"/>
        <v>77600</v>
      </c>
      <c r="CB36" s="325"/>
      <c r="CC36" s="325" t="s">
        <v>498</v>
      </c>
      <c r="CD36" s="325"/>
      <c r="CE36"/>
      <c r="CF36"/>
      <c r="CG36"/>
      <c r="CH36"/>
      <c r="CI36"/>
      <c r="CJ36"/>
      <c r="CK36"/>
      <c r="CL36"/>
      <c r="CM36"/>
      <c r="CN36"/>
      <c r="CO36"/>
      <c r="CP36"/>
      <c r="CQ36"/>
      <c r="CR36"/>
      <c r="CS36"/>
      <c r="CT36"/>
      <c r="CU36"/>
      <c r="CV36"/>
      <c r="CW36"/>
      <c r="CX36"/>
      <c r="CY36"/>
      <c r="CZ36"/>
      <c r="DA36"/>
      <c r="DB36"/>
      <c r="DC36"/>
      <c r="DD36"/>
      <c r="DE36"/>
      <c r="DF36"/>
      <c r="DG36"/>
      <c r="DH36"/>
      <c r="DI36"/>
      <c r="DJ36"/>
      <c r="DK36"/>
    </row>
    <row r="37" spans="1:115" ht="47.25" customHeight="1" x14ac:dyDescent="0.25">
      <c r="A37" s="51">
        <v>2026</v>
      </c>
      <c r="B37" s="52">
        <v>479</v>
      </c>
      <c r="C37" s="21" t="s">
        <v>64</v>
      </c>
      <c r="D37" s="21" t="s">
        <v>65</v>
      </c>
      <c r="E37" s="20">
        <v>125</v>
      </c>
      <c r="F37" s="20">
        <v>3000654</v>
      </c>
      <c r="G37" s="20">
        <v>5005023</v>
      </c>
      <c r="H37" s="20">
        <v>3</v>
      </c>
      <c r="I37" s="20">
        <v>12</v>
      </c>
      <c r="J37" s="20">
        <v>24</v>
      </c>
      <c r="K37" s="20">
        <v>135560</v>
      </c>
      <c r="L37" s="53" t="s">
        <v>98</v>
      </c>
      <c r="M37" s="124" t="s">
        <v>83</v>
      </c>
      <c r="N37" s="19">
        <v>96</v>
      </c>
      <c r="O37" s="2"/>
      <c r="P37" s="2" t="s">
        <v>4</v>
      </c>
      <c r="Q37" s="51" t="s">
        <v>68</v>
      </c>
      <c r="R37" s="180" t="s">
        <v>69</v>
      </c>
      <c r="S37" s="1133" t="s">
        <v>583</v>
      </c>
      <c r="T37" s="1133"/>
      <c r="U37" s="1134" t="s">
        <v>584</v>
      </c>
      <c r="V37" s="25" t="s">
        <v>110</v>
      </c>
      <c r="W37" s="121"/>
      <c r="X37" s="1135">
        <v>630</v>
      </c>
      <c r="Y37" s="2"/>
      <c r="Z37" s="2"/>
      <c r="AA37" s="2"/>
      <c r="AB37" s="2"/>
      <c r="AC37" s="121">
        <v>100</v>
      </c>
      <c r="AD37" s="121"/>
      <c r="AE37" s="2"/>
      <c r="AF37" s="2"/>
      <c r="AG37" s="2"/>
      <c r="AH37" s="2"/>
      <c r="AI37" s="2"/>
      <c r="AJ37" s="2"/>
      <c r="AK37" s="59" t="s">
        <v>585</v>
      </c>
      <c r="AL37" s="29" t="s">
        <v>73</v>
      </c>
      <c r="AM37" s="29" t="s">
        <v>73</v>
      </c>
      <c r="AN37" s="29" t="s">
        <v>73</v>
      </c>
      <c r="AO37" s="29" t="s">
        <v>73</v>
      </c>
      <c r="AP37" s="30"/>
      <c r="AQ37" s="30">
        <v>63000</v>
      </c>
      <c r="AR37" s="29" t="s">
        <v>73</v>
      </c>
      <c r="AS37" s="29" t="s">
        <v>73</v>
      </c>
      <c r="AT37" s="29" t="s">
        <v>73</v>
      </c>
      <c r="AU37" s="29" t="s">
        <v>73</v>
      </c>
      <c r="AV37" s="29" t="s">
        <v>73</v>
      </c>
      <c r="AW37" s="29" t="s">
        <v>73</v>
      </c>
      <c r="AX37" s="823">
        <f>63000-16500</f>
        <v>46500</v>
      </c>
      <c r="AY37" s="18" t="s">
        <v>4</v>
      </c>
      <c r="AZ37" s="1108" t="s">
        <v>74</v>
      </c>
      <c r="BA37" s="1108"/>
      <c r="BC37" t="s">
        <v>586</v>
      </c>
      <c r="BD37" t="s">
        <v>586</v>
      </c>
      <c r="BE37" t="s">
        <v>587</v>
      </c>
      <c r="BG37" t="s">
        <v>588</v>
      </c>
      <c r="BH37"/>
      <c r="BI37" s="322">
        <v>412</v>
      </c>
      <c r="BJ37" s="324" t="s">
        <v>589</v>
      </c>
      <c r="BK37" s="313" t="s">
        <v>590</v>
      </c>
      <c r="BL37" s="314">
        <v>46139</v>
      </c>
      <c r="BM37" s="313" t="s">
        <v>591</v>
      </c>
      <c r="BN37" s="314">
        <v>46141</v>
      </c>
      <c r="BO37" s="313" t="s">
        <v>592</v>
      </c>
      <c r="BP37" s="314">
        <v>46147</v>
      </c>
      <c r="BQ37" s="313" t="s">
        <v>471</v>
      </c>
      <c r="BR37" s="313" t="s">
        <v>593</v>
      </c>
      <c r="BS37" s="312" t="s">
        <v>594</v>
      </c>
      <c r="BT37" s="28">
        <v>26500</v>
      </c>
      <c r="BU37" s="28">
        <f t="shared" si="0"/>
        <v>20000</v>
      </c>
      <c r="BV37" s="1113" t="s">
        <v>474</v>
      </c>
      <c r="BW37" s="1120" t="s">
        <v>595</v>
      </c>
      <c r="BX37" s="1121">
        <v>46156</v>
      </c>
      <c r="BY37" s="28">
        <f>AX37</f>
        <v>46500</v>
      </c>
      <c r="BZ37" s="28">
        <v>26500</v>
      </c>
      <c r="CA37" s="28">
        <f t="shared" si="3"/>
        <v>20000</v>
      </c>
      <c r="CB37" s="325"/>
      <c r="CC37" s="325"/>
      <c r="CD37" s="325"/>
      <c r="CE37" s="94" t="s">
        <v>596</v>
      </c>
      <c r="CF37" s="140">
        <v>46185</v>
      </c>
      <c r="CG37" s="94" t="s">
        <v>597</v>
      </c>
      <c r="CH37" s="140">
        <v>46185</v>
      </c>
      <c r="CI37"/>
      <c r="CJ37"/>
      <c r="CK37" t="s">
        <v>598</v>
      </c>
      <c r="CL37" t="s">
        <v>458</v>
      </c>
      <c r="CM37" t="s">
        <v>696</v>
      </c>
      <c r="CN37" t="s">
        <v>460</v>
      </c>
      <c r="CO37" s="140">
        <v>46217</v>
      </c>
      <c r="CP37" t="s">
        <v>2838</v>
      </c>
      <c r="CQ37"/>
      <c r="CR37"/>
      <c r="CS37"/>
      <c r="CT37"/>
      <c r="CU37"/>
      <c r="CV37"/>
      <c r="CW37"/>
      <c r="CX37"/>
      <c r="CY37"/>
      <c r="CZ37"/>
      <c r="DA37"/>
      <c r="DB37"/>
      <c r="DC37"/>
      <c r="DD37"/>
      <c r="DE37"/>
      <c r="DF37"/>
      <c r="DG37"/>
      <c r="DH37"/>
      <c r="DI37"/>
      <c r="DJ37"/>
      <c r="DK37"/>
    </row>
    <row r="38" spans="1:115" ht="47.25" customHeight="1" x14ac:dyDescent="0.25">
      <c r="A38" s="202">
        <v>2026</v>
      </c>
      <c r="B38" s="204">
        <v>479</v>
      </c>
      <c r="C38" s="201" t="s">
        <v>64</v>
      </c>
      <c r="D38" s="201" t="s">
        <v>65</v>
      </c>
      <c r="E38" s="204">
        <v>125</v>
      </c>
      <c r="F38" s="204">
        <v>3000654</v>
      </c>
      <c r="G38" s="204">
        <v>5005023</v>
      </c>
      <c r="H38" s="204">
        <v>3</v>
      </c>
      <c r="I38" s="204">
        <v>12</v>
      </c>
      <c r="J38" s="204">
        <v>24</v>
      </c>
      <c r="K38" s="204">
        <v>135560</v>
      </c>
      <c r="L38" s="201" t="s">
        <v>66</v>
      </c>
      <c r="M38" s="294" t="s">
        <v>67</v>
      </c>
      <c r="N38" s="202">
        <v>95</v>
      </c>
      <c r="O38" s="200"/>
      <c r="P38" s="200" t="s">
        <v>4</v>
      </c>
      <c r="Q38" s="204" t="s">
        <v>68</v>
      </c>
      <c r="R38" s="203" t="s">
        <v>69</v>
      </c>
      <c r="S38" s="203" t="s">
        <v>89</v>
      </c>
      <c r="T38" s="203"/>
      <c r="U38" s="1134" t="s">
        <v>599</v>
      </c>
      <c r="V38" s="203" t="s">
        <v>72</v>
      </c>
      <c r="W38" s="121"/>
      <c r="X38" s="1135">
        <v>40000</v>
      </c>
      <c r="Y38" s="2"/>
      <c r="Z38" s="2"/>
      <c r="AA38" s="2"/>
      <c r="AB38" s="2"/>
      <c r="AC38" s="121"/>
      <c r="AD38" s="121"/>
      <c r="AE38" s="2"/>
      <c r="AF38" s="2"/>
      <c r="AG38" s="2"/>
      <c r="AH38" s="2"/>
      <c r="AI38" s="2"/>
      <c r="AJ38" s="2"/>
      <c r="AK38" s="59" t="s">
        <v>585</v>
      </c>
      <c r="AL38" s="29"/>
      <c r="AM38" s="29"/>
      <c r="AN38" s="29"/>
      <c r="AO38" s="29"/>
      <c r="AP38" s="30"/>
      <c r="AQ38" s="30"/>
      <c r="AR38" s="29"/>
      <c r="AS38" s="29"/>
      <c r="AT38" s="29"/>
      <c r="AU38" s="29"/>
      <c r="AV38" s="29"/>
      <c r="AW38" s="29"/>
      <c r="AX38" s="823">
        <v>40000</v>
      </c>
      <c r="AY38" s="247" t="s">
        <v>7</v>
      </c>
      <c r="AZ38" s="1108"/>
      <c r="BA38" s="1108"/>
      <c r="BC38" t="s">
        <v>600</v>
      </c>
      <c r="BD38" t="s">
        <v>600</v>
      </c>
      <c r="BE38" t="s">
        <v>601</v>
      </c>
      <c r="BG38" s="94" t="s">
        <v>602</v>
      </c>
      <c r="BI38" s="322">
        <v>2044</v>
      </c>
      <c r="BJ38" s="324"/>
      <c r="BK38" s="313" t="s">
        <v>603</v>
      </c>
      <c r="BL38" s="314">
        <v>46150</v>
      </c>
      <c r="BM38" s="313" t="s">
        <v>604</v>
      </c>
      <c r="BN38" s="314">
        <v>46154</v>
      </c>
      <c r="BO38" s="313" t="s">
        <v>605</v>
      </c>
      <c r="BP38" s="314">
        <v>46154</v>
      </c>
      <c r="BQ38" s="313" t="s">
        <v>471</v>
      </c>
      <c r="BR38" s="313" t="s">
        <v>606</v>
      </c>
      <c r="BS38" s="312" t="s">
        <v>607</v>
      </c>
      <c r="BT38" s="28">
        <v>14160</v>
      </c>
      <c r="BU38" s="28">
        <f t="shared" si="0"/>
        <v>25840</v>
      </c>
      <c r="BV38" s="1110" t="s">
        <v>474</v>
      </c>
      <c r="BW38" s="1111" t="s">
        <v>608</v>
      </c>
      <c r="BX38" s="314">
        <v>46164</v>
      </c>
      <c r="BY38" s="28">
        <f>AX38</f>
        <v>40000</v>
      </c>
      <c r="BZ38" s="28">
        <v>14160</v>
      </c>
      <c r="CA38" s="28">
        <f t="shared" si="3"/>
        <v>25840</v>
      </c>
      <c r="CB38" s="325" t="s">
        <v>609</v>
      </c>
      <c r="CD38" s="325" t="s">
        <v>610</v>
      </c>
      <c r="CE38" s="313" t="s">
        <v>2843</v>
      </c>
      <c r="CF38" s="314">
        <v>46217</v>
      </c>
      <c r="CK38" s="313" t="s">
        <v>2844</v>
      </c>
      <c r="CL38" s="312" t="s">
        <v>458</v>
      </c>
      <c r="CM38" s="312" t="s">
        <v>696</v>
      </c>
      <c r="CN38" s="312" t="s">
        <v>489</v>
      </c>
      <c r="CP38" s="308" t="s">
        <v>611</v>
      </c>
    </row>
    <row r="39" spans="1:115" ht="47.25" customHeight="1" x14ac:dyDescent="0.25">
      <c r="A39" s="19">
        <v>2026</v>
      </c>
      <c r="B39" s="20">
        <v>479</v>
      </c>
      <c r="C39" s="21" t="s">
        <v>64</v>
      </c>
      <c r="D39" s="21" t="s">
        <v>65</v>
      </c>
      <c r="E39" s="20">
        <v>125</v>
      </c>
      <c r="F39" s="20">
        <v>3000654</v>
      </c>
      <c r="G39" s="20">
        <v>5005023</v>
      </c>
      <c r="H39" s="20">
        <v>3</v>
      </c>
      <c r="I39" s="20">
        <v>12</v>
      </c>
      <c r="J39" s="20">
        <v>24</v>
      </c>
      <c r="K39" s="20">
        <v>135560</v>
      </c>
      <c r="L39" s="21" t="s">
        <v>66</v>
      </c>
      <c r="M39" s="22" t="s">
        <v>67</v>
      </c>
      <c r="N39" s="19">
        <v>95</v>
      </c>
      <c r="O39" s="2"/>
      <c r="P39" s="2" t="s">
        <v>4</v>
      </c>
      <c r="Q39" s="20" t="s">
        <v>68</v>
      </c>
      <c r="R39" s="25" t="s">
        <v>69</v>
      </c>
      <c r="S39" s="25" t="s">
        <v>76</v>
      </c>
      <c r="T39" s="1136"/>
      <c r="U39" s="31" t="s">
        <v>612</v>
      </c>
      <c r="V39" s="25" t="s">
        <v>72</v>
      </c>
      <c r="W39" s="121"/>
      <c r="X39" s="1135">
        <v>6444512</v>
      </c>
      <c r="Y39" s="2"/>
      <c r="Z39" s="2"/>
      <c r="AA39" s="2"/>
      <c r="AB39" s="2"/>
      <c r="AC39" s="121"/>
      <c r="AD39" s="121"/>
      <c r="AE39" s="2"/>
      <c r="AF39" s="2"/>
      <c r="AG39" s="2"/>
      <c r="AH39" s="2"/>
      <c r="AI39" s="2"/>
      <c r="AJ39" s="2"/>
      <c r="AK39" s="59" t="s">
        <v>585</v>
      </c>
      <c r="AL39" s="29"/>
      <c r="AM39" s="29"/>
      <c r="AN39" s="29"/>
      <c r="AO39" s="29"/>
      <c r="AP39" s="30"/>
      <c r="AQ39" s="30"/>
      <c r="AR39" s="29"/>
      <c r="AS39" s="29"/>
      <c r="AT39" s="29"/>
      <c r="AU39" s="29"/>
      <c r="AV39" s="29"/>
      <c r="AW39" s="29"/>
      <c r="AX39" s="990">
        <v>6444512</v>
      </c>
      <c r="AY39" s="30" t="s">
        <v>7</v>
      </c>
      <c r="AZ39" s="1108"/>
      <c r="BA39" s="1108"/>
      <c r="BC39" t="s">
        <v>613</v>
      </c>
      <c r="BD39" t="s">
        <v>613</v>
      </c>
      <c r="BE39" t="s">
        <v>614</v>
      </c>
      <c r="BG39" s="94" t="s">
        <v>615</v>
      </c>
      <c r="BH39" s="31" t="s">
        <v>77</v>
      </c>
      <c r="BJ39" s="324"/>
      <c r="BK39" s="313" t="s">
        <v>616</v>
      </c>
      <c r="BL39" s="314">
        <v>46189</v>
      </c>
      <c r="BM39" s="313" t="s">
        <v>617</v>
      </c>
      <c r="BN39" s="314">
        <v>46189</v>
      </c>
      <c r="BO39" s="313" t="s">
        <v>618</v>
      </c>
      <c r="BP39" s="314">
        <v>46189</v>
      </c>
      <c r="BQ39" s="313" t="s">
        <v>471</v>
      </c>
      <c r="BR39" s="313" t="s">
        <v>619</v>
      </c>
      <c r="BS39" s="312" t="s">
        <v>498</v>
      </c>
      <c r="BT39" s="28"/>
      <c r="BU39" s="28"/>
      <c r="BV39" s="1119" t="s">
        <v>474</v>
      </c>
      <c r="BW39" s="1137" t="s">
        <v>620</v>
      </c>
      <c r="BX39" s="314">
        <v>46196</v>
      </c>
      <c r="BY39" s="28">
        <f>AX39</f>
        <v>6444512</v>
      </c>
      <c r="BZ39" s="28">
        <v>6444512</v>
      </c>
      <c r="CA39" s="28">
        <f t="shared" si="3"/>
        <v>0</v>
      </c>
      <c r="CB39" s="325" t="s">
        <v>486</v>
      </c>
      <c r="CC39" s="313" t="s">
        <v>621</v>
      </c>
      <c r="CD39" s="325" t="s">
        <v>622</v>
      </c>
      <c r="CL39" s="312" t="s">
        <v>489</v>
      </c>
      <c r="CM39" s="312" t="s">
        <v>489</v>
      </c>
      <c r="CN39" s="312" t="s">
        <v>489</v>
      </c>
      <c r="CO39" s="312" t="s">
        <v>489</v>
      </c>
      <c r="CP39" s="312" t="s">
        <v>489</v>
      </c>
    </row>
    <row r="40" spans="1:115" ht="47.25" hidden="1" customHeight="1" x14ac:dyDescent="0.25">
      <c r="A40" s="19">
        <v>2026</v>
      </c>
      <c r="B40" s="20">
        <v>479</v>
      </c>
      <c r="C40" s="21" t="s">
        <v>64</v>
      </c>
      <c r="D40" s="21" t="s">
        <v>65</v>
      </c>
      <c r="E40" s="20">
        <v>125</v>
      </c>
      <c r="F40" s="20">
        <v>3000654</v>
      </c>
      <c r="G40" s="20">
        <v>5005023</v>
      </c>
      <c r="H40" s="20">
        <v>3</v>
      </c>
      <c r="I40" s="20">
        <v>12</v>
      </c>
      <c r="J40" s="20">
        <v>24</v>
      </c>
      <c r="K40" s="20">
        <v>135560</v>
      </c>
      <c r="L40" s="21" t="s">
        <v>66</v>
      </c>
      <c r="M40" s="22" t="s">
        <v>67</v>
      </c>
      <c r="N40" s="19">
        <v>95</v>
      </c>
      <c r="O40" s="2"/>
      <c r="P40" s="2" t="s">
        <v>4</v>
      </c>
      <c r="Q40" s="20" t="s">
        <v>68</v>
      </c>
      <c r="R40" s="25" t="s">
        <v>69</v>
      </c>
      <c r="S40" s="25" t="s">
        <v>80</v>
      </c>
      <c r="T40" s="25"/>
      <c r="U40" s="31" t="s">
        <v>88</v>
      </c>
      <c r="V40" s="25" t="s">
        <v>72</v>
      </c>
      <c r="W40" s="25"/>
      <c r="X40" s="1135">
        <v>55829</v>
      </c>
      <c r="Y40" s="2"/>
      <c r="Z40" s="2"/>
      <c r="AA40" s="2"/>
      <c r="AB40" s="2"/>
      <c r="AC40" s="121"/>
      <c r="AD40" s="121">
        <v>1</v>
      </c>
      <c r="AE40" s="2"/>
      <c r="AF40" s="2"/>
      <c r="AG40" s="2"/>
      <c r="AH40" s="2"/>
      <c r="AI40" s="2"/>
      <c r="AJ40" s="2"/>
      <c r="AK40" s="59" t="s">
        <v>585</v>
      </c>
      <c r="AL40" s="29"/>
      <c r="AM40" s="29"/>
      <c r="AN40" s="29"/>
      <c r="AO40" s="29"/>
      <c r="AP40" s="30"/>
      <c r="AQ40" s="30"/>
      <c r="AR40" s="29"/>
      <c r="AS40" s="29"/>
      <c r="AT40" s="29"/>
      <c r="AU40" s="29"/>
      <c r="AV40" s="29"/>
      <c r="AW40" s="29"/>
      <c r="AX40" s="990">
        <v>55829</v>
      </c>
      <c r="AY40" s="30" t="s">
        <v>7</v>
      </c>
      <c r="AZ40" s="1108" t="s">
        <v>498</v>
      </c>
      <c r="BA40" s="1108"/>
      <c r="BC40" t="s">
        <v>623</v>
      </c>
      <c r="BD40" s="140">
        <v>46188</v>
      </c>
      <c r="BE40" t="s">
        <v>624</v>
      </c>
      <c r="BG40" s="94"/>
      <c r="BH40" s="31" t="s">
        <v>88</v>
      </c>
      <c r="BI40" s="322" t="s">
        <v>476</v>
      </c>
      <c r="BJ40" s="324"/>
      <c r="BK40" s="313" t="s">
        <v>625</v>
      </c>
      <c r="BL40" s="314">
        <v>46196</v>
      </c>
      <c r="BM40" s="313" t="s">
        <v>625</v>
      </c>
      <c r="BN40" s="314">
        <v>46196</v>
      </c>
      <c r="BO40" s="313" t="s">
        <v>626</v>
      </c>
      <c r="BP40" s="314">
        <v>46197</v>
      </c>
      <c r="BQ40" s="313" t="s">
        <v>471</v>
      </c>
      <c r="BR40" s="313" t="s">
        <v>627</v>
      </c>
      <c r="BT40" s="28"/>
      <c r="BU40" s="28"/>
      <c r="BV40" s="1137" t="s">
        <v>2814</v>
      </c>
      <c r="BW40" s="1137"/>
      <c r="BX40" s="314"/>
      <c r="BY40" s="28"/>
      <c r="BZ40" s="28"/>
      <c r="CA40" s="28"/>
      <c r="CB40" s="313" t="s">
        <v>529</v>
      </c>
      <c r="CC40" s="313" t="s">
        <v>476</v>
      </c>
      <c r="CD40" s="1121">
        <v>46218</v>
      </c>
      <c r="CO40" s="312"/>
      <c r="CP40" s="312"/>
    </row>
    <row r="41" spans="1:115" ht="47.25" hidden="1" customHeight="1" x14ac:dyDescent="0.25">
      <c r="A41" s="19">
        <v>2026</v>
      </c>
      <c r="B41" s="20">
        <v>479</v>
      </c>
      <c r="C41" s="21" t="s">
        <v>64</v>
      </c>
      <c r="D41" s="21" t="s">
        <v>65</v>
      </c>
      <c r="E41" s="20">
        <v>125</v>
      </c>
      <c r="F41" s="20">
        <v>3000654</v>
      </c>
      <c r="G41" s="20">
        <v>5005023</v>
      </c>
      <c r="H41" s="20">
        <v>3</v>
      </c>
      <c r="I41" s="20">
        <v>12</v>
      </c>
      <c r="J41" s="20">
        <v>24</v>
      </c>
      <c r="K41" s="20">
        <v>135560</v>
      </c>
      <c r="L41" s="21" t="s">
        <v>66</v>
      </c>
      <c r="M41" s="22" t="s">
        <v>67</v>
      </c>
      <c r="N41" s="19">
        <v>95</v>
      </c>
      <c r="O41" s="2"/>
      <c r="P41" s="2" t="s">
        <v>4</v>
      </c>
      <c r="Q41" s="20" t="s">
        <v>68</v>
      </c>
      <c r="R41" s="25" t="s">
        <v>69</v>
      </c>
      <c r="S41" s="25" t="s">
        <v>70</v>
      </c>
      <c r="T41" s="25"/>
      <c r="U41" s="31" t="s">
        <v>79</v>
      </c>
      <c r="V41" s="25" t="s">
        <v>72</v>
      </c>
      <c r="W41" s="25"/>
      <c r="X41" s="27">
        <v>2500000</v>
      </c>
      <c r="Y41" s="2"/>
      <c r="Z41" s="2"/>
      <c r="AA41" s="2"/>
      <c r="AB41" s="2"/>
      <c r="AC41" s="121"/>
      <c r="AD41" s="121"/>
      <c r="AE41" s="2">
        <v>1</v>
      </c>
      <c r="AF41" s="2"/>
      <c r="AG41" s="2"/>
      <c r="AH41" s="2"/>
      <c r="AI41" s="2"/>
      <c r="AJ41" s="2"/>
      <c r="AK41" s="59"/>
      <c r="AL41" s="29"/>
      <c r="AM41" s="29"/>
      <c r="AN41" s="29"/>
      <c r="AO41" s="29"/>
      <c r="AP41" s="30"/>
      <c r="AQ41" s="30"/>
      <c r="AR41" s="29"/>
      <c r="AS41" s="29"/>
      <c r="AT41" s="29"/>
      <c r="AU41" s="29"/>
      <c r="AV41" s="29"/>
      <c r="AW41" s="29"/>
      <c r="AX41" s="990">
        <v>760927</v>
      </c>
      <c r="AY41" s="30" t="s">
        <v>7</v>
      </c>
      <c r="AZ41" s="1108"/>
      <c r="BA41" s="1108"/>
      <c r="BC41" t="s">
        <v>2817</v>
      </c>
      <c r="BD41" t="s">
        <v>2817</v>
      </c>
      <c r="BE41" t="s">
        <v>2818</v>
      </c>
      <c r="BG41" s="94" t="s">
        <v>2819</v>
      </c>
      <c r="BH41" s="1134" t="s">
        <v>476</v>
      </c>
      <c r="BJ41" s="324"/>
      <c r="BK41" s="313" t="s">
        <v>2818</v>
      </c>
      <c r="BL41" s="314">
        <v>46190</v>
      </c>
      <c r="BM41" s="313" t="s">
        <v>2820</v>
      </c>
      <c r="BN41" s="314">
        <v>46199</v>
      </c>
      <c r="BO41" s="313" t="s">
        <v>2821</v>
      </c>
      <c r="BP41" s="314">
        <v>46199</v>
      </c>
      <c r="BQ41" s="313" t="s">
        <v>471</v>
      </c>
      <c r="BR41" s="313" t="s">
        <v>2827</v>
      </c>
      <c r="BT41" s="28"/>
      <c r="BU41" s="28"/>
      <c r="BV41" s="1137" t="s">
        <v>2814</v>
      </c>
      <c r="BW41" s="1137"/>
      <c r="BX41" s="314"/>
      <c r="BY41" s="28"/>
      <c r="BZ41" s="28"/>
      <c r="CA41" s="28"/>
      <c r="CD41" s="1121" t="s">
        <v>2828</v>
      </c>
      <c r="CO41" s="312"/>
      <c r="CP41" s="312"/>
    </row>
    <row r="42" spans="1:115" s="156" customFormat="1" x14ac:dyDescent="0.25">
      <c r="T42" s="157"/>
      <c r="AK42" s="158">
        <f>SUBTOTAL(9,AK2:AK38)</f>
        <v>30409754</v>
      </c>
      <c r="AL42" s="158">
        <f t="shared" ref="AL42:AW42" si="4">SUBTOTAL(9,AL2:AL36)</f>
        <v>0</v>
      </c>
      <c r="AM42" s="158">
        <f t="shared" si="4"/>
        <v>0</v>
      </c>
      <c r="AN42" s="158">
        <f t="shared" si="4"/>
        <v>0</v>
      </c>
      <c r="AO42" s="158">
        <f t="shared" si="4"/>
        <v>0</v>
      </c>
      <c r="AP42" s="158">
        <f t="shared" si="4"/>
        <v>0</v>
      </c>
      <c r="AQ42" s="158">
        <f t="shared" si="4"/>
        <v>30284754</v>
      </c>
      <c r="AR42" s="158">
        <f t="shared" si="4"/>
        <v>125000</v>
      </c>
      <c r="AS42" s="158">
        <f t="shared" si="4"/>
        <v>0</v>
      </c>
      <c r="AT42" s="158">
        <f t="shared" si="4"/>
        <v>0</v>
      </c>
      <c r="AU42" s="158">
        <f t="shared" si="4"/>
        <v>0</v>
      </c>
      <c r="AV42" s="158">
        <f t="shared" si="4"/>
        <v>0</v>
      </c>
      <c r="AW42" s="807">
        <f t="shared" si="4"/>
        <v>0</v>
      </c>
      <c r="AX42" s="809">
        <f>SUBTOTAL(9,AX2:AX40)</f>
        <v>93549598</v>
      </c>
      <c r="AZ42" s="408"/>
      <c r="BA42" s="408"/>
      <c r="BB42" s="408"/>
      <c r="BH42" s="243"/>
      <c r="BI42" s="323"/>
      <c r="BJ42" s="324"/>
      <c r="BK42" s="317"/>
      <c r="BL42" s="317"/>
      <c r="BM42" s="317"/>
      <c r="BN42" s="317"/>
      <c r="BO42" s="317"/>
      <c r="BP42" s="317"/>
      <c r="BQ42" s="317"/>
      <c r="BR42" s="318"/>
      <c r="BS42" s="316"/>
      <c r="BT42" s="28">
        <f>SUBTOTAL(9,BT2:BT38)</f>
        <v>85885146.070000008</v>
      </c>
      <c r="BU42" s="28">
        <f t="shared" ref="BU42:CB42" si="5">SUBTOTAL(9,BU2:BU38)</f>
        <v>1219939.9299999992</v>
      </c>
      <c r="BV42" s="323"/>
      <c r="BW42" s="316"/>
      <c r="BX42" s="316"/>
      <c r="BY42" s="28">
        <f>SUBTOTAL(9,BY2:BY39)</f>
        <v>93549598</v>
      </c>
      <c r="BZ42" s="28">
        <f>SUBTOTAL(9,BZ2:BZ39)</f>
        <v>91617397.569999978</v>
      </c>
      <c r="CA42" s="28">
        <f>SUBTOTAL(9,CA2:CA39)</f>
        <v>1932200.4299999988</v>
      </c>
      <c r="CB42" s="317">
        <f t="shared" si="5"/>
        <v>0</v>
      </c>
      <c r="CC42" s="317"/>
      <c r="CD42" s="317"/>
      <c r="CE42" s="317"/>
      <c r="CF42" s="317"/>
      <c r="CG42" s="316"/>
      <c r="CH42" s="316"/>
      <c r="CI42" s="316"/>
      <c r="CJ42" s="316"/>
      <c r="CK42" s="316"/>
      <c r="CL42" s="316"/>
      <c r="CM42" s="316"/>
      <c r="CN42" s="316"/>
      <c r="CO42" s="309"/>
      <c r="CP42" s="309"/>
      <c r="CQ42" s="309"/>
      <c r="CR42" s="309"/>
      <c r="CS42" s="309"/>
      <c r="CT42" s="309"/>
      <c r="CU42" s="309"/>
      <c r="CV42" s="309"/>
      <c r="CW42" s="309"/>
      <c r="CX42" s="309"/>
      <c r="CY42" s="309"/>
      <c r="CZ42" s="309"/>
      <c r="DA42" s="309"/>
      <c r="DB42" s="309"/>
      <c r="DC42" s="309"/>
      <c r="DD42" s="309"/>
      <c r="DE42" s="309"/>
      <c r="DF42" s="309"/>
      <c r="DG42" s="309"/>
      <c r="DH42" s="309"/>
      <c r="DI42" s="309"/>
      <c r="DJ42" s="309"/>
      <c r="DK42" s="309"/>
    </row>
    <row r="43" spans="1:115" x14ac:dyDescent="0.25">
      <c r="BJ43" s="324"/>
    </row>
    <row r="44" spans="1:115" x14ac:dyDescent="0.25">
      <c r="BJ44" s="324"/>
    </row>
    <row r="45" spans="1:115" ht="39.75" customHeight="1" x14ac:dyDescent="0.25">
      <c r="X45" s="230"/>
      <c r="Y45" s="230"/>
      <c r="Z45" s="230"/>
      <c r="AA45" s="230"/>
      <c r="AB45" s="230"/>
      <c r="AC45" s="230"/>
      <c r="AD45" s="230"/>
      <c r="AE45" s="230"/>
      <c r="AF45" s="230"/>
      <c r="AG45" s="230"/>
      <c r="AH45" s="230"/>
      <c r="AI45" s="230"/>
      <c r="AJ45" s="230"/>
      <c r="AK45" s="230"/>
      <c r="AL45" s="230"/>
      <c r="AM45" s="230"/>
      <c r="AN45" s="230"/>
      <c r="AO45" s="230"/>
      <c r="AP45" s="230"/>
      <c r="AQ45" s="230"/>
      <c r="AR45" s="230"/>
      <c r="AS45" s="230"/>
      <c r="AT45" s="230"/>
      <c r="AU45" s="230"/>
      <c r="AV45" s="230"/>
      <c r="AW45" s="230"/>
      <c r="AX45" s="230"/>
      <c r="AY45" s="230"/>
      <c r="AZ45" s="230"/>
      <c r="BA45" s="230"/>
      <c r="BB45" s="230"/>
      <c r="BC45" s="230"/>
      <c r="BD45" s="230"/>
      <c r="BE45" s="230"/>
      <c r="BF45" s="230"/>
      <c r="BG45" s="230"/>
      <c r="BI45" s="230"/>
      <c r="BJ45" s="230"/>
      <c r="BU45" s="315"/>
      <c r="BW45" s="1146" t="s">
        <v>628</v>
      </c>
      <c r="BX45" s="1146"/>
    </row>
    <row r="46" spans="1:115" x14ac:dyDescent="0.25">
      <c r="X46" s="230"/>
      <c r="Y46" s="230"/>
      <c r="Z46" s="230"/>
      <c r="AA46" s="230"/>
      <c r="AB46" s="230"/>
      <c r="AC46" s="230"/>
      <c r="AD46" s="230"/>
      <c r="AE46" s="230"/>
      <c r="AF46" s="230"/>
      <c r="AG46" s="230"/>
      <c r="AH46" s="230"/>
      <c r="AI46" s="230"/>
      <c r="AJ46" s="230"/>
      <c r="AK46" s="230"/>
      <c r="AL46" s="230"/>
      <c r="AM46" s="230"/>
      <c r="AN46" s="230"/>
      <c r="AO46" s="230"/>
      <c r="AP46" s="230"/>
      <c r="AQ46" s="230"/>
      <c r="AR46" s="230"/>
      <c r="AS46" s="230"/>
      <c r="AT46" s="230"/>
      <c r="AU46" s="230"/>
      <c r="AV46" s="230"/>
      <c r="AW46" s="230"/>
      <c r="AX46" s="230"/>
      <c r="AY46" s="230"/>
      <c r="AZ46" s="230"/>
      <c r="BA46" s="230"/>
      <c r="BB46" s="230"/>
      <c r="BC46" s="230"/>
      <c r="BD46" s="230"/>
      <c r="BE46" s="230"/>
      <c r="BF46" s="230"/>
      <c r="BG46" s="230"/>
      <c r="BI46" s="230"/>
      <c r="BJ46" s="230"/>
      <c r="BL46" s="314"/>
      <c r="BN46" s="314"/>
      <c r="BP46" s="314"/>
      <c r="BW46" s="1075" t="s">
        <v>629</v>
      </c>
      <c r="BX46" s="1076" t="s">
        <v>630</v>
      </c>
    </row>
    <row r="47" spans="1:115" ht="24.75" x14ac:dyDescent="0.25">
      <c r="X47" s="230"/>
      <c r="Y47" s="230"/>
      <c r="Z47" s="230"/>
      <c r="AA47" s="230"/>
      <c r="AB47" s="230"/>
      <c r="AC47" s="230"/>
      <c r="AD47" s="230"/>
      <c r="AE47" s="230"/>
      <c r="AF47" s="230"/>
      <c r="AG47" s="230"/>
      <c r="AH47" s="230"/>
      <c r="AI47" s="230"/>
      <c r="AJ47" s="230"/>
      <c r="AK47" s="230"/>
      <c r="AL47" s="230"/>
      <c r="AM47" s="230"/>
      <c r="AN47" s="230"/>
      <c r="AO47" s="230"/>
      <c r="AP47" s="230"/>
      <c r="AQ47" s="230"/>
      <c r="AR47" s="230"/>
      <c r="AS47" s="230"/>
      <c r="AT47" s="230"/>
      <c r="AU47" s="230"/>
      <c r="AV47" s="230"/>
      <c r="AW47" s="230"/>
      <c r="AX47" s="230"/>
      <c r="AY47" s="230"/>
      <c r="AZ47" s="230"/>
      <c r="BA47" s="230"/>
      <c r="BB47" s="230"/>
      <c r="BC47" s="230"/>
      <c r="BD47" s="230"/>
      <c r="BE47" s="230"/>
      <c r="BF47" s="230"/>
      <c r="BG47" s="230"/>
      <c r="BI47" s="230"/>
      <c r="BJ47" s="230"/>
      <c r="BW47" s="1079">
        <v>0</v>
      </c>
      <c r="BX47" s="1080" t="s">
        <v>631</v>
      </c>
    </row>
    <row r="48" spans="1:115" ht="24.75" x14ac:dyDescent="0.25">
      <c r="X48" s="230"/>
      <c r="Y48" s="230"/>
      <c r="Z48" s="230"/>
      <c r="AA48" s="230"/>
      <c r="AB48" s="230"/>
      <c r="AC48" s="230"/>
      <c r="AD48" s="230"/>
      <c r="AE48" s="230"/>
      <c r="AF48" s="230"/>
      <c r="AG48" s="230"/>
      <c r="AH48" s="230"/>
      <c r="AI48" s="230"/>
      <c r="AJ48" s="230"/>
      <c r="AK48" s="230"/>
      <c r="AL48" s="230"/>
      <c r="AM48" s="230"/>
      <c r="AN48" s="230"/>
      <c r="AO48" s="230"/>
      <c r="AP48" s="230"/>
      <c r="AQ48" s="230"/>
      <c r="AR48" s="230"/>
      <c r="AS48" s="230"/>
      <c r="AT48" s="230"/>
      <c r="AU48" s="230"/>
      <c r="AV48" s="230"/>
      <c r="AW48" s="230"/>
      <c r="AX48" s="230"/>
      <c r="AY48" s="230"/>
      <c r="AZ48" s="230"/>
      <c r="BA48" s="230"/>
      <c r="BB48" s="230"/>
      <c r="BC48" s="230"/>
      <c r="BD48" s="230"/>
      <c r="BE48" s="230"/>
      <c r="BF48" s="230"/>
      <c r="BG48" s="230"/>
      <c r="BI48" s="230"/>
      <c r="BJ48" s="230"/>
      <c r="BW48" s="1079">
        <v>17</v>
      </c>
      <c r="BX48" s="1080" t="s">
        <v>510</v>
      </c>
    </row>
    <row r="49" spans="24:76" ht="36.75" x14ac:dyDescent="0.25">
      <c r="X49" s="230"/>
      <c r="Y49" s="230"/>
      <c r="Z49" s="230"/>
      <c r="AA49" s="230"/>
      <c r="AB49" s="230"/>
      <c r="AC49" s="230"/>
      <c r="AD49" s="230"/>
      <c r="AE49" s="230"/>
      <c r="AF49" s="230"/>
      <c r="AG49" s="230"/>
      <c r="AH49" s="230"/>
      <c r="AI49" s="230"/>
      <c r="AJ49" s="230"/>
      <c r="AK49" s="230"/>
      <c r="AL49" s="230"/>
      <c r="AM49" s="230"/>
      <c r="AN49" s="230"/>
      <c r="AO49" s="230"/>
      <c r="AP49" s="230"/>
      <c r="AQ49" s="230"/>
      <c r="AR49" s="230"/>
      <c r="AS49" s="230"/>
      <c r="AT49" s="230"/>
      <c r="AU49" s="230"/>
      <c r="AV49" s="230"/>
      <c r="AW49" s="230"/>
      <c r="AY49" s="230"/>
      <c r="AZ49" s="230"/>
      <c r="BA49" s="230"/>
      <c r="BB49" s="230"/>
      <c r="BC49" s="230"/>
      <c r="BD49" s="230"/>
      <c r="BE49" s="230"/>
      <c r="BF49" s="230"/>
      <c r="BG49" s="230"/>
      <c r="BI49" s="230"/>
      <c r="BJ49" s="230"/>
      <c r="BW49" s="1079">
        <v>1</v>
      </c>
      <c r="BX49" s="1080" t="s">
        <v>2815</v>
      </c>
    </row>
    <row r="50" spans="24:76" ht="24.75" x14ac:dyDescent="0.25">
      <c r="X50" s="230"/>
      <c r="Y50" s="230"/>
      <c r="Z50" s="230"/>
      <c r="AA50" s="230"/>
      <c r="AB50" s="230"/>
      <c r="AC50" s="230"/>
      <c r="AD50" s="230"/>
      <c r="AE50" s="230"/>
      <c r="AF50" s="230"/>
      <c r="AG50" s="230"/>
      <c r="AH50" s="230"/>
      <c r="AI50" s="230"/>
      <c r="AJ50" s="230"/>
      <c r="AK50" s="230"/>
      <c r="AL50" s="230"/>
      <c r="AM50" s="230"/>
      <c r="AN50" s="230"/>
      <c r="AO50" s="230"/>
      <c r="AP50" s="230"/>
      <c r="AQ50" s="230"/>
      <c r="AR50" s="230"/>
      <c r="AS50" s="230"/>
      <c r="AT50" s="230"/>
      <c r="AU50" s="230"/>
      <c r="AV50" s="230"/>
      <c r="AW50" s="230"/>
      <c r="AX50" s="230"/>
      <c r="AY50" s="230"/>
      <c r="AZ50" s="230"/>
      <c r="BA50" s="230"/>
      <c r="BB50" s="230"/>
      <c r="BC50" s="230"/>
      <c r="BD50" s="230"/>
      <c r="BE50" s="230"/>
      <c r="BF50" s="230"/>
      <c r="BG50" s="230"/>
      <c r="BI50" s="230"/>
      <c r="BJ50" s="230"/>
      <c r="BW50" s="1079">
        <v>0</v>
      </c>
      <c r="BX50" s="1080" t="s">
        <v>632</v>
      </c>
    </row>
    <row r="51" spans="24:76" x14ac:dyDescent="0.25">
      <c r="X51" s="230"/>
      <c r="Y51" s="230"/>
      <c r="Z51" s="230"/>
      <c r="AA51" s="230"/>
      <c r="AB51" s="230"/>
      <c r="AC51" s="230"/>
      <c r="AD51" s="230"/>
      <c r="AE51" s="230"/>
      <c r="AF51" s="230"/>
      <c r="AG51" s="230"/>
      <c r="AH51" s="230"/>
      <c r="AI51" s="230"/>
      <c r="AJ51" s="230"/>
      <c r="AK51" s="230"/>
      <c r="AL51" s="230"/>
      <c r="AM51" s="230"/>
      <c r="AN51" s="230"/>
      <c r="AO51" s="230"/>
      <c r="AP51" s="230"/>
      <c r="AQ51" s="230"/>
      <c r="AR51" s="230"/>
      <c r="AS51" s="230"/>
      <c r="AT51" s="230"/>
      <c r="AU51" s="230"/>
      <c r="AV51" s="230"/>
      <c r="AW51" s="230"/>
      <c r="AX51" s="230"/>
      <c r="AY51" s="230"/>
      <c r="AZ51" s="230"/>
      <c r="BA51" s="230"/>
      <c r="BB51" s="230"/>
      <c r="BC51" s="230"/>
      <c r="BD51" s="230"/>
      <c r="BE51" s="230"/>
      <c r="BF51" s="230"/>
      <c r="BG51" s="230"/>
      <c r="BI51" s="230"/>
      <c r="BJ51" s="230"/>
      <c r="BW51" s="1079">
        <v>0</v>
      </c>
      <c r="BX51" s="1080" t="s">
        <v>633</v>
      </c>
    </row>
    <row r="52" spans="24:76" x14ac:dyDescent="0.25">
      <c r="BW52" s="1079">
        <v>0</v>
      </c>
      <c r="BX52" s="1080" t="s">
        <v>634</v>
      </c>
    </row>
    <row r="53" spans="24:76" x14ac:dyDescent="0.25">
      <c r="BW53" s="1079">
        <v>21</v>
      </c>
      <c r="BX53" s="1080" t="s">
        <v>474</v>
      </c>
    </row>
    <row r="54" spans="24:76" x14ac:dyDescent="0.25">
      <c r="BW54" s="1077">
        <v>39</v>
      </c>
      <c r="BX54" s="1078" t="s">
        <v>58</v>
      </c>
    </row>
  </sheetData>
  <autoFilter ref="A1:XFA41" xr:uid="{6660A836-A3D1-4573-9591-2192023BE523}">
    <filterColumn colId="73">
      <filters>
        <filter val="CONTRATO/ORDEN"/>
      </filters>
    </filterColumn>
  </autoFilter>
  <mergeCells count="141">
    <mergeCell ref="BW45:BX45"/>
    <mergeCell ref="Y2:Z2"/>
    <mergeCell ref="AA2:AB2"/>
    <mergeCell ref="AF2:AH2"/>
    <mergeCell ref="AI2:AJ2"/>
    <mergeCell ref="Y3:Z3"/>
    <mergeCell ref="AA3:AB3"/>
    <mergeCell ref="AF3:AH3"/>
    <mergeCell ref="AI3:AJ3"/>
    <mergeCell ref="Y6:Z6"/>
    <mergeCell ref="AA6:AB6"/>
    <mergeCell ref="AF6:AH6"/>
    <mergeCell ref="AI6:AJ6"/>
    <mergeCell ref="Y7:Z7"/>
    <mergeCell ref="AA7:AB7"/>
    <mergeCell ref="AF7:AH7"/>
    <mergeCell ref="AI7:AJ7"/>
    <mergeCell ref="Y4:Z4"/>
    <mergeCell ref="AA4:AB4"/>
    <mergeCell ref="AF4:AH4"/>
    <mergeCell ref="AI4:AJ4"/>
    <mergeCell ref="Y5:Z5"/>
    <mergeCell ref="AA5:AB5"/>
    <mergeCell ref="AF5:AH5"/>
    <mergeCell ref="AI5:AJ5"/>
    <mergeCell ref="Y10:Z10"/>
    <mergeCell ref="AA10:AB10"/>
    <mergeCell ref="AF10:AH10"/>
    <mergeCell ref="AI10:AJ10"/>
    <mergeCell ref="Y11:Z11"/>
    <mergeCell ref="AA11:AB11"/>
    <mergeCell ref="AF11:AH11"/>
    <mergeCell ref="AI11:AJ11"/>
    <mergeCell ref="Y8:Z8"/>
    <mergeCell ref="AA8:AB8"/>
    <mergeCell ref="AF8:AH8"/>
    <mergeCell ref="AI8:AJ8"/>
    <mergeCell ref="Y9:Z9"/>
    <mergeCell ref="AA9:AB9"/>
    <mergeCell ref="AF9:AH9"/>
    <mergeCell ref="AI9:AJ9"/>
    <mergeCell ref="Y14:Z14"/>
    <mergeCell ref="AA14:AB14"/>
    <mergeCell ref="AF14:AH14"/>
    <mergeCell ref="AI14:AJ14"/>
    <mergeCell ref="Y15:Z15"/>
    <mergeCell ref="AA15:AB15"/>
    <mergeCell ref="AF15:AH15"/>
    <mergeCell ref="AI15:AJ15"/>
    <mergeCell ref="Y12:Z12"/>
    <mergeCell ref="AA12:AB12"/>
    <mergeCell ref="AF12:AH12"/>
    <mergeCell ref="AI12:AJ12"/>
    <mergeCell ref="Y13:Z13"/>
    <mergeCell ref="AA13:AB13"/>
    <mergeCell ref="AF13:AH13"/>
    <mergeCell ref="AI13:AJ13"/>
    <mergeCell ref="Y18:Z18"/>
    <mergeCell ref="AA18:AB18"/>
    <mergeCell ref="AF18:AH18"/>
    <mergeCell ref="AI18:AJ18"/>
    <mergeCell ref="Y19:Z19"/>
    <mergeCell ref="AA19:AB19"/>
    <mergeCell ref="AF19:AH19"/>
    <mergeCell ref="AI19:AJ19"/>
    <mergeCell ref="Y16:Z16"/>
    <mergeCell ref="AA16:AB16"/>
    <mergeCell ref="AF16:AH16"/>
    <mergeCell ref="AI16:AJ16"/>
    <mergeCell ref="Y17:Z17"/>
    <mergeCell ref="AA17:AB17"/>
    <mergeCell ref="AF17:AH17"/>
    <mergeCell ref="AI17:AJ17"/>
    <mergeCell ref="Y22:Z22"/>
    <mergeCell ref="AA22:AB22"/>
    <mergeCell ref="AF22:AH22"/>
    <mergeCell ref="AI22:AJ22"/>
    <mergeCell ref="Y23:Z23"/>
    <mergeCell ref="AA23:AB23"/>
    <mergeCell ref="AF23:AH23"/>
    <mergeCell ref="AI23:AJ23"/>
    <mergeCell ref="Y21:Z21"/>
    <mergeCell ref="AA21:AB21"/>
    <mergeCell ref="AF21:AH21"/>
    <mergeCell ref="AI21:AJ21"/>
    <mergeCell ref="Y26:Z26"/>
    <mergeCell ref="AA26:AB26"/>
    <mergeCell ref="AF26:AH26"/>
    <mergeCell ref="AI26:AJ26"/>
    <mergeCell ref="Y27:Z27"/>
    <mergeCell ref="AA27:AB27"/>
    <mergeCell ref="AF27:AH27"/>
    <mergeCell ref="AI27:AJ27"/>
    <mergeCell ref="Y24:Z24"/>
    <mergeCell ref="AA24:AB24"/>
    <mergeCell ref="AF24:AH24"/>
    <mergeCell ref="AI24:AJ24"/>
    <mergeCell ref="Y25:Z25"/>
    <mergeCell ref="AA25:AB25"/>
    <mergeCell ref="AF25:AH25"/>
    <mergeCell ref="AI25:AJ25"/>
    <mergeCell ref="Y30:Z30"/>
    <mergeCell ref="AA30:AB30"/>
    <mergeCell ref="AF30:AH30"/>
    <mergeCell ref="AI30:AJ30"/>
    <mergeCell ref="Y31:Z31"/>
    <mergeCell ref="AA31:AB31"/>
    <mergeCell ref="AF31:AH31"/>
    <mergeCell ref="AI31:AJ31"/>
    <mergeCell ref="Y28:Z28"/>
    <mergeCell ref="AA28:AB28"/>
    <mergeCell ref="AF28:AH28"/>
    <mergeCell ref="AI28:AJ28"/>
    <mergeCell ref="Y29:Z29"/>
    <mergeCell ref="AA29:AB29"/>
    <mergeCell ref="AF29:AH29"/>
    <mergeCell ref="AI29:AJ29"/>
    <mergeCell ref="XEO20:XEP20"/>
    <mergeCell ref="XEQ20:XER20"/>
    <mergeCell ref="XEV20:XEX20"/>
    <mergeCell ref="XEY20:XEZ20"/>
    <mergeCell ref="Y36:Z36"/>
    <mergeCell ref="AA36:AB36"/>
    <mergeCell ref="AE36:AG36"/>
    <mergeCell ref="AH36:AJ36"/>
    <mergeCell ref="Y34:Z34"/>
    <mergeCell ref="AA34:AB34"/>
    <mergeCell ref="AF34:AH34"/>
    <mergeCell ref="AI34:AJ34"/>
    <mergeCell ref="Y35:Z35"/>
    <mergeCell ref="AA35:AB35"/>
    <mergeCell ref="AF35:AH35"/>
    <mergeCell ref="AI35:AJ35"/>
    <mergeCell ref="Y32:Z32"/>
    <mergeCell ref="AA32:AB32"/>
    <mergeCell ref="AF32:AH32"/>
    <mergeCell ref="AI32:AJ32"/>
    <mergeCell ref="Y33:Z33"/>
    <mergeCell ref="AA33:AB33"/>
    <mergeCell ref="AF33:AH33"/>
    <mergeCell ref="AI33:AJ33"/>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D2FBE-07FD-466A-B0A4-A213D867EE49}">
  <sheetPr>
    <pageSetUpPr fitToPage="1"/>
  </sheetPr>
  <dimension ref="C2:L58"/>
  <sheetViews>
    <sheetView topLeftCell="A30" zoomScale="70" zoomScaleNormal="70" workbookViewId="0">
      <selection activeCell="C2" sqref="C2:I58"/>
    </sheetView>
  </sheetViews>
  <sheetFormatPr baseColWidth="10" defaultColWidth="11.42578125" defaultRowHeight="15" x14ac:dyDescent="0.25"/>
  <cols>
    <col min="3" max="3" width="22.85546875" customWidth="1"/>
    <col min="4" max="4" width="18.28515625" customWidth="1"/>
    <col min="5" max="5" width="15.85546875" customWidth="1"/>
    <col min="6" max="6" width="25.5703125" customWidth="1"/>
    <col min="7" max="7" width="35.28515625" customWidth="1"/>
    <col min="8" max="8" width="26.140625" customWidth="1"/>
    <col min="9" max="9" width="31" customWidth="1"/>
  </cols>
  <sheetData>
    <row r="2" spans="3:8" ht="21" x14ac:dyDescent="0.35">
      <c r="C2" s="2"/>
      <c r="D2" s="2"/>
      <c r="E2" s="2"/>
      <c r="F2" s="2"/>
      <c r="G2" s="2"/>
      <c r="H2" s="68">
        <v>46203</v>
      </c>
    </row>
    <row r="3" spans="3:8" ht="57" customHeight="1" x14ac:dyDescent="0.25">
      <c r="C3" s="1181" t="s">
        <v>635</v>
      </c>
      <c r="D3" s="1181"/>
      <c r="E3" s="1181"/>
      <c r="F3" s="1181"/>
      <c r="G3" s="1181"/>
      <c r="H3" s="1181"/>
    </row>
    <row r="4" spans="3:8" ht="15.75" thickBot="1" x14ac:dyDescent="0.3">
      <c r="C4" s="2"/>
      <c r="D4" s="2"/>
      <c r="E4" s="2"/>
      <c r="F4" s="2"/>
      <c r="G4" s="2"/>
      <c r="H4" s="2"/>
    </row>
    <row r="5" spans="3:8" ht="21.75" thickBot="1" x14ac:dyDescent="0.3">
      <c r="C5" s="1182" t="s">
        <v>636</v>
      </c>
      <c r="D5" s="1183"/>
      <c r="E5" s="1183"/>
      <c r="F5" s="1183"/>
      <c r="G5" s="1184"/>
      <c r="H5" s="69">
        <v>30891334</v>
      </c>
    </row>
    <row r="6" spans="3:8" ht="21.75" thickBot="1" x14ac:dyDescent="0.3">
      <c r="C6" s="1182" t="s">
        <v>637</v>
      </c>
      <c r="D6" s="1183"/>
      <c r="E6" s="1183"/>
      <c r="F6" s="1183"/>
      <c r="G6" s="1184"/>
      <c r="H6" s="69">
        <v>5891500</v>
      </c>
    </row>
    <row r="7" spans="3:8" ht="21.75" thickBot="1" x14ac:dyDescent="0.3">
      <c r="C7" s="1182" t="s">
        <v>638</v>
      </c>
      <c r="D7" s="1183"/>
      <c r="E7" s="1183"/>
      <c r="F7" s="1183"/>
      <c r="G7" s="1184"/>
      <c r="H7" s="69">
        <f>H5+H6</f>
        <v>36782834</v>
      </c>
    </row>
    <row r="8" spans="3:8" ht="43.5" customHeight="1" thickBot="1" x14ac:dyDescent="0.3">
      <c r="C8" s="1188" t="s">
        <v>639</v>
      </c>
      <c r="D8" s="1189"/>
      <c r="E8" s="1189"/>
      <c r="F8" s="1189"/>
      <c r="G8" s="1190"/>
      <c r="H8" s="164">
        <v>63000</v>
      </c>
    </row>
    <row r="9" spans="3:8" ht="51" customHeight="1" x14ac:dyDescent="0.25">
      <c r="C9" s="1188" t="s">
        <v>640</v>
      </c>
      <c r="D9" s="1189"/>
      <c r="E9" s="1189"/>
      <c r="F9" s="1189"/>
      <c r="G9" s="1190"/>
      <c r="H9" s="164">
        <v>20000</v>
      </c>
    </row>
    <row r="10" spans="3:8" ht="51" customHeight="1" x14ac:dyDescent="0.25">
      <c r="C10" s="1177" t="s">
        <v>641</v>
      </c>
      <c r="D10" s="1178"/>
      <c r="E10" s="1178"/>
      <c r="F10" s="1178"/>
      <c r="G10" s="1179"/>
      <c r="H10" s="164">
        <v>11129942</v>
      </c>
    </row>
    <row r="11" spans="3:8" ht="51" customHeight="1" x14ac:dyDescent="0.25">
      <c r="C11" s="1177" t="s">
        <v>642</v>
      </c>
      <c r="D11" s="1178"/>
      <c r="E11" s="1178"/>
      <c r="F11" s="1178"/>
      <c r="G11" s="1179"/>
      <c r="H11" s="164">
        <v>500</v>
      </c>
    </row>
    <row r="12" spans="3:8" ht="72" customHeight="1" x14ac:dyDescent="0.25">
      <c r="C12" s="1177" t="s">
        <v>643</v>
      </c>
      <c r="D12" s="1178"/>
      <c r="E12" s="1178"/>
      <c r="F12" s="1178"/>
      <c r="G12" s="1179"/>
      <c r="H12" s="164">
        <v>16500</v>
      </c>
    </row>
    <row r="13" spans="3:8" ht="72.75" customHeight="1" x14ac:dyDescent="0.25">
      <c r="C13" s="1177" t="s">
        <v>644</v>
      </c>
      <c r="D13" s="1178"/>
      <c r="E13" s="1178"/>
      <c r="F13" s="1178"/>
      <c r="G13" s="1179"/>
      <c r="H13" s="164">
        <v>17600</v>
      </c>
    </row>
    <row r="14" spans="3:8" ht="72.75" customHeight="1" x14ac:dyDescent="0.25">
      <c r="C14" s="1177" t="s">
        <v>645</v>
      </c>
      <c r="D14" s="1178"/>
      <c r="E14" s="1178"/>
      <c r="F14" s="1178"/>
      <c r="G14" s="1179"/>
      <c r="H14" s="164">
        <v>43456744</v>
      </c>
    </row>
    <row r="15" spans="3:8" ht="72.75" customHeight="1" x14ac:dyDescent="0.25">
      <c r="C15" s="1177" t="s">
        <v>646</v>
      </c>
      <c r="D15" s="1178"/>
      <c r="E15" s="1178"/>
      <c r="F15" s="1178"/>
      <c r="G15" s="1179"/>
      <c r="H15" s="164">
        <v>2022146</v>
      </c>
    </row>
    <row r="16" spans="3:8" ht="72.75" customHeight="1" x14ac:dyDescent="0.25">
      <c r="C16" s="1174" t="s">
        <v>647</v>
      </c>
      <c r="D16" s="1175"/>
      <c r="E16" s="1175"/>
      <c r="F16" s="1175"/>
      <c r="G16" s="1176"/>
      <c r="H16" s="164">
        <v>6444512</v>
      </c>
    </row>
    <row r="17" spans="3:9" ht="72.75" customHeight="1" thickBot="1" x14ac:dyDescent="0.3">
      <c r="C17" s="1174" t="s">
        <v>648</v>
      </c>
      <c r="D17" s="1175"/>
      <c r="E17" s="1175"/>
      <c r="F17" s="1175"/>
      <c r="G17" s="1176"/>
      <c r="H17" s="164">
        <v>55829</v>
      </c>
    </row>
    <row r="18" spans="3:9" ht="72.75" customHeight="1" thickBot="1" x14ac:dyDescent="0.3">
      <c r="C18" s="1174" t="s">
        <v>2825</v>
      </c>
      <c r="D18" s="1175"/>
      <c r="E18" s="1175"/>
      <c r="F18" s="1175"/>
      <c r="G18" s="1176"/>
      <c r="H18" s="164">
        <v>760927</v>
      </c>
    </row>
    <row r="19" spans="3:9" ht="21.75" thickBot="1" x14ac:dyDescent="0.3">
      <c r="C19" s="1171" t="s">
        <v>636</v>
      </c>
      <c r="D19" s="1172"/>
      <c r="E19" s="1172"/>
      <c r="F19" s="1172"/>
      <c r="G19" s="1173"/>
      <c r="H19" s="163">
        <f>H5+H8+H10-H12+H14+H15+H16+H17+H18</f>
        <v>94807934</v>
      </c>
    </row>
    <row r="20" spans="3:9" ht="21.75" thickBot="1" x14ac:dyDescent="0.3">
      <c r="C20" s="1171" t="s">
        <v>637</v>
      </c>
      <c r="D20" s="1172"/>
      <c r="E20" s="1172"/>
      <c r="F20" s="1172"/>
      <c r="G20" s="1173"/>
      <c r="H20" s="163">
        <f>H6+H9-1100+H13+H11</f>
        <v>5928500</v>
      </c>
    </row>
    <row r="21" spans="3:9" ht="26.25" x14ac:dyDescent="0.3">
      <c r="C21" s="1185" t="s">
        <v>2826</v>
      </c>
      <c r="D21" s="1186"/>
      <c r="E21" s="1186"/>
      <c r="F21" s="1186"/>
      <c r="G21" s="1187"/>
      <c r="H21" s="70">
        <f>H19+H20</f>
        <v>100736434</v>
      </c>
    </row>
    <row r="23" spans="3:9" x14ac:dyDescent="0.25">
      <c r="C23" s="73"/>
      <c r="D23" s="1156" t="s">
        <v>649</v>
      </c>
      <c r="E23" s="1156"/>
      <c r="F23" s="1156"/>
      <c r="G23" s="1156"/>
      <c r="H23" s="116" t="s">
        <v>58</v>
      </c>
      <c r="I23" s="113"/>
    </row>
    <row r="24" spans="3:9" ht="43.5" customHeight="1" x14ac:dyDescent="0.25">
      <c r="C24" s="72"/>
      <c r="D24" s="1062" t="s">
        <v>650</v>
      </c>
      <c r="E24" s="1158" t="s">
        <v>651</v>
      </c>
      <c r="F24" s="1062" t="s">
        <v>652</v>
      </c>
      <c r="G24" s="1062" t="s">
        <v>653</v>
      </c>
      <c r="H24" s="1063"/>
      <c r="I24" s="73"/>
    </row>
    <row r="25" spans="3:9" ht="35.25" customHeight="1" x14ac:dyDescent="0.25">
      <c r="C25" s="74"/>
      <c r="D25" s="1064">
        <v>92329632.569999978</v>
      </c>
      <c r="E25" s="1158"/>
      <c r="F25" s="1159">
        <v>816756</v>
      </c>
      <c r="G25" s="1065"/>
      <c r="H25" s="1066"/>
      <c r="I25" s="75"/>
    </row>
    <row r="26" spans="3:9" ht="29.25" customHeight="1" x14ac:dyDescent="0.25">
      <c r="C26" s="74"/>
      <c r="D26" s="1062" t="s">
        <v>654</v>
      </c>
      <c r="E26" s="1158"/>
      <c r="F26" s="1160"/>
      <c r="G26" s="1062" t="s">
        <v>655</v>
      </c>
      <c r="H26" s="1067"/>
      <c r="I26" s="76"/>
    </row>
    <row r="27" spans="3:9" x14ac:dyDescent="0.25">
      <c r="C27" s="74"/>
      <c r="D27" s="1162">
        <v>0</v>
      </c>
      <c r="E27" s="1162">
        <v>1219965.4299999988</v>
      </c>
      <c r="F27" s="1160"/>
      <c r="G27" s="1064">
        <v>0</v>
      </c>
      <c r="H27" s="1066"/>
      <c r="I27" s="75"/>
    </row>
    <row r="28" spans="3:9" ht="25.5" customHeight="1" x14ac:dyDescent="0.25">
      <c r="C28" s="74"/>
      <c r="D28" s="1162"/>
      <c r="E28" s="1162"/>
      <c r="F28" s="1160"/>
      <c r="G28" s="1062" t="s">
        <v>656</v>
      </c>
      <c r="H28" s="1066"/>
      <c r="I28" s="75"/>
    </row>
    <row r="29" spans="3:9" x14ac:dyDescent="0.25">
      <c r="C29" s="74"/>
      <c r="D29" s="1162"/>
      <c r="E29" s="1162"/>
      <c r="F29" s="1161"/>
      <c r="G29" s="1064">
        <v>441580</v>
      </c>
      <c r="H29" s="1066"/>
      <c r="I29" s="75"/>
    </row>
    <row r="30" spans="3:9" x14ac:dyDescent="0.25">
      <c r="C30" s="77"/>
      <c r="D30" s="114">
        <f>D25+D27</f>
        <v>92329632.569999978</v>
      </c>
      <c r="E30" s="114">
        <f>E27</f>
        <v>1219965.4299999988</v>
      </c>
      <c r="F30" s="114">
        <f>F25</f>
        <v>816756</v>
      </c>
      <c r="G30" s="115">
        <f>G25+G27+G29</f>
        <v>441580</v>
      </c>
      <c r="H30" s="117">
        <f>C30+D30+F30+G30+E30</f>
        <v>94807933.99999997</v>
      </c>
      <c r="I30" s="77"/>
    </row>
    <row r="31" spans="3:9" x14ac:dyDescent="0.25">
      <c r="C31" s="71"/>
      <c r="D31" s="71" t="s">
        <v>657</v>
      </c>
      <c r="E31" s="71" t="s">
        <v>658</v>
      </c>
      <c r="F31" s="1163">
        <f>F30+G30</f>
        <v>1258336</v>
      </c>
      <c r="G31" s="1164"/>
      <c r="H31" s="77"/>
      <c r="I31" s="77"/>
    </row>
    <row r="32" spans="3:9" x14ac:dyDescent="0.25">
      <c r="C32" s="71"/>
      <c r="D32" s="71"/>
      <c r="E32" s="71"/>
      <c r="F32" s="1191" t="s">
        <v>659</v>
      </c>
      <c r="G32" s="1191"/>
      <c r="H32" s="78"/>
      <c r="I32" s="78"/>
    </row>
    <row r="33" spans="3:9" x14ac:dyDescent="0.25">
      <c r="C33" s="79"/>
      <c r="D33" s="80"/>
      <c r="E33" s="80"/>
      <c r="F33" s="80"/>
      <c r="G33" s="79"/>
      <c r="H33" s="80"/>
      <c r="I33" s="80"/>
    </row>
    <row r="34" spans="3:9" x14ac:dyDescent="0.25">
      <c r="C34" s="81"/>
      <c r="D34" s="81"/>
      <c r="E34" s="81"/>
      <c r="F34" s="81"/>
      <c r="G34" s="82"/>
      <c r="H34" s="78"/>
      <c r="I34" s="78"/>
    </row>
    <row r="35" spans="3:9" x14ac:dyDescent="0.25">
      <c r="C35" s="83"/>
      <c r="D35" s="1165" t="s">
        <v>660</v>
      </c>
      <c r="E35" s="1165"/>
      <c r="F35" s="1165"/>
      <c r="G35" s="1165"/>
      <c r="H35" s="84" t="s">
        <v>58</v>
      </c>
      <c r="I35" s="85"/>
    </row>
    <row r="36" spans="3:9" ht="42" customHeight="1" x14ac:dyDescent="0.25">
      <c r="C36" s="86"/>
      <c r="D36" s="1068" t="s">
        <v>661</v>
      </c>
      <c r="E36" s="1158" t="s">
        <v>651</v>
      </c>
      <c r="F36" s="1068" t="s">
        <v>662</v>
      </c>
      <c r="G36" s="1068" t="s">
        <v>663</v>
      </c>
      <c r="H36" s="1069"/>
      <c r="I36" s="87"/>
    </row>
    <row r="37" spans="3:9" ht="30.75" customHeight="1" x14ac:dyDescent="0.25">
      <c r="C37" s="77"/>
      <c r="D37" s="1166">
        <v>5432666.666666666</v>
      </c>
      <c r="E37" s="1158"/>
      <c r="F37" s="1166">
        <v>0</v>
      </c>
      <c r="G37" s="1070"/>
      <c r="H37" s="1071"/>
      <c r="I37" s="77"/>
    </row>
    <row r="38" spans="3:9" ht="29.25" customHeight="1" x14ac:dyDescent="0.25">
      <c r="C38" s="86"/>
      <c r="D38" s="1167"/>
      <c r="E38" s="1158"/>
      <c r="F38" s="1167"/>
      <c r="G38" s="1072" t="s">
        <v>664</v>
      </c>
      <c r="H38" s="1073"/>
      <c r="I38" s="86"/>
    </row>
    <row r="39" spans="3:9" ht="15" customHeight="1" x14ac:dyDescent="0.25">
      <c r="C39" s="77"/>
      <c r="D39" s="1167"/>
      <c r="E39" s="1158"/>
      <c r="F39" s="1167"/>
      <c r="G39" s="1166">
        <v>0</v>
      </c>
      <c r="H39" s="1074"/>
      <c r="I39" s="77"/>
    </row>
    <row r="40" spans="3:9" ht="15" customHeight="1" x14ac:dyDescent="0.25">
      <c r="C40" s="77"/>
      <c r="D40" s="1167"/>
      <c r="E40" s="1166">
        <v>141633.33333333334</v>
      </c>
      <c r="F40" s="1167"/>
      <c r="G40" s="1166"/>
      <c r="H40" s="1074"/>
      <c r="I40" s="77"/>
    </row>
    <row r="41" spans="3:9" ht="15" customHeight="1" x14ac:dyDescent="0.25">
      <c r="C41" s="77"/>
      <c r="D41" s="1167"/>
      <c r="E41" s="1166"/>
      <c r="F41" s="1167"/>
      <c r="G41" s="1072" t="s">
        <v>665</v>
      </c>
      <c r="H41" s="1074"/>
      <c r="I41" s="77"/>
    </row>
    <row r="42" spans="3:9" ht="15" customHeight="1" x14ac:dyDescent="0.25">
      <c r="C42" s="77"/>
      <c r="D42" s="1167"/>
      <c r="E42" s="1167"/>
      <c r="F42" s="1167"/>
      <c r="G42" s="1064">
        <f>1700+352500</f>
        <v>354200</v>
      </c>
      <c r="H42" s="1074"/>
      <c r="I42" s="77"/>
    </row>
    <row r="43" spans="3:9" ht="15" customHeight="1" x14ac:dyDescent="0.25">
      <c r="C43" s="88"/>
      <c r="D43" s="89">
        <f>D39+D37</f>
        <v>5432666.666666666</v>
      </c>
      <c r="E43" s="90">
        <f>E40</f>
        <v>141633.33333333334</v>
      </c>
      <c r="F43" s="89">
        <f>F37</f>
        <v>0</v>
      </c>
      <c r="G43" s="91">
        <f>G39+G37+G42</f>
        <v>354200</v>
      </c>
      <c r="H43" s="91">
        <f>D43+F43+G43+E43</f>
        <v>5928499.9999999991</v>
      </c>
      <c r="I43" s="92"/>
    </row>
    <row r="44" spans="3:9" x14ac:dyDescent="0.25">
      <c r="D44" s="71" t="s">
        <v>666</v>
      </c>
      <c r="E44" s="71" t="s">
        <v>667</v>
      </c>
      <c r="F44" s="1152">
        <f>F43+G43</f>
        <v>354200</v>
      </c>
      <c r="G44" s="1153"/>
    </row>
    <row r="45" spans="3:9" x14ac:dyDescent="0.25">
      <c r="D45" s="71"/>
      <c r="E45" s="71"/>
      <c r="F45" s="1168" t="s">
        <v>668</v>
      </c>
      <c r="G45" s="1168"/>
      <c r="H45" s="93">
        <f>H43+H30</f>
        <v>100736433.99999997</v>
      </c>
      <c r="I45" s="92"/>
    </row>
    <row r="46" spans="3:9" x14ac:dyDescent="0.25">
      <c r="G46" s="94"/>
    </row>
    <row r="47" spans="3:9" x14ac:dyDescent="0.25">
      <c r="C47" s="95" t="s">
        <v>669</v>
      </c>
      <c r="D47" s="1154" t="s">
        <v>670</v>
      </c>
      <c r="E47" s="1155"/>
      <c r="F47" s="96" t="s">
        <v>671</v>
      </c>
      <c r="G47" s="97" t="s">
        <v>670</v>
      </c>
      <c r="H47" s="98" t="s">
        <v>58</v>
      </c>
      <c r="I47" s="99"/>
    </row>
    <row r="48" spans="3:9" x14ac:dyDescent="0.25">
      <c r="C48" s="100" t="s">
        <v>672</v>
      </c>
      <c r="D48" s="1169">
        <f>H19</f>
        <v>94807934</v>
      </c>
      <c r="E48" s="1169"/>
      <c r="F48" s="102" t="s">
        <v>672</v>
      </c>
      <c r="G48" s="101">
        <f>H20</f>
        <v>5928500</v>
      </c>
      <c r="H48" s="103">
        <f>D48+G48</f>
        <v>100736434</v>
      </c>
      <c r="I48" s="104" t="s">
        <v>673</v>
      </c>
    </row>
    <row r="49" spans="3:12" x14ac:dyDescent="0.25">
      <c r="C49" s="100" t="s">
        <v>674</v>
      </c>
      <c r="D49" s="1169">
        <f>D25</f>
        <v>92329632.569999978</v>
      </c>
      <c r="E49" s="1169"/>
      <c r="F49" s="102" t="s">
        <v>675</v>
      </c>
      <c r="G49" s="101">
        <f>D43</f>
        <v>5432666.666666666</v>
      </c>
      <c r="H49" s="105">
        <f>D49+G49</f>
        <v>97762299.23666665</v>
      </c>
      <c r="I49" s="106" t="s">
        <v>676</v>
      </c>
    </row>
    <row r="50" spans="3:12" ht="15.75" thickBot="1" x14ac:dyDescent="0.3">
      <c r="C50" s="100" t="s">
        <v>677</v>
      </c>
      <c r="D50" s="1169">
        <f>F31</f>
        <v>1258336</v>
      </c>
      <c r="E50" s="1169"/>
      <c r="F50" s="107" t="s">
        <v>678</v>
      </c>
      <c r="G50" s="101">
        <f>F44</f>
        <v>354200</v>
      </c>
      <c r="H50" s="105">
        <f>D50+G50</f>
        <v>1612536</v>
      </c>
      <c r="I50" s="108" t="s">
        <v>679</v>
      </c>
      <c r="L50" s="212"/>
    </row>
    <row r="51" spans="3:12" ht="45.75" customHeight="1" x14ac:dyDescent="0.25">
      <c r="C51" s="109" t="s">
        <v>651</v>
      </c>
      <c r="D51" s="1170">
        <f>E27</f>
        <v>1219965.4299999988</v>
      </c>
      <c r="E51" s="1170"/>
      <c r="F51" s="109" t="s">
        <v>651</v>
      </c>
      <c r="G51" s="110">
        <f>E40</f>
        <v>141633.33333333334</v>
      </c>
      <c r="H51" s="105">
        <f>D51+G51</f>
        <v>1361598.763333332</v>
      </c>
      <c r="I51" s="111">
        <f>H51/H48</f>
        <v>1.3516447915292813E-2</v>
      </c>
      <c r="L51" s="212"/>
    </row>
    <row r="52" spans="3:12" ht="64.5" customHeight="1" x14ac:dyDescent="0.25">
      <c r="G52" s="118" t="s">
        <v>680</v>
      </c>
      <c r="H52" s="120">
        <f>H49/H48</f>
        <v>0.97047607657688828</v>
      </c>
      <c r="I52" s="112"/>
    </row>
    <row r="53" spans="3:12" x14ac:dyDescent="0.25">
      <c r="C53" s="1143"/>
      <c r="D53" s="1143"/>
      <c r="E53" s="1143"/>
      <c r="F53" s="1143"/>
      <c r="G53" s="119"/>
      <c r="H53" s="1151"/>
      <c r="I53" s="1157"/>
    </row>
    <row r="54" spans="3:12" x14ac:dyDescent="0.25">
      <c r="C54" s="1143"/>
      <c r="D54" s="1143"/>
      <c r="E54" s="1143"/>
      <c r="F54" s="1143"/>
      <c r="G54" s="119"/>
      <c r="H54" s="1151"/>
      <c r="I54" s="1157"/>
    </row>
    <row r="56" spans="3:12" x14ac:dyDescent="0.25">
      <c r="C56" t="s">
        <v>681</v>
      </c>
    </row>
    <row r="57" spans="3:12" x14ac:dyDescent="0.25">
      <c r="C57" s="1180" t="s">
        <v>682</v>
      </c>
      <c r="D57" s="1180"/>
      <c r="E57" s="1180"/>
      <c r="F57" s="1180"/>
      <c r="G57" s="1180"/>
      <c r="H57" s="1180"/>
    </row>
    <row r="58" spans="3:12" x14ac:dyDescent="0.25">
      <c r="C58" s="1180" t="s">
        <v>2829</v>
      </c>
      <c r="D58" s="1180"/>
      <c r="E58" s="1180"/>
      <c r="F58" s="1180"/>
      <c r="G58" s="1180"/>
      <c r="H58" s="1180"/>
    </row>
  </sheetData>
  <mergeCells count="46">
    <mergeCell ref="C58:H58"/>
    <mergeCell ref="C57:H57"/>
    <mergeCell ref="C3:H3"/>
    <mergeCell ref="C5:G5"/>
    <mergeCell ref="C6:G6"/>
    <mergeCell ref="C7:G7"/>
    <mergeCell ref="C21:G21"/>
    <mergeCell ref="C15:G15"/>
    <mergeCell ref="C8:G8"/>
    <mergeCell ref="C9:G9"/>
    <mergeCell ref="C16:G16"/>
    <mergeCell ref="C17:G17"/>
    <mergeCell ref="F32:G32"/>
    <mergeCell ref="G39:G40"/>
    <mergeCell ref="E40:E42"/>
    <mergeCell ref="C10:G10"/>
    <mergeCell ref="C12:G12"/>
    <mergeCell ref="C13:G13"/>
    <mergeCell ref="C11:G11"/>
    <mergeCell ref="C14:G14"/>
    <mergeCell ref="C19:G19"/>
    <mergeCell ref="C20:G20"/>
    <mergeCell ref="C18:G18"/>
    <mergeCell ref="D27:D29"/>
    <mergeCell ref="C53:C54"/>
    <mergeCell ref="D53:D54"/>
    <mergeCell ref="E53:E54"/>
    <mergeCell ref="F53:F54"/>
    <mergeCell ref="D49:E49"/>
    <mergeCell ref="D50:E50"/>
    <mergeCell ref="H53:H54"/>
    <mergeCell ref="F44:G44"/>
    <mergeCell ref="D47:E47"/>
    <mergeCell ref="D23:G23"/>
    <mergeCell ref="I53:I54"/>
    <mergeCell ref="E24:E26"/>
    <mergeCell ref="F25:F29"/>
    <mergeCell ref="E27:E29"/>
    <mergeCell ref="F31:G31"/>
    <mergeCell ref="D35:G35"/>
    <mergeCell ref="E36:E39"/>
    <mergeCell ref="D37:D42"/>
    <mergeCell ref="F37:F42"/>
    <mergeCell ref="F45:G45"/>
    <mergeCell ref="D48:E48"/>
    <mergeCell ref="D51:E51"/>
  </mergeCells>
  <pageMargins left="0.7" right="0.7" top="0.75" bottom="0.75" header="0.3" footer="0.3"/>
  <pageSetup paperSize="8" scale="62"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21202-C470-4E4E-8C8A-244001EF6AD2}">
  <dimension ref="A1:AP17"/>
  <sheetViews>
    <sheetView topLeftCell="Z1" zoomScale="85" zoomScaleNormal="85" workbookViewId="0">
      <pane ySplit="2" topLeftCell="A6" activePane="bottomLeft" state="frozen"/>
      <selection pane="bottomLeft" activeCell="AN10" sqref="AN10"/>
    </sheetView>
  </sheetViews>
  <sheetFormatPr baseColWidth="10" defaultColWidth="9.140625" defaultRowHeight="15" x14ac:dyDescent="0.25"/>
  <cols>
    <col min="17" max="17" width="26" customWidth="1"/>
    <col min="19" max="19" width="20.28515625" customWidth="1"/>
    <col min="28" max="28" width="7.28515625" customWidth="1"/>
    <col min="31" max="31" width="16.42578125" customWidth="1"/>
    <col min="32" max="32" width="34.140625" customWidth="1"/>
    <col min="33" max="33" width="14.42578125" customWidth="1"/>
    <col min="37" max="37" width="11.140625" bestFit="1" customWidth="1"/>
    <col min="39" max="39" width="11.140625" bestFit="1" customWidth="1"/>
    <col min="40" max="40" width="15.5703125" customWidth="1"/>
  </cols>
  <sheetData>
    <row r="1" spans="1:42" hidden="1" x14ac:dyDescent="0.25"/>
    <row r="2" spans="1:42" ht="96" x14ac:dyDescent="0.25">
      <c r="A2" s="977" t="s">
        <v>9</v>
      </c>
      <c r="B2" s="978" t="s">
        <v>10</v>
      </c>
      <c r="C2" s="185" t="s">
        <v>11</v>
      </c>
      <c r="D2" s="185" t="s">
        <v>12</v>
      </c>
      <c r="E2" s="185" t="s">
        <v>13</v>
      </c>
      <c r="F2" s="185" t="s">
        <v>14</v>
      </c>
      <c r="G2" s="185" t="s">
        <v>15</v>
      </c>
      <c r="H2" s="185" t="s">
        <v>16</v>
      </c>
      <c r="I2" s="185" t="s">
        <v>17</v>
      </c>
      <c r="J2" s="185" t="s">
        <v>18</v>
      </c>
      <c r="K2" s="185" t="s">
        <v>19</v>
      </c>
      <c r="L2" s="186" t="s">
        <v>20</v>
      </c>
      <c r="M2" s="979" t="s">
        <v>21</v>
      </c>
      <c r="N2" s="980" t="s">
        <v>22</v>
      </c>
      <c r="O2" s="981" t="s">
        <v>25</v>
      </c>
      <c r="P2" s="977" t="s">
        <v>27</v>
      </c>
      <c r="Q2" s="979" t="s">
        <v>29</v>
      </c>
      <c r="R2" s="977" t="s">
        <v>30</v>
      </c>
      <c r="S2" s="982" t="s">
        <v>423</v>
      </c>
      <c r="T2" s="982" t="s">
        <v>683</v>
      </c>
      <c r="U2" s="982" t="s">
        <v>684</v>
      </c>
      <c r="V2" s="983" t="s">
        <v>439</v>
      </c>
      <c r="W2" s="983" t="s">
        <v>442</v>
      </c>
      <c r="X2" s="983" t="s">
        <v>443</v>
      </c>
      <c r="Y2" s="983" t="s">
        <v>444</v>
      </c>
      <c r="Z2" s="984" t="s">
        <v>685</v>
      </c>
      <c r="AA2" s="984" t="s">
        <v>449</v>
      </c>
      <c r="AB2" s="984" t="s">
        <v>450</v>
      </c>
      <c r="AC2" s="991" t="s">
        <v>686</v>
      </c>
      <c r="AD2" s="991" t="s">
        <v>687</v>
      </c>
      <c r="AE2" s="985" t="s">
        <v>688</v>
      </c>
      <c r="AF2" s="985" t="s">
        <v>689</v>
      </c>
      <c r="AG2" s="985" t="s">
        <v>690</v>
      </c>
      <c r="AH2" s="985" t="s">
        <v>691</v>
      </c>
      <c r="AI2" s="985" t="s">
        <v>692</v>
      </c>
      <c r="AJ2" s="985" t="s">
        <v>693</v>
      </c>
      <c r="AK2" s="985" t="s">
        <v>694</v>
      </c>
      <c r="AL2" s="985" t="s">
        <v>695</v>
      </c>
      <c r="AM2" s="985" t="s">
        <v>454</v>
      </c>
      <c r="AN2" s="985" t="s">
        <v>457</v>
      </c>
      <c r="AO2" s="985" t="s">
        <v>696</v>
      </c>
      <c r="AP2" s="985" t="s">
        <v>460</v>
      </c>
    </row>
    <row r="3" spans="1:42" ht="65.25" customHeight="1" x14ac:dyDescent="0.25">
      <c r="A3" s="202">
        <v>2026</v>
      </c>
      <c r="B3" s="204">
        <v>479</v>
      </c>
      <c r="C3" s="201" t="s">
        <v>64</v>
      </c>
      <c r="D3" s="201" t="s">
        <v>65</v>
      </c>
      <c r="E3" s="204">
        <v>125</v>
      </c>
      <c r="F3" s="204">
        <v>3000654</v>
      </c>
      <c r="G3" s="204">
        <v>5005023</v>
      </c>
      <c r="H3" s="204">
        <v>3</v>
      </c>
      <c r="I3" s="204">
        <v>12</v>
      </c>
      <c r="J3" s="204">
        <v>24</v>
      </c>
      <c r="K3" s="204">
        <v>135560</v>
      </c>
      <c r="L3" s="201" t="s">
        <v>66</v>
      </c>
      <c r="M3" s="294" t="s">
        <v>67</v>
      </c>
      <c r="N3" s="202">
        <v>95</v>
      </c>
      <c r="O3" s="204" t="s">
        <v>68</v>
      </c>
      <c r="P3" s="203" t="s">
        <v>76</v>
      </c>
      <c r="Q3" s="491" t="s">
        <v>77</v>
      </c>
      <c r="R3" s="203" t="s">
        <v>72</v>
      </c>
      <c r="S3" s="823">
        <f>20000000+43456744</f>
        <v>63456744</v>
      </c>
      <c r="T3" s="143" t="s">
        <v>697</v>
      </c>
      <c r="U3" s="1084" t="s">
        <v>698</v>
      </c>
      <c r="V3" s="1085" t="s">
        <v>484</v>
      </c>
      <c r="W3" s="1086" t="s">
        <v>474</v>
      </c>
      <c r="X3" s="1087" t="s">
        <v>485</v>
      </c>
      <c r="Y3" s="1088">
        <v>46178</v>
      </c>
      <c r="Z3" s="1089">
        <v>63456744</v>
      </c>
      <c r="AA3" s="1090" t="s">
        <v>487</v>
      </c>
      <c r="AB3" s="1090" t="s">
        <v>488</v>
      </c>
      <c r="AC3" s="1090"/>
      <c r="AD3" s="1090"/>
    </row>
    <row r="4" spans="1:42" ht="38.25" customHeight="1" x14ac:dyDescent="0.25">
      <c r="A4" s="202">
        <v>2026</v>
      </c>
      <c r="B4" s="204">
        <v>479</v>
      </c>
      <c r="C4" s="201" t="s">
        <v>64</v>
      </c>
      <c r="D4" s="201" t="s">
        <v>65</v>
      </c>
      <c r="E4" s="204">
        <v>125</v>
      </c>
      <c r="F4" s="204">
        <v>3000654</v>
      </c>
      <c r="G4" s="204">
        <v>5005023</v>
      </c>
      <c r="H4" s="204">
        <v>3</v>
      </c>
      <c r="I4" s="204">
        <v>12</v>
      </c>
      <c r="J4" s="204">
        <v>24</v>
      </c>
      <c r="K4" s="204">
        <v>135560</v>
      </c>
      <c r="L4" s="201" t="s">
        <v>66</v>
      </c>
      <c r="M4" s="294" t="s">
        <v>67</v>
      </c>
      <c r="N4" s="202">
        <v>95</v>
      </c>
      <c r="O4" s="204" t="s">
        <v>68</v>
      </c>
      <c r="P4" s="203" t="s">
        <v>76</v>
      </c>
      <c r="Q4" s="491" t="s">
        <v>77</v>
      </c>
      <c r="R4" s="203" t="s">
        <v>72</v>
      </c>
      <c r="S4" s="990">
        <v>6444512</v>
      </c>
      <c r="T4" s="143" t="s">
        <v>699</v>
      </c>
      <c r="U4" s="143"/>
      <c r="V4" s="143"/>
      <c r="W4" s="143"/>
      <c r="X4" s="143"/>
      <c r="Y4" s="143"/>
      <c r="Z4" s="325"/>
      <c r="AA4" s="325" t="s">
        <v>621</v>
      </c>
      <c r="AB4" s="325" t="s">
        <v>700</v>
      </c>
      <c r="AC4" s="325"/>
      <c r="AD4" s="325"/>
    </row>
    <row r="5" spans="1:42" ht="52.5" customHeight="1" x14ac:dyDescent="0.25">
      <c r="A5" s="202">
        <v>2026</v>
      </c>
      <c r="B5" s="204">
        <v>479</v>
      </c>
      <c r="C5" s="201" t="s">
        <v>64</v>
      </c>
      <c r="D5" s="201" t="s">
        <v>65</v>
      </c>
      <c r="E5" s="204">
        <v>125</v>
      </c>
      <c r="F5" s="204">
        <v>3000654</v>
      </c>
      <c r="G5" s="204">
        <v>5005023</v>
      </c>
      <c r="H5" s="204">
        <v>3</v>
      </c>
      <c r="I5" s="204">
        <v>12</v>
      </c>
      <c r="J5" s="204">
        <v>24</v>
      </c>
      <c r="K5" s="204">
        <v>135560</v>
      </c>
      <c r="L5" s="1195" t="s">
        <v>82</v>
      </c>
      <c r="M5" s="1195" t="s">
        <v>83</v>
      </c>
      <c r="N5" s="1195">
        <v>96</v>
      </c>
      <c r="O5" s="1195" t="s">
        <v>68</v>
      </c>
      <c r="P5" s="1195" t="s">
        <v>80</v>
      </c>
      <c r="Q5" s="1215" t="s">
        <v>84</v>
      </c>
      <c r="R5" s="203" t="s">
        <v>72</v>
      </c>
      <c r="S5" s="1201">
        <v>45000</v>
      </c>
      <c r="T5" s="1212" t="s">
        <v>701</v>
      </c>
      <c r="U5" s="1209"/>
      <c r="V5" s="1208" t="s">
        <v>516</v>
      </c>
      <c r="W5" s="1206" t="s">
        <v>474</v>
      </c>
      <c r="X5" s="1204" t="s">
        <v>517</v>
      </c>
      <c r="Y5" s="1204" t="s">
        <v>474</v>
      </c>
      <c r="Z5" s="1218">
        <v>32000</v>
      </c>
      <c r="AA5" s="1220" t="s">
        <v>701</v>
      </c>
      <c r="AB5" s="1192" t="s">
        <v>702</v>
      </c>
      <c r="AC5" s="1082"/>
      <c r="AD5" s="1082"/>
      <c r="AE5" s="142" t="s">
        <v>703</v>
      </c>
      <c r="AF5" s="142" t="s">
        <v>704</v>
      </c>
      <c r="AG5" s="143" t="s">
        <v>705</v>
      </c>
      <c r="AH5" s="1221">
        <v>1</v>
      </c>
      <c r="AI5" s="1222">
        <f>S5*AH5</f>
        <v>45000</v>
      </c>
      <c r="AJ5" s="94" t="s">
        <v>706</v>
      </c>
      <c r="AK5" s="471">
        <v>46177</v>
      </c>
      <c r="AL5" s="94" t="s">
        <v>707</v>
      </c>
      <c r="AM5" s="471">
        <v>46177</v>
      </c>
      <c r="AN5" s="94" t="s">
        <v>708</v>
      </c>
      <c r="AO5" s="1192" t="s">
        <v>479</v>
      </c>
      <c r="AP5" s="1192" t="s">
        <v>479</v>
      </c>
    </row>
    <row r="6" spans="1:42" ht="52.5" customHeight="1" x14ac:dyDescent="0.25">
      <c r="A6" s="202">
        <v>2026</v>
      </c>
      <c r="B6" s="204">
        <v>479</v>
      </c>
      <c r="C6" s="201" t="s">
        <v>64</v>
      </c>
      <c r="D6" s="201" t="s">
        <v>65</v>
      </c>
      <c r="E6" s="204">
        <v>125</v>
      </c>
      <c r="F6" s="204">
        <v>3000654</v>
      </c>
      <c r="G6" s="204">
        <v>5005023</v>
      </c>
      <c r="H6" s="204">
        <v>3</v>
      </c>
      <c r="I6" s="204">
        <v>12</v>
      </c>
      <c r="J6" s="204">
        <v>24</v>
      </c>
      <c r="K6" s="204">
        <v>135560</v>
      </c>
      <c r="L6" s="1196" t="s">
        <v>82</v>
      </c>
      <c r="M6" s="1196" t="s">
        <v>83</v>
      </c>
      <c r="N6" s="1196">
        <v>96</v>
      </c>
      <c r="O6" s="1196" t="s">
        <v>68</v>
      </c>
      <c r="P6" s="1196" t="s">
        <v>80</v>
      </c>
      <c r="Q6" s="1216" t="s">
        <v>84</v>
      </c>
      <c r="R6" s="203" t="s">
        <v>72</v>
      </c>
      <c r="S6" s="1202"/>
      <c r="T6" s="1213"/>
      <c r="U6" s="1210"/>
      <c r="V6" s="1208"/>
      <c r="W6" s="1206"/>
      <c r="X6" s="1204"/>
      <c r="Y6" s="1204"/>
      <c r="Z6" s="1218"/>
      <c r="AA6" s="1220"/>
      <c r="AB6" s="1192"/>
      <c r="AC6" s="1082"/>
      <c r="AD6" s="1082"/>
      <c r="AE6" s="142" t="s">
        <v>709</v>
      </c>
      <c r="AF6" s="142" t="s">
        <v>710</v>
      </c>
      <c r="AG6" s="143" t="s">
        <v>711</v>
      </c>
      <c r="AH6" s="1221"/>
      <c r="AI6" s="1222"/>
      <c r="AJ6" s="94" t="s">
        <v>712</v>
      </c>
      <c r="AK6" s="94"/>
      <c r="AL6" s="94"/>
      <c r="AM6" s="94"/>
      <c r="AN6" s="94" t="s">
        <v>713</v>
      </c>
      <c r="AO6" s="1192"/>
      <c r="AP6" s="1192" t="s">
        <v>479</v>
      </c>
    </row>
    <row r="7" spans="1:42" s="94" customFormat="1" ht="52.5" customHeight="1" x14ac:dyDescent="0.25">
      <c r="A7" s="1091">
        <v>2026</v>
      </c>
      <c r="B7" s="1092">
        <v>479</v>
      </c>
      <c r="C7" s="1093" t="s">
        <v>64</v>
      </c>
      <c r="D7" s="1093" t="s">
        <v>65</v>
      </c>
      <c r="E7" s="1092">
        <v>125</v>
      </c>
      <c r="F7" s="1092">
        <v>3000654</v>
      </c>
      <c r="G7" s="1092">
        <v>5005023</v>
      </c>
      <c r="H7" s="1092">
        <v>3</v>
      </c>
      <c r="I7" s="1092">
        <v>12</v>
      </c>
      <c r="J7" s="1092">
        <v>24</v>
      </c>
      <c r="K7" s="1092">
        <v>135560</v>
      </c>
      <c r="L7" s="1197" t="s">
        <v>82</v>
      </c>
      <c r="M7" s="1197" t="s">
        <v>83</v>
      </c>
      <c r="N7" s="1197">
        <v>96</v>
      </c>
      <c r="O7" s="1197" t="s">
        <v>68</v>
      </c>
      <c r="P7" s="1197" t="s">
        <v>80</v>
      </c>
      <c r="Q7" s="1217" t="s">
        <v>84</v>
      </c>
      <c r="R7" s="717" t="s">
        <v>72</v>
      </c>
      <c r="S7" s="1203"/>
      <c r="T7" s="1214"/>
      <c r="U7" s="1211"/>
      <c r="V7" s="1208"/>
      <c r="W7" s="1207"/>
      <c r="X7" s="1205"/>
      <c r="Y7" s="1205"/>
      <c r="Z7" s="1219"/>
      <c r="AA7" s="1220"/>
      <c r="AB7" s="1192"/>
      <c r="AC7" s="1082"/>
      <c r="AD7" s="1082"/>
      <c r="AE7" s="143" t="s">
        <v>714</v>
      </c>
      <c r="AF7" s="143" t="s">
        <v>715</v>
      </c>
      <c r="AG7" s="143" t="s">
        <v>716</v>
      </c>
      <c r="AH7" s="1221"/>
      <c r="AI7" s="1222"/>
      <c r="AO7" s="1192"/>
      <c r="AP7" s="1192" t="s">
        <v>479</v>
      </c>
    </row>
    <row r="8" spans="1:42" s="94" customFormat="1" ht="33" customHeight="1" x14ac:dyDescent="0.25">
      <c r="A8" s="1198">
        <v>2026</v>
      </c>
      <c r="B8" s="1199">
        <v>479</v>
      </c>
      <c r="C8" s="1199" t="s">
        <v>64</v>
      </c>
      <c r="D8" s="1199" t="s">
        <v>65</v>
      </c>
      <c r="E8" s="1199">
        <v>125</v>
      </c>
      <c r="F8" s="1199">
        <v>3000654</v>
      </c>
      <c r="G8" s="1199">
        <v>5005023</v>
      </c>
      <c r="H8" s="1199">
        <v>3</v>
      </c>
      <c r="I8" s="1199">
        <v>12</v>
      </c>
      <c r="J8" s="1199">
        <v>24</v>
      </c>
      <c r="K8" s="1199">
        <v>135560</v>
      </c>
      <c r="L8" s="1199" t="s">
        <v>98</v>
      </c>
      <c r="M8" s="1199" t="s">
        <v>99</v>
      </c>
      <c r="N8" s="1199">
        <v>94</v>
      </c>
      <c r="O8" s="1199" t="s">
        <v>68</v>
      </c>
      <c r="P8" s="1199" t="s">
        <v>76</v>
      </c>
      <c r="Q8" s="1199" t="s">
        <v>107</v>
      </c>
      <c r="R8" s="1199" t="s">
        <v>72</v>
      </c>
      <c r="S8" s="1199">
        <v>250000</v>
      </c>
      <c r="T8" s="1199" t="s">
        <v>717</v>
      </c>
      <c r="U8" s="1199"/>
      <c r="V8" s="1199" t="s">
        <v>548</v>
      </c>
      <c r="W8" s="1199" t="s">
        <v>474</v>
      </c>
      <c r="X8" s="1199" t="s">
        <v>549</v>
      </c>
      <c r="Y8" s="1199">
        <v>46164</v>
      </c>
      <c r="Z8" s="1199">
        <v>236000</v>
      </c>
      <c r="AA8" s="1199" t="s">
        <v>717</v>
      </c>
      <c r="AB8" s="1223"/>
      <c r="AC8" s="1083"/>
      <c r="AD8" s="1083"/>
      <c r="AE8" s="1082" t="s">
        <v>718</v>
      </c>
      <c r="AF8" s="1082" t="s">
        <v>719</v>
      </c>
      <c r="AG8" s="1082" t="s">
        <v>720</v>
      </c>
      <c r="AH8" s="1094">
        <v>0.5</v>
      </c>
      <c r="AI8" s="94">
        <f>Z8*AH8</f>
        <v>118000</v>
      </c>
      <c r="AJ8" s="94" t="s">
        <v>552</v>
      </c>
      <c r="AK8" s="471">
        <v>46183</v>
      </c>
      <c r="AL8" s="94" t="s">
        <v>553</v>
      </c>
      <c r="AM8" s="471">
        <v>46183</v>
      </c>
      <c r="AN8" s="471" t="s">
        <v>721</v>
      </c>
    </row>
    <row r="9" spans="1:42" s="94" customFormat="1" ht="34.5" customHeight="1" x14ac:dyDescent="0.25">
      <c r="A9" s="1198"/>
      <c r="B9" s="1200"/>
      <c r="C9" s="1200"/>
      <c r="D9" s="1200"/>
      <c r="E9" s="1200"/>
      <c r="F9" s="1200"/>
      <c r="G9" s="1200"/>
      <c r="H9" s="1200"/>
      <c r="I9" s="1200"/>
      <c r="J9" s="1200"/>
      <c r="K9" s="1200"/>
      <c r="L9" s="1200"/>
      <c r="M9" s="1200"/>
      <c r="N9" s="1200"/>
      <c r="O9" s="1200"/>
      <c r="P9" s="1200"/>
      <c r="Q9" s="1200"/>
      <c r="R9" s="1200"/>
      <c r="S9" s="1200"/>
      <c r="T9" s="1200"/>
      <c r="U9" s="1200"/>
      <c r="V9" s="1200"/>
      <c r="W9" s="1200"/>
      <c r="X9" s="1200"/>
      <c r="Y9" s="1200"/>
      <c r="Z9" s="1200"/>
      <c r="AA9" s="1200"/>
      <c r="AB9" s="1223"/>
      <c r="AC9" s="1083"/>
      <c r="AD9" s="1083"/>
      <c r="AE9" s="1082" t="s">
        <v>722</v>
      </c>
      <c r="AF9" s="1082" t="s">
        <v>723</v>
      </c>
      <c r="AG9" s="1082" t="s">
        <v>724</v>
      </c>
      <c r="AH9" s="1094">
        <v>0.5</v>
      </c>
      <c r="AI9" s="94">
        <f>Z8*AH9</f>
        <v>118000</v>
      </c>
      <c r="AJ9" s="94" t="s">
        <v>2831</v>
      </c>
      <c r="AK9" s="471">
        <v>46211</v>
      </c>
      <c r="AL9" s="94" t="s">
        <v>2832</v>
      </c>
      <c r="AM9" s="471">
        <v>46211</v>
      </c>
      <c r="AN9" s="94" t="s">
        <v>2833</v>
      </c>
    </row>
    <row r="10" spans="1:42" s="989" customFormat="1" ht="59.25" customHeight="1" x14ac:dyDescent="0.25">
      <c r="A10" s="1096">
        <v>2026</v>
      </c>
      <c r="B10" s="1097">
        <v>479</v>
      </c>
      <c r="C10" s="1098" t="s">
        <v>64</v>
      </c>
      <c r="D10" s="1098" t="s">
        <v>65</v>
      </c>
      <c r="E10" s="1097">
        <v>125</v>
      </c>
      <c r="F10" s="1097">
        <v>3000654</v>
      </c>
      <c r="G10" s="1097">
        <v>5005023</v>
      </c>
      <c r="H10" s="1097">
        <v>3</v>
      </c>
      <c r="I10" s="1097">
        <v>12</v>
      </c>
      <c r="J10" s="1097">
        <v>24</v>
      </c>
      <c r="K10" s="1097">
        <v>135560</v>
      </c>
      <c r="L10" s="1098" t="s">
        <v>66</v>
      </c>
      <c r="M10" s="1099" t="s">
        <v>67</v>
      </c>
      <c r="N10" s="1096">
        <v>95</v>
      </c>
      <c r="O10" s="1097" t="s">
        <v>68</v>
      </c>
      <c r="P10" s="1100" t="s">
        <v>70</v>
      </c>
      <c r="Q10" s="122" t="s">
        <v>78</v>
      </c>
      <c r="R10" s="1081" t="s">
        <v>72</v>
      </c>
      <c r="S10" s="1101">
        <v>1169000</v>
      </c>
      <c r="T10" s="1102" t="s">
        <v>717</v>
      </c>
      <c r="V10" s="1103" t="s">
        <v>495</v>
      </c>
      <c r="W10" s="1102" t="s">
        <v>474</v>
      </c>
      <c r="X10" s="1104" t="s">
        <v>496</v>
      </c>
      <c r="Y10" s="1105">
        <v>46157</v>
      </c>
      <c r="Z10" s="1106">
        <v>303062.5</v>
      </c>
      <c r="AA10" s="1101" t="s">
        <v>717</v>
      </c>
      <c r="AC10" s="989" t="s">
        <v>725</v>
      </c>
      <c r="AD10" s="989" t="s">
        <v>726</v>
      </c>
      <c r="AE10" s="330" t="s">
        <v>727</v>
      </c>
      <c r="AF10" s="989" t="s">
        <v>2836</v>
      </c>
      <c r="AG10" s="989" t="s">
        <v>728</v>
      </c>
      <c r="AH10" s="993">
        <v>1</v>
      </c>
      <c r="AI10" s="992"/>
      <c r="AJ10" s="992" t="s">
        <v>2834</v>
      </c>
      <c r="AK10" s="1107">
        <v>46210</v>
      </c>
      <c r="AL10" s="992" t="s">
        <v>2835</v>
      </c>
      <c r="AM10" s="1107">
        <v>46210</v>
      </c>
      <c r="AN10" s="992" t="s">
        <v>2837</v>
      </c>
      <c r="AO10" s="992"/>
      <c r="AP10" s="992"/>
    </row>
    <row r="11" spans="1:42" ht="38.25" customHeight="1" x14ac:dyDescent="0.25">
      <c r="A11" s="1193">
        <v>2026</v>
      </c>
      <c r="B11" s="1193">
        <v>479</v>
      </c>
      <c r="C11" s="1193" t="s">
        <v>64</v>
      </c>
      <c r="D11" s="1193" t="s">
        <v>65</v>
      </c>
      <c r="E11" s="1193">
        <v>125</v>
      </c>
      <c r="F11" s="1193">
        <v>3000654</v>
      </c>
      <c r="G11" s="1193">
        <v>5005023</v>
      </c>
      <c r="H11" s="1193">
        <v>3</v>
      </c>
      <c r="I11" s="1193">
        <v>12</v>
      </c>
      <c r="J11" s="1193">
        <v>24</v>
      </c>
      <c r="K11" s="1193">
        <v>135560</v>
      </c>
      <c r="L11" s="1193" t="s">
        <v>66</v>
      </c>
      <c r="M11" s="1193" t="s">
        <v>67</v>
      </c>
      <c r="N11" s="1193">
        <v>95</v>
      </c>
      <c r="O11" s="1193" t="s">
        <v>68</v>
      </c>
      <c r="P11" s="1193" t="s">
        <v>70</v>
      </c>
      <c r="Q11" s="1193" t="s">
        <v>79</v>
      </c>
      <c r="R11" s="1199" t="s">
        <v>72</v>
      </c>
      <c r="S11" s="1193">
        <f>2500000+2022146</f>
        <v>4522146</v>
      </c>
      <c r="T11" s="1193" t="s">
        <v>729</v>
      </c>
      <c r="U11" s="1193"/>
      <c r="V11" s="1193" t="s">
        <v>506</v>
      </c>
      <c r="W11" s="1193" t="s">
        <v>474</v>
      </c>
      <c r="X11" s="1193" t="s">
        <v>730</v>
      </c>
      <c r="Y11" s="1193">
        <v>46163</v>
      </c>
      <c r="Z11" s="1193">
        <v>4522144.09</v>
      </c>
      <c r="AA11" s="1193" t="s">
        <v>717</v>
      </c>
      <c r="AC11" s="1192" t="s">
        <v>731</v>
      </c>
      <c r="AD11" s="1192" t="s">
        <v>508</v>
      </c>
      <c r="AE11" s="1082" t="s">
        <v>718</v>
      </c>
      <c r="AF11" s="94" t="s">
        <v>732</v>
      </c>
      <c r="AG11" s="94" t="s">
        <v>733</v>
      </c>
      <c r="AH11" s="1094">
        <v>0.5</v>
      </c>
    </row>
    <row r="12" spans="1:42" ht="38.25" customHeight="1" x14ac:dyDescent="0.25">
      <c r="A12" s="1194"/>
      <c r="B12" s="1194"/>
      <c r="C12" s="1194"/>
      <c r="D12" s="1194"/>
      <c r="E12" s="1194"/>
      <c r="F12" s="1194"/>
      <c r="G12" s="1194"/>
      <c r="H12" s="1194"/>
      <c r="I12" s="1194"/>
      <c r="J12" s="1194"/>
      <c r="K12" s="1194"/>
      <c r="L12" s="1194"/>
      <c r="M12" s="1194"/>
      <c r="N12" s="1194"/>
      <c r="O12" s="1194"/>
      <c r="P12" s="1194"/>
      <c r="Q12" s="1194"/>
      <c r="R12" s="1200"/>
      <c r="S12" s="1194"/>
      <c r="T12" s="1194"/>
      <c r="U12" s="1194"/>
      <c r="V12" s="1194"/>
      <c r="W12" s="1194"/>
      <c r="X12" s="1194"/>
      <c r="Y12" s="1194"/>
      <c r="Z12" s="1194"/>
      <c r="AA12" s="1194"/>
      <c r="AC12" s="1192"/>
      <c r="AD12" s="1192"/>
      <c r="AE12" s="1082" t="s">
        <v>722</v>
      </c>
      <c r="AF12" s="94" t="s">
        <v>734</v>
      </c>
      <c r="AG12" s="94" t="s">
        <v>735</v>
      </c>
      <c r="AH12" s="1094">
        <v>0.5</v>
      </c>
      <c r="AJ12" t="s">
        <v>736</v>
      </c>
      <c r="AK12" s="140">
        <v>46196</v>
      </c>
      <c r="AL12" t="s">
        <v>737</v>
      </c>
      <c r="AM12" s="140">
        <v>46197</v>
      </c>
      <c r="AN12" t="s">
        <v>738</v>
      </c>
    </row>
    <row r="13" spans="1:42" s="143" customFormat="1" ht="24" customHeight="1" x14ac:dyDescent="0.25">
      <c r="A13" s="1192">
        <v>2026</v>
      </c>
      <c r="B13" s="1192">
        <v>479</v>
      </c>
      <c r="C13" s="1192" t="s">
        <v>64</v>
      </c>
      <c r="D13" s="1192" t="s">
        <v>65</v>
      </c>
      <c r="E13" s="1192">
        <v>125</v>
      </c>
      <c r="F13" s="1192">
        <v>3000654</v>
      </c>
      <c r="G13" s="1192">
        <v>5005023</v>
      </c>
      <c r="H13" s="1192">
        <v>3</v>
      </c>
      <c r="I13" s="1192">
        <v>12</v>
      </c>
      <c r="J13" s="1192">
        <v>24</v>
      </c>
      <c r="K13" s="1192">
        <v>135560</v>
      </c>
      <c r="L13" s="1192" t="s">
        <v>66</v>
      </c>
      <c r="M13" s="1192" t="s">
        <v>67</v>
      </c>
      <c r="N13" s="1192"/>
      <c r="O13" s="1192"/>
      <c r="P13" s="1192" t="s">
        <v>80</v>
      </c>
      <c r="Q13" s="1192" t="s">
        <v>88</v>
      </c>
      <c r="R13" s="1192" t="s">
        <v>72</v>
      </c>
      <c r="S13" s="1192">
        <v>55829</v>
      </c>
      <c r="T13" s="1192" t="s">
        <v>476</v>
      </c>
      <c r="U13" s="1192"/>
      <c r="V13" s="1192"/>
      <c r="W13" s="1192" t="s">
        <v>479</v>
      </c>
      <c r="X13" s="1192"/>
      <c r="Y13" s="1192"/>
      <c r="Z13" s="1192"/>
      <c r="AA13" s="1192"/>
      <c r="AB13" s="1192"/>
      <c r="AC13" s="1192"/>
      <c r="AD13" s="1192"/>
      <c r="AE13" s="143" t="s">
        <v>727</v>
      </c>
      <c r="AF13" s="1095" t="s">
        <v>739</v>
      </c>
      <c r="AG13" s="143" t="s">
        <v>740</v>
      </c>
    </row>
    <row r="14" spans="1:42" s="143" customFormat="1" ht="21.75" customHeight="1" x14ac:dyDescent="0.25">
      <c r="A14" s="1192"/>
      <c r="B14" s="1192"/>
      <c r="C14" s="1192"/>
      <c r="D14" s="1192"/>
      <c r="E14" s="1192"/>
      <c r="F14" s="1192"/>
      <c r="G14" s="1192"/>
      <c r="H14" s="1192"/>
      <c r="I14" s="1192"/>
      <c r="J14" s="1192"/>
      <c r="K14" s="1192"/>
      <c r="L14" s="1192"/>
      <c r="M14" s="1192"/>
      <c r="N14" s="1192"/>
      <c r="O14" s="1192"/>
      <c r="P14" s="1192"/>
      <c r="Q14" s="1192"/>
      <c r="R14" s="1192"/>
      <c r="S14" s="1192"/>
      <c r="T14" s="1192"/>
      <c r="U14" s="1192"/>
      <c r="V14" s="1192"/>
      <c r="W14" s="1192"/>
      <c r="X14" s="1192"/>
      <c r="Y14" s="1192"/>
      <c r="Z14" s="1192"/>
      <c r="AA14" s="1192"/>
      <c r="AB14" s="1192"/>
      <c r="AC14" s="1192"/>
      <c r="AD14" s="1192"/>
      <c r="AE14" s="1082" t="s">
        <v>722</v>
      </c>
      <c r="AF14" s="143" t="s">
        <v>741</v>
      </c>
      <c r="AG14" s="143" t="s">
        <v>742</v>
      </c>
    </row>
    <row r="15" spans="1:42" s="143" customFormat="1" ht="29.25" customHeight="1" x14ac:dyDescent="0.25">
      <c r="A15" s="1224">
        <v>2026</v>
      </c>
      <c r="B15" s="1224">
        <v>479</v>
      </c>
      <c r="C15" s="1224" t="s">
        <v>64</v>
      </c>
      <c r="D15" s="1224" t="s">
        <v>65</v>
      </c>
      <c r="E15" s="1224">
        <v>125</v>
      </c>
      <c r="F15" s="1224">
        <v>3000654</v>
      </c>
      <c r="G15" s="1224">
        <v>5005023</v>
      </c>
      <c r="H15" s="1224">
        <v>3</v>
      </c>
      <c r="I15" s="1224">
        <v>12</v>
      </c>
      <c r="J15" s="1224">
        <v>24</v>
      </c>
      <c r="K15" s="1224">
        <v>135560</v>
      </c>
      <c r="L15" s="1224" t="s">
        <v>66</v>
      </c>
      <c r="M15" s="1224" t="s">
        <v>67</v>
      </c>
      <c r="N15" s="1224"/>
      <c r="O15" s="1224"/>
      <c r="P15" s="1225" t="s">
        <v>80</v>
      </c>
      <c r="Q15" s="1225" t="s">
        <v>88</v>
      </c>
      <c r="R15" s="1225" t="s">
        <v>72</v>
      </c>
      <c r="S15" s="1225">
        <v>420000</v>
      </c>
      <c r="T15" s="1225" t="s">
        <v>697</v>
      </c>
      <c r="U15" s="1225"/>
      <c r="V15" s="1225" t="s">
        <v>527</v>
      </c>
      <c r="W15" s="1225" t="s">
        <v>474</v>
      </c>
      <c r="X15" s="1225" t="s">
        <v>528</v>
      </c>
      <c r="Y15" s="1225">
        <v>46162</v>
      </c>
      <c r="Z15" s="1225">
        <v>152598.47</v>
      </c>
      <c r="AA15" s="1225" t="s">
        <v>743</v>
      </c>
      <c r="AB15" s="1225" t="s">
        <v>530</v>
      </c>
      <c r="AC15" s="1225"/>
      <c r="AD15" s="1225" t="s">
        <v>529</v>
      </c>
      <c r="AE15" s="143" t="s">
        <v>718</v>
      </c>
      <c r="AF15" s="143" t="s">
        <v>744</v>
      </c>
      <c r="AG15" s="143" t="s">
        <v>745</v>
      </c>
      <c r="AN15" s="143" t="s">
        <v>2816</v>
      </c>
    </row>
    <row r="16" spans="1:42" s="143" customFormat="1" ht="29.25" customHeight="1" x14ac:dyDescent="0.25">
      <c r="A16" s="1224"/>
      <c r="B16" s="1224"/>
      <c r="C16" s="1224"/>
      <c r="D16" s="1224"/>
      <c r="E16" s="1224"/>
      <c r="F16" s="1224"/>
      <c r="G16" s="1224"/>
      <c r="H16" s="1224"/>
      <c r="I16" s="1224"/>
      <c r="J16" s="1224"/>
      <c r="K16" s="1224"/>
      <c r="L16" s="1224"/>
      <c r="M16" s="1224"/>
      <c r="N16" s="1224"/>
      <c r="O16" s="1224"/>
      <c r="P16" s="1225"/>
      <c r="Q16" s="1225"/>
      <c r="R16" s="1225"/>
      <c r="S16" s="1225"/>
      <c r="T16" s="1225"/>
      <c r="U16" s="1225"/>
      <c r="V16" s="1225"/>
      <c r="W16" s="1225"/>
      <c r="X16" s="1225"/>
      <c r="Y16" s="1225"/>
      <c r="Z16" s="1225"/>
      <c r="AA16" s="1225"/>
      <c r="AB16" s="1225"/>
      <c r="AC16" s="1225"/>
      <c r="AD16" s="1225"/>
      <c r="AE16" s="143" t="s">
        <v>722</v>
      </c>
      <c r="AF16" s="143" t="s">
        <v>746</v>
      </c>
      <c r="AG16" s="143" t="s">
        <v>747</v>
      </c>
    </row>
    <row r="17" spans="16:33" s="143" customFormat="1" ht="78.75" customHeight="1" x14ac:dyDescent="0.25">
      <c r="P17" s="1225"/>
      <c r="Q17" s="1225"/>
      <c r="R17" s="1225"/>
      <c r="S17" s="1225"/>
      <c r="T17" s="1225"/>
      <c r="U17" s="1225"/>
      <c r="V17" s="1225"/>
      <c r="W17" s="1225"/>
      <c r="X17" s="1225"/>
      <c r="Y17" s="1225"/>
      <c r="Z17" s="1225"/>
      <c r="AA17" s="1225"/>
      <c r="AB17" s="1225"/>
      <c r="AC17" s="1225"/>
      <c r="AD17" s="1225"/>
      <c r="AE17" s="143" t="s">
        <v>748</v>
      </c>
      <c r="AF17" s="143" t="s">
        <v>749</v>
      </c>
      <c r="AG17" s="143" t="s">
        <v>750</v>
      </c>
    </row>
  </sheetData>
  <autoFilter ref="A2:AP17" xr:uid="{5BA21202-C470-4E4E-8C8A-244001EF6AD2}"/>
  <mergeCells count="137">
    <mergeCell ref="AD15:AD17"/>
    <mergeCell ref="J15:J16"/>
    <mergeCell ref="K15:K16"/>
    <mergeCell ref="L15:L16"/>
    <mergeCell ref="M15:M16"/>
    <mergeCell ref="N15:N16"/>
    <mergeCell ref="O15:O16"/>
    <mergeCell ref="T15:T17"/>
    <mergeCell ref="P15:P17"/>
    <mergeCell ref="Q15:Q17"/>
    <mergeCell ref="R15:R17"/>
    <mergeCell ref="S15:S17"/>
    <mergeCell ref="U15:U17"/>
    <mergeCell ref="V15:V17"/>
    <mergeCell ref="W15:W17"/>
    <mergeCell ref="X15:X17"/>
    <mergeCell ref="Y15:Y17"/>
    <mergeCell ref="Z15:Z17"/>
    <mergeCell ref="AA15:AA17"/>
    <mergeCell ref="AB15:AB17"/>
    <mergeCell ref="AC15:AC17"/>
    <mergeCell ref="A15:A16"/>
    <mergeCell ref="B15:B16"/>
    <mergeCell ref="C15:C16"/>
    <mergeCell ref="D15:D16"/>
    <mergeCell ref="E15:E16"/>
    <mergeCell ref="F15:F16"/>
    <mergeCell ref="G15:G16"/>
    <mergeCell ref="H15:H16"/>
    <mergeCell ref="I15:I16"/>
    <mergeCell ref="W11:W12"/>
    <mergeCell ref="X11:X12"/>
    <mergeCell ref="Y11:Y12"/>
    <mergeCell ref="AP5:AP7"/>
    <mergeCell ref="Z5:Z7"/>
    <mergeCell ref="AA5:AA7"/>
    <mergeCell ref="AB5:AB7"/>
    <mergeCell ref="AH5:AH7"/>
    <mergeCell ref="AI5:AI7"/>
    <mergeCell ref="Z11:Z12"/>
    <mergeCell ref="AC11:AC12"/>
    <mergeCell ref="AD11:AD12"/>
    <mergeCell ref="AA11:AA12"/>
    <mergeCell ref="AO5:AO7"/>
    <mergeCell ref="AB8:AB9"/>
    <mergeCell ref="Z8:Z9"/>
    <mergeCell ref="AA8:AA9"/>
    <mergeCell ref="G8:G9"/>
    <mergeCell ref="H8:H9"/>
    <mergeCell ref="I8:I9"/>
    <mergeCell ref="J8:J9"/>
    <mergeCell ref="S5:S7"/>
    <mergeCell ref="X5:X7"/>
    <mergeCell ref="Y5:Y7"/>
    <mergeCell ref="W5:W7"/>
    <mergeCell ref="V5:V7"/>
    <mergeCell ref="U5:U7"/>
    <mergeCell ref="T5:T7"/>
    <mergeCell ref="O8:O9"/>
    <mergeCell ref="P8:P9"/>
    <mergeCell ref="Q8:Q9"/>
    <mergeCell ref="R8:R9"/>
    <mergeCell ref="W8:W9"/>
    <mergeCell ref="X8:X9"/>
    <mergeCell ref="Y8:Y9"/>
    <mergeCell ref="S8:S9"/>
    <mergeCell ref="T8:T9"/>
    <mergeCell ref="U8:U9"/>
    <mergeCell ref="V8:V9"/>
    <mergeCell ref="P5:P7"/>
    <mergeCell ref="Q5:Q7"/>
    <mergeCell ref="R11:R12"/>
    <mergeCell ref="S11:S12"/>
    <mergeCell ref="T11:T12"/>
    <mergeCell ref="U11:U12"/>
    <mergeCell ref="V11:V12"/>
    <mergeCell ref="P11:P12"/>
    <mergeCell ref="Q11:Q12"/>
    <mergeCell ref="F11:F12"/>
    <mergeCell ref="G11:G12"/>
    <mergeCell ref="H11:H12"/>
    <mergeCell ref="I11:I12"/>
    <mergeCell ref="J11:J12"/>
    <mergeCell ref="A11:A12"/>
    <mergeCell ref="B11:B12"/>
    <mergeCell ref="C11:C12"/>
    <mergeCell ref="D11:D12"/>
    <mergeCell ref="E11:E12"/>
    <mergeCell ref="L5:L7"/>
    <mergeCell ref="M5:M7"/>
    <mergeCell ref="N5:N7"/>
    <mergeCell ref="O5:O7"/>
    <mergeCell ref="A8:A9"/>
    <mergeCell ref="B8:B9"/>
    <mergeCell ref="C8:C9"/>
    <mergeCell ref="D8:D9"/>
    <mergeCell ref="E8:E9"/>
    <mergeCell ref="K11:K12"/>
    <mergeCell ref="L11:L12"/>
    <mergeCell ref="M11:M12"/>
    <mergeCell ref="N11:N12"/>
    <mergeCell ref="O11:O12"/>
    <mergeCell ref="K8:K9"/>
    <mergeCell ref="L8:L9"/>
    <mergeCell ref="M8:M9"/>
    <mergeCell ref="N8:N9"/>
    <mergeCell ref="F8:F9"/>
    <mergeCell ref="R13:R14"/>
    <mergeCell ref="AD13:AD14"/>
    <mergeCell ref="Q13:Q14"/>
    <mergeCell ref="S13:S14"/>
    <mergeCell ref="T13:T14"/>
    <mergeCell ref="U13:U14"/>
    <mergeCell ref="V13:V14"/>
    <mergeCell ref="W13:W14"/>
    <mergeCell ref="X13:X14"/>
    <mergeCell ref="Y13:Y14"/>
    <mergeCell ref="Z13:Z14"/>
    <mergeCell ref="AA13:AA14"/>
    <mergeCell ref="AB13:AB14"/>
    <mergeCell ref="AC13:AC14"/>
    <mergeCell ref="P13:P14"/>
    <mergeCell ref="A13:A14"/>
    <mergeCell ref="B13:B14"/>
    <mergeCell ref="C13:C14"/>
    <mergeCell ref="D13:D14"/>
    <mergeCell ref="E13:E14"/>
    <mergeCell ref="F13:F14"/>
    <mergeCell ref="G13:G14"/>
    <mergeCell ref="H13:H14"/>
    <mergeCell ref="I13:I14"/>
    <mergeCell ref="J13:J14"/>
    <mergeCell ref="K13:K14"/>
    <mergeCell ref="L13:L14"/>
    <mergeCell ref="M13:M14"/>
    <mergeCell ref="N13:N14"/>
    <mergeCell ref="O13:O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526A2-E432-4A9A-AAC7-044978E38A4C}">
  <sheetPr filterMode="1">
    <tabColor rgb="FFFFC000"/>
  </sheetPr>
  <dimension ref="A1:XEX797"/>
  <sheetViews>
    <sheetView zoomScale="85" zoomScaleNormal="85" workbookViewId="0">
      <pane ySplit="2" topLeftCell="A615" activePane="bottomLeft" state="frozen"/>
      <selection pane="bottomLeft" activeCell="U607" sqref="U607"/>
    </sheetView>
  </sheetViews>
  <sheetFormatPr baseColWidth="10" defaultColWidth="11.42578125" defaultRowHeight="15" outlineLevelCol="1" x14ac:dyDescent="0.25"/>
  <cols>
    <col min="1" max="1" width="7.28515625" customWidth="1"/>
    <col min="2" max="11" width="11.42578125" customWidth="1"/>
    <col min="12" max="12" width="18" customWidth="1"/>
    <col min="13" max="13" width="21.5703125" customWidth="1"/>
    <col min="14" max="14" width="11.42578125" style="71" bestFit="1" customWidth="1"/>
    <col min="15" max="15" width="4.7109375" customWidth="1"/>
    <col min="16" max="16" width="6.140625" customWidth="1"/>
    <col min="18" max="18" width="5.140625" customWidth="1"/>
    <col min="19" max="19" width="11.42578125" bestFit="1" customWidth="1"/>
    <col min="20" max="20" width="3.28515625" style="4" customWidth="1"/>
    <col min="21" max="21" width="57.140625" customWidth="1"/>
    <col min="22" max="22" width="11.42578125" customWidth="1"/>
    <col min="23" max="23" width="11.42578125" style="71" customWidth="1"/>
    <col min="24" max="24" width="11.42578125" customWidth="1"/>
    <col min="25" max="28" width="9.28515625" customWidth="1" outlineLevel="1"/>
    <col min="29" max="30" width="9.28515625" style="71" customWidth="1" outlineLevel="1"/>
    <col min="31" max="31" width="5.7109375" customWidth="1" outlineLevel="1"/>
    <col min="32" max="36" width="1.85546875" customWidth="1" outlineLevel="1"/>
    <col min="37" max="37" width="19.7109375" style="71" customWidth="1"/>
    <col min="38" max="41" width="6.42578125" customWidth="1" outlineLevel="1"/>
    <col min="42" max="42" width="14.28515625" style="266" customWidth="1" outlineLevel="1"/>
    <col min="43" max="43" width="15.140625" style="266" customWidth="1" outlineLevel="1"/>
    <col min="44" max="49" width="6.42578125" customWidth="1" outlineLevel="1"/>
    <col min="50" max="50" width="14.5703125" style="266" customWidth="1"/>
    <col min="51" max="51" width="11.42578125" style="80" customWidth="1"/>
    <col min="52" max="55" width="4" customWidth="1"/>
    <col min="56" max="56" width="3.42578125" customWidth="1" outlineLevel="1"/>
    <col min="57" max="57" width="5.140625" customWidth="1" outlineLevel="1"/>
    <col min="58" max="58" width="7.140625" customWidth="1" outlineLevel="1"/>
    <col min="59" max="59" width="5.7109375" customWidth="1" outlineLevel="1"/>
    <col min="60" max="60" width="6.140625" customWidth="1" outlineLevel="1"/>
    <col min="61" max="61" width="4.7109375" customWidth="1" outlineLevel="1"/>
    <col min="62" max="62" width="4" customWidth="1"/>
    <col min="63" max="63" width="15.28515625" style="71" customWidth="1" outlineLevel="1"/>
    <col min="64" max="64" width="11.42578125" style="71" customWidth="1" outlineLevel="1"/>
    <col min="65" max="65" width="19.28515625" style="71" customWidth="1" outlineLevel="1"/>
    <col min="66" max="66" width="21.28515625" customWidth="1" outlineLevel="1"/>
    <col min="67" max="67" width="19.28515625" style="71" customWidth="1" outlineLevel="1"/>
    <col min="68" max="68" width="13.42578125" style="71" customWidth="1" outlineLevel="1"/>
    <col min="69" max="69" width="13.140625" customWidth="1" outlineLevel="1"/>
    <col min="70" max="70" width="11.42578125" style="81" customWidth="1" outlineLevel="1"/>
    <col min="71" max="71" width="11.42578125" customWidth="1" outlineLevel="1"/>
    <col min="72" max="72" width="26.7109375" customWidth="1" outlineLevel="1"/>
    <col min="73" max="73" width="22.7109375" customWidth="1"/>
    <col min="74" max="74" width="14.42578125" style="80" customWidth="1" outlineLevel="1"/>
    <col min="75" max="75" width="12.140625" customWidth="1" outlineLevel="1"/>
    <col min="76" max="76" width="13.28515625" customWidth="1" outlineLevel="1"/>
    <col min="77" max="77" width="10.28515625" style="71" customWidth="1" outlineLevel="1"/>
    <col min="78" max="78" width="8.7109375" style="71" customWidth="1" outlineLevel="1"/>
    <col min="79" max="79" width="9.42578125" customWidth="1" outlineLevel="1"/>
    <col min="80" max="80" width="8.5703125" customWidth="1" outlineLevel="1"/>
    <col min="81" max="81" width="14.140625" customWidth="1"/>
    <col min="82" max="82" width="11.42578125" style="65" customWidth="1" outlineLevel="1"/>
    <col min="83" max="83" width="11.42578125" style="71" customWidth="1" outlineLevel="1"/>
    <col min="84" max="84" width="13.85546875" customWidth="1" outlineLevel="1"/>
    <col min="85" max="85" width="11.42578125" customWidth="1" outlineLevel="1"/>
    <col min="86" max="86" width="14.42578125" style="266" customWidth="1" outlineLevel="1"/>
    <col min="87" max="87" width="11.42578125" customWidth="1" outlineLevel="1"/>
    <col min="88" max="88" width="15.5703125" style="266" customWidth="1" outlineLevel="1"/>
    <col min="89" max="90" width="14.5703125" customWidth="1" outlineLevel="1"/>
    <col min="91" max="91" width="2.7109375" style="65" customWidth="1" outlineLevel="1"/>
    <col min="92" max="92" width="11.42578125" style="71" customWidth="1" outlineLevel="1"/>
    <col min="93" max="93" width="15.7109375" customWidth="1" outlineLevel="1"/>
    <col min="94" max="94" width="11.42578125" customWidth="1" outlineLevel="1"/>
    <col min="95" max="95" width="14.7109375" style="266" customWidth="1" outlineLevel="1"/>
    <col min="96" max="96" width="11.42578125" customWidth="1" outlineLevel="1"/>
    <col min="97" max="97" width="15.5703125" style="266" customWidth="1" outlineLevel="1"/>
    <col min="98" max="98" width="15" customWidth="1" outlineLevel="1"/>
    <col min="99" max="99" width="13.5703125" customWidth="1"/>
    <col min="100" max="100" width="3.42578125" style="65" customWidth="1"/>
    <col min="101" max="101" width="15.140625" customWidth="1"/>
    <col min="102" max="102" width="15.7109375" customWidth="1"/>
    <col min="103" max="103" width="16" customWidth="1"/>
    <col min="104" max="104" width="14.140625" customWidth="1"/>
    <col min="105" max="105" width="12.7109375" customWidth="1"/>
    <col min="108" max="108" width="53.7109375" customWidth="1"/>
  </cols>
  <sheetData>
    <row r="1" spans="1:16378" ht="25.5" customHeight="1" x14ac:dyDescent="0.25">
      <c r="BK1" s="1226" t="s">
        <v>751</v>
      </c>
      <c r="BL1" s="1227"/>
      <c r="BM1" s="1227"/>
      <c r="BN1" s="1227"/>
      <c r="BO1" s="1227"/>
      <c r="BP1" s="1227"/>
      <c r="BQ1" s="1227"/>
      <c r="BR1" s="1228"/>
      <c r="BS1" s="1227"/>
      <c r="BT1" s="1227"/>
      <c r="BU1" s="1227"/>
      <c r="BV1" s="1234" t="s">
        <v>752</v>
      </c>
      <c r="BW1" s="1235"/>
      <c r="BX1" s="1235"/>
      <c r="BY1" s="1235"/>
      <c r="BZ1" s="1235"/>
      <c r="CA1" s="1235"/>
      <c r="CB1" s="1235"/>
      <c r="CC1" s="1235"/>
      <c r="CE1" s="1233" t="s">
        <v>50</v>
      </c>
      <c r="CF1" s="1230"/>
      <c r="CG1" s="1230"/>
      <c r="CH1" s="1236"/>
      <c r="CI1" s="1230"/>
      <c r="CJ1" s="1236"/>
      <c r="CK1" s="1230"/>
      <c r="CL1" s="1230"/>
      <c r="CN1" s="1229" t="s">
        <v>51</v>
      </c>
      <c r="CO1" s="1230"/>
      <c r="CP1" s="1231"/>
      <c r="CQ1" s="1232"/>
      <c r="CR1" s="1231"/>
      <c r="CS1" s="1232"/>
      <c r="CT1" s="1233"/>
      <c r="CU1" s="1233"/>
    </row>
    <row r="2" spans="1:16378" ht="56.25" customHeight="1" x14ac:dyDescent="0.25">
      <c r="A2" s="392" t="s">
        <v>753</v>
      </c>
      <c r="B2" s="390" t="s">
        <v>10</v>
      </c>
      <c r="C2" s="391" t="s">
        <v>11</v>
      </c>
      <c r="D2" s="391" t="s">
        <v>12</v>
      </c>
      <c r="E2" s="391" t="s">
        <v>13</v>
      </c>
      <c r="F2" s="391" t="s">
        <v>14</v>
      </c>
      <c r="G2" s="391" t="s">
        <v>15</v>
      </c>
      <c r="H2" s="390" t="s">
        <v>16</v>
      </c>
      <c r="I2" s="391" t="s">
        <v>17</v>
      </c>
      <c r="J2" s="391" t="s">
        <v>18</v>
      </c>
      <c r="K2" s="391" t="s">
        <v>19</v>
      </c>
      <c r="L2" s="390" t="s">
        <v>20</v>
      </c>
      <c r="M2" s="393" t="s">
        <v>21</v>
      </c>
      <c r="N2" s="917" t="s">
        <v>22</v>
      </c>
      <c r="O2" s="394" t="s">
        <v>23</v>
      </c>
      <c r="P2" s="394" t="s">
        <v>24</v>
      </c>
      <c r="Q2" s="188" t="s">
        <v>25</v>
      </c>
      <c r="R2" s="189" t="s">
        <v>26</v>
      </c>
      <c r="S2" s="184" t="s">
        <v>27</v>
      </c>
      <c r="T2" s="190" t="s">
        <v>28</v>
      </c>
      <c r="U2" s="187" t="s">
        <v>29</v>
      </c>
      <c r="V2" s="184" t="s">
        <v>30</v>
      </c>
      <c r="W2" s="184" t="s">
        <v>31</v>
      </c>
      <c r="X2" s="295" t="s">
        <v>32</v>
      </c>
      <c r="Y2" s="185" t="s">
        <v>33</v>
      </c>
      <c r="Z2" s="185" t="s">
        <v>34</v>
      </c>
      <c r="AA2" s="185" t="s">
        <v>35</v>
      </c>
      <c r="AB2" s="185" t="s">
        <v>36</v>
      </c>
      <c r="AC2" s="185" t="s">
        <v>37</v>
      </c>
      <c r="AD2" s="185" t="s">
        <v>38</v>
      </c>
      <c r="AE2" s="185" t="s">
        <v>39</v>
      </c>
      <c r="AF2" s="185" t="s">
        <v>40</v>
      </c>
      <c r="AG2" s="185" t="s">
        <v>41</v>
      </c>
      <c r="AH2" s="185" t="s">
        <v>42</v>
      </c>
      <c r="AI2" s="185" t="s">
        <v>43</v>
      </c>
      <c r="AJ2" s="186" t="s">
        <v>44</v>
      </c>
      <c r="AK2" s="187" t="s">
        <v>754</v>
      </c>
      <c r="AL2" s="187" t="s">
        <v>46</v>
      </c>
      <c r="AM2" s="187" t="s">
        <v>47</v>
      </c>
      <c r="AN2" s="187" t="s">
        <v>48</v>
      </c>
      <c r="AO2" s="187" t="s">
        <v>49</v>
      </c>
      <c r="AP2" s="329" t="s">
        <v>50</v>
      </c>
      <c r="AQ2" s="187" t="s">
        <v>51</v>
      </c>
      <c r="AR2" s="187" t="s">
        <v>52</v>
      </c>
      <c r="AS2" s="187" t="s">
        <v>53</v>
      </c>
      <c r="AT2" s="187" t="s">
        <v>54</v>
      </c>
      <c r="AU2" s="187" t="s">
        <v>55</v>
      </c>
      <c r="AV2" s="187" t="s">
        <v>56</v>
      </c>
      <c r="AW2" s="187" t="s">
        <v>57</v>
      </c>
      <c r="AX2" s="267" t="s">
        <v>755</v>
      </c>
      <c r="AY2" s="344" t="s">
        <v>59</v>
      </c>
      <c r="AZ2" s="185" t="s">
        <v>60</v>
      </c>
      <c r="BA2" s="191" t="s">
        <v>61</v>
      </c>
      <c r="BB2" s="185" t="s">
        <v>62</v>
      </c>
      <c r="BC2" s="185" t="s">
        <v>756</v>
      </c>
      <c r="BD2" s="192" t="s">
        <v>757</v>
      </c>
      <c r="BE2" s="192" t="s">
        <v>758</v>
      </c>
      <c r="BF2" s="192" t="s">
        <v>759</v>
      </c>
      <c r="BG2" s="192" t="s">
        <v>760</v>
      </c>
      <c r="BH2" s="192" t="s">
        <v>761</v>
      </c>
      <c r="BI2" s="192" t="s">
        <v>762</v>
      </c>
      <c r="BJ2" s="192" t="s">
        <v>756</v>
      </c>
      <c r="BK2" s="246" t="s">
        <v>763</v>
      </c>
      <c r="BL2" s="246" t="s">
        <v>764</v>
      </c>
      <c r="BM2" s="246" t="s">
        <v>431</v>
      </c>
      <c r="BN2" s="411" t="s">
        <v>765</v>
      </c>
      <c r="BO2" s="246" t="s">
        <v>766</v>
      </c>
      <c r="BP2" s="246" t="s">
        <v>436</v>
      </c>
      <c r="BQ2" s="193" t="s">
        <v>457</v>
      </c>
      <c r="BR2" s="960" t="s">
        <v>767</v>
      </c>
      <c r="BS2" s="193" t="s">
        <v>756</v>
      </c>
      <c r="BT2" s="193" t="s">
        <v>768</v>
      </c>
      <c r="BU2" s="193" t="s">
        <v>769</v>
      </c>
      <c r="BV2" s="194" t="s">
        <v>770</v>
      </c>
      <c r="BW2" s="194" t="s">
        <v>771</v>
      </c>
      <c r="BX2" s="194" t="s">
        <v>772</v>
      </c>
      <c r="BY2" s="213" t="s">
        <v>773</v>
      </c>
      <c r="BZ2" s="213" t="s">
        <v>774</v>
      </c>
      <c r="CA2" s="194" t="s">
        <v>775</v>
      </c>
      <c r="CB2" s="194" t="s">
        <v>776</v>
      </c>
      <c r="CC2" s="395" t="s">
        <v>777</v>
      </c>
      <c r="CD2" s="195"/>
      <c r="CE2" s="271" t="s">
        <v>778</v>
      </c>
      <c r="CF2" s="270" t="s">
        <v>779</v>
      </c>
      <c r="CG2" s="270" t="s">
        <v>778</v>
      </c>
      <c r="CH2" s="272" t="s">
        <v>780</v>
      </c>
      <c r="CI2" s="270" t="s">
        <v>778</v>
      </c>
      <c r="CJ2" s="272" t="s">
        <v>781</v>
      </c>
      <c r="CK2" s="274" t="s">
        <v>782</v>
      </c>
      <c r="CL2" s="274" t="s">
        <v>783</v>
      </c>
      <c r="CM2" s="197"/>
      <c r="CN2" s="271" t="s">
        <v>778</v>
      </c>
      <c r="CO2" s="270" t="s">
        <v>779</v>
      </c>
      <c r="CP2" s="270" t="s">
        <v>778</v>
      </c>
      <c r="CQ2" s="272" t="s">
        <v>780</v>
      </c>
      <c r="CR2" s="270" t="s">
        <v>778</v>
      </c>
      <c r="CS2" s="272" t="s">
        <v>781</v>
      </c>
      <c r="CT2" s="196" t="s">
        <v>782</v>
      </c>
      <c r="CU2" s="196" t="s">
        <v>783</v>
      </c>
      <c r="CV2" s="198"/>
      <c r="CW2" s="199" t="s">
        <v>445</v>
      </c>
      <c r="CX2" s="199" t="s">
        <v>784</v>
      </c>
      <c r="CY2" s="199" t="s">
        <v>785</v>
      </c>
      <c r="CZ2" s="199" t="s">
        <v>786</v>
      </c>
      <c r="DA2" s="199" t="s">
        <v>787</v>
      </c>
      <c r="DB2" s="199" t="s">
        <v>788</v>
      </c>
      <c r="DC2" s="199" t="s">
        <v>789</v>
      </c>
      <c r="DD2" s="155" t="s">
        <v>756</v>
      </c>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c r="AMP2" s="6"/>
      <c r="AMQ2" s="6"/>
      <c r="AMR2" s="6"/>
      <c r="AMS2" s="6"/>
      <c r="AMT2" s="6"/>
      <c r="AMU2" s="6"/>
      <c r="AMV2" s="6"/>
      <c r="AMW2" s="6"/>
      <c r="AMX2" s="6"/>
      <c r="AMY2" s="6"/>
      <c r="AMZ2" s="6"/>
      <c r="ANA2" s="6"/>
      <c r="ANB2" s="6"/>
      <c r="ANC2" s="6"/>
      <c r="AND2" s="6"/>
      <c r="ANE2" s="6"/>
      <c r="ANF2" s="6"/>
      <c r="ANG2" s="6"/>
      <c r="ANH2" s="6"/>
      <c r="ANI2" s="6"/>
      <c r="ANJ2" s="6"/>
      <c r="ANK2" s="6"/>
      <c r="ANL2" s="6"/>
      <c r="ANM2" s="6"/>
      <c r="ANN2" s="6"/>
      <c r="ANO2" s="6"/>
      <c r="ANP2" s="6"/>
      <c r="ANQ2" s="6"/>
      <c r="ANR2" s="6"/>
      <c r="ANS2" s="6"/>
      <c r="ANT2" s="6"/>
      <c r="ANU2" s="6"/>
      <c r="ANV2" s="6"/>
      <c r="ANW2" s="6"/>
      <c r="ANX2" s="6"/>
      <c r="ANY2" s="6"/>
      <c r="ANZ2" s="6"/>
      <c r="AOA2" s="6"/>
      <c r="AOB2" s="6"/>
      <c r="AOC2" s="6"/>
      <c r="AOD2" s="6"/>
      <c r="AOE2" s="6"/>
      <c r="AOF2" s="6"/>
      <c r="AOG2" s="6"/>
      <c r="AOH2" s="6"/>
      <c r="AOI2" s="6"/>
      <c r="AOJ2" s="6"/>
      <c r="AOK2" s="6"/>
      <c r="AOL2" s="6"/>
      <c r="AOM2" s="6"/>
      <c r="AON2" s="6"/>
      <c r="AOO2" s="6"/>
      <c r="AOP2" s="6"/>
      <c r="AOQ2" s="6"/>
      <c r="AOR2" s="6"/>
      <c r="AOS2" s="6"/>
      <c r="AOT2" s="6"/>
      <c r="AOU2" s="6"/>
      <c r="AOV2" s="6"/>
      <c r="AOW2" s="6"/>
      <c r="AOX2" s="6"/>
      <c r="AOY2" s="6"/>
      <c r="AOZ2" s="6"/>
      <c r="APA2" s="6"/>
      <c r="APB2" s="6"/>
      <c r="APC2" s="6"/>
      <c r="APD2" s="6"/>
      <c r="APE2" s="6"/>
      <c r="APF2" s="6"/>
      <c r="APG2" s="6"/>
      <c r="APH2" s="6"/>
      <c r="API2" s="6"/>
      <c r="APJ2" s="6"/>
      <c r="APK2" s="6"/>
      <c r="APL2" s="6"/>
      <c r="APM2" s="6"/>
      <c r="APN2" s="6"/>
      <c r="APO2" s="6"/>
      <c r="APP2" s="6"/>
      <c r="APQ2" s="6"/>
      <c r="APR2" s="6"/>
      <c r="APS2" s="6"/>
      <c r="APT2" s="6"/>
      <c r="APU2" s="6"/>
      <c r="APV2" s="6"/>
      <c r="APW2" s="6"/>
      <c r="APX2" s="6"/>
      <c r="APY2" s="6"/>
      <c r="APZ2" s="6"/>
      <c r="AQA2" s="6"/>
      <c r="AQB2" s="6"/>
      <c r="AQC2" s="6"/>
      <c r="AQD2" s="6"/>
      <c r="AQE2" s="6"/>
      <c r="AQF2" s="6"/>
      <c r="AQG2" s="6"/>
      <c r="AQH2" s="6"/>
      <c r="AQI2" s="6"/>
      <c r="AQJ2" s="6"/>
      <c r="AQK2" s="6"/>
      <c r="AQL2" s="6"/>
      <c r="AQM2" s="6"/>
      <c r="AQN2" s="6"/>
      <c r="AQO2" s="6"/>
      <c r="AQP2" s="6"/>
      <c r="AQQ2" s="6"/>
      <c r="AQR2" s="6"/>
      <c r="AQS2" s="6"/>
      <c r="AQT2" s="6"/>
      <c r="AQU2" s="6"/>
      <c r="AQV2" s="6"/>
      <c r="AQW2" s="6"/>
      <c r="AQX2" s="6"/>
      <c r="AQY2" s="6"/>
      <c r="AQZ2" s="6"/>
      <c r="ARA2" s="6"/>
      <c r="ARB2" s="6"/>
      <c r="ARC2" s="6"/>
      <c r="ARD2" s="6"/>
      <c r="ARE2" s="6"/>
      <c r="ARF2" s="6"/>
      <c r="ARG2" s="6"/>
      <c r="ARH2" s="6"/>
      <c r="ARI2" s="6"/>
      <c r="ARJ2" s="6"/>
      <c r="ARK2" s="6"/>
      <c r="ARL2" s="6"/>
      <c r="ARM2" s="6"/>
      <c r="ARN2" s="6"/>
      <c r="ARO2" s="6"/>
      <c r="ARP2" s="6"/>
      <c r="ARQ2" s="6"/>
      <c r="ARR2" s="6"/>
      <c r="ARS2" s="6"/>
      <c r="ART2" s="6"/>
      <c r="ARU2" s="6"/>
      <c r="ARV2" s="6"/>
      <c r="ARW2" s="6"/>
      <c r="ARX2" s="6"/>
      <c r="ARY2" s="6"/>
      <c r="ARZ2" s="6"/>
      <c r="ASA2" s="6"/>
      <c r="ASB2" s="6"/>
      <c r="ASC2" s="6"/>
      <c r="ASD2" s="6"/>
      <c r="ASE2" s="6"/>
      <c r="ASF2" s="6"/>
      <c r="ASG2" s="6"/>
      <c r="ASH2" s="6"/>
      <c r="ASI2" s="6"/>
      <c r="ASJ2" s="6"/>
      <c r="ASK2" s="6"/>
      <c r="ASL2" s="6"/>
      <c r="ASM2" s="6"/>
      <c r="ASN2" s="6"/>
      <c r="ASO2" s="6"/>
      <c r="ASP2" s="6"/>
      <c r="ASQ2" s="6"/>
      <c r="ASR2" s="6"/>
      <c r="ASS2" s="6"/>
      <c r="AST2" s="6"/>
      <c r="ASU2" s="6"/>
      <c r="ASV2" s="6"/>
      <c r="ASW2" s="6"/>
      <c r="ASX2" s="6"/>
      <c r="ASY2" s="6"/>
      <c r="ASZ2" s="6"/>
      <c r="ATA2" s="6"/>
      <c r="ATB2" s="6"/>
      <c r="ATC2" s="6"/>
      <c r="ATD2" s="6"/>
      <c r="ATE2" s="6"/>
      <c r="ATF2" s="6"/>
      <c r="ATG2" s="6"/>
      <c r="ATH2" s="6"/>
      <c r="ATI2" s="6"/>
      <c r="ATJ2" s="6"/>
      <c r="ATK2" s="6"/>
      <c r="ATL2" s="6"/>
      <c r="ATM2" s="6"/>
      <c r="ATN2" s="6"/>
      <c r="ATO2" s="6"/>
      <c r="ATP2" s="6"/>
      <c r="ATQ2" s="6"/>
      <c r="ATR2" s="6"/>
      <c r="ATS2" s="6"/>
      <c r="ATT2" s="6"/>
      <c r="ATU2" s="6"/>
      <c r="ATV2" s="6"/>
      <c r="ATW2" s="6"/>
      <c r="ATX2" s="6"/>
      <c r="ATY2" s="6"/>
      <c r="ATZ2" s="6"/>
      <c r="AUA2" s="6"/>
      <c r="AUB2" s="6"/>
      <c r="AUC2" s="6"/>
      <c r="AUD2" s="6"/>
      <c r="AUE2" s="6"/>
      <c r="AUF2" s="6"/>
      <c r="AUG2" s="6"/>
      <c r="AUH2" s="6"/>
      <c r="AUI2" s="6"/>
      <c r="AUJ2" s="6"/>
      <c r="AUK2" s="6"/>
      <c r="AUL2" s="6"/>
      <c r="AUM2" s="6"/>
      <c r="AUN2" s="6"/>
      <c r="AUO2" s="6"/>
      <c r="AUP2" s="6"/>
      <c r="AUQ2" s="6"/>
      <c r="AUR2" s="6"/>
      <c r="AUS2" s="6"/>
      <c r="AUT2" s="6"/>
      <c r="AUU2" s="6"/>
      <c r="AUV2" s="6"/>
      <c r="AUW2" s="6"/>
      <c r="AUX2" s="6"/>
      <c r="AUY2" s="6"/>
      <c r="AUZ2" s="6"/>
      <c r="AVA2" s="6"/>
      <c r="AVB2" s="6"/>
      <c r="AVC2" s="6"/>
      <c r="AVD2" s="6"/>
      <c r="AVE2" s="6"/>
      <c r="AVF2" s="6"/>
      <c r="AVG2" s="6"/>
      <c r="AVH2" s="6"/>
      <c r="AVI2" s="6"/>
      <c r="AVJ2" s="6"/>
      <c r="AVK2" s="6"/>
      <c r="AVL2" s="6"/>
      <c r="AVM2" s="6"/>
      <c r="AVN2" s="6"/>
      <c r="AVO2" s="6"/>
      <c r="AVP2" s="6"/>
      <c r="AVQ2" s="6"/>
      <c r="AVR2" s="6"/>
      <c r="AVS2" s="6"/>
      <c r="AVT2" s="6"/>
      <c r="AVU2" s="6"/>
      <c r="AVV2" s="6"/>
      <c r="AVW2" s="6"/>
      <c r="AVX2" s="6"/>
      <c r="AVY2" s="6"/>
      <c r="AVZ2" s="6"/>
      <c r="AWA2" s="6"/>
      <c r="AWB2" s="6"/>
      <c r="AWC2" s="6"/>
      <c r="AWD2" s="6"/>
      <c r="AWE2" s="6"/>
      <c r="AWF2" s="6"/>
      <c r="AWG2" s="6"/>
      <c r="AWH2" s="6"/>
      <c r="AWI2" s="6"/>
      <c r="AWJ2" s="6"/>
      <c r="AWK2" s="6"/>
      <c r="AWL2" s="6"/>
      <c r="AWM2" s="6"/>
      <c r="AWN2" s="6"/>
      <c r="AWO2" s="6"/>
      <c r="AWP2" s="6"/>
      <c r="AWQ2" s="6"/>
      <c r="AWR2" s="6"/>
      <c r="AWS2" s="6"/>
      <c r="AWT2" s="6"/>
      <c r="AWU2" s="6"/>
      <c r="AWV2" s="6"/>
      <c r="AWW2" s="6"/>
      <c r="AWX2" s="6"/>
      <c r="AWY2" s="6"/>
      <c r="AWZ2" s="6"/>
      <c r="AXA2" s="6"/>
      <c r="AXB2" s="6"/>
      <c r="AXC2" s="6"/>
      <c r="AXD2" s="6"/>
      <c r="AXE2" s="6"/>
      <c r="AXF2" s="6"/>
      <c r="AXG2" s="6"/>
      <c r="AXH2" s="6"/>
      <c r="AXI2" s="6"/>
      <c r="AXJ2" s="6"/>
      <c r="AXK2" s="6"/>
      <c r="AXL2" s="6"/>
      <c r="AXM2" s="6"/>
      <c r="AXN2" s="6"/>
      <c r="AXO2" s="6"/>
      <c r="AXP2" s="6"/>
      <c r="AXQ2" s="6"/>
      <c r="AXR2" s="6"/>
      <c r="AXS2" s="6"/>
      <c r="AXT2" s="6"/>
      <c r="AXU2" s="6"/>
      <c r="AXV2" s="6"/>
      <c r="AXW2" s="6"/>
      <c r="AXX2" s="6"/>
      <c r="AXY2" s="6"/>
      <c r="AXZ2" s="6"/>
      <c r="AYA2" s="6"/>
      <c r="AYB2" s="6"/>
      <c r="AYC2" s="6"/>
      <c r="AYD2" s="6"/>
      <c r="AYE2" s="6"/>
      <c r="AYF2" s="6"/>
      <c r="AYG2" s="6"/>
      <c r="AYH2" s="6"/>
      <c r="AYI2" s="6"/>
      <c r="AYJ2" s="6"/>
      <c r="AYK2" s="6"/>
      <c r="AYL2" s="6"/>
      <c r="AYM2" s="6"/>
      <c r="AYN2" s="6"/>
      <c r="AYO2" s="6"/>
      <c r="AYP2" s="6"/>
      <c r="AYQ2" s="6"/>
      <c r="AYR2" s="6"/>
      <c r="AYS2" s="6"/>
      <c r="AYT2" s="6"/>
      <c r="AYU2" s="6"/>
      <c r="AYV2" s="6"/>
      <c r="AYW2" s="6"/>
      <c r="AYX2" s="6"/>
      <c r="AYY2" s="6"/>
      <c r="AYZ2" s="6"/>
      <c r="AZA2" s="6"/>
      <c r="AZB2" s="6"/>
      <c r="AZC2" s="6"/>
      <c r="AZD2" s="6"/>
      <c r="AZE2" s="6"/>
      <c r="AZF2" s="6"/>
      <c r="AZG2" s="6"/>
      <c r="AZH2" s="6"/>
      <c r="AZI2" s="6"/>
      <c r="AZJ2" s="6"/>
      <c r="AZK2" s="6"/>
      <c r="AZL2" s="6"/>
      <c r="AZM2" s="6"/>
      <c r="AZN2" s="6"/>
      <c r="AZO2" s="6"/>
      <c r="AZP2" s="6"/>
      <c r="AZQ2" s="6"/>
      <c r="AZR2" s="6"/>
      <c r="AZS2" s="6"/>
      <c r="AZT2" s="6"/>
      <c r="AZU2" s="6"/>
      <c r="AZV2" s="6"/>
      <c r="AZW2" s="6"/>
      <c r="AZX2" s="6"/>
      <c r="AZY2" s="6"/>
      <c r="AZZ2" s="6"/>
      <c r="BAA2" s="6"/>
      <c r="BAB2" s="6"/>
      <c r="BAC2" s="6"/>
      <c r="BAD2" s="6"/>
      <c r="BAE2" s="6"/>
      <c r="BAF2" s="6"/>
      <c r="BAG2" s="6"/>
      <c r="BAH2" s="6"/>
      <c r="BAI2" s="6"/>
      <c r="BAJ2" s="6"/>
      <c r="BAK2" s="6"/>
      <c r="BAL2" s="6"/>
      <c r="BAM2" s="6"/>
      <c r="BAN2" s="6"/>
      <c r="BAO2" s="6"/>
      <c r="BAP2" s="6"/>
      <c r="BAQ2" s="6"/>
      <c r="BAR2" s="6"/>
      <c r="BAS2" s="6"/>
      <c r="BAT2" s="6"/>
      <c r="BAU2" s="6"/>
      <c r="BAV2" s="6"/>
      <c r="BAW2" s="6"/>
      <c r="BAX2" s="6"/>
      <c r="BAY2" s="6"/>
      <c r="BAZ2" s="6"/>
      <c r="BBA2" s="6"/>
      <c r="BBB2" s="6"/>
      <c r="BBC2" s="6"/>
      <c r="BBD2" s="6"/>
      <c r="BBE2" s="6"/>
      <c r="BBF2" s="6"/>
      <c r="BBG2" s="6"/>
      <c r="BBH2" s="6"/>
      <c r="BBI2" s="6"/>
      <c r="BBJ2" s="6"/>
      <c r="BBK2" s="6"/>
      <c r="BBL2" s="6"/>
      <c r="BBM2" s="6"/>
      <c r="BBN2" s="6"/>
      <c r="BBO2" s="6"/>
      <c r="BBP2" s="6"/>
      <c r="BBQ2" s="6"/>
      <c r="BBR2" s="6"/>
      <c r="BBS2" s="6"/>
      <c r="BBT2" s="6"/>
      <c r="BBU2" s="6"/>
      <c r="BBV2" s="6"/>
      <c r="BBW2" s="6"/>
      <c r="BBX2" s="6"/>
      <c r="BBY2" s="6"/>
      <c r="BBZ2" s="6"/>
      <c r="BCA2" s="6"/>
      <c r="BCB2" s="6"/>
      <c r="BCC2" s="6"/>
      <c r="BCD2" s="6"/>
      <c r="BCE2" s="6"/>
      <c r="BCF2" s="6"/>
      <c r="BCG2" s="6"/>
      <c r="BCH2" s="6"/>
      <c r="BCI2" s="6"/>
      <c r="BCJ2" s="6"/>
      <c r="BCK2" s="6"/>
      <c r="BCL2" s="6"/>
      <c r="BCM2" s="6"/>
      <c r="BCN2" s="6"/>
      <c r="BCO2" s="6"/>
      <c r="BCP2" s="6"/>
      <c r="BCQ2" s="6"/>
      <c r="BCR2" s="6"/>
      <c r="BCS2" s="6"/>
      <c r="BCT2" s="6"/>
      <c r="BCU2" s="6"/>
      <c r="BCV2" s="6"/>
      <c r="BCW2" s="6"/>
      <c r="BCX2" s="6"/>
      <c r="BCY2" s="6"/>
      <c r="BCZ2" s="6"/>
      <c r="BDA2" s="6"/>
      <c r="BDB2" s="6"/>
      <c r="BDC2" s="6"/>
      <c r="BDD2" s="6"/>
      <c r="BDE2" s="6"/>
      <c r="BDF2" s="6"/>
      <c r="BDG2" s="6"/>
      <c r="BDH2" s="6"/>
      <c r="BDI2" s="6"/>
      <c r="BDJ2" s="6"/>
      <c r="BDK2" s="6"/>
      <c r="BDL2" s="6"/>
      <c r="BDM2" s="6"/>
      <c r="BDN2" s="6"/>
      <c r="BDO2" s="6"/>
      <c r="BDP2" s="6"/>
      <c r="BDQ2" s="6"/>
      <c r="BDR2" s="6"/>
      <c r="BDS2" s="6"/>
      <c r="BDT2" s="6"/>
      <c r="BDU2" s="6"/>
      <c r="BDV2" s="6"/>
      <c r="BDW2" s="6"/>
      <c r="BDX2" s="6"/>
      <c r="BDY2" s="6"/>
      <c r="BDZ2" s="6"/>
      <c r="BEA2" s="6"/>
      <c r="BEB2" s="6"/>
      <c r="BEC2" s="6"/>
      <c r="BED2" s="6"/>
      <c r="BEE2" s="6"/>
      <c r="BEF2" s="6"/>
      <c r="BEG2" s="6"/>
      <c r="BEH2" s="6"/>
      <c r="BEI2" s="6"/>
      <c r="BEJ2" s="6"/>
      <c r="BEK2" s="6"/>
      <c r="BEL2" s="6"/>
      <c r="BEM2" s="6"/>
      <c r="BEN2" s="6"/>
      <c r="BEO2" s="6"/>
      <c r="BEP2" s="6"/>
      <c r="BEQ2" s="6"/>
      <c r="BER2" s="6"/>
      <c r="BES2" s="6"/>
      <c r="BET2" s="6"/>
      <c r="BEU2" s="6"/>
      <c r="BEV2" s="6"/>
      <c r="BEW2" s="6"/>
      <c r="BEX2" s="6"/>
      <c r="BEY2" s="6"/>
      <c r="BEZ2" s="6"/>
      <c r="BFA2" s="6"/>
      <c r="BFB2" s="6"/>
      <c r="BFC2" s="6"/>
      <c r="BFD2" s="6"/>
      <c r="BFE2" s="6"/>
      <c r="BFF2" s="6"/>
      <c r="BFG2" s="6"/>
      <c r="BFH2" s="6"/>
      <c r="BFI2" s="6"/>
      <c r="BFJ2" s="6"/>
      <c r="BFK2" s="6"/>
      <c r="BFL2" s="6"/>
      <c r="BFM2" s="6"/>
      <c r="BFN2" s="6"/>
      <c r="BFO2" s="6"/>
      <c r="BFP2" s="6"/>
      <c r="BFQ2" s="6"/>
      <c r="BFR2" s="6"/>
      <c r="BFS2" s="6"/>
      <c r="BFT2" s="6"/>
      <c r="BFU2" s="6"/>
      <c r="BFV2" s="6"/>
      <c r="BFW2" s="6"/>
      <c r="BFX2" s="6"/>
      <c r="BFY2" s="6"/>
      <c r="BFZ2" s="6"/>
      <c r="BGA2" s="6"/>
      <c r="BGB2" s="6"/>
      <c r="BGC2" s="6"/>
      <c r="BGD2" s="6"/>
      <c r="BGE2" s="6"/>
      <c r="BGF2" s="6"/>
      <c r="BGG2" s="6"/>
      <c r="BGH2" s="6"/>
      <c r="BGI2" s="6"/>
      <c r="BGJ2" s="6"/>
      <c r="BGK2" s="6"/>
      <c r="BGL2" s="6"/>
      <c r="BGM2" s="6"/>
      <c r="BGN2" s="6"/>
      <c r="BGO2" s="6"/>
      <c r="BGP2" s="6"/>
      <c r="BGQ2" s="6"/>
      <c r="BGR2" s="6"/>
      <c r="BGS2" s="6"/>
      <c r="BGT2" s="6"/>
      <c r="BGU2" s="6"/>
      <c r="BGV2" s="6"/>
      <c r="BGW2" s="6"/>
      <c r="BGX2" s="6"/>
      <c r="BGY2" s="6"/>
      <c r="BGZ2" s="6"/>
      <c r="BHA2" s="6"/>
      <c r="BHB2" s="6"/>
      <c r="BHC2" s="6"/>
      <c r="BHD2" s="6"/>
      <c r="BHE2" s="6"/>
      <c r="BHF2" s="6"/>
      <c r="BHG2" s="6"/>
      <c r="BHH2" s="6"/>
      <c r="BHI2" s="6"/>
      <c r="BHJ2" s="6"/>
      <c r="BHK2" s="6"/>
      <c r="BHL2" s="6"/>
      <c r="BHM2" s="6"/>
      <c r="BHN2" s="6"/>
      <c r="BHO2" s="6"/>
      <c r="BHP2" s="6"/>
      <c r="BHQ2" s="6"/>
      <c r="BHR2" s="6"/>
      <c r="BHS2" s="6"/>
      <c r="BHT2" s="6"/>
      <c r="BHU2" s="6"/>
      <c r="BHV2" s="6"/>
      <c r="BHW2" s="6"/>
      <c r="BHX2" s="6"/>
      <c r="BHY2" s="6"/>
      <c r="BHZ2" s="6"/>
      <c r="BIA2" s="6"/>
      <c r="BIB2" s="6"/>
      <c r="BIC2" s="6"/>
      <c r="BID2" s="6"/>
      <c r="BIE2" s="6"/>
      <c r="BIF2" s="6"/>
      <c r="BIG2" s="6"/>
      <c r="BIH2" s="6"/>
      <c r="BII2" s="6"/>
      <c r="BIJ2" s="6"/>
      <c r="BIK2" s="6"/>
      <c r="BIL2" s="6"/>
      <c r="BIM2" s="6"/>
      <c r="BIN2" s="6"/>
      <c r="BIO2" s="6"/>
      <c r="BIP2" s="6"/>
      <c r="BIQ2" s="6"/>
      <c r="BIR2" s="6"/>
      <c r="BIS2" s="6"/>
      <c r="BIT2" s="6"/>
      <c r="BIU2" s="6"/>
      <c r="BIV2" s="6"/>
      <c r="BIW2" s="6"/>
      <c r="BIX2" s="6"/>
      <c r="BIY2" s="6"/>
      <c r="BIZ2" s="6"/>
      <c r="BJA2" s="6"/>
      <c r="BJB2" s="6"/>
      <c r="BJC2" s="6"/>
      <c r="BJD2" s="6"/>
      <c r="BJE2" s="6"/>
      <c r="BJF2" s="6"/>
      <c r="BJG2" s="6"/>
      <c r="BJH2" s="6"/>
      <c r="BJI2" s="6"/>
      <c r="BJJ2" s="6"/>
      <c r="BJK2" s="6"/>
      <c r="BJL2" s="6"/>
      <c r="BJM2" s="6"/>
      <c r="BJN2" s="6"/>
      <c r="BJO2" s="6"/>
      <c r="BJP2" s="6"/>
      <c r="BJQ2" s="6"/>
      <c r="BJR2" s="6"/>
      <c r="BJS2" s="6"/>
      <c r="BJT2" s="6"/>
      <c r="BJU2" s="6"/>
      <c r="BJV2" s="6"/>
      <c r="BJW2" s="6"/>
      <c r="BJX2" s="6"/>
      <c r="BJY2" s="6"/>
      <c r="BJZ2" s="6"/>
      <c r="BKA2" s="6"/>
      <c r="BKB2" s="6"/>
      <c r="BKC2" s="6"/>
      <c r="BKD2" s="6"/>
      <c r="BKE2" s="6"/>
      <c r="BKF2" s="6"/>
      <c r="BKG2" s="6"/>
      <c r="BKH2" s="6"/>
      <c r="BKI2" s="6"/>
      <c r="BKJ2" s="6"/>
      <c r="BKK2" s="6"/>
      <c r="BKL2" s="6"/>
      <c r="BKM2" s="6"/>
      <c r="BKN2" s="6"/>
      <c r="BKO2" s="6"/>
      <c r="BKP2" s="6"/>
      <c r="BKQ2" s="6"/>
      <c r="BKR2" s="6"/>
      <c r="BKS2" s="6"/>
      <c r="BKT2" s="6"/>
      <c r="BKU2" s="6"/>
      <c r="BKV2" s="6"/>
      <c r="BKW2" s="6"/>
      <c r="BKX2" s="6"/>
      <c r="BKY2" s="6"/>
      <c r="BKZ2" s="6"/>
      <c r="BLA2" s="6"/>
      <c r="BLB2" s="6"/>
      <c r="BLC2" s="6"/>
      <c r="BLD2" s="6"/>
      <c r="BLE2" s="6"/>
      <c r="BLF2" s="6"/>
      <c r="BLG2" s="6"/>
      <c r="BLH2" s="6"/>
      <c r="BLI2" s="6"/>
      <c r="BLJ2" s="6"/>
      <c r="BLK2" s="6"/>
      <c r="BLL2" s="6"/>
      <c r="BLM2" s="6"/>
      <c r="BLN2" s="6"/>
      <c r="BLO2" s="6"/>
      <c r="BLP2" s="6"/>
      <c r="BLQ2" s="6"/>
      <c r="BLR2" s="6"/>
      <c r="BLS2" s="6"/>
      <c r="BLT2" s="6"/>
      <c r="BLU2" s="6"/>
      <c r="BLV2" s="6"/>
      <c r="BLW2" s="6"/>
      <c r="BLX2" s="6"/>
      <c r="BLY2" s="6"/>
      <c r="BLZ2" s="6"/>
      <c r="BMA2" s="6"/>
      <c r="BMB2" s="6"/>
      <c r="BMC2" s="6"/>
      <c r="BMD2" s="6"/>
      <c r="BME2" s="6"/>
      <c r="BMF2" s="6"/>
      <c r="BMG2" s="6"/>
      <c r="BMH2" s="6"/>
      <c r="BMI2" s="6"/>
      <c r="BMJ2" s="6"/>
      <c r="BMK2" s="6"/>
      <c r="BML2" s="6"/>
      <c r="BMM2" s="6"/>
      <c r="BMN2" s="6"/>
      <c r="BMO2" s="6"/>
      <c r="BMP2" s="6"/>
      <c r="BMQ2" s="6"/>
      <c r="BMR2" s="6"/>
      <c r="BMS2" s="6"/>
      <c r="BMT2" s="6"/>
      <c r="BMU2" s="6"/>
      <c r="BMV2" s="6"/>
      <c r="BMW2" s="6"/>
      <c r="BMX2" s="6"/>
      <c r="BMY2" s="6"/>
      <c r="BMZ2" s="6"/>
      <c r="BNA2" s="6"/>
      <c r="BNB2" s="6"/>
      <c r="BNC2" s="6"/>
      <c r="BND2" s="6"/>
      <c r="BNE2" s="6"/>
      <c r="BNF2" s="6"/>
      <c r="BNG2" s="6"/>
      <c r="BNH2" s="6"/>
      <c r="BNI2" s="6"/>
      <c r="BNJ2" s="6"/>
      <c r="BNK2" s="6"/>
      <c r="BNL2" s="6"/>
      <c r="BNM2" s="6"/>
      <c r="BNN2" s="6"/>
      <c r="BNO2" s="6"/>
      <c r="BNP2" s="6"/>
      <c r="BNQ2" s="6"/>
      <c r="BNR2" s="6"/>
      <c r="BNS2" s="6"/>
      <c r="BNT2" s="6"/>
      <c r="BNU2" s="6"/>
      <c r="BNV2" s="6"/>
      <c r="BNW2" s="6"/>
      <c r="BNX2" s="6"/>
      <c r="BNY2" s="6"/>
      <c r="BNZ2" s="6"/>
      <c r="BOA2" s="6"/>
      <c r="BOB2" s="6"/>
      <c r="BOC2" s="6"/>
      <c r="BOD2" s="6"/>
      <c r="BOE2" s="6"/>
      <c r="BOF2" s="6"/>
      <c r="BOG2" s="6"/>
      <c r="BOH2" s="6"/>
      <c r="BOI2" s="6"/>
      <c r="BOJ2" s="6"/>
      <c r="BOK2" s="6"/>
      <c r="BOL2" s="6"/>
      <c r="BOM2" s="6"/>
      <c r="BON2" s="6"/>
      <c r="BOO2" s="6"/>
      <c r="BOP2" s="6"/>
      <c r="BOQ2" s="6"/>
      <c r="BOR2" s="6"/>
      <c r="BOS2" s="6"/>
      <c r="BOT2" s="6"/>
      <c r="BOU2" s="6"/>
      <c r="BOV2" s="6"/>
      <c r="BOW2" s="6"/>
      <c r="BOX2" s="6"/>
      <c r="BOY2" s="6"/>
      <c r="BOZ2" s="6"/>
      <c r="BPA2" s="6"/>
      <c r="BPB2" s="6"/>
      <c r="BPC2" s="6"/>
      <c r="BPD2" s="6"/>
      <c r="BPE2" s="6"/>
      <c r="BPF2" s="6"/>
      <c r="BPG2" s="6"/>
      <c r="BPH2" s="6"/>
      <c r="BPI2" s="6"/>
      <c r="BPJ2" s="6"/>
      <c r="BPK2" s="6"/>
      <c r="BPL2" s="6"/>
      <c r="BPM2" s="6"/>
      <c r="BPN2" s="6"/>
      <c r="BPO2" s="6"/>
      <c r="BPP2" s="6"/>
      <c r="BPQ2" s="6"/>
      <c r="BPR2" s="6"/>
      <c r="BPS2" s="6"/>
      <c r="BPT2" s="6"/>
      <c r="BPU2" s="6"/>
      <c r="BPV2" s="6"/>
      <c r="BPW2" s="6"/>
      <c r="BPX2" s="6"/>
      <c r="BPY2" s="6"/>
      <c r="BPZ2" s="6"/>
      <c r="BQA2" s="6"/>
      <c r="BQB2" s="6"/>
      <c r="BQC2" s="6"/>
      <c r="BQD2" s="6"/>
      <c r="BQE2" s="6"/>
      <c r="BQF2" s="6"/>
      <c r="BQG2" s="6"/>
      <c r="BQH2" s="6"/>
      <c r="BQI2" s="6"/>
      <c r="BQJ2" s="6"/>
      <c r="BQK2" s="6"/>
      <c r="BQL2" s="6"/>
      <c r="BQM2" s="6"/>
      <c r="BQN2" s="6"/>
      <c r="BQO2" s="6"/>
      <c r="BQP2" s="6"/>
      <c r="BQQ2" s="6"/>
      <c r="BQR2" s="6"/>
      <c r="BQS2" s="6"/>
      <c r="BQT2" s="6"/>
      <c r="BQU2" s="6"/>
      <c r="BQV2" s="6"/>
      <c r="BQW2" s="6"/>
      <c r="BQX2" s="6"/>
      <c r="BQY2" s="6"/>
      <c r="BQZ2" s="6"/>
      <c r="BRA2" s="6"/>
      <c r="BRB2" s="6"/>
      <c r="BRC2" s="6"/>
      <c r="BRD2" s="6"/>
      <c r="BRE2" s="6"/>
      <c r="BRF2" s="6"/>
      <c r="BRG2" s="6"/>
      <c r="BRH2" s="6"/>
      <c r="BRI2" s="6"/>
      <c r="BRJ2" s="6"/>
      <c r="BRK2" s="6"/>
      <c r="BRL2" s="6"/>
      <c r="BRM2" s="6"/>
      <c r="BRN2" s="6"/>
      <c r="BRO2" s="6"/>
      <c r="BRP2" s="6"/>
      <c r="BRQ2" s="6"/>
      <c r="BRR2" s="6"/>
      <c r="BRS2" s="6"/>
      <c r="BRT2" s="6"/>
      <c r="BRU2" s="6"/>
      <c r="BRV2" s="6"/>
      <c r="BRW2" s="6"/>
      <c r="BRX2" s="6"/>
      <c r="BRY2" s="6"/>
      <c r="BRZ2" s="6"/>
      <c r="BSA2" s="6"/>
      <c r="BSB2" s="6"/>
      <c r="BSC2" s="6"/>
      <c r="BSD2" s="6"/>
      <c r="BSE2" s="6"/>
      <c r="BSF2" s="6"/>
      <c r="BSG2" s="6"/>
      <c r="BSH2" s="6"/>
      <c r="BSI2" s="6"/>
      <c r="BSJ2" s="6"/>
      <c r="BSK2" s="6"/>
      <c r="BSL2" s="6"/>
      <c r="BSM2" s="6"/>
      <c r="BSN2" s="6"/>
      <c r="BSO2" s="6"/>
      <c r="BSP2" s="6"/>
      <c r="BSQ2" s="6"/>
      <c r="BSR2" s="6"/>
      <c r="BSS2" s="6"/>
      <c r="BST2" s="6"/>
      <c r="BSU2" s="6"/>
      <c r="BSV2" s="6"/>
      <c r="BSW2" s="6"/>
      <c r="BSX2" s="6"/>
      <c r="BSY2" s="6"/>
      <c r="BSZ2" s="6"/>
      <c r="BTA2" s="6"/>
      <c r="BTB2" s="6"/>
      <c r="BTC2" s="6"/>
      <c r="BTD2" s="6"/>
      <c r="BTE2" s="6"/>
      <c r="BTF2" s="6"/>
      <c r="BTG2" s="6"/>
      <c r="BTH2" s="6"/>
      <c r="BTI2" s="6"/>
      <c r="BTJ2" s="6"/>
      <c r="BTK2" s="6"/>
      <c r="BTL2" s="6"/>
      <c r="BTM2" s="6"/>
      <c r="BTN2" s="6"/>
      <c r="BTO2" s="6"/>
      <c r="BTP2" s="6"/>
      <c r="BTQ2" s="6"/>
      <c r="BTR2" s="6"/>
      <c r="BTS2" s="6"/>
      <c r="BTT2" s="6"/>
      <c r="BTU2" s="6"/>
      <c r="BTV2" s="6"/>
      <c r="BTW2" s="6"/>
      <c r="BTX2" s="6"/>
      <c r="BTY2" s="6"/>
      <c r="BTZ2" s="6"/>
      <c r="BUA2" s="6"/>
      <c r="BUB2" s="6"/>
      <c r="BUC2" s="6"/>
      <c r="BUD2" s="6"/>
      <c r="BUE2" s="6"/>
      <c r="BUF2" s="6"/>
      <c r="BUG2" s="6"/>
      <c r="BUH2" s="6"/>
      <c r="BUI2" s="6"/>
      <c r="BUJ2" s="6"/>
      <c r="BUK2" s="6"/>
      <c r="BUL2" s="6"/>
      <c r="BUM2" s="6"/>
      <c r="BUN2" s="6"/>
      <c r="BUO2" s="6"/>
      <c r="BUP2" s="6"/>
      <c r="BUQ2" s="6"/>
      <c r="BUR2" s="6"/>
      <c r="BUS2" s="6"/>
      <c r="BUT2" s="6"/>
      <c r="BUU2" s="6"/>
      <c r="BUV2" s="6"/>
      <c r="BUW2" s="6"/>
      <c r="BUX2" s="6"/>
      <c r="BUY2" s="6"/>
      <c r="BUZ2" s="6"/>
      <c r="BVA2" s="6"/>
      <c r="BVB2" s="6"/>
      <c r="BVC2" s="6"/>
      <c r="BVD2" s="6"/>
      <c r="BVE2" s="6"/>
      <c r="BVF2" s="6"/>
      <c r="BVG2" s="6"/>
      <c r="BVH2" s="6"/>
      <c r="BVI2" s="6"/>
      <c r="BVJ2" s="6"/>
      <c r="BVK2" s="6"/>
      <c r="BVL2" s="6"/>
      <c r="BVM2" s="6"/>
      <c r="BVN2" s="6"/>
      <c r="BVO2" s="6"/>
      <c r="BVP2" s="6"/>
      <c r="BVQ2" s="6"/>
      <c r="BVR2" s="6"/>
      <c r="BVS2" s="6"/>
      <c r="BVT2" s="6"/>
      <c r="BVU2" s="6"/>
      <c r="BVV2" s="6"/>
      <c r="BVW2" s="6"/>
      <c r="BVX2" s="6"/>
      <c r="BVY2" s="6"/>
      <c r="BVZ2" s="6"/>
      <c r="BWA2" s="6"/>
      <c r="BWB2" s="6"/>
      <c r="BWC2" s="6"/>
      <c r="BWD2" s="6"/>
      <c r="BWE2" s="6"/>
      <c r="BWF2" s="6"/>
      <c r="BWG2" s="6"/>
      <c r="BWH2" s="6"/>
      <c r="BWI2" s="6"/>
      <c r="BWJ2" s="6"/>
      <c r="BWK2" s="6"/>
      <c r="BWL2" s="6"/>
      <c r="BWM2" s="6"/>
      <c r="BWN2" s="6"/>
      <c r="BWO2" s="6"/>
      <c r="BWP2" s="6"/>
      <c r="BWQ2" s="6"/>
      <c r="BWR2" s="6"/>
      <c r="BWS2" s="6"/>
      <c r="BWT2" s="6"/>
      <c r="BWU2" s="6"/>
      <c r="BWV2" s="6"/>
      <c r="BWW2" s="6"/>
      <c r="BWX2" s="6"/>
      <c r="BWY2" s="6"/>
      <c r="BWZ2" s="6"/>
      <c r="BXA2" s="6"/>
      <c r="BXB2" s="6"/>
      <c r="BXC2" s="6"/>
      <c r="BXD2" s="6"/>
      <c r="BXE2" s="6"/>
      <c r="BXF2" s="6"/>
      <c r="BXG2" s="6"/>
      <c r="BXH2" s="6"/>
      <c r="BXI2" s="6"/>
      <c r="BXJ2" s="6"/>
      <c r="BXK2" s="6"/>
      <c r="BXL2" s="6"/>
      <c r="BXM2" s="6"/>
      <c r="BXN2" s="6"/>
      <c r="BXO2" s="6"/>
      <c r="BXP2" s="6"/>
      <c r="BXQ2" s="6"/>
      <c r="BXR2" s="6"/>
      <c r="BXS2" s="6"/>
      <c r="BXT2" s="6"/>
      <c r="BXU2" s="6"/>
      <c r="BXV2" s="6"/>
      <c r="BXW2" s="6"/>
      <c r="BXX2" s="6"/>
      <c r="BXY2" s="6"/>
      <c r="BXZ2" s="6"/>
      <c r="BYA2" s="6"/>
      <c r="BYB2" s="6"/>
      <c r="BYC2" s="6"/>
      <c r="BYD2" s="6"/>
      <c r="BYE2" s="6"/>
      <c r="BYF2" s="6"/>
      <c r="BYG2" s="6"/>
      <c r="BYH2" s="6"/>
      <c r="BYI2" s="6"/>
      <c r="BYJ2" s="6"/>
      <c r="BYK2" s="6"/>
      <c r="BYL2" s="6"/>
      <c r="BYM2" s="6"/>
      <c r="BYN2" s="6"/>
      <c r="BYO2" s="6"/>
      <c r="BYP2" s="6"/>
      <c r="BYQ2" s="6"/>
      <c r="BYR2" s="6"/>
      <c r="BYS2" s="6"/>
      <c r="BYT2" s="6"/>
      <c r="BYU2" s="6"/>
      <c r="BYV2" s="6"/>
      <c r="BYW2" s="6"/>
      <c r="BYX2" s="6"/>
      <c r="BYY2" s="6"/>
      <c r="BYZ2" s="6"/>
      <c r="BZA2" s="6"/>
      <c r="BZB2" s="6"/>
      <c r="BZC2" s="6"/>
      <c r="BZD2" s="6"/>
      <c r="BZE2" s="6"/>
      <c r="BZF2" s="6"/>
      <c r="BZG2" s="6"/>
      <c r="BZH2" s="6"/>
      <c r="BZI2" s="6"/>
      <c r="BZJ2" s="6"/>
      <c r="BZK2" s="6"/>
      <c r="BZL2" s="6"/>
      <c r="BZM2" s="6"/>
      <c r="BZN2" s="6"/>
      <c r="BZO2" s="6"/>
      <c r="BZP2" s="6"/>
      <c r="BZQ2" s="6"/>
      <c r="BZR2" s="6"/>
      <c r="BZS2" s="6"/>
      <c r="BZT2" s="6"/>
      <c r="BZU2" s="6"/>
      <c r="BZV2" s="6"/>
      <c r="BZW2" s="6"/>
      <c r="BZX2" s="6"/>
      <c r="BZY2" s="6"/>
      <c r="BZZ2" s="6"/>
      <c r="CAA2" s="6"/>
      <c r="CAB2" s="6"/>
      <c r="CAC2" s="6"/>
      <c r="CAD2" s="6"/>
      <c r="CAE2" s="6"/>
      <c r="CAF2" s="6"/>
      <c r="CAG2" s="6"/>
      <c r="CAH2" s="6"/>
      <c r="CAI2" s="6"/>
      <c r="CAJ2" s="6"/>
      <c r="CAK2" s="6"/>
      <c r="CAL2" s="6"/>
      <c r="CAM2" s="6"/>
      <c r="CAN2" s="6"/>
      <c r="CAO2" s="6"/>
      <c r="CAP2" s="6"/>
      <c r="CAQ2" s="6"/>
      <c r="CAR2" s="6"/>
      <c r="CAS2" s="6"/>
      <c r="CAT2" s="6"/>
      <c r="CAU2" s="6"/>
      <c r="CAV2" s="6"/>
      <c r="CAW2" s="6"/>
      <c r="CAX2" s="6"/>
      <c r="CAY2" s="6"/>
      <c r="CAZ2" s="6"/>
      <c r="CBA2" s="6"/>
      <c r="CBB2" s="6"/>
      <c r="CBC2" s="6"/>
      <c r="CBD2" s="6"/>
      <c r="CBE2" s="6"/>
      <c r="CBF2" s="6"/>
      <c r="CBG2" s="6"/>
      <c r="CBH2" s="6"/>
      <c r="CBI2" s="6"/>
      <c r="CBJ2" s="6"/>
      <c r="CBK2" s="6"/>
      <c r="CBL2" s="6"/>
      <c r="CBM2" s="6"/>
      <c r="CBN2" s="6"/>
      <c r="CBO2" s="6"/>
      <c r="CBP2" s="6"/>
      <c r="CBQ2" s="6"/>
      <c r="CBR2" s="6"/>
      <c r="CBS2" s="6"/>
      <c r="CBT2" s="6"/>
      <c r="CBU2" s="6"/>
      <c r="CBV2" s="6"/>
      <c r="CBW2" s="6"/>
      <c r="CBX2" s="6"/>
      <c r="CBY2" s="6"/>
      <c r="CBZ2" s="6"/>
      <c r="CCA2" s="6"/>
      <c r="CCB2" s="6"/>
      <c r="CCC2" s="6"/>
      <c r="CCD2" s="6"/>
      <c r="CCE2" s="6"/>
      <c r="CCF2" s="6"/>
      <c r="CCG2" s="6"/>
      <c r="CCH2" s="6"/>
      <c r="CCI2" s="6"/>
      <c r="CCJ2" s="6"/>
      <c r="CCK2" s="6"/>
      <c r="CCL2" s="6"/>
      <c r="CCM2" s="6"/>
      <c r="CCN2" s="6"/>
      <c r="CCO2" s="6"/>
      <c r="CCP2" s="6"/>
      <c r="CCQ2" s="6"/>
      <c r="CCR2" s="6"/>
      <c r="CCS2" s="6"/>
      <c r="CCT2" s="6"/>
      <c r="CCU2" s="6"/>
      <c r="CCV2" s="6"/>
      <c r="CCW2" s="6"/>
      <c r="CCX2" s="6"/>
      <c r="CCY2" s="6"/>
      <c r="CCZ2" s="6"/>
      <c r="CDA2" s="6"/>
      <c r="CDB2" s="6"/>
      <c r="CDC2" s="6"/>
      <c r="CDD2" s="6"/>
      <c r="CDE2" s="6"/>
      <c r="CDF2" s="6"/>
      <c r="CDG2" s="6"/>
      <c r="CDH2" s="6"/>
      <c r="CDI2" s="6"/>
      <c r="CDJ2" s="6"/>
      <c r="CDK2" s="6"/>
      <c r="CDL2" s="6"/>
      <c r="CDM2" s="6"/>
      <c r="CDN2" s="6"/>
      <c r="CDO2" s="6"/>
      <c r="CDP2" s="6"/>
      <c r="CDQ2" s="6"/>
      <c r="CDR2" s="6"/>
      <c r="CDS2" s="6"/>
      <c r="CDT2" s="6"/>
      <c r="CDU2" s="6"/>
      <c r="CDV2" s="6"/>
      <c r="CDW2" s="6"/>
      <c r="CDX2" s="6"/>
      <c r="CDY2" s="6"/>
      <c r="CDZ2" s="6"/>
      <c r="CEA2" s="6"/>
      <c r="CEB2" s="6"/>
      <c r="CEC2" s="6"/>
      <c r="CED2" s="6"/>
      <c r="CEE2" s="6"/>
      <c r="CEF2" s="6"/>
      <c r="CEG2" s="6"/>
      <c r="CEH2" s="6"/>
      <c r="CEI2" s="6"/>
      <c r="CEJ2" s="6"/>
      <c r="CEK2" s="6"/>
      <c r="CEL2" s="6"/>
      <c r="CEM2" s="6"/>
      <c r="CEN2" s="6"/>
      <c r="CEO2" s="6"/>
      <c r="CEP2" s="6"/>
      <c r="CEQ2" s="6"/>
      <c r="CER2" s="6"/>
      <c r="CES2" s="6"/>
      <c r="CET2" s="6"/>
      <c r="CEU2" s="6"/>
      <c r="CEV2" s="6"/>
      <c r="CEW2" s="6"/>
      <c r="CEX2" s="6"/>
      <c r="CEY2" s="6"/>
      <c r="CEZ2" s="6"/>
      <c r="CFA2" s="6"/>
      <c r="CFB2" s="6"/>
      <c r="CFC2" s="6"/>
      <c r="CFD2" s="6"/>
      <c r="CFE2" s="6"/>
      <c r="CFF2" s="6"/>
      <c r="CFG2" s="6"/>
      <c r="CFH2" s="6"/>
      <c r="CFI2" s="6"/>
      <c r="CFJ2" s="6"/>
      <c r="CFK2" s="6"/>
      <c r="CFL2" s="6"/>
      <c r="CFM2" s="6"/>
      <c r="CFN2" s="6"/>
      <c r="CFO2" s="6"/>
      <c r="CFP2" s="6"/>
      <c r="CFQ2" s="6"/>
      <c r="CFR2" s="6"/>
      <c r="CFS2" s="6"/>
      <c r="CFT2" s="6"/>
      <c r="CFU2" s="6"/>
      <c r="CFV2" s="6"/>
      <c r="CFW2" s="6"/>
      <c r="CFX2" s="6"/>
      <c r="CFY2" s="6"/>
      <c r="CFZ2" s="6"/>
      <c r="CGA2" s="6"/>
      <c r="CGB2" s="6"/>
      <c r="CGC2" s="6"/>
      <c r="CGD2" s="6"/>
      <c r="CGE2" s="6"/>
      <c r="CGF2" s="6"/>
      <c r="CGG2" s="6"/>
      <c r="CGH2" s="6"/>
      <c r="CGI2" s="6"/>
      <c r="CGJ2" s="6"/>
      <c r="CGK2" s="6"/>
      <c r="CGL2" s="6"/>
      <c r="CGM2" s="6"/>
      <c r="CGN2" s="6"/>
      <c r="CGO2" s="6"/>
      <c r="CGP2" s="6"/>
      <c r="CGQ2" s="6"/>
      <c r="CGR2" s="6"/>
      <c r="CGS2" s="6"/>
      <c r="CGT2" s="6"/>
      <c r="CGU2" s="6"/>
      <c r="CGV2" s="6"/>
      <c r="CGW2" s="6"/>
      <c r="CGX2" s="6"/>
      <c r="CGY2" s="6"/>
      <c r="CGZ2" s="6"/>
      <c r="CHA2" s="6"/>
      <c r="CHB2" s="6"/>
      <c r="CHC2" s="6"/>
      <c r="CHD2" s="6"/>
      <c r="CHE2" s="6"/>
      <c r="CHF2" s="6"/>
      <c r="CHG2" s="6"/>
      <c r="CHH2" s="6"/>
      <c r="CHI2" s="6"/>
      <c r="CHJ2" s="6"/>
      <c r="CHK2" s="6"/>
      <c r="CHL2" s="6"/>
      <c r="CHM2" s="6"/>
      <c r="CHN2" s="6"/>
      <c r="CHO2" s="6"/>
      <c r="CHP2" s="6"/>
      <c r="CHQ2" s="6"/>
      <c r="CHR2" s="6"/>
      <c r="CHS2" s="6"/>
      <c r="CHT2" s="6"/>
      <c r="CHU2" s="6"/>
      <c r="CHV2" s="6"/>
      <c r="CHW2" s="6"/>
      <c r="CHX2" s="6"/>
      <c r="CHY2" s="6"/>
      <c r="CHZ2" s="6"/>
      <c r="CIA2" s="6"/>
      <c r="CIB2" s="6"/>
      <c r="CIC2" s="6"/>
      <c r="CID2" s="6"/>
      <c r="CIE2" s="6"/>
      <c r="CIF2" s="6"/>
      <c r="CIG2" s="6"/>
      <c r="CIH2" s="6"/>
      <c r="CII2" s="6"/>
      <c r="CIJ2" s="6"/>
      <c r="CIK2" s="6"/>
      <c r="CIL2" s="6"/>
      <c r="CIM2" s="6"/>
      <c r="CIN2" s="6"/>
      <c r="CIO2" s="6"/>
      <c r="CIP2" s="6"/>
      <c r="CIQ2" s="6"/>
      <c r="CIR2" s="6"/>
      <c r="CIS2" s="6"/>
      <c r="CIT2" s="6"/>
      <c r="CIU2" s="6"/>
      <c r="CIV2" s="6"/>
      <c r="CIW2" s="6"/>
      <c r="CIX2" s="6"/>
      <c r="CIY2" s="6"/>
      <c r="CIZ2" s="6"/>
      <c r="CJA2" s="6"/>
      <c r="CJB2" s="6"/>
      <c r="CJC2" s="6"/>
      <c r="CJD2" s="6"/>
      <c r="CJE2" s="6"/>
      <c r="CJF2" s="6"/>
      <c r="CJG2" s="6"/>
      <c r="CJH2" s="6"/>
      <c r="CJI2" s="6"/>
      <c r="CJJ2" s="6"/>
      <c r="CJK2" s="6"/>
      <c r="CJL2" s="6"/>
      <c r="CJM2" s="6"/>
      <c r="CJN2" s="6"/>
      <c r="CJO2" s="6"/>
      <c r="CJP2" s="6"/>
      <c r="CJQ2" s="6"/>
      <c r="CJR2" s="6"/>
      <c r="CJS2" s="6"/>
      <c r="CJT2" s="6"/>
      <c r="CJU2" s="6"/>
      <c r="CJV2" s="6"/>
      <c r="CJW2" s="6"/>
      <c r="CJX2" s="6"/>
      <c r="CJY2" s="6"/>
      <c r="CJZ2" s="6"/>
      <c r="CKA2" s="6"/>
      <c r="CKB2" s="6"/>
      <c r="CKC2" s="6"/>
      <c r="CKD2" s="6"/>
      <c r="CKE2" s="6"/>
      <c r="CKF2" s="6"/>
      <c r="CKG2" s="6"/>
      <c r="CKH2" s="6"/>
      <c r="CKI2" s="6"/>
      <c r="CKJ2" s="6"/>
      <c r="CKK2" s="6"/>
      <c r="CKL2" s="6"/>
      <c r="CKM2" s="6"/>
      <c r="CKN2" s="6"/>
      <c r="CKO2" s="6"/>
      <c r="CKP2" s="6"/>
      <c r="CKQ2" s="6"/>
      <c r="CKR2" s="6"/>
      <c r="CKS2" s="6"/>
      <c r="CKT2" s="6"/>
      <c r="CKU2" s="6"/>
      <c r="CKV2" s="6"/>
      <c r="CKW2" s="6"/>
      <c r="CKX2" s="6"/>
      <c r="CKY2" s="6"/>
      <c r="CKZ2" s="6"/>
      <c r="CLA2" s="6"/>
      <c r="CLB2" s="6"/>
      <c r="CLC2" s="6"/>
      <c r="CLD2" s="6"/>
      <c r="CLE2" s="6"/>
      <c r="CLF2" s="6"/>
      <c r="CLG2" s="6"/>
      <c r="CLH2" s="6"/>
      <c r="CLI2" s="6"/>
      <c r="CLJ2" s="6"/>
      <c r="CLK2" s="6"/>
      <c r="CLL2" s="6"/>
      <c r="CLM2" s="6"/>
      <c r="CLN2" s="6"/>
      <c r="CLO2" s="6"/>
      <c r="CLP2" s="6"/>
      <c r="CLQ2" s="6"/>
      <c r="CLR2" s="6"/>
      <c r="CLS2" s="6"/>
      <c r="CLT2" s="6"/>
      <c r="CLU2" s="6"/>
      <c r="CLV2" s="6"/>
      <c r="CLW2" s="6"/>
      <c r="CLX2" s="6"/>
      <c r="CLY2" s="6"/>
      <c r="CLZ2" s="6"/>
      <c r="CMA2" s="6"/>
      <c r="CMB2" s="6"/>
      <c r="CMC2" s="6"/>
      <c r="CMD2" s="6"/>
      <c r="CME2" s="6"/>
      <c r="CMF2" s="6"/>
      <c r="CMG2" s="6"/>
      <c r="CMH2" s="6"/>
      <c r="CMI2" s="6"/>
      <c r="CMJ2" s="6"/>
      <c r="CMK2" s="6"/>
      <c r="CML2" s="6"/>
      <c r="CMM2" s="6"/>
      <c r="CMN2" s="6"/>
      <c r="CMO2" s="6"/>
      <c r="CMP2" s="6"/>
      <c r="CMQ2" s="6"/>
      <c r="CMR2" s="6"/>
      <c r="CMS2" s="6"/>
      <c r="CMT2" s="6"/>
      <c r="CMU2" s="6"/>
      <c r="CMV2" s="6"/>
      <c r="CMW2" s="6"/>
      <c r="CMX2" s="6"/>
      <c r="CMY2" s="6"/>
      <c r="CMZ2" s="6"/>
      <c r="CNA2" s="6"/>
      <c r="CNB2" s="6"/>
      <c r="CNC2" s="6"/>
      <c r="CND2" s="6"/>
      <c r="CNE2" s="6"/>
      <c r="CNF2" s="6"/>
      <c r="CNG2" s="6"/>
      <c r="CNH2" s="6"/>
      <c r="CNI2" s="6"/>
      <c r="CNJ2" s="6"/>
      <c r="CNK2" s="6"/>
      <c r="CNL2" s="6"/>
      <c r="CNM2" s="6"/>
      <c r="CNN2" s="6"/>
      <c r="CNO2" s="6"/>
      <c r="CNP2" s="6"/>
      <c r="CNQ2" s="6"/>
      <c r="CNR2" s="6"/>
      <c r="CNS2" s="6"/>
      <c r="CNT2" s="6"/>
      <c r="CNU2" s="6"/>
      <c r="CNV2" s="6"/>
      <c r="CNW2" s="6"/>
      <c r="CNX2" s="6"/>
      <c r="CNY2" s="6"/>
      <c r="CNZ2" s="6"/>
      <c r="COA2" s="6"/>
      <c r="COB2" s="6"/>
      <c r="COC2" s="6"/>
      <c r="COD2" s="6"/>
      <c r="COE2" s="6"/>
      <c r="COF2" s="6"/>
      <c r="COG2" s="6"/>
      <c r="COH2" s="6"/>
      <c r="COI2" s="6"/>
      <c r="COJ2" s="6"/>
      <c r="COK2" s="6"/>
      <c r="COL2" s="6"/>
      <c r="COM2" s="6"/>
      <c r="CON2" s="6"/>
      <c r="COO2" s="6"/>
      <c r="COP2" s="6"/>
      <c r="COQ2" s="6"/>
      <c r="COR2" s="6"/>
      <c r="COS2" s="6"/>
      <c r="COT2" s="6"/>
      <c r="COU2" s="6"/>
      <c r="COV2" s="6"/>
      <c r="COW2" s="6"/>
      <c r="COX2" s="6"/>
      <c r="COY2" s="6"/>
      <c r="COZ2" s="6"/>
      <c r="CPA2" s="6"/>
      <c r="CPB2" s="6"/>
      <c r="CPC2" s="6"/>
      <c r="CPD2" s="6"/>
      <c r="CPE2" s="6"/>
      <c r="CPF2" s="6"/>
      <c r="CPG2" s="6"/>
      <c r="CPH2" s="6"/>
      <c r="CPI2" s="6"/>
      <c r="CPJ2" s="6"/>
      <c r="CPK2" s="6"/>
      <c r="CPL2" s="6"/>
      <c r="CPM2" s="6"/>
      <c r="CPN2" s="6"/>
      <c r="CPO2" s="6"/>
      <c r="CPP2" s="6"/>
      <c r="CPQ2" s="6"/>
      <c r="CPR2" s="6"/>
      <c r="CPS2" s="6"/>
      <c r="CPT2" s="6"/>
      <c r="CPU2" s="6"/>
      <c r="CPV2" s="6"/>
      <c r="CPW2" s="6"/>
      <c r="CPX2" s="6"/>
      <c r="CPY2" s="6"/>
      <c r="CPZ2" s="6"/>
      <c r="CQA2" s="6"/>
      <c r="CQB2" s="6"/>
      <c r="CQC2" s="6"/>
      <c r="CQD2" s="6"/>
      <c r="CQE2" s="6"/>
      <c r="CQF2" s="6"/>
      <c r="CQG2" s="6"/>
      <c r="CQH2" s="6"/>
      <c r="CQI2" s="6"/>
      <c r="CQJ2" s="6"/>
      <c r="CQK2" s="6"/>
      <c r="CQL2" s="6"/>
      <c r="CQM2" s="6"/>
      <c r="CQN2" s="6"/>
      <c r="CQO2" s="6"/>
      <c r="CQP2" s="6"/>
      <c r="CQQ2" s="6"/>
      <c r="CQR2" s="6"/>
      <c r="CQS2" s="6"/>
      <c r="CQT2" s="6"/>
      <c r="CQU2" s="6"/>
      <c r="CQV2" s="6"/>
      <c r="CQW2" s="6"/>
      <c r="CQX2" s="6"/>
      <c r="CQY2" s="6"/>
      <c r="CQZ2" s="6"/>
      <c r="CRA2" s="6"/>
      <c r="CRB2" s="6"/>
      <c r="CRC2" s="6"/>
      <c r="CRD2" s="6"/>
      <c r="CRE2" s="6"/>
      <c r="CRF2" s="6"/>
      <c r="CRG2" s="6"/>
      <c r="CRH2" s="6"/>
      <c r="CRI2" s="6"/>
      <c r="CRJ2" s="6"/>
      <c r="CRK2" s="6"/>
      <c r="CRL2" s="6"/>
      <c r="CRM2" s="6"/>
      <c r="CRN2" s="6"/>
      <c r="CRO2" s="6"/>
      <c r="CRP2" s="6"/>
      <c r="CRQ2" s="6"/>
      <c r="CRR2" s="6"/>
      <c r="CRS2" s="6"/>
      <c r="CRT2" s="6"/>
      <c r="CRU2" s="6"/>
      <c r="CRV2" s="6"/>
      <c r="CRW2" s="6"/>
      <c r="CRX2" s="6"/>
      <c r="CRY2" s="6"/>
      <c r="CRZ2" s="6"/>
      <c r="CSA2" s="6"/>
      <c r="CSB2" s="6"/>
      <c r="CSC2" s="6"/>
      <c r="CSD2" s="6"/>
      <c r="CSE2" s="6"/>
      <c r="CSF2" s="6"/>
      <c r="CSG2" s="6"/>
      <c r="CSH2" s="6"/>
      <c r="CSI2" s="6"/>
      <c r="CSJ2" s="6"/>
      <c r="CSK2" s="6"/>
      <c r="CSL2" s="6"/>
      <c r="CSM2" s="6"/>
      <c r="CSN2" s="6"/>
      <c r="CSO2" s="6"/>
      <c r="CSP2" s="6"/>
      <c r="CSQ2" s="6"/>
      <c r="CSR2" s="6"/>
      <c r="CSS2" s="6"/>
      <c r="CST2" s="6"/>
      <c r="CSU2" s="6"/>
      <c r="CSV2" s="6"/>
      <c r="CSW2" s="6"/>
      <c r="CSX2" s="6"/>
      <c r="CSY2" s="6"/>
      <c r="CSZ2" s="6"/>
      <c r="CTA2" s="6"/>
      <c r="CTB2" s="6"/>
      <c r="CTC2" s="6"/>
      <c r="CTD2" s="6"/>
      <c r="CTE2" s="6"/>
      <c r="CTF2" s="6"/>
      <c r="CTG2" s="6"/>
      <c r="CTH2" s="6"/>
      <c r="CTI2" s="6"/>
      <c r="CTJ2" s="6"/>
      <c r="CTK2" s="6"/>
      <c r="CTL2" s="6"/>
      <c r="CTM2" s="6"/>
      <c r="CTN2" s="6"/>
      <c r="CTO2" s="6"/>
      <c r="CTP2" s="6"/>
      <c r="CTQ2" s="6"/>
      <c r="CTR2" s="6"/>
      <c r="CTS2" s="6"/>
      <c r="CTT2" s="6"/>
      <c r="CTU2" s="6"/>
      <c r="CTV2" s="6"/>
      <c r="CTW2" s="6"/>
      <c r="CTX2" s="6"/>
      <c r="CTY2" s="6"/>
      <c r="CTZ2" s="6"/>
      <c r="CUA2" s="6"/>
      <c r="CUB2" s="6"/>
      <c r="CUC2" s="6"/>
      <c r="CUD2" s="6"/>
      <c r="CUE2" s="6"/>
      <c r="CUF2" s="6"/>
      <c r="CUG2" s="6"/>
      <c r="CUH2" s="6"/>
      <c r="CUI2" s="6"/>
      <c r="CUJ2" s="6"/>
      <c r="CUK2" s="6"/>
      <c r="CUL2" s="6"/>
      <c r="CUM2" s="6"/>
      <c r="CUN2" s="6"/>
      <c r="CUO2" s="6"/>
      <c r="CUP2" s="6"/>
      <c r="CUQ2" s="6"/>
      <c r="CUR2" s="6"/>
      <c r="CUS2" s="6"/>
      <c r="CUT2" s="6"/>
      <c r="CUU2" s="6"/>
      <c r="CUV2" s="6"/>
      <c r="CUW2" s="6"/>
      <c r="CUX2" s="6"/>
      <c r="CUY2" s="6"/>
      <c r="CUZ2" s="6"/>
      <c r="CVA2" s="6"/>
      <c r="CVB2" s="6"/>
      <c r="CVC2" s="6"/>
      <c r="CVD2" s="6"/>
      <c r="CVE2" s="6"/>
      <c r="CVF2" s="6"/>
      <c r="CVG2" s="6"/>
      <c r="CVH2" s="6"/>
      <c r="CVI2" s="6"/>
      <c r="CVJ2" s="6"/>
      <c r="CVK2" s="6"/>
      <c r="CVL2" s="6"/>
      <c r="CVM2" s="6"/>
      <c r="CVN2" s="6"/>
      <c r="CVO2" s="6"/>
      <c r="CVP2" s="6"/>
      <c r="CVQ2" s="6"/>
      <c r="CVR2" s="6"/>
      <c r="CVS2" s="6"/>
      <c r="CVT2" s="6"/>
      <c r="CVU2" s="6"/>
      <c r="CVV2" s="6"/>
      <c r="CVW2" s="6"/>
      <c r="CVX2" s="6"/>
      <c r="CVY2" s="6"/>
      <c r="CVZ2" s="6"/>
      <c r="CWA2" s="6"/>
      <c r="CWB2" s="6"/>
      <c r="CWC2" s="6"/>
      <c r="CWD2" s="6"/>
      <c r="CWE2" s="6"/>
      <c r="CWF2" s="6"/>
      <c r="CWG2" s="6"/>
      <c r="CWH2" s="6"/>
      <c r="CWI2" s="6"/>
      <c r="CWJ2" s="6"/>
      <c r="CWK2" s="6"/>
      <c r="CWL2" s="6"/>
      <c r="CWM2" s="6"/>
      <c r="CWN2" s="6"/>
      <c r="CWO2" s="6"/>
      <c r="CWP2" s="6"/>
      <c r="CWQ2" s="6"/>
      <c r="CWR2" s="6"/>
      <c r="CWS2" s="6"/>
      <c r="CWT2" s="6"/>
      <c r="CWU2" s="6"/>
      <c r="CWV2" s="6"/>
      <c r="CWW2" s="6"/>
      <c r="CWX2" s="6"/>
      <c r="CWY2" s="6"/>
      <c r="CWZ2" s="6"/>
      <c r="CXA2" s="6"/>
      <c r="CXB2" s="6"/>
      <c r="CXC2" s="6"/>
      <c r="CXD2" s="6"/>
      <c r="CXE2" s="6"/>
      <c r="CXF2" s="6"/>
      <c r="CXG2" s="6"/>
      <c r="CXH2" s="6"/>
      <c r="CXI2" s="6"/>
      <c r="CXJ2" s="6"/>
      <c r="CXK2" s="6"/>
      <c r="CXL2" s="6"/>
      <c r="CXM2" s="6"/>
      <c r="CXN2" s="6"/>
      <c r="CXO2" s="6"/>
      <c r="CXP2" s="6"/>
      <c r="CXQ2" s="6"/>
      <c r="CXR2" s="6"/>
      <c r="CXS2" s="6"/>
      <c r="CXT2" s="6"/>
      <c r="CXU2" s="6"/>
      <c r="CXV2" s="6"/>
      <c r="CXW2" s="6"/>
      <c r="CXX2" s="6"/>
      <c r="CXY2" s="6"/>
      <c r="CXZ2" s="6"/>
      <c r="CYA2" s="6"/>
      <c r="CYB2" s="6"/>
      <c r="CYC2" s="6"/>
      <c r="CYD2" s="6"/>
      <c r="CYE2" s="6"/>
      <c r="CYF2" s="6"/>
      <c r="CYG2" s="6"/>
      <c r="CYH2" s="6"/>
      <c r="CYI2" s="6"/>
      <c r="CYJ2" s="6"/>
      <c r="CYK2" s="6"/>
      <c r="CYL2" s="6"/>
      <c r="CYM2" s="6"/>
      <c r="CYN2" s="6"/>
      <c r="CYO2" s="6"/>
      <c r="CYP2" s="6"/>
      <c r="CYQ2" s="6"/>
      <c r="CYR2" s="6"/>
      <c r="CYS2" s="6"/>
      <c r="CYT2" s="6"/>
      <c r="CYU2" s="6"/>
      <c r="CYV2" s="6"/>
      <c r="CYW2" s="6"/>
      <c r="CYX2" s="6"/>
      <c r="CYY2" s="6"/>
      <c r="CYZ2" s="6"/>
      <c r="CZA2" s="6"/>
      <c r="CZB2" s="6"/>
      <c r="CZC2" s="6"/>
      <c r="CZD2" s="6"/>
      <c r="CZE2" s="6"/>
      <c r="CZF2" s="6"/>
      <c r="CZG2" s="6"/>
      <c r="CZH2" s="6"/>
      <c r="CZI2" s="6"/>
      <c r="CZJ2" s="6"/>
      <c r="CZK2" s="6"/>
      <c r="CZL2" s="6"/>
      <c r="CZM2" s="6"/>
      <c r="CZN2" s="6"/>
      <c r="CZO2" s="6"/>
      <c r="CZP2" s="6"/>
      <c r="CZQ2" s="6"/>
      <c r="CZR2" s="6"/>
      <c r="CZS2" s="6"/>
      <c r="CZT2" s="6"/>
      <c r="CZU2" s="6"/>
      <c r="CZV2" s="6"/>
      <c r="CZW2" s="6"/>
      <c r="CZX2" s="6"/>
      <c r="CZY2" s="6"/>
      <c r="CZZ2" s="6"/>
      <c r="DAA2" s="6"/>
      <c r="DAB2" s="6"/>
      <c r="DAC2" s="6"/>
      <c r="DAD2" s="6"/>
      <c r="DAE2" s="6"/>
      <c r="DAF2" s="6"/>
      <c r="DAG2" s="6"/>
      <c r="DAH2" s="6"/>
      <c r="DAI2" s="6"/>
      <c r="DAJ2" s="6"/>
      <c r="DAK2" s="6"/>
      <c r="DAL2" s="6"/>
      <c r="DAM2" s="6"/>
      <c r="DAN2" s="6"/>
      <c r="DAO2" s="6"/>
      <c r="DAP2" s="6"/>
      <c r="DAQ2" s="6"/>
      <c r="DAR2" s="6"/>
      <c r="DAS2" s="6"/>
      <c r="DAT2" s="6"/>
      <c r="DAU2" s="6"/>
      <c r="DAV2" s="6"/>
      <c r="DAW2" s="6"/>
      <c r="DAX2" s="6"/>
      <c r="DAY2" s="6"/>
      <c r="DAZ2" s="6"/>
      <c r="DBA2" s="6"/>
      <c r="DBB2" s="6"/>
      <c r="DBC2" s="6"/>
      <c r="DBD2" s="6"/>
      <c r="DBE2" s="6"/>
      <c r="DBF2" s="6"/>
      <c r="DBG2" s="6"/>
      <c r="DBH2" s="6"/>
      <c r="DBI2" s="6"/>
      <c r="DBJ2" s="6"/>
      <c r="DBK2" s="6"/>
      <c r="DBL2" s="6"/>
      <c r="DBM2" s="6"/>
      <c r="DBN2" s="6"/>
      <c r="DBO2" s="6"/>
      <c r="DBP2" s="6"/>
      <c r="DBQ2" s="6"/>
      <c r="DBR2" s="6"/>
      <c r="DBS2" s="6"/>
      <c r="DBT2" s="6"/>
      <c r="DBU2" s="6"/>
      <c r="DBV2" s="6"/>
      <c r="DBW2" s="6"/>
      <c r="DBX2" s="6"/>
      <c r="DBY2" s="6"/>
      <c r="DBZ2" s="6"/>
      <c r="DCA2" s="6"/>
      <c r="DCB2" s="6"/>
      <c r="DCC2" s="6"/>
      <c r="DCD2" s="6"/>
      <c r="DCE2" s="6"/>
      <c r="DCF2" s="6"/>
      <c r="DCG2" s="6"/>
      <c r="DCH2" s="6"/>
      <c r="DCI2" s="6"/>
      <c r="DCJ2" s="6"/>
      <c r="DCK2" s="6"/>
      <c r="DCL2" s="6"/>
      <c r="DCM2" s="6"/>
      <c r="DCN2" s="6"/>
      <c r="DCO2" s="6"/>
      <c r="DCP2" s="6"/>
      <c r="DCQ2" s="6"/>
      <c r="DCR2" s="6"/>
      <c r="DCS2" s="6"/>
      <c r="DCT2" s="6"/>
      <c r="DCU2" s="6"/>
      <c r="DCV2" s="6"/>
      <c r="DCW2" s="6"/>
      <c r="DCX2" s="6"/>
      <c r="DCY2" s="6"/>
      <c r="DCZ2" s="6"/>
      <c r="DDA2" s="6"/>
      <c r="DDB2" s="6"/>
      <c r="DDC2" s="6"/>
      <c r="DDD2" s="6"/>
      <c r="DDE2" s="6"/>
      <c r="DDF2" s="6"/>
      <c r="DDG2" s="6"/>
      <c r="DDH2" s="6"/>
      <c r="DDI2" s="6"/>
      <c r="DDJ2" s="6"/>
      <c r="DDK2" s="6"/>
      <c r="DDL2" s="6"/>
      <c r="DDM2" s="6"/>
      <c r="DDN2" s="6"/>
      <c r="DDO2" s="6"/>
      <c r="DDP2" s="6"/>
      <c r="DDQ2" s="6"/>
      <c r="DDR2" s="6"/>
      <c r="DDS2" s="6"/>
      <c r="DDT2" s="6"/>
      <c r="DDU2" s="6"/>
      <c r="DDV2" s="6"/>
      <c r="DDW2" s="6"/>
      <c r="DDX2" s="6"/>
      <c r="DDY2" s="6"/>
      <c r="DDZ2" s="6"/>
      <c r="DEA2" s="6"/>
      <c r="DEB2" s="6"/>
      <c r="DEC2" s="6"/>
      <c r="DED2" s="6"/>
      <c r="DEE2" s="6"/>
      <c r="DEF2" s="6"/>
      <c r="DEG2" s="6"/>
      <c r="DEH2" s="6"/>
      <c r="DEI2" s="6"/>
      <c r="DEJ2" s="6"/>
      <c r="DEK2" s="6"/>
      <c r="DEL2" s="6"/>
      <c r="DEM2" s="6"/>
      <c r="DEN2" s="6"/>
      <c r="DEO2" s="6"/>
      <c r="DEP2" s="6"/>
      <c r="DEQ2" s="6"/>
      <c r="DER2" s="6"/>
      <c r="DES2" s="6"/>
      <c r="DET2" s="6"/>
      <c r="DEU2" s="6"/>
      <c r="DEV2" s="6"/>
      <c r="DEW2" s="6"/>
      <c r="DEX2" s="6"/>
      <c r="DEY2" s="6"/>
      <c r="DEZ2" s="6"/>
      <c r="DFA2" s="6"/>
      <c r="DFB2" s="6"/>
      <c r="DFC2" s="6"/>
      <c r="DFD2" s="6"/>
      <c r="DFE2" s="6"/>
      <c r="DFF2" s="6"/>
      <c r="DFG2" s="6"/>
      <c r="DFH2" s="6"/>
      <c r="DFI2" s="6"/>
      <c r="DFJ2" s="6"/>
      <c r="DFK2" s="6"/>
      <c r="DFL2" s="6"/>
      <c r="DFM2" s="6"/>
      <c r="DFN2" s="6"/>
      <c r="DFO2" s="6"/>
      <c r="DFP2" s="6"/>
      <c r="DFQ2" s="6"/>
      <c r="DFR2" s="6"/>
      <c r="DFS2" s="6"/>
      <c r="DFT2" s="6"/>
      <c r="DFU2" s="6"/>
      <c r="DFV2" s="6"/>
      <c r="DFW2" s="6"/>
      <c r="DFX2" s="6"/>
      <c r="DFY2" s="6"/>
      <c r="DFZ2" s="6"/>
      <c r="DGA2" s="6"/>
      <c r="DGB2" s="6"/>
      <c r="DGC2" s="6"/>
      <c r="DGD2" s="6"/>
      <c r="DGE2" s="6"/>
      <c r="DGF2" s="6"/>
      <c r="DGG2" s="6"/>
      <c r="DGH2" s="6"/>
      <c r="DGI2" s="6"/>
      <c r="DGJ2" s="6"/>
      <c r="DGK2" s="6"/>
      <c r="DGL2" s="6"/>
      <c r="DGM2" s="6"/>
      <c r="DGN2" s="6"/>
      <c r="DGO2" s="6"/>
      <c r="DGP2" s="6"/>
      <c r="DGQ2" s="6"/>
      <c r="DGR2" s="6"/>
      <c r="DGS2" s="6"/>
      <c r="DGT2" s="6"/>
      <c r="DGU2" s="6"/>
      <c r="DGV2" s="6"/>
      <c r="DGW2" s="6"/>
      <c r="DGX2" s="6"/>
      <c r="DGY2" s="6"/>
      <c r="DGZ2" s="6"/>
      <c r="DHA2" s="6"/>
      <c r="DHB2" s="6"/>
      <c r="DHC2" s="6"/>
      <c r="DHD2" s="6"/>
      <c r="DHE2" s="6"/>
      <c r="DHF2" s="6"/>
      <c r="DHG2" s="6"/>
      <c r="DHH2" s="6"/>
      <c r="DHI2" s="6"/>
      <c r="DHJ2" s="6"/>
      <c r="DHK2" s="6"/>
      <c r="DHL2" s="6"/>
      <c r="DHM2" s="6"/>
      <c r="DHN2" s="6"/>
      <c r="DHO2" s="6"/>
      <c r="DHP2" s="6"/>
      <c r="DHQ2" s="6"/>
      <c r="DHR2" s="6"/>
      <c r="DHS2" s="6"/>
      <c r="DHT2" s="6"/>
      <c r="DHU2" s="6"/>
      <c r="DHV2" s="6"/>
      <c r="DHW2" s="6"/>
      <c r="DHX2" s="6"/>
      <c r="DHY2" s="6"/>
      <c r="DHZ2" s="6"/>
      <c r="DIA2" s="6"/>
      <c r="DIB2" s="6"/>
      <c r="DIC2" s="6"/>
      <c r="DID2" s="6"/>
      <c r="DIE2" s="6"/>
      <c r="DIF2" s="6"/>
      <c r="DIG2" s="6"/>
      <c r="DIH2" s="6"/>
      <c r="DII2" s="6"/>
      <c r="DIJ2" s="6"/>
      <c r="DIK2" s="6"/>
      <c r="DIL2" s="6"/>
      <c r="DIM2" s="6"/>
      <c r="DIN2" s="6"/>
      <c r="DIO2" s="6"/>
      <c r="DIP2" s="6"/>
      <c r="DIQ2" s="6"/>
      <c r="DIR2" s="6"/>
      <c r="DIS2" s="6"/>
      <c r="DIT2" s="6"/>
      <c r="DIU2" s="6"/>
      <c r="DIV2" s="6"/>
      <c r="DIW2" s="6"/>
      <c r="DIX2" s="6"/>
      <c r="DIY2" s="6"/>
      <c r="DIZ2" s="6"/>
      <c r="DJA2" s="6"/>
      <c r="DJB2" s="6"/>
      <c r="DJC2" s="6"/>
      <c r="DJD2" s="6"/>
      <c r="DJE2" s="6"/>
      <c r="DJF2" s="6"/>
      <c r="DJG2" s="6"/>
      <c r="DJH2" s="6"/>
      <c r="DJI2" s="6"/>
      <c r="DJJ2" s="6"/>
      <c r="DJK2" s="6"/>
      <c r="DJL2" s="6"/>
      <c r="DJM2" s="6"/>
      <c r="DJN2" s="6"/>
      <c r="DJO2" s="6"/>
      <c r="DJP2" s="6"/>
      <c r="DJQ2" s="6"/>
      <c r="DJR2" s="6"/>
      <c r="DJS2" s="6"/>
      <c r="DJT2" s="6"/>
      <c r="DJU2" s="6"/>
      <c r="DJV2" s="6"/>
      <c r="DJW2" s="6"/>
      <c r="DJX2" s="6"/>
      <c r="DJY2" s="6"/>
      <c r="DJZ2" s="6"/>
      <c r="DKA2" s="6"/>
      <c r="DKB2" s="6"/>
      <c r="DKC2" s="6"/>
      <c r="DKD2" s="6"/>
      <c r="DKE2" s="6"/>
      <c r="DKF2" s="6"/>
      <c r="DKG2" s="6"/>
      <c r="DKH2" s="6"/>
      <c r="DKI2" s="6"/>
      <c r="DKJ2" s="6"/>
      <c r="DKK2" s="6"/>
      <c r="DKL2" s="6"/>
      <c r="DKM2" s="6"/>
      <c r="DKN2" s="6"/>
      <c r="DKO2" s="6"/>
      <c r="DKP2" s="6"/>
      <c r="DKQ2" s="6"/>
      <c r="DKR2" s="6"/>
      <c r="DKS2" s="6"/>
      <c r="DKT2" s="6"/>
      <c r="DKU2" s="6"/>
      <c r="DKV2" s="6"/>
      <c r="DKW2" s="6"/>
      <c r="DKX2" s="6"/>
      <c r="DKY2" s="6"/>
      <c r="DKZ2" s="6"/>
      <c r="DLA2" s="6"/>
      <c r="DLB2" s="6"/>
      <c r="DLC2" s="6"/>
      <c r="DLD2" s="6"/>
      <c r="DLE2" s="6"/>
      <c r="DLF2" s="6"/>
      <c r="DLG2" s="6"/>
      <c r="DLH2" s="6"/>
      <c r="DLI2" s="6"/>
      <c r="DLJ2" s="6"/>
      <c r="DLK2" s="6"/>
      <c r="DLL2" s="6"/>
      <c r="DLM2" s="6"/>
      <c r="DLN2" s="6"/>
      <c r="DLO2" s="6"/>
      <c r="DLP2" s="6"/>
      <c r="DLQ2" s="6"/>
      <c r="DLR2" s="6"/>
      <c r="DLS2" s="6"/>
      <c r="DLT2" s="6"/>
      <c r="DLU2" s="6"/>
      <c r="DLV2" s="6"/>
      <c r="DLW2" s="6"/>
      <c r="DLX2" s="6"/>
      <c r="DLY2" s="6"/>
      <c r="DLZ2" s="6"/>
      <c r="DMA2" s="6"/>
      <c r="DMB2" s="6"/>
      <c r="DMC2" s="6"/>
      <c r="DMD2" s="6"/>
      <c r="DME2" s="6"/>
      <c r="DMF2" s="6"/>
      <c r="DMG2" s="6"/>
      <c r="DMH2" s="6"/>
      <c r="DMI2" s="6"/>
      <c r="DMJ2" s="6"/>
      <c r="DMK2" s="6"/>
      <c r="DML2" s="6"/>
      <c r="DMM2" s="6"/>
      <c r="DMN2" s="6"/>
      <c r="DMO2" s="6"/>
      <c r="DMP2" s="6"/>
      <c r="DMQ2" s="6"/>
      <c r="DMR2" s="6"/>
      <c r="DMS2" s="6"/>
      <c r="DMT2" s="6"/>
      <c r="DMU2" s="6"/>
      <c r="DMV2" s="6"/>
      <c r="DMW2" s="6"/>
      <c r="DMX2" s="6"/>
      <c r="DMY2" s="6"/>
      <c r="DMZ2" s="6"/>
      <c r="DNA2" s="6"/>
      <c r="DNB2" s="6"/>
      <c r="DNC2" s="6"/>
      <c r="DND2" s="6"/>
      <c r="DNE2" s="6"/>
      <c r="DNF2" s="6"/>
      <c r="DNG2" s="6"/>
      <c r="DNH2" s="6"/>
      <c r="DNI2" s="6"/>
      <c r="DNJ2" s="6"/>
      <c r="DNK2" s="6"/>
      <c r="DNL2" s="6"/>
      <c r="DNM2" s="6"/>
      <c r="DNN2" s="6"/>
      <c r="DNO2" s="6"/>
      <c r="DNP2" s="6"/>
      <c r="DNQ2" s="6"/>
      <c r="DNR2" s="6"/>
      <c r="DNS2" s="6"/>
      <c r="DNT2" s="6"/>
      <c r="DNU2" s="6"/>
      <c r="DNV2" s="6"/>
      <c r="DNW2" s="6"/>
      <c r="DNX2" s="6"/>
      <c r="DNY2" s="6"/>
      <c r="DNZ2" s="6"/>
      <c r="DOA2" s="6"/>
      <c r="DOB2" s="6"/>
      <c r="DOC2" s="6"/>
      <c r="DOD2" s="6"/>
      <c r="DOE2" s="6"/>
      <c r="DOF2" s="6"/>
      <c r="DOG2" s="6"/>
      <c r="DOH2" s="6"/>
      <c r="DOI2" s="6"/>
      <c r="DOJ2" s="6"/>
      <c r="DOK2" s="6"/>
      <c r="DOL2" s="6"/>
      <c r="DOM2" s="6"/>
      <c r="DON2" s="6"/>
      <c r="DOO2" s="6"/>
      <c r="DOP2" s="6"/>
      <c r="DOQ2" s="6"/>
      <c r="DOR2" s="6"/>
      <c r="DOS2" s="6"/>
      <c r="DOT2" s="6"/>
      <c r="DOU2" s="6"/>
      <c r="DOV2" s="6"/>
      <c r="DOW2" s="6"/>
      <c r="DOX2" s="6"/>
      <c r="DOY2" s="6"/>
      <c r="DOZ2" s="6"/>
      <c r="DPA2" s="6"/>
      <c r="DPB2" s="6"/>
      <c r="DPC2" s="6"/>
      <c r="DPD2" s="6"/>
      <c r="DPE2" s="6"/>
      <c r="DPF2" s="6"/>
      <c r="DPG2" s="6"/>
      <c r="DPH2" s="6"/>
      <c r="DPI2" s="6"/>
      <c r="DPJ2" s="6"/>
      <c r="DPK2" s="6"/>
      <c r="DPL2" s="6"/>
      <c r="DPM2" s="6"/>
      <c r="DPN2" s="6"/>
      <c r="DPO2" s="6"/>
      <c r="DPP2" s="6"/>
      <c r="DPQ2" s="6"/>
      <c r="DPR2" s="6"/>
      <c r="DPS2" s="6"/>
      <c r="DPT2" s="6"/>
      <c r="DPU2" s="6"/>
      <c r="DPV2" s="6"/>
      <c r="DPW2" s="6"/>
      <c r="DPX2" s="6"/>
      <c r="DPY2" s="6"/>
      <c r="DPZ2" s="6"/>
      <c r="DQA2" s="6"/>
      <c r="DQB2" s="6"/>
      <c r="DQC2" s="6"/>
      <c r="DQD2" s="6"/>
      <c r="DQE2" s="6"/>
      <c r="DQF2" s="6"/>
      <c r="DQG2" s="6"/>
      <c r="DQH2" s="6"/>
      <c r="DQI2" s="6"/>
      <c r="DQJ2" s="6"/>
      <c r="DQK2" s="6"/>
      <c r="DQL2" s="6"/>
      <c r="DQM2" s="6"/>
      <c r="DQN2" s="6"/>
      <c r="DQO2" s="6"/>
      <c r="DQP2" s="6"/>
      <c r="DQQ2" s="6"/>
      <c r="DQR2" s="6"/>
      <c r="DQS2" s="6"/>
      <c r="DQT2" s="6"/>
      <c r="DQU2" s="6"/>
      <c r="DQV2" s="6"/>
      <c r="DQW2" s="6"/>
      <c r="DQX2" s="6"/>
      <c r="DQY2" s="6"/>
      <c r="DQZ2" s="6"/>
      <c r="DRA2" s="6"/>
      <c r="DRB2" s="6"/>
      <c r="DRC2" s="6"/>
      <c r="DRD2" s="6"/>
      <c r="DRE2" s="6"/>
      <c r="DRF2" s="6"/>
      <c r="DRG2" s="6"/>
      <c r="DRH2" s="6"/>
      <c r="DRI2" s="6"/>
      <c r="DRJ2" s="6"/>
      <c r="DRK2" s="6"/>
      <c r="DRL2" s="6"/>
      <c r="DRM2" s="6"/>
      <c r="DRN2" s="6"/>
      <c r="DRO2" s="6"/>
      <c r="DRP2" s="6"/>
      <c r="DRQ2" s="6"/>
      <c r="DRR2" s="6"/>
      <c r="DRS2" s="6"/>
      <c r="DRT2" s="6"/>
      <c r="DRU2" s="6"/>
      <c r="DRV2" s="6"/>
      <c r="DRW2" s="6"/>
      <c r="DRX2" s="6"/>
      <c r="DRY2" s="6"/>
      <c r="DRZ2" s="6"/>
      <c r="DSA2" s="6"/>
      <c r="DSB2" s="6"/>
      <c r="DSC2" s="6"/>
      <c r="DSD2" s="6"/>
      <c r="DSE2" s="6"/>
      <c r="DSF2" s="6"/>
      <c r="DSG2" s="6"/>
      <c r="DSH2" s="6"/>
      <c r="DSI2" s="6"/>
      <c r="DSJ2" s="6"/>
      <c r="DSK2" s="6"/>
      <c r="DSL2" s="6"/>
      <c r="DSM2" s="6"/>
      <c r="DSN2" s="6"/>
      <c r="DSO2" s="6"/>
      <c r="DSP2" s="6"/>
      <c r="DSQ2" s="6"/>
      <c r="DSR2" s="6"/>
      <c r="DSS2" s="6"/>
      <c r="DST2" s="6"/>
      <c r="DSU2" s="6"/>
      <c r="DSV2" s="6"/>
      <c r="DSW2" s="6"/>
      <c r="DSX2" s="6"/>
      <c r="DSY2" s="6"/>
      <c r="DSZ2" s="6"/>
      <c r="DTA2" s="6"/>
      <c r="DTB2" s="6"/>
      <c r="DTC2" s="6"/>
      <c r="DTD2" s="6"/>
      <c r="DTE2" s="6"/>
      <c r="DTF2" s="6"/>
      <c r="DTG2" s="6"/>
      <c r="DTH2" s="6"/>
      <c r="DTI2" s="6"/>
      <c r="DTJ2" s="6"/>
      <c r="DTK2" s="6"/>
      <c r="DTL2" s="6"/>
      <c r="DTM2" s="6"/>
      <c r="DTN2" s="6"/>
      <c r="DTO2" s="6"/>
      <c r="DTP2" s="6"/>
      <c r="DTQ2" s="6"/>
      <c r="DTR2" s="6"/>
      <c r="DTS2" s="6"/>
      <c r="DTT2" s="6"/>
      <c r="DTU2" s="6"/>
      <c r="DTV2" s="6"/>
      <c r="DTW2" s="6"/>
      <c r="DTX2" s="6"/>
      <c r="DTY2" s="6"/>
      <c r="DTZ2" s="6"/>
      <c r="DUA2" s="6"/>
      <c r="DUB2" s="6"/>
      <c r="DUC2" s="6"/>
      <c r="DUD2" s="6"/>
      <c r="DUE2" s="6"/>
      <c r="DUF2" s="6"/>
      <c r="DUG2" s="6"/>
      <c r="DUH2" s="6"/>
      <c r="DUI2" s="6"/>
      <c r="DUJ2" s="6"/>
      <c r="DUK2" s="6"/>
      <c r="DUL2" s="6"/>
      <c r="DUM2" s="6"/>
      <c r="DUN2" s="6"/>
      <c r="DUO2" s="6"/>
      <c r="DUP2" s="6"/>
      <c r="DUQ2" s="6"/>
      <c r="DUR2" s="6"/>
      <c r="DUS2" s="6"/>
      <c r="DUT2" s="6"/>
      <c r="DUU2" s="6"/>
      <c r="DUV2" s="6"/>
      <c r="DUW2" s="6"/>
      <c r="DUX2" s="6"/>
      <c r="DUY2" s="6"/>
      <c r="DUZ2" s="6"/>
      <c r="DVA2" s="6"/>
      <c r="DVB2" s="6"/>
      <c r="DVC2" s="6"/>
      <c r="DVD2" s="6"/>
      <c r="DVE2" s="6"/>
      <c r="DVF2" s="6"/>
      <c r="DVG2" s="6"/>
      <c r="DVH2" s="6"/>
      <c r="DVI2" s="6"/>
      <c r="DVJ2" s="6"/>
      <c r="DVK2" s="6"/>
      <c r="DVL2" s="6"/>
      <c r="DVM2" s="6"/>
      <c r="DVN2" s="6"/>
      <c r="DVO2" s="6"/>
      <c r="DVP2" s="6"/>
      <c r="DVQ2" s="6"/>
      <c r="DVR2" s="6"/>
      <c r="DVS2" s="6"/>
      <c r="DVT2" s="6"/>
      <c r="DVU2" s="6"/>
      <c r="DVV2" s="6"/>
      <c r="DVW2" s="6"/>
      <c r="DVX2" s="6"/>
      <c r="DVY2" s="6"/>
      <c r="DVZ2" s="6"/>
      <c r="DWA2" s="6"/>
      <c r="DWB2" s="6"/>
      <c r="DWC2" s="6"/>
      <c r="DWD2" s="6"/>
      <c r="DWE2" s="6"/>
      <c r="DWF2" s="6"/>
      <c r="DWG2" s="6"/>
      <c r="DWH2" s="6"/>
      <c r="DWI2" s="6"/>
      <c r="DWJ2" s="6"/>
      <c r="DWK2" s="6"/>
      <c r="DWL2" s="6"/>
      <c r="DWM2" s="6"/>
      <c r="DWN2" s="6"/>
      <c r="DWO2" s="6"/>
      <c r="DWP2" s="6"/>
      <c r="DWQ2" s="6"/>
      <c r="DWR2" s="6"/>
      <c r="DWS2" s="6"/>
      <c r="DWT2" s="6"/>
      <c r="DWU2" s="6"/>
      <c r="DWV2" s="6"/>
      <c r="DWW2" s="6"/>
      <c r="DWX2" s="6"/>
      <c r="DWY2" s="6"/>
      <c r="DWZ2" s="6"/>
      <c r="DXA2" s="6"/>
      <c r="DXB2" s="6"/>
      <c r="DXC2" s="6"/>
      <c r="DXD2" s="6"/>
      <c r="DXE2" s="6"/>
      <c r="DXF2" s="6"/>
      <c r="DXG2" s="6"/>
      <c r="DXH2" s="6"/>
      <c r="DXI2" s="6"/>
      <c r="DXJ2" s="6"/>
      <c r="DXK2" s="6"/>
      <c r="DXL2" s="6"/>
      <c r="DXM2" s="6"/>
      <c r="DXN2" s="6"/>
      <c r="DXO2" s="6"/>
      <c r="DXP2" s="6"/>
      <c r="DXQ2" s="6"/>
      <c r="DXR2" s="6"/>
      <c r="DXS2" s="6"/>
      <c r="DXT2" s="6"/>
      <c r="DXU2" s="6"/>
      <c r="DXV2" s="6"/>
      <c r="DXW2" s="6"/>
      <c r="DXX2" s="6"/>
      <c r="DXY2" s="6"/>
      <c r="DXZ2" s="6"/>
      <c r="DYA2" s="6"/>
      <c r="DYB2" s="6"/>
      <c r="DYC2" s="6"/>
      <c r="DYD2" s="6"/>
      <c r="DYE2" s="6"/>
      <c r="DYF2" s="6"/>
      <c r="DYG2" s="6"/>
      <c r="DYH2" s="6"/>
      <c r="DYI2" s="6"/>
      <c r="DYJ2" s="6"/>
      <c r="DYK2" s="6"/>
      <c r="DYL2" s="6"/>
      <c r="DYM2" s="6"/>
      <c r="DYN2" s="6"/>
      <c r="DYO2" s="6"/>
      <c r="DYP2" s="6"/>
      <c r="DYQ2" s="6"/>
      <c r="DYR2" s="6"/>
      <c r="DYS2" s="6"/>
      <c r="DYT2" s="6"/>
      <c r="DYU2" s="6"/>
      <c r="DYV2" s="6"/>
      <c r="DYW2" s="6"/>
      <c r="DYX2" s="6"/>
      <c r="DYY2" s="6"/>
      <c r="DYZ2" s="6"/>
      <c r="DZA2" s="6"/>
      <c r="DZB2" s="6"/>
      <c r="DZC2" s="6"/>
      <c r="DZD2" s="6"/>
      <c r="DZE2" s="6"/>
      <c r="DZF2" s="6"/>
      <c r="DZG2" s="6"/>
      <c r="DZH2" s="6"/>
      <c r="DZI2" s="6"/>
      <c r="DZJ2" s="6"/>
      <c r="DZK2" s="6"/>
      <c r="DZL2" s="6"/>
      <c r="DZM2" s="6"/>
      <c r="DZN2" s="6"/>
      <c r="DZO2" s="6"/>
      <c r="DZP2" s="6"/>
      <c r="DZQ2" s="6"/>
      <c r="DZR2" s="6"/>
      <c r="DZS2" s="6"/>
      <c r="DZT2" s="6"/>
      <c r="DZU2" s="6"/>
      <c r="DZV2" s="6"/>
      <c r="DZW2" s="6"/>
      <c r="DZX2" s="6"/>
      <c r="DZY2" s="6"/>
      <c r="DZZ2" s="6"/>
      <c r="EAA2" s="6"/>
      <c r="EAB2" s="6"/>
      <c r="EAC2" s="6"/>
      <c r="EAD2" s="6"/>
      <c r="EAE2" s="6"/>
      <c r="EAF2" s="6"/>
      <c r="EAG2" s="6"/>
      <c r="EAH2" s="6"/>
      <c r="EAI2" s="6"/>
      <c r="EAJ2" s="6"/>
      <c r="EAK2" s="6"/>
      <c r="EAL2" s="6"/>
      <c r="EAM2" s="6"/>
      <c r="EAN2" s="6"/>
      <c r="EAO2" s="6"/>
      <c r="EAP2" s="6"/>
      <c r="EAQ2" s="6"/>
      <c r="EAR2" s="6"/>
      <c r="EAS2" s="6"/>
      <c r="EAT2" s="6"/>
      <c r="EAU2" s="6"/>
      <c r="EAV2" s="6"/>
      <c r="EAW2" s="6"/>
      <c r="EAX2" s="6"/>
      <c r="EAY2" s="6"/>
      <c r="EAZ2" s="6"/>
      <c r="EBA2" s="6"/>
      <c r="EBB2" s="6"/>
      <c r="EBC2" s="6"/>
      <c r="EBD2" s="6"/>
      <c r="EBE2" s="6"/>
      <c r="EBF2" s="6"/>
      <c r="EBG2" s="6"/>
      <c r="EBH2" s="6"/>
      <c r="EBI2" s="6"/>
      <c r="EBJ2" s="6"/>
      <c r="EBK2" s="6"/>
      <c r="EBL2" s="6"/>
      <c r="EBM2" s="6"/>
      <c r="EBN2" s="6"/>
      <c r="EBO2" s="6"/>
      <c r="EBP2" s="6"/>
      <c r="EBQ2" s="6"/>
      <c r="EBR2" s="6"/>
      <c r="EBS2" s="6"/>
      <c r="EBT2" s="6"/>
      <c r="EBU2" s="6"/>
      <c r="EBV2" s="6"/>
      <c r="EBW2" s="6"/>
      <c r="EBX2" s="6"/>
      <c r="EBY2" s="6"/>
      <c r="EBZ2" s="6"/>
      <c r="ECA2" s="6"/>
      <c r="ECB2" s="6"/>
      <c r="ECC2" s="6"/>
      <c r="ECD2" s="6"/>
      <c r="ECE2" s="6"/>
      <c r="ECF2" s="6"/>
      <c r="ECG2" s="6"/>
      <c r="ECH2" s="6"/>
      <c r="ECI2" s="6"/>
      <c r="ECJ2" s="6"/>
      <c r="ECK2" s="6"/>
      <c r="ECL2" s="6"/>
      <c r="ECM2" s="6"/>
      <c r="ECN2" s="6"/>
      <c r="ECO2" s="6"/>
      <c r="ECP2" s="6"/>
      <c r="ECQ2" s="6"/>
      <c r="ECR2" s="6"/>
      <c r="ECS2" s="6"/>
      <c r="ECT2" s="6"/>
      <c r="ECU2" s="6"/>
      <c r="ECV2" s="6"/>
      <c r="ECW2" s="6"/>
      <c r="ECX2" s="6"/>
      <c r="ECY2" s="6"/>
      <c r="ECZ2" s="6"/>
      <c r="EDA2" s="6"/>
      <c r="EDB2" s="6"/>
      <c r="EDC2" s="6"/>
      <c r="EDD2" s="6"/>
      <c r="EDE2" s="6"/>
      <c r="EDF2" s="6"/>
      <c r="EDG2" s="6"/>
      <c r="EDH2" s="6"/>
      <c r="EDI2" s="6"/>
      <c r="EDJ2" s="6"/>
      <c r="EDK2" s="6"/>
      <c r="EDL2" s="6"/>
      <c r="EDM2" s="6"/>
      <c r="EDN2" s="6"/>
      <c r="EDO2" s="6"/>
      <c r="EDP2" s="6"/>
      <c r="EDQ2" s="6"/>
      <c r="EDR2" s="6"/>
      <c r="EDS2" s="6"/>
      <c r="EDT2" s="6"/>
      <c r="EDU2" s="6"/>
      <c r="EDV2" s="6"/>
      <c r="EDW2" s="6"/>
      <c r="EDX2" s="6"/>
      <c r="EDY2" s="6"/>
      <c r="EDZ2" s="6"/>
      <c r="EEA2" s="6"/>
      <c r="EEB2" s="6"/>
      <c r="EEC2" s="6"/>
      <c r="EED2" s="6"/>
      <c r="EEE2" s="6"/>
      <c r="EEF2" s="6"/>
      <c r="EEG2" s="6"/>
      <c r="EEH2" s="6"/>
      <c r="EEI2" s="6"/>
      <c r="EEJ2" s="6"/>
      <c r="EEK2" s="6"/>
      <c r="EEL2" s="6"/>
      <c r="EEM2" s="6"/>
      <c r="EEN2" s="6"/>
      <c r="EEO2" s="6"/>
      <c r="EEP2" s="6"/>
      <c r="EEQ2" s="6"/>
      <c r="EER2" s="6"/>
      <c r="EES2" s="6"/>
      <c r="EET2" s="6"/>
      <c r="EEU2" s="6"/>
      <c r="EEV2" s="6"/>
      <c r="EEW2" s="6"/>
      <c r="EEX2" s="6"/>
      <c r="EEY2" s="6"/>
      <c r="EEZ2" s="6"/>
      <c r="EFA2" s="6"/>
      <c r="EFB2" s="6"/>
      <c r="EFC2" s="6"/>
      <c r="EFD2" s="6"/>
      <c r="EFE2" s="6"/>
      <c r="EFF2" s="6"/>
      <c r="EFG2" s="6"/>
      <c r="EFH2" s="6"/>
      <c r="EFI2" s="6"/>
      <c r="EFJ2" s="6"/>
      <c r="EFK2" s="6"/>
      <c r="EFL2" s="6"/>
      <c r="EFM2" s="6"/>
      <c r="EFN2" s="6"/>
      <c r="EFO2" s="6"/>
      <c r="EFP2" s="6"/>
      <c r="EFQ2" s="6"/>
      <c r="EFR2" s="6"/>
      <c r="EFS2" s="6"/>
      <c r="EFT2" s="6"/>
      <c r="EFU2" s="6"/>
      <c r="EFV2" s="6"/>
      <c r="EFW2" s="6"/>
      <c r="EFX2" s="6"/>
      <c r="EFY2" s="6"/>
      <c r="EFZ2" s="6"/>
      <c r="EGA2" s="6"/>
      <c r="EGB2" s="6"/>
      <c r="EGC2" s="6"/>
      <c r="EGD2" s="6"/>
      <c r="EGE2" s="6"/>
      <c r="EGF2" s="6"/>
      <c r="EGG2" s="6"/>
      <c r="EGH2" s="6"/>
      <c r="EGI2" s="6"/>
      <c r="EGJ2" s="6"/>
      <c r="EGK2" s="6"/>
      <c r="EGL2" s="6"/>
      <c r="EGM2" s="6"/>
      <c r="EGN2" s="6"/>
      <c r="EGO2" s="6"/>
      <c r="EGP2" s="6"/>
      <c r="EGQ2" s="6"/>
      <c r="EGR2" s="6"/>
      <c r="EGS2" s="6"/>
      <c r="EGT2" s="6"/>
      <c r="EGU2" s="6"/>
      <c r="EGV2" s="6"/>
      <c r="EGW2" s="6"/>
      <c r="EGX2" s="6"/>
      <c r="EGY2" s="6"/>
      <c r="EGZ2" s="6"/>
      <c r="EHA2" s="6"/>
      <c r="EHB2" s="6"/>
      <c r="EHC2" s="6"/>
      <c r="EHD2" s="6"/>
      <c r="EHE2" s="6"/>
      <c r="EHF2" s="6"/>
      <c r="EHG2" s="6"/>
      <c r="EHH2" s="6"/>
      <c r="EHI2" s="6"/>
      <c r="EHJ2" s="6"/>
      <c r="EHK2" s="6"/>
      <c r="EHL2" s="6"/>
      <c r="EHM2" s="6"/>
      <c r="EHN2" s="6"/>
      <c r="EHO2" s="6"/>
      <c r="EHP2" s="6"/>
      <c r="EHQ2" s="6"/>
      <c r="EHR2" s="6"/>
      <c r="EHS2" s="6"/>
      <c r="EHT2" s="6"/>
      <c r="EHU2" s="6"/>
      <c r="EHV2" s="6"/>
      <c r="EHW2" s="6"/>
      <c r="EHX2" s="6"/>
      <c r="EHY2" s="6"/>
      <c r="EHZ2" s="6"/>
      <c r="EIA2" s="6"/>
      <c r="EIB2" s="6"/>
      <c r="EIC2" s="6"/>
      <c r="EID2" s="6"/>
      <c r="EIE2" s="6"/>
      <c r="EIF2" s="6"/>
      <c r="EIG2" s="6"/>
      <c r="EIH2" s="6"/>
      <c r="EII2" s="6"/>
      <c r="EIJ2" s="6"/>
      <c r="EIK2" s="6"/>
      <c r="EIL2" s="6"/>
      <c r="EIM2" s="6"/>
      <c r="EIN2" s="6"/>
      <c r="EIO2" s="6"/>
      <c r="EIP2" s="6"/>
      <c r="EIQ2" s="6"/>
      <c r="EIR2" s="6"/>
      <c r="EIS2" s="6"/>
      <c r="EIT2" s="6"/>
      <c r="EIU2" s="6"/>
      <c r="EIV2" s="6"/>
      <c r="EIW2" s="6"/>
      <c r="EIX2" s="6"/>
      <c r="EIY2" s="6"/>
      <c r="EIZ2" s="6"/>
      <c r="EJA2" s="6"/>
      <c r="EJB2" s="6"/>
      <c r="EJC2" s="6"/>
      <c r="EJD2" s="6"/>
      <c r="EJE2" s="6"/>
      <c r="EJF2" s="6"/>
      <c r="EJG2" s="6"/>
      <c r="EJH2" s="6"/>
      <c r="EJI2" s="6"/>
      <c r="EJJ2" s="6"/>
      <c r="EJK2" s="6"/>
      <c r="EJL2" s="6"/>
      <c r="EJM2" s="6"/>
      <c r="EJN2" s="6"/>
      <c r="EJO2" s="6"/>
      <c r="EJP2" s="6"/>
      <c r="EJQ2" s="6"/>
      <c r="EJR2" s="6"/>
      <c r="EJS2" s="6"/>
      <c r="EJT2" s="6"/>
      <c r="EJU2" s="6"/>
      <c r="EJV2" s="6"/>
      <c r="EJW2" s="6"/>
      <c r="EJX2" s="6"/>
      <c r="EJY2" s="6"/>
      <c r="EJZ2" s="6"/>
      <c r="EKA2" s="6"/>
      <c r="EKB2" s="6"/>
      <c r="EKC2" s="6"/>
      <c r="EKD2" s="6"/>
      <c r="EKE2" s="6"/>
      <c r="EKF2" s="6"/>
      <c r="EKG2" s="6"/>
      <c r="EKH2" s="6"/>
      <c r="EKI2" s="6"/>
      <c r="EKJ2" s="6"/>
      <c r="EKK2" s="6"/>
      <c r="EKL2" s="6"/>
      <c r="EKM2" s="6"/>
      <c r="EKN2" s="6"/>
      <c r="EKO2" s="6"/>
      <c r="EKP2" s="6"/>
      <c r="EKQ2" s="6"/>
      <c r="EKR2" s="6"/>
      <c r="EKS2" s="6"/>
      <c r="EKT2" s="6"/>
      <c r="EKU2" s="6"/>
      <c r="EKV2" s="6"/>
      <c r="EKW2" s="6"/>
      <c r="EKX2" s="6"/>
      <c r="EKY2" s="6"/>
      <c r="EKZ2" s="6"/>
      <c r="ELA2" s="6"/>
      <c r="ELB2" s="6"/>
      <c r="ELC2" s="6"/>
      <c r="ELD2" s="6"/>
      <c r="ELE2" s="6"/>
      <c r="ELF2" s="6"/>
      <c r="ELG2" s="6"/>
      <c r="ELH2" s="6"/>
      <c r="ELI2" s="6"/>
      <c r="ELJ2" s="6"/>
      <c r="ELK2" s="6"/>
      <c r="ELL2" s="6"/>
      <c r="ELM2" s="6"/>
      <c r="ELN2" s="6"/>
      <c r="ELO2" s="6"/>
      <c r="ELP2" s="6"/>
      <c r="ELQ2" s="6"/>
      <c r="ELR2" s="6"/>
      <c r="ELS2" s="6"/>
      <c r="ELT2" s="6"/>
      <c r="ELU2" s="6"/>
      <c r="ELV2" s="6"/>
      <c r="ELW2" s="6"/>
      <c r="ELX2" s="6"/>
      <c r="ELY2" s="6"/>
      <c r="ELZ2" s="6"/>
      <c r="EMA2" s="6"/>
      <c r="EMB2" s="6"/>
      <c r="EMC2" s="6"/>
      <c r="EMD2" s="6"/>
      <c r="EME2" s="6"/>
      <c r="EMF2" s="6"/>
      <c r="EMG2" s="6"/>
      <c r="EMH2" s="6"/>
      <c r="EMI2" s="6"/>
      <c r="EMJ2" s="6"/>
      <c r="EMK2" s="6"/>
      <c r="EML2" s="6"/>
      <c r="EMM2" s="6"/>
      <c r="EMN2" s="6"/>
      <c r="EMO2" s="6"/>
      <c r="EMP2" s="6"/>
      <c r="EMQ2" s="6"/>
      <c r="EMR2" s="6"/>
      <c r="EMS2" s="6"/>
      <c r="EMT2" s="6"/>
      <c r="EMU2" s="6"/>
      <c r="EMV2" s="6"/>
      <c r="EMW2" s="6"/>
      <c r="EMX2" s="6"/>
      <c r="EMY2" s="6"/>
      <c r="EMZ2" s="6"/>
      <c r="ENA2" s="6"/>
      <c r="ENB2" s="6"/>
      <c r="ENC2" s="6"/>
      <c r="END2" s="6"/>
      <c r="ENE2" s="6"/>
      <c r="ENF2" s="6"/>
      <c r="ENG2" s="6"/>
      <c r="ENH2" s="6"/>
      <c r="ENI2" s="6"/>
      <c r="ENJ2" s="6"/>
      <c r="ENK2" s="6"/>
      <c r="ENL2" s="6"/>
      <c r="ENM2" s="6"/>
      <c r="ENN2" s="6"/>
      <c r="ENO2" s="6"/>
      <c r="ENP2" s="6"/>
      <c r="ENQ2" s="6"/>
      <c r="ENR2" s="6"/>
      <c r="ENS2" s="6"/>
      <c r="ENT2" s="6"/>
      <c r="ENU2" s="6"/>
      <c r="ENV2" s="6"/>
      <c r="ENW2" s="6"/>
      <c r="ENX2" s="6"/>
      <c r="ENY2" s="6"/>
      <c r="ENZ2" s="6"/>
      <c r="EOA2" s="6"/>
      <c r="EOB2" s="6"/>
      <c r="EOC2" s="6"/>
      <c r="EOD2" s="6"/>
      <c r="EOE2" s="6"/>
      <c r="EOF2" s="6"/>
      <c r="EOG2" s="6"/>
      <c r="EOH2" s="6"/>
      <c r="EOI2" s="6"/>
      <c r="EOJ2" s="6"/>
      <c r="EOK2" s="6"/>
      <c r="EOL2" s="6"/>
      <c r="EOM2" s="6"/>
      <c r="EON2" s="6"/>
      <c r="EOO2" s="6"/>
      <c r="EOP2" s="6"/>
      <c r="EOQ2" s="6"/>
      <c r="EOR2" s="6"/>
      <c r="EOS2" s="6"/>
      <c r="EOT2" s="6"/>
      <c r="EOU2" s="6"/>
      <c r="EOV2" s="6"/>
      <c r="EOW2" s="6"/>
      <c r="EOX2" s="6"/>
      <c r="EOY2" s="6"/>
      <c r="EOZ2" s="6"/>
      <c r="EPA2" s="6"/>
      <c r="EPB2" s="6"/>
      <c r="EPC2" s="6"/>
      <c r="EPD2" s="6"/>
      <c r="EPE2" s="6"/>
      <c r="EPF2" s="6"/>
      <c r="EPG2" s="6"/>
      <c r="EPH2" s="6"/>
      <c r="EPI2" s="6"/>
      <c r="EPJ2" s="6"/>
      <c r="EPK2" s="6"/>
      <c r="EPL2" s="6"/>
      <c r="EPM2" s="6"/>
      <c r="EPN2" s="6"/>
      <c r="EPO2" s="6"/>
      <c r="EPP2" s="6"/>
      <c r="EPQ2" s="6"/>
      <c r="EPR2" s="6"/>
      <c r="EPS2" s="6"/>
      <c r="EPT2" s="6"/>
      <c r="EPU2" s="6"/>
      <c r="EPV2" s="6"/>
      <c r="EPW2" s="6"/>
      <c r="EPX2" s="6"/>
      <c r="EPY2" s="6"/>
      <c r="EPZ2" s="6"/>
      <c r="EQA2" s="6"/>
      <c r="EQB2" s="6"/>
      <c r="EQC2" s="6"/>
      <c r="EQD2" s="6"/>
      <c r="EQE2" s="6"/>
      <c r="EQF2" s="6"/>
      <c r="EQG2" s="6"/>
      <c r="EQH2" s="6"/>
      <c r="EQI2" s="6"/>
      <c r="EQJ2" s="6"/>
      <c r="EQK2" s="6"/>
      <c r="EQL2" s="6"/>
      <c r="EQM2" s="6"/>
      <c r="EQN2" s="6"/>
      <c r="EQO2" s="6"/>
      <c r="EQP2" s="6"/>
      <c r="EQQ2" s="6"/>
      <c r="EQR2" s="6"/>
      <c r="EQS2" s="6"/>
      <c r="EQT2" s="6"/>
      <c r="EQU2" s="6"/>
      <c r="EQV2" s="6"/>
      <c r="EQW2" s="6"/>
      <c r="EQX2" s="6"/>
      <c r="EQY2" s="6"/>
      <c r="EQZ2" s="6"/>
      <c r="ERA2" s="6"/>
      <c r="ERB2" s="6"/>
      <c r="ERC2" s="6"/>
      <c r="ERD2" s="6"/>
      <c r="ERE2" s="6"/>
      <c r="ERF2" s="6"/>
      <c r="ERG2" s="6"/>
      <c r="ERH2" s="6"/>
      <c r="ERI2" s="6"/>
      <c r="ERJ2" s="6"/>
      <c r="ERK2" s="6"/>
      <c r="ERL2" s="6"/>
      <c r="ERM2" s="6"/>
      <c r="ERN2" s="6"/>
      <c r="ERO2" s="6"/>
      <c r="ERP2" s="6"/>
      <c r="ERQ2" s="6"/>
      <c r="ERR2" s="6"/>
      <c r="ERS2" s="6"/>
      <c r="ERT2" s="6"/>
      <c r="ERU2" s="6"/>
      <c r="ERV2" s="6"/>
      <c r="ERW2" s="6"/>
      <c r="ERX2" s="6"/>
      <c r="ERY2" s="6"/>
      <c r="ERZ2" s="6"/>
      <c r="ESA2" s="6"/>
      <c r="ESB2" s="6"/>
      <c r="ESC2" s="6"/>
      <c r="ESD2" s="6"/>
      <c r="ESE2" s="6"/>
      <c r="ESF2" s="6"/>
      <c r="ESG2" s="6"/>
      <c r="ESH2" s="6"/>
      <c r="ESI2" s="6"/>
      <c r="ESJ2" s="6"/>
      <c r="ESK2" s="6"/>
      <c r="ESL2" s="6"/>
      <c r="ESM2" s="6"/>
      <c r="ESN2" s="6"/>
      <c r="ESO2" s="6"/>
      <c r="ESP2" s="6"/>
      <c r="ESQ2" s="6"/>
      <c r="ESR2" s="6"/>
      <c r="ESS2" s="6"/>
      <c r="EST2" s="6"/>
      <c r="ESU2" s="6"/>
      <c r="ESV2" s="6"/>
      <c r="ESW2" s="6"/>
      <c r="ESX2" s="6"/>
      <c r="ESY2" s="6"/>
      <c r="ESZ2" s="6"/>
      <c r="ETA2" s="6"/>
      <c r="ETB2" s="6"/>
      <c r="ETC2" s="6"/>
      <c r="ETD2" s="6"/>
      <c r="ETE2" s="6"/>
      <c r="ETF2" s="6"/>
      <c r="ETG2" s="6"/>
      <c r="ETH2" s="6"/>
      <c r="ETI2" s="6"/>
      <c r="ETJ2" s="6"/>
      <c r="ETK2" s="6"/>
      <c r="ETL2" s="6"/>
      <c r="ETM2" s="6"/>
      <c r="ETN2" s="6"/>
      <c r="ETO2" s="6"/>
      <c r="ETP2" s="6"/>
      <c r="ETQ2" s="6"/>
      <c r="ETR2" s="6"/>
      <c r="ETS2" s="6"/>
      <c r="ETT2" s="6"/>
      <c r="ETU2" s="6"/>
      <c r="ETV2" s="6"/>
      <c r="ETW2" s="6"/>
      <c r="ETX2" s="6"/>
      <c r="ETY2" s="6"/>
      <c r="ETZ2" s="6"/>
      <c r="EUA2" s="6"/>
      <c r="EUB2" s="6"/>
      <c r="EUC2" s="6"/>
      <c r="EUD2" s="6"/>
      <c r="EUE2" s="6"/>
      <c r="EUF2" s="6"/>
      <c r="EUG2" s="6"/>
      <c r="EUH2" s="6"/>
      <c r="EUI2" s="6"/>
      <c r="EUJ2" s="6"/>
      <c r="EUK2" s="6"/>
      <c r="EUL2" s="6"/>
      <c r="EUM2" s="6"/>
      <c r="EUN2" s="6"/>
      <c r="EUO2" s="6"/>
      <c r="EUP2" s="6"/>
      <c r="EUQ2" s="6"/>
      <c r="EUR2" s="6"/>
      <c r="EUS2" s="6"/>
      <c r="EUT2" s="6"/>
      <c r="EUU2" s="6"/>
      <c r="EUV2" s="6"/>
      <c r="EUW2" s="6"/>
      <c r="EUX2" s="6"/>
      <c r="EUY2" s="6"/>
      <c r="EUZ2" s="6"/>
      <c r="EVA2" s="6"/>
      <c r="EVB2" s="6"/>
      <c r="EVC2" s="6"/>
      <c r="EVD2" s="6"/>
      <c r="EVE2" s="6"/>
      <c r="EVF2" s="6"/>
      <c r="EVG2" s="6"/>
      <c r="EVH2" s="6"/>
      <c r="EVI2" s="6"/>
      <c r="EVJ2" s="6"/>
      <c r="EVK2" s="6"/>
      <c r="EVL2" s="6"/>
      <c r="EVM2" s="6"/>
      <c r="EVN2" s="6"/>
      <c r="EVO2" s="6"/>
      <c r="EVP2" s="6"/>
      <c r="EVQ2" s="6"/>
      <c r="EVR2" s="6"/>
      <c r="EVS2" s="6"/>
      <c r="EVT2" s="6"/>
      <c r="EVU2" s="6"/>
      <c r="EVV2" s="6"/>
      <c r="EVW2" s="6"/>
      <c r="EVX2" s="6"/>
      <c r="EVY2" s="6"/>
      <c r="EVZ2" s="6"/>
      <c r="EWA2" s="6"/>
      <c r="EWB2" s="6"/>
      <c r="EWC2" s="6"/>
      <c r="EWD2" s="6"/>
      <c r="EWE2" s="6"/>
      <c r="EWF2" s="6"/>
      <c r="EWG2" s="6"/>
      <c r="EWH2" s="6"/>
      <c r="EWI2" s="6"/>
      <c r="EWJ2" s="6"/>
      <c r="EWK2" s="6"/>
      <c r="EWL2" s="6"/>
      <c r="EWM2" s="6"/>
      <c r="EWN2" s="6"/>
      <c r="EWO2" s="6"/>
      <c r="EWP2" s="6"/>
      <c r="EWQ2" s="6"/>
      <c r="EWR2" s="6"/>
      <c r="EWS2" s="6"/>
      <c r="EWT2" s="6"/>
      <c r="EWU2" s="6"/>
      <c r="EWV2" s="6"/>
      <c r="EWW2" s="6"/>
      <c r="EWX2" s="6"/>
      <c r="EWY2" s="6"/>
      <c r="EWZ2" s="6"/>
      <c r="EXA2" s="6"/>
      <c r="EXB2" s="6"/>
      <c r="EXC2" s="6"/>
      <c r="EXD2" s="6"/>
      <c r="EXE2" s="6"/>
      <c r="EXF2" s="6"/>
      <c r="EXG2" s="6"/>
      <c r="EXH2" s="6"/>
      <c r="EXI2" s="6"/>
      <c r="EXJ2" s="6"/>
      <c r="EXK2" s="6"/>
      <c r="EXL2" s="6"/>
      <c r="EXM2" s="6"/>
      <c r="EXN2" s="6"/>
      <c r="EXO2" s="6"/>
      <c r="EXP2" s="6"/>
      <c r="EXQ2" s="6"/>
      <c r="EXR2" s="6"/>
      <c r="EXS2" s="6"/>
      <c r="EXT2" s="6"/>
      <c r="EXU2" s="6"/>
      <c r="EXV2" s="6"/>
      <c r="EXW2" s="6"/>
      <c r="EXX2" s="6"/>
      <c r="EXY2" s="6"/>
      <c r="EXZ2" s="6"/>
      <c r="EYA2" s="6"/>
      <c r="EYB2" s="6"/>
      <c r="EYC2" s="6"/>
      <c r="EYD2" s="6"/>
      <c r="EYE2" s="6"/>
      <c r="EYF2" s="6"/>
      <c r="EYG2" s="6"/>
      <c r="EYH2" s="6"/>
      <c r="EYI2" s="6"/>
      <c r="EYJ2" s="6"/>
      <c r="EYK2" s="6"/>
      <c r="EYL2" s="6"/>
      <c r="EYM2" s="6"/>
      <c r="EYN2" s="6"/>
      <c r="EYO2" s="6"/>
      <c r="EYP2" s="6"/>
      <c r="EYQ2" s="6"/>
      <c r="EYR2" s="6"/>
      <c r="EYS2" s="6"/>
      <c r="EYT2" s="6"/>
      <c r="EYU2" s="6"/>
      <c r="EYV2" s="6"/>
      <c r="EYW2" s="6"/>
      <c r="EYX2" s="6"/>
      <c r="EYY2" s="6"/>
      <c r="EYZ2" s="6"/>
      <c r="EZA2" s="6"/>
      <c r="EZB2" s="6"/>
      <c r="EZC2" s="6"/>
      <c r="EZD2" s="6"/>
      <c r="EZE2" s="6"/>
      <c r="EZF2" s="6"/>
      <c r="EZG2" s="6"/>
      <c r="EZH2" s="6"/>
      <c r="EZI2" s="6"/>
      <c r="EZJ2" s="6"/>
      <c r="EZK2" s="6"/>
      <c r="EZL2" s="6"/>
      <c r="EZM2" s="6"/>
      <c r="EZN2" s="6"/>
      <c r="EZO2" s="6"/>
      <c r="EZP2" s="6"/>
      <c r="EZQ2" s="6"/>
      <c r="EZR2" s="6"/>
      <c r="EZS2" s="6"/>
      <c r="EZT2" s="6"/>
      <c r="EZU2" s="6"/>
      <c r="EZV2" s="6"/>
      <c r="EZW2" s="6"/>
      <c r="EZX2" s="6"/>
      <c r="EZY2" s="6"/>
      <c r="EZZ2" s="6"/>
      <c r="FAA2" s="6"/>
      <c r="FAB2" s="6"/>
      <c r="FAC2" s="6"/>
      <c r="FAD2" s="6"/>
      <c r="FAE2" s="6"/>
      <c r="FAF2" s="6"/>
      <c r="FAG2" s="6"/>
      <c r="FAH2" s="6"/>
      <c r="FAI2" s="6"/>
      <c r="FAJ2" s="6"/>
      <c r="FAK2" s="6"/>
      <c r="FAL2" s="6"/>
      <c r="FAM2" s="6"/>
      <c r="FAN2" s="6"/>
      <c r="FAO2" s="6"/>
      <c r="FAP2" s="6"/>
      <c r="FAQ2" s="6"/>
      <c r="FAR2" s="6"/>
      <c r="FAS2" s="6"/>
      <c r="FAT2" s="6"/>
      <c r="FAU2" s="6"/>
      <c r="FAV2" s="6"/>
      <c r="FAW2" s="6"/>
      <c r="FAX2" s="6"/>
      <c r="FAY2" s="6"/>
      <c r="FAZ2" s="6"/>
      <c r="FBA2" s="6"/>
      <c r="FBB2" s="6"/>
      <c r="FBC2" s="6"/>
      <c r="FBD2" s="6"/>
      <c r="FBE2" s="6"/>
      <c r="FBF2" s="6"/>
      <c r="FBG2" s="6"/>
      <c r="FBH2" s="6"/>
      <c r="FBI2" s="6"/>
      <c r="FBJ2" s="6"/>
      <c r="FBK2" s="6"/>
      <c r="FBL2" s="6"/>
      <c r="FBM2" s="6"/>
      <c r="FBN2" s="6"/>
      <c r="FBO2" s="6"/>
      <c r="FBP2" s="6"/>
      <c r="FBQ2" s="6"/>
      <c r="FBR2" s="6"/>
      <c r="FBS2" s="6"/>
      <c r="FBT2" s="6"/>
      <c r="FBU2" s="6"/>
      <c r="FBV2" s="6"/>
      <c r="FBW2" s="6"/>
      <c r="FBX2" s="6"/>
      <c r="FBY2" s="6"/>
      <c r="FBZ2" s="6"/>
      <c r="FCA2" s="6"/>
      <c r="FCB2" s="6"/>
      <c r="FCC2" s="6"/>
      <c r="FCD2" s="6"/>
      <c r="FCE2" s="6"/>
      <c r="FCF2" s="6"/>
      <c r="FCG2" s="6"/>
      <c r="FCH2" s="6"/>
      <c r="FCI2" s="6"/>
      <c r="FCJ2" s="6"/>
      <c r="FCK2" s="6"/>
      <c r="FCL2" s="6"/>
      <c r="FCM2" s="6"/>
      <c r="FCN2" s="6"/>
      <c r="FCO2" s="6"/>
      <c r="FCP2" s="6"/>
      <c r="FCQ2" s="6"/>
      <c r="FCR2" s="6"/>
      <c r="FCS2" s="6"/>
      <c r="FCT2" s="6"/>
      <c r="FCU2" s="6"/>
      <c r="FCV2" s="6"/>
      <c r="FCW2" s="6"/>
      <c r="FCX2" s="6"/>
      <c r="FCY2" s="6"/>
      <c r="FCZ2" s="6"/>
      <c r="FDA2" s="6"/>
      <c r="FDB2" s="6"/>
      <c r="FDC2" s="6"/>
      <c r="FDD2" s="6"/>
      <c r="FDE2" s="6"/>
      <c r="FDF2" s="6"/>
      <c r="FDG2" s="6"/>
      <c r="FDH2" s="6"/>
      <c r="FDI2" s="6"/>
      <c r="FDJ2" s="6"/>
      <c r="FDK2" s="6"/>
      <c r="FDL2" s="6"/>
      <c r="FDM2" s="6"/>
      <c r="FDN2" s="6"/>
      <c r="FDO2" s="6"/>
      <c r="FDP2" s="6"/>
      <c r="FDQ2" s="6"/>
      <c r="FDR2" s="6"/>
      <c r="FDS2" s="6"/>
      <c r="FDT2" s="6"/>
      <c r="FDU2" s="6"/>
      <c r="FDV2" s="6"/>
      <c r="FDW2" s="6"/>
      <c r="FDX2" s="6"/>
      <c r="FDY2" s="6"/>
      <c r="FDZ2" s="6"/>
      <c r="FEA2" s="6"/>
      <c r="FEB2" s="6"/>
      <c r="FEC2" s="6"/>
      <c r="FED2" s="6"/>
      <c r="FEE2" s="6"/>
      <c r="FEF2" s="6"/>
      <c r="FEG2" s="6"/>
      <c r="FEH2" s="6"/>
      <c r="FEI2" s="6"/>
      <c r="FEJ2" s="6"/>
      <c r="FEK2" s="6"/>
      <c r="FEL2" s="6"/>
      <c r="FEM2" s="6"/>
      <c r="FEN2" s="6"/>
      <c r="FEO2" s="6"/>
      <c r="FEP2" s="6"/>
      <c r="FEQ2" s="6"/>
      <c r="FER2" s="6"/>
      <c r="FES2" s="6"/>
      <c r="FET2" s="6"/>
      <c r="FEU2" s="6"/>
      <c r="FEV2" s="6"/>
      <c r="FEW2" s="6"/>
      <c r="FEX2" s="6"/>
      <c r="FEY2" s="6"/>
      <c r="FEZ2" s="6"/>
      <c r="FFA2" s="6"/>
      <c r="FFB2" s="6"/>
      <c r="FFC2" s="6"/>
      <c r="FFD2" s="6"/>
      <c r="FFE2" s="6"/>
      <c r="FFF2" s="6"/>
      <c r="FFG2" s="6"/>
      <c r="FFH2" s="6"/>
      <c r="FFI2" s="6"/>
      <c r="FFJ2" s="6"/>
      <c r="FFK2" s="6"/>
      <c r="FFL2" s="6"/>
      <c r="FFM2" s="6"/>
      <c r="FFN2" s="6"/>
      <c r="FFO2" s="6"/>
      <c r="FFP2" s="6"/>
      <c r="FFQ2" s="6"/>
      <c r="FFR2" s="6"/>
      <c r="FFS2" s="6"/>
      <c r="FFT2" s="6"/>
      <c r="FFU2" s="6"/>
      <c r="FFV2" s="6"/>
      <c r="FFW2" s="6"/>
      <c r="FFX2" s="6"/>
      <c r="FFY2" s="6"/>
      <c r="FFZ2" s="6"/>
      <c r="FGA2" s="6"/>
      <c r="FGB2" s="6"/>
      <c r="FGC2" s="6"/>
      <c r="FGD2" s="6"/>
      <c r="FGE2" s="6"/>
      <c r="FGF2" s="6"/>
      <c r="FGG2" s="6"/>
      <c r="FGH2" s="6"/>
      <c r="FGI2" s="6"/>
      <c r="FGJ2" s="6"/>
      <c r="FGK2" s="6"/>
      <c r="FGL2" s="6"/>
      <c r="FGM2" s="6"/>
      <c r="FGN2" s="6"/>
      <c r="FGO2" s="6"/>
      <c r="FGP2" s="6"/>
      <c r="FGQ2" s="6"/>
      <c r="FGR2" s="6"/>
      <c r="FGS2" s="6"/>
      <c r="FGT2" s="6"/>
      <c r="FGU2" s="6"/>
      <c r="FGV2" s="6"/>
      <c r="FGW2" s="6"/>
      <c r="FGX2" s="6"/>
      <c r="FGY2" s="6"/>
      <c r="FGZ2" s="6"/>
      <c r="FHA2" s="6"/>
      <c r="FHB2" s="6"/>
      <c r="FHC2" s="6"/>
      <c r="FHD2" s="6"/>
      <c r="FHE2" s="6"/>
      <c r="FHF2" s="6"/>
      <c r="FHG2" s="6"/>
      <c r="FHH2" s="6"/>
      <c r="FHI2" s="6"/>
      <c r="FHJ2" s="6"/>
      <c r="FHK2" s="6"/>
      <c r="FHL2" s="6"/>
      <c r="FHM2" s="6"/>
      <c r="FHN2" s="6"/>
      <c r="FHO2" s="6"/>
      <c r="FHP2" s="6"/>
      <c r="FHQ2" s="6"/>
      <c r="FHR2" s="6"/>
      <c r="FHS2" s="6"/>
      <c r="FHT2" s="6"/>
      <c r="FHU2" s="6"/>
      <c r="FHV2" s="6"/>
      <c r="FHW2" s="6"/>
      <c r="FHX2" s="6"/>
      <c r="FHY2" s="6"/>
      <c r="FHZ2" s="6"/>
      <c r="FIA2" s="6"/>
      <c r="FIB2" s="6"/>
      <c r="FIC2" s="6"/>
      <c r="FID2" s="6"/>
      <c r="FIE2" s="6"/>
      <c r="FIF2" s="6"/>
      <c r="FIG2" s="6"/>
      <c r="FIH2" s="6"/>
      <c r="FII2" s="6"/>
      <c r="FIJ2" s="6"/>
      <c r="FIK2" s="6"/>
      <c r="FIL2" s="6"/>
      <c r="FIM2" s="6"/>
      <c r="FIN2" s="6"/>
      <c r="FIO2" s="6"/>
      <c r="FIP2" s="6"/>
      <c r="FIQ2" s="6"/>
      <c r="FIR2" s="6"/>
      <c r="FIS2" s="6"/>
      <c r="FIT2" s="6"/>
      <c r="FIU2" s="6"/>
      <c r="FIV2" s="6"/>
      <c r="FIW2" s="6"/>
      <c r="FIX2" s="6"/>
      <c r="FIY2" s="6"/>
      <c r="FIZ2" s="6"/>
      <c r="FJA2" s="6"/>
      <c r="FJB2" s="6"/>
      <c r="FJC2" s="6"/>
      <c r="FJD2" s="6"/>
      <c r="FJE2" s="6"/>
      <c r="FJF2" s="6"/>
      <c r="FJG2" s="6"/>
      <c r="FJH2" s="6"/>
      <c r="FJI2" s="6"/>
      <c r="FJJ2" s="6"/>
      <c r="FJK2" s="6"/>
      <c r="FJL2" s="6"/>
      <c r="FJM2" s="6"/>
      <c r="FJN2" s="6"/>
      <c r="FJO2" s="6"/>
      <c r="FJP2" s="6"/>
      <c r="FJQ2" s="6"/>
      <c r="FJR2" s="6"/>
      <c r="FJS2" s="6"/>
      <c r="FJT2" s="6"/>
      <c r="FJU2" s="6"/>
      <c r="FJV2" s="6"/>
      <c r="FJW2" s="6"/>
      <c r="FJX2" s="6"/>
      <c r="FJY2" s="6"/>
      <c r="FJZ2" s="6"/>
      <c r="FKA2" s="6"/>
      <c r="FKB2" s="6"/>
      <c r="FKC2" s="6"/>
      <c r="FKD2" s="6"/>
      <c r="FKE2" s="6"/>
      <c r="FKF2" s="6"/>
      <c r="FKG2" s="6"/>
      <c r="FKH2" s="6"/>
      <c r="FKI2" s="6"/>
      <c r="FKJ2" s="6"/>
      <c r="FKK2" s="6"/>
      <c r="FKL2" s="6"/>
      <c r="FKM2" s="6"/>
      <c r="FKN2" s="6"/>
      <c r="FKO2" s="6"/>
      <c r="FKP2" s="6"/>
      <c r="FKQ2" s="6"/>
      <c r="FKR2" s="6"/>
      <c r="FKS2" s="6"/>
      <c r="FKT2" s="6"/>
      <c r="FKU2" s="6"/>
      <c r="FKV2" s="6"/>
      <c r="FKW2" s="6"/>
      <c r="FKX2" s="6"/>
      <c r="FKY2" s="6"/>
      <c r="FKZ2" s="6"/>
      <c r="FLA2" s="6"/>
      <c r="FLB2" s="6"/>
      <c r="FLC2" s="6"/>
      <c r="FLD2" s="6"/>
      <c r="FLE2" s="6"/>
      <c r="FLF2" s="6"/>
      <c r="FLG2" s="6"/>
      <c r="FLH2" s="6"/>
      <c r="FLI2" s="6"/>
      <c r="FLJ2" s="6"/>
      <c r="FLK2" s="6"/>
      <c r="FLL2" s="6"/>
      <c r="FLM2" s="6"/>
      <c r="FLN2" s="6"/>
      <c r="FLO2" s="6"/>
      <c r="FLP2" s="6"/>
      <c r="FLQ2" s="6"/>
      <c r="FLR2" s="6"/>
      <c r="FLS2" s="6"/>
      <c r="FLT2" s="6"/>
      <c r="FLU2" s="6"/>
      <c r="FLV2" s="6"/>
      <c r="FLW2" s="6"/>
      <c r="FLX2" s="6"/>
      <c r="FLY2" s="6"/>
      <c r="FLZ2" s="6"/>
      <c r="FMA2" s="6"/>
      <c r="FMB2" s="6"/>
      <c r="FMC2" s="6"/>
      <c r="FMD2" s="6"/>
      <c r="FME2" s="6"/>
      <c r="FMF2" s="6"/>
      <c r="FMG2" s="6"/>
      <c r="FMH2" s="6"/>
      <c r="FMI2" s="6"/>
      <c r="FMJ2" s="6"/>
      <c r="FMK2" s="6"/>
      <c r="FML2" s="6"/>
      <c r="FMM2" s="6"/>
      <c r="FMN2" s="6"/>
      <c r="FMO2" s="6"/>
      <c r="FMP2" s="6"/>
      <c r="FMQ2" s="6"/>
      <c r="FMR2" s="6"/>
      <c r="FMS2" s="6"/>
      <c r="FMT2" s="6"/>
      <c r="FMU2" s="6"/>
      <c r="FMV2" s="6"/>
      <c r="FMW2" s="6"/>
      <c r="FMX2" s="6"/>
      <c r="FMY2" s="6"/>
      <c r="FMZ2" s="6"/>
      <c r="FNA2" s="6"/>
      <c r="FNB2" s="6"/>
      <c r="FNC2" s="6"/>
      <c r="FND2" s="6"/>
      <c r="FNE2" s="6"/>
      <c r="FNF2" s="6"/>
      <c r="FNG2" s="6"/>
      <c r="FNH2" s="6"/>
      <c r="FNI2" s="6"/>
      <c r="FNJ2" s="6"/>
      <c r="FNK2" s="6"/>
      <c r="FNL2" s="6"/>
      <c r="FNM2" s="6"/>
      <c r="FNN2" s="6"/>
      <c r="FNO2" s="6"/>
      <c r="FNP2" s="6"/>
      <c r="FNQ2" s="6"/>
      <c r="FNR2" s="6"/>
      <c r="FNS2" s="6"/>
      <c r="FNT2" s="6"/>
      <c r="FNU2" s="6"/>
      <c r="FNV2" s="6"/>
      <c r="FNW2" s="6"/>
      <c r="FNX2" s="6"/>
      <c r="FNY2" s="6"/>
      <c r="FNZ2" s="6"/>
      <c r="FOA2" s="6"/>
      <c r="FOB2" s="6"/>
      <c r="FOC2" s="6"/>
      <c r="FOD2" s="6"/>
      <c r="FOE2" s="6"/>
      <c r="FOF2" s="6"/>
      <c r="FOG2" s="6"/>
      <c r="FOH2" s="6"/>
      <c r="FOI2" s="6"/>
      <c r="FOJ2" s="6"/>
      <c r="FOK2" s="6"/>
      <c r="FOL2" s="6"/>
      <c r="FOM2" s="6"/>
      <c r="FON2" s="6"/>
      <c r="FOO2" s="6"/>
      <c r="FOP2" s="6"/>
      <c r="FOQ2" s="6"/>
      <c r="FOR2" s="6"/>
      <c r="FOS2" s="6"/>
      <c r="FOT2" s="6"/>
      <c r="FOU2" s="6"/>
      <c r="FOV2" s="6"/>
      <c r="FOW2" s="6"/>
      <c r="FOX2" s="6"/>
      <c r="FOY2" s="6"/>
      <c r="FOZ2" s="6"/>
      <c r="FPA2" s="6"/>
      <c r="FPB2" s="6"/>
      <c r="FPC2" s="6"/>
      <c r="FPD2" s="6"/>
      <c r="FPE2" s="6"/>
      <c r="FPF2" s="6"/>
      <c r="FPG2" s="6"/>
      <c r="FPH2" s="6"/>
      <c r="FPI2" s="6"/>
      <c r="FPJ2" s="6"/>
      <c r="FPK2" s="6"/>
      <c r="FPL2" s="6"/>
      <c r="FPM2" s="6"/>
      <c r="FPN2" s="6"/>
      <c r="FPO2" s="6"/>
      <c r="FPP2" s="6"/>
      <c r="FPQ2" s="6"/>
      <c r="FPR2" s="6"/>
      <c r="FPS2" s="6"/>
      <c r="FPT2" s="6"/>
      <c r="FPU2" s="6"/>
      <c r="FPV2" s="6"/>
      <c r="FPW2" s="6"/>
      <c r="FPX2" s="6"/>
      <c r="FPY2" s="6"/>
      <c r="FPZ2" s="6"/>
      <c r="FQA2" s="6"/>
      <c r="FQB2" s="6"/>
      <c r="FQC2" s="6"/>
      <c r="FQD2" s="6"/>
      <c r="FQE2" s="6"/>
      <c r="FQF2" s="6"/>
      <c r="FQG2" s="6"/>
      <c r="FQH2" s="6"/>
      <c r="FQI2" s="6"/>
      <c r="FQJ2" s="6"/>
      <c r="FQK2" s="6"/>
      <c r="FQL2" s="6"/>
      <c r="FQM2" s="6"/>
      <c r="FQN2" s="6"/>
      <c r="FQO2" s="6"/>
      <c r="FQP2" s="6"/>
      <c r="FQQ2" s="6"/>
      <c r="FQR2" s="6"/>
      <c r="FQS2" s="6"/>
      <c r="FQT2" s="6"/>
      <c r="FQU2" s="6"/>
      <c r="FQV2" s="6"/>
      <c r="FQW2" s="6"/>
      <c r="FQX2" s="6"/>
      <c r="FQY2" s="6"/>
      <c r="FQZ2" s="6"/>
      <c r="FRA2" s="6"/>
      <c r="FRB2" s="6"/>
      <c r="FRC2" s="6"/>
      <c r="FRD2" s="6"/>
      <c r="FRE2" s="6"/>
      <c r="FRF2" s="6"/>
      <c r="FRG2" s="6"/>
      <c r="FRH2" s="6"/>
      <c r="FRI2" s="6"/>
      <c r="FRJ2" s="6"/>
      <c r="FRK2" s="6"/>
      <c r="FRL2" s="6"/>
      <c r="FRM2" s="6"/>
      <c r="FRN2" s="6"/>
      <c r="FRO2" s="6"/>
      <c r="FRP2" s="6"/>
      <c r="FRQ2" s="6"/>
      <c r="FRR2" s="6"/>
      <c r="FRS2" s="6"/>
      <c r="FRT2" s="6"/>
      <c r="FRU2" s="6"/>
      <c r="FRV2" s="6"/>
      <c r="FRW2" s="6"/>
      <c r="FRX2" s="6"/>
      <c r="FRY2" s="6"/>
      <c r="FRZ2" s="6"/>
      <c r="FSA2" s="6"/>
      <c r="FSB2" s="6"/>
      <c r="FSC2" s="6"/>
      <c r="FSD2" s="6"/>
      <c r="FSE2" s="6"/>
      <c r="FSF2" s="6"/>
      <c r="FSG2" s="6"/>
      <c r="FSH2" s="6"/>
      <c r="FSI2" s="6"/>
      <c r="FSJ2" s="6"/>
      <c r="FSK2" s="6"/>
      <c r="FSL2" s="6"/>
      <c r="FSM2" s="6"/>
      <c r="FSN2" s="6"/>
      <c r="FSO2" s="6"/>
      <c r="FSP2" s="6"/>
      <c r="FSQ2" s="6"/>
      <c r="FSR2" s="6"/>
      <c r="FSS2" s="6"/>
      <c r="FST2" s="6"/>
      <c r="FSU2" s="6"/>
      <c r="FSV2" s="6"/>
      <c r="FSW2" s="6"/>
      <c r="FSX2" s="6"/>
      <c r="FSY2" s="6"/>
      <c r="FSZ2" s="6"/>
      <c r="FTA2" s="6"/>
      <c r="FTB2" s="6"/>
      <c r="FTC2" s="6"/>
      <c r="FTD2" s="6"/>
      <c r="FTE2" s="6"/>
      <c r="FTF2" s="6"/>
      <c r="FTG2" s="6"/>
      <c r="FTH2" s="6"/>
      <c r="FTI2" s="6"/>
      <c r="FTJ2" s="6"/>
      <c r="FTK2" s="6"/>
      <c r="FTL2" s="6"/>
      <c r="FTM2" s="6"/>
      <c r="FTN2" s="6"/>
      <c r="FTO2" s="6"/>
      <c r="FTP2" s="6"/>
      <c r="FTQ2" s="6"/>
      <c r="FTR2" s="6"/>
      <c r="FTS2" s="6"/>
      <c r="FTT2" s="6"/>
      <c r="FTU2" s="6"/>
      <c r="FTV2" s="6"/>
      <c r="FTW2" s="6"/>
      <c r="FTX2" s="6"/>
      <c r="FTY2" s="6"/>
      <c r="FTZ2" s="6"/>
      <c r="FUA2" s="6"/>
      <c r="FUB2" s="6"/>
      <c r="FUC2" s="6"/>
      <c r="FUD2" s="6"/>
      <c r="FUE2" s="6"/>
      <c r="FUF2" s="6"/>
      <c r="FUG2" s="6"/>
      <c r="FUH2" s="6"/>
      <c r="FUI2" s="6"/>
      <c r="FUJ2" s="6"/>
      <c r="FUK2" s="6"/>
      <c r="FUL2" s="6"/>
      <c r="FUM2" s="6"/>
      <c r="FUN2" s="6"/>
      <c r="FUO2" s="6"/>
      <c r="FUP2" s="6"/>
      <c r="FUQ2" s="6"/>
      <c r="FUR2" s="6"/>
      <c r="FUS2" s="6"/>
      <c r="FUT2" s="6"/>
      <c r="FUU2" s="6"/>
      <c r="FUV2" s="6"/>
      <c r="FUW2" s="6"/>
      <c r="FUX2" s="6"/>
      <c r="FUY2" s="6"/>
      <c r="FUZ2" s="6"/>
      <c r="FVA2" s="6"/>
      <c r="FVB2" s="6"/>
      <c r="FVC2" s="6"/>
      <c r="FVD2" s="6"/>
      <c r="FVE2" s="6"/>
      <c r="FVF2" s="6"/>
      <c r="FVG2" s="6"/>
      <c r="FVH2" s="6"/>
      <c r="FVI2" s="6"/>
      <c r="FVJ2" s="6"/>
      <c r="FVK2" s="6"/>
      <c r="FVL2" s="6"/>
      <c r="FVM2" s="6"/>
      <c r="FVN2" s="6"/>
      <c r="FVO2" s="6"/>
      <c r="FVP2" s="6"/>
      <c r="FVQ2" s="6"/>
      <c r="FVR2" s="6"/>
      <c r="FVS2" s="6"/>
      <c r="FVT2" s="6"/>
      <c r="FVU2" s="6"/>
      <c r="FVV2" s="6"/>
      <c r="FVW2" s="6"/>
      <c r="FVX2" s="6"/>
      <c r="FVY2" s="6"/>
      <c r="FVZ2" s="6"/>
      <c r="FWA2" s="6"/>
      <c r="FWB2" s="6"/>
      <c r="FWC2" s="6"/>
      <c r="FWD2" s="6"/>
      <c r="FWE2" s="6"/>
      <c r="FWF2" s="6"/>
      <c r="FWG2" s="6"/>
      <c r="FWH2" s="6"/>
      <c r="FWI2" s="6"/>
      <c r="FWJ2" s="6"/>
      <c r="FWK2" s="6"/>
      <c r="FWL2" s="6"/>
      <c r="FWM2" s="6"/>
      <c r="FWN2" s="6"/>
      <c r="FWO2" s="6"/>
      <c r="FWP2" s="6"/>
      <c r="FWQ2" s="6"/>
      <c r="FWR2" s="6"/>
      <c r="FWS2" s="6"/>
      <c r="FWT2" s="6"/>
      <c r="FWU2" s="6"/>
      <c r="FWV2" s="6"/>
      <c r="FWW2" s="6"/>
      <c r="FWX2" s="6"/>
      <c r="FWY2" s="6"/>
      <c r="FWZ2" s="6"/>
      <c r="FXA2" s="6"/>
      <c r="FXB2" s="6"/>
      <c r="FXC2" s="6"/>
      <c r="FXD2" s="6"/>
      <c r="FXE2" s="6"/>
      <c r="FXF2" s="6"/>
      <c r="FXG2" s="6"/>
      <c r="FXH2" s="6"/>
      <c r="FXI2" s="6"/>
      <c r="FXJ2" s="6"/>
      <c r="FXK2" s="6"/>
      <c r="FXL2" s="6"/>
      <c r="FXM2" s="6"/>
      <c r="FXN2" s="6"/>
      <c r="FXO2" s="6"/>
      <c r="FXP2" s="6"/>
      <c r="FXQ2" s="6"/>
      <c r="FXR2" s="6"/>
      <c r="FXS2" s="6"/>
      <c r="FXT2" s="6"/>
      <c r="FXU2" s="6"/>
      <c r="FXV2" s="6"/>
      <c r="FXW2" s="6"/>
      <c r="FXX2" s="6"/>
      <c r="FXY2" s="6"/>
      <c r="FXZ2" s="6"/>
      <c r="FYA2" s="6"/>
      <c r="FYB2" s="6"/>
      <c r="FYC2" s="6"/>
      <c r="FYD2" s="6"/>
      <c r="FYE2" s="6"/>
      <c r="FYF2" s="6"/>
      <c r="FYG2" s="6"/>
      <c r="FYH2" s="6"/>
      <c r="FYI2" s="6"/>
      <c r="FYJ2" s="6"/>
      <c r="FYK2" s="6"/>
      <c r="FYL2" s="6"/>
      <c r="FYM2" s="6"/>
      <c r="FYN2" s="6"/>
      <c r="FYO2" s="6"/>
      <c r="FYP2" s="6"/>
      <c r="FYQ2" s="6"/>
      <c r="FYR2" s="6"/>
      <c r="FYS2" s="6"/>
      <c r="FYT2" s="6"/>
      <c r="FYU2" s="6"/>
      <c r="FYV2" s="6"/>
      <c r="FYW2" s="6"/>
      <c r="FYX2" s="6"/>
      <c r="FYY2" s="6"/>
      <c r="FYZ2" s="6"/>
      <c r="FZA2" s="6"/>
      <c r="FZB2" s="6"/>
      <c r="FZC2" s="6"/>
      <c r="FZD2" s="6"/>
      <c r="FZE2" s="6"/>
      <c r="FZF2" s="6"/>
      <c r="FZG2" s="6"/>
      <c r="FZH2" s="6"/>
      <c r="FZI2" s="6"/>
      <c r="FZJ2" s="6"/>
      <c r="FZK2" s="6"/>
      <c r="FZL2" s="6"/>
      <c r="FZM2" s="6"/>
      <c r="FZN2" s="6"/>
      <c r="FZO2" s="6"/>
      <c r="FZP2" s="6"/>
      <c r="FZQ2" s="6"/>
      <c r="FZR2" s="6"/>
      <c r="FZS2" s="6"/>
      <c r="FZT2" s="6"/>
      <c r="FZU2" s="6"/>
      <c r="FZV2" s="6"/>
      <c r="FZW2" s="6"/>
      <c r="FZX2" s="6"/>
      <c r="FZY2" s="6"/>
      <c r="FZZ2" s="6"/>
      <c r="GAA2" s="6"/>
      <c r="GAB2" s="6"/>
      <c r="GAC2" s="6"/>
      <c r="GAD2" s="6"/>
      <c r="GAE2" s="6"/>
      <c r="GAF2" s="6"/>
      <c r="GAG2" s="6"/>
      <c r="GAH2" s="6"/>
      <c r="GAI2" s="6"/>
      <c r="GAJ2" s="6"/>
      <c r="GAK2" s="6"/>
      <c r="GAL2" s="6"/>
      <c r="GAM2" s="6"/>
      <c r="GAN2" s="6"/>
      <c r="GAO2" s="6"/>
      <c r="GAP2" s="6"/>
      <c r="GAQ2" s="6"/>
      <c r="GAR2" s="6"/>
      <c r="GAS2" s="6"/>
      <c r="GAT2" s="6"/>
      <c r="GAU2" s="6"/>
      <c r="GAV2" s="6"/>
      <c r="GAW2" s="6"/>
      <c r="GAX2" s="6"/>
      <c r="GAY2" s="6"/>
      <c r="GAZ2" s="6"/>
      <c r="GBA2" s="6"/>
      <c r="GBB2" s="6"/>
      <c r="GBC2" s="6"/>
      <c r="GBD2" s="6"/>
      <c r="GBE2" s="6"/>
      <c r="GBF2" s="6"/>
      <c r="GBG2" s="6"/>
      <c r="GBH2" s="6"/>
      <c r="GBI2" s="6"/>
      <c r="GBJ2" s="6"/>
      <c r="GBK2" s="6"/>
      <c r="GBL2" s="6"/>
      <c r="GBM2" s="6"/>
      <c r="GBN2" s="6"/>
      <c r="GBO2" s="6"/>
      <c r="GBP2" s="6"/>
      <c r="GBQ2" s="6"/>
      <c r="GBR2" s="6"/>
      <c r="GBS2" s="6"/>
      <c r="GBT2" s="6"/>
      <c r="GBU2" s="6"/>
      <c r="GBV2" s="6"/>
      <c r="GBW2" s="6"/>
      <c r="GBX2" s="6"/>
      <c r="GBY2" s="6"/>
      <c r="GBZ2" s="6"/>
      <c r="GCA2" s="6"/>
      <c r="GCB2" s="6"/>
      <c r="GCC2" s="6"/>
      <c r="GCD2" s="6"/>
      <c r="GCE2" s="6"/>
      <c r="GCF2" s="6"/>
      <c r="GCG2" s="6"/>
      <c r="GCH2" s="6"/>
      <c r="GCI2" s="6"/>
      <c r="GCJ2" s="6"/>
      <c r="GCK2" s="6"/>
      <c r="GCL2" s="6"/>
      <c r="GCM2" s="6"/>
      <c r="GCN2" s="6"/>
      <c r="GCO2" s="6"/>
      <c r="GCP2" s="6"/>
      <c r="GCQ2" s="6"/>
      <c r="GCR2" s="6"/>
      <c r="GCS2" s="6"/>
      <c r="GCT2" s="6"/>
      <c r="GCU2" s="6"/>
      <c r="GCV2" s="6"/>
      <c r="GCW2" s="6"/>
      <c r="GCX2" s="6"/>
      <c r="GCY2" s="6"/>
      <c r="GCZ2" s="6"/>
      <c r="GDA2" s="6"/>
      <c r="GDB2" s="6"/>
      <c r="GDC2" s="6"/>
      <c r="GDD2" s="6"/>
      <c r="GDE2" s="6"/>
      <c r="GDF2" s="6"/>
      <c r="GDG2" s="6"/>
      <c r="GDH2" s="6"/>
      <c r="GDI2" s="6"/>
      <c r="GDJ2" s="6"/>
      <c r="GDK2" s="6"/>
      <c r="GDL2" s="6"/>
      <c r="GDM2" s="6"/>
      <c r="GDN2" s="6"/>
      <c r="GDO2" s="6"/>
      <c r="GDP2" s="6"/>
      <c r="GDQ2" s="6"/>
      <c r="GDR2" s="6"/>
      <c r="GDS2" s="6"/>
      <c r="GDT2" s="6"/>
      <c r="GDU2" s="6"/>
      <c r="GDV2" s="6"/>
      <c r="GDW2" s="6"/>
      <c r="GDX2" s="6"/>
      <c r="GDY2" s="6"/>
      <c r="GDZ2" s="6"/>
      <c r="GEA2" s="6"/>
      <c r="GEB2" s="6"/>
      <c r="GEC2" s="6"/>
      <c r="GED2" s="6"/>
      <c r="GEE2" s="6"/>
      <c r="GEF2" s="6"/>
      <c r="GEG2" s="6"/>
      <c r="GEH2" s="6"/>
      <c r="GEI2" s="6"/>
      <c r="GEJ2" s="6"/>
      <c r="GEK2" s="6"/>
      <c r="GEL2" s="6"/>
      <c r="GEM2" s="6"/>
      <c r="GEN2" s="6"/>
      <c r="GEO2" s="6"/>
      <c r="GEP2" s="6"/>
      <c r="GEQ2" s="6"/>
      <c r="GER2" s="6"/>
      <c r="GES2" s="6"/>
      <c r="GET2" s="6"/>
      <c r="GEU2" s="6"/>
      <c r="GEV2" s="6"/>
      <c r="GEW2" s="6"/>
      <c r="GEX2" s="6"/>
      <c r="GEY2" s="6"/>
      <c r="GEZ2" s="6"/>
      <c r="GFA2" s="6"/>
      <c r="GFB2" s="6"/>
      <c r="GFC2" s="6"/>
      <c r="GFD2" s="6"/>
      <c r="GFE2" s="6"/>
      <c r="GFF2" s="6"/>
      <c r="GFG2" s="6"/>
      <c r="GFH2" s="6"/>
      <c r="GFI2" s="6"/>
      <c r="GFJ2" s="6"/>
      <c r="GFK2" s="6"/>
      <c r="GFL2" s="6"/>
      <c r="GFM2" s="6"/>
      <c r="GFN2" s="6"/>
      <c r="GFO2" s="6"/>
      <c r="GFP2" s="6"/>
      <c r="GFQ2" s="6"/>
      <c r="GFR2" s="6"/>
      <c r="GFS2" s="6"/>
      <c r="GFT2" s="6"/>
      <c r="GFU2" s="6"/>
      <c r="GFV2" s="6"/>
      <c r="GFW2" s="6"/>
      <c r="GFX2" s="6"/>
      <c r="GFY2" s="6"/>
      <c r="GFZ2" s="6"/>
      <c r="GGA2" s="6"/>
      <c r="GGB2" s="6"/>
      <c r="GGC2" s="6"/>
      <c r="GGD2" s="6"/>
      <c r="GGE2" s="6"/>
      <c r="GGF2" s="6"/>
      <c r="GGG2" s="6"/>
      <c r="GGH2" s="6"/>
      <c r="GGI2" s="6"/>
      <c r="GGJ2" s="6"/>
      <c r="GGK2" s="6"/>
      <c r="GGL2" s="6"/>
      <c r="GGM2" s="6"/>
      <c r="GGN2" s="6"/>
      <c r="GGO2" s="6"/>
      <c r="GGP2" s="6"/>
      <c r="GGQ2" s="6"/>
      <c r="GGR2" s="6"/>
      <c r="GGS2" s="6"/>
      <c r="GGT2" s="6"/>
      <c r="GGU2" s="6"/>
      <c r="GGV2" s="6"/>
      <c r="GGW2" s="6"/>
      <c r="GGX2" s="6"/>
      <c r="GGY2" s="6"/>
      <c r="GGZ2" s="6"/>
      <c r="GHA2" s="6"/>
      <c r="GHB2" s="6"/>
      <c r="GHC2" s="6"/>
      <c r="GHD2" s="6"/>
      <c r="GHE2" s="6"/>
      <c r="GHF2" s="6"/>
      <c r="GHG2" s="6"/>
      <c r="GHH2" s="6"/>
      <c r="GHI2" s="6"/>
      <c r="GHJ2" s="6"/>
      <c r="GHK2" s="6"/>
      <c r="GHL2" s="6"/>
      <c r="GHM2" s="6"/>
      <c r="GHN2" s="6"/>
      <c r="GHO2" s="6"/>
      <c r="GHP2" s="6"/>
      <c r="GHQ2" s="6"/>
      <c r="GHR2" s="6"/>
      <c r="GHS2" s="6"/>
      <c r="GHT2" s="6"/>
      <c r="GHU2" s="6"/>
      <c r="GHV2" s="6"/>
      <c r="GHW2" s="6"/>
      <c r="GHX2" s="6"/>
      <c r="GHY2" s="6"/>
      <c r="GHZ2" s="6"/>
      <c r="GIA2" s="6"/>
      <c r="GIB2" s="6"/>
      <c r="GIC2" s="6"/>
      <c r="GID2" s="6"/>
      <c r="GIE2" s="6"/>
      <c r="GIF2" s="6"/>
      <c r="GIG2" s="6"/>
      <c r="GIH2" s="6"/>
      <c r="GII2" s="6"/>
      <c r="GIJ2" s="6"/>
      <c r="GIK2" s="6"/>
      <c r="GIL2" s="6"/>
      <c r="GIM2" s="6"/>
      <c r="GIN2" s="6"/>
      <c r="GIO2" s="6"/>
      <c r="GIP2" s="6"/>
      <c r="GIQ2" s="6"/>
      <c r="GIR2" s="6"/>
      <c r="GIS2" s="6"/>
      <c r="GIT2" s="6"/>
      <c r="GIU2" s="6"/>
      <c r="GIV2" s="6"/>
      <c r="GIW2" s="6"/>
      <c r="GIX2" s="6"/>
      <c r="GIY2" s="6"/>
      <c r="GIZ2" s="6"/>
      <c r="GJA2" s="6"/>
      <c r="GJB2" s="6"/>
      <c r="GJC2" s="6"/>
      <c r="GJD2" s="6"/>
      <c r="GJE2" s="6"/>
      <c r="GJF2" s="6"/>
      <c r="GJG2" s="6"/>
      <c r="GJH2" s="6"/>
      <c r="GJI2" s="6"/>
      <c r="GJJ2" s="6"/>
      <c r="GJK2" s="6"/>
      <c r="GJL2" s="6"/>
      <c r="GJM2" s="6"/>
      <c r="GJN2" s="6"/>
      <c r="GJO2" s="6"/>
      <c r="GJP2" s="6"/>
      <c r="GJQ2" s="6"/>
      <c r="GJR2" s="6"/>
      <c r="GJS2" s="6"/>
      <c r="GJT2" s="6"/>
      <c r="GJU2" s="6"/>
      <c r="GJV2" s="6"/>
      <c r="GJW2" s="6"/>
      <c r="GJX2" s="6"/>
      <c r="GJY2" s="6"/>
      <c r="GJZ2" s="6"/>
      <c r="GKA2" s="6"/>
      <c r="GKB2" s="6"/>
      <c r="GKC2" s="6"/>
      <c r="GKD2" s="6"/>
      <c r="GKE2" s="6"/>
      <c r="GKF2" s="6"/>
      <c r="GKG2" s="6"/>
      <c r="GKH2" s="6"/>
      <c r="GKI2" s="6"/>
      <c r="GKJ2" s="6"/>
      <c r="GKK2" s="6"/>
      <c r="GKL2" s="6"/>
      <c r="GKM2" s="6"/>
      <c r="GKN2" s="6"/>
      <c r="GKO2" s="6"/>
      <c r="GKP2" s="6"/>
      <c r="GKQ2" s="6"/>
      <c r="GKR2" s="6"/>
      <c r="GKS2" s="6"/>
      <c r="GKT2" s="6"/>
      <c r="GKU2" s="6"/>
      <c r="GKV2" s="6"/>
      <c r="GKW2" s="6"/>
      <c r="GKX2" s="6"/>
      <c r="GKY2" s="6"/>
      <c r="GKZ2" s="6"/>
      <c r="GLA2" s="6"/>
      <c r="GLB2" s="6"/>
      <c r="GLC2" s="6"/>
      <c r="GLD2" s="6"/>
      <c r="GLE2" s="6"/>
      <c r="GLF2" s="6"/>
      <c r="GLG2" s="6"/>
      <c r="GLH2" s="6"/>
      <c r="GLI2" s="6"/>
      <c r="GLJ2" s="6"/>
      <c r="GLK2" s="6"/>
      <c r="GLL2" s="6"/>
      <c r="GLM2" s="6"/>
      <c r="GLN2" s="6"/>
      <c r="GLO2" s="6"/>
      <c r="GLP2" s="6"/>
      <c r="GLQ2" s="6"/>
      <c r="GLR2" s="6"/>
      <c r="GLS2" s="6"/>
      <c r="GLT2" s="6"/>
      <c r="GLU2" s="6"/>
      <c r="GLV2" s="6"/>
      <c r="GLW2" s="6"/>
      <c r="GLX2" s="6"/>
      <c r="GLY2" s="6"/>
      <c r="GLZ2" s="6"/>
      <c r="GMA2" s="6"/>
      <c r="GMB2" s="6"/>
      <c r="GMC2" s="6"/>
      <c r="GMD2" s="6"/>
      <c r="GME2" s="6"/>
      <c r="GMF2" s="6"/>
      <c r="GMG2" s="6"/>
      <c r="GMH2" s="6"/>
      <c r="GMI2" s="6"/>
      <c r="GMJ2" s="6"/>
      <c r="GMK2" s="6"/>
      <c r="GML2" s="6"/>
      <c r="GMM2" s="6"/>
      <c r="GMN2" s="6"/>
      <c r="GMO2" s="6"/>
      <c r="GMP2" s="6"/>
      <c r="GMQ2" s="6"/>
      <c r="GMR2" s="6"/>
      <c r="GMS2" s="6"/>
      <c r="GMT2" s="6"/>
      <c r="GMU2" s="6"/>
      <c r="GMV2" s="6"/>
      <c r="GMW2" s="6"/>
      <c r="GMX2" s="6"/>
      <c r="GMY2" s="6"/>
      <c r="GMZ2" s="6"/>
      <c r="GNA2" s="6"/>
      <c r="GNB2" s="6"/>
      <c r="GNC2" s="6"/>
      <c r="GND2" s="6"/>
      <c r="GNE2" s="6"/>
      <c r="GNF2" s="6"/>
      <c r="GNG2" s="6"/>
      <c r="GNH2" s="6"/>
      <c r="GNI2" s="6"/>
      <c r="GNJ2" s="6"/>
      <c r="GNK2" s="6"/>
      <c r="GNL2" s="6"/>
      <c r="GNM2" s="6"/>
      <c r="GNN2" s="6"/>
      <c r="GNO2" s="6"/>
      <c r="GNP2" s="6"/>
      <c r="GNQ2" s="6"/>
      <c r="GNR2" s="6"/>
      <c r="GNS2" s="6"/>
      <c r="GNT2" s="6"/>
      <c r="GNU2" s="6"/>
      <c r="GNV2" s="6"/>
      <c r="GNW2" s="6"/>
      <c r="GNX2" s="6"/>
      <c r="GNY2" s="6"/>
      <c r="GNZ2" s="6"/>
      <c r="GOA2" s="6"/>
      <c r="GOB2" s="6"/>
      <c r="GOC2" s="6"/>
      <c r="GOD2" s="6"/>
      <c r="GOE2" s="6"/>
      <c r="GOF2" s="6"/>
      <c r="GOG2" s="6"/>
      <c r="GOH2" s="6"/>
      <c r="GOI2" s="6"/>
      <c r="GOJ2" s="6"/>
      <c r="GOK2" s="6"/>
      <c r="GOL2" s="6"/>
      <c r="GOM2" s="6"/>
      <c r="GON2" s="6"/>
      <c r="GOO2" s="6"/>
      <c r="GOP2" s="6"/>
      <c r="GOQ2" s="6"/>
      <c r="GOR2" s="6"/>
      <c r="GOS2" s="6"/>
      <c r="GOT2" s="6"/>
      <c r="GOU2" s="6"/>
      <c r="GOV2" s="6"/>
      <c r="GOW2" s="6"/>
      <c r="GOX2" s="6"/>
      <c r="GOY2" s="6"/>
      <c r="GOZ2" s="6"/>
      <c r="GPA2" s="6"/>
      <c r="GPB2" s="6"/>
      <c r="GPC2" s="6"/>
      <c r="GPD2" s="6"/>
      <c r="GPE2" s="6"/>
      <c r="GPF2" s="6"/>
      <c r="GPG2" s="6"/>
      <c r="GPH2" s="6"/>
      <c r="GPI2" s="6"/>
      <c r="GPJ2" s="6"/>
      <c r="GPK2" s="6"/>
      <c r="GPL2" s="6"/>
      <c r="GPM2" s="6"/>
      <c r="GPN2" s="6"/>
      <c r="GPO2" s="6"/>
      <c r="GPP2" s="6"/>
      <c r="GPQ2" s="6"/>
      <c r="GPR2" s="6"/>
      <c r="GPS2" s="6"/>
      <c r="GPT2" s="6"/>
      <c r="GPU2" s="6"/>
      <c r="GPV2" s="6"/>
      <c r="GPW2" s="6"/>
      <c r="GPX2" s="6"/>
      <c r="GPY2" s="6"/>
      <c r="GPZ2" s="6"/>
      <c r="GQA2" s="6"/>
      <c r="GQB2" s="6"/>
      <c r="GQC2" s="6"/>
      <c r="GQD2" s="6"/>
      <c r="GQE2" s="6"/>
      <c r="GQF2" s="6"/>
      <c r="GQG2" s="6"/>
      <c r="GQH2" s="6"/>
      <c r="GQI2" s="6"/>
      <c r="GQJ2" s="6"/>
      <c r="GQK2" s="6"/>
      <c r="GQL2" s="6"/>
      <c r="GQM2" s="6"/>
      <c r="GQN2" s="6"/>
      <c r="GQO2" s="6"/>
      <c r="GQP2" s="6"/>
      <c r="GQQ2" s="6"/>
      <c r="GQR2" s="6"/>
      <c r="GQS2" s="6"/>
      <c r="GQT2" s="6"/>
      <c r="GQU2" s="6"/>
      <c r="GQV2" s="6"/>
      <c r="GQW2" s="6"/>
      <c r="GQX2" s="6"/>
      <c r="GQY2" s="6"/>
      <c r="GQZ2" s="6"/>
      <c r="GRA2" s="6"/>
      <c r="GRB2" s="6"/>
      <c r="GRC2" s="6"/>
      <c r="GRD2" s="6"/>
      <c r="GRE2" s="6"/>
      <c r="GRF2" s="6"/>
      <c r="GRG2" s="6"/>
      <c r="GRH2" s="6"/>
      <c r="GRI2" s="6"/>
      <c r="GRJ2" s="6"/>
      <c r="GRK2" s="6"/>
      <c r="GRL2" s="6"/>
      <c r="GRM2" s="6"/>
      <c r="GRN2" s="6"/>
      <c r="GRO2" s="6"/>
      <c r="GRP2" s="6"/>
      <c r="GRQ2" s="6"/>
      <c r="GRR2" s="6"/>
      <c r="GRS2" s="6"/>
      <c r="GRT2" s="6"/>
      <c r="GRU2" s="6"/>
      <c r="GRV2" s="6"/>
      <c r="GRW2" s="6"/>
      <c r="GRX2" s="6"/>
      <c r="GRY2" s="6"/>
      <c r="GRZ2" s="6"/>
      <c r="GSA2" s="6"/>
      <c r="GSB2" s="6"/>
      <c r="GSC2" s="6"/>
      <c r="GSD2" s="6"/>
      <c r="GSE2" s="6"/>
      <c r="GSF2" s="6"/>
      <c r="GSG2" s="6"/>
      <c r="GSH2" s="6"/>
      <c r="GSI2" s="6"/>
      <c r="GSJ2" s="6"/>
      <c r="GSK2" s="6"/>
      <c r="GSL2" s="6"/>
      <c r="GSM2" s="6"/>
      <c r="GSN2" s="6"/>
      <c r="GSO2" s="6"/>
      <c r="GSP2" s="6"/>
      <c r="GSQ2" s="6"/>
      <c r="GSR2" s="6"/>
      <c r="GSS2" s="6"/>
      <c r="GST2" s="6"/>
      <c r="GSU2" s="6"/>
      <c r="GSV2" s="6"/>
      <c r="GSW2" s="6"/>
      <c r="GSX2" s="6"/>
      <c r="GSY2" s="6"/>
      <c r="GSZ2" s="6"/>
      <c r="GTA2" s="6"/>
      <c r="GTB2" s="6"/>
      <c r="GTC2" s="6"/>
      <c r="GTD2" s="6"/>
      <c r="GTE2" s="6"/>
      <c r="GTF2" s="6"/>
      <c r="GTG2" s="6"/>
      <c r="GTH2" s="6"/>
      <c r="GTI2" s="6"/>
      <c r="GTJ2" s="6"/>
      <c r="GTK2" s="6"/>
      <c r="GTL2" s="6"/>
      <c r="GTM2" s="6"/>
      <c r="GTN2" s="6"/>
      <c r="GTO2" s="6"/>
      <c r="GTP2" s="6"/>
      <c r="GTQ2" s="6"/>
      <c r="GTR2" s="6"/>
      <c r="GTS2" s="6"/>
      <c r="GTT2" s="6"/>
      <c r="GTU2" s="6"/>
      <c r="GTV2" s="6"/>
      <c r="GTW2" s="6"/>
      <c r="GTX2" s="6"/>
      <c r="GTY2" s="6"/>
      <c r="GTZ2" s="6"/>
      <c r="GUA2" s="6"/>
      <c r="GUB2" s="6"/>
      <c r="GUC2" s="6"/>
      <c r="GUD2" s="6"/>
      <c r="GUE2" s="6"/>
      <c r="GUF2" s="6"/>
      <c r="GUG2" s="6"/>
      <c r="GUH2" s="6"/>
      <c r="GUI2" s="6"/>
      <c r="GUJ2" s="6"/>
      <c r="GUK2" s="6"/>
      <c r="GUL2" s="6"/>
      <c r="GUM2" s="6"/>
      <c r="GUN2" s="6"/>
      <c r="GUO2" s="6"/>
      <c r="GUP2" s="6"/>
      <c r="GUQ2" s="6"/>
      <c r="GUR2" s="6"/>
      <c r="GUS2" s="6"/>
      <c r="GUT2" s="6"/>
      <c r="GUU2" s="6"/>
      <c r="GUV2" s="6"/>
      <c r="GUW2" s="6"/>
      <c r="GUX2" s="6"/>
      <c r="GUY2" s="6"/>
      <c r="GUZ2" s="6"/>
      <c r="GVA2" s="6"/>
      <c r="GVB2" s="6"/>
      <c r="GVC2" s="6"/>
      <c r="GVD2" s="6"/>
      <c r="GVE2" s="6"/>
      <c r="GVF2" s="6"/>
      <c r="GVG2" s="6"/>
      <c r="GVH2" s="6"/>
      <c r="GVI2" s="6"/>
      <c r="GVJ2" s="6"/>
      <c r="GVK2" s="6"/>
      <c r="GVL2" s="6"/>
      <c r="GVM2" s="6"/>
      <c r="GVN2" s="6"/>
      <c r="GVO2" s="6"/>
      <c r="GVP2" s="6"/>
      <c r="GVQ2" s="6"/>
      <c r="GVR2" s="6"/>
      <c r="GVS2" s="6"/>
      <c r="GVT2" s="6"/>
      <c r="GVU2" s="6"/>
      <c r="GVV2" s="6"/>
      <c r="GVW2" s="6"/>
      <c r="GVX2" s="6"/>
      <c r="GVY2" s="6"/>
      <c r="GVZ2" s="6"/>
      <c r="GWA2" s="6"/>
      <c r="GWB2" s="6"/>
      <c r="GWC2" s="6"/>
      <c r="GWD2" s="6"/>
      <c r="GWE2" s="6"/>
      <c r="GWF2" s="6"/>
      <c r="GWG2" s="6"/>
      <c r="GWH2" s="6"/>
      <c r="GWI2" s="6"/>
      <c r="GWJ2" s="6"/>
      <c r="GWK2" s="6"/>
      <c r="GWL2" s="6"/>
      <c r="GWM2" s="6"/>
      <c r="GWN2" s="6"/>
      <c r="GWO2" s="6"/>
      <c r="GWP2" s="6"/>
      <c r="GWQ2" s="6"/>
      <c r="GWR2" s="6"/>
      <c r="GWS2" s="6"/>
      <c r="GWT2" s="6"/>
      <c r="GWU2" s="6"/>
      <c r="GWV2" s="6"/>
      <c r="GWW2" s="6"/>
      <c r="GWX2" s="6"/>
      <c r="GWY2" s="6"/>
      <c r="GWZ2" s="6"/>
      <c r="GXA2" s="6"/>
      <c r="GXB2" s="6"/>
      <c r="GXC2" s="6"/>
      <c r="GXD2" s="6"/>
      <c r="GXE2" s="6"/>
      <c r="GXF2" s="6"/>
      <c r="GXG2" s="6"/>
      <c r="GXH2" s="6"/>
      <c r="GXI2" s="6"/>
      <c r="GXJ2" s="6"/>
      <c r="GXK2" s="6"/>
      <c r="GXL2" s="6"/>
      <c r="GXM2" s="6"/>
      <c r="GXN2" s="6"/>
      <c r="GXO2" s="6"/>
      <c r="GXP2" s="6"/>
      <c r="GXQ2" s="6"/>
      <c r="GXR2" s="6"/>
      <c r="GXS2" s="6"/>
      <c r="GXT2" s="6"/>
      <c r="GXU2" s="6"/>
      <c r="GXV2" s="6"/>
      <c r="GXW2" s="6"/>
      <c r="GXX2" s="6"/>
      <c r="GXY2" s="6"/>
      <c r="GXZ2" s="6"/>
      <c r="GYA2" s="6"/>
      <c r="GYB2" s="6"/>
      <c r="GYC2" s="6"/>
      <c r="GYD2" s="6"/>
      <c r="GYE2" s="6"/>
      <c r="GYF2" s="6"/>
      <c r="GYG2" s="6"/>
      <c r="GYH2" s="6"/>
      <c r="GYI2" s="6"/>
      <c r="GYJ2" s="6"/>
      <c r="GYK2" s="6"/>
      <c r="GYL2" s="6"/>
      <c r="GYM2" s="6"/>
      <c r="GYN2" s="6"/>
      <c r="GYO2" s="6"/>
      <c r="GYP2" s="6"/>
      <c r="GYQ2" s="6"/>
      <c r="GYR2" s="6"/>
      <c r="GYS2" s="6"/>
      <c r="GYT2" s="6"/>
      <c r="GYU2" s="6"/>
      <c r="GYV2" s="6"/>
      <c r="GYW2" s="6"/>
      <c r="GYX2" s="6"/>
      <c r="GYY2" s="6"/>
      <c r="GYZ2" s="6"/>
      <c r="GZA2" s="6"/>
      <c r="GZB2" s="6"/>
      <c r="GZC2" s="6"/>
      <c r="GZD2" s="6"/>
      <c r="GZE2" s="6"/>
      <c r="GZF2" s="6"/>
      <c r="GZG2" s="6"/>
      <c r="GZH2" s="6"/>
      <c r="GZI2" s="6"/>
      <c r="GZJ2" s="6"/>
      <c r="GZK2" s="6"/>
      <c r="GZL2" s="6"/>
      <c r="GZM2" s="6"/>
      <c r="GZN2" s="6"/>
      <c r="GZO2" s="6"/>
      <c r="GZP2" s="6"/>
      <c r="GZQ2" s="6"/>
      <c r="GZR2" s="6"/>
      <c r="GZS2" s="6"/>
      <c r="GZT2" s="6"/>
      <c r="GZU2" s="6"/>
      <c r="GZV2" s="6"/>
      <c r="GZW2" s="6"/>
      <c r="GZX2" s="6"/>
      <c r="GZY2" s="6"/>
      <c r="GZZ2" s="6"/>
      <c r="HAA2" s="6"/>
      <c r="HAB2" s="6"/>
      <c r="HAC2" s="6"/>
      <c r="HAD2" s="6"/>
      <c r="HAE2" s="6"/>
      <c r="HAF2" s="6"/>
      <c r="HAG2" s="6"/>
      <c r="HAH2" s="6"/>
      <c r="HAI2" s="6"/>
      <c r="HAJ2" s="6"/>
      <c r="HAK2" s="6"/>
      <c r="HAL2" s="6"/>
      <c r="HAM2" s="6"/>
      <c r="HAN2" s="6"/>
      <c r="HAO2" s="6"/>
      <c r="HAP2" s="6"/>
      <c r="HAQ2" s="6"/>
      <c r="HAR2" s="6"/>
      <c r="HAS2" s="6"/>
      <c r="HAT2" s="6"/>
      <c r="HAU2" s="6"/>
      <c r="HAV2" s="6"/>
      <c r="HAW2" s="6"/>
      <c r="HAX2" s="6"/>
      <c r="HAY2" s="6"/>
      <c r="HAZ2" s="6"/>
      <c r="HBA2" s="6"/>
      <c r="HBB2" s="6"/>
      <c r="HBC2" s="6"/>
      <c r="HBD2" s="6"/>
      <c r="HBE2" s="6"/>
      <c r="HBF2" s="6"/>
      <c r="HBG2" s="6"/>
      <c r="HBH2" s="6"/>
      <c r="HBI2" s="6"/>
      <c r="HBJ2" s="6"/>
      <c r="HBK2" s="6"/>
      <c r="HBL2" s="6"/>
      <c r="HBM2" s="6"/>
      <c r="HBN2" s="6"/>
      <c r="HBO2" s="6"/>
      <c r="HBP2" s="6"/>
      <c r="HBQ2" s="6"/>
      <c r="HBR2" s="6"/>
      <c r="HBS2" s="6"/>
      <c r="HBT2" s="6"/>
      <c r="HBU2" s="6"/>
      <c r="HBV2" s="6"/>
      <c r="HBW2" s="6"/>
      <c r="HBX2" s="6"/>
      <c r="HBY2" s="6"/>
      <c r="HBZ2" s="6"/>
      <c r="HCA2" s="6"/>
      <c r="HCB2" s="6"/>
      <c r="HCC2" s="6"/>
      <c r="HCD2" s="6"/>
      <c r="HCE2" s="6"/>
      <c r="HCF2" s="6"/>
      <c r="HCG2" s="6"/>
      <c r="HCH2" s="6"/>
      <c r="HCI2" s="6"/>
      <c r="HCJ2" s="6"/>
      <c r="HCK2" s="6"/>
      <c r="HCL2" s="6"/>
      <c r="HCM2" s="6"/>
      <c r="HCN2" s="6"/>
      <c r="HCO2" s="6"/>
      <c r="HCP2" s="6"/>
      <c r="HCQ2" s="6"/>
      <c r="HCR2" s="6"/>
      <c r="HCS2" s="6"/>
      <c r="HCT2" s="6"/>
      <c r="HCU2" s="6"/>
      <c r="HCV2" s="6"/>
      <c r="HCW2" s="6"/>
      <c r="HCX2" s="6"/>
      <c r="HCY2" s="6"/>
      <c r="HCZ2" s="6"/>
      <c r="HDA2" s="6"/>
      <c r="HDB2" s="6"/>
      <c r="HDC2" s="6"/>
      <c r="HDD2" s="6"/>
      <c r="HDE2" s="6"/>
      <c r="HDF2" s="6"/>
      <c r="HDG2" s="6"/>
      <c r="HDH2" s="6"/>
      <c r="HDI2" s="6"/>
      <c r="HDJ2" s="6"/>
      <c r="HDK2" s="6"/>
      <c r="HDL2" s="6"/>
      <c r="HDM2" s="6"/>
      <c r="HDN2" s="6"/>
      <c r="HDO2" s="6"/>
      <c r="HDP2" s="6"/>
      <c r="HDQ2" s="6"/>
      <c r="HDR2" s="6"/>
      <c r="HDS2" s="6"/>
      <c r="HDT2" s="6"/>
      <c r="HDU2" s="6"/>
      <c r="HDV2" s="6"/>
      <c r="HDW2" s="6"/>
      <c r="HDX2" s="6"/>
      <c r="HDY2" s="6"/>
      <c r="HDZ2" s="6"/>
      <c r="HEA2" s="6"/>
      <c r="HEB2" s="6"/>
      <c r="HEC2" s="6"/>
      <c r="HED2" s="6"/>
      <c r="HEE2" s="6"/>
      <c r="HEF2" s="6"/>
      <c r="HEG2" s="6"/>
      <c r="HEH2" s="6"/>
      <c r="HEI2" s="6"/>
      <c r="HEJ2" s="6"/>
      <c r="HEK2" s="6"/>
      <c r="HEL2" s="6"/>
      <c r="HEM2" s="6"/>
      <c r="HEN2" s="6"/>
      <c r="HEO2" s="6"/>
      <c r="HEP2" s="6"/>
      <c r="HEQ2" s="6"/>
      <c r="HER2" s="6"/>
      <c r="HES2" s="6"/>
      <c r="HET2" s="6"/>
      <c r="HEU2" s="6"/>
      <c r="HEV2" s="6"/>
      <c r="HEW2" s="6"/>
      <c r="HEX2" s="6"/>
      <c r="HEY2" s="6"/>
      <c r="HEZ2" s="6"/>
      <c r="HFA2" s="6"/>
      <c r="HFB2" s="6"/>
      <c r="HFC2" s="6"/>
      <c r="HFD2" s="6"/>
      <c r="HFE2" s="6"/>
      <c r="HFF2" s="6"/>
      <c r="HFG2" s="6"/>
      <c r="HFH2" s="6"/>
      <c r="HFI2" s="6"/>
      <c r="HFJ2" s="6"/>
      <c r="HFK2" s="6"/>
      <c r="HFL2" s="6"/>
      <c r="HFM2" s="6"/>
      <c r="HFN2" s="6"/>
      <c r="HFO2" s="6"/>
      <c r="HFP2" s="6"/>
      <c r="HFQ2" s="6"/>
      <c r="HFR2" s="6"/>
      <c r="HFS2" s="6"/>
      <c r="HFT2" s="6"/>
      <c r="HFU2" s="6"/>
      <c r="HFV2" s="6"/>
      <c r="HFW2" s="6"/>
      <c r="HFX2" s="6"/>
      <c r="HFY2" s="6"/>
      <c r="HFZ2" s="6"/>
      <c r="HGA2" s="6"/>
      <c r="HGB2" s="6"/>
      <c r="HGC2" s="6"/>
      <c r="HGD2" s="6"/>
      <c r="HGE2" s="6"/>
      <c r="HGF2" s="6"/>
      <c r="HGG2" s="6"/>
      <c r="HGH2" s="6"/>
      <c r="HGI2" s="6"/>
      <c r="HGJ2" s="6"/>
      <c r="HGK2" s="6"/>
      <c r="HGL2" s="6"/>
      <c r="HGM2" s="6"/>
      <c r="HGN2" s="6"/>
      <c r="HGO2" s="6"/>
      <c r="HGP2" s="6"/>
      <c r="HGQ2" s="6"/>
      <c r="HGR2" s="6"/>
      <c r="HGS2" s="6"/>
      <c r="HGT2" s="6"/>
      <c r="HGU2" s="6"/>
      <c r="HGV2" s="6"/>
      <c r="HGW2" s="6"/>
      <c r="HGX2" s="6"/>
      <c r="HGY2" s="6"/>
      <c r="HGZ2" s="6"/>
      <c r="HHA2" s="6"/>
      <c r="HHB2" s="6"/>
      <c r="HHC2" s="6"/>
      <c r="HHD2" s="6"/>
      <c r="HHE2" s="6"/>
      <c r="HHF2" s="6"/>
      <c r="HHG2" s="6"/>
      <c r="HHH2" s="6"/>
      <c r="HHI2" s="6"/>
      <c r="HHJ2" s="6"/>
      <c r="HHK2" s="6"/>
      <c r="HHL2" s="6"/>
      <c r="HHM2" s="6"/>
      <c r="HHN2" s="6"/>
      <c r="HHO2" s="6"/>
      <c r="HHP2" s="6"/>
      <c r="HHQ2" s="6"/>
      <c r="HHR2" s="6"/>
      <c r="HHS2" s="6"/>
      <c r="HHT2" s="6"/>
      <c r="HHU2" s="6"/>
      <c r="HHV2" s="6"/>
      <c r="HHW2" s="6"/>
      <c r="HHX2" s="6"/>
      <c r="HHY2" s="6"/>
      <c r="HHZ2" s="6"/>
      <c r="HIA2" s="6"/>
      <c r="HIB2" s="6"/>
      <c r="HIC2" s="6"/>
      <c r="HID2" s="6"/>
      <c r="HIE2" s="6"/>
      <c r="HIF2" s="6"/>
      <c r="HIG2" s="6"/>
      <c r="HIH2" s="6"/>
      <c r="HII2" s="6"/>
      <c r="HIJ2" s="6"/>
      <c r="HIK2" s="6"/>
      <c r="HIL2" s="6"/>
      <c r="HIM2" s="6"/>
      <c r="HIN2" s="6"/>
      <c r="HIO2" s="6"/>
      <c r="HIP2" s="6"/>
      <c r="HIQ2" s="6"/>
      <c r="HIR2" s="6"/>
      <c r="HIS2" s="6"/>
      <c r="HIT2" s="6"/>
      <c r="HIU2" s="6"/>
      <c r="HIV2" s="6"/>
      <c r="HIW2" s="6"/>
      <c r="HIX2" s="6"/>
      <c r="HIY2" s="6"/>
      <c r="HIZ2" s="6"/>
      <c r="HJA2" s="6"/>
      <c r="HJB2" s="6"/>
      <c r="HJC2" s="6"/>
      <c r="HJD2" s="6"/>
      <c r="HJE2" s="6"/>
      <c r="HJF2" s="6"/>
      <c r="HJG2" s="6"/>
      <c r="HJH2" s="6"/>
      <c r="HJI2" s="6"/>
      <c r="HJJ2" s="6"/>
      <c r="HJK2" s="6"/>
      <c r="HJL2" s="6"/>
      <c r="HJM2" s="6"/>
      <c r="HJN2" s="6"/>
      <c r="HJO2" s="6"/>
      <c r="HJP2" s="6"/>
      <c r="HJQ2" s="6"/>
      <c r="HJR2" s="6"/>
      <c r="HJS2" s="6"/>
      <c r="HJT2" s="6"/>
      <c r="HJU2" s="6"/>
      <c r="HJV2" s="6"/>
      <c r="HJW2" s="6"/>
      <c r="HJX2" s="6"/>
      <c r="HJY2" s="6"/>
      <c r="HJZ2" s="6"/>
      <c r="HKA2" s="6"/>
      <c r="HKB2" s="6"/>
      <c r="HKC2" s="6"/>
      <c r="HKD2" s="6"/>
      <c r="HKE2" s="6"/>
      <c r="HKF2" s="6"/>
      <c r="HKG2" s="6"/>
      <c r="HKH2" s="6"/>
      <c r="HKI2" s="6"/>
      <c r="HKJ2" s="6"/>
      <c r="HKK2" s="6"/>
      <c r="HKL2" s="6"/>
      <c r="HKM2" s="6"/>
      <c r="HKN2" s="6"/>
      <c r="HKO2" s="6"/>
      <c r="HKP2" s="6"/>
      <c r="HKQ2" s="6"/>
      <c r="HKR2" s="6"/>
      <c r="HKS2" s="6"/>
      <c r="HKT2" s="6"/>
      <c r="HKU2" s="6"/>
      <c r="HKV2" s="6"/>
      <c r="HKW2" s="6"/>
      <c r="HKX2" s="6"/>
      <c r="HKY2" s="6"/>
      <c r="HKZ2" s="6"/>
      <c r="HLA2" s="6"/>
      <c r="HLB2" s="6"/>
      <c r="HLC2" s="6"/>
      <c r="HLD2" s="6"/>
      <c r="HLE2" s="6"/>
      <c r="HLF2" s="6"/>
      <c r="HLG2" s="6"/>
      <c r="HLH2" s="6"/>
      <c r="HLI2" s="6"/>
      <c r="HLJ2" s="6"/>
      <c r="HLK2" s="6"/>
      <c r="HLL2" s="6"/>
      <c r="HLM2" s="6"/>
      <c r="HLN2" s="6"/>
      <c r="HLO2" s="6"/>
      <c r="HLP2" s="6"/>
      <c r="HLQ2" s="6"/>
      <c r="HLR2" s="6"/>
      <c r="HLS2" s="6"/>
      <c r="HLT2" s="6"/>
      <c r="HLU2" s="6"/>
      <c r="HLV2" s="6"/>
      <c r="HLW2" s="6"/>
      <c r="HLX2" s="6"/>
      <c r="HLY2" s="6"/>
      <c r="HLZ2" s="6"/>
      <c r="HMA2" s="6"/>
      <c r="HMB2" s="6"/>
      <c r="HMC2" s="6"/>
      <c r="HMD2" s="6"/>
      <c r="HME2" s="6"/>
      <c r="HMF2" s="6"/>
      <c r="HMG2" s="6"/>
      <c r="HMH2" s="6"/>
      <c r="HMI2" s="6"/>
      <c r="HMJ2" s="6"/>
      <c r="HMK2" s="6"/>
      <c r="HML2" s="6"/>
      <c r="HMM2" s="6"/>
      <c r="HMN2" s="6"/>
      <c r="HMO2" s="6"/>
      <c r="HMP2" s="6"/>
      <c r="HMQ2" s="6"/>
      <c r="HMR2" s="6"/>
      <c r="HMS2" s="6"/>
      <c r="HMT2" s="6"/>
      <c r="HMU2" s="6"/>
      <c r="HMV2" s="6"/>
      <c r="HMW2" s="6"/>
      <c r="HMX2" s="6"/>
      <c r="HMY2" s="6"/>
      <c r="HMZ2" s="6"/>
      <c r="HNA2" s="6"/>
      <c r="HNB2" s="6"/>
      <c r="HNC2" s="6"/>
      <c r="HND2" s="6"/>
      <c r="HNE2" s="6"/>
      <c r="HNF2" s="6"/>
      <c r="HNG2" s="6"/>
      <c r="HNH2" s="6"/>
      <c r="HNI2" s="6"/>
      <c r="HNJ2" s="6"/>
      <c r="HNK2" s="6"/>
      <c r="HNL2" s="6"/>
      <c r="HNM2" s="6"/>
      <c r="HNN2" s="6"/>
      <c r="HNO2" s="6"/>
      <c r="HNP2" s="6"/>
      <c r="HNQ2" s="6"/>
      <c r="HNR2" s="6"/>
      <c r="HNS2" s="6"/>
      <c r="HNT2" s="6"/>
      <c r="HNU2" s="6"/>
      <c r="HNV2" s="6"/>
      <c r="HNW2" s="6"/>
      <c r="HNX2" s="6"/>
      <c r="HNY2" s="6"/>
      <c r="HNZ2" s="6"/>
      <c r="HOA2" s="6"/>
      <c r="HOB2" s="6"/>
      <c r="HOC2" s="6"/>
      <c r="HOD2" s="6"/>
      <c r="HOE2" s="6"/>
      <c r="HOF2" s="6"/>
      <c r="HOG2" s="6"/>
      <c r="HOH2" s="6"/>
      <c r="HOI2" s="6"/>
      <c r="HOJ2" s="6"/>
      <c r="HOK2" s="6"/>
      <c r="HOL2" s="6"/>
      <c r="HOM2" s="6"/>
      <c r="HON2" s="6"/>
      <c r="HOO2" s="6"/>
      <c r="HOP2" s="6"/>
      <c r="HOQ2" s="6"/>
      <c r="HOR2" s="6"/>
      <c r="HOS2" s="6"/>
      <c r="HOT2" s="6"/>
      <c r="HOU2" s="6"/>
      <c r="HOV2" s="6"/>
      <c r="HOW2" s="6"/>
      <c r="HOX2" s="6"/>
      <c r="HOY2" s="6"/>
      <c r="HOZ2" s="6"/>
      <c r="HPA2" s="6"/>
      <c r="HPB2" s="6"/>
      <c r="HPC2" s="6"/>
      <c r="HPD2" s="6"/>
      <c r="HPE2" s="6"/>
      <c r="HPF2" s="6"/>
      <c r="HPG2" s="6"/>
      <c r="HPH2" s="6"/>
      <c r="HPI2" s="6"/>
      <c r="HPJ2" s="6"/>
      <c r="HPK2" s="6"/>
      <c r="HPL2" s="6"/>
      <c r="HPM2" s="6"/>
      <c r="HPN2" s="6"/>
      <c r="HPO2" s="6"/>
      <c r="HPP2" s="6"/>
      <c r="HPQ2" s="6"/>
      <c r="HPR2" s="6"/>
      <c r="HPS2" s="6"/>
      <c r="HPT2" s="6"/>
      <c r="HPU2" s="6"/>
      <c r="HPV2" s="6"/>
      <c r="HPW2" s="6"/>
      <c r="HPX2" s="6"/>
      <c r="HPY2" s="6"/>
      <c r="HPZ2" s="6"/>
      <c r="HQA2" s="6"/>
      <c r="HQB2" s="6"/>
      <c r="HQC2" s="6"/>
      <c r="HQD2" s="6"/>
      <c r="HQE2" s="6"/>
      <c r="HQF2" s="6"/>
      <c r="HQG2" s="6"/>
      <c r="HQH2" s="6"/>
      <c r="HQI2" s="6"/>
      <c r="HQJ2" s="6"/>
      <c r="HQK2" s="6"/>
      <c r="HQL2" s="6"/>
      <c r="HQM2" s="6"/>
      <c r="HQN2" s="6"/>
      <c r="HQO2" s="6"/>
      <c r="HQP2" s="6"/>
      <c r="HQQ2" s="6"/>
      <c r="HQR2" s="6"/>
      <c r="HQS2" s="6"/>
      <c r="HQT2" s="6"/>
      <c r="HQU2" s="6"/>
      <c r="HQV2" s="6"/>
      <c r="HQW2" s="6"/>
      <c r="HQX2" s="6"/>
      <c r="HQY2" s="6"/>
      <c r="HQZ2" s="6"/>
      <c r="HRA2" s="6"/>
      <c r="HRB2" s="6"/>
      <c r="HRC2" s="6"/>
      <c r="HRD2" s="6"/>
      <c r="HRE2" s="6"/>
      <c r="HRF2" s="6"/>
      <c r="HRG2" s="6"/>
      <c r="HRH2" s="6"/>
      <c r="HRI2" s="6"/>
      <c r="HRJ2" s="6"/>
      <c r="HRK2" s="6"/>
      <c r="HRL2" s="6"/>
      <c r="HRM2" s="6"/>
      <c r="HRN2" s="6"/>
      <c r="HRO2" s="6"/>
      <c r="HRP2" s="6"/>
      <c r="HRQ2" s="6"/>
      <c r="HRR2" s="6"/>
      <c r="HRS2" s="6"/>
      <c r="HRT2" s="6"/>
      <c r="HRU2" s="6"/>
      <c r="HRV2" s="6"/>
      <c r="HRW2" s="6"/>
      <c r="HRX2" s="6"/>
      <c r="HRY2" s="6"/>
      <c r="HRZ2" s="6"/>
      <c r="HSA2" s="6"/>
      <c r="HSB2" s="6"/>
      <c r="HSC2" s="6"/>
      <c r="HSD2" s="6"/>
      <c r="HSE2" s="6"/>
      <c r="HSF2" s="6"/>
      <c r="HSG2" s="6"/>
      <c r="HSH2" s="6"/>
      <c r="HSI2" s="6"/>
      <c r="HSJ2" s="6"/>
      <c r="HSK2" s="6"/>
      <c r="HSL2" s="6"/>
      <c r="HSM2" s="6"/>
      <c r="HSN2" s="6"/>
      <c r="HSO2" s="6"/>
      <c r="HSP2" s="6"/>
      <c r="HSQ2" s="6"/>
      <c r="HSR2" s="6"/>
      <c r="HSS2" s="6"/>
      <c r="HST2" s="6"/>
      <c r="HSU2" s="6"/>
      <c r="HSV2" s="6"/>
      <c r="HSW2" s="6"/>
      <c r="HSX2" s="6"/>
      <c r="HSY2" s="6"/>
      <c r="HSZ2" s="6"/>
      <c r="HTA2" s="6"/>
      <c r="HTB2" s="6"/>
      <c r="HTC2" s="6"/>
      <c r="HTD2" s="6"/>
      <c r="HTE2" s="6"/>
      <c r="HTF2" s="6"/>
      <c r="HTG2" s="6"/>
      <c r="HTH2" s="6"/>
      <c r="HTI2" s="6"/>
      <c r="HTJ2" s="6"/>
      <c r="HTK2" s="6"/>
      <c r="HTL2" s="6"/>
      <c r="HTM2" s="6"/>
      <c r="HTN2" s="6"/>
      <c r="HTO2" s="6"/>
      <c r="HTP2" s="6"/>
      <c r="HTQ2" s="6"/>
      <c r="HTR2" s="6"/>
      <c r="HTS2" s="6"/>
      <c r="HTT2" s="6"/>
      <c r="HTU2" s="6"/>
      <c r="HTV2" s="6"/>
      <c r="HTW2" s="6"/>
      <c r="HTX2" s="6"/>
      <c r="HTY2" s="6"/>
      <c r="HTZ2" s="6"/>
      <c r="HUA2" s="6"/>
      <c r="HUB2" s="6"/>
      <c r="HUC2" s="6"/>
      <c r="HUD2" s="6"/>
      <c r="HUE2" s="6"/>
      <c r="HUF2" s="6"/>
      <c r="HUG2" s="6"/>
      <c r="HUH2" s="6"/>
      <c r="HUI2" s="6"/>
      <c r="HUJ2" s="6"/>
      <c r="HUK2" s="6"/>
      <c r="HUL2" s="6"/>
      <c r="HUM2" s="6"/>
      <c r="HUN2" s="6"/>
      <c r="HUO2" s="6"/>
      <c r="HUP2" s="6"/>
      <c r="HUQ2" s="6"/>
      <c r="HUR2" s="6"/>
      <c r="HUS2" s="6"/>
      <c r="HUT2" s="6"/>
      <c r="HUU2" s="6"/>
      <c r="HUV2" s="6"/>
      <c r="HUW2" s="6"/>
      <c r="HUX2" s="6"/>
      <c r="HUY2" s="6"/>
      <c r="HUZ2" s="6"/>
      <c r="HVA2" s="6"/>
      <c r="HVB2" s="6"/>
      <c r="HVC2" s="6"/>
      <c r="HVD2" s="6"/>
      <c r="HVE2" s="6"/>
      <c r="HVF2" s="6"/>
      <c r="HVG2" s="6"/>
      <c r="HVH2" s="6"/>
      <c r="HVI2" s="6"/>
      <c r="HVJ2" s="6"/>
      <c r="HVK2" s="6"/>
      <c r="HVL2" s="6"/>
      <c r="HVM2" s="6"/>
      <c r="HVN2" s="6"/>
      <c r="HVO2" s="6"/>
      <c r="HVP2" s="6"/>
      <c r="HVQ2" s="6"/>
      <c r="HVR2" s="6"/>
      <c r="HVS2" s="6"/>
      <c r="HVT2" s="6"/>
      <c r="HVU2" s="6"/>
      <c r="HVV2" s="6"/>
      <c r="HVW2" s="6"/>
      <c r="HVX2" s="6"/>
      <c r="HVY2" s="6"/>
      <c r="HVZ2" s="6"/>
      <c r="HWA2" s="6"/>
      <c r="HWB2" s="6"/>
      <c r="HWC2" s="6"/>
      <c r="HWD2" s="6"/>
      <c r="HWE2" s="6"/>
      <c r="HWF2" s="6"/>
      <c r="HWG2" s="6"/>
      <c r="HWH2" s="6"/>
      <c r="HWI2" s="6"/>
      <c r="HWJ2" s="6"/>
      <c r="HWK2" s="6"/>
      <c r="HWL2" s="6"/>
      <c r="HWM2" s="6"/>
      <c r="HWN2" s="6"/>
      <c r="HWO2" s="6"/>
      <c r="HWP2" s="6"/>
      <c r="HWQ2" s="6"/>
      <c r="HWR2" s="6"/>
      <c r="HWS2" s="6"/>
      <c r="HWT2" s="6"/>
      <c r="HWU2" s="6"/>
      <c r="HWV2" s="6"/>
      <c r="HWW2" s="6"/>
      <c r="HWX2" s="6"/>
      <c r="HWY2" s="6"/>
      <c r="HWZ2" s="6"/>
      <c r="HXA2" s="6"/>
      <c r="HXB2" s="6"/>
      <c r="HXC2" s="6"/>
      <c r="HXD2" s="6"/>
      <c r="HXE2" s="6"/>
      <c r="HXF2" s="6"/>
      <c r="HXG2" s="6"/>
      <c r="HXH2" s="6"/>
      <c r="HXI2" s="6"/>
      <c r="HXJ2" s="6"/>
      <c r="HXK2" s="6"/>
      <c r="HXL2" s="6"/>
      <c r="HXM2" s="6"/>
      <c r="HXN2" s="6"/>
      <c r="HXO2" s="6"/>
      <c r="HXP2" s="6"/>
      <c r="HXQ2" s="6"/>
      <c r="HXR2" s="6"/>
      <c r="HXS2" s="6"/>
      <c r="HXT2" s="6"/>
      <c r="HXU2" s="6"/>
      <c r="HXV2" s="6"/>
      <c r="HXW2" s="6"/>
      <c r="HXX2" s="6"/>
      <c r="HXY2" s="6"/>
      <c r="HXZ2" s="6"/>
      <c r="HYA2" s="6"/>
      <c r="HYB2" s="6"/>
      <c r="HYC2" s="6"/>
      <c r="HYD2" s="6"/>
      <c r="HYE2" s="6"/>
      <c r="HYF2" s="6"/>
      <c r="HYG2" s="6"/>
      <c r="HYH2" s="6"/>
      <c r="HYI2" s="6"/>
      <c r="HYJ2" s="6"/>
      <c r="HYK2" s="6"/>
      <c r="HYL2" s="6"/>
      <c r="HYM2" s="6"/>
      <c r="HYN2" s="6"/>
      <c r="HYO2" s="6"/>
      <c r="HYP2" s="6"/>
      <c r="HYQ2" s="6"/>
      <c r="HYR2" s="6"/>
      <c r="HYS2" s="6"/>
      <c r="HYT2" s="6"/>
      <c r="HYU2" s="6"/>
      <c r="HYV2" s="6"/>
      <c r="HYW2" s="6"/>
      <c r="HYX2" s="6"/>
      <c r="HYY2" s="6"/>
      <c r="HYZ2" s="6"/>
      <c r="HZA2" s="6"/>
      <c r="HZB2" s="6"/>
      <c r="HZC2" s="6"/>
      <c r="HZD2" s="6"/>
      <c r="HZE2" s="6"/>
      <c r="HZF2" s="6"/>
      <c r="HZG2" s="6"/>
      <c r="HZH2" s="6"/>
      <c r="HZI2" s="6"/>
      <c r="HZJ2" s="6"/>
      <c r="HZK2" s="6"/>
      <c r="HZL2" s="6"/>
      <c r="HZM2" s="6"/>
      <c r="HZN2" s="6"/>
      <c r="HZO2" s="6"/>
      <c r="HZP2" s="6"/>
      <c r="HZQ2" s="6"/>
      <c r="HZR2" s="6"/>
      <c r="HZS2" s="6"/>
      <c r="HZT2" s="6"/>
      <c r="HZU2" s="6"/>
      <c r="HZV2" s="6"/>
      <c r="HZW2" s="6"/>
      <c r="HZX2" s="6"/>
      <c r="HZY2" s="6"/>
      <c r="HZZ2" s="6"/>
      <c r="IAA2" s="6"/>
      <c r="IAB2" s="6"/>
      <c r="IAC2" s="6"/>
      <c r="IAD2" s="6"/>
      <c r="IAE2" s="6"/>
      <c r="IAF2" s="6"/>
      <c r="IAG2" s="6"/>
      <c r="IAH2" s="6"/>
      <c r="IAI2" s="6"/>
      <c r="IAJ2" s="6"/>
      <c r="IAK2" s="6"/>
      <c r="IAL2" s="6"/>
      <c r="IAM2" s="6"/>
      <c r="IAN2" s="6"/>
      <c r="IAO2" s="6"/>
      <c r="IAP2" s="6"/>
      <c r="IAQ2" s="6"/>
      <c r="IAR2" s="6"/>
      <c r="IAS2" s="6"/>
      <c r="IAT2" s="6"/>
      <c r="IAU2" s="6"/>
      <c r="IAV2" s="6"/>
      <c r="IAW2" s="6"/>
      <c r="IAX2" s="6"/>
      <c r="IAY2" s="6"/>
      <c r="IAZ2" s="6"/>
      <c r="IBA2" s="6"/>
      <c r="IBB2" s="6"/>
      <c r="IBC2" s="6"/>
      <c r="IBD2" s="6"/>
      <c r="IBE2" s="6"/>
      <c r="IBF2" s="6"/>
      <c r="IBG2" s="6"/>
      <c r="IBH2" s="6"/>
      <c r="IBI2" s="6"/>
      <c r="IBJ2" s="6"/>
      <c r="IBK2" s="6"/>
      <c r="IBL2" s="6"/>
      <c r="IBM2" s="6"/>
      <c r="IBN2" s="6"/>
      <c r="IBO2" s="6"/>
      <c r="IBP2" s="6"/>
      <c r="IBQ2" s="6"/>
      <c r="IBR2" s="6"/>
      <c r="IBS2" s="6"/>
      <c r="IBT2" s="6"/>
      <c r="IBU2" s="6"/>
      <c r="IBV2" s="6"/>
      <c r="IBW2" s="6"/>
      <c r="IBX2" s="6"/>
      <c r="IBY2" s="6"/>
      <c r="IBZ2" s="6"/>
      <c r="ICA2" s="6"/>
      <c r="ICB2" s="6"/>
      <c r="ICC2" s="6"/>
      <c r="ICD2" s="6"/>
      <c r="ICE2" s="6"/>
      <c r="ICF2" s="6"/>
      <c r="ICG2" s="6"/>
      <c r="ICH2" s="6"/>
      <c r="ICI2" s="6"/>
      <c r="ICJ2" s="6"/>
      <c r="ICK2" s="6"/>
      <c r="ICL2" s="6"/>
      <c r="ICM2" s="6"/>
      <c r="ICN2" s="6"/>
      <c r="ICO2" s="6"/>
      <c r="ICP2" s="6"/>
      <c r="ICQ2" s="6"/>
      <c r="ICR2" s="6"/>
      <c r="ICS2" s="6"/>
      <c r="ICT2" s="6"/>
      <c r="ICU2" s="6"/>
      <c r="ICV2" s="6"/>
      <c r="ICW2" s="6"/>
      <c r="ICX2" s="6"/>
      <c r="ICY2" s="6"/>
      <c r="ICZ2" s="6"/>
      <c r="IDA2" s="6"/>
      <c r="IDB2" s="6"/>
      <c r="IDC2" s="6"/>
      <c r="IDD2" s="6"/>
      <c r="IDE2" s="6"/>
      <c r="IDF2" s="6"/>
      <c r="IDG2" s="6"/>
      <c r="IDH2" s="6"/>
      <c r="IDI2" s="6"/>
      <c r="IDJ2" s="6"/>
      <c r="IDK2" s="6"/>
      <c r="IDL2" s="6"/>
      <c r="IDM2" s="6"/>
      <c r="IDN2" s="6"/>
      <c r="IDO2" s="6"/>
      <c r="IDP2" s="6"/>
      <c r="IDQ2" s="6"/>
      <c r="IDR2" s="6"/>
      <c r="IDS2" s="6"/>
      <c r="IDT2" s="6"/>
      <c r="IDU2" s="6"/>
      <c r="IDV2" s="6"/>
      <c r="IDW2" s="6"/>
      <c r="IDX2" s="6"/>
      <c r="IDY2" s="6"/>
      <c r="IDZ2" s="6"/>
      <c r="IEA2" s="6"/>
      <c r="IEB2" s="6"/>
      <c r="IEC2" s="6"/>
      <c r="IED2" s="6"/>
      <c r="IEE2" s="6"/>
      <c r="IEF2" s="6"/>
      <c r="IEG2" s="6"/>
      <c r="IEH2" s="6"/>
      <c r="IEI2" s="6"/>
      <c r="IEJ2" s="6"/>
      <c r="IEK2" s="6"/>
      <c r="IEL2" s="6"/>
      <c r="IEM2" s="6"/>
      <c r="IEN2" s="6"/>
      <c r="IEO2" s="6"/>
      <c r="IEP2" s="6"/>
      <c r="IEQ2" s="6"/>
      <c r="IER2" s="6"/>
      <c r="IES2" s="6"/>
      <c r="IET2" s="6"/>
      <c r="IEU2" s="6"/>
      <c r="IEV2" s="6"/>
      <c r="IEW2" s="6"/>
      <c r="IEX2" s="6"/>
      <c r="IEY2" s="6"/>
      <c r="IEZ2" s="6"/>
      <c r="IFA2" s="6"/>
      <c r="IFB2" s="6"/>
      <c r="IFC2" s="6"/>
      <c r="IFD2" s="6"/>
      <c r="IFE2" s="6"/>
      <c r="IFF2" s="6"/>
      <c r="IFG2" s="6"/>
      <c r="IFH2" s="6"/>
      <c r="IFI2" s="6"/>
      <c r="IFJ2" s="6"/>
      <c r="IFK2" s="6"/>
      <c r="IFL2" s="6"/>
      <c r="IFM2" s="6"/>
      <c r="IFN2" s="6"/>
      <c r="IFO2" s="6"/>
      <c r="IFP2" s="6"/>
      <c r="IFQ2" s="6"/>
      <c r="IFR2" s="6"/>
      <c r="IFS2" s="6"/>
      <c r="IFT2" s="6"/>
      <c r="IFU2" s="6"/>
      <c r="IFV2" s="6"/>
      <c r="IFW2" s="6"/>
      <c r="IFX2" s="6"/>
      <c r="IFY2" s="6"/>
      <c r="IFZ2" s="6"/>
      <c r="IGA2" s="6"/>
      <c r="IGB2" s="6"/>
      <c r="IGC2" s="6"/>
      <c r="IGD2" s="6"/>
      <c r="IGE2" s="6"/>
      <c r="IGF2" s="6"/>
      <c r="IGG2" s="6"/>
      <c r="IGH2" s="6"/>
      <c r="IGI2" s="6"/>
      <c r="IGJ2" s="6"/>
      <c r="IGK2" s="6"/>
      <c r="IGL2" s="6"/>
      <c r="IGM2" s="6"/>
      <c r="IGN2" s="6"/>
      <c r="IGO2" s="6"/>
      <c r="IGP2" s="6"/>
      <c r="IGQ2" s="6"/>
      <c r="IGR2" s="6"/>
      <c r="IGS2" s="6"/>
      <c r="IGT2" s="6"/>
      <c r="IGU2" s="6"/>
      <c r="IGV2" s="6"/>
      <c r="IGW2" s="6"/>
      <c r="IGX2" s="6"/>
      <c r="IGY2" s="6"/>
      <c r="IGZ2" s="6"/>
      <c r="IHA2" s="6"/>
      <c r="IHB2" s="6"/>
      <c r="IHC2" s="6"/>
      <c r="IHD2" s="6"/>
      <c r="IHE2" s="6"/>
      <c r="IHF2" s="6"/>
      <c r="IHG2" s="6"/>
      <c r="IHH2" s="6"/>
      <c r="IHI2" s="6"/>
      <c r="IHJ2" s="6"/>
      <c r="IHK2" s="6"/>
      <c r="IHL2" s="6"/>
      <c r="IHM2" s="6"/>
      <c r="IHN2" s="6"/>
      <c r="IHO2" s="6"/>
      <c r="IHP2" s="6"/>
      <c r="IHQ2" s="6"/>
      <c r="IHR2" s="6"/>
      <c r="IHS2" s="6"/>
      <c r="IHT2" s="6"/>
      <c r="IHU2" s="6"/>
      <c r="IHV2" s="6"/>
      <c r="IHW2" s="6"/>
      <c r="IHX2" s="6"/>
      <c r="IHY2" s="6"/>
      <c r="IHZ2" s="6"/>
      <c r="IIA2" s="6"/>
      <c r="IIB2" s="6"/>
      <c r="IIC2" s="6"/>
      <c r="IID2" s="6"/>
      <c r="IIE2" s="6"/>
      <c r="IIF2" s="6"/>
      <c r="IIG2" s="6"/>
      <c r="IIH2" s="6"/>
      <c r="III2" s="6"/>
      <c r="IIJ2" s="6"/>
      <c r="IIK2" s="6"/>
      <c r="IIL2" s="6"/>
      <c r="IIM2" s="6"/>
      <c r="IIN2" s="6"/>
      <c r="IIO2" s="6"/>
      <c r="IIP2" s="6"/>
      <c r="IIQ2" s="6"/>
      <c r="IIR2" s="6"/>
      <c r="IIS2" s="6"/>
      <c r="IIT2" s="6"/>
      <c r="IIU2" s="6"/>
      <c r="IIV2" s="6"/>
      <c r="IIW2" s="6"/>
      <c r="IIX2" s="6"/>
      <c r="IIY2" s="6"/>
      <c r="IIZ2" s="6"/>
      <c r="IJA2" s="6"/>
      <c r="IJB2" s="6"/>
      <c r="IJC2" s="6"/>
      <c r="IJD2" s="6"/>
      <c r="IJE2" s="6"/>
      <c r="IJF2" s="6"/>
      <c r="IJG2" s="6"/>
      <c r="IJH2" s="6"/>
      <c r="IJI2" s="6"/>
      <c r="IJJ2" s="6"/>
      <c r="IJK2" s="6"/>
      <c r="IJL2" s="6"/>
      <c r="IJM2" s="6"/>
      <c r="IJN2" s="6"/>
      <c r="IJO2" s="6"/>
      <c r="IJP2" s="6"/>
      <c r="IJQ2" s="6"/>
      <c r="IJR2" s="6"/>
      <c r="IJS2" s="6"/>
      <c r="IJT2" s="6"/>
      <c r="IJU2" s="6"/>
      <c r="IJV2" s="6"/>
      <c r="IJW2" s="6"/>
      <c r="IJX2" s="6"/>
      <c r="IJY2" s="6"/>
      <c r="IJZ2" s="6"/>
      <c r="IKA2" s="6"/>
      <c r="IKB2" s="6"/>
      <c r="IKC2" s="6"/>
      <c r="IKD2" s="6"/>
      <c r="IKE2" s="6"/>
      <c r="IKF2" s="6"/>
      <c r="IKG2" s="6"/>
      <c r="IKH2" s="6"/>
      <c r="IKI2" s="6"/>
      <c r="IKJ2" s="6"/>
      <c r="IKK2" s="6"/>
      <c r="IKL2" s="6"/>
      <c r="IKM2" s="6"/>
      <c r="IKN2" s="6"/>
      <c r="IKO2" s="6"/>
      <c r="IKP2" s="6"/>
      <c r="IKQ2" s="6"/>
      <c r="IKR2" s="6"/>
      <c r="IKS2" s="6"/>
      <c r="IKT2" s="6"/>
      <c r="IKU2" s="6"/>
      <c r="IKV2" s="6"/>
      <c r="IKW2" s="6"/>
      <c r="IKX2" s="6"/>
      <c r="IKY2" s="6"/>
      <c r="IKZ2" s="6"/>
      <c r="ILA2" s="6"/>
      <c r="ILB2" s="6"/>
      <c r="ILC2" s="6"/>
      <c r="ILD2" s="6"/>
      <c r="ILE2" s="6"/>
      <c r="ILF2" s="6"/>
      <c r="ILG2" s="6"/>
      <c r="ILH2" s="6"/>
      <c r="ILI2" s="6"/>
      <c r="ILJ2" s="6"/>
      <c r="ILK2" s="6"/>
      <c r="ILL2" s="6"/>
      <c r="ILM2" s="6"/>
      <c r="ILN2" s="6"/>
      <c r="ILO2" s="6"/>
      <c r="ILP2" s="6"/>
      <c r="ILQ2" s="6"/>
      <c r="ILR2" s="6"/>
      <c r="ILS2" s="6"/>
      <c r="ILT2" s="6"/>
      <c r="ILU2" s="6"/>
      <c r="ILV2" s="6"/>
      <c r="ILW2" s="6"/>
      <c r="ILX2" s="6"/>
      <c r="ILY2" s="6"/>
      <c r="ILZ2" s="6"/>
      <c r="IMA2" s="6"/>
      <c r="IMB2" s="6"/>
      <c r="IMC2" s="6"/>
      <c r="IMD2" s="6"/>
      <c r="IME2" s="6"/>
      <c r="IMF2" s="6"/>
      <c r="IMG2" s="6"/>
      <c r="IMH2" s="6"/>
      <c r="IMI2" s="6"/>
      <c r="IMJ2" s="6"/>
      <c r="IMK2" s="6"/>
      <c r="IML2" s="6"/>
      <c r="IMM2" s="6"/>
      <c r="IMN2" s="6"/>
      <c r="IMO2" s="6"/>
      <c r="IMP2" s="6"/>
      <c r="IMQ2" s="6"/>
      <c r="IMR2" s="6"/>
      <c r="IMS2" s="6"/>
      <c r="IMT2" s="6"/>
      <c r="IMU2" s="6"/>
      <c r="IMV2" s="6"/>
      <c r="IMW2" s="6"/>
      <c r="IMX2" s="6"/>
      <c r="IMY2" s="6"/>
      <c r="IMZ2" s="6"/>
      <c r="INA2" s="6"/>
      <c r="INB2" s="6"/>
      <c r="INC2" s="6"/>
      <c r="IND2" s="6"/>
      <c r="INE2" s="6"/>
      <c r="INF2" s="6"/>
      <c r="ING2" s="6"/>
      <c r="INH2" s="6"/>
      <c r="INI2" s="6"/>
      <c r="INJ2" s="6"/>
      <c r="INK2" s="6"/>
      <c r="INL2" s="6"/>
      <c r="INM2" s="6"/>
      <c r="INN2" s="6"/>
      <c r="INO2" s="6"/>
      <c r="INP2" s="6"/>
      <c r="INQ2" s="6"/>
      <c r="INR2" s="6"/>
      <c r="INS2" s="6"/>
      <c r="INT2" s="6"/>
      <c r="INU2" s="6"/>
      <c r="INV2" s="6"/>
      <c r="INW2" s="6"/>
      <c r="INX2" s="6"/>
      <c r="INY2" s="6"/>
      <c r="INZ2" s="6"/>
      <c r="IOA2" s="6"/>
      <c r="IOB2" s="6"/>
      <c r="IOC2" s="6"/>
      <c r="IOD2" s="6"/>
      <c r="IOE2" s="6"/>
      <c r="IOF2" s="6"/>
      <c r="IOG2" s="6"/>
      <c r="IOH2" s="6"/>
      <c r="IOI2" s="6"/>
      <c r="IOJ2" s="6"/>
      <c r="IOK2" s="6"/>
      <c r="IOL2" s="6"/>
      <c r="IOM2" s="6"/>
      <c r="ION2" s="6"/>
      <c r="IOO2" s="6"/>
      <c r="IOP2" s="6"/>
      <c r="IOQ2" s="6"/>
      <c r="IOR2" s="6"/>
      <c r="IOS2" s="6"/>
      <c r="IOT2" s="6"/>
      <c r="IOU2" s="6"/>
      <c r="IOV2" s="6"/>
      <c r="IOW2" s="6"/>
      <c r="IOX2" s="6"/>
      <c r="IOY2" s="6"/>
      <c r="IOZ2" s="6"/>
      <c r="IPA2" s="6"/>
      <c r="IPB2" s="6"/>
      <c r="IPC2" s="6"/>
      <c r="IPD2" s="6"/>
      <c r="IPE2" s="6"/>
      <c r="IPF2" s="6"/>
      <c r="IPG2" s="6"/>
      <c r="IPH2" s="6"/>
      <c r="IPI2" s="6"/>
      <c r="IPJ2" s="6"/>
      <c r="IPK2" s="6"/>
      <c r="IPL2" s="6"/>
      <c r="IPM2" s="6"/>
      <c r="IPN2" s="6"/>
      <c r="IPO2" s="6"/>
      <c r="IPP2" s="6"/>
      <c r="IPQ2" s="6"/>
      <c r="IPR2" s="6"/>
      <c r="IPS2" s="6"/>
      <c r="IPT2" s="6"/>
      <c r="IPU2" s="6"/>
      <c r="IPV2" s="6"/>
      <c r="IPW2" s="6"/>
      <c r="IPX2" s="6"/>
      <c r="IPY2" s="6"/>
      <c r="IPZ2" s="6"/>
      <c r="IQA2" s="6"/>
      <c r="IQB2" s="6"/>
      <c r="IQC2" s="6"/>
      <c r="IQD2" s="6"/>
      <c r="IQE2" s="6"/>
      <c r="IQF2" s="6"/>
      <c r="IQG2" s="6"/>
      <c r="IQH2" s="6"/>
      <c r="IQI2" s="6"/>
      <c r="IQJ2" s="6"/>
      <c r="IQK2" s="6"/>
      <c r="IQL2" s="6"/>
      <c r="IQM2" s="6"/>
      <c r="IQN2" s="6"/>
      <c r="IQO2" s="6"/>
      <c r="IQP2" s="6"/>
      <c r="IQQ2" s="6"/>
      <c r="IQR2" s="6"/>
      <c r="IQS2" s="6"/>
      <c r="IQT2" s="6"/>
      <c r="IQU2" s="6"/>
      <c r="IQV2" s="6"/>
      <c r="IQW2" s="6"/>
      <c r="IQX2" s="6"/>
      <c r="IQY2" s="6"/>
      <c r="IQZ2" s="6"/>
      <c r="IRA2" s="6"/>
      <c r="IRB2" s="6"/>
      <c r="IRC2" s="6"/>
      <c r="IRD2" s="6"/>
      <c r="IRE2" s="6"/>
      <c r="IRF2" s="6"/>
      <c r="IRG2" s="6"/>
      <c r="IRH2" s="6"/>
      <c r="IRI2" s="6"/>
      <c r="IRJ2" s="6"/>
      <c r="IRK2" s="6"/>
      <c r="IRL2" s="6"/>
      <c r="IRM2" s="6"/>
      <c r="IRN2" s="6"/>
      <c r="IRO2" s="6"/>
      <c r="IRP2" s="6"/>
      <c r="IRQ2" s="6"/>
      <c r="IRR2" s="6"/>
      <c r="IRS2" s="6"/>
      <c r="IRT2" s="6"/>
      <c r="IRU2" s="6"/>
      <c r="IRV2" s="6"/>
      <c r="IRW2" s="6"/>
      <c r="IRX2" s="6"/>
      <c r="IRY2" s="6"/>
      <c r="IRZ2" s="6"/>
      <c r="ISA2" s="6"/>
      <c r="ISB2" s="6"/>
      <c r="ISC2" s="6"/>
      <c r="ISD2" s="6"/>
      <c r="ISE2" s="6"/>
      <c r="ISF2" s="6"/>
      <c r="ISG2" s="6"/>
      <c r="ISH2" s="6"/>
      <c r="ISI2" s="6"/>
      <c r="ISJ2" s="6"/>
      <c r="ISK2" s="6"/>
      <c r="ISL2" s="6"/>
      <c r="ISM2" s="6"/>
      <c r="ISN2" s="6"/>
      <c r="ISO2" s="6"/>
      <c r="ISP2" s="6"/>
      <c r="ISQ2" s="6"/>
      <c r="ISR2" s="6"/>
      <c r="ISS2" s="6"/>
      <c r="IST2" s="6"/>
      <c r="ISU2" s="6"/>
      <c r="ISV2" s="6"/>
      <c r="ISW2" s="6"/>
      <c r="ISX2" s="6"/>
      <c r="ISY2" s="6"/>
      <c r="ISZ2" s="6"/>
      <c r="ITA2" s="6"/>
      <c r="ITB2" s="6"/>
      <c r="ITC2" s="6"/>
      <c r="ITD2" s="6"/>
      <c r="ITE2" s="6"/>
      <c r="ITF2" s="6"/>
      <c r="ITG2" s="6"/>
      <c r="ITH2" s="6"/>
      <c r="ITI2" s="6"/>
      <c r="ITJ2" s="6"/>
      <c r="ITK2" s="6"/>
      <c r="ITL2" s="6"/>
      <c r="ITM2" s="6"/>
      <c r="ITN2" s="6"/>
      <c r="ITO2" s="6"/>
      <c r="ITP2" s="6"/>
      <c r="ITQ2" s="6"/>
      <c r="ITR2" s="6"/>
      <c r="ITS2" s="6"/>
      <c r="ITT2" s="6"/>
      <c r="ITU2" s="6"/>
      <c r="ITV2" s="6"/>
      <c r="ITW2" s="6"/>
      <c r="ITX2" s="6"/>
      <c r="ITY2" s="6"/>
      <c r="ITZ2" s="6"/>
      <c r="IUA2" s="6"/>
      <c r="IUB2" s="6"/>
      <c r="IUC2" s="6"/>
      <c r="IUD2" s="6"/>
      <c r="IUE2" s="6"/>
      <c r="IUF2" s="6"/>
      <c r="IUG2" s="6"/>
      <c r="IUH2" s="6"/>
      <c r="IUI2" s="6"/>
      <c r="IUJ2" s="6"/>
      <c r="IUK2" s="6"/>
      <c r="IUL2" s="6"/>
      <c r="IUM2" s="6"/>
      <c r="IUN2" s="6"/>
      <c r="IUO2" s="6"/>
      <c r="IUP2" s="6"/>
      <c r="IUQ2" s="6"/>
      <c r="IUR2" s="6"/>
      <c r="IUS2" s="6"/>
      <c r="IUT2" s="6"/>
      <c r="IUU2" s="6"/>
      <c r="IUV2" s="6"/>
      <c r="IUW2" s="6"/>
      <c r="IUX2" s="6"/>
      <c r="IUY2" s="6"/>
      <c r="IUZ2" s="6"/>
      <c r="IVA2" s="6"/>
      <c r="IVB2" s="6"/>
      <c r="IVC2" s="6"/>
      <c r="IVD2" s="6"/>
      <c r="IVE2" s="6"/>
      <c r="IVF2" s="6"/>
      <c r="IVG2" s="6"/>
      <c r="IVH2" s="6"/>
      <c r="IVI2" s="6"/>
      <c r="IVJ2" s="6"/>
      <c r="IVK2" s="6"/>
      <c r="IVL2" s="6"/>
      <c r="IVM2" s="6"/>
      <c r="IVN2" s="6"/>
      <c r="IVO2" s="6"/>
      <c r="IVP2" s="6"/>
      <c r="IVQ2" s="6"/>
      <c r="IVR2" s="6"/>
      <c r="IVS2" s="6"/>
      <c r="IVT2" s="6"/>
      <c r="IVU2" s="6"/>
      <c r="IVV2" s="6"/>
      <c r="IVW2" s="6"/>
      <c r="IVX2" s="6"/>
      <c r="IVY2" s="6"/>
      <c r="IVZ2" s="6"/>
      <c r="IWA2" s="6"/>
      <c r="IWB2" s="6"/>
      <c r="IWC2" s="6"/>
      <c r="IWD2" s="6"/>
      <c r="IWE2" s="6"/>
      <c r="IWF2" s="6"/>
      <c r="IWG2" s="6"/>
      <c r="IWH2" s="6"/>
      <c r="IWI2" s="6"/>
      <c r="IWJ2" s="6"/>
      <c r="IWK2" s="6"/>
      <c r="IWL2" s="6"/>
      <c r="IWM2" s="6"/>
      <c r="IWN2" s="6"/>
      <c r="IWO2" s="6"/>
      <c r="IWP2" s="6"/>
      <c r="IWQ2" s="6"/>
      <c r="IWR2" s="6"/>
      <c r="IWS2" s="6"/>
      <c r="IWT2" s="6"/>
      <c r="IWU2" s="6"/>
      <c r="IWV2" s="6"/>
      <c r="IWW2" s="6"/>
      <c r="IWX2" s="6"/>
      <c r="IWY2" s="6"/>
      <c r="IWZ2" s="6"/>
      <c r="IXA2" s="6"/>
      <c r="IXB2" s="6"/>
      <c r="IXC2" s="6"/>
      <c r="IXD2" s="6"/>
      <c r="IXE2" s="6"/>
      <c r="IXF2" s="6"/>
      <c r="IXG2" s="6"/>
      <c r="IXH2" s="6"/>
      <c r="IXI2" s="6"/>
      <c r="IXJ2" s="6"/>
      <c r="IXK2" s="6"/>
      <c r="IXL2" s="6"/>
      <c r="IXM2" s="6"/>
      <c r="IXN2" s="6"/>
      <c r="IXO2" s="6"/>
      <c r="IXP2" s="6"/>
      <c r="IXQ2" s="6"/>
      <c r="IXR2" s="6"/>
      <c r="IXS2" s="6"/>
      <c r="IXT2" s="6"/>
      <c r="IXU2" s="6"/>
      <c r="IXV2" s="6"/>
      <c r="IXW2" s="6"/>
      <c r="IXX2" s="6"/>
      <c r="IXY2" s="6"/>
      <c r="IXZ2" s="6"/>
      <c r="IYA2" s="6"/>
      <c r="IYB2" s="6"/>
      <c r="IYC2" s="6"/>
      <c r="IYD2" s="6"/>
      <c r="IYE2" s="6"/>
      <c r="IYF2" s="6"/>
      <c r="IYG2" s="6"/>
      <c r="IYH2" s="6"/>
      <c r="IYI2" s="6"/>
      <c r="IYJ2" s="6"/>
      <c r="IYK2" s="6"/>
      <c r="IYL2" s="6"/>
      <c r="IYM2" s="6"/>
      <c r="IYN2" s="6"/>
      <c r="IYO2" s="6"/>
      <c r="IYP2" s="6"/>
      <c r="IYQ2" s="6"/>
      <c r="IYR2" s="6"/>
      <c r="IYS2" s="6"/>
      <c r="IYT2" s="6"/>
      <c r="IYU2" s="6"/>
      <c r="IYV2" s="6"/>
      <c r="IYW2" s="6"/>
      <c r="IYX2" s="6"/>
      <c r="IYY2" s="6"/>
      <c r="IYZ2" s="6"/>
      <c r="IZA2" s="6"/>
      <c r="IZB2" s="6"/>
      <c r="IZC2" s="6"/>
      <c r="IZD2" s="6"/>
      <c r="IZE2" s="6"/>
      <c r="IZF2" s="6"/>
      <c r="IZG2" s="6"/>
      <c r="IZH2" s="6"/>
      <c r="IZI2" s="6"/>
      <c r="IZJ2" s="6"/>
      <c r="IZK2" s="6"/>
      <c r="IZL2" s="6"/>
      <c r="IZM2" s="6"/>
      <c r="IZN2" s="6"/>
      <c r="IZO2" s="6"/>
      <c r="IZP2" s="6"/>
      <c r="IZQ2" s="6"/>
      <c r="IZR2" s="6"/>
      <c r="IZS2" s="6"/>
      <c r="IZT2" s="6"/>
      <c r="IZU2" s="6"/>
      <c r="IZV2" s="6"/>
      <c r="IZW2" s="6"/>
      <c r="IZX2" s="6"/>
      <c r="IZY2" s="6"/>
      <c r="IZZ2" s="6"/>
      <c r="JAA2" s="6"/>
      <c r="JAB2" s="6"/>
      <c r="JAC2" s="6"/>
      <c r="JAD2" s="6"/>
      <c r="JAE2" s="6"/>
      <c r="JAF2" s="6"/>
      <c r="JAG2" s="6"/>
      <c r="JAH2" s="6"/>
      <c r="JAI2" s="6"/>
      <c r="JAJ2" s="6"/>
      <c r="JAK2" s="6"/>
      <c r="JAL2" s="6"/>
      <c r="JAM2" s="6"/>
      <c r="JAN2" s="6"/>
      <c r="JAO2" s="6"/>
      <c r="JAP2" s="6"/>
      <c r="JAQ2" s="6"/>
      <c r="JAR2" s="6"/>
      <c r="JAS2" s="6"/>
      <c r="JAT2" s="6"/>
      <c r="JAU2" s="6"/>
      <c r="JAV2" s="6"/>
      <c r="JAW2" s="6"/>
      <c r="JAX2" s="6"/>
      <c r="JAY2" s="6"/>
      <c r="JAZ2" s="6"/>
      <c r="JBA2" s="6"/>
      <c r="JBB2" s="6"/>
      <c r="JBC2" s="6"/>
      <c r="JBD2" s="6"/>
      <c r="JBE2" s="6"/>
      <c r="JBF2" s="6"/>
      <c r="JBG2" s="6"/>
      <c r="JBH2" s="6"/>
      <c r="JBI2" s="6"/>
      <c r="JBJ2" s="6"/>
      <c r="JBK2" s="6"/>
      <c r="JBL2" s="6"/>
      <c r="JBM2" s="6"/>
      <c r="JBN2" s="6"/>
      <c r="JBO2" s="6"/>
      <c r="JBP2" s="6"/>
      <c r="JBQ2" s="6"/>
      <c r="JBR2" s="6"/>
      <c r="JBS2" s="6"/>
      <c r="JBT2" s="6"/>
      <c r="JBU2" s="6"/>
      <c r="JBV2" s="6"/>
      <c r="JBW2" s="6"/>
      <c r="JBX2" s="6"/>
      <c r="JBY2" s="6"/>
      <c r="JBZ2" s="6"/>
      <c r="JCA2" s="6"/>
      <c r="JCB2" s="6"/>
      <c r="JCC2" s="6"/>
      <c r="JCD2" s="6"/>
      <c r="JCE2" s="6"/>
      <c r="JCF2" s="6"/>
      <c r="JCG2" s="6"/>
      <c r="JCH2" s="6"/>
      <c r="JCI2" s="6"/>
      <c r="JCJ2" s="6"/>
      <c r="JCK2" s="6"/>
      <c r="JCL2" s="6"/>
      <c r="JCM2" s="6"/>
      <c r="JCN2" s="6"/>
      <c r="JCO2" s="6"/>
      <c r="JCP2" s="6"/>
      <c r="JCQ2" s="6"/>
      <c r="JCR2" s="6"/>
      <c r="JCS2" s="6"/>
      <c r="JCT2" s="6"/>
      <c r="JCU2" s="6"/>
      <c r="JCV2" s="6"/>
      <c r="JCW2" s="6"/>
      <c r="JCX2" s="6"/>
      <c r="JCY2" s="6"/>
      <c r="JCZ2" s="6"/>
      <c r="JDA2" s="6"/>
      <c r="JDB2" s="6"/>
      <c r="JDC2" s="6"/>
      <c r="JDD2" s="6"/>
      <c r="JDE2" s="6"/>
      <c r="JDF2" s="6"/>
      <c r="JDG2" s="6"/>
      <c r="JDH2" s="6"/>
      <c r="JDI2" s="6"/>
      <c r="JDJ2" s="6"/>
      <c r="JDK2" s="6"/>
      <c r="JDL2" s="6"/>
      <c r="JDM2" s="6"/>
      <c r="JDN2" s="6"/>
      <c r="JDO2" s="6"/>
      <c r="JDP2" s="6"/>
      <c r="JDQ2" s="6"/>
      <c r="JDR2" s="6"/>
      <c r="JDS2" s="6"/>
      <c r="JDT2" s="6"/>
      <c r="JDU2" s="6"/>
      <c r="JDV2" s="6"/>
      <c r="JDW2" s="6"/>
      <c r="JDX2" s="6"/>
      <c r="JDY2" s="6"/>
      <c r="JDZ2" s="6"/>
      <c r="JEA2" s="6"/>
      <c r="JEB2" s="6"/>
      <c r="JEC2" s="6"/>
      <c r="JED2" s="6"/>
      <c r="JEE2" s="6"/>
      <c r="JEF2" s="6"/>
      <c r="JEG2" s="6"/>
      <c r="JEH2" s="6"/>
      <c r="JEI2" s="6"/>
      <c r="JEJ2" s="6"/>
      <c r="JEK2" s="6"/>
      <c r="JEL2" s="6"/>
      <c r="JEM2" s="6"/>
      <c r="JEN2" s="6"/>
      <c r="JEO2" s="6"/>
      <c r="JEP2" s="6"/>
      <c r="JEQ2" s="6"/>
      <c r="JER2" s="6"/>
      <c r="JES2" s="6"/>
      <c r="JET2" s="6"/>
      <c r="JEU2" s="6"/>
      <c r="JEV2" s="6"/>
      <c r="JEW2" s="6"/>
      <c r="JEX2" s="6"/>
      <c r="JEY2" s="6"/>
      <c r="JEZ2" s="6"/>
      <c r="JFA2" s="6"/>
      <c r="JFB2" s="6"/>
      <c r="JFC2" s="6"/>
      <c r="JFD2" s="6"/>
      <c r="JFE2" s="6"/>
      <c r="JFF2" s="6"/>
      <c r="JFG2" s="6"/>
      <c r="JFH2" s="6"/>
      <c r="JFI2" s="6"/>
      <c r="JFJ2" s="6"/>
      <c r="JFK2" s="6"/>
      <c r="JFL2" s="6"/>
      <c r="JFM2" s="6"/>
      <c r="JFN2" s="6"/>
      <c r="JFO2" s="6"/>
      <c r="JFP2" s="6"/>
      <c r="JFQ2" s="6"/>
      <c r="JFR2" s="6"/>
      <c r="JFS2" s="6"/>
      <c r="JFT2" s="6"/>
      <c r="JFU2" s="6"/>
      <c r="JFV2" s="6"/>
      <c r="JFW2" s="6"/>
      <c r="JFX2" s="6"/>
      <c r="JFY2" s="6"/>
      <c r="JFZ2" s="6"/>
      <c r="JGA2" s="6"/>
      <c r="JGB2" s="6"/>
      <c r="JGC2" s="6"/>
      <c r="JGD2" s="6"/>
      <c r="JGE2" s="6"/>
      <c r="JGF2" s="6"/>
      <c r="JGG2" s="6"/>
      <c r="JGH2" s="6"/>
      <c r="JGI2" s="6"/>
      <c r="JGJ2" s="6"/>
      <c r="JGK2" s="6"/>
      <c r="JGL2" s="6"/>
      <c r="JGM2" s="6"/>
      <c r="JGN2" s="6"/>
      <c r="JGO2" s="6"/>
      <c r="JGP2" s="6"/>
      <c r="JGQ2" s="6"/>
      <c r="JGR2" s="6"/>
      <c r="JGS2" s="6"/>
      <c r="JGT2" s="6"/>
      <c r="JGU2" s="6"/>
      <c r="JGV2" s="6"/>
      <c r="JGW2" s="6"/>
      <c r="JGX2" s="6"/>
      <c r="JGY2" s="6"/>
      <c r="JGZ2" s="6"/>
      <c r="JHA2" s="6"/>
      <c r="JHB2" s="6"/>
      <c r="JHC2" s="6"/>
      <c r="JHD2" s="6"/>
      <c r="JHE2" s="6"/>
      <c r="JHF2" s="6"/>
      <c r="JHG2" s="6"/>
      <c r="JHH2" s="6"/>
      <c r="JHI2" s="6"/>
      <c r="JHJ2" s="6"/>
      <c r="JHK2" s="6"/>
      <c r="JHL2" s="6"/>
      <c r="JHM2" s="6"/>
      <c r="JHN2" s="6"/>
      <c r="JHO2" s="6"/>
      <c r="JHP2" s="6"/>
      <c r="JHQ2" s="6"/>
      <c r="JHR2" s="6"/>
      <c r="JHS2" s="6"/>
      <c r="JHT2" s="6"/>
      <c r="JHU2" s="6"/>
      <c r="JHV2" s="6"/>
      <c r="JHW2" s="6"/>
      <c r="JHX2" s="6"/>
      <c r="JHY2" s="6"/>
      <c r="JHZ2" s="6"/>
      <c r="JIA2" s="6"/>
      <c r="JIB2" s="6"/>
      <c r="JIC2" s="6"/>
      <c r="JID2" s="6"/>
      <c r="JIE2" s="6"/>
      <c r="JIF2" s="6"/>
      <c r="JIG2" s="6"/>
      <c r="JIH2" s="6"/>
      <c r="JII2" s="6"/>
      <c r="JIJ2" s="6"/>
      <c r="JIK2" s="6"/>
      <c r="JIL2" s="6"/>
      <c r="JIM2" s="6"/>
      <c r="JIN2" s="6"/>
      <c r="JIO2" s="6"/>
      <c r="JIP2" s="6"/>
      <c r="JIQ2" s="6"/>
      <c r="JIR2" s="6"/>
      <c r="JIS2" s="6"/>
      <c r="JIT2" s="6"/>
      <c r="JIU2" s="6"/>
      <c r="JIV2" s="6"/>
      <c r="JIW2" s="6"/>
      <c r="JIX2" s="6"/>
      <c r="JIY2" s="6"/>
      <c r="JIZ2" s="6"/>
      <c r="JJA2" s="6"/>
      <c r="JJB2" s="6"/>
      <c r="JJC2" s="6"/>
      <c r="JJD2" s="6"/>
      <c r="JJE2" s="6"/>
      <c r="JJF2" s="6"/>
      <c r="JJG2" s="6"/>
      <c r="JJH2" s="6"/>
      <c r="JJI2" s="6"/>
      <c r="JJJ2" s="6"/>
      <c r="JJK2" s="6"/>
      <c r="JJL2" s="6"/>
      <c r="JJM2" s="6"/>
      <c r="JJN2" s="6"/>
      <c r="JJO2" s="6"/>
      <c r="JJP2" s="6"/>
      <c r="JJQ2" s="6"/>
      <c r="JJR2" s="6"/>
      <c r="JJS2" s="6"/>
      <c r="JJT2" s="6"/>
      <c r="JJU2" s="6"/>
      <c r="JJV2" s="6"/>
      <c r="JJW2" s="6"/>
      <c r="JJX2" s="6"/>
      <c r="JJY2" s="6"/>
      <c r="JJZ2" s="6"/>
      <c r="JKA2" s="6"/>
      <c r="JKB2" s="6"/>
      <c r="JKC2" s="6"/>
      <c r="JKD2" s="6"/>
      <c r="JKE2" s="6"/>
      <c r="JKF2" s="6"/>
      <c r="JKG2" s="6"/>
      <c r="JKH2" s="6"/>
      <c r="JKI2" s="6"/>
      <c r="JKJ2" s="6"/>
      <c r="JKK2" s="6"/>
      <c r="JKL2" s="6"/>
      <c r="JKM2" s="6"/>
      <c r="JKN2" s="6"/>
      <c r="JKO2" s="6"/>
      <c r="JKP2" s="6"/>
      <c r="JKQ2" s="6"/>
      <c r="JKR2" s="6"/>
      <c r="JKS2" s="6"/>
      <c r="JKT2" s="6"/>
      <c r="JKU2" s="6"/>
      <c r="JKV2" s="6"/>
      <c r="JKW2" s="6"/>
      <c r="JKX2" s="6"/>
      <c r="JKY2" s="6"/>
      <c r="JKZ2" s="6"/>
      <c r="JLA2" s="6"/>
      <c r="JLB2" s="6"/>
      <c r="JLC2" s="6"/>
      <c r="JLD2" s="6"/>
      <c r="JLE2" s="6"/>
      <c r="JLF2" s="6"/>
      <c r="JLG2" s="6"/>
      <c r="JLH2" s="6"/>
      <c r="JLI2" s="6"/>
      <c r="JLJ2" s="6"/>
      <c r="JLK2" s="6"/>
      <c r="JLL2" s="6"/>
      <c r="JLM2" s="6"/>
      <c r="JLN2" s="6"/>
      <c r="JLO2" s="6"/>
      <c r="JLP2" s="6"/>
      <c r="JLQ2" s="6"/>
      <c r="JLR2" s="6"/>
      <c r="JLS2" s="6"/>
      <c r="JLT2" s="6"/>
      <c r="JLU2" s="6"/>
      <c r="JLV2" s="6"/>
      <c r="JLW2" s="6"/>
      <c r="JLX2" s="6"/>
      <c r="JLY2" s="6"/>
      <c r="JLZ2" s="6"/>
      <c r="JMA2" s="6"/>
      <c r="JMB2" s="6"/>
      <c r="JMC2" s="6"/>
      <c r="JMD2" s="6"/>
      <c r="JME2" s="6"/>
      <c r="JMF2" s="6"/>
      <c r="JMG2" s="6"/>
      <c r="JMH2" s="6"/>
      <c r="JMI2" s="6"/>
      <c r="JMJ2" s="6"/>
      <c r="JMK2" s="6"/>
      <c r="JML2" s="6"/>
      <c r="JMM2" s="6"/>
      <c r="JMN2" s="6"/>
      <c r="JMO2" s="6"/>
      <c r="JMP2" s="6"/>
      <c r="JMQ2" s="6"/>
      <c r="JMR2" s="6"/>
      <c r="JMS2" s="6"/>
      <c r="JMT2" s="6"/>
      <c r="JMU2" s="6"/>
      <c r="JMV2" s="6"/>
      <c r="JMW2" s="6"/>
      <c r="JMX2" s="6"/>
      <c r="JMY2" s="6"/>
      <c r="JMZ2" s="6"/>
      <c r="JNA2" s="6"/>
      <c r="JNB2" s="6"/>
      <c r="JNC2" s="6"/>
      <c r="JND2" s="6"/>
      <c r="JNE2" s="6"/>
      <c r="JNF2" s="6"/>
      <c r="JNG2" s="6"/>
      <c r="JNH2" s="6"/>
      <c r="JNI2" s="6"/>
      <c r="JNJ2" s="6"/>
      <c r="JNK2" s="6"/>
      <c r="JNL2" s="6"/>
      <c r="JNM2" s="6"/>
      <c r="JNN2" s="6"/>
      <c r="JNO2" s="6"/>
      <c r="JNP2" s="6"/>
      <c r="JNQ2" s="6"/>
      <c r="JNR2" s="6"/>
      <c r="JNS2" s="6"/>
      <c r="JNT2" s="6"/>
      <c r="JNU2" s="6"/>
      <c r="JNV2" s="6"/>
      <c r="JNW2" s="6"/>
      <c r="JNX2" s="6"/>
      <c r="JNY2" s="6"/>
      <c r="JNZ2" s="6"/>
      <c r="JOA2" s="6"/>
      <c r="JOB2" s="6"/>
      <c r="JOC2" s="6"/>
      <c r="JOD2" s="6"/>
      <c r="JOE2" s="6"/>
      <c r="JOF2" s="6"/>
      <c r="JOG2" s="6"/>
      <c r="JOH2" s="6"/>
      <c r="JOI2" s="6"/>
      <c r="JOJ2" s="6"/>
      <c r="JOK2" s="6"/>
      <c r="JOL2" s="6"/>
      <c r="JOM2" s="6"/>
      <c r="JON2" s="6"/>
      <c r="JOO2" s="6"/>
      <c r="JOP2" s="6"/>
      <c r="JOQ2" s="6"/>
      <c r="JOR2" s="6"/>
      <c r="JOS2" s="6"/>
      <c r="JOT2" s="6"/>
      <c r="JOU2" s="6"/>
      <c r="JOV2" s="6"/>
      <c r="JOW2" s="6"/>
      <c r="JOX2" s="6"/>
      <c r="JOY2" s="6"/>
      <c r="JOZ2" s="6"/>
      <c r="JPA2" s="6"/>
      <c r="JPB2" s="6"/>
      <c r="JPC2" s="6"/>
      <c r="JPD2" s="6"/>
      <c r="JPE2" s="6"/>
      <c r="JPF2" s="6"/>
      <c r="JPG2" s="6"/>
      <c r="JPH2" s="6"/>
      <c r="JPI2" s="6"/>
      <c r="JPJ2" s="6"/>
      <c r="JPK2" s="6"/>
      <c r="JPL2" s="6"/>
      <c r="JPM2" s="6"/>
      <c r="JPN2" s="6"/>
      <c r="JPO2" s="6"/>
      <c r="JPP2" s="6"/>
      <c r="JPQ2" s="6"/>
      <c r="JPR2" s="6"/>
      <c r="JPS2" s="6"/>
      <c r="JPT2" s="6"/>
      <c r="JPU2" s="6"/>
      <c r="JPV2" s="6"/>
      <c r="JPW2" s="6"/>
      <c r="JPX2" s="6"/>
      <c r="JPY2" s="6"/>
      <c r="JPZ2" s="6"/>
      <c r="JQA2" s="6"/>
      <c r="JQB2" s="6"/>
      <c r="JQC2" s="6"/>
      <c r="JQD2" s="6"/>
      <c r="JQE2" s="6"/>
      <c r="JQF2" s="6"/>
      <c r="JQG2" s="6"/>
      <c r="JQH2" s="6"/>
      <c r="JQI2" s="6"/>
      <c r="JQJ2" s="6"/>
      <c r="JQK2" s="6"/>
      <c r="JQL2" s="6"/>
      <c r="JQM2" s="6"/>
      <c r="JQN2" s="6"/>
      <c r="JQO2" s="6"/>
      <c r="JQP2" s="6"/>
      <c r="JQQ2" s="6"/>
      <c r="JQR2" s="6"/>
      <c r="JQS2" s="6"/>
      <c r="JQT2" s="6"/>
      <c r="JQU2" s="6"/>
      <c r="JQV2" s="6"/>
      <c r="JQW2" s="6"/>
      <c r="JQX2" s="6"/>
      <c r="JQY2" s="6"/>
      <c r="JQZ2" s="6"/>
      <c r="JRA2" s="6"/>
      <c r="JRB2" s="6"/>
      <c r="JRC2" s="6"/>
      <c r="JRD2" s="6"/>
      <c r="JRE2" s="6"/>
      <c r="JRF2" s="6"/>
      <c r="JRG2" s="6"/>
      <c r="JRH2" s="6"/>
      <c r="JRI2" s="6"/>
      <c r="JRJ2" s="6"/>
      <c r="JRK2" s="6"/>
      <c r="JRL2" s="6"/>
      <c r="JRM2" s="6"/>
      <c r="JRN2" s="6"/>
      <c r="JRO2" s="6"/>
      <c r="JRP2" s="6"/>
      <c r="JRQ2" s="6"/>
      <c r="JRR2" s="6"/>
      <c r="JRS2" s="6"/>
      <c r="JRT2" s="6"/>
      <c r="JRU2" s="6"/>
      <c r="JRV2" s="6"/>
      <c r="JRW2" s="6"/>
      <c r="JRX2" s="6"/>
      <c r="JRY2" s="6"/>
      <c r="JRZ2" s="6"/>
      <c r="JSA2" s="6"/>
      <c r="JSB2" s="6"/>
      <c r="JSC2" s="6"/>
      <c r="JSD2" s="6"/>
      <c r="JSE2" s="6"/>
      <c r="JSF2" s="6"/>
      <c r="JSG2" s="6"/>
      <c r="JSH2" s="6"/>
      <c r="JSI2" s="6"/>
      <c r="JSJ2" s="6"/>
      <c r="JSK2" s="6"/>
      <c r="JSL2" s="6"/>
      <c r="JSM2" s="6"/>
      <c r="JSN2" s="6"/>
      <c r="JSO2" s="6"/>
      <c r="JSP2" s="6"/>
      <c r="JSQ2" s="6"/>
      <c r="JSR2" s="6"/>
      <c r="JSS2" s="6"/>
      <c r="JST2" s="6"/>
      <c r="JSU2" s="6"/>
      <c r="JSV2" s="6"/>
      <c r="JSW2" s="6"/>
      <c r="JSX2" s="6"/>
      <c r="JSY2" s="6"/>
      <c r="JSZ2" s="6"/>
      <c r="JTA2" s="6"/>
      <c r="JTB2" s="6"/>
      <c r="JTC2" s="6"/>
      <c r="JTD2" s="6"/>
      <c r="JTE2" s="6"/>
      <c r="JTF2" s="6"/>
      <c r="JTG2" s="6"/>
      <c r="JTH2" s="6"/>
      <c r="JTI2" s="6"/>
      <c r="JTJ2" s="6"/>
      <c r="JTK2" s="6"/>
      <c r="JTL2" s="6"/>
      <c r="JTM2" s="6"/>
      <c r="JTN2" s="6"/>
      <c r="JTO2" s="6"/>
      <c r="JTP2" s="6"/>
      <c r="JTQ2" s="6"/>
      <c r="JTR2" s="6"/>
      <c r="JTS2" s="6"/>
      <c r="JTT2" s="6"/>
      <c r="JTU2" s="6"/>
      <c r="JTV2" s="6"/>
      <c r="JTW2" s="6"/>
      <c r="JTX2" s="6"/>
      <c r="JTY2" s="6"/>
      <c r="JTZ2" s="6"/>
      <c r="JUA2" s="6"/>
      <c r="JUB2" s="6"/>
      <c r="JUC2" s="6"/>
      <c r="JUD2" s="6"/>
      <c r="JUE2" s="6"/>
      <c r="JUF2" s="6"/>
      <c r="JUG2" s="6"/>
      <c r="JUH2" s="6"/>
      <c r="JUI2" s="6"/>
      <c r="JUJ2" s="6"/>
      <c r="JUK2" s="6"/>
      <c r="JUL2" s="6"/>
      <c r="JUM2" s="6"/>
      <c r="JUN2" s="6"/>
      <c r="JUO2" s="6"/>
      <c r="JUP2" s="6"/>
      <c r="JUQ2" s="6"/>
      <c r="JUR2" s="6"/>
      <c r="JUS2" s="6"/>
      <c r="JUT2" s="6"/>
      <c r="JUU2" s="6"/>
      <c r="JUV2" s="6"/>
      <c r="JUW2" s="6"/>
      <c r="JUX2" s="6"/>
      <c r="JUY2" s="6"/>
      <c r="JUZ2" s="6"/>
      <c r="JVA2" s="6"/>
      <c r="JVB2" s="6"/>
      <c r="JVC2" s="6"/>
      <c r="JVD2" s="6"/>
      <c r="JVE2" s="6"/>
      <c r="JVF2" s="6"/>
      <c r="JVG2" s="6"/>
      <c r="JVH2" s="6"/>
      <c r="JVI2" s="6"/>
      <c r="JVJ2" s="6"/>
      <c r="JVK2" s="6"/>
      <c r="JVL2" s="6"/>
      <c r="JVM2" s="6"/>
      <c r="JVN2" s="6"/>
      <c r="JVO2" s="6"/>
      <c r="JVP2" s="6"/>
      <c r="JVQ2" s="6"/>
      <c r="JVR2" s="6"/>
      <c r="JVS2" s="6"/>
      <c r="JVT2" s="6"/>
      <c r="JVU2" s="6"/>
      <c r="JVV2" s="6"/>
      <c r="JVW2" s="6"/>
      <c r="JVX2" s="6"/>
      <c r="JVY2" s="6"/>
      <c r="JVZ2" s="6"/>
      <c r="JWA2" s="6"/>
      <c r="JWB2" s="6"/>
      <c r="JWC2" s="6"/>
      <c r="JWD2" s="6"/>
      <c r="JWE2" s="6"/>
      <c r="JWF2" s="6"/>
      <c r="JWG2" s="6"/>
      <c r="JWH2" s="6"/>
      <c r="JWI2" s="6"/>
      <c r="JWJ2" s="6"/>
      <c r="JWK2" s="6"/>
      <c r="JWL2" s="6"/>
      <c r="JWM2" s="6"/>
      <c r="JWN2" s="6"/>
      <c r="JWO2" s="6"/>
      <c r="JWP2" s="6"/>
      <c r="JWQ2" s="6"/>
      <c r="JWR2" s="6"/>
      <c r="JWS2" s="6"/>
      <c r="JWT2" s="6"/>
      <c r="JWU2" s="6"/>
      <c r="JWV2" s="6"/>
      <c r="JWW2" s="6"/>
      <c r="JWX2" s="6"/>
      <c r="JWY2" s="6"/>
      <c r="JWZ2" s="6"/>
      <c r="JXA2" s="6"/>
      <c r="JXB2" s="6"/>
      <c r="JXC2" s="6"/>
      <c r="JXD2" s="6"/>
      <c r="JXE2" s="6"/>
      <c r="JXF2" s="6"/>
      <c r="JXG2" s="6"/>
      <c r="JXH2" s="6"/>
      <c r="JXI2" s="6"/>
      <c r="JXJ2" s="6"/>
      <c r="JXK2" s="6"/>
      <c r="JXL2" s="6"/>
      <c r="JXM2" s="6"/>
      <c r="JXN2" s="6"/>
      <c r="JXO2" s="6"/>
      <c r="JXP2" s="6"/>
      <c r="JXQ2" s="6"/>
      <c r="JXR2" s="6"/>
      <c r="JXS2" s="6"/>
      <c r="JXT2" s="6"/>
      <c r="JXU2" s="6"/>
      <c r="JXV2" s="6"/>
      <c r="JXW2" s="6"/>
      <c r="JXX2" s="6"/>
      <c r="JXY2" s="6"/>
      <c r="JXZ2" s="6"/>
      <c r="JYA2" s="6"/>
      <c r="JYB2" s="6"/>
      <c r="JYC2" s="6"/>
      <c r="JYD2" s="6"/>
      <c r="JYE2" s="6"/>
      <c r="JYF2" s="6"/>
      <c r="JYG2" s="6"/>
      <c r="JYH2" s="6"/>
      <c r="JYI2" s="6"/>
      <c r="JYJ2" s="6"/>
      <c r="JYK2" s="6"/>
      <c r="JYL2" s="6"/>
      <c r="JYM2" s="6"/>
      <c r="JYN2" s="6"/>
      <c r="JYO2" s="6"/>
      <c r="JYP2" s="6"/>
      <c r="JYQ2" s="6"/>
      <c r="JYR2" s="6"/>
      <c r="JYS2" s="6"/>
      <c r="JYT2" s="6"/>
      <c r="JYU2" s="6"/>
      <c r="JYV2" s="6"/>
      <c r="JYW2" s="6"/>
      <c r="JYX2" s="6"/>
      <c r="JYY2" s="6"/>
      <c r="JYZ2" s="6"/>
      <c r="JZA2" s="6"/>
      <c r="JZB2" s="6"/>
      <c r="JZC2" s="6"/>
      <c r="JZD2" s="6"/>
      <c r="JZE2" s="6"/>
      <c r="JZF2" s="6"/>
      <c r="JZG2" s="6"/>
      <c r="JZH2" s="6"/>
      <c r="JZI2" s="6"/>
      <c r="JZJ2" s="6"/>
      <c r="JZK2" s="6"/>
      <c r="JZL2" s="6"/>
      <c r="JZM2" s="6"/>
      <c r="JZN2" s="6"/>
      <c r="JZO2" s="6"/>
      <c r="JZP2" s="6"/>
      <c r="JZQ2" s="6"/>
      <c r="JZR2" s="6"/>
      <c r="JZS2" s="6"/>
      <c r="JZT2" s="6"/>
      <c r="JZU2" s="6"/>
      <c r="JZV2" s="6"/>
      <c r="JZW2" s="6"/>
      <c r="JZX2" s="6"/>
      <c r="JZY2" s="6"/>
      <c r="JZZ2" s="6"/>
      <c r="KAA2" s="6"/>
      <c r="KAB2" s="6"/>
      <c r="KAC2" s="6"/>
      <c r="KAD2" s="6"/>
      <c r="KAE2" s="6"/>
      <c r="KAF2" s="6"/>
      <c r="KAG2" s="6"/>
      <c r="KAH2" s="6"/>
      <c r="KAI2" s="6"/>
      <c r="KAJ2" s="6"/>
      <c r="KAK2" s="6"/>
      <c r="KAL2" s="6"/>
      <c r="KAM2" s="6"/>
      <c r="KAN2" s="6"/>
      <c r="KAO2" s="6"/>
      <c r="KAP2" s="6"/>
      <c r="KAQ2" s="6"/>
      <c r="KAR2" s="6"/>
      <c r="KAS2" s="6"/>
      <c r="KAT2" s="6"/>
      <c r="KAU2" s="6"/>
      <c r="KAV2" s="6"/>
      <c r="KAW2" s="6"/>
      <c r="KAX2" s="6"/>
      <c r="KAY2" s="6"/>
      <c r="KAZ2" s="6"/>
      <c r="KBA2" s="6"/>
      <c r="KBB2" s="6"/>
      <c r="KBC2" s="6"/>
      <c r="KBD2" s="6"/>
      <c r="KBE2" s="6"/>
      <c r="KBF2" s="6"/>
      <c r="KBG2" s="6"/>
      <c r="KBH2" s="6"/>
      <c r="KBI2" s="6"/>
      <c r="KBJ2" s="6"/>
      <c r="KBK2" s="6"/>
      <c r="KBL2" s="6"/>
      <c r="KBM2" s="6"/>
      <c r="KBN2" s="6"/>
      <c r="KBO2" s="6"/>
      <c r="KBP2" s="6"/>
      <c r="KBQ2" s="6"/>
      <c r="KBR2" s="6"/>
      <c r="KBS2" s="6"/>
      <c r="KBT2" s="6"/>
      <c r="KBU2" s="6"/>
      <c r="KBV2" s="6"/>
      <c r="KBW2" s="6"/>
      <c r="KBX2" s="6"/>
      <c r="KBY2" s="6"/>
      <c r="KBZ2" s="6"/>
      <c r="KCA2" s="6"/>
      <c r="KCB2" s="6"/>
      <c r="KCC2" s="6"/>
      <c r="KCD2" s="6"/>
      <c r="KCE2" s="6"/>
      <c r="KCF2" s="6"/>
      <c r="KCG2" s="6"/>
      <c r="KCH2" s="6"/>
      <c r="KCI2" s="6"/>
      <c r="KCJ2" s="6"/>
      <c r="KCK2" s="6"/>
      <c r="KCL2" s="6"/>
      <c r="KCM2" s="6"/>
      <c r="KCN2" s="6"/>
      <c r="KCO2" s="6"/>
      <c r="KCP2" s="6"/>
      <c r="KCQ2" s="6"/>
      <c r="KCR2" s="6"/>
      <c r="KCS2" s="6"/>
      <c r="KCT2" s="6"/>
      <c r="KCU2" s="6"/>
      <c r="KCV2" s="6"/>
      <c r="KCW2" s="6"/>
      <c r="KCX2" s="6"/>
      <c r="KCY2" s="6"/>
      <c r="KCZ2" s="6"/>
      <c r="KDA2" s="6"/>
      <c r="KDB2" s="6"/>
      <c r="KDC2" s="6"/>
      <c r="KDD2" s="6"/>
      <c r="KDE2" s="6"/>
      <c r="KDF2" s="6"/>
      <c r="KDG2" s="6"/>
      <c r="KDH2" s="6"/>
      <c r="KDI2" s="6"/>
      <c r="KDJ2" s="6"/>
      <c r="KDK2" s="6"/>
      <c r="KDL2" s="6"/>
      <c r="KDM2" s="6"/>
      <c r="KDN2" s="6"/>
      <c r="KDO2" s="6"/>
      <c r="KDP2" s="6"/>
      <c r="KDQ2" s="6"/>
      <c r="KDR2" s="6"/>
      <c r="KDS2" s="6"/>
      <c r="KDT2" s="6"/>
      <c r="KDU2" s="6"/>
      <c r="KDV2" s="6"/>
      <c r="KDW2" s="6"/>
      <c r="KDX2" s="6"/>
      <c r="KDY2" s="6"/>
      <c r="KDZ2" s="6"/>
      <c r="KEA2" s="6"/>
      <c r="KEB2" s="6"/>
      <c r="KEC2" s="6"/>
      <c r="KED2" s="6"/>
      <c r="KEE2" s="6"/>
      <c r="KEF2" s="6"/>
      <c r="KEG2" s="6"/>
      <c r="KEH2" s="6"/>
      <c r="KEI2" s="6"/>
      <c r="KEJ2" s="6"/>
      <c r="KEK2" s="6"/>
      <c r="KEL2" s="6"/>
      <c r="KEM2" s="6"/>
      <c r="KEN2" s="6"/>
      <c r="KEO2" s="6"/>
      <c r="KEP2" s="6"/>
      <c r="KEQ2" s="6"/>
      <c r="KER2" s="6"/>
      <c r="KES2" s="6"/>
      <c r="KET2" s="6"/>
      <c r="KEU2" s="6"/>
      <c r="KEV2" s="6"/>
      <c r="KEW2" s="6"/>
      <c r="KEX2" s="6"/>
      <c r="KEY2" s="6"/>
      <c r="KEZ2" s="6"/>
      <c r="KFA2" s="6"/>
      <c r="KFB2" s="6"/>
      <c r="KFC2" s="6"/>
      <c r="KFD2" s="6"/>
      <c r="KFE2" s="6"/>
      <c r="KFF2" s="6"/>
      <c r="KFG2" s="6"/>
      <c r="KFH2" s="6"/>
      <c r="KFI2" s="6"/>
      <c r="KFJ2" s="6"/>
      <c r="KFK2" s="6"/>
      <c r="KFL2" s="6"/>
      <c r="KFM2" s="6"/>
      <c r="KFN2" s="6"/>
      <c r="KFO2" s="6"/>
      <c r="KFP2" s="6"/>
      <c r="KFQ2" s="6"/>
      <c r="KFR2" s="6"/>
      <c r="KFS2" s="6"/>
      <c r="KFT2" s="6"/>
      <c r="KFU2" s="6"/>
      <c r="KFV2" s="6"/>
      <c r="KFW2" s="6"/>
      <c r="KFX2" s="6"/>
      <c r="KFY2" s="6"/>
      <c r="KFZ2" s="6"/>
      <c r="KGA2" s="6"/>
      <c r="KGB2" s="6"/>
      <c r="KGC2" s="6"/>
      <c r="KGD2" s="6"/>
      <c r="KGE2" s="6"/>
      <c r="KGF2" s="6"/>
      <c r="KGG2" s="6"/>
      <c r="KGH2" s="6"/>
      <c r="KGI2" s="6"/>
      <c r="KGJ2" s="6"/>
      <c r="KGK2" s="6"/>
      <c r="KGL2" s="6"/>
      <c r="KGM2" s="6"/>
      <c r="KGN2" s="6"/>
      <c r="KGO2" s="6"/>
      <c r="KGP2" s="6"/>
      <c r="KGQ2" s="6"/>
      <c r="KGR2" s="6"/>
      <c r="KGS2" s="6"/>
      <c r="KGT2" s="6"/>
      <c r="KGU2" s="6"/>
      <c r="KGV2" s="6"/>
      <c r="KGW2" s="6"/>
      <c r="KGX2" s="6"/>
      <c r="KGY2" s="6"/>
      <c r="KGZ2" s="6"/>
      <c r="KHA2" s="6"/>
      <c r="KHB2" s="6"/>
      <c r="KHC2" s="6"/>
      <c r="KHD2" s="6"/>
      <c r="KHE2" s="6"/>
      <c r="KHF2" s="6"/>
      <c r="KHG2" s="6"/>
      <c r="KHH2" s="6"/>
      <c r="KHI2" s="6"/>
      <c r="KHJ2" s="6"/>
      <c r="KHK2" s="6"/>
      <c r="KHL2" s="6"/>
      <c r="KHM2" s="6"/>
      <c r="KHN2" s="6"/>
      <c r="KHO2" s="6"/>
      <c r="KHP2" s="6"/>
      <c r="KHQ2" s="6"/>
      <c r="KHR2" s="6"/>
      <c r="KHS2" s="6"/>
      <c r="KHT2" s="6"/>
      <c r="KHU2" s="6"/>
      <c r="KHV2" s="6"/>
      <c r="KHW2" s="6"/>
      <c r="KHX2" s="6"/>
      <c r="KHY2" s="6"/>
      <c r="KHZ2" s="6"/>
      <c r="KIA2" s="6"/>
      <c r="KIB2" s="6"/>
      <c r="KIC2" s="6"/>
      <c r="KID2" s="6"/>
      <c r="KIE2" s="6"/>
      <c r="KIF2" s="6"/>
      <c r="KIG2" s="6"/>
      <c r="KIH2" s="6"/>
      <c r="KII2" s="6"/>
      <c r="KIJ2" s="6"/>
      <c r="KIK2" s="6"/>
      <c r="KIL2" s="6"/>
      <c r="KIM2" s="6"/>
      <c r="KIN2" s="6"/>
      <c r="KIO2" s="6"/>
      <c r="KIP2" s="6"/>
      <c r="KIQ2" s="6"/>
      <c r="KIR2" s="6"/>
      <c r="KIS2" s="6"/>
      <c r="KIT2" s="6"/>
      <c r="KIU2" s="6"/>
      <c r="KIV2" s="6"/>
      <c r="KIW2" s="6"/>
      <c r="KIX2" s="6"/>
      <c r="KIY2" s="6"/>
      <c r="KIZ2" s="6"/>
      <c r="KJA2" s="6"/>
      <c r="KJB2" s="6"/>
      <c r="KJC2" s="6"/>
      <c r="KJD2" s="6"/>
      <c r="KJE2" s="6"/>
      <c r="KJF2" s="6"/>
      <c r="KJG2" s="6"/>
      <c r="KJH2" s="6"/>
      <c r="KJI2" s="6"/>
      <c r="KJJ2" s="6"/>
      <c r="KJK2" s="6"/>
      <c r="KJL2" s="6"/>
      <c r="KJM2" s="6"/>
      <c r="KJN2" s="6"/>
      <c r="KJO2" s="6"/>
      <c r="KJP2" s="6"/>
      <c r="KJQ2" s="6"/>
      <c r="KJR2" s="6"/>
      <c r="KJS2" s="6"/>
      <c r="KJT2" s="6"/>
      <c r="KJU2" s="6"/>
      <c r="KJV2" s="6"/>
      <c r="KJW2" s="6"/>
      <c r="KJX2" s="6"/>
      <c r="KJY2" s="6"/>
      <c r="KJZ2" s="6"/>
      <c r="KKA2" s="6"/>
      <c r="KKB2" s="6"/>
      <c r="KKC2" s="6"/>
      <c r="KKD2" s="6"/>
      <c r="KKE2" s="6"/>
      <c r="KKF2" s="6"/>
      <c r="KKG2" s="6"/>
      <c r="KKH2" s="6"/>
      <c r="KKI2" s="6"/>
      <c r="KKJ2" s="6"/>
      <c r="KKK2" s="6"/>
      <c r="KKL2" s="6"/>
      <c r="KKM2" s="6"/>
      <c r="KKN2" s="6"/>
      <c r="KKO2" s="6"/>
      <c r="KKP2" s="6"/>
      <c r="KKQ2" s="6"/>
      <c r="KKR2" s="6"/>
      <c r="KKS2" s="6"/>
      <c r="KKT2" s="6"/>
      <c r="KKU2" s="6"/>
      <c r="KKV2" s="6"/>
      <c r="KKW2" s="6"/>
      <c r="KKX2" s="6"/>
      <c r="KKY2" s="6"/>
      <c r="KKZ2" s="6"/>
      <c r="KLA2" s="6"/>
      <c r="KLB2" s="6"/>
      <c r="KLC2" s="6"/>
      <c r="KLD2" s="6"/>
      <c r="KLE2" s="6"/>
      <c r="KLF2" s="6"/>
      <c r="KLG2" s="6"/>
      <c r="KLH2" s="6"/>
      <c r="KLI2" s="6"/>
      <c r="KLJ2" s="6"/>
      <c r="KLK2" s="6"/>
      <c r="KLL2" s="6"/>
      <c r="KLM2" s="6"/>
      <c r="KLN2" s="6"/>
      <c r="KLO2" s="6"/>
      <c r="KLP2" s="6"/>
      <c r="KLQ2" s="6"/>
      <c r="KLR2" s="6"/>
      <c r="KLS2" s="6"/>
      <c r="KLT2" s="6"/>
      <c r="KLU2" s="6"/>
      <c r="KLV2" s="6"/>
      <c r="KLW2" s="6"/>
      <c r="KLX2" s="6"/>
      <c r="KLY2" s="6"/>
      <c r="KLZ2" s="6"/>
      <c r="KMA2" s="6"/>
      <c r="KMB2" s="6"/>
      <c r="KMC2" s="6"/>
      <c r="KMD2" s="6"/>
      <c r="KME2" s="6"/>
      <c r="KMF2" s="6"/>
      <c r="KMG2" s="6"/>
      <c r="KMH2" s="6"/>
      <c r="KMI2" s="6"/>
      <c r="KMJ2" s="6"/>
      <c r="KMK2" s="6"/>
      <c r="KML2" s="6"/>
      <c r="KMM2" s="6"/>
      <c r="KMN2" s="6"/>
      <c r="KMO2" s="6"/>
      <c r="KMP2" s="6"/>
      <c r="KMQ2" s="6"/>
      <c r="KMR2" s="6"/>
      <c r="KMS2" s="6"/>
      <c r="KMT2" s="6"/>
      <c r="KMU2" s="6"/>
      <c r="KMV2" s="6"/>
      <c r="KMW2" s="6"/>
      <c r="KMX2" s="6"/>
      <c r="KMY2" s="6"/>
      <c r="KMZ2" s="6"/>
      <c r="KNA2" s="6"/>
      <c r="KNB2" s="6"/>
      <c r="KNC2" s="6"/>
      <c r="KND2" s="6"/>
      <c r="KNE2" s="6"/>
      <c r="KNF2" s="6"/>
      <c r="KNG2" s="6"/>
      <c r="KNH2" s="6"/>
      <c r="KNI2" s="6"/>
      <c r="KNJ2" s="6"/>
      <c r="KNK2" s="6"/>
      <c r="KNL2" s="6"/>
      <c r="KNM2" s="6"/>
      <c r="KNN2" s="6"/>
      <c r="KNO2" s="6"/>
      <c r="KNP2" s="6"/>
      <c r="KNQ2" s="6"/>
      <c r="KNR2" s="6"/>
      <c r="KNS2" s="6"/>
      <c r="KNT2" s="6"/>
      <c r="KNU2" s="6"/>
      <c r="KNV2" s="6"/>
      <c r="KNW2" s="6"/>
      <c r="KNX2" s="6"/>
      <c r="KNY2" s="6"/>
      <c r="KNZ2" s="6"/>
      <c r="KOA2" s="6"/>
      <c r="KOB2" s="6"/>
      <c r="KOC2" s="6"/>
      <c r="KOD2" s="6"/>
      <c r="KOE2" s="6"/>
      <c r="KOF2" s="6"/>
      <c r="KOG2" s="6"/>
      <c r="KOH2" s="6"/>
      <c r="KOI2" s="6"/>
      <c r="KOJ2" s="6"/>
      <c r="KOK2" s="6"/>
      <c r="KOL2" s="6"/>
      <c r="KOM2" s="6"/>
      <c r="KON2" s="6"/>
      <c r="KOO2" s="6"/>
      <c r="KOP2" s="6"/>
      <c r="KOQ2" s="6"/>
      <c r="KOR2" s="6"/>
      <c r="KOS2" s="6"/>
      <c r="KOT2" s="6"/>
      <c r="KOU2" s="6"/>
      <c r="KOV2" s="6"/>
      <c r="KOW2" s="6"/>
      <c r="KOX2" s="6"/>
      <c r="KOY2" s="6"/>
      <c r="KOZ2" s="6"/>
      <c r="KPA2" s="6"/>
      <c r="KPB2" s="6"/>
      <c r="KPC2" s="6"/>
      <c r="KPD2" s="6"/>
      <c r="KPE2" s="6"/>
      <c r="KPF2" s="6"/>
      <c r="KPG2" s="6"/>
      <c r="KPH2" s="6"/>
      <c r="KPI2" s="6"/>
      <c r="KPJ2" s="6"/>
      <c r="KPK2" s="6"/>
      <c r="KPL2" s="6"/>
      <c r="KPM2" s="6"/>
      <c r="KPN2" s="6"/>
      <c r="KPO2" s="6"/>
      <c r="KPP2" s="6"/>
      <c r="KPQ2" s="6"/>
      <c r="KPR2" s="6"/>
      <c r="KPS2" s="6"/>
      <c r="KPT2" s="6"/>
      <c r="KPU2" s="6"/>
      <c r="KPV2" s="6"/>
      <c r="KPW2" s="6"/>
      <c r="KPX2" s="6"/>
      <c r="KPY2" s="6"/>
      <c r="KPZ2" s="6"/>
      <c r="KQA2" s="6"/>
      <c r="KQB2" s="6"/>
      <c r="KQC2" s="6"/>
      <c r="KQD2" s="6"/>
      <c r="KQE2" s="6"/>
      <c r="KQF2" s="6"/>
      <c r="KQG2" s="6"/>
      <c r="KQH2" s="6"/>
      <c r="KQI2" s="6"/>
      <c r="KQJ2" s="6"/>
      <c r="KQK2" s="6"/>
      <c r="KQL2" s="6"/>
      <c r="KQM2" s="6"/>
      <c r="KQN2" s="6"/>
      <c r="KQO2" s="6"/>
      <c r="KQP2" s="6"/>
      <c r="KQQ2" s="6"/>
      <c r="KQR2" s="6"/>
      <c r="KQS2" s="6"/>
      <c r="KQT2" s="6"/>
      <c r="KQU2" s="6"/>
      <c r="KQV2" s="6"/>
      <c r="KQW2" s="6"/>
      <c r="KQX2" s="6"/>
      <c r="KQY2" s="6"/>
      <c r="KQZ2" s="6"/>
      <c r="KRA2" s="6"/>
      <c r="KRB2" s="6"/>
      <c r="KRC2" s="6"/>
      <c r="KRD2" s="6"/>
      <c r="KRE2" s="6"/>
      <c r="KRF2" s="6"/>
      <c r="KRG2" s="6"/>
      <c r="KRH2" s="6"/>
      <c r="KRI2" s="6"/>
      <c r="KRJ2" s="6"/>
      <c r="KRK2" s="6"/>
      <c r="KRL2" s="6"/>
      <c r="KRM2" s="6"/>
      <c r="KRN2" s="6"/>
      <c r="KRO2" s="6"/>
      <c r="KRP2" s="6"/>
      <c r="KRQ2" s="6"/>
      <c r="KRR2" s="6"/>
      <c r="KRS2" s="6"/>
      <c r="KRT2" s="6"/>
      <c r="KRU2" s="6"/>
      <c r="KRV2" s="6"/>
      <c r="KRW2" s="6"/>
      <c r="KRX2" s="6"/>
      <c r="KRY2" s="6"/>
      <c r="KRZ2" s="6"/>
      <c r="KSA2" s="6"/>
      <c r="KSB2" s="6"/>
      <c r="KSC2" s="6"/>
      <c r="KSD2" s="6"/>
      <c r="KSE2" s="6"/>
      <c r="KSF2" s="6"/>
      <c r="KSG2" s="6"/>
      <c r="KSH2" s="6"/>
      <c r="KSI2" s="6"/>
      <c r="KSJ2" s="6"/>
      <c r="KSK2" s="6"/>
      <c r="KSL2" s="6"/>
      <c r="KSM2" s="6"/>
      <c r="KSN2" s="6"/>
      <c r="KSO2" s="6"/>
      <c r="KSP2" s="6"/>
      <c r="KSQ2" s="6"/>
      <c r="KSR2" s="6"/>
      <c r="KSS2" s="6"/>
      <c r="KST2" s="6"/>
      <c r="KSU2" s="6"/>
      <c r="KSV2" s="6"/>
      <c r="KSW2" s="6"/>
      <c r="KSX2" s="6"/>
      <c r="KSY2" s="6"/>
      <c r="KSZ2" s="6"/>
      <c r="KTA2" s="6"/>
      <c r="KTB2" s="6"/>
      <c r="KTC2" s="6"/>
      <c r="KTD2" s="6"/>
      <c r="KTE2" s="6"/>
      <c r="KTF2" s="6"/>
      <c r="KTG2" s="6"/>
      <c r="KTH2" s="6"/>
      <c r="KTI2" s="6"/>
      <c r="KTJ2" s="6"/>
      <c r="KTK2" s="6"/>
      <c r="KTL2" s="6"/>
      <c r="KTM2" s="6"/>
      <c r="KTN2" s="6"/>
      <c r="KTO2" s="6"/>
      <c r="KTP2" s="6"/>
      <c r="KTQ2" s="6"/>
      <c r="KTR2" s="6"/>
      <c r="KTS2" s="6"/>
      <c r="KTT2" s="6"/>
      <c r="KTU2" s="6"/>
      <c r="KTV2" s="6"/>
      <c r="KTW2" s="6"/>
      <c r="KTX2" s="6"/>
      <c r="KTY2" s="6"/>
      <c r="KTZ2" s="6"/>
      <c r="KUA2" s="6"/>
      <c r="KUB2" s="6"/>
      <c r="KUC2" s="6"/>
      <c r="KUD2" s="6"/>
      <c r="KUE2" s="6"/>
      <c r="KUF2" s="6"/>
      <c r="KUG2" s="6"/>
      <c r="KUH2" s="6"/>
      <c r="KUI2" s="6"/>
      <c r="KUJ2" s="6"/>
      <c r="KUK2" s="6"/>
      <c r="KUL2" s="6"/>
      <c r="KUM2" s="6"/>
      <c r="KUN2" s="6"/>
      <c r="KUO2" s="6"/>
      <c r="KUP2" s="6"/>
      <c r="KUQ2" s="6"/>
      <c r="KUR2" s="6"/>
      <c r="KUS2" s="6"/>
      <c r="KUT2" s="6"/>
      <c r="KUU2" s="6"/>
      <c r="KUV2" s="6"/>
      <c r="KUW2" s="6"/>
      <c r="KUX2" s="6"/>
      <c r="KUY2" s="6"/>
      <c r="KUZ2" s="6"/>
      <c r="KVA2" s="6"/>
      <c r="KVB2" s="6"/>
      <c r="KVC2" s="6"/>
      <c r="KVD2" s="6"/>
      <c r="KVE2" s="6"/>
      <c r="KVF2" s="6"/>
      <c r="KVG2" s="6"/>
      <c r="KVH2" s="6"/>
      <c r="KVI2" s="6"/>
      <c r="KVJ2" s="6"/>
      <c r="KVK2" s="6"/>
      <c r="KVL2" s="6"/>
      <c r="KVM2" s="6"/>
      <c r="KVN2" s="6"/>
      <c r="KVO2" s="6"/>
      <c r="KVP2" s="6"/>
      <c r="KVQ2" s="6"/>
      <c r="KVR2" s="6"/>
      <c r="KVS2" s="6"/>
      <c r="KVT2" s="6"/>
      <c r="KVU2" s="6"/>
      <c r="KVV2" s="6"/>
      <c r="KVW2" s="6"/>
      <c r="KVX2" s="6"/>
      <c r="KVY2" s="6"/>
      <c r="KVZ2" s="6"/>
      <c r="KWA2" s="6"/>
      <c r="KWB2" s="6"/>
      <c r="KWC2" s="6"/>
      <c r="KWD2" s="6"/>
      <c r="KWE2" s="6"/>
      <c r="KWF2" s="6"/>
      <c r="KWG2" s="6"/>
      <c r="KWH2" s="6"/>
      <c r="KWI2" s="6"/>
      <c r="KWJ2" s="6"/>
      <c r="KWK2" s="6"/>
      <c r="KWL2" s="6"/>
      <c r="KWM2" s="6"/>
      <c r="KWN2" s="6"/>
      <c r="KWO2" s="6"/>
      <c r="KWP2" s="6"/>
      <c r="KWQ2" s="6"/>
      <c r="KWR2" s="6"/>
      <c r="KWS2" s="6"/>
      <c r="KWT2" s="6"/>
      <c r="KWU2" s="6"/>
      <c r="KWV2" s="6"/>
      <c r="KWW2" s="6"/>
      <c r="KWX2" s="6"/>
      <c r="KWY2" s="6"/>
      <c r="KWZ2" s="6"/>
      <c r="KXA2" s="6"/>
      <c r="KXB2" s="6"/>
      <c r="KXC2" s="6"/>
      <c r="KXD2" s="6"/>
      <c r="KXE2" s="6"/>
      <c r="KXF2" s="6"/>
      <c r="KXG2" s="6"/>
      <c r="KXH2" s="6"/>
      <c r="KXI2" s="6"/>
      <c r="KXJ2" s="6"/>
      <c r="KXK2" s="6"/>
      <c r="KXL2" s="6"/>
      <c r="KXM2" s="6"/>
      <c r="KXN2" s="6"/>
      <c r="KXO2" s="6"/>
      <c r="KXP2" s="6"/>
      <c r="KXQ2" s="6"/>
      <c r="KXR2" s="6"/>
      <c r="KXS2" s="6"/>
      <c r="KXT2" s="6"/>
      <c r="KXU2" s="6"/>
      <c r="KXV2" s="6"/>
      <c r="KXW2" s="6"/>
      <c r="KXX2" s="6"/>
      <c r="KXY2" s="6"/>
      <c r="KXZ2" s="6"/>
      <c r="KYA2" s="6"/>
      <c r="KYB2" s="6"/>
      <c r="KYC2" s="6"/>
      <c r="KYD2" s="6"/>
      <c r="KYE2" s="6"/>
      <c r="KYF2" s="6"/>
      <c r="KYG2" s="6"/>
      <c r="KYH2" s="6"/>
      <c r="KYI2" s="6"/>
      <c r="KYJ2" s="6"/>
      <c r="KYK2" s="6"/>
      <c r="KYL2" s="6"/>
      <c r="KYM2" s="6"/>
      <c r="KYN2" s="6"/>
      <c r="KYO2" s="6"/>
      <c r="KYP2" s="6"/>
      <c r="KYQ2" s="6"/>
      <c r="KYR2" s="6"/>
      <c r="KYS2" s="6"/>
      <c r="KYT2" s="6"/>
      <c r="KYU2" s="6"/>
      <c r="KYV2" s="6"/>
      <c r="KYW2" s="6"/>
      <c r="KYX2" s="6"/>
      <c r="KYY2" s="6"/>
      <c r="KYZ2" s="6"/>
      <c r="KZA2" s="6"/>
      <c r="KZB2" s="6"/>
      <c r="KZC2" s="6"/>
      <c r="KZD2" s="6"/>
      <c r="KZE2" s="6"/>
      <c r="KZF2" s="6"/>
      <c r="KZG2" s="6"/>
      <c r="KZH2" s="6"/>
      <c r="KZI2" s="6"/>
      <c r="KZJ2" s="6"/>
      <c r="KZK2" s="6"/>
      <c r="KZL2" s="6"/>
      <c r="KZM2" s="6"/>
      <c r="KZN2" s="6"/>
      <c r="KZO2" s="6"/>
      <c r="KZP2" s="6"/>
      <c r="KZQ2" s="6"/>
      <c r="KZR2" s="6"/>
      <c r="KZS2" s="6"/>
      <c r="KZT2" s="6"/>
      <c r="KZU2" s="6"/>
      <c r="KZV2" s="6"/>
      <c r="KZW2" s="6"/>
      <c r="KZX2" s="6"/>
      <c r="KZY2" s="6"/>
      <c r="KZZ2" s="6"/>
      <c r="LAA2" s="6"/>
      <c r="LAB2" s="6"/>
      <c r="LAC2" s="6"/>
      <c r="LAD2" s="6"/>
      <c r="LAE2" s="6"/>
      <c r="LAF2" s="6"/>
      <c r="LAG2" s="6"/>
      <c r="LAH2" s="6"/>
      <c r="LAI2" s="6"/>
      <c r="LAJ2" s="6"/>
      <c r="LAK2" s="6"/>
      <c r="LAL2" s="6"/>
      <c r="LAM2" s="6"/>
      <c r="LAN2" s="6"/>
      <c r="LAO2" s="6"/>
      <c r="LAP2" s="6"/>
      <c r="LAQ2" s="6"/>
      <c r="LAR2" s="6"/>
      <c r="LAS2" s="6"/>
      <c r="LAT2" s="6"/>
      <c r="LAU2" s="6"/>
      <c r="LAV2" s="6"/>
      <c r="LAW2" s="6"/>
      <c r="LAX2" s="6"/>
      <c r="LAY2" s="6"/>
      <c r="LAZ2" s="6"/>
      <c r="LBA2" s="6"/>
      <c r="LBB2" s="6"/>
      <c r="LBC2" s="6"/>
      <c r="LBD2" s="6"/>
      <c r="LBE2" s="6"/>
      <c r="LBF2" s="6"/>
      <c r="LBG2" s="6"/>
      <c r="LBH2" s="6"/>
      <c r="LBI2" s="6"/>
      <c r="LBJ2" s="6"/>
      <c r="LBK2" s="6"/>
      <c r="LBL2" s="6"/>
      <c r="LBM2" s="6"/>
      <c r="LBN2" s="6"/>
      <c r="LBO2" s="6"/>
      <c r="LBP2" s="6"/>
      <c r="LBQ2" s="6"/>
      <c r="LBR2" s="6"/>
      <c r="LBS2" s="6"/>
      <c r="LBT2" s="6"/>
      <c r="LBU2" s="6"/>
      <c r="LBV2" s="6"/>
      <c r="LBW2" s="6"/>
      <c r="LBX2" s="6"/>
      <c r="LBY2" s="6"/>
      <c r="LBZ2" s="6"/>
      <c r="LCA2" s="6"/>
      <c r="LCB2" s="6"/>
      <c r="LCC2" s="6"/>
      <c r="LCD2" s="6"/>
      <c r="LCE2" s="6"/>
      <c r="LCF2" s="6"/>
      <c r="LCG2" s="6"/>
      <c r="LCH2" s="6"/>
      <c r="LCI2" s="6"/>
      <c r="LCJ2" s="6"/>
      <c r="LCK2" s="6"/>
      <c r="LCL2" s="6"/>
      <c r="LCM2" s="6"/>
      <c r="LCN2" s="6"/>
      <c r="LCO2" s="6"/>
      <c r="LCP2" s="6"/>
      <c r="LCQ2" s="6"/>
      <c r="LCR2" s="6"/>
      <c r="LCS2" s="6"/>
      <c r="LCT2" s="6"/>
      <c r="LCU2" s="6"/>
      <c r="LCV2" s="6"/>
      <c r="LCW2" s="6"/>
      <c r="LCX2" s="6"/>
      <c r="LCY2" s="6"/>
      <c r="LCZ2" s="6"/>
      <c r="LDA2" s="6"/>
      <c r="LDB2" s="6"/>
      <c r="LDC2" s="6"/>
      <c r="LDD2" s="6"/>
      <c r="LDE2" s="6"/>
      <c r="LDF2" s="6"/>
      <c r="LDG2" s="6"/>
      <c r="LDH2" s="6"/>
      <c r="LDI2" s="6"/>
      <c r="LDJ2" s="6"/>
      <c r="LDK2" s="6"/>
      <c r="LDL2" s="6"/>
      <c r="LDM2" s="6"/>
      <c r="LDN2" s="6"/>
      <c r="LDO2" s="6"/>
      <c r="LDP2" s="6"/>
      <c r="LDQ2" s="6"/>
      <c r="LDR2" s="6"/>
      <c r="LDS2" s="6"/>
      <c r="LDT2" s="6"/>
      <c r="LDU2" s="6"/>
      <c r="LDV2" s="6"/>
      <c r="LDW2" s="6"/>
      <c r="LDX2" s="6"/>
      <c r="LDY2" s="6"/>
      <c r="LDZ2" s="6"/>
      <c r="LEA2" s="6"/>
      <c r="LEB2" s="6"/>
      <c r="LEC2" s="6"/>
      <c r="LED2" s="6"/>
      <c r="LEE2" s="6"/>
      <c r="LEF2" s="6"/>
      <c r="LEG2" s="6"/>
      <c r="LEH2" s="6"/>
      <c r="LEI2" s="6"/>
      <c r="LEJ2" s="6"/>
      <c r="LEK2" s="6"/>
      <c r="LEL2" s="6"/>
      <c r="LEM2" s="6"/>
      <c r="LEN2" s="6"/>
      <c r="LEO2" s="6"/>
      <c r="LEP2" s="6"/>
      <c r="LEQ2" s="6"/>
      <c r="LER2" s="6"/>
      <c r="LES2" s="6"/>
      <c r="LET2" s="6"/>
      <c r="LEU2" s="6"/>
      <c r="LEV2" s="6"/>
      <c r="LEW2" s="6"/>
      <c r="LEX2" s="6"/>
      <c r="LEY2" s="6"/>
      <c r="LEZ2" s="6"/>
      <c r="LFA2" s="6"/>
      <c r="LFB2" s="6"/>
      <c r="LFC2" s="6"/>
      <c r="LFD2" s="6"/>
      <c r="LFE2" s="6"/>
      <c r="LFF2" s="6"/>
      <c r="LFG2" s="6"/>
      <c r="LFH2" s="6"/>
      <c r="LFI2" s="6"/>
      <c r="LFJ2" s="6"/>
      <c r="LFK2" s="6"/>
      <c r="LFL2" s="6"/>
      <c r="LFM2" s="6"/>
      <c r="LFN2" s="6"/>
      <c r="LFO2" s="6"/>
      <c r="LFP2" s="6"/>
      <c r="LFQ2" s="6"/>
      <c r="LFR2" s="6"/>
      <c r="LFS2" s="6"/>
      <c r="LFT2" s="6"/>
      <c r="LFU2" s="6"/>
      <c r="LFV2" s="6"/>
      <c r="LFW2" s="6"/>
      <c r="LFX2" s="6"/>
      <c r="LFY2" s="6"/>
      <c r="LFZ2" s="6"/>
      <c r="LGA2" s="6"/>
      <c r="LGB2" s="6"/>
      <c r="LGC2" s="6"/>
      <c r="LGD2" s="6"/>
      <c r="LGE2" s="6"/>
      <c r="LGF2" s="6"/>
      <c r="LGG2" s="6"/>
      <c r="LGH2" s="6"/>
      <c r="LGI2" s="6"/>
      <c r="LGJ2" s="6"/>
      <c r="LGK2" s="6"/>
      <c r="LGL2" s="6"/>
      <c r="LGM2" s="6"/>
      <c r="LGN2" s="6"/>
      <c r="LGO2" s="6"/>
      <c r="LGP2" s="6"/>
      <c r="LGQ2" s="6"/>
      <c r="LGR2" s="6"/>
      <c r="LGS2" s="6"/>
      <c r="LGT2" s="6"/>
      <c r="LGU2" s="6"/>
      <c r="LGV2" s="6"/>
      <c r="LGW2" s="6"/>
      <c r="LGX2" s="6"/>
      <c r="LGY2" s="6"/>
      <c r="LGZ2" s="6"/>
      <c r="LHA2" s="6"/>
      <c r="LHB2" s="6"/>
      <c r="LHC2" s="6"/>
      <c r="LHD2" s="6"/>
      <c r="LHE2" s="6"/>
      <c r="LHF2" s="6"/>
      <c r="LHG2" s="6"/>
      <c r="LHH2" s="6"/>
      <c r="LHI2" s="6"/>
      <c r="LHJ2" s="6"/>
      <c r="LHK2" s="6"/>
      <c r="LHL2" s="6"/>
      <c r="LHM2" s="6"/>
      <c r="LHN2" s="6"/>
      <c r="LHO2" s="6"/>
      <c r="LHP2" s="6"/>
      <c r="LHQ2" s="6"/>
      <c r="LHR2" s="6"/>
      <c r="LHS2" s="6"/>
      <c r="LHT2" s="6"/>
      <c r="LHU2" s="6"/>
      <c r="LHV2" s="6"/>
      <c r="LHW2" s="6"/>
      <c r="LHX2" s="6"/>
      <c r="LHY2" s="6"/>
      <c r="LHZ2" s="6"/>
      <c r="LIA2" s="6"/>
      <c r="LIB2" s="6"/>
      <c r="LIC2" s="6"/>
      <c r="LID2" s="6"/>
      <c r="LIE2" s="6"/>
      <c r="LIF2" s="6"/>
      <c r="LIG2" s="6"/>
      <c r="LIH2" s="6"/>
      <c r="LII2" s="6"/>
      <c r="LIJ2" s="6"/>
      <c r="LIK2" s="6"/>
      <c r="LIL2" s="6"/>
      <c r="LIM2" s="6"/>
      <c r="LIN2" s="6"/>
      <c r="LIO2" s="6"/>
      <c r="LIP2" s="6"/>
      <c r="LIQ2" s="6"/>
      <c r="LIR2" s="6"/>
      <c r="LIS2" s="6"/>
      <c r="LIT2" s="6"/>
      <c r="LIU2" s="6"/>
      <c r="LIV2" s="6"/>
      <c r="LIW2" s="6"/>
      <c r="LIX2" s="6"/>
      <c r="LIY2" s="6"/>
      <c r="LIZ2" s="6"/>
      <c r="LJA2" s="6"/>
      <c r="LJB2" s="6"/>
      <c r="LJC2" s="6"/>
      <c r="LJD2" s="6"/>
      <c r="LJE2" s="6"/>
      <c r="LJF2" s="6"/>
      <c r="LJG2" s="6"/>
      <c r="LJH2" s="6"/>
      <c r="LJI2" s="6"/>
      <c r="LJJ2" s="6"/>
      <c r="LJK2" s="6"/>
      <c r="LJL2" s="6"/>
      <c r="LJM2" s="6"/>
      <c r="LJN2" s="6"/>
      <c r="LJO2" s="6"/>
      <c r="LJP2" s="6"/>
      <c r="LJQ2" s="6"/>
      <c r="LJR2" s="6"/>
      <c r="LJS2" s="6"/>
      <c r="LJT2" s="6"/>
      <c r="LJU2" s="6"/>
      <c r="LJV2" s="6"/>
      <c r="LJW2" s="6"/>
      <c r="LJX2" s="6"/>
      <c r="LJY2" s="6"/>
      <c r="LJZ2" s="6"/>
      <c r="LKA2" s="6"/>
      <c r="LKB2" s="6"/>
      <c r="LKC2" s="6"/>
      <c r="LKD2" s="6"/>
      <c r="LKE2" s="6"/>
      <c r="LKF2" s="6"/>
      <c r="LKG2" s="6"/>
      <c r="LKH2" s="6"/>
      <c r="LKI2" s="6"/>
      <c r="LKJ2" s="6"/>
      <c r="LKK2" s="6"/>
      <c r="LKL2" s="6"/>
      <c r="LKM2" s="6"/>
      <c r="LKN2" s="6"/>
      <c r="LKO2" s="6"/>
      <c r="LKP2" s="6"/>
      <c r="LKQ2" s="6"/>
      <c r="LKR2" s="6"/>
      <c r="LKS2" s="6"/>
      <c r="LKT2" s="6"/>
      <c r="LKU2" s="6"/>
      <c r="LKV2" s="6"/>
      <c r="LKW2" s="6"/>
      <c r="LKX2" s="6"/>
      <c r="LKY2" s="6"/>
      <c r="LKZ2" s="6"/>
      <c r="LLA2" s="6"/>
      <c r="LLB2" s="6"/>
      <c r="LLC2" s="6"/>
      <c r="LLD2" s="6"/>
      <c r="LLE2" s="6"/>
      <c r="LLF2" s="6"/>
      <c r="LLG2" s="6"/>
      <c r="LLH2" s="6"/>
      <c r="LLI2" s="6"/>
      <c r="LLJ2" s="6"/>
      <c r="LLK2" s="6"/>
      <c r="LLL2" s="6"/>
      <c r="LLM2" s="6"/>
      <c r="LLN2" s="6"/>
      <c r="LLO2" s="6"/>
      <c r="LLP2" s="6"/>
      <c r="LLQ2" s="6"/>
      <c r="LLR2" s="6"/>
      <c r="LLS2" s="6"/>
      <c r="LLT2" s="6"/>
      <c r="LLU2" s="6"/>
      <c r="LLV2" s="6"/>
      <c r="LLW2" s="6"/>
      <c r="LLX2" s="6"/>
      <c r="LLY2" s="6"/>
      <c r="LLZ2" s="6"/>
      <c r="LMA2" s="6"/>
      <c r="LMB2" s="6"/>
      <c r="LMC2" s="6"/>
      <c r="LMD2" s="6"/>
      <c r="LME2" s="6"/>
      <c r="LMF2" s="6"/>
      <c r="LMG2" s="6"/>
      <c r="LMH2" s="6"/>
      <c r="LMI2" s="6"/>
      <c r="LMJ2" s="6"/>
      <c r="LMK2" s="6"/>
      <c r="LML2" s="6"/>
      <c r="LMM2" s="6"/>
      <c r="LMN2" s="6"/>
      <c r="LMO2" s="6"/>
      <c r="LMP2" s="6"/>
      <c r="LMQ2" s="6"/>
      <c r="LMR2" s="6"/>
      <c r="LMS2" s="6"/>
      <c r="LMT2" s="6"/>
      <c r="LMU2" s="6"/>
      <c r="LMV2" s="6"/>
      <c r="LMW2" s="6"/>
      <c r="LMX2" s="6"/>
      <c r="LMY2" s="6"/>
      <c r="LMZ2" s="6"/>
      <c r="LNA2" s="6"/>
      <c r="LNB2" s="6"/>
      <c r="LNC2" s="6"/>
      <c r="LND2" s="6"/>
      <c r="LNE2" s="6"/>
      <c r="LNF2" s="6"/>
      <c r="LNG2" s="6"/>
      <c r="LNH2" s="6"/>
      <c r="LNI2" s="6"/>
      <c r="LNJ2" s="6"/>
      <c r="LNK2" s="6"/>
      <c r="LNL2" s="6"/>
      <c r="LNM2" s="6"/>
      <c r="LNN2" s="6"/>
      <c r="LNO2" s="6"/>
      <c r="LNP2" s="6"/>
      <c r="LNQ2" s="6"/>
      <c r="LNR2" s="6"/>
      <c r="LNS2" s="6"/>
      <c r="LNT2" s="6"/>
      <c r="LNU2" s="6"/>
      <c r="LNV2" s="6"/>
      <c r="LNW2" s="6"/>
      <c r="LNX2" s="6"/>
      <c r="LNY2" s="6"/>
      <c r="LNZ2" s="6"/>
      <c r="LOA2" s="6"/>
      <c r="LOB2" s="6"/>
      <c r="LOC2" s="6"/>
      <c r="LOD2" s="6"/>
      <c r="LOE2" s="6"/>
      <c r="LOF2" s="6"/>
      <c r="LOG2" s="6"/>
      <c r="LOH2" s="6"/>
      <c r="LOI2" s="6"/>
      <c r="LOJ2" s="6"/>
      <c r="LOK2" s="6"/>
      <c r="LOL2" s="6"/>
      <c r="LOM2" s="6"/>
      <c r="LON2" s="6"/>
      <c r="LOO2" s="6"/>
      <c r="LOP2" s="6"/>
      <c r="LOQ2" s="6"/>
      <c r="LOR2" s="6"/>
      <c r="LOS2" s="6"/>
      <c r="LOT2" s="6"/>
      <c r="LOU2" s="6"/>
      <c r="LOV2" s="6"/>
      <c r="LOW2" s="6"/>
      <c r="LOX2" s="6"/>
      <c r="LOY2" s="6"/>
      <c r="LOZ2" s="6"/>
      <c r="LPA2" s="6"/>
      <c r="LPB2" s="6"/>
      <c r="LPC2" s="6"/>
      <c r="LPD2" s="6"/>
      <c r="LPE2" s="6"/>
      <c r="LPF2" s="6"/>
      <c r="LPG2" s="6"/>
      <c r="LPH2" s="6"/>
      <c r="LPI2" s="6"/>
      <c r="LPJ2" s="6"/>
      <c r="LPK2" s="6"/>
      <c r="LPL2" s="6"/>
      <c r="LPM2" s="6"/>
      <c r="LPN2" s="6"/>
      <c r="LPO2" s="6"/>
      <c r="LPP2" s="6"/>
      <c r="LPQ2" s="6"/>
      <c r="LPR2" s="6"/>
      <c r="LPS2" s="6"/>
      <c r="LPT2" s="6"/>
      <c r="LPU2" s="6"/>
      <c r="LPV2" s="6"/>
      <c r="LPW2" s="6"/>
      <c r="LPX2" s="6"/>
      <c r="LPY2" s="6"/>
      <c r="LPZ2" s="6"/>
      <c r="LQA2" s="6"/>
      <c r="LQB2" s="6"/>
      <c r="LQC2" s="6"/>
      <c r="LQD2" s="6"/>
      <c r="LQE2" s="6"/>
      <c r="LQF2" s="6"/>
      <c r="LQG2" s="6"/>
      <c r="LQH2" s="6"/>
      <c r="LQI2" s="6"/>
      <c r="LQJ2" s="6"/>
      <c r="LQK2" s="6"/>
      <c r="LQL2" s="6"/>
      <c r="LQM2" s="6"/>
      <c r="LQN2" s="6"/>
      <c r="LQO2" s="6"/>
      <c r="LQP2" s="6"/>
      <c r="LQQ2" s="6"/>
      <c r="LQR2" s="6"/>
      <c r="LQS2" s="6"/>
      <c r="LQT2" s="6"/>
      <c r="LQU2" s="6"/>
      <c r="LQV2" s="6"/>
      <c r="LQW2" s="6"/>
      <c r="LQX2" s="6"/>
      <c r="LQY2" s="6"/>
      <c r="LQZ2" s="6"/>
      <c r="LRA2" s="6"/>
      <c r="LRB2" s="6"/>
      <c r="LRC2" s="6"/>
      <c r="LRD2" s="6"/>
      <c r="LRE2" s="6"/>
      <c r="LRF2" s="6"/>
      <c r="LRG2" s="6"/>
      <c r="LRH2" s="6"/>
      <c r="LRI2" s="6"/>
      <c r="LRJ2" s="6"/>
      <c r="LRK2" s="6"/>
      <c r="LRL2" s="6"/>
      <c r="LRM2" s="6"/>
      <c r="LRN2" s="6"/>
      <c r="LRO2" s="6"/>
      <c r="LRP2" s="6"/>
      <c r="LRQ2" s="6"/>
      <c r="LRR2" s="6"/>
      <c r="LRS2" s="6"/>
      <c r="LRT2" s="6"/>
      <c r="LRU2" s="6"/>
      <c r="LRV2" s="6"/>
      <c r="LRW2" s="6"/>
      <c r="LRX2" s="6"/>
      <c r="LRY2" s="6"/>
      <c r="LRZ2" s="6"/>
      <c r="LSA2" s="6"/>
      <c r="LSB2" s="6"/>
      <c r="LSC2" s="6"/>
      <c r="LSD2" s="6"/>
      <c r="LSE2" s="6"/>
      <c r="LSF2" s="6"/>
      <c r="LSG2" s="6"/>
      <c r="LSH2" s="6"/>
      <c r="LSI2" s="6"/>
      <c r="LSJ2" s="6"/>
      <c r="LSK2" s="6"/>
      <c r="LSL2" s="6"/>
      <c r="LSM2" s="6"/>
      <c r="LSN2" s="6"/>
      <c r="LSO2" s="6"/>
      <c r="LSP2" s="6"/>
      <c r="LSQ2" s="6"/>
      <c r="LSR2" s="6"/>
      <c r="LSS2" s="6"/>
      <c r="LST2" s="6"/>
      <c r="LSU2" s="6"/>
      <c r="LSV2" s="6"/>
      <c r="LSW2" s="6"/>
      <c r="LSX2" s="6"/>
      <c r="LSY2" s="6"/>
      <c r="LSZ2" s="6"/>
      <c r="LTA2" s="6"/>
      <c r="LTB2" s="6"/>
      <c r="LTC2" s="6"/>
      <c r="LTD2" s="6"/>
      <c r="LTE2" s="6"/>
      <c r="LTF2" s="6"/>
      <c r="LTG2" s="6"/>
      <c r="LTH2" s="6"/>
      <c r="LTI2" s="6"/>
      <c r="LTJ2" s="6"/>
      <c r="LTK2" s="6"/>
      <c r="LTL2" s="6"/>
      <c r="LTM2" s="6"/>
      <c r="LTN2" s="6"/>
      <c r="LTO2" s="6"/>
      <c r="LTP2" s="6"/>
      <c r="LTQ2" s="6"/>
      <c r="LTR2" s="6"/>
      <c r="LTS2" s="6"/>
      <c r="LTT2" s="6"/>
      <c r="LTU2" s="6"/>
      <c r="LTV2" s="6"/>
      <c r="LTW2" s="6"/>
      <c r="LTX2" s="6"/>
      <c r="LTY2" s="6"/>
      <c r="LTZ2" s="6"/>
      <c r="LUA2" s="6"/>
      <c r="LUB2" s="6"/>
      <c r="LUC2" s="6"/>
      <c r="LUD2" s="6"/>
      <c r="LUE2" s="6"/>
      <c r="LUF2" s="6"/>
      <c r="LUG2" s="6"/>
      <c r="LUH2" s="6"/>
      <c r="LUI2" s="6"/>
      <c r="LUJ2" s="6"/>
      <c r="LUK2" s="6"/>
      <c r="LUL2" s="6"/>
      <c r="LUM2" s="6"/>
      <c r="LUN2" s="6"/>
      <c r="LUO2" s="6"/>
      <c r="LUP2" s="6"/>
      <c r="LUQ2" s="6"/>
      <c r="LUR2" s="6"/>
      <c r="LUS2" s="6"/>
      <c r="LUT2" s="6"/>
      <c r="LUU2" s="6"/>
      <c r="LUV2" s="6"/>
      <c r="LUW2" s="6"/>
      <c r="LUX2" s="6"/>
      <c r="LUY2" s="6"/>
      <c r="LUZ2" s="6"/>
      <c r="LVA2" s="6"/>
      <c r="LVB2" s="6"/>
      <c r="LVC2" s="6"/>
      <c r="LVD2" s="6"/>
      <c r="LVE2" s="6"/>
      <c r="LVF2" s="6"/>
      <c r="LVG2" s="6"/>
      <c r="LVH2" s="6"/>
      <c r="LVI2" s="6"/>
      <c r="LVJ2" s="6"/>
      <c r="LVK2" s="6"/>
      <c r="LVL2" s="6"/>
      <c r="LVM2" s="6"/>
      <c r="LVN2" s="6"/>
      <c r="LVO2" s="6"/>
      <c r="LVP2" s="6"/>
      <c r="LVQ2" s="6"/>
      <c r="LVR2" s="6"/>
      <c r="LVS2" s="6"/>
      <c r="LVT2" s="6"/>
      <c r="LVU2" s="6"/>
      <c r="LVV2" s="6"/>
      <c r="LVW2" s="6"/>
      <c r="LVX2" s="6"/>
      <c r="LVY2" s="6"/>
      <c r="LVZ2" s="6"/>
      <c r="LWA2" s="6"/>
      <c r="LWB2" s="6"/>
      <c r="LWC2" s="6"/>
      <c r="LWD2" s="6"/>
      <c r="LWE2" s="6"/>
      <c r="LWF2" s="6"/>
      <c r="LWG2" s="6"/>
      <c r="LWH2" s="6"/>
      <c r="LWI2" s="6"/>
      <c r="LWJ2" s="6"/>
      <c r="LWK2" s="6"/>
      <c r="LWL2" s="6"/>
      <c r="LWM2" s="6"/>
      <c r="LWN2" s="6"/>
      <c r="LWO2" s="6"/>
      <c r="LWP2" s="6"/>
      <c r="LWQ2" s="6"/>
      <c r="LWR2" s="6"/>
      <c r="LWS2" s="6"/>
      <c r="LWT2" s="6"/>
      <c r="LWU2" s="6"/>
      <c r="LWV2" s="6"/>
      <c r="LWW2" s="6"/>
      <c r="LWX2" s="6"/>
      <c r="LWY2" s="6"/>
      <c r="LWZ2" s="6"/>
      <c r="LXA2" s="6"/>
      <c r="LXB2" s="6"/>
      <c r="LXC2" s="6"/>
      <c r="LXD2" s="6"/>
      <c r="LXE2" s="6"/>
      <c r="LXF2" s="6"/>
      <c r="LXG2" s="6"/>
      <c r="LXH2" s="6"/>
      <c r="LXI2" s="6"/>
      <c r="LXJ2" s="6"/>
      <c r="LXK2" s="6"/>
      <c r="LXL2" s="6"/>
      <c r="LXM2" s="6"/>
      <c r="LXN2" s="6"/>
      <c r="LXO2" s="6"/>
      <c r="LXP2" s="6"/>
      <c r="LXQ2" s="6"/>
      <c r="LXR2" s="6"/>
      <c r="LXS2" s="6"/>
      <c r="LXT2" s="6"/>
      <c r="LXU2" s="6"/>
      <c r="LXV2" s="6"/>
      <c r="LXW2" s="6"/>
      <c r="LXX2" s="6"/>
      <c r="LXY2" s="6"/>
      <c r="LXZ2" s="6"/>
      <c r="LYA2" s="6"/>
      <c r="LYB2" s="6"/>
      <c r="LYC2" s="6"/>
      <c r="LYD2" s="6"/>
      <c r="LYE2" s="6"/>
      <c r="LYF2" s="6"/>
      <c r="LYG2" s="6"/>
      <c r="LYH2" s="6"/>
      <c r="LYI2" s="6"/>
      <c r="LYJ2" s="6"/>
      <c r="LYK2" s="6"/>
      <c r="LYL2" s="6"/>
      <c r="LYM2" s="6"/>
      <c r="LYN2" s="6"/>
      <c r="LYO2" s="6"/>
      <c r="LYP2" s="6"/>
      <c r="LYQ2" s="6"/>
      <c r="LYR2" s="6"/>
      <c r="LYS2" s="6"/>
      <c r="LYT2" s="6"/>
      <c r="LYU2" s="6"/>
      <c r="LYV2" s="6"/>
      <c r="LYW2" s="6"/>
      <c r="LYX2" s="6"/>
      <c r="LYY2" s="6"/>
      <c r="LYZ2" s="6"/>
      <c r="LZA2" s="6"/>
      <c r="LZB2" s="6"/>
      <c r="LZC2" s="6"/>
      <c r="LZD2" s="6"/>
      <c r="LZE2" s="6"/>
      <c r="LZF2" s="6"/>
      <c r="LZG2" s="6"/>
      <c r="LZH2" s="6"/>
      <c r="LZI2" s="6"/>
      <c r="LZJ2" s="6"/>
      <c r="LZK2" s="6"/>
      <c r="LZL2" s="6"/>
      <c r="LZM2" s="6"/>
      <c r="LZN2" s="6"/>
      <c r="LZO2" s="6"/>
      <c r="LZP2" s="6"/>
      <c r="LZQ2" s="6"/>
      <c r="LZR2" s="6"/>
      <c r="LZS2" s="6"/>
      <c r="LZT2" s="6"/>
      <c r="LZU2" s="6"/>
      <c r="LZV2" s="6"/>
      <c r="LZW2" s="6"/>
      <c r="LZX2" s="6"/>
      <c r="LZY2" s="6"/>
      <c r="LZZ2" s="6"/>
      <c r="MAA2" s="6"/>
      <c r="MAB2" s="6"/>
      <c r="MAC2" s="6"/>
      <c r="MAD2" s="6"/>
      <c r="MAE2" s="6"/>
      <c r="MAF2" s="6"/>
      <c r="MAG2" s="6"/>
      <c r="MAH2" s="6"/>
      <c r="MAI2" s="6"/>
      <c r="MAJ2" s="6"/>
      <c r="MAK2" s="6"/>
      <c r="MAL2" s="6"/>
      <c r="MAM2" s="6"/>
      <c r="MAN2" s="6"/>
      <c r="MAO2" s="6"/>
      <c r="MAP2" s="6"/>
      <c r="MAQ2" s="6"/>
      <c r="MAR2" s="6"/>
      <c r="MAS2" s="6"/>
      <c r="MAT2" s="6"/>
      <c r="MAU2" s="6"/>
      <c r="MAV2" s="6"/>
      <c r="MAW2" s="6"/>
      <c r="MAX2" s="6"/>
      <c r="MAY2" s="6"/>
      <c r="MAZ2" s="6"/>
      <c r="MBA2" s="6"/>
      <c r="MBB2" s="6"/>
      <c r="MBC2" s="6"/>
      <c r="MBD2" s="6"/>
      <c r="MBE2" s="6"/>
      <c r="MBF2" s="6"/>
      <c r="MBG2" s="6"/>
      <c r="MBH2" s="6"/>
      <c r="MBI2" s="6"/>
      <c r="MBJ2" s="6"/>
      <c r="MBK2" s="6"/>
      <c r="MBL2" s="6"/>
      <c r="MBM2" s="6"/>
      <c r="MBN2" s="6"/>
      <c r="MBO2" s="6"/>
      <c r="MBP2" s="6"/>
      <c r="MBQ2" s="6"/>
      <c r="MBR2" s="6"/>
      <c r="MBS2" s="6"/>
      <c r="MBT2" s="6"/>
      <c r="MBU2" s="6"/>
      <c r="MBV2" s="6"/>
      <c r="MBW2" s="6"/>
      <c r="MBX2" s="6"/>
      <c r="MBY2" s="6"/>
      <c r="MBZ2" s="6"/>
      <c r="MCA2" s="6"/>
      <c r="MCB2" s="6"/>
      <c r="MCC2" s="6"/>
      <c r="MCD2" s="6"/>
      <c r="MCE2" s="6"/>
      <c r="MCF2" s="6"/>
      <c r="MCG2" s="6"/>
      <c r="MCH2" s="6"/>
      <c r="MCI2" s="6"/>
      <c r="MCJ2" s="6"/>
      <c r="MCK2" s="6"/>
      <c r="MCL2" s="6"/>
      <c r="MCM2" s="6"/>
      <c r="MCN2" s="6"/>
      <c r="MCO2" s="6"/>
      <c r="MCP2" s="6"/>
      <c r="MCQ2" s="6"/>
      <c r="MCR2" s="6"/>
      <c r="MCS2" s="6"/>
      <c r="MCT2" s="6"/>
      <c r="MCU2" s="6"/>
      <c r="MCV2" s="6"/>
      <c r="MCW2" s="6"/>
      <c r="MCX2" s="6"/>
      <c r="MCY2" s="6"/>
      <c r="MCZ2" s="6"/>
      <c r="MDA2" s="6"/>
      <c r="MDB2" s="6"/>
      <c r="MDC2" s="6"/>
      <c r="MDD2" s="6"/>
      <c r="MDE2" s="6"/>
      <c r="MDF2" s="6"/>
      <c r="MDG2" s="6"/>
      <c r="MDH2" s="6"/>
      <c r="MDI2" s="6"/>
      <c r="MDJ2" s="6"/>
      <c r="MDK2" s="6"/>
      <c r="MDL2" s="6"/>
      <c r="MDM2" s="6"/>
      <c r="MDN2" s="6"/>
      <c r="MDO2" s="6"/>
      <c r="MDP2" s="6"/>
      <c r="MDQ2" s="6"/>
      <c r="MDR2" s="6"/>
      <c r="MDS2" s="6"/>
      <c r="MDT2" s="6"/>
      <c r="MDU2" s="6"/>
      <c r="MDV2" s="6"/>
      <c r="MDW2" s="6"/>
      <c r="MDX2" s="6"/>
      <c r="MDY2" s="6"/>
      <c r="MDZ2" s="6"/>
      <c r="MEA2" s="6"/>
      <c r="MEB2" s="6"/>
      <c r="MEC2" s="6"/>
      <c r="MED2" s="6"/>
      <c r="MEE2" s="6"/>
      <c r="MEF2" s="6"/>
      <c r="MEG2" s="6"/>
      <c r="MEH2" s="6"/>
      <c r="MEI2" s="6"/>
      <c r="MEJ2" s="6"/>
      <c r="MEK2" s="6"/>
      <c r="MEL2" s="6"/>
      <c r="MEM2" s="6"/>
      <c r="MEN2" s="6"/>
      <c r="MEO2" s="6"/>
      <c r="MEP2" s="6"/>
      <c r="MEQ2" s="6"/>
      <c r="MER2" s="6"/>
      <c r="MES2" s="6"/>
      <c r="MET2" s="6"/>
      <c r="MEU2" s="6"/>
      <c r="MEV2" s="6"/>
      <c r="MEW2" s="6"/>
      <c r="MEX2" s="6"/>
      <c r="MEY2" s="6"/>
      <c r="MEZ2" s="6"/>
      <c r="MFA2" s="6"/>
      <c r="MFB2" s="6"/>
      <c r="MFC2" s="6"/>
      <c r="MFD2" s="6"/>
      <c r="MFE2" s="6"/>
      <c r="MFF2" s="6"/>
      <c r="MFG2" s="6"/>
      <c r="MFH2" s="6"/>
      <c r="MFI2" s="6"/>
      <c r="MFJ2" s="6"/>
      <c r="MFK2" s="6"/>
      <c r="MFL2" s="6"/>
      <c r="MFM2" s="6"/>
      <c r="MFN2" s="6"/>
      <c r="MFO2" s="6"/>
      <c r="MFP2" s="6"/>
      <c r="MFQ2" s="6"/>
      <c r="MFR2" s="6"/>
      <c r="MFS2" s="6"/>
      <c r="MFT2" s="6"/>
      <c r="MFU2" s="6"/>
      <c r="MFV2" s="6"/>
      <c r="MFW2" s="6"/>
      <c r="MFX2" s="6"/>
      <c r="MFY2" s="6"/>
      <c r="MFZ2" s="6"/>
      <c r="MGA2" s="6"/>
      <c r="MGB2" s="6"/>
      <c r="MGC2" s="6"/>
      <c r="MGD2" s="6"/>
      <c r="MGE2" s="6"/>
      <c r="MGF2" s="6"/>
      <c r="MGG2" s="6"/>
      <c r="MGH2" s="6"/>
      <c r="MGI2" s="6"/>
      <c r="MGJ2" s="6"/>
      <c r="MGK2" s="6"/>
      <c r="MGL2" s="6"/>
      <c r="MGM2" s="6"/>
      <c r="MGN2" s="6"/>
      <c r="MGO2" s="6"/>
      <c r="MGP2" s="6"/>
      <c r="MGQ2" s="6"/>
      <c r="MGR2" s="6"/>
      <c r="MGS2" s="6"/>
      <c r="MGT2" s="6"/>
      <c r="MGU2" s="6"/>
      <c r="MGV2" s="6"/>
      <c r="MGW2" s="6"/>
      <c r="MGX2" s="6"/>
      <c r="MGY2" s="6"/>
      <c r="MGZ2" s="6"/>
      <c r="MHA2" s="6"/>
      <c r="MHB2" s="6"/>
      <c r="MHC2" s="6"/>
      <c r="MHD2" s="6"/>
      <c r="MHE2" s="6"/>
      <c r="MHF2" s="6"/>
      <c r="MHG2" s="6"/>
      <c r="MHH2" s="6"/>
      <c r="MHI2" s="6"/>
      <c r="MHJ2" s="6"/>
      <c r="MHK2" s="6"/>
      <c r="MHL2" s="6"/>
      <c r="MHM2" s="6"/>
      <c r="MHN2" s="6"/>
      <c r="MHO2" s="6"/>
      <c r="MHP2" s="6"/>
      <c r="MHQ2" s="6"/>
      <c r="MHR2" s="6"/>
      <c r="MHS2" s="6"/>
      <c r="MHT2" s="6"/>
      <c r="MHU2" s="6"/>
      <c r="MHV2" s="6"/>
      <c r="MHW2" s="6"/>
      <c r="MHX2" s="6"/>
      <c r="MHY2" s="6"/>
      <c r="MHZ2" s="6"/>
      <c r="MIA2" s="6"/>
      <c r="MIB2" s="6"/>
      <c r="MIC2" s="6"/>
      <c r="MID2" s="6"/>
      <c r="MIE2" s="6"/>
      <c r="MIF2" s="6"/>
      <c r="MIG2" s="6"/>
      <c r="MIH2" s="6"/>
      <c r="MII2" s="6"/>
      <c r="MIJ2" s="6"/>
      <c r="MIK2" s="6"/>
      <c r="MIL2" s="6"/>
      <c r="MIM2" s="6"/>
      <c r="MIN2" s="6"/>
      <c r="MIO2" s="6"/>
      <c r="MIP2" s="6"/>
      <c r="MIQ2" s="6"/>
      <c r="MIR2" s="6"/>
      <c r="MIS2" s="6"/>
      <c r="MIT2" s="6"/>
      <c r="MIU2" s="6"/>
      <c r="MIV2" s="6"/>
      <c r="MIW2" s="6"/>
      <c r="MIX2" s="6"/>
      <c r="MIY2" s="6"/>
      <c r="MIZ2" s="6"/>
      <c r="MJA2" s="6"/>
      <c r="MJB2" s="6"/>
      <c r="MJC2" s="6"/>
      <c r="MJD2" s="6"/>
      <c r="MJE2" s="6"/>
      <c r="MJF2" s="6"/>
      <c r="MJG2" s="6"/>
      <c r="MJH2" s="6"/>
      <c r="MJI2" s="6"/>
      <c r="MJJ2" s="6"/>
      <c r="MJK2" s="6"/>
      <c r="MJL2" s="6"/>
      <c r="MJM2" s="6"/>
      <c r="MJN2" s="6"/>
      <c r="MJO2" s="6"/>
      <c r="MJP2" s="6"/>
      <c r="MJQ2" s="6"/>
      <c r="MJR2" s="6"/>
      <c r="MJS2" s="6"/>
      <c r="MJT2" s="6"/>
      <c r="MJU2" s="6"/>
      <c r="MJV2" s="6"/>
      <c r="MJW2" s="6"/>
      <c r="MJX2" s="6"/>
      <c r="MJY2" s="6"/>
      <c r="MJZ2" s="6"/>
      <c r="MKA2" s="6"/>
      <c r="MKB2" s="6"/>
      <c r="MKC2" s="6"/>
      <c r="MKD2" s="6"/>
      <c r="MKE2" s="6"/>
      <c r="MKF2" s="6"/>
      <c r="MKG2" s="6"/>
      <c r="MKH2" s="6"/>
      <c r="MKI2" s="6"/>
      <c r="MKJ2" s="6"/>
      <c r="MKK2" s="6"/>
      <c r="MKL2" s="6"/>
      <c r="MKM2" s="6"/>
      <c r="MKN2" s="6"/>
      <c r="MKO2" s="6"/>
      <c r="MKP2" s="6"/>
      <c r="MKQ2" s="6"/>
      <c r="MKR2" s="6"/>
      <c r="MKS2" s="6"/>
      <c r="MKT2" s="6"/>
      <c r="MKU2" s="6"/>
      <c r="MKV2" s="6"/>
      <c r="MKW2" s="6"/>
      <c r="MKX2" s="6"/>
      <c r="MKY2" s="6"/>
      <c r="MKZ2" s="6"/>
      <c r="MLA2" s="6"/>
      <c r="MLB2" s="6"/>
      <c r="MLC2" s="6"/>
      <c r="MLD2" s="6"/>
      <c r="MLE2" s="6"/>
      <c r="MLF2" s="6"/>
      <c r="MLG2" s="6"/>
      <c r="MLH2" s="6"/>
      <c r="MLI2" s="6"/>
      <c r="MLJ2" s="6"/>
      <c r="MLK2" s="6"/>
      <c r="MLL2" s="6"/>
      <c r="MLM2" s="6"/>
      <c r="MLN2" s="6"/>
      <c r="MLO2" s="6"/>
      <c r="MLP2" s="6"/>
      <c r="MLQ2" s="6"/>
      <c r="MLR2" s="6"/>
      <c r="MLS2" s="6"/>
      <c r="MLT2" s="6"/>
      <c r="MLU2" s="6"/>
      <c r="MLV2" s="6"/>
      <c r="MLW2" s="6"/>
      <c r="MLX2" s="6"/>
      <c r="MLY2" s="6"/>
      <c r="MLZ2" s="6"/>
      <c r="MMA2" s="6"/>
      <c r="MMB2" s="6"/>
      <c r="MMC2" s="6"/>
      <c r="MMD2" s="6"/>
      <c r="MME2" s="6"/>
      <c r="MMF2" s="6"/>
      <c r="MMG2" s="6"/>
      <c r="MMH2" s="6"/>
      <c r="MMI2" s="6"/>
      <c r="MMJ2" s="6"/>
      <c r="MMK2" s="6"/>
      <c r="MML2" s="6"/>
      <c r="MMM2" s="6"/>
      <c r="MMN2" s="6"/>
      <c r="MMO2" s="6"/>
      <c r="MMP2" s="6"/>
      <c r="MMQ2" s="6"/>
      <c r="MMR2" s="6"/>
      <c r="MMS2" s="6"/>
      <c r="MMT2" s="6"/>
      <c r="MMU2" s="6"/>
      <c r="MMV2" s="6"/>
      <c r="MMW2" s="6"/>
      <c r="MMX2" s="6"/>
      <c r="MMY2" s="6"/>
      <c r="MMZ2" s="6"/>
      <c r="MNA2" s="6"/>
      <c r="MNB2" s="6"/>
      <c r="MNC2" s="6"/>
      <c r="MND2" s="6"/>
      <c r="MNE2" s="6"/>
      <c r="MNF2" s="6"/>
      <c r="MNG2" s="6"/>
      <c r="MNH2" s="6"/>
      <c r="MNI2" s="6"/>
      <c r="MNJ2" s="6"/>
      <c r="MNK2" s="6"/>
      <c r="MNL2" s="6"/>
      <c r="MNM2" s="6"/>
      <c r="MNN2" s="6"/>
      <c r="MNO2" s="6"/>
      <c r="MNP2" s="6"/>
      <c r="MNQ2" s="6"/>
      <c r="MNR2" s="6"/>
      <c r="MNS2" s="6"/>
      <c r="MNT2" s="6"/>
      <c r="MNU2" s="6"/>
      <c r="MNV2" s="6"/>
      <c r="MNW2" s="6"/>
      <c r="MNX2" s="6"/>
      <c r="MNY2" s="6"/>
      <c r="MNZ2" s="6"/>
      <c r="MOA2" s="6"/>
      <c r="MOB2" s="6"/>
      <c r="MOC2" s="6"/>
      <c r="MOD2" s="6"/>
      <c r="MOE2" s="6"/>
      <c r="MOF2" s="6"/>
      <c r="MOG2" s="6"/>
      <c r="MOH2" s="6"/>
      <c r="MOI2" s="6"/>
      <c r="MOJ2" s="6"/>
      <c r="MOK2" s="6"/>
      <c r="MOL2" s="6"/>
      <c r="MOM2" s="6"/>
      <c r="MON2" s="6"/>
      <c r="MOO2" s="6"/>
      <c r="MOP2" s="6"/>
      <c r="MOQ2" s="6"/>
      <c r="MOR2" s="6"/>
      <c r="MOS2" s="6"/>
      <c r="MOT2" s="6"/>
      <c r="MOU2" s="6"/>
      <c r="MOV2" s="6"/>
      <c r="MOW2" s="6"/>
      <c r="MOX2" s="6"/>
      <c r="MOY2" s="6"/>
      <c r="MOZ2" s="6"/>
      <c r="MPA2" s="6"/>
      <c r="MPB2" s="6"/>
      <c r="MPC2" s="6"/>
      <c r="MPD2" s="6"/>
      <c r="MPE2" s="6"/>
      <c r="MPF2" s="6"/>
      <c r="MPG2" s="6"/>
      <c r="MPH2" s="6"/>
      <c r="MPI2" s="6"/>
      <c r="MPJ2" s="6"/>
      <c r="MPK2" s="6"/>
      <c r="MPL2" s="6"/>
      <c r="MPM2" s="6"/>
      <c r="MPN2" s="6"/>
      <c r="MPO2" s="6"/>
      <c r="MPP2" s="6"/>
      <c r="MPQ2" s="6"/>
      <c r="MPR2" s="6"/>
      <c r="MPS2" s="6"/>
      <c r="MPT2" s="6"/>
      <c r="MPU2" s="6"/>
      <c r="MPV2" s="6"/>
      <c r="MPW2" s="6"/>
      <c r="MPX2" s="6"/>
      <c r="MPY2" s="6"/>
      <c r="MPZ2" s="6"/>
      <c r="MQA2" s="6"/>
      <c r="MQB2" s="6"/>
      <c r="MQC2" s="6"/>
      <c r="MQD2" s="6"/>
      <c r="MQE2" s="6"/>
      <c r="MQF2" s="6"/>
      <c r="MQG2" s="6"/>
      <c r="MQH2" s="6"/>
      <c r="MQI2" s="6"/>
      <c r="MQJ2" s="6"/>
      <c r="MQK2" s="6"/>
      <c r="MQL2" s="6"/>
      <c r="MQM2" s="6"/>
      <c r="MQN2" s="6"/>
      <c r="MQO2" s="6"/>
      <c r="MQP2" s="6"/>
      <c r="MQQ2" s="6"/>
      <c r="MQR2" s="6"/>
      <c r="MQS2" s="6"/>
      <c r="MQT2" s="6"/>
      <c r="MQU2" s="6"/>
      <c r="MQV2" s="6"/>
      <c r="MQW2" s="6"/>
      <c r="MQX2" s="6"/>
      <c r="MQY2" s="6"/>
      <c r="MQZ2" s="6"/>
      <c r="MRA2" s="6"/>
      <c r="MRB2" s="6"/>
      <c r="MRC2" s="6"/>
      <c r="MRD2" s="6"/>
      <c r="MRE2" s="6"/>
      <c r="MRF2" s="6"/>
      <c r="MRG2" s="6"/>
      <c r="MRH2" s="6"/>
      <c r="MRI2" s="6"/>
      <c r="MRJ2" s="6"/>
      <c r="MRK2" s="6"/>
      <c r="MRL2" s="6"/>
      <c r="MRM2" s="6"/>
      <c r="MRN2" s="6"/>
      <c r="MRO2" s="6"/>
      <c r="MRP2" s="6"/>
      <c r="MRQ2" s="6"/>
      <c r="MRR2" s="6"/>
      <c r="MRS2" s="6"/>
      <c r="MRT2" s="6"/>
      <c r="MRU2" s="6"/>
      <c r="MRV2" s="6"/>
      <c r="MRW2" s="6"/>
      <c r="MRX2" s="6"/>
      <c r="MRY2" s="6"/>
      <c r="MRZ2" s="6"/>
      <c r="MSA2" s="6"/>
      <c r="MSB2" s="6"/>
      <c r="MSC2" s="6"/>
      <c r="MSD2" s="6"/>
      <c r="MSE2" s="6"/>
      <c r="MSF2" s="6"/>
      <c r="MSG2" s="6"/>
      <c r="MSH2" s="6"/>
      <c r="MSI2" s="6"/>
      <c r="MSJ2" s="6"/>
      <c r="MSK2" s="6"/>
      <c r="MSL2" s="6"/>
      <c r="MSM2" s="6"/>
      <c r="MSN2" s="6"/>
      <c r="MSO2" s="6"/>
      <c r="MSP2" s="6"/>
      <c r="MSQ2" s="6"/>
      <c r="MSR2" s="6"/>
      <c r="MSS2" s="6"/>
      <c r="MST2" s="6"/>
      <c r="MSU2" s="6"/>
      <c r="MSV2" s="6"/>
      <c r="MSW2" s="6"/>
      <c r="MSX2" s="6"/>
      <c r="MSY2" s="6"/>
      <c r="MSZ2" s="6"/>
      <c r="MTA2" s="6"/>
      <c r="MTB2" s="6"/>
      <c r="MTC2" s="6"/>
      <c r="MTD2" s="6"/>
      <c r="MTE2" s="6"/>
      <c r="MTF2" s="6"/>
      <c r="MTG2" s="6"/>
      <c r="MTH2" s="6"/>
      <c r="MTI2" s="6"/>
      <c r="MTJ2" s="6"/>
      <c r="MTK2" s="6"/>
      <c r="MTL2" s="6"/>
      <c r="MTM2" s="6"/>
      <c r="MTN2" s="6"/>
      <c r="MTO2" s="6"/>
      <c r="MTP2" s="6"/>
      <c r="MTQ2" s="6"/>
      <c r="MTR2" s="6"/>
      <c r="MTS2" s="6"/>
      <c r="MTT2" s="6"/>
      <c r="MTU2" s="6"/>
      <c r="MTV2" s="6"/>
      <c r="MTW2" s="6"/>
      <c r="MTX2" s="6"/>
      <c r="MTY2" s="6"/>
      <c r="MTZ2" s="6"/>
      <c r="MUA2" s="6"/>
      <c r="MUB2" s="6"/>
      <c r="MUC2" s="6"/>
      <c r="MUD2" s="6"/>
      <c r="MUE2" s="6"/>
      <c r="MUF2" s="6"/>
      <c r="MUG2" s="6"/>
      <c r="MUH2" s="6"/>
      <c r="MUI2" s="6"/>
      <c r="MUJ2" s="6"/>
      <c r="MUK2" s="6"/>
      <c r="MUL2" s="6"/>
      <c r="MUM2" s="6"/>
      <c r="MUN2" s="6"/>
      <c r="MUO2" s="6"/>
      <c r="MUP2" s="6"/>
      <c r="MUQ2" s="6"/>
      <c r="MUR2" s="6"/>
      <c r="MUS2" s="6"/>
      <c r="MUT2" s="6"/>
      <c r="MUU2" s="6"/>
      <c r="MUV2" s="6"/>
      <c r="MUW2" s="6"/>
      <c r="MUX2" s="6"/>
      <c r="MUY2" s="6"/>
      <c r="MUZ2" s="6"/>
      <c r="MVA2" s="6"/>
      <c r="MVB2" s="6"/>
      <c r="MVC2" s="6"/>
      <c r="MVD2" s="6"/>
      <c r="MVE2" s="6"/>
      <c r="MVF2" s="6"/>
      <c r="MVG2" s="6"/>
      <c r="MVH2" s="6"/>
      <c r="MVI2" s="6"/>
      <c r="MVJ2" s="6"/>
      <c r="MVK2" s="6"/>
      <c r="MVL2" s="6"/>
      <c r="MVM2" s="6"/>
      <c r="MVN2" s="6"/>
      <c r="MVO2" s="6"/>
      <c r="MVP2" s="6"/>
      <c r="MVQ2" s="6"/>
      <c r="MVR2" s="6"/>
      <c r="MVS2" s="6"/>
      <c r="MVT2" s="6"/>
      <c r="MVU2" s="6"/>
      <c r="MVV2" s="6"/>
      <c r="MVW2" s="6"/>
      <c r="MVX2" s="6"/>
      <c r="MVY2" s="6"/>
      <c r="MVZ2" s="6"/>
      <c r="MWA2" s="6"/>
      <c r="MWB2" s="6"/>
      <c r="MWC2" s="6"/>
      <c r="MWD2" s="6"/>
      <c r="MWE2" s="6"/>
      <c r="MWF2" s="6"/>
      <c r="MWG2" s="6"/>
      <c r="MWH2" s="6"/>
      <c r="MWI2" s="6"/>
      <c r="MWJ2" s="6"/>
      <c r="MWK2" s="6"/>
      <c r="MWL2" s="6"/>
      <c r="MWM2" s="6"/>
      <c r="MWN2" s="6"/>
      <c r="MWO2" s="6"/>
      <c r="MWP2" s="6"/>
      <c r="MWQ2" s="6"/>
      <c r="MWR2" s="6"/>
      <c r="MWS2" s="6"/>
      <c r="MWT2" s="6"/>
      <c r="MWU2" s="6"/>
      <c r="MWV2" s="6"/>
      <c r="MWW2" s="6"/>
      <c r="MWX2" s="6"/>
      <c r="MWY2" s="6"/>
      <c r="MWZ2" s="6"/>
      <c r="MXA2" s="6"/>
      <c r="MXB2" s="6"/>
      <c r="MXC2" s="6"/>
      <c r="MXD2" s="6"/>
      <c r="MXE2" s="6"/>
      <c r="MXF2" s="6"/>
      <c r="MXG2" s="6"/>
      <c r="MXH2" s="6"/>
      <c r="MXI2" s="6"/>
      <c r="MXJ2" s="6"/>
      <c r="MXK2" s="6"/>
      <c r="MXL2" s="6"/>
      <c r="MXM2" s="6"/>
      <c r="MXN2" s="6"/>
      <c r="MXO2" s="6"/>
      <c r="MXP2" s="6"/>
      <c r="MXQ2" s="6"/>
      <c r="MXR2" s="6"/>
      <c r="MXS2" s="6"/>
      <c r="MXT2" s="6"/>
      <c r="MXU2" s="6"/>
      <c r="MXV2" s="6"/>
      <c r="MXW2" s="6"/>
      <c r="MXX2" s="6"/>
      <c r="MXY2" s="6"/>
      <c r="MXZ2" s="6"/>
      <c r="MYA2" s="6"/>
      <c r="MYB2" s="6"/>
      <c r="MYC2" s="6"/>
      <c r="MYD2" s="6"/>
      <c r="MYE2" s="6"/>
      <c r="MYF2" s="6"/>
      <c r="MYG2" s="6"/>
      <c r="MYH2" s="6"/>
      <c r="MYI2" s="6"/>
      <c r="MYJ2" s="6"/>
      <c r="MYK2" s="6"/>
      <c r="MYL2" s="6"/>
      <c r="MYM2" s="6"/>
      <c r="MYN2" s="6"/>
      <c r="MYO2" s="6"/>
      <c r="MYP2" s="6"/>
      <c r="MYQ2" s="6"/>
      <c r="MYR2" s="6"/>
      <c r="MYS2" s="6"/>
      <c r="MYT2" s="6"/>
      <c r="MYU2" s="6"/>
      <c r="MYV2" s="6"/>
      <c r="MYW2" s="6"/>
      <c r="MYX2" s="6"/>
      <c r="MYY2" s="6"/>
      <c r="MYZ2" s="6"/>
      <c r="MZA2" s="6"/>
      <c r="MZB2" s="6"/>
      <c r="MZC2" s="6"/>
      <c r="MZD2" s="6"/>
      <c r="MZE2" s="6"/>
      <c r="MZF2" s="6"/>
      <c r="MZG2" s="6"/>
      <c r="MZH2" s="6"/>
      <c r="MZI2" s="6"/>
      <c r="MZJ2" s="6"/>
      <c r="MZK2" s="6"/>
      <c r="MZL2" s="6"/>
      <c r="MZM2" s="6"/>
      <c r="MZN2" s="6"/>
      <c r="MZO2" s="6"/>
      <c r="MZP2" s="6"/>
      <c r="MZQ2" s="6"/>
      <c r="MZR2" s="6"/>
      <c r="MZS2" s="6"/>
      <c r="MZT2" s="6"/>
      <c r="MZU2" s="6"/>
      <c r="MZV2" s="6"/>
      <c r="MZW2" s="6"/>
      <c r="MZX2" s="6"/>
      <c r="MZY2" s="6"/>
      <c r="MZZ2" s="6"/>
      <c r="NAA2" s="6"/>
      <c r="NAB2" s="6"/>
      <c r="NAC2" s="6"/>
      <c r="NAD2" s="6"/>
      <c r="NAE2" s="6"/>
      <c r="NAF2" s="6"/>
      <c r="NAG2" s="6"/>
      <c r="NAH2" s="6"/>
      <c r="NAI2" s="6"/>
      <c r="NAJ2" s="6"/>
      <c r="NAK2" s="6"/>
      <c r="NAL2" s="6"/>
      <c r="NAM2" s="6"/>
      <c r="NAN2" s="6"/>
      <c r="NAO2" s="6"/>
      <c r="NAP2" s="6"/>
      <c r="NAQ2" s="6"/>
      <c r="NAR2" s="6"/>
      <c r="NAS2" s="6"/>
      <c r="NAT2" s="6"/>
      <c r="NAU2" s="6"/>
      <c r="NAV2" s="6"/>
      <c r="NAW2" s="6"/>
      <c r="NAX2" s="6"/>
      <c r="NAY2" s="6"/>
      <c r="NAZ2" s="6"/>
      <c r="NBA2" s="6"/>
      <c r="NBB2" s="6"/>
      <c r="NBC2" s="6"/>
      <c r="NBD2" s="6"/>
      <c r="NBE2" s="6"/>
      <c r="NBF2" s="6"/>
      <c r="NBG2" s="6"/>
      <c r="NBH2" s="6"/>
      <c r="NBI2" s="6"/>
      <c r="NBJ2" s="6"/>
      <c r="NBK2" s="6"/>
      <c r="NBL2" s="6"/>
      <c r="NBM2" s="6"/>
      <c r="NBN2" s="6"/>
      <c r="NBO2" s="6"/>
      <c r="NBP2" s="6"/>
      <c r="NBQ2" s="6"/>
      <c r="NBR2" s="6"/>
      <c r="NBS2" s="6"/>
      <c r="NBT2" s="6"/>
      <c r="NBU2" s="6"/>
      <c r="NBV2" s="6"/>
      <c r="NBW2" s="6"/>
      <c r="NBX2" s="6"/>
      <c r="NBY2" s="6"/>
      <c r="NBZ2" s="6"/>
      <c r="NCA2" s="6"/>
      <c r="NCB2" s="6"/>
      <c r="NCC2" s="6"/>
      <c r="NCD2" s="6"/>
      <c r="NCE2" s="6"/>
      <c r="NCF2" s="6"/>
      <c r="NCG2" s="6"/>
      <c r="NCH2" s="6"/>
      <c r="NCI2" s="6"/>
      <c r="NCJ2" s="6"/>
      <c r="NCK2" s="6"/>
      <c r="NCL2" s="6"/>
      <c r="NCM2" s="6"/>
      <c r="NCN2" s="6"/>
      <c r="NCO2" s="6"/>
      <c r="NCP2" s="6"/>
      <c r="NCQ2" s="6"/>
      <c r="NCR2" s="6"/>
      <c r="NCS2" s="6"/>
      <c r="NCT2" s="6"/>
      <c r="NCU2" s="6"/>
      <c r="NCV2" s="6"/>
      <c r="NCW2" s="6"/>
      <c r="NCX2" s="6"/>
      <c r="NCY2" s="6"/>
      <c r="NCZ2" s="6"/>
      <c r="NDA2" s="6"/>
      <c r="NDB2" s="6"/>
      <c r="NDC2" s="6"/>
      <c r="NDD2" s="6"/>
      <c r="NDE2" s="6"/>
      <c r="NDF2" s="6"/>
      <c r="NDG2" s="6"/>
      <c r="NDH2" s="6"/>
      <c r="NDI2" s="6"/>
      <c r="NDJ2" s="6"/>
      <c r="NDK2" s="6"/>
      <c r="NDL2" s="6"/>
      <c r="NDM2" s="6"/>
      <c r="NDN2" s="6"/>
      <c r="NDO2" s="6"/>
      <c r="NDP2" s="6"/>
      <c r="NDQ2" s="6"/>
      <c r="NDR2" s="6"/>
      <c r="NDS2" s="6"/>
      <c r="NDT2" s="6"/>
      <c r="NDU2" s="6"/>
      <c r="NDV2" s="6"/>
      <c r="NDW2" s="6"/>
      <c r="NDX2" s="6"/>
      <c r="NDY2" s="6"/>
      <c r="NDZ2" s="6"/>
      <c r="NEA2" s="6"/>
      <c r="NEB2" s="6"/>
      <c r="NEC2" s="6"/>
      <c r="NED2" s="6"/>
      <c r="NEE2" s="6"/>
      <c r="NEF2" s="6"/>
      <c r="NEG2" s="6"/>
      <c r="NEH2" s="6"/>
      <c r="NEI2" s="6"/>
      <c r="NEJ2" s="6"/>
      <c r="NEK2" s="6"/>
      <c r="NEL2" s="6"/>
      <c r="NEM2" s="6"/>
      <c r="NEN2" s="6"/>
      <c r="NEO2" s="6"/>
      <c r="NEP2" s="6"/>
      <c r="NEQ2" s="6"/>
      <c r="NER2" s="6"/>
      <c r="NES2" s="6"/>
      <c r="NET2" s="6"/>
      <c r="NEU2" s="6"/>
      <c r="NEV2" s="6"/>
      <c r="NEW2" s="6"/>
      <c r="NEX2" s="6"/>
      <c r="NEY2" s="6"/>
      <c r="NEZ2" s="6"/>
      <c r="NFA2" s="6"/>
      <c r="NFB2" s="6"/>
      <c r="NFC2" s="6"/>
      <c r="NFD2" s="6"/>
      <c r="NFE2" s="6"/>
      <c r="NFF2" s="6"/>
      <c r="NFG2" s="6"/>
      <c r="NFH2" s="6"/>
      <c r="NFI2" s="6"/>
      <c r="NFJ2" s="6"/>
      <c r="NFK2" s="6"/>
      <c r="NFL2" s="6"/>
      <c r="NFM2" s="6"/>
      <c r="NFN2" s="6"/>
      <c r="NFO2" s="6"/>
      <c r="NFP2" s="6"/>
      <c r="NFQ2" s="6"/>
      <c r="NFR2" s="6"/>
      <c r="NFS2" s="6"/>
      <c r="NFT2" s="6"/>
      <c r="NFU2" s="6"/>
      <c r="NFV2" s="6"/>
      <c r="NFW2" s="6"/>
      <c r="NFX2" s="6"/>
      <c r="NFY2" s="6"/>
      <c r="NFZ2" s="6"/>
      <c r="NGA2" s="6"/>
      <c r="NGB2" s="6"/>
      <c r="NGC2" s="6"/>
      <c r="NGD2" s="6"/>
      <c r="NGE2" s="6"/>
      <c r="NGF2" s="6"/>
      <c r="NGG2" s="6"/>
      <c r="NGH2" s="6"/>
      <c r="NGI2" s="6"/>
      <c r="NGJ2" s="6"/>
      <c r="NGK2" s="6"/>
      <c r="NGL2" s="6"/>
      <c r="NGM2" s="6"/>
      <c r="NGN2" s="6"/>
      <c r="NGO2" s="6"/>
      <c r="NGP2" s="6"/>
      <c r="NGQ2" s="6"/>
      <c r="NGR2" s="6"/>
      <c r="NGS2" s="6"/>
      <c r="NGT2" s="6"/>
      <c r="NGU2" s="6"/>
      <c r="NGV2" s="6"/>
      <c r="NGW2" s="6"/>
      <c r="NGX2" s="6"/>
      <c r="NGY2" s="6"/>
      <c r="NGZ2" s="6"/>
      <c r="NHA2" s="6"/>
      <c r="NHB2" s="6"/>
      <c r="NHC2" s="6"/>
      <c r="NHD2" s="6"/>
      <c r="NHE2" s="6"/>
      <c r="NHF2" s="6"/>
      <c r="NHG2" s="6"/>
      <c r="NHH2" s="6"/>
      <c r="NHI2" s="6"/>
      <c r="NHJ2" s="6"/>
      <c r="NHK2" s="6"/>
      <c r="NHL2" s="6"/>
      <c r="NHM2" s="6"/>
      <c r="NHN2" s="6"/>
      <c r="NHO2" s="6"/>
      <c r="NHP2" s="6"/>
      <c r="NHQ2" s="6"/>
      <c r="NHR2" s="6"/>
      <c r="NHS2" s="6"/>
      <c r="NHT2" s="6"/>
      <c r="NHU2" s="6"/>
      <c r="NHV2" s="6"/>
      <c r="NHW2" s="6"/>
      <c r="NHX2" s="6"/>
      <c r="NHY2" s="6"/>
      <c r="NHZ2" s="6"/>
      <c r="NIA2" s="6"/>
      <c r="NIB2" s="6"/>
      <c r="NIC2" s="6"/>
      <c r="NID2" s="6"/>
      <c r="NIE2" s="6"/>
      <c r="NIF2" s="6"/>
      <c r="NIG2" s="6"/>
      <c r="NIH2" s="6"/>
      <c r="NII2" s="6"/>
      <c r="NIJ2" s="6"/>
      <c r="NIK2" s="6"/>
      <c r="NIL2" s="6"/>
      <c r="NIM2" s="6"/>
      <c r="NIN2" s="6"/>
      <c r="NIO2" s="6"/>
      <c r="NIP2" s="6"/>
      <c r="NIQ2" s="6"/>
      <c r="NIR2" s="6"/>
      <c r="NIS2" s="6"/>
      <c r="NIT2" s="6"/>
      <c r="NIU2" s="6"/>
      <c r="NIV2" s="6"/>
      <c r="NIW2" s="6"/>
      <c r="NIX2" s="6"/>
      <c r="NIY2" s="6"/>
      <c r="NIZ2" s="6"/>
      <c r="NJA2" s="6"/>
      <c r="NJB2" s="6"/>
      <c r="NJC2" s="6"/>
      <c r="NJD2" s="6"/>
      <c r="NJE2" s="6"/>
      <c r="NJF2" s="6"/>
      <c r="NJG2" s="6"/>
      <c r="NJH2" s="6"/>
      <c r="NJI2" s="6"/>
      <c r="NJJ2" s="6"/>
      <c r="NJK2" s="6"/>
      <c r="NJL2" s="6"/>
      <c r="NJM2" s="6"/>
      <c r="NJN2" s="6"/>
      <c r="NJO2" s="6"/>
      <c r="NJP2" s="6"/>
      <c r="NJQ2" s="6"/>
      <c r="NJR2" s="6"/>
      <c r="NJS2" s="6"/>
      <c r="NJT2" s="6"/>
      <c r="NJU2" s="6"/>
      <c r="NJV2" s="6"/>
      <c r="NJW2" s="6"/>
      <c r="NJX2" s="6"/>
      <c r="NJY2" s="6"/>
      <c r="NJZ2" s="6"/>
      <c r="NKA2" s="6"/>
      <c r="NKB2" s="6"/>
      <c r="NKC2" s="6"/>
      <c r="NKD2" s="6"/>
      <c r="NKE2" s="6"/>
      <c r="NKF2" s="6"/>
      <c r="NKG2" s="6"/>
      <c r="NKH2" s="6"/>
      <c r="NKI2" s="6"/>
      <c r="NKJ2" s="6"/>
      <c r="NKK2" s="6"/>
      <c r="NKL2" s="6"/>
      <c r="NKM2" s="6"/>
      <c r="NKN2" s="6"/>
      <c r="NKO2" s="6"/>
      <c r="NKP2" s="6"/>
      <c r="NKQ2" s="6"/>
      <c r="NKR2" s="6"/>
      <c r="NKS2" s="6"/>
      <c r="NKT2" s="6"/>
      <c r="NKU2" s="6"/>
      <c r="NKV2" s="6"/>
      <c r="NKW2" s="6"/>
      <c r="NKX2" s="6"/>
      <c r="NKY2" s="6"/>
      <c r="NKZ2" s="6"/>
      <c r="NLA2" s="6"/>
      <c r="NLB2" s="6"/>
      <c r="NLC2" s="6"/>
      <c r="NLD2" s="6"/>
      <c r="NLE2" s="6"/>
      <c r="NLF2" s="6"/>
      <c r="NLG2" s="6"/>
      <c r="NLH2" s="6"/>
      <c r="NLI2" s="6"/>
      <c r="NLJ2" s="6"/>
      <c r="NLK2" s="6"/>
      <c r="NLL2" s="6"/>
      <c r="NLM2" s="6"/>
      <c r="NLN2" s="6"/>
      <c r="NLO2" s="6"/>
      <c r="NLP2" s="6"/>
      <c r="NLQ2" s="6"/>
      <c r="NLR2" s="6"/>
      <c r="NLS2" s="6"/>
      <c r="NLT2" s="6"/>
      <c r="NLU2" s="6"/>
      <c r="NLV2" s="6"/>
      <c r="NLW2" s="6"/>
      <c r="NLX2" s="6"/>
      <c r="NLY2" s="6"/>
      <c r="NLZ2" s="6"/>
      <c r="NMA2" s="6"/>
      <c r="NMB2" s="6"/>
      <c r="NMC2" s="6"/>
      <c r="NMD2" s="6"/>
      <c r="NME2" s="6"/>
      <c r="NMF2" s="6"/>
      <c r="NMG2" s="6"/>
      <c r="NMH2" s="6"/>
      <c r="NMI2" s="6"/>
      <c r="NMJ2" s="6"/>
      <c r="NMK2" s="6"/>
      <c r="NML2" s="6"/>
      <c r="NMM2" s="6"/>
      <c r="NMN2" s="6"/>
      <c r="NMO2" s="6"/>
      <c r="NMP2" s="6"/>
      <c r="NMQ2" s="6"/>
      <c r="NMR2" s="6"/>
      <c r="NMS2" s="6"/>
      <c r="NMT2" s="6"/>
      <c r="NMU2" s="6"/>
      <c r="NMV2" s="6"/>
      <c r="NMW2" s="6"/>
      <c r="NMX2" s="6"/>
      <c r="NMY2" s="6"/>
      <c r="NMZ2" s="6"/>
      <c r="NNA2" s="6"/>
      <c r="NNB2" s="6"/>
      <c r="NNC2" s="6"/>
      <c r="NND2" s="6"/>
      <c r="NNE2" s="6"/>
      <c r="NNF2" s="6"/>
      <c r="NNG2" s="6"/>
      <c r="NNH2" s="6"/>
      <c r="NNI2" s="6"/>
      <c r="NNJ2" s="6"/>
      <c r="NNK2" s="6"/>
      <c r="NNL2" s="6"/>
      <c r="NNM2" s="6"/>
      <c r="NNN2" s="6"/>
      <c r="NNO2" s="6"/>
      <c r="NNP2" s="6"/>
      <c r="NNQ2" s="6"/>
      <c r="NNR2" s="6"/>
      <c r="NNS2" s="6"/>
      <c r="NNT2" s="6"/>
      <c r="NNU2" s="6"/>
      <c r="NNV2" s="6"/>
      <c r="NNW2" s="6"/>
      <c r="NNX2" s="6"/>
      <c r="NNY2" s="6"/>
      <c r="NNZ2" s="6"/>
      <c r="NOA2" s="6"/>
      <c r="NOB2" s="6"/>
      <c r="NOC2" s="6"/>
      <c r="NOD2" s="6"/>
      <c r="NOE2" s="6"/>
      <c r="NOF2" s="6"/>
      <c r="NOG2" s="6"/>
      <c r="NOH2" s="6"/>
      <c r="NOI2" s="6"/>
      <c r="NOJ2" s="6"/>
      <c r="NOK2" s="6"/>
      <c r="NOL2" s="6"/>
      <c r="NOM2" s="6"/>
      <c r="NON2" s="6"/>
      <c r="NOO2" s="6"/>
      <c r="NOP2" s="6"/>
      <c r="NOQ2" s="6"/>
      <c r="NOR2" s="6"/>
      <c r="NOS2" s="6"/>
      <c r="NOT2" s="6"/>
      <c r="NOU2" s="6"/>
      <c r="NOV2" s="6"/>
      <c r="NOW2" s="6"/>
      <c r="NOX2" s="6"/>
      <c r="NOY2" s="6"/>
      <c r="NOZ2" s="6"/>
      <c r="NPA2" s="6"/>
      <c r="NPB2" s="6"/>
      <c r="NPC2" s="6"/>
      <c r="NPD2" s="6"/>
      <c r="NPE2" s="6"/>
      <c r="NPF2" s="6"/>
      <c r="NPG2" s="6"/>
      <c r="NPH2" s="6"/>
      <c r="NPI2" s="6"/>
      <c r="NPJ2" s="6"/>
      <c r="NPK2" s="6"/>
      <c r="NPL2" s="6"/>
      <c r="NPM2" s="6"/>
      <c r="NPN2" s="6"/>
      <c r="NPO2" s="6"/>
      <c r="NPP2" s="6"/>
      <c r="NPQ2" s="6"/>
      <c r="NPR2" s="6"/>
      <c r="NPS2" s="6"/>
      <c r="NPT2" s="6"/>
      <c r="NPU2" s="6"/>
      <c r="NPV2" s="6"/>
      <c r="NPW2" s="6"/>
      <c r="NPX2" s="6"/>
      <c r="NPY2" s="6"/>
      <c r="NPZ2" s="6"/>
      <c r="NQA2" s="6"/>
      <c r="NQB2" s="6"/>
      <c r="NQC2" s="6"/>
      <c r="NQD2" s="6"/>
      <c r="NQE2" s="6"/>
      <c r="NQF2" s="6"/>
      <c r="NQG2" s="6"/>
      <c r="NQH2" s="6"/>
      <c r="NQI2" s="6"/>
      <c r="NQJ2" s="6"/>
      <c r="NQK2" s="6"/>
      <c r="NQL2" s="6"/>
      <c r="NQM2" s="6"/>
      <c r="NQN2" s="6"/>
      <c r="NQO2" s="6"/>
      <c r="NQP2" s="6"/>
      <c r="NQQ2" s="6"/>
      <c r="NQR2" s="6"/>
      <c r="NQS2" s="6"/>
      <c r="NQT2" s="6"/>
      <c r="NQU2" s="6"/>
      <c r="NQV2" s="6"/>
      <c r="NQW2" s="6"/>
      <c r="NQX2" s="6"/>
      <c r="NQY2" s="6"/>
      <c r="NQZ2" s="6"/>
      <c r="NRA2" s="6"/>
      <c r="NRB2" s="6"/>
      <c r="NRC2" s="6"/>
      <c r="NRD2" s="6"/>
      <c r="NRE2" s="6"/>
      <c r="NRF2" s="6"/>
      <c r="NRG2" s="6"/>
      <c r="NRH2" s="6"/>
      <c r="NRI2" s="6"/>
      <c r="NRJ2" s="6"/>
      <c r="NRK2" s="6"/>
      <c r="NRL2" s="6"/>
      <c r="NRM2" s="6"/>
      <c r="NRN2" s="6"/>
      <c r="NRO2" s="6"/>
      <c r="NRP2" s="6"/>
      <c r="NRQ2" s="6"/>
      <c r="NRR2" s="6"/>
      <c r="NRS2" s="6"/>
      <c r="NRT2" s="6"/>
      <c r="NRU2" s="6"/>
      <c r="NRV2" s="6"/>
      <c r="NRW2" s="6"/>
      <c r="NRX2" s="6"/>
      <c r="NRY2" s="6"/>
      <c r="NRZ2" s="6"/>
      <c r="NSA2" s="6"/>
      <c r="NSB2" s="6"/>
      <c r="NSC2" s="6"/>
      <c r="NSD2" s="6"/>
      <c r="NSE2" s="6"/>
      <c r="NSF2" s="6"/>
      <c r="NSG2" s="6"/>
      <c r="NSH2" s="6"/>
      <c r="NSI2" s="6"/>
      <c r="NSJ2" s="6"/>
      <c r="NSK2" s="6"/>
      <c r="NSL2" s="6"/>
      <c r="NSM2" s="6"/>
      <c r="NSN2" s="6"/>
      <c r="NSO2" s="6"/>
      <c r="NSP2" s="6"/>
      <c r="NSQ2" s="6"/>
      <c r="NSR2" s="6"/>
      <c r="NSS2" s="6"/>
      <c r="NST2" s="6"/>
      <c r="NSU2" s="6"/>
      <c r="NSV2" s="6"/>
      <c r="NSW2" s="6"/>
      <c r="NSX2" s="6"/>
      <c r="NSY2" s="6"/>
      <c r="NSZ2" s="6"/>
      <c r="NTA2" s="6"/>
      <c r="NTB2" s="6"/>
      <c r="NTC2" s="6"/>
      <c r="NTD2" s="6"/>
      <c r="NTE2" s="6"/>
      <c r="NTF2" s="6"/>
      <c r="NTG2" s="6"/>
      <c r="NTH2" s="6"/>
      <c r="NTI2" s="6"/>
      <c r="NTJ2" s="6"/>
      <c r="NTK2" s="6"/>
      <c r="NTL2" s="6"/>
      <c r="NTM2" s="6"/>
      <c r="NTN2" s="6"/>
      <c r="NTO2" s="6"/>
      <c r="NTP2" s="6"/>
      <c r="NTQ2" s="6"/>
      <c r="NTR2" s="6"/>
      <c r="NTS2" s="6"/>
      <c r="NTT2" s="6"/>
      <c r="NTU2" s="6"/>
      <c r="NTV2" s="6"/>
      <c r="NTW2" s="6"/>
      <c r="NTX2" s="6"/>
      <c r="NTY2" s="6"/>
      <c r="NTZ2" s="6"/>
      <c r="NUA2" s="6"/>
      <c r="NUB2" s="6"/>
      <c r="NUC2" s="6"/>
      <c r="NUD2" s="6"/>
      <c r="NUE2" s="6"/>
      <c r="NUF2" s="6"/>
      <c r="NUG2" s="6"/>
      <c r="NUH2" s="6"/>
      <c r="NUI2" s="6"/>
      <c r="NUJ2" s="6"/>
      <c r="NUK2" s="6"/>
      <c r="NUL2" s="6"/>
      <c r="NUM2" s="6"/>
      <c r="NUN2" s="6"/>
      <c r="NUO2" s="6"/>
      <c r="NUP2" s="6"/>
      <c r="NUQ2" s="6"/>
      <c r="NUR2" s="6"/>
      <c r="NUS2" s="6"/>
      <c r="NUT2" s="6"/>
      <c r="NUU2" s="6"/>
      <c r="NUV2" s="6"/>
      <c r="NUW2" s="6"/>
      <c r="NUX2" s="6"/>
      <c r="NUY2" s="6"/>
      <c r="NUZ2" s="6"/>
      <c r="NVA2" s="6"/>
      <c r="NVB2" s="6"/>
      <c r="NVC2" s="6"/>
      <c r="NVD2" s="6"/>
      <c r="NVE2" s="6"/>
      <c r="NVF2" s="6"/>
      <c r="NVG2" s="6"/>
      <c r="NVH2" s="6"/>
      <c r="NVI2" s="6"/>
      <c r="NVJ2" s="6"/>
      <c r="NVK2" s="6"/>
      <c r="NVL2" s="6"/>
      <c r="NVM2" s="6"/>
      <c r="NVN2" s="6"/>
      <c r="NVO2" s="6"/>
      <c r="NVP2" s="6"/>
      <c r="NVQ2" s="6"/>
      <c r="NVR2" s="6"/>
      <c r="NVS2" s="6"/>
      <c r="NVT2" s="6"/>
      <c r="NVU2" s="6"/>
      <c r="NVV2" s="6"/>
      <c r="NVW2" s="6"/>
      <c r="NVX2" s="6"/>
      <c r="NVY2" s="6"/>
      <c r="NVZ2" s="6"/>
      <c r="NWA2" s="6"/>
      <c r="NWB2" s="6"/>
      <c r="NWC2" s="6"/>
      <c r="NWD2" s="6"/>
      <c r="NWE2" s="6"/>
      <c r="NWF2" s="6"/>
      <c r="NWG2" s="6"/>
      <c r="NWH2" s="6"/>
      <c r="NWI2" s="6"/>
      <c r="NWJ2" s="6"/>
      <c r="NWK2" s="6"/>
      <c r="NWL2" s="6"/>
      <c r="NWM2" s="6"/>
      <c r="NWN2" s="6"/>
      <c r="NWO2" s="6"/>
      <c r="NWP2" s="6"/>
      <c r="NWQ2" s="6"/>
      <c r="NWR2" s="6"/>
      <c r="NWS2" s="6"/>
      <c r="NWT2" s="6"/>
      <c r="NWU2" s="6"/>
      <c r="NWV2" s="6"/>
      <c r="NWW2" s="6"/>
      <c r="NWX2" s="6"/>
      <c r="NWY2" s="6"/>
      <c r="NWZ2" s="6"/>
      <c r="NXA2" s="6"/>
      <c r="NXB2" s="6"/>
      <c r="NXC2" s="6"/>
      <c r="NXD2" s="6"/>
      <c r="NXE2" s="6"/>
      <c r="NXF2" s="6"/>
      <c r="NXG2" s="6"/>
      <c r="NXH2" s="6"/>
      <c r="NXI2" s="6"/>
      <c r="NXJ2" s="6"/>
      <c r="NXK2" s="6"/>
      <c r="NXL2" s="6"/>
      <c r="NXM2" s="6"/>
      <c r="NXN2" s="6"/>
      <c r="NXO2" s="6"/>
      <c r="NXP2" s="6"/>
      <c r="NXQ2" s="6"/>
      <c r="NXR2" s="6"/>
      <c r="NXS2" s="6"/>
      <c r="NXT2" s="6"/>
      <c r="NXU2" s="6"/>
      <c r="NXV2" s="6"/>
      <c r="NXW2" s="6"/>
      <c r="NXX2" s="6"/>
      <c r="NXY2" s="6"/>
      <c r="NXZ2" s="6"/>
      <c r="NYA2" s="6"/>
      <c r="NYB2" s="6"/>
      <c r="NYC2" s="6"/>
      <c r="NYD2" s="6"/>
      <c r="NYE2" s="6"/>
      <c r="NYF2" s="6"/>
      <c r="NYG2" s="6"/>
      <c r="NYH2" s="6"/>
      <c r="NYI2" s="6"/>
      <c r="NYJ2" s="6"/>
      <c r="NYK2" s="6"/>
      <c r="NYL2" s="6"/>
      <c r="NYM2" s="6"/>
      <c r="NYN2" s="6"/>
      <c r="NYO2" s="6"/>
      <c r="NYP2" s="6"/>
      <c r="NYQ2" s="6"/>
      <c r="NYR2" s="6"/>
      <c r="NYS2" s="6"/>
      <c r="NYT2" s="6"/>
      <c r="NYU2" s="6"/>
      <c r="NYV2" s="6"/>
      <c r="NYW2" s="6"/>
      <c r="NYX2" s="6"/>
      <c r="NYY2" s="6"/>
      <c r="NYZ2" s="6"/>
      <c r="NZA2" s="6"/>
      <c r="NZB2" s="6"/>
      <c r="NZC2" s="6"/>
      <c r="NZD2" s="6"/>
      <c r="NZE2" s="6"/>
      <c r="NZF2" s="6"/>
      <c r="NZG2" s="6"/>
      <c r="NZH2" s="6"/>
      <c r="NZI2" s="6"/>
      <c r="NZJ2" s="6"/>
      <c r="NZK2" s="6"/>
      <c r="NZL2" s="6"/>
      <c r="NZM2" s="6"/>
      <c r="NZN2" s="6"/>
      <c r="NZO2" s="6"/>
      <c r="NZP2" s="6"/>
      <c r="NZQ2" s="6"/>
      <c r="NZR2" s="6"/>
      <c r="NZS2" s="6"/>
      <c r="NZT2" s="6"/>
      <c r="NZU2" s="6"/>
      <c r="NZV2" s="6"/>
      <c r="NZW2" s="6"/>
      <c r="NZX2" s="6"/>
      <c r="NZY2" s="6"/>
      <c r="NZZ2" s="6"/>
      <c r="OAA2" s="6"/>
      <c r="OAB2" s="6"/>
      <c r="OAC2" s="6"/>
      <c r="OAD2" s="6"/>
      <c r="OAE2" s="6"/>
      <c r="OAF2" s="6"/>
      <c r="OAG2" s="6"/>
      <c r="OAH2" s="6"/>
      <c r="OAI2" s="6"/>
      <c r="OAJ2" s="6"/>
      <c r="OAK2" s="6"/>
      <c r="OAL2" s="6"/>
      <c r="OAM2" s="6"/>
      <c r="OAN2" s="6"/>
      <c r="OAO2" s="6"/>
      <c r="OAP2" s="6"/>
      <c r="OAQ2" s="6"/>
      <c r="OAR2" s="6"/>
      <c r="OAS2" s="6"/>
      <c r="OAT2" s="6"/>
      <c r="OAU2" s="6"/>
      <c r="OAV2" s="6"/>
      <c r="OAW2" s="6"/>
      <c r="OAX2" s="6"/>
      <c r="OAY2" s="6"/>
      <c r="OAZ2" s="6"/>
      <c r="OBA2" s="6"/>
      <c r="OBB2" s="6"/>
      <c r="OBC2" s="6"/>
      <c r="OBD2" s="6"/>
      <c r="OBE2" s="6"/>
      <c r="OBF2" s="6"/>
      <c r="OBG2" s="6"/>
      <c r="OBH2" s="6"/>
      <c r="OBI2" s="6"/>
      <c r="OBJ2" s="6"/>
      <c r="OBK2" s="6"/>
      <c r="OBL2" s="6"/>
      <c r="OBM2" s="6"/>
      <c r="OBN2" s="6"/>
      <c r="OBO2" s="6"/>
      <c r="OBP2" s="6"/>
      <c r="OBQ2" s="6"/>
      <c r="OBR2" s="6"/>
      <c r="OBS2" s="6"/>
      <c r="OBT2" s="6"/>
      <c r="OBU2" s="6"/>
      <c r="OBV2" s="6"/>
      <c r="OBW2" s="6"/>
      <c r="OBX2" s="6"/>
      <c r="OBY2" s="6"/>
      <c r="OBZ2" s="6"/>
      <c r="OCA2" s="6"/>
      <c r="OCB2" s="6"/>
      <c r="OCC2" s="6"/>
      <c r="OCD2" s="6"/>
      <c r="OCE2" s="6"/>
      <c r="OCF2" s="6"/>
      <c r="OCG2" s="6"/>
      <c r="OCH2" s="6"/>
      <c r="OCI2" s="6"/>
      <c r="OCJ2" s="6"/>
      <c r="OCK2" s="6"/>
      <c r="OCL2" s="6"/>
      <c r="OCM2" s="6"/>
      <c r="OCN2" s="6"/>
      <c r="OCO2" s="6"/>
      <c r="OCP2" s="6"/>
      <c r="OCQ2" s="6"/>
      <c r="OCR2" s="6"/>
      <c r="OCS2" s="6"/>
      <c r="OCT2" s="6"/>
      <c r="OCU2" s="6"/>
      <c r="OCV2" s="6"/>
      <c r="OCW2" s="6"/>
      <c r="OCX2" s="6"/>
      <c r="OCY2" s="6"/>
      <c r="OCZ2" s="6"/>
      <c r="ODA2" s="6"/>
      <c r="ODB2" s="6"/>
      <c r="ODC2" s="6"/>
      <c r="ODD2" s="6"/>
      <c r="ODE2" s="6"/>
      <c r="ODF2" s="6"/>
      <c r="ODG2" s="6"/>
      <c r="ODH2" s="6"/>
      <c r="ODI2" s="6"/>
      <c r="ODJ2" s="6"/>
      <c r="ODK2" s="6"/>
      <c r="ODL2" s="6"/>
      <c r="ODM2" s="6"/>
      <c r="ODN2" s="6"/>
      <c r="ODO2" s="6"/>
      <c r="ODP2" s="6"/>
      <c r="ODQ2" s="6"/>
      <c r="ODR2" s="6"/>
      <c r="ODS2" s="6"/>
      <c r="ODT2" s="6"/>
      <c r="ODU2" s="6"/>
      <c r="ODV2" s="6"/>
      <c r="ODW2" s="6"/>
      <c r="ODX2" s="6"/>
      <c r="ODY2" s="6"/>
      <c r="ODZ2" s="6"/>
      <c r="OEA2" s="6"/>
      <c r="OEB2" s="6"/>
      <c r="OEC2" s="6"/>
      <c r="OED2" s="6"/>
      <c r="OEE2" s="6"/>
      <c r="OEF2" s="6"/>
      <c r="OEG2" s="6"/>
      <c r="OEH2" s="6"/>
      <c r="OEI2" s="6"/>
      <c r="OEJ2" s="6"/>
      <c r="OEK2" s="6"/>
      <c r="OEL2" s="6"/>
      <c r="OEM2" s="6"/>
      <c r="OEN2" s="6"/>
      <c r="OEO2" s="6"/>
      <c r="OEP2" s="6"/>
      <c r="OEQ2" s="6"/>
      <c r="OER2" s="6"/>
      <c r="OES2" s="6"/>
      <c r="OET2" s="6"/>
      <c r="OEU2" s="6"/>
      <c r="OEV2" s="6"/>
      <c r="OEW2" s="6"/>
      <c r="OEX2" s="6"/>
      <c r="OEY2" s="6"/>
      <c r="OEZ2" s="6"/>
      <c r="OFA2" s="6"/>
      <c r="OFB2" s="6"/>
      <c r="OFC2" s="6"/>
      <c r="OFD2" s="6"/>
      <c r="OFE2" s="6"/>
      <c r="OFF2" s="6"/>
      <c r="OFG2" s="6"/>
      <c r="OFH2" s="6"/>
      <c r="OFI2" s="6"/>
      <c r="OFJ2" s="6"/>
      <c r="OFK2" s="6"/>
      <c r="OFL2" s="6"/>
      <c r="OFM2" s="6"/>
      <c r="OFN2" s="6"/>
      <c r="OFO2" s="6"/>
      <c r="OFP2" s="6"/>
      <c r="OFQ2" s="6"/>
      <c r="OFR2" s="6"/>
      <c r="OFS2" s="6"/>
      <c r="OFT2" s="6"/>
      <c r="OFU2" s="6"/>
      <c r="OFV2" s="6"/>
      <c r="OFW2" s="6"/>
      <c r="OFX2" s="6"/>
      <c r="OFY2" s="6"/>
      <c r="OFZ2" s="6"/>
      <c r="OGA2" s="6"/>
      <c r="OGB2" s="6"/>
      <c r="OGC2" s="6"/>
      <c r="OGD2" s="6"/>
      <c r="OGE2" s="6"/>
      <c r="OGF2" s="6"/>
      <c r="OGG2" s="6"/>
      <c r="OGH2" s="6"/>
      <c r="OGI2" s="6"/>
      <c r="OGJ2" s="6"/>
      <c r="OGK2" s="6"/>
      <c r="OGL2" s="6"/>
      <c r="OGM2" s="6"/>
      <c r="OGN2" s="6"/>
      <c r="OGO2" s="6"/>
      <c r="OGP2" s="6"/>
      <c r="OGQ2" s="6"/>
      <c r="OGR2" s="6"/>
      <c r="OGS2" s="6"/>
      <c r="OGT2" s="6"/>
      <c r="OGU2" s="6"/>
      <c r="OGV2" s="6"/>
      <c r="OGW2" s="6"/>
      <c r="OGX2" s="6"/>
      <c r="OGY2" s="6"/>
      <c r="OGZ2" s="6"/>
      <c r="OHA2" s="6"/>
      <c r="OHB2" s="6"/>
      <c r="OHC2" s="6"/>
      <c r="OHD2" s="6"/>
      <c r="OHE2" s="6"/>
      <c r="OHF2" s="6"/>
      <c r="OHG2" s="6"/>
      <c r="OHH2" s="6"/>
      <c r="OHI2" s="6"/>
      <c r="OHJ2" s="6"/>
      <c r="OHK2" s="6"/>
      <c r="OHL2" s="6"/>
      <c r="OHM2" s="6"/>
      <c r="OHN2" s="6"/>
      <c r="OHO2" s="6"/>
      <c r="OHP2" s="6"/>
      <c r="OHQ2" s="6"/>
      <c r="OHR2" s="6"/>
      <c r="OHS2" s="6"/>
      <c r="OHT2" s="6"/>
      <c r="OHU2" s="6"/>
      <c r="OHV2" s="6"/>
      <c r="OHW2" s="6"/>
      <c r="OHX2" s="6"/>
      <c r="OHY2" s="6"/>
      <c r="OHZ2" s="6"/>
      <c r="OIA2" s="6"/>
      <c r="OIB2" s="6"/>
      <c r="OIC2" s="6"/>
      <c r="OID2" s="6"/>
      <c r="OIE2" s="6"/>
      <c r="OIF2" s="6"/>
      <c r="OIG2" s="6"/>
      <c r="OIH2" s="6"/>
      <c r="OII2" s="6"/>
      <c r="OIJ2" s="6"/>
      <c r="OIK2" s="6"/>
      <c r="OIL2" s="6"/>
      <c r="OIM2" s="6"/>
      <c r="OIN2" s="6"/>
      <c r="OIO2" s="6"/>
      <c r="OIP2" s="6"/>
      <c r="OIQ2" s="6"/>
      <c r="OIR2" s="6"/>
      <c r="OIS2" s="6"/>
      <c r="OIT2" s="6"/>
      <c r="OIU2" s="6"/>
      <c r="OIV2" s="6"/>
      <c r="OIW2" s="6"/>
      <c r="OIX2" s="6"/>
      <c r="OIY2" s="6"/>
      <c r="OIZ2" s="6"/>
      <c r="OJA2" s="6"/>
      <c r="OJB2" s="6"/>
      <c r="OJC2" s="6"/>
      <c r="OJD2" s="6"/>
      <c r="OJE2" s="6"/>
      <c r="OJF2" s="6"/>
      <c r="OJG2" s="6"/>
      <c r="OJH2" s="6"/>
      <c r="OJI2" s="6"/>
      <c r="OJJ2" s="6"/>
      <c r="OJK2" s="6"/>
      <c r="OJL2" s="6"/>
      <c r="OJM2" s="6"/>
      <c r="OJN2" s="6"/>
      <c r="OJO2" s="6"/>
      <c r="OJP2" s="6"/>
      <c r="OJQ2" s="6"/>
      <c r="OJR2" s="6"/>
      <c r="OJS2" s="6"/>
      <c r="OJT2" s="6"/>
      <c r="OJU2" s="6"/>
      <c r="OJV2" s="6"/>
      <c r="OJW2" s="6"/>
      <c r="OJX2" s="6"/>
      <c r="OJY2" s="6"/>
      <c r="OJZ2" s="6"/>
      <c r="OKA2" s="6"/>
      <c r="OKB2" s="6"/>
      <c r="OKC2" s="6"/>
      <c r="OKD2" s="6"/>
      <c r="OKE2" s="6"/>
      <c r="OKF2" s="6"/>
      <c r="OKG2" s="6"/>
      <c r="OKH2" s="6"/>
      <c r="OKI2" s="6"/>
      <c r="OKJ2" s="6"/>
      <c r="OKK2" s="6"/>
      <c r="OKL2" s="6"/>
      <c r="OKM2" s="6"/>
      <c r="OKN2" s="6"/>
      <c r="OKO2" s="6"/>
      <c r="OKP2" s="6"/>
      <c r="OKQ2" s="6"/>
      <c r="OKR2" s="6"/>
      <c r="OKS2" s="6"/>
      <c r="OKT2" s="6"/>
      <c r="OKU2" s="6"/>
      <c r="OKV2" s="6"/>
      <c r="OKW2" s="6"/>
      <c r="OKX2" s="6"/>
      <c r="OKY2" s="6"/>
      <c r="OKZ2" s="6"/>
      <c r="OLA2" s="6"/>
      <c r="OLB2" s="6"/>
      <c r="OLC2" s="6"/>
      <c r="OLD2" s="6"/>
      <c r="OLE2" s="6"/>
      <c r="OLF2" s="6"/>
      <c r="OLG2" s="6"/>
      <c r="OLH2" s="6"/>
      <c r="OLI2" s="6"/>
      <c r="OLJ2" s="6"/>
      <c r="OLK2" s="6"/>
      <c r="OLL2" s="6"/>
      <c r="OLM2" s="6"/>
      <c r="OLN2" s="6"/>
      <c r="OLO2" s="6"/>
      <c r="OLP2" s="6"/>
      <c r="OLQ2" s="6"/>
      <c r="OLR2" s="6"/>
      <c r="OLS2" s="6"/>
      <c r="OLT2" s="6"/>
      <c r="OLU2" s="6"/>
      <c r="OLV2" s="6"/>
      <c r="OLW2" s="6"/>
      <c r="OLX2" s="6"/>
      <c r="OLY2" s="6"/>
      <c r="OLZ2" s="6"/>
      <c r="OMA2" s="6"/>
      <c r="OMB2" s="6"/>
      <c r="OMC2" s="6"/>
      <c r="OMD2" s="6"/>
      <c r="OME2" s="6"/>
      <c r="OMF2" s="6"/>
      <c r="OMG2" s="6"/>
      <c r="OMH2" s="6"/>
      <c r="OMI2" s="6"/>
      <c r="OMJ2" s="6"/>
      <c r="OMK2" s="6"/>
      <c r="OML2" s="6"/>
      <c r="OMM2" s="6"/>
      <c r="OMN2" s="6"/>
      <c r="OMO2" s="6"/>
      <c r="OMP2" s="6"/>
      <c r="OMQ2" s="6"/>
      <c r="OMR2" s="6"/>
      <c r="OMS2" s="6"/>
      <c r="OMT2" s="6"/>
      <c r="OMU2" s="6"/>
      <c r="OMV2" s="6"/>
      <c r="OMW2" s="6"/>
      <c r="OMX2" s="6"/>
      <c r="OMY2" s="6"/>
      <c r="OMZ2" s="6"/>
      <c r="ONA2" s="6"/>
      <c r="ONB2" s="6"/>
      <c r="ONC2" s="6"/>
      <c r="OND2" s="6"/>
      <c r="ONE2" s="6"/>
      <c r="ONF2" s="6"/>
      <c r="ONG2" s="6"/>
      <c r="ONH2" s="6"/>
      <c r="ONI2" s="6"/>
      <c r="ONJ2" s="6"/>
      <c r="ONK2" s="6"/>
      <c r="ONL2" s="6"/>
      <c r="ONM2" s="6"/>
      <c r="ONN2" s="6"/>
      <c r="ONO2" s="6"/>
      <c r="ONP2" s="6"/>
      <c r="ONQ2" s="6"/>
      <c r="ONR2" s="6"/>
      <c r="ONS2" s="6"/>
      <c r="ONT2" s="6"/>
      <c r="ONU2" s="6"/>
      <c r="ONV2" s="6"/>
      <c r="ONW2" s="6"/>
      <c r="ONX2" s="6"/>
      <c r="ONY2" s="6"/>
      <c r="ONZ2" s="6"/>
      <c r="OOA2" s="6"/>
      <c r="OOB2" s="6"/>
      <c r="OOC2" s="6"/>
      <c r="OOD2" s="6"/>
      <c r="OOE2" s="6"/>
      <c r="OOF2" s="6"/>
      <c r="OOG2" s="6"/>
      <c r="OOH2" s="6"/>
      <c r="OOI2" s="6"/>
      <c r="OOJ2" s="6"/>
      <c r="OOK2" s="6"/>
      <c r="OOL2" s="6"/>
      <c r="OOM2" s="6"/>
      <c r="OON2" s="6"/>
      <c r="OOO2" s="6"/>
      <c r="OOP2" s="6"/>
      <c r="OOQ2" s="6"/>
      <c r="OOR2" s="6"/>
      <c r="OOS2" s="6"/>
      <c r="OOT2" s="6"/>
      <c r="OOU2" s="6"/>
      <c r="OOV2" s="6"/>
      <c r="OOW2" s="6"/>
      <c r="OOX2" s="6"/>
      <c r="OOY2" s="6"/>
      <c r="OOZ2" s="6"/>
      <c r="OPA2" s="6"/>
      <c r="OPB2" s="6"/>
      <c r="OPC2" s="6"/>
      <c r="OPD2" s="6"/>
      <c r="OPE2" s="6"/>
      <c r="OPF2" s="6"/>
      <c r="OPG2" s="6"/>
      <c r="OPH2" s="6"/>
      <c r="OPI2" s="6"/>
      <c r="OPJ2" s="6"/>
      <c r="OPK2" s="6"/>
      <c r="OPL2" s="6"/>
      <c r="OPM2" s="6"/>
      <c r="OPN2" s="6"/>
      <c r="OPO2" s="6"/>
      <c r="OPP2" s="6"/>
      <c r="OPQ2" s="6"/>
      <c r="OPR2" s="6"/>
      <c r="OPS2" s="6"/>
      <c r="OPT2" s="6"/>
      <c r="OPU2" s="6"/>
      <c r="OPV2" s="6"/>
      <c r="OPW2" s="6"/>
      <c r="OPX2" s="6"/>
      <c r="OPY2" s="6"/>
      <c r="OPZ2" s="6"/>
      <c r="OQA2" s="6"/>
      <c r="OQB2" s="6"/>
      <c r="OQC2" s="6"/>
      <c r="OQD2" s="6"/>
      <c r="OQE2" s="6"/>
      <c r="OQF2" s="6"/>
      <c r="OQG2" s="6"/>
      <c r="OQH2" s="6"/>
      <c r="OQI2" s="6"/>
      <c r="OQJ2" s="6"/>
      <c r="OQK2" s="6"/>
      <c r="OQL2" s="6"/>
      <c r="OQM2" s="6"/>
      <c r="OQN2" s="6"/>
      <c r="OQO2" s="6"/>
      <c r="OQP2" s="6"/>
      <c r="OQQ2" s="6"/>
      <c r="OQR2" s="6"/>
      <c r="OQS2" s="6"/>
      <c r="OQT2" s="6"/>
      <c r="OQU2" s="6"/>
      <c r="OQV2" s="6"/>
      <c r="OQW2" s="6"/>
      <c r="OQX2" s="6"/>
      <c r="OQY2" s="6"/>
      <c r="OQZ2" s="6"/>
      <c r="ORA2" s="6"/>
      <c r="ORB2" s="6"/>
      <c r="ORC2" s="6"/>
      <c r="ORD2" s="6"/>
      <c r="ORE2" s="6"/>
      <c r="ORF2" s="6"/>
      <c r="ORG2" s="6"/>
      <c r="ORH2" s="6"/>
      <c r="ORI2" s="6"/>
      <c r="ORJ2" s="6"/>
      <c r="ORK2" s="6"/>
      <c r="ORL2" s="6"/>
      <c r="ORM2" s="6"/>
      <c r="ORN2" s="6"/>
      <c r="ORO2" s="6"/>
      <c r="ORP2" s="6"/>
      <c r="ORQ2" s="6"/>
      <c r="ORR2" s="6"/>
      <c r="ORS2" s="6"/>
      <c r="ORT2" s="6"/>
      <c r="ORU2" s="6"/>
      <c r="ORV2" s="6"/>
      <c r="ORW2" s="6"/>
      <c r="ORX2" s="6"/>
      <c r="ORY2" s="6"/>
      <c r="ORZ2" s="6"/>
      <c r="OSA2" s="6"/>
      <c r="OSB2" s="6"/>
      <c r="OSC2" s="6"/>
      <c r="OSD2" s="6"/>
      <c r="OSE2" s="6"/>
      <c r="OSF2" s="6"/>
      <c r="OSG2" s="6"/>
      <c r="OSH2" s="6"/>
      <c r="OSI2" s="6"/>
      <c r="OSJ2" s="6"/>
      <c r="OSK2" s="6"/>
      <c r="OSL2" s="6"/>
      <c r="OSM2" s="6"/>
      <c r="OSN2" s="6"/>
      <c r="OSO2" s="6"/>
      <c r="OSP2" s="6"/>
      <c r="OSQ2" s="6"/>
      <c r="OSR2" s="6"/>
      <c r="OSS2" s="6"/>
      <c r="OST2" s="6"/>
      <c r="OSU2" s="6"/>
      <c r="OSV2" s="6"/>
      <c r="OSW2" s="6"/>
      <c r="OSX2" s="6"/>
      <c r="OSY2" s="6"/>
      <c r="OSZ2" s="6"/>
      <c r="OTA2" s="6"/>
      <c r="OTB2" s="6"/>
      <c r="OTC2" s="6"/>
      <c r="OTD2" s="6"/>
      <c r="OTE2" s="6"/>
      <c r="OTF2" s="6"/>
      <c r="OTG2" s="6"/>
      <c r="OTH2" s="6"/>
      <c r="OTI2" s="6"/>
      <c r="OTJ2" s="6"/>
      <c r="OTK2" s="6"/>
      <c r="OTL2" s="6"/>
      <c r="OTM2" s="6"/>
      <c r="OTN2" s="6"/>
      <c r="OTO2" s="6"/>
      <c r="OTP2" s="6"/>
      <c r="OTQ2" s="6"/>
      <c r="OTR2" s="6"/>
      <c r="OTS2" s="6"/>
      <c r="OTT2" s="6"/>
      <c r="OTU2" s="6"/>
      <c r="OTV2" s="6"/>
      <c r="OTW2" s="6"/>
      <c r="OTX2" s="6"/>
      <c r="OTY2" s="6"/>
      <c r="OTZ2" s="6"/>
      <c r="OUA2" s="6"/>
      <c r="OUB2" s="6"/>
      <c r="OUC2" s="6"/>
      <c r="OUD2" s="6"/>
      <c r="OUE2" s="6"/>
      <c r="OUF2" s="6"/>
      <c r="OUG2" s="6"/>
      <c r="OUH2" s="6"/>
      <c r="OUI2" s="6"/>
      <c r="OUJ2" s="6"/>
      <c r="OUK2" s="6"/>
      <c r="OUL2" s="6"/>
      <c r="OUM2" s="6"/>
      <c r="OUN2" s="6"/>
      <c r="OUO2" s="6"/>
      <c r="OUP2" s="6"/>
      <c r="OUQ2" s="6"/>
      <c r="OUR2" s="6"/>
      <c r="OUS2" s="6"/>
      <c r="OUT2" s="6"/>
      <c r="OUU2" s="6"/>
      <c r="OUV2" s="6"/>
      <c r="OUW2" s="6"/>
      <c r="OUX2" s="6"/>
      <c r="OUY2" s="6"/>
      <c r="OUZ2" s="6"/>
      <c r="OVA2" s="6"/>
      <c r="OVB2" s="6"/>
      <c r="OVC2" s="6"/>
      <c r="OVD2" s="6"/>
      <c r="OVE2" s="6"/>
      <c r="OVF2" s="6"/>
      <c r="OVG2" s="6"/>
      <c r="OVH2" s="6"/>
      <c r="OVI2" s="6"/>
      <c r="OVJ2" s="6"/>
      <c r="OVK2" s="6"/>
      <c r="OVL2" s="6"/>
      <c r="OVM2" s="6"/>
      <c r="OVN2" s="6"/>
      <c r="OVO2" s="6"/>
      <c r="OVP2" s="6"/>
      <c r="OVQ2" s="6"/>
      <c r="OVR2" s="6"/>
      <c r="OVS2" s="6"/>
      <c r="OVT2" s="6"/>
      <c r="OVU2" s="6"/>
      <c r="OVV2" s="6"/>
      <c r="OVW2" s="6"/>
      <c r="OVX2" s="6"/>
      <c r="OVY2" s="6"/>
      <c r="OVZ2" s="6"/>
      <c r="OWA2" s="6"/>
      <c r="OWB2" s="6"/>
      <c r="OWC2" s="6"/>
      <c r="OWD2" s="6"/>
      <c r="OWE2" s="6"/>
      <c r="OWF2" s="6"/>
      <c r="OWG2" s="6"/>
      <c r="OWH2" s="6"/>
      <c r="OWI2" s="6"/>
      <c r="OWJ2" s="6"/>
      <c r="OWK2" s="6"/>
      <c r="OWL2" s="6"/>
      <c r="OWM2" s="6"/>
      <c r="OWN2" s="6"/>
      <c r="OWO2" s="6"/>
      <c r="OWP2" s="6"/>
      <c r="OWQ2" s="6"/>
      <c r="OWR2" s="6"/>
      <c r="OWS2" s="6"/>
      <c r="OWT2" s="6"/>
      <c r="OWU2" s="6"/>
      <c r="OWV2" s="6"/>
      <c r="OWW2" s="6"/>
      <c r="OWX2" s="6"/>
      <c r="OWY2" s="6"/>
      <c r="OWZ2" s="6"/>
      <c r="OXA2" s="6"/>
      <c r="OXB2" s="6"/>
      <c r="OXC2" s="6"/>
      <c r="OXD2" s="6"/>
      <c r="OXE2" s="6"/>
      <c r="OXF2" s="6"/>
      <c r="OXG2" s="6"/>
      <c r="OXH2" s="6"/>
      <c r="OXI2" s="6"/>
      <c r="OXJ2" s="6"/>
      <c r="OXK2" s="6"/>
      <c r="OXL2" s="6"/>
      <c r="OXM2" s="6"/>
      <c r="OXN2" s="6"/>
      <c r="OXO2" s="6"/>
      <c r="OXP2" s="6"/>
      <c r="OXQ2" s="6"/>
      <c r="OXR2" s="6"/>
      <c r="OXS2" s="6"/>
      <c r="OXT2" s="6"/>
      <c r="OXU2" s="6"/>
      <c r="OXV2" s="6"/>
      <c r="OXW2" s="6"/>
      <c r="OXX2" s="6"/>
      <c r="OXY2" s="6"/>
      <c r="OXZ2" s="6"/>
      <c r="OYA2" s="6"/>
      <c r="OYB2" s="6"/>
      <c r="OYC2" s="6"/>
      <c r="OYD2" s="6"/>
      <c r="OYE2" s="6"/>
      <c r="OYF2" s="6"/>
      <c r="OYG2" s="6"/>
      <c r="OYH2" s="6"/>
      <c r="OYI2" s="6"/>
      <c r="OYJ2" s="6"/>
      <c r="OYK2" s="6"/>
      <c r="OYL2" s="6"/>
      <c r="OYM2" s="6"/>
      <c r="OYN2" s="6"/>
      <c r="OYO2" s="6"/>
      <c r="OYP2" s="6"/>
      <c r="OYQ2" s="6"/>
      <c r="OYR2" s="6"/>
      <c r="OYS2" s="6"/>
      <c r="OYT2" s="6"/>
      <c r="OYU2" s="6"/>
      <c r="OYV2" s="6"/>
      <c r="OYW2" s="6"/>
      <c r="OYX2" s="6"/>
      <c r="OYY2" s="6"/>
      <c r="OYZ2" s="6"/>
      <c r="OZA2" s="6"/>
      <c r="OZB2" s="6"/>
      <c r="OZC2" s="6"/>
      <c r="OZD2" s="6"/>
      <c r="OZE2" s="6"/>
      <c r="OZF2" s="6"/>
      <c r="OZG2" s="6"/>
      <c r="OZH2" s="6"/>
      <c r="OZI2" s="6"/>
      <c r="OZJ2" s="6"/>
      <c r="OZK2" s="6"/>
      <c r="OZL2" s="6"/>
      <c r="OZM2" s="6"/>
      <c r="OZN2" s="6"/>
      <c r="OZO2" s="6"/>
      <c r="OZP2" s="6"/>
      <c r="OZQ2" s="6"/>
      <c r="OZR2" s="6"/>
      <c r="OZS2" s="6"/>
      <c r="OZT2" s="6"/>
      <c r="OZU2" s="6"/>
      <c r="OZV2" s="6"/>
      <c r="OZW2" s="6"/>
      <c r="OZX2" s="6"/>
      <c r="OZY2" s="6"/>
      <c r="OZZ2" s="6"/>
      <c r="PAA2" s="6"/>
      <c r="PAB2" s="6"/>
      <c r="PAC2" s="6"/>
      <c r="PAD2" s="6"/>
      <c r="PAE2" s="6"/>
      <c r="PAF2" s="6"/>
      <c r="PAG2" s="6"/>
      <c r="PAH2" s="6"/>
      <c r="PAI2" s="6"/>
      <c r="PAJ2" s="6"/>
      <c r="PAK2" s="6"/>
      <c r="PAL2" s="6"/>
      <c r="PAM2" s="6"/>
      <c r="PAN2" s="6"/>
      <c r="PAO2" s="6"/>
      <c r="PAP2" s="6"/>
      <c r="PAQ2" s="6"/>
      <c r="PAR2" s="6"/>
      <c r="PAS2" s="6"/>
      <c r="PAT2" s="6"/>
      <c r="PAU2" s="6"/>
      <c r="PAV2" s="6"/>
      <c r="PAW2" s="6"/>
      <c r="PAX2" s="6"/>
      <c r="PAY2" s="6"/>
      <c r="PAZ2" s="6"/>
      <c r="PBA2" s="6"/>
      <c r="PBB2" s="6"/>
      <c r="PBC2" s="6"/>
      <c r="PBD2" s="6"/>
      <c r="PBE2" s="6"/>
      <c r="PBF2" s="6"/>
      <c r="PBG2" s="6"/>
      <c r="PBH2" s="6"/>
      <c r="PBI2" s="6"/>
      <c r="PBJ2" s="6"/>
      <c r="PBK2" s="6"/>
      <c r="PBL2" s="6"/>
      <c r="PBM2" s="6"/>
      <c r="PBN2" s="6"/>
      <c r="PBO2" s="6"/>
      <c r="PBP2" s="6"/>
      <c r="PBQ2" s="6"/>
      <c r="PBR2" s="6"/>
      <c r="PBS2" s="6"/>
      <c r="PBT2" s="6"/>
      <c r="PBU2" s="6"/>
      <c r="PBV2" s="6"/>
      <c r="PBW2" s="6"/>
      <c r="PBX2" s="6"/>
      <c r="PBY2" s="6"/>
      <c r="PBZ2" s="6"/>
      <c r="PCA2" s="6"/>
      <c r="PCB2" s="6"/>
      <c r="PCC2" s="6"/>
      <c r="PCD2" s="6"/>
      <c r="PCE2" s="6"/>
      <c r="PCF2" s="6"/>
      <c r="PCG2" s="6"/>
      <c r="PCH2" s="6"/>
      <c r="PCI2" s="6"/>
      <c r="PCJ2" s="6"/>
      <c r="PCK2" s="6"/>
      <c r="PCL2" s="6"/>
      <c r="PCM2" s="6"/>
      <c r="PCN2" s="6"/>
      <c r="PCO2" s="6"/>
      <c r="PCP2" s="6"/>
      <c r="PCQ2" s="6"/>
      <c r="PCR2" s="6"/>
      <c r="PCS2" s="6"/>
      <c r="PCT2" s="6"/>
      <c r="PCU2" s="6"/>
      <c r="PCV2" s="6"/>
      <c r="PCW2" s="6"/>
      <c r="PCX2" s="6"/>
      <c r="PCY2" s="6"/>
      <c r="PCZ2" s="6"/>
      <c r="PDA2" s="6"/>
      <c r="PDB2" s="6"/>
      <c r="PDC2" s="6"/>
      <c r="PDD2" s="6"/>
      <c r="PDE2" s="6"/>
      <c r="PDF2" s="6"/>
      <c r="PDG2" s="6"/>
      <c r="PDH2" s="6"/>
      <c r="PDI2" s="6"/>
      <c r="PDJ2" s="6"/>
      <c r="PDK2" s="6"/>
      <c r="PDL2" s="6"/>
      <c r="PDM2" s="6"/>
      <c r="PDN2" s="6"/>
      <c r="PDO2" s="6"/>
      <c r="PDP2" s="6"/>
      <c r="PDQ2" s="6"/>
      <c r="PDR2" s="6"/>
      <c r="PDS2" s="6"/>
      <c r="PDT2" s="6"/>
      <c r="PDU2" s="6"/>
      <c r="PDV2" s="6"/>
      <c r="PDW2" s="6"/>
      <c r="PDX2" s="6"/>
      <c r="PDY2" s="6"/>
      <c r="PDZ2" s="6"/>
      <c r="PEA2" s="6"/>
      <c r="PEB2" s="6"/>
      <c r="PEC2" s="6"/>
      <c r="PED2" s="6"/>
      <c r="PEE2" s="6"/>
      <c r="PEF2" s="6"/>
      <c r="PEG2" s="6"/>
      <c r="PEH2" s="6"/>
      <c r="PEI2" s="6"/>
      <c r="PEJ2" s="6"/>
      <c r="PEK2" s="6"/>
      <c r="PEL2" s="6"/>
      <c r="PEM2" s="6"/>
      <c r="PEN2" s="6"/>
      <c r="PEO2" s="6"/>
      <c r="PEP2" s="6"/>
      <c r="PEQ2" s="6"/>
      <c r="PER2" s="6"/>
      <c r="PES2" s="6"/>
      <c r="PET2" s="6"/>
      <c r="PEU2" s="6"/>
      <c r="PEV2" s="6"/>
      <c r="PEW2" s="6"/>
      <c r="PEX2" s="6"/>
      <c r="PEY2" s="6"/>
      <c r="PEZ2" s="6"/>
      <c r="PFA2" s="6"/>
      <c r="PFB2" s="6"/>
      <c r="PFC2" s="6"/>
      <c r="PFD2" s="6"/>
      <c r="PFE2" s="6"/>
      <c r="PFF2" s="6"/>
      <c r="PFG2" s="6"/>
      <c r="PFH2" s="6"/>
      <c r="PFI2" s="6"/>
      <c r="PFJ2" s="6"/>
      <c r="PFK2" s="6"/>
      <c r="PFL2" s="6"/>
      <c r="PFM2" s="6"/>
      <c r="PFN2" s="6"/>
      <c r="PFO2" s="6"/>
      <c r="PFP2" s="6"/>
      <c r="PFQ2" s="6"/>
      <c r="PFR2" s="6"/>
      <c r="PFS2" s="6"/>
      <c r="PFT2" s="6"/>
      <c r="PFU2" s="6"/>
      <c r="PFV2" s="6"/>
      <c r="PFW2" s="6"/>
      <c r="PFX2" s="6"/>
      <c r="PFY2" s="6"/>
      <c r="PFZ2" s="6"/>
      <c r="PGA2" s="6"/>
      <c r="PGB2" s="6"/>
      <c r="PGC2" s="6"/>
      <c r="PGD2" s="6"/>
      <c r="PGE2" s="6"/>
      <c r="PGF2" s="6"/>
      <c r="PGG2" s="6"/>
      <c r="PGH2" s="6"/>
      <c r="PGI2" s="6"/>
      <c r="PGJ2" s="6"/>
      <c r="PGK2" s="6"/>
      <c r="PGL2" s="6"/>
      <c r="PGM2" s="6"/>
      <c r="PGN2" s="6"/>
      <c r="PGO2" s="6"/>
      <c r="PGP2" s="6"/>
      <c r="PGQ2" s="6"/>
      <c r="PGR2" s="6"/>
      <c r="PGS2" s="6"/>
      <c r="PGT2" s="6"/>
      <c r="PGU2" s="6"/>
      <c r="PGV2" s="6"/>
      <c r="PGW2" s="6"/>
      <c r="PGX2" s="6"/>
      <c r="PGY2" s="6"/>
      <c r="PGZ2" s="6"/>
      <c r="PHA2" s="6"/>
      <c r="PHB2" s="6"/>
      <c r="PHC2" s="6"/>
      <c r="PHD2" s="6"/>
      <c r="PHE2" s="6"/>
      <c r="PHF2" s="6"/>
      <c r="PHG2" s="6"/>
      <c r="PHH2" s="6"/>
      <c r="PHI2" s="6"/>
      <c r="PHJ2" s="6"/>
      <c r="PHK2" s="6"/>
      <c r="PHL2" s="6"/>
      <c r="PHM2" s="6"/>
      <c r="PHN2" s="6"/>
      <c r="PHO2" s="6"/>
      <c r="PHP2" s="6"/>
      <c r="PHQ2" s="6"/>
      <c r="PHR2" s="6"/>
      <c r="PHS2" s="6"/>
      <c r="PHT2" s="6"/>
      <c r="PHU2" s="6"/>
      <c r="PHV2" s="6"/>
      <c r="PHW2" s="6"/>
      <c r="PHX2" s="6"/>
      <c r="PHY2" s="6"/>
      <c r="PHZ2" s="6"/>
      <c r="PIA2" s="6"/>
      <c r="PIB2" s="6"/>
      <c r="PIC2" s="6"/>
      <c r="PID2" s="6"/>
      <c r="PIE2" s="6"/>
      <c r="PIF2" s="6"/>
      <c r="PIG2" s="6"/>
      <c r="PIH2" s="6"/>
      <c r="PII2" s="6"/>
      <c r="PIJ2" s="6"/>
      <c r="PIK2" s="6"/>
      <c r="PIL2" s="6"/>
      <c r="PIM2" s="6"/>
      <c r="PIN2" s="6"/>
      <c r="PIO2" s="6"/>
      <c r="PIP2" s="6"/>
      <c r="PIQ2" s="6"/>
      <c r="PIR2" s="6"/>
      <c r="PIS2" s="6"/>
      <c r="PIT2" s="6"/>
      <c r="PIU2" s="6"/>
      <c r="PIV2" s="6"/>
      <c r="PIW2" s="6"/>
      <c r="PIX2" s="6"/>
      <c r="PIY2" s="6"/>
      <c r="PIZ2" s="6"/>
      <c r="PJA2" s="6"/>
      <c r="PJB2" s="6"/>
      <c r="PJC2" s="6"/>
      <c r="PJD2" s="6"/>
      <c r="PJE2" s="6"/>
      <c r="PJF2" s="6"/>
      <c r="PJG2" s="6"/>
      <c r="PJH2" s="6"/>
      <c r="PJI2" s="6"/>
      <c r="PJJ2" s="6"/>
      <c r="PJK2" s="6"/>
      <c r="PJL2" s="6"/>
      <c r="PJM2" s="6"/>
      <c r="PJN2" s="6"/>
      <c r="PJO2" s="6"/>
      <c r="PJP2" s="6"/>
      <c r="PJQ2" s="6"/>
      <c r="PJR2" s="6"/>
      <c r="PJS2" s="6"/>
      <c r="PJT2" s="6"/>
      <c r="PJU2" s="6"/>
      <c r="PJV2" s="6"/>
      <c r="PJW2" s="6"/>
      <c r="PJX2" s="6"/>
      <c r="PJY2" s="6"/>
      <c r="PJZ2" s="6"/>
      <c r="PKA2" s="6"/>
      <c r="PKB2" s="6"/>
      <c r="PKC2" s="6"/>
      <c r="PKD2" s="6"/>
      <c r="PKE2" s="6"/>
      <c r="PKF2" s="6"/>
      <c r="PKG2" s="6"/>
      <c r="PKH2" s="6"/>
      <c r="PKI2" s="6"/>
      <c r="PKJ2" s="6"/>
      <c r="PKK2" s="6"/>
      <c r="PKL2" s="6"/>
      <c r="PKM2" s="6"/>
      <c r="PKN2" s="6"/>
      <c r="PKO2" s="6"/>
      <c r="PKP2" s="6"/>
      <c r="PKQ2" s="6"/>
      <c r="PKR2" s="6"/>
      <c r="PKS2" s="6"/>
      <c r="PKT2" s="6"/>
      <c r="PKU2" s="6"/>
      <c r="PKV2" s="6"/>
      <c r="PKW2" s="6"/>
      <c r="PKX2" s="6"/>
      <c r="PKY2" s="6"/>
      <c r="PKZ2" s="6"/>
      <c r="PLA2" s="6"/>
      <c r="PLB2" s="6"/>
      <c r="PLC2" s="6"/>
      <c r="PLD2" s="6"/>
      <c r="PLE2" s="6"/>
      <c r="PLF2" s="6"/>
      <c r="PLG2" s="6"/>
      <c r="PLH2" s="6"/>
      <c r="PLI2" s="6"/>
      <c r="PLJ2" s="6"/>
      <c r="PLK2" s="6"/>
      <c r="PLL2" s="6"/>
      <c r="PLM2" s="6"/>
      <c r="PLN2" s="6"/>
      <c r="PLO2" s="6"/>
      <c r="PLP2" s="6"/>
      <c r="PLQ2" s="6"/>
      <c r="PLR2" s="6"/>
      <c r="PLS2" s="6"/>
      <c r="PLT2" s="6"/>
      <c r="PLU2" s="6"/>
      <c r="PLV2" s="6"/>
      <c r="PLW2" s="6"/>
      <c r="PLX2" s="6"/>
      <c r="PLY2" s="6"/>
      <c r="PLZ2" s="6"/>
      <c r="PMA2" s="6"/>
      <c r="PMB2" s="6"/>
      <c r="PMC2" s="6"/>
      <c r="PMD2" s="6"/>
      <c r="PME2" s="6"/>
      <c r="PMF2" s="6"/>
      <c r="PMG2" s="6"/>
      <c r="PMH2" s="6"/>
      <c r="PMI2" s="6"/>
      <c r="PMJ2" s="6"/>
      <c r="PMK2" s="6"/>
      <c r="PML2" s="6"/>
      <c r="PMM2" s="6"/>
      <c r="PMN2" s="6"/>
      <c r="PMO2" s="6"/>
      <c r="PMP2" s="6"/>
      <c r="PMQ2" s="6"/>
      <c r="PMR2" s="6"/>
      <c r="PMS2" s="6"/>
      <c r="PMT2" s="6"/>
      <c r="PMU2" s="6"/>
      <c r="PMV2" s="6"/>
      <c r="PMW2" s="6"/>
      <c r="PMX2" s="6"/>
      <c r="PMY2" s="6"/>
      <c r="PMZ2" s="6"/>
      <c r="PNA2" s="6"/>
      <c r="PNB2" s="6"/>
      <c r="PNC2" s="6"/>
      <c r="PND2" s="6"/>
      <c r="PNE2" s="6"/>
      <c r="PNF2" s="6"/>
      <c r="PNG2" s="6"/>
      <c r="PNH2" s="6"/>
      <c r="PNI2" s="6"/>
      <c r="PNJ2" s="6"/>
      <c r="PNK2" s="6"/>
      <c r="PNL2" s="6"/>
      <c r="PNM2" s="6"/>
      <c r="PNN2" s="6"/>
      <c r="PNO2" s="6"/>
      <c r="PNP2" s="6"/>
      <c r="PNQ2" s="6"/>
      <c r="PNR2" s="6"/>
      <c r="PNS2" s="6"/>
      <c r="PNT2" s="6"/>
      <c r="PNU2" s="6"/>
      <c r="PNV2" s="6"/>
      <c r="PNW2" s="6"/>
      <c r="PNX2" s="6"/>
      <c r="PNY2" s="6"/>
      <c r="PNZ2" s="6"/>
      <c r="POA2" s="6"/>
      <c r="POB2" s="6"/>
      <c r="POC2" s="6"/>
      <c r="POD2" s="6"/>
      <c r="POE2" s="6"/>
      <c r="POF2" s="6"/>
      <c r="POG2" s="6"/>
      <c r="POH2" s="6"/>
      <c r="POI2" s="6"/>
      <c r="POJ2" s="6"/>
      <c r="POK2" s="6"/>
      <c r="POL2" s="6"/>
      <c r="POM2" s="6"/>
      <c r="PON2" s="6"/>
      <c r="POO2" s="6"/>
      <c r="POP2" s="6"/>
      <c r="POQ2" s="6"/>
      <c r="POR2" s="6"/>
      <c r="POS2" s="6"/>
      <c r="POT2" s="6"/>
      <c r="POU2" s="6"/>
      <c r="POV2" s="6"/>
      <c r="POW2" s="6"/>
      <c r="POX2" s="6"/>
      <c r="POY2" s="6"/>
      <c r="POZ2" s="6"/>
      <c r="PPA2" s="6"/>
      <c r="PPB2" s="6"/>
      <c r="PPC2" s="6"/>
      <c r="PPD2" s="6"/>
      <c r="PPE2" s="6"/>
      <c r="PPF2" s="6"/>
      <c r="PPG2" s="6"/>
      <c r="PPH2" s="6"/>
      <c r="PPI2" s="6"/>
      <c r="PPJ2" s="6"/>
      <c r="PPK2" s="6"/>
      <c r="PPL2" s="6"/>
      <c r="PPM2" s="6"/>
      <c r="PPN2" s="6"/>
      <c r="PPO2" s="6"/>
      <c r="PPP2" s="6"/>
      <c r="PPQ2" s="6"/>
      <c r="PPR2" s="6"/>
      <c r="PPS2" s="6"/>
      <c r="PPT2" s="6"/>
      <c r="PPU2" s="6"/>
      <c r="PPV2" s="6"/>
      <c r="PPW2" s="6"/>
      <c r="PPX2" s="6"/>
      <c r="PPY2" s="6"/>
      <c r="PPZ2" s="6"/>
      <c r="PQA2" s="6"/>
      <c r="PQB2" s="6"/>
      <c r="PQC2" s="6"/>
      <c r="PQD2" s="6"/>
      <c r="PQE2" s="6"/>
      <c r="PQF2" s="6"/>
      <c r="PQG2" s="6"/>
      <c r="PQH2" s="6"/>
      <c r="PQI2" s="6"/>
      <c r="PQJ2" s="6"/>
      <c r="PQK2" s="6"/>
      <c r="PQL2" s="6"/>
      <c r="PQM2" s="6"/>
      <c r="PQN2" s="6"/>
      <c r="PQO2" s="6"/>
      <c r="PQP2" s="6"/>
      <c r="PQQ2" s="6"/>
      <c r="PQR2" s="6"/>
      <c r="PQS2" s="6"/>
      <c r="PQT2" s="6"/>
      <c r="PQU2" s="6"/>
      <c r="PQV2" s="6"/>
      <c r="PQW2" s="6"/>
      <c r="PQX2" s="6"/>
      <c r="PQY2" s="6"/>
      <c r="PQZ2" s="6"/>
      <c r="PRA2" s="6"/>
      <c r="PRB2" s="6"/>
      <c r="PRC2" s="6"/>
      <c r="PRD2" s="6"/>
      <c r="PRE2" s="6"/>
      <c r="PRF2" s="6"/>
      <c r="PRG2" s="6"/>
      <c r="PRH2" s="6"/>
      <c r="PRI2" s="6"/>
      <c r="PRJ2" s="6"/>
      <c r="PRK2" s="6"/>
      <c r="PRL2" s="6"/>
      <c r="PRM2" s="6"/>
      <c r="PRN2" s="6"/>
      <c r="PRO2" s="6"/>
      <c r="PRP2" s="6"/>
      <c r="PRQ2" s="6"/>
      <c r="PRR2" s="6"/>
      <c r="PRS2" s="6"/>
      <c r="PRT2" s="6"/>
      <c r="PRU2" s="6"/>
      <c r="PRV2" s="6"/>
      <c r="PRW2" s="6"/>
      <c r="PRX2" s="6"/>
      <c r="PRY2" s="6"/>
      <c r="PRZ2" s="6"/>
      <c r="PSA2" s="6"/>
      <c r="PSB2" s="6"/>
      <c r="PSC2" s="6"/>
      <c r="PSD2" s="6"/>
      <c r="PSE2" s="6"/>
      <c r="PSF2" s="6"/>
      <c r="PSG2" s="6"/>
      <c r="PSH2" s="6"/>
      <c r="PSI2" s="6"/>
      <c r="PSJ2" s="6"/>
      <c r="PSK2" s="6"/>
      <c r="PSL2" s="6"/>
      <c r="PSM2" s="6"/>
      <c r="PSN2" s="6"/>
      <c r="PSO2" s="6"/>
      <c r="PSP2" s="6"/>
      <c r="PSQ2" s="6"/>
      <c r="PSR2" s="6"/>
      <c r="PSS2" s="6"/>
      <c r="PST2" s="6"/>
      <c r="PSU2" s="6"/>
      <c r="PSV2" s="6"/>
      <c r="PSW2" s="6"/>
      <c r="PSX2" s="6"/>
      <c r="PSY2" s="6"/>
      <c r="PSZ2" s="6"/>
      <c r="PTA2" s="6"/>
      <c r="PTB2" s="6"/>
      <c r="PTC2" s="6"/>
      <c r="PTD2" s="6"/>
      <c r="PTE2" s="6"/>
      <c r="PTF2" s="6"/>
      <c r="PTG2" s="6"/>
      <c r="PTH2" s="6"/>
      <c r="PTI2" s="6"/>
      <c r="PTJ2" s="6"/>
      <c r="PTK2" s="6"/>
      <c r="PTL2" s="6"/>
      <c r="PTM2" s="6"/>
      <c r="PTN2" s="6"/>
      <c r="PTO2" s="6"/>
      <c r="PTP2" s="6"/>
      <c r="PTQ2" s="6"/>
      <c r="PTR2" s="6"/>
      <c r="PTS2" s="6"/>
      <c r="PTT2" s="6"/>
      <c r="PTU2" s="6"/>
      <c r="PTV2" s="6"/>
      <c r="PTW2" s="6"/>
      <c r="PTX2" s="6"/>
      <c r="PTY2" s="6"/>
      <c r="PTZ2" s="6"/>
      <c r="PUA2" s="6"/>
      <c r="PUB2" s="6"/>
      <c r="PUC2" s="6"/>
      <c r="PUD2" s="6"/>
      <c r="PUE2" s="6"/>
      <c r="PUF2" s="6"/>
      <c r="PUG2" s="6"/>
      <c r="PUH2" s="6"/>
      <c r="PUI2" s="6"/>
      <c r="PUJ2" s="6"/>
      <c r="PUK2" s="6"/>
      <c r="PUL2" s="6"/>
      <c r="PUM2" s="6"/>
      <c r="PUN2" s="6"/>
      <c r="PUO2" s="6"/>
      <c r="PUP2" s="6"/>
      <c r="PUQ2" s="6"/>
      <c r="PUR2" s="6"/>
      <c r="PUS2" s="6"/>
      <c r="PUT2" s="6"/>
      <c r="PUU2" s="6"/>
      <c r="PUV2" s="6"/>
      <c r="PUW2" s="6"/>
      <c r="PUX2" s="6"/>
      <c r="PUY2" s="6"/>
      <c r="PUZ2" s="6"/>
      <c r="PVA2" s="6"/>
      <c r="PVB2" s="6"/>
      <c r="PVC2" s="6"/>
      <c r="PVD2" s="6"/>
      <c r="PVE2" s="6"/>
      <c r="PVF2" s="6"/>
      <c r="PVG2" s="6"/>
      <c r="PVH2" s="6"/>
      <c r="PVI2" s="6"/>
      <c r="PVJ2" s="6"/>
      <c r="PVK2" s="6"/>
      <c r="PVL2" s="6"/>
      <c r="PVM2" s="6"/>
      <c r="PVN2" s="6"/>
      <c r="PVO2" s="6"/>
      <c r="PVP2" s="6"/>
      <c r="PVQ2" s="6"/>
      <c r="PVR2" s="6"/>
      <c r="PVS2" s="6"/>
      <c r="PVT2" s="6"/>
      <c r="PVU2" s="6"/>
      <c r="PVV2" s="6"/>
      <c r="PVW2" s="6"/>
      <c r="PVX2" s="6"/>
      <c r="PVY2" s="6"/>
      <c r="PVZ2" s="6"/>
      <c r="PWA2" s="6"/>
      <c r="PWB2" s="6"/>
      <c r="PWC2" s="6"/>
      <c r="PWD2" s="6"/>
      <c r="PWE2" s="6"/>
      <c r="PWF2" s="6"/>
      <c r="PWG2" s="6"/>
      <c r="PWH2" s="6"/>
      <c r="PWI2" s="6"/>
      <c r="PWJ2" s="6"/>
      <c r="PWK2" s="6"/>
      <c r="PWL2" s="6"/>
      <c r="PWM2" s="6"/>
      <c r="PWN2" s="6"/>
      <c r="PWO2" s="6"/>
      <c r="PWP2" s="6"/>
      <c r="PWQ2" s="6"/>
      <c r="PWR2" s="6"/>
      <c r="PWS2" s="6"/>
      <c r="PWT2" s="6"/>
      <c r="PWU2" s="6"/>
      <c r="PWV2" s="6"/>
      <c r="PWW2" s="6"/>
      <c r="PWX2" s="6"/>
      <c r="PWY2" s="6"/>
      <c r="PWZ2" s="6"/>
      <c r="PXA2" s="6"/>
      <c r="PXB2" s="6"/>
      <c r="PXC2" s="6"/>
      <c r="PXD2" s="6"/>
      <c r="PXE2" s="6"/>
      <c r="PXF2" s="6"/>
      <c r="PXG2" s="6"/>
      <c r="PXH2" s="6"/>
      <c r="PXI2" s="6"/>
      <c r="PXJ2" s="6"/>
      <c r="PXK2" s="6"/>
      <c r="PXL2" s="6"/>
      <c r="PXM2" s="6"/>
      <c r="PXN2" s="6"/>
      <c r="PXO2" s="6"/>
      <c r="PXP2" s="6"/>
      <c r="PXQ2" s="6"/>
      <c r="PXR2" s="6"/>
      <c r="PXS2" s="6"/>
      <c r="PXT2" s="6"/>
      <c r="PXU2" s="6"/>
      <c r="PXV2" s="6"/>
      <c r="PXW2" s="6"/>
      <c r="PXX2" s="6"/>
      <c r="PXY2" s="6"/>
      <c r="PXZ2" s="6"/>
      <c r="PYA2" s="6"/>
      <c r="PYB2" s="6"/>
      <c r="PYC2" s="6"/>
      <c r="PYD2" s="6"/>
      <c r="PYE2" s="6"/>
      <c r="PYF2" s="6"/>
      <c r="PYG2" s="6"/>
      <c r="PYH2" s="6"/>
      <c r="PYI2" s="6"/>
      <c r="PYJ2" s="6"/>
      <c r="PYK2" s="6"/>
      <c r="PYL2" s="6"/>
      <c r="PYM2" s="6"/>
      <c r="PYN2" s="6"/>
      <c r="PYO2" s="6"/>
      <c r="PYP2" s="6"/>
      <c r="PYQ2" s="6"/>
      <c r="PYR2" s="6"/>
      <c r="PYS2" s="6"/>
      <c r="PYT2" s="6"/>
      <c r="PYU2" s="6"/>
      <c r="PYV2" s="6"/>
      <c r="PYW2" s="6"/>
      <c r="PYX2" s="6"/>
      <c r="PYY2" s="6"/>
      <c r="PYZ2" s="6"/>
      <c r="PZA2" s="6"/>
      <c r="PZB2" s="6"/>
      <c r="PZC2" s="6"/>
      <c r="PZD2" s="6"/>
      <c r="PZE2" s="6"/>
      <c r="PZF2" s="6"/>
      <c r="PZG2" s="6"/>
      <c r="PZH2" s="6"/>
      <c r="PZI2" s="6"/>
      <c r="PZJ2" s="6"/>
      <c r="PZK2" s="6"/>
      <c r="PZL2" s="6"/>
      <c r="PZM2" s="6"/>
      <c r="PZN2" s="6"/>
      <c r="PZO2" s="6"/>
      <c r="PZP2" s="6"/>
      <c r="PZQ2" s="6"/>
      <c r="PZR2" s="6"/>
      <c r="PZS2" s="6"/>
      <c r="PZT2" s="6"/>
      <c r="PZU2" s="6"/>
      <c r="PZV2" s="6"/>
      <c r="PZW2" s="6"/>
      <c r="PZX2" s="6"/>
      <c r="PZY2" s="6"/>
      <c r="PZZ2" s="6"/>
      <c r="QAA2" s="6"/>
      <c r="QAB2" s="6"/>
      <c r="QAC2" s="6"/>
      <c r="QAD2" s="6"/>
      <c r="QAE2" s="6"/>
      <c r="QAF2" s="6"/>
      <c r="QAG2" s="6"/>
      <c r="QAH2" s="6"/>
      <c r="QAI2" s="6"/>
      <c r="QAJ2" s="6"/>
      <c r="QAK2" s="6"/>
      <c r="QAL2" s="6"/>
      <c r="QAM2" s="6"/>
      <c r="QAN2" s="6"/>
      <c r="QAO2" s="6"/>
      <c r="QAP2" s="6"/>
      <c r="QAQ2" s="6"/>
      <c r="QAR2" s="6"/>
      <c r="QAS2" s="6"/>
      <c r="QAT2" s="6"/>
      <c r="QAU2" s="6"/>
      <c r="QAV2" s="6"/>
      <c r="QAW2" s="6"/>
      <c r="QAX2" s="6"/>
      <c r="QAY2" s="6"/>
      <c r="QAZ2" s="6"/>
      <c r="QBA2" s="6"/>
      <c r="QBB2" s="6"/>
      <c r="QBC2" s="6"/>
      <c r="QBD2" s="6"/>
      <c r="QBE2" s="6"/>
      <c r="QBF2" s="6"/>
      <c r="QBG2" s="6"/>
      <c r="QBH2" s="6"/>
      <c r="QBI2" s="6"/>
      <c r="QBJ2" s="6"/>
      <c r="QBK2" s="6"/>
      <c r="QBL2" s="6"/>
      <c r="QBM2" s="6"/>
      <c r="QBN2" s="6"/>
      <c r="QBO2" s="6"/>
      <c r="QBP2" s="6"/>
      <c r="QBQ2" s="6"/>
      <c r="QBR2" s="6"/>
      <c r="QBS2" s="6"/>
      <c r="QBT2" s="6"/>
      <c r="QBU2" s="6"/>
      <c r="QBV2" s="6"/>
      <c r="QBW2" s="6"/>
      <c r="QBX2" s="6"/>
      <c r="QBY2" s="6"/>
      <c r="QBZ2" s="6"/>
      <c r="QCA2" s="6"/>
      <c r="QCB2" s="6"/>
      <c r="QCC2" s="6"/>
      <c r="QCD2" s="6"/>
      <c r="QCE2" s="6"/>
      <c r="QCF2" s="6"/>
      <c r="QCG2" s="6"/>
      <c r="QCH2" s="6"/>
      <c r="QCI2" s="6"/>
      <c r="QCJ2" s="6"/>
      <c r="QCK2" s="6"/>
      <c r="QCL2" s="6"/>
      <c r="QCM2" s="6"/>
      <c r="QCN2" s="6"/>
      <c r="QCO2" s="6"/>
      <c r="QCP2" s="6"/>
      <c r="QCQ2" s="6"/>
      <c r="QCR2" s="6"/>
      <c r="QCS2" s="6"/>
      <c r="QCT2" s="6"/>
      <c r="QCU2" s="6"/>
      <c r="QCV2" s="6"/>
      <c r="QCW2" s="6"/>
      <c r="QCX2" s="6"/>
      <c r="QCY2" s="6"/>
      <c r="QCZ2" s="6"/>
      <c r="QDA2" s="6"/>
      <c r="QDB2" s="6"/>
      <c r="QDC2" s="6"/>
      <c r="QDD2" s="6"/>
      <c r="QDE2" s="6"/>
      <c r="QDF2" s="6"/>
      <c r="QDG2" s="6"/>
      <c r="QDH2" s="6"/>
      <c r="QDI2" s="6"/>
      <c r="QDJ2" s="6"/>
      <c r="QDK2" s="6"/>
      <c r="QDL2" s="6"/>
      <c r="QDM2" s="6"/>
      <c r="QDN2" s="6"/>
      <c r="QDO2" s="6"/>
      <c r="QDP2" s="6"/>
      <c r="QDQ2" s="6"/>
      <c r="QDR2" s="6"/>
      <c r="QDS2" s="6"/>
      <c r="QDT2" s="6"/>
      <c r="QDU2" s="6"/>
      <c r="QDV2" s="6"/>
      <c r="QDW2" s="6"/>
      <c r="QDX2" s="6"/>
      <c r="QDY2" s="6"/>
      <c r="QDZ2" s="6"/>
      <c r="QEA2" s="6"/>
      <c r="QEB2" s="6"/>
      <c r="QEC2" s="6"/>
      <c r="QED2" s="6"/>
      <c r="QEE2" s="6"/>
      <c r="QEF2" s="6"/>
      <c r="QEG2" s="6"/>
      <c r="QEH2" s="6"/>
      <c r="QEI2" s="6"/>
      <c r="QEJ2" s="6"/>
      <c r="QEK2" s="6"/>
      <c r="QEL2" s="6"/>
      <c r="QEM2" s="6"/>
      <c r="QEN2" s="6"/>
      <c r="QEO2" s="6"/>
      <c r="QEP2" s="6"/>
      <c r="QEQ2" s="6"/>
      <c r="QER2" s="6"/>
      <c r="QES2" s="6"/>
      <c r="QET2" s="6"/>
      <c r="QEU2" s="6"/>
      <c r="QEV2" s="6"/>
      <c r="QEW2" s="6"/>
      <c r="QEX2" s="6"/>
      <c r="QEY2" s="6"/>
      <c r="QEZ2" s="6"/>
      <c r="QFA2" s="6"/>
      <c r="QFB2" s="6"/>
      <c r="QFC2" s="6"/>
      <c r="QFD2" s="6"/>
      <c r="QFE2" s="6"/>
      <c r="QFF2" s="6"/>
      <c r="QFG2" s="6"/>
      <c r="QFH2" s="6"/>
      <c r="QFI2" s="6"/>
      <c r="QFJ2" s="6"/>
      <c r="QFK2" s="6"/>
      <c r="QFL2" s="6"/>
      <c r="QFM2" s="6"/>
      <c r="QFN2" s="6"/>
      <c r="QFO2" s="6"/>
      <c r="QFP2" s="6"/>
      <c r="QFQ2" s="6"/>
      <c r="QFR2" s="6"/>
      <c r="QFS2" s="6"/>
      <c r="QFT2" s="6"/>
      <c r="QFU2" s="6"/>
      <c r="QFV2" s="6"/>
      <c r="QFW2" s="6"/>
      <c r="QFX2" s="6"/>
      <c r="QFY2" s="6"/>
      <c r="QFZ2" s="6"/>
      <c r="QGA2" s="6"/>
      <c r="QGB2" s="6"/>
      <c r="QGC2" s="6"/>
      <c r="QGD2" s="6"/>
      <c r="QGE2" s="6"/>
      <c r="QGF2" s="6"/>
      <c r="QGG2" s="6"/>
      <c r="QGH2" s="6"/>
      <c r="QGI2" s="6"/>
      <c r="QGJ2" s="6"/>
      <c r="QGK2" s="6"/>
      <c r="QGL2" s="6"/>
      <c r="QGM2" s="6"/>
      <c r="QGN2" s="6"/>
      <c r="QGO2" s="6"/>
      <c r="QGP2" s="6"/>
      <c r="QGQ2" s="6"/>
      <c r="QGR2" s="6"/>
      <c r="QGS2" s="6"/>
      <c r="QGT2" s="6"/>
      <c r="QGU2" s="6"/>
      <c r="QGV2" s="6"/>
      <c r="QGW2" s="6"/>
      <c r="QGX2" s="6"/>
      <c r="QGY2" s="6"/>
      <c r="QGZ2" s="6"/>
      <c r="QHA2" s="6"/>
      <c r="QHB2" s="6"/>
      <c r="QHC2" s="6"/>
      <c r="QHD2" s="6"/>
      <c r="QHE2" s="6"/>
      <c r="QHF2" s="6"/>
      <c r="QHG2" s="6"/>
      <c r="QHH2" s="6"/>
      <c r="QHI2" s="6"/>
      <c r="QHJ2" s="6"/>
      <c r="QHK2" s="6"/>
      <c r="QHL2" s="6"/>
      <c r="QHM2" s="6"/>
      <c r="QHN2" s="6"/>
      <c r="QHO2" s="6"/>
      <c r="QHP2" s="6"/>
      <c r="QHQ2" s="6"/>
      <c r="QHR2" s="6"/>
      <c r="QHS2" s="6"/>
      <c r="QHT2" s="6"/>
      <c r="QHU2" s="6"/>
      <c r="QHV2" s="6"/>
      <c r="QHW2" s="6"/>
      <c r="QHX2" s="6"/>
      <c r="QHY2" s="6"/>
      <c r="QHZ2" s="6"/>
      <c r="QIA2" s="6"/>
      <c r="QIB2" s="6"/>
      <c r="QIC2" s="6"/>
      <c r="QID2" s="6"/>
      <c r="QIE2" s="6"/>
      <c r="QIF2" s="6"/>
      <c r="QIG2" s="6"/>
      <c r="QIH2" s="6"/>
      <c r="QII2" s="6"/>
      <c r="QIJ2" s="6"/>
      <c r="QIK2" s="6"/>
      <c r="QIL2" s="6"/>
      <c r="QIM2" s="6"/>
      <c r="QIN2" s="6"/>
      <c r="QIO2" s="6"/>
      <c r="QIP2" s="6"/>
      <c r="QIQ2" s="6"/>
      <c r="QIR2" s="6"/>
      <c r="QIS2" s="6"/>
      <c r="QIT2" s="6"/>
      <c r="QIU2" s="6"/>
      <c r="QIV2" s="6"/>
      <c r="QIW2" s="6"/>
      <c r="QIX2" s="6"/>
      <c r="QIY2" s="6"/>
      <c r="QIZ2" s="6"/>
      <c r="QJA2" s="6"/>
      <c r="QJB2" s="6"/>
      <c r="QJC2" s="6"/>
      <c r="QJD2" s="6"/>
      <c r="QJE2" s="6"/>
      <c r="QJF2" s="6"/>
      <c r="QJG2" s="6"/>
      <c r="QJH2" s="6"/>
      <c r="QJI2" s="6"/>
      <c r="QJJ2" s="6"/>
      <c r="QJK2" s="6"/>
      <c r="QJL2" s="6"/>
      <c r="QJM2" s="6"/>
      <c r="QJN2" s="6"/>
      <c r="QJO2" s="6"/>
      <c r="QJP2" s="6"/>
      <c r="QJQ2" s="6"/>
      <c r="QJR2" s="6"/>
      <c r="QJS2" s="6"/>
      <c r="QJT2" s="6"/>
      <c r="QJU2" s="6"/>
      <c r="QJV2" s="6"/>
      <c r="QJW2" s="6"/>
      <c r="QJX2" s="6"/>
      <c r="QJY2" s="6"/>
      <c r="QJZ2" s="6"/>
      <c r="QKA2" s="6"/>
      <c r="QKB2" s="6"/>
      <c r="QKC2" s="6"/>
      <c r="QKD2" s="6"/>
      <c r="QKE2" s="6"/>
      <c r="QKF2" s="6"/>
      <c r="QKG2" s="6"/>
      <c r="QKH2" s="6"/>
      <c r="QKI2" s="6"/>
      <c r="QKJ2" s="6"/>
      <c r="QKK2" s="6"/>
      <c r="QKL2" s="6"/>
      <c r="QKM2" s="6"/>
      <c r="QKN2" s="6"/>
      <c r="QKO2" s="6"/>
      <c r="QKP2" s="6"/>
      <c r="QKQ2" s="6"/>
      <c r="QKR2" s="6"/>
      <c r="QKS2" s="6"/>
      <c r="QKT2" s="6"/>
      <c r="QKU2" s="6"/>
      <c r="QKV2" s="6"/>
      <c r="QKW2" s="6"/>
      <c r="QKX2" s="6"/>
      <c r="QKY2" s="6"/>
      <c r="QKZ2" s="6"/>
      <c r="QLA2" s="6"/>
      <c r="QLB2" s="6"/>
      <c r="QLC2" s="6"/>
      <c r="QLD2" s="6"/>
      <c r="QLE2" s="6"/>
      <c r="QLF2" s="6"/>
      <c r="QLG2" s="6"/>
      <c r="QLH2" s="6"/>
      <c r="QLI2" s="6"/>
      <c r="QLJ2" s="6"/>
      <c r="QLK2" s="6"/>
      <c r="QLL2" s="6"/>
      <c r="QLM2" s="6"/>
      <c r="QLN2" s="6"/>
      <c r="QLO2" s="6"/>
      <c r="QLP2" s="6"/>
      <c r="QLQ2" s="6"/>
      <c r="QLR2" s="6"/>
      <c r="QLS2" s="6"/>
      <c r="QLT2" s="6"/>
      <c r="QLU2" s="6"/>
      <c r="QLV2" s="6"/>
      <c r="QLW2" s="6"/>
      <c r="QLX2" s="6"/>
      <c r="QLY2" s="6"/>
      <c r="QLZ2" s="6"/>
      <c r="QMA2" s="6"/>
      <c r="QMB2" s="6"/>
      <c r="QMC2" s="6"/>
      <c r="QMD2" s="6"/>
      <c r="QME2" s="6"/>
      <c r="QMF2" s="6"/>
      <c r="QMG2" s="6"/>
      <c r="QMH2" s="6"/>
      <c r="QMI2" s="6"/>
      <c r="QMJ2" s="6"/>
      <c r="QMK2" s="6"/>
      <c r="QML2" s="6"/>
      <c r="QMM2" s="6"/>
      <c r="QMN2" s="6"/>
      <c r="QMO2" s="6"/>
      <c r="QMP2" s="6"/>
      <c r="QMQ2" s="6"/>
      <c r="QMR2" s="6"/>
      <c r="QMS2" s="6"/>
      <c r="QMT2" s="6"/>
      <c r="QMU2" s="6"/>
      <c r="QMV2" s="6"/>
      <c r="QMW2" s="6"/>
      <c r="QMX2" s="6"/>
      <c r="QMY2" s="6"/>
      <c r="QMZ2" s="6"/>
      <c r="QNA2" s="6"/>
      <c r="QNB2" s="6"/>
      <c r="QNC2" s="6"/>
      <c r="QND2" s="6"/>
      <c r="QNE2" s="6"/>
      <c r="QNF2" s="6"/>
      <c r="QNG2" s="6"/>
      <c r="QNH2" s="6"/>
      <c r="QNI2" s="6"/>
      <c r="QNJ2" s="6"/>
      <c r="QNK2" s="6"/>
      <c r="QNL2" s="6"/>
      <c r="QNM2" s="6"/>
      <c r="QNN2" s="6"/>
      <c r="QNO2" s="6"/>
      <c r="QNP2" s="6"/>
      <c r="QNQ2" s="6"/>
      <c r="QNR2" s="6"/>
      <c r="QNS2" s="6"/>
      <c r="QNT2" s="6"/>
      <c r="QNU2" s="6"/>
      <c r="QNV2" s="6"/>
      <c r="QNW2" s="6"/>
      <c r="QNX2" s="6"/>
      <c r="QNY2" s="6"/>
      <c r="QNZ2" s="6"/>
      <c r="QOA2" s="6"/>
      <c r="QOB2" s="6"/>
      <c r="QOC2" s="6"/>
      <c r="QOD2" s="6"/>
      <c r="QOE2" s="6"/>
      <c r="QOF2" s="6"/>
      <c r="QOG2" s="6"/>
      <c r="QOH2" s="6"/>
      <c r="QOI2" s="6"/>
      <c r="QOJ2" s="6"/>
      <c r="QOK2" s="6"/>
      <c r="QOL2" s="6"/>
      <c r="QOM2" s="6"/>
      <c r="QON2" s="6"/>
      <c r="QOO2" s="6"/>
      <c r="QOP2" s="6"/>
      <c r="QOQ2" s="6"/>
      <c r="QOR2" s="6"/>
      <c r="QOS2" s="6"/>
      <c r="QOT2" s="6"/>
      <c r="QOU2" s="6"/>
      <c r="QOV2" s="6"/>
      <c r="QOW2" s="6"/>
      <c r="QOX2" s="6"/>
      <c r="QOY2" s="6"/>
      <c r="QOZ2" s="6"/>
      <c r="QPA2" s="6"/>
      <c r="QPB2" s="6"/>
      <c r="QPC2" s="6"/>
      <c r="QPD2" s="6"/>
      <c r="QPE2" s="6"/>
      <c r="QPF2" s="6"/>
      <c r="QPG2" s="6"/>
      <c r="QPH2" s="6"/>
      <c r="QPI2" s="6"/>
      <c r="QPJ2" s="6"/>
      <c r="QPK2" s="6"/>
      <c r="QPL2" s="6"/>
      <c r="QPM2" s="6"/>
      <c r="QPN2" s="6"/>
      <c r="QPO2" s="6"/>
      <c r="QPP2" s="6"/>
      <c r="QPQ2" s="6"/>
      <c r="QPR2" s="6"/>
      <c r="QPS2" s="6"/>
      <c r="QPT2" s="6"/>
      <c r="QPU2" s="6"/>
      <c r="QPV2" s="6"/>
      <c r="QPW2" s="6"/>
      <c r="QPX2" s="6"/>
      <c r="QPY2" s="6"/>
      <c r="QPZ2" s="6"/>
      <c r="QQA2" s="6"/>
      <c r="QQB2" s="6"/>
      <c r="QQC2" s="6"/>
      <c r="QQD2" s="6"/>
      <c r="QQE2" s="6"/>
      <c r="QQF2" s="6"/>
      <c r="QQG2" s="6"/>
      <c r="QQH2" s="6"/>
      <c r="QQI2" s="6"/>
      <c r="QQJ2" s="6"/>
      <c r="QQK2" s="6"/>
      <c r="QQL2" s="6"/>
      <c r="QQM2" s="6"/>
      <c r="QQN2" s="6"/>
      <c r="QQO2" s="6"/>
      <c r="QQP2" s="6"/>
      <c r="QQQ2" s="6"/>
      <c r="QQR2" s="6"/>
      <c r="QQS2" s="6"/>
      <c r="QQT2" s="6"/>
      <c r="QQU2" s="6"/>
      <c r="QQV2" s="6"/>
      <c r="QQW2" s="6"/>
      <c r="QQX2" s="6"/>
      <c r="QQY2" s="6"/>
      <c r="QQZ2" s="6"/>
      <c r="QRA2" s="6"/>
      <c r="QRB2" s="6"/>
      <c r="QRC2" s="6"/>
      <c r="QRD2" s="6"/>
      <c r="QRE2" s="6"/>
      <c r="QRF2" s="6"/>
      <c r="QRG2" s="6"/>
      <c r="QRH2" s="6"/>
      <c r="QRI2" s="6"/>
      <c r="QRJ2" s="6"/>
      <c r="QRK2" s="6"/>
      <c r="QRL2" s="6"/>
      <c r="QRM2" s="6"/>
      <c r="QRN2" s="6"/>
      <c r="QRO2" s="6"/>
      <c r="QRP2" s="6"/>
      <c r="QRQ2" s="6"/>
      <c r="QRR2" s="6"/>
      <c r="QRS2" s="6"/>
      <c r="QRT2" s="6"/>
      <c r="QRU2" s="6"/>
      <c r="QRV2" s="6"/>
      <c r="QRW2" s="6"/>
      <c r="QRX2" s="6"/>
      <c r="QRY2" s="6"/>
      <c r="QRZ2" s="6"/>
      <c r="QSA2" s="6"/>
      <c r="QSB2" s="6"/>
      <c r="QSC2" s="6"/>
      <c r="QSD2" s="6"/>
      <c r="QSE2" s="6"/>
      <c r="QSF2" s="6"/>
      <c r="QSG2" s="6"/>
      <c r="QSH2" s="6"/>
      <c r="QSI2" s="6"/>
      <c r="QSJ2" s="6"/>
      <c r="QSK2" s="6"/>
      <c r="QSL2" s="6"/>
      <c r="QSM2" s="6"/>
      <c r="QSN2" s="6"/>
      <c r="QSO2" s="6"/>
      <c r="QSP2" s="6"/>
      <c r="QSQ2" s="6"/>
      <c r="QSR2" s="6"/>
      <c r="QSS2" s="6"/>
      <c r="QST2" s="6"/>
      <c r="QSU2" s="6"/>
      <c r="QSV2" s="6"/>
      <c r="QSW2" s="6"/>
      <c r="QSX2" s="6"/>
      <c r="QSY2" s="6"/>
      <c r="QSZ2" s="6"/>
      <c r="QTA2" s="6"/>
      <c r="QTB2" s="6"/>
      <c r="QTC2" s="6"/>
      <c r="QTD2" s="6"/>
      <c r="QTE2" s="6"/>
      <c r="QTF2" s="6"/>
      <c r="QTG2" s="6"/>
      <c r="QTH2" s="6"/>
      <c r="QTI2" s="6"/>
      <c r="QTJ2" s="6"/>
      <c r="QTK2" s="6"/>
      <c r="QTL2" s="6"/>
      <c r="QTM2" s="6"/>
      <c r="QTN2" s="6"/>
      <c r="QTO2" s="6"/>
      <c r="QTP2" s="6"/>
      <c r="QTQ2" s="6"/>
      <c r="QTR2" s="6"/>
      <c r="QTS2" s="6"/>
      <c r="QTT2" s="6"/>
      <c r="QTU2" s="6"/>
      <c r="QTV2" s="6"/>
      <c r="QTW2" s="6"/>
      <c r="QTX2" s="6"/>
      <c r="QTY2" s="6"/>
      <c r="QTZ2" s="6"/>
      <c r="QUA2" s="6"/>
      <c r="QUB2" s="6"/>
      <c r="QUC2" s="6"/>
      <c r="QUD2" s="6"/>
      <c r="QUE2" s="6"/>
      <c r="QUF2" s="6"/>
      <c r="QUG2" s="6"/>
      <c r="QUH2" s="6"/>
      <c r="QUI2" s="6"/>
      <c r="QUJ2" s="6"/>
      <c r="QUK2" s="6"/>
      <c r="QUL2" s="6"/>
      <c r="QUM2" s="6"/>
      <c r="QUN2" s="6"/>
      <c r="QUO2" s="6"/>
      <c r="QUP2" s="6"/>
      <c r="QUQ2" s="6"/>
      <c r="QUR2" s="6"/>
      <c r="QUS2" s="6"/>
      <c r="QUT2" s="6"/>
      <c r="QUU2" s="6"/>
      <c r="QUV2" s="6"/>
      <c r="QUW2" s="6"/>
      <c r="QUX2" s="6"/>
      <c r="QUY2" s="6"/>
      <c r="QUZ2" s="6"/>
      <c r="QVA2" s="6"/>
      <c r="QVB2" s="6"/>
      <c r="QVC2" s="6"/>
      <c r="QVD2" s="6"/>
      <c r="QVE2" s="6"/>
      <c r="QVF2" s="6"/>
      <c r="QVG2" s="6"/>
      <c r="QVH2" s="6"/>
      <c r="QVI2" s="6"/>
      <c r="QVJ2" s="6"/>
      <c r="QVK2" s="6"/>
      <c r="QVL2" s="6"/>
      <c r="QVM2" s="6"/>
      <c r="QVN2" s="6"/>
      <c r="QVO2" s="6"/>
      <c r="QVP2" s="6"/>
      <c r="QVQ2" s="6"/>
      <c r="QVR2" s="6"/>
      <c r="QVS2" s="6"/>
      <c r="QVT2" s="6"/>
      <c r="QVU2" s="6"/>
      <c r="QVV2" s="6"/>
      <c r="QVW2" s="6"/>
      <c r="QVX2" s="6"/>
      <c r="QVY2" s="6"/>
      <c r="QVZ2" s="6"/>
      <c r="QWA2" s="6"/>
      <c r="QWB2" s="6"/>
      <c r="QWC2" s="6"/>
      <c r="QWD2" s="6"/>
      <c r="QWE2" s="6"/>
      <c r="QWF2" s="6"/>
      <c r="QWG2" s="6"/>
      <c r="QWH2" s="6"/>
      <c r="QWI2" s="6"/>
      <c r="QWJ2" s="6"/>
      <c r="QWK2" s="6"/>
      <c r="QWL2" s="6"/>
      <c r="QWM2" s="6"/>
      <c r="QWN2" s="6"/>
      <c r="QWO2" s="6"/>
      <c r="QWP2" s="6"/>
      <c r="QWQ2" s="6"/>
      <c r="QWR2" s="6"/>
      <c r="QWS2" s="6"/>
      <c r="QWT2" s="6"/>
      <c r="QWU2" s="6"/>
      <c r="QWV2" s="6"/>
      <c r="QWW2" s="6"/>
      <c r="QWX2" s="6"/>
      <c r="QWY2" s="6"/>
      <c r="QWZ2" s="6"/>
      <c r="QXA2" s="6"/>
      <c r="QXB2" s="6"/>
      <c r="QXC2" s="6"/>
      <c r="QXD2" s="6"/>
      <c r="QXE2" s="6"/>
      <c r="QXF2" s="6"/>
      <c r="QXG2" s="6"/>
      <c r="QXH2" s="6"/>
      <c r="QXI2" s="6"/>
      <c r="QXJ2" s="6"/>
      <c r="QXK2" s="6"/>
      <c r="QXL2" s="6"/>
      <c r="QXM2" s="6"/>
      <c r="QXN2" s="6"/>
      <c r="QXO2" s="6"/>
      <c r="QXP2" s="6"/>
      <c r="QXQ2" s="6"/>
      <c r="QXR2" s="6"/>
      <c r="QXS2" s="6"/>
      <c r="QXT2" s="6"/>
      <c r="QXU2" s="6"/>
      <c r="QXV2" s="6"/>
      <c r="QXW2" s="6"/>
      <c r="QXX2" s="6"/>
      <c r="QXY2" s="6"/>
      <c r="QXZ2" s="6"/>
      <c r="QYA2" s="6"/>
      <c r="QYB2" s="6"/>
      <c r="QYC2" s="6"/>
      <c r="QYD2" s="6"/>
      <c r="QYE2" s="6"/>
      <c r="QYF2" s="6"/>
      <c r="QYG2" s="6"/>
      <c r="QYH2" s="6"/>
      <c r="QYI2" s="6"/>
      <c r="QYJ2" s="6"/>
      <c r="QYK2" s="6"/>
      <c r="QYL2" s="6"/>
      <c r="QYM2" s="6"/>
      <c r="QYN2" s="6"/>
      <c r="QYO2" s="6"/>
      <c r="QYP2" s="6"/>
      <c r="QYQ2" s="6"/>
      <c r="QYR2" s="6"/>
      <c r="QYS2" s="6"/>
      <c r="QYT2" s="6"/>
      <c r="QYU2" s="6"/>
      <c r="QYV2" s="6"/>
      <c r="QYW2" s="6"/>
      <c r="QYX2" s="6"/>
      <c r="QYY2" s="6"/>
      <c r="QYZ2" s="6"/>
      <c r="QZA2" s="6"/>
      <c r="QZB2" s="6"/>
      <c r="QZC2" s="6"/>
      <c r="QZD2" s="6"/>
      <c r="QZE2" s="6"/>
      <c r="QZF2" s="6"/>
      <c r="QZG2" s="6"/>
      <c r="QZH2" s="6"/>
      <c r="QZI2" s="6"/>
      <c r="QZJ2" s="6"/>
      <c r="QZK2" s="6"/>
      <c r="QZL2" s="6"/>
      <c r="QZM2" s="6"/>
      <c r="QZN2" s="6"/>
      <c r="QZO2" s="6"/>
      <c r="QZP2" s="6"/>
      <c r="QZQ2" s="6"/>
      <c r="QZR2" s="6"/>
      <c r="QZS2" s="6"/>
      <c r="QZT2" s="6"/>
      <c r="QZU2" s="6"/>
      <c r="QZV2" s="6"/>
      <c r="QZW2" s="6"/>
      <c r="QZX2" s="6"/>
      <c r="QZY2" s="6"/>
      <c r="QZZ2" s="6"/>
      <c r="RAA2" s="6"/>
      <c r="RAB2" s="6"/>
      <c r="RAC2" s="6"/>
      <c r="RAD2" s="6"/>
      <c r="RAE2" s="6"/>
      <c r="RAF2" s="6"/>
      <c r="RAG2" s="6"/>
      <c r="RAH2" s="6"/>
      <c r="RAI2" s="6"/>
      <c r="RAJ2" s="6"/>
      <c r="RAK2" s="6"/>
      <c r="RAL2" s="6"/>
      <c r="RAM2" s="6"/>
      <c r="RAN2" s="6"/>
      <c r="RAO2" s="6"/>
      <c r="RAP2" s="6"/>
      <c r="RAQ2" s="6"/>
      <c r="RAR2" s="6"/>
      <c r="RAS2" s="6"/>
      <c r="RAT2" s="6"/>
      <c r="RAU2" s="6"/>
      <c r="RAV2" s="6"/>
      <c r="RAW2" s="6"/>
      <c r="RAX2" s="6"/>
      <c r="RAY2" s="6"/>
      <c r="RAZ2" s="6"/>
      <c r="RBA2" s="6"/>
      <c r="RBB2" s="6"/>
      <c r="RBC2" s="6"/>
      <c r="RBD2" s="6"/>
      <c r="RBE2" s="6"/>
      <c r="RBF2" s="6"/>
      <c r="RBG2" s="6"/>
      <c r="RBH2" s="6"/>
      <c r="RBI2" s="6"/>
      <c r="RBJ2" s="6"/>
      <c r="RBK2" s="6"/>
      <c r="RBL2" s="6"/>
      <c r="RBM2" s="6"/>
      <c r="RBN2" s="6"/>
      <c r="RBO2" s="6"/>
      <c r="RBP2" s="6"/>
      <c r="RBQ2" s="6"/>
      <c r="RBR2" s="6"/>
      <c r="RBS2" s="6"/>
      <c r="RBT2" s="6"/>
      <c r="RBU2" s="6"/>
      <c r="RBV2" s="6"/>
      <c r="RBW2" s="6"/>
      <c r="RBX2" s="6"/>
      <c r="RBY2" s="6"/>
      <c r="RBZ2" s="6"/>
      <c r="RCA2" s="6"/>
      <c r="RCB2" s="6"/>
      <c r="RCC2" s="6"/>
      <c r="RCD2" s="6"/>
      <c r="RCE2" s="6"/>
      <c r="RCF2" s="6"/>
      <c r="RCG2" s="6"/>
      <c r="RCH2" s="6"/>
      <c r="RCI2" s="6"/>
      <c r="RCJ2" s="6"/>
      <c r="RCK2" s="6"/>
      <c r="RCL2" s="6"/>
      <c r="RCM2" s="6"/>
      <c r="RCN2" s="6"/>
      <c r="RCO2" s="6"/>
      <c r="RCP2" s="6"/>
      <c r="RCQ2" s="6"/>
      <c r="RCR2" s="6"/>
      <c r="RCS2" s="6"/>
      <c r="RCT2" s="6"/>
      <c r="RCU2" s="6"/>
      <c r="RCV2" s="6"/>
      <c r="RCW2" s="6"/>
      <c r="RCX2" s="6"/>
      <c r="RCY2" s="6"/>
      <c r="RCZ2" s="6"/>
      <c r="RDA2" s="6"/>
      <c r="RDB2" s="6"/>
      <c r="RDC2" s="6"/>
      <c r="RDD2" s="6"/>
      <c r="RDE2" s="6"/>
      <c r="RDF2" s="6"/>
      <c r="RDG2" s="6"/>
      <c r="RDH2" s="6"/>
      <c r="RDI2" s="6"/>
      <c r="RDJ2" s="6"/>
      <c r="RDK2" s="6"/>
      <c r="RDL2" s="6"/>
      <c r="RDM2" s="6"/>
      <c r="RDN2" s="6"/>
      <c r="RDO2" s="6"/>
      <c r="RDP2" s="6"/>
      <c r="RDQ2" s="6"/>
      <c r="RDR2" s="6"/>
      <c r="RDS2" s="6"/>
      <c r="RDT2" s="6"/>
      <c r="RDU2" s="6"/>
      <c r="RDV2" s="6"/>
      <c r="RDW2" s="6"/>
      <c r="RDX2" s="6"/>
      <c r="RDY2" s="6"/>
      <c r="RDZ2" s="6"/>
      <c r="REA2" s="6"/>
      <c r="REB2" s="6"/>
      <c r="REC2" s="6"/>
      <c r="RED2" s="6"/>
      <c r="REE2" s="6"/>
      <c r="REF2" s="6"/>
      <c r="REG2" s="6"/>
      <c r="REH2" s="6"/>
      <c r="REI2" s="6"/>
      <c r="REJ2" s="6"/>
      <c r="REK2" s="6"/>
      <c r="REL2" s="6"/>
      <c r="REM2" s="6"/>
      <c r="REN2" s="6"/>
      <c r="REO2" s="6"/>
      <c r="REP2" s="6"/>
      <c r="REQ2" s="6"/>
      <c r="RER2" s="6"/>
      <c r="RES2" s="6"/>
      <c r="RET2" s="6"/>
      <c r="REU2" s="6"/>
      <c r="REV2" s="6"/>
      <c r="REW2" s="6"/>
      <c r="REX2" s="6"/>
      <c r="REY2" s="6"/>
      <c r="REZ2" s="6"/>
      <c r="RFA2" s="6"/>
      <c r="RFB2" s="6"/>
      <c r="RFC2" s="6"/>
      <c r="RFD2" s="6"/>
      <c r="RFE2" s="6"/>
      <c r="RFF2" s="6"/>
      <c r="RFG2" s="6"/>
      <c r="RFH2" s="6"/>
      <c r="RFI2" s="6"/>
      <c r="RFJ2" s="6"/>
      <c r="RFK2" s="6"/>
      <c r="RFL2" s="6"/>
      <c r="RFM2" s="6"/>
      <c r="RFN2" s="6"/>
      <c r="RFO2" s="6"/>
      <c r="RFP2" s="6"/>
      <c r="RFQ2" s="6"/>
      <c r="RFR2" s="6"/>
      <c r="RFS2" s="6"/>
      <c r="RFT2" s="6"/>
      <c r="RFU2" s="6"/>
      <c r="RFV2" s="6"/>
      <c r="RFW2" s="6"/>
      <c r="RFX2" s="6"/>
      <c r="RFY2" s="6"/>
      <c r="RFZ2" s="6"/>
      <c r="RGA2" s="6"/>
      <c r="RGB2" s="6"/>
      <c r="RGC2" s="6"/>
      <c r="RGD2" s="6"/>
      <c r="RGE2" s="6"/>
      <c r="RGF2" s="6"/>
      <c r="RGG2" s="6"/>
      <c r="RGH2" s="6"/>
      <c r="RGI2" s="6"/>
      <c r="RGJ2" s="6"/>
      <c r="RGK2" s="6"/>
      <c r="RGL2" s="6"/>
      <c r="RGM2" s="6"/>
      <c r="RGN2" s="6"/>
      <c r="RGO2" s="6"/>
      <c r="RGP2" s="6"/>
      <c r="RGQ2" s="6"/>
      <c r="RGR2" s="6"/>
      <c r="RGS2" s="6"/>
      <c r="RGT2" s="6"/>
      <c r="RGU2" s="6"/>
      <c r="RGV2" s="6"/>
      <c r="RGW2" s="6"/>
      <c r="RGX2" s="6"/>
      <c r="RGY2" s="6"/>
      <c r="RGZ2" s="6"/>
      <c r="RHA2" s="6"/>
      <c r="RHB2" s="6"/>
      <c r="RHC2" s="6"/>
      <c r="RHD2" s="6"/>
      <c r="RHE2" s="6"/>
      <c r="RHF2" s="6"/>
      <c r="RHG2" s="6"/>
      <c r="RHH2" s="6"/>
      <c r="RHI2" s="6"/>
      <c r="RHJ2" s="6"/>
      <c r="RHK2" s="6"/>
      <c r="RHL2" s="6"/>
      <c r="RHM2" s="6"/>
      <c r="RHN2" s="6"/>
      <c r="RHO2" s="6"/>
      <c r="RHP2" s="6"/>
      <c r="RHQ2" s="6"/>
      <c r="RHR2" s="6"/>
      <c r="RHS2" s="6"/>
      <c r="RHT2" s="6"/>
      <c r="RHU2" s="6"/>
      <c r="RHV2" s="6"/>
      <c r="RHW2" s="6"/>
      <c r="RHX2" s="6"/>
      <c r="RHY2" s="6"/>
      <c r="RHZ2" s="6"/>
      <c r="RIA2" s="6"/>
      <c r="RIB2" s="6"/>
      <c r="RIC2" s="6"/>
      <c r="RID2" s="6"/>
      <c r="RIE2" s="6"/>
      <c r="RIF2" s="6"/>
      <c r="RIG2" s="6"/>
      <c r="RIH2" s="6"/>
      <c r="RII2" s="6"/>
      <c r="RIJ2" s="6"/>
      <c r="RIK2" s="6"/>
      <c r="RIL2" s="6"/>
      <c r="RIM2" s="6"/>
      <c r="RIN2" s="6"/>
      <c r="RIO2" s="6"/>
      <c r="RIP2" s="6"/>
      <c r="RIQ2" s="6"/>
      <c r="RIR2" s="6"/>
      <c r="RIS2" s="6"/>
      <c r="RIT2" s="6"/>
      <c r="RIU2" s="6"/>
      <c r="RIV2" s="6"/>
      <c r="RIW2" s="6"/>
      <c r="RIX2" s="6"/>
      <c r="RIY2" s="6"/>
      <c r="RIZ2" s="6"/>
      <c r="RJA2" s="6"/>
      <c r="RJB2" s="6"/>
      <c r="RJC2" s="6"/>
      <c r="RJD2" s="6"/>
      <c r="RJE2" s="6"/>
      <c r="RJF2" s="6"/>
      <c r="RJG2" s="6"/>
      <c r="RJH2" s="6"/>
      <c r="RJI2" s="6"/>
      <c r="RJJ2" s="6"/>
      <c r="RJK2" s="6"/>
      <c r="RJL2" s="6"/>
      <c r="RJM2" s="6"/>
      <c r="RJN2" s="6"/>
      <c r="RJO2" s="6"/>
      <c r="RJP2" s="6"/>
      <c r="RJQ2" s="6"/>
      <c r="RJR2" s="6"/>
      <c r="RJS2" s="6"/>
      <c r="RJT2" s="6"/>
      <c r="RJU2" s="6"/>
      <c r="RJV2" s="6"/>
      <c r="RJW2" s="6"/>
      <c r="RJX2" s="6"/>
      <c r="RJY2" s="6"/>
      <c r="RJZ2" s="6"/>
      <c r="RKA2" s="6"/>
      <c r="RKB2" s="6"/>
      <c r="RKC2" s="6"/>
      <c r="RKD2" s="6"/>
      <c r="RKE2" s="6"/>
      <c r="RKF2" s="6"/>
      <c r="RKG2" s="6"/>
      <c r="RKH2" s="6"/>
      <c r="RKI2" s="6"/>
      <c r="RKJ2" s="6"/>
      <c r="RKK2" s="6"/>
      <c r="RKL2" s="6"/>
      <c r="RKM2" s="6"/>
      <c r="RKN2" s="6"/>
      <c r="RKO2" s="6"/>
      <c r="RKP2" s="6"/>
      <c r="RKQ2" s="6"/>
      <c r="RKR2" s="6"/>
      <c r="RKS2" s="6"/>
      <c r="RKT2" s="6"/>
      <c r="RKU2" s="6"/>
      <c r="RKV2" s="6"/>
      <c r="RKW2" s="6"/>
      <c r="RKX2" s="6"/>
      <c r="RKY2" s="6"/>
      <c r="RKZ2" s="6"/>
      <c r="RLA2" s="6"/>
      <c r="RLB2" s="6"/>
      <c r="RLC2" s="6"/>
      <c r="RLD2" s="6"/>
      <c r="RLE2" s="6"/>
      <c r="RLF2" s="6"/>
      <c r="RLG2" s="6"/>
      <c r="RLH2" s="6"/>
      <c r="RLI2" s="6"/>
      <c r="RLJ2" s="6"/>
      <c r="RLK2" s="6"/>
      <c r="RLL2" s="6"/>
      <c r="RLM2" s="6"/>
      <c r="RLN2" s="6"/>
      <c r="RLO2" s="6"/>
      <c r="RLP2" s="6"/>
      <c r="RLQ2" s="6"/>
      <c r="RLR2" s="6"/>
      <c r="RLS2" s="6"/>
      <c r="RLT2" s="6"/>
      <c r="RLU2" s="6"/>
      <c r="RLV2" s="6"/>
      <c r="RLW2" s="6"/>
      <c r="RLX2" s="6"/>
      <c r="RLY2" s="6"/>
      <c r="RLZ2" s="6"/>
      <c r="RMA2" s="6"/>
      <c r="RMB2" s="6"/>
      <c r="RMC2" s="6"/>
      <c r="RMD2" s="6"/>
      <c r="RME2" s="6"/>
      <c r="RMF2" s="6"/>
      <c r="RMG2" s="6"/>
      <c r="RMH2" s="6"/>
      <c r="RMI2" s="6"/>
      <c r="RMJ2" s="6"/>
      <c r="RMK2" s="6"/>
      <c r="RML2" s="6"/>
      <c r="RMM2" s="6"/>
      <c r="RMN2" s="6"/>
      <c r="RMO2" s="6"/>
      <c r="RMP2" s="6"/>
      <c r="RMQ2" s="6"/>
      <c r="RMR2" s="6"/>
      <c r="RMS2" s="6"/>
      <c r="RMT2" s="6"/>
      <c r="RMU2" s="6"/>
      <c r="RMV2" s="6"/>
      <c r="RMW2" s="6"/>
      <c r="RMX2" s="6"/>
      <c r="RMY2" s="6"/>
      <c r="RMZ2" s="6"/>
      <c r="RNA2" s="6"/>
      <c r="RNB2" s="6"/>
      <c r="RNC2" s="6"/>
      <c r="RND2" s="6"/>
      <c r="RNE2" s="6"/>
      <c r="RNF2" s="6"/>
      <c r="RNG2" s="6"/>
      <c r="RNH2" s="6"/>
      <c r="RNI2" s="6"/>
      <c r="RNJ2" s="6"/>
      <c r="RNK2" s="6"/>
      <c r="RNL2" s="6"/>
      <c r="RNM2" s="6"/>
      <c r="RNN2" s="6"/>
      <c r="RNO2" s="6"/>
      <c r="RNP2" s="6"/>
      <c r="RNQ2" s="6"/>
      <c r="RNR2" s="6"/>
      <c r="RNS2" s="6"/>
      <c r="RNT2" s="6"/>
      <c r="RNU2" s="6"/>
      <c r="RNV2" s="6"/>
      <c r="RNW2" s="6"/>
      <c r="RNX2" s="6"/>
      <c r="RNY2" s="6"/>
      <c r="RNZ2" s="6"/>
      <c r="ROA2" s="6"/>
      <c r="ROB2" s="6"/>
      <c r="ROC2" s="6"/>
      <c r="ROD2" s="6"/>
      <c r="ROE2" s="6"/>
      <c r="ROF2" s="6"/>
      <c r="ROG2" s="6"/>
      <c r="ROH2" s="6"/>
      <c r="ROI2" s="6"/>
      <c r="ROJ2" s="6"/>
      <c r="ROK2" s="6"/>
      <c r="ROL2" s="6"/>
      <c r="ROM2" s="6"/>
      <c r="RON2" s="6"/>
      <c r="ROO2" s="6"/>
      <c r="ROP2" s="6"/>
      <c r="ROQ2" s="6"/>
      <c r="ROR2" s="6"/>
      <c r="ROS2" s="6"/>
      <c r="ROT2" s="6"/>
      <c r="ROU2" s="6"/>
      <c r="ROV2" s="6"/>
      <c r="ROW2" s="6"/>
      <c r="ROX2" s="6"/>
      <c r="ROY2" s="6"/>
      <c r="ROZ2" s="6"/>
      <c r="RPA2" s="6"/>
      <c r="RPB2" s="6"/>
      <c r="RPC2" s="6"/>
      <c r="RPD2" s="6"/>
      <c r="RPE2" s="6"/>
      <c r="RPF2" s="6"/>
      <c r="RPG2" s="6"/>
      <c r="RPH2" s="6"/>
      <c r="RPI2" s="6"/>
      <c r="RPJ2" s="6"/>
      <c r="RPK2" s="6"/>
      <c r="RPL2" s="6"/>
      <c r="RPM2" s="6"/>
      <c r="RPN2" s="6"/>
      <c r="RPO2" s="6"/>
      <c r="RPP2" s="6"/>
      <c r="RPQ2" s="6"/>
      <c r="RPR2" s="6"/>
      <c r="RPS2" s="6"/>
      <c r="RPT2" s="6"/>
      <c r="RPU2" s="6"/>
      <c r="RPV2" s="6"/>
      <c r="RPW2" s="6"/>
      <c r="RPX2" s="6"/>
      <c r="RPY2" s="6"/>
      <c r="RPZ2" s="6"/>
      <c r="RQA2" s="6"/>
      <c r="RQB2" s="6"/>
      <c r="RQC2" s="6"/>
      <c r="RQD2" s="6"/>
      <c r="RQE2" s="6"/>
      <c r="RQF2" s="6"/>
      <c r="RQG2" s="6"/>
      <c r="RQH2" s="6"/>
      <c r="RQI2" s="6"/>
      <c r="RQJ2" s="6"/>
      <c r="RQK2" s="6"/>
      <c r="RQL2" s="6"/>
      <c r="RQM2" s="6"/>
      <c r="RQN2" s="6"/>
      <c r="RQO2" s="6"/>
      <c r="RQP2" s="6"/>
      <c r="RQQ2" s="6"/>
      <c r="RQR2" s="6"/>
      <c r="RQS2" s="6"/>
      <c r="RQT2" s="6"/>
      <c r="RQU2" s="6"/>
      <c r="RQV2" s="6"/>
      <c r="RQW2" s="6"/>
      <c r="RQX2" s="6"/>
      <c r="RQY2" s="6"/>
      <c r="RQZ2" s="6"/>
      <c r="RRA2" s="6"/>
      <c r="RRB2" s="6"/>
      <c r="RRC2" s="6"/>
      <c r="RRD2" s="6"/>
      <c r="RRE2" s="6"/>
      <c r="RRF2" s="6"/>
      <c r="RRG2" s="6"/>
      <c r="RRH2" s="6"/>
      <c r="RRI2" s="6"/>
      <c r="RRJ2" s="6"/>
      <c r="RRK2" s="6"/>
      <c r="RRL2" s="6"/>
      <c r="RRM2" s="6"/>
      <c r="RRN2" s="6"/>
      <c r="RRO2" s="6"/>
      <c r="RRP2" s="6"/>
      <c r="RRQ2" s="6"/>
      <c r="RRR2" s="6"/>
      <c r="RRS2" s="6"/>
      <c r="RRT2" s="6"/>
      <c r="RRU2" s="6"/>
      <c r="RRV2" s="6"/>
      <c r="RRW2" s="6"/>
      <c r="RRX2" s="6"/>
      <c r="RRY2" s="6"/>
      <c r="RRZ2" s="6"/>
      <c r="RSA2" s="6"/>
      <c r="RSB2" s="6"/>
      <c r="RSC2" s="6"/>
      <c r="RSD2" s="6"/>
      <c r="RSE2" s="6"/>
      <c r="RSF2" s="6"/>
      <c r="RSG2" s="6"/>
      <c r="RSH2" s="6"/>
      <c r="RSI2" s="6"/>
      <c r="RSJ2" s="6"/>
      <c r="RSK2" s="6"/>
      <c r="RSL2" s="6"/>
      <c r="RSM2" s="6"/>
      <c r="RSN2" s="6"/>
      <c r="RSO2" s="6"/>
      <c r="RSP2" s="6"/>
      <c r="RSQ2" s="6"/>
      <c r="RSR2" s="6"/>
      <c r="RSS2" s="6"/>
      <c r="RST2" s="6"/>
      <c r="RSU2" s="6"/>
      <c r="RSV2" s="6"/>
      <c r="RSW2" s="6"/>
      <c r="RSX2" s="6"/>
      <c r="RSY2" s="6"/>
      <c r="RSZ2" s="6"/>
      <c r="RTA2" s="6"/>
      <c r="RTB2" s="6"/>
      <c r="RTC2" s="6"/>
      <c r="RTD2" s="6"/>
      <c r="RTE2" s="6"/>
      <c r="RTF2" s="6"/>
      <c r="RTG2" s="6"/>
      <c r="RTH2" s="6"/>
      <c r="RTI2" s="6"/>
      <c r="RTJ2" s="6"/>
      <c r="RTK2" s="6"/>
      <c r="RTL2" s="6"/>
      <c r="RTM2" s="6"/>
      <c r="RTN2" s="6"/>
      <c r="RTO2" s="6"/>
      <c r="RTP2" s="6"/>
      <c r="RTQ2" s="6"/>
      <c r="RTR2" s="6"/>
      <c r="RTS2" s="6"/>
      <c r="RTT2" s="6"/>
      <c r="RTU2" s="6"/>
      <c r="RTV2" s="6"/>
      <c r="RTW2" s="6"/>
      <c r="RTX2" s="6"/>
      <c r="RTY2" s="6"/>
      <c r="RTZ2" s="6"/>
      <c r="RUA2" s="6"/>
      <c r="RUB2" s="6"/>
      <c r="RUC2" s="6"/>
      <c r="RUD2" s="6"/>
      <c r="RUE2" s="6"/>
      <c r="RUF2" s="6"/>
      <c r="RUG2" s="6"/>
      <c r="RUH2" s="6"/>
      <c r="RUI2" s="6"/>
      <c r="RUJ2" s="6"/>
      <c r="RUK2" s="6"/>
      <c r="RUL2" s="6"/>
      <c r="RUM2" s="6"/>
      <c r="RUN2" s="6"/>
      <c r="RUO2" s="6"/>
      <c r="RUP2" s="6"/>
      <c r="RUQ2" s="6"/>
      <c r="RUR2" s="6"/>
      <c r="RUS2" s="6"/>
      <c r="RUT2" s="6"/>
      <c r="RUU2" s="6"/>
      <c r="RUV2" s="6"/>
      <c r="RUW2" s="6"/>
      <c r="RUX2" s="6"/>
      <c r="RUY2" s="6"/>
      <c r="RUZ2" s="6"/>
      <c r="RVA2" s="6"/>
      <c r="RVB2" s="6"/>
      <c r="RVC2" s="6"/>
      <c r="RVD2" s="6"/>
      <c r="RVE2" s="6"/>
      <c r="RVF2" s="6"/>
      <c r="RVG2" s="6"/>
      <c r="RVH2" s="6"/>
      <c r="RVI2" s="6"/>
      <c r="RVJ2" s="6"/>
      <c r="RVK2" s="6"/>
      <c r="RVL2" s="6"/>
      <c r="RVM2" s="6"/>
      <c r="RVN2" s="6"/>
      <c r="RVO2" s="6"/>
      <c r="RVP2" s="6"/>
      <c r="RVQ2" s="6"/>
      <c r="RVR2" s="6"/>
      <c r="RVS2" s="6"/>
      <c r="RVT2" s="6"/>
      <c r="RVU2" s="6"/>
      <c r="RVV2" s="6"/>
      <c r="RVW2" s="6"/>
      <c r="RVX2" s="6"/>
      <c r="RVY2" s="6"/>
      <c r="RVZ2" s="6"/>
      <c r="RWA2" s="6"/>
      <c r="RWB2" s="6"/>
      <c r="RWC2" s="6"/>
      <c r="RWD2" s="6"/>
      <c r="RWE2" s="6"/>
      <c r="RWF2" s="6"/>
      <c r="RWG2" s="6"/>
      <c r="RWH2" s="6"/>
      <c r="RWI2" s="6"/>
      <c r="RWJ2" s="6"/>
      <c r="RWK2" s="6"/>
      <c r="RWL2" s="6"/>
      <c r="RWM2" s="6"/>
      <c r="RWN2" s="6"/>
      <c r="RWO2" s="6"/>
      <c r="RWP2" s="6"/>
      <c r="RWQ2" s="6"/>
      <c r="RWR2" s="6"/>
      <c r="RWS2" s="6"/>
      <c r="RWT2" s="6"/>
      <c r="RWU2" s="6"/>
      <c r="RWV2" s="6"/>
      <c r="RWW2" s="6"/>
      <c r="RWX2" s="6"/>
      <c r="RWY2" s="6"/>
      <c r="RWZ2" s="6"/>
      <c r="RXA2" s="6"/>
      <c r="RXB2" s="6"/>
      <c r="RXC2" s="6"/>
      <c r="RXD2" s="6"/>
      <c r="RXE2" s="6"/>
      <c r="RXF2" s="6"/>
      <c r="RXG2" s="6"/>
      <c r="RXH2" s="6"/>
      <c r="RXI2" s="6"/>
      <c r="RXJ2" s="6"/>
      <c r="RXK2" s="6"/>
      <c r="RXL2" s="6"/>
      <c r="RXM2" s="6"/>
      <c r="RXN2" s="6"/>
      <c r="RXO2" s="6"/>
      <c r="RXP2" s="6"/>
      <c r="RXQ2" s="6"/>
      <c r="RXR2" s="6"/>
      <c r="RXS2" s="6"/>
      <c r="RXT2" s="6"/>
      <c r="RXU2" s="6"/>
      <c r="RXV2" s="6"/>
      <c r="RXW2" s="6"/>
      <c r="RXX2" s="6"/>
      <c r="RXY2" s="6"/>
      <c r="RXZ2" s="6"/>
      <c r="RYA2" s="6"/>
      <c r="RYB2" s="6"/>
      <c r="RYC2" s="6"/>
      <c r="RYD2" s="6"/>
      <c r="RYE2" s="6"/>
      <c r="RYF2" s="6"/>
      <c r="RYG2" s="6"/>
      <c r="RYH2" s="6"/>
      <c r="RYI2" s="6"/>
      <c r="RYJ2" s="6"/>
      <c r="RYK2" s="6"/>
      <c r="RYL2" s="6"/>
      <c r="RYM2" s="6"/>
      <c r="RYN2" s="6"/>
      <c r="RYO2" s="6"/>
      <c r="RYP2" s="6"/>
      <c r="RYQ2" s="6"/>
      <c r="RYR2" s="6"/>
      <c r="RYS2" s="6"/>
      <c r="RYT2" s="6"/>
      <c r="RYU2" s="6"/>
      <c r="RYV2" s="6"/>
      <c r="RYW2" s="6"/>
      <c r="RYX2" s="6"/>
      <c r="RYY2" s="6"/>
      <c r="RYZ2" s="6"/>
      <c r="RZA2" s="6"/>
      <c r="RZB2" s="6"/>
      <c r="RZC2" s="6"/>
      <c r="RZD2" s="6"/>
      <c r="RZE2" s="6"/>
      <c r="RZF2" s="6"/>
      <c r="RZG2" s="6"/>
      <c r="RZH2" s="6"/>
      <c r="RZI2" s="6"/>
      <c r="RZJ2" s="6"/>
      <c r="RZK2" s="6"/>
      <c r="RZL2" s="6"/>
      <c r="RZM2" s="6"/>
      <c r="RZN2" s="6"/>
      <c r="RZO2" s="6"/>
      <c r="RZP2" s="6"/>
      <c r="RZQ2" s="6"/>
      <c r="RZR2" s="6"/>
      <c r="RZS2" s="6"/>
      <c r="RZT2" s="6"/>
      <c r="RZU2" s="6"/>
      <c r="RZV2" s="6"/>
      <c r="RZW2" s="6"/>
      <c r="RZX2" s="6"/>
      <c r="RZY2" s="6"/>
      <c r="RZZ2" s="6"/>
      <c r="SAA2" s="6"/>
      <c r="SAB2" s="6"/>
      <c r="SAC2" s="6"/>
      <c r="SAD2" s="6"/>
      <c r="SAE2" s="6"/>
      <c r="SAF2" s="6"/>
      <c r="SAG2" s="6"/>
      <c r="SAH2" s="6"/>
      <c r="SAI2" s="6"/>
      <c r="SAJ2" s="6"/>
      <c r="SAK2" s="6"/>
      <c r="SAL2" s="6"/>
      <c r="SAM2" s="6"/>
      <c r="SAN2" s="6"/>
      <c r="SAO2" s="6"/>
      <c r="SAP2" s="6"/>
      <c r="SAQ2" s="6"/>
      <c r="SAR2" s="6"/>
      <c r="SAS2" s="6"/>
      <c r="SAT2" s="6"/>
      <c r="SAU2" s="6"/>
      <c r="SAV2" s="6"/>
      <c r="SAW2" s="6"/>
      <c r="SAX2" s="6"/>
      <c r="SAY2" s="6"/>
      <c r="SAZ2" s="6"/>
      <c r="SBA2" s="6"/>
      <c r="SBB2" s="6"/>
      <c r="SBC2" s="6"/>
      <c r="SBD2" s="6"/>
      <c r="SBE2" s="6"/>
      <c r="SBF2" s="6"/>
      <c r="SBG2" s="6"/>
      <c r="SBH2" s="6"/>
      <c r="SBI2" s="6"/>
      <c r="SBJ2" s="6"/>
      <c r="SBK2" s="6"/>
      <c r="SBL2" s="6"/>
      <c r="SBM2" s="6"/>
      <c r="SBN2" s="6"/>
      <c r="SBO2" s="6"/>
      <c r="SBP2" s="6"/>
      <c r="SBQ2" s="6"/>
      <c r="SBR2" s="6"/>
      <c r="SBS2" s="6"/>
      <c r="SBT2" s="6"/>
      <c r="SBU2" s="6"/>
      <c r="SBV2" s="6"/>
      <c r="SBW2" s="6"/>
      <c r="SBX2" s="6"/>
      <c r="SBY2" s="6"/>
      <c r="SBZ2" s="6"/>
      <c r="SCA2" s="6"/>
      <c r="SCB2" s="6"/>
      <c r="SCC2" s="6"/>
      <c r="SCD2" s="6"/>
      <c r="SCE2" s="6"/>
      <c r="SCF2" s="6"/>
      <c r="SCG2" s="6"/>
      <c r="SCH2" s="6"/>
      <c r="SCI2" s="6"/>
      <c r="SCJ2" s="6"/>
      <c r="SCK2" s="6"/>
      <c r="SCL2" s="6"/>
      <c r="SCM2" s="6"/>
      <c r="SCN2" s="6"/>
      <c r="SCO2" s="6"/>
      <c r="SCP2" s="6"/>
      <c r="SCQ2" s="6"/>
      <c r="SCR2" s="6"/>
      <c r="SCS2" s="6"/>
      <c r="SCT2" s="6"/>
      <c r="SCU2" s="6"/>
      <c r="SCV2" s="6"/>
      <c r="SCW2" s="6"/>
      <c r="SCX2" s="6"/>
      <c r="SCY2" s="6"/>
      <c r="SCZ2" s="6"/>
      <c r="SDA2" s="6"/>
      <c r="SDB2" s="6"/>
      <c r="SDC2" s="6"/>
      <c r="SDD2" s="6"/>
      <c r="SDE2" s="6"/>
      <c r="SDF2" s="6"/>
      <c r="SDG2" s="6"/>
      <c r="SDH2" s="6"/>
      <c r="SDI2" s="6"/>
      <c r="SDJ2" s="6"/>
      <c r="SDK2" s="6"/>
      <c r="SDL2" s="6"/>
      <c r="SDM2" s="6"/>
      <c r="SDN2" s="6"/>
      <c r="SDO2" s="6"/>
      <c r="SDP2" s="6"/>
      <c r="SDQ2" s="6"/>
      <c r="SDR2" s="6"/>
      <c r="SDS2" s="6"/>
      <c r="SDT2" s="6"/>
      <c r="SDU2" s="6"/>
      <c r="SDV2" s="6"/>
      <c r="SDW2" s="6"/>
      <c r="SDX2" s="6"/>
      <c r="SDY2" s="6"/>
      <c r="SDZ2" s="6"/>
      <c r="SEA2" s="6"/>
      <c r="SEB2" s="6"/>
      <c r="SEC2" s="6"/>
      <c r="SED2" s="6"/>
      <c r="SEE2" s="6"/>
      <c r="SEF2" s="6"/>
      <c r="SEG2" s="6"/>
      <c r="SEH2" s="6"/>
      <c r="SEI2" s="6"/>
      <c r="SEJ2" s="6"/>
      <c r="SEK2" s="6"/>
      <c r="SEL2" s="6"/>
      <c r="SEM2" s="6"/>
      <c r="SEN2" s="6"/>
      <c r="SEO2" s="6"/>
      <c r="SEP2" s="6"/>
      <c r="SEQ2" s="6"/>
      <c r="SER2" s="6"/>
      <c r="SES2" s="6"/>
      <c r="SET2" s="6"/>
      <c r="SEU2" s="6"/>
      <c r="SEV2" s="6"/>
      <c r="SEW2" s="6"/>
      <c r="SEX2" s="6"/>
      <c r="SEY2" s="6"/>
      <c r="SEZ2" s="6"/>
      <c r="SFA2" s="6"/>
      <c r="SFB2" s="6"/>
      <c r="SFC2" s="6"/>
      <c r="SFD2" s="6"/>
      <c r="SFE2" s="6"/>
      <c r="SFF2" s="6"/>
      <c r="SFG2" s="6"/>
      <c r="SFH2" s="6"/>
      <c r="SFI2" s="6"/>
      <c r="SFJ2" s="6"/>
      <c r="SFK2" s="6"/>
      <c r="SFL2" s="6"/>
      <c r="SFM2" s="6"/>
      <c r="SFN2" s="6"/>
      <c r="SFO2" s="6"/>
      <c r="SFP2" s="6"/>
      <c r="SFQ2" s="6"/>
      <c r="SFR2" s="6"/>
      <c r="SFS2" s="6"/>
      <c r="SFT2" s="6"/>
      <c r="SFU2" s="6"/>
      <c r="SFV2" s="6"/>
      <c r="SFW2" s="6"/>
      <c r="SFX2" s="6"/>
      <c r="SFY2" s="6"/>
      <c r="SFZ2" s="6"/>
      <c r="SGA2" s="6"/>
      <c r="SGB2" s="6"/>
      <c r="SGC2" s="6"/>
      <c r="SGD2" s="6"/>
      <c r="SGE2" s="6"/>
      <c r="SGF2" s="6"/>
      <c r="SGG2" s="6"/>
      <c r="SGH2" s="6"/>
      <c r="SGI2" s="6"/>
      <c r="SGJ2" s="6"/>
      <c r="SGK2" s="6"/>
      <c r="SGL2" s="6"/>
      <c r="SGM2" s="6"/>
      <c r="SGN2" s="6"/>
      <c r="SGO2" s="6"/>
      <c r="SGP2" s="6"/>
      <c r="SGQ2" s="6"/>
      <c r="SGR2" s="6"/>
      <c r="SGS2" s="6"/>
      <c r="SGT2" s="6"/>
      <c r="SGU2" s="6"/>
      <c r="SGV2" s="6"/>
      <c r="SGW2" s="6"/>
      <c r="SGX2" s="6"/>
      <c r="SGY2" s="6"/>
      <c r="SGZ2" s="6"/>
      <c r="SHA2" s="6"/>
      <c r="SHB2" s="6"/>
      <c r="SHC2" s="6"/>
      <c r="SHD2" s="6"/>
      <c r="SHE2" s="6"/>
      <c r="SHF2" s="6"/>
      <c r="SHG2" s="6"/>
      <c r="SHH2" s="6"/>
      <c r="SHI2" s="6"/>
      <c r="SHJ2" s="6"/>
      <c r="SHK2" s="6"/>
      <c r="SHL2" s="6"/>
      <c r="SHM2" s="6"/>
      <c r="SHN2" s="6"/>
      <c r="SHO2" s="6"/>
      <c r="SHP2" s="6"/>
      <c r="SHQ2" s="6"/>
      <c r="SHR2" s="6"/>
      <c r="SHS2" s="6"/>
      <c r="SHT2" s="6"/>
      <c r="SHU2" s="6"/>
      <c r="SHV2" s="6"/>
      <c r="SHW2" s="6"/>
      <c r="SHX2" s="6"/>
      <c r="SHY2" s="6"/>
      <c r="SHZ2" s="6"/>
      <c r="SIA2" s="6"/>
      <c r="SIB2" s="6"/>
      <c r="SIC2" s="6"/>
      <c r="SID2" s="6"/>
      <c r="SIE2" s="6"/>
      <c r="SIF2" s="6"/>
      <c r="SIG2" s="6"/>
      <c r="SIH2" s="6"/>
      <c r="SII2" s="6"/>
      <c r="SIJ2" s="6"/>
      <c r="SIK2" s="6"/>
      <c r="SIL2" s="6"/>
      <c r="SIM2" s="6"/>
      <c r="SIN2" s="6"/>
      <c r="SIO2" s="6"/>
      <c r="SIP2" s="6"/>
      <c r="SIQ2" s="6"/>
      <c r="SIR2" s="6"/>
      <c r="SIS2" s="6"/>
      <c r="SIT2" s="6"/>
      <c r="SIU2" s="6"/>
      <c r="SIV2" s="6"/>
      <c r="SIW2" s="6"/>
      <c r="SIX2" s="6"/>
      <c r="SIY2" s="6"/>
      <c r="SIZ2" s="6"/>
      <c r="SJA2" s="6"/>
      <c r="SJB2" s="6"/>
      <c r="SJC2" s="6"/>
      <c r="SJD2" s="6"/>
      <c r="SJE2" s="6"/>
      <c r="SJF2" s="6"/>
      <c r="SJG2" s="6"/>
      <c r="SJH2" s="6"/>
      <c r="SJI2" s="6"/>
      <c r="SJJ2" s="6"/>
      <c r="SJK2" s="6"/>
      <c r="SJL2" s="6"/>
      <c r="SJM2" s="6"/>
      <c r="SJN2" s="6"/>
      <c r="SJO2" s="6"/>
      <c r="SJP2" s="6"/>
      <c r="SJQ2" s="6"/>
      <c r="SJR2" s="6"/>
      <c r="SJS2" s="6"/>
      <c r="SJT2" s="6"/>
      <c r="SJU2" s="6"/>
      <c r="SJV2" s="6"/>
      <c r="SJW2" s="6"/>
      <c r="SJX2" s="6"/>
      <c r="SJY2" s="6"/>
      <c r="SJZ2" s="6"/>
      <c r="SKA2" s="6"/>
      <c r="SKB2" s="6"/>
      <c r="SKC2" s="6"/>
      <c r="SKD2" s="6"/>
      <c r="SKE2" s="6"/>
      <c r="SKF2" s="6"/>
      <c r="SKG2" s="6"/>
      <c r="SKH2" s="6"/>
      <c r="SKI2" s="6"/>
      <c r="SKJ2" s="6"/>
      <c r="SKK2" s="6"/>
      <c r="SKL2" s="6"/>
      <c r="SKM2" s="6"/>
      <c r="SKN2" s="6"/>
      <c r="SKO2" s="6"/>
      <c r="SKP2" s="6"/>
      <c r="SKQ2" s="6"/>
      <c r="SKR2" s="6"/>
      <c r="SKS2" s="6"/>
      <c r="SKT2" s="6"/>
      <c r="SKU2" s="6"/>
      <c r="SKV2" s="6"/>
      <c r="SKW2" s="6"/>
      <c r="SKX2" s="6"/>
      <c r="SKY2" s="6"/>
      <c r="SKZ2" s="6"/>
      <c r="SLA2" s="6"/>
      <c r="SLB2" s="6"/>
      <c r="SLC2" s="6"/>
      <c r="SLD2" s="6"/>
      <c r="SLE2" s="6"/>
      <c r="SLF2" s="6"/>
      <c r="SLG2" s="6"/>
      <c r="SLH2" s="6"/>
      <c r="SLI2" s="6"/>
      <c r="SLJ2" s="6"/>
      <c r="SLK2" s="6"/>
      <c r="SLL2" s="6"/>
      <c r="SLM2" s="6"/>
      <c r="SLN2" s="6"/>
      <c r="SLO2" s="6"/>
      <c r="SLP2" s="6"/>
      <c r="SLQ2" s="6"/>
      <c r="SLR2" s="6"/>
      <c r="SLS2" s="6"/>
      <c r="SLT2" s="6"/>
      <c r="SLU2" s="6"/>
      <c r="SLV2" s="6"/>
      <c r="SLW2" s="6"/>
      <c r="SLX2" s="6"/>
      <c r="SLY2" s="6"/>
      <c r="SLZ2" s="6"/>
      <c r="SMA2" s="6"/>
      <c r="SMB2" s="6"/>
      <c r="SMC2" s="6"/>
      <c r="SMD2" s="6"/>
      <c r="SME2" s="6"/>
      <c r="SMF2" s="6"/>
      <c r="SMG2" s="6"/>
      <c r="SMH2" s="6"/>
      <c r="SMI2" s="6"/>
      <c r="SMJ2" s="6"/>
      <c r="SMK2" s="6"/>
      <c r="SML2" s="6"/>
      <c r="SMM2" s="6"/>
      <c r="SMN2" s="6"/>
      <c r="SMO2" s="6"/>
      <c r="SMP2" s="6"/>
      <c r="SMQ2" s="6"/>
      <c r="SMR2" s="6"/>
      <c r="SMS2" s="6"/>
      <c r="SMT2" s="6"/>
      <c r="SMU2" s="6"/>
      <c r="SMV2" s="6"/>
      <c r="SMW2" s="6"/>
      <c r="SMX2" s="6"/>
      <c r="SMY2" s="6"/>
      <c r="SMZ2" s="6"/>
      <c r="SNA2" s="6"/>
      <c r="SNB2" s="6"/>
      <c r="SNC2" s="6"/>
      <c r="SND2" s="6"/>
      <c r="SNE2" s="6"/>
      <c r="SNF2" s="6"/>
      <c r="SNG2" s="6"/>
      <c r="SNH2" s="6"/>
      <c r="SNI2" s="6"/>
      <c r="SNJ2" s="6"/>
      <c r="SNK2" s="6"/>
      <c r="SNL2" s="6"/>
      <c r="SNM2" s="6"/>
      <c r="SNN2" s="6"/>
      <c r="SNO2" s="6"/>
      <c r="SNP2" s="6"/>
      <c r="SNQ2" s="6"/>
      <c r="SNR2" s="6"/>
      <c r="SNS2" s="6"/>
      <c r="SNT2" s="6"/>
      <c r="SNU2" s="6"/>
      <c r="SNV2" s="6"/>
      <c r="SNW2" s="6"/>
      <c r="SNX2" s="6"/>
      <c r="SNY2" s="6"/>
      <c r="SNZ2" s="6"/>
      <c r="SOA2" s="6"/>
      <c r="SOB2" s="6"/>
      <c r="SOC2" s="6"/>
      <c r="SOD2" s="6"/>
      <c r="SOE2" s="6"/>
      <c r="SOF2" s="6"/>
      <c r="SOG2" s="6"/>
      <c r="SOH2" s="6"/>
      <c r="SOI2" s="6"/>
      <c r="SOJ2" s="6"/>
      <c r="SOK2" s="6"/>
      <c r="SOL2" s="6"/>
      <c r="SOM2" s="6"/>
      <c r="SON2" s="6"/>
      <c r="SOO2" s="6"/>
      <c r="SOP2" s="6"/>
      <c r="SOQ2" s="6"/>
      <c r="SOR2" s="6"/>
      <c r="SOS2" s="6"/>
      <c r="SOT2" s="6"/>
      <c r="SOU2" s="6"/>
      <c r="SOV2" s="6"/>
      <c r="SOW2" s="6"/>
      <c r="SOX2" s="6"/>
      <c r="SOY2" s="6"/>
      <c r="SOZ2" s="6"/>
      <c r="SPA2" s="6"/>
      <c r="SPB2" s="6"/>
      <c r="SPC2" s="6"/>
      <c r="SPD2" s="6"/>
      <c r="SPE2" s="6"/>
      <c r="SPF2" s="6"/>
      <c r="SPG2" s="6"/>
      <c r="SPH2" s="6"/>
      <c r="SPI2" s="6"/>
      <c r="SPJ2" s="6"/>
      <c r="SPK2" s="6"/>
      <c r="SPL2" s="6"/>
      <c r="SPM2" s="6"/>
      <c r="SPN2" s="6"/>
      <c r="SPO2" s="6"/>
      <c r="SPP2" s="6"/>
      <c r="SPQ2" s="6"/>
      <c r="SPR2" s="6"/>
      <c r="SPS2" s="6"/>
      <c r="SPT2" s="6"/>
      <c r="SPU2" s="6"/>
      <c r="SPV2" s="6"/>
      <c r="SPW2" s="6"/>
      <c r="SPX2" s="6"/>
      <c r="SPY2" s="6"/>
      <c r="SPZ2" s="6"/>
      <c r="SQA2" s="6"/>
      <c r="SQB2" s="6"/>
      <c r="SQC2" s="6"/>
      <c r="SQD2" s="6"/>
      <c r="SQE2" s="6"/>
      <c r="SQF2" s="6"/>
      <c r="SQG2" s="6"/>
      <c r="SQH2" s="6"/>
      <c r="SQI2" s="6"/>
      <c r="SQJ2" s="6"/>
      <c r="SQK2" s="6"/>
      <c r="SQL2" s="6"/>
      <c r="SQM2" s="6"/>
      <c r="SQN2" s="6"/>
      <c r="SQO2" s="6"/>
      <c r="SQP2" s="6"/>
      <c r="SQQ2" s="6"/>
      <c r="SQR2" s="6"/>
      <c r="SQS2" s="6"/>
      <c r="SQT2" s="6"/>
      <c r="SQU2" s="6"/>
      <c r="SQV2" s="6"/>
      <c r="SQW2" s="6"/>
      <c r="SQX2" s="6"/>
      <c r="SQY2" s="6"/>
      <c r="SQZ2" s="6"/>
      <c r="SRA2" s="6"/>
      <c r="SRB2" s="6"/>
      <c r="SRC2" s="6"/>
      <c r="SRD2" s="6"/>
      <c r="SRE2" s="6"/>
      <c r="SRF2" s="6"/>
      <c r="SRG2" s="6"/>
      <c r="SRH2" s="6"/>
      <c r="SRI2" s="6"/>
      <c r="SRJ2" s="6"/>
      <c r="SRK2" s="6"/>
      <c r="SRL2" s="6"/>
      <c r="SRM2" s="6"/>
      <c r="SRN2" s="6"/>
      <c r="SRO2" s="6"/>
      <c r="SRP2" s="6"/>
      <c r="SRQ2" s="6"/>
      <c r="SRR2" s="6"/>
      <c r="SRS2" s="6"/>
      <c r="SRT2" s="6"/>
      <c r="SRU2" s="6"/>
      <c r="SRV2" s="6"/>
      <c r="SRW2" s="6"/>
      <c r="SRX2" s="6"/>
      <c r="SRY2" s="6"/>
      <c r="SRZ2" s="6"/>
      <c r="SSA2" s="6"/>
      <c r="SSB2" s="6"/>
      <c r="SSC2" s="6"/>
      <c r="SSD2" s="6"/>
      <c r="SSE2" s="6"/>
      <c r="SSF2" s="6"/>
      <c r="SSG2" s="6"/>
      <c r="SSH2" s="6"/>
      <c r="SSI2" s="6"/>
      <c r="SSJ2" s="6"/>
      <c r="SSK2" s="6"/>
      <c r="SSL2" s="6"/>
      <c r="SSM2" s="6"/>
      <c r="SSN2" s="6"/>
      <c r="SSO2" s="6"/>
      <c r="SSP2" s="6"/>
      <c r="SSQ2" s="6"/>
      <c r="SSR2" s="6"/>
      <c r="SSS2" s="6"/>
      <c r="SST2" s="6"/>
      <c r="SSU2" s="6"/>
      <c r="SSV2" s="6"/>
      <c r="SSW2" s="6"/>
      <c r="SSX2" s="6"/>
      <c r="SSY2" s="6"/>
      <c r="SSZ2" s="6"/>
      <c r="STA2" s="6"/>
      <c r="STB2" s="6"/>
      <c r="STC2" s="6"/>
      <c r="STD2" s="6"/>
      <c r="STE2" s="6"/>
      <c r="STF2" s="6"/>
      <c r="STG2" s="6"/>
      <c r="STH2" s="6"/>
      <c r="STI2" s="6"/>
      <c r="STJ2" s="6"/>
      <c r="STK2" s="6"/>
      <c r="STL2" s="6"/>
      <c r="STM2" s="6"/>
      <c r="STN2" s="6"/>
      <c r="STO2" s="6"/>
      <c r="STP2" s="6"/>
      <c r="STQ2" s="6"/>
      <c r="STR2" s="6"/>
      <c r="STS2" s="6"/>
      <c r="STT2" s="6"/>
      <c r="STU2" s="6"/>
      <c r="STV2" s="6"/>
      <c r="STW2" s="6"/>
      <c r="STX2" s="6"/>
      <c r="STY2" s="6"/>
      <c r="STZ2" s="6"/>
      <c r="SUA2" s="6"/>
      <c r="SUB2" s="6"/>
      <c r="SUC2" s="6"/>
      <c r="SUD2" s="6"/>
      <c r="SUE2" s="6"/>
      <c r="SUF2" s="6"/>
      <c r="SUG2" s="6"/>
      <c r="SUH2" s="6"/>
      <c r="SUI2" s="6"/>
      <c r="SUJ2" s="6"/>
      <c r="SUK2" s="6"/>
      <c r="SUL2" s="6"/>
      <c r="SUM2" s="6"/>
      <c r="SUN2" s="6"/>
      <c r="SUO2" s="6"/>
      <c r="SUP2" s="6"/>
      <c r="SUQ2" s="6"/>
      <c r="SUR2" s="6"/>
      <c r="SUS2" s="6"/>
      <c r="SUT2" s="6"/>
      <c r="SUU2" s="6"/>
      <c r="SUV2" s="6"/>
      <c r="SUW2" s="6"/>
      <c r="SUX2" s="6"/>
      <c r="SUY2" s="6"/>
      <c r="SUZ2" s="6"/>
      <c r="SVA2" s="6"/>
      <c r="SVB2" s="6"/>
      <c r="SVC2" s="6"/>
      <c r="SVD2" s="6"/>
      <c r="SVE2" s="6"/>
      <c r="SVF2" s="6"/>
      <c r="SVG2" s="6"/>
      <c r="SVH2" s="6"/>
      <c r="SVI2" s="6"/>
      <c r="SVJ2" s="6"/>
      <c r="SVK2" s="6"/>
      <c r="SVL2" s="6"/>
      <c r="SVM2" s="6"/>
      <c r="SVN2" s="6"/>
      <c r="SVO2" s="6"/>
      <c r="SVP2" s="6"/>
      <c r="SVQ2" s="6"/>
      <c r="SVR2" s="6"/>
      <c r="SVS2" s="6"/>
      <c r="SVT2" s="6"/>
      <c r="SVU2" s="6"/>
      <c r="SVV2" s="6"/>
      <c r="SVW2" s="6"/>
      <c r="SVX2" s="6"/>
      <c r="SVY2" s="6"/>
      <c r="SVZ2" s="6"/>
      <c r="SWA2" s="6"/>
      <c r="SWB2" s="6"/>
      <c r="SWC2" s="6"/>
      <c r="SWD2" s="6"/>
      <c r="SWE2" s="6"/>
      <c r="SWF2" s="6"/>
      <c r="SWG2" s="6"/>
      <c r="SWH2" s="6"/>
      <c r="SWI2" s="6"/>
      <c r="SWJ2" s="6"/>
      <c r="SWK2" s="6"/>
      <c r="SWL2" s="6"/>
      <c r="SWM2" s="6"/>
      <c r="SWN2" s="6"/>
      <c r="SWO2" s="6"/>
      <c r="SWP2" s="6"/>
      <c r="SWQ2" s="6"/>
      <c r="SWR2" s="6"/>
      <c r="SWS2" s="6"/>
      <c r="SWT2" s="6"/>
      <c r="SWU2" s="6"/>
      <c r="SWV2" s="6"/>
      <c r="SWW2" s="6"/>
      <c r="SWX2" s="6"/>
      <c r="SWY2" s="6"/>
      <c r="SWZ2" s="6"/>
      <c r="SXA2" s="6"/>
      <c r="SXB2" s="6"/>
      <c r="SXC2" s="6"/>
      <c r="SXD2" s="6"/>
      <c r="SXE2" s="6"/>
      <c r="SXF2" s="6"/>
      <c r="SXG2" s="6"/>
      <c r="SXH2" s="6"/>
      <c r="SXI2" s="6"/>
      <c r="SXJ2" s="6"/>
      <c r="SXK2" s="6"/>
      <c r="SXL2" s="6"/>
      <c r="SXM2" s="6"/>
      <c r="SXN2" s="6"/>
      <c r="SXO2" s="6"/>
      <c r="SXP2" s="6"/>
      <c r="SXQ2" s="6"/>
      <c r="SXR2" s="6"/>
      <c r="SXS2" s="6"/>
      <c r="SXT2" s="6"/>
      <c r="SXU2" s="6"/>
      <c r="SXV2" s="6"/>
      <c r="SXW2" s="6"/>
      <c r="SXX2" s="6"/>
      <c r="SXY2" s="6"/>
      <c r="SXZ2" s="6"/>
      <c r="SYA2" s="6"/>
      <c r="SYB2" s="6"/>
      <c r="SYC2" s="6"/>
      <c r="SYD2" s="6"/>
      <c r="SYE2" s="6"/>
      <c r="SYF2" s="6"/>
      <c r="SYG2" s="6"/>
      <c r="SYH2" s="6"/>
      <c r="SYI2" s="6"/>
      <c r="SYJ2" s="6"/>
      <c r="SYK2" s="6"/>
      <c r="SYL2" s="6"/>
      <c r="SYM2" s="6"/>
      <c r="SYN2" s="6"/>
      <c r="SYO2" s="6"/>
      <c r="SYP2" s="6"/>
      <c r="SYQ2" s="6"/>
      <c r="SYR2" s="6"/>
      <c r="SYS2" s="6"/>
      <c r="SYT2" s="6"/>
      <c r="SYU2" s="6"/>
      <c r="SYV2" s="6"/>
      <c r="SYW2" s="6"/>
      <c r="SYX2" s="6"/>
      <c r="SYY2" s="6"/>
      <c r="SYZ2" s="6"/>
      <c r="SZA2" s="6"/>
      <c r="SZB2" s="6"/>
      <c r="SZC2" s="6"/>
      <c r="SZD2" s="6"/>
      <c r="SZE2" s="6"/>
      <c r="SZF2" s="6"/>
      <c r="SZG2" s="6"/>
      <c r="SZH2" s="6"/>
      <c r="SZI2" s="6"/>
      <c r="SZJ2" s="6"/>
      <c r="SZK2" s="6"/>
      <c r="SZL2" s="6"/>
      <c r="SZM2" s="6"/>
      <c r="SZN2" s="6"/>
      <c r="SZO2" s="6"/>
      <c r="SZP2" s="6"/>
      <c r="SZQ2" s="6"/>
      <c r="SZR2" s="6"/>
      <c r="SZS2" s="6"/>
      <c r="SZT2" s="6"/>
      <c r="SZU2" s="6"/>
      <c r="SZV2" s="6"/>
      <c r="SZW2" s="6"/>
      <c r="SZX2" s="6"/>
      <c r="SZY2" s="6"/>
      <c r="SZZ2" s="6"/>
      <c r="TAA2" s="6"/>
      <c r="TAB2" s="6"/>
      <c r="TAC2" s="6"/>
      <c r="TAD2" s="6"/>
      <c r="TAE2" s="6"/>
      <c r="TAF2" s="6"/>
      <c r="TAG2" s="6"/>
      <c r="TAH2" s="6"/>
      <c r="TAI2" s="6"/>
      <c r="TAJ2" s="6"/>
      <c r="TAK2" s="6"/>
      <c r="TAL2" s="6"/>
      <c r="TAM2" s="6"/>
      <c r="TAN2" s="6"/>
      <c r="TAO2" s="6"/>
      <c r="TAP2" s="6"/>
      <c r="TAQ2" s="6"/>
      <c r="TAR2" s="6"/>
      <c r="TAS2" s="6"/>
      <c r="TAT2" s="6"/>
      <c r="TAU2" s="6"/>
      <c r="TAV2" s="6"/>
      <c r="TAW2" s="6"/>
      <c r="TAX2" s="6"/>
      <c r="TAY2" s="6"/>
      <c r="TAZ2" s="6"/>
      <c r="TBA2" s="6"/>
      <c r="TBB2" s="6"/>
      <c r="TBC2" s="6"/>
      <c r="TBD2" s="6"/>
      <c r="TBE2" s="6"/>
      <c r="TBF2" s="6"/>
      <c r="TBG2" s="6"/>
      <c r="TBH2" s="6"/>
      <c r="TBI2" s="6"/>
      <c r="TBJ2" s="6"/>
      <c r="TBK2" s="6"/>
      <c r="TBL2" s="6"/>
      <c r="TBM2" s="6"/>
      <c r="TBN2" s="6"/>
      <c r="TBO2" s="6"/>
      <c r="TBP2" s="6"/>
      <c r="TBQ2" s="6"/>
      <c r="TBR2" s="6"/>
      <c r="TBS2" s="6"/>
      <c r="TBT2" s="6"/>
      <c r="TBU2" s="6"/>
      <c r="TBV2" s="6"/>
      <c r="TBW2" s="6"/>
      <c r="TBX2" s="6"/>
      <c r="TBY2" s="6"/>
      <c r="TBZ2" s="6"/>
      <c r="TCA2" s="6"/>
      <c r="TCB2" s="6"/>
      <c r="TCC2" s="6"/>
      <c r="TCD2" s="6"/>
      <c r="TCE2" s="6"/>
      <c r="TCF2" s="6"/>
      <c r="TCG2" s="6"/>
      <c r="TCH2" s="6"/>
      <c r="TCI2" s="6"/>
      <c r="TCJ2" s="6"/>
      <c r="TCK2" s="6"/>
      <c r="TCL2" s="6"/>
      <c r="TCM2" s="6"/>
      <c r="TCN2" s="6"/>
      <c r="TCO2" s="6"/>
      <c r="TCP2" s="6"/>
      <c r="TCQ2" s="6"/>
      <c r="TCR2" s="6"/>
      <c r="TCS2" s="6"/>
      <c r="TCT2" s="6"/>
      <c r="TCU2" s="6"/>
      <c r="TCV2" s="6"/>
      <c r="TCW2" s="6"/>
      <c r="TCX2" s="6"/>
      <c r="TCY2" s="6"/>
      <c r="TCZ2" s="6"/>
      <c r="TDA2" s="6"/>
      <c r="TDB2" s="6"/>
      <c r="TDC2" s="6"/>
      <c r="TDD2" s="6"/>
      <c r="TDE2" s="6"/>
      <c r="TDF2" s="6"/>
      <c r="TDG2" s="6"/>
      <c r="TDH2" s="6"/>
      <c r="TDI2" s="6"/>
      <c r="TDJ2" s="6"/>
      <c r="TDK2" s="6"/>
      <c r="TDL2" s="6"/>
      <c r="TDM2" s="6"/>
      <c r="TDN2" s="6"/>
      <c r="TDO2" s="6"/>
      <c r="TDP2" s="6"/>
      <c r="TDQ2" s="6"/>
      <c r="TDR2" s="6"/>
      <c r="TDS2" s="6"/>
      <c r="TDT2" s="6"/>
      <c r="TDU2" s="6"/>
      <c r="TDV2" s="6"/>
      <c r="TDW2" s="6"/>
      <c r="TDX2" s="6"/>
      <c r="TDY2" s="6"/>
      <c r="TDZ2" s="6"/>
      <c r="TEA2" s="6"/>
      <c r="TEB2" s="6"/>
      <c r="TEC2" s="6"/>
      <c r="TED2" s="6"/>
      <c r="TEE2" s="6"/>
      <c r="TEF2" s="6"/>
      <c r="TEG2" s="6"/>
      <c r="TEH2" s="6"/>
      <c r="TEI2" s="6"/>
      <c r="TEJ2" s="6"/>
      <c r="TEK2" s="6"/>
      <c r="TEL2" s="6"/>
      <c r="TEM2" s="6"/>
      <c r="TEN2" s="6"/>
      <c r="TEO2" s="6"/>
      <c r="TEP2" s="6"/>
      <c r="TEQ2" s="6"/>
      <c r="TER2" s="6"/>
      <c r="TES2" s="6"/>
      <c r="TET2" s="6"/>
      <c r="TEU2" s="6"/>
      <c r="TEV2" s="6"/>
      <c r="TEW2" s="6"/>
      <c r="TEX2" s="6"/>
      <c r="TEY2" s="6"/>
      <c r="TEZ2" s="6"/>
      <c r="TFA2" s="6"/>
      <c r="TFB2" s="6"/>
      <c r="TFC2" s="6"/>
      <c r="TFD2" s="6"/>
      <c r="TFE2" s="6"/>
      <c r="TFF2" s="6"/>
      <c r="TFG2" s="6"/>
      <c r="TFH2" s="6"/>
      <c r="TFI2" s="6"/>
      <c r="TFJ2" s="6"/>
      <c r="TFK2" s="6"/>
      <c r="TFL2" s="6"/>
      <c r="TFM2" s="6"/>
      <c r="TFN2" s="6"/>
      <c r="TFO2" s="6"/>
      <c r="TFP2" s="6"/>
      <c r="TFQ2" s="6"/>
      <c r="TFR2" s="6"/>
      <c r="TFS2" s="6"/>
      <c r="TFT2" s="6"/>
      <c r="TFU2" s="6"/>
      <c r="TFV2" s="6"/>
      <c r="TFW2" s="6"/>
      <c r="TFX2" s="6"/>
      <c r="TFY2" s="6"/>
      <c r="TFZ2" s="6"/>
      <c r="TGA2" s="6"/>
      <c r="TGB2" s="6"/>
      <c r="TGC2" s="6"/>
      <c r="TGD2" s="6"/>
      <c r="TGE2" s="6"/>
      <c r="TGF2" s="6"/>
      <c r="TGG2" s="6"/>
      <c r="TGH2" s="6"/>
      <c r="TGI2" s="6"/>
      <c r="TGJ2" s="6"/>
      <c r="TGK2" s="6"/>
      <c r="TGL2" s="6"/>
      <c r="TGM2" s="6"/>
      <c r="TGN2" s="6"/>
      <c r="TGO2" s="6"/>
      <c r="TGP2" s="6"/>
      <c r="TGQ2" s="6"/>
      <c r="TGR2" s="6"/>
      <c r="TGS2" s="6"/>
      <c r="TGT2" s="6"/>
      <c r="TGU2" s="6"/>
      <c r="TGV2" s="6"/>
      <c r="TGW2" s="6"/>
      <c r="TGX2" s="6"/>
      <c r="TGY2" s="6"/>
      <c r="TGZ2" s="6"/>
      <c r="THA2" s="6"/>
      <c r="THB2" s="6"/>
      <c r="THC2" s="6"/>
      <c r="THD2" s="6"/>
      <c r="THE2" s="6"/>
      <c r="THF2" s="6"/>
      <c r="THG2" s="6"/>
      <c r="THH2" s="6"/>
      <c r="THI2" s="6"/>
      <c r="THJ2" s="6"/>
      <c r="THK2" s="6"/>
      <c r="THL2" s="6"/>
      <c r="THM2" s="6"/>
      <c r="THN2" s="6"/>
      <c r="THO2" s="6"/>
      <c r="THP2" s="6"/>
      <c r="THQ2" s="6"/>
      <c r="THR2" s="6"/>
      <c r="THS2" s="6"/>
      <c r="THT2" s="6"/>
      <c r="THU2" s="6"/>
      <c r="THV2" s="6"/>
      <c r="THW2" s="6"/>
      <c r="THX2" s="6"/>
      <c r="THY2" s="6"/>
      <c r="THZ2" s="6"/>
      <c r="TIA2" s="6"/>
      <c r="TIB2" s="6"/>
      <c r="TIC2" s="6"/>
      <c r="TID2" s="6"/>
      <c r="TIE2" s="6"/>
      <c r="TIF2" s="6"/>
      <c r="TIG2" s="6"/>
      <c r="TIH2" s="6"/>
      <c r="TII2" s="6"/>
      <c r="TIJ2" s="6"/>
      <c r="TIK2" s="6"/>
      <c r="TIL2" s="6"/>
      <c r="TIM2" s="6"/>
      <c r="TIN2" s="6"/>
      <c r="TIO2" s="6"/>
      <c r="TIP2" s="6"/>
      <c r="TIQ2" s="6"/>
      <c r="TIR2" s="6"/>
      <c r="TIS2" s="6"/>
      <c r="TIT2" s="6"/>
      <c r="TIU2" s="6"/>
      <c r="TIV2" s="6"/>
      <c r="TIW2" s="6"/>
      <c r="TIX2" s="6"/>
      <c r="TIY2" s="6"/>
      <c r="TIZ2" s="6"/>
      <c r="TJA2" s="6"/>
      <c r="TJB2" s="6"/>
      <c r="TJC2" s="6"/>
      <c r="TJD2" s="6"/>
      <c r="TJE2" s="6"/>
      <c r="TJF2" s="6"/>
      <c r="TJG2" s="6"/>
      <c r="TJH2" s="6"/>
      <c r="TJI2" s="6"/>
      <c r="TJJ2" s="6"/>
      <c r="TJK2" s="6"/>
      <c r="TJL2" s="6"/>
      <c r="TJM2" s="6"/>
      <c r="TJN2" s="6"/>
      <c r="TJO2" s="6"/>
      <c r="TJP2" s="6"/>
      <c r="TJQ2" s="6"/>
      <c r="TJR2" s="6"/>
      <c r="TJS2" s="6"/>
      <c r="TJT2" s="6"/>
      <c r="TJU2" s="6"/>
      <c r="TJV2" s="6"/>
      <c r="TJW2" s="6"/>
      <c r="TJX2" s="6"/>
      <c r="TJY2" s="6"/>
      <c r="TJZ2" s="6"/>
      <c r="TKA2" s="6"/>
      <c r="TKB2" s="6"/>
      <c r="TKC2" s="6"/>
      <c r="TKD2" s="6"/>
      <c r="TKE2" s="6"/>
      <c r="TKF2" s="6"/>
      <c r="TKG2" s="6"/>
      <c r="TKH2" s="6"/>
      <c r="TKI2" s="6"/>
      <c r="TKJ2" s="6"/>
      <c r="TKK2" s="6"/>
      <c r="TKL2" s="6"/>
      <c r="TKM2" s="6"/>
      <c r="TKN2" s="6"/>
      <c r="TKO2" s="6"/>
      <c r="TKP2" s="6"/>
      <c r="TKQ2" s="6"/>
      <c r="TKR2" s="6"/>
      <c r="TKS2" s="6"/>
      <c r="TKT2" s="6"/>
      <c r="TKU2" s="6"/>
      <c r="TKV2" s="6"/>
      <c r="TKW2" s="6"/>
      <c r="TKX2" s="6"/>
      <c r="TKY2" s="6"/>
      <c r="TKZ2" s="6"/>
      <c r="TLA2" s="6"/>
      <c r="TLB2" s="6"/>
      <c r="TLC2" s="6"/>
      <c r="TLD2" s="6"/>
      <c r="TLE2" s="6"/>
      <c r="TLF2" s="6"/>
      <c r="TLG2" s="6"/>
      <c r="TLH2" s="6"/>
      <c r="TLI2" s="6"/>
      <c r="TLJ2" s="6"/>
      <c r="TLK2" s="6"/>
      <c r="TLL2" s="6"/>
      <c r="TLM2" s="6"/>
      <c r="TLN2" s="6"/>
      <c r="TLO2" s="6"/>
      <c r="TLP2" s="6"/>
      <c r="TLQ2" s="6"/>
      <c r="TLR2" s="6"/>
      <c r="TLS2" s="6"/>
      <c r="TLT2" s="6"/>
      <c r="TLU2" s="6"/>
      <c r="TLV2" s="6"/>
      <c r="TLW2" s="6"/>
      <c r="TLX2" s="6"/>
      <c r="TLY2" s="6"/>
      <c r="TLZ2" s="6"/>
      <c r="TMA2" s="6"/>
      <c r="TMB2" s="6"/>
      <c r="TMC2" s="6"/>
      <c r="TMD2" s="6"/>
      <c r="TME2" s="6"/>
      <c r="TMF2" s="6"/>
      <c r="TMG2" s="6"/>
      <c r="TMH2" s="6"/>
      <c r="TMI2" s="6"/>
      <c r="TMJ2" s="6"/>
      <c r="TMK2" s="6"/>
      <c r="TML2" s="6"/>
      <c r="TMM2" s="6"/>
      <c r="TMN2" s="6"/>
      <c r="TMO2" s="6"/>
      <c r="TMP2" s="6"/>
      <c r="TMQ2" s="6"/>
      <c r="TMR2" s="6"/>
      <c r="TMS2" s="6"/>
      <c r="TMT2" s="6"/>
      <c r="TMU2" s="6"/>
      <c r="TMV2" s="6"/>
      <c r="TMW2" s="6"/>
      <c r="TMX2" s="6"/>
      <c r="TMY2" s="6"/>
      <c r="TMZ2" s="6"/>
      <c r="TNA2" s="6"/>
      <c r="TNB2" s="6"/>
      <c r="TNC2" s="6"/>
      <c r="TND2" s="6"/>
      <c r="TNE2" s="6"/>
      <c r="TNF2" s="6"/>
      <c r="TNG2" s="6"/>
      <c r="TNH2" s="6"/>
      <c r="TNI2" s="6"/>
      <c r="TNJ2" s="6"/>
      <c r="TNK2" s="6"/>
      <c r="TNL2" s="6"/>
      <c r="TNM2" s="6"/>
      <c r="TNN2" s="6"/>
      <c r="TNO2" s="6"/>
      <c r="TNP2" s="6"/>
      <c r="TNQ2" s="6"/>
      <c r="TNR2" s="6"/>
      <c r="TNS2" s="6"/>
      <c r="TNT2" s="6"/>
      <c r="TNU2" s="6"/>
      <c r="TNV2" s="6"/>
      <c r="TNW2" s="6"/>
      <c r="TNX2" s="6"/>
      <c r="TNY2" s="6"/>
      <c r="TNZ2" s="6"/>
      <c r="TOA2" s="6"/>
      <c r="TOB2" s="6"/>
      <c r="TOC2" s="6"/>
      <c r="TOD2" s="6"/>
      <c r="TOE2" s="6"/>
      <c r="TOF2" s="6"/>
      <c r="TOG2" s="6"/>
      <c r="TOH2" s="6"/>
      <c r="TOI2" s="6"/>
      <c r="TOJ2" s="6"/>
      <c r="TOK2" s="6"/>
      <c r="TOL2" s="6"/>
      <c r="TOM2" s="6"/>
      <c r="TON2" s="6"/>
      <c r="TOO2" s="6"/>
      <c r="TOP2" s="6"/>
      <c r="TOQ2" s="6"/>
      <c r="TOR2" s="6"/>
      <c r="TOS2" s="6"/>
      <c r="TOT2" s="6"/>
      <c r="TOU2" s="6"/>
      <c r="TOV2" s="6"/>
      <c r="TOW2" s="6"/>
      <c r="TOX2" s="6"/>
      <c r="TOY2" s="6"/>
      <c r="TOZ2" s="6"/>
      <c r="TPA2" s="6"/>
      <c r="TPB2" s="6"/>
      <c r="TPC2" s="6"/>
      <c r="TPD2" s="6"/>
      <c r="TPE2" s="6"/>
      <c r="TPF2" s="6"/>
      <c r="TPG2" s="6"/>
      <c r="TPH2" s="6"/>
      <c r="TPI2" s="6"/>
      <c r="TPJ2" s="6"/>
      <c r="TPK2" s="6"/>
      <c r="TPL2" s="6"/>
      <c r="TPM2" s="6"/>
      <c r="TPN2" s="6"/>
      <c r="TPO2" s="6"/>
      <c r="TPP2" s="6"/>
      <c r="TPQ2" s="6"/>
      <c r="TPR2" s="6"/>
      <c r="TPS2" s="6"/>
      <c r="TPT2" s="6"/>
      <c r="TPU2" s="6"/>
      <c r="TPV2" s="6"/>
      <c r="TPW2" s="6"/>
      <c r="TPX2" s="6"/>
      <c r="TPY2" s="6"/>
      <c r="TPZ2" s="6"/>
      <c r="TQA2" s="6"/>
      <c r="TQB2" s="6"/>
      <c r="TQC2" s="6"/>
      <c r="TQD2" s="6"/>
      <c r="TQE2" s="6"/>
      <c r="TQF2" s="6"/>
      <c r="TQG2" s="6"/>
      <c r="TQH2" s="6"/>
      <c r="TQI2" s="6"/>
      <c r="TQJ2" s="6"/>
      <c r="TQK2" s="6"/>
      <c r="TQL2" s="6"/>
      <c r="TQM2" s="6"/>
      <c r="TQN2" s="6"/>
      <c r="TQO2" s="6"/>
      <c r="TQP2" s="6"/>
      <c r="TQQ2" s="6"/>
      <c r="TQR2" s="6"/>
      <c r="TQS2" s="6"/>
      <c r="TQT2" s="6"/>
      <c r="TQU2" s="6"/>
      <c r="TQV2" s="6"/>
      <c r="TQW2" s="6"/>
      <c r="TQX2" s="6"/>
      <c r="TQY2" s="6"/>
      <c r="TQZ2" s="6"/>
      <c r="TRA2" s="6"/>
      <c r="TRB2" s="6"/>
      <c r="TRC2" s="6"/>
      <c r="TRD2" s="6"/>
      <c r="TRE2" s="6"/>
      <c r="TRF2" s="6"/>
      <c r="TRG2" s="6"/>
      <c r="TRH2" s="6"/>
      <c r="TRI2" s="6"/>
      <c r="TRJ2" s="6"/>
      <c r="TRK2" s="6"/>
      <c r="TRL2" s="6"/>
      <c r="TRM2" s="6"/>
      <c r="TRN2" s="6"/>
      <c r="TRO2" s="6"/>
      <c r="TRP2" s="6"/>
      <c r="TRQ2" s="6"/>
      <c r="TRR2" s="6"/>
      <c r="TRS2" s="6"/>
      <c r="TRT2" s="6"/>
      <c r="TRU2" s="6"/>
      <c r="TRV2" s="6"/>
      <c r="TRW2" s="6"/>
      <c r="TRX2" s="6"/>
      <c r="TRY2" s="6"/>
      <c r="TRZ2" s="6"/>
      <c r="TSA2" s="6"/>
      <c r="TSB2" s="6"/>
      <c r="TSC2" s="6"/>
      <c r="TSD2" s="6"/>
      <c r="TSE2" s="6"/>
      <c r="TSF2" s="6"/>
      <c r="TSG2" s="6"/>
      <c r="TSH2" s="6"/>
      <c r="TSI2" s="6"/>
      <c r="TSJ2" s="6"/>
      <c r="TSK2" s="6"/>
      <c r="TSL2" s="6"/>
      <c r="TSM2" s="6"/>
      <c r="TSN2" s="6"/>
      <c r="TSO2" s="6"/>
      <c r="TSP2" s="6"/>
      <c r="TSQ2" s="6"/>
      <c r="TSR2" s="6"/>
      <c r="TSS2" s="6"/>
      <c r="TST2" s="6"/>
      <c r="TSU2" s="6"/>
      <c r="TSV2" s="6"/>
      <c r="TSW2" s="6"/>
      <c r="TSX2" s="6"/>
      <c r="TSY2" s="6"/>
      <c r="TSZ2" s="6"/>
      <c r="TTA2" s="6"/>
      <c r="TTB2" s="6"/>
      <c r="TTC2" s="6"/>
      <c r="TTD2" s="6"/>
      <c r="TTE2" s="6"/>
      <c r="TTF2" s="6"/>
      <c r="TTG2" s="6"/>
      <c r="TTH2" s="6"/>
      <c r="TTI2" s="6"/>
      <c r="TTJ2" s="6"/>
      <c r="TTK2" s="6"/>
      <c r="TTL2" s="6"/>
      <c r="TTM2" s="6"/>
      <c r="TTN2" s="6"/>
      <c r="TTO2" s="6"/>
      <c r="TTP2" s="6"/>
      <c r="TTQ2" s="6"/>
      <c r="TTR2" s="6"/>
      <c r="TTS2" s="6"/>
      <c r="TTT2" s="6"/>
      <c r="TTU2" s="6"/>
      <c r="TTV2" s="6"/>
      <c r="TTW2" s="6"/>
      <c r="TTX2" s="6"/>
      <c r="TTY2" s="6"/>
      <c r="TTZ2" s="6"/>
      <c r="TUA2" s="6"/>
      <c r="TUB2" s="6"/>
      <c r="TUC2" s="6"/>
      <c r="TUD2" s="6"/>
      <c r="TUE2" s="6"/>
      <c r="TUF2" s="6"/>
      <c r="TUG2" s="6"/>
      <c r="TUH2" s="6"/>
      <c r="TUI2" s="6"/>
      <c r="TUJ2" s="6"/>
      <c r="TUK2" s="6"/>
      <c r="TUL2" s="6"/>
      <c r="TUM2" s="6"/>
      <c r="TUN2" s="6"/>
      <c r="TUO2" s="6"/>
      <c r="TUP2" s="6"/>
      <c r="TUQ2" s="6"/>
      <c r="TUR2" s="6"/>
      <c r="TUS2" s="6"/>
      <c r="TUT2" s="6"/>
      <c r="TUU2" s="6"/>
      <c r="TUV2" s="6"/>
      <c r="TUW2" s="6"/>
      <c r="TUX2" s="6"/>
      <c r="TUY2" s="6"/>
      <c r="TUZ2" s="6"/>
      <c r="TVA2" s="6"/>
      <c r="TVB2" s="6"/>
      <c r="TVC2" s="6"/>
      <c r="TVD2" s="6"/>
      <c r="TVE2" s="6"/>
      <c r="TVF2" s="6"/>
      <c r="TVG2" s="6"/>
      <c r="TVH2" s="6"/>
      <c r="TVI2" s="6"/>
      <c r="TVJ2" s="6"/>
      <c r="TVK2" s="6"/>
      <c r="TVL2" s="6"/>
      <c r="TVM2" s="6"/>
      <c r="TVN2" s="6"/>
      <c r="TVO2" s="6"/>
      <c r="TVP2" s="6"/>
      <c r="TVQ2" s="6"/>
      <c r="TVR2" s="6"/>
      <c r="TVS2" s="6"/>
      <c r="TVT2" s="6"/>
      <c r="TVU2" s="6"/>
      <c r="TVV2" s="6"/>
      <c r="TVW2" s="6"/>
      <c r="TVX2" s="6"/>
      <c r="TVY2" s="6"/>
      <c r="TVZ2" s="6"/>
      <c r="TWA2" s="6"/>
      <c r="TWB2" s="6"/>
      <c r="TWC2" s="6"/>
      <c r="TWD2" s="6"/>
      <c r="TWE2" s="6"/>
      <c r="TWF2" s="6"/>
      <c r="TWG2" s="6"/>
      <c r="TWH2" s="6"/>
      <c r="TWI2" s="6"/>
      <c r="TWJ2" s="6"/>
      <c r="TWK2" s="6"/>
      <c r="TWL2" s="6"/>
      <c r="TWM2" s="6"/>
      <c r="TWN2" s="6"/>
      <c r="TWO2" s="6"/>
      <c r="TWP2" s="6"/>
      <c r="TWQ2" s="6"/>
      <c r="TWR2" s="6"/>
      <c r="TWS2" s="6"/>
      <c r="TWT2" s="6"/>
      <c r="TWU2" s="6"/>
      <c r="TWV2" s="6"/>
      <c r="TWW2" s="6"/>
      <c r="TWX2" s="6"/>
      <c r="TWY2" s="6"/>
      <c r="TWZ2" s="6"/>
      <c r="TXA2" s="6"/>
      <c r="TXB2" s="6"/>
      <c r="TXC2" s="6"/>
      <c r="TXD2" s="6"/>
      <c r="TXE2" s="6"/>
      <c r="TXF2" s="6"/>
      <c r="TXG2" s="6"/>
      <c r="TXH2" s="6"/>
      <c r="TXI2" s="6"/>
      <c r="TXJ2" s="6"/>
      <c r="TXK2" s="6"/>
      <c r="TXL2" s="6"/>
      <c r="TXM2" s="6"/>
      <c r="TXN2" s="6"/>
      <c r="TXO2" s="6"/>
      <c r="TXP2" s="6"/>
      <c r="TXQ2" s="6"/>
      <c r="TXR2" s="6"/>
      <c r="TXS2" s="6"/>
      <c r="TXT2" s="6"/>
      <c r="TXU2" s="6"/>
      <c r="TXV2" s="6"/>
      <c r="TXW2" s="6"/>
      <c r="TXX2" s="6"/>
      <c r="TXY2" s="6"/>
      <c r="TXZ2" s="6"/>
      <c r="TYA2" s="6"/>
      <c r="TYB2" s="6"/>
      <c r="TYC2" s="6"/>
      <c r="TYD2" s="6"/>
      <c r="TYE2" s="6"/>
      <c r="TYF2" s="6"/>
      <c r="TYG2" s="6"/>
      <c r="TYH2" s="6"/>
      <c r="TYI2" s="6"/>
      <c r="TYJ2" s="6"/>
      <c r="TYK2" s="6"/>
      <c r="TYL2" s="6"/>
      <c r="TYM2" s="6"/>
      <c r="TYN2" s="6"/>
      <c r="TYO2" s="6"/>
      <c r="TYP2" s="6"/>
      <c r="TYQ2" s="6"/>
      <c r="TYR2" s="6"/>
      <c r="TYS2" s="6"/>
      <c r="TYT2" s="6"/>
      <c r="TYU2" s="6"/>
      <c r="TYV2" s="6"/>
      <c r="TYW2" s="6"/>
      <c r="TYX2" s="6"/>
      <c r="TYY2" s="6"/>
      <c r="TYZ2" s="6"/>
      <c r="TZA2" s="6"/>
      <c r="TZB2" s="6"/>
      <c r="TZC2" s="6"/>
      <c r="TZD2" s="6"/>
      <c r="TZE2" s="6"/>
      <c r="TZF2" s="6"/>
      <c r="TZG2" s="6"/>
      <c r="TZH2" s="6"/>
      <c r="TZI2" s="6"/>
      <c r="TZJ2" s="6"/>
      <c r="TZK2" s="6"/>
      <c r="TZL2" s="6"/>
      <c r="TZM2" s="6"/>
      <c r="TZN2" s="6"/>
      <c r="TZO2" s="6"/>
      <c r="TZP2" s="6"/>
      <c r="TZQ2" s="6"/>
      <c r="TZR2" s="6"/>
      <c r="TZS2" s="6"/>
      <c r="TZT2" s="6"/>
      <c r="TZU2" s="6"/>
      <c r="TZV2" s="6"/>
      <c r="TZW2" s="6"/>
      <c r="TZX2" s="6"/>
      <c r="TZY2" s="6"/>
      <c r="TZZ2" s="6"/>
      <c r="UAA2" s="6"/>
      <c r="UAB2" s="6"/>
      <c r="UAC2" s="6"/>
      <c r="UAD2" s="6"/>
      <c r="UAE2" s="6"/>
      <c r="UAF2" s="6"/>
      <c r="UAG2" s="6"/>
      <c r="UAH2" s="6"/>
      <c r="UAI2" s="6"/>
      <c r="UAJ2" s="6"/>
      <c r="UAK2" s="6"/>
      <c r="UAL2" s="6"/>
      <c r="UAM2" s="6"/>
      <c r="UAN2" s="6"/>
      <c r="UAO2" s="6"/>
      <c r="UAP2" s="6"/>
      <c r="UAQ2" s="6"/>
      <c r="UAR2" s="6"/>
      <c r="UAS2" s="6"/>
      <c r="UAT2" s="6"/>
      <c r="UAU2" s="6"/>
      <c r="UAV2" s="6"/>
      <c r="UAW2" s="6"/>
      <c r="UAX2" s="6"/>
      <c r="UAY2" s="6"/>
      <c r="UAZ2" s="6"/>
      <c r="UBA2" s="6"/>
      <c r="UBB2" s="6"/>
      <c r="UBC2" s="6"/>
      <c r="UBD2" s="6"/>
      <c r="UBE2" s="6"/>
      <c r="UBF2" s="6"/>
      <c r="UBG2" s="6"/>
      <c r="UBH2" s="6"/>
      <c r="UBI2" s="6"/>
      <c r="UBJ2" s="6"/>
      <c r="UBK2" s="6"/>
      <c r="UBL2" s="6"/>
      <c r="UBM2" s="6"/>
      <c r="UBN2" s="6"/>
      <c r="UBO2" s="6"/>
      <c r="UBP2" s="6"/>
      <c r="UBQ2" s="6"/>
      <c r="UBR2" s="6"/>
      <c r="UBS2" s="6"/>
      <c r="UBT2" s="6"/>
      <c r="UBU2" s="6"/>
      <c r="UBV2" s="6"/>
      <c r="UBW2" s="6"/>
      <c r="UBX2" s="6"/>
      <c r="UBY2" s="6"/>
      <c r="UBZ2" s="6"/>
      <c r="UCA2" s="6"/>
      <c r="UCB2" s="6"/>
      <c r="UCC2" s="6"/>
      <c r="UCD2" s="6"/>
      <c r="UCE2" s="6"/>
      <c r="UCF2" s="6"/>
      <c r="UCG2" s="6"/>
      <c r="UCH2" s="6"/>
      <c r="UCI2" s="6"/>
      <c r="UCJ2" s="6"/>
      <c r="UCK2" s="6"/>
      <c r="UCL2" s="6"/>
      <c r="UCM2" s="6"/>
      <c r="UCN2" s="6"/>
      <c r="UCO2" s="6"/>
      <c r="UCP2" s="6"/>
      <c r="UCQ2" s="6"/>
      <c r="UCR2" s="6"/>
      <c r="UCS2" s="6"/>
      <c r="UCT2" s="6"/>
      <c r="UCU2" s="6"/>
      <c r="UCV2" s="6"/>
      <c r="UCW2" s="6"/>
      <c r="UCX2" s="6"/>
      <c r="UCY2" s="6"/>
      <c r="UCZ2" s="6"/>
      <c r="UDA2" s="6"/>
      <c r="UDB2" s="6"/>
      <c r="UDC2" s="6"/>
      <c r="UDD2" s="6"/>
      <c r="UDE2" s="6"/>
      <c r="UDF2" s="6"/>
      <c r="UDG2" s="6"/>
      <c r="UDH2" s="6"/>
      <c r="UDI2" s="6"/>
      <c r="UDJ2" s="6"/>
      <c r="UDK2" s="6"/>
      <c r="UDL2" s="6"/>
      <c r="UDM2" s="6"/>
      <c r="UDN2" s="6"/>
      <c r="UDO2" s="6"/>
      <c r="UDP2" s="6"/>
      <c r="UDQ2" s="6"/>
      <c r="UDR2" s="6"/>
      <c r="UDS2" s="6"/>
      <c r="UDT2" s="6"/>
      <c r="UDU2" s="6"/>
      <c r="UDV2" s="6"/>
      <c r="UDW2" s="6"/>
      <c r="UDX2" s="6"/>
      <c r="UDY2" s="6"/>
      <c r="UDZ2" s="6"/>
      <c r="UEA2" s="6"/>
      <c r="UEB2" s="6"/>
      <c r="UEC2" s="6"/>
      <c r="UED2" s="6"/>
      <c r="UEE2" s="6"/>
      <c r="UEF2" s="6"/>
      <c r="UEG2" s="6"/>
      <c r="UEH2" s="6"/>
      <c r="UEI2" s="6"/>
      <c r="UEJ2" s="6"/>
      <c r="UEK2" s="6"/>
      <c r="UEL2" s="6"/>
      <c r="UEM2" s="6"/>
      <c r="UEN2" s="6"/>
      <c r="UEO2" s="6"/>
      <c r="UEP2" s="6"/>
      <c r="UEQ2" s="6"/>
      <c r="UER2" s="6"/>
      <c r="UES2" s="6"/>
      <c r="UET2" s="6"/>
      <c r="UEU2" s="6"/>
      <c r="UEV2" s="6"/>
      <c r="UEW2" s="6"/>
      <c r="UEX2" s="6"/>
      <c r="UEY2" s="6"/>
      <c r="UEZ2" s="6"/>
      <c r="UFA2" s="6"/>
      <c r="UFB2" s="6"/>
      <c r="UFC2" s="6"/>
      <c r="UFD2" s="6"/>
      <c r="UFE2" s="6"/>
      <c r="UFF2" s="6"/>
      <c r="UFG2" s="6"/>
      <c r="UFH2" s="6"/>
      <c r="UFI2" s="6"/>
      <c r="UFJ2" s="6"/>
      <c r="UFK2" s="6"/>
      <c r="UFL2" s="6"/>
      <c r="UFM2" s="6"/>
      <c r="UFN2" s="6"/>
      <c r="UFO2" s="6"/>
      <c r="UFP2" s="6"/>
      <c r="UFQ2" s="6"/>
      <c r="UFR2" s="6"/>
      <c r="UFS2" s="6"/>
      <c r="UFT2" s="6"/>
      <c r="UFU2" s="6"/>
      <c r="UFV2" s="6"/>
      <c r="UFW2" s="6"/>
      <c r="UFX2" s="6"/>
      <c r="UFY2" s="6"/>
      <c r="UFZ2" s="6"/>
      <c r="UGA2" s="6"/>
      <c r="UGB2" s="6"/>
      <c r="UGC2" s="6"/>
      <c r="UGD2" s="6"/>
      <c r="UGE2" s="6"/>
      <c r="UGF2" s="6"/>
      <c r="UGG2" s="6"/>
      <c r="UGH2" s="6"/>
      <c r="UGI2" s="6"/>
      <c r="UGJ2" s="6"/>
      <c r="UGK2" s="6"/>
      <c r="UGL2" s="6"/>
      <c r="UGM2" s="6"/>
      <c r="UGN2" s="6"/>
      <c r="UGO2" s="6"/>
      <c r="UGP2" s="6"/>
      <c r="UGQ2" s="6"/>
      <c r="UGR2" s="6"/>
      <c r="UGS2" s="6"/>
      <c r="UGT2" s="6"/>
      <c r="UGU2" s="6"/>
      <c r="UGV2" s="6"/>
      <c r="UGW2" s="6"/>
      <c r="UGX2" s="6"/>
      <c r="UGY2" s="6"/>
      <c r="UGZ2" s="6"/>
      <c r="UHA2" s="6"/>
      <c r="UHB2" s="6"/>
      <c r="UHC2" s="6"/>
      <c r="UHD2" s="6"/>
      <c r="UHE2" s="6"/>
      <c r="UHF2" s="6"/>
      <c r="UHG2" s="6"/>
      <c r="UHH2" s="6"/>
      <c r="UHI2" s="6"/>
      <c r="UHJ2" s="6"/>
      <c r="UHK2" s="6"/>
      <c r="UHL2" s="6"/>
      <c r="UHM2" s="6"/>
      <c r="UHN2" s="6"/>
      <c r="UHO2" s="6"/>
      <c r="UHP2" s="6"/>
      <c r="UHQ2" s="6"/>
      <c r="UHR2" s="6"/>
      <c r="UHS2" s="6"/>
      <c r="UHT2" s="6"/>
      <c r="UHU2" s="6"/>
      <c r="UHV2" s="6"/>
      <c r="UHW2" s="6"/>
      <c r="UHX2" s="6"/>
      <c r="UHY2" s="6"/>
      <c r="UHZ2" s="6"/>
      <c r="UIA2" s="6"/>
      <c r="UIB2" s="6"/>
      <c r="UIC2" s="6"/>
      <c r="UID2" s="6"/>
      <c r="UIE2" s="6"/>
      <c r="UIF2" s="6"/>
      <c r="UIG2" s="6"/>
      <c r="UIH2" s="6"/>
      <c r="UII2" s="6"/>
      <c r="UIJ2" s="6"/>
      <c r="UIK2" s="6"/>
      <c r="UIL2" s="6"/>
      <c r="UIM2" s="6"/>
      <c r="UIN2" s="6"/>
      <c r="UIO2" s="6"/>
      <c r="UIP2" s="6"/>
      <c r="UIQ2" s="6"/>
      <c r="UIR2" s="6"/>
      <c r="UIS2" s="6"/>
      <c r="UIT2" s="6"/>
      <c r="UIU2" s="6"/>
      <c r="UIV2" s="6"/>
      <c r="UIW2" s="6"/>
      <c r="UIX2" s="6"/>
      <c r="UIY2" s="6"/>
      <c r="UIZ2" s="6"/>
      <c r="UJA2" s="6"/>
      <c r="UJB2" s="6"/>
      <c r="UJC2" s="6"/>
      <c r="UJD2" s="6"/>
      <c r="UJE2" s="6"/>
      <c r="UJF2" s="6"/>
      <c r="UJG2" s="6"/>
      <c r="UJH2" s="6"/>
      <c r="UJI2" s="6"/>
      <c r="UJJ2" s="6"/>
      <c r="UJK2" s="6"/>
      <c r="UJL2" s="6"/>
      <c r="UJM2" s="6"/>
      <c r="UJN2" s="6"/>
      <c r="UJO2" s="6"/>
      <c r="UJP2" s="6"/>
      <c r="UJQ2" s="6"/>
      <c r="UJR2" s="6"/>
      <c r="UJS2" s="6"/>
      <c r="UJT2" s="6"/>
      <c r="UJU2" s="6"/>
      <c r="UJV2" s="6"/>
      <c r="UJW2" s="6"/>
      <c r="UJX2" s="6"/>
      <c r="UJY2" s="6"/>
      <c r="UJZ2" s="6"/>
      <c r="UKA2" s="6"/>
      <c r="UKB2" s="6"/>
      <c r="UKC2" s="6"/>
      <c r="UKD2" s="6"/>
      <c r="UKE2" s="6"/>
      <c r="UKF2" s="6"/>
      <c r="UKG2" s="6"/>
      <c r="UKH2" s="6"/>
      <c r="UKI2" s="6"/>
      <c r="UKJ2" s="6"/>
      <c r="UKK2" s="6"/>
      <c r="UKL2" s="6"/>
      <c r="UKM2" s="6"/>
      <c r="UKN2" s="6"/>
      <c r="UKO2" s="6"/>
      <c r="UKP2" s="6"/>
      <c r="UKQ2" s="6"/>
      <c r="UKR2" s="6"/>
      <c r="UKS2" s="6"/>
      <c r="UKT2" s="6"/>
      <c r="UKU2" s="6"/>
      <c r="UKV2" s="6"/>
      <c r="UKW2" s="6"/>
      <c r="UKX2" s="6"/>
      <c r="UKY2" s="6"/>
      <c r="UKZ2" s="6"/>
      <c r="ULA2" s="6"/>
      <c r="ULB2" s="6"/>
      <c r="ULC2" s="6"/>
      <c r="ULD2" s="6"/>
      <c r="ULE2" s="6"/>
      <c r="ULF2" s="6"/>
      <c r="ULG2" s="6"/>
      <c r="ULH2" s="6"/>
      <c r="ULI2" s="6"/>
      <c r="ULJ2" s="6"/>
      <c r="ULK2" s="6"/>
      <c r="ULL2" s="6"/>
      <c r="ULM2" s="6"/>
      <c r="ULN2" s="6"/>
      <c r="ULO2" s="6"/>
      <c r="ULP2" s="6"/>
      <c r="ULQ2" s="6"/>
      <c r="ULR2" s="6"/>
      <c r="ULS2" s="6"/>
      <c r="ULT2" s="6"/>
      <c r="ULU2" s="6"/>
      <c r="ULV2" s="6"/>
      <c r="ULW2" s="6"/>
      <c r="ULX2" s="6"/>
      <c r="ULY2" s="6"/>
      <c r="ULZ2" s="6"/>
      <c r="UMA2" s="6"/>
      <c r="UMB2" s="6"/>
      <c r="UMC2" s="6"/>
      <c r="UMD2" s="6"/>
      <c r="UME2" s="6"/>
      <c r="UMF2" s="6"/>
      <c r="UMG2" s="6"/>
      <c r="UMH2" s="6"/>
      <c r="UMI2" s="6"/>
      <c r="UMJ2" s="6"/>
      <c r="UMK2" s="6"/>
      <c r="UML2" s="6"/>
      <c r="UMM2" s="6"/>
      <c r="UMN2" s="6"/>
      <c r="UMO2" s="6"/>
      <c r="UMP2" s="6"/>
      <c r="UMQ2" s="6"/>
      <c r="UMR2" s="6"/>
      <c r="UMS2" s="6"/>
      <c r="UMT2" s="6"/>
      <c r="UMU2" s="6"/>
      <c r="UMV2" s="6"/>
      <c r="UMW2" s="6"/>
      <c r="UMX2" s="6"/>
      <c r="UMY2" s="6"/>
      <c r="UMZ2" s="6"/>
      <c r="UNA2" s="6"/>
      <c r="UNB2" s="6"/>
      <c r="UNC2" s="6"/>
      <c r="UND2" s="6"/>
      <c r="UNE2" s="6"/>
      <c r="UNF2" s="6"/>
      <c r="UNG2" s="6"/>
      <c r="UNH2" s="6"/>
      <c r="UNI2" s="6"/>
      <c r="UNJ2" s="6"/>
      <c r="UNK2" s="6"/>
      <c r="UNL2" s="6"/>
      <c r="UNM2" s="6"/>
      <c r="UNN2" s="6"/>
      <c r="UNO2" s="6"/>
      <c r="UNP2" s="6"/>
      <c r="UNQ2" s="6"/>
      <c r="UNR2" s="6"/>
      <c r="UNS2" s="6"/>
      <c r="UNT2" s="6"/>
      <c r="UNU2" s="6"/>
      <c r="UNV2" s="6"/>
      <c r="UNW2" s="6"/>
      <c r="UNX2" s="6"/>
      <c r="UNY2" s="6"/>
      <c r="UNZ2" s="6"/>
      <c r="UOA2" s="6"/>
      <c r="UOB2" s="6"/>
      <c r="UOC2" s="6"/>
      <c r="UOD2" s="6"/>
      <c r="UOE2" s="6"/>
      <c r="UOF2" s="6"/>
      <c r="UOG2" s="6"/>
      <c r="UOH2" s="6"/>
      <c r="UOI2" s="6"/>
      <c r="UOJ2" s="6"/>
      <c r="UOK2" s="6"/>
      <c r="UOL2" s="6"/>
      <c r="UOM2" s="6"/>
      <c r="UON2" s="6"/>
      <c r="UOO2" s="6"/>
      <c r="UOP2" s="6"/>
      <c r="UOQ2" s="6"/>
      <c r="UOR2" s="6"/>
      <c r="UOS2" s="6"/>
      <c r="UOT2" s="6"/>
      <c r="UOU2" s="6"/>
      <c r="UOV2" s="6"/>
      <c r="UOW2" s="6"/>
      <c r="UOX2" s="6"/>
      <c r="UOY2" s="6"/>
      <c r="UOZ2" s="6"/>
      <c r="UPA2" s="6"/>
      <c r="UPB2" s="6"/>
      <c r="UPC2" s="6"/>
      <c r="UPD2" s="6"/>
      <c r="UPE2" s="6"/>
      <c r="UPF2" s="6"/>
      <c r="UPG2" s="6"/>
      <c r="UPH2" s="6"/>
      <c r="UPI2" s="6"/>
      <c r="UPJ2" s="6"/>
      <c r="UPK2" s="6"/>
      <c r="UPL2" s="6"/>
      <c r="UPM2" s="6"/>
      <c r="UPN2" s="6"/>
      <c r="UPO2" s="6"/>
      <c r="UPP2" s="6"/>
      <c r="UPQ2" s="6"/>
      <c r="UPR2" s="6"/>
      <c r="UPS2" s="6"/>
      <c r="UPT2" s="6"/>
      <c r="UPU2" s="6"/>
      <c r="UPV2" s="6"/>
      <c r="UPW2" s="6"/>
      <c r="UPX2" s="6"/>
      <c r="UPY2" s="6"/>
      <c r="UPZ2" s="6"/>
      <c r="UQA2" s="6"/>
      <c r="UQB2" s="6"/>
      <c r="UQC2" s="6"/>
      <c r="UQD2" s="6"/>
      <c r="UQE2" s="6"/>
      <c r="UQF2" s="6"/>
      <c r="UQG2" s="6"/>
      <c r="UQH2" s="6"/>
      <c r="UQI2" s="6"/>
      <c r="UQJ2" s="6"/>
      <c r="UQK2" s="6"/>
      <c r="UQL2" s="6"/>
      <c r="UQM2" s="6"/>
      <c r="UQN2" s="6"/>
      <c r="UQO2" s="6"/>
      <c r="UQP2" s="6"/>
      <c r="UQQ2" s="6"/>
      <c r="UQR2" s="6"/>
      <c r="UQS2" s="6"/>
      <c r="UQT2" s="6"/>
      <c r="UQU2" s="6"/>
      <c r="UQV2" s="6"/>
      <c r="UQW2" s="6"/>
      <c r="UQX2" s="6"/>
      <c r="UQY2" s="6"/>
      <c r="UQZ2" s="6"/>
      <c r="URA2" s="6"/>
      <c r="URB2" s="6"/>
      <c r="URC2" s="6"/>
      <c r="URD2" s="6"/>
      <c r="URE2" s="6"/>
      <c r="URF2" s="6"/>
      <c r="URG2" s="6"/>
      <c r="URH2" s="6"/>
      <c r="URI2" s="6"/>
      <c r="URJ2" s="6"/>
      <c r="URK2" s="6"/>
      <c r="URL2" s="6"/>
      <c r="URM2" s="6"/>
      <c r="URN2" s="6"/>
      <c r="URO2" s="6"/>
      <c r="URP2" s="6"/>
      <c r="URQ2" s="6"/>
      <c r="URR2" s="6"/>
      <c r="URS2" s="6"/>
      <c r="URT2" s="6"/>
      <c r="URU2" s="6"/>
      <c r="URV2" s="6"/>
      <c r="URW2" s="6"/>
      <c r="URX2" s="6"/>
      <c r="URY2" s="6"/>
      <c r="URZ2" s="6"/>
      <c r="USA2" s="6"/>
      <c r="USB2" s="6"/>
      <c r="USC2" s="6"/>
      <c r="USD2" s="6"/>
      <c r="USE2" s="6"/>
      <c r="USF2" s="6"/>
      <c r="USG2" s="6"/>
      <c r="USH2" s="6"/>
      <c r="USI2" s="6"/>
      <c r="USJ2" s="6"/>
      <c r="USK2" s="6"/>
      <c r="USL2" s="6"/>
      <c r="USM2" s="6"/>
      <c r="USN2" s="6"/>
      <c r="USO2" s="6"/>
      <c r="USP2" s="6"/>
      <c r="USQ2" s="6"/>
      <c r="USR2" s="6"/>
      <c r="USS2" s="6"/>
      <c r="UST2" s="6"/>
      <c r="USU2" s="6"/>
      <c r="USV2" s="6"/>
      <c r="USW2" s="6"/>
      <c r="USX2" s="6"/>
      <c r="USY2" s="6"/>
      <c r="USZ2" s="6"/>
      <c r="UTA2" s="6"/>
      <c r="UTB2" s="6"/>
      <c r="UTC2" s="6"/>
      <c r="UTD2" s="6"/>
      <c r="UTE2" s="6"/>
      <c r="UTF2" s="6"/>
      <c r="UTG2" s="6"/>
      <c r="UTH2" s="6"/>
      <c r="UTI2" s="6"/>
      <c r="UTJ2" s="6"/>
      <c r="UTK2" s="6"/>
      <c r="UTL2" s="6"/>
      <c r="UTM2" s="6"/>
      <c r="UTN2" s="6"/>
      <c r="UTO2" s="6"/>
      <c r="UTP2" s="6"/>
      <c r="UTQ2" s="6"/>
      <c r="UTR2" s="6"/>
      <c r="UTS2" s="6"/>
      <c r="UTT2" s="6"/>
      <c r="UTU2" s="6"/>
      <c r="UTV2" s="6"/>
      <c r="UTW2" s="6"/>
      <c r="UTX2" s="6"/>
      <c r="UTY2" s="6"/>
      <c r="UTZ2" s="6"/>
      <c r="UUA2" s="6"/>
      <c r="UUB2" s="6"/>
      <c r="UUC2" s="6"/>
      <c r="UUD2" s="6"/>
      <c r="UUE2" s="6"/>
      <c r="UUF2" s="6"/>
      <c r="UUG2" s="6"/>
      <c r="UUH2" s="6"/>
      <c r="UUI2" s="6"/>
      <c r="UUJ2" s="6"/>
      <c r="UUK2" s="6"/>
      <c r="UUL2" s="6"/>
      <c r="UUM2" s="6"/>
      <c r="UUN2" s="6"/>
      <c r="UUO2" s="6"/>
      <c r="UUP2" s="6"/>
      <c r="UUQ2" s="6"/>
      <c r="UUR2" s="6"/>
      <c r="UUS2" s="6"/>
      <c r="UUT2" s="6"/>
      <c r="UUU2" s="6"/>
      <c r="UUV2" s="6"/>
      <c r="UUW2" s="6"/>
      <c r="UUX2" s="6"/>
      <c r="UUY2" s="6"/>
      <c r="UUZ2" s="6"/>
      <c r="UVA2" s="6"/>
      <c r="UVB2" s="6"/>
      <c r="UVC2" s="6"/>
      <c r="UVD2" s="6"/>
      <c r="UVE2" s="6"/>
      <c r="UVF2" s="6"/>
      <c r="UVG2" s="6"/>
      <c r="UVH2" s="6"/>
      <c r="UVI2" s="6"/>
      <c r="UVJ2" s="6"/>
      <c r="UVK2" s="6"/>
      <c r="UVL2" s="6"/>
      <c r="UVM2" s="6"/>
      <c r="UVN2" s="6"/>
      <c r="UVO2" s="6"/>
      <c r="UVP2" s="6"/>
      <c r="UVQ2" s="6"/>
      <c r="UVR2" s="6"/>
      <c r="UVS2" s="6"/>
      <c r="UVT2" s="6"/>
      <c r="UVU2" s="6"/>
      <c r="UVV2" s="6"/>
      <c r="UVW2" s="6"/>
      <c r="UVX2" s="6"/>
      <c r="UVY2" s="6"/>
      <c r="UVZ2" s="6"/>
      <c r="UWA2" s="6"/>
      <c r="UWB2" s="6"/>
      <c r="UWC2" s="6"/>
      <c r="UWD2" s="6"/>
      <c r="UWE2" s="6"/>
      <c r="UWF2" s="6"/>
      <c r="UWG2" s="6"/>
      <c r="UWH2" s="6"/>
      <c r="UWI2" s="6"/>
      <c r="UWJ2" s="6"/>
      <c r="UWK2" s="6"/>
      <c r="UWL2" s="6"/>
      <c r="UWM2" s="6"/>
      <c r="UWN2" s="6"/>
      <c r="UWO2" s="6"/>
      <c r="UWP2" s="6"/>
      <c r="UWQ2" s="6"/>
      <c r="UWR2" s="6"/>
      <c r="UWS2" s="6"/>
      <c r="UWT2" s="6"/>
      <c r="UWU2" s="6"/>
      <c r="UWV2" s="6"/>
      <c r="UWW2" s="6"/>
      <c r="UWX2" s="6"/>
      <c r="UWY2" s="6"/>
      <c r="UWZ2" s="6"/>
      <c r="UXA2" s="6"/>
      <c r="UXB2" s="6"/>
      <c r="UXC2" s="6"/>
      <c r="UXD2" s="6"/>
      <c r="UXE2" s="6"/>
      <c r="UXF2" s="6"/>
      <c r="UXG2" s="6"/>
      <c r="UXH2" s="6"/>
      <c r="UXI2" s="6"/>
      <c r="UXJ2" s="6"/>
      <c r="UXK2" s="6"/>
      <c r="UXL2" s="6"/>
      <c r="UXM2" s="6"/>
      <c r="UXN2" s="6"/>
      <c r="UXO2" s="6"/>
      <c r="UXP2" s="6"/>
      <c r="UXQ2" s="6"/>
      <c r="UXR2" s="6"/>
      <c r="UXS2" s="6"/>
      <c r="UXT2" s="6"/>
      <c r="UXU2" s="6"/>
      <c r="UXV2" s="6"/>
      <c r="UXW2" s="6"/>
      <c r="UXX2" s="6"/>
      <c r="UXY2" s="6"/>
      <c r="UXZ2" s="6"/>
      <c r="UYA2" s="6"/>
      <c r="UYB2" s="6"/>
      <c r="UYC2" s="6"/>
      <c r="UYD2" s="6"/>
      <c r="UYE2" s="6"/>
      <c r="UYF2" s="6"/>
      <c r="UYG2" s="6"/>
      <c r="UYH2" s="6"/>
      <c r="UYI2" s="6"/>
      <c r="UYJ2" s="6"/>
      <c r="UYK2" s="6"/>
      <c r="UYL2" s="6"/>
      <c r="UYM2" s="6"/>
      <c r="UYN2" s="6"/>
      <c r="UYO2" s="6"/>
      <c r="UYP2" s="6"/>
      <c r="UYQ2" s="6"/>
      <c r="UYR2" s="6"/>
      <c r="UYS2" s="6"/>
      <c r="UYT2" s="6"/>
      <c r="UYU2" s="6"/>
      <c r="UYV2" s="6"/>
      <c r="UYW2" s="6"/>
      <c r="UYX2" s="6"/>
      <c r="UYY2" s="6"/>
      <c r="UYZ2" s="6"/>
      <c r="UZA2" s="6"/>
      <c r="UZB2" s="6"/>
      <c r="UZC2" s="6"/>
      <c r="UZD2" s="6"/>
      <c r="UZE2" s="6"/>
      <c r="UZF2" s="6"/>
      <c r="UZG2" s="6"/>
      <c r="UZH2" s="6"/>
      <c r="UZI2" s="6"/>
      <c r="UZJ2" s="6"/>
      <c r="UZK2" s="6"/>
      <c r="UZL2" s="6"/>
      <c r="UZM2" s="6"/>
      <c r="UZN2" s="6"/>
      <c r="UZO2" s="6"/>
      <c r="UZP2" s="6"/>
      <c r="UZQ2" s="6"/>
      <c r="UZR2" s="6"/>
      <c r="UZS2" s="6"/>
      <c r="UZT2" s="6"/>
      <c r="UZU2" s="6"/>
      <c r="UZV2" s="6"/>
      <c r="UZW2" s="6"/>
      <c r="UZX2" s="6"/>
      <c r="UZY2" s="6"/>
      <c r="UZZ2" s="6"/>
      <c r="VAA2" s="6"/>
      <c r="VAB2" s="6"/>
      <c r="VAC2" s="6"/>
      <c r="VAD2" s="6"/>
      <c r="VAE2" s="6"/>
      <c r="VAF2" s="6"/>
      <c r="VAG2" s="6"/>
      <c r="VAH2" s="6"/>
      <c r="VAI2" s="6"/>
      <c r="VAJ2" s="6"/>
      <c r="VAK2" s="6"/>
      <c r="VAL2" s="6"/>
      <c r="VAM2" s="6"/>
      <c r="VAN2" s="6"/>
      <c r="VAO2" s="6"/>
      <c r="VAP2" s="6"/>
      <c r="VAQ2" s="6"/>
      <c r="VAR2" s="6"/>
      <c r="VAS2" s="6"/>
      <c r="VAT2" s="6"/>
      <c r="VAU2" s="6"/>
      <c r="VAV2" s="6"/>
      <c r="VAW2" s="6"/>
      <c r="VAX2" s="6"/>
      <c r="VAY2" s="6"/>
      <c r="VAZ2" s="6"/>
      <c r="VBA2" s="6"/>
      <c r="VBB2" s="6"/>
      <c r="VBC2" s="6"/>
      <c r="VBD2" s="6"/>
      <c r="VBE2" s="6"/>
      <c r="VBF2" s="6"/>
      <c r="VBG2" s="6"/>
      <c r="VBH2" s="6"/>
      <c r="VBI2" s="6"/>
      <c r="VBJ2" s="6"/>
      <c r="VBK2" s="6"/>
      <c r="VBL2" s="6"/>
      <c r="VBM2" s="6"/>
      <c r="VBN2" s="6"/>
      <c r="VBO2" s="6"/>
      <c r="VBP2" s="6"/>
      <c r="VBQ2" s="6"/>
      <c r="VBR2" s="6"/>
      <c r="VBS2" s="6"/>
      <c r="VBT2" s="6"/>
      <c r="VBU2" s="6"/>
      <c r="VBV2" s="6"/>
      <c r="VBW2" s="6"/>
      <c r="VBX2" s="6"/>
      <c r="VBY2" s="6"/>
      <c r="VBZ2" s="6"/>
      <c r="VCA2" s="6"/>
      <c r="VCB2" s="6"/>
      <c r="VCC2" s="6"/>
      <c r="VCD2" s="6"/>
      <c r="VCE2" s="6"/>
      <c r="VCF2" s="6"/>
      <c r="VCG2" s="6"/>
      <c r="VCH2" s="6"/>
      <c r="VCI2" s="6"/>
      <c r="VCJ2" s="6"/>
      <c r="VCK2" s="6"/>
      <c r="VCL2" s="6"/>
      <c r="VCM2" s="6"/>
      <c r="VCN2" s="6"/>
      <c r="VCO2" s="6"/>
      <c r="VCP2" s="6"/>
      <c r="VCQ2" s="6"/>
      <c r="VCR2" s="6"/>
      <c r="VCS2" s="6"/>
      <c r="VCT2" s="6"/>
      <c r="VCU2" s="6"/>
      <c r="VCV2" s="6"/>
      <c r="VCW2" s="6"/>
      <c r="VCX2" s="6"/>
      <c r="VCY2" s="6"/>
      <c r="VCZ2" s="6"/>
      <c r="VDA2" s="6"/>
      <c r="VDB2" s="6"/>
      <c r="VDC2" s="6"/>
      <c r="VDD2" s="6"/>
      <c r="VDE2" s="6"/>
      <c r="VDF2" s="6"/>
      <c r="VDG2" s="6"/>
      <c r="VDH2" s="6"/>
      <c r="VDI2" s="6"/>
      <c r="VDJ2" s="6"/>
      <c r="VDK2" s="6"/>
      <c r="VDL2" s="6"/>
      <c r="VDM2" s="6"/>
      <c r="VDN2" s="6"/>
      <c r="VDO2" s="6"/>
      <c r="VDP2" s="6"/>
      <c r="VDQ2" s="6"/>
      <c r="VDR2" s="6"/>
      <c r="VDS2" s="6"/>
      <c r="VDT2" s="6"/>
      <c r="VDU2" s="6"/>
      <c r="VDV2" s="6"/>
      <c r="VDW2" s="6"/>
      <c r="VDX2" s="6"/>
      <c r="VDY2" s="6"/>
      <c r="VDZ2" s="6"/>
      <c r="VEA2" s="6"/>
      <c r="VEB2" s="6"/>
      <c r="VEC2" s="6"/>
      <c r="VED2" s="6"/>
      <c r="VEE2" s="6"/>
      <c r="VEF2" s="6"/>
      <c r="VEG2" s="6"/>
      <c r="VEH2" s="6"/>
      <c r="VEI2" s="6"/>
      <c r="VEJ2" s="6"/>
      <c r="VEK2" s="6"/>
      <c r="VEL2" s="6"/>
      <c r="VEM2" s="6"/>
      <c r="VEN2" s="6"/>
      <c r="VEO2" s="6"/>
      <c r="VEP2" s="6"/>
      <c r="VEQ2" s="6"/>
      <c r="VER2" s="6"/>
      <c r="VES2" s="6"/>
      <c r="VET2" s="6"/>
      <c r="VEU2" s="6"/>
      <c r="VEV2" s="6"/>
      <c r="VEW2" s="6"/>
      <c r="VEX2" s="6"/>
      <c r="VEY2" s="6"/>
      <c r="VEZ2" s="6"/>
      <c r="VFA2" s="6"/>
      <c r="VFB2" s="6"/>
      <c r="VFC2" s="6"/>
      <c r="VFD2" s="6"/>
      <c r="VFE2" s="6"/>
      <c r="VFF2" s="6"/>
      <c r="VFG2" s="6"/>
      <c r="VFH2" s="6"/>
      <c r="VFI2" s="6"/>
      <c r="VFJ2" s="6"/>
      <c r="VFK2" s="6"/>
      <c r="VFL2" s="6"/>
      <c r="VFM2" s="6"/>
      <c r="VFN2" s="6"/>
      <c r="VFO2" s="6"/>
      <c r="VFP2" s="6"/>
      <c r="VFQ2" s="6"/>
      <c r="VFR2" s="6"/>
      <c r="VFS2" s="6"/>
      <c r="VFT2" s="6"/>
      <c r="VFU2" s="6"/>
      <c r="VFV2" s="6"/>
      <c r="VFW2" s="6"/>
      <c r="VFX2" s="6"/>
      <c r="VFY2" s="6"/>
      <c r="VFZ2" s="6"/>
      <c r="VGA2" s="6"/>
      <c r="VGB2" s="6"/>
      <c r="VGC2" s="6"/>
      <c r="VGD2" s="6"/>
      <c r="VGE2" s="6"/>
      <c r="VGF2" s="6"/>
      <c r="VGG2" s="6"/>
      <c r="VGH2" s="6"/>
      <c r="VGI2" s="6"/>
      <c r="VGJ2" s="6"/>
      <c r="VGK2" s="6"/>
      <c r="VGL2" s="6"/>
      <c r="VGM2" s="6"/>
      <c r="VGN2" s="6"/>
      <c r="VGO2" s="6"/>
      <c r="VGP2" s="6"/>
      <c r="VGQ2" s="6"/>
      <c r="VGR2" s="6"/>
      <c r="VGS2" s="6"/>
      <c r="VGT2" s="6"/>
      <c r="VGU2" s="6"/>
      <c r="VGV2" s="6"/>
      <c r="VGW2" s="6"/>
      <c r="VGX2" s="6"/>
      <c r="VGY2" s="6"/>
      <c r="VGZ2" s="6"/>
      <c r="VHA2" s="6"/>
      <c r="VHB2" s="6"/>
      <c r="VHC2" s="6"/>
      <c r="VHD2" s="6"/>
      <c r="VHE2" s="6"/>
      <c r="VHF2" s="6"/>
      <c r="VHG2" s="6"/>
      <c r="VHH2" s="6"/>
      <c r="VHI2" s="6"/>
      <c r="VHJ2" s="6"/>
      <c r="VHK2" s="6"/>
      <c r="VHL2" s="6"/>
      <c r="VHM2" s="6"/>
      <c r="VHN2" s="6"/>
      <c r="VHO2" s="6"/>
      <c r="VHP2" s="6"/>
      <c r="VHQ2" s="6"/>
      <c r="VHR2" s="6"/>
      <c r="VHS2" s="6"/>
      <c r="VHT2" s="6"/>
      <c r="VHU2" s="6"/>
      <c r="VHV2" s="6"/>
      <c r="VHW2" s="6"/>
      <c r="VHX2" s="6"/>
      <c r="VHY2" s="6"/>
      <c r="VHZ2" s="6"/>
      <c r="VIA2" s="6"/>
      <c r="VIB2" s="6"/>
      <c r="VIC2" s="6"/>
      <c r="VID2" s="6"/>
      <c r="VIE2" s="6"/>
      <c r="VIF2" s="6"/>
      <c r="VIG2" s="6"/>
      <c r="VIH2" s="6"/>
      <c r="VII2" s="6"/>
      <c r="VIJ2" s="6"/>
      <c r="VIK2" s="6"/>
      <c r="VIL2" s="6"/>
      <c r="VIM2" s="6"/>
      <c r="VIN2" s="6"/>
      <c r="VIO2" s="6"/>
      <c r="VIP2" s="6"/>
      <c r="VIQ2" s="6"/>
      <c r="VIR2" s="6"/>
      <c r="VIS2" s="6"/>
      <c r="VIT2" s="6"/>
      <c r="VIU2" s="6"/>
      <c r="VIV2" s="6"/>
      <c r="VIW2" s="6"/>
      <c r="VIX2" s="6"/>
      <c r="VIY2" s="6"/>
      <c r="VIZ2" s="6"/>
      <c r="VJA2" s="6"/>
      <c r="VJB2" s="6"/>
      <c r="VJC2" s="6"/>
      <c r="VJD2" s="6"/>
      <c r="VJE2" s="6"/>
      <c r="VJF2" s="6"/>
      <c r="VJG2" s="6"/>
      <c r="VJH2" s="6"/>
      <c r="VJI2" s="6"/>
      <c r="VJJ2" s="6"/>
      <c r="VJK2" s="6"/>
      <c r="VJL2" s="6"/>
      <c r="VJM2" s="6"/>
      <c r="VJN2" s="6"/>
      <c r="VJO2" s="6"/>
      <c r="VJP2" s="6"/>
      <c r="VJQ2" s="6"/>
      <c r="VJR2" s="6"/>
      <c r="VJS2" s="6"/>
      <c r="VJT2" s="6"/>
      <c r="VJU2" s="6"/>
      <c r="VJV2" s="6"/>
      <c r="VJW2" s="6"/>
      <c r="VJX2" s="6"/>
      <c r="VJY2" s="6"/>
      <c r="VJZ2" s="6"/>
      <c r="VKA2" s="6"/>
      <c r="VKB2" s="6"/>
      <c r="VKC2" s="6"/>
      <c r="VKD2" s="6"/>
      <c r="VKE2" s="6"/>
      <c r="VKF2" s="6"/>
      <c r="VKG2" s="6"/>
      <c r="VKH2" s="6"/>
      <c r="VKI2" s="6"/>
      <c r="VKJ2" s="6"/>
      <c r="VKK2" s="6"/>
      <c r="VKL2" s="6"/>
      <c r="VKM2" s="6"/>
      <c r="VKN2" s="6"/>
      <c r="VKO2" s="6"/>
      <c r="VKP2" s="6"/>
      <c r="VKQ2" s="6"/>
      <c r="VKR2" s="6"/>
      <c r="VKS2" s="6"/>
      <c r="VKT2" s="6"/>
      <c r="VKU2" s="6"/>
      <c r="VKV2" s="6"/>
      <c r="VKW2" s="6"/>
      <c r="VKX2" s="6"/>
      <c r="VKY2" s="6"/>
      <c r="VKZ2" s="6"/>
      <c r="VLA2" s="6"/>
      <c r="VLB2" s="6"/>
      <c r="VLC2" s="6"/>
      <c r="VLD2" s="6"/>
      <c r="VLE2" s="6"/>
      <c r="VLF2" s="6"/>
      <c r="VLG2" s="6"/>
      <c r="VLH2" s="6"/>
      <c r="VLI2" s="6"/>
      <c r="VLJ2" s="6"/>
      <c r="VLK2" s="6"/>
      <c r="VLL2" s="6"/>
      <c r="VLM2" s="6"/>
      <c r="VLN2" s="6"/>
      <c r="VLO2" s="6"/>
      <c r="VLP2" s="6"/>
      <c r="VLQ2" s="6"/>
      <c r="VLR2" s="6"/>
      <c r="VLS2" s="6"/>
      <c r="VLT2" s="6"/>
      <c r="VLU2" s="6"/>
      <c r="VLV2" s="6"/>
      <c r="VLW2" s="6"/>
      <c r="VLX2" s="6"/>
      <c r="VLY2" s="6"/>
      <c r="VLZ2" s="6"/>
      <c r="VMA2" s="6"/>
      <c r="VMB2" s="6"/>
      <c r="VMC2" s="6"/>
      <c r="VMD2" s="6"/>
      <c r="VME2" s="6"/>
      <c r="VMF2" s="6"/>
      <c r="VMG2" s="6"/>
      <c r="VMH2" s="6"/>
      <c r="VMI2" s="6"/>
      <c r="VMJ2" s="6"/>
      <c r="VMK2" s="6"/>
      <c r="VML2" s="6"/>
      <c r="VMM2" s="6"/>
      <c r="VMN2" s="6"/>
      <c r="VMO2" s="6"/>
      <c r="VMP2" s="6"/>
      <c r="VMQ2" s="6"/>
      <c r="VMR2" s="6"/>
      <c r="VMS2" s="6"/>
      <c r="VMT2" s="6"/>
      <c r="VMU2" s="6"/>
      <c r="VMV2" s="6"/>
      <c r="VMW2" s="6"/>
      <c r="VMX2" s="6"/>
      <c r="VMY2" s="6"/>
      <c r="VMZ2" s="6"/>
      <c r="VNA2" s="6"/>
      <c r="VNB2" s="6"/>
      <c r="VNC2" s="6"/>
      <c r="VND2" s="6"/>
      <c r="VNE2" s="6"/>
      <c r="VNF2" s="6"/>
      <c r="VNG2" s="6"/>
      <c r="VNH2" s="6"/>
      <c r="VNI2" s="6"/>
      <c r="VNJ2" s="6"/>
      <c r="VNK2" s="6"/>
      <c r="VNL2" s="6"/>
      <c r="VNM2" s="6"/>
      <c r="VNN2" s="6"/>
      <c r="VNO2" s="6"/>
      <c r="VNP2" s="6"/>
      <c r="VNQ2" s="6"/>
      <c r="VNR2" s="6"/>
      <c r="VNS2" s="6"/>
      <c r="VNT2" s="6"/>
      <c r="VNU2" s="6"/>
      <c r="VNV2" s="6"/>
      <c r="VNW2" s="6"/>
      <c r="VNX2" s="6"/>
      <c r="VNY2" s="6"/>
      <c r="VNZ2" s="6"/>
      <c r="VOA2" s="6"/>
      <c r="VOB2" s="6"/>
      <c r="VOC2" s="6"/>
      <c r="VOD2" s="6"/>
      <c r="VOE2" s="6"/>
      <c r="VOF2" s="6"/>
      <c r="VOG2" s="6"/>
      <c r="VOH2" s="6"/>
      <c r="VOI2" s="6"/>
      <c r="VOJ2" s="6"/>
      <c r="VOK2" s="6"/>
      <c r="VOL2" s="6"/>
      <c r="VOM2" s="6"/>
      <c r="VON2" s="6"/>
      <c r="VOO2" s="6"/>
      <c r="VOP2" s="6"/>
      <c r="VOQ2" s="6"/>
      <c r="VOR2" s="6"/>
      <c r="VOS2" s="6"/>
      <c r="VOT2" s="6"/>
      <c r="VOU2" s="6"/>
      <c r="VOV2" s="6"/>
      <c r="VOW2" s="6"/>
      <c r="VOX2" s="6"/>
      <c r="VOY2" s="6"/>
      <c r="VOZ2" s="6"/>
      <c r="VPA2" s="6"/>
      <c r="VPB2" s="6"/>
      <c r="VPC2" s="6"/>
      <c r="VPD2" s="6"/>
      <c r="VPE2" s="6"/>
      <c r="VPF2" s="6"/>
      <c r="VPG2" s="6"/>
      <c r="VPH2" s="6"/>
      <c r="VPI2" s="6"/>
      <c r="VPJ2" s="6"/>
      <c r="VPK2" s="6"/>
      <c r="VPL2" s="6"/>
      <c r="VPM2" s="6"/>
      <c r="VPN2" s="6"/>
      <c r="VPO2" s="6"/>
      <c r="VPP2" s="6"/>
      <c r="VPQ2" s="6"/>
      <c r="VPR2" s="6"/>
      <c r="VPS2" s="6"/>
      <c r="VPT2" s="6"/>
      <c r="VPU2" s="6"/>
      <c r="VPV2" s="6"/>
      <c r="VPW2" s="6"/>
      <c r="VPX2" s="6"/>
      <c r="VPY2" s="6"/>
      <c r="VPZ2" s="6"/>
      <c r="VQA2" s="6"/>
      <c r="VQB2" s="6"/>
      <c r="VQC2" s="6"/>
      <c r="VQD2" s="6"/>
      <c r="VQE2" s="6"/>
      <c r="VQF2" s="6"/>
      <c r="VQG2" s="6"/>
      <c r="VQH2" s="6"/>
      <c r="VQI2" s="6"/>
      <c r="VQJ2" s="6"/>
      <c r="VQK2" s="6"/>
      <c r="VQL2" s="6"/>
      <c r="VQM2" s="6"/>
      <c r="VQN2" s="6"/>
      <c r="VQO2" s="6"/>
      <c r="VQP2" s="6"/>
      <c r="VQQ2" s="6"/>
      <c r="VQR2" s="6"/>
      <c r="VQS2" s="6"/>
      <c r="VQT2" s="6"/>
      <c r="VQU2" s="6"/>
      <c r="VQV2" s="6"/>
      <c r="VQW2" s="6"/>
      <c r="VQX2" s="6"/>
      <c r="VQY2" s="6"/>
      <c r="VQZ2" s="6"/>
      <c r="VRA2" s="6"/>
      <c r="VRB2" s="6"/>
      <c r="VRC2" s="6"/>
      <c r="VRD2" s="6"/>
      <c r="VRE2" s="6"/>
      <c r="VRF2" s="6"/>
      <c r="VRG2" s="6"/>
      <c r="VRH2" s="6"/>
      <c r="VRI2" s="6"/>
      <c r="VRJ2" s="6"/>
      <c r="VRK2" s="6"/>
      <c r="VRL2" s="6"/>
      <c r="VRM2" s="6"/>
      <c r="VRN2" s="6"/>
      <c r="VRO2" s="6"/>
      <c r="VRP2" s="6"/>
      <c r="VRQ2" s="6"/>
      <c r="VRR2" s="6"/>
      <c r="VRS2" s="6"/>
      <c r="VRT2" s="6"/>
      <c r="VRU2" s="6"/>
      <c r="VRV2" s="6"/>
      <c r="VRW2" s="6"/>
      <c r="VRX2" s="6"/>
      <c r="VRY2" s="6"/>
      <c r="VRZ2" s="6"/>
      <c r="VSA2" s="6"/>
      <c r="VSB2" s="6"/>
      <c r="VSC2" s="6"/>
      <c r="VSD2" s="6"/>
      <c r="VSE2" s="6"/>
      <c r="VSF2" s="6"/>
      <c r="VSG2" s="6"/>
      <c r="VSH2" s="6"/>
      <c r="VSI2" s="6"/>
      <c r="VSJ2" s="6"/>
      <c r="VSK2" s="6"/>
      <c r="VSL2" s="6"/>
      <c r="VSM2" s="6"/>
      <c r="VSN2" s="6"/>
      <c r="VSO2" s="6"/>
      <c r="VSP2" s="6"/>
      <c r="VSQ2" s="6"/>
      <c r="VSR2" s="6"/>
      <c r="VSS2" s="6"/>
      <c r="VST2" s="6"/>
      <c r="VSU2" s="6"/>
      <c r="VSV2" s="6"/>
      <c r="VSW2" s="6"/>
      <c r="VSX2" s="6"/>
      <c r="VSY2" s="6"/>
      <c r="VSZ2" s="6"/>
      <c r="VTA2" s="6"/>
      <c r="VTB2" s="6"/>
      <c r="VTC2" s="6"/>
      <c r="VTD2" s="6"/>
      <c r="VTE2" s="6"/>
      <c r="VTF2" s="6"/>
      <c r="VTG2" s="6"/>
      <c r="VTH2" s="6"/>
      <c r="VTI2" s="6"/>
      <c r="VTJ2" s="6"/>
      <c r="VTK2" s="6"/>
      <c r="VTL2" s="6"/>
      <c r="VTM2" s="6"/>
      <c r="VTN2" s="6"/>
      <c r="VTO2" s="6"/>
      <c r="VTP2" s="6"/>
      <c r="VTQ2" s="6"/>
      <c r="VTR2" s="6"/>
      <c r="VTS2" s="6"/>
      <c r="VTT2" s="6"/>
      <c r="VTU2" s="6"/>
      <c r="VTV2" s="6"/>
      <c r="VTW2" s="6"/>
      <c r="VTX2" s="6"/>
      <c r="VTY2" s="6"/>
      <c r="VTZ2" s="6"/>
      <c r="VUA2" s="6"/>
      <c r="VUB2" s="6"/>
      <c r="VUC2" s="6"/>
      <c r="VUD2" s="6"/>
      <c r="VUE2" s="6"/>
      <c r="VUF2" s="6"/>
      <c r="VUG2" s="6"/>
      <c r="VUH2" s="6"/>
      <c r="VUI2" s="6"/>
      <c r="VUJ2" s="6"/>
      <c r="VUK2" s="6"/>
      <c r="VUL2" s="6"/>
      <c r="VUM2" s="6"/>
      <c r="VUN2" s="6"/>
      <c r="VUO2" s="6"/>
      <c r="VUP2" s="6"/>
      <c r="VUQ2" s="6"/>
      <c r="VUR2" s="6"/>
      <c r="VUS2" s="6"/>
      <c r="VUT2" s="6"/>
      <c r="VUU2" s="6"/>
      <c r="VUV2" s="6"/>
      <c r="VUW2" s="6"/>
      <c r="VUX2" s="6"/>
      <c r="VUY2" s="6"/>
      <c r="VUZ2" s="6"/>
      <c r="VVA2" s="6"/>
      <c r="VVB2" s="6"/>
      <c r="VVC2" s="6"/>
      <c r="VVD2" s="6"/>
      <c r="VVE2" s="6"/>
      <c r="VVF2" s="6"/>
      <c r="VVG2" s="6"/>
      <c r="VVH2" s="6"/>
      <c r="VVI2" s="6"/>
      <c r="VVJ2" s="6"/>
      <c r="VVK2" s="6"/>
      <c r="VVL2" s="6"/>
      <c r="VVM2" s="6"/>
      <c r="VVN2" s="6"/>
      <c r="VVO2" s="6"/>
      <c r="VVP2" s="6"/>
      <c r="VVQ2" s="6"/>
      <c r="VVR2" s="6"/>
      <c r="VVS2" s="6"/>
      <c r="VVT2" s="6"/>
      <c r="VVU2" s="6"/>
      <c r="VVV2" s="6"/>
      <c r="VVW2" s="6"/>
      <c r="VVX2" s="6"/>
      <c r="VVY2" s="6"/>
      <c r="VVZ2" s="6"/>
      <c r="VWA2" s="6"/>
      <c r="VWB2" s="6"/>
      <c r="VWC2" s="6"/>
      <c r="VWD2" s="6"/>
      <c r="VWE2" s="6"/>
      <c r="VWF2" s="6"/>
      <c r="VWG2" s="6"/>
      <c r="VWH2" s="6"/>
      <c r="VWI2" s="6"/>
      <c r="VWJ2" s="6"/>
      <c r="VWK2" s="6"/>
      <c r="VWL2" s="6"/>
      <c r="VWM2" s="6"/>
      <c r="VWN2" s="6"/>
      <c r="VWO2" s="6"/>
      <c r="VWP2" s="6"/>
      <c r="VWQ2" s="6"/>
      <c r="VWR2" s="6"/>
      <c r="VWS2" s="6"/>
      <c r="VWT2" s="6"/>
      <c r="VWU2" s="6"/>
      <c r="VWV2" s="6"/>
      <c r="VWW2" s="6"/>
      <c r="VWX2" s="6"/>
      <c r="VWY2" s="6"/>
      <c r="VWZ2" s="6"/>
      <c r="VXA2" s="6"/>
      <c r="VXB2" s="6"/>
      <c r="VXC2" s="6"/>
      <c r="VXD2" s="6"/>
      <c r="VXE2" s="6"/>
      <c r="VXF2" s="6"/>
      <c r="VXG2" s="6"/>
      <c r="VXH2" s="6"/>
      <c r="VXI2" s="6"/>
      <c r="VXJ2" s="6"/>
      <c r="VXK2" s="6"/>
      <c r="VXL2" s="6"/>
      <c r="VXM2" s="6"/>
      <c r="VXN2" s="6"/>
      <c r="VXO2" s="6"/>
      <c r="VXP2" s="6"/>
      <c r="VXQ2" s="6"/>
      <c r="VXR2" s="6"/>
      <c r="VXS2" s="6"/>
      <c r="VXT2" s="6"/>
      <c r="VXU2" s="6"/>
      <c r="VXV2" s="6"/>
      <c r="VXW2" s="6"/>
      <c r="VXX2" s="6"/>
      <c r="VXY2" s="6"/>
      <c r="VXZ2" s="6"/>
      <c r="VYA2" s="6"/>
      <c r="VYB2" s="6"/>
      <c r="VYC2" s="6"/>
      <c r="VYD2" s="6"/>
      <c r="VYE2" s="6"/>
      <c r="VYF2" s="6"/>
      <c r="VYG2" s="6"/>
      <c r="VYH2" s="6"/>
      <c r="VYI2" s="6"/>
      <c r="VYJ2" s="6"/>
      <c r="VYK2" s="6"/>
      <c r="VYL2" s="6"/>
      <c r="VYM2" s="6"/>
      <c r="VYN2" s="6"/>
      <c r="VYO2" s="6"/>
      <c r="VYP2" s="6"/>
      <c r="VYQ2" s="6"/>
      <c r="VYR2" s="6"/>
      <c r="VYS2" s="6"/>
      <c r="VYT2" s="6"/>
      <c r="VYU2" s="6"/>
      <c r="VYV2" s="6"/>
      <c r="VYW2" s="6"/>
      <c r="VYX2" s="6"/>
      <c r="VYY2" s="6"/>
      <c r="VYZ2" s="6"/>
      <c r="VZA2" s="6"/>
      <c r="VZB2" s="6"/>
      <c r="VZC2" s="6"/>
      <c r="VZD2" s="6"/>
      <c r="VZE2" s="6"/>
      <c r="VZF2" s="6"/>
      <c r="VZG2" s="6"/>
      <c r="VZH2" s="6"/>
      <c r="VZI2" s="6"/>
      <c r="VZJ2" s="6"/>
      <c r="VZK2" s="6"/>
      <c r="VZL2" s="6"/>
      <c r="VZM2" s="6"/>
      <c r="VZN2" s="6"/>
      <c r="VZO2" s="6"/>
      <c r="VZP2" s="6"/>
      <c r="VZQ2" s="6"/>
      <c r="VZR2" s="6"/>
      <c r="VZS2" s="6"/>
      <c r="VZT2" s="6"/>
      <c r="VZU2" s="6"/>
      <c r="VZV2" s="6"/>
      <c r="VZW2" s="6"/>
      <c r="VZX2" s="6"/>
      <c r="VZY2" s="6"/>
      <c r="VZZ2" s="6"/>
      <c r="WAA2" s="6"/>
      <c r="WAB2" s="6"/>
      <c r="WAC2" s="6"/>
      <c r="WAD2" s="6"/>
      <c r="WAE2" s="6"/>
      <c r="WAF2" s="6"/>
      <c r="WAG2" s="6"/>
      <c r="WAH2" s="6"/>
      <c r="WAI2" s="6"/>
      <c r="WAJ2" s="6"/>
      <c r="WAK2" s="6"/>
      <c r="WAL2" s="6"/>
      <c r="WAM2" s="6"/>
      <c r="WAN2" s="6"/>
      <c r="WAO2" s="6"/>
      <c r="WAP2" s="6"/>
      <c r="WAQ2" s="6"/>
      <c r="WAR2" s="6"/>
      <c r="WAS2" s="6"/>
      <c r="WAT2" s="6"/>
      <c r="WAU2" s="6"/>
      <c r="WAV2" s="6"/>
      <c r="WAW2" s="6"/>
      <c r="WAX2" s="6"/>
      <c r="WAY2" s="6"/>
      <c r="WAZ2" s="6"/>
      <c r="WBA2" s="6"/>
      <c r="WBB2" s="6"/>
      <c r="WBC2" s="6"/>
      <c r="WBD2" s="6"/>
      <c r="WBE2" s="6"/>
      <c r="WBF2" s="6"/>
      <c r="WBG2" s="6"/>
      <c r="WBH2" s="6"/>
      <c r="WBI2" s="6"/>
      <c r="WBJ2" s="6"/>
      <c r="WBK2" s="6"/>
      <c r="WBL2" s="6"/>
      <c r="WBM2" s="6"/>
      <c r="WBN2" s="6"/>
      <c r="WBO2" s="6"/>
      <c r="WBP2" s="6"/>
      <c r="WBQ2" s="6"/>
      <c r="WBR2" s="6"/>
      <c r="WBS2" s="6"/>
      <c r="WBT2" s="6"/>
      <c r="WBU2" s="6"/>
      <c r="WBV2" s="6"/>
      <c r="WBW2" s="6"/>
      <c r="WBX2" s="6"/>
      <c r="WBY2" s="6"/>
      <c r="WBZ2" s="6"/>
      <c r="WCA2" s="6"/>
      <c r="WCB2" s="6"/>
      <c r="WCC2" s="6"/>
      <c r="WCD2" s="6"/>
      <c r="WCE2" s="6"/>
      <c r="WCF2" s="6"/>
      <c r="WCG2" s="6"/>
      <c r="WCH2" s="6"/>
      <c r="WCI2" s="6"/>
      <c r="WCJ2" s="6"/>
      <c r="WCK2" s="6"/>
      <c r="WCL2" s="6"/>
      <c r="WCM2" s="6"/>
      <c r="WCN2" s="6"/>
      <c r="WCO2" s="6"/>
      <c r="WCP2" s="6"/>
      <c r="WCQ2" s="6"/>
      <c r="WCR2" s="6"/>
      <c r="WCS2" s="6"/>
      <c r="WCT2" s="6"/>
      <c r="WCU2" s="6"/>
      <c r="WCV2" s="6"/>
      <c r="WCW2" s="6"/>
      <c r="WCX2" s="6"/>
      <c r="WCY2" s="6"/>
      <c r="WCZ2" s="6"/>
      <c r="WDA2" s="6"/>
      <c r="WDB2" s="6"/>
      <c r="WDC2" s="6"/>
      <c r="WDD2" s="6"/>
      <c r="WDE2" s="6"/>
      <c r="WDF2" s="6"/>
      <c r="WDG2" s="6"/>
      <c r="WDH2" s="6"/>
      <c r="WDI2" s="6"/>
      <c r="WDJ2" s="6"/>
      <c r="WDK2" s="6"/>
      <c r="WDL2" s="6"/>
      <c r="WDM2" s="6"/>
      <c r="WDN2" s="6"/>
      <c r="WDO2" s="6"/>
      <c r="WDP2" s="6"/>
      <c r="WDQ2" s="6"/>
      <c r="WDR2" s="6"/>
      <c r="WDS2" s="6"/>
      <c r="WDT2" s="6"/>
      <c r="WDU2" s="6"/>
      <c r="WDV2" s="6"/>
      <c r="WDW2" s="6"/>
      <c r="WDX2" s="6"/>
      <c r="WDY2" s="6"/>
      <c r="WDZ2" s="6"/>
      <c r="WEA2" s="6"/>
      <c r="WEB2" s="6"/>
      <c r="WEC2" s="6"/>
      <c r="WED2" s="6"/>
      <c r="WEE2" s="6"/>
      <c r="WEF2" s="6"/>
      <c r="WEG2" s="6"/>
      <c r="WEH2" s="6"/>
      <c r="WEI2" s="6"/>
      <c r="WEJ2" s="6"/>
      <c r="WEK2" s="6"/>
      <c r="WEL2" s="6"/>
      <c r="WEM2" s="6"/>
      <c r="WEN2" s="6"/>
      <c r="WEO2" s="6"/>
      <c r="WEP2" s="6"/>
      <c r="WEQ2" s="6"/>
      <c r="WER2" s="6"/>
      <c r="WES2" s="6"/>
      <c r="WET2" s="6"/>
      <c r="WEU2" s="6"/>
      <c r="WEV2" s="6"/>
      <c r="WEW2" s="6"/>
      <c r="WEX2" s="6"/>
      <c r="WEY2" s="6"/>
      <c r="WEZ2" s="6"/>
      <c r="WFA2" s="6"/>
      <c r="WFB2" s="6"/>
      <c r="WFC2" s="6"/>
      <c r="WFD2" s="6"/>
      <c r="WFE2" s="6"/>
      <c r="WFF2" s="6"/>
      <c r="WFG2" s="6"/>
      <c r="WFH2" s="6"/>
      <c r="WFI2" s="6"/>
      <c r="WFJ2" s="6"/>
      <c r="WFK2" s="6"/>
      <c r="WFL2" s="6"/>
      <c r="WFM2" s="6"/>
      <c r="WFN2" s="6"/>
      <c r="WFO2" s="6"/>
      <c r="WFP2" s="6"/>
      <c r="WFQ2" s="6"/>
      <c r="WFR2" s="6"/>
      <c r="WFS2" s="6"/>
      <c r="WFT2" s="6"/>
      <c r="WFU2" s="6"/>
      <c r="WFV2" s="6"/>
      <c r="WFW2" s="6"/>
      <c r="WFX2" s="6"/>
      <c r="WFY2" s="6"/>
      <c r="WFZ2" s="6"/>
      <c r="WGA2" s="6"/>
      <c r="WGB2" s="6"/>
      <c r="WGC2" s="6"/>
      <c r="WGD2" s="6"/>
      <c r="WGE2" s="6"/>
      <c r="WGF2" s="6"/>
      <c r="WGG2" s="6"/>
      <c r="WGH2" s="6"/>
      <c r="WGI2" s="6"/>
      <c r="WGJ2" s="6"/>
      <c r="WGK2" s="6"/>
      <c r="WGL2" s="6"/>
      <c r="WGM2" s="6"/>
      <c r="WGN2" s="6"/>
      <c r="WGO2" s="6"/>
      <c r="WGP2" s="6"/>
      <c r="WGQ2" s="6"/>
      <c r="WGR2" s="6"/>
      <c r="WGS2" s="6"/>
      <c r="WGT2" s="6"/>
      <c r="WGU2" s="6"/>
      <c r="WGV2" s="6"/>
      <c r="WGW2" s="6"/>
      <c r="WGX2" s="6"/>
      <c r="WGY2" s="6"/>
      <c r="WGZ2" s="6"/>
      <c r="WHA2" s="6"/>
      <c r="WHB2" s="6"/>
      <c r="WHC2" s="6"/>
      <c r="WHD2" s="6"/>
      <c r="WHE2" s="6"/>
      <c r="WHF2" s="6"/>
      <c r="WHG2" s="6"/>
      <c r="WHH2" s="6"/>
      <c r="WHI2" s="6"/>
      <c r="WHJ2" s="6"/>
      <c r="WHK2" s="6"/>
      <c r="WHL2" s="6"/>
      <c r="WHM2" s="6"/>
      <c r="WHN2" s="6"/>
      <c r="WHO2" s="6"/>
      <c r="WHP2" s="6"/>
      <c r="WHQ2" s="6"/>
      <c r="WHR2" s="6"/>
      <c r="WHS2" s="6"/>
      <c r="WHT2" s="6"/>
      <c r="WHU2" s="6"/>
      <c r="WHV2" s="6"/>
      <c r="WHW2" s="6"/>
      <c r="WHX2" s="6"/>
      <c r="WHY2" s="6"/>
      <c r="WHZ2" s="6"/>
      <c r="WIA2" s="6"/>
      <c r="WIB2" s="6"/>
      <c r="WIC2" s="6"/>
      <c r="WID2" s="6"/>
      <c r="WIE2" s="6"/>
      <c r="WIF2" s="6"/>
      <c r="WIG2" s="6"/>
      <c r="WIH2" s="6"/>
      <c r="WII2" s="6"/>
      <c r="WIJ2" s="6"/>
      <c r="WIK2" s="6"/>
      <c r="WIL2" s="6"/>
      <c r="WIM2" s="6"/>
      <c r="WIN2" s="6"/>
      <c r="WIO2" s="6"/>
      <c r="WIP2" s="6"/>
      <c r="WIQ2" s="6"/>
      <c r="WIR2" s="6"/>
      <c r="WIS2" s="6"/>
      <c r="WIT2" s="6"/>
      <c r="WIU2" s="6"/>
      <c r="WIV2" s="6"/>
      <c r="WIW2" s="6"/>
      <c r="WIX2" s="6"/>
      <c r="WIY2" s="6"/>
      <c r="WIZ2" s="6"/>
      <c r="WJA2" s="6"/>
      <c r="WJB2" s="6"/>
      <c r="WJC2" s="6"/>
      <c r="WJD2" s="6"/>
      <c r="WJE2" s="6"/>
      <c r="WJF2" s="6"/>
      <c r="WJG2" s="6"/>
      <c r="WJH2" s="6"/>
      <c r="WJI2" s="6"/>
      <c r="WJJ2" s="6"/>
      <c r="WJK2" s="6"/>
      <c r="WJL2" s="6"/>
      <c r="WJM2" s="6"/>
      <c r="WJN2" s="6"/>
      <c r="WJO2" s="6"/>
      <c r="WJP2" s="6"/>
      <c r="WJQ2" s="6"/>
      <c r="WJR2" s="6"/>
      <c r="WJS2" s="6"/>
      <c r="WJT2" s="6"/>
      <c r="WJU2" s="6"/>
      <c r="WJV2" s="6"/>
      <c r="WJW2" s="6"/>
      <c r="WJX2" s="6"/>
      <c r="WJY2" s="6"/>
      <c r="WJZ2" s="6"/>
      <c r="WKA2" s="6"/>
      <c r="WKB2" s="6"/>
      <c r="WKC2" s="6"/>
      <c r="WKD2" s="6"/>
      <c r="WKE2" s="6"/>
      <c r="WKF2" s="6"/>
      <c r="WKG2" s="6"/>
      <c r="WKH2" s="6"/>
      <c r="WKI2" s="6"/>
      <c r="WKJ2" s="6"/>
      <c r="WKK2" s="6"/>
      <c r="WKL2" s="6"/>
      <c r="WKM2" s="6"/>
      <c r="WKN2" s="6"/>
      <c r="WKO2" s="6"/>
      <c r="WKP2" s="6"/>
      <c r="WKQ2" s="6"/>
      <c r="WKR2" s="6"/>
      <c r="WKS2" s="6"/>
      <c r="WKT2" s="6"/>
      <c r="WKU2" s="6"/>
      <c r="WKV2" s="6"/>
      <c r="WKW2" s="6"/>
      <c r="WKX2" s="6"/>
      <c r="WKY2" s="6"/>
      <c r="WKZ2" s="6"/>
      <c r="WLA2" s="6"/>
      <c r="WLB2" s="6"/>
      <c r="WLC2" s="6"/>
      <c r="WLD2" s="6"/>
      <c r="WLE2" s="6"/>
      <c r="WLF2" s="6"/>
      <c r="WLG2" s="6"/>
      <c r="WLH2" s="6"/>
      <c r="WLI2" s="6"/>
      <c r="WLJ2" s="6"/>
      <c r="WLK2" s="6"/>
      <c r="WLL2" s="6"/>
      <c r="WLM2" s="6"/>
      <c r="WLN2" s="6"/>
      <c r="WLO2" s="6"/>
      <c r="WLP2" s="6"/>
      <c r="WLQ2" s="6"/>
      <c r="WLR2" s="6"/>
      <c r="WLS2" s="6"/>
      <c r="WLT2" s="6"/>
      <c r="WLU2" s="6"/>
      <c r="WLV2" s="6"/>
      <c r="WLW2" s="6"/>
      <c r="WLX2" s="6"/>
      <c r="WLY2" s="6"/>
      <c r="WLZ2" s="6"/>
      <c r="WMA2" s="6"/>
      <c r="WMB2" s="6"/>
      <c r="WMC2" s="6"/>
      <c r="WMD2" s="6"/>
      <c r="WME2" s="6"/>
      <c r="WMF2" s="6"/>
      <c r="WMG2" s="6"/>
      <c r="WMH2" s="6"/>
      <c r="WMI2" s="6"/>
      <c r="WMJ2" s="6"/>
      <c r="WMK2" s="6"/>
      <c r="WML2" s="6"/>
      <c r="WMM2" s="6"/>
      <c r="WMN2" s="6"/>
      <c r="WMO2" s="6"/>
      <c r="WMP2" s="6"/>
      <c r="WMQ2" s="6"/>
      <c r="WMR2" s="6"/>
      <c r="WMS2" s="6"/>
      <c r="WMT2" s="6"/>
      <c r="WMU2" s="6"/>
      <c r="WMV2" s="6"/>
      <c r="WMW2" s="6"/>
      <c r="WMX2" s="6"/>
      <c r="WMY2" s="6"/>
      <c r="WMZ2" s="6"/>
      <c r="WNA2" s="6"/>
      <c r="WNB2" s="6"/>
      <c r="WNC2" s="6"/>
      <c r="WND2" s="6"/>
      <c r="WNE2" s="6"/>
      <c r="WNF2" s="6"/>
      <c r="WNG2" s="6"/>
      <c r="WNH2" s="6"/>
      <c r="WNI2" s="6"/>
      <c r="WNJ2" s="6"/>
      <c r="WNK2" s="6"/>
      <c r="WNL2" s="6"/>
      <c r="WNM2" s="6"/>
      <c r="WNN2" s="6"/>
      <c r="WNO2" s="6"/>
      <c r="WNP2" s="6"/>
      <c r="WNQ2" s="6"/>
      <c r="WNR2" s="6"/>
      <c r="WNS2" s="6"/>
      <c r="WNT2" s="6"/>
      <c r="WNU2" s="6"/>
      <c r="WNV2" s="6"/>
      <c r="WNW2" s="6"/>
      <c r="WNX2" s="6"/>
      <c r="WNY2" s="6"/>
      <c r="WNZ2" s="6"/>
      <c r="WOA2" s="6"/>
      <c r="WOB2" s="6"/>
      <c r="WOC2" s="6"/>
      <c r="WOD2" s="6"/>
      <c r="WOE2" s="6"/>
      <c r="WOF2" s="6"/>
      <c r="WOG2" s="6"/>
      <c r="WOH2" s="6"/>
      <c r="WOI2" s="6"/>
      <c r="WOJ2" s="6"/>
      <c r="WOK2" s="6"/>
      <c r="WOL2" s="6"/>
      <c r="WOM2" s="6"/>
      <c r="WON2" s="6"/>
      <c r="WOO2" s="6"/>
      <c r="WOP2" s="6"/>
      <c r="WOQ2" s="6"/>
      <c r="WOR2" s="6"/>
      <c r="WOS2" s="6"/>
      <c r="WOT2" s="6"/>
      <c r="WOU2" s="6"/>
      <c r="WOV2" s="6"/>
      <c r="WOW2" s="6"/>
      <c r="WOX2" s="6"/>
      <c r="WOY2" s="6"/>
      <c r="WOZ2" s="6"/>
      <c r="WPA2" s="6"/>
      <c r="WPB2" s="6"/>
      <c r="WPC2" s="6"/>
      <c r="WPD2" s="6"/>
      <c r="WPE2" s="6"/>
      <c r="WPF2" s="6"/>
      <c r="WPG2" s="6"/>
      <c r="WPH2" s="6"/>
      <c r="WPI2" s="6"/>
      <c r="WPJ2" s="6"/>
      <c r="WPK2" s="6"/>
      <c r="WPL2" s="6"/>
      <c r="WPM2" s="6"/>
      <c r="WPN2" s="6"/>
      <c r="WPO2" s="6"/>
      <c r="WPP2" s="6"/>
      <c r="WPQ2" s="6"/>
      <c r="WPR2" s="6"/>
      <c r="WPS2" s="6"/>
      <c r="WPT2" s="6"/>
      <c r="WPU2" s="6"/>
      <c r="WPV2" s="6"/>
      <c r="WPW2" s="6"/>
      <c r="WPX2" s="6"/>
      <c r="WPY2" s="6"/>
      <c r="WPZ2" s="6"/>
      <c r="WQA2" s="6"/>
      <c r="WQB2" s="6"/>
      <c r="WQC2" s="6"/>
      <c r="WQD2" s="6"/>
      <c r="WQE2" s="6"/>
      <c r="WQF2" s="6"/>
      <c r="WQG2" s="6"/>
      <c r="WQH2" s="6"/>
      <c r="WQI2" s="6"/>
      <c r="WQJ2" s="6"/>
      <c r="WQK2" s="6"/>
      <c r="WQL2" s="6"/>
      <c r="WQM2" s="6"/>
      <c r="WQN2" s="6"/>
      <c r="WQO2" s="6"/>
      <c r="WQP2" s="6"/>
      <c r="WQQ2" s="6"/>
      <c r="WQR2" s="6"/>
      <c r="WQS2" s="6"/>
      <c r="WQT2" s="6"/>
      <c r="WQU2" s="6"/>
      <c r="WQV2" s="6"/>
      <c r="WQW2" s="6"/>
      <c r="WQX2" s="6"/>
      <c r="WQY2" s="6"/>
      <c r="WQZ2" s="6"/>
      <c r="WRA2" s="6"/>
      <c r="WRB2" s="6"/>
      <c r="WRC2" s="6"/>
      <c r="WRD2" s="6"/>
      <c r="WRE2" s="6"/>
      <c r="WRF2" s="6"/>
      <c r="WRG2" s="6"/>
      <c r="WRH2" s="6"/>
      <c r="WRI2" s="6"/>
      <c r="WRJ2" s="6"/>
      <c r="WRK2" s="6"/>
      <c r="WRL2" s="6"/>
      <c r="WRM2" s="6"/>
      <c r="WRN2" s="6"/>
      <c r="WRO2" s="6"/>
      <c r="WRP2" s="6"/>
      <c r="WRQ2" s="6"/>
      <c r="WRR2" s="6"/>
      <c r="WRS2" s="6"/>
      <c r="WRT2" s="6"/>
      <c r="WRU2" s="6"/>
      <c r="WRV2" s="6"/>
      <c r="WRW2" s="6"/>
      <c r="WRX2" s="6"/>
      <c r="WRY2" s="6"/>
      <c r="WRZ2" s="6"/>
      <c r="WSA2" s="6"/>
      <c r="WSB2" s="6"/>
      <c r="WSC2" s="6"/>
      <c r="WSD2" s="6"/>
      <c r="WSE2" s="6"/>
      <c r="WSF2" s="6"/>
      <c r="WSG2" s="6"/>
      <c r="WSH2" s="6"/>
      <c r="WSI2" s="6"/>
      <c r="WSJ2" s="6"/>
      <c r="WSK2" s="6"/>
      <c r="WSL2" s="6"/>
      <c r="WSM2" s="6"/>
      <c r="WSN2" s="6"/>
      <c r="WSO2" s="6"/>
      <c r="WSP2" s="6"/>
      <c r="WSQ2" s="6"/>
      <c r="WSR2" s="6"/>
      <c r="WSS2" s="6"/>
      <c r="WST2" s="6"/>
      <c r="WSU2" s="6"/>
      <c r="WSV2" s="6"/>
      <c r="WSW2" s="6"/>
      <c r="WSX2" s="6"/>
      <c r="WSY2" s="6"/>
      <c r="WSZ2" s="6"/>
      <c r="WTA2" s="6"/>
      <c r="WTB2" s="6"/>
      <c r="WTC2" s="6"/>
      <c r="WTD2" s="6"/>
      <c r="WTE2" s="6"/>
      <c r="WTF2" s="6"/>
      <c r="WTG2" s="6"/>
      <c r="WTH2" s="6"/>
      <c r="WTI2" s="6"/>
      <c r="WTJ2" s="6"/>
      <c r="WTK2" s="6"/>
      <c r="WTL2" s="6"/>
      <c r="WTM2" s="6"/>
      <c r="WTN2" s="6"/>
      <c r="WTO2" s="6"/>
      <c r="WTP2" s="6"/>
      <c r="WTQ2" s="6"/>
      <c r="WTR2" s="6"/>
      <c r="WTS2" s="6"/>
      <c r="WTT2" s="6"/>
      <c r="WTU2" s="6"/>
      <c r="WTV2" s="6"/>
      <c r="WTW2" s="6"/>
      <c r="WTX2" s="6"/>
      <c r="WTY2" s="6"/>
      <c r="WTZ2" s="6"/>
      <c r="WUA2" s="6"/>
      <c r="WUB2" s="6"/>
      <c r="WUC2" s="6"/>
      <c r="WUD2" s="6"/>
      <c r="WUE2" s="6"/>
      <c r="WUF2" s="6"/>
      <c r="WUG2" s="6"/>
      <c r="WUH2" s="6"/>
      <c r="WUI2" s="6"/>
      <c r="WUJ2" s="6"/>
      <c r="WUK2" s="6"/>
      <c r="WUL2" s="6"/>
      <c r="WUM2" s="6"/>
      <c r="WUN2" s="6"/>
      <c r="WUO2" s="6"/>
      <c r="WUP2" s="6"/>
      <c r="WUQ2" s="6"/>
      <c r="WUR2" s="6"/>
      <c r="WUS2" s="6"/>
      <c r="WUT2" s="6"/>
      <c r="WUU2" s="6"/>
      <c r="WUV2" s="6"/>
      <c r="WUW2" s="6"/>
      <c r="WUX2" s="6"/>
      <c r="WUY2" s="6"/>
      <c r="WUZ2" s="6"/>
      <c r="WVA2" s="6"/>
      <c r="WVB2" s="6"/>
      <c r="WVC2" s="6"/>
      <c r="WVD2" s="6"/>
      <c r="WVE2" s="6"/>
      <c r="WVF2" s="6"/>
      <c r="WVG2" s="6"/>
      <c r="WVH2" s="6"/>
      <c r="WVI2" s="6"/>
      <c r="WVJ2" s="6"/>
      <c r="WVK2" s="6"/>
      <c r="WVL2" s="6"/>
      <c r="WVM2" s="6"/>
      <c r="WVN2" s="6"/>
      <c r="WVO2" s="6"/>
      <c r="WVP2" s="6"/>
      <c r="WVQ2" s="6"/>
      <c r="WVR2" s="6"/>
      <c r="WVS2" s="6"/>
      <c r="WVT2" s="6"/>
      <c r="WVU2" s="6"/>
      <c r="WVV2" s="6"/>
      <c r="WVW2" s="6"/>
      <c r="WVX2" s="6"/>
      <c r="WVY2" s="6"/>
      <c r="WVZ2" s="6"/>
      <c r="WWA2" s="6"/>
      <c r="WWB2" s="6"/>
      <c r="WWC2" s="6"/>
      <c r="WWD2" s="6"/>
      <c r="WWE2" s="6"/>
      <c r="WWF2" s="6"/>
      <c r="WWG2" s="6"/>
      <c r="WWH2" s="6"/>
      <c r="WWI2" s="6"/>
      <c r="WWJ2" s="6"/>
      <c r="WWK2" s="6"/>
      <c r="WWL2" s="6"/>
      <c r="WWM2" s="6"/>
      <c r="WWN2" s="6"/>
      <c r="WWO2" s="6"/>
      <c r="WWP2" s="6"/>
      <c r="WWQ2" s="6"/>
      <c r="WWR2" s="6"/>
      <c r="WWS2" s="6"/>
      <c r="WWT2" s="6"/>
      <c r="WWU2" s="6"/>
      <c r="WWV2" s="6"/>
      <c r="WWW2" s="6"/>
      <c r="WWX2" s="6"/>
      <c r="WWY2" s="6"/>
      <c r="WWZ2" s="6"/>
      <c r="WXA2" s="6"/>
      <c r="WXB2" s="6"/>
      <c r="WXC2" s="6"/>
      <c r="WXD2" s="6"/>
      <c r="WXE2" s="6"/>
      <c r="WXF2" s="6"/>
      <c r="WXG2" s="6"/>
      <c r="WXH2" s="6"/>
      <c r="WXI2" s="6"/>
      <c r="WXJ2" s="6"/>
      <c r="WXK2" s="6"/>
      <c r="WXL2" s="6"/>
      <c r="WXM2" s="6"/>
      <c r="WXN2" s="6"/>
      <c r="WXO2" s="6"/>
      <c r="WXP2" s="6"/>
      <c r="WXQ2" s="6"/>
      <c r="WXR2" s="6"/>
      <c r="WXS2" s="6"/>
      <c r="WXT2" s="6"/>
      <c r="WXU2" s="6"/>
      <c r="WXV2" s="6"/>
      <c r="WXW2" s="6"/>
      <c r="WXX2" s="6"/>
      <c r="WXY2" s="6"/>
      <c r="WXZ2" s="6"/>
      <c r="WYA2" s="6"/>
      <c r="WYB2" s="6"/>
      <c r="WYC2" s="6"/>
      <c r="WYD2" s="6"/>
      <c r="WYE2" s="6"/>
      <c r="WYF2" s="6"/>
      <c r="WYG2" s="6"/>
      <c r="WYH2" s="6"/>
      <c r="WYI2" s="6"/>
      <c r="WYJ2" s="6"/>
      <c r="WYK2" s="6"/>
      <c r="WYL2" s="6"/>
      <c r="WYM2" s="6"/>
      <c r="WYN2" s="6"/>
      <c r="WYO2" s="6"/>
      <c r="WYP2" s="6"/>
      <c r="WYQ2" s="6"/>
      <c r="WYR2" s="6"/>
      <c r="WYS2" s="6"/>
      <c r="WYT2" s="6"/>
      <c r="WYU2" s="6"/>
      <c r="WYV2" s="6"/>
      <c r="WYW2" s="6"/>
      <c r="WYX2" s="6"/>
      <c r="WYY2" s="6"/>
      <c r="WYZ2" s="6"/>
      <c r="WZA2" s="6"/>
      <c r="WZB2" s="6"/>
      <c r="WZC2" s="6"/>
      <c r="WZD2" s="6"/>
      <c r="WZE2" s="6"/>
      <c r="WZF2" s="6"/>
      <c r="WZG2" s="6"/>
      <c r="WZH2" s="6"/>
      <c r="WZI2" s="6"/>
      <c r="WZJ2" s="6"/>
      <c r="WZK2" s="6"/>
      <c r="WZL2" s="6"/>
      <c r="WZM2" s="6"/>
      <c r="WZN2" s="6"/>
      <c r="WZO2" s="6"/>
      <c r="WZP2" s="6"/>
      <c r="WZQ2" s="6"/>
      <c r="WZR2" s="6"/>
      <c r="WZS2" s="6"/>
      <c r="WZT2" s="6"/>
      <c r="WZU2" s="6"/>
      <c r="WZV2" s="6"/>
      <c r="WZW2" s="6"/>
      <c r="WZX2" s="6"/>
      <c r="WZY2" s="6"/>
      <c r="WZZ2" s="6"/>
      <c r="XAA2" s="6"/>
      <c r="XAB2" s="6"/>
      <c r="XAC2" s="6"/>
      <c r="XAD2" s="6"/>
      <c r="XAE2" s="6"/>
      <c r="XAF2" s="6"/>
      <c r="XAG2" s="6"/>
      <c r="XAH2" s="6"/>
      <c r="XAI2" s="6"/>
      <c r="XAJ2" s="6"/>
      <c r="XAK2" s="6"/>
      <c r="XAL2" s="6"/>
      <c r="XAM2" s="6"/>
      <c r="XAN2" s="6"/>
      <c r="XAO2" s="6"/>
      <c r="XAP2" s="6"/>
      <c r="XAQ2" s="6"/>
      <c r="XAR2" s="6"/>
      <c r="XAS2" s="6"/>
      <c r="XAT2" s="6"/>
      <c r="XAU2" s="6"/>
      <c r="XAV2" s="6"/>
      <c r="XAW2" s="6"/>
      <c r="XAX2" s="6"/>
      <c r="XAY2" s="6"/>
      <c r="XAZ2" s="6"/>
      <c r="XBA2" s="6"/>
      <c r="XBB2" s="6"/>
      <c r="XBC2" s="6"/>
      <c r="XBD2" s="6"/>
      <c r="XBE2" s="6"/>
      <c r="XBF2" s="6"/>
      <c r="XBG2" s="6"/>
      <c r="XBH2" s="6"/>
      <c r="XBI2" s="6"/>
      <c r="XBJ2" s="6"/>
      <c r="XBK2" s="6"/>
      <c r="XBL2" s="6"/>
      <c r="XBM2" s="6"/>
      <c r="XBN2" s="6"/>
      <c r="XBO2" s="6"/>
      <c r="XBP2" s="6"/>
      <c r="XBQ2" s="6"/>
      <c r="XBR2" s="6"/>
      <c r="XBS2" s="6"/>
      <c r="XBT2" s="6"/>
      <c r="XBU2" s="6"/>
      <c r="XBV2" s="6"/>
      <c r="XBW2" s="6"/>
      <c r="XBX2" s="6"/>
      <c r="XBY2" s="6"/>
      <c r="XBZ2" s="6"/>
      <c r="XCA2" s="6"/>
      <c r="XCB2" s="6"/>
      <c r="XCC2" s="6"/>
      <c r="XCD2" s="6"/>
      <c r="XCE2" s="6"/>
      <c r="XCF2" s="6"/>
      <c r="XCG2" s="6"/>
      <c r="XCH2" s="6"/>
      <c r="XCI2" s="6"/>
      <c r="XCJ2" s="6"/>
      <c r="XCK2" s="6"/>
      <c r="XCL2" s="6"/>
      <c r="XCM2" s="6"/>
      <c r="XCN2" s="6"/>
      <c r="XCO2" s="6"/>
      <c r="XCP2" s="6"/>
      <c r="XCQ2" s="6"/>
      <c r="XCR2" s="6"/>
      <c r="XCS2" s="6"/>
      <c r="XCT2" s="6"/>
      <c r="XCU2" s="6"/>
      <c r="XCV2" s="6"/>
      <c r="XCW2" s="6"/>
      <c r="XCX2" s="6"/>
      <c r="XCY2" s="6"/>
      <c r="XCZ2" s="6"/>
      <c r="XDA2" s="6"/>
      <c r="XDB2" s="6"/>
      <c r="XDC2" s="6"/>
      <c r="XDD2" s="6"/>
      <c r="XDE2" s="6"/>
      <c r="XDF2" s="6"/>
      <c r="XDG2" s="6"/>
      <c r="XDH2" s="6"/>
      <c r="XDI2" s="6"/>
      <c r="XDJ2" s="6"/>
      <c r="XDK2" s="6"/>
      <c r="XDL2" s="6"/>
      <c r="XDM2" s="6"/>
      <c r="XDN2" s="6"/>
      <c r="XDO2" s="6"/>
      <c r="XDP2" s="6"/>
      <c r="XDQ2" s="6"/>
      <c r="XDR2" s="6"/>
      <c r="XDS2" s="6"/>
      <c r="XDT2" s="6"/>
      <c r="XDU2" s="6"/>
      <c r="XDV2" s="6"/>
      <c r="XDW2" s="6"/>
      <c r="XDX2" s="6"/>
      <c r="XDY2" s="6"/>
      <c r="XDZ2" s="6"/>
      <c r="XEA2" s="6"/>
      <c r="XEB2" s="6"/>
      <c r="XEC2" s="6"/>
      <c r="XED2" s="6"/>
      <c r="XEE2" s="6"/>
      <c r="XEF2" s="6"/>
      <c r="XEG2" s="6"/>
      <c r="XEH2" s="6"/>
      <c r="XEI2" s="6"/>
      <c r="XEJ2" s="6"/>
      <c r="XEK2" s="6"/>
      <c r="XEL2" s="6"/>
      <c r="XEM2" s="6"/>
      <c r="XEN2" s="6"/>
      <c r="XEO2" s="6"/>
      <c r="XEP2" s="6"/>
      <c r="XEQ2" s="6"/>
      <c r="XER2" s="6"/>
      <c r="XES2" s="6"/>
      <c r="XET2" s="6"/>
      <c r="XEU2" s="6"/>
      <c r="XEV2" s="6"/>
      <c r="XEW2" s="6"/>
      <c r="XEX2" s="6"/>
    </row>
    <row r="3" spans="1:16378" ht="63.75" hidden="1" x14ac:dyDescent="0.25">
      <c r="A3" s="472">
        <v>2026</v>
      </c>
      <c r="B3" s="472">
        <v>479</v>
      </c>
      <c r="C3" s="472" t="s">
        <v>64</v>
      </c>
      <c r="D3" s="472" t="s">
        <v>65</v>
      </c>
      <c r="E3" s="472">
        <v>125</v>
      </c>
      <c r="F3" s="472">
        <v>3000654</v>
      </c>
      <c r="G3" s="472">
        <v>5005023</v>
      </c>
      <c r="H3" s="472">
        <v>3</v>
      </c>
      <c r="I3" s="472">
        <v>12</v>
      </c>
      <c r="J3" s="472">
        <v>24</v>
      </c>
      <c r="K3" s="472">
        <v>135560</v>
      </c>
      <c r="L3" s="473" t="s">
        <v>66</v>
      </c>
      <c r="M3" s="124" t="s">
        <v>67</v>
      </c>
      <c r="N3" s="472">
        <v>95</v>
      </c>
      <c r="O3" s="474"/>
      <c r="P3" s="474" t="s">
        <v>4</v>
      </c>
      <c r="Q3" s="472" t="s">
        <v>68</v>
      </c>
      <c r="R3" s="475" t="s">
        <v>69</v>
      </c>
      <c r="S3" s="475" t="s">
        <v>137</v>
      </c>
      <c r="T3" s="475"/>
      <c r="U3" s="124" t="s">
        <v>138</v>
      </c>
      <c r="V3" s="475" t="s">
        <v>3</v>
      </c>
      <c r="W3" s="121">
        <v>1</v>
      </c>
      <c r="X3" s="476">
        <v>6000</v>
      </c>
      <c r="Y3" s="474"/>
      <c r="Z3" s="474"/>
      <c r="AA3" s="474"/>
      <c r="AB3" s="474"/>
      <c r="AC3" s="475">
        <v>30</v>
      </c>
      <c r="AD3" s="475">
        <v>30</v>
      </c>
      <c r="AE3" s="474"/>
      <c r="AF3" s="474"/>
      <c r="AG3" s="474"/>
      <c r="AH3" s="474"/>
      <c r="AI3" s="474"/>
      <c r="AJ3" s="474"/>
      <c r="AK3" s="477">
        <v>12000</v>
      </c>
      <c r="AL3" s="472" t="s">
        <v>73</v>
      </c>
      <c r="AM3" s="472" t="s">
        <v>73</v>
      </c>
      <c r="AN3" s="472" t="s">
        <v>73</v>
      </c>
      <c r="AO3" s="472" t="s">
        <v>73</v>
      </c>
      <c r="AP3" s="478">
        <v>6000</v>
      </c>
      <c r="AQ3" s="478">
        <v>6000</v>
      </c>
      <c r="AR3" s="472" t="s">
        <v>73</v>
      </c>
      <c r="AS3" s="472" t="s">
        <v>73</v>
      </c>
      <c r="AT3" s="472" t="s">
        <v>73</v>
      </c>
      <c r="AU3" s="472" t="s">
        <v>73</v>
      </c>
      <c r="AV3" s="472" t="s">
        <v>73</v>
      </c>
      <c r="AW3" s="472" t="s">
        <v>73</v>
      </c>
      <c r="AX3" s="30">
        <v>12000</v>
      </c>
      <c r="AY3" s="479" t="s">
        <v>7</v>
      </c>
      <c r="AZ3" s="474" t="s">
        <v>74</v>
      </c>
      <c r="BA3" s="474"/>
      <c r="BB3" s="480"/>
      <c r="BC3" s="480"/>
      <c r="BK3" s="481" t="s">
        <v>790</v>
      </c>
      <c r="BL3" s="481" t="s">
        <v>791</v>
      </c>
      <c r="BM3" s="284" t="s">
        <v>792</v>
      </c>
      <c r="BN3" s="414" t="s">
        <v>793</v>
      </c>
      <c r="BO3" s="284" t="s">
        <v>794</v>
      </c>
      <c r="BP3" s="285">
        <v>46134</v>
      </c>
      <c r="BQ3" s="482"/>
      <c r="BR3" s="962" t="s">
        <v>795</v>
      </c>
      <c r="BS3" s="482"/>
      <c r="BT3" s="286" t="s">
        <v>796</v>
      </c>
      <c r="BU3" s="482" t="s">
        <v>797</v>
      </c>
      <c r="BV3" s="414" t="s">
        <v>798</v>
      </c>
      <c r="BW3" s="284" t="s">
        <v>799</v>
      </c>
      <c r="BX3" s="284" t="s">
        <v>800</v>
      </c>
      <c r="BY3" s="284" t="s">
        <v>801</v>
      </c>
      <c r="BZ3" s="284"/>
      <c r="CA3" s="288">
        <v>6000</v>
      </c>
      <c r="CB3" s="483">
        <v>46143</v>
      </c>
      <c r="CC3" s="483">
        <v>46203</v>
      </c>
      <c r="CD3" s="758"/>
      <c r="CE3" s="485">
        <f>AC3</f>
        <v>30</v>
      </c>
      <c r="CF3" s="484">
        <f>AP3</f>
        <v>6000</v>
      </c>
      <c r="CG3" s="485">
        <v>30</v>
      </c>
      <c r="CH3" s="485">
        <f>(X3/30)*CG3</f>
        <v>6000</v>
      </c>
      <c r="CI3" s="485">
        <v>30</v>
      </c>
      <c r="CJ3" s="485">
        <f>(X3/30)*CI3</f>
        <v>6000</v>
      </c>
      <c r="CK3" s="484">
        <f>CF3-CH3</f>
        <v>0</v>
      </c>
      <c r="CL3" s="484">
        <f>CF3-CJ3</f>
        <v>0</v>
      </c>
      <c r="CM3" s="1022"/>
      <c r="CN3" s="485">
        <f>AD3</f>
        <v>30</v>
      </c>
      <c r="CO3" s="484">
        <f>AQ3</f>
        <v>6000</v>
      </c>
      <c r="CP3" s="485">
        <v>30</v>
      </c>
      <c r="CQ3" s="485">
        <f>(X3/30)*CP3</f>
        <v>6000</v>
      </c>
      <c r="CR3" s="485">
        <v>30</v>
      </c>
      <c r="CS3" s="485">
        <f>(X3/30)*CR3</f>
        <v>6000</v>
      </c>
      <c r="CT3" s="484">
        <f>CO3-CQ3</f>
        <v>0</v>
      </c>
      <c r="CU3" s="484">
        <f>CO3-CS3</f>
        <v>0</v>
      </c>
      <c r="CV3" s="1022"/>
      <c r="CW3" s="1007">
        <f>AX3</f>
        <v>12000</v>
      </c>
      <c r="CX3" s="486">
        <f>CH3+CQ3</f>
        <v>12000</v>
      </c>
      <c r="CY3" s="486">
        <f>CJ3+CS3</f>
        <v>12000</v>
      </c>
      <c r="CZ3" s="1007">
        <f>CW3-CX3</f>
        <v>0</v>
      </c>
      <c r="DA3" s="1007">
        <f>CW3-CY3</f>
        <v>0</v>
      </c>
    </row>
    <row r="4" spans="1:16378" ht="51" hidden="1" x14ac:dyDescent="0.25">
      <c r="A4" s="472">
        <v>2026</v>
      </c>
      <c r="B4" s="472">
        <v>479</v>
      </c>
      <c r="C4" s="472" t="s">
        <v>64</v>
      </c>
      <c r="D4" s="472" t="s">
        <v>65</v>
      </c>
      <c r="E4" s="472">
        <v>125</v>
      </c>
      <c r="F4" s="472">
        <v>3000654</v>
      </c>
      <c r="G4" s="472">
        <v>5005023</v>
      </c>
      <c r="H4" s="472">
        <v>3</v>
      </c>
      <c r="I4" s="472">
        <v>12</v>
      </c>
      <c r="J4" s="472">
        <v>24</v>
      </c>
      <c r="K4" s="472">
        <v>135560</v>
      </c>
      <c r="L4" s="472" t="s">
        <v>66</v>
      </c>
      <c r="M4" s="124" t="s">
        <v>67</v>
      </c>
      <c r="N4" s="472">
        <v>95</v>
      </c>
      <c r="O4" s="474"/>
      <c r="P4" s="474" t="s">
        <v>4</v>
      </c>
      <c r="Q4" s="472" t="s">
        <v>68</v>
      </c>
      <c r="R4" s="475" t="s">
        <v>69</v>
      </c>
      <c r="S4" s="475" t="s">
        <v>137</v>
      </c>
      <c r="T4" s="475"/>
      <c r="U4" s="124" t="s">
        <v>138</v>
      </c>
      <c r="V4" s="475" t="s">
        <v>3</v>
      </c>
      <c r="W4" s="121">
        <v>1</v>
      </c>
      <c r="X4" s="476">
        <v>6000</v>
      </c>
      <c r="Y4" s="474"/>
      <c r="Z4" s="474"/>
      <c r="AA4" s="474"/>
      <c r="AB4" s="474"/>
      <c r="AC4" s="475">
        <v>30</v>
      </c>
      <c r="AD4" s="475">
        <v>30</v>
      </c>
      <c r="AE4" s="474"/>
      <c r="AF4" s="474"/>
      <c r="AG4" s="474"/>
      <c r="AH4" s="474"/>
      <c r="AI4" s="474"/>
      <c r="AJ4" s="474"/>
      <c r="AK4" s="477">
        <v>12000</v>
      </c>
      <c r="AL4" s="472" t="s">
        <v>73</v>
      </c>
      <c r="AM4" s="472" t="s">
        <v>73</v>
      </c>
      <c r="AN4" s="472" t="s">
        <v>73</v>
      </c>
      <c r="AO4" s="472" t="s">
        <v>73</v>
      </c>
      <c r="AP4" s="478">
        <v>6000</v>
      </c>
      <c r="AQ4" s="478">
        <v>6000</v>
      </c>
      <c r="AR4" s="472"/>
      <c r="AS4" s="472"/>
      <c r="AT4" s="472"/>
      <c r="AU4" s="472"/>
      <c r="AV4" s="472"/>
      <c r="AW4" s="472"/>
      <c r="AX4" s="30">
        <v>12000</v>
      </c>
      <c r="AY4" s="479" t="s">
        <v>7</v>
      </c>
      <c r="AZ4" s="474" t="s">
        <v>74</v>
      </c>
      <c r="BA4" s="474"/>
      <c r="BB4" s="480"/>
      <c r="BC4" s="480"/>
      <c r="BK4" s="481" t="s">
        <v>802</v>
      </c>
      <c r="BL4" s="481" t="s">
        <v>803</v>
      </c>
      <c r="BM4" s="284"/>
      <c r="BN4" s="414"/>
      <c r="BO4" s="284"/>
      <c r="BP4" s="285"/>
      <c r="BQ4" s="482"/>
      <c r="BR4" s="482"/>
      <c r="BS4" s="482"/>
      <c r="BT4" s="482"/>
      <c r="BU4" s="482"/>
      <c r="BV4" s="284"/>
      <c r="BW4" s="284"/>
      <c r="BX4" s="284"/>
      <c r="BY4" s="487"/>
      <c r="BZ4" s="284"/>
      <c r="CA4" s="288"/>
      <c r="CB4" s="483"/>
      <c r="CC4" s="483"/>
      <c r="CD4" s="759"/>
      <c r="CE4" s="485">
        <f t="shared" ref="CE4" si="0">AC4</f>
        <v>30</v>
      </c>
      <c r="CF4" s="484">
        <f t="shared" ref="CF4" si="1">AP4</f>
        <v>6000</v>
      </c>
      <c r="CG4" s="485"/>
      <c r="CH4" s="485">
        <f t="shared" ref="CH4" si="2">(X4/30)*CG4</f>
        <v>0</v>
      </c>
      <c r="CI4" s="485"/>
      <c r="CJ4" s="485">
        <f t="shared" ref="CJ4" si="3">(X4/30)*CI4</f>
        <v>0</v>
      </c>
      <c r="CK4" s="484">
        <f t="shared" ref="CK4" si="4">CF4-CH4</f>
        <v>6000</v>
      </c>
      <c r="CL4" s="484">
        <f t="shared" ref="CL4" si="5">CF4-CJ4</f>
        <v>6000</v>
      </c>
      <c r="CM4" s="1006"/>
      <c r="CN4" s="485">
        <f t="shared" ref="CN4" si="6">AD4</f>
        <v>30</v>
      </c>
      <c r="CO4" s="484">
        <f t="shared" ref="CO4" si="7">AQ4</f>
        <v>6000</v>
      </c>
      <c r="CP4" s="485"/>
      <c r="CQ4" s="485">
        <f t="shared" ref="CQ4" si="8">(X4/30)*CP4</f>
        <v>0</v>
      </c>
      <c r="CR4" s="485"/>
      <c r="CS4" s="485">
        <f t="shared" ref="CS4" si="9">(X4/30)*CR4</f>
        <v>0</v>
      </c>
      <c r="CT4" s="484">
        <f t="shared" ref="CT4" si="10">CO4-CQ4</f>
        <v>6000</v>
      </c>
      <c r="CU4" s="484">
        <f t="shared" ref="CU4" si="11">CO4-CS4</f>
        <v>6000</v>
      </c>
      <c r="CV4" s="1006"/>
      <c r="CW4" s="1007">
        <f t="shared" ref="CW4:CW68" si="12">AX4</f>
        <v>12000</v>
      </c>
      <c r="CX4" s="486">
        <f t="shared" ref="CX4:CX68" si="13">CH4+CQ4</f>
        <v>0</v>
      </c>
      <c r="CY4" s="486">
        <f t="shared" ref="CY4:CY68" si="14">CJ4+CS4</f>
        <v>0</v>
      </c>
      <c r="CZ4" s="1007">
        <f t="shared" ref="CZ4:CZ68" si="15">CW4-CX4</f>
        <v>12000</v>
      </c>
      <c r="DA4" s="1007">
        <f t="shared" ref="DA4:DA68" si="16">CW4-CY4</f>
        <v>12000</v>
      </c>
    </row>
    <row r="5" spans="1:16378" ht="51" hidden="1" x14ac:dyDescent="0.25">
      <c r="A5" s="472">
        <v>2026</v>
      </c>
      <c r="B5" s="472">
        <v>479</v>
      </c>
      <c r="C5" s="472" t="s">
        <v>64</v>
      </c>
      <c r="D5" s="472" t="s">
        <v>65</v>
      </c>
      <c r="E5" s="472">
        <v>125</v>
      </c>
      <c r="F5" s="472">
        <v>3000654</v>
      </c>
      <c r="G5" s="472">
        <v>5005023</v>
      </c>
      <c r="H5" s="472">
        <v>3</v>
      </c>
      <c r="I5" s="472">
        <v>12</v>
      </c>
      <c r="J5" s="472">
        <v>24</v>
      </c>
      <c r="K5" s="472">
        <v>135560</v>
      </c>
      <c r="L5" s="472" t="s">
        <v>66</v>
      </c>
      <c r="M5" s="124" t="s">
        <v>67</v>
      </c>
      <c r="N5" s="472">
        <v>95</v>
      </c>
      <c r="O5" s="474"/>
      <c r="P5" s="474" t="s">
        <v>4</v>
      </c>
      <c r="Q5" s="472" t="s">
        <v>68</v>
      </c>
      <c r="R5" s="475" t="s">
        <v>69</v>
      </c>
      <c r="S5" s="475" t="s">
        <v>137</v>
      </c>
      <c r="T5" s="475"/>
      <c r="U5" s="124" t="s">
        <v>139</v>
      </c>
      <c r="V5" s="475" t="s">
        <v>3</v>
      </c>
      <c r="W5" s="121">
        <v>1</v>
      </c>
      <c r="X5" s="476">
        <v>6500</v>
      </c>
      <c r="Y5" s="474"/>
      <c r="Z5" s="474"/>
      <c r="AA5" s="474"/>
      <c r="AB5" s="474"/>
      <c r="AC5" s="475">
        <v>30</v>
      </c>
      <c r="AD5" s="475">
        <v>30</v>
      </c>
      <c r="AE5" s="474"/>
      <c r="AF5" s="474"/>
      <c r="AG5" s="474"/>
      <c r="AH5" s="474"/>
      <c r="AI5" s="474"/>
      <c r="AJ5" s="474"/>
      <c r="AK5" s="477">
        <v>13000</v>
      </c>
      <c r="AL5" s="472" t="s">
        <v>73</v>
      </c>
      <c r="AM5" s="472" t="s">
        <v>73</v>
      </c>
      <c r="AN5" s="472" t="s">
        <v>73</v>
      </c>
      <c r="AO5" s="472" t="s">
        <v>73</v>
      </c>
      <c r="AP5" s="478">
        <v>6500</v>
      </c>
      <c r="AQ5" s="478">
        <v>6500</v>
      </c>
      <c r="AR5" s="472" t="s">
        <v>73</v>
      </c>
      <c r="AS5" s="472" t="s">
        <v>73</v>
      </c>
      <c r="AT5" s="472" t="s">
        <v>73</v>
      </c>
      <c r="AU5" s="472" t="s">
        <v>73</v>
      </c>
      <c r="AV5" s="472" t="s">
        <v>73</v>
      </c>
      <c r="AW5" s="472" t="s">
        <v>73</v>
      </c>
      <c r="AX5" s="30">
        <v>13000</v>
      </c>
      <c r="AY5" s="479" t="s">
        <v>7</v>
      </c>
      <c r="AZ5" s="474" t="s">
        <v>74</v>
      </c>
      <c r="BA5" s="474"/>
      <c r="BB5" s="480"/>
      <c r="BC5" s="480"/>
      <c r="BK5" s="481" t="s">
        <v>790</v>
      </c>
      <c r="BL5" s="481" t="s">
        <v>791</v>
      </c>
      <c r="BM5" s="284" t="s">
        <v>792</v>
      </c>
      <c r="BN5" s="414" t="s">
        <v>793</v>
      </c>
      <c r="BO5" s="284" t="s">
        <v>794</v>
      </c>
      <c r="BP5" s="285">
        <v>46134</v>
      </c>
      <c r="BQ5" s="482"/>
      <c r="BR5" s="962" t="s">
        <v>804</v>
      </c>
      <c r="BS5" s="482"/>
      <c r="BT5" s="286" t="s">
        <v>796</v>
      </c>
      <c r="BU5" s="482" t="s">
        <v>797</v>
      </c>
      <c r="BV5" s="414" t="s">
        <v>805</v>
      </c>
      <c r="BW5" s="284" t="s">
        <v>806</v>
      </c>
      <c r="BX5" s="284" t="s">
        <v>807</v>
      </c>
      <c r="BY5" s="284">
        <v>45506071</v>
      </c>
      <c r="BZ5" s="284"/>
      <c r="CA5" s="288">
        <v>6500</v>
      </c>
      <c r="CB5" s="483">
        <v>46143</v>
      </c>
      <c r="CC5" s="483">
        <v>46203</v>
      </c>
      <c r="CD5" s="759"/>
      <c r="CE5" s="485">
        <f t="shared" ref="CE5" si="17">AC5</f>
        <v>30</v>
      </c>
      <c r="CF5" s="484">
        <f t="shared" ref="CF5" si="18">AP5</f>
        <v>6500</v>
      </c>
      <c r="CG5" s="485">
        <v>30</v>
      </c>
      <c r="CH5" s="485">
        <f t="shared" ref="CH5" si="19">(X5/30)*CG5</f>
        <v>6500</v>
      </c>
      <c r="CI5" s="485">
        <v>30</v>
      </c>
      <c r="CJ5" s="485">
        <f t="shared" ref="CJ5" si="20">(X5/30)*CI5</f>
        <v>6500</v>
      </c>
      <c r="CK5" s="484">
        <f t="shared" ref="CK5" si="21">CF5-CH5</f>
        <v>0</v>
      </c>
      <c r="CL5" s="484">
        <f t="shared" ref="CL5" si="22">CF5-CJ5</f>
        <v>0</v>
      </c>
      <c r="CM5" s="1006"/>
      <c r="CN5" s="485">
        <f t="shared" ref="CN5" si="23">AD5</f>
        <v>30</v>
      </c>
      <c r="CO5" s="484">
        <f t="shared" ref="CO5" si="24">AQ5</f>
        <v>6500</v>
      </c>
      <c r="CP5" s="485">
        <v>30</v>
      </c>
      <c r="CQ5" s="485">
        <f t="shared" ref="CQ5" si="25">(X5/30)*CP5</f>
        <v>6500</v>
      </c>
      <c r="CR5" s="485">
        <v>30</v>
      </c>
      <c r="CS5" s="485">
        <f t="shared" ref="CS5" si="26">(X5/30)*CR5</f>
        <v>6500</v>
      </c>
      <c r="CT5" s="484">
        <f t="shared" ref="CT5" si="27">CO5-CQ5</f>
        <v>0</v>
      </c>
      <c r="CU5" s="484">
        <f t="shared" ref="CU5" si="28">CO5-CS5</f>
        <v>0</v>
      </c>
      <c r="CV5" s="1006"/>
      <c r="CW5" s="1007">
        <f t="shared" si="12"/>
        <v>13000</v>
      </c>
      <c r="CX5" s="486">
        <f t="shared" si="13"/>
        <v>13000</v>
      </c>
      <c r="CY5" s="486">
        <f t="shared" si="14"/>
        <v>13000</v>
      </c>
      <c r="CZ5" s="1007">
        <f t="shared" si="15"/>
        <v>0</v>
      </c>
      <c r="DA5" s="1007">
        <f t="shared" si="16"/>
        <v>0</v>
      </c>
    </row>
    <row r="6" spans="1:16378" ht="51" hidden="1" x14ac:dyDescent="0.25">
      <c r="A6" s="472">
        <v>2026</v>
      </c>
      <c r="B6" s="472">
        <v>479</v>
      </c>
      <c r="C6" s="472" t="s">
        <v>64</v>
      </c>
      <c r="D6" s="472" t="s">
        <v>65</v>
      </c>
      <c r="E6" s="472">
        <v>125</v>
      </c>
      <c r="F6" s="472">
        <v>3000654</v>
      </c>
      <c r="G6" s="472">
        <v>5005023</v>
      </c>
      <c r="H6" s="472">
        <v>3</v>
      </c>
      <c r="I6" s="472">
        <v>12</v>
      </c>
      <c r="J6" s="472">
        <v>24</v>
      </c>
      <c r="K6" s="472">
        <v>135560</v>
      </c>
      <c r="L6" s="472" t="s">
        <v>66</v>
      </c>
      <c r="M6" s="124" t="s">
        <v>67</v>
      </c>
      <c r="N6" s="472">
        <v>95</v>
      </c>
      <c r="O6" s="474"/>
      <c r="P6" s="474" t="s">
        <v>4</v>
      </c>
      <c r="Q6" s="472" t="s">
        <v>68</v>
      </c>
      <c r="R6" s="475" t="s">
        <v>69</v>
      </c>
      <c r="S6" s="475" t="s">
        <v>137</v>
      </c>
      <c r="T6" s="475"/>
      <c r="U6" s="124" t="s">
        <v>139</v>
      </c>
      <c r="V6" s="475" t="s">
        <v>3</v>
      </c>
      <c r="W6" s="121">
        <v>1</v>
      </c>
      <c r="X6" s="476">
        <v>6500</v>
      </c>
      <c r="Y6" s="474"/>
      <c r="Z6" s="474"/>
      <c r="AA6" s="474"/>
      <c r="AB6" s="474"/>
      <c r="AC6" s="475">
        <v>30</v>
      </c>
      <c r="AD6" s="475">
        <v>30</v>
      </c>
      <c r="AE6" s="474"/>
      <c r="AF6" s="474"/>
      <c r="AG6" s="474"/>
      <c r="AH6" s="474"/>
      <c r="AI6" s="474"/>
      <c r="AJ6" s="474"/>
      <c r="AK6" s="477">
        <v>13000</v>
      </c>
      <c r="AL6" s="472" t="s">
        <v>73</v>
      </c>
      <c r="AM6" s="472" t="s">
        <v>73</v>
      </c>
      <c r="AN6" s="472" t="s">
        <v>73</v>
      </c>
      <c r="AO6" s="472" t="s">
        <v>73</v>
      </c>
      <c r="AP6" s="478">
        <v>6500</v>
      </c>
      <c r="AQ6" s="478">
        <v>6500</v>
      </c>
      <c r="AR6" s="472" t="s">
        <v>73</v>
      </c>
      <c r="AS6" s="472" t="s">
        <v>73</v>
      </c>
      <c r="AT6" s="472" t="s">
        <v>73</v>
      </c>
      <c r="AU6" s="472" t="s">
        <v>73</v>
      </c>
      <c r="AV6" s="472" t="s">
        <v>73</v>
      </c>
      <c r="AW6" s="472" t="s">
        <v>73</v>
      </c>
      <c r="AX6" s="30">
        <v>13000</v>
      </c>
      <c r="AY6" s="479" t="s">
        <v>7</v>
      </c>
      <c r="AZ6" s="474" t="s">
        <v>74</v>
      </c>
      <c r="BA6" s="474"/>
      <c r="BB6" s="480"/>
      <c r="BC6" s="480"/>
      <c r="BK6" s="481" t="s">
        <v>790</v>
      </c>
      <c r="BL6" s="481" t="s">
        <v>791</v>
      </c>
      <c r="BM6" s="284" t="s">
        <v>792</v>
      </c>
      <c r="BN6" s="414" t="s">
        <v>793</v>
      </c>
      <c r="BO6" s="284" t="s">
        <v>794</v>
      </c>
      <c r="BP6" s="285">
        <v>46134</v>
      </c>
      <c r="BQ6" s="482"/>
      <c r="BR6" s="962" t="s">
        <v>808</v>
      </c>
      <c r="BS6" s="482"/>
      <c r="BT6" s="286" t="s">
        <v>796</v>
      </c>
      <c r="BU6" s="482" t="s">
        <v>797</v>
      </c>
      <c r="BV6" s="414" t="s">
        <v>809</v>
      </c>
      <c r="BW6" s="284" t="s">
        <v>810</v>
      </c>
      <c r="BX6" s="284" t="s">
        <v>811</v>
      </c>
      <c r="BY6" s="284">
        <v>72445680</v>
      </c>
      <c r="BZ6" s="284"/>
      <c r="CA6" s="288">
        <v>6500</v>
      </c>
      <c r="CB6" s="483">
        <v>46143</v>
      </c>
      <c r="CC6" s="483">
        <v>46203</v>
      </c>
      <c r="CD6" s="759"/>
      <c r="CE6" s="485">
        <f t="shared" ref="CE6:CE277" si="29">AC6</f>
        <v>30</v>
      </c>
      <c r="CF6" s="484">
        <f t="shared" ref="CF6:CF277" si="30">AP6</f>
        <v>6500</v>
      </c>
      <c r="CG6" s="485">
        <v>30</v>
      </c>
      <c r="CH6" s="485">
        <f t="shared" ref="CH6:CH277" si="31">(X6/30)*CG6</f>
        <v>6500</v>
      </c>
      <c r="CI6" s="485">
        <v>30</v>
      </c>
      <c r="CJ6" s="485">
        <f t="shared" ref="CJ6:CJ277" si="32">(X6/30)*CI6</f>
        <v>6500</v>
      </c>
      <c r="CK6" s="484">
        <f t="shared" ref="CK6:CK277" si="33">CF6-CH6</f>
        <v>0</v>
      </c>
      <c r="CL6" s="484">
        <f t="shared" ref="CL6:CL277" si="34">CF6-CJ6</f>
        <v>0</v>
      </c>
      <c r="CM6" s="1006"/>
      <c r="CN6" s="485">
        <f t="shared" ref="CN6:CN277" si="35">AD6</f>
        <v>30</v>
      </c>
      <c r="CO6" s="484">
        <f t="shared" ref="CO6:CO277" si="36">AQ6</f>
        <v>6500</v>
      </c>
      <c r="CP6" s="485">
        <v>30</v>
      </c>
      <c r="CQ6" s="485">
        <f t="shared" ref="CQ6:CQ277" si="37">(X6/30)*CP6</f>
        <v>6500</v>
      </c>
      <c r="CR6" s="485">
        <v>30</v>
      </c>
      <c r="CS6" s="485">
        <f t="shared" ref="CS6:CS277" si="38">(X6/30)*CR6</f>
        <v>6500</v>
      </c>
      <c r="CT6" s="484">
        <f t="shared" ref="CT6:CT277" si="39">CO6-CQ6</f>
        <v>0</v>
      </c>
      <c r="CU6" s="484">
        <f t="shared" ref="CU6:CU277" si="40">CO6-CS6</f>
        <v>0</v>
      </c>
      <c r="CV6" s="1006"/>
      <c r="CW6" s="1007">
        <f t="shared" si="12"/>
        <v>13000</v>
      </c>
      <c r="CX6" s="486">
        <f t="shared" si="13"/>
        <v>13000</v>
      </c>
      <c r="CY6" s="486">
        <f>CJ6+CS6</f>
        <v>13000</v>
      </c>
      <c r="CZ6" s="1007">
        <f t="shared" si="15"/>
        <v>0</v>
      </c>
      <c r="DA6" s="1007">
        <f t="shared" si="16"/>
        <v>0</v>
      </c>
    </row>
    <row r="7" spans="1:16378" ht="51" hidden="1" x14ac:dyDescent="0.25">
      <c r="A7" s="472">
        <v>2026</v>
      </c>
      <c r="B7" s="472">
        <v>479</v>
      </c>
      <c r="C7" s="472" t="s">
        <v>64</v>
      </c>
      <c r="D7" s="472" t="s">
        <v>65</v>
      </c>
      <c r="E7" s="472">
        <v>125</v>
      </c>
      <c r="F7" s="472">
        <v>3000654</v>
      </c>
      <c r="G7" s="472">
        <v>5005023</v>
      </c>
      <c r="H7" s="472">
        <v>3</v>
      </c>
      <c r="I7" s="472">
        <v>12</v>
      </c>
      <c r="J7" s="472">
        <v>24</v>
      </c>
      <c r="K7" s="472">
        <v>135560</v>
      </c>
      <c r="L7" s="472" t="s">
        <v>66</v>
      </c>
      <c r="M7" s="124" t="s">
        <v>67</v>
      </c>
      <c r="N7" s="472">
        <v>95</v>
      </c>
      <c r="O7" s="474"/>
      <c r="P7" s="474" t="s">
        <v>4</v>
      </c>
      <c r="Q7" s="472" t="s">
        <v>68</v>
      </c>
      <c r="R7" s="475" t="s">
        <v>69</v>
      </c>
      <c r="S7" s="475" t="s">
        <v>137</v>
      </c>
      <c r="T7" s="475"/>
      <c r="U7" s="124" t="s">
        <v>140</v>
      </c>
      <c r="V7" s="475" t="s">
        <v>3</v>
      </c>
      <c r="W7" s="121">
        <v>1</v>
      </c>
      <c r="X7" s="476">
        <v>6000</v>
      </c>
      <c r="Y7" s="474"/>
      <c r="Z7" s="474"/>
      <c r="AA7" s="474"/>
      <c r="AB7" s="474"/>
      <c r="AC7" s="475">
        <v>30</v>
      </c>
      <c r="AD7" s="475">
        <v>30</v>
      </c>
      <c r="AE7" s="474"/>
      <c r="AF7" s="474"/>
      <c r="AG7" s="474"/>
      <c r="AH7" s="474"/>
      <c r="AI7" s="474"/>
      <c r="AJ7" s="474"/>
      <c r="AK7" s="477">
        <v>12000</v>
      </c>
      <c r="AL7" s="472" t="s">
        <v>73</v>
      </c>
      <c r="AM7" s="472" t="s">
        <v>73</v>
      </c>
      <c r="AN7" s="472" t="s">
        <v>73</v>
      </c>
      <c r="AO7" s="472" t="s">
        <v>73</v>
      </c>
      <c r="AP7" s="478">
        <v>6000</v>
      </c>
      <c r="AQ7" s="478">
        <v>6000</v>
      </c>
      <c r="AR7" s="472" t="s">
        <v>73</v>
      </c>
      <c r="AS7" s="472" t="s">
        <v>73</v>
      </c>
      <c r="AT7" s="472" t="s">
        <v>73</v>
      </c>
      <c r="AU7" s="472" t="s">
        <v>73</v>
      </c>
      <c r="AV7" s="472" t="s">
        <v>73</v>
      </c>
      <c r="AW7" s="472" t="s">
        <v>73</v>
      </c>
      <c r="AX7" s="30">
        <v>12000</v>
      </c>
      <c r="AY7" s="479" t="s">
        <v>7</v>
      </c>
      <c r="AZ7" s="474" t="s">
        <v>74</v>
      </c>
      <c r="BA7" s="474"/>
      <c r="BB7" s="480"/>
      <c r="BC7" s="480"/>
      <c r="BK7" s="481" t="s">
        <v>790</v>
      </c>
      <c r="BL7" s="481" t="s">
        <v>791</v>
      </c>
      <c r="BM7" s="284" t="s">
        <v>792</v>
      </c>
      <c r="BN7" s="414" t="s">
        <v>793</v>
      </c>
      <c r="BO7" s="284" t="s">
        <v>794</v>
      </c>
      <c r="BP7" s="285">
        <v>46134</v>
      </c>
      <c r="BQ7" s="482"/>
      <c r="BR7" s="962" t="s">
        <v>812</v>
      </c>
      <c r="BS7" s="482"/>
      <c r="BT7" s="286" t="s">
        <v>796</v>
      </c>
      <c r="BU7" s="482" t="s">
        <v>797</v>
      </c>
      <c r="BV7" s="414" t="s">
        <v>813</v>
      </c>
      <c r="BW7" s="284" t="s">
        <v>814</v>
      </c>
      <c r="BX7" s="284" t="s">
        <v>815</v>
      </c>
      <c r="BY7" s="284">
        <v>45310125</v>
      </c>
      <c r="BZ7" s="284"/>
      <c r="CA7" s="288">
        <v>6000</v>
      </c>
      <c r="CB7" s="483">
        <v>46143</v>
      </c>
      <c r="CC7" s="483">
        <v>46203</v>
      </c>
      <c r="CD7" s="759"/>
      <c r="CE7" s="485">
        <f t="shared" ref="CE7" si="41">AC7</f>
        <v>30</v>
      </c>
      <c r="CF7" s="484">
        <f t="shared" ref="CF7" si="42">AP7</f>
        <v>6000</v>
      </c>
      <c r="CG7" s="485">
        <v>30</v>
      </c>
      <c r="CH7" s="485">
        <f t="shared" ref="CH7" si="43">(X7/30)*CG7</f>
        <v>6000</v>
      </c>
      <c r="CI7" s="485">
        <v>30</v>
      </c>
      <c r="CJ7" s="485">
        <f t="shared" ref="CJ7" si="44">(X7/30)*CI7</f>
        <v>6000</v>
      </c>
      <c r="CK7" s="484">
        <f t="shared" ref="CK7" si="45">CF7-CH7</f>
        <v>0</v>
      </c>
      <c r="CL7" s="484">
        <f t="shared" ref="CL7" si="46">CF7-CJ7</f>
        <v>0</v>
      </c>
      <c r="CM7" s="1006"/>
      <c r="CN7" s="485">
        <f t="shared" ref="CN7" si="47">AD7</f>
        <v>30</v>
      </c>
      <c r="CO7" s="484">
        <f t="shared" ref="CO7" si="48">AQ7</f>
        <v>6000</v>
      </c>
      <c r="CP7" s="485">
        <v>30</v>
      </c>
      <c r="CQ7" s="485">
        <f t="shared" ref="CQ7" si="49">(X7/30)*CP7</f>
        <v>6000</v>
      </c>
      <c r="CR7" s="485">
        <v>30</v>
      </c>
      <c r="CS7" s="485">
        <f t="shared" ref="CS7" si="50">(X7/30)*CR7</f>
        <v>6000</v>
      </c>
      <c r="CT7" s="484">
        <f t="shared" ref="CT7" si="51">CO7-CQ7</f>
        <v>0</v>
      </c>
      <c r="CU7" s="484">
        <f t="shared" ref="CU7" si="52">CO7-CS7</f>
        <v>0</v>
      </c>
      <c r="CV7" s="1006"/>
      <c r="CW7" s="1007">
        <f t="shared" si="12"/>
        <v>12000</v>
      </c>
      <c r="CX7" s="486">
        <f t="shared" si="13"/>
        <v>12000</v>
      </c>
      <c r="CY7" s="486">
        <f t="shared" si="14"/>
        <v>12000</v>
      </c>
      <c r="CZ7" s="1007">
        <f t="shared" si="15"/>
        <v>0</v>
      </c>
      <c r="DA7" s="1007">
        <f t="shared" si="16"/>
        <v>0</v>
      </c>
    </row>
    <row r="8" spans="1:16378" ht="51" hidden="1" x14ac:dyDescent="0.25">
      <c r="A8" s="472">
        <v>2026</v>
      </c>
      <c r="B8" s="472">
        <v>479</v>
      </c>
      <c r="C8" s="472" t="s">
        <v>64</v>
      </c>
      <c r="D8" s="472" t="s">
        <v>65</v>
      </c>
      <c r="E8" s="472">
        <v>125</v>
      </c>
      <c r="F8" s="472">
        <v>3000654</v>
      </c>
      <c r="G8" s="472">
        <v>5005023</v>
      </c>
      <c r="H8" s="472">
        <v>3</v>
      </c>
      <c r="I8" s="472">
        <v>12</v>
      </c>
      <c r="J8" s="472">
        <v>24</v>
      </c>
      <c r="K8" s="472">
        <v>135560</v>
      </c>
      <c r="L8" s="472" t="s">
        <v>66</v>
      </c>
      <c r="M8" s="124" t="s">
        <v>67</v>
      </c>
      <c r="N8" s="472">
        <v>95</v>
      </c>
      <c r="O8" s="474"/>
      <c r="P8" s="474" t="s">
        <v>4</v>
      </c>
      <c r="Q8" s="472" t="s">
        <v>68</v>
      </c>
      <c r="R8" s="475" t="s">
        <v>69</v>
      </c>
      <c r="S8" s="475" t="s">
        <v>137</v>
      </c>
      <c r="T8" s="475"/>
      <c r="U8" s="124" t="s">
        <v>140</v>
      </c>
      <c r="V8" s="475" t="s">
        <v>3</v>
      </c>
      <c r="W8" s="121">
        <v>1</v>
      </c>
      <c r="X8" s="476">
        <v>6000</v>
      </c>
      <c r="Y8" s="474"/>
      <c r="Z8" s="474"/>
      <c r="AA8" s="474"/>
      <c r="AB8" s="474"/>
      <c r="AC8" s="475">
        <v>30</v>
      </c>
      <c r="AD8" s="475">
        <v>30</v>
      </c>
      <c r="AE8" s="474"/>
      <c r="AF8" s="474"/>
      <c r="AG8" s="474"/>
      <c r="AH8" s="474"/>
      <c r="AI8" s="474"/>
      <c r="AJ8" s="474"/>
      <c r="AK8" s="477">
        <v>12000</v>
      </c>
      <c r="AL8" s="472" t="s">
        <v>73</v>
      </c>
      <c r="AM8" s="472" t="s">
        <v>73</v>
      </c>
      <c r="AN8" s="472" t="s">
        <v>73</v>
      </c>
      <c r="AO8" s="472" t="s">
        <v>73</v>
      </c>
      <c r="AP8" s="478">
        <v>6000</v>
      </c>
      <c r="AQ8" s="478">
        <v>6000</v>
      </c>
      <c r="AR8" s="472" t="s">
        <v>73</v>
      </c>
      <c r="AS8" s="472" t="s">
        <v>73</v>
      </c>
      <c r="AT8" s="472" t="s">
        <v>73</v>
      </c>
      <c r="AU8" s="472" t="s">
        <v>73</v>
      </c>
      <c r="AV8" s="472" t="s">
        <v>73</v>
      </c>
      <c r="AW8" s="472" t="s">
        <v>73</v>
      </c>
      <c r="AX8" s="30">
        <v>12000</v>
      </c>
      <c r="AY8" s="479" t="s">
        <v>7</v>
      </c>
      <c r="AZ8" s="474" t="s">
        <v>74</v>
      </c>
      <c r="BA8" s="474"/>
      <c r="BB8" s="480"/>
      <c r="BC8" s="480"/>
      <c r="BK8" s="481" t="s">
        <v>790</v>
      </c>
      <c r="BL8" s="481" t="s">
        <v>791</v>
      </c>
      <c r="BM8" s="284" t="s">
        <v>792</v>
      </c>
      <c r="BN8" s="414" t="s">
        <v>793</v>
      </c>
      <c r="BO8" s="284" t="s">
        <v>794</v>
      </c>
      <c r="BP8" s="285">
        <v>46134</v>
      </c>
      <c r="BQ8" s="482"/>
      <c r="BR8" s="962" t="s">
        <v>816</v>
      </c>
      <c r="BS8" s="482"/>
      <c r="BT8" s="286" t="s">
        <v>796</v>
      </c>
      <c r="BU8" s="482" t="s">
        <v>797</v>
      </c>
      <c r="BV8" s="414" t="s">
        <v>817</v>
      </c>
      <c r="BW8" s="284" t="s">
        <v>818</v>
      </c>
      <c r="BX8" s="284" t="s">
        <v>819</v>
      </c>
      <c r="BY8" s="284" t="s">
        <v>820</v>
      </c>
      <c r="BZ8" s="284"/>
      <c r="CA8" s="288">
        <v>6000</v>
      </c>
      <c r="CB8" s="483">
        <v>46143</v>
      </c>
      <c r="CC8" s="483">
        <v>46203</v>
      </c>
      <c r="CD8" s="759"/>
      <c r="CE8" s="485">
        <f t="shared" si="29"/>
        <v>30</v>
      </c>
      <c r="CF8" s="484">
        <f t="shared" si="30"/>
        <v>6000</v>
      </c>
      <c r="CG8" s="485">
        <v>30</v>
      </c>
      <c r="CH8" s="485">
        <f t="shared" si="31"/>
        <v>6000</v>
      </c>
      <c r="CI8" s="485">
        <v>30</v>
      </c>
      <c r="CJ8" s="485">
        <f t="shared" si="32"/>
        <v>6000</v>
      </c>
      <c r="CK8" s="484">
        <f t="shared" si="33"/>
        <v>0</v>
      </c>
      <c r="CL8" s="484">
        <f t="shared" si="34"/>
        <v>0</v>
      </c>
      <c r="CM8" s="1006"/>
      <c r="CN8" s="485">
        <f t="shared" si="35"/>
        <v>30</v>
      </c>
      <c r="CO8" s="484">
        <f t="shared" si="36"/>
        <v>6000</v>
      </c>
      <c r="CP8" s="485">
        <v>30</v>
      </c>
      <c r="CQ8" s="485">
        <f t="shared" si="37"/>
        <v>6000</v>
      </c>
      <c r="CR8" s="485">
        <v>30</v>
      </c>
      <c r="CS8" s="485">
        <f t="shared" si="38"/>
        <v>6000</v>
      </c>
      <c r="CT8" s="484">
        <f t="shared" si="39"/>
        <v>0</v>
      </c>
      <c r="CU8" s="484">
        <f t="shared" si="40"/>
        <v>0</v>
      </c>
      <c r="CV8" s="1006"/>
      <c r="CW8" s="1007">
        <f t="shared" si="12"/>
        <v>12000</v>
      </c>
      <c r="CX8" s="486">
        <f t="shared" si="13"/>
        <v>12000</v>
      </c>
      <c r="CY8" s="486">
        <f t="shared" si="14"/>
        <v>12000</v>
      </c>
      <c r="CZ8" s="1007">
        <f t="shared" si="15"/>
        <v>0</v>
      </c>
      <c r="DA8" s="1007">
        <f t="shared" si="16"/>
        <v>0</v>
      </c>
    </row>
    <row r="9" spans="1:16378" ht="51" hidden="1" x14ac:dyDescent="0.25">
      <c r="A9" s="472">
        <v>2026</v>
      </c>
      <c r="B9" s="472">
        <v>479</v>
      </c>
      <c r="C9" s="472" t="s">
        <v>64</v>
      </c>
      <c r="D9" s="472" t="s">
        <v>65</v>
      </c>
      <c r="E9" s="472">
        <v>125</v>
      </c>
      <c r="F9" s="472">
        <v>3000654</v>
      </c>
      <c r="G9" s="472">
        <v>5005023</v>
      </c>
      <c r="H9" s="472">
        <v>3</v>
      </c>
      <c r="I9" s="472">
        <v>12</v>
      </c>
      <c r="J9" s="472">
        <v>24</v>
      </c>
      <c r="K9" s="472">
        <v>135560</v>
      </c>
      <c r="L9" s="472" t="s">
        <v>66</v>
      </c>
      <c r="M9" s="124" t="s">
        <v>67</v>
      </c>
      <c r="N9" s="19">
        <v>95</v>
      </c>
      <c r="O9" s="474"/>
      <c r="P9" s="474" t="s">
        <v>4</v>
      </c>
      <c r="Q9" s="472" t="s">
        <v>68</v>
      </c>
      <c r="R9" s="475" t="s">
        <v>69</v>
      </c>
      <c r="S9" s="475" t="s">
        <v>137</v>
      </c>
      <c r="T9" s="475"/>
      <c r="U9" s="124" t="s">
        <v>141</v>
      </c>
      <c r="V9" s="475" t="s">
        <v>3</v>
      </c>
      <c r="W9" s="121">
        <v>1</v>
      </c>
      <c r="X9" s="476">
        <v>5500</v>
      </c>
      <c r="Y9" s="474"/>
      <c r="Z9" s="474"/>
      <c r="AA9" s="474"/>
      <c r="AB9" s="474"/>
      <c r="AC9" s="121">
        <v>30</v>
      </c>
      <c r="AD9" s="121">
        <v>30</v>
      </c>
      <c r="AE9" s="474"/>
      <c r="AF9" s="474"/>
      <c r="AG9" s="474"/>
      <c r="AH9" s="474"/>
      <c r="AI9" s="474"/>
      <c r="AJ9" s="474"/>
      <c r="AK9" s="477">
        <v>11000</v>
      </c>
      <c r="AL9" s="472" t="s">
        <v>73</v>
      </c>
      <c r="AM9" s="472" t="s">
        <v>73</v>
      </c>
      <c r="AN9" s="472" t="s">
        <v>73</v>
      </c>
      <c r="AO9" s="472" t="s">
        <v>73</v>
      </c>
      <c r="AP9" s="478">
        <v>5500</v>
      </c>
      <c r="AQ9" s="478">
        <v>5500</v>
      </c>
      <c r="AR9" s="472" t="s">
        <v>73</v>
      </c>
      <c r="AS9" s="472" t="s">
        <v>73</v>
      </c>
      <c r="AT9" s="472" t="s">
        <v>73</v>
      </c>
      <c r="AU9" s="472" t="s">
        <v>73</v>
      </c>
      <c r="AV9" s="472" t="s">
        <v>73</v>
      </c>
      <c r="AW9" s="472" t="s">
        <v>73</v>
      </c>
      <c r="AX9" s="30">
        <v>11000</v>
      </c>
      <c r="AY9" s="479" t="s">
        <v>7</v>
      </c>
      <c r="AZ9" s="474" t="s">
        <v>74</v>
      </c>
      <c r="BA9" s="474"/>
      <c r="BB9" s="480"/>
      <c r="BC9" s="480"/>
      <c r="BK9" s="481" t="s">
        <v>790</v>
      </c>
      <c r="BL9" s="481" t="s">
        <v>791</v>
      </c>
      <c r="BM9" s="284" t="s">
        <v>792</v>
      </c>
      <c r="BN9" s="414" t="s">
        <v>793</v>
      </c>
      <c r="BO9" s="284" t="s">
        <v>794</v>
      </c>
      <c r="BP9" s="285">
        <v>46134</v>
      </c>
      <c r="BQ9" s="482"/>
      <c r="BR9" s="962" t="s">
        <v>821</v>
      </c>
      <c r="BS9" s="482"/>
      <c r="BT9" s="286" t="s">
        <v>796</v>
      </c>
      <c r="BU9" s="482" t="s">
        <v>797</v>
      </c>
      <c r="BV9" s="414" t="s">
        <v>822</v>
      </c>
      <c r="BW9" s="284" t="s">
        <v>823</v>
      </c>
      <c r="BX9" s="284" t="s">
        <v>824</v>
      </c>
      <c r="BY9" s="284">
        <v>40057994</v>
      </c>
      <c r="BZ9" s="284"/>
      <c r="CA9" s="288">
        <v>5500</v>
      </c>
      <c r="CB9" s="483">
        <v>46143</v>
      </c>
      <c r="CC9" s="483">
        <v>46203</v>
      </c>
      <c r="CD9" s="759"/>
      <c r="CE9" s="485">
        <f t="shared" ref="CE9:CE10" si="53">AC9</f>
        <v>30</v>
      </c>
      <c r="CF9" s="484">
        <f t="shared" ref="CF9:CF10" si="54">AP9</f>
        <v>5500</v>
      </c>
      <c r="CG9" s="485">
        <v>30</v>
      </c>
      <c r="CH9" s="485">
        <f t="shared" ref="CH9:CH10" si="55">(X9/30)*CG9</f>
        <v>5500</v>
      </c>
      <c r="CI9" s="485">
        <v>30</v>
      </c>
      <c r="CJ9" s="485">
        <f t="shared" ref="CJ9:CJ10" si="56">(X9/30)*CI9</f>
        <v>5500</v>
      </c>
      <c r="CK9" s="484">
        <f t="shared" ref="CK9:CK10" si="57">CF9-CH9</f>
        <v>0</v>
      </c>
      <c r="CL9" s="484">
        <f t="shared" ref="CL9:CL10" si="58">CF9-CJ9</f>
        <v>0</v>
      </c>
      <c r="CM9" s="1006"/>
      <c r="CN9" s="485">
        <f t="shared" ref="CN9:CN10" si="59">AD9</f>
        <v>30</v>
      </c>
      <c r="CO9" s="484">
        <f t="shared" ref="CO9:CO10" si="60">AQ9</f>
        <v>5500</v>
      </c>
      <c r="CP9" s="485">
        <v>30</v>
      </c>
      <c r="CQ9" s="485">
        <f t="shared" ref="CQ9:CQ10" si="61">(X9/30)*CP9</f>
        <v>5500</v>
      </c>
      <c r="CR9" s="485">
        <v>30</v>
      </c>
      <c r="CS9" s="485">
        <f t="shared" ref="CS9:CS10" si="62">(X9/30)*CR9</f>
        <v>5500</v>
      </c>
      <c r="CT9" s="484">
        <f t="shared" ref="CT9:CT10" si="63">CO9-CQ9</f>
        <v>0</v>
      </c>
      <c r="CU9" s="484">
        <f t="shared" ref="CU9:CU10" si="64">CO9-CS9</f>
        <v>0</v>
      </c>
      <c r="CV9" s="1006"/>
      <c r="CW9" s="1007">
        <f t="shared" si="12"/>
        <v>11000</v>
      </c>
      <c r="CX9" s="486">
        <f t="shared" si="13"/>
        <v>11000</v>
      </c>
      <c r="CY9" s="486">
        <f t="shared" si="14"/>
        <v>11000</v>
      </c>
      <c r="CZ9" s="1007">
        <f t="shared" si="15"/>
        <v>0</v>
      </c>
      <c r="DA9" s="1007">
        <f t="shared" si="16"/>
        <v>0</v>
      </c>
    </row>
    <row r="10" spans="1:16378" ht="51" hidden="1" x14ac:dyDescent="0.25">
      <c r="A10" s="472">
        <v>2026</v>
      </c>
      <c r="B10" s="472">
        <v>479</v>
      </c>
      <c r="C10" s="472" t="s">
        <v>64</v>
      </c>
      <c r="D10" s="472" t="s">
        <v>65</v>
      </c>
      <c r="E10" s="472">
        <v>125</v>
      </c>
      <c r="F10" s="472">
        <v>3000654</v>
      </c>
      <c r="G10" s="472">
        <v>5005023</v>
      </c>
      <c r="H10" s="472">
        <v>3</v>
      </c>
      <c r="I10" s="472">
        <v>12</v>
      </c>
      <c r="J10" s="472">
        <v>24</v>
      </c>
      <c r="K10" s="472">
        <v>135560</v>
      </c>
      <c r="L10" s="472" t="s">
        <v>66</v>
      </c>
      <c r="M10" s="124" t="s">
        <v>67</v>
      </c>
      <c r="N10" s="19">
        <v>95</v>
      </c>
      <c r="O10" s="474"/>
      <c r="P10" s="474" t="s">
        <v>4</v>
      </c>
      <c r="Q10" s="472" t="s">
        <v>68</v>
      </c>
      <c r="R10" s="475" t="s">
        <v>69</v>
      </c>
      <c r="S10" s="475" t="s">
        <v>137</v>
      </c>
      <c r="T10" s="475"/>
      <c r="U10" s="124" t="s">
        <v>141</v>
      </c>
      <c r="V10" s="475" t="s">
        <v>3</v>
      </c>
      <c r="W10" s="121">
        <v>1</v>
      </c>
      <c r="X10" s="476">
        <v>5500</v>
      </c>
      <c r="Y10" s="474"/>
      <c r="Z10" s="474"/>
      <c r="AA10" s="474"/>
      <c r="AB10" s="474"/>
      <c r="AC10" s="121">
        <v>30</v>
      </c>
      <c r="AD10" s="121">
        <v>30</v>
      </c>
      <c r="AE10" s="488"/>
      <c r="AF10" s="488"/>
      <c r="AG10" s="488"/>
      <c r="AH10" s="488"/>
      <c r="AI10" s="488"/>
      <c r="AJ10" s="488"/>
      <c r="AK10" s="477">
        <v>11000</v>
      </c>
      <c r="AL10" s="472" t="s">
        <v>73</v>
      </c>
      <c r="AM10" s="472" t="s">
        <v>73</v>
      </c>
      <c r="AN10" s="472" t="s">
        <v>73</v>
      </c>
      <c r="AO10" s="472" t="s">
        <v>73</v>
      </c>
      <c r="AP10" s="478">
        <v>5500</v>
      </c>
      <c r="AQ10" s="478">
        <v>5500</v>
      </c>
      <c r="AR10" s="472" t="s">
        <v>73</v>
      </c>
      <c r="AS10" s="472" t="s">
        <v>73</v>
      </c>
      <c r="AT10" s="472" t="s">
        <v>73</v>
      </c>
      <c r="AU10" s="472" t="s">
        <v>73</v>
      </c>
      <c r="AV10" s="472" t="s">
        <v>73</v>
      </c>
      <c r="AW10" s="472" t="s">
        <v>73</v>
      </c>
      <c r="AX10" s="30">
        <v>11000</v>
      </c>
      <c r="AY10" s="479" t="s">
        <v>7</v>
      </c>
      <c r="AZ10" s="474" t="s">
        <v>74</v>
      </c>
      <c r="BA10" s="474"/>
      <c r="BB10" s="480"/>
      <c r="BC10" s="480"/>
      <c r="BK10" s="481" t="s">
        <v>790</v>
      </c>
      <c r="BL10" s="481" t="s">
        <v>791</v>
      </c>
      <c r="BM10" s="481" t="s">
        <v>825</v>
      </c>
      <c r="BN10" s="414" t="s">
        <v>826</v>
      </c>
      <c r="BO10" s="284" t="s">
        <v>827</v>
      </c>
      <c r="BP10" s="285">
        <v>46136</v>
      </c>
      <c r="BQ10" s="482"/>
      <c r="BR10" s="962" t="s">
        <v>828</v>
      </c>
      <c r="BS10" s="482"/>
      <c r="BT10" s="286" t="s">
        <v>796</v>
      </c>
      <c r="BU10" s="482" t="s">
        <v>797</v>
      </c>
      <c r="BV10" s="414" t="s">
        <v>829</v>
      </c>
      <c r="BW10" s="284" t="s">
        <v>830</v>
      </c>
      <c r="BX10" s="284" t="s">
        <v>831</v>
      </c>
      <c r="BY10" s="284">
        <v>43758283</v>
      </c>
      <c r="BZ10" s="284">
        <v>10437582837</v>
      </c>
      <c r="CA10" s="288">
        <v>5500</v>
      </c>
      <c r="CB10" s="483">
        <v>46143</v>
      </c>
      <c r="CC10" s="483">
        <v>46203</v>
      </c>
      <c r="CD10" s="759"/>
      <c r="CE10" s="485">
        <f t="shared" si="53"/>
        <v>30</v>
      </c>
      <c r="CF10" s="484">
        <f t="shared" si="54"/>
        <v>5500</v>
      </c>
      <c r="CG10" s="485">
        <v>30</v>
      </c>
      <c r="CH10" s="485">
        <f t="shared" si="55"/>
        <v>5500</v>
      </c>
      <c r="CI10" s="485">
        <v>30</v>
      </c>
      <c r="CJ10" s="485">
        <f t="shared" si="56"/>
        <v>5500</v>
      </c>
      <c r="CK10" s="484">
        <f t="shared" si="57"/>
        <v>0</v>
      </c>
      <c r="CL10" s="484">
        <f t="shared" si="58"/>
        <v>0</v>
      </c>
      <c r="CM10" s="1006"/>
      <c r="CN10" s="485">
        <f t="shared" si="59"/>
        <v>30</v>
      </c>
      <c r="CO10" s="484">
        <f t="shared" si="60"/>
        <v>5500</v>
      </c>
      <c r="CP10" s="485">
        <v>30</v>
      </c>
      <c r="CQ10" s="485">
        <f t="shared" si="61"/>
        <v>5500</v>
      </c>
      <c r="CR10" s="485">
        <v>30</v>
      </c>
      <c r="CS10" s="485">
        <f t="shared" si="62"/>
        <v>5500</v>
      </c>
      <c r="CT10" s="484">
        <f t="shared" si="63"/>
        <v>0</v>
      </c>
      <c r="CU10" s="484">
        <f t="shared" si="64"/>
        <v>0</v>
      </c>
      <c r="CV10" s="1006"/>
      <c r="CW10" s="1007">
        <f t="shared" si="12"/>
        <v>11000</v>
      </c>
      <c r="CX10" s="486">
        <f t="shared" si="13"/>
        <v>11000</v>
      </c>
      <c r="CY10" s="486">
        <f t="shared" si="14"/>
        <v>11000</v>
      </c>
      <c r="CZ10" s="1007">
        <f t="shared" si="15"/>
        <v>0</v>
      </c>
      <c r="DA10" s="1007">
        <f t="shared" si="16"/>
        <v>0</v>
      </c>
      <c r="DD10" s="94" t="s">
        <v>832</v>
      </c>
    </row>
    <row r="11" spans="1:16378" ht="51" hidden="1" x14ac:dyDescent="0.25">
      <c r="A11" s="472">
        <v>2026</v>
      </c>
      <c r="B11" s="472">
        <v>479</v>
      </c>
      <c r="C11" s="472" t="s">
        <v>64</v>
      </c>
      <c r="D11" s="472" t="s">
        <v>65</v>
      </c>
      <c r="E11" s="472">
        <v>125</v>
      </c>
      <c r="F11" s="472">
        <v>3000654</v>
      </c>
      <c r="G11" s="472">
        <v>5005023</v>
      </c>
      <c r="H11" s="472">
        <v>3</v>
      </c>
      <c r="I11" s="472">
        <v>12</v>
      </c>
      <c r="J11" s="472">
        <v>24</v>
      </c>
      <c r="K11" s="472">
        <v>135560</v>
      </c>
      <c r="L11" s="472" t="s">
        <v>66</v>
      </c>
      <c r="M11" s="124" t="s">
        <v>67</v>
      </c>
      <c r="N11" s="19">
        <v>95</v>
      </c>
      <c r="O11" s="474"/>
      <c r="P11" s="474" t="s">
        <v>4</v>
      </c>
      <c r="Q11" s="472" t="s">
        <v>68</v>
      </c>
      <c r="R11" s="475" t="s">
        <v>69</v>
      </c>
      <c r="S11" s="475" t="s">
        <v>137</v>
      </c>
      <c r="T11" s="475"/>
      <c r="U11" s="124" t="s">
        <v>141</v>
      </c>
      <c r="V11" s="475" t="s">
        <v>3</v>
      </c>
      <c r="W11" s="121">
        <v>1</v>
      </c>
      <c r="X11" s="476">
        <v>5500</v>
      </c>
      <c r="Y11" s="474"/>
      <c r="Z11" s="474"/>
      <c r="AA11" s="474"/>
      <c r="AB11" s="474"/>
      <c r="AC11" s="121">
        <v>30</v>
      </c>
      <c r="AD11" s="121">
        <v>30</v>
      </c>
      <c r="AE11" s="474"/>
      <c r="AF11" s="474"/>
      <c r="AG11" s="474"/>
      <c r="AH11" s="474"/>
      <c r="AI11" s="474"/>
      <c r="AJ11" s="474"/>
      <c r="AK11" s="477">
        <v>11000</v>
      </c>
      <c r="AL11" s="472" t="s">
        <v>73</v>
      </c>
      <c r="AM11" s="472" t="s">
        <v>73</v>
      </c>
      <c r="AN11" s="472" t="s">
        <v>73</v>
      </c>
      <c r="AO11" s="472" t="s">
        <v>73</v>
      </c>
      <c r="AP11" s="478">
        <v>5500</v>
      </c>
      <c r="AQ11" s="478">
        <v>5500</v>
      </c>
      <c r="AR11" s="472" t="s">
        <v>73</v>
      </c>
      <c r="AS11" s="472" t="s">
        <v>73</v>
      </c>
      <c r="AT11" s="472" t="s">
        <v>73</v>
      </c>
      <c r="AU11" s="472" t="s">
        <v>73</v>
      </c>
      <c r="AV11" s="472" t="s">
        <v>73</v>
      </c>
      <c r="AW11" s="472" t="s">
        <v>73</v>
      </c>
      <c r="AX11" s="30">
        <v>11000</v>
      </c>
      <c r="AY11" s="479" t="s">
        <v>7</v>
      </c>
      <c r="AZ11" s="474" t="s">
        <v>74</v>
      </c>
      <c r="BA11" s="474"/>
      <c r="BB11" s="480"/>
      <c r="BC11" s="480"/>
      <c r="BK11" s="481" t="s">
        <v>790</v>
      </c>
      <c r="BL11" s="481" t="s">
        <v>791</v>
      </c>
      <c r="BM11" s="284" t="s">
        <v>792</v>
      </c>
      <c r="BN11" s="414" t="s">
        <v>793</v>
      </c>
      <c r="BO11" s="284" t="s">
        <v>794</v>
      </c>
      <c r="BP11" s="285">
        <v>46134</v>
      </c>
      <c r="BQ11" s="482"/>
      <c r="BR11" s="962" t="s">
        <v>833</v>
      </c>
      <c r="BS11" s="482"/>
      <c r="BT11" s="286" t="s">
        <v>834</v>
      </c>
      <c r="BU11" s="482" t="s">
        <v>835</v>
      </c>
      <c r="BV11" s="414" t="s">
        <v>836</v>
      </c>
      <c r="BW11" s="284" t="s">
        <v>837</v>
      </c>
      <c r="BX11" s="284" t="s">
        <v>838</v>
      </c>
      <c r="BY11" s="284">
        <v>46897043</v>
      </c>
      <c r="BZ11" s="284"/>
      <c r="CA11" s="288">
        <v>5500</v>
      </c>
      <c r="CB11" s="483">
        <v>46143</v>
      </c>
      <c r="CC11" s="483">
        <v>46203</v>
      </c>
      <c r="CD11" s="759"/>
      <c r="CE11" s="485">
        <f t="shared" si="29"/>
        <v>30</v>
      </c>
      <c r="CF11" s="484">
        <f t="shared" si="30"/>
        <v>5500</v>
      </c>
      <c r="CG11" s="485">
        <v>30</v>
      </c>
      <c r="CH11" s="485">
        <f t="shared" si="31"/>
        <v>5500</v>
      </c>
      <c r="CI11" s="485">
        <v>30</v>
      </c>
      <c r="CJ11" s="485">
        <f t="shared" si="32"/>
        <v>5500</v>
      </c>
      <c r="CK11" s="484">
        <f t="shared" si="33"/>
        <v>0</v>
      </c>
      <c r="CL11" s="484">
        <f t="shared" si="34"/>
        <v>0</v>
      </c>
      <c r="CM11" s="1006"/>
      <c r="CN11" s="485">
        <f t="shared" si="35"/>
        <v>30</v>
      </c>
      <c r="CO11" s="484">
        <f t="shared" si="36"/>
        <v>5500</v>
      </c>
      <c r="CP11" s="485">
        <v>30</v>
      </c>
      <c r="CQ11" s="485">
        <f t="shared" si="37"/>
        <v>5500</v>
      </c>
      <c r="CR11" s="485">
        <v>30</v>
      </c>
      <c r="CS11" s="485">
        <f t="shared" si="38"/>
        <v>5500</v>
      </c>
      <c r="CT11" s="484">
        <f t="shared" si="39"/>
        <v>0</v>
      </c>
      <c r="CU11" s="484">
        <f t="shared" si="40"/>
        <v>0</v>
      </c>
      <c r="CV11" s="1006"/>
      <c r="CW11" s="1007">
        <f t="shared" si="12"/>
        <v>11000</v>
      </c>
      <c r="CX11" s="486">
        <f t="shared" si="13"/>
        <v>11000</v>
      </c>
      <c r="CY11" s="486">
        <f t="shared" si="14"/>
        <v>11000</v>
      </c>
      <c r="CZ11" s="1007">
        <f t="shared" si="15"/>
        <v>0</v>
      </c>
      <c r="DA11" s="1007">
        <f t="shared" si="16"/>
        <v>0</v>
      </c>
    </row>
    <row r="12" spans="1:16378" ht="51" hidden="1" x14ac:dyDescent="0.25">
      <c r="A12" s="472">
        <v>2026</v>
      </c>
      <c r="B12" s="472">
        <v>479</v>
      </c>
      <c r="C12" s="472" t="s">
        <v>64</v>
      </c>
      <c r="D12" s="472" t="s">
        <v>65</v>
      </c>
      <c r="E12" s="472">
        <v>125</v>
      </c>
      <c r="F12" s="472">
        <v>3000654</v>
      </c>
      <c r="G12" s="472">
        <v>5005023</v>
      </c>
      <c r="H12" s="472">
        <v>3</v>
      </c>
      <c r="I12" s="472">
        <v>12</v>
      </c>
      <c r="J12" s="472">
        <v>24</v>
      </c>
      <c r="K12" s="472">
        <v>135560</v>
      </c>
      <c r="L12" s="472" t="s">
        <v>66</v>
      </c>
      <c r="M12" s="124" t="s">
        <v>67</v>
      </c>
      <c r="N12" s="472">
        <v>95</v>
      </c>
      <c r="O12" s="474"/>
      <c r="P12" s="474" t="s">
        <v>4</v>
      </c>
      <c r="Q12" s="472" t="s">
        <v>68</v>
      </c>
      <c r="R12" s="475" t="s">
        <v>69</v>
      </c>
      <c r="S12" s="475" t="s">
        <v>137</v>
      </c>
      <c r="T12" s="475"/>
      <c r="U12" s="124" t="s">
        <v>142</v>
      </c>
      <c r="V12" s="475" t="s">
        <v>3</v>
      </c>
      <c r="W12" s="121">
        <v>1</v>
      </c>
      <c r="X12" s="476">
        <v>7000</v>
      </c>
      <c r="Y12" s="474"/>
      <c r="Z12" s="474"/>
      <c r="AA12" s="474"/>
      <c r="AB12" s="474"/>
      <c r="AC12" s="475">
        <v>30</v>
      </c>
      <c r="AD12" s="475">
        <v>30</v>
      </c>
      <c r="AE12" s="474"/>
      <c r="AF12" s="474"/>
      <c r="AG12" s="474"/>
      <c r="AH12" s="474"/>
      <c r="AI12" s="474"/>
      <c r="AJ12" s="474"/>
      <c r="AK12" s="477">
        <v>14000</v>
      </c>
      <c r="AL12" s="472" t="s">
        <v>73</v>
      </c>
      <c r="AM12" s="472" t="s">
        <v>73</v>
      </c>
      <c r="AN12" s="472" t="s">
        <v>73</v>
      </c>
      <c r="AO12" s="472" t="s">
        <v>73</v>
      </c>
      <c r="AP12" s="478">
        <v>7000</v>
      </c>
      <c r="AQ12" s="478">
        <v>7000</v>
      </c>
      <c r="AR12" s="472" t="s">
        <v>73</v>
      </c>
      <c r="AS12" s="472" t="s">
        <v>73</v>
      </c>
      <c r="AT12" s="472" t="s">
        <v>73</v>
      </c>
      <c r="AU12" s="472" t="s">
        <v>73</v>
      </c>
      <c r="AV12" s="472" t="s">
        <v>73</v>
      </c>
      <c r="AW12" s="472" t="s">
        <v>73</v>
      </c>
      <c r="AX12" s="30">
        <v>14000</v>
      </c>
      <c r="AY12" s="479" t="s">
        <v>7</v>
      </c>
      <c r="AZ12" s="474"/>
      <c r="BA12" s="474"/>
      <c r="BB12" s="480"/>
      <c r="BC12" s="480"/>
      <c r="BK12" s="481" t="s">
        <v>790</v>
      </c>
      <c r="BL12" s="481" t="s">
        <v>791</v>
      </c>
      <c r="BM12" s="284" t="s">
        <v>792</v>
      </c>
      <c r="BN12" s="414" t="s">
        <v>793</v>
      </c>
      <c r="BO12" s="284" t="s">
        <v>794</v>
      </c>
      <c r="BP12" s="285">
        <v>46134</v>
      </c>
      <c r="BQ12" s="482"/>
      <c r="BR12" s="962" t="s">
        <v>839</v>
      </c>
      <c r="BS12" s="482"/>
      <c r="BT12" s="286" t="s">
        <v>796</v>
      </c>
      <c r="BU12" s="482" t="s">
        <v>797</v>
      </c>
      <c r="BV12" s="414" t="s">
        <v>840</v>
      </c>
      <c r="BW12" s="284" t="s">
        <v>841</v>
      </c>
      <c r="BX12" s="284" t="s">
        <v>842</v>
      </c>
      <c r="BY12" s="284">
        <v>25860770</v>
      </c>
      <c r="BZ12" s="284"/>
      <c r="CA12" s="288">
        <v>7000</v>
      </c>
      <c r="CB12" s="483">
        <v>46143</v>
      </c>
      <c r="CC12" s="483">
        <v>46203</v>
      </c>
      <c r="CD12" s="759"/>
      <c r="CE12" s="485">
        <f t="shared" ref="CE12" si="65">AC12</f>
        <v>30</v>
      </c>
      <c r="CF12" s="484">
        <f t="shared" ref="CF12" si="66">AP12</f>
        <v>7000</v>
      </c>
      <c r="CG12" s="485">
        <v>30</v>
      </c>
      <c r="CH12" s="485">
        <f t="shared" ref="CH12" si="67">(X12/30)*CG12</f>
        <v>7000</v>
      </c>
      <c r="CI12" s="485">
        <v>30</v>
      </c>
      <c r="CJ12" s="485">
        <f t="shared" ref="CJ12" si="68">(X12/30)*CI12</f>
        <v>7000</v>
      </c>
      <c r="CK12" s="484">
        <f t="shared" ref="CK12" si="69">CF12-CH12</f>
        <v>0</v>
      </c>
      <c r="CL12" s="484">
        <f t="shared" ref="CL12" si="70">CF12-CJ12</f>
        <v>0</v>
      </c>
      <c r="CM12" s="1006"/>
      <c r="CN12" s="485">
        <f t="shared" ref="CN12" si="71">AD12</f>
        <v>30</v>
      </c>
      <c r="CO12" s="484">
        <f t="shared" ref="CO12" si="72">AQ12</f>
        <v>7000</v>
      </c>
      <c r="CP12" s="485">
        <v>30</v>
      </c>
      <c r="CQ12" s="485">
        <f t="shared" ref="CQ12" si="73">(X12/30)*CP12</f>
        <v>7000</v>
      </c>
      <c r="CR12" s="485">
        <v>30</v>
      </c>
      <c r="CS12" s="485">
        <f t="shared" ref="CS12" si="74">(X12/30)*CR12</f>
        <v>7000</v>
      </c>
      <c r="CT12" s="484">
        <f t="shared" ref="CT12" si="75">CO12-CQ12</f>
        <v>0</v>
      </c>
      <c r="CU12" s="484">
        <f t="shared" ref="CU12" si="76">CO12-CS12</f>
        <v>0</v>
      </c>
      <c r="CV12" s="1006"/>
      <c r="CW12" s="1007">
        <f t="shared" si="12"/>
        <v>14000</v>
      </c>
      <c r="CX12" s="486">
        <f t="shared" si="13"/>
        <v>14000</v>
      </c>
      <c r="CY12" s="486">
        <f t="shared" si="14"/>
        <v>14000</v>
      </c>
      <c r="CZ12" s="1007">
        <f t="shared" si="15"/>
        <v>0</v>
      </c>
      <c r="DA12" s="1007">
        <f t="shared" si="16"/>
        <v>0</v>
      </c>
    </row>
    <row r="13" spans="1:16378" ht="51" hidden="1" x14ac:dyDescent="0.25">
      <c r="A13" s="472">
        <v>2026</v>
      </c>
      <c r="B13" s="472">
        <v>479</v>
      </c>
      <c r="C13" s="472" t="s">
        <v>64</v>
      </c>
      <c r="D13" s="472" t="s">
        <v>65</v>
      </c>
      <c r="E13" s="472">
        <v>125</v>
      </c>
      <c r="F13" s="472">
        <v>3000654</v>
      </c>
      <c r="G13" s="472">
        <v>5005023</v>
      </c>
      <c r="H13" s="472">
        <v>3</v>
      </c>
      <c r="I13" s="472">
        <v>12</v>
      </c>
      <c r="J13" s="472">
        <v>24</v>
      </c>
      <c r="K13" s="472">
        <v>135560</v>
      </c>
      <c r="L13" s="472" t="s">
        <v>66</v>
      </c>
      <c r="M13" s="124" t="s">
        <v>67</v>
      </c>
      <c r="N13" s="472">
        <v>95</v>
      </c>
      <c r="O13" s="474"/>
      <c r="P13" s="474" t="s">
        <v>4</v>
      </c>
      <c r="Q13" s="472" t="s">
        <v>68</v>
      </c>
      <c r="R13" s="475" t="s">
        <v>69</v>
      </c>
      <c r="S13" s="475" t="s">
        <v>137</v>
      </c>
      <c r="T13" s="475"/>
      <c r="U13" s="124" t="s">
        <v>142</v>
      </c>
      <c r="V13" s="475" t="s">
        <v>3</v>
      </c>
      <c r="W13" s="121">
        <v>1</v>
      </c>
      <c r="X13" s="476">
        <v>7000</v>
      </c>
      <c r="Y13" s="474"/>
      <c r="Z13" s="474"/>
      <c r="AA13" s="474"/>
      <c r="AB13" s="474"/>
      <c r="AC13" s="475">
        <v>30</v>
      </c>
      <c r="AD13" s="475">
        <v>30</v>
      </c>
      <c r="AE13" s="474"/>
      <c r="AF13" s="474"/>
      <c r="AG13" s="474"/>
      <c r="AH13" s="474"/>
      <c r="AI13" s="474"/>
      <c r="AJ13" s="474"/>
      <c r="AK13" s="477">
        <v>14000</v>
      </c>
      <c r="AL13" s="472" t="s">
        <v>73</v>
      </c>
      <c r="AM13" s="472" t="s">
        <v>73</v>
      </c>
      <c r="AN13" s="472" t="s">
        <v>73</v>
      </c>
      <c r="AO13" s="472" t="s">
        <v>73</v>
      </c>
      <c r="AP13" s="478">
        <v>7000</v>
      </c>
      <c r="AQ13" s="478">
        <v>7000</v>
      </c>
      <c r="AR13" s="472" t="s">
        <v>73</v>
      </c>
      <c r="AS13" s="472" t="s">
        <v>73</v>
      </c>
      <c r="AT13" s="472" t="s">
        <v>73</v>
      </c>
      <c r="AU13" s="472" t="s">
        <v>73</v>
      </c>
      <c r="AV13" s="472" t="s">
        <v>73</v>
      </c>
      <c r="AW13" s="472" t="s">
        <v>73</v>
      </c>
      <c r="AX13" s="30">
        <v>14000</v>
      </c>
      <c r="AY13" s="479" t="s">
        <v>7</v>
      </c>
      <c r="AZ13" s="474" t="s">
        <v>74</v>
      </c>
      <c r="BA13" s="474"/>
      <c r="BB13" s="480"/>
      <c r="BC13" s="480"/>
      <c r="BK13" s="481" t="s">
        <v>790</v>
      </c>
      <c r="BL13" s="481" t="s">
        <v>791</v>
      </c>
      <c r="BM13" s="284" t="s">
        <v>792</v>
      </c>
      <c r="BN13" s="414" t="s">
        <v>793</v>
      </c>
      <c r="BO13" s="284" t="s">
        <v>794</v>
      </c>
      <c r="BP13" s="285">
        <v>46134</v>
      </c>
      <c r="BQ13" s="482"/>
      <c r="BR13" s="962" t="s">
        <v>843</v>
      </c>
      <c r="BS13" s="482"/>
      <c r="BT13" s="286" t="s">
        <v>796</v>
      </c>
      <c r="BU13" s="482" t="s">
        <v>797</v>
      </c>
      <c r="BV13" s="414" t="s">
        <v>844</v>
      </c>
      <c r="BW13" s="284" t="s">
        <v>845</v>
      </c>
      <c r="BX13" s="284" t="s">
        <v>846</v>
      </c>
      <c r="BY13" s="284">
        <v>45402132</v>
      </c>
      <c r="BZ13" s="284"/>
      <c r="CA13" s="288">
        <v>7000</v>
      </c>
      <c r="CB13" s="483">
        <v>46143</v>
      </c>
      <c r="CC13" s="483">
        <v>46203</v>
      </c>
      <c r="CD13" s="759"/>
      <c r="CE13" s="485">
        <f t="shared" si="29"/>
        <v>30</v>
      </c>
      <c r="CF13" s="484">
        <f t="shared" si="30"/>
        <v>7000</v>
      </c>
      <c r="CG13" s="485">
        <v>30</v>
      </c>
      <c r="CH13" s="485">
        <f t="shared" si="31"/>
        <v>7000</v>
      </c>
      <c r="CI13" s="485">
        <v>30</v>
      </c>
      <c r="CJ13" s="485">
        <f t="shared" si="32"/>
        <v>7000</v>
      </c>
      <c r="CK13" s="484">
        <f t="shared" si="33"/>
        <v>0</v>
      </c>
      <c r="CL13" s="484">
        <f t="shared" si="34"/>
        <v>0</v>
      </c>
      <c r="CM13" s="1006"/>
      <c r="CN13" s="485">
        <f t="shared" si="35"/>
        <v>30</v>
      </c>
      <c r="CO13" s="484">
        <f t="shared" si="36"/>
        <v>7000</v>
      </c>
      <c r="CP13" s="485">
        <v>30</v>
      </c>
      <c r="CQ13" s="485">
        <f t="shared" si="37"/>
        <v>7000</v>
      </c>
      <c r="CR13" s="485">
        <v>30</v>
      </c>
      <c r="CS13" s="485">
        <f t="shared" si="38"/>
        <v>7000</v>
      </c>
      <c r="CT13" s="484">
        <f t="shared" si="39"/>
        <v>0</v>
      </c>
      <c r="CU13" s="484">
        <f t="shared" si="40"/>
        <v>0</v>
      </c>
      <c r="CV13" s="1006"/>
      <c r="CW13" s="1007">
        <f t="shared" si="12"/>
        <v>14000</v>
      </c>
      <c r="CX13" s="486">
        <f t="shared" si="13"/>
        <v>14000</v>
      </c>
      <c r="CY13" s="486">
        <f t="shared" si="14"/>
        <v>14000</v>
      </c>
      <c r="CZ13" s="1007">
        <f t="shared" si="15"/>
        <v>0</v>
      </c>
      <c r="DA13" s="1007">
        <f t="shared" si="16"/>
        <v>0</v>
      </c>
    </row>
    <row r="14" spans="1:16378" ht="51" hidden="1" x14ac:dyDescent="0.25">
      <c r="A14" s="472">
        <v>2026</v>
      </c>
      <c r="B14" s="472">
        <v>479</v>
      </c>
      <c r="C14" s="472" t="s">
        <v>64</v>
      </c>
      <c r="D14" s="472" t="s">
        <v>65</v>
      </c>
      <c r="E14" s="472">
        <v>125</v>
      </c>
      <c r="F14" s="472">
        <v>3000654</v>
      </c>
      <c r="G14" s="472">
        <v>5005023</v>
      </c>
      <c r="H14" s="472">
        <v>3</v>
      </c>
      <c r="I14" s="472">
        <v>12</v>
      </c>
      <c r="J14" s="472">
        <v>24</v>
      </c>
      <c r="K14" s="472">
        <v>135560</v>
      </c>
      <c r="L14" s="472" t="s">
        <v>66</v>
      </c>
      <c r="M14" s="124" t="s">
        <v>67</v>
      </c>
      <c r="N14" s="472">
        <v>95</v>
      </c>
      <c r="O14" s="474"/>
      <c r="P14" s="474" t="s">
        <v>4</v>
      </c>
      <c r="Q14" s="472" t="s">
        <v>68</v>
      </c>
      <c r="R14" s="475" t="s">
        <v>69</v>
      </c>
      <c r="S14" s="475" t="s">
        <v>137</v>
      </c>
      <c r="T14" s="475"/>
      <c r="U14" s="124" t="s">
        <v>143</v>
      </c>
      <c r="V14" s="475" t="s">
        <v>3</v>
      </c>
      <c r="W14" s="121">
        <v>1</v>
      </c>
      <c r="X14" s="476">
        <v>6500</v>
      </c>
      <c r="Y14" s="474"/>
      <c r="Z14" s="474"/>
      <c r="AA14" s="474"/>
      <c r="AB14" s="474"/>
      <c r="AC14" s="475">
        <v>30</v>
      </c>
      <c r="AD14" s="475">
        <v>30</v>
      </c>
      <c r="AE14" s="474"/>
      <c r="AF14" s="474"/>
      <c r="AG14" s="474"/>
      <c r="AH14" s="474"/>
      <c r="AI14" s="474"/>
      <c r="AJ14" s="474"/>
      <c r="AK14" s="477">
        <v>13000</v>
      </c>
      <c r="AL14" s="472" t="s">
        <v>73</v>
      </c>
      <c r="AM14" s="472" t="s">
        <v>73</v>
      </c>
      <c r="AN14" s="472" t="s">
        <v>73</v>
      </c>
      <c r="AO14" s="472" t="s">
        <v>73</v>
      </c>
      <c r="AP14" s="478">
        <v>6500</v>
      </c>
      <c r="AQ14" s="478">
        <v>6500</v>
      </c>
      <c r="AR14" s="472" t="s">
        <v>73</v>
      </c>
      <c r="AS14" s="472" t="s">
        <v>73</v>
      </c>
      <c r="AT14" s="472" t="s">
        <v>73</v>
      </c>
      <c r="AU14" s="472" t="s">
        <v>73</v>
      </c>
      <c r="AV14" s="472" t="s">
        <v>73</v>
      </c>
      <c r="AW14" s="472" t="s">
        <v>73</v>
      </c>
      <c r="AX14" s="30">
        <v>13000</v>
      </c>
      <c r="AY14" s="479" t="s">
        <v>7</v>
      </c>
      <c r="AZ14" s="474" t="s">
        <v>74</v>
      </c>
      <c r="BA14" s="474"/>
      <c r="BB14" s="480"/>
      <c r="BC14" s="480"/>
      <c r="BK14" s="481" t="s">
        <v>790</v>
      </c>
      <c r="BL14" s="481" t="s">
        <v>791</v>
      </c>
      <c r="BM14" s="284" t="s">
        <v>792</v>
      </c>
      <c r="BN14" s="414" t="s">
        <v>793</v>
      </c>
      <c r="BO14" s="284" t="s">
        <v>794</v>
      </c>
      <c r="BP14" s="285">
        <v>46134</v>
      </c>
      <c r="BQ14" s="482"/>
      <c r="BR14" s="962" t="s">
        <v>847</v>
      </c>
      <c r="BS14" s="482"/>
      <c r="BT14" s="286" t="s">
        <v>796</v>
      </c>
      <c r="BU14" s="482" t="s">
        <v>797</v>
      </c>
      <c r="BV14" s="414" t="s">
        <v>848</v>
      </c>
      <c r="BW14" s="284" t="s">
        <v>849</v>
      </c>
      <c r="BX14" s="284" t="s">
        <v>850</v>
      </c>
      <c r="BY14" s="284">
        <v>70757048</v>
      </c>
      <c r="BZ14" s="284"/>
      <c r="CA14" s="288">
        <v>6500</v>
      </c>
      <c r="CB14" s="483">
        <v>46143</v>
      </c>
      <c r="CC14" s="483">
        <v>46203</v>
      </c>
      <c r="CD14" s="759"/>
      <c r="CE14" s="485">
        <f t="shared" si="29"/>
        <v>30</v>
      </c>
      <c r="CF14" s="484">
        <f t="shared" si="30"/>
        <v>6500</v>
      </c>
      <c r="CG14" s="485">
        <v>30</v>
      </c>
      <c r="CH14" s="485">
        <f t="shared" si="31"/>
        <v>6500</v>
      </c>
      <c r="CI14" s="485">
        <v>30</v>
      </c>
      <c r="CJ14" s="485">
        <f t="shared" si="32"/>
        <v>6500</v>
      </c>
      <c r="CK14" s="484">
        <f t="shared" si="33"/>
        <v>0</v>
      </c>
      <c r="CL14" s="484">
        <f t="shared" si="34"/>
        <v>0</v>
      </c>
      <c r="CM14" s="1006"/>
      <c r="CN14" s="485">
        <f t="shared" si="35"/>
        <v>30</v>
      </c>
      <c r="CO14" s="484">
        <f t="shared" si="36"/>
        <v>6500</v>
      </c>
      <c r="CP14" s="485">
        <v>30</v>
      </c>
      <c r="CQ14" s="485">
        <f t="shared" si="37"/>
        <v>6500</v>
      </c>
      <c r="CR14" s="485">
        <v>30</v>
      </c>
      <c r="CS14" s="485">
        <f t="shared" si="38"/>
        <v>6500</v>
      </c>
      <c r="CT14" s="484">
        <f t="shared" si="39"/>
        <v>0</v>
      </c>
      <c r="CU14" s="484">
        <f t="shared" si="40"/>
        <v>0</v>
      </c>
      <c r="CV14" s="1006"/>
      <c r="CW14" s="1007">
        <f t="shared" si="12"/>
        <v>13000</v>
      </c>
      <c r="CX14" s="486">
        <f t="shared" si="13"/>
        <v>13000</v>
      </c>
      <c r="CY14" s="486">
        <f t="shared" si="14"/>
        <v>13000</v>
      </c>
      <c r="CZ14" s="1007">
        <f t="shared" si="15"/>
        <v>0</v>
      </c>
      <c r="DA14" s="1007">
        <f t="shared" si="16"/>
        <v>0</v>
      </c>
    </row>
    <row r="15" spans="1:16378" ht="51" hidden="1" x14ac:dyDescent="0.25">
      <c r="A15" s="472">
        <v>2026</v>
      </c>
      <c r="B15" s="472">
        <v>479</v>
      </c>
      <c r="C15" s="472" t="s">
        <v>64</v>
      </c>
      <c r="D15" s="472" t="s">
        <v>65</v>
      </c>
      <c r="E15" s="472">
        <v>125</v>
      </c>
      <c r="F15" s="472">
        <v>3000654</v>
      </c>
      <c r="G15" s="472">
        <v>5005023</v>
      </c>
      <c r="H15" s="472">
        <v>3</v>
      </c>
      <c r="I15" s="472">
        <v>12</v>
      </c>
      <c r="J15" s="472">
        <v>24</v>
      </c>
      <c r="K15" s="472">
        <v>135560</v>
      </c>
      <c r="L15" s="472" t="s">
        <v>66</v>
      </c>
      <c r="M15" s="124" t="s">
        <v>67</v>
      </c>
      <c r="N15" s="472">
        <v>95</v>
      </c>
      <c r="O15" s="474"/>
      <c r="P15" s="474" t="s">
        <v>4</v>
      </c>
      <c r="Q15" s="472" t="s">
        <v>68</v>
      </c>
      <c r="R15" s="475" t="s">
        <v>69</v>
      </c>
      <c r="S15" s="475" t="s">
        <v>137</v>
      </c>
      <c r="T15" s="475"/>
      <c r="U15" s="124" t="s">
        <v>144</v>
      </c>
      <c r="V15" s="475" t="s">
        <v>3</v>
      </c>
      <c r="W15" s="121">
        <v>1</v>
      </c>
      <c r="X15" s="476">
        <v>5500</v>
      </c>
      <c r="Y15" s="488"/>
      <c r="Z15" s="488"/>
      <c r="AA15" s="488"/>
      <c r="AB15" s="488"/>
      <c r="AC15" s="475">
        <v>30</v>
      </c>
      <c r="AD15" s="475">
        <v>30</v>
      </c>
      <c r="AE15" s="488"/>
      <c r="AF15" s="488"/>
      <c r="AG15" s="488"/>
      <c r="AH15" s="488"/>
      <c r="AI15" s="488"/>
      <c r="AJ15" s="488"/>
      <c r="AK15" s="477">
        <v>11000</v>
      </c>
      <c r="AL15" s="472" t="s">
        <v>73</v>
      </c>
      <c r="AM15" s="472" t="s">
        <v>73</v>
      </c>
      <c r="AN15" s="472" t="s">
        <v>73</v>
      </c>
      <c r="AO15" s="472" t="s">
        <v>73</v>
      </c>
      <c r="AP15" s="478">
        <v>5500</v>
      </c>
      <c r="AQ15" s="478">
        <v>5500</v>
      </c>
      <c r="AR15" s="472" t="s">
        <v>73</v>
      </c>
      <c r="AS15" s="472" t="s">
        <v>73</v>
      </c>
      <c r="AT15" s="472" t="s">
        <v>73</v>
      </c>
      <c r="AU15" s="472" t="s">
        <v>73</v>
      </c>
      <c r="AV15" s="472" t="s">
        <v>73</v>
      </c>
      <c r="AW15" s="472" t="s">
        <v>73</v>
      </c>
      <c r="AX15" s="30">
        <v>11000</v>
      </c>
      <c r="AY15" s="479" t="s">
        <v>7</v>
      </c>
      <c r="AZ15" s="474" t="s">
        <v>74</v>
      </c>
      <c r="BA15" s="474"/>
      <c r="BB15" s="480"/>
      <c r="BC15" s="480"/>
      <c r="BK15" s="481" t="s">
        <v>802</v>
      </c>
      <c r="BL15" s="481" t="s">
        <v>803</v>
      </c>
      <c r="BM15" s="284"/>
      <c r="BN15" s="414"/>
      <c r="BO15" s="284"/>
      <c r="BP15" s="285"/>
      <c r="BQ15" s="482"/>
      <c r="BR15" s="482"/>
      <c r="BS15" s="482"/>
      <c r="BT15" s="482"/>
      <c r="BU15" s="482"/>
      <c r="BV15" s="284"/>
      <c r="BW15" s="284"/>
      <c r="BX15" s="284"/>
      <c r="BY15" s="284"/>
      <c r="BZ15" s="284"/>
      <c r="CA15" s="288"/>
      <c r="CB15" s="483"/>
      <c r="CC15" s="483"/>
      <c r="CD15" s="759"/>
      <c r="CE15" s="485">
        <f t="shared" si="29"/>
        <v>30</v>
      </c>
      <c r="CF15" s="484">
        <f t="shared" si="30"/>
        <v>5500</v>
      </c>
      <c r="CG15" s="485"/>
      <c r="CH15" s="485">
        <f t="shared" si="31"/>
        <v>0</v>
      </c>
      <c r="CI15" s="485"/>
      <c r="CJ15" s="485">
        <f t="shared" si="32"/>
        <v>0</v>
      </c>
      <c r="CK15" s="484">
        <f t="shared" si="33"/>
        <v>5500</v>
      </c>
      <c r="CL15" s="484">
        <f t="shared" si="34"/>
        <v>5500</v>
      </c>
      <c r="CM15" s="1006"/>
      <c r="CN15" s="485">
        <f t="shared" si="35"/>
        <v>30</v>
      </c>
      <c r="CO15" s="484">
        <f t="shared" si="36"/>
        <v>5500</v>
      </c>
      <c r="CP15" s="485"/>
      <c r="CQ15" s="485">
        <f t="shared" si="37"/>
        <v>0</v>
      </c>
      <c r="CR15" s="485"/>
      <c r="CS15" s="485">
        <f t="shared" si="38"/>
        <v>0</v>
      </c>
      <c r="CT15" s="484">
        <f t="shared" si="39"/>
        <v>5500</v>
      </c>
      <c r="CU15" s="484">
        <f t="shared" si="40"/>
        <v>5500</v>
      </c>
      <c r="CV15" s="1006"/>
      <c r="CW15" s="1007">
        <f t="shared" si="12"/>
        <v>11000</v>
      </c>
      <c r="CX15" s="486">
        <f t="shared" si="13"/>
        <v>0</v>
      </c>
      <c r="CY15" s="486">
        <f t="shared" si="14"/>
        <v>0</v>
      </c>
      <c r="CZ15" s="1007">
        <f t="shared" si="15"/>
        <v>11000</v>
      </c>
      <c r="DA15" s="1007">
        <f t="shared" si="16"/>
        <v>11000</v>
      </c>
    </row>
    <row r="16" spans="1:16378" ht="51" hidden="1" x14ac:dyDescent="0.25">
      <c r="A16" s="472">
        <v>2026</v>
      </c>
      <c r="B16" s="472">
        <v>479</v>
      </c>
      <c r="C16" s="472" t="s">
        <v>64</v>
      </c>
      <c r="D16" s="472" t="s">
        <v>65</v>
      </c>
      <c r="E16" s="472">
        <v>125</v>
      </c>
      <c r="F16" s="472">
        <v>3000654</v>
      </c>
      <c r="G16" s="472">
        <v>5005023</v>
      </c>
      <c r="H16" s="472">
        <v>3</v>
      </c>
      <c r="I16" s="472">
        <v>12</v>
      </c>
      <c r="J16" s="472">
        <v>24</v>
      </c>
      <c r="K16" s="472">
        <v>135560</v>
      </c>
      <c r="L16" s="472" t="s">
        <v>66</v>
      </c>
      <c r="M16" s="124" t="s">
        <v>67</v>
      </c>
      <c r="N16" s="472">
        <v>95</v>
      </c>
      <c r="O16" s="474"/>
      <c r="P16" s="474" t="s">
        <v>4</v>
      </c>
      <c r="Q16" s="472" t="s">
        <v>68</v>
      </c>
      <c r="R16" s="475" t="s">
        <v>69</v>
      </c>
      <c r="S16" s="475" t="s">
        <v>137</v>
      </c>
      <c r="T16" s="475"/>
      <c r="U16" s="124" t="s">
        <v>145</v>
      </c>
      <c r="V16" s="475" t="s">
        <v>3</v>
      </c>
      <c r="W16" s="121">
        <v>1</v>
      </c>
      <c r="X16" s="476">
        <v>7000</v>
      </c>
      <c r="Y16" s="488"/>
      <c r="Z16" s="488"/>
      <c r="AA16" s="488"/>
      <c r="AB16" s="488"/>
      <c r="AC16" s="475">
        <v>30</v>
      </c>
      <c r="AD16" s="475">
        <v>30</v>
      </c>
      <c r="AE16" s="488"/>
      <c r="AF16" s="488"/>
      <c r="AG16" s="488"/>
      <c r="AH16" s="488"/>
      <c r="AI16" s="488"/>
      <c r="AJ16" s="488"/>
      <c r="AK16" s="477">
        <v>14000</v>
      </c>
      <c r="AL16" s="472" t="s">
        <v>73</v>
      </c>
      <c r="AM16" s="472" t="s">
        <v>73</v>
      </c>
      <c r="AN16" s="472" t="s">
        <v>73</v>
      </c>
      <c r="AO16" s="472" t="s">
        <v>73</v>
      </c>
      <c r="AP16" s="478">
        <v>7000</v>
      </c>
      <c r="AQ16" s="478">
        <v>7000</v>
      </c>
      <c r="AR16" s="472" t="s">
        <v>73</v>
      </c>
      <c r="AS16" s="472" t="s">
        <v>73</v>
      </c>
      <c r="AT16" s="472" t="s">
        <v>73</v>
      </c>
      <c r="AU16" s="472" t="s">
        <v>73</v>
      </c>
      <c r="AV16" s="472" t="s">
        <v>73</v>
      </c>
      <c r="AW16" s="472" t="s">
        <v>73</v>
      </c>
      <c r="AX16" s="30">
        <v>14000</v>
      </c>
      <c r="AY16" s="479" t="s">
        <v>7</v>
      </c>
      <c r="AZ16" s="474" t="s">
        <v>74</v>
      </c>
      <c r="BA16" s="474"/>
      <c r="BB16" s="480"/>
      <c r="BC16" s="480"/>
      <c r="BK16" s="481" t="s">
        <v>802</v>
      </c>
      <c r="BL16" s="481" t="s">
        <v>803</v>
      </c>
      <c r="BM16" s="284"/>
      <c r="BN16" s="414"/>
      <c r="BO16" s="284"/>
      <c r="BP16" s="285"/>
      <c r="BQ16" s="482"/>
      <c r="BR16" s="482"/>
      <c r="BS16" s="482"/>
      <c r="BT16" s="482"/>
      <c r="BU16" s="482"/>
      <c r="BV16" s="284"/>
      <c r="BW16" s="284"/>
      <c r="BX16" s="284"/>
      <c r="BY16" s="284"/>
      <c r="BZ16" s="284"/>
      <c r="CA16" s="288"/>
      <c r="CB16" s="483"/>
      <c r="CC16" s="483"/>
      <c r="CD16" s="759"/>
      <c r="CE16" s="485">
        <f t="shared" si="29"/>
        <v>30</v>
      </c>
      <c r="CF16" s="484">
        <f t="shared" si="30"/>
        <v>7000</v>
      </c>
      <c r="CG16" s="485"/>
      <c r="CH16" s="485">
        <f t="shared" si="31"/>
        <v>0</v>
      </c>
      <c r="CI16" s="485"/>
      <c r="CJ16" s="485">
        <f t="shared" si="32"/>
        <v>0</v>
      </c>
      <c r="CK16" s="484">
        <f t="shared" si="33"/>
        <v>7000</v>
      </c>
      <c r="CL16" s="484">
        <f t="shared" si="34"/>
        <v>7000</v>
      </c>
      <c r="CM16" s="1006"/>
      <c r="CN16" s="485">
        <f t="shared" si="35"/>
        <v>30</v>
      </c>
      <c r="CO16" s="484">
        <f t="shared" si="36"/>
        <v>7000</v>
      </c>
      <c r="CP16" s="485"/>
      <c r="CQ16" s="485">
        <f t="shared" si="37"/>
        <v>0</v>
      </c>
      <c r="CR16" s="485"/>
      <c r="CS16" s="485">
        <f t="shared" si="38"/>
        <v>0</v>
      </c>
      <c r="CT16" s="484">
        <f t="shared" si="39"/>
        <v>7000</v>
      </c>
      <c r="CU16" s="484">
        <f t="shared" si="40"/>
        <v>7000</v>
      </c>
      <c r="CV16" s="1006"/>
      <c r="CW16" s="1007">
        <f t="shared" si="12"/>
        <v>14000</v>
      </c>
      <c r="CX16" s="486">
        <f t="shared" si="13"/>
        <v>0</v>
      </c>
      <c r="CY16" s="486">
        <f t="shared" si="14"/>
        <v>0</v>
      </c>
      <c r="CZ16" s="1007">
        <f t="shared" si="15"/>
        <v>14000</v>
      </c>
      <c r="DA16" s="1007">
        <f t="shared" si="16"/>
        <v>14000</v>
      </c>
    </row>
    <row r="17" spans="1:105" s="480" customFormat="1" ht="51" hidden="1" x14ac:dyDescent="0.25">
      <c r="A17" s="472">
        <v>2026</v>
      </c>
      <c r="B17" s="472">
        <v>479</v>
      </c>
      <c r="C17" s="472" t="s">
        <v>64</v>
      </c>
      <c r="D17" s="472" t="s">
        <v>65</v>
      </c>
      <c r="E17" s="472">
        <v>125</v>
      </c>
      <c r="F17" s="472">
        <v>3000654</v>
      </c>
      <c r="G17" s="472">
        <v>5005023</v>
      </c>
      <c r="H17" s="472">
        <v>3</v>
      </c>
      <c r="I17" s="472">
        <v>12</v>
      </c>
      <c r="J17" s="472">
        <v>24</v>
      </c>
      <c r="K17" s="472">
        <v>135560</v>
      </c>
      <c r="L17" s="472" t="s">
        <v>66</v>
      </c>
      <c r="M17" s="124" t="s">
        <v>67</v>
      </c>
      <c r="N17" s="472">
        <v>95</v>
      </c>
      <c r="O17" s="474"/>
      <c r="P17" s="474" t="s">
        <v>4</v>
      </c>
      <c r="Q17" s="472" t="s">
        <v>68</v>
      </c>
      <c r="R17" s="475" t="s">
        <v>69</v>
      </c>
      <c r="S17" s="475" t="s">
        <v>137</v>
      </c>
      <c r="T17" s="475"/>
      <c r="U17" s="124" t="s">
        <v>146</v>
      </c>
      <c r="V17" s="475" t="s">
        <v>3</v>
      </c>
      <c r="W17" s="121">
        <v>1</v>
      </c>
      <c r="X17" s="476">
        <v>12000</v>
      </c>
      <c r="Y17" s="474"/>
      <c r="Z17" s="474"/>
      <c r="AA17" s="474"/>
      <c r="AB17" s="474"/>
      <c r="AC17" s="475">
        <v>30</v>
      </c>
      <c r="AD17" s="475">
        <v>30</v>
      </c>
      <c r="AE17" s="474"/>
      <c r="AF17" s="474"/>
      <c r="AG17" s="474"/>
      <c r="AH17" s="474"/>
      <c r="AI17" s="474"/>
      <c r="AJ17" s="474"/>
      <c r="AK17" s="477">
        <v>24000</v>
      </c>
      <c r="AL17" s="472" t="s">
        <v>73</v>
      </c>
      <c r="AM17" s="472" t="s">
        <v>73</v>
      </c>
      <c r="AN17" s="472" t="s">
        <v>73</v>
      </c>
      <c r="AO17" s="472" t="s">
        <v>73</v>
      </c>
      <c r="AP17" s="478">
        <v>12000</v>
      </c>
      <c r="AQ17" s="478">
        <v>12000</v>
      </c>
      <c r="AR17" s="472" t="s">
        <v>73</v>
      </c>
      <c r="AS17" s="472" t="s">
        <v>73</v>
      </c>
      <c r="AT17" s="472" t="s">
        <v>73</v>
      </c>
      <c r="AU17" s="472" t="s">
        <v>73</v>
      </c>
      <c r="AV17" s="472" t="s">
        <v>73</v>
      </c>
      <c r="AW17" s="472" t="s">
        <v>73</v>
      </c>
      <c r="AX17" s="30">
        <v>24000</v>
      </c>
      <c r="AY17" s="479" t="s">
        <v>7</v>
      </c>
      <c r="AZ17" s="474" t="s">
        <v>74</v>
      </c>
      <c r="BA17" s="474"/>
      <c r="BD17" s="489"/>
      <c r="BH17" s="490"/>
      <c r="BK17" s="481" t="s">
        <v>790</v>
      </c>
      <c r="BL17" s="481" t="s">
        <v>791</v>
      </c>
      <c r="BM17" s="284" t="s">
        <v>851</v>
      </c>
      <c r="BN17" s="414" t="s">
        <v>852</v>
      </c>
      <c r="BO17" s="284" t="s">
        <v>853</v>
      </c>
      <c r="BP17" s="285">
        <v>46134</v>
      </c>
      <c r="BQ17" s="482"/>
      <c r="BR17" s="962" t="s">
        <v>854</v>
      </c>
      <c r="BS17" s="482"/>
      <c r="BT17" s="286" t="s">
        <v>796</v>
      </c>
      <c r="BU17" s="482" t="s">
        <v>797</v>
      </c>
      <c r="BV17" s="414" t="s">
        <v>855</v>
      </c>
      <c r="BW17" s="284" t="s">
        <v>856</v>
      </c>
      <c r="BX17" s="284" t="s">
        <v>857</v>
      </c>
      <c r="BY17" s="284">
        <v>25792462</v>
      </c>
      <c r="BZ17" s="284"/>
      <c r="CA17" s="288">
        <v>12000</v>
      </c>
      <c r="CB17" s="483">
        <v>46143</v>
      </c>
      <c r="CC17" s="483">
        <v>46203</v>
      </c>
      <c r="CD17" s="759"/>
      <c r="CE17" s="1000">
        <f t="shared" si="29"/>
        <v>30</v>
      </c>
      <c r="CF17" s="1000">
        <f t="shared" si="30"/>
        <v>12000</v>
      </c>
      <c r="CG17" s="142">
        <v>30</v>
      </c>
      <c r="CH17" s="1000">
        <f t="shared" si="31"/>
        <v>12000</v>
      </c>
      <c r="CI17" s="142">
        <v>30</v>
      </c>
      <c r="CJ17" s="142">
        <f t="shared" si="32"/>
        <v>12000</v>
      </c>
      <c r="CK17" s="142">
        <f t="shared" si="33"/>
        <v>0</v>
      </c>
      <c r="CL17" s="142">
        <f t="shared" si="34"/>
        <v>0</v>
      </c>
      <c r="CM17" s="1006"/>
      <c r="CN17" s="1000">
        <f t="shared" si="35"/>
        <v>30</v>
      </c>
      <c r="CO17" s="1000">
        <f t="shared" si="36"/>
        <v>12000</v>
      </c>
      <c r="CP17" s="1000">
        <v>30</v>
      </c>
      <c r="CQ17" s="142">
        <f t="shared" si="37"/>
        <v>12000</v>
      </c>
      <c r="CR17" s="142">
        <v>30</v>
      </c>
      <c r="CS17" s="1000">
        <f t="shared" si="38"/>
        <v>12000</v>
      </c>
      <c r="CT17" s="1000">
        <f t="shared" si="39"/>
        <v>0</v>
      </c>
      <c r="CU17" s="142">
        <f t="shared" si="40"/>
        <v>0</v>
      </c>
      <c r="CV17" s="1006"/>
      <c r="CW17" s="1007">
        <f t="shared" si="12"/>
        <v>24000</v>
      </c>
      <c r="CX17" s="486">
        <f t="shared" si="13"/>
        <v>24000</v>
      </c>
      <c r="CY17" s="486">
        <f t="shared" si="14"/>
        <v>24000</v>
      </c>
      <c r="CZ17" s="1007">
        <f t="shared" si="15"/>
        <v>0</v>
      </c>
      <c r="DA17" s="1007">
        <f t="shared" si="16"/>
        <v>0</v>
      </c>
    </row>
    <row r="18" spans="1:105" s="480" customFormat="1" ht="51" hidden="1" x14ac:dyDescent="0.25">
      <c r="A18" s="472">
        <v>2026</v>
      </c>
      <c r="B18" s="472">
        <v>479</v>
      </c>
      <c r="C18" s="472" t="s">
        <v>64</v>
      </c>
      <c r="D18" s="472" t="s">
        <v>65</v>
      </c>
      <c r="E18" s="472">
        <v>125</v>
      </c>
      <c r="F18" s="472">
        <v>3000654</v>
      </c>
      <c r="G18" s="472">
        <v>5005023</v>
      </c>
      <c r="H18" s="472">
        <v>3</v>
      </c>
      <c r="I18" s="472">
        <v>12</v>
      </c>
      <c r="J18" s="472">
        <v>24</v>
      </c>
      <c r="K18" s="472">
        <v>135560</v>
      </c>
      <c r="L18" s="472" t="s">
        <v>66</v>
      </c>
      <c r="M18" s="124" t="s">
        <v>67</v>
      </c>
      <c r="N18" s="472">
        <v>95</v>
      </c>
      <c r="O18" s="474"/>
      <c r="P18" s="474" t="s">
        <v>4</v>
      </c>
      <c r="Q18" s="472" t="s">
        <v>68</v>
      </c>
      <c r="R18" s="475" t="s">
        <v>69</v>
      </c>
      <c r="S18" s="475" t="s">
        <v>137</v>
      </c>
      <c r="T18" s="475"/>
      <c r="U18" s="491" t="s">
        <v>147</v>
      </c>
      <c r="V18" s="203" t="s">
        <v>3</v>
      </c>
      <c r="W18" s="203">
        <v>1</v>
      </c>
      <c r="X18" s="492">
        <v>12000</v>
      </c>
      <c r="Y18" s="868"/>
      <c r="Z18" s="200"/>
      <c r="AA18" s="200"/>
      <c r="AB18" s="869"/>
      <c r="AC18" s="203">
        <v>30</v>
      </c>
      <c r="AD18" s="203">
        <v>30</v>
      </c>
      <c r="AE18" s="474"/>
      <c r="AF18" s="474"/>
      <c r="AG18" s="474"/>
      <c r="AH18" s="474"/>
      <c r="AI18" s="474"/>
      <c r="AJ18" s="474"/>
      <c r="AK18" s="477">
        <v>24000</v>
      </c>
      <c r="AL18" s="472" t="s">
        <v>73</v>
      </c>
      <c r="AM18" s="472" t="s">
        <v>73</v>
      </c>
      <c r="AN18" s="472" t="s">
        <v>73</v>
      </c>
      <c r="AO18" s="472" t="s">
        <v>73</v>
      </c>
      <c r="AP18" s="478">
        <v>12000</v>
      </c>
      <c r="AQ18" s="478">
        <v>12000</v>
      </c>
      <c r="AR18" s="472" t="s">
        <v>73</v>
      </c>
      <c r="AS18" s="472" t="s">
        <v>73</v>
      </c>
      <c r="AT18" s="472" t="s">
        <v>73</v>
      </c>
      <c r="AU18" s="472" t="s">
        <v>73</v>
      </c>
      <c r="AV18" s="472" t="s">
        <v>73</v>
      </c>
      <c r="AW18" s="472" t="s">
        <v>73</v>
      </c>
      <c r="AX18" s="30">
        <v>24000</v>
      </c>
      <c r="AY18" s="479" t="s">
        <v>7</v>
      </c>
      <c r="AZ18" s="474" t="s">
        <v>74</v>
      </c>
      <c r="BA18" s="474"/>
      <c r="BH18" s="493"/>
      <c r="BI18" s="494"/>
      <c r="BJ18" s="495"/>
      <c r="BK18" s="481" t="s">
        <v>790</v>
      </c>
      <c r="BL18" s="481" t="s">
        <v>791</v>
      </c>
      <c r="BM18" s="284" t="s">
        <v>851</v>
      </c>
      <c r="BN18" s="414" t="s">
        <v>852</v>
      </c>
      <c r="BO18" s="284" t="s">
        <v>853</v>
      </c>
      <c r="BP18" s="285">
        <v>46134</v>
      </c>
      <c r="BQ18" s="482"/>
      <c r="BR18" s="962" t="s">
        <v>858</v>
      </c>
      <c r="BS18" s="482"/>
      <c r="BT18" s="286" t="s">
        <v>796</v>
      </c>
      <c r="BU18" s="482" t="s">
        <v>797</v>
      </c>
      <c r="BV18" s="414" t="s">
        <v>859</v>
      </c>
      <c r="BW18" s="284" t="s">
        <v>860</v>
      </c>
      <c r="BX18" s="284" t="s">
        <v>861</v>
      </c>
      <c r="BY18" s="284" t="s">
        <v>862</v>
      </c>
      <c r="BZ18" s="284"/>
      <c r="CA18" s="288">
        <v>12000</v>
      </c>
      <c r="CB18" s="483">
        <v>46143</v>
      </c>
      <c r="CC18" s="483">
        <v>46203</v>
      </c>
      <c r="CD18" s="759"/>
      <c r="CE18" s="142">
        <f t="shared" si="29"/>
        <v>30</v>
      </c>
      <c r="CF18" s="1000">
        <f t="shared" si="30"/>
        <v>12000</v>
      </c>
      <c r="CG18" s="1000">
        <v>30</v>
      </c>
      <c r="CH18" s="1000">
        <f t="shared" si="31"/>
        <v>12000</v>
      </c>
      <c r="CI18" s="1000">
        <v>30</v>
      </c>
      <c r="CJ18" s="142">
        <f t="shared" si="32"/>
        <v>12000</v>
      </c>
      <c r="CK18" s="142">
        <f t="shared" si="33"/>
        <v>0</v>
      </c>
      <c r="CL18" s="1000">
        <f t="shared" si="34"/>
        <v>0</v>
      </c>
      <c r="CM18" s="1006"/>
      <c r="CN18" s="142">
        <f t="shared" si="35"/>
        <v>30</v>
      </c>
      <c r="CO18">
        <f t="shared" si="36"/>
        <v>12000</v>
      </c>
      <c r="CP18" s="141">
        <v>30</v>
      </c>
      <c r="CQ18">
        <f t="shared" si="37"/>
        <v>12000</v>
      </c>
      <c r="CR18">
        <v>30</v>
      </c>
      <c r="CS18" s="141">
        <f t="shared" si="38"/>
        <v>12000</v>
      </c>
      <c r="CT18" s="141">
        <f t="shared" si="39"/>
        <v>0</v>
      </c>
      <c r="CU18" s="142">
        <f t="shared" si="40"/>
        <v>0</v>
      </c>
      <c r="CV18" s="1006"/>
      <c r="CW18" s="1007">
        <f t="shared" si="12"/>
        <v>24000</v>
      </c>
      <c r="CX18" s="486">
        <f t="shared" si="13"/>
        <v>24000</v>
      </c>
      <c r="CY18" s="486">
        <f t="shared" si="14"/>
        <v>24000</v>
      </c>
      <c r="CZ18" s="1007">
        <f t="shared" si="15"/>
        <v>0</v>
      </c>
      <c r="DA18" s="1007">
        <f t="shared" si="16"/>
        <v>0</v>
      </c>
    </row>
    <row r="19" spans="1:105" ht="51" hidden="1" x14ac:dyDescent="0.25">
      <c r="A19" s="472">
        <v>2026</v>
      </c>
      <c r="B19" s="472">
        <v>479</v>
      </c>
      <c r="C19" s="472" t="s">
        <v>64</v>
      </c>
      <c r="D19" s="472" t="s">
        <v>65</v>
      </c>
      <c r="E19" s="472">
        <v>125</v>
      </c>
      <c r="F19" s="472">
        <v>3000654</v>
      </c>
      <c r="G19" s="472">
        <v>5005023</v>
      </c>
      <c r="H19" s="472">
        <v>3</v>
      </c>
      <c r="I19" s="472">
        <v>12</v>
      </c>
      <c r="J19" s="472">
        <v>24</v>
      </c>
      <c r="K19" s="472">
        <v>135560</v>
      </c>
      <c r="L19" s="472" t="s">
        <v>66</v>
      </c>
      <c r="M19" s="124" t="s">
        <v>67</v>
      </c>
      <c r="N19" s="472">
        <v>95</v>
      </c>
      <c r="O19" s="474"/>
      <c r="P19" s="474" t="s">
        <v>4</v>
      </c>
      <c r="Q19" s="472" t="s">
        <v>68</v>
      </c>
      <c r="R19" s="475" t="s">
        <v>69</v>
      </c>
      <c r="S19" s="475" t="s">
        <v>137</v>
      </c>
      <c r="T19" s="475"/>
      <c r="U19" s="124" t="s">
        <v>148</v>
      </c>
      <c r="V19" s="475" t="s">
        <v>3</v>
      </c>
      <c r="W19" s="121">
        <v>1</v>
      </c>
      <c r="X19" s="476">
        <v>8000</v>
      </c>
      <c r="Y19" s="474"/>
      <c r="Z19" s="474"/>
      <c r="AA19" s="474"/>
      <c r="AB19" s="474"/>
      <c r="AC19" s="475">
        <v>30</v>
      </c>
      <c r="AD19" s="475">
        <v>30</v>
      </c>
      <c r="AE19" s="474"/>
      <c r="AF19" s="474"/>
      <c r="AG19" s="474"/>
      <c r="AH19" s="474"/>
      <c r="AI19" s="474"/>
      <c r="AJ19" s="474"/>
      <c r="AK19" s="477">
        <v>16000</v>
      </c>
      <c r="AL19" s="472" t="s">
        <v>73</v>
      </c>
      <c r="AM19" s="472" t="s">
        <v>73</v>
      </c>
      <c r="AN19" s="472" t="s">
        <v>73</v>
      </c>
      <c r="AO19" s="472" t="s">
        <v>73</v>
      </c>
      <c r="AP19" s="478">
        <v>8000</v>
      </c>
      <c r="AQ19" s="478">
        <v>8000</v>
      </c>
      <c r="AR19" s="472" t="s">
        <v>73</v>
      </c>
      <c r="AS19" s="472" t="s">
        <v>73</v>
      </c>
      <c r="AT19" s="472" t="s">
        <v>73</v>
      </c>
      <c r="AU19" s="472" t="s">
        <v>73</v>
      </c>
      <c r="AV19" s="472" t="s">
        <v>73</v>
      </c>
      <c r="AW19" s="472" t="s">
        <v>73</v>
      </c>
      <c r="AX19" s="30">
        <v>16000</v>
      </c>
      <c r="AY19" s="479" t="s">
        <v>7</v>
      </c>
      <c r="AZ19" s="474" t="s">
        <v>74</v>
      </c>
      <c r="BA19" s="474"/>
      <c r="BB19" s="480"/>
      <c r="BC19" s="480"/>
      <c r="BK19" s="481" t="s">
        <v>790</v>
      </c>
      <c r="BL19" s="481" t="s">
        <v>791</v>
      </c>
      <c r="BM19" s="284" t="s">
        <v>792</v>
      </c>
      <c r="BN19" s="414" t="s">
        <v>793</v>
      </c>
      <c r="BO19" s="284" t="s">
        <v>794</v>
      </c>
      <c r="BP19" s="285">
        <v>46134</v>
      </c>
      <c r="BQ19" s="482"/>
      <c r="BR19" s="962" t="s">
        <v>863</v>
      </c>
      <c r="BS19" s="482"/>
      <c r="BT19" s="286" t="s">
        <v>796</v>
      </c>
      <c r="BU19" s="482" t="s">
        <v>797</v>
      </c>
      <c r="BV19" s="414" t="s">
        <v>836</v>
      </c>
      <c r="BW19" s="284" t="s">
        <v>864</v>
      </c>
      <c r="BX19" s="284" t="s">
        <v>865</v>
      </c>
      <c r="BY19" s="284">
        <v>70041314</v>
      </c>
      <c r="BZ19" s="284"/>
      <c r="CA19" s="288">
        <v>5000</v>
      </c>
      <c r="CB19" s="483">
        <v>46143</v>
      </c>
      <c r="CC19" s="483">
        <v>46203</v>
      </c>
      <c r="CD19" s="759"/>
      <c r="CE19" s="485">
        <f t="shared" si="29"/>
        <v>30</v>
      </c>
      <c r="CF19" s="484">
        <f t="shared" si="30"/>
        <v>8000</v>
      </c>
      <c r="CG19" s="485">
        <v>30</v>
      </c>
      <c r="CH19" s="485">
        <f t="shared" si="31"/>
        <v>8000.0000000000009</v>
      </c>
      <c r="CI19" s="485">
        <v>30</v>
      </c>
      <c r="CJ19" s="485">
        <f t="shared" si="32"/>
        <v>8000.0000000000009</v>
      </c>
      <c r="CK19" s="484">
        <f t="shared" si="33"/>
        <v>0</v>
      </c>
      <c r="CL19" s="484">
        <f t="shared" si="34"/>
        <v>0</v>
      </c>
      <c r="CM19" s="1006"/>
      <c r="CN19" s="485">
        <f t="shared" si="35"/>
        <v>30</v>
      </c>
      <c r="CO19" s="484">
        <f t="shared" si="36"/>
        <v>8000</v>
      </c>
      <c r="CP19" s="485">
        <v>30</v>
      </c>
      <c r="CQ19" s="485">
        <f t="shared" si="37"/>
        <v>8000.0000000000009</v>
      </c>
      <c r="CR19" s="485">
        <v>30</v>
      </c>
      <c r="CS19" s="485">
        <f t="shared" si="38"/>
        <v>8000.0000000000009</v>
      </c>
      <c r="CT19" s="484">
        <f t="shared" si="39"/>
        <v>0</v>
      </c>
      <c r="CU19" s="484">
        <f t="shared" si="40"/>
        <v>0</v>
      </c>
      <c r="CV19" s="1006"/>
      <c r="CW19" s="1007">
        <f t="shared" si="12"/>
        <v>16000</v>
      </c>
      <c r="CX19" s="486">
        <f t="shared" si="13"/>
        <v>16000.000000000002</v>
      </c>
      <c r="CY19" s="486">
        <f t="shared" si="14"/>
        <v>16000.000000000002</v>
      </c>
      <c r="CZ19" s="1007">
        <f t="shared" si="15"/>
        <v>0</v>
      </c>
      <c r="DA19" s="1007">
        <f t="shared" si="16"/>
        <v>0</v>
      </c>
    </row>
    <row r="20" spans="1:105" ht="51" hidden="1" x14ac:dyDescent="0.25">
      <c r="A20" s="472">
        <v>2026</v>
      </c>
      <c r="B20" s="472">
        <v>479</v>
      </c>
      <c r="C20" s="472" t="s">
        <v>64</v>
      </c>
      <c r="D20" s="472" t="s">
        <v>65</v>
      </c>
      <c r="E20" s="472">
        <v>125</v>
      </c>
      <c r="F20" s="472">
        <v>3000654</v>
      </c>
      <c r="G20" s="472">
        <v>5005023</v>
      </c>
      <c r="H20" s="472">
        <v>3</v>
      </c>
      <c r="I20" s="472">
        <v>12</v>
      </c>
      <c r="J20" s="472">
        <v>24</v>
      </c>
      <c r="K20" s="472">
        <v>135560</v>
      </c>
      <c r="L20" s="472" t="s">
        <v>66</v>
      </c>
      <c r="M20" s="124" t="s">
        <v>67</v>
      </c>
      <c r="N20" s="472">
        <v>95</v>
      </c>
      <c r="O20" s="474"/>
      <c r="P20" s="474" t="s">
        <v>4</v>
      </c>
      <c r="Q20" s="472" t="s">
        <v>68</v>
      </c>
      <c r="R20" s="475" t="s">
        <v>69</v>
      </c>
      <c r="S20" s="475" t="s">
        <v>137</v>
      </c>
      <c r="T20" s="475"/>
      <c r="U20" s="124" t="s">
        <v>149</v>
      </c>
      <c r="V20" s="475" t="s">
        <v>3</v>
      </c>
      <c r="W20" s="121">
        <v>1</v>
      </c>
      <c r="X20" s="476">
        <v>8000</v>
      </c>
      <c r="Y20" s="474"/>
      <c r="Z20" s="474"/>
      <c r="AA20" s="474"/>
      <c r="AB20" s="474"/>
      <c r="AC20" s="475">
        <v>30</v>
      </c>
      <c r="AD20" s="475">
        <v>30</v>
      </c>
      <c r="AE20" s="474"/>
      <c r="AF20" s="474"/>
      <c r="AG20" s="474"/>
      <c r="AH20" s="474"/>
      <c r="AI20" s="474"/>
      <c r="AJ20" s="474"/>
      <c r="AK20" s="477">
        <v>16000</v>
      </c>
      <c r="AL20" s="472" t="s">
        <v>73</v>
      </c>
      <c r="AM20" s="472" t="s">
        <v>73</v>
      </c>
      <c r="AN20" s="472" t="s">
        <v>73</v>
      </c>
      <c r="AO20" s="472" t="s">
        <v>73</v>
      </c>
      <c r="AP20" s="478">
        <v>8000</v>
      </c>
      <c r="AQ20" s="478">
        <v>8000</v>
      </c>
      <c r="AR20" s="472" t="s">
        <v>73</v>
      </c>
      <c r="AS20" s="472" t="s">
        <v>73</v>
      </c>
      <c r="AT20" s="472" t="s">
        <v>73</v>
      </c>
      <c r="AU20" s="472" t="s">
        <v>73</v>
      </c>
      <c r="AV20" s="472" t="s">
        <v>73</v>
      </c>
      <c r="AW20" s="472" t="s">
        <v>73</v>
      </c>
      <c r="AX20" s="30">
        <v>16000</v>
      </c>
      <c r="AY20" s="479" t="s">
        <v>7</v>
      </c>
      <c r="AZ20" s="474" t="s">
        <v>74</v>
      </c>
      <c r="BA20" s="474"/>
      <c r="BB20" s="480"/>
      <c r="BC20" s="480"/>
      <c r="BK20" s="481" t="s">
        <v>790</v>
      </c>
      <c r="BL20" s="481" t="s">
        <v>791</v>
      </c>
      <c r="BM20" s="284" t="s">
        <v>792</v>
      </c>
      <c r="BN20" s="414" t="s">
        <v>793</v>
      </c>
      <c r="BO20" s="284" t="s">
        <v>794</v>
      </c>
      <c r="BP20" s="285">
        <v>46134</v>
      </c>
      <c r="BQ20" s="482"/>
      <c r="BR20" s="962" t="s">
        <v>866</v>
      </c>
      <c r="BS20" s="482"/>
      <c r="BT20" s="286" t="s">
        <v>796</v>
      </c>
      <c r="BU20" s="482" t="s">
        <v>797</v>
      </c>
      <c r="BV20" s="414" t="s">
        <v>867</v>
      </c>
      <c r="BW20" s="284" t="s">
        <v>868</v>
      </c>
      <c r="BX20" s="284" t="s">
        <v>869</v>
      </c>
      <c r="BY20" s="284">
        <v>18111741</v>
      </c>
      <c r="BZ20" s="284"/>
      <c r="CA20" s="288">
        <v>8000</v>
      </c>
      <c r="CB20" s="483">
        <v>46143</v>
      </c>
      <c r="CC20" s="483">
        <v>46203</v>
      </c>
      <c r="CD20" s="759"/>
      <c r="CE20" s="485">
        <f t="shared" si="29"/>
        <v>30</v>
      </c>
      <c r="CF20" s="484">
        <f t="shared" si="30"/>
        <v>8000</v>
      </c>
      <c r="CG20" s="485">
        <v>30</v>
      </c>
      <c r="CH20" s="485">
        <f t="shared" si="31"/>
        <v>8000.0000000000009</v>
      </c>
      <c r="CI20" s="485">
        <v>30</v>
      </c>
      <c r="CJ20" s="485">
        <f t="shared" si="32"/>
        <v>8000.0000000000009</v>
      </c>
      <c r="CK20" s="484">
        <f t="shared" si="33"/>
        <v>0</v>
      </c>
      <c r="CL20" s="484">
        <f t="shared" si="34"/>
        <v>0</v>
      </c>
      <c r="CM20" s="1006"/>
      <c r="CN20" s="485">
        <f t="shared" si="35"/>
        <v>30</v>
      </c>
      <c r="CO20" s="484">
        <f t="shared" si="36"/>
        <v>8000</v>
      </c>
      <c r="CP20" s="485">
        <v>30</v>
      </c>
      <c r="CQ20" s="485">
        <f t="shared" si="37"/>
        <v>8000.0000000000009</v>
      </c>
      <c r="CR20" s="485">
        <v>30</v>
      </c>
      <c r="CS20" s="485">
        <f t="shared" si="38"/>
        <v>8000.0000000000009</v>
      </c>
      <c r="CT20" s="484">
        <f t="shared" si="39"/>
        <v>0</v>
      </c>
      <c r="CU20" s="484">
        <f t="shared" si="40"/>
        <v>0</v>
      </c>
      <c r="CV20" s="1006"/>
      <c r="CW20" s="1007">
        <f t="shared" si="12"/>
        <v>16000</v>
      </c>
      <c r="CX20" s="486">
        <f t="shared" si="13"/>
        <v>16000.000000000002</v>
      </c>
      <c r="CY20" s="486">
        <f t="shared" si="14"/>
        <v>16000.000000000002</v>
      </c>
      <c r="CZ20" s="1007">
        <f t="shared" si="15"/>
        <v>0</v>
      </c>
      <c r="DA20" s="1007">
        <f t="shared" si="16"/>
        <v>0</v>
      </c>
    </row>
    <row r="21" spans="1:105" ht="51" hidden="1" x14ac:dyDescent="0.25">
      <c r="A21" s="472">
        <v>2026</v>
      </c>
      <c r="B21" s="472">
        <v>479</v>
      </c>
      <c r="C21" s="472" t="s">
        <v>64</v>
      </c>
      <c r="D21" s="472" t="s">
        <v>65</v>
      </c>
      <c r="E21" s="472">
        <v>125</v>
      </c>
      <c r="F21" s="472">
        <v>3000654</v>
      </c>
      <c r="G21" s="472">
        <v>5005023</v>
      </c>
      <c r="H21" s="472">
        <v>3</v>
      </c>
      <c r="I21" s="472">
        <v>12</v>
      </c>
      <c r="J21" s="472">
        <v>24</v>
      </c>
      <c r="K21" s="472">
        <v>135560</v>
      </c>
      <c r="L21" s="472" t="s">
        <v>66</v>
      </c>
      <c r="M21" s="124" t="s">
        <v>67</v>
      </c>
      <c r="N21" s="472">
        <v>95</v>
      </c>
      <c r="O21" s="474"/>
      <c r="P21" s="474" t="s">
        <v>4</v>
      </c>
      <c r="Q21" s="472" t="s">
        <v>68</v>
      </c>
      <c r="R21" s="475" t="s">
        <v>69</v>
      </c>
      <c r="S21" s="475" t="s">
        <v>137</v>
      </c>
      <c r="T21" s="475"/>
      <c r="U21" s="124" t="s">
        <v>150</v>
      </c>
      <c r="V21" s="475" t="s">
        <v>3</v>
      </c>
      <c r="W21" s="121">
        <v>1</v>
      </c>
      <c r="X21" s="476">
        <v>8000</v>
      </c>
      <c r="Y21" s="474"/>
      <c r="Z21" s="474"/>
      <c r="AA21" s="474"/>
      <c r="AB21" s="474"/>
      <c r="AC21" s="475">
        <v>30</v>
      </c>
      <c r="AD21" s="475">
        <v>30</v>
      </c>
      <c r="AE21" s="474"/>
      <c r="AF21" s="474"/>
      <c r="AG21" s="474"/>
      <c r="AH21" s="474"/>
      <c r="AI21" s="474"/>
      <c r="AJ21" s="474"/>
      <c r="AK21" s="477">
        <v>16000</v>
      </c>
      <c r="AL21" s="472" t="s">
        <v>73</v>
      </c>
      <c r="AM21" s="472" t="s">
        <v>73</v>
      </c>
      <c r="AN21" s="472" t="s">
        <v>73</v>
      </c>
      <c r="AO21" s="472" t="s">
        <v>73</v>
      </c>
      <c r="AP21" s="478">
        <v>8000</v>
      </c>
      <c r="AQ21" s="478">
        <v>8000</v>
      </c>
      <c r="AR21" s="472" t="s">
        <v>73</v>
      </c>
      <c r="AS21" s="472" t="s">
        <v>73</v>
      </c>
      <c r="AT21" s="472" t="s">
        <v>73</v>
      </c>
      <c r="AU21" s="472" t="s">
        <v>73</v>
      </c>
      <c r="AV21" s="472" t="s">
        <v>73</v>
      </c>
      <c r="AW21" s="472" t="s">
        <v>73</v>
      </c>
      <c r="AX21" s="30">
        <v>16000</v>
      </c>
      <c r="AY21" s="479" t="s">
        <v>7</v>
      </c>
      <c r="AZ21" s="474" t="s">
        <v>74</v>
      </c>
      <c r="BA21" s="474"/>
      <c r="BB21" s="480"/>
      <c r="BC21" s="480"/>
      <c r="BK21" s="481" t="s">
        <v>790</v>
      </c>
      <c r="BL21" s="481" t="s">
        <v>791</v>
      </c>
      <c r="BM21" s="284" t="s">
        <v>792</v>
      </c>
      <c r="BN21" s="414" t="s">
        <v>793</v>
      </c>
      <c r="BO21" s="284" t="s">
        <v>794</v>
      </c>
      <c r="BP21" s="285">
        <v>46134</v>
      </c>
      <c r="BQ21" s="482"/>
      <c r="BR21" s="962" t="s">
        <v>870</v>
      </c>
      <c r="BS21" s="482"/>
      <c r="BT21" s="286" t="s">
        <v>796</v>
      </c>
      <c r="BU21" s="482" t="s">
        <v>797</v>
      </c>
      <c r="BV21" s="414" t="s">
        <v>871</v>
      </c>
      <c r="BW21" s="284" t="s">
        <v>872</v>
      </c>
      <c r="BX21" s="284" t="s">
        <v>873</v>
      </c>
      <c r="BY21" s="284">
        <v>45387627</v>
      </c>
      <c r="BZ21" s="284"/>
      <c r="CA21" s="288">
        <v>8000</v>
      </c>
      <c r="CB21" s="483">
        <v>46143</v>
      </c>
      <c r="CC21" s="483">
        <v>46203</v>
      </c>
      <c r="CD21" s="759"/>
      <c r="CE21" s="485">
        <f t="shared" si="29"/>
        <v>30</v>
      </c>
      <c r="CF21" s="484">
        <f t="shared" si="30"/>
        <v>8000</v>
      </c>
      <c r="CG21" s="485">
        <v>30</v>
      </c>
      <c r="CH21" s="485">
        <f t="shared" si="31"/>
        <v>8000.0000000000009</v>
      </c>
      <c r="CI21" s="485">
        <v>30</v>
      </c>
      <c r="CJ21" s="485">
        <f t="shared" si="32"/>
        <v>8000.0000000000009</v>
      </c>
      <c r="CK21" s="484">
        <f t="shared" si="33"/>
        <v>0</v>
      </c>
      <c r="CL21" s="484">
        <f t="shared" si="34"/>
        <v>0</v>
      </c>
      <c r="CM21" s="1006"/>
      <c r="CN21" s="485">
        <f t="shared" si="35"/>
        <v>30</v>
      </c>
      <c r="CO21" s="484">
        <f t="shared" si="36"/>
        <v>8000</v>
      </c>
      <c r="CP21" s="485">
        <v>30</v>
      </c>
      <c r="CQ21" s="485">
        <f t="shared" si="37"/>
        <v>8000.0000000000009</v>
      </c>
      <c r="CR21" s="485">
        <v>30</v>
      </c>
      <c r="CS21" s="485">
        <f t="shared" si="38"/>
        <v>8000.0000000000009</v>
      </c>
      <c r="CT21" s="484">
        <f t="shared" si="39"/>
        <v>0</v>
      </c>
      <c r="CU21" s="484">
        <f t="shared" si="40"/>
        <v>0</v>
      </c>
      <c r="CV21" s="1006"/>
      <c r="CW21" s="1007">
        <f t="shared" si="12"/>
        <v>16000</v>
      </c>
      <c r="CX21" s="486">
        <f t="shared" si="13"/>
        <v>16000.000000000002</v>
      </c>
      <c r="CY21" s="486">
        <f t="shared" si="14"/>
        <v>16000.000000000002</v>
      </c>
      <c r="CZ21" s="1007">
        <f t="shared" si="15"/>
        <v>0</v>
      </c>
      <c r="DA21" s="1007">
        <f t="shared" si="16"/>
        <v>0</v>
      </c>
    </row>
    <row r="22" spans="1:105" ht="51" hidden="1" x14ac:dyDescent="0.25">
      <c r="A22" s="472">
        <v>2026</v>
      </c>
      <c r="B22" s="472">
        <v>479</v>
      </c>
      <c r="C22" s="472" t="s">
        <v>64</v>
      </c>
      <c r="D22" s="472" t="s">
        <v>65</v>
      </c>
      <c r="E22" s="472">
        <v>125</v>
      </c>
      <c r="F22" s="472">
        <v>3000654</v>
      </c>
      <c r="G22" s="472">
        <v>5005023</v>
      </c>
      <c r="H22" s="472">
        <v>3</v>
      </c>
      <c r="I22" s="472">
        <v>12</v>
      </c>
      <c r="J22" s="472">
        <v>24</v>
      </c>
      <c r="K22" s="472">
        <v>135560</v>
      </c>
      <c r="L22" s="472" t="s">
        <v>66</v>
      </c>
      <c r="M22" s="124" t="s">
        <v>67</v>
      </c>
      <c r="N22" s="472">
        <v>95</v>
      </c>
      <c r="O22" s="474"/>
      <c r="P22" s="474" t="s">
        <v>4</v>
      </c>
      <c r="Q22" s="472" t="s">
        <v>68</v>
      </c>
      <c r="R22" s="475" t="s">
        <v>69</v>
      </c>
      <c r="S22" s="475" t="s">
        <v>137</v>
      </c>
      <c r="T22" s="475"/>
      <c r="U22" s="124" t="s">
        <v>151</v>
      </c>
      <c r="V22" s="475" t="s">
        <v>3</v>
      </c>
      <c r="W22" s="121">
        <v>1</v>
      </c>
      <c r="X22" s="476">
        <v>8000</v>
      </c>
      <c r="Y22" s="474"/>
      <c r="Z22" s="474"/>
      <c r="AA22" s="474"/>
      <c r="AB22" s="474"/>
      <c r="AC22" s="475">
        <v>30</v>
      </c>
      <c r="AD22" s="475">
        <v>30</v>
      </c>
      <c r="AE22" s="474"/>
      <c r="AF22" s="474"/>
      <c r="AG22" s="474"/>
      <c r="AH22" s="474"/>
      <c r="AI22" s="474"/>
      <c r="AJ22" s="474"/>
      <c r="AK22" s="477">
        <v>16000</v>
      </c>
      <c r="AL22" s="472" t="s">
        <v>73</v>
      </c>
      <c r="AM22" s="472" t="s">
        <v>73</v>
      </c>
      <c r="AN22" s="472" t="s">
        <v>73</v>
      </c>
      <c r="AO22" s="472" t="s">
        <v>73</v>
      </c>
      <c r="AP22" s="478">
        <v>8000</v>
      </c>
      <c r="AQ22" s="478">
        <v>8000</v>
      </c>
      <c r="AR22" s="472" t="s">
        <v>73</v>
      </c>
      <c r="AS22" s="472" t="s">
        <v>73</v>
      </c>
      <c r="AT22" s="472" t="s">
        <v>73</v>
      </c>
      <c r="AU22" s="472" t="s">
        <v>73</v>
      </c>
      <c r="AV22" s="472" t="s">
        <v>73</v>
      </c>
      <c r="AW22" s="472" t="s">
        <v>73</v>
      </c>
      <c r="AX22" s="30">
        <v>16000</v>
      </c>
      <c r="AY22" s="479" t="s">
        <v>7</v>
      </c>
      <c r="AZ22" s="474" t="s">
        <v>74</v>
      </c>
      <c r="BA22" s="474"/>
      <c r="BB22" s="480"/>
      <c r="BC22" s="480"/>
      <c r="BK22" s="481" t="s">
        <v>790</v>
      </c>
      <c r="BL22" s="481" t="s">
        <v>791</v>
      </c>
      <c r="BM22" s="284" t="s">
        <v>792</v>
      </c>
      <c r="BN22" s="414" t="s">
        <v>793</v>
      </c>
      <c r="BO22" s="284" t="s">
        <v>794</v>
      </c>
      <c r="BP22" s="285">
        <v>46134</v>
      </c>
      <c r="BQ22" s="482"/>
      <c r="BR22" s="962" t="s">
        <v>874</v>
      </c>
      <c r="BS22" s="482"/>
      <c r="BT22" s="286" t="s">
        <v>796</v>
      </c>
      <c r="BU22" s="482" t="s">
        <v>797</v>
      </c>
      <c r="BV22" s="414" t="s">
        <v>875</v>
      </c>
      <c r="BW22" s="284" t="s">
        <v>876</v>
      </c>
      <c r="BX22" s="284" t="s">
        <v>877</v>
      </c>
      <c r="BY22" s="284">
        <v>21261169</v>
      </c>
      <c r="BZ22" s="284"/>
      <c r="CA22" s="288">
        <v>8000</v>
      </c>
      <c r="CB22" s="483">
        <v>46143</v>
      </c>
      <c r="CC22" s="483">
        <v>46203</v>
      </c>
      <c r="CD22" s="759"/>
      <c r="CE22" s="485">
        <f t="shared" si="29"/>
        <v>30</v>
      </c>
      <c r="CF22" s="484">
        <f t="shared" si="30"/>
        <v>8000</v>
      </c>
      <c r="CG22" s="485">
        <v>30</v>
      </c>
      <c r="CH22" s="485">
        <f t="shared" si="31"/>
        <v>8000.0000000000009</v>
      </c>
      <c r="CI22" s="485">
        <v>30</v>
      </c>
      <c r="CJ22" s="485">
        <f t="shared" si="32"/>
        <v>8000.0000000000009</v>
      </c>
      <c r="CK22" s="484">
        <f t="shared" si="33"/>
        <v>0</v>
      </c>
      <c r="CL22" s="484">
        <f t="shared" si="34"/>
        <v>0</v>
      </c>
      <c r="CM22" s="1006"/>
      <c r="CN22" s="485">
        <f t="shared" si="35"/>
        <v>30</v>
      </c>
      <c r="CO22" s="484">
        <f t="shared" si="36"/>
        <v>8000</v>
      </c>
      <c r="CP22" s="485">
        <v>30</v>
      </c>
      <c r="CQ22" s="485">
        <f t="shared" si="37"/>
        <v>8000.0000000000009</v>
      </c>
      <c r="CR22" s="485">
        <v>30</v>
      </c>
      <c r="CS22" s="485">
        <f t="shared" si="38"/>
        <v>8000.0000000000009</v>
      </c>
      <c r="CT22" s="484">
        <f t="shared" si="39"/>
        <v>0</v>
      </c>
      <c r="CU22" s="484">
        <f t="shared" si="40"/>
        <v>0</v>
      </c>
      <c r="CV22" s="1006"/>
      <c r="CW22" s="1007">
        <f t="shared" si="12"/>
        <v>16000</v>
      </c>
      <c r="CX22" s="486">
        <f t="shared" si="13"/>
        <v>16000.000000000002</v>
      </c>
      <c r="CY22" s="486">
        <f t="shared" si="14"/>
        <v>16000.000000000002</v>
      </c>
      <c r="CZ22" s="1007">
        <f t="shared" si="15"/>
        <v>0</v>
      </c>
      <c r="DA22" s="1007">
        <f t="shared" si="16"/>
        <v>0</v>
      </c>
    </row>
    <row r="23" spans="1:105" ht="51" hidden="1" x14ac:dyDescent="0.25">
      <c r="A23" s="472">
        <v>2026</v>
      </c>
      <c r="B23" s="472">
        <v>479</v>
      </c>
      <c r="C23" s="472" t="s">
        <v>64</v>
      </c>
      <c r="D23" s="472" t="s">
        <v>65</v>
      </c>
      <c r="E23" s="472">
        <v>125</v>
      </c>
      <c r="F23" s="472">
        <v>3000654</v>
      </c>
      <c r="G23" s="472">
        <v>5005023</v>
      </c>
      <c r="H23" s="472">
        <v>3</v>
      </c>
      <c r="I23" s="472">
        <v>12</v>
      </c>
      <c r="J23" s="472">
        <v>24</v>
      </c>
      <c r="K23" s="472">
        <v>135560</v>
      </c>
      <c r="L23" s="472" t="s">
        <v>66</v>
      </c>
      <c r="M23" s="124" t="s">
        <v>67</v>
      </c>
      <c r="N23" s="472">
        <v>95</v>
      </c>
      <c r="O23" s="474"/>
      <c r="P23" s="474" t="s">
        <v>4</v>
      </c>
      <c r="Q23" s="472" t="s">
        <v>68</v>
      </c>
      <c r="R23" s="475" t="s">
        <v>69</v>
      </c>
      <c r="S23" s="475" t="s">
        <v>137</v>
      </c>
      <c r="T23" s="475"/>
      <c r="U23" s="124" t="s">
        <v>152</v>
      </c>
      <c r="V23" s="475" t="s">
        <v>3</v>
      </c>
      <c r="W23" s="121">
        <v>1</v>
      </c>
      <c r="X23" s="476">
        <v>7000</v>
      </c>
      <c r="Y23" s="488"/>
      <c r="Z23" s="488"/>
      <c r="AA23" s="488"/>
      <c r="AB23" s="488"/>
      <c r="AC23" s="475">
        <v>30</v>
      </c>
      <c r="AD23" s="475">
        <v>30</v>
      </c>
      <c r="AE23" s="488"/>
      <c r="AF23" s="488"/>
      <c r="AG23" s="488"/>
      <c r="AH23" s="488"/>
      <c r="AI23" s="488"/>
      <c r="AJ23" s="488"/>
      <c r="AK23" s="477">
        <v>14000</v>
      </c>
      <c r="AL23" s="472" t="s">
        <v>73</v>
      </c>
      <c r="AM23" s="472" t="s">
        <v>73</v>
      </c>
      <c r="AN23" s="472" t="s">
        <v>73</v>
      </c>
      <c r="AO23" s="472" t="s">
        <v>73</v>
      </c>
      <c r="AP23" s="478">
        <v>7000</v>
      </c>
      <c r="AQ23" s="478">
        <v>7000</v>
      </c>
      <c r="AR23" s="472" t="s">
        <v>73</v>
      </c>
      <c r="AS23" s="472" t="s">
        <v>73</v>
      </c>
      <c r="AT23" s="472" t="s">
        <v>73</v>
      </c>
      <c r="AU23" s="472" t="s">
        <v>73</v>
      </c>
      <c r="AV23" s="472" t="s">
        <v>73</v>
      </c>
      <c r="AW23" s="472" t="s">
        <v>73</v>
      </c>
      <c r="AX23" s="30">
        <v>14000</v>
      </c>
      <c r="AY23" s="479" t="s">
        <v>7</v>
      </c>
      <c r="AZ23" s="474" t="s">
        <v>74</v>
      </c>
      <c r="BA23" s="474"/>
      <c r="BB23" s="480"/>
      <c r="BC23" s="480"/>
      <c r="BK23" s="481" t="s">
        <v>802</v>
      </c>
      <c r="BL23" s="481" t="s">
        <v>803</v>
      </c>
      <c r="BM23" s="284"/>
      <c r="BN23" s="414"/>
      <c r="BO23" s="284"/>
      <c r="BP23" s="285"/>
      <c r="BQ23" s="482"/>
      <c r="BR23" s="482"/>
      <c r="BS23" s="482"/>
      <c r="BT23" s="482"/>
      <c r="BU23" s="482"/>
      <c r="BV23" s="284"/>
      <c r="BW23" s="284"/>
      <c r="BX23" s="284"/>
      <c r="BY23" s="284"/>
      <c r="BZ23" s="284"/>
      <c r="CA23" s="288"/>
      <c r="CB23" s="483"/>
      <c r="CC23" s="483"/>
      <c r="CD23" s="759"/>
      <c r="CE23" s="485">
        <f t="shared" si="29"/>
        <v>30</v>
      </c>
      <c r="CF23" s="484">
        <f t="shared" si="30"/>
        <v>7000</v>
      </c>
      <c r="CG23" s="485"/>
      <c r="CH23" s="485">
        <f t="shared" si="31"/>
        <v>0</v>
      </c>
      <c r="CI23" s="485"/>
      <c r="CJ23" s="485">
        <f t="shared" si="32"/>
        <v>0</v>
      </c>
      <c r="CK23" s="484">
        <f t="shared" si="33"/>
        <v>7000</v>
      </c>
      <c r="CL23" s="484">
        <f t="shared" si="34"/>
        <v>7000</v>
      </c>
      <c r="CM23" s="1006"/>
      <c r="CN23" s="485">
        <f t="shared" si="35"/>
        <v>30</v>
      </c>
      <c r="CO23" s="484">
        <f t="shared" si="36"/>
        <v>7000</v>
      </c>
      <c r="CP23" s="485"/>
      <c r="CQ23" s="485">
        <f t="shared" si="37"/>
        <v>0</v>
      </c>
      <c r="CR23" s="485"/>
      <c r="CS23" s="485">
        <f t="shared" si="38"/>
        <v>0</v>
      </c>
      <c r="CT23" s="484">
        <f t="shared" si="39"/>
        <v>7000</v>
      </c>
      <c r="CU23" s="484">
        <f t="shared" si="40"/>
        <v>7000</v>
      </c>
      <c r="CV23" s="1006"/>
      <c r="CW23" s="1007">
        <f t="shared" si="12"/>
        <v>14000</v>
      </c>
      <c r="CX23" s="486">
        <f t="shared" si="13"/>
        <v>0</v>
      </c>
      <c r="CY23" s="486">
        <f t="shared" si="14"/>
        <v>0</v>
      </c>
      <c r="CZ23" s="1007">
        <f t="shared" si="15"/>
        <v>14000</v>
      </c>
      <c r="DA23" s="1007">
        <f t="shared" si="16"/>
        <v>14000</v>
      </c>
    </row>
    <row r="24" spans="1:105" ht="51" hidden="1" x14ac:dyDescent="0.25">
      <c r="A24" s="472">
        <v>2026</v>
      </c>
      <c r="B24" s="472">
        <v>479</v>
      </c>
      <c r="C24" s="472" t="s">
        <v>64</v>
      </c>
      <c r="D24" s="472" t="s">
        <v>65</v>
      </c>
      <c r="E24" s="472">
        <v>125</v>
      </c>
      <c r="F24" s="472">
        <v>3000654</v>
      </c>
      <c r="G24" s="472">
        <v>5005023</v>
      </c>
      <c r="H24" s="472">
        <v>3</v>
      </c>
      <c r="I24" s="472">
        <v>12</v>
      </c>
      <c r="J24" s="472">
        <v>24</v>
      </c>
      <c r="K24" s="472">
        <v>135560</v>
      </c>
      <c r="L24" s="472" t="s">
        <v>66</v>
      </c>
      <c r="M24" s="124" t="s">
        <v>67</v>
      </c>
      <c r="N24" s="472">
        <v>95</v>
      </c>
      <c r="O24" s="474"/>
      <c r="P24" s="474" t="s">
        <v>4</v>
      </c>
      <c r="Q24" s="472" t="s">
        <v>68</v>
      </c>
      <c r="R24" s="475" t="s">
        <v>69</v>
      </c>
      <c r="S24" s="475" t="s">
        <v>137</v>
      </c>
      <c r="T24" s="475"/>
      <c r="U24" s="124" t="s">
        <v>153</v>
      </c>
      <c r="V24" s="475" t="s">
        <v>3</v>
      </c>
      <c r="W24" s="121">
        <v>1</v>
      </c>
      <c r="X24" s="476">
        <v>6500</v>
      </c>
      <c r="Y24" s="474"/>
      <c r="Z24" s="474"/>
      <c r="AA24" s="474"/>
      <c r="AB24" s="474"/>
      <c r="AC24" s="475">
        <v>30</v>
      </c>
      <c r="AD24" s="475">
        <v>30</v>
      </c>
      <c r="AE24" s="474"/>
      <c r="AF24" s="474"/>
      <c r="AG24" s="474"/>
      <c r="AH24" s="474"/>
      <c r="AI24" s="474"/>
      <c r="AJ24" s="474"/>
      <c r="AK24" s="477">
        <v>13000</v>
      </c>
      <c r="AL24" s="472" t="s">
        <v>73</v>
      </c>
      <c r="AM24" s="472" t="s">
        <v>73</v>
      </c>
      <c r="AN24" s="472" t="s">
        <v>73</v>
      </c>
      <c r="AO24" s="472" t="s">
        <v>73</v>
      </c>
      <c r="AP24" s="478">
        <v>6500</v>
      </c>
      <c r="AQ24" s="478">
        <v>6500</v>
      </c>
      <c r="AR24" s="472" t="s">
        <v>73</v>
      </c>
      <c r="AS24" s="472" t="s">
        <v>73</v>
      </c>
      <c r="AT24" s="472" t="s">
        <v>73</v>
      </c>
      <c r="AU24" s="472" t="s">
        <v>73</v>
      </c>
      <c r="AV24" s="472" t="s">
        <v>73</v>
      </c>
      <c r="AW24" s="472" t="s">
        <v>73</v>
      </c>
      <c r="AX24" s="30">
        <v>13000</v>
      </c>
      <c r="AY24" s="479" t="s">
        <v>7</v>
      </c>
      <c r="AZ24" s="474" t="s">
        <v>74</v>
      </c>
      <c r="BA24" s="474"/>
      <c r="BB24" s="480"/>
      <c r="BC24" s="480"/>
      <c r="BK24" s="481" t="s">
        <v>790</v>
      </c>
      <c r="BL24" s="481" t="s">
        <v>791</v>
      </c>
      <c r="BM24" s="284" t="s">
        <v>792</v>
      </c>
      <c r="BN24" s="414" t="s">
        <v>793</v>
      </c>
      <c r="BO24" s="284" t="s">
        <v>794</v>
      </c>
      <c r="BP24" s="285">
        <v>46134</v>
      </c>
      <c r="BQ24" s="482"/>
      <c r="BR24" s="962" t="s">
        <v>878</v>
      </c>
      <c r="BS24" s="482"/>
      <c r="BT24" s="286" t="s">
        <v>796</v>
      </c>
      <c r="BU24" s="482" t="s">
        <v>797</v>
      </c>
      <c r="BV24" s="414" t="s">
        <v>879</v>
      </c>
      <c r="BW24" s="284" t="s">
        <v>880</v>
      </c>
      <c r="BX24" s="284" t="s">
        <v>881</v>
      </c>
      <c r="BY24" s="284">
        <v>45096283</v>
      </c>
      <c r="BZ24" s="284"/>
      <c r="CA24" s="288">
        <v>6500</v>
      </c>
      <c r="CB24" s="483">
        <v>46143</v>
      </c>
      <c r="CC24" s="483">
        <v>46203</v>
      </c>
      <c r="CD24" s="759"/>
      <c r="CE24" s="485">
        <f t="shared" si="29"/>
        <v>30</v>
      </c>
      <c r="CF24" s="484">
        <f t="shared" si="30"/>
        <v>6500</v>
      </c>
      <c r="CG24" s="485">
        <v>30</v>
      </c>
      <c r="CH24" s="485">
        <f t="shared" si="31"/>
        <v>6500</v>
      </c>
      <c r="CI24" s="485">
        <v>30</v>
      </c>
      <c r="CJ24" s="485">
        <f t="shared" si="32"/>
        <v>6500</v>
      </c>
      <c r="CK24" s="484">
        <f t="shared" si="33"/>
        <v>0</v>
      </c>
      <c r="CL24" s="484">
        <f t="shared" si="34"/>
        <v>0</v>
      </c>
      <c r="CM24" s="1006"/>
      <c r="CN24" s="485">
        <f t="shared" si="35"/>
        <v>30</v>
      </c>
      <c r="CO24" s="484">
        <f t="shared" si="36"/>
        <v>6500</v>
      </c>
      <c r="CP24" s="485">
        <v>30</v>
      </c>
      <c r="CQ24" s="485">
        <f t="shared" si="37"/>
        <v>6500</v>
      </c>
      <c r="CR24" s="485">
        <v>30</v>
      </c>
      <c r="CS24" s="485">
        <f t="shared" si="38"/>
        <v>6500</v>
      </c>
      <c r="CT24" s="484">
        <f t="shared" si="39"/>
        <v>0</v>
      </c>
      <c r="CU24" s="484">
        <f t="shared" si="40"/>
        <v>0</v>
      </c>
      <c r="CV24" s="1006"/>
      <c r="CW24" s="1007">
        <f t="shared" si="12"/>
        <v>13000</v>
      </c>
      <c r="CX24" s="486">
        <f t="shared" si="13"/>
        <v>13000</v>
      </c>
      <c r="CY24" s="486">
        <f t="shared" si="14"/>
        <v>13000</v>
      </c>
      <c r="CZ24" s="1007">
        <f t="shared" si="15"/>
        <v>0</v>
      </c>
      <c r="DA24" s="1007">
        <f t="shared" si="16"/>
        <v>0</v>
      </c>
    </row>
    <row r="25" spans="1:105" ht="51" hidden="1" x14ac:dyDescent="0.25">
      <c r="A25" s="472">
        <v>2026</v>
      </c>
      <c r="B25" s="472">
        <v>479</v>
      </c>
      <c r="C25" s="472" t="s">
        <v>64</v>
      </c>
      <c r="D25" s="472" t="s">
        <v>65</v>
      </c>
      <c r="E25" s="472">
        <v>125</v>
      </c>
      <c r="F25" s="472">
        <v>3000654</v>
      </c>
      <c r="G25" s="472">
        <v>5005023</v>
      </c>
      <c r="H25" s="472">
        <v>3</v>
      </c>
      <c r="I25" s="472">
        <v>12</v>
      </c>
      <c r="J25" s="472">
        <v>24</v>
      </c>
      <c r="K25" s="472">
        <v>135560</v>
      </c>
      <c r="L25" s="472" t="s">
        <v>66</v>
      </c>
      <c r="M25" s="124" t="s">
        <v>67</v>
      </c>
      <c r="N25" s="472">
        <v>95</v>
      </c>
      <c r="O25" s="474"/>
      <c r="P25" s="474" t="s">
        <v>4</v>
      </c>
      <c r="Q25" s="472" t="s">
        <v>68</v>
      </c>
      <c r="R25" s="475" t="s">
        <v>69</v>
      </c>
      <c r="S25" s="475" t="s">
        <v>137</v>
      </c>
      <c r="T25" s="475"/>
      <c r="U25" s="124" t="s">
        <v>154</v>
      </c>
      <c r="V25" s="475" t="s">
        <v>3</v>
      </c>
      <c r="W25" s="121">
        <v>1</v>
      </c>
      <c r="X25" s="476">
        <v>5500</v>
      </c>
      <c r="Y25" s="474"/>
      <c r="Z25" s="474"/>
      <c r="AA25" s="474"/>
      <c r="AB25" s="474"/>
      <c r="AC25" s="475">
        <v>30</v>
      </c>
      <c r="AD25" s="475">
        <v>30</v>
      </c>
      <c r="AE25" s="474"/>
      <c r="AF25" s="474"/>
      <c r="AG25" s="474"/>
      <c r="AH25" s="474"/>
      <c r="AI25" s="474"/>
      <c r="AJ25" s="474"/>
      <c r="AK25" s="477">
        <v>11000</v>
      </c>
      <c r="AL25" s="472" t="s">
        <v>73</v>
      </c>
      <c r="AM25" s="472" t="s">
        <v>73</v>
      </c>
      <c r="AN25" s="472" t="s">
        <v>73</v>
      </c>
      <c r="AO25" s="472" t="s">
        <v>73</v>
      </c>
      <c r="AP25" s="478">
        <v>5500</v>
      </c>
      <c r="AQ25" s="478">
        <v>5500</v>
      </c>
      <c r="AR25" s="472" t="s">
        <v>73</v>
      </c>
      <c r="AS25" s="472" t="s">
        <v>73</v>
      </c>
      <c r="AT25" s="472" t="s">
        <v>73</v>
      </c>
      <c r="AU25" s="472" t="s">
        <v>73</v>
      </c>
      <c r="AV25" s="472" t="s">
        <v>73</v>
      </c>
      <c r="AW25" s="472" t="s">
        <v>73</v>
      </c>
      <c r="AX25" s="30">
        <v>11000</v>
      </c>
      <c r="AY25" s="479" t="s">
        <v>7</v>
      </c>
      <c r="AZ25" s="474" t="s">
        <v>74</v>
      </c>
      <c r="BA25" s="474"/>
      <c r="BB25" s="480"/>
      <c r="BC25" s="480"/>
      <c r="BK25" s="481" t="s">
        <v>790</v>
      </c>
      <c r="BL25" s="481" t="s">
        <v>791</v>
      </c>
      <c r="BM25" s="284" t="s">
        <v>792</v>
      </c>
      <c r="BN25" s="414" t="s">
        <v>793</v>
      </c>
      <c r="BO25" s="284" t="s">
        <v>794</v>
      </c>
      <c r="BP25" s="285">
        <v>46134</v>
      </c>
      <c r="BQ25" s="482"/>
      <c r="BR25" s="962" t="s">
        <v>882</v>
      </c>
      <c r="BS25" s="482"/>
      <c r="BT25" s="286" t="s">
        <v>796</v>
      </c>
      <c r="BU25" s="482" t="s">
        <v>797</v>
      </c>
      <c r="BV25" s="414" t="s">
        <v>868</v>
      </c>
      <c r="BW25" s="284" t="s">
        <v>883</v>
      </c>
      <c r="BX25" s="284" t="s">
        <v>884</v>
      </c>
      <c r="BY25" s="284">
        <v>70491896</v>
      </c>
      <c r="BZ25" s="284"/>
      <c r="CA25" s="288">
        <v>5500</v>
      </c>
      <c r="CB25" s="483">
        <v>46143</v>
      </c>
      <c r="CC25" s="483">
        <v>46203</v>
      </c>
      <c r="CD25" s="759"/>
      <c r="CE25" s="485">
        <f t="shared" ref="CE25" si="77">AC25</f>
        <v>30</v>
      </c>
      <c r="CF25" s="484">
        <f t="shared" ref="CF25" si="78">AP25</f>
        <v>5500</v>
      </c>
      <c r="CG25" s="485">
        <v>30</v>
      </c>
      <c r="CH25" s="485">
        <f t="shared" ref="CH25" si="79">(X25/30)*CG25</f>
        <v>5500</v>
      </c>
      <c r="CI25" s="485">
        <v>30</v>
      </c>
      <c r="CJ25" s="485">
        <f t="shared" ref="CJ25" si="80">(X25/30)*CI25</f>
        <v>5500</v>
      </c>
      <c r="CK25" s="484">
        <f t="shared" ref="CK25" si="81">CF25-CH25</f>
        <v>0</v>
      </c>
      <c r="CL25" s="484">
        <f t="shared" ref="CL25" si="82">CF25-CJ25</f>
        <v>0</v>
      </c>
      <c r="CM25" s="1006"/>
      <c r="CN25" s="485">
        <f t="shared" ref="CN25" si="83">AD25</f>
        <v>30</v>
      </c>
      <c r="CO25" s="484">
        <f t="shared" ref="CO25" si="84">AQ25</f>
        <v>5500</v>
      </c>
      <c r="CP25" s="485">
        <v>30</v>
      </c>
      <c r="CQ25" s="485">
        <f t="shared" ref="CQ25" si="85">(X25/30)*CP25</f>
        <v>5500</v>
      </c>
      <c r="CR25" s="485">
        <v>30</v>
      </c>
      <c r="CS25" s="485">
        <f t="shared" ref="CS25" si="86">(X25/30)*CR25</f>
        <v>5500</v>
      </c>
      <c r="CT25" s="484">
        <f t="shared" ref="CT25" si="87">CO25-CQ25</f>
        <v>0</v>
      </c>
      <c r="CU25" s="484">
        <f t="shared" ref="CU25" si="88">CO25-CS25</f>
        <v>0</v>
      </c>
      <c r="CV25" s="1006"/>
      <c r="CW25" s="1007">
        <f t="shared" si="12"/>
        <v>11000</v>
      </c>
      <c r="CX25" s="486">
        <f t="shared" si="13"/>
        <v>11000</v>
      </c>
      <c r="CY25" s="486">
        <f t="shared" si="14"/>
        <v>11000</v>
      </c>
      <c r="CZ25" s="1007">
        <f t="shared" si="15"/>
        <v>0</v>
      </c>
      <c r="DA25" s="1007">
        <f t="shared" si="16"/>
        <v>0</v>
      </c>
    </row>
    <row r="26" spans="1:105" ht="51" hidden="1" x14ac:dyDescent="0.25">
      <c r="A26" s="472">
        <v>2026</v>
      </c>
      <c r="B26" s="472">
        <v>479</v>
      </c>
      <c r="C26" s="472" t="s">
        <v>64</v>
      </c>
      <c r="D26" s="472" t="s">
        <v>65</v>
      </c>
      <c r="E26" s="472">
        <v>125</v>
      </c>
      <c r="F26" s="472">
        <v>3000654</v>
      </c>
      <c r="G26" s="472">
        <v>5005023</v>
      </c>
      <c r="H26" s="472">
        <v>3</v>
      </c>
      <c r="I26" s="472">
        <v>12</v>
      </c>
      <c r="J26" s="472">
        <v>24</v>
      </c>
      <c r="K26" s="472">
        <v>135560</v>
      </c>
      <c r="L26" s="472" t="s">
        <v>66</v>
      </c>
      <c r="M26" s="124" t="s">
        <v>67</v>
      </c>
      <c r="N26" s="472">
        <v>95</v>
      </c>
      <c r="O26" s="474"/>
      <c r="P26" s="474" t="s">
        <v>4</v>
      </c>
      <c r="Q26" s="472" t="s">
        <v>68</v>
      </c>
      <c r="R26" s="475" t="s">
        <v>69</v>
      </c>
      <c r="S26" s="475" t="s">
        <v>137</v>
      </c>
      <c r="T26" s="475"/>
      <c r="U26" s="124" t="s">
        <v>154</v>
      </c>
      <c r="V26" s="475" t="s">
        <v>3</v>
      </c>
      <c r="W26" s="121">
        <v>2</v>
      </c>
      <c r="X26" s="476">
        <v>5500</v>
      </c>
      <c r="Y26" s="488"/>
      <c r="Z26" s="488"/>
      <c r="AA26" s="488"/>
      <c r="AB26" s="488"/>
      <c r="AC26" s="475">
        <v>30</v>
      </c>
      <c r="AD26" s="475">
        <v>30</v>
      </c>
      <c r="AE26" s="488"/>
      <c r="AF26" s="488"/>
      <c r="AG26" s="488"/>
      <c r="AH26" s="488"/>
      <c r="AI26" s="488"/>
      <c r="AJ26" s="488"/>
      <c r="AK26" s="477">
        <v>22000</v>
      </c>
      <c r="AL26" s="472" t="s">
        <v>73</v>
      </c>
      <c r="AM26" s="472" t="s">
        <v>73</v>
      </c>
      <c r="AN26" s="472" t="s">
        <v>73</v>
      </c>
      <c r="AO26" s="472" t="s">
        <v>73</v>
      </c>
      <c r="AP26" s="478">
        <v>5500</v>
      </c>
      <c r="AQ26" s="478">
        <v>5500</v>
      </c>
      <c r="AR26" s="472" t="s">
        <v>73</v>
      </c>
      <c r="AS26" s="472" t="s">
        <v>73</v>
      </c>
      <c r="AT26" s="472" t="s">
        <v>73</v>
      </c>
      <c r="AU26" s="472" t="s">
        <v>73</v>
      </c>
      <c r="AV26" s="472" t="s">
        <v>73</v>
      </c>
      <c r="AW26" s="472" t="s">
        <v>73</v>
      </c>
      <c r="AX26" s="30">
        <v>22000</v>
      </c>
      <c r="AY26" s="479" t="s">
        <v>7</v>
      </c>
      <c r="AZ26" s="474" t="s">
        <v>74</v>
      </c>
      <c r="BA26" s="474"/>
      <c r="BB26" s="480"/>
      <c r="BC26" s="480"/>
      <c r="BK26" s="481" t="s">
        <v>802</v>
      </c>
      <c r="BL26" s="481" t="s">
        <v>803</v>
      </c>
      <c r="BM26" s="284"/>
      <c r="BN26" s="414"/>
      <c r="BO26" s="284"/>
      <c r="BP26" s="285"/>
      <c r="BQ26" s="482"/>
      <c r="BR26" s="482"/>
      <c r="BS26" s="482"/>
      <c r="BT26" s="482"/>
      <c r="BU26" s="482"/>
      <c r="BV26" s="284"/>
      <c r="BW26" s="284"/>
      <c r="BX26" s="284"/>
      <c r="BY26" s="284"/>
      <c r="BZ26" s="284"/>
      <c r="CA26" s="288"/>
      <c r="CB26" s="483"/>
      <c r="CC26" s="483"/>
      <c r="CD26" s="759"/>
      <c r="CE26" s="485">
        <f t="shared" si="29"/>
        <v>30</v>
      </c>
      <c r="CF26" s="484">
        <f t="shared" si="30"/>
        <v>5500</v>
      </c>
      <c r="CG26" s="485"/>
      <c r="CH26" s="485">
        <f t="shared" si="31"/>
        <v>0</v>
      </c>
      <c r="CI26" s="485"/>
      <c r="CJ26" s="485">
        <f t="shared" si="32"/>
        <v>0</v>
      </c>
      <c r="CK26" s="484">
        <f t="shared" si="33"/>
        <v>5500</v>
      </c>
      <c r="CL26" s="484">
        <f t="shared" si="34"/>
        <v>5500</v>
      </c>
      <c r="CM26" s="1006"/>
      <c r="CN26" s="485">
        <f t="shared" si="35"/>
        <v>30</v>
      </c>
      <c r="CO26" s="484">
        <f t="shared" si="36"/>
        <v>5500</v>
      </c>
      <c r="CP26" s="485"/>
      <c r="CQ26" s="485">
        <f t="shared" si="37"/>
        <v>0</v>
      </c>
      <c r="CR26" s="485"/>
      <c r="CS26" s="485">
        <f t="shared" si="38"/>
        <v>0</v>
      </c>
      <c r="CT26" s="484">
        <f t="shared" si="39"/>
        <v>5500</v>
      </c>
      <c r="CU26" s="484">
        <f t="shared" si="40"/>
        <v>5500</v>
      </c>
      <c r="CV26" s="1006"/>
      <c r="CW26" s="1007">
        <f t="shared" si="12"/>
        <v>22000</v>
      </c>
      <c r="CX26" s="486">
        <f t="shared" si="13"/>
        <v>0</v>
      </c>
      <c r="CY26" s="486">
        <f t="shared" si="14"/>
        <v>0</v>
      </c>
      <c r="CZ26" s="1007">
        <f t="shared" si="15"/>
        <v>22000</v>
      </c>
      <c r="DA26" s="1007">
        <f t="shared" si="16"/>
        <v>22000</v>
      </c>
    </row>
    <row r="27" spans="1:105" ht="51" hidden="1" x14ac:dyDescent="0.25">
      <c r="A27" s="472">
        <v>2026</v>
      </c>
      <c r="B27" s="472">
        <v>479</v>
      </c>
      <c r="C27" s="472" t="s">
        <v>64</v>
      </c>
      <c r="D27" s="472" t="s">
        <v>65</v>
      </c>
      <c r="E27" s="472">
        <v>125</v>
      </c>
      <c r="F27" s="472">
        <v>3000654</v>
      </c>
      <c r="G27" s="472">
        <v>5005023</v>
      </c>
      <c r="H27" s="472">
        <v>3</v>
      </c>
      <c r="I27" s="472">
        <v>12</v>
      </c>
      <c r="J27" s="472">
        <v>24</v>
      </c>
      <c r="K27" s="472">
        <v>135560</v>
      </c>
      <c r="L27" s="472" t="s">
        <v>66</v>
      </c>
      <c r="M27" s="124" t="s">
        <v>67</v>
      </c>
      <c r="N27" s="472">
        <v>95</v>
      </c>
      <c r="O27" s="474"/>
      <c r="P27" s="474" t="s">
        <v>4</v>
      </c>
      <c r="Q27" s="472" t="s">
        <v>68</v>
      </c>
      <c r="R27" s="475" t="s">
        <v>69</v>
      </c>
      <c r="S27" s="475" t="s">
        <v>137</v>
      </c>
      <c r="T27" s="475"/>
      <c r="U27" s="124" t="s">
        <v>155</v>
      </c>
      <c r="V27" s="475" t="s">
        <v>3</v>
      </c>
      <c r="W27" s="121">
        <v>1</v>
      </c>
      <c r="X27" s="476">
        <v>6000</v>
      </c>
      <c r="Y27" s="488"/>
      <c r="Z27" s="488"/>
      <c r="AA27" s="488"/>
      <c r="AB27" s="488"/>
      <c r="AC27" s="475">
        <v>30</v>
      </c>
      <c r="AD27" s="475">
        <v>30</v>
      </c>
      <c r="AE27" s="488"/>
      <c r="AF27" s="488"/>
      <c r="AG27" s="488"/>
      <c r="AH27" s="488"/>
      <c r="AI27" s="488"/>
      <c r="AJ27" s="488"/>
      <c r="AK27" s="477">
        <v>12000</v>
      </c>
      <c r="AL27" s="472" t="s">
        <v>73</v>
      </c>
      <c r="AM27" s="472" t="s">
        <v>73</v>
      </c>
      <c r="AN27" s="472" t="s">
        <v>73</v>
      </c>
      <c r="AO27" s="472" t="s">
        <v>73</v>
      </c>
      <c r="AP27" s="478">
        <v>6000</v>
      </c>
      <c r="AQ27" s="478">
        <v>6000</v>
      </c>
      <c r="AR27" s="472" t="s">
        <v>73</v>
      </c>
      <c r="AS27" s="472" t="s">
        <v>73</v>
      </c>
      <c r="AT27" s="472" t="s">
        <v>73</v>
      </c>
      <c r="AU27" s="472" t="s">
        <v>73</v>
      </c>
      <c r="AV27" s="472" t="s">
        <v>73</v>
      </c>
      <c r="AW27" s="472" t="s">
        <v>73</v>
      </c>
      <c r="AX27" s="30">
        <v>12000</v>
      </c>
      <c r="AY27" s="479" t="s">
        <v>7</v>
      </c>
      <c r="AZ27" s="474" t="s">
        <v>74</v>
      </c>
      <c r="BA27" s="474"/>
      <c r="BB27" s="480"/>
      <c r="BC27" s="480"/>
      <c r="BK27" s="481" t="s">
        <v>802</v>
      </c>
      <c r="BL27" s="481" t="s">
        <v>803</v>
      </c>
      <c r="BM27" s="284"/>
      <c r="BN27" s="414"/>
      <c r="BO27" s="284"/>
      <c r="BP27" s="285"/>
      <c r="BQ27" s="482"/>
      <c r="BR27" s="482"/>
      <c r="BS27" s="482"/>
      <c r="BT27" s="482"/>
      <c r="BU27" s="482"/>
      <c r="BV27" s="284"/>
      <c r="BW27" s="284"/>
      <c r="BX27" s="284"/>
      <c r="BY27" s="284"/>
      <c r="BZ27" s="284"/>
      <c r="CA27" s="288"/>
      <c r="CB27" s="483"/>
      <c r="CC27" s="483"/>
      <c r="CD27" s="759"/>
      <c r="CE27" s="485">
        <f t="shared" si="29"/>
        <v>30</v>
      </c>
      <c r="CF27" s="484">
        <f t="shared" si="30"/>
        <v>6000</v>
      </c>
      <c r="CG27" s="485"/>
      <c r="CH27" s="485">
        <f t="shared" si="31"/>
        <v>0</v>
      </c>
      <c r="CI27" s="485"/>
      <c r="CJ27" s="485">
        <f t="shared" si="32"/>
        <v>0</v>
      </c>
      <c r="CK27" s="484">
        <f t="shared" si="33"/>
        <v>6000</v>
      </c>
      <c r="CL27" s="484">
        <f t="shared" si="34"/>
        <v>6000</v>
      </c>
      <c r="CM27" s="1006"/>
      <c r="CN27" s="485">
        <f t="shared" si="35"/>
        <v>30</v>
      </c>
      <c r="CO27" s="484">
        <f t="shared" si="36"/>
        <v>6000</v>
      </c>
      <c r="CP27" s="485"/>
      <c r="CQ27" s="485">
        <f t="shared" si="37"/>
        <v>0</v>
      </c>
      <c r="CR27" s="485"/>
      <c r="CS27" s="485">
        <f t="shared" si="38"/>
        <v>0</v>
      </c>
      <c r="CT27" s="484">
        <f t="shared" si="39"/>
        <v>6000</v>
      </c>
      <c r="CU27" s="484">
        <f t="shared" si="40"/>
        <v>6000</v>
      </c>
      <c r="CV27" s="1006"/>
      <c r="CW27" s="1007">
        <f t="shared" si="12"/>
        <v>12000</v>
      </c>
      <c r="CX27" s="486">
        <f t="shared" si="13"/>
        <v>0</v>
      </c>
      <c r="CY27" s="486">
        <f t="shared" si="14"/>
        <v>0</v>
      </c>
      <c r="CZ27" s="1007">
        <f t="shared" si="15"/>
        <v>12000</v>
      </c>
      <c r="DA27" s="1007">
        <f t="shared" si="16"/>
        <v>12000</v>
      </c>
    </row>
    <row r="28" spans="1:105" ht="51" hidden="1" x14ac:dyDescent="0.25">
      <c r="A28" s="472">
        <v>2026</v>
      </c>
      <c r="B28" s="472">
        <v>479</v>
      </c>
      <c r="C28" s="472" t="s">
        <v>64</v>
      </c>
      <c r="D28" s="472" t="s">
        <v>65</v>
      </c>
      <c r="E28" s="472">
        <v>125</v>
      </c>
      <c r="F28" s="472">
        <v>3000654</v>
      </c>
      <c r="G28" s="472">
        <v>5005023</v>
      </c>
      <c r="H28" s="472">
        <v>3</v>
      </c>
      <c r="I28" s="472">
        <v>12</v>
      </c>
      <c r="J28" s="472">
        <v>24</v>
      </c>
      <c r="K28" s="472">
        <v>135560</v>
      </c>
      <c r="L28" s="472" t="s">
        <v>66</v>
      </c>
      <c r="M28" s="124" t="s">
        <v>67</v>
      </c>
      <c r="N28" s="472">
        <v>95</v>
      </c>
      <c r="O28" s="474"/>
      <c r="P28" s="474" t="s">
        <v>4</v>
      </c>
      <c r="Q28" s="472" t="s">
        <v>68</v>
      </c>
      <c r="R28" s="475" t="s">
        <v>69</v>
      </c>
      <c r="S28" s="475" t="s">
        <v>137</v>
      </c>
      <c r="T28" s="475"/>
      <c r="U28" s="124" t="s">
        <v>156</v>
      </c>
      <c r="V28" s="475" t="s">
        <v>3</v>
      </c>
      <c r="W28" s="121">
        <v>1</v>
      </c>
      <c r="X28" s="476">
        <v>5500</v>
      </c>
      <c r="Y28" s="474"/>
      <c r="Z28" s="474"/>
      <c r="AA28" s="474"/>
      <c r="AB28" s="474"/>
      <c r="AC28" s="475">
        <v>30</v>
      </c>
      <c r="AD28" s="475">
        <v>30</v>
      </c>
      <c r="AE28" s="474"/>
      <c r="AF28" s="474"/>
      <c r="AG28" s="474"/>
      <c r="AH28" s="474"/>
      <c r="AI28" s="474"/>
      <c r="AJ28" s="474"/>
      <c r="AK28" s="477">
        <v>11000</v>
      </c>
      <c r="AL28" s="472" t="s">
        <v>73</v>
      </c>
      <c r="AM28" s="472" t="s">
        <v>73</v>
      </c>
      <c r="AN28" s="472" t="s">
        <v>73</v>
      </c>
      <c r="AO28" s="472" t="s">
        <v>73</v>
      </c>
      <c r="AP28" s="478">
        <v>5500</v>
      </c>
      <c r="AQ28" s="478">
        <v>5500</v>
      </c>
      <c r="AR28" s="472" t="s">
        <v>73</v>
      </c>
      <c r="AS28" s="472" t="s">
        <v>73</v>
      </c>
      <c r="AT28" s="472" t="s">
        <v>73</v>
      </c>
      <c r="AU28" s="472" t="s">
        <v>73</v>
      </c>
      <c r="AV28" s="472" t="s">
        <v>73</v>
      </c>
      <c r="AW28" s="472" t="s">
        <v>73</v>
      </c>
      <c r="AX28" s="30">
        <v>11000</v>
      </c>
      <c r="AY28" s="479" t="s">
        <v>7</v>
      </c>
      <c r="AZ28" s="474" t="s">
        <v>74</v>
      </c>
      <c r="BA28" s="474"/>
      <c r="BB28" s="480"/>
      <c r="BC28" s="480"/>
      <c r="BK28" s="481" t="s">
        <v>790</v>
      </c>
      <c r="BL28" s="481" t="s">
        <v>791</v>
      </c>
      <c r="BM28" s="284" t="s">
        <v>792</v>
      </c>
      <c r="BN28" s="414" t="s">
        <v>793</v>
      </c>
      <c r="BO28" s="284" t="s">
        <v>794</v>
      </c>
      <c r="BP28" s="285">
        <v>46134</v>
      </c>
      <c r="BQ28" s="482"/>
      <c r="BR28" s="962" t="s">
        <v>885</v>
      </c>
      <c r="BS28" s="482"/>
      <c r="BT28" s="286" t="s">
        <v>796</v>
      </c>
      <c r="BU28" s="482" t="s">
        <v>797</v>
      </c>
      <c r="BV28" s="414" t="s">
        <v>886</v>
      </c>
      <c r="BW28" s="284" t="s">
        <v>887</v>
      </c>
      <c r="BX28" s="284" t="s">
        <v>888</v>
      </c>
      <c r="BY28" s="284">
        <v>44303048</v>
      </c>
      <c r="BZ28" s="284"/>
      <c r="CA28" s="288">
        <v>5500</v>
      </c>
      <c r="CB28" s="483">
        <v>46143</v>
      </c>
      <c r="CC28" s="483">
        <v>46203</v>
      </c>
      <c r="CD28" s="759"/>
      <c r="CE28" s="485">
        <f t="shared" si="29"/>
        <v>30</v>
      </c>
      <c r="CF28" s="484">
        <f t="shared" si="30"/>
        <v>5500</v>
      </c>
      <c r="CG28" s="485">
        <v>30</v>
      </c>
      <c r="CH28" s="485">
        <f t="shared" si="31"/>
        <v>5500</v>
      </c>
      <c r="CI28" s="485">
        <v>30</v>
      </c>
      <c r="CJ28" s="485">
        <f t="shared" si="32"/>
        <v>5500</v>
      </c>
      <c r="CK28" s="484">
        <f t="shared" si="33"/>
        <v>0</v>
      </c>
      <c r="CL28" s="484">
        <f t="shared" si="34"/>
        <v>0</v>
      </c>
      <c r="CM28" s="1006"/>
      <c r="CN28" s="485">
        <f t="shared" si="35"/>
        <v>30</v>
      </c>
      <c r="CO28" s="484">
        <f t="shared" si="36"/>
        <v>5500</v>
      </c>
      <c r="CP28" s="485">
        <v>30</v>
      </c>
      <c r="CQ28" s="485">
        <f t="shared" si="37"/>
        <v>5500</v>
      </c>
      <c r="CR28" s="485">
        <v>30</v>
      </c>
      <c r="CS28" s="485">
        <f t="shared" si="38"/>
        <v>5500</v>
      </c>
      <c r="CT28" s="484">
        <f t="shared" si="39"/>
        <v>0</v>
      </c>
      <c r="CU28" s="484">
        <f t="shared" si="40"/>
        <v>0</v>
      </c>
      <c r="CV28" s="1006"/>
      <c r="CW28" s="1007">
        <f t="shared" si="12"/>
        <v>11000</v>
      </c>
      <c r="CX28" s="486">
        <f t="shared" si="13"/>
        <v>11000</v>
      </c>
      <c r="CY28" s="486">
        <f t="shared" si="14"/>
        <v>11000</v>
      </c>
      <c r="CZ28" s="1007">
        <f t="shared" si="15"/>
        <v>0</v>
      </c>
      <c r="DA28" s="1007">
        <f t="shared" si="16"/>
        <v>0</v>
      </c>
    </row>
    <row r="29" spans="1:105" ht="51" hidden="1" x14ac:dyDescent="0.25">
      <c r="A29" s="472">
        <v>2026</v>
      </c>
      <c r="B29" s="472">
        <v>479</v>
      </c>
      <c r="C29" s="472" t="s">
        <v>64</v>
      </c>
      <c r="D29" s="472" t="s">
        <v>65</v>
      </c>
      <c r="E29" s="472">
        <v>125</v>
      </c>
      <c r="F29" s="472">
        <v>3000654</v>
      </c>
      <c r="G29" s="472">
        <v>5005023</v>
      </c>
      <c r="H29" s="472">
        <v>3</v>
      </c>
      <c r="I29" s="472">
        <v>12</v>
      </c>
      <c r="J29" s="472">
        <v>24</v>
      </c>
      <c r="K29" s="472">
        <v>135560</v>
      </c>
      <c r="L29" s="472" t="s">
        <v>66</v>
      </c>
      <c r="M29" s="124" t="s">
        <v>67</v>
      </c>
      <c r="N29" s="472">
        <v>95</v>
      </c>
      <c r="O29" s="474"/>
      <c r="P29" s="474" t="s">
        <v>4</v>
      </c>
      <c r="Q29" s="472" t="s">
        <v>68</v>
      </c>
      <c r="R29" s="475" t="s">
        <v>69</v>
      </c>
      <c r="S29" s="475" t="s">
        <v>137</v>
      </c>
      <c r="T29" s="475"/>
      <c r="U29" s="124" t="s">
        <v>157</v>
      </c>
      <c r="V29" s="475" t="s">
        <v>3</v>
      </c>
      <c r="W29" s="121">
        <v>1</v>
      </c>
      <c r="X29" s="476">
        <v>6000</v>
      </c>
      <c r="Y29" s="474"/>
      <c r="Z29" s="474"/>
      <c r="AA29" s="474"/>
      <c r="AB29" s="474"/>
      <c r="AC29" s="475">
        <v>30</v>
      </c>
      <c r="AD29" s="475">
        <v>30</v>
      </c>
      <c r="AE29" s="474"/>
      <c r="AF29" s="474"/>
      <c r="AG29" s="474"/>
      <c r="AH29" s="474"/>
      <c r="AI29" s="474"/>
      <c r="AJ29" s="474"/>
      <c r="AK29" s="477">
        <v>12000</v>
      </c>
      <c r="AL29" s="472" t="s">
        <v>73</v>
      </c>
      <c r="AM29" s="472" t="s">
        <v>73</v>
      </c>
      <c r="AN29" s="472" t="s">
        <v>73</v>
      </c>
      <c r="AO29" s="472" t="s">
        <v>73</v>
      </c>
      <c r="AP29" s="478">
        <v>6000</v>
      </c>
      <c r="AQ29" s="478">
        <v>6000</v>
      </c>
      <c r="AR29" s="472" t="s">
        <v>73</v>
      </c>
      <c r="AS29" s="472" t="s">
        <v>73</v>
      </c>
      <c r="AT29" s="472" t="s">
        <v>73</v>
      </c>
      <c r="AU29" s="472" t="s">
        <v>73</v>
      </c>
      <c r="AV29" s="472" t="s">
        <v>73</v>
      </c>
      <c r="AW29" s="472" t="s">
        <v>73</v>
      </c>
      <c r="AX29" s="30">
        <v>12000</v>
      </c>
      <c r="AY29" s="479" t="s">
        <v>7</v>
      </c>
      <c r="AZ29" s="474" t="s">
        <v>74</v>
      </c>
      <c r="BA29" s="474"/>
      <c r="BB29" s="480"/>
      <c r="BC29" s="480"/>
      <c r="BK29" s="481" t="s">
        <v>790</v>
      </c>
      <c r="BL29" s="481" t="s">
        <v>791</v>
      </c>
      <c r="BM29" s="284" t="s">
        <v>792</v>
      </c>
      <c r="BN29" s="414" t="s">
        <v>793</v>
      </c>
      <c r="BO29" s="284" t="s">
        <v>794</v>
      </c>
      <c r="BP29" s="285">
        <v>46134</v>
      </c>
      <c r="BQ29" s="482"/>
      <c r="BR29" s="962" t="s">
        <v>889</v>
      </c>
      <c r="BS29" s="482"/>
      <c r="BT29" s="286" t="s">
        <v>796</v>
      </c>
      <c r="BU29" s="482" t="s">
        <v>797</v>
      </c>
      <c r="BV29" s="414" t="s">
        <v>890</v>
      </c>
      <c r="BW29" s="284" t="s">
        <v>891</v>
      </c>
      <c r="BX29" s="284" t="s">
        <v>892</v>
      </c>
      <c r="BY29" s="284">
        <v>44913697</v>
      </c>
      <c r="BZ29" s="284"/>
      <c r="CA29" s="288">
        <v>6000</v>
      </c>
      <c r="CB29" s="483">
        <v>46143</v>
      </c>
      <c r="CC29" s="483">
        <v>46172</v>
      </c>
      <c r="CD29" s="759"/>
      <c r="CE29" s="485">
        <f t="shared" si="29"/>
        <v>30</v>
      </c>
      <c r="CF29" s="484">
        <f t="shared" si="30"/>
        <v>6000</v>
      </c>
      <c r="CG29" s="485">
        <v>30</v>
      </c>
      <c r="CH29" s="485">
        <f t="shared" si="31"/>
        <v>6000</v>
      </c>
      <c r="CI29" s="485">
        <v>30</v>
      </c>
      <c r="CJ29" s="485">
        <f t="shared" si="32"/>
        <v>6000</v>
      </c>
      <c r="CK29" s="484">
        <f t="shared" si="33"/>
        <v>0</v>
      </c>
      <c r="CL29" s="484">
        <f t="shared" si="34"/>
        <v>0</v>
      </c>
      <c r="CM29" s="1006"/>
      <c r="CN29" s="485">
        <f t="shared" si="35"/>
        <v>30</v>
      </c>
      <c r="CO29" s="484">
        <f t="shared" si="36"/>
        <v>6000</v>
      </c>
      <c r="CP29" s="485">
        <v>30</v>
      </c>
      <c r="CQ29" s="485">
        <f t="shared" si="37"/>
        <v>6000</v>
      </c>
      <c r="CR29" s="485">
        <v>30</v>
      </c>
      <c r="CS29" s="485">
        <f t="shared" si="38"/>
        <v>6000</v>
      </c>
      <c r="CT29" s="484">
        <f t="shared" si="39"/>
        <v>0</v>
      </c>
      <c r="CU29" s="484">
        <f t="shared" si="40"/>
        <v>0</v>
      </c>
      <c r="CV29" s="1006"/>
      <c r="CW29" s="1007">
        <f t="shared" si="12"/>
        <v>12000</v>
      </c>
      <c r="CX29" s="486">
        <f t="shared" si="13"/>
        <v>12000</v>
      </c>
      <c r="CY29" s="486">
        <f t="shared" si="14"/>
        <v>12000</v>
      </c>
      <c r="CZ29" s="1007">
        <f t="shared" si="15"/>
        <v>0</v>
      </c>
      <c r="DA29" s="1007">
        <f t="shared" si="16"/>
        <v>0</v>
      </c>
    </row>
    <row r="30" spans="1:105" ht="51" hidden="1" x14ac:dyDescent="0.25">
      <c r="A30" s="472">
        <v>2026</v>
      </c>
      <c r="B30" s="472">
        <v>479</v>
      </c>
      <c r="C30" s="472" t="s">
        <v>64</v>
      </c>
      <c r="D30" s="472" t="s">
        <v>65</v>
      </c>
      <c r="E30" s="472">
        <v>125</v>
      </c>
      <c r="F30" s="472">
        <v>3000654</v>
      </c>
      <c r="G30" s="472">
        <v>5005023</v>
      </c>
      <c r="H30" s="472">
        <v>3</v>
      </c>
      <c r="I30" s="472">
        <v>12</v>
      </c>
      <c r="J30" s="472">
        <v>24</v>
      </c>
      <c r="K30" s="472">
        <v>135560</v>
      </c>
      <c r="L30" s="472" t="s">
        <v>66</v>
      </c>
      <c r="M30" s="124" t="s">
        <v>67</v>
      </c>
      <c r="N30" s="472">
        <v>95</v>
      </c>
      <c r="O30" s="474"/>
      <c r="P30" s="474" t="s">
        <v>4</v>
      </c>
      <c r="Q30" s="472" t="s">
        <v>68</v>
      </c>
      <c r="R30" s="475" t="s">
        <v>69</v>
      </c>
      <c r="S30" s="475" t="s">
        <v>137</v>
      </c>
      <c r="T30" s="475"/>
      <c r="U30" s="124" t="s">
        <v>158</v>
      </c>
      <c r="V30" s="475" t="s">
        <v>3</v>
      </c>
      <c r="W30" s="121">
        <v>1</v>
      </c>
      <c r="X30" s="476">
        <v>5000</v>
      </c>
      <c r="Y30" s="474"/>
      <c r="Z30" s="474"/>
      <c r="AA30" s="474"/>
      <c r="AB30" s="474"/>
      <c r="AC30" s="475">
        <v>30</v>
      </c>
      <c r="AD30" s="475">
        <v>30</v>
      </c>
      <c r="AE30" s="474"/>
      <c r="AF30" s="474"/>
      <c r="AG30" s="474"/>
      <c r="AH30" s="474"/>
      <c r="AI30" s="474"/>
      <c r="AJ30" s="474"/>
      <c r="AK30" s="477">
        <v>10000</v>
      </c>
      <c r="AL30" s="472" t="s">
        <v>73</v>
      </c>
      <c r="AM30" s="472" t="s">
        <v>73</v>
      </c>
      <c r="AN30" s="472" t="s">
        <v>73</v>
      </c>
      <c r="AO30" s="472" t="s">
        <v>73</v>
      </c>
      <c r="AP30" s="478">
        <v>5000</v>
      </c>
      <c r="AQ30" s="478">
        <v>5000</v>
      </c>
      <c r="AR30" s="472" t="s">
        <v>73</v>
      </c>
      <c r="AS30" s="472" t="s">
        <v>73</v>
      </c>
      <c r="AT30" s="472" t="s">
        <v>73</v>
      </c>
      <c r="AU30" s="472" t="s">
        <v>73</v>
      </c>
      <c r="AV30" s="472" t="s">
        <v>73</v>
      </c>
      <c r="AW30" s="472" t="s">
        <v>73</v>
      </c>
      <c r="AX30" s="30">
        <v>10000</v>
      </c>
      <c r="AY30" s="479" t="s">
        <v>7</v>
      </c>
      <c r="AZ30" s="474" t="s">
        <v>74</v>
      </c>
      <c r="BA30" s="474"/>
      <c r="BB30" s="480"/>
      <c r="BC30" s="480"/>
      <c r="BK30" s="481" t="s">
        <v>790</v>
      </c>
      <c r="BL30" s="481" t="s">
        <v>791</v>
      </c>
      <c r="BM30" s="284" t="s">
        <v>792</v>
      </c>
      <c r="BN30" s="414" t="s">
        <v>793</v>
      </c>
      <c r="BO30" s="284" t="s">
        <v>794</v>
      </c>
      <c r="BP30" s="285">
        <v>46134</v>
      </c>
      <c r="BQ30" s="482"/>
      <c r="BR30" s="962" t="s">
        <v>893</v>
      </c>
      <c r="BS30" s="482"/>
      <c r="BT30" s="286" t="s">
        <v>796</v>
      </c>
      <c r="BU30" s="482" t="s">
        <v>797</v>
      </c>
      <c r="BV30" s="414" t="s">
        <v>894</v>
      </c>
      <c r="BW30" s="284" t="s">
        <v>895</v>
      </c>
      <c r="BX30" s="284" t="s">
        <v>896</v>
      </c>
      <c r="BY30" s="284">
        <v>45250945</v>
      </c>
      <c r="BZ30" s="284"/>
      <c r="CA30" s="288">
        <v>5000</v>
      </c>
      <c r="CB30" s="483">
        <v>46143</v>
      </c>
      <c r="CC30" s="483">
        <v>46203</v>
      </c>
      <c r="CD30" s="759"/>
      <c r="CE30" s="485">
        <f t="shared" ref="CE30" si="89">AC30</f>
        <v>30</v>
      </c>
      <c r="CF30" s="484">
        <f t="shared" ref="CF30" si="90">AP30</f>
        <v>5000</v>
      </c>
      <c r="CG30" s="485">
        <v>30</v>
      </c>
      <c r="CH30" s="485">
        <f t="shared" ref="CH30" si="91">(X30/30)*CG30</f>
        <v>5000</v>
      </c>
      <c r="CI30" s="485">
        <v>30</v>
      </c>
      <c r="CJ30" s="485">
        <f t="shared" ref="CJ30" si="92">(X30/30)*CI30</f>
        <v>5000</v>
      </c>
      <c r="CK30" s="484">
        <f t="shared" ref="CK30" si="93">CF30-CH30</f>
        <v>0</v>
      </c>
      <c r="CL30" s="484">
        <f t="shared" ref="CL30" si="94">CF30-CJ30</f>
        <v>0</v>
      </c>
      <c r="CM30" s="1006"/>
      <c r="CN30" s="485">
        <f t="shared" ref="CN30" si="95">AD30</f>
        <v>30</v>
      </c>
      <c r="CO30" s="484">
        <f t="shared" ref="CO30" si="96">AQ30</f>
        <v>5000</v>
      </c>
      <c r="CP30" s="485">
        <v>30</v>
      </c>
      <c r="CQ30" s="485">
        <f t="shared" ref="CQ30" si="97">(X30/30)*CP30</f>
        <v>5000</v>
      </c>
      <c r="CR30" s="485">
        <v>30</v>
      </c>
      <c r="CS30" s="485">
        <f t="shared" ref="CS30" si="98">(X30/30)*CR30</f>
        <v>5000</v>
      </c>
      <c r="CT30" s="484">
        <f t="shared" ref="CT30" si="99">CO30-CQ30</f>
        <v>0</v>
      </c>
      <c r="CU30" s="484">
        <f t="shared" ref="CU30" si="100">CO30-CS30</f>
        <v>0</v>
      </c>
      <c r="CV30" s="1006"/>
      <c r="CW30" s="1007">
        <f t="shared" si="12"/>
        <v>10000</v>
      </c>
      <c r="CX30" s="486">
        <f t="shared" si="13"/>
        <v>10000</v>
      </c>
      <c r="CY30" s="486">
        <f t="shared" si="14"/>
        <v>10000</v>
      </c>
      <c r="CZ30" s="1007">
        <f t="shared" si="15"/>
        <v>0</v>
      </c>
      <c r="DA30" s="1007">
        <f t="shared" si="16"/>
        <v>0</v>
      </c>
    </row>
    <row r="31" spans="1:105" ht="51" hidden="1" x14ac:dyDescent="0.25">
      <c r="A31" s="472">
        <v>2026</v>
      </c>
      <c r="B31" s="472">
        <v>479</v>
      </c>
      <c r="C31" s="472" t="s">
        <v>64</v>
      </c>
      <c r="D31" s="472" t="s">
        <v>65</v>
      </c>
      <c r="E31" s="472">
        <v>125</v>
      </c>
      <c r="F31" s="472">
        <v>3000654</v>
      </c>
      <c r="G31" s="472">
        <v>5005023</v>
      </c>
      <c r="H31" s="472">
        <v>3</v>
      </c>
      <c r="I31" s="472">
        <v>12</v>
      </c>
      <c r="J31" s="472">
        <v>24</v>
      </c>
      <c r="K31" s="472">
        <v>135560</v>
      </c>
      <c r="L31" s="472" t="s">
        <v>66</v>
      </c>
      <c r="M31" s="124" t="s">
        <v>67</v>
      </c>
      <c r="N31" s="472">
        <v>95</v>
      </c>
      <c r="O31" s="474"/>
      <c r="P31" s="474" t="s">
        <v>4</v>
      </c>
      <c r="Q31" s="472" t="s">
        <v>68</v>
      </c>
      <c r="R31" s="475" t="s">
        <v>69</v>
      </c>
      <c r="S31" s="475" t="s">
        <v>137</v>
      </c>
      <c r="T31" s="475"/>
      <c r="U31" s="124" t="s">
        <v>158</v>
      </c>
      <c r="V31" s="475" t="s">
        <v>3</v>
      </c>
      <c r="W31" s="121">
        <v>1</v>
      </c>
      <c r="X31" s="476">
        <v>5000</v>
      </c>
      <c r="Y31" s="474"/>
      <c r="Z31" s="474"/>
      <c r="AA31" s="474"/>
      <c r="AB31" s="474"/>
      <c r="AC31" s="475">
        <v>30</v>
      </c>
      <c r="AD31" s="475">
        <v>30</v>
      </c>
      <c r="AE31" s="474"/>
      <c r="AF31" s="474"/>
      <c r="AG31" s="474"/>
      <c r="AH31" s="474"/>
      <c r="AI31" s="474"/>
      <c r="AJ31" s="474"/>
      <c r="AK31" s="477">
        <v>10000</v>
      </c>
      <c r="AL31" s="472" t="s">
        <v>73</v>
      </c>
      <c r="AM31" s="472" t="s">
        <v>73</v>
      </c>
      <c r="AN31" s="472" t="s">
        <v>73</v>
      </c>
      <c r="AO31" s="472" t="s">
        <v>73</v>
      </c>
      <c r="AP31" s="478">
        <v>5000</v>
      </c>
      <c r="AQ31" s="478">
        <v>5000</v>
      </c>
      <c r="AR31" s="472" t="s">
        <v>73</v>
      </c>
      <c r="AS31" s="472" t="s">
        <v>73</v>
      </c>
      <c r="AT31" s="472" t="s">
        <v>73</v>
      </c>
      <c r="AU31" s="472" t="s">
        <v>73</v>
      </c>
      <c r="AV31" s="472" t="s">
        <v>73</v>
      </c>
      <c r="AW31" s="472" t="s">
        <v>73</v>
      </c>
      <c r="AX31" s="30">
        <v>10000</v>
      </c>
      <c r="AY31" s="479" t="s">
        <v>7</v>
      </c>
      <c r="AZ31" s="474" t="s">
        <v>74</v>
      </c>
      <c r="BA31" s="474"/>
      <c r="BB31" s="480"/>
      <c r="BC31" s="480"/>
      <c r="BK31" s="481" t="s">
        <v>790</v>
      </c>
      <c r="BL31" s="481" t="s">
        <v>791</v>
      </c>
      <c r="BM31" s="284" t="s">
        <v>792</v>
      </c>
      <c r="BN31" s="414" t="s">
        <v>793</v>
      </c>
      <c r="BO31" s="284" t="s">
        <v>794</v>
      </c>
      <c r="BP31" s="285">
        <v>46134</v>
      </c>
      <c r="BQ31" s="482"/>
      <c r="BR31" s="962" t="s">
        <v>897</v>
      </c>
      <c r="BS31" s="482"/>
      <c r="BT31" s="286" t="s">
        <v>796</v>
      </c>
      <c r="BU31" s="482" t="s">
        <v>797</v>
      </c>
      <c r="BV31" s="414" t="s">
        <v>898</v>
      </c>
      <c r="BW31" s="284" t="s">
        <v>899</v>
      </c>
      <c r="BX31" s="284" t="s">
        <v>900</v>
      </c>
      <c r="BY31" s="284">
        <v>47737701</v>
      </c>
      <c r="BZ31" s="284"/>
      <c r="CA31" s="288">
        <v>5000</v>
      </c>
      <c r="CB31" s="483">
        <v>46143</v>
      </c>
      <c r="CC31" s="483">
        <v>46203</v>
      </c>
      <c r="CD31" s="759"/>
      <c r="CE31" s="485">
        <f t="shared" ref="CE31" si="101">AC31</f>
        <v>30</v>
      </c>
      <c r="CF31" s="484">
        <f t="shared" ref="CF31" si="102">AP31</f>
        <v>5000</v>
      </c>
      <c r="CG31" s="485">
        <v>30</v>
      </c>
      <c r="CH31" s="485">
        <f t="shared" ref="CH31" si="103">(X31/30)*CG31</f>
        <v>5000</v>
      </c>
      <c r="CI31" s="485">
        <v>30</v>
      </c>
      <c r="CJ31" s="485">
        <f t="shared" ref="CJ31" si="104">(X31/30)*CI31</f>
        <v>5000</v>
      </c>
      <c r="CK31" s="484">
        <f t="shared" ref="CK31" si="105">CF31-CH31</f>
        <v>0</v>
      </c>
      <c r="CL31" s="484">
        <f t="shared" ref="CL31" si="106">CF31-CJ31</f>
        <v>0</v>
      </c>
      <c r="CM31" s="1006"/>
      <c r="CN31" s="485">
        <f t="shared" ref="CN31" si="107">AD31</f>
        <v>30</v>
      </c>
      <c r="CO31" s="484">
        <f t="shared" ref="CO31" si="108">AQ31</f>
        <v>5000</v>
      </c>
      <c r="CP31" s="485">
        <v>30</v>
      </c>
      <c r="CQ31" s="485">
        <f t="shared" ref="CQ31" si="109">(X31/30)*CP31</f>
        <v>5000</v>
      </c>
      <c r="CR31" s="485">
        <v>30</v>
      </c>
      <c r="CS31" s="485">
        <f t="shared" ref="CS31" si="110">(X31/30)*CR31</f>
        <v>5000</v>
      </c>
      <c r="CT31" s="484">
        <f t="shared" ref="CT31" si="111">CO31-CQ31</f>
        <v>0</v>
      </c>
      <c r="CU31" s="484">
        <f t="shared" ref="CU31" si="112">CO31-CS31</f>
        <v>0</v>
      </c>
      <c r="CV31" s="1006"/>
      <c r="CW31" s="1007">
        <f t="shared" si="12"/>
        <v>10000</v>
      </c>
      <c r="CX31" s="486">
        <f t="shared" si="13"/>
        <v>10000</v>
      </c>
      <c r="CY31" s="486">
        <f t="shared" si="14"/>
        <v>10000</v>
      </c>
      <c r="CZ31" s="1007">
        <f t="shared" si="15"/>
        <v>0</v>
      </c>
      <c r="DA31" s="1007">
        <f t="shared" si="16"/>
        <v>0</v>
      </c>
    </row>
    <row r="32" spans="1:105" ht="51" hidden="1" x14ac:dyDescent="0.25">
      <c r="A32" s="472">
        <v>2026</v>
      </c>
      <c r="B32" s="472">
        <v>479</v>
      </c>
      <c r="C32" s="472" t="s">
        <v>64</v>
      </c>
      <c r="D32" s="472" t="s">
        <v>65</v>
      </c>
      <c r="E32" s="472">
        <v>125</v>
      </c>
      <c r="F32" s="472">
        <v>3000654</v>
      </c>
      <c r="G32" s="472">
        <v>5005023</v>
      </c>
      <c r="H32" s="472">
        <v>3</v>
      </c>
      <c r="I32" s="472">
        <v>12</v>
      </c>
      <c r="J32" s="472">
        <v>24</v>
      </c>
      <c r="K32" s="472">
        <v>135560</v>
      </c>
      <c r="L32" s="472" t="s">
        <v>66</v>
      </c>
      <c r="M32" s="124" t="s">
        <v>67</v>
      </c>
      <c r="N32" s="472">
        <v>95</v>
      </c>
      <c r="O32" s="474"/>
      <c r="P32" s="474" t="s">
        <v>4</v>
      </c>
      <c r="Q32" s="472" t="s">
        <v>68</v>
      </c>
      <c r="R32" s="475" t="s">
        <v>69</v>
      </c>
      <c r="S32" s="475" t="s">
        <v>137</v>
      </c>
      <c r="T32" s="475"/>
      <c r="U32" s="124" t="s">
        <v>158</v>
      </c>
      <c r="V32" s="475" t="s">
        <v>3</v>
      </c>
      <c r="W32" s="121">
        <v>1</v>
      </c>
      <c r="X32" s="476">
        <v>5000</v>
      </c>
      <c r="Y32" s="474"/>
      <c r="Z32" s="474"/>
      <c r="AA32" s="474"/>
      <c r="AB32" s="474"/>
      <c r="AC32" s="475">
        <v>30</v>
      </c>
      <c r="AD32" s="475">
        <v>30</v>
      </c>
      <c r="AE32" s="474"/>
      <c r="AF32" s="474"/>
      <c r="AG32" s="474"/>
      <c r="AH32" s="474"/>
      <c r="AI32" s="474"/>
      <c r="AJ32" s="474"/>
      <c r="AK32" s="477">
        <v>10000</v>
      </c>
      <c r="AL32" s="472" t="s">
        <v>73</v>
      </c>
      <c r="AM32" s="472" t="s">
        <v>73</v>
      </c>
      <c r="AN32" s="472" t="s">
        <v>73</v>
      </c>
      <c r="AO32" s="472" t="s">
        <v>73</v>
      </c>
      <c r="AP32" s="478">
        <v>5000</v>
      </c>
      <c r="AQ32" s="478">
        <v>5000</v>
      </c>
      <c r="AR32" s="472" t="s">
        <v>73</v>
      </c>
      <c r="AS32" s="472" t="s">
        <v>73</v>
      </c>
      <c r="AT32" s="472" t="s">
        <v>73</v>
      </c>
      <c r="AU32" s="472" t="s">
        <v>73</v>
      </c>
      <c r="AV32" s="472" t="s">
        <v>73</v>
      </c>
      <c r="AW32" s="472" t="s">
        <v>73</v>
      </c>
      <c r="AX32" s="30">
        <v>10000</v>
      </c>
      <c r="AY32" s="479" t="s">
        <v>7</v>
      </c>
      <c r="AZ32" s="474" t="s">
        <v>74</v>
      </c>
      <c r="BA32" s="474"/>
      <c r="BB32" s="480"/>
      <c r="BC32" s="480"/>
      <c r="BK32" s="481" t="s">
        <v>802</v>
      </c>
      <c r="BL32" s="481" t="s">
        <v>803</v>
      </c>
      <c r="BM32" s="480"/>
      <c r="BN32" s="142"/>
      <c r="BO32" s="480"/>
      <c r="BP32" s="480"/>
      <c r="BQ32" s="480"/>
      <c r="BR32" s="480"/>
      <c r="BS32" s="480"/>
      <c r="BT32" s="480"/>
      <c r="BU32" s="480"/>
      <c r="BV32" s="142"/>
      <c r="BW32" s="142"/>
      <c r="BX32" s="142"/>
      <c r="BY32" s="496"/>
      <c r="BZ32" s="142"/>
      <c r="CA32" s="497"/>
      <c r="CB32" s="480"/>
      <c r="CC32" s="480"/>
      <c r="CD32" s="759"/>
      <c r="CE32" s="142">
        <f t="shared" si="29"/>
        <v>30</v>
      </c>
      <c r="CF32" s="1000">
        <f t="shared" si="30"/>
        <v>5000</v>
      </c>
      <c r="CG32" s="142"/>
      <c r="CH32" s="142">
        <f t="shared" si="31"/>
        <v>0</v>
      </c>
      <c r="CI32" s="142"/>
      <c r="CJ32" s="142">
        <f t="shared" si="32"/>
        <v>0</v>
      </c>
      <c r="CK32" s="1000">
        <f t="shared" si="33"/>
        <v>5000</v>
      </c>
      <c r="CL32" s="1000">
        <f t="shared" si="34"/>
        <v>5000</v>
      </c>
      <c r="CM32" s="1006"/>
      <c r="CN32" s="142">
        <f t="shared" si="35"/>
        <v>30</v>
      </c>
      <c r="CO32" s="1000">
        <f t="shared" si="36"/>
        <v>5000</v>
      </c>
      <c r="CP32" s="142"/>
      <c r="CQ32" s="142">
        <f t="shared" si="37"/>
        <v>0</v>
      </c>
      <c r="CR32" s="142"/>
      <c r="CS32" s="142">
        <f t="shared" si="38"/>
        <v>0</v>
      </c>
      <c r="CT32" s="1000">
        <f t="shared" si="39"/>
        <v>5000</v>
      </c>
      <c r="CU32" s="1000">
        <f t="shared" si="40"/>
        <v>5000</v>
      </c>
      <c r="CV32" s="1006"/>
      <c r="CW32" s="1007">
        <f t="shared" si="12"/>
        <v>10000</v>
      </c>
      <c r="CX32" s="486">
        <f t="shared" si="13"/>
        <v>0</v>
      </c>
      <c r="CY32" s="486">
        <f t="shared" si="14"/>
        <v>0</v>
      </c>
      <c r="CZ32" s="1007">
        <f t="shared" si="15"/>
        <v>10000</v>
      </c>
      <c r="DA32" s="1007">
        <f t="shared" si="16"/>
        <v>10000</v>
      </c>
    </row>
    <row r="33" spans="1:108" ht="51" hidden="1" x14ac:dyDescent="0.25">
      <c r="A33" s="472">
        <v>2026</v>
      </c>
      <c r="B33" s="472">
        <v>479</v>
      </c>
      <c r="C33" s="472" t="s">
        <v>64</v>
      </c>
      <c r="D33" s="472" t="s">
        <v>65</v>
      </c>
      <c r="E33" s="472">
        <v>125</v>
      </c>
      <c r="F33" s="472">
        <v>3000654</v>
      </c>
      <c r="G33" s="472">
        <v>5005023</v>
      </c>
      <c r="H33" s="472">
        <v>3</v>
      </c>
      <c r="I33" s="472">
        <v>12</v>
      </c>
      <c r="J33" s="472">
        <v>24</v>
      </c>
      <c r="K33" s="472">
        <v>135560</v>
      </c>
      <c r="L33" s="472" t="s">
        <v>66</v>
      </c>
      <c r="M33" s="124" t="s">
        <v>67</v>
      </c>
      <c r="N33" s="472">
        <v>95</v>
      </c>
      <c r="O33" s="474"/>
      <c r="P33" s="474" t="s">
        <v>4</v>
      </c>
      <c r="Q33" s="472" t="s">
        <v>68</v>
      </c>
      <c r="R33" s="475" t="s">
        <v>69</v>
      </c>
      <c r="S33" s="475" t="s">
        <v>137</v>
      </c>
      <c r="T33" s="475"/>
      <c r="U33" s="124" t="s">
        <v>159</v>
      </c>
      <c r="V33" s="475" t="s">
        <v>3</v>
      </c>
      <c r="W33" s="121">
        <v>1</v>
      </c>
      <c r="X33" s="476">
        <v>8000</v>
      </c>
      <c r="Y33" s="474"/>
      <c r="Z33" s="474"/>
      <c r="AA33" s="474"/>
      <c r="AB33" s="474"/>
      <c r="AC33" s="475">
        <v>30</v>
      </c>
      <c r="AD33" s="475">
        <v>30</v>
      </c>
      <c r="AE33" s="474"/>
      <c r="AF33" s="474"/>
      <c r="AG33" s="474"/>
      <c r="AH33" s="474"/>
      <c r="AI33" s="474"/>
      <c r="AJ33" s="474"/>
      <c r="AK33" s="477">
        <v>16000</v>
      </c>
      <c r="AL33" s="472" t="s">
        <v>73</v>
      </c>
      <c r="AM33" s="472" t="s">
        <v>73</v>
      </c>
      <c r="AN33" s="472" t="s">
        <v>73</v>
      </c>
      <c r="AO33" s="472" t="s">
        <v>73</v>
      </c>
      <c r="AP33" s="478">
        <v>8000</v>
      </c>
      <c r="AQ33" s="478">
        <v>8000</v>
      </c>
      <c r="AR33" s="472" t="s">
        <v>73</v>
      </c>
      <c r="AS33" s="472" t="s">
        <v>73</v>
      </c>
      <c r="AT33" s="472" t="s">
        <v>73</v>
      </c>
      <c r="AU33" s="472" t="s">
        <v>73</v>
      </c>
      <c r="AV33" s="472" t="s">
        <v>73</v>
      </c>
      <c r="AW33" s="472" t="s">
        <v>73</v>
      </c>
      <c r="AX33" s="30">
        <v>16000</v>
      </c>
      <c r="AY33" s="479" t="s">
        <v>7</v>
      </c>
      <c r="AZ33" s="474" t="s">
        <v>74</v>
      </c>
      <c r="BA33" s="474"/>
      <c r="BB33" s="480"/>
      <c r="BC33" s="480"/>
      <c r="BK33" s="481" t="s">
        <v>790</v>
      </c>
      <c r="BL33" s="481" t="s">
        <v>791</v>
      </c>
      <c r="BM33" s="284" t="s">
        <v>792</v>
      </c>
      <c r="BN33" s="414" t="s">
        <v>793</v>
      </c>
      <c r="BO33" s="284" t="s">
        <v>794</v>
      </c>
      <c r="BP33" s="285">
        <v>46134</v>
      </c>
      <c r="BQ33" s="482"/>
      <c r="BR33" s="962" t="s">
        <v>901</v>
      </c>
      <c r="BS33" s="482"/>
      <c r="BT33" s="286" t="s">
        <v>796</v>
      </c>
      <c r="BU33" s="482" t="s">
        <v>797</v>
      </c>
      <c r="BV33" s="414" t="s">
        <v>902</v>
      </c>
      <c r="BW33" s="284" t="s">
        <v>903</v>
      </c>
      <c r="BX33" s="284" t="s">
        <v>904</v>
      </c>
      <c r="BY33" s="284">
        <v>46836739</v>
      </c>
      <c r="BZ33" s="284"/>
      <c r="CA33" s="288">
        <v>8000</v>
      </c>
      <c r="CB33" s="483">
        <v>46143</v>
      </c>
      <c r="CC33" s="483">
        <v>46203</v>
      </c>
      <c r="CD33" s="759"/>
      <c r="CE33" s="485">
        <f t="shared" si="29"/>
        <v>30</v>
      </c>
      <c r="CF33" s="484">
        <f t="shared" si="30"/>
        <v>8000</v>
      </c>
      <c r="CG33" s="485">
        <v>30</v>
      </c>
      <c r="CH33" s="485">
        <f t="shared" si="31"/>
        <v>8000.0000000000009</v>
      </c>
      <c r="CI33" s="485">
        <v>30</v>
      </c>
      <c r="CJ33" s="485">
        <f t="shared" si="32"/>
        <v>8000.0000000000009</v>
      </c>
      <c r="CK33" s="484">
        <f t="shared" si="33"/>
        <v>0</v>
      </c>
      <c r="CL33" s="484">
        <f t="shared" si="34"/>
        <v>0</v>
      </c>
      <c r="CM33" s="1006"/>
      <c r="CN33" s="485">
        <f t="shared" si="35"/>
        <v>30</v>
      </c>
      <c r="CO33" s="484">
        <f t="shared" si="36"/>
        <v>8000</v>
      </c>
      <c r="CP33" s="485">
        <v>30</v>
      </c>
      <c r="CQ33" s="485">
        <f t="shared" si="37"/>
        <v>8000.0000000000009</v>
      </c>
      <c r="CR33" s="485">
        <v>30</v>
      </c>
      <c r="CS33" s="485">
        <f t="shared" si="38"/>
        <v>8000.0000000000009</v>
      </c>
      <c r="CT33" s="484">
        <f t="shared" si="39"/>
        <v>0</v>
      </c>
      <c r="CU33" s="484">
        <f t="shared" si="40"/>
        <v>0</v>
      </c>
      <c r="CV33" s="1006"/>
      <c r="CW33" s="1007">
        <f t="shared" si="12"/>
        <v>16000</v>
      </c>
      <c r="CX33" s="486">
        <f t="shared" si="13"/>
        <v>16000.000000000002</v>
      </c>
      <c r="CY33" s="486">
        <f t="shared" si="14"/>
        <v>16000.000000000002</v>
      </c>
      <c r="CZ33" s="1007">
        <f t="shared" si="15"/>
        <v>0</v>
      </c>
      <c r="DA33" s="1007">
        <f t="shared" si="16"/>
        <v>0</v>
      </c>
    </row>
    <row r="34" spans="1:108" s="142" customFormat="1" ht="51" hidden="1" x14ac:dyDescent="0.25">
      <c r="A34" s="472">
        <v>2026</v>
      </c>
      <c r="B34" s="472">
        <v>479</v>
      </c>
      <c r="C34" s="472" t="s">
        <v>64</v>
      </c>
      <c r="D34" s="472" t="s">
        <v>65</v>
      </c>
      <c r="E34" s="472">
        <v>125</v>
      </c>
      <c r="F34" s="472">
        <v>3000654</v>
      </c>
      <c r="G34" s="472">
        <v>5005023</v>
      </c>
      <c r="H34" s="472">
        <v>3</v>
      </c>
      <c r="I34" s="472">
        <v>12</v>
      </c>
      <c r="J34" s="472">
        <v>24</v>
      </c>
      <c r="K34" s="472">
        <v>135560</v>
      </c>
      <c r="L34" s="472" t="s">
        <v>66</v>
      </c>
      <c r="M34" s="124" t="s">
        <v>67</v>
      </c>
      <c r="N34" s="472">
        <v>95</v>
      </c>
      <c r="O34" s="474"/>
      <c r="P34" s="474" t="s">
        <v>4</v>
      </c>
      <c r="Q34" s="472" t="s">
        <v>68</v>
      </c>
      <c r="R34" s="475" t="s">
        <v>69</v>
      </c>
      <c r="S34" s="475" t="s">
        <v>137</v>
      </c>
      <c r="T34" s="475"/>
      <c r="U34" s="124" t="s">
        <v>160</v>
      </c>
      <c r="V34" s="475" t="s">
        <v>3</v>
      </c>
      <c r="W34" s="121">
        <v>1</v>
      </c>
      <c r="X34" s="476">
        <v>5000</v>
      </c>
      <c r="Y34" s="474"/>
      <c r="Z34" s="474"/>
      <c r="AA34" s="474"/>
      <c r="AB34" s="474"/>
      <c r="AC34" s="475">
        <v>30</v>
      </c>
      <c r="AD34" s="475">
        <v>30</v>
      </c>
      <c r="AE34" s="474"/>
      <c r="AF34" s="474"/>
      <c r="AG34" s="474"/>
      <c r="AH34" s="474"/>
      <c r="AI34" s="474"/>
      <c r="AJ34" s="474"/>
      <c r="AK34" s="477">
        <v>10000</v>
      </c>
      <c r="AL34" s="472" t="s">
        <v>73</v>
      </c>
      <c r="AM34" s="472" t="s">
        <v>73</v>
      </c>
      <c r="AN34" s="472" t="s">
        <v>73</v>
      </c>
      <c r="AO34" s="472" t="s">
        <v>73</v>
      </c>
      <c r="AP34" s="478">
        <v>5000</v>
      </c>
      <c r="AQ34" s="478">
        <v>5000</v>
      </c>
      <c r="AR34" s="472"/>
      <c r="AS34" s="472"/>
      <c r="AT34" s="472"/>
      <c r="AU34" s="472"/>
      <c r="AV34" s="472"/>
      <c r="AW34" s="472"/>
      <c r="AX34" s="30">
        <v>10000</v>
      </c>
      <c r="AY34" s="479" t="s">
        <v>7</v>
      </c>
      <c r="AZ34" s="474" t="s">
        <v>74</v>
      </c>
      <c r="BA34" s="474"/>
      <c r="BB34" s="480"/>
      <c r="BC34" s="480"/>
      <c r="BK34" s="481" t="s">
        <v>790</v>
      </c>
      <c r="BL34" s="481" t="s">
        <v>791</v>
      </c>
      <c r="BM34" s="498" t="s">
        <v>905</v>
      </c>
      <c r="BN34" s="499" t="s">
        <v>906</v>
      </c>
      <c r="BO34" s="498" t="s">
        <v>907</v>
      </c>
      <c r="BP34" s="500">
        <v>46154</v>
      </c>
      <c r="BQ34" s="480"/>
      <c r="BR34" s="962" t="s">
        <v>908</v>
      </c>
      <c r="BS34" s="480"/>
      <c r="BT34" s="286" t="s">
        <v>834</v>
      </c>
      <c r="BU34" s="482" t="s">
        <v>835</v>
      </c>
      <c r="BV34" s="414" t="s">
        <v>909</v>
      </c>
      <c r="BW34" s="284" t="s">
        <v>910</v>
      </c>
      <c r="BX34" s="284" t="s">
        <v>911</v>
      </c>
      <c r="BY34" s="284">
        <v>70540072</v>
      </c>
      <c r="BZ34" s="284">
        <v>10705400721</v>
      </c>
      <c r="CA34" s="288">
        <v>5000</v>
      </c>
      <c r="CB34" s="483">
        <v>46156</v>
      </c>
      <c r="CC34" s="483">
        <v>46203</v>
      </c>
      <c r="CD34" s="759"/>
      <c r="CE34" s="142">
        <f t="shared" ref="CE34:CE35" si="113">AC34</f>
        <v>30</v>
      </c>
      <c r="CF34" s="1000">
        <f>AP34</f>
        <v>5000</v>
      </c>
      <c r="CG34" s="142">
        <v>18</v>
      </c>
      <c r="CH34" s="1023">
        <f>(X34/30)*CG34</f>
        <v>3000</v>
      </c>
      <c r="CI34" s="142">
        <v>18</v>
      </c>
      <c r="CJ34" s="1023">
        <f t="shared" ref="CJ34:CJ35" si="114">(X34/30)*CI34</f>
        <v>3000</v>
      </c>
      <c r="CK34" s="1000">
        <f t="shared" ref="CK34:CK35" si="115">CF34-CH34</f>
        <v>2000</v>
      </c>
      <c r="CL34" s="1000">
        <f t="shared" ref="CL34:CL35" si="116">CF34-CJ34</f>
        <v>2000</v>
      </c>
      <c r="CM34" s="1006"/>
      <c r="CN34" s="142">
        <f t="shared" ref="CN34:CN35" si="117">AD34</f>
        <v>30</v>
      </c>
      <c r="CO34" s="1000">
        <f t="shared" ref="CO34:CO35" si="118">AQ34</f>
        <v>5000</v>
      </c>
      <c r="CP34" s="142">
        <v>30</v>
      </c>
      <c r="CQ34" s="142">
        <f t="shared" ref="CQ34:CQ35" si="119">(X34/30)*CP34</f>
        <v>5000</v>
      </c>
      <c r="CR34" s="142">
        <v>30</v>
      </c>
      <c r="CS34" s="142">
        <f t="shared" ref="CS34:CS35" si="120">(X34/30)*CR34</f>
        <v>5000</v>
      </c>
      <c r="CT34" s="1000">
        <f t="shared" ref="CT34:CT35" si="121">CO34-CQ34</f>
        <v>0</v>
      </c>
      <c r="CU34" s="1000">
        <f t="shared" ref="CU34:CU35" si="122">CO34-CS34</f>
        <v>0</v>
      </c>
      <c r="CV34" s="1006"/>
      <c r="CW34" s="1007">
        <f t="shared" si="12"/>
        <v>10000</v>
      </c>
      <c r="CX34" s="486">
        <f t="shared" si="13"/>
        <v>8000</v>
      </c>
      <c r="CY34" s="486">
        <f t="shared" si="14"/>
        <v>8000</v>
      </c>
      <c r="CZ34" s="1007">
        <f t="shared" si="15"/>
        <v>2000</v>
      </c>
      <c r="DA34" s="1007">
        <f t="shared" si="16"/>
        <v>2000</v>
      </c>
      <c r="DD34" s="143" t="s">
        <v>912</v>
      </c>
    </row>
    <row r="35" spans="1:108" ht="51" hidden="1" x14ac:dyDescent="0.25">
      <c r="A35" s="472">
        <v>2026</v>
      </c>
      <c r="B35" s="472">
        <v>479</v>
      </c>
      <c r="C35" s="472" t="s">
        <v>64</v>
      </c>
      <c r="D35" s="472" t="s">
        <v>65</v>
      </c>
      <c r="E35" s="472">
        <v>125</v>
      </c>
      <c r="F35" s="472">
        <v>3000654</v>
      </c>
      <c r="G35" s="472">
        <v>5005023</v>
      </c>
      <c r="H35" s="472">
        <v>3</v>
      </c>
      <c r="I35" s="472">
        <v>12</v>
      </c>
      <c r="J35" s="472">
        <v>24</v>
      </c>
      <c r="K35" s="472">
        <v>135560</v>
      </c>
      <c r="L35" s="472" t="s">
        <v>66</v>
      </c>
      <c r="M35" s="124" t="s">
        <v>67</v>
      </c>
      <c r="N35" s="472">
        <v>95</v>
      </c>
      <c r="O35" s="474"/>
      <c r="P35" s="474" t="s">
        <v>4</v>
      </c>
      <c r="Q35" s="472" t="s">
        <v>68</v>
      </c>
      <c r="R35" s="475" t="s">
        <v>69</v>
      </c>
      <c r="S35" s="475" t="s">
        <v>137</v>
      </c>
      <c r="T35" s="475"/>
      <c r="U35" s="124" t="s">
        <v>160</v>
      </c>
      <c r="V35" s="475" t="s">
        <v>3</v>
      </c>
      <c r="W35" s="121">
        <v>1</v>
      </c>
      <c r="X35" s="476">
        <v>5000</v>
      </c>
      <c r="Y35" s="474"/>
      <c r="Z35" s="474"/>
      <c r="AA35" s="474"/>
      <c r="AB35" s="474"/>
      <c r="AC35" s="475">
        <v>30</v>
      </c>
      <c r="AD35" s="475">
        <v>30</v>
      </c>
      <c r="AE35" s="474"/>
      <c r="AF35" s="474"/>
      <c r="AG35" s="474"/>
      <c r="AH35" s="474"/>
      <c r="AI35" s="474"/>
      <c r="AJ35" s="474"/>
      <c r="AK35" s="477">
        <v>10000</v>
      </c>
      <c r="AL35" s="472" t="s">
        <v>73</v>
      </c>
      <c r="AM35" s="472" t="s">
        <v>73</v>
      </c>
      <c r="AN35" s="472" t="s">
        <v>73</v>
      </c>
      <c r="AO35" s="472" t="s">
        <v>73</v>
      </c>
      <c r="AP35" s="478">
        <v>5000</v>
      </c>
      <c r="AQ35" s="478">
        <v>5000</v>
      </c>
      <c r="AR35" s="472"/>
      <c r="AS35" s="472"/>
      <c r="AT35" s="472"/>
      <c r="AU35" s="472"/>
      <c r="AV35" s="472"/>
      <c r="AW35" s="472"/>
      <c r="AX35" s="30">
        <v>10000</v>
      </c>
      <c r="AY35" s="479" t="s">
        <v>7</v>
      </c>
      <c r="AZ35" s="474" t="s">
        <v>74</v>
      </c>
      <c r="BA35" s="474"/>
      <c r="BB35" s="480"/>
      <c r="BC35" s="480"/>
      <c r="BK35" s="481" t="s">
        <v>790</v>
      </c>
      <c r="BL35" s="481" t="s">
        <v>791</v>
      </c>
      <c r="BM35" s="284" t="s">
        <v>792</v>
      </c>
      <c r="BN35" s="414" t="s">
        <v>793</v>
      </c>
      <c r="BO35" s="284" t="s">
        <v>794</v>
      </c>
      <c r="BP35" s="285">
        <v>46134</v>
      </c>
      <c r="BQ35" s="482"/>
      <c r="BR35" s="962" t="s">
        <v>913</v>
      </c>
      <c r="BS35" s="482"/>
      <c r="BT35" s="286" t="s">
        <v>796</v>
      </c>
      <c r="BU35" s="482" t="s">
        <v>835</v>
      </c>
      <c r="BV35" s="414" t="s">
        <v>914</v>
      </c>
      <c r="BW35" s="284" t="s">
        <v>910</v>
      </c>
      <c r="BX35" s="284" t="s">
        <v>915</v>
      </c>
      <c r="BY35" s="284">
        <v>47981017</v>
      </c>
      <c r="BZ35" s="284"/>
      <c r="CA35" s="288">
        <v>5000</v>
      </c>
      <c r="CB35" s="483">
        <v>46143</v>
      </c>
      <c r="CC35" s="483">
        <v>46203</v>
      </c>
      <c r="CD35" s="759"/>
      <c r="CE35" s="485">
        <f t="shared" si="113"/>
        <v>30</v>
      </c>
      <c r="CF35" s="484">
        <f t="shared" ref="CF35" si="123">AP35</f>
        <v>5000</v>
      </c>
      <c r="CG35" s="485">
        <v>30</v>
      </c>
      <c r="CH35" s="485">
        <f t="shared" ref="CH35" si="124">(X35/30)*CG35</f>
        <v>5000</v>
      </c>
      <c r="CI35" s="485">
        <v>30</v>
      </c>
      <c r="CJ35" s="485">
        <f t="shared" si="114"/>
        <v>5000</v>
      </c>
      <c r="CK35" s="484">
        <f t="shared" si="115"/>
        <v>0</v>
      </c>
      <c r="CL35" s="484">
        <f t="shared" si="116"/>
        <v>0</v>
      </c>
      <c r="CM35" s="1006"/>
      <c r="CN35" s="485">
        <f t="shared" si="117"/>
        <v>30</v>
      </c>
      <c r="CO35" s="484">
        <f t="shared" si="118"/>
        <v>5000</v>
      </c>
      <c r="CP35" s="485">
        <v>30</v>
      </c>
      <c r="CQ35" s="485">
        <f t="shared" si="119"/>
        <v>5000</v>
      </c>
      <c r="CR35" s="485">
        <v>30</v>
      </c>
      <c r="CS35" s="485">
        <f t="shared" si="120"/>
        <v>5000</v>
      </c>
      <c r="CT35" s="484">
        <f t="shared" si="121"/>
        <v>0</v>
      </c>
      <c r="CU35" s="484">
        <f t="shared" si="122"/>
        <v>0</v>
      </c>
      <c r="CV35" s="1006"/>
      <c r="CW35" s="1007">
        <f t="shared" si="12"/>
        <v>10000</v>
      </c>
      <c r="CX35" s="486">
        <f t="shared" si="13"/>
        <v>10000</v>
      </c>
      <c r="CY35" s="486">
        <f t="shared" si="14"/>
        <v>10000</v>
      </c>
      <c r="CZ35" s="1007">
        <f t="shared" si="15"/>
        <v>0</v>
      </c>
      <c r="DA35" s="1007">
        <f t="shared" si="16"/>
        <v>0</v>
      </c>
    </row>
    <row r="36" spans="1:108" ht="51" hidden="1" x14ac:dyDescent="0.25">
      <c r="A36" s="472">
        <v>2026</v>
      </c>
      <c r="B36" s="472">
        <v>479</v>
      </c>
      <c r="C36" s="472" t="s">
        <v>64</v>
      </c>
      <c r="D36" s="472" t="s">
        <v>65</v>
      </c>
      <c r="E36" s="472">
        <v>125</v>
      </c>
      <c r="F36" s="472">
        <v>3000654</v>
      </c>
      <c r="G36" s="472">
        <v>5005023</v>
      </c>
      <c r="H36" s="472">
        <v>3</v>
      </c>
      <c r="I36" s="472">
        <v>12</v>
      </c>
      <c r="J36" s="472">
        <v>24</v>
      </c>
      <c r="K36" s="472">
        <v>135560</v>
      </c>
      <c r="L36" s="472" t="s">
        <v>66</v>
      </c>
      <c r="M36" s="124" t="s">
        <v>67</v>
      </c>
      <c r="N36" s="472">
        <v>95</v>
      </c>
      <c r="O36" s="474"/>
      <c r="P36" s="474" t="s">
        <v>4</v>
      </c>
      <c r="Q36" s="472" t="s">
        <v>68</v>
      </c>
      <c r="R36" s="475" t="s">
        <v>69</v>
      </c>
      <c r="S36" s="475" t="s">
        <v>137</v>
      </c>
      <c r="T36" s="475"/>
      <c r="U36" s="124" t="s">
        <v>160</v>
      </c>
      <c r="V36" s="475" t="s">
        <v>3</v>
      </c>
      <c r="W36" s="121">
        <v>1</v>
      </c>
      <c r="X36" s="476">
        <v>5000</v>
      </c>
      <c r="Y36" s="474"/>
      <c r="Z36" s="474"/>
      <c r="AA36" s="474"/>
      <c r="AB36" s="474"/>
      <c r="AC36" s="475">
        <v>30</v>
      </c>
      <c r="AD36" s="475">
        <v>30</v>
      </c>
      <c r="AE36" s="474"/>
      <c r="AF36" s="474"/>
      <c r="AG36" s="474"/>
      <c r="AH36" s="474"/>
      <c r="AI36" s="474"/>
      <c r="AJ36" s="474"/>
      <c r="AK36" s="477">
        <v>10000</v>
      </c>
      <c r="AL36" s="472" t="s">
        <v>73</v>
      </c>
      <c r="AM36" s="472" t="s">
        <v>73</v>
      </c>
      <c r="AN36" s="472" t="s">
        <v>73</v>
      </c>
      <c r="AO36" s="472" t="s">
        <v>73</v>
      </c>
      <c r="AP36" s="478">
        <v>5000</v>
      </c>
      <c r="AQ36" s="478">
        <v>5000</v>
      </c>
      <c r="AR36" s="472" t="s">
        <v>73</v>
      </c>
      <c r="AS36" s="472" t="s">
        <v>73</v>
      </c>
      <c r="AT36" s="472" t="s">
        <v>73</v>
      </c>
      <c r="AU36" s="472" t="s">
        <v>73</v>
      </c>
      <c r="AV36" s="472" t="s">
        <v>73</v>
      </c>
      <c r="AW36" s="472" t="s">
        <v>73</v>
      </c>
      <c r="AX36" s="30">
        <v>10000</v>
      </c>
      <c r="AY36" s="479" t="s">
        <v>7</v>
      </c>
      <c r="AZ36" s="474" t="s">
        <v>74</v>
      </c>
      <c r="BA36" s="474"/>
      <c r="BB36" s="480"/>
      <c r="BC36" s="480"/>
      <c r="BK36" s="481" t="s">
        <v>790</v>
      </c>
      <c r="BL36" s="481" t="s">
        <v>791</v>
      </c>
      <c r="BM36" s="284" t="s">
        <v>792</v>
      </c>
      <c r="BN36" s="414" t="s">
        <v>793</v>
      </c>
      <c r="BO36" s="284" t="s">
        <v>794</v>
      </c>
      <c r="BP36" s="285">
        <v>46134</v>
      </c>
      <c r="BQ36" s="482"/>
      <c r="BR36" s="962" t="s">
        <v>916</v>
      </c>
      <c r="BS36" s="482"/>
      <c r="BT36" s="286" t="s">
        <v>796</v>
      </c>
      <c r="BU36" s="482" t="s">
        <v>797</v>
      </c>
      <c r="BV36" s="414" t="s">
        <v>917</v>
      </c>
      <c r="BW36" s="284" t="s">
        <v>918</v>
      </c>
      <c r="BX36" s="284" t="s">
        <v>919</v>
      </c>
      <c r="BY36" s="284">
        <v>41805261</v>
      </c>
      <c r="BZ36" s="284"/>
      <c r="CA36" s="288">
        <v>5000</v>
      </c>
      <c r="CB36" s="483">
        <v>46143</v>
      </c>
      <c r="CC36" s="483">
        <v>46203</v>
      </c>
      <c r="CD36" s="759"/>
      <c r="CE36" s="485">
        <f t="shared" si="29"/>
        <v>30</v>
      </c>
      <c r="CF36" s="484">
        <f t="shared" si="30"/>
        <v>5000</v>
      </c>
      <c r="CG36" s="485">
        <v>30</v>
      </c>
      <c r="CH36" s="485">
        <f t="shared" si="31"/>
        <v>5000</v>
      </c>
      <c r="CI36" s="485">
        <v>30</v>
      </c>
      <c r="CJ36" s="485">
        <f t="shared" si="32"/>
        <v>5000</v>
      </c>
      <c r="CK36" s="484">
        <f t="shared" si="33"/>
        <v>0</v>
      </c>
      <c r="CL36" s="484">
        <f t="shared" si="34"/>
        <v>0</v>
      </c>
      <c r="CM36" s="1006"/>
      <c r="CN36" s="485">
        <f t="shared" si="35"/>
        <v>30</v>
      </c>
      <c r="CO36" s="484">
        <f t="shared" si="36"/>
        <v>5000</v>
      </c>
      <c r="CP36" s="485">
        <v>30</v>
      </c>
      <c r="CQ36" s="485">
        <f t="shared" si="37"/>
        <v>5000</v>
      </c>
      <c r="CR36" s="485">
        <v>30</v>
      </c>
      <c r="CS36" s="485">
        <f t="shared" si="38"/>
        <v>5000</v>
      </c>
      <c r="CT36" s="484">
        <f t="shared" si="39"/>
        <v>0</v>
      </c>
      <c r="CU36" s="484">
        <f t="shared" si="40"/>
        <v>0</v>
      </c>
      <c r="CV36" s="1006"/>
      <c r="CW36" s="1007">
        <f t="shared" si="12"/>
        <v>10000</v>
      </c>
      <c r="CX36" s="486">
        <f t="shared" si="13"/>
        <v>10000</v>
      </c>
      <c r="CY36" s="486">
        <f t="shared" si="14"/>
        <v>10000</v>
      </c>
      <c r="CZ36" s="1007">
        <f t="shared" si="15"/>
        <v>0</v>
      </c>
      <c r="DA36" s="1007">
        <f t="shared" si="16"/>
        <v>0</v>
      </c>
    </row>
    <row r="37" spans="1:108" ht="51" hidden="1" x14ac:dyDescent="0.25">
      <c r="A37" s="472">
        <v>2026</v>
      </c>
      <c r="B37" s="472">
        <v>479</v>
      </c>
      <c r="C37" s="472" t="s">
        <v>64</v>
      </c>
      <c r="D37" s="472" t="s">
        <v>65</v>
      </c>
      <c r="E37" s="472">
        <v>125</v>
      </c>
      <c r="F37" s="472">
        <v>3000654</v>
      </c>
      <c r="G37" s="472">
        <v>5005023</v>
      </c>
      <c r="H37" s="472">
        <v>3</v>
      </c>
      <c r="I37" s="472">
        <v>12</v>
      </c>
      <c r="J37" s="472">
        <v>24</v>
      </c>
      <c r="K37" s="472">
        <v>135560</v>
      </c>
      <c r="L37" s="472" t="s">
        <v>66</v>
      </c>
      <c r="M37" s="124" t="s">
        <v>67</v>
      </c>
      <c r="N37" s="472">
        <v>95</v>
      </c>
      <c r="O37" s="474"/>
      <c r="P37" s="474" t="s">
        <v>4</v>
      </c>
      <c r="Q37" s="472" t="s">
        <v>68</v>
      </c>
      <c r="R37" s="475" t="s">
        <v>69</v>
      </c>
      <c r="S37" s="475" t="s">
        <v>137</v>
      </c>
      <c r="T37" s="475"/>
      <c r="U37" s="124" t="s">
        <v>161</v>
      </c>
      <c r="V37" s="475" t="s">
        <v>3</v>
      </c>
      <c r="W37" s="121">
        <v>1</v>
      </c>
      <c r="X37" s="476">
        <v>6500</v>
      </c>
      <c r="Y37" s="474"/>
      <c r="Z37" s="474"/>
      <c r="AA37" s="474"/>
      <c r="AB37" s="474"/>
      <c r="AC37" s="475">
        <v>30</v>
      </c>
      <c r="AD37" s="475">
        <v>30</v>
      </c>
      <c r="AE37" s="474"/>
      <c r="AF37" s="474"/>
      <c r="AG37" s="474"/>
      <c r="AH37" s="474"/>
      <c r="AI37" s="474"/>
      <c r="AJ37" s="474"/>
      <c r="AK37" s="477">
        <v>13000</v>
      </c>
      <c r="AL37" s="472" t="s">
        <v>73</v>
      </c>
      <c r="AM37" s="472" t="s">
        <v>73</v>
      </c>
      <c r="AN37" s="472" t="s">
        <v>73</v>
      </c>
      <c r="AO37" s="472" t="s">
        <v>73</v>
      </c>
      <c r="AP37" s="478">
        <v>6500</v>
      </c>
      <c r="AQ37" s="478">
        <v>6500</v>
      </c>
      <c r="AR37" s="472" t="s">
        <v>73</v>
      </c>
      <c r="AS37" s="472" t="s">
        <v>73</v>
      </c>
      <c r="AT37" s="472" t="s">
        <v>73</v>
      </c>
      <c r="AU37" s="472" t="s">
        <v>73</v>
      </c>
      <c r="AV37" s="472" t="s">
        <v>73</v>
      </c>
      <c r="AW37" s="472" t="s">
        <v>73</v>
      </c>
      <c r="AX37" s="30">
        <v>13000</v>
      </c>
      <c r="AY37" s="479" t="s">
        <v>7</v>
      </c>
      <c r="AZ37" s="474" t="s">
        <v>74</v>
      </c>
      <c r="BA37" s="474"/>
      <c r="BB37" s="480"/>
      <c r="BC37" s="480"/>
      <c r="BK37" s="481" t="s">
        <v>790</v>
      </c>
      <c r="BL37" s="481" t="s">
        <v>791</v>
      </c>
      <c r="BM37" s="284" t="s">
        <v>792</v>
      </c>
      <c r="BN37" s="414" t="s">
        <v>793</v>
      </c>
      <c r="BO37" s="284" t="s">
        <v>794</v>
      </c>
      <c r="BP37" s="285">
        <v>46134</v>
      </c>
      <c r="BQ37" s="482"/>
      <c r="BR37" s="962" t="s">
        <v>920</v>
      </c>
      <c r="BS37" s="482"/>
      <c r="BT37" s="286" t="s">
        <v>834</v>
      </c>
      <c r="BU37" s="482" t="s">
        <v>835</v>
      </c>
      <c r="BV37" s="414" t="s">
        <v>921</v>
      </c>
      <c r="BW37" s="284" t="s">
        <v>922</v>
      </c>
      <c r="BX37" s="284" t="s">
        <v>923</v>
      </c>
      <c r="BY37" s="284">
        <v>41668590</v>
      </c>
      <c r="BZ37" s="284"/>
      <c r="CA37" s="288">
        <v>6500</v>
      </c>
      <c r="CB37" s="483">
        <v>46143</v>
      </c>
      <c r="CC37" s="483">
        <v>46203</v>
      </c>
      <c r="CD37" s="759"/>
      <c r="CE37" s="485">
        <f t="shared" si="29"/>
        <v>30</v>
      </c>
      <c r="CF37" s="484">
        <f t="shared" si="30"/>
        <v>6500</v>
      </c>
      <c r="CG37" s="485">
        <v>30</v>
      </c>
      <c r="CH37" s="485">
        <f t="shared" si="31"/>
        <v>6500</v>
      </c>
      <c r="CI37" s="485">
        <v>30</v>
      </c>
      <c r="CJ37" s="485">
        <f t="shared" si="32"/>
        <v>6500</v>
      </c>
      <c r="CK37" s="484">
        <f t="shared" si="33"/>
        <v>0</v>
      </c>
      <c r="CL37" s="484">
        <f t="shared" si="34"/>
        <v>0</v>
      </c>
      <c r="CM37" s="1006"/>
      <c r="CN37" s="485">
        <f t="shared" si="35"/>
        <v>30</v>
      </c>
      <c r="CO37" s="484">
        <f t="shared" si="36"/>
        <v>6500</v>
      </c>
      <c r="CP37" s="485">
        <v>30</v>
      </c>
      <c r="CQ37" s="485">
        <f t="shared" si="37"/>
        <v>6500</v>
      </c>
      <c r="CR37" s="485">
        <v>30</v>
      </c>
      <c r="CS37" s="485">
        <f t="shared" si="38"/>
        <v>6500</v>
      </c>
      <c r="CT37" s="484">
        <f t="shared" si="39"/>
        <v>0</v>
      </c>
      <c r="CU37" s="484">
        <f t="shared" si="40"/>
        <v>0</v>
      </c>
      <c r="CV37" s="1006"/>
      <c r="CW37" s="1007">
        <f t="shared" si="12"/>
        <v>13000</v>
      </c>
      <c r="CX37" s="486">
        <f t="shared" si="13"/>
        <v>13000</v>
      </c>
      <c r="CY37" s="486">
        <f t="shared" si="14"/>
        <v>13000</v>
      </c>
      <c r="CZ37" s="1007">
        <f t="shared" si="15"/>
        <v>0</v>
      </c>
      <c r="DA37" s="1007">
        <f t="shared" si="16"/>
        <v>0</v>
      </c>
    </row>
    <row r="38" spans="1:108" ht="51" hidden="1" x14ac:dyDescent="0.25">
      <c r="A38" s="472">
        <v>2026</v>
      </c>
      <c r="B38" s="472">
        <v>479</v>
      </c>
      <c r="C38" s="472" t="s">
        <v>64</v>
      </c>
      <c r="D38" s="472" t="s">
        <v>65</v>
      </c>
      <c r="E38" s="472">
        <v>125</v>
      </c>
      <c r="F38" s="472">
        <v>3000654</v>
      </c>
      <c r="G38" s="472">
        <v>5005023</v>
      </c>
      <c r="H38" s="472">
        <v>3</v>
      </c>
      <c r="I38" s="472">
        <v>12</v>
      </c>
      <c r="J38" s="472">
        <v>24</v>
      </c>
      <c r="K38" s="472">
        <v>135560</v>
      </c>
      <c r="L38" s="472" t="s">
        <v>66</v>
      </c>
      <c r="M38" s="124" t="s">
        <v>67</v>
      </c>
      <c r="N38" s="472">
        <v>95</v>
      </c>
      <c r="O38" s="474"/>
      <c r="P38" s="474" t="s">
        <v>4</v>
      </c>
      <c r="Q38" s="472" t="s">
        <v>68</v>
      </c>
      <c r="R38" s="475" t="s">
        <v>69</v>
      </c>
      <c r="S38" s="475" t="s">
        <v>137</v>
      </c>
      <c r="T38" s="475"/>
      <c r="U38" s="124" t="s">
        <v>162</v>
      </c>
      <c r="V38" s="475" t="s">
        <v>3</v>
      </c>
      <c r="W38" s="121">
        <v>1</v>
      </c>
      <c r="X38" s="476">
        <v>6000</v>
      </c>
      <c r="Y38" s="474"/>
      <c r="Z38" s="474"/>
      <c r="AA38" s="474"/>
      <c r="AB38" s="474"/>
      <c r="AC38" s="475">
        <v>30</v>
      </c>
      <c r="AD38" s="475">
        <v>30</v>
      </c>
      <c r="AE38" s="474"/>
      <c r="AF38" s="474"/>
      <c r="AG38" s="474"/>
      <c r="AH38" s="474"/>
      <c r="AI38" s="474"/>
      <c r="AJ38" s="474"/>
      <c r="AK38" s="477">
        <v>12000</v>
      </c>
      <c r="AL38" s="472" t="s">
        <v>73</v>
      </c>
      <c r="AM38" s="472" t="s">
        <v>73</v>
      </c>
      <c r="AN38" s="472" t="s">
        <v>73</v>
      </c>
      <c r="AO38" s="472" t="s">
        <v>73</v>
      </c>
      <c r="AP38" s="478">
        <v>6000</v>
      </c>
      <c r="AQ38" s="478">
        <v>6000</v>
      </c>
      <c r="AR38" s="472" t="s">
        <v>73</v>
      </c>
      <c r="AS38" s="472" t="s">
        <v>73</v>
      </c>
      <c r="AT38" s="472" t="s">
        <v>73</v>
      </c>
      <c r="AU38" s="472" t="s">
        <v>73</v>
      </c>
      <c r="AV38" s="472" t="s">
        <v>73</v>
      </c>
      <c r="AW38" s="472" t="s">
        <v>73</v>
      </c>
      <c r="AX38" s="30">
        <v>12000</v>
      </c>
      <c r="AY38" s="479" t="s">
        <v>7</v>
      </c>
      <c r="AZ38" s="474" t="s">
        <v>74</v>
      </c>
      <c r="BA38" s="474"/>
      <c r="BB38" s="480"/>
      <c r="BC38" s="480"/>
      <c r="BK38" s="481" t="s">
        <v>790</v>
      </c>
      <c r="BL38" s="481" t="s">
        <v>791</v>
      </c>
      <c r="BM38" s="284" t="s">
        <v>792</v>
      </c>
      <c r="BN38" s="414" t="s">
        <v>793</v>
      </c>
      <c r="BO38" s="284" t="s">
        <v>794</v>
      </c>
      <c r="BP38" s="285">
        <v>46134</v>
      </c>
      <c r="BQ38" s="482"/>
      <c r="BR38" s="962" t="s">
        <v>924</v>
      </c>
      <c r="BS38" s="482"/>
      <c r="BT38" s="286" t="s">
        <v>796</v>
      </c>
      <c r="BU38" s="482" t="s">
        <v>835</v>
      </c>
      <c r="BV38" s="414" t="s">
        <v>925</v>
      </c>
      <c r="BW38" s="284" t="s">
        <v>926</v>
      </c>
      <c r="BX38" s="284" t="s">
        <v>904</v>
      </c>
      <c r="BY38" s="284">
        <v>25747618</v>
      </c>
      <c r="BZ38" s="284"/>
      <c r="CA38" s="288">
        <v>6000</v>
      </c>
      <c r="CB38" s="483">
        <v>46143</v>
      </c>
      <c r="CC38" s="483">
        <v>46203</v>
      </c>
      <c r="CD38" s="759"/>
      <c r="CE38" s="485">
        <f t="shared" si="29"/>
        <v>30</v>
      </c>
      <c r="CF38" s="484">
        <f t="shared" si="30"/>
        <v>6000</v>
      </c>
      <c r="CG38" s="485">
        <v>30</v>
      </c>
      <c r="CH38" s="485">
        <f t="shared" si="31"/>
        <v>6000</v>
      </c>
      <c r="CI38" s="485">
        <v>30</v>
      </c>
      <c r="CJ38" s="485">
        <f t="shared" si="32"/>
        <v>6000</v>
      </c>
      <c r="CK38" s="484">
        <f t="shared" si="33"/>
        <v>0</v>
      </c>
      <c r="CL38" s="484">
        <f t="shared" si="34"/>
        <v>0</v>
      </c>
      <c r="CM38" s="1006"/>
      <c r="CN38" s="485">
        <f t="shared" si="35"/>
        <v>30</v>
      </c>
      <c r="CO38" s="484">
        <f t="shared" si="36"/>
        <v>6000</v>
      </c>
      <c r="CP38" s="485">
        <v>30</v>
      </c>
      <c r="CQ38" s="485">
        <f t="shared" si="37"/>
        <v>6000</v>
      </c>
      <c r="CR38" s="485">
        <v>30</v>
      </c>
      <c r="CS38" s="485">
        <f t="shared" si="38"/>
        <v>6000</v>
      </c>
      <c r="CT38" s="484">
        <f t="shared" si="39"/>
        <v>0</v>
      </c>
      <c r="CU38" s="484">
        <f t="shared" si="40"/>
        <v>0</v>
      </c>
      <c r="CV38" s="1006"/>
      <c r="CW38" s="1007">
        <f t="shared" si="12"/>
        <v>12000</v>
      </c>
      <c r="CX38" s="486">
        <f t="shared" si="13"/>
        <v>12000</v>
      </c>
      <c r="CY38" s="486">
        <f t="shared" si="14"/>
        <v>12000</v>
      </c>
      <c r="CZ38" s="1007">
        <f t="shared" si="15"/>
        <v>0</v>
      </c>
      <c r="DA38" s="1007">
        <f t="shared" si="16"/>
        <v>0</v>
      </c>
    </row>
    <row r="39" spans="1:108" ht="51" hidden="1" x14ac:dyDescent="0.25">
      <c r="A39" s="472">
        <v>2026</v>
      </c>
      <c r="B39" s="472">
        <v>479</v>
      </c>
      <c r="C39" s="472" t="s">
        <v>64</v>
      </c>
      <c r="D39" s="472" t="s">
        <v>65</v>
      </c>
      <c r="E39" s="472">
        <v>125</v>
      </c>
      <c r="F39" s="472">
        <v>3000654</v>
      </c>
      <c r="G39" s="472">
        <v>5005023</v>
      </c>
      <c r="H39" s="472">
        <v>3</v>
      </c>
      <c r="I39" s="472">
        <v>12</v>
      </c>
      <c r="J39" s="472">
        <v>24</v>
      </c>
      <c r="K39" s="472">
        <v>135560</v>
      </c>
      <c r="L39" s="472" t="s">
        <v>66</v>
      </c>
      <c r="M39" s="124" t="s">
        <v>67</v>
      </c>
      <c r="N39" s="472">
        <v>95</v>
      </c>
      <c r="O39" s="474"/>
      <c r="P39" s="474" t="s">
        <v>4</v>
      </c>
      <c r="Q39" s="472" t="s">
        <v>68</v>
      </c>
      <c r="R39" s="475" t="s">
        <v>69</v>
      </c>
      <c r="S39" s="475" t="s">
        <v>137</v>
      </c>
      <c r="T39" s="475"/>
      <c r="U39" s="124" t="s">
        <v>163</v>
      </c>
      <c r="V39" s="475" t="s">
        <v>3</v>
      </c>
      <c r="W39" s="121">
        <v>1</v>
      </c>
      <c r="X39" s="476">
        <v>5000</v>
      </c>
      <c r="Y39" s="474"/>
      <c r="Z39" s="474"/>
      <c r="AA39" s="474"/>
      <c r="AB39" s="474"/>
      <c r="AC39" s="475">
        <v>30</v>
      </c>
      <c r="AD39" s="475">
        <v>30</v>
      </c>
      <c r="AE39" s="474"/>
      <c r="AF39" s="474"/>
      <c r="AG39" s="474"/>
      <c r="AH39" s="474"/>
      <c r="AI39" s="474"/>
      <c r="AJ39" s="474"/>
      <c r="AK39" s="477">
        <v>10000</v>
      </c>
      <c r="AL39" s="472" t="s">
        <v>73</v>
      </c>
      <c r="AM39" s="472" t="s">
        <v>73</v>
      </c>
      <c r="AN39" s="472" t="s">
        <v>73</v>
      </c>
      <c r="AO39" s="472" t="s">
        <v>73</v>
      </c>
      <c r="AP39" s="478">
        <v>5000</v>
      </c>
      <c r="AQ39" s="478">
        <v>5000</v>
      </c>
      <c r="AR39" s="472" t="s">
        <v>73</v>
      </c>
      <c r="AS39" s="472" t="s">
        <v>73</v>
      </c>
      <c r="AT39" s="472" t="s">
        <v>73</v>
      </c>
      <c r="AU39" s="472" t="s">
        <v>73</v>
      </c>
      <c r="AV39" s="472" t="s">
        <v>73</v>
      </c>
      <c r="AW39" s="472" t="s">
        <v>73</v>
      </c>
      <c r="AX39" s="30">
        <v>10000</v>
      </c>
      <c r="AY39" s="479" t="s">
        <v>7</v>
      </c>
      <c r="AZ39" s="474" t="s">
        <v>74</v>
      </c>
      <c r="BA39" s="474"/>
      <c r="BB39" s="480"/>
      <c r="BC39" s="480"/>
      <c r="BK39" s="481" t="s">
        <v>790</v>
      </c>
      <c r="BL39" s="481" t="s">
        <v>791</v>
      </c>
      <c r="BM39" s="284" t="s">
        <v>792</v>
      </c>
      <c r="BN39" s="414" t="s">
        <v>793</v>
      </c>
      <c r="BO39" s="284" t="s">
        <v>794</v>
      </c>
      <c r="BP39" s="285">
        <v>46134</v>
      </c>
      <c r="BQ39" s="482"/>
      <c r="BR39" s="962" t="s">
        <v>927</v>
      </c>
      <c r="BS39" s="482"/>
      <c r="BT39" s="286" t="s">
        <v>796</v>
      </c>
      <c r="BU39" s="482" t="s">
        <v>797</v>
      </c>
      <c r="BV39" s="414" t="s">
        <v>928</v>
      </c>
      <c r="BW39" s="284" t="s">
        <v>929</v>
      </c>
      <c r="BX39" s="284" t="s">
        <v>930</v>
      </c>
      <c r="BY39" s="284">
        <v>44433194</v>
      </c>
      <c r="BZ39" s="284"/>
      <c r="CA39" s="288">
        <v>5000</v>
      </c>
      <c r="CB39" s="483">
        <v>46143</v>
      </c>
      <c r="CC39" s="483">
        <v>46203</v>
      </c>
      <c r="CD39" s="759"/>
      <c r="CE39" s="485">
        <f t="shared" si="29"/>
        <v>30</v>
      </c>
      <c r="CF39" s="484">
        <f t="shared" si="30"/>
        <v>5000</v>
      </c>
      <c r="CG39" s="485">
        <v>30</v>
      </c>
      <c r="CH39" s="485">
        <f t="shared" si="31"/>
        <v>5000</v>
      </c>
      <c r="CI39" s="485">
        <v>30</v>
      </c>
      <c r="CJ39" s="485">
        <f t="shared" si="32"/>
        <v>5000</v>
      </c>
      <c r="CK39" s="484">
        <f t="shared" si="33"/>
        <v>0</v>
      </c>
      <c r="CL39" s="484">
        <f t="shared" si="34"/>
        <v>0</v>
      </c>
      <c r="CM39" s="1006"/>
      <c r="CN39" s="485">
        <f t="shared" si="35"/>
        <v>30</v>
      </c>
      <c r="CO39" s="484">
        <f t="shared" si="36"/>
        <v>5000</v>
      </c>
      <c r="CP39" s="485">
        <v>30</v>
      </c>
      <c r="CQ39" s="485">
        <f t="shared" si="37"/>
        <v>5000</v>
      </c>
      <c r="CR39" s="485">
        <v>30</v>
      </c>
      <c r="CS39" s="485">
        <f t="shared" si="38"/>
        <v>5000</v>
      </c>
      <c r="CT39" s="484">
        <f t="shared" si="39"/>
        <v>0</v>
      </c>
      <c r="CU39" s="484">
        <f t="shared" si="40"/>
        <v>0</v>
      </c>
      <c r="CV39" s="1006"/>
      <c r="CW39" s="1007">
        <f t="shared" si="12"/>
        <v>10000</v>
      </c>
      <c r="CX39" s="486">
        <f t="shared" si="13"/>
        <v>10000</v>
      </c>
      <c r="CY39" s="486">
        <f t="shared" si="14"/>
        <v>10000</v>
      </c>
      <c r="CZ39" s="1007">
        <f t="shared" si="15"/>
        <v>0</v>
      </c>
      <c r="DA39" s="1007">
        <f t="shared" si="16"/>
        <v>0</v>
      </c>
    </row>
    <row r="40" spans="1:108" ht="51" hidden="1" x14ac:dyDescent="0.25">
      <c r="A40" s="472">
        <v>2026</v>
      </c>
      <c r="B40" s="472">
        <v>479</v>
      </c>
      <c r="C40" s="472" t="s">
        <v>64</v>
      </c>
      <c r="D40" s="472" t="s">
        <v>65</v>
      </c>
      <c r="E40" s="472">
        <v>125</v>
      </c>
      <c r="F40" s="472">
        <v>3000654</v>
      </c>
      <c r="G40" s="472">
        <v>5005023</v>
      </c>
      <c r="H40" s="472">
        <v>3</v>
      </c>
      <c r="I40" s="472">
        <v>12</v>
      </c>
      <c r="J40" s="472">
        <v>24</v>
      </c>
      <c r="K40" s="472">
        <v>135560</v>
      </c>
      <c r="L40" s="472" t="s">
        <v>66</v>
      </c>
      <c r="M40" s="124" t="s">
        <v>67</v>
      </c>
      <c r="N40" s="472">
        <v>95</v>
      </c>
      <c r="O40" s="474"/>
      <c r="P40" s="474" t="s">
        <v>4</v>
      </c>
      <c r="Q40" s="472" t="s">
        <v>68</v>
      </c>
      <c r="R40" s="475" t="s">
        <v>69</v>
      </c>
      <c r="S40" s="475" t="s">
        <v>137</v>
      </c>
      <c r="T40" s="475"/>
      <c r="U40" s="124" t="s">
        <v>164</v>
      </c>
      <c r="V40" s="475" t="s">
        <v>3</v>
      </c>
      <c r="W40" s="121">
        <v>1</v>
      </c>
      <c r="X40" s="476">
        <v>6000</v>
      </c>
      <c r="Y40" s="474"/>
      <c r="Z40" s="474"/>
      <c r="AA40" s="474"/>
      <c r="AB40" s="474"/>
      <c r="AC40" s="475">
        <v>30</v>
      </c>
      <c r="AD40" s="475">
        <v>30</v>
      </c>
      <c r="AE40" s="474"/>
      <c r="AF40" s="474"/>
      <c r="AG40" s="474"/>
      <c r="AH40" s="474"/>
      <c r="AI40" s="474"/>
      <c r="AJ40" s="474"/>
      <c r="AK40" s="477">
        <v>12000</v>
      </c>
      <c r="AL40" s="472" t="s">
        <v>73</v>
      </c>
      <c r="AM40" s="472" t="s">
        <v>73</v>
      </c>
      <c r="AN40" s="472" t="s">
        <v>73</v>
      </c>
      <c r="AO40" s="472" t="s">
        <v>73</v>
      </c>
      <c r="AP40" s="478">
        <v>6000</v>
      </c>
      <c r="AQ40" s="478">
        <v>6000</v>
      </c>
      <c r="AR40" s="472" t="s">
        <v>73</v>
      </c>
      <c r="AS40" s="472" t="s">
        <v>73</v>
      </c>
      <c r="AT40" s="472" t="s">
        <v>73</v>
      </c>
      <c r="AU40" s="472" t="s">
        <v>73</v>
      </c>
      <c r="AV40" s="472" t="s">
        <v>73</v>
      </c>
      <c r="AW40" s="472" t="s">
        <v>73</v>
      </c>
      <c r="AX40" s="30">
        <v>12000</v>
      </c>
      <c r="AY40" s="479" t="s">
        <v>7</v>
      </c>
      <c r="AZ40" s="474" t="s">
        <v>74</v>
      </c>
      <c r="BA40" s="474"/>
      <c r="BB40" s="480"/>
      <c r="BC40" s="480"/>
      <c r="BK40" s="481" t="s">
        <v>790</v>
      </c>
      <c r="BL40" s="481" t="s">
        <v>791</v>
      </c>
      <c r="BM40" s="284" t="s">
        <v>792</v>
      </c>
      <c r="BN40" s="414" t="s">
        <v>793</v>
      </c>
      <c r="BO40" s="284" t="s">
        <v>794</v>
      </c>
      <c r="BP40" s="285">
        <v>46134</v>
      </c>
      <c r="BQ40" s="482"/>
      <c r="BR40" s="962" t="s">
        <v>931</v>
      </c>
      <c r="BS40" s="482"/>
      <c r="BT40" s="286" t="s">
        <v>796</v>
      </c>
      <c r="BU40" s="482" t="s">
        <v>797</v>
      </c>
      <c r="BV40" s="414" t="s">
        <v>932</v>
      </c>
      <c r="BW40" s="284" t="s">
        <v>933</v>
      </c>
      <c r="BX40" s="284" t="s">
        <v>934</v>
      </c>
      <c r="BY40" s="284">
        <v>45847537</v>
      </c>
      <c r="BZ40" s="284"/>
      <c r="CA40" s="288">
        <v>6000</v>
      </c>
      <c r="CB40" s="483">
        <v>46143</v>
      </c>
      <c r="CC40" s="483">
        <v>46203</v>
      </c>
      <c r="CD40" s="759"/>
      <c r="CE40" s="485">
        <f t="shared" ref="CE40" si="125">AC40</f>
        <v>30</v>
      </c>
      <c r="CF40" s="484">
        <f t="shared" ref="CF40" si="126">AP40</f>
        <v>6000</v>
      </c>
      <c r="CG40" s="485">
        <v>30</v>
      </c>
      <c r="CH40" s="485">
        <f t="shared" ref="CH40" si="127">(X40/30)*CG40</f>
        <v>6000</v>
      </c>
      <c r="CI40" s="485">
        <v>30</v>
      </c>
      <c r="CJ40" s="485">
        <f t="shared" ref="CJ40" si="128">(X40/30)*CI40</f>
        <v>6000</v>
      </c>
      <c r="CK40" s="484">
        <f t="shared" ref="CK40" si="129">CF40-CH40</f>
        <v>0</v>
      </c>
      <c r="CL40" s="484">
        <f t="shared" ref="CL40" si="130">CF40-CJ40</f>
        <v>0</v>
      </c>
      <c r="CM40" s="1006"/>
      <c r="CN40" s="485">
        <f t="shared" ref="CN40" si="131">AD40</f>
        <v>30</v>
      </c>
      <c r="CO40" s="484">
        <f t="shared" ref="CO40" si="132">AQ40</f>
        <v>6000</v>
      </c>
      <c r="CP40" s="485">
        <v>30</v>
      </c>
      <c r="CQ40" s="485">
        <f t="shared" ref="CQ40" si="133">(X40/30)*CP40</f>
        <v>6000</v>
      </c>
      <c r="CR40" s="485">
        <v>30</v>
      </c>
      <c r="CS40" s="485">
        <f t="shared" ref="CS40" si="134">(X40/30)*CR40</f>
        <v>6000</v>
      </c>
      <c r="CT40" s="484">
        <f t="shared" ref="CT40" si="135">CO40-CQ40</f>
        <v>0</v>
      </c>
      <c r="CU40" s="484">
        <f t="shared" ref="CU40" si="136">CO40-CS40</f>
        <v>0</v>
      </c>
      <c r="CV40" s="1006"/>
      <c r="CW40" s="1007">
        <f t="shared" si="12"/>
        <v>12000</v>
      </c>
      <c r="CX40" s="486">
        <f t="shared" si="13"/>
        <v>12000</v>
      </c>
      <c r="CY40" s="486">
        <f t="shared" si="14"/>
        <v>12000</v>
      </c>
      <c r="CZ40" s="1007">
        <f t="shared" si="15"/>
        <v>0</v>
      </c>
      <c r="DA40" s="1007">
        <f t="shared" si="16"/>
        <v>0</v>
      </c>
    </row>
    <row r="41" spans="1:108" ht="51" hidden="1" x14ac:dyDescent="0.25">
      <c r="A41" s="472">
        <v>2026</v>
      </c>
      <c r="B41" s="472">
        <v>479</v>
      </c>
      <c r="C41" s="472" t="s">
        <v>64</v>
      </c>
      <c r="D41" s="472" t="s">
        <v>65</v>
      </c>
      <c r="E41" s="472">
        <v>125</v>
      </c>
      <c r="F41" s="472">
        <v>3000654</v>
      </c>
      <c r="G41" s="472">
        <v>5005023</v>
      </c>
      <c r="H41" s="472">
        <v>3</v>
      </c>
      <c r="I41" s="472">
        <v>12</v>
      </c>
      <c r="J41" s="472">
        <v>24</v>
      </c>
      <c r="K41" s="472">
        <v>135560</v>
      </c>
      <c r="L41" s="472" t="s">
        <v>66</v>
      </c>
      <c r="M41" s="124" t="s">
        <v>67</v>
      </c>
      <c r="N41" s="472">
        <v>95</v>
      </c>
      <c r="O41" s="474"/>
      <c r="P41" s="474" t="s">
        <v>4</v>
      </c>
      <c r="Q41" s="472" t="s">
        <v>68</v>
      </c>
      <c r="R41" s="475" t="s">
        <v>69</v>
      </c>
      <c r="S41" s="475" t="s">
        <v>137</v>
      </c>
      <c r="T41" s="475"/>
      <c r="U41" s="124" t="s">
        <v>164</v>
      </c>
      <c r="V41" s="475" t="s">
        <v>3</v>
      </c>
      <c r="W41" s="121">
        <v>1</v>
      </c>
      <c r="X41" s="476">
        <v>6000</v>
      </c>
      <c r="Y41" s="474"/>
      <c r="Z41" s="474"/>
      <c r="AA41" s="474"/>
      <c r="AB41" s="474"/>
      <c r="AC41" s="475">
        <v>30</v>
      </c>
      <c r="AD41" s="475">
        <v>30</v>
      </c>
      <c r="AE41" s="474"/>
      <c r="AF41" s="474"/>
      <c r="AG41" s="474"/>
      <c r="AH41" s="474"/>
      <c r="AI41" s="474"/>
      <c r="AJ41" s="474"/>
      <c r="AK41" s="477">
        <v>12000</v>
      </c>
      <c r="AL41" s="472" t="s">
        <v>73</v>
      </c>
      <c r="AM41" s="472" t="s">
        <v>73</v>
      </c>
      <c r="AN41" s="472" t="s">
        <v>73</v>
      </c>
      <c r="AO41" s="472" t="s">
        <v>73</v>
      </c>
      <c r="AP41" s="478">
        <v>6000</v>
      </c>
      <c r="AQ41" s="478">
        <v>6000</v>
      </c>
      <c r="AR41" s="472" t="s">
        <v>73</v>
      </c>
      <c r="AS41" s="472" t="s">
        <v>73</v>
      </c>
      <c r="AT41" s="472" t="s">
        <v>73</v>
      </c>
      <c r="AU41" s="472" t="s">
        <v>73</v>
      </c>
      <c r="AV41" s="472" t="s">
        <v>73</v>
      </c>
      <c r="AW41" s="472" t="s">
        <v>73</v>
      </c>
      <c r="AX41" s="30">
        <v>12000</v>
      </c>
      <c r="AY41" s="479" t="s">
        <v>7</v>
      </c>
      <c r="AZ41" s="474" t="s">
        <v>74</v>
      </c>
      <c r="BA41" s="474"/>
      <c r="BB41" s="480"/>
      <c r="BC41" s="480"/>
      <c r="BK41" s="481" t="s">
        <v>790</v>
      </c>
      <c r="BL41" s="481" t="s">
        <v>791</v>
      </c>
      <c r="BM41" s="284" t="s">
        <v>792</v>
      </c>
      <c r="BN41" s="414" t="s">
        <v>793</v>
      </c>
      <c r="BO41" s="284" t="s">
        <v>794</v>
      </c>
      <c r="BP41" s="285">
        <v>46134</v>
      </c>
      <c r="BQ41" s="482"/>
      <c r="BR41" s="962" t="s">
        <v>935</v>
      </c>
      <c r="BS41" s="482"/>
      <c r="BT41" s="286" t="s">
        <v>796</v>
      </c>
      <c r="BU41" s="482" t="s">
        <v>835</v>
      </c>
      <c r="BV41" s="414" t="s">
        <v>936</v>
      </c>
      <c r="BW41" s="284" t="s">
        <v>937</v>
      </c>
      <c r="BX41" s="284" t="s">
        <v>938</v>
      </c>
      <c r="BY41" s="284" t="s">
        <v>939</v>
      </c>
      <c r="BZ41" s="284"/>
      <c r="CA41" s="288">
        <v>6000</v>
      </c>
      <c r="CB41" s="483">
        <v>46143</v>
      </c>
      <c r="CC41" s="483">
        <v>46203</v>
      </c>
      <c r="CD41" s="759"/>
      <c r="CE41" s="485">
        <f t="shared" ref="CE41" si="137">AC41</f>
        <v>30</v>
      </c>
      <c r="CF41" s="484">
        <f t="shared" ref="CF41" si="138">AP41</f>
        <v>6000</v>
      </c>
      <c r="CG41" s="485">
        <v>30</v>
      </c>
      <c r="CH41" s="485">
        <f t="shared" ref="CH41" si="139">(X41/30)*CG41</f>
        <v>6000</v>
      </c>
      <c r="CI41" s="485">
        <v>30</v>
      </c>
      <c r="CJ41" s="485">
        <f t="shared" ref="CJ41" si="140">(X41/30)*CI41</f>
        <v>6000</v>
      </c>
      <c r="CK41" s="484">
        <f t="shared" ref="CK41" si="141">CF41-CH41</f>
        <v>0</v>
      </c>
      <c r="CL41" s="484">
        <f t="shared" ref="CL41" si="142">CF41-CJ41</f>
        <v>0</v>
      </c>
      <c r="CM41" s="1006"/>
      <c r="CN41" s="485">
        <f t="shared" ref="CN41" si="143">AD41</f>
        <v>30</v>
      </c>
      <c r="CO41" s="484">
        <f t="shared" ref="CO41" si="144">AQ41</f>
        <v>6000</v>
      </c>
      <c r="CP41" s="485">
        <v>30</v>
      </c>
      <c r="CQ41" s="485">
        <f t="shared" ref="CQ41" si="145">(X41/30)*CP41</f>
        <v>6000</v>
      </c>
      <c r="CR41" s="485">
        <v>30</v>
      </c>
      <c r="CS41" s="485">
        <f t="shared" ref="CS41" si="146">(X41/30)*CR41</f>
        <v>6000</v>
      </c>
      <c r="CT41" s="484">
        <f t="shared" ref="CT41" si="147">CO41-CQ41</f>
        <v>0</v>
      </c>
      <c r="CU41" s="484">
        <f t="shared" ref="CU41" si="148">CO41-CS41</f>
        <v>0</v>
      </c>
      <c r="CV41" s="1006"/>
      <c r="CW41" s="1007">
        <f t="shared" si="12"/>
        <v>12000</v>
      </c>
      <c r="CX41" s="486">
        <f t="shared" si="13"/>
        <v>12000</v>
      </c>
      <c r="CY41" s="486">
        <f t="shared" si="14"/>
        <v>12000</v>
      </c>
      <c r="CZ41" s="1007">
        <f t="shared" si="15"/>
        <v>0</v>
      </c>
      <c r="DA41" s="1007">
        <f t="shared" si="16"/>
        <v>0</v>
      </c>
    </row>
    <row r="42" spans="1:108" ht="51" hidden="1" x14ac:dyDescent="0.25">
      <c r="A42" s="472">
        <v>2026</v>
      </c>
      <c r="B42" s="472">
        <v>479</v>
      </c>
      <c r="C42" s="472" t="s">
        <v>64</v>
      </c>
      <c r="D42" s="472" t="s">
        <v>65</v>
      </c>
      <c r="E42" s="472">
        <v>125</v>
      </c>
      <c r="F42" s="472">
        <v>3000654</v>
      </c>
      <c r="G42" s="472">
        <v>5005023</v>
      </c>
      <c r="H42" s="472">
        <v>3</v>
      </c>
      <c r="I42" s="472">
        <v>12</v>
      </c>
      <c r="J42" s="472">
        <v>24</v>
      </c>
      <c r="K42" s="472">
        <v>135560</v>
      </c>
      <c r="L42" s="472" t="s">
        <v>66</v>
      </c>
      <c r="M42" s="124" t="s">
        <v>67</v>
      </c>
      <c r="N42" s="472">
        <v>95</v>
      </c>
      <c r="O42" s="474"/>
      <c r="P42" s="474" t="s">
        <v>4</v>
      </c>
      <c r="Q42" s="472" t="s">
        <v>68</v>
      </c>
      <c r="R42" s="475" t="s">
        <v>69</v>
      </c>
      <c r="S42" s="475" t="s">
        <v>137</v>
      </c>
      <c r="T42" s="475"/>
      <c r="U42" s="124" t="s">
        <v>164</v>
      </c>
      <c r="V42" s="475" t="s">
        <v>3</v>
      </c>
      <c r="W42" s="121">
        <v>1</v>
      </c>
      <c r="X42" s="476">
        <v>6000</v>
      </c>
      <c r="Y42" s="474"/>
      <c r="Z42" s="474"/>
      <c r="AA42" s="474"/>
      <c r="AB42" s="474"/>
      <c r="AC42" s="475">
        <v>30</v>
      </c>
      <c r="AD42" s="475">
        <v>30</v>
      </c>
      <c r="AE42" s="474"/>
      <c r="AF42" s="474"/>
      <c r="AG42" s="474"/>
      <c r="AH42" s="474"/>
      <c r="AI42" s="474"/>
      <c r="AJ42" s="474"/>
      <c r="AK42" s="477">
        <v>12000</v>
      </c>
      <c r="AL42" s="472" t="s">
        <v>73</v>
      </c>
      <c r="AM42" s="472" t="s">
        <v>73</v>
      </c>
      <c r="AN42" s="472" t="s">
        <v>73</v>
      </c>
      <c r="AO42" s="472" t="s">
        <v>73</v>
      </c>
      <c r="AP42" s="478">
        <v>6000</v>
      </c>
      <c r="AQ42" s="478">
        <v>6000</v>
      </c>
      <c r="AR42" s="472" t="s">
        <v>73</v>
      </c>
      <c r="AS42" s="472" t="s">
        <v>73</v>
      </c>
      <c r="AT42" s="472" t="s">
        <v>73</v>
      </c>
      <c r="AU42" s="472" t="s">
        <v>73</v>
      </c>
      <c r="AV42" s="472" t="s">
        <v>73</v>
      </c>
      <c r="AW42" s="472" t="s">
        <v>73</v>
      </c>
      <c r="AX42" s="30">
        <v>12000</v>
      </c>
      <c r="AY42" s="479" t="s">
        <v>7</v>
      </c>
      <c r="AZ42" s="474" t="s">
        <v>74</v>
      </c>
      <c r="BA42" s="474"/>
      <c r="BB42" s="480"/>
      <c r="BC42" s="480"/>
      <c r="BK42" s="481" t="s">
        <v>790</v>
      </c>
      <c r="BL42" s="481" t="s">
        <v>791</v>
      </c>
      <c r="BM42" s="284" t="s">
        <v>792</v>
      </c>
      <c r="BN42" s="414" t="s">
        <v>793</v>
      </c>
      <c r="BO42" s="284" t="s">
        <v>794</v>
      </c>
      <c r="BP42" s="285">
        <v>46134</v>
      </c>
      <c r="BQ42" s="482"/>
      <c r="BR42" s="962" t="s">
        <v>940</v>
      </c>
      <c r="BS42" s="482"/>
      <c r="BT42" s="286" t="s">
        <v>796</v>
      </c>
      <c r="BU42" s="482" t="s">
        <v>835</v>
      </c>
      <c r="BV42" s="414" t="s">
        <v>941</v>
      </c>
      <c r="BW42" s="284" t="s">
        <v>910</v>
      </c>
      <c r="BX42" s="284" t="s">
        <v>942</v>
      </c>
      <c r="BY42" s="284">
        <v>75742009</v>
      </c>
      <c r="BZ42" s="284"/>
      <c r="CA42" s="288">
        <v>6000</v>
      </c>
      <c r="CB42" s="483">
        <v>46143</v>
      </c>
      <c r="CC42" s="483">
        <v>46203</v>
      </c>
      <c r="CD42" s="759"/>
      <c r="CE42" s="485">
        <f t="shared" si="29"/>
        <v>30</v>
      </c>
      <c r="CF42" s="484">
        <f t="shared" si="30"/>
        <v>6000</v>
      </c>
      <c r="CG42" s="485">
        <v>30</v>
      </c>
      <c r="CH42" s="485">
        <f t="shared" si="31"/>
        <v>6000</v>
      </c>
      <c r="CI42" s="485">
        <v>30</v>
      </c>
      <c r="CJ42" s="485">
        <f t="shared" si="32"/>
        <v>6000</v>
      </c>
      <c r="CK42" s="484">
        <f t="shared" si="33"/>
        <v>0</v>
      </c>
      <c r="CL42" s="484">
        <f t="shared" si="34"/>
        <v>0</v>
      </c>
      <c r="CM42" s="1006"/>
      <c r="CN42" s="485">
        <f t="shared" si="35"/>
        <v>30</v>
      </c>
      <c r="CO42" s="484">
        <f t="shared" si="36"/>
        <v>6000</v>
      </c>
      <c r="CP42" s="485">
        <v>30</v>
      </c>
      <c r="CQ42" s="485">
        <f t="shared" si="37"/>
        <v>6000</v>
      </c>
      <c r="CR42" s="485">
        <v>30</v>
      </c>
      <c r="CS42" s="485">
        <f t="shared" si="38"/>
        <v>6000</v>
      </c>
      <c r="CT42" s="484">
        <f t="shared" si="39"/>
        <v>0</v>
      </c>
      <c r="CU42" s="484">
        <f t="shared" si="40"/>
        <v>0</v>
      </c>
      <c r="CV42" s="1006"/>
      <c r="CW42" s="1007">
        <f t="shared" si="12"/>
        <v>12000</v>
      </c>
      <c r="CX42" s="486">
        <f t="shared" si="13"/>
        <v>12000</v>
      </c>
      <c r="CY42" s="486">
        <f t="shared" si="14"/>
        <v>12000</v>
      </c>
      <c r="CZ42" s="1007">
        <f t="shared" si="15"/>
        <v>0</v>
      </c>
      <c r="DA42" s="1007">
        <f t="shared" si="16"/>
        <v>0</v>
      </c>
    </row>
    <row r="43" spans="1:108" ht="51" hidden="1" x14ac:dyDescent="0.25">
      <c r="A43" s="472">
        <v>2026</v>
      </c>
      <c r="B43" s="472">
        <v>479</v>
      </c>
      <c r="C43" s="472" t="s">
        <v>64</v>
      </c>
      <c r="D43" s="472" t="s">
        <v>65</v>
      </c>
      <c r="E43" s="472">
        <v>125</v>
      </c>
      <c r="F43" s="472">
        <v>3000654</v>
      </c>
      <c r="G43" s="472">
        <v>5005023</v>
      </c>
      <c r="H43" s="472">
        <v>3</v>
      </c>
      <c r="I43" s="472">
        <v>12</v>
      </c>
      <c r="J43" s="472">
        <v>24</v>
      </c>
      <c r="K43" s="472">
        <v>135560</v>
      </c>
      <c r="L43" s="472" t="s">
        <v>66</v>
      </c>
      <c r="M43" s="124" t="s">
        <v>67</v>
      </c>
      <c r="N43" s="472">
        <v>95</v>
      </c>
      <c r="O43" s="474"/>
      <c r="P43" s="474" t="s">
        <v>4</v>
      </c>
      <c r="Q43" s="472" t="s">
        <v>68</v>
      </c>
      <c r="R43" s="475" t="s">
        <v>69</v>
      </c>
      <c r="S43" s="475" t="s">
        <v>137</v>
      </c>
      <c r="T43" s="475"/>
      <c r="U43" s="124" t="s">
        <v>165</v>
      </c>
      <c r="V43" s="475" t="s">
        <v>3</v>
      </c>
      <c r="W43" s="121">
        <v>1</v>
      </c>
      <c r="X43" s="476">
        <v>7000</v>
      </c>
      <c r="Y43" s="474"/>
      <c r="Z43" s="474"/>
      <c r="AA43" s="474"/>
      <c r="AB43" s="474"/>
      <c r="AC43" s="475">
        <v>30</v>
      </c>
      <c r="AD43" s="475">
        <v>30</v>
      </c>
      <c r="AE43" s="474"/>
      <c r="AF43" s="474"/>
      <c r="AG43" s="474"/>
      <c r="AH43" s="474"/>
      <c r="AI43" s="474"/>
      <c r="AJ43" s="474"/>
      <c r="AK43" s="477">
        <v>14000</v>
      </c>
      <c r="AL43" s="472" t="s">
        <v>73</v>
      </c>
      <c r="AM43" s="472" t="s">
        <v>73</v>
      </c>
      <c r="AN43" s="472" t="s">
        <v>73</v>
      </c>
      <c r="AO43" s="472" t="s">
        <v>73</v>
      </c>
      <c r="AP43" s="478">
        <v>7000</v>
      </c>
      <c r="AQ43" s="478">
        <v>7000</v>
      </c>
      <c r="AR43" s="472" t="s">
        <v>73</v>
      </c>
      <c r="AS43" s="472" t="s">
        <v>73</v>
      </c>
      <c r="AT43" s="472" t="s">
        <v>73</v>
      </c>
      <c r="AU43" s="472" t="s">
        <v>73</v>
      </c>
      <c r="AV43" s="472" t="s">
        <v>73</v>
      </c>
      <c r="AW43" s="472" t="s">
        <v>73</v>
      </c>
      <c r="AX43" s="30">
        <v>14000</v>
      </c>
      <c r="AY43" s="479" t="s">
        <v>7</v>
      </c>
      <c r="AZ43" s="474" t="s">
        <v>74</v>
      </c>
      <c r="BA43" s="474"/>
      <c r="BB43" s="480"/>
      <c r="BC43" s="480"/>
      <c r="BK43" s="481" t="s">
        <v>790</v>
      </c>
      <c r="BL43" s="481" t="s">
        <v>791</v>
      </c>
      <c r="BM43" s="284" t="s">
        <v>792</v>
      </c>
      <c r="BN43" s="414" t="s">
        <v>793</v>
      </c>
      <c r="BO43" s="284" t="s">
        <v>794</v>
      </c>
      <c r="BP43" s="285">
        <v>46134</v>
      </c>
      <c r="BQ43" s="482"/>
      <c r="BR43" s="962" t="s">
        <v>943</v>
      </c>
      <c r="BS43" s="482"/>
      <c r="BT43" s="286" t="s">
        <v>796</v>
      </c>
      <c r="BU43" s="482" t="s">
        <v>797</v>
      </c>
      <c r="BV43" s="414" t="s">
        <v>944</v>
      </c>
      <c r="BW43" s="284" t="s">
        <v>922</v>
      </c>
      <c r="BX43" s="284" t="s">
        <v>945</v>
      </c>
      <c r="BY43" s="284" t="s">
        <v>946</v>
      </c>
      <c r="BZ43" s="284"/>
      <c r="CA43" s="288">
        <v>7000</v>
      </c>
      <c r="CB43" s="483">
        <v>46143</v>
      </c>
      <c r="CC43" s="483">
        <v>46203</v>
      </c>
      <c r="CD43" s="759"/>
      <c r="CE43" s="485">
        <f t="shared" si="29"/>
        <v>30</v>
      </c>
      <c r="CF43" s="484">
        <f t="shared" si="30"/>
        <v>7000</v>
      </c>
      <c r="CG43" s="485">
        <v>30</v>
      </c>
      <c r="CH43" s="485">
        <f t="shared" si="31"/>
        <v>7000</v>
      </c>
      <c r="CI43" s="485">
        <v>30</v>
      </c>
      <c r="CJ43" s="485">
        <f t="shared" si="32"/>
        <v>7000</v>
      </c>
      <c r="CK43" s="484">
        <f t="shared" si="33"/>
        <v>0</v>
      </c>
      <c r="CL43" s="484">
        <f t="shared" si="34"/>
        <v>0</v>
      </c>
      <c r="CM43" s="1006"/>
      <c r="CN43" s="485">
        <f t="shared" si="35"/>
        <v>30</v>
      </c>
      <c r="CO43" s="484">
        <f t="shared" si="36"/>
        <v>7000</v>
      </c>
      <c r="CP43" s="485">
        <v>30</v>
      </c>
      <c r="CQ43" s="485">
        <f t="shared" si="37"/>
        <v>7000</v>
      </c>
      <c r="CR43" s="485">
        <v>30</v>
      </c>
      <c r="CS43" s="485">
        <f t="shared" si="38"/>
        <v>7000</v>
      </c>
      <c r="CT43" s="484">
        <f t="shared" si="39"/>
        <v>0</v>
      </c>
      <c r="CU43" s="484">
        <f t="shared" si="40"/>
        <v>0</v>
      </c>
      <c r="CV43" s="1006"/>
      <c r="CW43" s="1007">
        <f t="shared" si="12"/>
        <v>14000</v>
      </c>
      <c r="CX43" s="486">
        <f t="shared" si="13"/>
        <v>14000</v>
      </c>
      <c r="CY43" s="486">
        <f t="shared" si="14"/>
        <v>14000</v>
      </c>
      <c r="CZ43" s="1007">
        <f t="shared" si="15"/>
        <v>0</v>
      </c>
      <c r="DA43" s="1007">
        <f t="shared" si="16"/>
        <v>0</v>
      </c>
    </row>
    <row r="44" spans="1:108" ht="51" hidden="1" x14ac:dyDescent="0.25">
      <c r="A44" s="472">
        <v>2026</v>
      </c>
      <c r="B44" s="472">
        <v>479</v>
      </c>
      <c r="C44" s="472" t="s">
        <v>64</v>
      </c>
      <c r="D44" s="472" t="s">
        <v>65</v>
      </c>
      <c r="E44" s="472">
        <v>125</v>
      </c>
      <c r="F44" s="472">
        <v>3000654</v>
      </c>
      <c r="G44" s="472">
        <v>5005023</v>
      </c>
      <c r="H44" s="472">
        <v>3</v>
      </c>
      <c r="I44" s="472">
        <v>12</v>
      </c>
      <c r="J44" s="472">
        <v>24</v>
      </c>
      <c r="K44" s="472">
        <v>135560</v>
      </c>
      <c r="L44" s="472" t="s">
        <v>66</v>
      </c>
      <c r="M44" s="124" t="s">
        <v>67</v>
      </c>
      <c r="N44" s="472">
        <v>95</v>
      </c>
      <c r="O44" s="474"/>
      <c r="P44" s="474" t="s">
        <v>4</v>
      </c>
      <c r="Q44" s="472" t="s">
        <v>68</v>
      </c>
      <c r="R44" s="475" t="s">
        <v>69</v>
      </c>
      <c r="S44" s="475" t="s">
        <v>137</v>
      </c>
      <c r="T44" s="475"/>
      <c r="U44" s="124" t="s">
        <v>166</v>
      </c>
      <c r="V44" s="475" t="s">
        <v>3</v>
      </c>
      <c r="W44" s="121">
        <v>1</v>
      </c>
      <c r="X44" s="476">
        <v>6500</v>
      </c>
      <c r="Y44" s="474"/>
      <c r="Z44" s="474"/>
      <c r="AA44" s="474"/>
      <c r="AB44" s="474"/>
      <c r="AC44" s="475">
        <v>30</v>
      </c>
      <c r="AD44" s="475">
        <v>30</v>
      </c>
      <c r="AE44" s="474"/>
      <c r="AF44" s="474"/>
      <c r="AG44" s="474"/>
      <c r="AH44" s="474"/>
      <c r="AI44" s="474"/>
      <c r="AJ44" s="474"/>
      <c r="AK44" s="477">
        <v>13000</v>
      </c>
      <c r="AL44" s="472" t="s">
        <v>73</v>
      </c>
      <c r="AM44" s="472" t="s">
        <v>73</v>
      </c>
      <c r="AN44" s="472" t="s">
        <v>73</v>
      </c>
      <c r="AO44" s="472" t="s">
        <v>73</v>
      </c>
      <c r="AP44" s="478">
        <v>6500</v>
      </c>
      <c r="AQ44" s="478">
        <v>6500</v>
      </c>
      <c r="AR44" s="472" t="s">
        <v>73</v>
      </c>
      <c r="AS44" s="472" t="s">
        <v>73</v>
      </c>
      <c r="AT44" s="472" t="s">
        <v>73</v>
      </c>
      <c r="AU44" s="472" t="s">
        <v>73</v>
      </c>
      <c r="AV44" s="472" t="s">
        <v>73</v>
      </c>
      <c r="AW44" s="472" t="s">
        <v>73</v>
      </c>
      <c r="AX44" s="30">
        <v>13000</v>
      </c>
      <c r="AY44" s="479" t="s">
        <v>7</v>
      </c>
      <c r="AZ44" s="474" t="s">
        <v>74</v>
      </c>
      <c r="BA44" s="474"/>
      <c r="BB44" s="480"/>
      <c r="BC44" s="480"/>
      <c r="BK44" s="481" t="s">
        <v>790</v>
      </c>
      <c r="BL44" s="481" t="s">
        <v>791</v>
      </c>
      <c r="BM44" s="284" t="s">
        <v>792</v>
      </c>
      <c r="BN44" s="414" t="s">
        <v>793</v>
      </c>
      <c r="BO44" s="284" t="s">
        <v>794</v>
      </c>
      <c r="BP44" s="285">
        <v>46134</v>
      </c>
      <c r="BQ44" s="482"/>
      <c r="BR44" s="962" t="s">
        <v>947</v>
      </c>
      <c r="BS44" s="482"/>
      <c r="BT44" s="286" t="s">
        <v>796</v>
      </c>
      <c r="BU44" s="482" t="s">
        <v>835</v>
      </c>
      <c r="BV44" s="414" t="s">
        <v>948</v>
      </c>
      <c r="BW44" s="284" t="s">
        <v>949</v>
      </c>
      <c r="BX44" s="284" t="s">
        <v>950</v>
      </c>
      <c r="BY44" s="284">
        <v>41825757</v>
      </c>
      <c r="BZ44" s="284"/>
      <c r="CA44" s="288">
        <v>6500</v>
      </c>
      <c r="CB44" s="483">
        <v>46143</v>
      </c>
      <c r="CC44" s="483">
        <v>46203</v>
      </c>
      <c r="CD44" s="759"/>
      <c r="CE44" s="485">
        <f t="shared" si="29"/>
        <v>30</v>
      </c>
      <c r="CF44" s="484">
        <f t="shared" si="30"/>
        <v>6500</v>
      </c>
      <c r="CG44" s="485">
        <v>30</v>
      </c>
      <c r="CH44" s="485">
        <f t="shared" si="31"/>
        <v>6500</v>
      </c>
      <c r="CI44" s="485">
        <v>30</v>
      </c>
      <c r="CJ44" s="485">
        <f t="shared" si="32"/>
        <v>6500</v>
      </c>
      <c r="CK44" s="484">
        <f t="shared" si="33"/>
        <v>0</v>
      </c>
      <c r="CL44" s="484">
        <f t="shared" si="34"/>
        <v>0</v>
      </c>
      <c r="CM44" s="1006"/>
      <c r="CN44" s="485">
        <f t="shared" si="35"/>
        <v>30</v>
      </c>
      <c r="CO44" s="484">
        <f t="shared" si="36"/>
        <v>6500</v>
      </c>
      <c r="CP44" s="485">
        <v>30</v>
      </c>
      <c r="CQ44" s="485">
        <f t="shared" si="37"/>
        <v>6500</v>
      </c>
      <c r="CR44" s="485">
        <v>30</v>
      </c>
      <c r="CS44" s="485">
        <f t="shared" si="38"/>
        <v>6500</v>
      </c>
      <c r="CT44" s="484">
        <f t="shared" si="39"/>
        <v>0</v>
      </c>
      <c r="CU44" s="484">
        <f t="shared" si="40"/>
        <v>0</v>
      </c>
      <c r="CV44" s="1006"/>
      <c r="CW44" s="1007">
        <f t="shared" si="12"/>
        <v>13000</v>
      </c>
      <c r="CX44" s="486">
        <f t="shared" si="13"/>
        <v>13000</v>
      </c>
      <c r="CY44" s="486">
        <f t="shared" si="14"/>
        <v>13000</v>
      </c>
      <c r="CZ44" s="1007">
        <f t="shared" si="15"/>
        <v>0</v>
      </c>
      <c r="DA44" s="1007">
        <f t="shared" si="16"/>
        <v>0</v>
      </c>
    </row>
    <row r="45" spans="1:108" ht="51" hidden="1" x14ac:dyDescent="0.25">
      <c r="A45" s="472">
        <v>2026</v>
      </c>
      <c r="B45" s="472">
        <v>479</v>
      </c>
      <c r="C45" s="472" t="s">
        <v>64</v>
      </c>
      <c r="D45" s="472" t="s">
        <v>65</v>
      </c>
      <c r="E45" s="472">
        <v>125</v>
      </c>
      <c r="F45" s="472">
        <v>3000654</v>
      </c>
      <c r="G45" s="472">
        <v>5005023</v>
      </c>
      <c r="H45" s="472">
        <v>3</v>
      </c>
      <c r="I45" s="472">
        <v>12</v>
      </c>
      <c r="J45" s="472">
        <v>24</v>
      </c>
      <c r="K45" s="472">
        <v>135560</v>
      </c>
      <c r="L45" s="472" t="s">
        <v>66</v>
      </c>
      <c r="M45" s="124" t="s">
        <v>67</v>
      </c>
      <c r="N45" s="472">
        <v>95</v>
      </c>
      <c r="O45" s="474"/>
      <c r="P45" s="474" t="s">
        <v>4</v>
      </c>
      <c r="Q45" s="472" t="s">
        <v>68</v>
      </c>
      <c r="R45" s="475" t="s">
        <v>69</v>
      </c>
      <c r="S45" s="475" t="s">
        <v>137</v>
      </c>
      <c r="T45" s="475"/>
      <c r="U45" s="124" t="s">
        <v>167</v>
      </c>
      <c r="V45" s="475" t="s">
        <v>3</v>
      </c>
      <c r="W45" s="121">
        <v>1</v>
      </c>
      <c r="X45" s="476">
        <v>6500</v>
      </c>
      <c r="Y45" s="474"/>
      <c r="Z45" s="474"/>
      <c r="AA45" s="474"/>
      <c r="AB45" s="474"/>
      <c r="AC45" s="475">
        <v>30</v>
      </c>
      <c r="AD45" s="475">
        <v>30</v>
      </c>
      <c r="AE45" s="474"/>
      <c r="AF45" s="474"/>
      <c r="AG45" s="474"/>
      <c r="AH45" s="474"/>
      <c r="AI45" s="474"/>
      <c r="AJ45" s="474"/>
      <c r="AK45" s="501">
        <v>13000</v>
      </c>
      <c r="AL45" s="472" t="s">
        <v>73</v>
      </c>
      <c r="AM45" s="472" t="s">
        <v>73</v>
      </c>
      <c r="AN45" s="472" t="s">
        <v>73</v>
      </c>
      <c r="AO45" s="472" t="s">
        <v>73</v>
      </c>
      <c r="AP45" s="502">
        <v>6500</v>
      </c>
      <c r="AQ45" s="502">
        <v>6500</v>
      </c>
      <c r="AR45" s="472" t="s">
        <v>73</v>
      </c>
      <c r="AS45" s="472" t="s">
        <v>73</v>
      </c>
      <c r="AT45" s="472" t="s">
        <v>73</v>
      </c>
      <c r="AU45" s="472" t="s">
        <v>73</v>
      </c>
      <c r="AV45" s="472" t="s">
        <v>73</v>
      </c>
      <c r="AW45" s="472" t="s">
        <v>73</v>
      </c>
      <c r="AX45" s="174">
        <v>13000</v>
      </c>
      <c r="AY45" s="503" t="s">
        <v>7</v>
      </c>
      <c r="AZ45" s="474" t="s">
        <v>74</v>
      </c>
      <c r="BA45" s="474"/>
      <c r="BB45" s="480"/>
      <c r="BC45" s="480"/>
      <c r="BK45" s="481" t="s">
        <v>790</v>
      </c>
      <c r="BL45" s="481" t="s">
        <v>791</v>
      </c>
      <c r="BM45" s="481" t="s">
        <v>951</v>
      </c>
      <c r="BN45" s="414" t="s">
        <v>952</v>
      </c>
      <c r="BO45" s="284" t="s">
        <v>953</v>
      </c>
      <c r="BP45" s="285">
        <v>46156</v>
      </c>
      <c r="BQ45" s="480"/>
      <c r="BR45" s="963" t="s">
        <v>954</v>
      </c>
      <c r="BS45" s="480"/>
      <c r="BT45" s="286" t="s">
        <v>955</v>
      </c>
      <c r="BU45" s="482" t="s">
        <v>797</v>
      </c>
      <c r="BV45" s="414" t="s">
        <v>956</v>
      </c>
      <c r="BW45" s="284" t="s">
        <v>957</v>
      </c>
      <c r="BX45" s="284" t="s">
        <v>958</v>
      </c>
      <c r="BY45" s="284">
        <v>45191285</v>
      </c>
      <c r="BZ45" s="284">
        <v>10451912858</v>
      </c>
      <c r="CA45" s="288">
        <v>6500</v>
      </c>
      <c r="CB45" s="483">
        <v>46160</v>
      </c>
      <c r="CC45" s="483">
        <v>46203</v>
      </c>
      <c r="CD45" s="759"/>
      <c r="CE45" s="142">
        <f t="shared" si="29"/>
        <v>30</v>
      </c>
      <c r="CF45" s="1000">
        <f t="shared" si="30"/>
        <v>6500</v>
      </c>
      <c r="CG45" s="142">
        <v>14</v>
      </c>
      <c r="CH45" s="1023">
        <f t="shared" si="31"/>
        <v>3033.333333333333</v>
      </c>
      <c r="CI45" s="142">
        <v>14</v>
      </c>
      <c r="CJ45" s="1023">
        <f t="shared" si="32"/>
        <v>3033.333333333333</v>
      </c>
      <c r="CK45" s="1000">
        <f t="shared" si="33"/>
        <v>3466.666666666667</v>
      </c>
      <c r="CL45" s="1000">
        <f t="shared" si="34"/>
        <v>3466.666666666667</v>
      </c>
      <c r="CM45" s="1006"/>
      <c r="CN45" s="142">
        <f t="shared" si="35"/>
        <v>30</v>
      </c>
      <c r="CO45" s="1000">
        <f t="shared" si="36"/>
        <v>6500</v>
      </c>
      <c r="CP45" s="142">
        <v>30</v>
      </c>
      <c r="CQ45" s="142">
        <f t="shared" si="37"/>
        <v>6500</v>
      </c>
      <c r="CR45" s="142">
        <v>30</v>
      </c>
      <c r="CS45" s="142">
        <f t="shared" si="38"/>
        <v>6500</v>
      </c>
      <c r="CT45" s="1000">
        <f t="shared" si="39"/>
        <v>0</v>
      </c>
      <c r="CU45" s="1000">
        <f t="shared" si="40"/>
        <v>0</v>
      </c>
      <c r="CV45" s="1006"/>
      <c r="CW45" s="1007">
        <f t="shared" si="12"/>
        <v>13000</v>
      </c>
      <c r="CX45" s="1024">
        <f t="shared" si="13"/>
        <v>9533.3333333333321</v>
      </c>
      <c r="CY45" s="1024">
        <f t="shared" si="14"/>
        <v>9533.3333333333321</v>
      </c>
      <c r="CZ45" s="1007">
        <f t="shared" si="15"/>
        <v>3466.6666666666679</v>
      </c>
      <c r="DA45" s="1007">
        <f t="shared" si="16"/>
        <v>3466.6666666666679</v>
      </c>
      <c r="DD45" s="94" t="s">
        <v>959</v>
      </c>
    </row>
    <row r="46" spans="1:108" ht="51" hidden="1" x14ac:dyDescent="0.25">
      <c r="A46" s="472">
        <v>2026</v>
      </c>
      <c r="B46" s="472">
        <v>479</v>
      </c>
      <c r="C46" s="472" t="s">
        <v>64</v>
      </c>
      <c r="D46" s="472" t="s">
        <v>65</v>
      </c>
      <c r="E46" s="472">
        <v>125</v>
      </c>
      <c r="F46" s="472">
        <v>3000654</v>
      </c>
      <c r="G46" s="472">
        <v>5005023</v>
      </c>
      <c r="H46" s="472">
        <v>3</v>
      </c>
      <c r="I46" s="472">
        <v>12</v>
      </c>
      <c r="J46" s="472">
        <v>24</v>
      </c>
      <c r="K46" s="472">
        <v>135560</v>
      </c>
      <c r="L46" s="472" t="s">
        <v>66</v>
      </c>
      <c r="M46" s="124" t="s">
        <v>67</v>
      </c>
      <c r="N46" s="472">
        <v>95</v>
      </c>
      <c r="O46" s="474"/>
      <c r="P46" s="474" t="s">
        <v>4</v>
      </c>
      <c r="Q46" s="472" t="s">
        <v>68</v>
      </c>
      <c r="R46" s="475" t="s">
        <v>69</v>
      </c>
      <c r="S46" s="475" t="s">
        <v>137</v>
      </c>
      <c r="T46" s="475"/>
      <c r="U46" s="124" t="s">
        <v>168</v>
      </c>
      <c r="V46" s="475" t="s">
        <v>3</v>
      </c>
      <c r="W46" s="121">
        <v>1</v>
      </c>
      <c r="X46" s="476">
        <v>10000</v>
      </c>
      <c r="Y46" s="474"/>
      <c r="Z46" s="474"/>
      <c r="AA46" s="474"/>
      <c r="AB46" s="474"/>
      <c r="AC46" s="475">
        <v>30</v>
      </c>
      <c r="AD46" s="475">
        <v>30</v>
      </c>
      <c r="AE46" s="474"/>
      <c r="AF46" s="474"/>
      <c r="AG46" s="474"/>
      <c r="AH46" s="474"/>
      <c r="AI46" s="474"/>
      <c r="AJ46" s="474"/>
      <c r="AK46" s="477">
        <v>20000</v>
      </c>
      <c r="AL46" s="472" t="s">
        <v>73</v>
      </c>
      <c r="AM46" s="472" t="s">
        <v>73</v>
      </c>
      <c r="AN46" s="472" t="s">
        <v>73</v>
      </c>
      <c r="AO46" s="472" t="s">
        <v>73</v>
      </c>
      <c r="AP46" s="478">
        <v>10000</v>
      </c>
      <c r="AQ46" s="478">
        <v>10000</v>
      </c>
      <c r="AR46" s="472" t="s">
        <v>73</v>
      </c>
      <c r="AS46" s="472" t="s">
        <v>73</v>
      </c>
      <c r="AT46" s="472" t="s">
        <v>73</v>
      </c>
      <c r="AU46" s="472" t="s">
        <v>73</v>
      </c>
      <c r="AV46" s="472" t="s">
        <v>73</v>
      </c>
      <c r="AW46" s="472" t="s">
        <v>73</v>
      </c>
      <c r="AX46" s="30">
        <v>20000</v>
      </c>
      <c r="AY46" s="479" t="s">
        <v>7</v>
      </c>
      <c r="AZ46" s="474" t="s">
        <v>74</v>
      </c>
      <c r="BA46" s="474"/>
      <c r="BB46" s="480"/>
      <c r="BC46" s="480"/>
      <c r="BK46" s="481" t="s">
        <v>802</v>
      </c>
      <c r="BL46" s="481" t="s">
        <v>803</v>
      </c>
      <c r="BM46" s="480"/>
      <c r="BN46" s="142"/>
      <c r="BO46" s="480"/>
      <c r="BP46" s="480"/>
      <c r="BQ46" s="480"/>
      <c r="BR46" s="480"/>
      <c r="BS46" s="480"/>
      <c r="BT46" s="480"/>
      <c r="BU46" s="480"/>
      <c r="BV46" s="142"/>
      <c r="BW46" s="142"/>
      <c r="BX46" s="142"/>
      <c r="BY46" s="496"/>
      <c r="BZ46" s="142"/>
      <c r="CA46" s="497"/>
      <c r="CB46" s="480"/>
      <c r="CC46" s="480"/>
      <c r="CD46" s="759"/>
      <c r="CE46" s="1008">
        <f t="shared" si="29"/>
        <v>30</v>
      </c>
      <c r="CF46" s="1001">
        <f t="shared" si="30"/>
        <v>10000</v>
      </c>
      <c r="CG46" s="1008"/>
      <c r="CH46" s="1008">
        <f t="shared" si="31"/>
        <v>0</v>
      </c>
      <c r="CI46" s="1008"/>
      <c r="CJ46" s="1008">
        <f t="shared" si="32"/>
        <v>0</v>
      </c>
      <c r="CK46" s="1001">
        <f t="shared" si="33"/>
        <v>10000</v>
      </c>
      <c r="CL46" s="1001">
        <f t="shared" si="34"/>
        <v>10000</v>
      </c>
      <c r="CM46" s="1006"/>
      <c r="CN46" s="1008">
        <f t="shared" si="35"/>
        <v>30</v>
      </c>
      <c r="CO46" s="1001">
        <f t="shared" si="36"/>
        <v>10000</v>
      </c>
      <c r="CP46" s="1008"/>
      <c r="CQ46" s="1008">
        <f t="shared" si="37"/>
        <v>0</v>
      </c>
      <c r="CR46" s="1008"/>
      <c r="CS46" s="1008">
        <f t="shared" si="38"/>
        <v>0</v>
      </c>
      <c r="CT46" s="1001">
        <f t="shared" si="39"/>
        <v>10000</v>
      </c>
      <c r="CU46" s="1001">
        <f t="shared" si="40"/>
        <v>10000</v>
      </c>
      <c r="CV46" s="1006"/>
      <c r="CW46" s="1007">
        <f t="shared" si="12"/>
        <v>20000</v>
      </c>
      <c r="CX46" s="486">
        <f t="shared" si="13"/>
        <v>0</v>
      </c>
      <c r="CY46" s="486">
        <f t="shared" si="14"/>
        <v>0</v>
      </c>
      <c r="CZ46" s="1007">
        <f t="shared" si="15"/>
        <v>20000</v>
      </c>
      <c r="DA46" s="1007">
        <f t="shared" si="16"/>
        <v>20000</v>
      </c>
      <c r="DB46" s="71"/>
      <c r="DC46" s="71"/>
    </row>
    <row r="47" spans="1:108" ht="51" hidden="1" x14ac:dyDescent="0.25">
      <c r="A47" s="472">
        <v>2026</v>
      </c>
      <c r="B47" s="472">
        <v>479</v>
      </c>
      <c r="C47" s="472" t="s">
        <v>64</v>
      </c>
      <c r="D47" s="472" t="s">
        <v>65</v>
      </c>
      <c r="E47" s="472">
        <v>125</v>
      </c>
      <c r="F47" s="472">
        <v>3000654</v>
      </c>
      <c r="G47" s="472">
        <v>5005023</v>
      </c>
      <c r="H47" s="472">
        <v>3</v>
      </c>
      <c r="I47" s="472">
        <v>12</v>
      </c>
      <c r="J47" s="472">
        <v>24</v>
      </c>
      <c r="K47" s="472">
        <v>135560</v>
      </c>
      <c r="L47" s="472" t="s">
        <v>66</v>
      </c>
      <c r="M47" s="124" t="s">
        <v>67</v>
      </c>
      <c r="N47" s="472">
        <v>95</v>
      </c>
      <c r="O47" s="474"/>
      <c r="P47" s="474" t="s">
        <v>4</v>
      </c>
      <c r="Q47" s="472" t="s">
        <v>68</v>
      </c>
      <c r="R47" s="475" t="s">
        <v>69</v>
      </c>
      <c r="S47" s="475" t="s">
        <v>137</v>
      </c>
      <c r="T47" s="475"/>
      <c r="U47" s="124" t="s">
        <v>169</v>
      </c>
      <c r="V47" s="475" t="s">
        <v>3</v>
      </c>
      <c r="W47" s="121">
        <v>1</v>
      </c>
      <c r="X47" s="476">
        <v>6500</v>
      </c>
      <c r="Y47" s="474"/>
      <c r="Z47" s="474"/>
      <c r="AA47" s="474"/>
      <c r="AB47" s="474"/>
      <c r="AC47" s="475">
        <v>30</v>
      </c>
      <c r="AD47" s="475">
        <v>30</v>
      </c>
      <c r="AE47" s="474"/>
      <c r="AF47" s="474"/>
      <c r="AG47" s="474"/>
      <c r="AH47" s="474"/>
      <c r="AI47" s="474"/>
      <c r="AJ47" s="474"/>
      <c r="AK47" s="477">
        <v>13000</v>
      </c>
      <c r="AL47" s="472" t="s">
        <v>73</v>
      </c>
      <c r="AM47" s="472" t="s">
        <v>73</v>
      </c>
      <c r="AN47" s="472" t="s">
        <v>73</v>
      </c>
      <c r="AO47" s="472" t="s">
        <v>73</v>
      </c>
      <c r="AP47" s="478">
        <v>6500</v>
      </c>
      <c r="AQ47" s="478">
        <v>6500</v>
      </c>
      <c r="AR47" s="472" t="s">
        <v>73</v>
      </c>
      <c r="AS47" s="472" t="s">
        <v>73</v>
      </c>
      <c r="AT47" s="472" t="s">
        <v>73</v>
      </c>
      <c r="AU47" s="472" t="s">
        <v>73</v>
      </c>
      <c r="AV47" s="472" t="s">
        <v>73</v>
      </c>
      <c r="AW47" s="472" t="s">
        <v>73</v>
      </c>
      <c r="AX47" s="30">
        <v>13000</v>
      </c>
      <c r="AY47" s="479" t="s">
        <v>7</v>
      </c>
      <c r="AZ47" s="474" t="s">
        <v>74</v>
      </c>
      <c r="BA47" s="474"/>
      <c r="BB47" s="480"/>
      <c r="BC47" s="480"/>
      <c r="BK47" s="481" t="s">
        <v>790</v>
      </c>
      <c r="BL47" s="481" t="s">
        <v>791</v>
      </c>
      <c r="BM47" s="284" t="s">
        <v>792</v>
      </c>
      <c r="BN47" s="414" t="s">
        <v>793</v>
      </c>
      <c r="BO47" s="284" t="s">
        <v>794</v>
      </c>
      <c r="BP47" s="285">
        <v>46134</v>
      </c>
      <c r="BQ47" s="482"/>
      <c r="BR47" s="962" t="s">
        <v>960</v>
      </c>
      <c r="BS47" s="482"/>
      <c r="BT47" s="286" t="s">
        <v>796</v>
      </c>
      <c r="BU47" s="482" t="s">
        <v>797</v>
      </c>
      <c r="BV47" s="414" t="s">
        <v>961</v>
      </c>
      <c r="BW47" s="284" t="s">
        <v>962</v>
      </c>
      <c r="BX47" s="284" t="s">
        <v>963</v>
      </c>
      <c r="BY47" s="284">
        <v>44983360</v>
      </c>
      <c r="BZ47" s="284"/>
      <c r="CA47" s="288">
        <v>6500</v>
      </c>
      <c r="CB47" s="483">
        <v>46143</v>
      </c>
      <c r="CC47" s="483">
        <v>46203</v>
      </c>
      <c r="CD47" s="759"/>
      <c r="CE47" s="485">
        <f t="shared" si="29"/>
        <v>30</v>
      </c>
      <c r="CF47" s="484">
        <f t="shared" si="30"/>
        <v>6500</v>
      </c>
      <c r="CG47" s="485">
        <v>30</v>
      </c>
      <c r="CH47" s="485">
        <f t="shared" si="31"/>
        <v>6500</v>
      </c>
      <c r="CI47" s="485">
        <v>30</v>
      </c>
      <c r="CJ47" s="485">
        <f t="shared" si="32"/>
        <v>6500</v>
      </c>
      <c r="CK47" s="484">
        <f t="shared" si="33"/>
        <v>0</v>
      </c>
      <c r="CL47" s="484">
        <f t="shared" si="34"/>
        <v>0</v>
      </c>
      <c r="CM47" s="1006"/>
      <c r="CN47" s="485">
        <f t="shared" si="35"/>
        <v>30</v>
      </c>
      <c r="CO47" s="484">
        <f t="shared" si="36"/>
        <v>6500</v>
      </c>
      <c r="CP47" s="485">
        <v>30</v>
      </c>
      <c r="CQ47" s="485">
        <f t="shared" si="37"/>
        <v>6500</v>
      </c>
      <c r="CR47" s="485">
        <v>30</v>
      </c>
      <c r="CS47" s="485">
        <f t="shared" si="38"/>
        <v>6500</v>
      </c>
      <c r="CT47" s="484">
        <f t="shared" si="39"/>
        <v>0</v>
      </c>
      <c r="CU47" s="484">
        <f t="shared" si="40"/>
        <v>0</v>
      </c>
      <c r="CV47" s="1006"/>
      <c r="CW47" s="1007">
        <f t="shared" si="12"/>
        <v>13000</v>
      </c>
      <c r="CX47" s="486">
        <f t="shared" si="13"/>
        <v>13000</v>
      </c>
      <c r="CY47" s="486">
        <f t="shared" si="14"/>
        <v>13000</v>
      </c>
      <c r="CZ47" s="1007">
        <f t="shared" si="15"/>
        <v>0</v>
      </c>
      <c r="DA47" s="1007">
        <f t="shared" si="16"/>
        <v>0</v>
      </c>
    </row>
    <row r="48" spans="1:108" s="228" customFormat="1" ht="51" hidden="1" x14ac:dyDescent="0.25">
      <c r="A48" s="506">
        <v>2026</v>
      </c>
      <c r="B48" s="506">
        <v>479</v>
      </c>
      <c r="C48" s="506" t="s">
        <v>64</v>
      </c>
      <c r="D48" s="506" t="s">
        <v>65</v>
      </c>
      <c r="E48" s="506">
        <v>125</v>
      </c>
      <c r="F48" s="506">
        <v>3000654</v>
      </c>
      <c r="G48" s="506">
        <v>5005023</v>
      </c>
      <c r="H48" s="506">
        <v>3</v>
      </c>
      <c r="I48" s="506">
        <v>12</v>
      </c>
      <c r="J48" s="506">
        <v>24</v>
      </c>
      <c r="K48" s="506">
        <v>135560</v>
      </c>
      <c r="L48" s="506" t="s">
        <v>66</v>
      </c>
      <c r="M48" s="507" t="s">
        <v>67</v>
      </c>
      <c r="N48" s="506">
        <v>95</v>
      </c>
      <c r="O48" s="508"/>
      <c r="P48" s="508" t="s">
        <v>4</v>
      </c>
      <c r="Q48" s="506" t="s">
        <v>68</v>
      </c>
      <c r="R48" s="506" t="s">
        <v>69</v>
      </c>
      <c r="S48" s="506" t="s">
        <v>137</v>
      </c>
      <c r="T48" s="506"/>
      <c r="U48" s="507" t="s">
        <v>170</v>
      </c>
      <c r="V48" s="506" t="s">
        <v>3</v>
      </c>
      <c r="W48" s="509">
        <v>1</v>
      </c>
      <c r="X48" s="510">
        <v>5000</v>
      </c>
      <c r="Y48" s="508"/>
      <c r="Z48" s="508"/>
      <c r="AA48" s="508"/>
      <c r="AB48" s="508"/>
      <c r="AC48" s="506">
        <v>30</v>
      </c>
      <c r="AD48" s="506"/>
      <c r="AE48" s="508"/>
      <c r="AF48" s="508"/>
      <c r="AG48" s="508"/>
      <c r="AH48" s="508"/>
      <c r="AI48" s="508"/>
      <c r="AJ48" s="508"/>
      <c r="AK48" s="511">
        <v>5000</v>
      </c>
      <c r="AL48" s="506" t="s">
        <v>73</v>
      </c>
      <c r="AM48" s="506" t="s">
        <v>73</v>
      </c>
      <c r="AN48" s="506" t="s">
        <v>73</v>
      </c>
      <c r="AO48" s="506" t="s">
        <v>73</v>
      </c>
      <c r="AP48" s="511">
        <v>5000</v>
      </c>
      <c r="AQ48" s="967"/>
      <c r="AR48" s="506" t="s">
        <v>73</v>
      </c>
      <c r="AS48" s="506" t="s">
        <v>73</v>
      </c>
      <c r="AT48" s="506" t="s">
        <v>73</v>
      </c>
      <c r="AU48" s="506" t="s">
        <v>73</v>
      </c>
      <c r="AV48" s="506" t="s">
        <v>73</v>
      </c>
      <c r="AW48" s="506" t="s">
        <v>73</v>
      </c>
      <c r="AX48" s="513">
        <v>5000</v>
      </c>
      <c r="AY48" s="512" t="s">
        <v>7</v>
      </c>
      <c r="AZ48" s="508" t="s">
        <v>74</v>
      </c>
      <c r="BA48" s="508"/>
      <c r="BB48" s="514"/>
      <c r="BC48" s="514"/>
      <c r="BK48" s="481" t="s">
        <v>790</v>
      </c>
      <c r="BL48" s="515" t="s">
        <v>791</v>
      </c>
      <c r="BM48" s="516" t="s">
        <v>792</v>
      </c>
      <c r="BN48" s="517" t="s">
        <v>793</v>
      </c>
      <c r="BO48" s="516" t="s">
        <v>794</v>
      </c>
      <c r="BP48" s="518">
        <v>46134</v>
      </c>
      <c r="BQ48" s="519"/>
      <c r="BR48" s="909" t="s">
        <v>964</v>
      </c>
      <c r="BS48" s="519"/>
      <c r="BT48" s="787" t="s">
        <v>796</v>
      </c>
      <c r="BU48" s="519"/>
      <c r="BV48" s="517" t="s">
        <v>965</v>
      </c>
      <c r="BW48" s="516" t="s">
        <v>966</v>
      </c>
      <c r="BX48" s="516" t="s">
        <v>967</v>
      </c>
      <c r="BY48" s="516">
        <v>44765490</v>
      </c>
      <c r="BZ48" s="516"/>
      <c r="CA48" s="520">
        <v>5000</v>
      </c>
      <c r="CB48" s="521">
        <v>46143</v>
      </c>
      <c r="CC48" s="521">
        <v>46173</v>
      </c>
      <c r="CD48" s="784"/>
      <c r="CE48" s="955">
        <f t="shared" ref="CE48" si="149">AC48</f>
        <v>30</v>
      </c>
      <c r="CF48" s="522">
        <f t="shared" ref="CF48" si="150">AP48</f>
        <v>5000</v>
      </c>
      <c r="CG48" s="955">
        <v>30</v>
      </c>
      <c r="CH48" s="955">
        <f t="shared" ref="CH48" si="151">(X48/30)*CG48</f>
        <v>5000</v>
      </c>
      <c r="CI48" s="955">
        <v>30</v>
      </c>
      <c r="CJ48" s="955">
        <f t="shared" ref="CJ48" si="152">(X48/30)*CI48</f>
        <v>5000</v>
      </c>
      <c r="CK48" s="522">
        <f t="shared" ref="CK48" si="153">CF48-CH48</f>
        <v>0</v>
      </c>
      <c r="CL48" s="522">
        <f t="shared" ref="CL48" si="154">CF48-CJ48</f>
        <v>0</v>
      </c>
      <c r="CM48" s="1025"/>
      <c r="CN48" s="955">
        <f t="shared" ref="CN48" si="155">AD48</f>
        <v>0</v>
      </c>
      <c r="CO48" s="522">
        <f t="shared" ref="CO48" si="156">AQ48</f>
        <v>0</v>
      </c>
      <c r="CP48" s="955">
        <v>0</v>
      </c>
      <c r="CQ48" s="955">
        <f t="shared" ref="CQ48" si="157">(X48/30)*CP48</f>
        <v>0</v>
      </c>
      <c r="CR48" s="955">
        <v>0</v>
      </c>
      <c r="CS48" s="955">
        <f t="shared" ref="CS48" si="158">(X48/30)*CR48</f>
        <v>0</v>
      </c>
      <c r="CT48" s="522">
        <f t="shared" ref="CT48" si="159">CO48-CQ48</f>
        <v>0</v>
      </c>
      <c r="CU48" s="522">
        <f t="shared" ref="CU48" si="160">CO48-CS48</f>
        <v>0</v>
      </c>
      <c r="CV48" s="1025"/>
      <c r="CW48" s="1026">
        <f t="shared" si="12"/>
        <v>5000</v>
      </c>
      <c r="CX48" s="1027">
        <f t="shared" si="13"/>
        <v>5000</v>
      </c>
      <c r="CY48" s="1027">
        <f t="shared" si="14"/>
        <v>5000</v>
      </c>
      <c r="CZ48" s="1026">
        <f t="shared" si="15"/>
        <v>0</v>
      </c>
      <c r="DA48" s="1026">
        <f t="shared" si="16"/>
        <v>0</v>
      </c>
      <c r="DD48" s="523" t="s">
        <v>968</v>
      </c>
    </row>
    <row r="49" spans="1:108" s="682" customFormat="1" ht="51" hidden="1" x14ac:dyDescent="0.25">
      <c r="A49" s="775">
        <v>2026</v>
      </c>
      <c r="B49" s="775">
        <v>479</v>
      </c>
      <c r="C49" s="775" t="s">
        <v>64</v>
      </c>
      <c r="D49" s="775" t="s">
        <v>65</v>
      </c>
      <c r="E49" s="775">
        <v>125</v>
      </c>
      <c r="F49" s="775">
        <v>3000654</v>
      </c>
      <c r="G49" s="775">
        <v>5005023</v>
      </c>
      <c r="H49" s="775">
        <v>3</v>
      </c>
      <c r="I49" s="775">
        <v>12</v>
      </c>
      <c r="J49" s="775">
        <v>24</v>
      </c>
      <c r="K49" s="775">
        <v>135560</v>
      </c>
      <c r="L49" s="775" t="s">
        <v>66</v>
      </c>
      <c r="M49" s="776" t="s">
        <v>67</v>
      </c>
      <c r="N49" s="775">
        <v>95</v>
      </c>
      <c r="O49" s="777"/>
      <c r="P49" s="777" t="s">
        <v>4</v>
      </c>
      <c r="Q49" s="775" t="s">
        <v>68</v>
      </c>
      <c r="R49" s="775" t="s">
        <v>69</v>
      </c>
      <c r="S49" s="775" t="s">
        <v>137</v>
      </c>
      <c r="T49" s="775"/>
      <c r="U49" s="776" t="s">
        <v>170</v>
      </c>
      <c r="V49" s="775" t="s">
        <v>3</v>
      </c>
      <c r="W49" s="669">
        <v>1</v>
      </c>
      <c r="X49" s="778">
        <v>5000</v>
      </c>
      <c r="Y49" s="777"/>
      <c r="Z49" s="777"/>
      <c r="AA49" s="777"/>
      <c r="AB49" s="777"/>
      <c r="AC49" s="775"/>
      <c r="AD49" s="775">
        <v>30</v>
      </c>
      <c r="AE49" s="777"/>
      <c r="AF49" s="777"/>
      <c r="AG49" s="777"/>
      <c r="AH49" s="777"/>
      <c r="AI49" s="777"/>
      <c r="AJ49" s="777"/>
      <c r="AK49" s="910">
        <v>5000</v>
      </c>
      <c r="AL49" s="775" t="s">
        <v>73</v>
      </c>
      <c r="AM49" s="775" t="s">
        <v>73</v>
      </c>
      <c r="AN49" s="775" t="s">
        <v>73</v>
      </c>
      <c r="AO49" s="775" t="s">
        <v>73</v>
      </c>
      <c r="AP49" s="910"/>
      <c r="AQ49" s="994">
        <v>5000</v>
      </c>
      <c r="AR49" s="775" t="s">
        <v>73</v>
      </c>
      <c r="AS49" s="775" t="s">
        <v>73</v>
      </c>
      <c r="AT49" s="775" t="s">
        <v>73</v>
      </c>
      <c r="AU49" s="775" t="s">
        <v>73</v>
      </c>
      <c r="AV49" s="775" t="s">
        <v>73</v>
      </c>
      <c r="AW49" s="775" t="s">
        <v>73</v>
      </c>
      <c r="AX49" s="680">
        <v>5000</v>
      </c>
      <c r="AY49" s="681" t="s">
        <v>7</v>
      </c>
      <c r="AZ49" s="777" t="s">
        <v>74</v>
      </c>
      <c r="BA49" s="777"/>
      <c r="BB49" s="686"/>
      <c r="BC49" s="686"/>
      <c r="BK49" s="481" t="s">
        <v>802</v>
      </c>
      <c r="BL49" s="767"/>
      <c r="BM49" s="683"/>
      <c r="BN49" s="684"/>
      <c r="BO49" s="684"/>
      <c r="BP49" s="685"/>
      <c r="BQ49" s="771"/>
      <c r="BR49" s="911"/>
      <c r="BS49" s="771"/>
      <c r="BT49" s="912"/>
      <c r="BU49" s="771"/>
      <c r="BV49" s="914"/>
      <c r="BW49" s="915"/>
      <c r="BX49" s="915"/>
      <c r="BY49" s="914"/>
      <c r="BZ49" s="915"/>
      <c r="CA49" s="782"/>
      <c r="CB49" s="913"/>
      <c r="CC49" s="913"/>
      <c r="CD49" s="774"/>
      <c r="CE49" s="1009">
        <f t="shared" ref="CE49" si="161">AC49</f>
        <v>0</v>
      </c>
      <c r="CF49" s="1002">
        <f>AP49</f>
        <v>0</v>
      </c>
      <c r="CG49" s="1009"/>
      <c r="CH49" s="1009">
        <f t="shared" ref="CH49" si="162">(X49/30)*CG49</f>
        <v>0</v>
      </c>
      <c r="CI49" s="1009"/>
      <c r="CJ49" s="1009">
        <f t="shared" ref="CJ49" si="163">(X49/30)*CI49</f>
        <v>0</v>
      </c>
      <c r="CK49" s="1002">
        <f t="shared" ref="CK49" si="164">CF49-CH49</f>
        <v>0</v>
      </c>
      <c r="CL49" s="1002">
        <f t="shared" ref="CL49" si="165">CF49-CJ49</f>
        <v>0</v>
      </c>
      <c r="CM49" s="1010"/>
      <c r="CN49" s="1009">
        <f t="shared" ref="CN49" si="166">AD49</f>
        <v>30</v>
      </c>
      <c r="CO49" s="1002">
        <f t="shared" ref="CO49" si="167">AQ49</f>
        <v>5000</v>
      </c>
      <c r="CP49" s="1009">
        <v>0</v>
      </c>
      <c r="CQ49" s="1009">
        <f t="shared" ref="CQ49" si="168">(X49/30)*CP49</f>
        <v>0</v>
      </c>
      <c r="CR49" s="1009">
        <v>0</v>
      </c>
      <c r="CS49" s="1009">
        <f t="shared" ref="CS49" si="169">(X49/30)*CR49</f>
        <v>0</v>
      </c>
      <c r="CT49" s="1002">
        <f t="shared" ref="CT49" si="170">CO49-CQ49</f>
        <v>5000</v>
      </c>
      <c r="CU49" s="1002">
        <f t="shared" ref="CU49" si="171">CO49-CS49</f>
        <v>5000</v>
      </c>
      <c r="CV49" s="1010"/>
      <c r="CW49" s="1011">
        <f t="shared" ref="CW49" si="172">AX49</f>
        <v>5000</v>
      </c>
      <c r="CX49" s="1012">
        <f t="shared" ref="CX49" si="173">CH49+CQ49</f>
        <v>0</v>
      </c>
      <c r="CY49" s="1012">
        <f t="shared" ref="CY49" si="174">CJ49+CS49</f>
        <v>0</v>
      </c>
      <c r="CZ49" s="1011">
        <f t="shared" ref="CZ49" si="175">CW49-CX49</f>
        <v>5000</v>
      </c>
      <c r="DA49" s="1011">
        <f t="shared" ref="DA49" si="176">CW49-CY49</f>
        <v>5000</v>
      </c>
      <c r="DD49" s="687" t="s">
        <v>969</v>
      </c>
    </row>
    <row r="50" spans="1:108" ht="51" hidden="1" x14ac:dyDescent="0.25">
      <c r="A50" s="472">
        <v>2026</v>
      </c>
      <c r="B50" s="472">
        <v>479</v>
      </c>
      <c r="C50" s="472" t="s">
        <v>64</v>
      </c>
      <c r="D50" s="472" t="s">
        <v>65</v>
      </c>
      <c r="E50" s="472">
        <v>125</v>
      </c>
      <c r="F50" s="472">
        <v>3000654</v>
      </c>
      <c r="G50" s="472">
        <v>5005023</v>
      </c>
      <c r="H50" s="472">
        <v>3</v>
      </c>
      <c r="I50" s="472">
        <v>12</v>
      </c>
      <c r="J50" s="472">
        <v>24</v>
      </c>
      <c r="K50" s="472">
        <v>135560</v>
      </c>
      <c r="L50" s="472" t="s">
        <v>66</v>
      </c>
      <c r="M50" s="124" t="s">
        <v>67</v>
      </c>
      <c r="N50" s="472">
        <v>95</v>
      </c>
      <c r="O50" s="474"/>
      <c r="P50" s="474" t="s">
        <v>4</v>
      </c>
      <c r="Q50" s="472" t="s">
        <v>68</v>
      </c>
      <c r="R50" s="475" t="s">
        <v>69</v>
      </c>
      <c r="S50" s="475" t="s">
        <v>137</v>
      </c>
      <c r="T50" s="475"/>
      <c r="U50" s="124" t="s">
        <v>170</v>
      </c>
      <c r="V50" s="475" t="s">
        <v>3</v>
      </c>
      <c r="W50" s="121">
        <v>1</v>
      </c>
      <c r="X50" s="476">
        <v>5000</v>
      </c>
      <c r="Y50" s="474"/>
      <c r="Z50" s="474"/>
      <c r="AA50" s="474"/>
      <c r="AB50" s="474"/>
      <c r="AC50" s="475">
        <v>30</v>
      </c>
      <c r="AD50" s="475">
        <v>30</v>
      </c>
      <c r="AE50" s="488"/>
      <c r="AF50" s="488"/>
      <c r="AG50" s="488"/>
      <c r="AH50" s="488"/>
      <c r="AI50" s="488"/>
      <c r="AJ50" s="488"/>
      <c r="AK50" s="477">
        <v>10000</v>
      </c>
      <c r="AL50" s="472" t="s">
        <v>73</v>
      </c>
      <c r="AM50" s="472" t="s">
        <v>73</v>
      </c>
      <c r="AN50" s="472" t="s">
        <v>73</v>
      </c>
      <c r="AO50" s="472" t="s">
        <v>73</v>
      </c>
      <c r="AP50" s="478">
        <v>5000</v>
      </c>
      <c r="AQ50" s="478">
        <v>5000</v>
      </c>
      <c r="AR50" s="472" t="s">
        <v>73</v>
      </c>
      <c r="AS50" s="472" t="s">
        <v>73</v>
      </c>
      <c r="AT50" s="472" t="s">
        <v>73</v>
      </c>
      <c r="AU50" s="472" t="s">
        <v>73</v>
      </c>
      <c r="AV50" s="472" t="s">
        <v>73</v>
      </c>
      <c r="AW50" s="472" t="s">
        <v>73</v>
      </c>
      <c r="AX50" s="30">
        <v>10000</v>
      </c>
      <c r="AY50" s="479" t="s">
        <v>7</v>
      </c>
      <c r="AZ50" s="474" t="s">
        <v>74</v>
      </c>
      <c r="BA50" s="474"/>
      <c r="BB50" s="480"/>
      <c r="BC50" s="480"/>
      <c r="BK50" s="481" t="s">
        <v>802</v>
      </c>
      <c r="BL50" s="481" t="s">
        <v>803</v>
      </c>
      <c r="BM50" s="284"/>
      <c r="BN50" s="414"/>
      <c r="BO50" s="284"/>
      <c r="BP50" s="285"/>
      <c r="BQ50" s="482"/>
      <c r="BR50" s="482"/>
      <c r="BS50" s="482"/>
      <c r="BT50" s="482"/>
      <c r="BU50" s="482"/>
      <c r="BV50" s="284"/>
      <c r="BW50" s="284"/>
      <c r="BX50" s="284"/>
      <c r="BY50" s="284"/>
      <c r="BZ50" s="284"/>
      <c r="CA50" s="288"/>
      <c r="CB50" s="483"/>
      <c r="CC50" s="483"/>
      <c r="CD50" s="759"/>
      <c r="CE50" s="485">
        <f t="shared" si="29"/>
        <v>30</v>
      </c>
      <c r="CF50" s="484">
        <f t="shared" si="30"/>
        <v>5000</v>
      </c>
      <c r="CG50" s="485">
        <v>0</v>
      </c>
      <c r="CH50" s="485">
        <f t="shared" si="31"/>
        <v>0</v>
      </c>
      <c r="CI50" s="485">
        <v>0</v>
      </c>
      <c r="CJ50" s="485">
        <f t="shared" si="32"/>
        <v>0</v>
      </c>
      <c r="CK50" s="484">
        <f t="shared" si="33"/>
        <v>5000</v>
      </c>
      <c r="CL50" s="484">
        <f t="shared" si="34"/>
        <v>5000</v>
      </c>
      <c r="CM50" s="1006"/>
      <c r="CN50" s="485">
        <f t="shared" si="35"/>
        <v>30</v>
      </c>
      <c r="CO50" s="484">
        <f t="shared" si="36"/>
        <v>5000</v>
      </c>
      <c r="CP50" s="485"/>
      <c r="CQ50" s="485">
        <f t="shared" si="37"/>
        <v>0</v>
      </c>
      <c r="CR50" s="485"/>
      <c r="CS50" s="485">
        <f t="shared" si="38"/>
        <v>0</v>
      </c>
      <c r="CT50" s="484">
        <f t="shared" si="39"/>
        <v>5000</v>
      </c>
      <c r="CU50" s="484">
        <f t="shared" si="40"/>
        <v>5000</v>
      </c>
      <c r="CV50" s="1006"/>
      <c r="CW50" s="1007">
        <f t="shared" si="12"/>
        <v>10000</v>
      </c>
      <c r="CX50" s="486">
        <f t="shared" si="13"/>
        <v>0</v>
      </c>
      <c r="CY50" s="486">
        <f t="shared" si="14"/>
        <v>0</v>
      </c>
      <c r="CZ50" s="1007">
        <f t="shared" si="15"/>
        <v>10000</v>
      </c>
      <c r="DA50" s="1007">
        <f t="shared" si="16"/>
        <v>10000</v>
      </c>
    </row>
    <row r="51" spans="1:108" ht="51" hidden="1" x14ac:dyDescent="0.25">
      <c r="A51" s="472">
        <v>2026</v>
      </c>
      <c r="B51" s="472">
        <v>479</v>
      </c>
      <c r="C51" s="472" t="s">
        <v>64</v>
      </c>
      <c r="D51" s="472" t="s">
        <v>65</v>
      </c>
      <c r="E51" s="472">
        <v>125</v>
      </c>
      <c r="F51" s="472">
        <v>3000654</v>
      </c>
      <c r="G51" s="472">
        <v>5005023</v>
      </c>
      <c r="H51" s="472">
        <v>3</v>
      </c>
      <c r="I51" s="472">
        <v>12</v>
      </c>
      <c r="J51" s="472">
        <v>24</v>
      </c>
      <c r="K51" s="472">
        <v>135560</v>
      </c>
      <c r="L51" s="472" t="s">
        <v>66</v>
      </c>
      <c r="M51" s="124" t="s">
        <v>67</v>
      </c>
      <c r="N51" s="472">
        <v>95</v>
      </c>
      <c r="O51" s="474"/>
      <c r="P51" s="474" t="s">
        <v>4</v>
      </c>
      <c r="Q51" s="472" t="s">
        <v>68</v>
      </c>
      <c r="R51" s="475" t="s">
        <v>69</v>
      </c>
      <c r="S51" s="475" t="s">
        <v>137</v>
      </c>
      <c r="T51" s="475"/>
      <c r="U51" s="124" t="s">
        <v>171</v>
      </c>
      <c r="V51" s="475" t="s">
        <v>3</v>
      </c>
      <c r="W51" s="121">
        <v>1</v>
      </c>
      <c r="X51" s="476">
        <v>5000</v>
      </c>
      <c r="Y51" s="474"/>
      <c r="Z51" s="474"/>
      <c r="AA51" s="474"/>
      <c r="AB51" s="474"/>
      <c r="AC51" s="475">
        <v>30</v>
      </c>
      <c r="AD51" s="475">
        <v>30</v>
      </c>
      <c r="AE51" s="474"/>
      <c r="AF51" s="474"/>
      <c r="AG51" s="474"/>
      <c r="AH51" s="474"/>
      <c r="AI51" s="474"/>
      <c r="AJ51" s="474"/>
      <c r="AK51" s="477">
        <v>10000</v>
      </c>
      <c r="AL51" s="472" t="s">
        <v>73</v>
      </c>
      <c r="AM51" s="472" t="s">
        <v>73</v>
      </c>
      <c r="AN51" s="472" t="s">
        <v>73</v>
      </c>
      <c r="AO51" s="472" t="s">
        <v>73</v>
      </c>
      <c r="AP51" s="478">
        <v>5000</v>
      </c>
      <c r="AQ51" s="478">
        <v>5000</v>
      </c>
      <c r="AR51" s="472" t="s">
        <v>73</v>
      </c>
      <c r="AS51" s="472" t="s">
        <v>73</v>
      </c>
      <c r="AT51" s="472" t="s">
        <v>73</v>
      </c>
      <c r="AU51" s="472" t="s">
        <v>73</v>
      </c>
      <c r="AV51" s="472" t="s">
        <v>73</v>
      </c>
      <c r="AW51" s="472" t="s">
        <v>73</v>
      </c>
      <c r="AX51" s="30">
        <v>10000</v>
      </c>
      <c r="AY51" s="479" t="s">
        <v>7</v>
      </c>
      <c r="AZ51" s="474" t="s">
        <v>74</v>
      </c>
      <c r="BA51" s="474"/>
      <c r="BB51" s="480"/>
      <c r="BC51" s="480"/>
      <c r="BK51" s="481" t="s">
        <v>790</v>
      </c>
      <c r="BL51" s="481" t="s">
        <v>791</v>
      </c>
      <c r="BM51" s="284" t="s">
        <v>792</v>
      </c>
      <c r="BN51" s="414" t="s">
        <v>793</v>
      </c>
      <c r="BO51" s="284" t="s">
        <v>794</v>
      </c>
      <c r="BP51" s="285">
        <v>46134</v>
      </c>
      <c r="BQ51" s="482"/>
      <c r="BR51" s="963" t="s">
        <v>970</v>
      </c>
      <c r="BS51" s="482"/>
      <c r="BT51" s="286" t="s">
        <v>796</v>
      </c>
      <c r="BU51" s="482" t="s">
        <v>797</v>
      </c>
      <c r="BV51" s="414" t="s">
        <v>971</v>
      </c>
      <c r="BW51" s="284" t="s">
        <v>972</v>
      </c>
      <c r="BX51" s="284" t="s">
        <v>973</v>
      </c>
      <c r="BY51" s="284" t="s">
        <v>974</v>
      </c>
      <c r="BZ51" s="284"/>
      <c r="CA51" s="288">
        <v>5000</v>
      </c>
      <c r="CB51" s="483">
        <v>46143</v>
      </c>
      <c r="CC51" s="483">
        <v>46203</v>
      </c>
      <c r="CD51" s="759"/>
      <c r="CE51" s="485">
        <f t="shared" ref="CE51:CE56" si="177">AC51</f>
        <v>30</v>
      </c>
      <c r="CF51" s="484">
        <f t="shared" ref="CF51:CF56" si="178">AP51</f>
        <v>5000</v>
      </c>
      <c r="CG51" s="485">
        <v>30</v>
      </c>
      <c r="CH51" s="485">
        <f t="shared" ref="CH51:CH56" si="179">(X51/30)*CG51</f>
        <v>5000</v>
      </c>
      <c r="CI51" s="485">
        <v>30</v>
      </c>
      <c r="CJ51" s="485">
        <f t="shared" ref="CJ51:CJ56" si="180">(X51/30)*CI51</f>
        <v>5000</v>
      </c>
      <c r="CK51" s="484">
        <f t="shared" ref="CK51:CK56" si="181">CF51-CH51</f>
        <v>0</v>
      </c>
      <c r="CL51" s="484">
        <f t="shared" ref="CL51:CL56" si="182">CF51-CJ51</f>
        <v>0</v>
      </c>
      <c r="CM51" s="1006"/>
      <c r="CN51" s="485">
        <f t="shared" ref="CN51:CN56" si="183">AD51</f>
        <v>30</v>
      </c>
      <c r="CO51" s="484">
        <f t="shared" ref="CO51:CO56" si="184">AQ51</f>
        <v>5000</v>
      </c>
      <c r="CP51" s="485">
        <v>30</v>
      </c>
      <c r="CQ51" s="485">
        <f t="shared" ref="CQ51:CQ56" si="185">(X51/30)*CP51</f>
        <v>5000</v>
      </c>
      <c r="CR51" s="485">
        <v>30</v>
      </c>
      <c r="CS51" s="485">
        <f t="shared" ref="CS51:CS56" si="186">(X51/30)*CR51</f>
        <v>5000</v>
      </c>
      <c r="CT51" s="484">
        <f t="shared" ref="CT51:CT56" si="187">CO51-CQ51</f>
        <v>0</v>
      </c>
      <c r="CU51" s="484">
        <f t="shared" ref="CU51:CU56" si="188">CO51-CS51</f>
        <v>0</v>
      </c>
      <c r="CV51" s="1006"/>
      <c r="CW51" s="1007">
        <f t="shared" si="12"/>
        <v>10000</v>
      </c>
      <c r="CX51" s="486">
        <f t="shared" si="13"/>
        <v>10000</v>
      </c>
      <c r="CY51" s="486">
        <f t="shared" si="14"/>
        <v>10000</v>
      </c>
      <c r="CZ51" s="1007">
        <f t="shared" si="15"/>
        <v>0</v>
      </c>
      <c r="DA51" s="1007">
        <f t="shared" si="16"/>
        <v>0</v>
      </c>
    </row>
    <row r="52" spans="1:108" ht="51" hidden="1" x14ac:dyDescent="0.25">
      <c r="A52" s="472">
        <v>2026</v>
      </c>
      <c r="B52" s="472">
        <v>479</v>
      </c>
      <c r="C52" s="472" t="s">
        <v>64</v>
      </c>
      <c r="D52" s="472" t="s">
        <v>65</v>
      </c>
      <c r="E52" s="472">
        <v>125</v>
      </c>
      <c r="F52" s="472">
        <v>3000654</v>
      </c>
      <c r="G52" s="472">
        <v>5005023</v>
      </c>
      <c r="H52" s="472">
        <v>3</v>
      </c>
      <c r="I52" s="472">
        <v>12</v>
      </c>
      <c r="J52" s="472">
        <v>24</v>
      </c>
      <c r="K52" s="472">
        <v>135560</v>
      </c>
      <c r="L52" s="472" t="s">
        <v>66</v>
      </c>
      <c r="M52" s="124" t="s">
        <v>67</v>
      </c>
      <c r="N52" s="472">
        <v>95</v>
      </c>
      <c r="O52" s="474"/>
      <c r="P52" s="474" t="s">
        <v>4</v>
      </c>
      <c r="Q52" s="472" t="s">
        <v>68</v>
      </c>
      <c r="R52" s="475" t="s">
        <v>69</v>
      </c>
      <c r="S52" s="475" t="s">
        <v>137</v>
      </c>
      <c r="T52" s="475"/>
      <c r="U52" s="124" t="s">
        <v>171</v>
      </c>
      <c r="V52" s="475" t="s">
        <v>3</v>
      </c>
      <c r="W52" s="121">
        <v>1</v>
      </c>
      <c r="X52" s="476">
        <v>5000</v>
      </c>
      <c r="Y52" s="474"/>
      <c r="Z52" s="474"/>
      <c r="AA52" s="474"/>
      <c r="AB52" s="474"/>
      <c r="AC52" s="475">
        <v>30</v>
      </c>
      <c r="AD52" s="475">
        <v>30</v>
      </c>
      <c r="AE52" s="474"/>
      <c r="AF52" s="474"/>
      <c r="AG52" s="474"/>
      <c r="AH52" s="474"/>
      <c r="AI52" s="474"/>
      <c r="AJ52" s="474"/>
      <c r="AK52" s="477">
        <v>10000</v>
      </c>
      <c r="AL52" s="472" t="s">
        <v>73</v>
      </c>
      <c r="AM52" s="472" t="s">
        <v>73</v>
      </c>
      <c r="AN52" s="472" t="s">
        <v>73</v>
      </c>
      <c r="AO52" s="472" t="s">
        <v>73</v>
      </c>
      <c r="AP52" s="478">
        <v>5000</v>
      </c>
      <c r="AQ52" s="478">
        <v>5000</v>
      </c>
      <c r="AR52" s="472" t="s">
        <v>73</v>
      </c>
      <c r="AS52" s="472" t="s">
        <v>73</v>
      </c>
      <c r="AT52" s="472" t="s">
        <v>73</v>
      </c>
      <c r="AU52" s="472" t="s">
        <v>73</v>
      </c>
      <c r="AV52" s="472" t="s">
        <v>73</v>
      </c>
      <c r="AW52" s="472" t="s">
        <v>73</v>
      </c>
      <c r="AX52" s="30">
        <v>10000</v>
      </c>
      <c r="AY52" s="479" t="s">
        <v>7</v>
      </c>
      <c r="AZ52" s="474" t="s">
        <v>74</v>
      </c>
      <c r="BA52" s="474"/>
      <c r="BB52" s="480"/>
      <c r="BC52" s="480"/>
      <c r="BK52" s="481" t="s">
        <v>790</v>
      </c>
      <c r="BL52" s="481" t="s">
        <v>791</v>
      </c>
      <c r="BM52" s="284" t="s">
        <v>792</v>
      </c>
      <c r="BN52" s="414" t="s">
        <v>793</v>
      </c>
      <c r="BO52" s="284" t="s">
        <v>794</v>
      </c>
      <c r="BP52" s="285">
        <v>46134</v>
      </c>
      <c r="BQ52" s="482"/>
      <c r="BR52" s="963" t="s">
        <v>975</v>
      </c>
      <c r="BS52" s="482"/>
      <c r="BT52" s="286" t="s">
        <v>796</v>
      </c>
      <c r="BU52" s="482" t="s">
        <v>797</v>
      </c>
      <c r="BV52" s="414" t="s">
        <v>976</v>
      </c>
      <c r="BW52" s="284" t="s">
        <v>977</v>
      </c>
      <c r="BX52" s="284" t="s">
        <v>978</v>
      </c>
      <c r="BY52" s="284">
        <v>70444064</v>
      </c>
      <c r="BZ52" s="284"/>
      <c r="CA52" s="288">
        <v>5000</v>
      </c>
      <c r="CB52" s="483">
        <v>46143</v>
      </c>
      <c r="CC52" s="483">
        <v>46203</v>
      </c>
      <c r="CD52" s="759"/>
      <c r="CE52" s="485">
        <f t="shared" si="177"/>
        <v>30</v>
      </c>
      <c r="CF52" s="484">
        <f t="shared" si="178"/>
        <v>5000</v>
      </c>
      <c r="CG52" s="485">
        <v>30</v>
      </c>
      <c r="CH52" s="485">
        <f t="shared" si="179"/>
        <v>5000</v>
      </c>
      <c r="CI52" s="485">
        <v>30</v>
      </c>
      <c r="CJ52" s="485">
        <f t="shared" si="180"/>
        <v>5000</v>
      </c>
      <c r="CK52" s="484">
        <f t="shared" si="181"/>
        <v>0</v>
      </c>
      <c r="CL52" s="484">
        <f t="shared" si="182"/>
        <v>0</v>
      </c>
      <c r="CM52" s="1006"/>
      <c r="CN52" s="485">
        <f t="shared" si="183"/>
        <v>30</v>
      </c>
      <c r="CO52" s="484">
        <f t="shared" si="184"/>
        <v>5000</v>
      </c>
      <c r="CP52" s="485">
        <v>30</v>
      </c>
      <c r="CQ52" s="485">
        <f t="shared" si="185"/>
        <v>5000</v>
      </c>
      <c r="CR52" s="485">
        <v>30</v>
      </c>
      <c r="CS52" s="485">
        <f t="shared" si="186"/>
        <v>5000</v>
      </c>
      <c r="CT52" s="484">
        <f t="shared" si="187"/>
        <v>0</v>
      </c>
      <c r="CU52" s="484">
        <f t="shared" si="188"/>
        <v>0</v>
      </c>
      <c r="CV52" s="1006"/>
      <c r="CW52" s="1007">
        <f t="shared" si="12"/>
        <v>10000</v>
      </c>
      <c r="CX52" s="486">
        <f t="shared" si="13"/>
        <v>10000</v>
      </c>
      <c r="CY52" s="486">
        <f t="shared" si="14"/>
        <v>10000</v>
      </c>
      <c r="CZ52" s="1007">
        <f t="shared" si="15"/>
        <v>0</v>
      </c>
      <c r="DA52" s="1007">
        <f t="shared" si="16"/>
        <v>0</v>
      </c>
    </row>
    <row r="53" spans="1:108" ht="51" hidden="1" x14ac:dyDescent="0.25">
      <c r="A53" s="472">
        <v>2026</v>
      </c>
      <c r="B53" s="472">
        <v>479</v>
      </c>
      <c r="C53" s="472" t="s">
        <v>64</v>
      </c>
      <c r="D53" s="472" t="s">
        <v>65</v>
      </c>
      <c r="E53" s="472">
        <v>125</v>
      </c>
      <c r="F53" s="472">
        <v>3000654</v>
      </c>
      <c r="G53" s="472">
        <v>5005023</v>
      </c>
      <c r="H53" s="472">
        <v>3</v>
      </c>
      <c r="I53" s="472">
        <v>12</v>
      </c>
      <c r="J53" s="472">
        <v>24</v>
      </c>
      <c r="K53" s="472">
        <v>135560</v>
      </c>
      <c r="L53" s="472" t="s">
        <v>66</v>
      </c>
      <c r="M53" s="124" t="s">
        <v>67</v>
      </c>
      <c r="N53" s="472">
        <v>95</v>
      </c>
      <c r="O53" s="474"/>
      <c r="P53" s="474" t="s">
        <v>4</v>
      </c>
      <c r="Q53" s="472" t="s">
        <v>68</v>
      </c>
      <c r="R53" s="475" t="s">
        <v>69</v>
      </c>
      <c r="S53" s="475" t="s">
        <v>137</v>
      </c>
      <c r="T53" s="475"/>
      <c r="U53" s="124" t="s">
        <v>171</v>
      </c>
      <c r="V53" s="475" t="s">
        <v>3</v>
      </c>
      <c r="W53" s="121">
        <v>1</v>
      </c>
      <c r="X53" s="476">
        <v>5000</v>
      </c>
      <c r="Y53" s="474"/>
      <c r="Z53" s="474"/>
      <c r="AA53" s="474"/>
      <c r="AB53" s="474"/>
      <c r="AC53" s="475">
        <v>30</v>
      </c>
      <c r="AD53" s="475">
        <v>30</v>
      </c>
      <c r="AE53" s="474"/>
      <c r="AF53" s="474"/>
      <c r="AG53" s="474"/>
      <c r="AH53" s="474"/>
      <c r="AI53" s="474"/>
      <c r="AJ53" s="474"/>
      <c r="AK53" s="477">
        <v>10000</v>
      </c>
      <c r="AL53" s="472" t="s">
        <v>73</v>
      </c>
      <c r="AM53" s="472" t="s">
        <v>73</v>
      </c>
      <c r="AN53" s="472" t="s">
        <v>73</v>
      </c>
      <c r="AO53" s="472" t="s">
        <v>73</v>
      </c>
      <c r="AP53" s="478">
        <v>5000</v>
      </c>
      <c r="AQ53" s="478">
        <v>5000</v>
      </c>
      <c r="AR53" s="472" t="s">
        <v>73</v>
      </c>
      <c r="AS53" s="472" t="s">
        <v>73</v>
      </c>
      <c r="AT53" s="472" t="s">
        <v>73</v>
      </c>
      <c r="AU53" s="472" t="s">
        <v>73</v>
      </c>
      <c r="AV53" s="472" t="s">
        <v>73</v>
      </c>
      <c r="AW53" s="472" t="s">
        <v>73</v>
      </c>
      <c r="AX53" s="30">
        <v>10000</v>
      </c>
      <c r="AY53" s="479" t="s">
        <v>7</v>
      </c>
      <c r="AZ53" s="474" t="s">
        <v>74</v>
      </c>
      <c r="BA53" s="474"/>
      <c r="BB53" s="480"/>
      <c r="BC53" s="480"/>
      <c r="BK53" s="481" t="s">
        <v>790</v>
      </c>
      <c r="BL53" s="481" t="s">
        <v>791</v>
      </c>
      <c r="BM53" s="284" t="s">
        <v>792</v>
      </c>
      <c r="BN53" s="414" t="s">
        <v>793</v>
      </c>
      <c r="BO53" s="284" t="s">
        <v>794</v>
      </c>
      <c r="BP53" s="285">
        <v>46134</v>
      </c>
      <c r="BQ53" s="482"/>
      <c r="BR53" s="963" t="s">
        <v>979</v>
      </c>
      <c r="BS53" s="482"/>
      <c r="BT53" s="286" t="s">
        <v>796</v>
      </c>
      <c r="BU53" s="482" t="s">
        <v>797</v>
      </c>
      <c r="BV53" s="414" t="s">
        <v>980</v>
      </c>
      <c r="BW53" s="284" t="s">
        <v>981</v>
      </c>
      <c r="BX53" s="284" t="s">
        <v>982</v>
      </c>
      <c r="BY53" s="284">
        <v>46358893</v>
      </c>
      <c r="BZ53" s="284"/>
      <c r="CA53" s="288">
        <v>5000</v>
      </c>
      <c r="CB53" s="483">
        <v>46143</v>
      </c>
      <c r="CC53" s="483">
        <v>46203</v>
      </c>
      <c r="CD53" s="759"/>
      <c r="CE53" s="485">
        <f t="shared" si="177"/>
        <v>30</v>
      </c>
      <c r="CF53" s="484">
        <f t="shared" si="178"/>
        <v>5000</v>
      </c>
      <c r="CG53" s="485">
        <v>30</v>
      </c>
      <c r="CH53" s="485">
        <f t="shared" si="179"/>
        <v>5000</v>
      </c>
      <c r="CI53" s="485">
        <v>30</v>
      </c>
      <c r="CJ53" s="485">
        <f t="shared" si="180"/>
        <v>5000</v>
      </c>
      <c r="CK53" s="484">
        <f t="shared" si="181"/>
        <v>0</v>
      </c>
      <c r="CL53" s="484">
        <f t="shared" si="182"/>
        <v>0</v>
      </c>
      <c r="CM53" s="1006"/>
      <c r="CN53" s="485">
        <f t="shared" si="183"/>
        <v>30</v>
      </c>
      <c r="CO53" s="484">
        <f t="shared" si="184"/>
        <v>5000</v>
      </c>
      <c r="CP53" s="485">
        <v>30</v>
      </c>
      <c r="CQ53" s="485">
        <f t="shared" si="185"/>
        <v>5000</v>
      </c>
      <c r="CR53" s="485">
        <v>30</v>
      </c>
      <c r="CS53" s="485">
        <f t="shared" si="186"/>
        <v>5000</v>
      </c>
      <c r="CT53" s="484">
        <f t="shared" si="187"/>
        <v>0</v>
      </c>
      <c r="CU53" s="484">
        <f t="shared" si="188"/>
        <v>0</v>
      </c>
      <c r="CV53" s="1006"/>
      <c r="CW53" s="1007">
        <f t="shared" si="12"/>
        <v>10000</v>
      </c>
      <c r="CX53" s="486">
        <f t="shared" si="13"/>
        <v>10000</v>
      </c>
      <c r="CY53" s="486">
        <f t="shared" si="14"/>
        <v>10000</v>
      </c>
      <c r="CZ53" s="1007">
        <f t="shared" si="15"/>
        <v>0</v>
      </c>
      <c r="DA53" s="1007">
        <f t="shared" si="16"/>
        <v>0</v>
      </c>
    </row>
    <row r="54" spans="1:108" ht="51" hidden="1" x14ac:dyDescent="0.25">
      <c r="A54" s="472">
        <v>2026</v>
      </c>
      <c r="B54" s="472">
        <v>479</v>
      </c>
      <c r="C54" s="472" t="s">
        <v>64</v>
      </c>
      <c r="D54" s="472" t="s">
        <v>65</v>
      </c>
      <c r="E54" s="472">
        <v>125</v>
      </c>
      <c r="F54" s="472">
        <v>3000654</v>
      </c>
      <c r="G54" s="472">
        <v>5005023</v>
      </c>
      <c r="H54" s="472">
        <v>3</v>
      </c>
      <c r="I54" s="472">
        <v>12</v>
      </c>
      <c r="J54" s="472">
        <v>24</v>
      </c>
      <c r="K54" s="472">
        <v>135560</v>
      </c>
      <c r="L54" s="472" t="s">
        <v>66</v>
      </c>
      <c r="M54" s="124" t="s">
        <v>67</v>
      </c>
      <c r="N54" s="472">
        <v>95</v>
      </c>
      <c r="O54" s="474"/>
      <c r="P54" s="474" t="s">
        <v>4</v>
      </c>
      <c r="Q54" s="472" t="s">
        <v>68</v>
      </c>
      <c r="R54" s="475" t="s">
        <v>69</v>
      </c>
      <c r="S54" s="475" t="s">
        <v>137</v>
      </c>
      <c r="T54" s="475"/>
      <c r="U54" s="124" t="s">
        <v>171</v>
      </c>
      <c r="V54" s="475" t="s">
        <v>3</v>
      </c>
      <c r="W54" s="121">
        <v>1</v>
      </c>
      <c r="X54" s="476">
        <v>5000</v>
      </c>
      <c r="Y54" s="474"/>
      <c r="Z54" s="474"/>
      <c r="AA54" s="474"/>
      <c r="AB54" s="474"/>
      <c r="AC54" s="475">
        <v>30</v>
      </c>
      <c r="AD54" s="475">
        <v>30</v>
      </c>
      <c r="AE54" s="474"/>
      <c r="AF54" s="474"/>
      <c r="AG54" s="474"/>
      <c r="AH54" s="474"/>
      <c r="AI54" s="474"/>
      <c r="AJ54" s="474"/>
      <c r="AK54" s="477">
        <v>10000</v>
      </c>
      <c r="AL54" s="472" t="s">
        <v>73</v>
      </c>
      <c r="AM54" s="472" t="s">
        <v>73</v>
      </c>
      <c r="AN54" s="472" t="s">
        <v>73</v>
      </c>
      <c r="AO54" s="472" t="s">
        <v>73</v>
      </c>
      <c r="AP54" s="478">
        <v>5000</v>
      </c>
      <c r="AQ54" s="478">
        <v>5000</v>
      </c>
      <c r="AR54" s="472" t="s">
        <v>73</v>
      </c>
      <c r="AS54" s="472" t="s">
        <v>73</v>
      </c>
      <c r="AT54" s="472" t="s">
        <v>73</v>
      </c>
      <c r="AU54" s="472" t="s">
        <v>73</v>
      </c>
      <c r="AV54" s="472" t="s">
        <v>73</v>
      </c>
      <c r="AW54" s="472" t="s">
        <v>73</v>
      </c>
      <c r="AX54" s="30">
        <v>10000</v>
      </c>
      <c r="AY54" s="479" t="s">
        <v>7</v>
      </c>
      <c r="AZ54" s="474" t="s">
        <v>74</v>
      </c>
      <c r="BA54" s="474"/>
      <c r="BB54" s="480"/>
      <c r="BC54" s="480"/>
      <c r="BK54" s="481" t="s">
        <v>790</v>
      </c>
      <c r="BL54" s="481" t="s">
        <v>791</v>
      </c>
      <c r="BM54" s="284" t="s">
        <v>792</v>
      </c>
      <c r="BN54" s="414" t="s">
        <v>793</v>
      </c>
      <c r="BO54" s="284" t="s">
        <v>794</v>
      </c>
      <c r="BP54" s="285">
        <v>46134</v>
      </c>
      <c r="BQ54" s="482"/>
      <c r="BR54" s="963" t="s">
        <v>983</v>
      </c>
      <c r="BS54" s="482"/>
      <c r="BT54" s="286" t="s">
        <v>796</v>
      </c>
      <c r="BU54" s="482" t="s">
        <v>797</v>
      </c>
      <c r="BV54" s="414" t="s">
        <v>984</v>
      </c>
      <c r="BW54" s="284" t="s">
        <v>985</v>
      </c>
      <c r="BX54" s="284" t="s">
        <v>986</v>
      </c>
      <c r="BY54" s="284">
        <v>42309854</v>
      </c>
      <c r="BZ54" s="284"/>
      <c r="CA54" s="288">
        <v>5000</v>
      </c>
      <c r="CB54" s="483">
        <v>46143</v>
      </c>
      <c r="CC54" s="483">
        <v>46203</v>
      </c>
      <c r="CD54" s="759"/>
      <c r="CE54" s="485">
        <f t="shared" si="177"/>
        <v>30</v>
      </c>
      <c r="CF54" s="484">
        <f t="shared" si="178"/>
        <v>5000</v>
      </c>
      <c r="CG54" s="485">
        <v>30</v>
      </c>
      <c r="CH54" s="485">
        <f t="shared" si="179"/>
        <v>5000</v>
      </c>
      <c r="CI54" s="485">
        <v>30</v>
      </c>
      <c r="CJ54" s="485">
        <f t="shared" si="180"/>
        <v>5000</v>
      </c>
      <c r="CK54" s="484">
        <f t="shared" si="181"/>
        <v>0</v>
      </c>
      <c r="CL54" s="484">
        <f t="shared" si="182"/>
        <v>0</v>
      </c>
      <c r="CM54" s="1006"/>
      <c r="CN54" s="485">
        <f t="shared" si="183"/>
        <v>30</v>
      </c>
      <c r="CO54" s="484">
        <f t="shared" si="184"/>
        <v>5000</v>
      </c>
      <c r="CP54" s="485">
        <v>30</v>
      </c>
      <c r="CQ54" s="485">
        <f t="shared" si="185"/>
        <v>5000</v>
      </c>
      <c r="CR54" s="485">
        <v>30</v>
      </c>
      <c r="CS54" s="485">
        <f t="shared" si="186"/>
        <v>5000</v>
      </c>
      <c r="CT54" s="484">
        <f t="shared" si="187"/>
        <v>0</v>
      </c>
      <c r="CU54" s="484">
        <f t="shared" si="188"/>
        <v>0</v>
      </c>
      <c r="CV54" s="1006"/>
      <c r="CW54" s="1007">
        <f t="shared" si="12"/>
        <v>10000</v>
      </c>
      <c r="CX54" s="486">
        <f t="shared" si="13"/>
        <v>10000</v>
      </c>
      <c r="CY54" s="486">
        <f t="shared" si="14"/>
        <v>10000</v>
      </c>
      <c r="CZ54" s="1007">
        <f t="shared" si="15"/>
        <v>0</v>
      </c>
      <c r="DA54" s="1007">
        <f t="shared" si="16"/>
        <v>0</v>
      </c>
    </row>
    <row r="55" spans="1:108" ht="51" hidden="1" x14ac:dyDescent="0.25">
      <c r="A55" s="472">
        <v>2026</v>
      </c>
      <c r="B55" s="472">
        <v>479</v>
      </c>
      <c r="C55" s="472" t="s">
        <v>64</v>
      </c>
      <c r="D55" s="472" t="s">
        <v>65</v>
      </c>
      <c r="E55" s="472">
        <v>125</v>
      </c>
      <c r="F55" s="472">
        <v>3000654</v>
      </c>
      <c r="G55" s="472">
        <v>5005023</v>
      </c>
      <c r="H55" s="472">
        <v>3</v>
      </c>
      <c r="I55" s="472">
        <v>12</v>
      </c>
      <c r="J55" s="472">
        <v>24</v>
      </c>
      <c r="K55" s="472">
        <v>135560</v>
      </c>
      <c r="L55" s="472" t="s">
        <v>66</v>
      </c>
      <c r="M55" s="124" t="s">
        <v>67</v>
      </c>
      <c r="N55" s="472">
        <v>95</v>
      </c>
      <c r="O55" s="474"/>
      <c r="P55" s="474" t="s">
        <v>4</v>
      </c>
      <c r="Q55" s="472" t="s">
        <v>68</v>
      </c>
      <c r="R55" s="475" t="s">
        <v>69</v>
      </c>
      <c r="S55" s="475" t="s">
        <v>137</v>
      </c>
      <c r="T55" s="475"/>
      <c r="U55" s="124" t="s">
        <v>171</v>
      </c>
      <c r="V55" s="475" t="s">
        <v>3</v>
      </c>
      <c r="W55" s="121">
        <v>1</v>
      </c>
      <c r="X55" s="476">
        <v>5000</v>
      </c>
      <c r="Y55" s="474"/>
      <c r="Z55" s="474"/>
      <c r="AA55" s="474"/>
      <c r="AB55" s="474"/>
      <c r="AC55" s="475">
        <v>30</v>
      </c>
      <c r="AD55" s="475">
        <v>30</v>
      </c>
      <c r="AE55" s="474"/>
      <c r="AF55" s="474"/>
      <c r="AG55" s="474"/>
      <c r="AH55" s="474"/>
      <c r="AI55" s="474"/>
      <c r="AJ55" s="474"/>
      <c r="AK55" s="477">
        <v>10000</v>
      </c>
      <c r="AL55" s="472" t="s">
        <v>73</v>
      </c>
      <c r="AM55" s="472" t="s">
        <v>73</v>
      </c>
      <c r="AN55" s="472" t="s">
        <v>73</v>
      </c>
      <c r="AO55" s="472" t="s">
        <v>73</v>
      </c>
      <c r="AP55" s="478">
        <v>5000</v>
      </c>
      <c r="AQ55" s="478">
        <v>5000</v>
      </c>
      <c r="AR55" s="472" t="s">
        <v>73</v>
      </c>
      <c r="AS55" s="472" t="s">
        <v>73</v>
      </c>
      <c r="AT55" s="472" t="s">
        <v>73</v>
      </c>
      <c r="AU55" s="472" t="s">
        <v>73</v>
      </c>
      <c r="AV55" s="472" t="s">
        <v>73</v>
      </c>
      <c r="AW55" s="472" t="s">
        <v>73</v>
      </c>
      <c r="AX55" s="30">
        <v>10000</v>
      </c>
      <c r="AY55" s="479" t="s">
        <v>7</v>
      </c>
      <c r="AZ55" s="474" t="s">
        <v>74</v>
      </c>
      <c r="BA55" s="474"/>
      <c r="BB55" s="480"/>
      <c r="BC55" s="480"/>
      <c r="BK55" s="481" t="s">
        <v>790</v>
      </c>
      <c r="BL55" s="481" t="s">
        <v>791</v>
      </c>
      <c r="BM55" s="284" t="s">
        <v>792</v>
      </c>
      <c r="BN55" s="414" t="s">
        <v>793</v>
      </c>
      <c r="BO55" s="284" t="s">
        <v>794</v>
      </c>
      <c r="BP55" s="285">
        <v>46134</v>
      </c>
      <c r="BQ55" s="482"/>
      <c r="BR55" s="963" t="s">
        <v>987</v>
      </c>
      <c r="BS55" s="482"/>
      <c r="BT55" s="286" t="s">
        <v>796</v>
      </c>
      <c r="BU55" s="482" t="s">
        <v>797</v>
      </c>
      <c r="BV55" s="414" t="s">
        <v>988</v>
      </c>
      <c r="BW55" s="284" t="s">
        <v>989</v>
      </c>
      <c r="BX55" s="284" t="s">
        <v>990</v>
      </c>
      <c r="BY55" s="284">
        <v>46734878</v>
      </c>
      <c r="BZ55" s="284"/>
      <c r="CA55" s="288">
        <v>5000</v>
      </c>
      <c r="CB55" s="483">
        <v>46143</v>
      </c>
      <c r="CC55" s="483">
        <v>46203</v>
      </c>
      <c r="CD55" s="759"/>
      <c r="CE55" s="485">
        <f t="shared" si="177"/>
        <v>30</v>
      </c>
      <c r="CF55" s="484">
        <f t="shared" si="178"/>
        <v>5000</v>
      </c>
      <c r="CG55" s="485">
        <v>30</v>
      </c>
      <c r="CH55" s="485">
        <f t="shared" si="179"/>
        <v>5000</v>
      </c>
      <c r="CI55" s="485">
        <v>30</v>
      </c>
      <c r="CJ55" s="485">
        <f t="shared" si="180"/>
        <v>5000</v>
      </c>
      <c r="CK55" s="484">
        <f t="shared" si="181"/>
        <v>0</v>
      </c>
      <c r="CL55" s="484">
        <f t="shared" si="182"/>
        <v>0</v>
      </c>
      <c r="CM55" s="1006"/>
      <c r="CN55" s="485">
        <f t="shared" si="183"/>
        <v>30</v>
      </c>
      <c r="CO55" s="484">
        <f t="shared" si="184"/>
        <v>5000</v>
      </c>
      <c r="CP55" s="485">
        <v>30</v>
      </c>
      <c r="CQ55" s="485">
        <f t="shared" si="185"/>
        <v>5000</v>
      </c>
      <c r="CR55" s="485">
        <v>30</v>
      </c>
      <c r="CS55" s="485">
        <f t="shared" si="186"/>
        <v>5000</v>
      </c>
      <c r="CT55" s="484">
        <f t="shared" si="187"/>
        <v>0</v>
      </c>
      <c r="CU55" s="484">
        <f t="shared" si="188"/>
        <v>0</v>
      </c>
      <c r="CV55" s="1006"/>
      <c r="CW55" s="1007">
        <f t="shared" si="12"/>
        <v>10000</v>
      </c>
      <c r="CX55" s="486">
        <f t="shared" si="13"/>
        <v>10000</v>
      </c>
      <c r="CY55" s="486">
        <f t="shared" si="14"/>
        <v>10000</v>
      </c>
      <c r="CZ55" s="1007">
        <f t="shared" si="15"/>
        <v>0</v>
      </c>
      <c r="DA55" s="1007">
        <f t="shared" si="16"/>
        <v>0</v>
      </c>
    </row>
    <row r="56" spans="1:108" ht="51" hidden="1" x14ac:dyDescent="0.25">
      <c r="A56" s="472">
        <v>2026</v>
      </c>
      <c r="B56" s="472">
        <v>479</v>
      </c>
      <c r="C56" s="472" t="s">
        <v>64</v>
      </c>
      <c r="D56" s="472" t="s">
        <v>65</v>
      </c>
      <c r="E56" s="472">
        <v>125</v>
      </c>
      <c r="F56" s="472">
        <v>3000654</v>
      </c>
      <c r="G56" s="472">
        <v>5005023</v>
      </c>
      <c r="H56" s="472">
        <v>3</v>
      </c>
      <c r="I56" s="472">
        <v>12</v>
      </c>
      <c r="J56" s="472">
        <v>24</v>
      </c>
      <c r="K56" s="472">
        <v>135560</v>
      </c>
      <c r="L56" s="472" t="s">
        <v>66</v>
      </c>
      <c r="M56" s="124" t="s">
        <v>67</v>
      </c>
      <c r="N56" s="472">
        <v>95</v>
      </c>
      <c r="O56" s="474"/>
      <c r="P56" s="474" t="s">
        <v>4</v>
      </c>
      <c r="Q56" s="472" t="s">
        <v>68</v>
      </c>
      <c r="R56" s="475" t="s">
        <v>69</v>
      </c>
      <c r="S56" s="475" t="s">
        <v>137</v>
      </c>
      <c r="T56" s="475"/>
      <c r="U56" s="124" t="s">
        <v>171</v>
      </c>
      <c r="V56" s="475" t="s">
        <v>3</v>
      </c>
      <c r="W56" s="121">
        <v>1</v>
      </c>
      <c r="X56" s="476">
        <v>5000</v>
      </c>
      <c r="Y56" s="474"/>
      <c r="Z56" s="474"/>
      <c r="AA56" s="474"/>
      <c r="AB56" s="474"/>
      <c r="AC56" s="475">
        <v>30</v>
      </c>
      <c r="AD56" s="475">
        <v>30</v>
      </c>
      <c r="AE56" s="474"/>
      <c r="AF56" s="474"/>
      <c r="AG56" s="474"/>
      <c r="AH56" s="474"/>
      <c r="AI56" s="474"/>
      <c r="AJ56" s="474"/>
      <c r="AK56" s="477">
        <v>10000</v>
      </c>
      <c r="AL56" s="472" t="s">
        <v>73</v>
      </c>
      <c r="AM56" s="472" t="s">
        <v>73</v>
      </c>
      <c r="AN56" s="472" t="s">
        <v>73</v>
      </c>
      <c r="AO56" s="472" t="s">
        <v>73</v>
      </c>
      <c r="AP56" s="478">
        <v>5000</v>
      </c>
      <c r="AQ56" s="478">
        <v>5000</v>
      </c>
      <c r="AR56" s="472" t="s">
        <v>73</v>
      </c>
      <c r="AS56" s="472" t="s">
        <v>73</v>
      </c>
      <c r="AT56" s="472" t="s">
        <v>73</v>
      </c>
      <c r="AU56" s="472" t="s">
        <v>73</v>
      </c>
      <c r="AV56" s="472" t="s">
        <v>73</v>
      </c>
      <c r="AW56" s="472" t="s">
        <v>73</v>
      </c>
      <c r="AX56" s="30">
        <v>10000</v>
      </c>
      <c r="AY56" s="479" t="s">
        <v>7</v>
      </c>
      <c r="AZ56" s="474" t="s">
        <v>74</v>
      </c>
      <c r="BA56" s="474"/>
      <c r="BB56" s="480"/>
      <c r="BC56" s="480"/>
      <c r="BK56" s="481" t="s">
        <v>790</v>
      </c>
      <c r="BL56" s="481" t="s">
        <v>791</v>
      </c>
      <c r="BM56" s="284" t="s">
        <v>792</v>
      </c>
      <c r="BN56" s="414" t="s">
        <v>793</v>
      </c>
      <c r="BO56" s="284" t="s">
        <v>794</v>
      </c>
      <c r="BP56" s="285">
        <v>46134</v>
      </c>
      <c r="BQ56" s="482"/>
      <c r="BR56" s="963" t="s">
        <v>991</v>
      </c>
      <c r="BS56" s="482"/>
      <c r="BT56" s="286" t="s">
        <v>796</v>
      </c>
      <c r="BU56" s="482" t="s">
        <v>797</v>
      </c>
      <c r="BV56" s="414" t="s">
        <v>992</v>
      </c>
      <c r="BW56" s="284" t="s">
        <v>993</v>
      </c>
      <c r="BX56" s="284" t="s">
        <v>994</v>
      </c>
      <c r="BY56" s="284">
        <v>73226874</v>
      </c>
      <c r="BZ56" s="284"/>
      <c r="CA56" s="288">
        <v>5000</v>
      </c>
      <c r="CB56" s="483">
        <v>46143</v>
      </c>
      <c r="CC56" s="483">
        <v>46203</v>
      </c>
      <c r="CD56" s="759"/>
      <c r="CE56" s="485">
        <f t="shared" si="177"/>
        <v>30</v>
      </c>
      <c r="CF56" s="484">
        <f t="shared" si="178"/>
        <v>5000</v>
      </c>
      <c r="CG56" s="485">
        <v>30</v>
      </c>
      <c r="CH56" s="485">
        <f t="shared" si="179"/>
        <v>5000</v>
      </c>
      <c r="CI56" s="485">
        <v>30</v>
      </c>
      <c r="CJ56" s="485">
        <f t="shared" si="180"/>
        <v>5000</v>
      </c>
      <c r="CK56" s="484">
        <f t="shared" si="181"/>
        <v>0</v>
      </c>
      <c r="CL56" s="484">
        <f t="shared" si="182"/>
        <v>0</v>
      </c>
      <c r="CM56" s="1006"/>
      <c r="CN56" s="485">
        <f t="shared" si="183"/>
        <v>30</v>
      </c>
      <c r="CO56" s="484">
        <f t="shared" si="184"/>
        <v>5000</v>
      </c>
      <c r="CP56" s="485">
        <v>30</v>
      </c>
      <c r="CQ56" s="485">
        <f t="shared" si="185"/>
        <v>5000</v>
      </c>
      <c r="CR56" s="485">
        <v>30</v>
      </c>
      <c r="CS56" s="485">
        <f t="shared" si="186"/>
        <v>5000</v>
      </c>
      <c r="CT56" s="484">
        <f t="shared" si="187"/>
        <v>0</v>
      </c>
      <c r="CU56" s="484">
        <f t="shared" si="188"/>
        <v>0</v>
      </c>
      <c r="CV56" s="1006"/>
      <c r="CW56" s="1007">
        <f t="shared" si="12"/>
        <v>10000</v>
      </c>
      <c r="CX56" s="486">
        <f t="shared" si="13"/>
        <v>10000</v>
      </c>
      <c r="CY56" s="486">
        <f t="shared" si="14"/>
        <v>10000</v>
      </c>
      <c r="CZ56" s="1007">
        <f t="shared" si="15"/>
        <v>0</v>
      </c>
      <c r="DA56" s="1007">
        <f t="shared" si="16"/>
        <v>0</v>
      </c>
    </row>
    <row r="57" spans="1:108" ht="51" hidden="1" x14ac:dyDescent="0.25">
      <c r="A57" s="472">
        <v>2026</v>
      </c>
      <c r="B57" s="472">
        <v>479</v>
      </c>
      <c r="C57" s="472" t="s">
        <v>64</v>
      </c>
      <c r="D57" s="472" t="s">
        <v>65</v>
      </c>
      <c r="E57" s="472">
        <v>125</v>
      </c>
      <c r="F57" s="472">
        <v>3000654</v>
      </c>
      <c r="G57" s="472">
        <v>5005023</v>
      </c>
      <c r="H57" s="472">
        <v>3</v>
      </c>
      <c r="I57" s="472">
        <v>12</v>
      </c>
      <c r="J57" s="472">
        <v>24</v>
      </c>
      <c r="K57" s="472">
        <v>135560</v>
      </c>
      <c r="L57" s="472" t="s">
        <v>66</v>
      </c>
      <c r="M57" s="124" t="s">
        <v>67</v>
      </c>
      <c r="N57" s="472">
        <v>95</v>
      </c>
      <c r="O57" s="474"/>
      <c r="P57" s="474" t="s">
        <v>4</v>
      </c>
      <c r="Q57" s="472" t="s">
        <v>68</v>
      </c>
      <c r="R57" s="475" t="s">
        <v>69</v>
      </c>
      <c r="S57" s="475" t="s">
        <v>137</v>
      </c>
      <c r="T57" s="475"/>
      <c r="U57" s="124" t="s">
        <v>171</v>
      </c>
      <c r="V57" s="475" t="s">
        <v>3</v>
      </c>
      <c r="W57" s="121">
        <v>1</v>
      </c>
      <c r="X57" s="476">
        <v>5000</v>
      </c>
      <c r="Y57" s="474"/>
      <c r="Z57" s="474"/>
      <c r="AA57" s="474"/>
      <c r="AB57" s="474"/>
      <c r="AC57" s="475">
        <v>30</v>
      </c>
      <c r="AD57" s="475">
        <v>30</v>
      </c>
      <c r="AE57" s="474"/>
      <c r="AF57" s="474"/>
      <c r="AG57" s="474"/>
      <c r="AH57" s="474"/>
      <c r="AI57" s="474"/>
      <c r="AJ57" s="474"/>
      <c r="AK57" s="477">
        <v>10000</v>
      </c>
      <c r="AL57" s="472" t="s">
        <v>73</v>
      </c>
      <c r="AM57" s="472" t="s">
        <v>73</v>
      </c>
      <c r="AN57" s="472" t="s">
        <v>73</v>
      </c>
      <c r="AO57" s="472" t="s">
        <v>73</v>
      </c>
      <c r="AP57" s="478">
        <v>5000</v>
      </c>
      <c r="AQ57" s="478">
        <v>5000</v>
      </c>
      <c r="AR57" s="472" t="s">
        <v>73</v>
      </c>
      <c r="AS57" s="472" t="s">
        <v>73</v>
      </c>
      <c r="AT57" s="472" t="s">
        <v>73</v>
      </c>
      <c r="AU57" s="472" t="s">
        <v>73</v>
      </c>
      <c r="AV57" s="472" t="s">
        <v>73</v>
      </c>
      <c r="AW57" s="472" t="s">
        <v>73</v>
      </c>
      <c r="AX57" s="30">
        <v>10000</v>
      </c>
      <c r="AY57" s="479" t="s">
        <v>7</v>
      </c>
      <c r="AZ57" s="474" t="s">
        <v>74</v>
      </c>
      <c r="BA57" s="474"/>
      <c r="BB57" s="480"/>
      <c r="BC57" s="480"/>
      <c r="BK57" s="481" t="s">
        <v>790</v>
      </c>
      <c r="BL57" s="481" t="s">
        <v>791</v>
      </c>
      <c r="BM57" s="284" t="s">
        <v>792</v>
      </c>
      <c r="BN57" s="414" t="s">
        <v>793</v>
      </c>
      <c r="BO57" s="284" t="s">
        <v>794</v>
      </c>
      <c r="BP57" s="285">
        <v>46134</v>
      </c>
      <c r="BQ57" s="482"/>
      <c r="BR57" s="963" t="s">
        <v>995</v>
      </c>
      <c r="BS57" s="482"/>
      <c r="BT57" s="286" t="s">
        <v>796</v>
      </c>
      <c r="BU57" s="482" t="s">
        <v>797</v>
      </c>
      <c r="BV57" s="414" t="s">
        <v>836</v>
      </c>
      <c r="BW57" s="284" t="s">
        <v>996</v>
      </c>
      <c r="BX57" s="284" t="s">
        <v>997</v>
      </c>
      <c r="BY57" s="284">
        <v>21562770</v>
      </c>
      <c r="BZ57" s="284"/>
      <c r="CA57" s="288">
        <v>5000</v>
      </c>
      <c r="CB57" s="483">
        <v>46143</v>
      </c>
      <c r="CC57" s="483">
        <v>46203</v>
      </c>
      <c r="CD57" s="759"/>
      <c r="CE57" s="485">
        <f t="shared" si="29"/>
        <v>30</v>
      </c>
      <c r="CF57" s="484">
        <f t="shared" si="30"/>
        <v>5000</v>
      </c>
      <c r="CG57" s="485">
        <v>30</v>
      </c>
      <c r="CH57" s="485">
        <f t="shared" si="31"/>
        <v>5000</v>
      </c>
      <c r="CI57" s="485">
        <v>30</v>
      </c>
      <c r="CJ57" s="485">
        <f t="shared" si="32"/>
        <v>5000</v>
      </c>
      <c r="CK57" s="484">
        <f t="shared" si="33"/>
        <v>0</v>
      </c>
      <c r="CL57" s="484">
        <f t="shared" si="34"/>
        <v>0</v>
      </c>
      <c r="CM57" s="1006"/>
      <c r="CN57" s="485">
        <f t="shared" si="35"/>
        <v>30</v>
      </c>
      <c r="CO57" s="484">
        <f t="shared" si="36"/>
        <v>5000</v>
      </c>
      <c r="CP57" s="485">
        <v>30</v>
      </c>
      <c r="CQ57" s="485">
        <f t="shared" si="37"/>
        <v>5000</v>
      </c>
      <c r="CR57" s="485">
        <v>30</v>
      </c>
      <c r="CS57" s="485">
        <f t="shared" si="38"/>
        <v>5000</v>
      </c>
      <c r="CT57" s="484">
        <f t="shared" si="39"/>
        <v>0</v>
      </c>
      <c r="CU57" s="484">
        <f t="shared" si="40"/>
        <v>0</v>
      </c>
      <c r="CV57" s="1006"/>
      <c r="CW57" s="1007">
        <f t="shared" si="12"/>
        <v>10000</v>
      </c>
      <c r="CX57" s="486">
        <f t="shared" si="13"/>
        <v>10000</v>
      </c>
      <c r="CY57" s="486">
        <f t="shared" si="14"/>
        <v>10000</v>
      </c>
      <c r="CZ57" s="1007">
        <f t="shared" si="15"/>
        <v>0</v>
      </c>
      <c r="DA57" s="1007">
        <f t="shared" si="16"/>
        <v>0</v>
      </c>
    </row>
    <row r="58" spans="1:108" ht="51" hidden="1" x14ac:dyDescent="0.25">
      <c r="A58" s="472">
        <v>2026</v>
      </c>
      <c r="B58" s="472">
        <v>479</v>
      </c>
      <c r="C58" s="472" t="s">
        <v>64</v>
      </c>
      <c r="D58" s="472" t="s">
        <v>65</v>
      </c>
      <c r="E58" s="472">
        <v>125</v>
      </c>
      <c r="F58" s="472">
        <v>3000654</v>
      </c>
      <c r="G58" s="472">
        <v>5005023</v>
      </c>
      <c r="H58" s="472">
        <v>3</v>
      </c>
      <c r="I58" s="472">
        <v>12</v>
      </c>
      <c r="J58" s="472">
        <v>24</v>
      </c>
      <c r="K58" s="472">
        <v>135560</v>
      </c>
      <c r="L58" s="472" t="s">
        <v>66</v>
      </c>
      <c r="M58" s="124" t="s">
        <v>67</v>
      </c>
      <c r="N58" s="472">
        <v>95</v>
      </c>
      <c r="O58" s="474"/>
      <c r="P58" s="474" t="s">
        <v>4</v>
      </c>
      <c r="Q58" s="472" t="s">
        <v>68</v>
      </c>
      <c r="R58" s="475" t="s">
        <v>69</v>
      </c>
      <c r="S58" s="475" t="s">
        <v>137</v>
      </c>
      <c r="T58" s="475"/>
      <c r="U58" s="124" t="s">
        <v>172</v>
      </c>
      <c r="V58" s="475" t="s">
        <v>3</v>
      </c>
      <c r="W58" s="121">
        <v>1</v>
      </c>
      <c r="X58" s="476">
        <v>5000</v>
      </c>
      <c r="Y58" s="474"/>
      <c r="Z58" s="474"/>
      <c r="AA58" s="474"/>
      <c r="AB58" s="474"/>
      <c r="AC58" s="475">
        <v>30</v>
      </c>
      <c r="AD58" s="475">
        <v>30</v>
      </c>
      <c r="AE58" s="474"/>
      <c r="AF58" s="474"/>
      <c r="AG58" s="474"/>
      <c r="AH58" s="474"/>
      <c r="AI58" s="474"/>
      <c r="AJ58" s="474"/>
      <c r="AK58" s="477">
        <v>10000</v>
      </c>
      <c r="AL58" s="472" t="s">
        <v>73</v>
      </c>
      <c r="AM58" s="472" t="s">
        <v>73</v>
      </c>
      <c r="AN58" s="472" t="s">
        <v>73</v>
      </c>
      <c r="AO58" s="472" t="s">
        <v>73</v>
      </c>
      <c r="AP58" s="478">
        <v>5000</v>
      </c>
      <c r="AQ58" s="478">
        <v>5000</v>
      </c>
      <c r="AR58" s="472" t="s">
        <v>73</v>
      </c>
      <c r="AS58" s="472" t="s">
        <v>73</v>
      </c>
      <c r="AT58" s="472" t="s">
        <v>73</v>
      </c>
      <c r="AU58" s="472" t="s">
        <v>73</v>
      </c>
      <c r="AV58" s="472" t="s">
        <v>73</v>
      </c>
      <c r="AW58" s="472" t="s">
        <v>73</v>
      </c>
      <c r="AX58" s="30">
        <v>10000</v>
      </c>
      <c r="AY58" s="479" t="s">
        <v>7</v>
      </c>
      <c r="AZ58" s="474" t="s">
        <v>74</v>
      </c>
      <c r="BA58" s="474"/>
      <c r="BB58" s="480"/>
      <c r="BC58" s="480"/>
      <c r="BK58" s="481" t="s">
        <v>790</v>
      </c>
      <c r="BL58" s="481" t="s">
        <v>791</v>
      </c>
      <c r="BM58" s="284" t="s">
        <v>792</v>
      </c>
      <c r="BN58" s="414" t="s">
        <v>793</v>
      </c>
      <c r="BO58" s="284" t="s">
        <v>794</v>
      </c>
      <c r="BP58" s="285">
        <v>46134</v>
      </c>
      <c r="BQ58" s="482"/>
      <c r="BR58" s="963" t="s">
        <v>998</v>
      </c>
      <c r="BS58" s="482"/>
      <c r="BT58" s="286" t="s">
        <v>796</v>
      </c>
      <c r="BU58" s="482" t="s">
        <v>797</v>
      </c>
      <c r="BV58" s="414" t="s">
        <v>999</v>
      </c>
      <c r="BW58" s="284" t="s">
        <v>1000</v>
      </c>
      <c r="BX58" s="284" t="s">
        <v>1001</v>
      </c>
      <c r="BY58" s="284">
        <v>40694257</v>
      </c>
      <c r="BZ58" s="284"/>
      <c r="CA58" s="288">
        <v>5000</v>
      </c>
      <c r="CB58" s="483">
        <v>46143</v>
      </c>
      <c r="CC58" s="483">
        <v>46203</v>
      </c>
      <c r="CD58" s="759"/>
      <c r="CE58" s="485">
        <f t="shared" si="29"/>
        <v>30</v>
      </c>
      <c r="CF58" s="484">
        <f t="shared" si="30"/>
        <v>5000</v>
      </c>
      <c r="CG58" s="485">
        <v>30</v>
      </c>
      <c r="CH58" s="485">
        <f t="shared" si="31"/>
        <v>5000</v>
      </c>
      <c r="CI58" s="485">
        <v>30</v>
      </c>
      <c r="CJ58" s="485">
        <f t="shared" si="32"/>
        <v>5000</v>
      </c>
      <c r="CK58" s="484">
        <f t="shared" si="33"/>
        <v>0</v>
      </c>
      <c r="CL58" s="484">
        <f t="shared" si="34"/>
        <v>0</v>
      </c>
      <c r="CM58" s="1006"/>
      <c r="CN58" s="485">
        <f t="shared" si="35"/>
        <v>30</v>
      </c>
      <c r="CO58" s="484">
        <f t="shared" si="36"/>
        <v>5000</v>
      </c>
      <c r="CP58" s="485">
        <v>30</v>
      </c>
      <c r="CQ58" s="485">
        <f t="shared" si="37"/>
        <v>5000</v>
      </c>
      <c r="CR58" s="485">
        <v>30</v>
      </c>
      <c r="CS58" s="485">
        <f t="shared" si="38"/>
        <v>5000</v>
      </c>
      <c r="CT58" s="484">
        <f t="shared" si="39"/>
        <v>0</v>
      </c>
      <c r="CU58" s="484">
        <f t="shared" si="40"/>
        <v>0</v>
      </c>
      <c r="CV58" s="1006"/>
      <c r="CW58" s="1007">
        <f t="shared" si="12"/>
        <v>10000</v>
      </c>
      <c r="CX58" s="486">
        <f t="shared" si="13"/>
        <v>10000</v>
      </c>
      <c r="CY58" s="486">
        <f t="shared" si="14"/>
        <v>10000</v>
      </c>
      <c r="CZ58" s="1007">
        <f t="shared" si="15"/>
        <v>0</v>
      </c>
      <c r="DA58" s="1007">
        <f t="shared" si="16"/>
        <v>0</v>
      </c>
    </row>
    <row r="59" spans="1:108" s="535" customFormat="1" ht="54" hidden="1" x14ac:dyDescent="0.25">
      <c r="A59" s="524">
        <v>2026</v>
      </c>
      <c r="B59" s="524">
        <v>479</v>
      </c>
      <c r="C59" s="524" t="s">
        <v>64</v>
      </c>
      <c r="D59" s="524" t="s">
        <v>65</v>
      </c>
      <c r="E59" s="524">
        <v>125</v>
      </c>
      <c r="F59" s="524">
        <v>3000654</v>
      </c>
      <c r="G59" s="524">
        <v>5005023</v>
      </c>
      <c r="H59" s="524">
        <v>3</v>
      </c>
      <c r="I59" s="524">
        <v>12</v>
      </c>
      <c r="J59" s="524">
        <v>24</v>
      </c>
      <c r="K59" s="524">
        <v>135560</v>
      </c>
      <c r="L59" s="524" t="s">
        <v>66</v>
      </c>
      <c r="M59" s="525" t="s">
        <v>67</v>
      </c>
      <c r="N59" s="524">
        <v>95</v>
      </c>
      <c r="O59" s="526"/>
      <c r="P59" s="526" t="s">
        <v>4</v>
      </c>
      <c r="Q59" s="524" t="s">
        <v>68</v>
      </c>
      <c r="R59" s="527" t="s">
        <v>69</v>
      </c>
      <c r="S59" s="527" t="s">
        <v>137</v>
      </c>
      <c r="T59" s="527"/>
      <c r="U59" s="525" t="s">
        <v>173</v>
      </c>
      <c r="V59" s="527" t="s">
        <v>3</v>
      </c>
      <c r="W59" s="528">
        <v>1</v>
      </c>
      <c r="X59" s="529">
        <v>6000</v>
      </c>
      <c r="Y59" s="526"/>
      <c r="Z59" s="526"/>
      <c r="AA59" s="526"/>
      <c r="AB59" s="526"/>
      <c r="AC59" s="527">
        <v>30</v>
      </c>
      <c r="AD59" s="527">
        <v>30</v>
      </c>
      <c r="AE59" s="526"/>
      <c r="AF59" s="526"/>
      <c r="AG59" s="526"/>
      <c r="AH59" s="526"/>
      <c r="AI59" s="526"/>
      <c r="AJ59" s="526"/>
      <c r="AK59" s="530">
        <v>12000</v>
      </c>
      <c r="AL59" s="524" t="s">
        <v>73</v>
      </c>
      <c r="AM59" s="524" t="s">
        <v>73</v>
      </c>
      <c r="AN59" s="524" t="s">
        <v>73</v>
      </c>
      <c r="AO59" s="524" t="s">
        <v>73</v>
      </c>
      <c r="AP59" s="531">
        <v>6000</v>
      </c>
      <c r="AQ59" s="531">
        <v>6000</v>
      </c>
      <c r="AR59" s="524" t="s">
        <v>73</v>
      </c>
      <c r="AS59" s="524" t="s">
        <v>73</v>
      </c>
      <c r="AT59" s="524" t="s">
        <v>73</v>
      </c>
      <c r="AU59" s="524" t="s">
        <v>73</v>
      </c>
      <c r="AV59" s="524" t="s">
        <v>73</v>
      </c>
      <c r="AW59" s="524" t="s">
        <v>73</v>
      </c>
      <c r="AX59" s="533">
        <v>12000</v>
      </c>
      <c r="AY59" s="532" t="s">
        <v>7</v>
      </c>
      <c r="AZ59" s="526" t="s">
        <v>74</v>
      </c>
      <c r="BA59" s="526"/>
      <c r="BB59" s="534"/>
      <c r="BC59" s="534"/>
      <c r="BD59"/>
      <c r="BE59"/>
      <c r="BF59"/>
      <c r="BG59"/>
      <c r="BH59"/>
      <c r="BI59"/>
      <c r="BJ59"/>
      <c r="BK59" s="481" t="s">
        <v>790</v>
      </c>
      <c r="BL59" s="481" t="s">
        <v>791</v>
      </c>
      <c r="BM59" s="284" t="s">
        <v>792</v>
      </c>
      <c r="BN59" s="414" t="s">
        <v>793</v>
      </c>
      <c r="BO59" s="284" t="s">
        <v>794</v>
      </c>
      <c r="BP59" s="285">
        <v>46134</v>
      </c>
      <c r="BQ59" s="482"/>
      <c r="BR59" s="963" t="s">
        <v>1002</v>
      </c>
      <c r="BS59" s="482"/>
      <c r="BT59" s="286" t="s">
        <v>796</v>
      </c>
      <c r="BU59" s="482" t="s">
        <v>835</v>
      </c>
      <c r="BV59" s="414" t="s">
        <v>864</v>
      </c>
      <c r="BW59" s="284" t="s">
        <v>1003</v>
      </c>
      <c r="BX59" s="284" t="s">
        <v>1004</v>
      </c>
      <c r="BY59" s="284">
        <v>41932749</v>
      </c>
      <c r="BZ59" s="284"/>
      <c r="CA59" s="288">
        <v>6000</v>
      </c>
      <c r="CB59" s="483">
        <v>46143</v>
      </c>
      <c r="CC59" s="483">
        <v>46203</v>
      </c>
      <c r="CD59" s="759"/>
      <c r="CE59" s="485">
        <f t="shared" si="29"/>
        <v>30</v>
      </c>
      <c r="CF59" s="484">
        <f t="shared" si="30"/>
        <v>6000</v>
      </c>
      <c r="CG59" s="485">
        <v>30</v>
      </c>
      <c r="CH59" s="485">
        <f t="shared" si="31"/>
        <v>6000</v>
      </c>
      <c r="CI59" s="485">
        <v>30</v>
      </c>
      <c r="CJ59" s="485">
        <f t="shared" si="32"/>
        <v>6000</v>
      </c>
      <c r="CK59" s="484">
        <f t="shared" si="33"/>
        <v>0</v>
      </c>
      <c r="CL59" s="484">
        <f t="shared" si="34"/>
        <v>0</v>
      </c>
      <c r="CM59" s="1006"/>
      <c r="CN59" s="485">
        <f t="shared" si="35"/>
        <v>30</v>
      </c>
      <c r="CO59" s="484">
        <f t="shared" si="36"/>
        <v>6000</v>
      </c>
      <c r="CP59" s="485">
        <v>30</v>
      </c>
      <c r="CQ59" s="485">
        <f t="shared" si="37"/>
        <v>6000</v>
      </c>
      <c r="CR59" s="485">
        <v>30</v>
      </c>
      <c r="CS59" s="485">
        <f t="shared" si="38"/>
        <v>6000</v>
      </c>
      <c r="CT59" s="484">
        <f t="shared" si="39"/>
        <v>0</v>
      </c>
      <c r="CU59" s="484">
        <f t="shared" si="40"/>
        <v>0</v>
      </c>
      <c r="CV59" s="1006"/>
      <c r="CW59" s="1007">
        <f t="shared" si="12"/>
        <v>12000</v>
      </c>
      <c r="CX59" s="486">
        <f t="shared" si="13"/>
        <v>12000</v>
      </c>
      <c r="CY59" s="486">
        <f t="shared" si="14"/>
        <v>12000</v>
      </c>
      <c r="CZ59" s="1007">
        <f t="shared" si="15"/>
        <v>0</v>
      </c>
      <c r="DA59" s="1007">
        <f t="shared" si="16"/>
        <v>0</v>
      </c>
    </row>
    <row r="60" spans="1:108" ht="51" hidden="1" x14ac:dyDescent="0.25">
      <c r="A60" s="472">
        <v>2026</v>
      </c>
      <c r="B60" s="472">
        <v>479</v>
      </c>
      <c r="C60" s="472" t="s">
        <v>64</v>
      </c>
      <c r="D60" s="472" t="s">
        <v>65</v>
      </c>
      <c r="E60" s="472">
        <v>125</v>
      </c>
      <c r="F60" s="472">
        <v>3000654</v>
      </c>
      <c r="G60" s="472">
        <v>5005023</v>
      </c>
      <c r="H60" s="472">
        <v>3</v>
      </c>
      <c r="I60" s="472">
        <v>12</v>
      </c>
      <c r="J60" s="472">
        <v>24</v>
      </c>
      <c r="K60" s="472">
        <v>135560</v>
      </c>
      <c r="L60" s="472" t="s">
        <v>66</v>
      </c>
      <c r="M60" s="124" t="s">
        <v>67</v>
      </c>
      <c r="N60" s="472">
        <v>95</v>
      </c>
      <c r="O60" s="474"/>
      <c r="P60" s="474" t="s">
        <v>4</v>
      </c>
      <c r="Q60" s="472" t="s">
        <v>68</v>
      </c>
      <c r="R60" s="475" t="s">
        <v>69</v>
      </c>
      <c r="S60" s="475" t="s">
        <v>137</v>
      </c>
      <c r="T60" s="475"/>
      <c r="U60" s="124" t="s">
        <v>174</v>
      </c>
      <c r="V60" s="475" t="s">
        <v>3</v>
      </c>
      <c r="W60" s="121">
        <v>1</v>
      </c>
      <c r="X60" s="476">
        <v>6000</v>
      </c>
      <c r="Y60" s="474"/>
      <c r="Z60" s="474"/>
      <c r="AA60" s="474"/>
      <c r="AB60" s="474"/>
      <c r="AC60" s="475">
        <v>30</v>
      </c>
      <c r="AD60" s="475">
        <v>30</v>
      </c>
      <c r="AE60" s="474"/>
      <c r="AF60" s="474"/>
      <c r="AG60" s="474"/>
      <c r="AH60" s="474"/>
      <c r="AI60" s="474"/>
      <c r="AJ60" s="474"/>
      <c r="AK60" s="477">
        <v>12000</v>
      </c>
      <c r="AL60" s="472" t="s">
        <v>73</v>
      </c>
      <c r="AM60" s="472" t="s">
        <v>73</v>
      </c>
      <c r="AN60" s="472" t="s">
        <v>73</v>
      </c>
      <c r="AO60" s="472" t="s">
        <v>73</v>
      </c>
      <c r="AP60" s="478">
        <v>6000</v>
      </c>
      <c r="AQ60" s="478">
        <v>6000</v>
      </c>
      <c r="AR60" s="472" t="s">
        <v>73</v>
      </c>
      <c r="AS60" s="472" t="s">
        <v>73</v>
      </c>
      <c r="AT60" s="472" t="s">
        <v>73</v>
      </c>
      <c r="AU60" s="472" t="s">
        <v>73</v>
      </c>
      <c r="AV60" s="472" t="s">
        <v>73</v>
      </c>
      <c r="AW60" s="472" t="s">
        <v>73</v>
      </c>
      <c r="AX60" s="30">
        <v>12000</v>
      </c>
      <c r="AY60" s="479" t="s">
        <v>7</v>
      </c>
      <c r="AZ60" s="474" t="s">
        <v>74</v>
      </c>
      <c r="BA60" s="474"/>
      <c r="BB60" s="480"/>
      <c r="BC60" s="480"/>
      <c r="BK60" s="481" t="s">
        <v>790</v>
      </c>
      <c r="BL60" s="481" t="s">
        <v>791</v>
      </c>
      <c r="BM60" s="284" t="s">
        <v>792</v>
      </c>
      <c r="BN60" s="414" t="s">
        <v>793</v>
      </c>
      <c r="BO60" s="284" t="s">
        <v>794</v>
      </c>
      <c r="BP60" s="285">
        <v>46134</v>
      </c>
      <c r="BQ60" s="482"/>
      <c r="BR60" s="963" t="s">
        <v>1005</v>
      </c>
      <c r="BS60" s="482"/>
      <c r="BT60" s="286" t="s">
        <v>796</v>
      </c>
      <c r="BU60" s="482" t="s">
        <v>797</v>
      </c>
      <c r="BV60" s="414" t="s">
        <v>1006</v>
      </c>
      <c r="BW60" s="284" t="s">
        <v>1007</v>
      </c>
      <c r="BX60" s="284" t="s">
        <v>1008</v>
      </c>
      <c r="BY60" s="284" t="s">
        <v>1009</v>
      </c>
      <c r="BZ60" s="284"/>
      <c r="CA60" s="288">
        <v>6000</v>
      </c>
      <c r="CB60" s="483">
        <v>46143</v>
      </c>
      <c r="CC60" s="483">
        <v>46203</v>
      </c>
      <c r="CD60" s="759"/>
      <c r="CE60" s="485">
        <f t="shared" si="29"/>
        <v>30</v>
      </c>
      <c r="CF60" s="484">
        <f t="shared" si="30"/>
        <v>6000</v>
      </c>
      <c r="CG60" s="485">
        <v>30</v>
      </c>
      <c r="CH60" s="485">
        <f t="shared" si="31"/>
        <v>6000</v>
      </c>
      <c r="CI60" s="485">
        <v>30</v>
      </c>
      <c r="CJ60" s="485">
        <f t="shared" si="32"/>
        <v>6000</v>
      </c>
      <c r="CK60" s="484">
        <f t="shared" si="33"/>
        <v>0</v>
      </c>
      <c r="CL60" s="484">
        <f t="shared" si="34"/>
        <v>0</v>
      </c>
      <c r="CM60" s="1006"/>
      <c r="CN60" s="485">
        <f t="shared" si="35"/>
        <v>30</v>
      </c>
      <c r="CO60" s="484">
        <f t="shared" si="36"/>
        <v>6000</v>
      </c>
      <c r="CP60" s="485">
        <v>30</v>
      </c>
      <c r="CQ60" s="485">
        <f t="shared" si="37"/>
        <v>6000</v>
      </c>
      <c r="CR60" s="485">
        <v>30</v>
      </c>
      <c r="CS60" s="485">
        <f t="shared" si="38"/>
        <v>6000</v>
      </c>
      <c r="CT60" s="484">
        <f t="shared" si="39"/>
        <v>0</v>
      </c>
      <c r="CU60" s="484">
        <f t="shared" si="40"/>
        <v>0</v>
      </c>
      <c r="CV60" s="1006"/>
      <c r="CW60" s="1007">
        <f t="shared" si="12"/>
        <v>12000</v>
      </c>
      <c r="CX60" s="486">
        <f t="shared" si="13"/>
        <v>12000</v>
      </c>
      <c r="CY60" s="486">
        <f t="shared" si="14"/>
        <v>12000</v>
      </c>
      <c r="CZ60" s="1007">
        <f t="shared" si="15"/>
        <v>0</v>
      </c>
      <c r="DA60" s="1007">
        <f t="shared" si="16"/>
        <v>0</v>
      </c>
    </row>
    <row r="61" spans="1:108" ht="51" hidden="1" x14ac:dyDescent="0.25">
      <c r="A61" s="472">
        <v>2026</v>
      </c>
      <c r="B61" s="472">
        <v>479</v>
      </c>
      <c r="C61" s="472" t="s">
        <v>64</v>
      </c>
      <c r="D61" s="472" t="s">
        <v>65</v>
      </c>
      <c r="E61" s="472">
        <v>125</v>
      </c>
      <c r="F61" s="472">
        <v>3000654</v>
      </c>
      <c r="G61" s="472">
        <v>5005023</v>
      </c>
      <c r="H61" s="472">
        <v>3</v>
      </c>
      <c r="I61" s="472">
        <v>12</v>
      </c>
      <c r="J61" s="472">
        <v>24</v>
      </c>
      <c r="K61" s="472">
        <v>135560</v>
      </c>
      <c r="L61" s="472" t="s">
        <v>66</v>
      </c>
      <c r="M61" s="124" t="s">
        <v>67</v>
      </c>
      <c r="N61" s="472">
        <v>95</v>
      </c>
      <c r="O61" s="474"/>
      <c r="P61" s="474" t="s">
        <v>4</v>
      </c>
      <c r="Q61" s="472" t="s">
        <v>68</v>
      </c>
      <c r="R61" s="475" t="s">
        <v>69</v>
      </c>
      <c r="S61" s="475" t="s">
        <v>137</v>
      </c>
      <c r="T61" s="475"/>
      <c r="U61" s="124" t="s">
        <v>175</v>
      </c>
      <c r="V61" s="475" t="s">
        <v>3</v>
      </c>
      <c r="W61" s="121">
        <v>1</v>
      </c>
      <c r="X61" s="476">
        <v>5000</v>
      </c>
      <c r="Y61" s="474"/>
      <c r="Z61" s="474"/>
      <c r="AA61" s="474"/>
      <c r="AB61" s="474"/>
      <c r="AC61" s="475">
        <v>30</v>
      </c>
      <c r="AD61" s="475">
        <v>30</v>
      </c>
      <c r="AE61" s="474"/>
      <c r="AF61" s="474"/>
      <c r="AG61" s="474"/>
      <c r="AH61" s="474"/>
      <c r="AI61" s="474"/>
      <c r="AJ61" s="474"/>
      <c r="AK61" s="477">
        <v>10000</v>
      </c>
      <c r="AL61" s="472" t="s">
        <v>73</v>
      </c>
      <c r="AM61" s="472" t="s">
        <v>73</v>
      </c>
      <c r="AN61" s="472" t="s">
        <v>73</v>
      </c>
      <c r="AO61" s="472" t="s">
        <v>73</v>
      </c>
      <c r="AP61" s="478">
        <v>5000</v>
      </c>
      <c r="AQ61" s="478">
        <v>5000</v>
      </c>
      <c r="AR61" s="472"/>
      <c r="AS61" s="472"/>
      <c r="AT61" s="472"/>
      <c r="AU61" s="472"/>
      <c r="AV61" s="472"/>
      <c r="AW61" s="472"/>
      <c r="AX61" s="30">
        <v>10000</v>
      </c>
      <c r="AY61" s="479" t="s">
        <v>7</v>
      </c>
      <c r="AZ61" s="474" t="s">
        <v>74</v>
      </c>
      <c r="BA61" s="474"/>
      <c r="BB61" s="480"/>
      <c r="BC61" s="480"/>
      <c r="BK61" s="481" t="s">
        <v>790</v>
      </c>
      <c r="BL61" s="481" t="s">
        <v>791</v>
      </c>
      <c r="BM61" s="284" t="s">
        <v>792</v>
      </c>
      <c r="BN61" s="414" t="s">
        <v>793</v>
      </c>
      <c r="BO61" s="284" t="s">
        <v>794</v>
      </c>
      <c r="BP61" s="285">
        <v>46134</v>
      </c>
      <c r="BQ61" s="482"/>
      <c r="BR61" s="963" t="s">
        <v>1010</v>
      </c>
      <c r="BS61" s="482"/>
      <c r="BT61" s="286" t="s">
        <v>796</v>
      </c>
      <c r="BU61" s="482" t="s">
        <v>797</v>
      </c>
      <c r="BV61" s="414" t="s">
        <v>1011</v>
      </c>
      <c r="BW61" s="284" t="s">
        <v>856</v>
      </c>
      <c r="BX61" s="284" t="s">
        <v>1012</v>
      </c>
      <c r="BY61" s="284">
        <v>10666773</v>
      </c>
      <c r="BZ61" s="284"/>
      <c r="CA61" s="288">
        <v>5000</v>
      </c>
      <c r="CB61" s="483">
        <v>46143</v>
      </c>
      <c r="CC61" s="483">
        <v>46203</v>
      </c>
      <c r="CD61" s="759"/>
      <c r="CE61" s="485">
        <f t="shared" ref="CE61:CE65" si="189">AC61</f>
        <v>30</v>
      </c>
      <c r="CF61" s="484">
        <f t="shared" ref="CF61:CF65" si="190">AP61</f>
        <v>5000</v>
      </c>
      <c r="CG61" s="485">
        <v>30</v>
      </c>
      <c r="CH61" s="485">
        <f t="shared" ref="CH61:CH65" si="191">(X61/30)*CG61</f>
        <v>5000</v>
      </c>
      <c r="CI61" s="485">
        <v>30</v>
      </c>
      <c r="CJ61" s="485">
        <f t="shared" ref="CJ61:CJ65" si="192">(X61/30)*CI61</f>
        <v>5000</v>
      </c>
      <c r="CK61" s="484">
        <f t="shared" ref="CK61:CK65" si="193">CF61-CH61</f>
        <v>0</v>
      </c>
      <c r="CL61" s="484">
        <f t="shared" ref="CL61:CL65" si="194">CF61-CJ61</f>
        <v>0</v>
      </c>
      <c r="CM61" s="1006"/>
      <c r="CN61" s="485">
        <f t="shared" ref="CN61:CN65" si="195">AD61</f>
        <v>30</v>
      </c>
      <c r="CO61" s="484">
        <f t="shared" ref="CO61:CO65" si="196">AQ61</f>
        <v>5000</v>
      </c>
      <c r="CP61" s="485">
        <v>30</v>
      </c>
      <c r="CQ61" s="485">
        <f t="shared" ref="CQ61:CQ65" si="197">(X61/30)*CP61</f>
        <v>5000</v>
      </c>
      <c r="CR61" s="485">
        <v>30</v>
      </c>
      <c r="CS61" s="485">
        <f t="shared" ref="CS61:CS65" si="198">(X61/30)*CR61</f>
        <v>5000</v>
      </c>
      <c r="CT61" s="484">
        <f t="shared" ref="CT61:CT65" si="199">CO61-CQ61</f>
        <v>0</v>
      </c>
      <c r="CU61" s="484">
        <f t="shared" ref="CU61:CU65" si="200">CO61-CS61</f>
        <v>0</v>
      </c>
      <c r="CV61" s="1006"/>
      <c r="CW61" s="1007">
        <f t="shared" si="12"/>
        <v>10000</v>
      </c>
      <c r="CX61" s="486">
        <f t="shared" si="13"/>
        <v>10000</v>
      </c>
      <c r="CY61" s="486">
        <f t="shared" si="14"/>
        <v>10000</v>
      </c>
      <c r="CZ61" s="1007">
        <f t="shared" si="15"/>
        <v>0</v>
      </c>
      <c r="DA61" s="1007">
        <f t="shared" si="16"/>
        <v>0</v>
      </c>
    </row>
    <row r="62" spans="1:108" ht="51" hidden="1" x14ac:dyDescent="0.25">
      <c r="A62" s="472">
        <v>2026</v>
      </c>
      <c r="B62" s="472">
        <v>479</v>
      </c>
      <c r="C62" s="472" t="s">
        <v>64</v>
      </c>
      <c r="D62" s="472" t="s">
        <v>65</v>
      </c>
      <c r="E62" s="472">
        <v>125</v>
      </c>
      <c r="F62" s="472">
        <v>3000654</v>
      </c>
      <c r="G62" s="472">
        <v>5005023</v>
      </c>
      <c r="H62" s="472">
        <v>3</v>
      </c>
      <c r="I62" s="472">
        <v>12</v>
      </c>
      <c r="J62" s="472">
        <v>24</v>
      </c>
      <c r="K62" s="472">
        <v>135560</v>
      </c>
      <c r="L62" s="472" t="s">
        <v>66</v>
      </c>
      <c r="M62" s="124" t="s">
        <v>67</v>
      </c>
      <c r="N62" s="472">
        <v>95</v>
      </c>
      <c r="O62" s="474"/>
      <c r="P62" s="474" t="s">
        <v>4</v>
      </c>
      <c r="Q62" s="472" t="s">
        <v>68</v>
      </c>
      <c r="R62" s="475" t="s">
        <v>69</v>
      </c>
      <c r="S62" s="475" t="s">
        <v>137</v>
      </c>
      <c r="T62" s="475"/>
      <c r="U62" s="124" t="s">
        <v>175</v>
      </c>
      <c r="V62" s="475" t="s">
        <v>3</v>
      </c>
      <c r="W62" s="121">
        <v>1</v>
      </c>
      <c r="X62" s="476">
        <v>5000</v>
      </c>
      <c r="Y62" s="474"/>
      <c r="Z62" s="474"/>
      <c r="AA62" s="474"/>
      <c r="AB62" s="474"/>
      <c r="AC62" s="475">
        <v>30</v>
      </c>
      <c r="AD62" s="475">
        <v>30</v>
      </c>
      <c r="AE62" s="474"/>
      <c r="AF62" s="474"/>
      <c r="AG62" s="474"/>
      <c r="AH62" s="474"/>
      <c r="AI62" s="474"/>
      <c r="AJ62" s="474"/>
      <c r="AK62" s="477">
        <v>10000</v>
      </c>
      <c r="AL62" s="472" t="s">
        <v>73</v>
      </c>
      <c r="AM62" s="472" t="s">
        <v>73</v>
      </c>
      <c r="AN62" s="472" t="s">
        <v>73</v>
      </c>
      <c r="AO62" s="472" t="s">
        <v>73</v>
      </c>
      <c r="AP62" s="478">
        <v>5000</v>
      </c>
      <c r="AQ62" s="478">
        <v>5000</v>
      </c>
      <c r="AR62" s="472"/>
      <c r="AS62" s="472"/>
      <c r="AT62" s="472"/>
      <c r="AU62" s="472"/>
      <c r="AV62" s="472"/>
      <c r="AW62" s="472"/>
      <c r="AX62" s="30">
        <v>10000</v>
      </c>
      <c r="AY62" s="479" t="s">
        <v>7</v>
      </c>
      <c r="AZ62" s="474" t="s">
        <v>74</v>
      </c>
      <c r="BA62" s="474"/>
      <c r="BB62" s="480"/>
      <c r="BC62" s="480"/>
      <c r="BK62" s="481" t="s">
        <v>790</v>
      </c>
      <c r="BL62" s="481" t="s">
        <v>791</v>
      </c>
      <c r="BM62" s="284" t="s">
        <v>792</v>
      </c>
      <c r="BN62" s="414" t="s">
        <v>793</v>
      </c>
      <c r="BO62" s="284" t="s">
        <v>794</v>
      </c>
      <c r="BP62" s="285">
        <v>46134</v>
      </c>
      <c r="BQ62" s="482"/>
      <c r="BR62" s="963" t="s">
        <v>1013</v>
      </c>
      <c r="BS62" s="482"/>
      <c r="BT62" s="286" t="s">
        <v>796</v>
      </c>
      <c r="BU62" s="482" t="s">
        <v>797</v>
      </c>
      <c r="BV62" s="414" t="s">
        <v>1014</v>
      </c>
      <c r="BW62" s="284" t="s">
        <v>1015</v>
      </c>
      <c r="BX62" s="284" t="s">
        <v>1016</v>
      </c>
      <c r="BY62" s="284">
        <v>45728536</v>
      </c>
      <c r="BZ62" s="284"/>
      <c r="CA62" s="288">
        <v>5000</v>
      </c>
      <c r="CB62" s="483">
        <v>46143</v>
      </c>
      <c r="CC62" s="483">
        <v>46203</v>
      </c>
      <c r="CD62" s="759"/>
      <c r="CE62" s="485">
        <f t="shared" si="189"/>
        <v>30</v>
      </c>
      <c r="CF62" s="484">
        <f t="shared" si="190"/>
        <v>5000</v>
      </c>
      <c r="CG62" s="485">
        <v>30</v>
      </c>
      <c r="CH62" s="485">
        <f t="shared" si="191"/>
        <v>5000</v>
      </c>
      <c r="CI62" s="485">
        <v>30</v>
      </c>
      <c r="CJ62" s="485">
        <f t="shared" si="192"/>
        <v>5000</v>
      </c>
      <c r="CK62" s="484">
        <f t="shared" si="193"/>
        <v>0</v>
      </c>
      <c r="CL62" s="484">
        <f t="shared" si="194"/>
        <v>0</v>
      </c>
      <c r="CM62" s="1006"/>
      <c r="CN62" s="485">
        <f t="shared" si="195"/>
        <v>30</v>
      </c>
      <c r="CO62" s="484">
        <f t="shared" si="196"/>
        <v>5000</v>
      </c>
      <c r="CP62" s="485">
        <v>30</v>
      </c>
      <c r="CQ62" s="485">
        <f t="shared" si="197"/>
        <v>5000</v>
      </c>
      <c r="CR62" s="485">
        <v>30</v>
      </c>
      <c r="CS62" s="485">
        <f t="shared" si="198"/>
        <v>5000</v>
      </c>
      <c r="CT62" s="484">
        <f t="shared" si="199"/>
        <v>0</v>
      </c>
      <c r="CU62" s="484">
        <f t="shared" si="200"/>
        <v>0</v>
      </c>
      <c r="CV62" s="1006"/>
      <c r="CW62" s="1007">
        <f t="shared" si="12"/>
        <v>10000</v>
      </c>
      <c r="CX62" s="486">
        <f t="shared" si="13"/>
        <v>10000</v>
      </c>
      <c r="CY62" s="486">
        <f t="shared" si="14"/>
        <v>10000</v>
      </c>
      <c r="CZ62" s="1007">
        <f t="shared" si="15"/>
        <v>0</v>
      </c>
      <c r="DA62" s="1007">
        <f t="shared" si="16"/>
        <v>0</v>
      </c>
    </row>
    <row r="63" spans="1:108" ht="51" hidden="1" x14ac:dyDescent="0.25">
      <c r="A63" s="472">
        <v>2026</v>
      </c>
      <c r="B63" s="472">
        <v>479</v>
      </c>
      <c r="C63" s="472" t="s">
        <v>64</v>
      </c>
      <c r="D63" s="472" t="s">
        <v>65</v>
      </c>
      <c r="E63" s="472">
        <v>125</v>
      </c>
      <c r="F63" s="472">
        <v>3000654</v>
      </c>
      <c r="G63" s="472">
        <v>5005023</v>
      </c>
      <c r="H63" s="472">
        <v>3</v>
      </c>
      <c r="I63" s="472">
        <v>12</v>
      </c>
      <c r="J63" s="472">
        <v>24</v>
      </c>
      <c r="K63" s="472">
        <v>135560</v>
      </c>
      <c r="L63" s="472" t="s">
        <v>66</v>
      </c>
      <c r="M63" s="124" t="s">
        <v>67</v>
      </c>
      <c r="N63" s="472">
        <v>95</v>
      </c>
      <c r="O63" s="474"/>
      <c r="P63" s="474" t="s">
        <v>4</v>
      </c>
      <c r="Q63" s="472" t="s">
        <v>68</v>
      </c>
      <c r="R63" s="475" t="s">
        <v>69</v>
      </c>
      <c r="S63" s="475" t="s">
        <v>137</v>
      </c>
      <c r="T63" s="475"/>
      <c r="U63" s="124" t="s">
        <v>175</v>
      </c>
      <c r="V63" s="475" t="s">
        <v>3</v>
      </c>
      <c r="W63" s="121">
        <v>1</v>
      </c>
      <c r="X63" s="476">
        <v>5000</v>
      </c>
      <c r="Y63" s="474"/>
      <c r="Z63" s="474"/>
      <c r="AA63" s="474"/>
      <c r="AB63" s="474"/>
      <c r="AC63" s="475">
        <v>30</v>
      </c>
      <c r="AD63" s="475">
        <v>30</v>
      </c>
      <c r="AE63" s="474"/>
      <c r="AF63" s="474"/>
      <c r="AG63" s="474"/>
      <c r="AH63" s="474"/>
      <c r="AI63" s="474"/>
      <c r="AJ63" s="474"/>
      <c r="AK63" s="477">
        <v>10000</v>
      </c>
      <c r="AL63" s="472" t="s">
        <v>73</v>
      </c>
      <c r="AM63" s="472" t="s">
        <v>73</v>
      </c>
      <c r="AN63" s="472" t="s">
        <v>73</v>
      </c>
      <c r="AO63" s="472" t="s">
        <v>73</v>
      </c>
      <c r="AP63" s="478">
        <v>5000</v>
      </c>
      <c r="AQ63" s="478">
        <v>5000</v>
      </c>
      <c r="AR63" s="472"/>
      <c r="AS63" s="472"/>
      <c r="AT63" s="472"/>
      <c r="AU63" s="472"/>
      <c r="AV63" s="472"/>
      <c r="AW63" s="472"/>
      <c r="AX63" s="30">
        <v>10000</v>
      </c>
      <c r="AY63" s="479" t="s">
        <v>7</v>
      </c>
      <c r="AZ63" s="474" t="s">
        <v>74</v>
      </c>
      <c r="BA63" s="474"/>
      <c r="BB63" s="480"/>
      <c r="BC63" s="480"/>
      <c r="BK63" s="481" t="s">
        <v>790</v>
      </c>
      <c r="BL63" s="481" t="s">
        <v>791</v>
      </c>
      <c r="BM63" s="284" t="s">
        <v>792</v>
      </c>
      <c r="BN63" s="414" t="s">
        <v>793</v>
      </c>
      <c r="BO63" s="284" t="s">
        <v>794</v>
      </c>
      <c r="BP63" s="285">
        <v>46134</v>
      </c>
      <c r="BQ63" s="482"/>
      <c r="BR63" s="963" t="s">
        <v>1017</v>
      </c>
      <c r="BS63" s="482"/>
      <c r="BT63" s="286" t="s">
        <v>796</v>
      </c>
      <c r="BU63" s="482" t="s">
        <v>797</v>
      </c>
      <c r="BV63" s="414" t="s">
        <v>1018</v>
      </c>
      <c r="BW63" s="284" t="s">
        <v>830</v>
      </c>
      <c r="BX63" s="284" t="s">
        <v>1019</v>
      </c>
      <c r="BY63" s="284">
        <v>42223682</v>
      </c>
      <c r="BZ63" s="284"/>
      <c r="CA63" s="288">
        <v>5000</v>
      </c>
      <c r="CB63" s="483">
        <v>46143</v>
      </c>
      <c r="CC63" s="483">
        <v>46203</v>
      </c>
      <c r="CD63" s="759"/>
      <c r="CE63" s="485">
        <f t="shared" si="189"/>
        <v>30</v>
      </c>
      <c r="CF63" s="484">
        <f t="shared" si="190"/>
        <v>5000</v>
      </c>
      <c r="CG63" s="485">
        <v>30</v>
      </c>
      <c r="CH63" s="485">
        <f t="shared" si="191"/>
        <v>5000</v>
      </c>
      <c r="CI63" s="485">
        <v>30</v>
      </c>
      <c r="CJ63" s="485">
        <f t="shared" si="192"/>
        <v>5000</v>
      </c>
      <c r="CK63" s="484">
        <f t="shared" si="193"/>
        <v>0</v>
      </c>
      <c r="CL63" s="484">
        <f t="shared" si="194"/>
        <v>0</v>
      </c>
      <c r="CM63" s="1006"/>
      <c r="CN63" s="485">
        <f t="shared" si="195"/>
        <v>30</v>
      </c>
      <c r="CO63" s="484">
        <f t="shared" si="196"/>
        <v>5000</v>
      </c>
      <c r="CP63" s="485">
        <v>30</v>
      </c>
      <c r="CQ63" s="485">
        <f t="shared" si="197"/>
        <v>5000</v>
      </c>
      <c r="CR63" s="485">
        <v>30</v>
      </c>
      <c r="CS63" s="485">
        <f t="shared" si="198"/>
        <v>5000</v>
      </c>
      <c r="CT63" s="484">
        <f t="shared" si="199"/>
        <v>0</v>
      </c>
      <c r="CU63" s="484">
        <f t="shared" si="200"/>
        <v>0</v>
      </c>
      <c r="CV63" s="1006"/>
      <c r="CW63" s="1007">
        <f t="shared" si="12"/>
        <v>10000</v>
      </c>
      <c r="CX63" s="486">
        <f t="shared" si="13"/>
        <v>10000</v>
      </c>
      <c r="CY63" s="486">
        <f t="shared" si="14"/>
        <v>10000</v>
      </c>
      <c r="CZ63" s="1007">
        <f t="shared" si="15"/>
        <v>0</v>
      </c>
      <c r="DA63" s="1007">
        <f t="shared" si="16"/>
        <v>0</v>
      </c>
    </row>
    <row r="64" spans="1:108" ht="51" hidden="1" x14ac:dyDescent="0.25">
      <c r="A64" s="472">
        <v>2026</v>
      </c>
      <c r="B64" s="472">
        <v>479</v>
      </c>
      <c r="C64" s="472" t="s">
        <v>64</v>
      </c>
      <c r="D64" s="472" t="s">
        <v>65</v>
      </c>
      <c r="E64" s="472">
        <v>125</v>
      </c>
      <c r="F64" s="472">
        <v>3000654</v>
      </c>
      <c r="G64" s="472">
        <v>5005023</v>
      </c>
      <c r="H64" s="472">
        <v>3</v>
      </c>
      <c r="I64" s="472">
        <v>12</v>
      </c>
      <c r="J64" s="472">
        <v>24</v>
      </c>
      <c r="K64" s="472">
        <v>135560</v>
      </c>
      <c r="L64" s="472" t="s">
        <v>66</v>
      </c>
      <c r="M64" s="124" t="s">
        <v>67</v>
      </c>
      <c r="N64" s="472">
        <v>95</v>
      </c>
      <c r="O64" s="474"/>
      <c r="P64" s="474" t="s">
        <v>4</v>
      </c>
      <c r="Q64" s="472" t="s">
        <v>68</v>
      </c>
      <c r="R64" s="475" t="s">
        <v>69</v>
      </c>
      <c r="S64" s="475" t="s">
        <v>137</v>
      </c>
      <c r="T64" s="475"/>
      <c r="U64" s="124" t="s">
        <v>175</v>
      </c>
      <c r="V64" s="475" t="s">
        <v>3</v>
      </c>
      <c r="W64" s="121">
        <v>1</v>
      </c>
      <c r="X64" s="476">
        <v>5000</v>
      </c>
      <c r="Y64" s="474"/>
      <c r="Z64" s="474"/>
      <c r="AA64" s="474"/>
      <c r="AB64" s="474"/>
      <c r="AC64" s="475">
        <v>30</v>
      </c>
      <c r="AD64" s="475">
        <v>30</v>
      </c>
      <c r="AE64" s="474"/>
      <c r="AF64" s="474"/>
      <c r="AG64" s="474"/>
      <c r="AH64" s="474"/>
      <c r="AI64" s="474"/>
      <c r="AJ64" s="474"/>
      <c r="AK64" s="477">
        <v>10000</v>
      </c>
      <c r="AL64" s="472" t="s">
        <v>73</v>
      </c>
      <c r="AM64" s="472" t="s">
        <v>73</v>
      </c>
      <c r="AN64" s="472" t="s">
        <v>73</v>
      </c>
      <c r="AO64" s="472" t="s">
        <v>73</v>
      </c>
      <c r="AP64" s="478">
        <v>5000</v>
      </c>
      <c r="AQ64" s="478">
        <v>5000</v>
      </c>
      <c r="AR64" s="472"/>
      <c r="AS64" s="472"/>
      <c r="AT64" s="472"/>
      <c r="AU64" s="472"/>
      <c r="AV64" s="472"/>
      <c r="AW64" s="472"/>
      <c r="AX64" s="30">
        <v>10000</v>
      </c>
      <c r="AY64" s="479" t="s">
        <v>7</v>
      </c>
      <c r="AZ64" s="474" t="s">
        <v>74</v>
      </c>
      <c r="BA64" s="474"/>
      <c r="BB64" s="480"/>
      <c r="BC64" s="480"/>
      <c r="BK64" s="481" t="s">
        <v>790</v>
      </c>
      <c r="BL64" s="481" t="s">
        <v>791</v>
      </c>
      <c r="BM64" s="284" t="s">
        <v>792</v>
      </c>
      <c r="BN64" s="414" t="s">
        <v>793</v>
      </c>
      <c r="BO64" s="284" t="s">
        <v>794</v>
      </c>
      <c r="BP64" s="285">
        <v>46134</v>
      </c>
      <c r="BQ64" s="482"/>
      <c r="BR64" s="963" t="s">
        <v>1020</v>
      </c>
      <c r="BS64" s="482"/>
      <c r="BT64" s="286" t="s">
        <v>796</v>
      </c>
      <c r="BU64" s="482" t="s">
        <v>797</v>
      </c>
      <c r="BV64" s="414" t="s">
        <v>1021</v>
      </c>
      <c r="BW64" s="284" t="s">
        <v>1022</v>
      </c>
      <c r="BX64" s="284" t="s">
        <v>1023</v>
      </c>
      <c r="BY64" s="284">
        <v>47553669</v>
      </c>
      <c r="BZ64" s="284"/>
      <c r="CA64" s="288">
        <v>5000</v>
      </c>
      <c r="CB64" s="483">
        <v>46143</v>
      </c>
      <c r="CC64" s="483">
        <v>46203</v>
      </c>
      <c r="CD64" s="759"/>
      <c r="CE64" s="485">
        <f t="shared" si="189"/>
        <v>30</v>
      </c>
      <c r="CF64" s="484">
        <f t="shared" si="190"/>
        <v>5000</v>
      </c>
      <c r="CG64" s="485">
        <v>30</v>
      </c>
      <c r="CH64" s="485">
        <f t="shared" si="191"/>
        <v>5000</v>
      </c>
      <c r="CI64" s="485">
        <v>30</v>
      </c>
      <c r="CJ64" s="485">
        <f t="shared" si="192"/>
        <v>5000</v>
      </c>
      <c r="CK64" s="484">
        <f t="shared" si="193"/>
        <v>0</v>
      </c>
      <c r="CL64" s="484">
        <f t="shared" si="194"/>
        <v>0</v>
      </c>
      <c r="CM64" s="1006"/>
      <c r="CN64" s="485">
        <f t="shared" si="195"/>
        <v>30</v>
      </c>
      <c r="CO64" s="484">
        <f t="shared" si="196"/>
        <v>5000</v>
      </c>
      <c r="CP64" s="485">
        <v>30</v>
      </c>
      <c r="CQ64" s="485">
        <f t="shared" si="197"/>
        <v>5000</v>
      </c>
      <c r="CR64" s="485">
        <v>30</v>
      </c>
      <c r="CS64" s="485">
        <f t="shared" si="198"/>
        <v>5000</v>
      </c>
      <c r="CT64" s="484">
        <f t="shared" si="199"/>
        <v>0</v>
      </c>
      <c r="CU64" s="484">
        <f t="shared" si="200"/>
        <v>0</v>
      </c>
      <c r="CV64" s="1006"/>
      <c r="CW64" s="1007">
        <f t="shared" si="12"/>
        <v>10000</v>
      </c>
      <c r="CX64" s="486">
        <f t="shared" si="13"/>
        <v>10000</v>
      </c>
      <c r="CY64" s="486">
        <f t="shared" si="14"/>
        <v>10000</v>
      </c>
      <c r="CZ64" s="1007">
        <f t="shared" si="15"/>
        <v>0</v>
      </c>
      <c r="DA64" s="1007">
        <f t="shared" si="16"/>
        <v>0</v>
      </c>
    </row>
    <row r="65" spans="1:108" ht="51" hidden="1" x14ac:dyDescent="0.25">
      <c r="A65" s="472">
        <v>2026</v>
      </c>
      <c r="B65" s="472">
        <v>479</v>
      </c>
      <c r="C65" s="472" t="s">
        <v>64</v>
      </c>
      <c r="D65" s="472" t="s">
        <v>65</v>
      </c>
      <c r="E65" s="472">
        <v>125</v>
      </c>
      <c r="F65" s="472">
        <v>3000654</v>
      </c>
      <c r="G65" s="472">
        <v>5005023</v>
      </c>
      <c r="H65" s="472">
        <v>3</v>
      </c>
      <c r="I65" s="472">
        <v>12</v>
      </c>
      <c r="J65" s="472">
        <v>24</v>
      </c>
      <c r="K65" s="472">
        <v>135560</v>
      </c>
      <c r="L65" s="472" t="s">
        <v>66</v>
      </c>
      <c r="M65" s="124" t="s">
        <v>67</v>
      </c>
      <c r="N65" s="472">
        <v>95</v>
      </c>
      <c r="O65" s="474"/>
      <c r="P65" s="474" t="s">
        <v>4</v>
      </c>
      <c r="Q65" s="472" t="s">
        <v>68</v>
      </c>
      <c r="R65" s="475" t="s">
        <v>69</v>
      </c>
      <c r="S65" s="475" t="s">
        <v>137</v>
      </c>
      <c r="T65" s="475"/>
      <c r="U65" s="124" t="s">
        <v>175</v>
      </c>
      <c r="V65" s="475" t="s">
        <v>3</v>
      </c>
      <c r="W65" s="121">
        <v>1</v>
      </c>
      <c r="X65" s="476">
        <v>5000</v>
      </c>
      <c r="Y65" s="474"/>
      <c r="Z65" s="474"/>
      <c r="AA65" s="474"/>
      <c r="AB65" s="474"/>
      <c r="AC65" s="475">
        <v>30</v>
      </c>
      <c r="AD65" s="475">
        <v>30</v>
      </c>
      <c r="AE65" s="474"/>
      <c r="AF65" s="474"/>
      <c r="AG65" s="474"/>
      <c r="AH65" s="474"/>
      <c r="AI65" s="474"/>
      <c r="AJ65" s="474"/>
      <c r="AK65" s="477">
        <v>10000</v>
      </c>
      <c r="AL65" s="472" t="s">
        <v>73</v>
      </c>
      <c r="AM65" s="472" t="s">
        <v>73</v>
      </c>
      <c r="AN65" s="472" t="s">
        <v>73</v>
      </c>
      <c r="AO65" s="472" t="s">
        <v>73</v>
      </c>
      <c r="AP65" s="478">
        <v>5000</v>
      </c>
      <c r="AQ65" s="478">
        <v>5000</v>
      </c>
      <c r="AR65" s="472"/>
      <c r="AS65" s="472"/>
      <c r="AT65" s="472"/>
      <c r="AU65" s="472"/>
      <c r="AV65" s="472"/>
      <c r="AW65" s="472"/>
      <c r="AX65" s="30">
        <v>10000</v>
      </c>
      <c r="AY65" s="479" t="s">
        <v>7</v>
      </c>
      <c r="AZ65" s="474" t="s">
        <v>74</v>
      </c>
      <c r="BA65" s="474"/>
      <c r="BB65" s="480"/>
      <c r="BC65" s="480"/>
      <c r="BK65" s="481" t="s">
        <v>790</v>
      </c>
      <c r="BL65" s="481" t="s">
        <v>791</v>
      </c>
      <c r="BM65" s="284" t="s">
        <v>792</v>
      </c>
      <c r="BN65" s="414" t="s">
        <v>793</v>
      </c>
      <c r="BO65" s="284" t="s">
        <v>794</v>
      </c>
      <c r="BP65" s="285">
        <v>46134</v>
      </c>
      <c r="BQ65" s="482"/>
      <c r="BR65" s="963" t="s">
        <v>1024</v>
      </c>
      <c r="BS65" s="482"/>
      <c r="BT65" s="286" t="s">
        <v>796</v>
      </c>
      <c r="BU65" s="482" t="s">
        <v>797</v>
      </c>
      <c r="BV65" s="414" t="s">
        <v>895</v>
      </c>
      <c r="BW65" s="284" t="s">
        <v>1025</v>
      </c>
      <c r="BX65" s="284" t="s">
        <v>1026</v>
      </c>
      <c r="BY65" s="284">
        <v>42545681</v>
      </c>
      <c r="BZ65" s="284"/>
      <c r="CA65" s="288">
        <v>5000</v>
      </c>
      <c r="CB65" s="483">
        <v>46143</v>
      </c>
      <c r="CC65" s="483">
        <v>46203</v>
      </c>
      <c r="CD65" s="759"/>
      <c r="CE65" s="485">
        <f t="shared" si="189"/>
        <v>30</v>
      </c>
      <c r="CF65" s="484">
        <f t="shared" si="190"/>
        <v>5000</v>
      </c>
      <c r="CG65" s="485">
        <v>30</v>
      </c>
      <c r="CH65" s="485">
        <f t="shared" si="191"/>
        <v>5000</v>
      </c>
      <c r="CI65" s="485">
        <v>30</v>
      </c>
      <c r="CJ65" s="485">
        <f t="shared" si="192"/>
        <v>5000</v>
      </c>
      <c r="CK65" s="484">
        <f t="shared" si="193"/>
        <v>0</v>
      </c>
      <c r="CL65" s="484">
        <f t="shared" si="194"/>
        <v>0</v>
      </c>
      <c r="CM65" s="1006"/>
      <c r="CN65" s="485">
        <f t="shared" si="195"/>
        <v>30</v>
      </c>
      <c r="CO65" s="484">
        <f t="shared" si="196"/>
        <v>5000</v>
      </c>
      <c r="CP65" s="485">
        <v>30</v>
      </c>
      <c r="CQ65" s="485">
        <f t="shared" si="197"/>
        <v>5000</v>
      </c>
      <c r="CR65" s="485">
        <v>30</v>
      </c>
      <c r="CS65" s="485">
        <f t="shared" si="198"/>
        <v>5000</v>
      </c>
      <c r="CT65" s="484">
        <f t="shared" si="199"/>
        <v>0</v>
      </c>
      <c r="CU65" s="484">
        <f t="shared" si="200"/>
        <v>0</v>
      </c>
      <c r="CV65" s="1006"/>
      <c r="CW65" s="1007">
        <f t="shared" si="12"/>
        <v>10000</v>
      </c>
      <c r="CX65" s="486">
        <f t="shared" si="13"/>
        <v>10000</v>
      </c>
      <c r="CY65" s="486">
        <f t="shared" si="14"/>
        <v>10000</v>
      </c>
      <c r="CZ65" s="1007">
        <f t="shared" si="15"/>
        <v>0</v>
      </c>
      <c r="DA65" s="1007">
        <f t="shared" si="16"/>
        <v>0</v>
      </c>
    </row>
    <row r="66" spans="1:108" s="81" customFormat="1" ht="51" hidden="1" x14ac:dyDescent="0.25">
      <c r="A66" s="897">
        <v>2026</v>
      </c>
      <c r="B66" s="897">
        <v>479</v>
      </c>
      <c r="C66" s="897" t="s">
        <v>64</v>
      </c>
      <c r="D66" s="897" t="s">
        <v>65</v>
      </c>
      <c r="E66" s="897">
        <v>125</v>
      </c>
      <c r="F66" s="897">
        <v>3000654</v>
      </c>
      <c r="G66" s="897">
        <v>5005023</v>
      </c>
      <c r="H66" s="897">
        <v>3</v>
      </c>
      <c r="I66" s="897">
        <v>12</v>
      </c>
      <c r="J66" s="897">
        <v>24</v>
      </c>
      <c r="K66" s="897">
        <v>135560</v>
      </c>
      <c r="L66" s="897" t="s">
        <v>66</v>
      </c>
      <c r="M66" s="898" t="s">
        <v>67</v>
      </c>
      <c r="N66" s="897">
        <v>95</v>
      </c>
      <c r="O66" s="899"/>
      <c r="P66" s="899" t="s">
        <v>4</v>
      </c>
      <c r="Q66" s="897" t="s">
        <v>68</v>
      </c>
      <c r="R66" s="897" t="s">
        <v>69</v>
      </c>
      <c r="S66" s="897" t="s">
        <v>137</v>
      </c>
      <c r="T66" s="897"/>
      <c r="U66" s="898" t="s">
        <v>175</v>
      </c>
      <c r="V66" s="897" t="s">
        <v>3</v>
      </c>
      <c r="W66" s="900">
        <v>1</v>
      </c>
      <c r="X66" s="901">
        <v>5000</v>
      </c>
      <c r="Y66" s="899"/>
      <c r="Z66" s="899"/>
      <c r="AA66" s="899"/>
      <c r="AB66" s="899"/>
      <c r="AC66" s="897">
        <v>30</v>
      </c>
      <c r="AD66" s="897">
        <v>30</v>
      </c>
      <c r="AE66" s="888"/>
      <c r="AF66" s="888"/>
      <c r="AG66" s="888"/>
      <c r="AH66" s="888"/>
      <c r="AI66" s="888"/>
      <c r="AJ66" s="888"/>
      <c r="AK66" s="902">
        <v>10000</v>
      </c>
      <c r="AL66" s="897" t="s">
        <v>73</v>
      </c>
      <c r="AM66" s="897" t="s">
        <v>73</v>
      </c>
      <c r="AN66" s="897" t="s">
        <v>73</v>
      </c>
      <c r="AO66" s="897" t="s">
        <v>73</v>
      </c>
      <c r="AP66" s="903">
        <v>5000</v>
      </c>
      <c r="AQ66" s="903">
        <v>5000</v>
      </c>
      <c r="AR66" s="897"/>
      <c r="AS66" s="897"/>
      <c r="AT66" s="897"/>
      <c r="AU66" s="897"/>
      <c r="AV66" s="897"/>
      <c r="AW66" s="897"/>
      <c r="AX66" s="905">
        <v>10000</v>
      </c>
      <c r="AY66" s="904" t="s">
        <v>7</v>
      </c>
      <c r="AZ66" s="899" t="s">
        <v>74</v>
      </c>
      <c r="BA66" s="899"/>
      <c r="BB66" s="480"/>
      <c r="BC66" s="480"/>
      <c r="BD66"/>
      <c r="BE66"/>
      <c r="BF66"/>
      <c r="BG66"/>
      <c r="BH66"/>
      <c r="BI66"/>
      <c r="BJ66"/>
      <c r="BK66" s="906" t="s">
        <v>790</v>
      </c>
      <c r="BL66" s="906" t="s">
        <v>791</v>
      </c>
      <c r="BM66" s="892" t="s">
        <v>792</v>
      </c>
      <c r="BN66" s="907" t="s">
        <v>793</v>
      </c>
      <c r="BO66" s="892" t="s">
        <v>794</v>
      </c>
      <c r="BP66" s="908">
        <v>46134</v>
      </c>
      <c r="BQ66" s="890"/>
      <c r="BR66" s="964" t="s">
        <v>1027</v>
      </c>
      <c r="BS66" s="894"/>
      <c r="BT66" s="894" t="s">
        <v>796</v>
      </c>
      <c r="BU66" s="482" t="s">
        <v>797</v>
      </c>
      <c r="BV66" s="907" t="s">
        <v>1028</v>
      </c>
      <c r="BW66" s="892" t="s">
        <v>880</v>
      </c>
      <c r="BX66" s="893" t="s">
        <v>1029</v>
      </c>
      <c r="BY66" s="893">
        <v>41908372</v>
      </c>
      <c r="BZ66" s="889"/>
      <c r="CA66" s="895">
        <v>5000</v>
      </c>
      <c r="CB66" s="891">
        <v>46143</v>
      </c>
      <c r="CC66" s="891">
        <v>46203</v>
      </c>
      <c r="CD66" s="896"/>
      <c r="CE66" s="485">
        <f t="shared" si="29"/>
        <v>30</v>
      </c>
      <c r="CF66" s="484">
        <f t="shared" si="30"/>
        <v>5000</v>
      </c>
      <c r="CG66" s="485">
        <v>30</v>
      </c>
      <c r="CH66" s="485">
        <f t="shared" si="31"/>
        <v>5000</v>
      </c>
      <c r="CI66" s="485">
        <v>30</v>
      </c>
      <c r="CJ66" s="485">
        <f t="shared" si="32"/>
        <v>5000</v>
      </c>
      <c r="CK66" s="484">
        <f t="shared" si="33"/>
        <v>0</v>
      </c>
      <c r="CL66" s="484">
        <f t="shared" si="34"/>
        <v>0</v>
      </c>
      <c r="CM66" s="1028"/>
      <c r="CN66" s="485">
        <f t="shared" si="35"/>
        <v>30</v>
      </c>
      <c r="CO66" s="484">
        <f t="shared" si="36"/>
        <v>5000</v>
      </c>
      <c r="CP66" s="485">
        <v>30</v>
      </c>
      <c r="CQ66" s="485">
        <f t="shared" si="37"/>
        <v>5000</v>
      </c>
      <c r="CR66" s="485">
        <v>30</v>
      </c>
      <c r="CS66" s="485">
        <f t="shared" si="38"/>
        <v>5000</v>
      </c>
      <c r="CT66" s="484">
        <f t="shared" si="39"/>
        <v>0</v>
      </c>
      <c r="CU66" s="484">
        <f t="shared" si="40"/>
        <v>0</v>
      </c>
      <c r="CV66" s="1028"/>
      <c r="CW66" s="1007">
        <f t="shared" si="12"/>
        <v>10000</v>
      </c>
      <c r="CX66" s="486">
        <f t="shared" si="13"/>
        <v>10000</v>
      </c>
      <c r="CY66" s="486">
        <f t="shared" si="14"/>
        <v>10000</v>
      </c>
      <c r="CZ66" s="1007">
        <f t="shared" si="15"/>
        <v>0</v>
      </c>
      <c r="DA66" s="1007">
        <f t="shared" si="16"/>
        <v>0</v>
      </c>
      <c r="DB66"/>
      <c r="DC66"/>
      <c r="DD66" s="94"/>
    </row>
    <row r="67" spans="1:108" ht="51" hidden="1" x14ac:dyDescent="0.25">
      <c r="A67" s="472">
        <v>2026</v>
      </c>
      <c r="B67" s="472">
        <v>479</v>
      </c>
      <c r="C67" s="472" t="s">
        <v>64</v>
      </c>
      <c r="D67" s="472" t="s">
        <v>65</v>
      </c>
      <c r="E67" s="472">
        <v>125</v>
      </c>
      <c r="F67" s="472">
        <v>3000654</v>
      </c>
      <c r="G67" s="472">
        <v>5005023</v>
      </c>
      <c r="H67" s="472">
        <v>3</v>
      </c>
      <c r="I67" s="472">
        <v>12</v>
      </c>
      <c r="J67" s="472">
        <v>24</v>
      </c>
      <c r="K67" s="472">
        <v>135560</v>
      </c>
      <c r="L67" s="472" t="s">
        <v>82</v>
      </c>
      <c r="M67" s="124" t="s">
        <v>83</v>
      </c>
      <c r="N67" s="19">
        <v>96</v>
      </c>
      <c r="O67" s="474"/>
      <c r="P67" s="474" t="s">
        <v>4</v>
      </c>
      <c r="Q67" s="472" t="s">
        <v>68</v>
      </c>
      <c r="R67" s="475" t="s">
        <v>69</v>
      </c>
      <c r="S67" s="475" t="s">
        <v>137</v>
      </c>
      <c r="T67" s="475"/>
      <c r="U67" s="124" t="s">
        <v>176</v>
      </c>
      <c r="V67" s="475" t="s">
        <v>3</v>
      </c>
      <c r="W67" s="121">
        <v>1</v>
      </c>
      <c r="X67" s="476">
        <v>6500</v>
      </c>
      <c r="Y67" s="474"/>
      <c r="Z67" s="474"/>
      <c r="AA67" s="474"/>
      <c r="AB67" s="474"/>
      <c r="AC67" s="475">
        <v>30</v>
      </c>
      <c r="AD67" s="475">
        <v>30</v>
      </c>
      <c r="AE67" s="474"/>
      <c r="AF67" s="474"/>
      <c r="AG67" s="474"/>
      <c r="AH67" s="474"/>
      <c r="AI67" s="474"/>
      <c r="AJ67" s="474"/>
      <c r="AK67" s="477">
        <v>13000</v>
      </c>
      <c r="AL67" s="29"/>
      <c r="AM67" s="29"/>
      <c r="AN67" s="29"/>
      <c r="AO67" s="29"/>
      <c r="AP67" s="478">
        <v>6500</v>
      </c>
      <c r="AQ67" s="478">
        <v>6500</v>
      </c>
      <c r="AR67" s="472" t="s">
        <v>73</v>
      </c>
      <c r="AS67" s="472" t="s">
        <v>73</v>
      </c>
      <c r="AT67" s="472" t="s">
        <v>73</v>
      </c>
      <c r="AU67" s="472" t="s">
        <v>73</v>
      </c>
      <c r="AV67" s="472" t="s">
        <v>73</v>
      </c>
      <c r="AW67" s="472" t="s">
        <v>73</v>
      </c>
      <c r="AX67" s="30">
        <v>13000</v>
      </c>
      <c r="AY67" s="536" t="s">
        <v>7</v>
      </c>
      <c r="AZ67" s="474" t="s">
        <v>74</v>
      </c>
      <c r="BA67" s="474"/>
      <c r="BB67" s="480"/>
      <c r="BC67" s="480"/>
      <c r="BK67" s="481" t="s">
        <v>790</v>
      </c>
      <c r="BL67" s="481" t="s">
        <v>791</v>
      </c>
      <c r="BM67" s="284" t="s">
        <v>792</v>
      </c>
      <c r="BN67" s="414" t="s">
        <v>793</v>
      </c>
      <c r="BO67" s="284" t="s">
        <v>794</v>
      </c>
      <c r="BP67" s="285">
        <v>46134</v>
      </c>
      <c r="BQ67" s="482"/>
      <c r="BR67" s="963" t="s">
        <v>1030</v>
      </c>
      <c r="BS67" s="482"/>
      <c r="BT67" s="286" t="s">
        <v>796</v>
      </c>
      <c r="BU67" s="482" t="s">
        <v>797</v>
      </c>
      <c r="BV67" s="284" t="s">
        <v>1031</v>
      </c>
      <c r="BW67" s="284" t="s">
        <v>1032</v>
      </c>
      <c r="BX67" s="284" t="s">
        <v>1033</v>
      </c>
      <c r="BY67" s="284">
        <v>41200743</v>
      </c>
      <c r="BZ67" s="284"/>
      <c r="CA67" s="288">
        <v>6500</v>
      </c>
      <c r="CB67" s="483">
        <v>46143</v>
      </c>
      <c r="CC67" s="483">
        <v>46203</v>
      </c>
      <c r="CD67" s="759"/>
      <c r="CE67" s="485">
        <f t="shared" ref="CE67" si="201">AC67</f>
        <v>30</v>
      </c>
      <c r="CF67" s="484">
        <f t="shared" ref="CF67" si="202">AP67</f>
        <v>6500</v>
      </c>
      <c r="CG67" s="485">
        <v>30</v>
      </c>
      <c r="CH67" s="485">
        <f t="shared" ref="CH67" si="203">(X67/30)*CG67</f>
        <v>6500</v>
      </c>
      <c r="CI67" s="485">
        <v>30</v>
      </c>
      <c r="CJ67" s="485">
        <f t="shared" ref="CJ67" si="204">(X67/30)*CI67</f>
        <v>6500</v>
      </c>
      <c r="CK67" s="484">
        <f t="shared" ref="CK67" si="205">CF67-CH67</f>
        <v>0</v>
      </c>
      <c r="CL67" s="484">
        <f t="shared" ref="CL67" si="206">CF67-CJ67</f>
        <v>0</v>
      </c>
      <c r="CM67" s="1006"/>
      <c r="CN67" s="485">
        <f t="shared" ref="CN67" si="207">AD67</f>
        <v>30</v>
      </c>
      <c r="CO67" s="484">
        <f t="shared" ref="CO67" si="208">AQ67</f>
        <v>6500</v>
      </c>
      <c r="CP67" s="485">
        <v>30</v>
      </c>
      <c r="CQ67" s="485">
        <f t="shared" ref="CQ67" si="209">(X67/30)*CP67</f>
        <v>6500</v>
      </c>
      <c r="CR67" s="485">
        <v>30</v>
      </c>
      <c r="CS67" s="485">
        <f t="shared" ref="CS67" si="210">(X67/30)*CR67</f>
        <v>6500</v>
      </c>
      <c r="CT67" s="484">
        <f t="shared" ref="CT67" si="211">CO67-CQ67</f>
        <v>0</v>
      </c>
      <c r="CU67" s="484">
        <f t="shared" ref="CU67" si="212">CO67-CS67</f>
        <v>0</v>
      </c>
      <c r="CV67" s="1006"/>
      <c r="CW67" s="1007">
        <f t="shared" si="12"/>
        <v>13000</v>
      </c>
      <c r="CX67" s="486">
        <f t="shared" si="13"/>
        <v>13000</v>
      </c>
      <c r="CY67" s="486">
        <f t="shared" si="14"/>
        <v>13000</v>
      </c>
      <c r="CZ67" s="1007">
        <f t="shared" si="15"/>
        <v>0</v>
      </c>
      <c r="DA67" s="1007">
        <f t="shared" si="16"/>
        <v>0</v>
      </c>
    </row>
    <row r="68" spans="1:108" s="81" customFormat="1" ht="51" hidden="1" x14ac:dyDescent="0.25">
      <c r="A68" s="537">
        <v>2026</v>
      </c>
      <c r="B68" s="537">
        <v>479</v>
      </c>
      <c r="C68" s="537" t="s">
        <v>64</v>
      </c>
      <c r="D68" s="537" t="s">
        <v>65</v>
      </c>
      <c r="E68" s="537">
        <v>125</v>
      </c>
      <c r="F68" s="537">
        <v>3000654</v>
      </c>
      <c r="G68" s="537">
        <v>5005023</v>
      </c>
      <c r="H68" s="537">
        <v>3</v>
      </c>
      <c r="I68" s="537">
        <v>12</v>
      </c>
      <c r="J68" s="537">
        <v>24</v>
      </c>
      <c r="K68" s="537">
        <v>135560</v>
      </c>
      <c r="L68" s="537" t="s">
        <v>82</v>
      </c>
      <c r="M68" s="538" t="s">
        <v>83</v>
      </c>
      <c r="N68" s="537">
        <v>96</v>
      </c>
      <c r="O68" s="539"/>
      <c r="P68" s="539" t="s">
        <v>4</v>
      </c>
      <c r="Q68" s="537" t="s">
        <v>68</v>
      </c>
      <c r="R68" s="540" t="s">
        <v>69</v>
      </c>
      <c r="S68" s="540" t="s">
        <v>137</v>
      </c>
      <c r="T68" s="540"/>
      <c r="U68" s="538" t="s">
        <v>176</v>
      </c>
      <c r="V68" s="540" t="s">
        <v>3</v>
      </c>
      <c r="W68" s="541">
        <v>1</v>
      </c>
      <c r="X68" s="542">
        <v>6500</v>
      </c>
      <c r="Y68" s="543"/>
      <c r="Z68" s="543"/>
      <c r="AA68" s="543"/>
      <c r="AB68" s="543"/>
      <c r="AC68" s="540">
        <v>30</v>
      </c>
      <c r="AD68" s="540">
        <v>30</v>
      </c>
      <c r="AE68" s="543"/>
      <c r="AF68" s="543"/>
      <c r="AG68" s="543"/>
      <c r="AH68" s="543"/>
      <c r="AI68" s="543"/>
      <c r="AJ68" s="543"/>
      <c r="AK68" s="501">
        <v>13000</v>
      </c>
      <c r="AL68" s="173" t="s">
        <v>73</v>
      </c>
      <c r="AM68" s="173" t="s">
        <v>73</v>
      </c>
      <c r="AN68" s="173" t="s">
        <v>73</v>
      </c>
      <c r="AO68" s="173" t="s">
        <v>73</v>
      </c>
      <c r="AP68" s="502">
        <v>6500</v>
      </c>
      <c r="AQ68" s="502">
        <v>6500</v>
      </c>
      <c r="AR68" s="537" t="s">
        <v>73</v>
      </c>
      <c r="AS68" s="537" t="s">
        <v>73</v>
      </c>
      <c r="AT68" s="537" t="s">
        <v>73</v>
      </c>
      <c r="AU68" s="537" t="s">
        <v>73</v>
      </c>
      <c r="AV68" s="537" t="s">
        <v>73</v>
      </c>
      <c r="AW68" s="537" t="s">
        <v>73</v>
      </c>
      <c r="AX68" s="174">
        <v>13000</v>
      </c>
      <c r="AY68" s="544" t="s">
        <v>7</v>
      </c>
      <c r="AZ68" s="539" t="s">
        <v>74</v>
      </c>
      <c r="BA68" s="539"/>
      <c r="BB68" s="545"/>
      <c r="BC68" s="480"/>
      <c r="BD68"/>
      <c r="BE68"/>
      <c r="BF68"/>
      <c r="BG68"/>
      <c r="BH68"/>
      <c r="BI68"/>
      <c r="BK68" s="481" t="s">
        <v>802</v>
      </c>
      <c r="BL68" s="546" t="s">
        <v>803</v>
      </c>
      <c r="BM68" s="287"/>
      <c r="BN68" s="547"/>
      <c r="BO68" s="287"/>
      <c r="BP68" s="548"/>
      <c r="BQ68" s="482"/>
      <c r="BR68" s="482"/>
      <c r="BS68" s="482"/>
      <c r="BT68" s="482"/>
      <c r="BU68" s="482"/>
      <c r="BV68" s="287"/>
      <c r="BW68" s="287"/>
      <c r="BX68" s="287"/>
      <c r="BY68" s="287"/>
      <c r="BZ68" s="287"/>
      <c r="CA68" s="549"/>
      <c r="CB68" s="550"/>
      <c r="CC68" s="550"/>
      <c r="CD68" s="759"/>
      <c r="CE68" s="485">
        <f t="shared" si="29"/>
        <v>30</v>
      </c>
      <c r="CF68" s="484">
        <f t="shared" si="30"/>
        <v>6500</v>
      </c>
      <c r="CG68" s="485"/>
      <c r="CH68" s="485">
        <f t="shared" si="31"/>
        <v>0</v>
      </c>
      <c r="CI68" s="485"/>
      <c r="CJ68" s="485">
        <f t="shared" si="32"/>
        <v>0</v>
      </c>
      <c r="CK68" s="484">
        <f t="shared" si="33"/>
        <v>6500</v>
      </c>
      <c r="CL68" s="484">
        <f t="shared" si="34"/>
        <v>6500</v>
      </c>
      <c r="CM68" s="1006"/>
      <c r="CN68" s="1013">
        <f t="shared" si="35"/>
        <v>30</v>
      </c>
      <c r="CO68" s="1003">
        <f t="shared" si="36"/>
        <v>6500</v>
      </c>
      <c r="CP68" s="1013"/>
      <c r="CQ68" s="1013">
        <f t="shared" si="37"/>
        <v>0</v>
      </c>
      <c r="CR68" s="1013"/>
      <c r="CS68" s="1013">
        <f t="shared" si="38"/>
        <v>0</v>
      </c>
      <c r="CT68" s="1003">
        <f t="shared" si="39"/>
        <v>6500</v>
      </c>
      <c r="CU68" s="1003">
        <f t="shared" si="40"/>
        <v>6500</v>
      </c>
      <c r="CV68" s="1006"/>
      <c r="CW68" s="1014">
        <f t="shared" si="12"/>
        <v>13000</v>
      </c>
      <c r="CX68" s="1015">
        <f t="shared" si="13"/>
        <v>0</v>
      </c>
      <c r="CY68" s="1015">
        <f t="shared" si="14"/>
        <v>0</v>
      </c>
      <c r="CZ68" s="1014">
        <f t="shared" si="15"/>
        <v>13000</v>
      </c>
      <c r="DA68" s="1014">
        <f t="shared" si="16"/>
        <v>13000</v>
      </c>
    </row>
    <row r="69" spans="1:108" ht="51" hidden="1" x14ac:dyDescent="0.25">
      <c r="A69" s="472">
        <v>2026</v>
      </c>
      <c r="B69" s="472">
        <v>479</v>
      </c>
      <c r="C69" s="472" t="s">
        <v>64</v>
      </c>
      <c r="D69" s="472" t="s">
        <v>65</v>
      </c>
      <c r="E69" s="472">
        <v>125</v>
      </c>
      <c r="F69" s="472">
        <v>3000654</v>
      </c>
      <c r="G69" s="472">
        <v>5005023</v>
      </c>
      <c r="H69" s="472">
        <v>3</v>
      </c>
      <c r="I69" s="472">
        <v>12</v>
      </c>
      <c r="J69" s="472">
        <v>24</v>
      </c>
      <c r="K69" s="472">
        <v>135560</v>
      </c>
      <c r="L69" s="472" t="s">
        <v>66</v>
      </c>
      <c r="M69" s="124" t="s">
        <v>67</v>
      </c>
      <c r="N69" s="472">
        <v>95</v>
      </c>
      <c r="O69" s="474"/>
      <c r="P69" s="474" t="s">
        <v>4</v>
      </c>
      <c r="Q69" s="472" t="s">
        <v>68</v>
      </c>
      <c r="R69" s="475" t="s">
        <v>69</v>
      </c>
      <c r="S69" s="475" t="s">
        <v>137</v>
      </c>
      <c r="T69" s="475"/>
      <c r="U69" s="124" t="s">
        <v>178</v>
      </c>
      <c r="V69" s="475" t="s">
        <v>3</v>
      </c>
      <c r="W69" s="121">
        <v>1</v>
      </c>
      <c r="X69" s="476">
        <v>5000</v>
      </c>
      <c r="Y69" s="474"/>
      <c r="Z69" s="474"/>
      <c r="AA69" s="474"/>
      <c r="AB69" s="474"/>
      <c r="AC69" s="475">
        <v>30</v>
      </c>
      <c r="AD69" s="475">
        <v>30</v>
      </c>
      <c r="AE69" s="474"/>
      <c r="AF69" s="474"/>
      <c r="AG69" s="474"/>
      <c r="AH69" s="474"/>
      <c r="AI69" s="474"/>
      <c r="AJ69" s="474"/>
      <c r="AK69" s="477">
        <v>10000</v>
      </c>
      <c r="AL69" s="472" t="s">
        <v>73</v>
      </c>
      <c r="AM69" s="472" t="s">
        <v>73</v>
      </c>
      <c r="AN69" s="472" t="s">
        <v>73</v>
      </c>
      <c r="AO69" s="472" t="s">
        <v>73</v>
      </c>
      <c r="AP69" s="478">
        <v>5000</v>
      </c>
      <c r="AQ69" s="478">
        <v>5000</v>
      </c>
      <c r="AR69" s="472" t="s">
        <v>73</v>
      </c>
      <c r="AS69" s="472" t="s">
        <v>73</v>
      </c>
      <c r="AT69" s="472" t="s">
        <v>73</v>
      </c>
      <c r="AU69" s="472" t="s">
        <v>73</v>
      </c>
      <c r="AV69" s="472" t="s">
        <v>73</v>
      </c>
      <c r="AW69" s="472" t="s">
        <v>73</v>
      </c>
      <c r="AX69" s="30">
        <v>10000</v>
      </c>
      <c r="AY69" s="479" t="s">
        <v>7</v>
      </c>
      <c r="AZ69" s="474" t="s">
        <v>74</v>
      </c>
      <c r="BA69" s="474"/>
      <c r="BB69" s="480"/>
      <c r="BC69" s="480"/>
      <c r="BK69" s="481" t="s">
        <v>790</v>
      </c>
      <c r="BL69" s="481" t="s">
        <v>791</v>
      </c>
      <c r="BM69" s="284" t="s">
        <v>792</v>
      </c>
      <c r="BN69" s="414" t="s">
        <v>793</v>
      </c>
      <c r="BO69" s="284" t="s">
        <v>794</v>
      </c>
      <c r="BP69" s="285">
        <v>46134</v>
      </c>
      <c r="BQ69" s="482"/>
      <c r="BR69" s="963" t="s">
        <v>1034</v>
      </c>
      <c r="BS69" s="482"/>
      <c r="BT69" s="286" t="s">
        <v>796</v>
      </c>
      <c r="BU69" s="482" t="s">
        <v>797</v>
      </c>
      <c r="BV69" s="414" t="s">
        <v>1035</v>
      </c>
      <c r="BW69" s="284" t="s">
        <v>1036</v>
      </c>
      <c r="BX69" s="284" t="s">
        <v>1037</v>
      </c>
      <c r="BY69" s="284">
        <v>45847853</v>
      </c>
      <c r="BZ69" s="284"/>
      <c r="CA69" s="288">
        <v>5000</v>
      </c>
      <c r="CB69" s="483">
        <v>46143</v>
      </c>
      <c r="CC69" s="483">
        <v>46203</v>
      </c>
      <c r="CD69" s="759"/>
      <c r="CE69" s="485">
        <f t="shared" ref="CE69:CE74" si="213">AC69</f>
        <v>30</v>
      </c>
      <c r="CF69" s="484">
        <f t="shared" ref="CF69:CF74" si="214">AP69</f>
        <v>5000</v>
      </c>
      <c r="CG69" s="485">
        <v>30</v>
      </c>
      <c r="CH69" s="485">
        <f t="shared" ref="CH69:CH74" si="215">(X69/30)*CG69</f>
        <v>5000</v>
      </c>
      <c r="CI69" s="485">
        <v>30</v>
      </c>
      <c r="CJ69" s="485">
        <f t="shared" ref="CJ69:CJ74" si="216">(X69/30)*CI69</f>
        <v>5000</v>
      </c>
      <c r="CK69" s="484">
        <f t="shared" ref="CK69:CK74" si="217">CF69-CH69</f>
        <v>0</v>
      </c>
      <c r="CL69" s="484">
        <f t="shared" ref="CL69:CL74" si="218">CF69-CJ69</f>
        <v>0</v>
      </c>
      <c r="CM69" s="1006"/>
      <c r="CN69" s="485">
        <f t="shared" ref="CN69:CN74" si="219">AD69</f>
        <v>30</v>
      </c>
      <c r="CO69" s="484">
        <f t="shared" ref="CO69:CO74" si="220">AQ69</f>
        <v>5000</v>
      </c>
      <c r="CP69" s="485">
        <v>30</v>
      </c>
      <c r="CQ69" s="485">
        <f t="shared" ref="CQ69:CQ74" si="221">(X69/30)*CP69</f>
        <v>5000</v>
      </c>
      <c r="CR69" s="485">
        <v>30</v>
      </c>
      <c r="CS69" s="485">
        <f t="shared" ref="CS69:CS74" si="222">(X69/30)*CR69</f>
        <v>5000</v>
      </c>
      <c r="CT69" s="484">
        <f t="shared" ref="CT69:CT74" si="223">CO69-CQ69</f>
        <v>0</v>
      </c>
      <c r="CU69" s="484">
        <f t="shared" ref="CU69:CU74" si="224">CO69-CS69</f>
        <v>0</v>
      </c>
      <c r="CV69" s="1006"/>
      <c r="CW69" s="1007">
        <f t="shared" ref="CW69:CW132" si="225">AX69</f>
        <v>10000</v>
      </c>
      <c r="CX69" s="486">
        <f t="shared" ref="CX69:CX132" si="226">CH69+CQ69</f>
        <v>10000</v>
      </c>
      <c r="CY69" s="486">
        <f t="shared" ref="CY69:CY132" si="227">CJ69+CS69</f>
        <v>10000</v>
      </c>
      <c r="CZ69" s="1007">
        <f t="shared" ref="CZ69:CZ132" si="228">CW69-CX69</f>
        <v>0</v>
      </c>
      <c r="DA69" s="1007">
        <f t="shared" ref="DA69:DA132" si="229">CW69-CY69</f>
        <v>0</v>
      </c>
    </row>
    <row r="70" spans="1:108" ht="51" hidden="1" x14ac:dyDescent="0.25">
      <c r="A70" s="472">
        <v>2026</v>
      </c>
      <c r="B70" s="472">
        <v>479</v>
      </c>
      <c r="C70" s="472" t="s">
        <v>64</v>
      </c>
      <c r="D70" s="472" t="s">
        <v>65</v>
      </c>
      <c r="E70" s="472">
        <v>125</v>
      </c>
      <c r="F70" s="472">
        <v>3000654</v>
      </c>
      <c r="G70" s="472">
        <v>5005023</v>
      </c>
      <c r="H70" s="472">
        <v>3</v>
      </c>
      <c r="I70" s="472">
        <v>12</v>
      </c>
      <c r="J70" s="472">
        <v>24</v>
      </c>
      <c r="K70" s="472">
        <v>135560</v>
      </c>
      <c r="L70" s="472" t="s">
        <v>66</v>
      </c>
      <c r="M70" s="124" t="s">
        <v>67</v>
      </c>
      <c r="N70" s="472">
        <v>95</v>
      </c>
      <c r="O70" s="474"/>
      <c r="P70" s="474" t="s">
        <v>4</v>
      </c>
      <c r="Q70" s="472" t="s">
        <v>68</v>
      </c>
      <c r="R70" s="475" t="s">
        <v>69</v>
      </c>
      <c r="S70" s="475" t="s">
        <v>137</v>
      </c>
      <c r="T70" s="475"/>
      <c r="U70" s="124" t="s">
        <v>178</v>
      </c>
      <c r="V70" s="475" t="s">
        <v>3</v>
      </c>
      <c r="W70" s="121">
        <v>1</v>
      </c>
      <c r="X70" s="476">
        <v>5000</v>
      </c>
      <c r="Y70" s="474"/>
      <c r="Z70" s="474"/>
      <c r="AA70" s="474"/>
      <c r="AB70" s="474"/>
      <c r="AC70" s="475">
        <v>30</v>
      </c>
      <c r="AD70" s="475">
        <v>30</v>
      </c>
      <c r="AE70" s="474"/>
      <c r="AF70" s="474"/>
      <c r="AG70" s="474"/>
      <c r="AH70" s="474"/>
      <c r="AI70" s="474"/>
      <c r="AJ70" s="474"/>
      <c r="AK70" s="477">
        <v>10000</v>
      </c>
      <c r="AL70" s="472" t="s">
        <v>73</v>
      </c>
      <c r="AM70" s="472" t="s">
        <v>73</v>
      </c>
      <c r="AN70" s="472" t="s">
        <v>73</v>
      </c>
      <c r="AO70" s="472" t="s">
        <v>73</v>
      </c>
      <c r="AP70" s="478">
        <v>5000</v>
      </c>
      <c r="AQ70" s="478">
        <v>5000</v>
      </c>
      <c r="AR70" s="472" t="s">
        <v>73</v>
      </c>
      <c r="AS70" s="472" t="s">
        <v>73</v>
      </c>
      <c r="AT70" s="472" t="s">
        <v>73</v>
      </c>
      <c r="AU70" s="472" t="s">
        <v>73</v>
      </c>
      <c r="AV70" s="472" t="s">
        <v>73</v>
      </c>
      <c r="AW70" s="472" t="s">
        <v>73</v>
      </c>
      <c r="AX70" s="30">
        <v>10000</v>
      </c>
      <c r="AY70" s="479" t="s">
        <v>7</v>
      </c>
      <c r="AZ70" s="474" t="s">
        <v>74</v>
      </c>
      <c r="BA70" s="474"/>
      <c r="BB70" s="480"/>
      <c r="BC70" s="480"/>
      <c r="BK70" s="481" t="s">
        <v>790</v>
      </c>
      <c r="BL70" s="481" t="s">
        <v>791</v>
      </c>
      <c r="BM70" s="284" t="s">
        <v>792</v>
      </c>
      <c r="BN70" s="414" t="s">
        <v>793</v>
      </c>
      <c r="BO70" s="284" t="s">
        <v>794</v>
      </c>
      <c r="BP70" s="285">
        <v>46134</v>
      </c>
      <c r="BQ70" s="482"/>
      <c r="BR70" s="963" t="s">
        <v>1038</v>
      </c>
      <c r="BS70" s="482"/>
      <c r="BT70" s="286" t="s">
        <v>796</v>
      </c>
      <c r="BU70" s="482" t="s">
        <v>797</v>
      </c>
      <c r="BV70" s="414" t="s">
        <v>1039</v>
      </c>
      <c r="BW70" s="284" t="s">
        <v>1040</v>
      </c>
      <c r="BX70" s="284" t="s">
        <v>1041</v>
      </c>
      <c r="BY70" s="284">
        <v>45558213</v>
      </c>
      <c r="BZ70" s="284"/>
      <c r="CA70" s="288">
        <v>5000</v>
      </c>
      <c r="CB70" s="483">
        <v>46143</v>
      </c>
      <c r="CC70" s="483">
        <v>46203</v>
      </c>
      <c r="CD70" s="759"/>
      <c r="CE70" s="485">
        <f t="shared" si="213"/>
        <v>30</v>
      </c>
      <c r="CF70" s="484">
        <f t="shared" si="214"/>
        <v>5000</v>
      </c>
      <c r="CG70" s="485">
        <v>30</v>
      </c>
      <c r="CH70" s="485">
        <f t="shared" si="215"/>
        <v>5000</v>
      </c>
      <c r="CI70" s="485">
        <v>30</v>
      </c>
      <c r="CJ70" s="485">
        <f t="shared" si="216"/>
        <v>5000</v>
      </c>
      <c r="CK70" s="484">
        <f t="shared" si="217"/>
        <v>0</v>
      </c>
      <c r="CL70" s="484">
        <f t="shared" si="218"/>
        <v>0</v>
      </c>
      <c r="CM70" s="1006"/>
      <c r="CN70" s="485">
        <f t="shared" si="219"/>
        <v>30</v>
      </c>
      <c r="CO70" s="484">
        <f t="shared" si="220"/>
        <v>5000</v>
      </c>
      <c r="CP70" s="485">
        <v>30</v>
      </c>
      <c r="CQ70" s="485">
        <f t="shared" si="221"/>
        <v>5000</v>
      </c>
      <c r="CR70" s="485">
        <v>30</v>
      </c>
      <c r="CS70" s="485">
        <f t="shared" si="222"/>
        <v>5000</v>
      </c>
      <c r="CT70" s="484">
        <f t="shared" si="223"/>
        <v>0</v>
      </c>
      <c r="CU70" s="484">
        <f t="shared" si="224"/>
        <v>0</v>
      </c>
      <c r="CV70" s="1006"/>
      <c r="CW70" s="1007">
        <f t="shared" si="225"/>
        <v>10000</v>
      </c>
      <c r="CX70" s="486">
        <f t="shared" si="226"/>
        <v>10000</v>
      </c>
      <c r="CY70" s="486">
        <f t="shared" si="227"/>
        <v>10000</v>
      </c>
      <c r="CZ70" s="1007">
        <f t="shared" si="228"/>
        <v>0</v>
      </c>
      <c r="DA70" s="1007">
        <f t="shared" si="229"/>
        <v>0</v>
      </c>
    </row>
    <row r="71" spans="1:108" ht="51" hidden="1" x14ac:dyDescent="0.25">
      <c r="A71" s="472">
        <v>2026</v>
      </c>
      <c r="B71" s="472">
        <v>479</v>
      </c>
      <c r="C71" s="472" t="s">
        <v>64</v>
      </c>
      <c r="D71" s="472" t="s">
        <v>65</v>
      </c>
      <c r="E71" s="472">
        <v>125</v>
      </c>
      <c r="F71" s="472">
        <v>3000654</v>
      </c>
      <c r="G71" s="472">
        <v>5005023</v>
      </c>
      <c r="H71" s="472">
        <v>3</v>
      </c>
      <c r="I71" s="472">
        <v>12</v>
      </c>
      <c r="J71" s="472">
        <v>24</v>
      </c>
      <c r="K71" s="472">
        <v>135560</v>
      </c>
      <c r="L71" s="472" t="s">
        <v>66</v>
      </c>
      <c r="M71" s="124" t="s">
        <v>67</v>
      </c>
      <c r="N71" s="472">
        <v>95</v>
      </c>
      <c r="O71" s="474"/>
      <c r="P71" s="474" t="s">
        <v>4</v>
      </c>
      <c r="Q71" s="472" t="s">
        <v>68</v>
      </c>
      <c r="R71" s="475" t="s">
        <v>69</v>
      </c>
      <c r="S71" s="475" t="s">
        <v>137</v>
      </c>
      <c r="T71" s="475"/>
      <c r="U71" s="124" t="s">
        <v>178</v>
      </c>
      <c r="V71" s="475" t="s">
        <v>3</v>
      </c>
      <c r="W71" s="121">
        <v>1</v>
      </c>
      <c r="X71" s="476">
        <v>5000</v>
      </c>
      <c r="Y71" s="474"/>
      <c r="Z71" s="474"/>
      <c r="AA71" s="474"/>
      <c r="AB71" s="474"/>
      <c r="AC71" s="475">
        <v>30</v>
      </c>
      <c r="AD71" s="475">
        <v>30</v>
      </c>
      <c r="AE71" s="474"/>
      <c r="AF71" s="474"/>
      <c r="AG71" s="474"/>
      <c r="AH71" s="474"/>
      <c r="AI71" s="474"/>
      <c r="AJ71" s="474"/>
      <c r="AK71" s="477">
        <v>10000</v>
      </c>
      <c r="AL71" s="472" t="s">
        <v>73</v>
      </c>
      <c r="AM71" s="472" t="s">
        <v>73</v>
      </c>
      <c r="AN71" s="472" t="s">
        <v>73</v>
      </c>
      <c r="AO71" s="472" t="s">
        <v>73</v>
      </c>
      <c r="AP71" s="478">
        <v>5000</v>
      </c>
      <c r="AQ71" s="478">
        <v>5000</v>
      </c>
      <c r="AR71" s="472" t="s">
        <v>73</v>
      </c>
      <c r="AS71" s="472" t="s">
        <v>73</v>
      </c>
      <c r="AT71" s="472" t="s">
        <v>73</v>
      </c>
      <c r="AU71" s="472" t="s">
        <v>73</v>
      </c>
      <c r="AV71" s="472" t="s">
        <v>73</v>
      </c>
      <c r="AW71" s="472" t="s">
        <v>73</v>
      </c>
      <c r="AX71" s="30">
        <v>10000</v>
      </c>
      <c r="AY71" s="479" t="s">
        <v>7</v>
      </c>
      <c r="AZ71" s="474" t="s">
        <v>74</v>
      </c>
      <c r="BA71" s="474"/>
      <c r="BB71" s="480"/>
      <c r="BC71" s="480"/>
      <c r="BK71" s="481" t="s">
        <v>790</v>
      </c>
      <c r="BL71" s="481" t="s">
        <v>791</v>
      </c>
      <c r="BM71" s="284" t="s">
        <v>792</v>
      </c>
      <c r="BN71" s="414" t="s">
        <v>793</v>
      </c>
      <c r="BO71" s="284" t="s">
        <v>794</v>
      </c>
      <c r="BP71" s="285">
        <v>46134</v>
      </c>
      <c r="BQ71" s="482"/>
      <c r="BR71" s="963" t="s">
        <v>1042</v>
      </c>
      <c r="BS71" s="482"/>
      <c r="BT71" s="286" t="s">
        <v>796</v>
      </c>
      <c r="BU71" s="482" t="s">
        <v>797</v>
      </c>
      <c r="BV71" s="414" t="s">
        <v>886</v>
      </c>
      <c r="BW71" s="284" t="s">
        <v>1043</v>
      </c>
      <c r="BX71" s="284" t="s">
        <v>1044</v>
      </c>
      <c r="BY71" s="284">
        <v>10045517</v>
      </c>
      <c r="BZ71" s="284"/>
      <c r="CA71" s="288">
        <v>5000</v>
      </c>
      <c r="CB71" s="483">
        <v>46143</v>
      </c>
      <c r="CC71" s="483">
        <v>46203</v>
      </c>
      <c r="CD71" s="759"/>
      <c r="CE71" s="485">
        <f t="shared" si="213"/>
        <v>30</v>
      </c>
      <c r="CF71" s="484">
        <f t="shared" si="214"/>
        <v>5000</v>
      </c>
      <c r="CG71" s="485">
        <v>30</v>
      </c>
      <c r="CH71" s="485">
        <f t="shared" si="215"/>
        <v>5000</v>
      </c>
      <c r="CI71" s="485">
        <v>30</v>
      </c>
      <c r="CJ71" s="485">
        <f t="shared" si="216"/>
        <v>5000</v>
      </c>
      <c r="CK71" s="484">
        <f t="shared" si="217"/>
        <v>0</v>
      </c>
      <c r="CL71" s="484">
        <f t="shared" si="218"/>
        <v>0</v>
      </c>
      <c r="CM71" s="1006"/>
      <c r="CN71" s="485">
        <f t="shared" si="219"/>
        <v>30</v>
      </c>
      <c r="CO71" s="484">
        <f t="shared" si="220"/>
        <v>5000</v>
      </c>
      <c r="CP71" s="485">
        <v>30</v>
      </c>
      <c r="CQ71" s="485">
        <f t="shared" si="221"/>
        <v>5000</v>
      </c>
      <c r="CR71" s="485">
        <v>30</v>
      </c>
      <c r="CS71" s="485">
        <f t="shared" si="222"/>
        <v>5000</v>
      </c>
      <c r="CT71" s="484">
        <f t="shared" si="223"/>
        <v>0</v>
      </c>
      <c r="CU71" s="484">
        <f t="shared" si="224"/>
        <v>0</v>
      </c>
      <c r="CV71" s="1006"/>
      <c r="CW71" s="1007">
        <f t="shared" si="225"/>
        <v>10000</v>
      </c>
      <c r="CX71" s="486">
        <f t="shared" si="226"/>
        <v>10000</v>
      </c>
      <c r="CY71" s="486">
        <f t="shared" si="227"/>
        <v>10000</v>
      </c>
      <c r="CZ71" s="1007">
        <f t="shared" si="228"/>
        <v>0</v>
      </c>
      <c r="DA71" s="1007">
        <f t="shared" si="229"/>
        <v>0</v>
      </c>
    </row>
    <row r="72" spans="1:108" ht="51" hidden="1" x14ac:dyDescent="0.25">
      <c r="A72" s="472">
        <v>2026</v>
      </c>
      <c r="B72" s="472">
        <v>479</v>
      </c>
      <c r="C72" s="472" t="s">
        <v>64</v>
      </c>
      <c r="D72" s="472" t="s">
        <v>65</v>
      </c>
      <c r="E72" s="472">
        <v>125</v>
      </c>
      <c r="F72" s="472">
        <v>3000654</v>
      </c>
      <c r="G72" s="472">
        <v>5005023</v>
      </c>
      <c r="H72" s="472">
        <v>3</v>
      </c>
      <c r="I72" s="472">
        <v>12</v>
      </c>
      <c r="J72" s="472">
        <v>24</v>
      </c>
      <c r="K72" s="472">
        <v>135560</v>
      </c>
      <c r="L72" s="472" t="s">
        <v>66</v>
      </c>
      <c r="M72" s="124" t="s">
        <v>67</v>
      </c>
      <c r="N72" s="472">
        <v>95</v>
      </c>
      <c r="O72" s="474"/>
      <c r="P72" s="474" t="s">
        <v>4</v>
      </c>
      <c r="Q72" s="472" t="s">
        <v>68</v>
      </c>
      <c r="R72" s="475" t="s">
        <v>69</v>
      </c>
      <c r="S72" s="475" t="s">
        <v>137</v>
      </c>
      <c r="T72" s="475"/>
      <c r="U72" s="124" t="s">
        <v>178</v>
      </c>
      <c r="V72" s="475" t="s">
        <v>3</v>
      </c>
      <c r="W72" s="121">
        <v>1</v>
      </c>
      <c r="X72" s="476">
        <v>5000</v>
      </c>
      <c r="Y72" s="474"/>
      <c r="Z72" s="474"/>
      <c r="AA72" s="474"/>
      <c r="AB72" s="474"/>
      <c r="AC72" s="475">
        <v>30</v>
      </c>
      <c r="AD72" s="475">
        <v>30</v>
      </c>
      <c r="AE72" s="474"/>
      <c r="AF72" s="474"/>
      <c r="AG72" s="474"/>
      <c r="AH72" s="474"/>
      <c r="AI72" s="474"/>
      <c r="AJ72" s="474"/>
      <c r="AK72" s="477">
        <v>10000</v>
      </c>
      <c r="AL72" s="472" t="s">
        <v>73</v>
      </c>
      <c r="AM72" s="472" t="s">
        <v>73</v>
      </c>
      <c r="AN72" s="472" t="s">
        <v>73</v>
      </c>
      <c r="AO72" s="472" t="s">
        <v>73</v>
      </c>
      <c r="AP72" s="478">
        <v>5000</v>
      </c>
      <c r="AQ72" s="478">
        <v>5000</v>
      </c>
      <c r="AR72" s="472" t="s">
        <v>73</v>
      </c>
      <c r="AS72" s="472" t="s">
        <v>73</v>
      </c>
      <c r="AT72" s="472" t="s">
        <v>73</v>
      </c>
      <c r="AU72" s="472" t="s">
        <v>73</v>
      </c>
      <c r="AV72" s="472" t="s">
        <v>73</v>
      </c>
      <c r="AW72" s="472" t="s">
        <v>73</v>
      </c>
      <c r="AX72" s="30">
        <v>10000</v>
      </c>
      <c r="AY72" s="479" t="s">
        <v>7</v>
      </c>
      <c r="AZ72" s="474" t="s">
        <v>74</v>
      </c>
      <c r="BA72" s="474"/>
      <c r="BB72" s="480"/>
      <c r="BC72" s="480"/>
      <c r="BK72" s="481" t="s">
        <v>790</v>
      </c>
      <c r="BL72" s="481" t="s">
        <v>791</v>
      </c>
      <c r="BM72" s="284" t="s">
        <v>792</v>
      </c>
      <c r="BN72" s="414" t="s">
        <v>793</v>
      </c>
      <c r="BO72" s="284" t="s">
        <v>794</v>
      </c>
      <c r="BP72" s="285">
        <v>46134</v>
      </c>
      <c r="BQ72" s="482"/>
      <c r="BR72" s="963" t="s">
        <v>1045</v>
      </c>
      <c r="BS72" s="482"/>
      <c r="BT72" s="286" t="s">
        <v>796</v>
      </c>
      <c r="BU72" s="482" t="s">
        <v>797</v>
      </c>
      <c r="BV72" s="414" t="s">
        <v>1046</v>
      </c>
      <c r="BW72" s="284" t="s">
        <v>1047</v>
      </c>
      <c r="BX72" s="284" t="s">
        <v>1048</v>
      </c>
      <c r="BY72" s="284">
        <v>44776254</v>
      </c>
      <c r="BZ72" s="284"/>
      <c r="CA72" s="288">
        <v>5000</v>
      </c>
      <c r="CB72" s="483">
        <v>46143</v>
      </c>
      <c r="CC72" s="483">
        <v>46203</v>
      </c>
      <c r="CD72" s="759"/>
      <c r="CE72" s="485">
        <f t="shared" si="213"/>
        <v>30</v>
      </c>
      <c r="CF72" s="484">
        <f t="shared" si="214"/>
        <v>5000</v>
      </c>
      <c r="CG72" s="485">
        <v>30</v>
      </c>
      <c r="CH72" s="485">
        <f t="shared" si="215"/>
        <v>5000</v>
      </c>
      <c r="CI72" s="485">
        <v>30</v>
      </c>
      <c r="CJ72" s="485">
        <f t="shared" si="216"/>
        <v>5000</v>
      </c>
      <c r="CK72" s="484">
        <f t="shared" si="217"/>
        <v>0</v>
      </c>
      <c r="CL72" s="484">
        <f t="shared" si="218"/>
        <v>0</v>
      </c>
      <c r="CM72" s="1006"/>
      <c r="CN72" s="485">
        <f t="shared" si="219"/>
        <v>30</v>
      </c>
      <c r="CO72" s="484">
        <f t="shared" si="220"/>
        <v>5000</v>
      </c>
      <c r="CP72" s="485">
        <v>30</v>
      </c>
      <c r="CQ72" s="485">
        <f t="shared" si="221"/>
        <v>5000</v>
      </c>
      <c r="CR72" s="485">
        <v>30</v>
      </c>
      <c r="CS72" s="485">
        <f t="shared" si="222"/>
        <v>5000</v>
      </c>
      <c r="CT72" s="484">
        <f t="shared" si="223"/>
        <v>0</v>
      </c>
      <c r="CU72" s="484">
        <f t="shared" si="224"/>
        <v>0</v>
      </c>
      <c r="CV72" s="1006"/>
      <c r="CW72" s="1007">
        <f t="shared" si="225"/>
        <v>10000</v>
      </c>
      <c r="CX72" s="486">
        <f t="shared" si="226"/>
        <v>10000</v>
      </c>
      <c r="CY72" s="486">
        <f t="shared" si="227"/>
        <v>10000</v>
      </c>
      <c r="CZ72" s="1007">
        <f t="shared" si="228"/>
        <v>0</v>
      </c>
      <c r="DA72" s="1007">
        <f t="shared" si="229"/>
        <v>0</v>
      </c>
    </row>
    <row r="73" spans="1:108" ht="51" hidden="1" x14ac:dyDescent="0.25">
      <c r="A73" s="472">
        <v>2026</v>
      </c>
      <c r="B73" s="472">
        <v>479</v>
      </c>
      <c r="C73" s="472" t="s">
        <v>64</v>
      </c>
      <c r="D73" s="472" t="s">
        <v>65</v>
      </c>
      <c r="E73" s="472">
        <v>125</v>
      </c>
      <c r="F73" s="472">
        <v>3000654</v>
      </c>
      <c r="G73" s="472">
        <v>5005023</v>
      </c>
      <c r="H73" s="472">
        <v>3</v>
      </c>
      <c r="I73" s="472">
        <v>12</v>
      </c>
      <c r="J73" s="472">
        <v>24</v>
      </c>
      <c r="K73" s="472">
        <v>135560</v>
      </c>
      <c r="L73" s="472" t="s">
        <v>66</v>
      </c>
      <c r="M73" s="124" t="s">
        <v>67</v>
      </c>
      <c r="N73" s="472">
        <v>95</v>
      </c>
      <c r="O73" s="474"/>
      <c r="P73" s="474" t="s">
        <v>4</v>
      </c>
      <c r="Q73" s="472" t="s">
        <v>68</v>
      </c>
      <c r="R73" s="475" t="s">
        <v>69</v>
      </c>
      <c r="S73" s="475" t="s">
        <v>137</v>
      </c>
      <c r="T73" s="475"/>
      <c r="U73" s="124" t="s">
        <v>178</v>
      </c>
      <c r="V73" s="475" t="s">
        <v>3</v>
      </c>
      <c r="W73" s="121">
        <v>1</v>
      </c>
      <c r="X73" s="476">
        <v>5000</v>
      </c>
      <c r="Y73" s="474"/>
      <c r="Z73" s="474"/>
      <c r="AA73" s="474"/>
      <c r="AB73" s="474"/>
      <c r="AC73" s="475">
        <v>30</v>
      </c>
      <c r="AD73" s="475">
        <v>30</v>
      </c>
      <c r="AE73" s="474"/>
      <c r="AF73" s="474"/>
      <c r="AG73" s="474"/>
      <c r="AH73" s="474"/>
      <c r="AI73" s="474"/>
      <c r="AJ73" s="474"/>
      <c r="AK73" s="477">
        <v>10000</v>
      </c>
      <c r="AL73" s="472" t="s">
        <v>73</v>
      </c>
      <c r="AM73" s="472" t="s">
        <v>73</v>
      </c>
      <c r="AN73" s="472" t="s">
        <v>73</v>
      </c>
      <c r="AO73" s="472" t="s">
        <v>73</v>
      </c>
      <c r="AP73" s="478">
        <v>5000</v>
      </c>
      <c r="AQ73" s="478">
        <v>5000</v>
      </c>
      <c r="AR73" s="472" t="s">
        <v>73</v>
      </c>
      <c r="AS73" s="472" t="s">
        <v>73</v>
      </c>
      <c r="AT73" s="472" t="s">
        <v>73</v>
      </c>
      <c r="AU73" s="472" t="s">
        <v>73</v>
      </c>
      <c r="AV73" s="472" t="s">
        <v>73</v>
      </c>
      <c r="AW73" s="472" t="s">
        <v>73</v>
      </c>
      <c r="AX73" s="30">
        <v>10000</v>
      </c>
      <c r="AY73" s="479" t="s">
        <v>7</v>
      </c>
      <c r="AZ73" s="474" t="s">
        <v>74</v>
      </c>
      <c r="BA73" s="474"/>
      <c r="BB73" s="480"/>
      <c r="BC73" s="480"/>
      <c r="BK73" s="481" t="s">
        <v>790</v>
      </c>
      <c r="BL73" s="481" t="s">
        <v>791</v>
      </c>
      <c r="BM73" s="284" t="s">
        <v>792</v>
      </c>
      <c r="BN73" s="414" t="s">
        <v>793</v>
      </c>
      <c r="BO73" s="284" t="s">
        <v>794</v>
      </c>
      <c r="BP73" s="285">
        <v>46134</v>
      </c>
      <c r="BQ73" s="482"/>
      <c r="BR73" s="963" t="s">
        <v>1049</v>
      </c>
      <c r="BS73" s="482"/>
      <c r="BT73" s="286" t="s">
        <v>796</v>
      </c>
      <c r="BU73" s="482" t="s">
        <v>797</v>
      </c>
      <c r="BV73" s="414" t="s">
        <v>849</v>
      </c>
      <c r="BW73" s="284" t="s">
        <v>1050</v>
      </c>
      <c r="BX73" s="284" t="s">
        <v>1051</v>
      </c>
      <c r="BY73" s="284">
        <v>10722131</v>
      </c>
      <c r="BZ73" s="284"/>
      <c r="CA73" s="288">
        <v>5000</v>
      </c>
      <c r="CB73" s="483">
        <v>46143</v>
      </c>
      <c r="CC73" s="483">
        <v>46203</v>
      </c>
      <c r="CD73" s="759"/>
      <c r="CE73" s="485">
        <f t="shared" si="213"/>
        <v>30</v>
      </c>
      <c r="CF73" s="484">
        <f t="shared" si="214"/>
        <v>5000</v>
      </c>
      <c r="CG73" s="485">
        <v>30</v>
      </c>
      <c r="CH73" s="485">
        <f t="shared" si="215"/>
        <v>5000</v>
      </c>
      <c r="CI73" s="485">
        <v>30</v>
      </c>
      <c r="CJ73" s="485">
        <f t="shared" si="216"/>
        <v>5000</v>
      </c>
      <c r="CK73" s="484">
        <f t="shared" si="217"/>
        <v>0</v>
      </c>
      <c r="CL73" s="484">
        <f t="shared" si="218"/>
        <v>0</v>
      </c>
      <c r="CM73" s="1006"/>
      <c r="CN73" s="485">
        <f t="shared" si="219"/>
        <v>30</v>
      </c>
      <c r="CO73" s="484">
        <f t="shared" si="220"/>
        <v>5000</v>
      </c>
      <c r="CP73" s="485">
        <v>30</v>
      </c>
      <c r="CQ73" s="485">
        <f t="shared" si="221"/>
        <v>5000</v>
      </c>
      <c r="CR73" s="485">
        <v>30</v>
      </c>
      <c r="CS73" s="485">
        <f t="shared" si="222"/>
        <v>5000</v>
      </c>
      <c r="CT73" s="484">
        <f t="shared" si="223"/>
        <v>0</v>
      </c>
      <c r="CU73" s="484">
        <f t="shared" si="224"/>
        <v>0</v>
      </c>
      <c r="CV73" s="1006"/>
      <c r="CW73" s="1007">
        <f t="shared" si="225"/>
        <v>10000</v>
      </c>
      <c r="CX73" s="486">
        <f t="shared" si="226"/>
        <v>10000</v>
      </c>
      <c r="CY73" s="486">
        <f t="shared" si="227"/>
        <v>10000</v>
      </c>
      <c r="CZ73" s="1007">
        <f t="shared" si="228"/>
        <v>0</v>
      </c>
      <c r="DA73" s="1007">
        <f t="shared" si="229"/>
        <v>0</v>
      </c>
    </row>
    <row r="74" spans="1:108" ht="51" hidden="1" x14ac:dyDescent="0.25">
      <c r="A74" s="472">
        <v>2026</v>
      </c>
      <c r="B74" s="472">
        <v>479</v>
      </c>
      <c r="C74" s="472" t="s">
        <v>64</v>
      </c>
      <c r="D74" s="472" t="s">
        <v>65</v>
      </c>
      <c r="E74" s="472">
        <v>125</v>
      </c>
      <c r="F74" s="472">
        <v>3000654</v>
      </c>
      <c r="G74" s="472">
        <v>5005023</v>
      </c>
      <c r="H74" s="472">
        <v>3</v>
      </c>
      <c r="I74" s="472">
        <v>12</v>
      </c>
      <c r="J74" s="472">
        <v>24</v>
      </c>
      <c r="K74" s="472">
        <v>135560</v>
      </c>
      <c r="L74" s="472" t="s">
        <v>66</v>
      </c>
      <c r="M74" s="124" t="s">
        <v>67</v>
      </c>
      <c r="N74" s="472">
        <v>95</v>
      </c>
      <c r="O74" s="474"/>
      <c r="P74" s="474" t="s">
        <v>4</v>
      </c>
      <c r="Q74" s="472" t="s">
        <v>68</v>
      </c>
      <c r="R74" s="475" t="s">
        <v>69</v>
      </c>
      <c r="S74" s="475" t="s">
        <v>137</v>
      </c>
      <c r="T74" s="475"/>
      <c r="U74" s="124" t="s">
        <v>178</v>
      </c>
      <c r="V74" s="475" t="s">
        <v>3</v>
      </c>
      <c r="W74" s="121">
        <v>1</v>
      </c>
      <c r="X74" s="476">
        <v>5000</v>
      </c>
      <c r="Y74" s="474"/>
      <c r="Z74" s="474"/>
      <c r="AA74" s="474"/>
      <c r="AB74" s="474"/>
      <c r="AC74" s="475">
        <v>30</v>
      </c>
      <c r="AD74" s="475">
        <v>30</v>
      </c>
      <c r="AE74" s="474"/>
      <c r="AF74" s="474"/>
      <c r="AG74" s="474"/>
      <c r="AH74" s="474"/>
      <c r="AI74" s="474"/>
      <c r="AJ74" s="474"/>
      <c r="AK74" s="477">
        <v>10000</v>
      </c>
      <c r="AL74" s="472" t="s">
        <v>73</v>
      </c>
      <c r="AM74" s="472" t="s">
        <v>73</v>
      </c>
      <c r="AN74" s="472" t="s">
        <v>73</v>
      </c>
      <c r="AO74" s="472" t="s">
        <v>73</v>
      </c>
      <c r="AP74" s="478">
        <v>5000</v>
      </c>
      <c r="AQ74" s="478">
        <v>5000</v>
      </c>
      <c r="AR74" s="472" t="s">
        <v>73</v>
      </c>
      <c r="AS74" s="472" t="s">
        <v>73</v>
      </c>
      <c r="AT74" s="472" t="s">
        <v>73</v>
      </c>
      <c r="AU74" s="472" t="s">
        <v>73</v>
      </c>
      <c r="AV74" s="472" t="s">
        <v>73</v>
      </c>
      <c r="AW74" s="472" t="s">
        <v>73</v>
      </c>
      <c r="AX74" s="30">
        <v>10000</v>
      </c>
      <c r="AY74" s="479" t="s">
        <v>7</v>
      </c>
      <c r="AZ74" s="474" t="s">
        <v>74</v>
      </c>
      <c r="BA74" s="474"/>
      <c r="BB74" s="480"/>
      <c r="BC74" s="480"/>
      <c r="BK74" s="481" t="s">
        <v>790</v>
      </c>
      <c r="BL74" s="481" t="s">
        <v>791</v>
      </c>
      <c r="BM74" s="284" t="s">
        <v>792</v>
      </c>
      <c r="BN74" s="414" t="s">
        <v>793</v>
      </c>
      <c r="BO74" s="284" t="s">
        <v>794</v>
      </c>
      <c r="BP74" s="285">
        <v>46134</v>
      </c>
      <c r="BQ74" s="482"/>
      <c r="BR74" s="963" t="s">
        <v>1052</v>
      </c>
      <c r="BS74" s="482"/>
      <c r="BT74" s="286" t="s">
        <v>796</v>
      </c>
      <c r="BU74" s="482" t="s">
        <v>797</v>
      </c>
      <c r="BV74" s="414" t="s">
        <v>1053</v>
      </c>
      <c r="BW74" s="284" t="s">
        <v>1054</v>
      </c>
      <c r="BX74" s="284" t="s">
        <v>1055</v>
      </c>
      <c r="BY74" s="284" t="s">
        <v>1056</v>
      </c>
      <c r="BZ74" s="284"/>
      <c r="CA74" s="288">
        <v>5000</v>
      </c>
      <c r="CB74" s="483">
        <v>46143</v>
      </c>
      <c r="CC74" s="483">
        <v>46203</v>
      </c>
      <c r="CD74" s="759"/>
      <c r="CE74" s="485">
        <f t="shared" si="213"/>
        <v>30</v>
      </c>
      <c r="CF74" s="484">
        <f t="shared" si="214"/>
        <v>5000</v>
      </c>
      <c r="CG74" s="485">
        <v>30</v>
      </c>
      <c r="CH74" s="485">
        <f t="shared" si="215"/>
        <v>5000</v>
      </c>
      <c r="CI74" s="485">
        <v>30</v>
      </c>
      <c r="CJ74" s="485">
        <f t="shared" si="216"/>
        <v>5000</v>
      </c>
      <c r="CK74" s="484">
        <f t="shared" si="217"/>
        <v>0</v>
      </c>
      <c r="CL74" s="484">
        <f t="shared" si="218"/>
        <v>0</v>
      </c>
      <c r="CM74" s="1006"/>
      <c r="CN74" s="485">
        <f t="shared" si="219"/>
        <v>30</v>
      </c>
      <c r="CO74" s="484">
        <f t="shared" si="220"/>
        <v>5000</v>
      </c>
      <c r="CP74" s="485">
        <v>30</v>
      </c>
      <c r="CQ74" s="485">
        <f t="shared" si="221"/>
        <v>5000</v>
      </c>
      <c r="CR74" s="485">
        <v>30</v>
      </c>
      <c r="CS74" s="485">
        <f t="shared" si="222"/>
        <v>5000</v>
      </c>
      <c r="CT74" s="484">
        <f t="shared" si="223"/>
        <v>0</v>
      </c>
      <c r="CU74" s="484">
        <f t="shared" si="224"/>
        <v>0</v>
      </c>
      <c r="CV74" s="1006"/>
      <c r="CW74" s="1007">
        <f t="shared" si="225"/>
        <v>10000</v>
      </c>
      <c r="CX74" s="486">
        <f t="shared" si="226"/>
        <v>10000</v>
      </c>
      <c r="CY74" s="486">
        <f t="shared" si="227"/>
        <v>10000</v>
      </c>
      <c r="CZ74" s="1007">
        <f t="shared" si="228"/>
        <v>0</v>
      </c>
      <c r="DA74" s="1007">
        <f t="shared" si="229"/>
        <v>0</v>
      </c>
    </row>
    <row r="75" spans="1:108" ht="51" hidden="1" x14ac:dyDescent="0.25">
      <c r="A75" s="472">
        <v>2026</v>
      </c>
      <c r="B75" s="472">
        <v>479</v>
      </c>
      <c r="C75" s="472" t="s">
        <v>64</v>
      </c>
      <c r="D75" s="472" t="s">
        <v>65</v>
      </c>
      <c r="E75" s="472">
        <v>125</v>
      </c>
      <c r="F75" s="472">
        <v>3000654</v>
      </c>
      <c r="G75" s="472">
        <v>5005023</v>
      </c>
      <c r="H75" s="472">
        <v>3</v>
      </c>
      <c r="I75" s="472">
        <v>12</v>
      </c>
      <c r="J75" s="472">
        <v>24</v>
      </c>
      <c r="K75" s="472">
        <v>135560</v>
      </c>
      <c r="L75" s="472" t="s">
        <v>66</v>
      </c>
      <c r="M75" s="124" t="s">
        <v>67</v>
      </c>
      <c r="N75" s="472">
        <v>95</v>
      </c>
      <c r="O75" s="474"/>
      <c r="P75" s="474" t="s">
        <v>4</v>
      </c>
      <c r="Q75" s="472" t="s">
        <v>68</v>
      </c>
      <c r="R75" s="475" t="s">
        <v>69</v>
      </c>
      <c r="S75" s="475" t="s">
        <v>137</v>
      </c>
      <c r="T75" s="475"/>
      <c r="U75" s="124" t="s">
        <v>178</v>
      </c>
      <c r="V75" s="475" t="s">
        <v>3</v>
      </c>
      <c r="W75" s="121">
        <v>1</v>
      </c>
      <c r="X75" s="476">
        <v>5000</v>
      </c>
      <c r="Y75" s="474"/>
      <c r="Z75" s="474"/>
      <c r="AA75" s="474"/>
      <c r="AB75" s="474"/>
      <c r="AC75" s="475">
        <v>30</v>
      </c>
      <c r="AD75" s="475">
        <v>30</v>
      </c>
      <c r="AE75" s="474"/>
      <c r="AF75" s="474"/>
      <c r="AG75" s="474"/>
      <c r="AH75" s="474"/>
      <c r="AI75" s="474"/>
      <c r="AJ75" s="474"/>
      <c r="AK75" s="477">
        <v>10000</v>
      </c>
      <c r="AL75" s="472" t="s">
        <v>73</v>
      </c>
      <c r="AM75" s="472" t="s">
        <v>73</v>
      </c>
      <c r="AN75" s="472" t="s">
        <v>73</v>
      </c>
      <c r="AO75" s="472" t="s">
        <v>73</v>
      </c>
      <c r="AP75" s="478">
        <v>5000</v>
      </c>
      <c r="AQ75" s="478">
        <v>5000</v>
      </c>
      <c r="AR75" s="472" t="s">
        <v>73</v>
      </c>
      <c r="AS75" s="472" t="s">
        <v>73</v>
      </c>
      <c r="AT75" s="472" t="s">
        <v>73</v>
      </c>
      <c r="AU75" s="472" t="s">
        <v>73</v>
      </c>
      <c r="AV75" s="472" t="s">
        <v>73</v>
      </c>
      <c r="AW75" s="472" t="s">
        <v>73</v>
      </c>
      <c r="AX75" s="30">
        <v>10000</v>
      </c>
      <c r="AY75" s="479" t="s">
        <v>7</v>
      </c>
      <c r="AZ75" s="474" t="s">
        <v>74</v>
      </c>
      <c r="BA75" s="474"/>
      <c r="BB75" s="480"/>
      <c r="BC75" s="480"/>
      <c r="BK75" s="481" t="s">
        <v>790</v>
      </c>
      <c r="BL75" s="481" t="s">
        <v>791</v>
      </c>
      <c r="BM75" s="284" t="s">
        <v>792</v>
      </c>
      <c r="BN75" s="414" t="s">
        <v>793</v>
      </c>
      <c r="BO75" s="284" t="s">
        <v>794</v>
      </c>
      <c r="BP75" s="285">
        <v>46134</v>
      </c>
      <c r="BQ75" s="482"/>
      <c r="BR75" s="963" t="s">
        <v>1057</v>
      </c>
      <c r="BS75" s="482"/>
      <c r="BT75" s="286" t="s">
        <v>796</v>
      </c>
      <c r="BU75" s="482" t="s">
        <v>797</v>
      </c>
      <c r="BV75" s="414" t="s">
        <v>966</v>
      </c>
      <c r="BW75" s="284" t="s">
        <v>1058</v>
      </c>
      <c r="BX75" s="284" t="s">
        <v>1059</v>
      </c>
      <c r="BY75" s="284">
        <v>41114185</v>
      </c>
      <c r="BZ75" s="284"/>
      <c r="CA75" s="288">
        <v>5000</v>
      </c>
      <c r="CB75" s="483">
        <v>46143</v>
      </c>
      <c r="CC75" s="483">
        <v>46203</v>
      </c>
      <c r="CD75" s="759"/>
      <c r="CE75" s="485">
        <f t="shared" si="29"/>
        <v>30</v>
      </c>
      <c r="CF75" s="484">
        <f t="shared" si="30"/>
        <v>5000</v>
      </c>
      <c r="CG75" s="485">
        <v>30</v>
      </c>
      <c r="CH75" s="485">
        <f t="shared" si="31"/>
        <v>5000</v>
      </c>
      <c r="CI75" s="485">
        <v>30</v>
      </c>
      <c r="CJ75" s="485">
        <f t="shared" si="32"/>
        <v>5000</v>
      </c>
      <c r="CK75" s="484">
        <f t="shared" si="33"/>
        <v>0</v>
      </c>
      <c r="CL75" s="484">
        <f t="shared" si="34"/>
        <v>0</v>
      </c>
      <c r="CM75" s="1006"/>
      <c r="CN75" s="485">
        <f t="shared" si="35"/>
        <v>30</v>
      </c>
      <c r="CO75" s="484">
        <f t="shared" si="36"/>
        <v>5000</v>
      </c>
      <c r="CP75" s="485">
        <v>30</v>
      </c>
      <c r="CQ75" s="485">
        <f t="shared" si="37"/>
        <v>5000</v>
      </c>
      <c r="CR75" s="485">
        <v>30</v>
      </c>
      <c r="CS75" s="485">
        <f t="shared" si="38"/>
        <v>5000</v>
      </c>
      <c r="CT75" s="484">
        <f t="shared" si="39"/>
        <v>0</v>
      </c>
      <c r="CU75" s="484">
        <f t="shared" si="40"/>
        <v>0</v>
      </c>
      <c r="CV75" s="1006"/>
      <c r="CW75" s="1007">
        <f t="shared" si="225"/>
        <v>10000</v>
      </c>
      <c r="CX75" s="486">
        <f t="shared" si="226"/>
        <v>10000</v>
      </c>
      <c r="CY75" s="486">
        <f t="shared" si="227"/>
        <v>10000</v>
      </c>
      <c r="CZ75" s="1007">
        <f t="shared" si="228"/>
        <v>0</v>
      </c>
      <c r="DA75" s="1007">
        <f t="shared" si="229"/>
        <v>0</v>
      </c>
    </row>
    <row r="76" spans="1:108" ht="51" hidden="1" x14ac:dyDescent="0.25">
      <c r="A76" s="472">
        <v>2026</v>
      </c>
      <c r="B76" s="472">
        <v>479</v>
      </c>
      <c r="C76" s="472" t="s">
        <v>64</v>
      </c>
      <c r="D76" s="472" t="s">
        <v>65</v>
      </c>
      <c r="E76" s="472">
        <v>125</v>
      </c>
      <c r="F76" s="472">
        <v>3000654</v>
      </c>
      <c r="G76" s="472">
        <v>5005023</v>
      </c>
      <c r="H76" s="472">
        <v>3</v>
      </c>
      <c r="I76" s="472">
        <v>12</v>
      </c>
      <c r="J76" s="472">
        <v>24</v>
      </c>
      <c r="K76" s="472">
        <v>135560</v>
      </c>
      <c r="L76" s="472" t="s">
        <v>82</v>
      </c>
      <c r="M76" s="124" t="s">
        <v>83</v>
      </c>
      <c r="N76" s="19">
        <v>96</v>
      </c>
      <c r="O76" s="474"/>
      <c r="P76" s="474" t="s">
        <v>4</v>
      </c>
      <c r="Q76" s="472" t="s">
        <v>68</v>
      </c>
      <c r="R76" s="475" t="s">
        <v>69</v>
      </c>
      <c r="S76" s="475" t="s">
        <v>137</v>
      </c>
      <c r="T76" s="475"/>
      <c r="U76" s="124" t="s">
        <v>179</v>
      </c>
      <c r="V76" s="475" t="s">
        <v>3</v>
      </c>
      <c r="W76" s="121">
        <v>1</v>
      </c>
      <c r="X76" s="476">
        <v>7000</v>
      </c>
      <c r="Y76" s="474"/>
      <c r="Z76" s="474"/>
      <c r="AA76" s="474"/>
      <c r="AB76" s="474"/>
      <c r="AC76" s="475">
        <v>30</v>
      </c>
      <c r="AD76" s="475">
        <v>30</v>
      </c>
      <c r="AE76" s="474"/>
      <c r="AF76" s="474"/>
      <c r="AG76" s="474"/>
      <c r="AH76" s="474"/>
      <c r="AI76" s="474"/>
      <c r="AJ76" s="474"/>
      <c r="AK76" s="477">
        <v>14000</v>
      </c>
      <c r="AL76" s="29" t="s">
        <v>73</v>
      </c>
      <c r="AM76" s="29" t="s">
        <v>73</v>
      </c>
      <c r="AN76" s="29" t="s">
        <v>73</v>
      </c>
      <c r="AO76" s="29" t="s">
        <v>73</v>
      </c>
      <c r="AP76" s="478">
        <v>7000</v>
      </c>
      <c r="AQ76" s="478">
        <v>7000</v>
      </c>
      <c r="AR76" s="472" t="s">
        <v>73</v>
      </c>
      <c r="AS76" s="472" t="s">
        <v>73</v>
      </c>
      <c r="AT76" s="472" t="s">
        <v>73</v>
      </c>
      <c r="AU76" s="472" t="s">
        <v>73</v>
      </c>
      <c r="AV76" s="472" t="s">
        <v>73</v>
      </c>
      <c r="AW76" s="472" t="s">
        <v>73</v>
      </c>
      <c r="AX76" s="30">
        <v>14000</v>
      </c>
      <c r="AY76" s="536" t="s">
        <v>7</v>
      </c>
      <c r="AZ76" s="474" t="s">
        <v>74</v>
      </c>
      <c r="BA76" s="474"/>
      <c r="BB76" s="480"/>
      <c r="BC76" s="480"/>
      <c r="BK76" s="481" t="s">
        <v>790</v>
      </c>
      <c r="BL76" s="481" t="s">
        <v>791</v>
      </c>
      <c r="BM76" s="284" t="s">
        <v>792</v>
      </c>
      <c r="BN76" s="414" t="s">
        <v>793</v>
      </c>
      <c r="BO76" s="284" t="s">
        <v>794</v>
      </c>
      <c r="BP76" s="285">
        <v>46134</v>
      </c>
      <c r="BQ76" s="482"/>
      <c r="BR76" s="963" t="s">
        <v>1060</v>
      </c>
      <c r="BS76" s="482"/>
      <c r="BT76" s="286" t="s">
        <v>796</v>
      </c>
      <c r="BU76" s="482" t="s">
        <v>835</v>
      </c>
      <c r="BV76" s="284" t="s">
        <v>1061</v>
      </c>
      <c r="BW76" s="284" t="s">
        <v>1062</v>
      </c>
      <c r="BX76" s="284" t="s">
        <v>1063</v>
      </c>
      <c r="BY76" s="284">
        <v>40587637</v>
      </c>
      <c r="BZ76" s="284"/>
      <c r="CA76" s="288">
        <v>7000</v>
      </c>
      <c r="CB76" s="483">
        <v>46143</v>
      </c>
      <c r="CC76" s="483">
        <v>46203</v>
      </c>
      <c r="CD76" s="759"/>
      <c r="CE76" s="485">
        <f t="shared" si="29"/>
        <v>30</v>
      </c>
      <c r="CF76" s="484">
        <f t="shared" si="30"/>
        <v>7000</v>
      </c>
      <c r="CG76" s="485">
        <v>30</v>
      </c>
      <c r="CH76" s="485">
        <f t="shared" si="31"/>
        <v>7000</v>
      </c>
      <c r="CI76" s="485">
        <v>30</v>
      </c>
      <c r="CJ76" s="485">
        <f t="shared" si="32"/>
        <v>7000</v>
      </c>
      <c r="CK76" s="484">
        <f t="shared" si="33"/>
        <v>0</v>
      </c>
      <c r="CL76" s="484">
        <f t="shared" si="34"/>
        <v>0</v>
      </c>
      <c r="CM76" s="1006"/>
      <c r="CN76" s="485">
        <f t="shared" si="35"/>
        <v>30</v>
      </c>
      <c r="CO76" s="484">
        <f t="shared" si="36"/>
        <v>7000</v>
      </c>
      <c r="CP76" s="485">
        <v>30</v>
      </c>
      <c r="CQ76" s="485">
        <f t="shared" si="37"/>
        <v>7000</v>
      </c>
      <c r="CR76" s="485">
        <v>30</v>
      </c>
      <c r="CS76" s="485">
        <f t="shared" si="38"/>
        <v>7000</v>
      </c>
      <c r="CT76" s="484">
        <f t="shared" si="39"/>
        <v>0</v>
      </c>
      <c r="CU76" s="484">
        <f t="shared" si="40"/>
        <v>0</v>
      </c>
      <c r="CV76" s="1006"/>
      <c r="CW76" s="1007">
        <f t="shared" si="225"/>
        <v>14000</v>
      </c>
      <c r="CX76" s="486">
        <f t="shared" si="226"/>
        <v>14000</v>
      </c>
      <c r="CY76" s="486">
        <f t="shared" si="227"/>
        <v>14000</v>
      </c>
      <c r="CZ76" s="1007">
        <f t="shared" si="228"/>
        <v>0</v>
      </c>
      <c r="DA76" s="1007">
        <f t="shared" si="229"/>
        <v>0</v>
      </c>
    </row>
    <row r="77" spans="1:108" ht="51" hidden="1" x14ac:dyDescent="0.25">
      <c r="A77" s="472">
        <v>2026</v>
      </c>
      <c r="B77" s="472">
        <v>479</v>
      </c>
      <c r="C77" s="472" t="s">
        <v>64</v>
      </c>
      <c r="D77" s="472" t="s">
        <v>65</v>
      </c>
      <c r="E77" s="472">
        <v>125</v>
      </c>
      <c r="F77" s="472">
        <v>3000654</v>
      </c>
      <c r="G77" s="472">
        <v>5005023</v>
      </c>
      <c r="H77" s="472">
        <v>3</v>
      </c>
      <c r="I77" s="472">
        <v>12</v>
      </c>
      <c r="J77" s="472">
        <v>24</v>
      </c>
      <c r="K77" s="472">
        <v>135560</v>
      </c>
      <c r="L77" s="472" t="s">
        <v>82</v>
      </c>
      <c r="M77" s="124" t="s">
        <v>83</v>
      </c>
      <c r="N77" s="19">
        <v>96</v>
      </c>
      <c r="O77" s="474"/>
      <c r="P77" s="474" t="s">
        <v>4</v>
      </c>
      <c r="Q77" s="472" t="s">
        <v>68</v>
      </c>
      <c r="R77" s="475" t="s">
        <v>69</v>
      </c>
      <c r="S77" s="475" t="s">
        <v>137</v>
      </c>
      <c r="T77" s="475"/>
      <c r="U77" s="124" t="s">
        <v>180</v>
      </c>
      <c r="V77" s="475" t="s">
        <v>3</v>
      </c>
      <c r="W77" s="121">
        <v>1</v>
      </c>
      <c r="X77" s="476">
        <v>4500</v>
      </c>
      <c r="Y77" s="474"/>
      <c r="Z77" s="474"/>
      <c r="AA77" s="474"/>
      <c r="AB77" s="474"/>
      <c r="AC77" s="475">
        <v>30</v>
      </c>
      <c r="AD77" s="475">
        <v>30</v>
      </c>
      <c r="AE77" s="474"/>
      <c r="AF77" s="474"/>
      <c r="AG77" s="474"/>
      <c r="AH77" s="474"/>
      <c r="AI77" s="474"/>
      <c r="AJ77" s="474"/>
      <c r="AK77" s="477">
        <v>9000</v>
      </c>
      <c r="AL77" s="29" t="s">
        <v>73</v>
      </c>
      <c r="AM77" s="29" t="s">
        <v>73</v>
      </c>
      <c r="AN77" s="29" t="s">
        <v>73</v>
      </c>
      <c r="AO77" s="29" t="s">
        <v>73</v>
      </c>
      <c r="AP77" s="478">
        <v>4500</v>
      </c>
      <c r="AQ77" s="478">
        <v>4500</v>
      </c>
      <c r="AR77" s="472" t="s">
        <v>73</v>
      </c>
      <c r="AS77" s="472" t="s">
        <v>73</v>
      </c>
      <c r="AT77" s="472" t="s">
        <v>73</v>
      </c>
      <c r="AU77" s="472" t="s">
        <v>73</v>
      </c>
      <c r="AV77" s="472" t="s">
        <v>73</v>
      </c>
      <c r="AW77" s="472" t="s">
        <v>73</v>
      </c>
      <c r="AX77" s="30">
        <v>9000</v>
      </c>
      <c r="AY77" s="536" t="s">
        <v>7</v>
      </c>
      <c r="AZ77" s="474" t="s">
        <v>74</v>
      </c>
      <c r="BA77" s="474"/>
      <c r="BB77" s="480"/>
      <c r="BC77" s="480"/>
      <c r="BK77" s="481" t="s">
        <v>790</v>
      </c>
      <c r="BL77" s="481" t="s">
        <v>791</v>
      </c>
      <c r="BM77" s="284" t="s">
        <v>792</v>
      </c>
      <c r="BN77" s="414" t="s">
        <v>793</v>
      </c>
      <c r="BO77" s="284" t="s">
        <v>794</v>
      </c>
      <c r="BP77" s="285">
        <v>46134</v>
      </c>
      <c r="BQ77" s="482"/>
      <c r="BR77" s="963" t="s">
        <v>1064</v>
      </c>
      <c r="BS77" s="482"/>
      <c r="BT77" s="286" t="s">
        <v>796</v>
      </c>
      <c r="BU77" s="482" t="s">
        <v>797</v>
      </c>
      <c r="BV77" s="284" t="s">
        <v>1065</v>
      </c>
      <c r="BW77" s="284" t="s">
        <v>822</v>
      </c>
      <c r="BX77" s="284" t="s">
        <v>1066</v>
      </c>
      <c r="BY77" s="284">
        <v>74374518</v>
      </c>
      <c r="BZ77" s="284"/>
      <c r="CA77" s="288">
        <v>4500</v>
      </c>
      <c r="CB77" s="483">
        <v>46143</v>
      </c>
      <c r="CC77" s="483">
        <v>46203</v>
      </c>
      <c r="CD77" s="759"/>
      <c r="CE77" s="485">
        <f t="shared" si="29"/>
        <v>30</v>
      </c>
      <c r="CF77" s="484">
        <f t="shared" si="30"/>
        <v>4500</v>
      </c>
      <c r="CG77" s="485">
        <v>30</v>
      </c>
      <c r="CH77" s="485">
        <f t="shared" si="31"/>
        <v>4500</v>
      </c>
      <c r="CI77" s="485">
        <v>30</v>
      </c>
      <c r="CJ77" s="485">
        <f t="shared" si="32"/>
        <v>4500</v>
      </c>
      <c r="CK77" s="484">
        <f t="shared" si="33"/>
        <v>0</v>
      </c>
      <c r="CL77" s="484">
        <f t="shared" si="34"/>
        <v>0</v>
      </c>
      <c r="CM77" s="1006"/>
      <c r="CN77" s="485">
        <f t="shared" si="35"/>
        <v>30</v>
      </c>
      <c r="CO77" s="484">
        <f t="shared" si="36"/>
        <v>4500</v>
      </c>
      <c r="CP77" s="485">
        <v>30</v>
      </c>
      <c r="CQ77" s="485">
        <f t="shared" si="37"/>
        <v>4500</v>
      </c>
      <c r="CR77" s="485">
        <v>30</v>
      </c>
      <c r="CS77" s="485">
        <f t="shared" si="38"/>
        <v>4500</v>
      </c>
      <c r="CT77" s="484">
        <f t="shared" si="39"/>
        <v>0</v>
      </c>
      <c r="CU77" s="484">
        <f t="shared" si="40"/>
        <v>0</v>
      </c>
      <c r="CV77" s="1006"/>
      <c r="CW77" s="1007">
        <f t="shared" si="225"/>
        <v>9000</v>
      </c>
      <c r="CX77" s="486">
        <f t="shared" si="226"/>
        <v>9000</v>
      </c>
      <c r="CY77" s="486">
        <f t="shared" si="227"/>
        <v>9000</v>
      </c>
      <c r="CZ77" s="1007">
        <f t="shared" si="228"/>
        <v>0</v>
      </c>
      <c r="DA77" s="1007">
        <f t="shared" si="229"/>
        <v>0</v>
      </c>
    </row>
    <row r="78" spans="1:108" ht="51" hidden="1" x14ac:dyDescent="0.25">
      <c r="A78" s="472">
        <v>2026</v>
      </c>
      <c r="B78" s="472">
        <v>479</v>
      </c>
      <c r="C78" s="472" t="s">
        <v>64</v>
      </c>
      <c r="D78" s="472" t="s">
        <v>65</v>
      </c>
      <c r="E78" s="472">
        <v>125</v>
      </c>
      <c r="F78" s="472">
        <v>3000654</v>
      </c>
      <c r="G78" s="472">
        <v>5005023</v>
      </c>
      <c r="H78" s="472">
        <v>3</v>
      </c>
      <c r="I78" s="472">
        <v>12</v>
      </c>
      <c r="J78" s="472">
        <v>24</v>
      </c>
      <c r="K78" s="472">
        <v>135560</v>
      </c>
      <c r="L78" s="472" t="s">
        <v>66</v>
      </c>
      <c r="M78" s="124" t="s">
        <v>67</v>
      </c>
      <c r="N78" s="472">
        <v>95</v>
      </c>
      <c r="O78" s="474"/>
      <c r="P78" s="474" t="s">
        <v>4</v>
      </c>
      <c r="Q78" s="472" t="s">
        <v>68</v>
      </c>
      <c r="R78" s="475" t="s">
        <v>69</v>
      </c>
      <c r="S78" s="475" t="s">
        <v>137</v>
      </c>
      <c r="T78" s="475"/>
      <c r="U78" s="124" t="s">
        <v>177</v>
      </c>
      <c r="V78" s="475" t="s">
        <v>3</v>
      </c>
      <c r="W78" s="121">
        <v>1</v>
      </c>
      <c r="X78" s="476">
        <v>4000</v>
      </c>
      <c r="Y78" s="488"/>
      <c r="Z78" s="488"/>
      <c r="AA78" s="488"/>
      <c r="AB78" s="488"/>
      <c r="AC78" s="475">
        <v>30</v>
      </c>
      <c r="AD78" s="475">
        <v>30</v>
      </c>
      <c r="AE78" s="488"/>
      <c r="AF78" s="488"/>
      <c r="AG78" s="488"/>
      <c r="AH78" s="488"/>
      <c r="AI78" s="488"/>
      <c r="AJ78" s="488"/>
      <c r="AK78" s="477">
        <v>8000</v>
      </c>
      <c r="AL78" s="472" t="s">
        <v>73</v>
      </c>
      <c r="AM78" s="472" t="s">
        <v>73</v>
      </c>
      <c r="AN78" s="472" t="s">
        <v>73</v>
      </c>
      <c r="AO78" s="472" t="s">
        <v>73</v>
      </c>
      <c r="AP78" s="478">
        <v>4000</v>
      </c>
      <c r="AQ78" s="478">
        <v>4000</v>
      </c>
      <c r="AR78" s="472" t="s">
        <v>73</v>
      </c>
      <c r="AS78" s="472" t="s">
        <v>73</v>
      </c>
      <c r="AT78" s="472" t="s">
        <v>73</v>
      </c>
      <c r="AU78" s="472" t="s">
        <v>73</v>
      </c>
      <c r="AV78" s="472" t="s">
        <v>73</v>
      </c>
      <c r="AW78" s="472" t="s">
        <v>73</v>
      </c>
      <c r="AX78" s="30">
        <v>8000</v>
      </c>
      <c r="AY78" s="551" t="s">
        <v>7</v>
      </c>
      <c r="AZ78" s="474" t="s">
        <v>74</v>
      </c>
      <c r="BA78" s="474"/>
      <c r="BB78" s="480"/>
      <c r="BC78" s="480"/>
      <c r="BK78" s="481" t="s">
        <v>790</v>
      </c>
      <c r="BL78" s="481" t="s">
        <v>791</v>
      </c>
      <c r="BM78" s="284" t="s">
        <v>1067</v>
      </c>
      <c r="BN78" s="414" t="s">
        <v>1068</v>
      </c>
      <c r="BO78" s="284" t="s">
        <v>1069</v>
      </c>
      <c r="BP78" s="285">
        <v>46176</v>
      </c>
      <c r="BQ78" s="482"/>
      <c r="BR78" s="963">
        <v>5154</v>
      </c>
      <c r="BS78" s="482"/>
      <c r="BT78" s="482"/>
      <c r="BU78" s="482" t="s">
        <v>835</v>
      </c>
      <c r="BV78" s="975" t="s">
        <v>1070</v>
      </c>
      <c r="BW78" s="788" t="s">
        <v>1071</v>
      </c>
      <c r="BX78" s="788" t="s">
        <v>1072</v>
      </c>
      <c r="BY78" s="789">
        <v>48200687</v>
      </c>
      <c r="BZ78" s="788">
        <v>10482006871</v>
      </c>
      <c r="CA78" s="288">
        <v>4000</v>
      </c>
      <c r="CB78" s="790">
        <v>46177</v>
      </c>
      <c r="CC78" s="791">
        <v>46203</v>
      </c>
      <c r="CD78" s="759"/>
      <c r="CE78" s="485">
        <f>AC78</f>
        <v>30</v>
      </c>
      <c r="CF78" s="484">
        <f>AP78</f>
        <v>4000</v>
      </c>
      <c r="CG78" s="485">
        <v>0</v>
      </c>
      <c r="CH78" s="485">
        <f>(X78/30)*CG78</f>
        <v>0</v>
      </c>
      <c r="CI78" s="485">
        <v>0</v>
      </c>
      <c r="CJ78" s="485">
        <f>(X78/30)*CI78</f>
        <v>0</v>
      </c>
      <c r="CK78" s="484">
        <f>CF78-CH78</f>
        <v>4000</v>
      </c>
      <c r="CL78" s="484">
        <f>CF78-CJ78</f>
        <v>4000</v>
      </c>
      <c r="CM78" s="1006"/>
      <c r="CN78" s="485">
        <f>AD78</f>
        <v>30</v>
      </c>
      <c r="CO78" s="484">
        <f>AQ78</f>
        <v>4000</v>
      </c>
      <c r="CP78" s="485">
        <v>27</v>
      </c>
      <c r="CQ78" s="485">
        <f>(X78/30)*CP78</f>
        <v>3600.0000000000005</v>
      </c>
      <c r="CR78" s="485">
        <v>27</v>
      </c>
      <c r="CS78" s="485">
        <f>(X78/30)*CR78</f>
        <v>3600.0000000000005</v>
      </c>
      <c r="CT78" s="484">
        <f>CO78-CQ78</f>
        <v>399.99999999999955</v>
      </c>
      <c r="CU78" s="484">
        <f>CO78-CS78</f>
        <v>399.99999999999955</v>
      </c>
      <c r="CV78" s="1006"/>
      <c r="CW78" s="484">
        <f t="shared" si="225"/>
        <v>8000</v>
      </c>
      <c r="CX78" s="485">
        <f t="shared" si="226"/>
        <v>3600.0000000000005</v>
      </c>
      <c r="CY78" s="485">
        <f t="shared" si="227"/>
        <v>3600.0000000000005</v>
      </c>
      <c r="CZ78" s="484">
        <f t="shared" si="228"/>
        <v>4400</v>
      </c>
      <c r="DA78" s="484">
        <f t="shared" si="229"/>
        <v>4400</v>
      </c>
    </row>
    <row r="79" spans="1:108" ht="51" hidden="1" x14ac:dyDescent="0.25">
      <c r="A79" s="472">
        <v>2026</v>
      </c>
      <c r="B79" s="472">
        <v>479</v>
      </c>
      <c r="C79" s="472" t="s">
        <v>64</v>
      </c>
      <c r="D79" s="472" t="s">
        <v>65</v>
      </c>
      <c r="E79" s="472">
        <v>125</v>
      </c>
      <c r="F79" s="472">
        <v>3000654</v>
      </c>
      <c r="G79" s="472">
        <v>5005023</v>
      </c>
      <c r="H79" s="472">
        <v>3</v>
      </c>
      <c r="I79" s="472">
        <v>12</v>
      </c>
      <c r="J79" s="472">
        <v>24</v>
      </c>
      <c r="K79" s="472">
        <v>135560</v>
      </c>
      <c r="L79" s="472" t="s">
        <v>82</v>
      </c>
      <c r="M79" s="124" t="s">
        <v>83</v>
      </c>
      <c r="N79" s="472">
        <v>96</v>
      </c>
      <c r="O79" s="474"/>
      <c r="P79" s="474" t="s">
        <v>4</v>
      </c>
      <c r="Q79" s="472" t="s">
        <v>68</v>
      </c>
      <c r="R79" s="475" t="s">
        <v>69</v>
      </c>
      <c r="S79" s="475" t="s">
        <v>137</v>
      </c>
      <c r="T79" s="475"/>
      <c r="U79" s="124" t="s">
        <v>181</v>
      </c>
      <c r="V79" s="475" t="s">
        <v>3</v>
      </c>
      <c r="W79" s="121">
        <v>1</v>
      </c>
      <c r="X79" s="476">
        <v>8000</v>
      </c>
      <c r="Y79" s="488"/>
      <c r="Z79" s="488"/>
      <c r="AA79" s="488"/>
      <c r="AB79" s="488"/>
      <c r="AC79" s="475">
        <v>30</v>
      </c>
      <c r="AD79" s="475">
        <v>30</v>
      </c>
      <c r="AE79" s="488"/>
      <c r="AF79" s="488"/>
      <c r="AG79" s="488"/>
      <c r="AH79" s="488"/>
      <c r="AI79" s="488"/>
      <c r="AJ79" s="488"/>
      <c r="AK79" s="477">
        <v>16000</v>
      </c>
      <c r="AL79" s="29" t="s">
        <v>73</v>
      </c>
      <c r="AM79" s="29" t="s">
        <v>73</v>
      </c>
      <c r="AN79" s="29" t="s">
        <v>73</v>
      </c>
      <c r="AO79" s="29" t="s">
        <v>73</v>
      </c>
      <c r="AP79" s="478">
        <v>8000</v>
      </c>
      <c r="AQ79" s="478">
        <v>8000</v>
      </c>
      <c r="AR79" s="472" t="s">
        <v>73</v>
      </c>
      <c r="AS79" s="472" t="s">
        <v>73</v>
      </c>
      <c r="AT79" s="472" t="s">
        <v>73</v>
      </c>
      <c r="AU79" s="472" t="s">
        <v>73</v>
      </c>
      <c r="AV79" s="472" t="s">
        <v>73</v>
      </c>
      <c r="AW79" s="472" t="s">
        <v>73</v>
      </c>
      <c r="AX79" s="30">
        <v>16000</v>
      </c>
      <c r="AY79" s="536" t="s">
        <v>7</v>
      </c>
      <c r="AZ79" s="474" t="s">
        <v>74</v>
      </c>
      <c r="BA79" s="474"/>
      <c r="BB79" s="480"/>
      <c r="BC79" s="480"/>
      <c r="BK79" s="481" t="s">
        <v>802</v>
      </c>
      <c r="BL79" s="481" t="s">
        <v>803</v>
      </c>
      <c r="BM79" s="284"/>
      <c r="BN79" s="414"/>
      <c r="BO79" s="284"/>
      <c r="BP79" s="285"/>
      <c r="BQ79" s="482"/>
      <c r="BR79" s="482"/>
      <c r="BS79" s="482"/>
      <c r="BT79" s="482"/>
      <c r="BU79" s="482"/>
      <c r="BV79" s="284"/>
      <c r="BW79" s="284"/>
      <c r="BX79" s="284"/>
      <c r="BY79" s="284"/>
      <c r="BZ79" s="284"/>
      <c r="CA79" s="288"/>
      <c r="CB79" s="483"/>
      <c r="CC79" s="483"/>
      <c r="CD79" s="759"/>
      <c r="CE79" s="485">
        <f t="shared" si="29"/>
        <v>30</v>
      </c>
      <c r="CF79" s="484">
        <f t="shared" si="30"/>
        <v>8000</v>
      </c>
      <c r="CG79" s="485"/>
      <c r="CH79" s="485">
        <f t="shared" si="31"/>
        <v>0</v>
      </c>
      <c r="CI79" s="485"/>
      <c r="CJ79" s="485">
        <f t="shared" si="32"/>
        <v>0</v>
      </c>
      <c r="CK79" s="484">
        <f t="shared" si="33"/>
        <v>8000</v>
      </c>
      <c r="CL79" s="484">
        <f t="shared" si="34"/>
        <v>8000</v>
      </c>
      <c r="CM79" s="1006"/>
      <c r="CN79" s="485">
        <f t="shared" si="35"/>
        <v>30</v>
      </c>
      <c r="CO79" s="484">
        <f>AQ79</f>
        <v>8000</v>
      </c>
      <c r="CP79" s="485"/>
      <c r="CQ79" s="485">
        <f t="shared" si="37"/>
        <v>0</v>
      </c>
      <c r="CR79" s="485"/>
      <c r="CS79" s="485">
        <f t="shared" si="38"/>
        <v>0</v>
      </c>
      <c r="CT79" s="484">
        <f t="shared" si="39"/>
        <v>8000</v>
      </c>
      <c r="CU79" s="484">
        <f t="shared" si="40"/>
        <v>8000</v>
      </c>
      <c r="CV79" s="1006"/>
      <c r="CW79" s="1007">
        <f t="shared" si="225"/>
        <v>16000</v>
      </c>
      <c r="CX79" s="486">
        <f t="shared" si="226"/>
        <v>0</v>
      </c>
      <c r="CY79" s="486">
        <f t="shared" si="227"/>
        <v>0</v>
      </c>
      <c r="CZ79" s="1007">
        <f t="shared" si="228"/>
        <v>16000</v>
      </c>
      <c r="DA79" s="1007">
        <f t="shared" si="229"/>
        <v>16000</v>
      </c>
    </row>
    <row r="80" spans="1:108" ht="51" hidden="1" x14ac:dyDescent="0.25">
      <c r="A80" s="472">
        <v>2026</v>
      </c>
      <c r="B80" s="472">
        <v>479</v>
      </c>
      <c r="C80" s="472" t="s">
        <v>64</v>
      </c>
      <c r="D80" s="472" t="s">
        <v>65</v>
      </c>
      <c r="E80" s="472">
        <v>125</v>
      </c>
      <c r="F80" s="472">
        <v>3000654</v>
      </c>
      <c r="G80" s="472">
        <v>5005023</v>
      </c>
      <c r="H80" s="472">
        <v>3</v>
      </c>
      <c r="I80" s="472">
        <v>12</v>
      </c>
      <c r="J80" s="472">
        <v>24</v>
      </c>
      <c r="K80" s="472">
        <v>135560</v>
      </c>
      <c r="L80" s="472" t="s">
        <v>66</v>
      </c>
      <c r="M80" s="124" t="s">
        <v>67</v>
      </c>
      <c r="N80" s="472">
        <v>95</v>
      </c>
      <c r="O80" s="474"/>
      <c r="P80" s="474" t="s">
        <v>4</v>
      </c>
      <c r="Q80" s="472" t="s">
        <v>68</v>
      </c>
      <c r="R80" s="475" t="s">
        <v>69</v>
      </c>
      <c r="S80" s="475" t="s">
        <v>137</v>
      </c>
      <c r="T80" s="475"/>
      <c r="U80" s="124" t="s">
        <v>182</v>
      </c>
      <c r="V80" s="475" t="s">
        <v>3</v>
      </c>
      <c r="W80" s="121">
        <v>1</v>
      </c>
      <c r="X80" s="476">
        <v>5000</v>
      </c>
      <c r="Y80" s="474"/>
      <c r="Z80" s="474"/>
      <c r="AA80" s="474"/>
      <c r="AB80" s="474"/>
      <c r="AC80" s="475">
        <v>30</v>
      </c>
      <c r="AD80" s="475">
        <v>30</v>
      </c>
      <c r="AE80" s="474"/>
      <c r="AF80" s="474"/>
      <c r="AG80" s="474"/>
      <c r="AH80" s="474"/>
      <c r="AI80" s="474"/>
      <c r="AJ80" s="474"/>
      <c r="AK80" s="477">
        <v>10000</v>
      </c>
      <c r="AL80" s="472" t="s">
        <v>73</v>
      </c>
      <c r="AM80" s="472" t="s">
        <v>73</v>
      </c>
      <c r="AN80" s="472" t="s">
        <v>73</v>
      </c>
      <c r="AO80" s="472" t="s">
        <v>73</v>
      </c>
      <c r="AP80" s="478">
        <v>5000</v>
      </c>
      <c r="AQ80" s="478">
        <v>5000</v>
      </c>
      <c r="AR80" s="472" t="s">
        <v>73</v>
      </c>
      <c r="AS80" s="472" t="s">
        <v>73</v>
      </c>
      <c r="AT80" s="472" t="s">
        <v>73</v>
      </c>
      <c r="AU80" s="472" t="s">
        <v>73</v>
      </c>
      <c r="AV80" s="472" t="s">
        <v>73</v>
      </c>
      <c r="AW80" s="472" t="s">
        <v>73</v>
      </c>
      <c r="AX80" s="30">
        <v>10000</v>
      </c>
      <c r="AY80" s="479" t="s">
        <v>7</v>
      </c>
      <c r="AZ80" s="474" t="s">
        <v>74</v>
      </c>
      <c r="BA80" s="474"/>
      <c r="BB80" s="480"/>
      <c r="BC80" s="480"/>
      <c r="BK80" s="481" t="s">
        <v>790</v>
      </c>
      <c r="BL80" s="481" t="s">
        <v>791</v>
      </c>
      <c r="BM80" s="284" t="s">
        <v>792</v>
      </c>
      <c r="BN80" s="414" t="s">
        <v>793</v>
      </c>
      <c r="BO80" s="284" t="s">
        <v>794</v>
      </c>
      <c r="BP80" s="285">
        <v>46134</v>
      </c>
      <c r="BQ80" s="482"/>
      <c r="BR80" s="963" t="s">
        <v>1073</v>
      </c>
      <c r="BS80" s="482"/>
      <c r="BT80" s="286" t="s">
        <v>796</v>
      </c>
      <c r="BU80" s="482" t="s">
        <v>797</v>
      </c>
      <c r="BV80" s="649" t="s">
        <v>1074</v>
      </c>
      <c r="BW80" s="284" t="s">
        <v>830</v>
      </c>
      <c r="BX80" s="284" t="s">
        <v>958</v>
      </c>
      <c r="BY80" s="284">
        <v>40666520</v>
      </c>
      <c r="BZ80" s="284"/>
      <c r="CA80" s="288">
        <v>5000</v>
      </c>
      <c r="CB80" s="483">
        <v>46143</v>
      </c>
      <c r="CC80" s="483">
        <v>46203</v>
      </c>
      <c r="CD80" s="759"/>
      <c r="CE80" s="485">
        <f t="shared" ref="CE80" si="230">AC80</f>
        <v>30</v>
      </c>
      <c r="CF80" s="484">
        <f t="shared" ref="CF80" si="231">AP80</f>
        <v>5000</v>
      </c>
      <c r="CG80" s="485">
        <v>30</v>
      </c>
      <c r="CH80" s="485">
        <f t="shared" ref="CH80" si="232">(X80/30)*CG80</f>
        <v>5000</v>
      </c>
      <c r="CI80" s="485">
        <v>30</v>
      </c>
      <c r="CJ80" s="485">
        <f t="shared" ref="CJ80" si="233">(X80/30)*CI80</f>
        <v>5000</v>
      </c>
      <c r="CK80" s="484">
        <f t="shared" ref="CK80" si="234">CF80-CH80</f>
        <v>0</v>
      </c>
      <c r="CL80" s="484">
        <f t="shared" ref="CL80" si="235">CF80-CJ80</f>
        <v>0</v>
      </c>
      <c r="CM80" s="1006"/>
      <c r="CN80" s="485">
        <f t="shared" ref="CN80" si="236">AD80</f>
        <v>30</v>
      </c>
      <c r="CO80" s="484">
        <f t="shared" ref="CO80" si="237">AQ80</f>
        <v>5000</v>
      </c>
      <c r="CP80" s="485">
        <v>30</v>
      </c>
      <c r="CQ80" s="485">
        <f t="shared" ref="CQ80" si="238">(X80/30)*CP80</f>
        <v>5000</v>
      </c>
      <c r="CR80" s="485">
        <v>30</v>
      </c>
      <c r="CS80" s="485">
        <f t="shared" ref="CS80" si="239">(X80/30)*CR80</f>
        <v>5000</v>
      </c>
      <c r="CT80" s="484">
        <f t="shared" ref="CT80" si="240">CO80-CQ80</f>
        <v>0</v>
      </c>
      <c r="CU80" s="484">
        <f t="shared" ref="CU80" si="241">CO80-CS80</f>
        <v>0</v>
      </c>
      <c r="CV80" s="1006"/>
      <c r="CW80" s="1007">
        <f t="shared" si="225"/>
        <v>10000</v>
      </c>
      <c r="CX80" s="486">
        <f t="shared" si="226"/>
        <v>10000</v>
      </c>
      <c r="CY80" s="486">
        <f t="shared" si="227"/>
        <v>10000</v>
      </c>
      <c r="CZ80" s="1007">
        <f t="shared" si="228"/>
        <v>0</v>
      </c>
      <c r="DA80" s="1007">
        <f t="shared" si="229"/>
        <v>0</v>
      </c>
    </row>
    <row r="81" spans="1:105" ht="51" hidden="1" x14ac:dyDescent="0.25">
      <c r="A81" s="472">
        <v>2026</v>
      </c>
      <c r="B81" s="472">
        <v>479</v>
      </c>
      <c r="C81" s="472" t="s">
        <v>64</v>
      </c>
      <c r="D81" s="472" t="s">
        <v>65</v>
      </c>
      <c r="E81" s="472">
        <v>125</v>
      </c>
      <c r="F81" s="472">
        <v>3000654</v>
      </c>
      <c r="G81" s="472">
        <v>5005023</v>
      </c>
      <c r="H81" s="472">
        <v>3</v>
      </c>
      <c r="I81" s="472">
        <v>12</v>
      </c>
      <c r="J81" s="472">
        <v>24</v>
      </c>
      <c r="K81" s="472">
        <v>135560</v>
      </c>
      <c r="L81" s="472" t="s">
        <v>66</v>
      </c>
      <c r="M81" s="124" t="s">
        <v>67</v>
      </c>
      <c r="N81" s="472">
        <v>95</v>
      </c>
      <c r="O81" s="474"/>
      <c r="P81" s="474" t="s">
        <v>4</v>
      </c>
      <c r="Q81" s="472" t="s">
        <v>68</v>
      </c>
      <c r="R81" s="475" t="s">
        <v>69</v>
      </c>
      <c r="S81" s="475" t="s">
        <v>137</v>
      </c>
      <c r="T81" s="475"/>
      <c r="U81" s="124" t="s">
        <v>182</v>
      </c>
      <c r="V81" s="475" t="s">
        <v>3</v>
      </c>
      <c r="W81" s="121">
        <v>1</v>
      </c>
      <c r="X81" s="476">
        <v>5000</v>
      </c>
      <c r="Y81" s="474"/>
      <c r="Z81" s="474"/>
      <c r="AA81" s="474"/>
      <c r="AB81" s="474"/>
      <c r="AC81" s="475">
        <v>30</v>
      </c>
      <c r="AD81" s="475">
        <v>30</v>
      </c>
      <c r="AE81" s="474"/>
      <c r="AF81" s="474"/>
      <c r="AG81" s="474"/>
      <c r="AH81" s="474"/>
      <c r="AI81" s="474"/>
      <c r="AJ81" s="474"/>
      <c r="AK81" s="477">
        <v>10000</v>
      </c>
      <c r="AL81" s="472" t="s">
        <v>73</v>
      </c>
      <c r="AM81" s="472" t="s">
        <v>73</v>
      </c>
      <c r="AN81" s="472" t="s">
        <v>73</v>
      </c>
      <c r="AO81" s="472" t="s">
        <v>73</v>
      </c>
      <c r="AP81" s="478">
        <v>5000</v>
      </c>
      <c r="AQ81" s="478">
        <v>5000</v>
      </c>
      <c r="AR81" s="472" t="s">
        <v>73</v>
      </c>
      <c r="AS81" s="472" t="s">
        <v>73</v>
      </c>
      <c r="AT81" s="472" t="s">
        <v>73</v>
      </c>
      <c r="AU81" s="472" t="s">
        <v>73</v>
      </c>
      <c r="AV81" s="472" t="s">
        <v>73</v>
      </c>
      <c r="AW81" s="472" t="s">
        <v>73</v>
      </c>
      <c r="AX81" s="30">
        <v>10000</v>
      </c>
      <c r="AY81" s="479" t="s">
        <v>7</v>
      </c>
      <c r="AZ81" s="474" t="s">
        <v>74</v>
      </c>
      <c r="BA81" s="474"/>
      <c r="BB81" s="480"/>
      <c r="BC81" s="480"/>
      <c r="BK81" s="481" t="s">
        <v>790</v>
      </c>
      <c r="BL81" s="481" t="s">
        <v>791</v>
      </c>
      <c r="BM81" s="284" t="s">
        <v>792</v>
      </c>
      <c r="BN81" s="414" t="s">
        <v>793</v>
      </c>
      <c r="BO81" s="284" t="s">
        <v>794</v>
      </c>
      <c r="BP81" s="285">
        <v>46134</v>
      </c>
      <c r="BQ81" s="482"/>
      <c r="BR81" s="963" t="s">
        <v>1075</v>
      </c>
      <c r="BS81" s="482"/>
      <c r="BT81" s="286" t="s">
        <v>796</v>
      </c>
      <c r="BU81" s="482" t="s">
        <v>797</v>
      </c>
      <c r="BV81" s="649" t="s">
        <v>1076</v>
      </c>
      <c r="BW81" s="284" t="s">
        <v>1077</v>
      </c>
      <c r="BX81" s="284" t="s">
        <v>1078</v>
      </c>
      <c r="BY81" s="284">
        <v>41143960</v>
      </c>
      <c r="BZ81" s="284"/>
      <c r="CA81" s="288">
        <v>5000</v>
      </c>
      <c r="CB81" s="483">
        <v>46143</v>
      </c>
      <c r="CC81" s="483">
        <v>46203</v>
      </c>
      <c r="CD81" s="759"/>
      <c r="CE81" s="485">
        <f t="shared" ref="CE81" si="242">AC81</f>
        <v>30</v>
      </c>
      <c r="CF81" s="484">
        <f t="shared" ref="CF81" si="243">AP81</f>
        <v>5000</v>
      </c>
      <c r="CG81" s="485">
        <v>30</v>
      </c>
      <c r="CH81" s="485">
        <f t="shared" ref="CH81" si="244">(X81/30)*CG81</f>
        <v>5000</v>
      </c>
      <c r="CI81" s="485">
        <v>30</v>
      </c>
      <c r="CJ81" s="485">
        <f t="shared" ref="CJ81" si="245">(X81/30)*CI81</f>
        <v>5000</v>
      </c>
      <c r="CK81" s="484">
        <f t="shared" ref="CK81" si="246">CF81-CH81</f>
        <v>0</v>
      </c>
      <c r="CL81" s="484">
        <f t="shared" ref="CL81" si="247">CF81-CJ81</f>
        <v>0</v>
      </c>
      <c r="CM81" s="1006"/>
      <c r="CN81" s="485">
        <f t="shared" ref="CN81" si="248">AD81</f>
        <v>30</v>
      </c>
      <c r="CO81" s="484">
        <f t="shared" ref="CO81" si="249">AQ81</f>
        <v>5000</v>
      </c>
      <c r="CP81" s="485">
        <v>30</v>
      </c>
      <c r="CQ81" s="485">
        <f t="shared" ref="CQ81" si="250">(X81/30)*CP81</f>
        <v>5000</v>
      </c>
      <c r="CR81" s="485">
        <v>30</v>
      </c>
      <c r="CS81" s="485">
        <f t="shared" ref="CS81" si="251">(X81/30)*CR81</f>
        <v>5000</v>
      </c>
      <c r="CT81" s="484">
        <f t="shared" ref="CT81" si="252">CO81-CQ81</f>
        <v>0</v>
      </c>
      <c r="CU81" s="484">
        <f t="shared" ref="CU81" si="253">CO81-CS81</f>
        <v>0</v>
      </c>
      <c r="CV81" s="1006"/>
      <c r="CW81" s="1007">
        <f t="shared" si="225"/>
        <v>10000</v>
      </c>
      <c r="CX81" s="486">
        <f t="shared" si="226"/>
        <v>10000</v>
      </c>
      <c r="CY81" s="486">
        <f t="shared" si="227"/>
        <v>10000</v>
      </c>
      <c r="CZ81" s="1007">
        <f t="shared" si="228"/>
        <v>0</v>
      </c>
      <c r="DA81" s="1007">
        <f t="shared" si="229"/>
        <v>0</v>
      </c>
    </row>
    <row r="82" spans="1:105" ht="51" hidden="1" x14ac:dyDescent="0.25">
      <c r="A82" s="472">
        <v>2026</v>
      </c>
      <c r="B82" s="472">
        <v>479</v>
      </c>
      <c r="C82" s="472" t="s">
        <v>64</v>
      </c>
      <c r="D82" s="472" t="s">
        <v>65</v>
      </c>
      <c r="E82" s="472">
        <v>125</v>
      </c>
      <c r="F82" s="472">
        <v>3000654</v>
      </c>
      <c r="G82" s="472">
        <v>5005023</v>
      </c>
      <c r="H82" s="472">
        <v>3</v>
      </c>
      <c r="I82" s="472">
        <v>12</v>
      </c>
      <c r="J82" s="472">
        <v>24</v>
      </c>
      <c r="K82" s="472">
        <v>135560</v>
      </c>
      <c r="L82" s="472" t="s">
        <v>66</v>
      </c>
      <c r="M82" s="124" t="s">
        <v>67</v>
      </c>
      <c r="N82" s="472">
        <v>95</v>
      </c>
      <c r="O82" s="474"/>
      <c r="P82" s="474" t="s">
        <v>4</v>
      </c>
      <c r="Q82" s="472" t="s">
        <v>68</v>
      </c>
      <c r="R82" s="475" t="s">
        <v>69</v>
      </c>
      <c r="S82" s="475" t="s">
        <v>137</v>
      </c>
      <c r="T82" s="475"/>
      <c r="U82" s="124" t="s">
        <v>182</v>
      </c>
      <c r="V82" s="475" t="s">
        <v>3</v>
      </c>
      <c r="W82" s="121">
        <v>1</v>
      </c>
      <c r="X82" s="476">
        <v>5000</v>
      </c>
      <c r="Y82" s="474"/>
      <c r="Z82" s="474"/>
      <c r="AA82" s="474"/>
      <c r="AB82" s="474"/>
      <c r="AC82" s="475">
        <v>30</v>
      </c>
      <c r="AD82" s="475">
        <v>30</v>
      </c>
      <c r="AE82" s="474"/>
      <c r="AF82" s="474"/>
      <c r="AG82" s="474"/>
      <c r="AH82" s="474"/>
      <c r="AI82" s="474"/>
      <c r="AJ82" s="474"/>
      <c r="AK82" s="477">
        <v>10000</v>
      </c>
      <c r="AL82" s="472" t="s">
        <v>73</v>
      </c>
      <c r="AM82" s="472" t="s">
        <v>73</v>
      </c>
      <c r="AN82" s="472" t="s">
        <v>73</v>
      </c>
      <c r="AO82" s="472" t="s">
        <v>73</v>
      </c>
      <c r="AP82" s="478">
        <v>5000</v>
      </c>
      <c r="AQ82" s="478">
        <v>5000</v>
      </c>
      <c r="AR82" s="472" t="s">
        <v>73</v>
      </c>
      <c r="AS82" s="472" t="s">
        <v>73</v>
      </c>
      <c r="AT82" s="472" t="s">
        <v>73</v>
      </c>
      <c r="AU82" s="472" t="s">
        <v>73</v>
      </c>
      <c r="AV82" s="472" t="s">
        <v>73</v>
      </c>
      <c r="AW82" s="472" t="s">
        <v>73</v>
      </c>
      <c r="AX82" s="30">
        <v>10000</v>
      </c>
      <c r="AY82" s="479" t="s">
        <v>7</v>
      </c>
      <c r="AZ82" s="474" t="s">
        <v>74</v>
      </c>
      <c r="BA82" s="474"/>
      <c r="BB82" s="480"/>
      <c r="BC82" s="480"/>
      <c r="BK82" s="481" t="s">
        <v>790</v>
      </c>
      <c r="BL82" s="481" t="s">
        <v>791</v>
      </c>
      <c r="BM82" s="284" t="s">
        <v>792</v>
      </c>
      <c r="BN82" s="414" t="s">
        <v>793</v>
      </c>
      <c r="BO82" s="284" t="s">
        <v>794</v>
      </c>
      <c r="BP82" s="285">
        <v>46134</v>
      </c>
      <c r="BQ82" s="482"/>
      <c r="BR82" s="963" t="s">
        <v>1079</v>
      </c>
      <c r="BS82" s="482"/>
      <c r="BT82" s="286" t="s">
        <v>796</v>
      </c>
      <c r="BU82" s="482" t="s">
        <v>797</v>
      </c>
      <c r="BV82" s="649" t="s">
        <v>895</v>
      </c>
      <c r="BW82" s="284" t="s">
        <v>1080</v>
      </c>
      <c r="BX82" s="284" t="s">
        <v>1081</v>
      </c>
      <c r="BY82" s="284">
        <v>45252382</v>
      </c>
      <c r="BZ82" s="284"/>
      <c r="CA82" s="288">
        <v>5000</v>
      </c>
      <c r="CB82" s="483">
        <v>46143</v>
      </c>
      <c r="CC82" s="483">
        <v>46203</v>
      </c>
      <c r="CD82" s="759"/>
      <c r="CE82" s="485">
        <f t="shared" ref="CE82:CE89" si="254">AC82</f>
        <v>30</v>
      </c>
      <c r="CF82" s="484">
        <f t="shared" ref="CF82:CF89" si="255">AP82</f>
        <v>5000</v>
      </c>
      <c r="CG82" s="485">
        <v>30</v>
      </c>
      <c r="CH82" s="485">
        <f t="shared" ref="CH82:CH89" si="256">(X82/30)*CG82</f>
        <v>5000</v>
      </c>
      <c r="CI82" s="485">
        <v>30</v>
      </c>
      <c r="CJ82" s="485">
        <f t="shared" ref="CJ82:CJ89" si="257">(X82/30)*CI82</f>
        <v>5000</v>
      </c>
      <c r="CK82" s="484">
        <f t="shared" ref="CK82:CK89" si="258">CF82-CH82</f>
        <v>0</v>
      </c>
      <c r="CL82" s="484">
        <f t="shared" ref="CL82:CL89" si="259">CF82-CJ82</f>
        <v>0</v>
      </c>
      <c r="CM82" s="1006"/>
      <c r="CN82" s="485">
        <f t="shared" ref="CN82:CN89" si="260">AD82</f>
        <v>30</v>
      </c>
      <c r="CO82" s="484">
        <f t="shared" ref="CO82:CO89" si="261">AQ82</f>
        <v>5000</v>
      </c>
      <c r="CP82" s="485">
        <v>30</v>
      </c>
      <c r="CQ82" s="485">
        <f t="shared" ref="CQ82:CQ89" si="262">(X82/30)*CP82</f>
        <v>5000</v>
      </c>
      <c r="CR82" s="485">
        <v>30</v>
      </c>
      <c r="CS82" s="485">
        <f t="shared" ref="CS82:CS89" si="263">(X82/30)*CR82</f>
        <v>5000</v>
      </c>
      <c r="CT82" s="484">
        <f t="shared" ref="CT82:CT89" si="264">CO82-CQ82</f>
        <v>0</v>
      </c>
      <c r="CU82" s="484">
        <f t="shared" ref="CU82:CU89" si="265">CO82-CS82</f>
        <v>0</v>
      </c>
      <c r="CV82" s="1006"/>
      <c r="CW82" s="1007">
        <f t="shared" si="225"/>
        <v>10000</v>
      </c>
      <c r="CX82" s="486">
        <f t="shared" si="226"/>
        <v>10000</v>
      </c>
      <c r="CY82" s="486">
        <f t="shared" si="227"/>
        <v>10000</v>
      </c>
      <c r="CZ82" s="1007">
        <f t="shared" si="228"/>
        <v>0</v>
      </c>
      <c r="DA82" s="1007">
        <f t="shared" si="229"/>
        <v>0</v>
      </c>
    </row>
    <row r="83" spans="1:105" ht="51" hidden="1" x14ac:dyDescent="0.25">
      <c r="A83" s="472">
        <v>2026</v>
      </c>
      <c r="B83" s="472">
        <v>479</v>
      </c>
      <c r="C83" s="472" t="s">
        <v>64</v>
      </c>
      <c r="D83" s="472" t="s">
        <v>65</v>
      </c>
      <c r="E83" s="472">
        <v>125</v>
      </c>
      <c r="F83" s="472">
        <v>3000654</v>
      </c>
      <c r="G83" s="472">
        <v>5005023</v>
      </c>
      <c r="H83" s="472">
        <v>3</v>
      </c>
      <c r="I83" s="472">
        <v>12</v>
      </c>
      <c r="J83" s="472">
        <v>24</v>
      </c>
      <c r="K83" s="472">
        <v>135560</v>
      </c>
      <c r="L83" s="472" t="s">
        <v>66</v>
      </c>
      <c r="M83" s="124" t="s">
        <v>67</v>
      </c>
      <c r="N83" s="472">
        <v>95</v>
      </c>
      <c r="O83" s="474"/>
      <c r="P83" s="474" t="s">
        <v>4</v>
      </c>
      <c r="Q83" s="472" t="s">
        <v>68</v>
      </c>
      <c r="R83" s="475" t="s">
        <v>69</v>
      </c>
      <c r="S83" s="475" t="s">
        <v>137</v>
      </c>
      <c r="T83" s="475"/>
      <c r="U83" s="124" t="s">
        <v>182</v>
      </c>
      <c r="V83" s="475" t="s">
        <v>3</v>
      </c>
      <c r="W83" s="121">
        <v>1</v>
      </c>
      <c r="X83" s="476">
        <v>5000</v>
      </c>
      <c r="Y83" s="474"/>
      <c r="Z83" s="474"/>
      <c r="AA83" s="474"/>
      <c r="AB83" s="474"/>
      <c r="AC83" s="475">
        <v>30</v>
      </c>
      <c r="AD83" s="475">
        <v>30</v>
      </c>
      <c r="AE83" s="474"/>
      <c r="AF83" s="474"/>
      <c r="AG83" s="474"/>
      <c r="AH83" s="474"/>
      <c r="AI83" s="474"/>
      <c r="AJ83" s="474"/>
      <c r="AK83" s="477">
        <v>10000</v>
      </c>
      <c r="AL83" s="472" t="s">
        <v>73</v>
      </c>
      <c r="AM83" s="472" t="s">
        <v>73</v>
      </c>
      <c r="AN83" s="472" t="s">
        <v>73</v>
      </c>
      <c r="AO83" s="472" t="s">
        <v>73</v>
      </c>
      <c r="AP83" s="478">
        <v>5000</v>
      </c>
      <c r="AQ83" s="478">
        <v>5000</v>
      </c>
      <c r="AR83" s="472" t="s">
        <v>73</v>
      </c>
      <c r="AS83" s="472" t="s">
        <v>73</v>
      </c>
      <c r="AT83" s="472" t="s">
        <v>73</v>
      </c>
      <c r="AU83" s="472" t="s">
        <v>73</v>
      </c>
      <c r="AV83" s="472" t="s">
        <v>73</v>
      </c>
      <c r="AW83" s="472" t="s">
        <v>73</v>
      </c>
      <c r="AX83" s="30">
        <v>10000</v>
      </c>
      <c r="AY83" s="479" t="s">
        <v>7</v>
      </c>
      <c r="AZ83" s="474" t="s">
        <v>74</v>
      </c>
      <c r="BA83" s="474"/>
      <c r="BB83" s="480"/>
      <c r="BC83" s="480"/>
      <c r="BK83" s="481" t="s">
        <v>790</v>
      </c>
      <c r="BL83" s="481" t="s">
        <v>791</v>
      </c>
      <c r="BM83" s="284" t="s">
        <v>792</v>
      </c>
      <c r="BN83" s="414" t="s">
        <v>793</v>
      </c>
      <c r="BO83" s="284" t="s">
        <v>794</v>
      </c>
      <c r="BP83" s="285">
        <v>46134</v>
      </c>
      <c r="BQ83" s="482"/>
      <c r="BR83" s="963" t="s">
        <v>1082</v>
      </c>
      <c r="BS83" s="482"/>
      <c r="BT83" s="286" t="s">
        <v>834</v>
      </c>
      <c r="BU83" s="482" t="s">
        <v>797</v>
      </c>
      <c r="BV83" s="649" t="s">
        <v>1083</v>
      </c>
      <c r="BW83" s="284" t="s">
        <v>1084</v>
      </c>
      <c r="BX83" s="284" t="s">
        <v>1085</v>
      </c>
      <c r="BY83" s="284" t="s">
        <v>1086</v>
      </c>
      <c r="BZ83" s="284"/>
      <c r="CA83" s="288">
        <v>5000</v>
      </c>
      <c r="CB83" s="483">
        <v>46143</v>
      </c>
      <c r="CC83" s="483">
        <v>46203</v>
      </c>
      <c r="CD83" s="759"/>
      <c r="CE83" s="485">
        <f t="shared" si="254"/>
        <v>30</v>
      </c>
      <c r="CF83" s="484">
        <f t="shared" si="255"/>
        <v>5000</v>
      </c>
      <c r="CG83" s="485">
        <v>30</v>
      </c>
      <c r="CH83" s="485">
        <f t="shared" si="256"/>
        <v>5000</v>
      </c>
      <c r="CI83" s="485">
        <v>30</v>
      </c>
      <c r="CJ83" s="485">
        <f t="shared" si="257"/>
        <v>5000</v>
      </c>
      <c r="CK83" s="484">
        <f t="shared" si="258"/>
        <v>0</v>
      </c>
      <c r="CL83" s="484">
        <f t="shared" si="259"/>
        <v>0</v>
      </c>
      <c r="CM83" s="1006"/>
      <c r="CN83" s="485">
        <f t="shared" si="260"/>
        <v>30</v>
      </c>
      <c r="CO83" s="484">
        <f t="shared" si="261"/>
        <v>5000</v>
      </c>
      <c r="CP83" s="485">
        <v>30</v>
      </c>
      <c r="CQ83" s="485">
        <f t="shared" si="262"/>
        <v>5000</v>
      </c>
      <c r="CR83" s="485">
        <v>30</v>
      </c>
      <c r="CS83" s="485">
        <f t="shared" si="263"/>
        <v>5000</v>
      </c>
      <c r="CT83" s="484">
        <f t="shared" si="264"/>
        <v>0</v>
      </c>
      <c r="CU83" s="484">
        <f t="shared" si="265"/>
        <v>0</v>
      </c>
      <c r="CV83" s="1006"/>
      <c r="CW83" s="1007">
        <f t="shared" si="225"/>
        <v>10000</v>
      </c>
      <c r="CX83" s="486">
        <f t="shared" si="226"/>
        <v>10000</v>
      </c>
      <c r="CY83" s="486">
        <f t="shared" si="227"/>
        <v>10000</v>
      </c>
      <c r="CZ83" s="1007">
        <f t="shared" si="228"/>
        <v>0</v>
      </c>
      <c r="DA83" s="1007">
        <f t="shared" si="229"/>
        <v>0</v>
      </c>
    </row>
    <row r="84" spans="1:105" ht="51" hidden="1" x14ac:dyDescent="0.25">
      <c r="A84" s="472">
        <v>2026</v>
      </c>
      <c r="B84" s="472">
        <v>479</v>
      </c>
      <c r="C84" s="472" t="s">
        <v>64</v>
      </c>
      <c r="D84" s="472" t="s">
        <v>65</v>
      </c>
      <c r="E84" s="472">
        <v>125</v>
      </c>
      <c r="F84" s="472">
        <v>3000654</v>
      </c>
      <c r="G84" s="472">
        <v>5005023</v>
      </c>
      <c r="H84" s="472">
        <v>3</v>
      </c>
      <c r="I84" s="472">
        <v>12</v>
      </c>
      <c r="J84" s="472">
        <v>24</v>
      </c>
      <c r="K84" s="472">
        <v>135560</v>
      </c>
      <c r="L84" s="472" t="s">
        <v>66</v>
      </c>
      <c r="M84" s="124" t="s">
        <v>67</v>
      </c>
      <c r="N84" s="472">
        <v>95</v>
      </c>
      <c r="O84" s="474"/>
      <c r="P84" s="474" t="s">
        <v>4</v>
      </c>
      <c r="Q84" s="472" t="s">
        <v>68</v>
      </c>
      <c r="R84" s="475" t="s">
        <v>69</v>
      </c>
      <c r="S84" s="475" t="s">
        <v>137</v>
      </c>
      <c r="T84" s="475"/>
      <c r="U84" s="124" t="s">
        <v>182</v>
      </c>
      <c r="V84" s="475" t="s">
        <v>3</v>
      </c>
      <c r="W84" s="121">
        <v>1</v>
      </c>
      <c r="X84" s="476">
        <v>5000</v>
      </c>
      <c r="Y84" s="474"/>
      <c r="Z84" s="474"/>
      <c r="AA84" s="474"/>
      <c r="AB84" s="474"/>
      <c r="AC84" s="475">
        <v>30</v>
      </c>
      <c r="AD84" s="475">
        <v>30</v>
      </c>
      <c r="AE84" s="474"/>
      <c r="AF84" s="474"/>
      <c r="AG84" s="474"/>
      <c r="AH84" s="474"/>
      <c r="AI84" s="474"/>
      <c r="AJ84" s="474"/>
      <c r="AK84" s="477">
        <v>10000</v>
      </c>
      <c r="AL84" s="472" t="s">
        <v>73</v>
      </c>
      <c r="AM84" s="472" t="s">
        <v>73</v>
      </c>
      <c r="AN84" s="472" t="s">
        <v>73</v>
      </c>
      <c r="AO84" s="472" t="s">
        <v>73</v>
      </c>
      <c r="AP84" s="478">
        <v>5000</v>
      </c>
      <c r="AQ84" s="478">
        <v>5000</v>
      </c>
      <c r="AR84" s="472" t="s">
        <v>73</v>
      </c>
      <c r="AS84" s="472" t="s">
        <v>73</v>
      </c>
      <c r="AT84" s="472" t="s">
        <v>73</v>
      </c>
      <c r="AU84" s="472" t="s">
        <v>73</v>
      </c>
      <c r="AV84" s="472" t="s">
        <v>73</v>
      </c>
      <c r="AW84" s="472" t="s">
        <v>73</v>
      </c>
      <c r="AX84" s="30">
        <v>10000</v>
      </c>
      <c r="AY84" s="479" t="s">
        <v>7</v>
      </c>
      <c r="AZ84" s="474" t="s">
        <v>74</v>
      </c>
      <c r="BA84" s="474"/>
      <c r="BB84" s="480"/>
      <c r="BC84" s="480"/>
      <c r="BK84" s="481" t="s">
        <v>790</v>
      </c>
      <c r="BL84" s="481" t="s">
        <v>791</v>
      </c>
      <c r="BM84" s="284" t="s">
        <v>792</v>
      </c>
      <c r="BN84" s="414" t="s">
        <v>793</v>
      </c>
      <c r="BO84" s="284" t="s">
        <v>794</v>
      </c>
      <c r="BP84" s="285">
        <v>46134</v>
      </c>
      <c r="BQ84" s="482"/>
      <c r="BR84" s="963" t="s">
        <v>1087</v>
      </c>
      <c r="BS84" s="482"/>
      <c r="BT84" s="286" t="s">
        <v>796</v>
      </c>
      <c r="BU84" s="482" t="s">
        <v>797</v>
      </c>
      <c r="BV84" s="649" t="s">
        <v>993</v>
      </c>
      <c r="BW84" s="284" t="s">
        <v>1088</v>
      </c>
      <c r="BX84" s="284" t="s">
        <v>1089</v>
      </c>
      <c r="BY84" s="284">
        <v>74288308</v>
      </c>
      <c r="BZ84" s="284"/>
      <c r="CA84" s="288">
        <v>5000</v>
      </c>
      <c r="CB84" s="483">
        <v>46143</v>
      </c>
      <c r="CC84" s="483">
        <v>46203</v>
      </c>
      <c r="CD84" s="759"/>
      <c r="CE84" s="485">
        <f t="shared" si="254"/>
        <v>30</v>
      </c>
      <c r="CF84" s="484">
        <f t="shared" si="255"/>
        <v>5000</v>
      </c>
      <c r="CG84" s="485">
        <v>30</v>
      </c>
      <c r="CH84" s="485">
        <f t="shared" si="256"/>
        <v>5000</v>
      </c>
      <c r="CI84" s="485">
        <v>30</v>
      </c>
      <c r="CJ84" s="485">
        <f t="shared" si="257"/>
        <v>5000</v>
      </c>
      <c r="CK84" s="484">
        <f t="shared" si="258"/>
        <v>0</v>
      </c>
      <c r="CL84" s="484">
        <f t="shared" si="259"/>
        <v>0</v>
      </c>
      <c r="CM84" s="1006"/>
      <c r="CN84" s="485">
        <f t="shared" si="260"/>
        <v>30</v>
      </c>
      <c r="CO84" s="484">
        <f t="shared" si="261"/>
        <v>5000</v>
      </c>
      <c r="CP84" s="485">
        <v>30</v>
      </c>
      <c r="CQ84" s="485">
        <f t="shared" si="262"/>
        <v>5000</v>
      </c>
      <c r="CR84" s="485">
        <v>30</v>
      </c>
      <c r="CS84" s="485">
        <f t="shared" si="263"/>
        <v>5000</v>
      </c>
      <c r="CT84" s="484">
        <f t="shared" si="264"/>
        <v>0</v>
      </c>
      <c r="CU84" s="484">
        <f t="shared" si="265"/>
        <v>0</v>
      </c>
      <c r="CV84" s="1006"/>
      <c r="CW84" s="1007">
        <f t="shared" si="225"/>
        <v>10000</v>
      </c>
      <c r="CX84" s="486">
        <f t="shared" si="226"/>
        <v>10000</v>
      </c>
      <c r="CY84" s="486">
        <f t="shared" si="227"/>
        <v>10000</v>
      </c>
      <c r="CZ84" s="1007">
        <f t="shared" si="228"/>
        <v>0</v>
      </c>
      <c r="DA84" s="1007">
        <f t="shared" si="229"/>
        <v>0</v>
      </c>
    </row>
    <row r="85" spans="1:105" ht="51" hidden="1" x14ac:dyDescent="0.25">
      <c r="A85" s="472">
        <v>2026</v>
      </c>
      <c r="B85" s="472">
        <v>479</v>
      </c>
      <c r="C85" s="472" t="s">
        <v>64</v>
      </c>
      <c r="D85" s="472" t="s">
        <v>65</v>
      </c>
      <c r="E85" s="472">
        <v>125</v>
      </c>
      <c r="F85" s="472">
        <v>3000654</v>
      </c>
      <c r="G85" s="472">
        <v>5005023</v>
      </c>
      <c r="H85" s="472">
        <v>3</v>
      </c>
      <c r="I85" s="472">
        <v>12</v>
      </c>
      <c r="J85" s="472">
        <v>24</v>
      </c>
      <c r="K85" s="472">
        <v>135560</v>
      </c>
      <c r="L85" s="472" t="s">
        <v>66</v>
      </c>
      <c r="M85" s="124" t="s">
        <v>67</v>
      </c>
      <c r="N85" s="472">
        <v>95</v>
      </c>
      <c r="O85" s="474"/>
      <c r="P85" s="474" t="s">
        <v>4</v>
      </c>
      <c r="Q85" s="472" t="s">
        <v>68</v>
      </c>
      <c r="R85" s="475" t="s">
        <v>69</v>
      </c>
      <c r="S85" s="475" t="s">
        <v>137</v>
      </c>
      <c r="T85" s="475"/>
      <c r="U85" s="124" t="s">
        <v>182</v>
      </c>
      <c r="V85" s="475" t="s">
        <v>3</v>
      </c>
      <c r="W85" s="121">
        <v>1</v>
      </c>
      <c r="X85" s="476">
        <v>5000</v>
      </c>
      <c r="Y85" s="474"/>
      <c r="Z85" s="474"/>
      <c r="AA85" s="474"/>
      <c r="AB85" s="474"/>
      <c r="AC85" s="475">
        <v>30</v>
      </c>
      <c r="AD85" s="475">
        <v>30</v>
      </c>
      <c r="AE85" s="474"/>
      <c r="AF85" s="474"/>
      <c r="AG85" s="474"/>
      <c r="AH85" s="474"/>
      <c r="AI85" s="474"/>
      <c r="AJ85" s="474"/>
      <c r="AK85" s="477">
        <v>10000</v>
      </c>
      <c r="AL85" s="472" t="s">
        <v>73</v>
      </c>
      <c r="AM85" s="472" t="s">
        <v>73</v>
      </c>
      <c r="AN85" s="472" t="s">
        <v>73</v>
      </c>
      <c r="AO85" s="472" t="s">
        <v>73</v>
      </c>
      <c r="AP85" s="478">
        <v>5000</v>
      </c>
      <c r="AQ85" s="478">
        <v>5000</v>
      </c>
      <c r="AR85" s="472" t="s">
        <v>73</v>
      </c>
      <c r="AS85" s="472" t="s">
        <v>73</v>
      </c>
      <c r="AT85" s="472" t="s">
        <v>73</v>
      </c>
      <c r="AU85" s="472" t="s">
        <v>73</v>
      </c>
      <c r="AV85" s="472" t="s">
        <v>73</v>
      </c>
      <c r="AW85" s="472" t="s">
        <v>73</v>
      </c>
      <c r="AX85" s="30">
        <v>10000</v>
      </c>
      <c r="AY85" s="479" t="s">
        <v>7</v>
      </c>
      <c r="AZ85" s="474" t="s">
        <v>74</v>
      </c>
      <c r="BA85" s="474"/>
      <c r="BB85" s="480"/>
      <c r="BC85" s="480"/>
      <c r="BK85" s="481" t="s">
        <v>790</v>
      </c>
      <c r="BL85" s="481" t="s">
        <v>791</v>
      </c>
      <c r="BM85" s="284" t="s">
        <v>792</v>
      </c>
      <c r="BN85" s="414" t="s">
        <v>793</v>
      </c>
      <c r="BO85" s="284" t="s">
        <v>794</v>
      </c>
      <c r="BP85" s="285">
        <v>46134</v>
      </c>
      <c r="BQ85" s="482"/>
      <c r="BR85" s="963" t="s">
        <v>1090</v>
      </c>
      <c r="BS85" s="482"/>
      <c r="BT85" s="286" t="s">
        <v>796</v>
      </c>
      <c r="BU85" s="482" t="s">
        <v>797</v>
      </c>
      <c r="BV85" s="649" t="s">
        <v>1091</v>
      </c>
      <c r="BW85" s="284" t="s">
        <v>1092</v>
      </c>
      <c r="BX85" s="284" t="s">
        <v>1093</v>
      </c>
      <c r="BY85" s="284">
        <v>10289960</v>
      </c>
      <c r="BZ85" s="284"/>
      <c r="CA85" s="288">
        <v>5000</v>
      </c>
      <c r="CB85" s="483">
        <v>46143</v>
      </c>
      <c r="CC85" s="483">
        <v>46203</v>
      </c>
      <c r="CD85" s="759"/>
      <c r="CE85" s="485">
        <f t="shared" si="254"/>
        <v>30</v>
      </c>
      <c r="CF85" s="484">
        <f t="shared" si="255"/>
        <v>5000</v>
      </c>
      <c r="CG85" s="485">
        <v>30</v>
      </c>
      <c r="CH85" s="485">
        <f t="shared" si="256"/>
        <v>5000</v>
      </c>
      <c r="CI85" s="485">
        <v>30</v>
      </c>
      <c r="CJ85" s="485">
        <f t="shared" si="257"/>
        <v>5000</v>
      </c>
      <c r="CK85" s="484">
        <f t="shared" si="258"/>
        <v>0</v>
      </c>
      <c r="CL85" s="484">
        <f t="shared" si="259"/>
        <v>0</v>
      </c>
      <c r="CM85" s="1006"/>
      <c r="CN85" s="485">
        <f t="shared" si="260"/>
        <v>30</v>
      </c>
      <c r="CO85" s="484">
        <f t="shared" si="261"/>
        <v>5000</v>
      </c>
      <c r="CP85" s="485">
        <v>30</v>
      </c>
      <c r="CQ85" s="485">
        <f t="shared" si="262"/>
        <v>5000</v>
      </c>
      <c r="CR85" s="485">
        <v>30</v>
      </c>
      <c r="CS85" s="485">
        <f t="shared" si="263"/>
        <v>5000</v>
      </c>
      <c r="CT85" s="484">
        <f t="shared" si="264"/>
        <v>0</v>
      </c>
      <c r="CU85" s="484">
        <f t="shared" si="265"/>
        <v>0</v>
      </c>
      <c r="CV85" s="1006"/>
      <c r="CW85" s="1007">
        <f t="shared" si="225"/>
        <v>10000</v>
      </c>
      <c r="CX85" s="486">
        <f t="shared" si="226"/>
        <v>10000</v>
      </c>
      <c r="CY85" s="486">
        <f t="shared" si="227"/>
        <v>10000</v>
      </c>
      <c r="CZ85" s="1007">
        <f t="shared" si="228"/>
        <v>0</v>
      </c>
      <c r="DA85" s="1007">
        <f t="shared" si="229"/>
        <v>0</v>
      </c>
    </row>
    <row r="86" spans="1:105" ht="51" hidden="1" x14ac:dyDescent="0.25">
      <c r="A86" s="472">
        <v>2026</v>
      </c>
      <c r="B86" s="472">
        <v>479</v>
      </c>
      <c r="C86" s="472" t="s">
        <v>64</v>
      </c>
      <c r="D86" s="472" t="s">
        <v>65</v>
      </c>
      <c r="E86" s="472">
        <v>125</v>
      </c>
      <c r="F86" s="472">
        <v>3000654</v>
      </c>
      <c r="G86" s="472">
        <v>5005023</v>
      </c>
      <c r="H86" s="472">
        <v>3</v>
      </c>
      <c r="I86" s="472">
        <v>12</v>
      </c>
      <c r="J86" s="472">
        <v>24</v>
      </c>
      <c r="K86" s="472">
        <v>135560</v>
      </c>
      <c r="L86" s="472" t="s">
        <v>66</v>
      </c>
      <c r="M86" s="124" t="s">
        <v>67</v>
      </c>
      <c r="N86" s="472">
        <v>95</v>
      </c>
      <c r="O86" s="474"/>
      <c r="P86" s="474" t="s">
        <v>4</v>
      </c>
      <c r="Q86" s="472" t="s">
        <v>68</v>
      </c>
      <c r="R86" s="475" t="s">
        <v>69</v>
      </c>
      <c r="S86" s="475" t="s">
        <v>137</v>
      </c>
      <c r="T86" s="475"/>
      <c r="U86" s="124" t="s">
        <v>182</v>
      </c>
      <c r="V86" s="475" t="s">
        <v>3</v>
      </c>
      <c r="W86" s="121">
        <v>1</v>
      </c>
      <c r="X86" s="476">
        <v>5000</v>
      </c>
      <c r="Y86" s="474"/>
      <c r="Z86" s="474"/>
      <c r="AA86" s="474"/>
      <c r="AB86" s="474"/>
      <c r="AC86" s="475">
        <v>30</v>
      </c>
      <c r="AD86" s="475">
        <v>30</v>
      </c>
      <c r="AE86" s="474"/>
      <c r="AF86" s="474"/>
      <c r="AG86" s="474"/>
      <c r="AH86" s="474"/>
      <c r="AI86" s="474"/>
      <c r="AJ86" s="474"/>
      <c r="AK86" s="477">
        <v>10000</v>
      </c>
      <c r="AL86" s="472" t="s">
        <v>73</v>
      </c>
      <c r="AM86" s="472" t="s">
        <v>73</v>
      </c>
      <c r="AN86" s="472" t="s">
        <v>73</v>
      </c>
      <c r="AO86" s="472" t="s">
        <v>73</v>
      </c>
      <c r="AP86" s="478">
        <v>5000</v>
      </c>
      <c r="AQ86" s="478">
        <v>5000</v>
      </c>
      <c r="AR86" s="472" t="s">
        <v>73</v>
      </c>
      <c r="AS86" s="472" t="s">
        <v>73</v>
      </c>
      <c r="AT86" s="472" t="s">
        <v>73</v>
      </c>
      <c r="AU86" s="472" t="s">
        <v>73</v>
      </c>
      <c r="AV86" s="472" t="s">
        <v>73</v>
      </c>
      <c r="AW86" s="472" t="s">
        <v>73</v>
      </c>
      <c r="AX86" s="30">
        <v>10000</v>
      </c>
      <c r="AY86" s="479" t="s">
        <v>7</v>
      </c>
      <c r="AZ86" s="474" t="s">
        <v>74</v>
      </c>
      <c r="BA86" s="474"/>
      <c r="BB86" s="480"/>
      <c r="BC86" s="480"/>
      <c r="BK86" s="481" t="s">
        <v>790</v>
      </c>
      <c r="BL86" s="481" t="s">
        <v>791</v>
      </c>
      <c r="BM86" s="284" t="s">
        <v>792</v>
      </c>
      <c r="BN86" s="414" t="s">
        <v>793</v>
      </c>
      <c r="BO86" s="284" t="s">
        <v>794</v>
      </c>
      <c r="BP86" s="285">
        <v>46134</v>
      </c>
      <c r="BQ86" s="482"/>
      <c r="BR86" s="963" t="s">
        <v>1094</v>
      </c>
      <c r="BS86" s="482"/>
      <c r="BT86" s="286" t="s">
        <v>796</v>
      </c>
      <c r="BU86" s="482" t="s">
        <v>797</v>
      </c>
      <c r="BV86" s="649" t="s">
        <v>1095</v>
      </c>
      <c r="BW86" s="284" t="s">
        <v>1096</v>
      </c>
      <c r="BX86" s="284" t="s">
        <v>1097</v>
      </c>
      <c r="BY86" s="284">
        <v>48723353</v>
      </c>
      <c r="BZ86" s="284"/>
      <c r="CA86" s="288">
        <v>5000</v>
      </c>
      <c r="CB86" s="483">
        <v>46143</v>
      </c>
      <c r="CC86" s="483">
        <v>46203</v>
      </c>
      <c r="CD86" s="759"/>
      <c r="CE86" s="485">
        <f t="shared" si="254"/>
        <v>30</v>
      </c>
      <c r="CF86" s="484">
        <f t="shared" si="255"/>
        <v>5000</v>
      </c>
      <c r="CG86" s="485">
        <v>30</v>
      </c>
      <c r="CH86" s="485">
        <f t="shared" si="256"/>
        <v>5000</v>
      </c>
      <c r="CI86" s="485">
        <v>30</v>
      </c>
      <c r="CJ86" s="485">
        <f t="shared" si="257"/>
        <v>5000</v>
      </c>
      <c r="CK86" s="484">
        <f t="shared" si="258"/>
        <v>0</v>
      </c>
      <c r="CL86" s="484">
        <f t="shared" si="259"/>
        <v>0</v>
      </c>
      <c r="CM86" s="1006"/>
      <c r="CN86" s="485">
        <f t="shared" si="260"/>
        <v>30</v>
      </c>
      <c r="CO86" s="484">
        <f t="shared" si="261"/>
        <v>5000</v>
      </c>
      <c r="CP86" s="485">
        <v>30</v>
      </c>
      <c r="CQ86" s="485">
        <f t="shared" si="262"/>
        <v>5000</v>
      </c>
      <c r="CR86" s="485">
        <v>30</v>
      </c>
      <c r="CS86" s="485">
        <f t="shared" si="263"/>
        <v>5000</v>
      </c>
      <c r="CT86" s="484">
        <f t="shared" si="264"/>
        <v>0</v>
      </c>
      <c r="CU86" s="484">
        <f t="shared" si="265"/>
        <v>0</v>
      </c>
      <c r="CV86" s="1006"/>
      <c r="CW86" s="1007">
        <f t="shared" si="225"/>
        <v>10000</v>
      </c>
      <c r="CX86" s="486">
        <f t="shared" si="226"/>
        <v>10000</v>
      </c>
      <c r="CY86" s="486">
        <f t="shared" si="227"/>
        <v>10000</v>
      </c>
      <c r="CZ86" s="1007">
        <f t="shared" si="228"/>
        <v>0</v>
      </c>
      <c r="DA86" s="1007">
        <f t="shared" si="229"/>
        <v>0</v>
      </c>
    </row>
    <row r="87" spans="1:105" ht="51" hidden="1" x14ac:dyDescent="0.25">
      <c r="A87" s="472">
        <v>2026</v>
      </c>
      <c r="B87" s="472">
        <v>479</v>
      </c>
      <c r="C87" s="472" t="s">
        <v>64</v>
      </c>
      <c r="D87" s="472" t="s">
        <v>65</v>
      </c>
      <c r="E87" s="472">
        <v>125</v>
      </c>
      <c r="F87" s="472">
        <v>3000654</v>
      </c>
      <c r="G87" s="472">
        <v>5005023</v>
      </c>
      <c r="H87" s="472">
        <v>3</v>
      </c>
      <c r="I87" s="472">
        <v>12</v>
      </c>
      <c r="J87" s="472">
        <v>24</v>
      </c>
      <c r="K87" s="472">
        <v>135560</v>
      </c>
      <c r="L87" s="472" t="s">
        <v>66</v>
      </c>
      <c r="M87" s="124" t="s">
        <v>67</v>
      </c>
      <c r="N87" s="472">
        <v>95</v>
      </c>
      <c r="O87" s="474"/>
      <c r="P87" s="474" t="s">
        <v>4</v>
      </c>
      <c r="Q87" s="472" t="s">
        <v>68</v>
      </c>
      <c r="R87" s="475" t="s">
        <v>69</v>
      </c>
      <c r="S87" s="475" t="s">
        <v>137</v>
      </c>
      <c r="T87" s="475"/>
      <c r="U87" s="124" t="s">
        <v>182</v>
      </c>
      <c r="V87" s="475" t="s">
        <v>3</v>
      </c>
      <c r="W87" s="121">
        <v>1</v>
      </c>
      <c r="X87" s="476">
        <v>5000</v>
      </c>
      <c r="Y87" s="474"/>
      <c r="Z87" s="474"/>
      <c r="AA87" s="474"/>
      <c r="AB87" s="474"/>
      <c r="AC87" s="475">
        <v>30</v>
      </c>
      <c r="AD87" s="475">
        <v>30</v>
      </c>
      <c r="AE87" s="474"/>
      <c r="AF87" s="474"/>
      <c r="AG87" s="474"/>
      <c r="AH87" s="474"/>
      <c r="AI87" s="474"/>
      <c r="AJ87" s="474"/>
      <c r="AK87" s="477">
        <v>10000</v>
      </c>
      <c r="AL87" s="472" t="s">
        <v>73</v>
      </c>
      <c r="AM87" s="472" t="s">
        <v>73</v>
      </c>
      <c r="AN87" s="472" t="s">
        <v>73</v>
      </c>
      <c r="AO87" s="472" t="s">
        <v>73</v>
      </c>
      <c r="AP87" s="478">
        <v>5000</v>
      </c>
      <c r="AQ87" s="478">
        <v>5000</v>
      </c>
      <c r="AR87" s="472" t="s">
        <v>73</v>
      </c>
      <c r="AS87" s="472" t="s">
        <v>73</v>
      </c>
      <c r="AT87" s="472" t="s">
        <v>73</v>
      </c>
      <c r="AU87" s="472" t="s">
        <v>73</v>
      </c>
      <c r="AV87" s="472" t="s">
        <v>73</v>
      </c>
      <c r="AW87" s="472" t="s">
        <v>73</v>
      </c>
      <c r="AX87" s="30">
        <v>10000</v>
      </c>
      <c r="AY87" s="479" t="s">
        <v>7</v>
      </c>
      <c r="AZ87" s="474" t="s">
        <v>74</v>
      </c>
      <c r="BA87" s="474"/>
      <c r="BB87" s="480"/>
      <c r="BC87" s="480"/>
      <c r="BK87" s="481" t="s">
        <v>790</v>
      </c>
      <c r="BL87" s="481" t="s">
        <v>791</v>
      </c>
      <c r="BM87" s="284" t="s">
        <v>792</v>
      </c>
      <c r="BN87" s="414" t="s">
        <v>793</v>
      </c>
      <c r="BO87" s="284" t="s">
        <v>794</v>
      </c>
      <c r="BP87" s="285">
        <v>46134</v>
      </c>
      <c r="BQ87" s="482"/>
      <c r="BR87" s="963" t="s">
        <v>1098</v>
      </c>
      <c r="BS87" s="482"/>
      <c r="BT87" s="286" t="s">
        <v>796</v>
      </c>
      <c r="BU87" s="482" t="s">
        <v>797</v>
      </c>
      <c r="BV87" s="649" t="s">
        <v>886</v>
      </c>
      <c r="BW87" s="284" t="s">
        <v>1099</v>
      </c>
      <c r="BX87" s="284" t="s">
        <v>1100</v>
      </c>
      <c r="BY87" s="284">
        <v>43978086</v>
      </c>
      <c r="BZ87" s="284"/>
      <c r="CA87" s="288">
        <v>5000</v>
      </c>
      <c r="CB87" s="483">
        <v>46143</v>
      </c>
      <c r="CC87" s="483">
        <v>46203</v>
      </c>
      <c r="CD87" s="759"/>
      <c r="CE87" s="485">
        <f t="shared" si="254"/>
        <v>30</v>
      </c>
      <c r="CF87" s="484">
        <f t="shared" si="255"/>
        <v>5000</v>
      </c>
      <c r="CG87" s="485">
        <v>30</v>
      </c>
      <c r="CH87" s="485">
        <f t="shared" si="256"/>
        <v>5000</v>
      </c>
      <c r="CI87" s="485">
        <v>30</v>
      </c>
      <c r="CJ87" s="485">
        <f t="shared" si="257"/>
        <v>5000</v>
      </c>
      <c r="CK87" s="484">
        <f t="shared" si="258"/>
        <v>0</v>
      </c>
      <c r="CL87" s="484">
        <f t="shared" si="259"/>
        <v>0</v>
      </c>
      <c r="CM87" s="1006"/>
      <c r="CN87" s="485">
        <f t="shared" si="260"/>
        <v>30</v>
      </c>
      <c r="CO87" s="484">
        <f t="shared" si="261"/>
        <v>5000</v>
      </c>
      <c r="CP87" s="485">
        <v>30</v>
      </c>
      <c r="CQ87" s="485">
        <f t="shared" si="262"/>
        <v>5000</v>
      </c>
      <c r="CR87" s="485">
        <v>30</v>
      </c>
      <c r="CS87" s="485">
        <f t="shared" si="263"/>
        <v>5000</v>
      </c>
      <c r="CT87" s="484">
        <f t="shared" si="264"/>
        <v>0</v>
      </c>
      <c r="CU87" s="484">
        <f t="shared" si="265"/>
        <v>0</v>
      </c>
      <c r="CV87" s="1006"/>
      <c r="CW87" s="1007">
        <f t="shared" si="225"/>
        <v>10000</v>
      </c>
      <c r="CX87" s="486">
        <f t="shared" si="226"/>
        <v>10000</v>
      </c>
      <c r="CY87" s="486">
        <f t="shared" si="227"/>
        <v>10000</v>
      </c>
      <c r="CZ87" s="1007">
        <f t="shared" si="228"/>
        <v>0</v>
      </c>
      <c r="DA87" s="1007">
        <f t="shared" si="229"/>
        <v>0</v>
      </c>
    </row>
    <row r="88" spans="1:105" ht="51" hidden="1" x14ac:dyDescent="0.25">
      <c r="A88" s="472">
        <v>2026</v>
      </c>
      <c r="B88" s="472">
        <v>479</v>
      </c>
      <c r="C88" s="472" t="s">
        <v>64</v>
      </c>
      <c r="D88" s="472" t="s">
        <v>65</v>
      </c>
      <c r="E88" s="472">
        <v>125</v>
      </c>
      <c r="F88" s="472">
        <v>3000654</v>
      </c>
      <c r="G88" s="472">
        <v>5005023</v>
      </c>
      <c r="H88" s="472">
        <v>3</v>
      </c>
      <c r="I88" s="472">
        <v>12</v>
      </c>
      <c r="J88" s="472">
        <v>24</v>
      </c>
      <c r="K88" s="472">
        <v>135560</v>
      </c>
      <c r="L88" s="472" t="s">
        <v>66</v>
      </c>
      <c r="M88" s="124" t="s">
        <v>67</v>
      </c>
      <c r="N88" s="472">
        <v>95</v>
      </c>
      <c r="O88" s="474"/>
      <c r="P88" s="474" t="s">
        <v>4</v>
      </c>
      <c r="Q88" s="472" t="s">
        <v>68</v>
      </c>
      <c r="R88" s="475" t="s">
        <v>69</v>
      </c>
      <c r="S88" s="475" t="s">
        <v>137</v>
      </c>
      <c r="T88" s="475"/>
      <c r="U88" s="124" t="s">
        <v>182</v>
      </c>
      <c r="V88" s="475" t="s">
        <v>3</v>
      </c>
      <c r="W88" s="121">
        <v>1</v>
      </c>
      <c r="X88" s="476">
        <v>5000</v>
      </c>
      <c r="Y88" s="474"/>
      <c r="Z88" s="474"/>
      <c r="AA88" s="474"/>
      <c r="AB88" s="474"/>
      <c r="AC88" s="475">
        <v>30</v>
      </c>
      <c r="AD88" s="475">
        <v>30</v>
      </c>
      <c r="AE88" s="474"/>
      <c r="AF88" s="474"/>
      <c r="AG88" s="474"/>
      <c r="AH88" s="474"/>
      <c r="AI88" s="474"/>
      <c r="AJ88" s="474"/>
      <c r="AK88" s="477">
        <v>10000</v>
      </c>
      <c r="AL88" s="472" t="s">
        <v>73</v>
      </c>
      <c r="AM88" s="472" t="s">
        <v>73</v>
      </c>
      <c r="AN88" s="472" t="s">
        <v>73</v>
      </c>
      <c r="AO88" s="472" t="s">
        <v>73</v>
      </c>
      <c r="AP88" s="478">
        <v>5000</v>
      </c>
      <c r="AQ88" s="478">
        <v>5000</v>
      </c>
      <c r="AR88" s="472" t="s">
        <v>73</v>
      </c>
      <c r="AS88" s="472" t="s">
        <v>73</v>
      </c>
      <c r="AT88" s="472" t="s">
        <v>73</v>
      </c>
      <c r="AU88" s="472" t="s">
        <v>73</v>
      </c>
      <c r="AV88" s="472" t="s">
        <v>73</v>
      </c>
      <c r="AW88" s="472" t="s">
        <v>73</v>
      </c>
      <c r="AX88" s="30">
        <v>10000</v>
      </c>
      <c r="AY88" s="479" t="s">
        <v>7</v>
      </c>
      <c r="AZ88" s="474" t="s">
        <v>74</v>
      </c>
      <c r="BA88" s="474"/>
      <c r="BB88" s="480"/>
      <c r="BC88" s="480"/>
      <c r="BK88" s="481" t="s">
        <v>790</v>
      </c>
      <c r="BL88" s="481" t="s">
        <v>791</v>
      </c>
      <c r="BM88" s="284" t="s">
        <v>792</v>
      </c>
      <c r="BN88" s="414" t="s">
        <v>793</v>
      </c>
      <c r="BO88" s="284" t="s">
        <v>794</v>
      </c>
      <c r="BP88" s="285">
        <v>46134</v>
      </c>
      <c r="BQ88" s="482"/>
      <c r="BR88" s="963" t="s">
        <v>1101</v>
      </c>
      <c r="BS88" s="482"/>
      <c r="BT88" s="286" t="s">
        <v>796</v>
      </c>
      <c r="BU88" s="482" t="s">
        <v>797</v>
      </c>
      <c r="BV88" s="649" t="s">
        <v>1102</v>
      </c>
      <c r="BW88" s="284" t="s">
        <v>1103</v>
      </c>
      <c r="BX88" s="284" t="s">
        <v>1104</v>
      </c>
      <c r="BY88" s="284">
        <v>73056060</v>
      </c>
      <c r="BZ88" s="284"/>
      <c r="CA88" s="288">
        <v>5000</v>
      </c>
      <c r="CB88" s="483">
        <v>46143</v>
      </c>
      <c r="CC88" s="483">
        <v>46203</v>
      </c>
      <c r="CD88" s="759"/>
      <c r="CE88" s="485">
        <f t="shared" si="254"/>
        <v>30</v>
      </c>
      <c r="CF88" s="484">
        <f t="shared" si="255"/>
        <v>5000</v>
      </c>
      <c r="CG88" s="485">
        <v>30</v>
      </c>
      <c r="CH88" s="485">
        <f t="shared" si="256"/>
        <v>5000</v>
      </c>
      <c r="CI88" s="485">
        <v>30</v>
      </c>
      <c r="CJ88" s="485">
        <f t="shared" si="257"/>
        <v>5000</v>
      </c>
      <c r="CK88" s="484">
        <f t="shared" si="258"/>
        <v>0</v>
      </c>
      <c r="CL88" s="484">
        <f t="shared" si="259"/>
        <v>0</v>
      </c>
      <c r="CM88" s="1006"/>
      <c r="CN88" s="485">
        <f t="shared" si="260"/>
        <v>30</v>
      </c>
      <c r="CO88" s="484">
        <f t="shared" si="261"/>
        <v>5000</v>
      </c>
      <c r="CP88" s="485">
        <v>30</v>
      </c>
      <c r="CQ88" s="485">
        <f t="shared" si="262"/>
        <v>5000</v>
      </c>
      <c r="CR88" s="485">
        <v>30</v>
      </c>
      <c r="CS88" s="485">
        <f t="shared" si="263"/>
        <v>5000</v>
      </c>
      <c r="CT88" s="484">
        <f t="shared" si="264"/>
        <v>0</v>
      </c>
      <c r="CU88" s="484">
        <f t="shared" si="265"/>
        <v>0</v>
      </c>
      <c r="CV88" s="1006"/>
      <c r="CW88" s="1007">
        <f t="shared" si="225"/>
        <v>10000</v>
      </c>
      <c r="CX88" s="486">
        <f t="shared" si="226"/>
        <v>10000</v>
      </c>
      <c r="CY88" s="486">
        <f t="shared" si="227"/>
        <v>10000</v>
      </c>
      <c r="CZ88" s="1007">
        <f t="shared" si="228"/>
        <v>0</v>
      </c>
      <c r="DA88" s="1007">
        <f t="shared" si="229"/>
        <v>0</v>
      </c>
    </row>
    <row r="89" spans="1:105" ht="51" hidden="1" x14ac:dyDescent="0.25">
      <c r="A89" s="472">
        <v>2026</v>
      </c>
      <c r="B89" s="472">
        <v>479</v>
      </c>
      <c r="C89" s="472" t="s">
        <v>64</v>
      </c>
      <c r="D89" s="472" t="s">
        <v>65</v>
      </c>
      <c r="E89" s="472">
        <v>125</v>
      </c>
      <c r="F89" s="472">
        <v>3000654</v>
      </c>
      <c r="G89" s="472">
        <v>5005023</v>
      </c>
      <c r="H89" s="472">
        <v>3</v>
      </c>
      <c r="I89" s="472">
        <v>12</v>
      </c>
      <c r="J89" s="472">
        <v>24</v>
      </c>
      <c r="K89" s="472">
        <v>135560</v>
      </c>
      <c r="L89" s="472" t="s">
        <v>66</v>
      </c>
      <c r="M89" s="124" t="s">
        <v>67</v>
      </c>
      <c r="N89" s="472">
        <v>95</v>
      </c>
      <c r="O89" s="474"/>
      <c r="P89" s="474" t="s">
        <v>4</v>
      </c>
      <c r="Q89" s="472" t="s">
        <v>68</v>
      </c>
      <c r="R89" s="475" t="s">
        <v>69</v>
      </c>
      <c r="S89" s="475" t="s">
        <v>137</v>
      </c>
      <c r="T89" s="475"/>
      <c r="U89" s="124" t="s">
        <v>182</v>
      </c>
      <c r="V89" s="475" t="s">
        <v>3</v>
      </c>
      <c r="W89" s="121">
        <v>1</v>
      </c>
      <c r="X89" s="476">
        <v>5000</v>
      </c>
      <c r="Y89" s="474"/>
      <c r="Z89" s="474"/>
      <c r="AA89" s="474"/>
      <c r="AB89" s="474"/>
      <c r="AC89" s="475">
        <v>30</v>
      </c>
      <c r="AD89" s="475">
        <v>30</v>
      </c>
      <c r="AE89" s="474"/>
      <c r="AF89" s="474"/>
      <c r="AG89" s="474"/>
      <c r="AH89" s="474"/>
      <c r="AI89" s="474"/>
      <c r="AJ89" s="474"/>
      <c r="AK89" s="477">
        <v>10000</v>
      </c>
      <c r="AL89" s="472" t="s">
        <v>73</v>
      </c>
      <c r="AM89" s="472" t="s">
        <v>73</v>
      </c>
      <c r="AN89" s="472" t="s">
        <v>73</v>
      </c>
      <c r="AO89" s="472" t="s">
        <v>73</v>
      </c>
      <c r="AP89" s="478">
        <v>5000</v>
      </c>
      <c r="AQ89" s="478">
        <v>5000</v>
      </c>
      <c r="AR89" s="472" t="s">
        <v>73</v>
      </c>
      <c r="AS89" s="472" t="s">
        <v>73</v>
      </c>
      <c r="AT89" s="472" t="s">
        <v>73</v>
      </c>
      <c r="AU89" s="472" t="s">
        <v>73</v>
      </c>
      <c r="AV89" s="472" t="s">
        <v>73</v>
      </c>
      <c r="AW89" s="472" t="s">
        <v>73</v>
      </c>
      <c r="AX89" s="30">
        <v>10000</v>
      </c>
      <c r="AY89" s="479" t="s">
        <v>7</v>
      </c>
      <c r="AZ89" s="474" t="s">
        <v>74</v>
      </c>
      <c r="BA89" s="474"/>
      <c r="BB89" s="480"/>
      <c r="BC89" s="480"/>
      <c r="BK89" s="481" t="s">
        <v>790</v>
      </c>
      <c r="BL89" s="481" t="s">
        <v>791</v>
      </c>
      <c r="BM89" s="284" t="s">
        <v>792</v>
      </c>
      <c r="BN89" s="414" t="s">
        <v>793</v>
      </c>
      <c r="BO89" s="284" t="s">
        <v>794</v>
      </c>
      <c r="BP89" s="285">
        <v>46134</v>
      </c>
      <c r="BQ89" s="482"/>
      <c r="BR89" s="963" t="s">
        <v>1105</v>
      </c>
      <c r="BS89" s="482"/>
      <c r="BT89" s="286" t="s">
        <v>796</v>
      </c>
      <c r="BU89" s="482" t="s">
        <v>797</v>
      </c>
      <c r="BV89" s="649" t="s">
        <v>848</v>
      </c>
      <c r="BW89" s="284" t="s">
        <v>859</v>
      </c>
      <c r="BX89" s="284" t="s">
        <v>1106</v>
      </c>
      <c r="BY89" s="284" t="s">
        <v>1107</v>
      </c>
      <c r="BZ89" s="284"/>
      <c r="CA89" s="288">
        <v>5000</v>
      </c>
      <c r="CB89" s="483">
        <v>46143</v>
      </c>
      <c r="CC89" s="483">
        <v>46203</v>
      </c>
      <c r="CD89" s="759"/>
      <c r="CE89" s="485">
        <f t="shared" si="254"/>
        <v>30</v>
      </c>
      <c r="CF89" s="484">
        <f t="shared" si="255"/>
        <v>5000</v>
      </c>
      <c r="CG89" s="485">
        <v>30</v>
      </c>
      <c r="CH89" s="485">
        <f t="shared" si="256"/>
        <v>5000</v>
      </c>
      <c r="CI89" s="485">
        <v>30</v>
      </c>
      <c r="CJ89" s="485">
        <f t="shared" si="257"/>
        <v>5000</v>
      </c>
      <c r="CK89" s="484">
        <f t="shared" si="258"/>
        <v>0</v>
      </c>
      <c r="CL89" s="484">
        <f t="shared" si="259"/>
        <v>0</v>
      </c>
      <c r="CM89" s="1006"/>
      <c r="CN89" s="485">
        <f t="shared" si="260"/>
        <v>30</v>
      </c>
      <c r="CO89" s="484">
        <f t="shared" si="261"/>
        <v>5000</v>
      </c>
      <c r="CP89" s="485">
        <v>30</v>
      </c>
      <c r="CQ89" s="485">
        <f t="shared" si="262"/>
        <v>5000</v>
      </c>
      <c r="CR89" s="485">
        <v>30</v>
      </c>
      <c r="CS89" s="485">
        <f t="shared" si="263"/>
        <v>5000</v>
      </c>
      <c r="CT89" s="484">
        <f t="shared" si="264"/>
        <v>0</v>
      </c>
      <c r="CU89" s="484">
        <f t="shared" si="265"/>
        <v>0</v>
      </c>
      <c r="CV89" s="1006"/>
      <c r="CW89" s="1007">
        <f t="shared" si="225"/>
        <v>10000</v>
      </c>
      <c r="CX89" s="486">
        <f t="shared" si="226"/>
        <v>10000</v>
      </c>
      <c r="CY89" s="486">
        <f t="shared" si="227"/>
        <v>10000</v>
      </c>
      <c r="CZ89" s="1007">
        <f t="shared" si="228"/>
        <v>0</v>
      </c>
      <c r="DA89" s="1007">
        <f t="shared" si="229"/>
        <v>0</v>
      </c>
    </row>
    <row r="90" spans="1:105" ht="51" hidden="1" x14ac:dyDescent="0.25">
      <c r="A90" s="472">
        <v>2026</v>
      </c>
      <c r="B90" s="472">
        <v>479</v>
      </c>
      <c r="C90" s="472" t="s">
        <v>64</v>
      </c>
      <c r="D90" s="472" t="s">
        <v>65</v>
      </c>
      <c r="E90" s="472">
        <v>125</v>
      </c>
      <c r="F90" s="472">
        <v>3000654</v>
      </c>
      <c r="G90" s="472">
        <v>5005023</v>
      </c>
      <c r="H90" s="472">
        <v>3</v>
      </c>
      <c r="I90" s="472">
        <v>12</v>
      </c>
      <c r="J90" s="472">
        <v>24</v>
      </c>
      <c r="K90" s="472">
        <v>135560</v>
      </c>
      <c r="L90" s="472" t="s">
        <v>66</v>
      </c>
      <c r="M90" s="124" t="s">
        <v>67</v>
      </c>
      <c r="N90" s="472">
        <v>95</v>
      </c>
      <c r="O90" s="474"/>
      <c r="P90" s="474" t="s">
        <v>4</v>
      </c>
      <c r="Q90" s="472" t="s">
        <v>68</v>
      </c>
      <c r="R90" s="475" t="s">
        <v>69</v>
      </c>
      <c r="S90" s="475" t="s">
        <v>137</v>
      </c>
      <c r="T90" s="475"/>
      <c r="U90" s="124" t="s">
        <v>182</v>
      </c>
      <c r="V90" s="475" t="s">
        <v>3</v>
      </c>
      <c r="W90" s="121">
        <v>1</v>
      </c>
      <c r="X90" s="476">
        <v>5000</v>
      </c>
      <c r="Y90" s="474"/>
      <c r="Z90" s="474"/>
      <c r="AA90" s="474"/>
      <c r="AB90" s="474"/>
      <c r="AC90" s="475">
        <v>30</v>
      </c>
      <c r="AD90" s="475">
        <v>30</v>
      </c>
      <c r="AE90" s="474"/>
      <c r="AF90" s="474"/>
      <c r="AG90" s="474"/>
      <c r="AH90" s="474"/>
      <c r="AI90" s="474"/>
      <c r="AJ90" s="474"/>
      <c r="AK90" s="477">
        <v>10000</v>
      </c>
      <c r="AL90" s="472" t="s">
        <v>73</v>
      </c>
      <c r="AM90" s="472" t="s">
        <v>73</v>
      </c>
      <c r="AN90" s="472" t="s">
        <v>73</v>
      </c>
      <c r="AO90" s="472" t="s">
        <v>73</v>
      </c>
      <c r="AP90" s="478">
        <v>5000</v>
      </c>
      <c r="AQ90" s="478">
        <v>5000</v>
      </c>
      <c r="AR90" s="472" t="s">
        <v>73</v>
      </c>
      <c r="AS90" s="472" t="s">
        <v>73</v>
      </c>
      <c r="AT90" s="472" t="s">
        <v>73</v>
      </c>
      <c r="AU90" s="472" t="s">
        <v>73</v>
      </c>
      <c r="AV90" s="472" t="s">
        <v>73</v>
      </c>
      <c r="AW90" s="472" t="s">
        <v>73</v>
      </c>
      <c r="AX90" s="30">
        <v>10000</v>
      </c>
      <c r="AY90" s="479" t="s">
        <v>7</v>
      </c>
      <c r="AZ90" s="474" t="s">
        <v>74</v>
      </c>
      <c r="BA90" s="474"/>
      <c r="BB90" s="480"/>
      <c r="BC90" s="480"/>
      <c r="BK90" s="481" t="s">
        <v>790</v>
      </c>
      <c r="BL90" s="481" t="s">
        <v>791</v>
      </c>
      <c r="BM90" s="284" t="s">
        <v>792</v>
      </c>
      <c r="BN90" s="414" t="s">
        <v>793</v>
      </c>
      <c r="BO90" s="284" t="s">
        <v>794</v>
      </c>
      <c r="BP90" s="285">
        <v>46134</v>
      </c>
      <c r="BQ90" s="482"/>
      <c r="BR90" s="963" t="s">
        <v>1108</v>
      </c>
      <c r="BS90" s="482"/>
      <c r="BT90" s="286" t="s">
        <v>796</v>
      </c>
      <c r="BU90" s="482" t="s">
        <v>797</v>
      </c>
      <c r="BV90" s="649" t="s">
        <v>1109</v>
      </c>
      <c r="BW90" s="284" t="s">
        <v>1110</v>
      </c>
      <c r="BX90" s="284" t="s">
        <v>1111</v>
      </c>
      <c r="BY90" s="284" t="s">
        <v>1112</v>
      </c>
      <c r="BZ90" s="284"/>
      <c r="CA90" s="288">
        <v>5000</v>
      </c>
      <c r="CB90" s="483">
        <v>46143</v>
      </c>
      <c r="CC90" s="483">
        <v>46203</v>
      </c>
      <c r="CD90" s="759"/>
      <c r="CE90" s="485">
        <f t="shared" ref="CE90:CE95" si="266">AC90</f>
        <v>30</v>
      </c>
      <c r="CF90" s="484">
        <f t="shared" ref="CF90:CF95" si="267">AP90</f>
        <v>5000</v>
      </c>
      <c r="CG90" s="485">
        <v>30</v>
      </c>
      <c r="CH90" s="485">
        <f t="shared" ref="CH90:CH95" si="268">(X90/30)*CG90</f>
        <v>5000</v>
      </c>
      <c r="CI90" s="485">
        <v>30</v>
      </c>
      <c r="CJ90" s="485">
        <f t="shared" ref="CJ90:CJ95" si="269">(X90/30)*CI90</f>
        <v>5000</v>
      </c>
      <c r="CK90" s="484">
        <f t="shared" ref="CK90:CK95" si="270">CF90-CH90</f>
        <v>0</v>
      </c>
      <c r="CL90" s="484">
        <f t="shared" ref="CL90:CL95" si="271">CF90-CJ90</f>
        <v>0</v>
      </c>
      <c r="CM90" s="1006"/>
      <c r="CN90" s="485">
        <f t="shared" ref="CN90:CN95" si="272">AD90</f>
        <v>30</v>
      </c>
      <c r="CO90" s="484">
        <f t="shared" ref="CO90:CO95" si="273">AQ90</f>
        <v>5000</v>
      </c>
      <c r="CP90" s="485">
        <v>30</v>
      </c>
      <c r="CQ90" s="485">
        <f t="shared" ref="CQ90:CQ95" si="274">(X90/30)*CP90</f>
        <v>5000</v>
      </c>
      <c r="CR90" s="485">
        <v>30</v>
      </c>
      <c r="CS90" s="485">
        <f t="shared" ref="CS90:CS95" si="275">(X90/30)*CR90</f>
        <v>5000</v>
      </c>
      <c r="CT90" s="484">
        <f t="shared" ref="CT90:CT95" si="276">CO90-CQ90</f>
        <v>0</v>
      </c>
      <c r="CU90" s="484">
        <f t="shared" ref="CU90:CU95" si="277">CO90-CS90</f>
        <v>0</v>
      </c>
      <c r="CV90" s="1006"/>
      <c r="CW90" s="1007">
        <f t="shared" si="225"/>
        <v>10000</v>
      </c>
      <c r="CX90" s="486">
        <f t="shared" si="226"/>
        <v>10000</v>
      </c>
      <c r="CY90" s="486">
        <f t="shared" si="227"/>
        <v>10000</v>
      </c>
      <c r="CZ90" s="1007">
        <f t="shared" si="228"/>
        <v>0</v>
      </c>
      <c r="DA90" s="1007">
        <f t="shared" si="229"/>
        <v>0</v>
      </c>
    </row>
    <row r="91" spans="1:105" ht="51" hidden="1" x14ac:dyDescent="0.25">
      <c r="A91" s="472">
        <v>2026</v>
      </c>
      <c r="B91" s="472">
        <v>479</v>
      </c>
      <c r="C91" s="472" t="s">
        <v>64</v>
      </c>
      <c r="D91" s="472" t="s">
        <v>65</v>
      </c>
      <c r="E91" s="472">
        <v>125</v>
      </c>
      <c r="F91" s="472">
        <v>3000654</v>
      </c>
      <c r="G91" s="472">
        <v>5005023</v>
      </c>
      <c r="H91" s="472">
        <v>3</v>
      </c>
      <c r="I91" s="472">
        <v>12</v>
      </c>
      <c r="J91" s="472">
        <v>24</v>
      </c>
      <c r="K91" s="472">
        <v>135560</v>
      </c>
      <c r="L91" s="472" t="s">
        <v>66</v>
      </c>
      <c r="M91" s="124" t="s">
        <v>67</v>
      </c>
      <c r="N91" s="472">
        <v>95</v>
      </c>
      <c r="O91" s="474"/>
      <c r="P91" s="474" t="s">
        <v>4</v>
      </c>
      <c r="Q91" s="472" t="s">
        <v>68</v>
      </c>
      <c r="R91" s="475" t="s">
        <v>69</v>
      </c>
      <c r="S91" s="475" t="s">
        <v>137</v>
      </c>
      <c r="T91" s="475"/>
      <c r="U91" s="124" t="s">
        <v>182</v>
      </c>
      <c r="V91" s="475" t="s">
        <v>3</v>
      </c>
      <c r="W91" s="121">
        <v>1</v>
      </c>
      <c r="X91" s="476">
        <v>5000</v>
      </c>
      <c r="Y91" s="474"/>
      <c r="Z91" s="474"/>
      <c r="AA91" s="474"/>
      <c r="AB91" s="474"/>
      <c r="AC91" s="475">
        <v>30</v>
      </c>
      <c r="AD91" s="475">
        <v>30</v>
      </c>
      <c r="AE91" s="474"/>
      <c r="AF91" s="474"/>
      <c r="AG91" s="474"/>
      <c r="AH91" s="474"/>
      <c r="AI91" s="474"/>
      <c r="AJ91" s="474"/>
      <c r="AK91" s="477">
        <v>10000</v>
      </c>
      <c r="AL91" s="472" t="s">
        <v>73</v>
      </c>
      <c r="AM91" s="472" t="s">
        <v>73</v>
      </c>
      <c r="AN91" s="472" t="s">
        <v>73</v>
      </c>
      <c r="AO91" s="472" t="s">
        <v>73</v>
      </c>
      <c r="AP91" s="478">
        <v>5000</v>
      </c>
      <c r="AQ91" s="478">
        <v>5000</v>
      </c>
      <c r="AR91" s="472" t="s">
        <v>73</v>
      </c>
      <c r="AS91" s="472" t="s">
        <v>73</v>
      </c>
      <c r="AT91" s="472" t="s">
        <v>73</v>
      </c>
      <c r="AU91" s="472" t="s">
        <v>73</v>
      </c>
      <c r="AV91" s="472" t="s">
        <v>73</v>
      </c>
      <c r="AW91" s="472" t="s">
        <v>73</v>
      </c>
      <c r="AX91" s="30">
        <v>10000</v>
      </c>
      <c r="AY91" s="479" t="s">
        <v>7</v>
      </c>
      <c r="AZ91" s="474" t="s">
        <v>74</v>
      </c>
      <c r="BA91" s="474"/>
      <c r="BB91" s="480"/>
      <c r="BC91" s="480"/>
      <c r="BK91" s="481" t="s">
        <v>790</v>
      </c>
      <c r="BL91" s="481" t="s">
        <v>791</v>
      </c>
      <c r="BM91" s="284" t="s">
        <v>792</v>
      </c>
      <c r="BN91" s="414" t="s">
        <v>793</v>
      </c>
      <c r="BO91" s="284" t="s">
        <v>794</v>
      </c>
      <c r="BP91" s="285">
        <v>46134</v>
      </c>
      <c r="BQ91" s="482"/>
      <c r="BR91" s="963" t="s">
        <v>1113</v>
      </c>
      <c r="BS91" s="482"/>
      <c r="BT91" s="286" t="s">
        <v>796</v>
      </c>
      <c r="BU91" s="482" t="s">
        <v>797</v>
      </c>
      <c r="BV91" s="649" t="s">
        <v>1114</v>
      </c>
      <c r="BW91" s="284" t="s">
        <v>1115</v>
      </c>
      <c r="BX91" s="284" t="s">
        <v>1116</v>
      </c>
      <c r="BY91" s="284" t="s">
        <v>1117</v>
      </c>
      <c r="BZ91" s="284"/>
      <c r="CA91" s="288">
        <v>5000</v>
      </c>
      <c r="CB91" s="483">
        <v>46143</v>
      </c>
      <c r="CC91" s="483">
        <v>46203</v>
      </c>
      <c r="CD91" s="759"/>
      <c r="CE91" s="485">
        <f t="shared" si="266"/>
        <v>30</v>
      </c>
      <c r="CF91" s="484">
        <f t="shared" si="267"/>
        <v>5000</v>
      </c>
      <c r="CG91" s="485">
        <v>30</v>
      </c>
      <c r="CH91" s="485">
        <f t="shared" si="268"/>
        <v>5000</v>
      </c>
      <c r="CI91" s="485">
        <v>30</v>
      </c>
      <c r="CJ91" s="485">
        <f t="shared" si="269"/>
        <v>5000</v>
      </c>
      <c r="CK91" s="484">
        <f t="shared" si="270"/>
        <v>0</v>
      </c>
      <c r="CL91" s="484">
        <f t="shared" si="271"/>
        <v>0</v>
      </c>
      <c r="CM91" s="1006"/>
      <c r="CN91" s="485">
        <f t="shared" si="272"/>
        <v>30</v>
      </c>
      <c r="CO91" s="484">
        <f t="shared" si="273"/>
        <v>5000</v>
      </c>
      <c r="CP91" s="485">
        <v>30</v>
      </c>
      <c r="CQ91" s="485">
        <f t="shared" si="274"/>
        <v>5000</v>
      </c>
      <c r="CR91" s="485">
        <v>30</v>
      </c>
      <c r="CS91" s="485">
        <f t="shared" si="275"/>
        <v>5000</v>
      </c>
      <c r="CT91" s="484">
        <f t="shared" si="276"/>
        <v>0</v>
      </c>
      <c r="CU91" s="484">
        <f t="shared" si="277"/>
        <v>0</v>
      </c>
      <c r="CV91" s="1006"/>
      <c r="CW91" s="1007">
        <f t="shared" si="225"/>
        <v>10000</v>
      </c>
      <c r="CX91" s="486">
        <f t="shared" si="226"/>
        <v>10000</v>
      </c>
      <c r="CY91" s="486">
        <f t="shared" si="227"/>
        <v>10000</v>
      </c>
      <c r="CZ91" s="1007">
        <f t="shared" si="228"/>
        <v>0</v>
      </c>
      <c r="DA91" s="1007">
        <f t="shared" si="229"/>
        <v>0</v>
      </c>
    </row>
    <row r="92" spans="1:105" ht="51" hidden="1" x14ac:dyDescent="0.25">
      <c r="A92" s="472">
        <v>2026</v>
      </c>
      <c r="B92" s="472">
        <v>479</v>
      </c>
      <c r="C92" s="472" t="s">
        <v>64</v>
      </c>
      <c r="D92" s="472" t="s">
        <v>65</v>
      </c>
      <c r="E92" s="472">
        <v>125</v>
      </c>
      <c r="F92" s="472">
        <v>3000654</v>
      </c>
      <c r="G92" s="472">
        <v>5005023</v>
      </c>
      <c r="H92" s="472">
        <v>3</v>
      </c>
      <c r="I92" s="472">
        <v>12</v>
      </c>
      <c r="J92" s="472">
        <v>24</v>
      </c>
      <c r="K92" s="472">
        <v>135560</v>
      </c>
      <c r="L92" s="472" t="s">
        <v>66</v>
      </c>
      <c r="M92" s="124" t="s">
        <v>67</v>
      </c>
      <c r="N92" s="472">
        <v>95</v>
      </c>
      <c r="O92" s="474"/>
      <c r="P92" s="474" t="s">
        <v>4</v>
      </c>
      <c r="Q92" s="472" t="s">
        <v>68</v>
      </c>
      <c r="R92" s="475" t="s">
        <v>69</v>
      </c>
      <c r="S92" s="475" t="s">
        <v>137</v>
      </c>
      <c r="T92" s="475"/>
      <c r="U92" s="124" t="s">
        <v>182</v>
      </c>
      <c r="V92" s="475" t="s">
        <v>3</v>
      </c>
      <c r="W92" s="121">
        <v>1</v>
      </c>
      <c r="X92" s="476">
        <v>5000</v>
      </c>
      <c r="Y92" s="474"/>
      <c r="Z92" s="474"/>
      <c r="AA92" s="474"/>
      <c r="AB92" s="474"/>
      <c r="AC92" s="475">
        <v>30</v>
      </c>
      <c r="AD92" s="475">
        <v>30</v>
      </c>
      <c r="AE92" s="474"/>
      <c r="AF92" s="474"/>
      <c r="AG92" s="474"/>
      <c r="AH92" s="474"/>
      <c r="AI92" s="474"/>
      <c r="AJ92" s="474"/>
      <c r="AK92" s="477">
        <v>10000</v>
      </c>
      <c r="AL92" s="472" t="s">
        <v>73</v>
      </c>
      <c r="AM92" s="472" t="s">
        <v>73</v>
      </c>
      <c r="AN92" s="472" t="s">
        <v>73</v>
      </c>
      <c r="AO92" s="472" t="s">
        <v>73</v>
      </c>
      <c r="AP92" s="478">
        <v>5000</v>
      </c>
      <c r="AQ92" s="478">
        <v>5000</v>
      </c>
      <c r="AR92" s="472" t="s">
        <v>73</v>
      </c>
      <c r="AS92" s="472" t="s">
        <v>73</v>
      </c>
      <c r="AT92" s="472" t="s">
        <v>73</v>
      </c>
      <c r="AU92" s="472" t="s">
        <v>73</v>
      </c>
      <c r="AV92" s="472" t="s">
        <v>73</v>
      </c>
      <c r="AW92" s="472" t="s">
        <v>73</v>
      </c>
      <c r="AX92" s="30">
        <v>10000</v>
      </c>
      <c r="AY92" s="479" t="s">
        <v>7</v>
      </c>
      <c r="AZ92" s="474" t="s">
        <v>74</v>
      </c>
      <c r="BA92" s="474"/>
      <c r="BB92" s="480"/>
      <c r="BC92" s="480"/>
      <c r="BK92" s="481" t="s">
        <v>790</v>
      </c>
      <c r="BL92" s="481" t="s">
        <v>791</v>
      </c>
      <c r="BM92" s="284" t="s">
        <v>792</v>
      </c>
      <c r="BN92" s="414" t="s">
        <v>793</v>
      </c>
      <c r="BO92" s="284" t="s">
        <v>794</v>
      </c>
      <c r="BP92" s="285">
        <v>46134</v>
      </c>
      <c r="BQ92" s="482"/>
      <c r="BR92" s="963" t="s">
        <v>1118</v>
      </c>
      <c r="BS92" s="482"/>
      <c r="BT92" s="286" t="s">
        <v>796</v>
      </c>
      <c r="BU92" s="482" t="s">
        <v>797</v>
      </c>
      <c r="BV92" s="649" t="s">
        <v>871</v>
      </c>
      <c r="BW92" s="284" t="s">
        <v>814</v>
      </c>
      <c r="BX92" s="284" t="s">
        <v>1119</v>
      </c>
      <c r="BY92" s="284">
        <v>71483538</v>
      </c>
      <c r="BZ92" s="284"/>
      <c r="CA92" s="288">
        <v>5000</v>
      </c>
      <c r="CB92" s="483">
        <v>46143</v>
      </c>
      <c r="CC92" s="483">
        <v>46203</v>
      </c>
      <c r="CD92" s="759"/>
      <c r="CE92" s="485">
        <f t="shared" si="266"/>
        <v>30</v>
      </c>
      <c r="CF92" s="484">
        <f t="shared" si="267"/>
        <v>5000</v>
      </c>
      <c r="CG92" s="485">
        <v>30</v>
      </c>
      <c r="CH92" s="485">
        <f t="shared" si="268"/>
        <v>5000</v>
      </c>
      <c r="CI92" s="485">
        <v>30</v>
      </c>
      <c r="CJ92" s="485">
        <f t="shared" si="269"/>
        <v>5000</v>
      </c>
      <c r="CK92" s="484">
        <f t="shared" si="270"/>
        <v>0</v>
      </c>
      <c r="CL92" s="484">
        <f t="shared" si="271"/>
        <v>0</v>
      </c>
      <c r="CM92" s="1006"/>
      <c r="CN92" s="485">
        <f t="shared" si="272"/>
        <v>30</v>
      </c>
      <c r="CO92" s="484">
        <f t="shared" si="273"/>
        <v>5000</v>
      </c>
      <c r="CP92" s="485">
        <v>30</v>
      </c>
      <c r="CQ92" s="485">
        <f t="shared" si="274"/>
        <v>5000</v>
      </c>
      <c r="CR92" s="485">
        <v>30</v>
      </c>
      <c r="CS92" s="485">
        <f t="shared" si="275"/>
        <v>5000</v>
      </c>
      <c r="CT92" s="484">
        <f t="shared" si="276"/>
        <v>0</v>
      </c>
      <c r="CU92" s="484">
        <f t="shared" si="277"/>
        <v>0</v>
      </c>
      <c r="CV92" s="1006"/>
      <c r="CW92" s="1007">
        <f t="shared" si="225"/>
        <v>10000</v>
      </c>
      <c r="CX92" s="486">
        <f t="shared" si="226"/>
        <v>10000</v>
      </c>
      <c r="CY92" s="486">
        <f t="shared" si="227"/>
        <v>10000</v>
      </c>
      <c r="CZ92" s="1007">
        <f t="shared" si="228"/>
        <v>0</v>
      </c>
      <c r="DA92" s="1007">
        <f t="shared" si="229"/>
        <v>0</v>
      </c>
    </row>
    <row r="93" spans="1:105" ht="51" hidden="1" x14ac:dyDescent="0.25">
      <c r="A93" s="472">
        <v>2026</v>
      </c>
      <c r="B93" s="472">
        <v>479</v>
      </c>
      <c r="C93" s="472" t="s">
        <v>64</v>
      </c>
      <c r="D93" s="472" t="s">
        <v>65</v>
      </c>
      <c r="E93" s="472">
        <v>125</v>
      </c>
      <c r="F93" s="472">
        <v>3000654</v>
      </c>
      <c r="G93" s="472">
        <v>5005023</v>
      </c>
      <c r="H93" s="472">
        <v>3</v>
      </c>
      <c r="I93" s="472">
        <v>12</v>
      </c>
      <c r="J93" s="472">
        <v>24</v>
      </c>
      <c r="K93" s="472">
        <v>135560</v>
      </c>
      <c r="L93" s="472" t="s">
        <v>66</v>
      </c>
      <c r="M93" s="124" t="s">
        <v>67</v>
      </c>
      <c r="N93" s="472">
        <v>95</v>
      </c>
      <c r="O93" s="474"/>
      <c r="P93" s="474" t="s">
        <v>4</v>
      </c>
      <c r="Q93" s="472" t="s">
        <v>68</v>
      </c>
      <c r="R93" s="475" t="s">
        <v>69</v>
      </c>
      <c r="S93" s="475" t="s">
        <v>137</v>
      </c>
      <c r="T93" s="475"/>
      <c r="U93" s="124" t="s">
        <v>182</v>
      </c>
      <c r="V93" s="475" t="s">
        <v>3</v>
      </c>
      <c r="W93" s="121">
        <v>1</v>
      </c>
      <c r="X93" s="476">
        <v>5000</v>
      </c>
      <c r="Y93" s="474"/>
      <c r="Z93" s="474"/>
      <c r="AA93" s="474"/>
      <c r="AB93" s="474"/>
      <c r="AC93" s="475">
        <v>30</v>
      </c>
      <c r="AD93" s="475">
        <v>30</v>
      </c>
      <c r="AE93" s="474"/>
      <c r="AF93" s="474"/>
      <c r="AG93" s="474"/>
      <c r="AH93" s="474"/>
      <c r="AI93" s="474"/>
      <c r="AJ93" s="474"/>
      <c r="AK93" s="477">
        <v>10000</v>
      </c>
      <c r="AL93" s="472" t="s">
        <v>73</v>
      </c>
      <c r="AM93" s="472" t="s">
        <v>73</v>
      </c>
      <c r="AN93" s="472" t="s">
        <v>73</v>
      </c>
      <c r="AO93" s="472" t="s">
        <v>73</v>
      </c>
      <c r="AP93" s="478">
        <v>5000</v>
      </c>
      <c r="AQ93" s="478">
        <v>5000</v>
      </c>
      <c r="AR93" s="472" t="s">
        <v>73</v>
      </c>
      <c r="AS93" s="472" t="s">
        <v>73</v>
      </c>
      <c r="AT93" s="472" t="s">
        <v>73</v>
      </c>
      <c r="AU93" s="472" t="s">
        <v>73</v>
      </c>
      <c r="AV93" s="472" t="s">
        <v>73</v>
      </c>
      <c r="AW93" s="472" t="s">
        <v>73</v>
      </c>
      <c r="AX93" s="30">
        <v>10000</v>
      </c>
      <c r="AY93" s="479" t="s">
        <v>7</v>
      </c>
      <c r="AZ93" s="474" t="s">
        <v>74</v>
      </c>
      <c r="BA93" s="474"/>
      <c r="BB93" s="480"/>
      <c r="BC93" s="480"/>
      <c r="BK93" s="481" t="s">
        <v>790</v>
      </c>
      <c r="BL93" s="481" t="s">
        <v>791</v>
      </c>
      <c r="BM93" s="284" t="s">
        <v>792</v>
      </c>
      <c r="BN93" s="414" t="s">
        <v>793</v>
      </c>
      <c r="BO93" s="284" t="s">
        <v>794</v>
      </c>
      <c r="BP93" s="285">
        <v>46134</v>
      </c>
      <c r="BQ93" s="482"/>
      <c r="BR93" s="963" t="s">
        <v>1120</v>
      </c>
      <c r="BS93" s="482"/>
      <c r="BT93" s="286" t="s">
        <v>796</v>
      </c>
      <c r="BU93" s="482" t="s">
        <v>797</v>
      </c>
      <c r="BV93" s="649" t="s">
        <v>910</v>
      </c>
      <c r="BW93" s="284" t="s">
        <v>798</v>
      </c>
      <c r="BX93" s="284" t="s">
        <v>1121</v>
      </c>
      <c r="BY93" s="284">
        <v>40188228</v>
      </c>
      <c r="BZ93" s="284"/>
      <c r="CA93" s="288">
        <v>5000</v>
      </c>
      <c r="CB93" s="483">
        <v>46143</v>
      </c>
      <c r="CC93" s="483">
        <v>46203</v>
      </c>
      <c r="CD93" s="759"/>
      <c r="CE93" s="485">
        <f t="shared" si="266"/>
        <v>30</v>
      </c>
      <c r="CF93" s="484">
        <f t="shared" si="267"/>
        <v>5000</v>
      </c>
      <c r="CG93" s="485">
        <v>30</v>
      </c>
      <c r="CH93" s="485">
        <f t="shared" si="268"/>
        <v>5000</v>
      </c>
      <c r="CI93" s="485">
        <v>30</v>
      </c>
      <c r="CJ93" s="485">
        <f t="shared" si="269"/>
        <v>5000</v>
      </c>
      <c r="CK93" s="484">
        <f t="shared" si="270"/>
        <v>0</v>
      </c>
      <c r="CL93" s="484">
        <f t="shared" si="271"/>
        <v>0</v>
      </c>
      <c r="CM93" s="1006"/>
      <c r="CN93" s="485">
        <f t="shared" si="272"/>
        <v>30</v>
      </c>
      <c r="CO93" s="484">
        <f t="shared" si="273"/>
        <v>5000</v>
      </c>
      <c r="CP93" s="485">
        <v>30</v>
      </c>
      <c r="CQ93" s="485">
        <f t="shared" si="274"/>
        <v>5000</v>
      </c>
      <c r="CR93" s="485">
        <v>30</v>
      </c>
      <c r="CS93" s="485">
        <f t="shared" si="275"/>
        <v>5000</v>
      </c>
      <c r="CT93" s="484">
        <f t="shared" si="276"/>
        <v>0</v>
      </c>
      <c r="CU93" s="484">
        <f t="shared" si="277"/>
        <v>0</v>
      </c>
      <c r="CV93" s="1006"/>
      <c r="CW93" s="1007">
        <f t="shared" si="225"/>
        <v>10000</v>
      </c>
      <c r="CX93" s="486">
        <f t="shared" si="226"/>
        <v>10000</v>
      </c>
      <c r="CY93" s="486">
        <f t="shared" si="227"/>
        <v>10000</v>
      </c>
      <c r="CZ93" s="1007">
        <f t="shared" si="228"/>
        <v>0</v>
      </c>
      <c r="DA93" s="1007">
        <f t="shared" si="229"/>
        <v>0</v>
      </c>
    </row>
    <row r="94" spans="1:105" ht="51" hidden="1" x14ac:dyDescent="0.25">
      <c r="A94" s="472">
        <v>2026</v>
      </c>
      <c r="B94" s="472">
        <v>479</v>
      </c>
      <c r="C94" s="472" t="s">
        <v>64</v>
      </c>
      <c r="D94" s="472" t="s">
        <v>65</v>
      </c>
      <c r="E94" s="472">
        <v>125</v>
      </c>
      <c r="F94" s="472">
        <v>3000654</v>
      </c>
      <c r="G94" s="472">
        <v>5005023</v>
      </c>
      <c r="H94" s="472">
        <v>3</v>
      </c>
      <c r="I94" s="472">
        <v>12</v>
      </c>
      <c r="J94" s="472">
        <v>24</v>
      </c>
      <c r="K94" s="472">
        <v>135560</v>
      </c>
      <c r="L94" s="472" t="s">
        <v>66</v>
      </c>
      <c r="M94" s="124" t="s">
        <v>67</v>
      </c>
      <c r="N94" s="472">
        <v>95</v>
      </c>
      <c r="O94" s="474"/>
      <c r="P94" s="474" t="s">
        <v>4</v>
      </c>
      <c r="Q94" s="472" t="s">
        <v>68</v>
      </c>
      <c r="R94" s="475" t="s">
        <v>69</v>
      </c>
      <c r="S94" s="475" t="s">
        <v>137</v>
      </c>
      <c r="T94" s="475"/>
      <c r="U94" s="124" t="s">
        <v>182</v>
      </c>
      <c r="V94" s="475" t="s">
        <v>3</v>
      </c>
      <c r="W94" s="121">
        <v>1</v>
      </c>
      <c r="X94" s="476">
        <v>5000</v>
      </c>
      <c r="Y94" s="474"/>
      <c r="Z94" s="474"/>
      <c r="AA94" s="474"/>
      <c r="AB94" s="474"/>
      <c r="AC94" s="475">
        <v>30</v>
      </c>
      <c r="AD94" s="475">
        <v>30</v>
      </c>
      <c r="AE94" s="474"/>
      <c r="AF94" s="474"/>
      <c r="AG94" s="474"/>
      <c r="AH94" s="474"/>
      <c r="AI94" s="474"/>
      <c r="AJ94" s="474"/>
      <c r="AK94" s="477">
        <v>10000</v>
      </c>
      <c r="AL94" s="472" t="s">
        <v>73</v>
      </c>
      <c r="AM94" s="472" t="s">
        <v>73</v>
      </c>
      <c r="AN94" s="472" t="s">
        <v>73</v>
      </c>
      <c r="AO94" s="472" t="s">
        <v>73</v>
      </c>
      <c r="AP94" s="478">
        <v>5000</v>
      </c>
      <c r="AQ94" s="478">
        <v>5000</v>
      </c>
      <c r="AR94" s="472" t="s">
        <v>73</v>
      </c>
      <c r="AS94" s="472" t="s">
        <v>73</v>
      </c>
      <c r="AT94" s="472" t="s">
        <v>73</v>
      </c>
      <c r="AU94" s="472" t="s">
        <v>73</v>
      </c>
      <c r="AV94" s="472" t="s">
        <v>73</v>
      </c>
      <c r="AW94" s="472" t="s">
        <v>73</v>
      </c>
      <c r="AX94" s="30">
        <v>10000</v>
      </c>
      <c r="AY94" s="479" t="s">
        <v>7</v>
      </c>
      <c r="AZ94" s="474" t="s">
        <v>74</v>
      </c>
      <c r="BA94" s="474"/>
      <c r="BB94" s="480"/>
      <c r="BC94" s="480"/>
      <c r="BK94" s="481" t="s">
        <v>790</v>
      </c>
      <c r="BL94" s="481" t="s">
        <v>791</v>
      </c>
      <c r="BM94" s="284" t="s">
        <v>792</v>
      </c>
      <c r="BN94" s="414" t="s">
        <v>793</v>
      </c>
      <c r="BO94" s="284" t="s">
        <v>794</v>
      </c>
      <c r="BP94" s="285">
        <v>46134</v>
      </c>
      <c r="BQ94" s="482"/>
      <c r="BR94" s="963" t="s">
        <v>1122</v>
      </c>
      <c r="BS94" s="482"/>
      <c r="BT94" s="286" t="s">
        <v>796</v>
      </c>
      <c r="BU94" s="482" t="s">
        <v>797</v>
      </c>
      <c r="BV94" s="649" t="s">
        <v>1123</v>
      </c>
      <c r="BW94" s="284" t="s">
        <v>1124</v>
      </c>
      <c r="BX94" s="284" t="s">
        <v>1125</v>
      </c>
      <c r="BY94" s="284">
        <v>42098301</v>
      </c>
      <c r="BZ94" s="284"/>
      <c r="CA94" s="288">
        <v>5000</v>
      </c>
      <c r="CB94" s="483">
        <v>46143</v>
      </c>
      <c r="CC94" s="483">
        <v>46203</v>
      </c>
      <c r="CD94" s="759"/>
      <c r="CE94" s="485">
        <f t="shared" si="266"/>
        <v>30</v>
      </c>
      <c r="CF94" s="484">
        <f t="shared" si="267"/>
        <v>5000</v>
      </c>
      <c r="CG94" s="485">
        <v>30</v>
      </c>
      <c r="CH94" s="485">
        <f t="shared" si="268"/>
        <v>5000</v>
      </c>
      <c r="CI94" s="485">
        <v>30</v>
      </c>
      <c r="CJ94" s="485">
        <f t="shared" si="269"/>
        <v>5000</v>
      </c>
      <c r="CK94" s="484">
        <f t="shared" si="270"/>
        <v>0</v>
      </c>
      <c r="CL94" s="484">
        <f t="shared" si="271"/>
        <v>0</v>
      </c>
      <c r="CM94" s="1006"/>
      <c r="CN94" s="485">
        <f t="shared" si="272"/>
        <v>30</v>
      </c>
      <c r="CO94" s="484">
        <f t="shared" si="273"/>
        <v>5000</v>
      </c>
      <c r="CP94" s="485">
        <v>30</v>
      </c>
      <c r="CQ94" s="485">
        <f t="shared" si="274"/>
        <v>5000</v>
      </c>
      <c r="CR94" s="485">
        <v>30</v>
      </c>
      <c r="CS94" s="485">
        <f t="shared" si="275"/>
        <v>5000</v>
      </c>
      <c r="CT94" s="484">
        <f t="shared" si="276"/>
        <v>0</v>
      </c>
      <c r="CU94" s="484">
        <f t="shared" si="277"/>
        <v>0</v>
      </c>
      <c r="CV94" s="1006"/>
      <c r="CW94" s="1007">
        <f t="shared" si="225"/>
        <v>10000</v>
      </c>
      <c r="CX94" s="486">
        <f t="shared" si="226"/>
        <v>10000</v>
      </c>
      <c r="CY94" s="486">
        <f t="shared" si="227"/>
        <v>10000</v>
      </c>
      <c r="CZ94" s="1007">
        <f t="shared" si="228"/>
        <v>0</v>
      </c>
      <c r="DA94" s="1007">
        <f t="shared" si="229"/>
        <v>0</v>
      </c>
    </row>
    <row r="95" spans="1:105" ht="51" hidden="1" x14ac:dyDescent="0.25">
      <c r="A95" s="472">
        <v>2026</v>
      </c>
      <c r="B95" s="472">
        <v>479</v>
      </c>
      <c r="C95" s="472" t="s">
        <v>64</v>
      </c>
      <c r="D95" s="472" t="s">
        <v>65</v>
      </c>
      <c r="E95" s="472">
        <v>125</v>
      </c>
      <c r="F95" s="472">
        <v>3000654</v>
      </c>
      <c r="G95" s="472">
        <v>5005023</v>
      </c>
      <c r="H95" s="472">
        <v>3</v>
      </c>
      <c r="I95" s="472">
        <v>12</v>
      </c>
      <c r="J95" s="472">
        <v>24</v>
      </c>
      <c r="K95" s="472">
        <v>135560</v>
      </c>
      <c r="L95" s="472" t="s">
        <v>66</v>
      </c>
      <c r="M95" s="124" t="s">
        <v>67</v>
      </c>
      <c r="N95" s="472">
        <v>95</v>
      </c>
      <c r="O95" s="474"/>
      <c r="P95" s="474" t="s">
        <v>4</v>
      </c>
      <c r="Q95" s="472" t="s">
        <v>68</v>
      </c>
      <c r="R95" s="475" t="s">
        <v>69</v>
      </c>
      <c r="S95" s="475" t="s">
        <v>137</v>
      </c>
      <c r="T95" s="475"/>
      <c r="U95" s="124" t="s">
        <v>182</v>
      </c>
      <c r="V95" s="475" t="s">
        <v>3</v>
      </c>
      <c r="W95" s="121">
        <v>1</v>
      </c>
      <c r="X95" s="476">
        <v>5000</v>
      </c>
      <c r="Y95" s="474"/>
      <c r="Z95" s="474"/>
      <c r="AA95" s="474"/>
      <c r="AB95" s="474"/>
      <c r="AC95" s="475">
        <v>30</v>
      </c>
      <c r="AD95" s="475">
        <v>30</v>
      </c>
      <c r="AE95" s="474"/>
      <c r="AF95" s="474"/>
      <c r="AG95" s="474"/>
      <c r="AH95" s="474"/>
      <c r="AI95" s="474"/>
      <c r="AJ95" s="474"/>
      <c r="AK95" s="477">
        <v>10000</v>
      </c>
      <c r="AL95" s="472" t="s">
        <v>73</v>
      </c>
      <c r="AM95" s="472" t="s">
        <v>73</v>
      </c>
      <c r="AN95" s="472" t="s">
        <v>73</v>
      </c>
      <c r="AO95" s="472" t="s">
        <v>73</v>
      </c>
      <c r="AP95" s="478">
        <v>5000</v>
      </c>
      <c r="AQ95" s="478">
        <v>5000</v>
      </c>
      <c r="AR95" s="472" t="s">
        <v>73</v>
      </c>
      <c r="AS95" s="472" t="s">
        <v>73</v>
      </c>
      <c r="AT95" s="472" t="s">
        <v>73</v>
      </c>
      <c r="AU95" s="472" t="s">
        <v>73</v>
      </c>
      <c r="AV95" s="472" t="s">
        <v>73</v>
      </c>
      <c r="AW95" s="472" t="s">
        <v>73</v>
      </c>
      <c r="AX95" s="30">
        <v>10000</v>
      </c>
      <c r="AY95" s="479" t="s">
        <v>7</v>
      </c>
      <c r="AZ95" s="474" t="s">
        <v>74</v>
      </c>
      <c r="BA95" s="474"/>
      <c r="BB95" s="480"/>
      <c r="BC95" s="480"/>
      <c r="BK95" s="481" t="s">
        <v>790</v>
      </c>
      <c r="BL95" s="481" t="s">
        <v>791</v>
      </c>
      <c r="BM95" s="284" t="s">
        <v>792</v>
      </c>
      <c r="BN95" s="414" t="s">
        <v>793</v>
      </c>
      <c r="BO95" s="284" t="s">
        <v>794</v>
      </c>
      <c r="BP95" s="285">
        <v>46134</v>
      </c>
      <c r="BQ95" s="482"/>
      <c r="BR95" s="963" t="s">
        <v>1126</v>
      </c>
      <c r="BS95" s="482"/>
      <c r="BT95" s="286" t="s">
        <v>796</v>
      </c>
      <c r="BU95" s="482" t="s">
        <v>797</v>
      </c>
      <c r="BV95" s="649" t="s">
        <v>1127</v>
      </c>
      <c r="BW95" s="284" t="s">
        <v>918</v>
      </c>
      <c r="BX95" s="284" t="s">
        <v>1128</v>
      </c>
      <c r="BY95" s="284">
        <v>71467722</v>
      </c>
      <c r="BZ95" s="284"/>
      <c r="CA95" s="288">
        <v>5000</v>
      </c>
      <c r="CB95" s="483">
        <v>46143</v>
      </c>
      <c r="CC95" s="483">
        <v>46203</v>
      </c>
      <c r="CD95" s="759"/>
      <c r="CE95" s="485">
        <f t="shared" si="266"/>
        <v>30</v>
      </c>
      <c r="CF95" s="484">
        <f t="shared" si="267"/>
        <v>5000</v>
      </c>
      <c r="CG95" s="485">
        <v>30</v>
      </c>
      <c r="CH95" s="485">
        <f t="shared" si="268"/>
        <v>5000</v>
      </c>
      <c r="CI95" s="485">
        <v>30</v>
      </c>
      <c r="CJ95" s="485">
        <f t="shared" si="269"/>
        <v>5000</v>
      </c>
      <c r="CK95" s="484">
        <f t="shared" si="270"/>
        <v>0</v>
      </c>
      <c r="CL95" s="484">
        <f t="shared" si="271"/>
        <v>0</v>
      </c>
      <c r="CM95" s="1006"/>
      <c r="CN95" s="485">
        <f t="shared" si="272"/>
        <v>30</v>
      </c>
      <c r="CO95" s="484">
        <f t="shared" si="273"/>
        <v>5000</v>
      </c>
      <c r="CP95" s="485">
        <v>30</v>
      </c>
      <c r="CQ95" s="485">
        <f t="shared" si="274"/>
        <v>5000</v>
      </c>
      <c r="CR95" s="485">
        <v>30</v>
      </c>
      <c r="CS95" s="485">
        <f t="shared" si="275"/>
        <v>5000</v>
      </c>
      <c r="CT95" s="484">
        <f t="shared" si="276"/>
        <v>0</v>
      </c>
      <c r="CU95" s="484">
        <f t="shared" si="277"/>
        <v>0</v>
      </c>
      <c r="CV95" s="1006"/>
      <c r="CW95" s="1007">
        <f t="shared" si="225"/>
        <v>10000</v>
      </c>
      <c r="CX95" s="486">
        <f t="shared" si="226"/>
        <v>10000</v>
      </c>
      <c r="CY95" s="486">
        <f t="shared" si="227"/>
        <v>10000</v>
      </c>
      <c r="CZ95" s="1007">
        <f t="shared" si="228"/>
        <v>0</v>
      </c>
      <c r="DA95" s="1007">
        <f t="shared" si="229"/>
        <v>0</v>
      </c>
    </row>
    <row r="96" spans="1:105" ht="51" hidden="1" x14ac:dyDescent="0.25">
      <c r="A96" s="472">
        <v>2026</v>
      </c>
      <c r="B96" s="472">
        <v>479</v>
      </c>
      <c r="C96" s="472" t="s">
        <v>64</v>
      </c>
      <c r="D96" s="472" t="s">
        <v>65</v>
      </c>
      <c r="E96" s="472">
        <v>125</v>
      </c>
      <c r="F96" s="472">
        <v>3000654</v>
      </c>
      <c r="G96" s="472">
        <v>5005023</v>
      </c>
      <c r="H96" s="472">
        <v>3</v>
      </c>
      <c r="I96" s="472">
        <v>12</v>
      </c>
      <c r="J96" s="472">
        <v>24</v>
      </c>
      <c r="K96" s="472">
        <v>135560</v>
      </c>
      <c r="L96" s="472" t="s">
        <v>66</v>
      </c>
      <c r="M96" s="124" t="s">
        <v>67</v>
      </c>
      <c r="N96" s="472">
        <v>95</v>
      </c>
      <c r="O96" s="474"/>
      <c r="P96" s="474" t="s">
        <v>4</v>
      </c>
      <c r="Q96" s="472" t="s">
        <v>68</v>
      </c>
      <c r="R96" s="475" t="s">
        <v>69</v>
      </c>
      <c r="S96" s="475" t="s">
        <v>137</v>
      </c>
      <c r="T96" s="475"/>
      <c r="U96" s="124" t="s">
        <v>182</v>
      </c>
      <c r="V96" s="475" t="s">
        <v>3</v>
      </c>
      <c r="W96" s="121">
        <v>1</v>
      </c>
      <c r="X96" s="476">
        <v>5000</v>
      </c>
      <c r="Y96" s="474"/>
      <c r="Z96" s="474"/>
      <c r="AA96" s="474"/>
      <c r="AB96" s="474"/>
      <c r="AC96" s="475">
        <v>30</v>
      </c>
      <c r="AD96" s="475">
        <v>30</v>
      </c>
      <c r="AE96" s="474"/>
      <c r="AF96" s="474"/>
      <c r="AG96" s="474"/>
      <c r="AH96" s="474"/>
      <c r="AI96" s="474"/>
      <c r="AJ96" s="474"/>
      <c r="AK96" s="477">
        <v>10000</v>
      </c>
      <c r="AL96" s="472" t="s">
        <v>73</v>
      </c>
      <c r="AM96" s="472" t="s">
        <v>73</v>
      </c>
      <c r="AN96" s="472" t="s">
        <v>73</v>
      </c>
      <c r="AO96" s="472" t="s">
        <v>73</v>
      </c>
      <c r="AP96" s="478">
        <v>5000</v>
      </c>
      <c r="AQ96" s="478">
        <v>5000</v>
      </c>
      <c r="AR96" s="472" t="s">
        <v>73</v>
      </c>
      <c r="AS96" s="472" t="s">
        <v>73</v>
      </c>
      <c r="AT96" s="472" t="s">
        <v>73</v>
      </c>
      <c r="AU96" s="472" t="s">
        <v>73</v>
      </c>
      <c r="AV96" s="472" t="s">
        <v>73</v>
      </c>
      <c r="AW96" s="472" t="s">
        <v>73</v>
      </c>
      <c r="AX96" s="30">
        <v>10000</v>
      </c>
      <c r="AY96" s="479" t="s">
        <v>7</v>
      </c>
      <c r="AZ96" s="474" t="s">
        <v>74</v>
      </c>
      <c r="BA96" s="474"/>
      <c r="BB96" s="480"/>
      <c r="BC96" s="480"/>
      <c r="BK96" s="481" t="s">
        <v>790</v>
      </c>
      <c r="BL96" s="481" t="s">
        <v>791</v>
      </c>
      <c r="BM96" s="284" t="s">
        <v>792</v>
      </c>
      <c r="BN96" s="414" t="s">
        <v>793</v>
      </c>
      <c r="BO96" s="284" t="s">
        <v>794</v>
      </c>
      <c r="BP96" s="285">
        <v>46134</v>
      </c>
      <c r="BQ96" s="482"/>
      <c r="BR96" s="963" t="s">
        <v>1129</v>
      </c>
      <c r="BS96" s="482"/>
      <c r="BT96" s="286" t="s">
        <v>796</v>
      </c>
      <c r="BU96" s="482" t="s">
        <v>797</v>
      </c>
      <c r="BV96" s="649" t="s">
        <v>1130</v>
      </c>
      <c r="BW96" s="284" t="s">
        <v>1131</v>
      </c>
      <c r="BX96" s="284" t="s">
        <v>915</v>
      </c>
      <c r="BY96" s="284">
        <v>25797741</v>
      </c>
      <c r="BZ96" s="284"/>
      <c r="CA96" s="288">
        <v>5000</v>
      </c>
      <c r="CB96" s="483">
        <v>46143</v>
      </c>
      <c r="CC96" s="483">
        <v>46203</v>
      </c>
      <c r="CD96" s="759"/>
      <c r="CE96" s="485">
        <f t="shared" ref="CE96:CE99" si="278">AC96</f>
        <v>30</v>
      </c>
      <c r="CF96" s="484">
        <f t="shared" ref="CF96:CF99" si="279">AP96</f>
        <v>5000</v>
      </c>
      <c r="CG96" s="485">
        <v>30</v>
      </c>
      <c r="CH96" s="485">
        <f t="shared" ref="CH96:CH99" si="280">(X96/30)*CG96</f>
        <v>5000</v>
      </c>
      <c r="CI96" s="485">
        <v>30</v>
      </c>
      <c r="CJ96" s="485">
        <f t="shared" ref="CJ96:CJ99" si="281">(X96/30)*CI96</f>
        <v>5000</v>
      </c>
      <c r="CK96" s="484">
        <f t="shared" ref="CK96:CK99" si="282">CF96-CH96</f>
        <v>0</v>
      </c>
      <c r="CL96" s="484">
        <f t="shared" ref="CL96:CL99" si="283">CF96-CJ96</f>
        <v>0</v>
      </c>
      <c r="CM96" s="1006"/>
      <c r="CN96" s="485">
        <f t="shared" ref="CN96:CN99" si="284">AD96</f>
        <v>30</v>
      </c>
      <c r="CO96" s="484">
        <f t="shared" ref="CO96:CO99" si="285">AQ96</f>
        <v>5000</v>
      </c>
      <c r="CP96" s="485">
        <v>30</v>
      </c>
      <c r="CQ96" s="485">
        <f t="shared" ref="CQ96:CQ99" si="286">(X96/30)*CP96</f>
        <v>5000</v>
      </c>
      <c r="CR96" s="485">
        <v>30</v>
      </c>
      <c r="CS96" s="485">
        <f t="shared" ref="CS96:CS99" si="287">(X96/30)*CR96</f>
        <v>5000</v>
      </c>
      <c r="CT96" s="484">
        <f t="shared" ref="CT96:CT99" si="288">CO96-CQ96</f>
        <v>0</v>
      </c>
      <c r="CU96" s="484">
        <f t="shared" ref="CU96:CU99" si="289">CO96-CS96</f>
        <v>0</v>
      </c>
      <c r="CV96" s="1006"/>
      <c r="CW96" s="1007">
        <f t="shared" si="225"/>
        <v>10000</v>
      </c>
      <c r="CX96" s="486">
        <f t="shared" si="226"/>
        <v>10000</v>
      </c>
      <c r="CY96" s="486">
        <f t="shared" si="227"/>
        <v>10000</v>
      </c>
      <c r="CZ96" s="1007">
        <f t="shared" si="228"/>
        <v>0</v>
      </c>
      <c r="DA96" s="1007">
        <f t="shared" si="229"/>
        <v>0</v>
      </c>
    </row>
    <row r="97" spans="1:16378" ht="51" hidden="1" x14ac:dyDescent="0.25">
      <c r="A97" s="472">
        <v>2026</v>
      </c>
      <c r="B97" s="472">
        <v>479</v>
      </c>
      <c r="C97" s="472" t="s">
        <v>64</v>
      </c>
      <c r="D97" s="472" t="s">
        <v>65</v>
      </c>
      <c r="E97" s="472">
        <v>125</v>
      </c>
      <c r="F97" s="472">
        <v>3000654</v>
      </c>
      <c r="G97" s="472">
        <v>5005023</v>
      </c>
      <c r="H97" s="472">
        <v>3</v>
      </c>
      <c r="I97" s="472">
        <v>12</v>
      </c>
      <c r="J97" s="472">
        <v>24</v>
      </c>
      <c r="K97" s="472">
        <v>135560</v>
      </c>
      <c r="L97" s="472" t="s">
        <v>66</v>
      </c>
      <c r="M97" s="124" t="s">
        <v>67</v>
      </c>
      <c r="N97" s="472">
        <v>95</v>
      </c>
      <c r="O97" s="474"/>
      <c r="P97" s="474" t="s">
        <v>4</v>
      </c>
      <c r="Q97" s="472" t="s">
        <v>68</v>
      </c>
      <c r="R97" s="475" t="s">
        <v>69</v>
      </c>
      <c r="S97" s="475" t="s">
        <v>137</v>
      </c>
      <c r="T97" s="475"/>
      <c r="U97" s="124" t="s">
        <v>182</v>
      </c>
      <c r="V97" s="475" t="s">
        <v>3</v>
      </c>
      <c r="W97" s="121">
        <v>1</v>
      </c>
      <c r="X97" s="476">
        <v>5000</v>
      </c>
      <c r="Y97" s="474"/>
      <c r="Z97" s="474"/>
      <c r="AA97" s="474"/>
      <c r="AB97" s="474"/>
      <c r="AC97" s="475">
        <v>30</v>
      </c>
      <c r="AD97" s="475">
        <v>30</v>
      </c>
      <c r="AE97" s="474"/>
      <c r="AF97" s="474"/>
      <c r="AG97" s="474"/>
      <c r="AH97" s="474"/>
      <c r="AI97" s="474"/>
      <c r="AJ97" s="474"/>
      <c r="AK97" s="477">
        <v>10000</v>
      </c>
      <c r="AL97" s="472" t="s">
        <v>73</v>
      </c>
      <c r="AM97" s="472" t="s">
        <v>73</v>
      </c>
      <c r="AN97" s="472" t="s">
        <v>73</v>
      </c>
      <c r="AO97" s="472" t="s">
        <v>73</v>
      </c>
      <c r="AP97" s="478">
        <v>5000</v>
      </c>
      <c r="AQ97" s="478">
        <v>5000</v>
      </c>
      <c r="AR97" s="472" t="s">
        <v>73</v>
      </c>
      <c r="AS97" s="472" t="s">
        <v>73</v>
      </c>
      <c r="AT97" s="472" t="s">
        <v>73</v>
      </c>
      <c r="AU97" s="472" t="s">
        <v>73</v>
      </c>
      <c r="AV97" s="472" t="s">
        <v>73</v>
      </c>
      <c r="AW97" s="472" t="s">
        <v>73</v>
      </c>
      <c r="AX97" s="30">
        <v>10000</v>
      </c>
      <c r="AY97" s="479" t="s">
        <v>7</v>
      </c>
      <c r="AZ97" s="474" t="s">
        <v>74</v>
      </c>
      <c r="BA97" s="474"/>
      <c r="BB97" s="480"/>
      <c r="BC97" s="480"/>
      <c r="BK97" s="481" t="s">
        <v>790</v>
      </c>
      <c r="BL97" s="481" t="s">
        <v>791</v>
      </c>
      <c r="BM97" s="284" t="s">
        <v>792</v>
      </c>
      <c r="BN97" s="414" t="s">
        <v>793</v>
      </c>
      <c r="BO97" s="284" t="s">
        <v>794</v>
      </c>
      <c r="BP97" s="285">
        <v>46134</v>
      </c>
      <c r="BQ97" s="482"/>
      <c r="BR97" s="963" t="s">
        <v>1132</v>
      </c>
      <c r="BS97" s="482"/>
      <c r="BT97" s="286" t="s">
        <v>796</v>
      </c>
      <c r="BU97" s="482" t="s">
        <v>797</v>
      </c>
      <c r="BV97" s="649" t="s">
        <v>1133</v>
      </c>
      <c r="BW97" s="284" t="s">
        <v>1134</v>
      </c>
      <c r="BX97" s="284" t="s">
        <v>1135</v>
      </c>
      <c r="BY97" s="284">
        <v>40869933</v>
      </c>
      <c r="BZ97" s="284"/>
      <c r="CA97" s="288">
        <v>5000</v>
      </c>
      <c r="CB97" s="483">
        <v>46143</v>
      </c>
      <c r="CC97" s="483">
        <v>46203</v>
      </c>
      <c r="CD97" s="759"/>
      <c r="CE97" s="485">
        <f t="shared" si="278"/>
        <v>30</v>
      </c>
      <c r="CF97" s="484">
        <f t="shared" si="279"/>
        <v>5000</v>
      </c>
      <c r="CG97" s="485">
        <v>30</v>
      </c>
      <c r="CH97" s="485">
        <f t="shared" si="280"/>
        <v>5000</v>
      </c>
      <c r="CI97" s="485">
        <v>30</v>
      </c>
      <c r="CJ97" s="485">
        <f t="shared" si="281"/>
        <v>5000</v>
      </c>
      <c r="CK97" s="484">
        <f t="shared" si="282"/>
        <v>0</v>
      </c>
      <c r="CL97" s="484">
        <f t="shared" si="283"/>
        <v>0</v>
      </c>
      <c r="CM97" s="1006"/>
      <c r="CN97" s="485">
        <f t="shared" si="284"/>
        <v>30</v>
      </c>
      <c r="CO97" s="484">
        <f t="shared" si="285"/>
        <v>5000</v>
      </c>
      <c r="CP97" s="485">
        <v>30</v>
      </c>
      <c r="CQ97" s="485">
        <f t="shared" si="286"/>
        <v>5000</v>
      </c>
      <c r="CR97" s="485">
        <v>30</v>
      </c>
      <c r="CS97" s="485">
        <f t="shared" si="287"/>
        <v>5000</v>
      </c>
      <c r="CT97" s="484">
        <f t="shared" si="288"/>
        <v>0</v>
      </c>
      <c r="CU97" s="484">
        <f t="shared" si="289"/>
        <v>0</v>
      </c>
      <c r="CV97" s="1006"/>
      <c r="CW97" s="1007">
        <f t="shared" si="225"/>
        <v>10000</v>
      </c>
      <c r="CX97" s="486">
        <f t="shared" si="226"/>
        <v>10000</v>
      </c>
      <c r="CY97" s="486">
        <f t="shared" si="227"/>
        <v>10000</v>
      </c>
      <c r="CZ97" s="1007">
        <f t="shared" si="228"/>
        <v>0</v>
      </c>
      <c r="DA97" s="1007">
        <f t="shared" si="229"/>
        <v>0</v>
      </c>
    </row>
    <row r="98" spans="1:16378" ht="51" hidden="1" x14ac:dyDescent="0.25">
      <c r="A98" s="472">
        <v>2026</v>
      </c>
      <c r="B98" s="472">
        <v>479</v>
      </c>
      <c r="C98" s="472" t="s">
        <v>64</v>
      </c>
      <c r="D98" s="472" t="s">
        <v>65</v>
      </c>
      <c r="E98" s="472">
        <v>125</v>
      </c>
      <c r="F98" s="472">
        <v>3000654</v>
      </c>
      <c r="G98" s="472">
        <v>5005023</v>
      </c>
      <c r="H98" s="472">
        <v>3</v>
      </c>
      <c r="I98" s="472">
        <v>12</v>
      </c>
      <c r="J98" s="472">
        <v>24</v>
      </c>
      <c r="K98" s="472">
        <v>135560</v>
      </c>
      <c r="L98" s="472" t="s">
        <v>66</v>
      </c>
      <c r="M98" s="124" t="s">
        <v>67</v>
      </c>
      <c r="N98" s="472">
        <v>95</v>
      </c>
      <c r="O98" s="474"/>
      <c r="P98" s="474" t="s">
        <v>4</v>
      </c>
      <c r="Q98" s="472" t="s">
        <v>68</v>
      </c>
      <c r="R98" s="475" t="s">
        <v>69</v>
      </c>
      <c r="S98" s="475" t="s">
        <v>137</v>
      </c>
      <c r="T98" s="475"/>
      <c r="U98" s="124" t="s">
        <v>182</v>
      </c>
      <c r="V98" s="475" t="s">
        <v>3</v>
      </c>
      <c r="W98" s="121">
        <v>1</v>
      </c>
      <c r="X98" s="476">
        <v>5000</v>
      </c>
      <c r="Y98" s="474"/>
      <c r="Z98" s="474"/>
      <c r="AA98" s="474"/>
      <c r="AB98" s="474"/>
      <c r="AC98" s="475">
        <v>30</v>
      </c>
      <c r="AD98" s="475">
        <v>30</v>
      </c>
      <c r="AE98" s="474"/>
      <c r="AF98" s="474"/>
      <c r="AG98" s="474"/>
      <c r="AH98" s="474"/>
      <c r="AI98" s="474"/>
      <c r="AJ98" s="474"/>
      <c r="AK98" s="477">
        <v>10000</v>
      </c>
      <c r="AL98" s="472" t="s">
        <v>73</v>
      </c>
      <c r="AM98" s="472" t="s">
        <v>73</v>
      </c>
      <c r="AN98" s="472" t="s">
        <v>73</v>
      </c>
      <c r="AO98" s="472" t="s">
        <v>73</v>
      </c>
      <c r="AP98" s="478">
        <v>5000</v>
      </c>
      <c r="AQ98" s="478">
        <v>5000</v>
      </c>
      <c r="AR98" s="472" t="s">
        <v>73</v>
      </c>
      <c r="AS98" s="472" t="s">
        <v>73</v>
      </c>
      <c r="AT98" s="472" t="s">
        <v>73</v>
      </c>
      <c r="AU98" s="472" t="s">
        <v>73</v>
      </c>
      <c r="AV98" s="472" t="s">
        <v>73</v>
      </c>
      <c r="AW98" s="472" t="s">
        <v>73</v>
      </c>
      <c r="AX98" s="30">
        <v>10000</v>
      </c>
      <c r="AY98" s="479" t="s">
        <v>7</v>
      </c>
      <c r="AZ98" s="474" t="s">
        <v>74</v>
      </c>
      <c r="BA98" s="474"/>
      <c r="BB98" s="480"/>
      <c r="BC98" s="480"/>
      <c r="BK98" s="481" t="s">
        <v>790</v>
      </c>
      <c r="BL98" s="481" t="s">
        <v>791</v>
      </c>
      <c r="BM98" s="284" t="s">
        <v>792</v>
      </c>
      <c r="BN98" s="414" t="s">
        <v>793</v>
      </c>
      <c r="BO98" s="284" t="s">
        <v>794</v>
      </c>
      <c r="BP98" s="285">
        <v>46134</v>
      </c>
      <c r="BQ98" s="482"/>
      <c r="BR98" s="963" t="s">
        <v>1136</v>
      </c>
      <c r="BS98" s="482"/>
      <c r="BT98" s="286" t="s">
        <v>796</v>
      </c>
      <c r="BU98" s="482" t="s">
        <v>797</v>
      </c>
      <c r="BV98" s="649" t="s">
        <v>1137</v>
      </c>
      <c r="BW98" s="284" t="s">
        <v>895</v>
      </c>
      <c r="BX98" s="284" t="s">
        <v>1138</v>
      </c>
      <c r="BY98" s="284">
        <v>25648865</v>
      </c>
      <c r="BZ98" s="284"/>
      <c r="CA98" s="288">
        <v>5000</v>
      </c>
      <c r="CB98" s="483">
        <v>46143</v>
      </c>
      <c r="CC98" s="483">
        <v>46203</v>
      </c>
      <c r="CD98" s="759"/>
      <c r="CE98" s="485">
        <f t="shared" si="278"/>
        <v>30</v>
      </c>
      <c r="CF98" s="484">
        <f t="shared" si="279"/>
        <v>5000</v>
      </c>
      <c r="CG98" s="485">
        <v>30</v>
      </c>
      <c r="CH98" s="485">
        <f t="shared" si="280"/>
        <v>5000</v>
      </c>
      <c r="CI98" s="485">
        <v>30</v>
      </c>
      <c r="CJ98" s="485">
        <f t="shared" si="281"/>
        <v>5000</v>
      </c>
      <c r="CK98" s="484">
        <f t="shared" si="282"/>
        <v>0</v>
      </c>
      <c r="CL98" s="484">
        <f t="shared" si="283"/>
        <v>0</v>
      </c>
      <c r="CM98" s="1006"/>
      <c r="CN98" s="485">
        <f t="shared" si="284"/>
        <v>30</v>
      </c>
      <c r="CO98" s="484">
        <f t="shared" si="285"/>
        <v>5000</v>
      </c>
      <c r="CP98" s="485">
        <v>30</v>
      </c>
      <c r="CQ98" s="485">
        <f t="shared" si="286"/>
        <v>5000</v>
      </c>
      <c r="CR98" s="485">
        <v>30</v>
      </c>
      <c r="CS98" s="485">
        <f t="shared" si="287"/>
        <v>5000</v>
      </c>
      <c r="CT98" s="484">
        <f t="shared" si="288"/>
        <v>0</v>
      </c>
      <c r="CU98" s="484">
        <f t="shared" si="289"/>
        <v>0</v>
      </c>
      <c r="CV98" s="1006"/>
      <c r="CW98" s="1007">
        <f t="shared" si="225"/>
        <v>10000</v>
      </c>
      <c r="CX98" s="486">
        <f t="shared" si="226"/>
        <v>10000</v>
      </c>
      <c r="CY98" s="486">
        <f t="shared" si="227"/>
        <v>10000</v>
      </c>
      <c r="CZ98" s="1007">
        <f t="shared" si="228"/>
        <v>0</v>
      </c>
      <c r="DA98" s="1007">
        <f t="shared" si="229"/>
        <v>0</v>
      </c>
    </row>
    <row r="99" spans="1:16378" ht="60.75" hidden="1" customHeight="1" x14ac:dyDescent="0.25">
      <c r="A99" s="472">
        <v>2026</v>
      </c>
      <c r="B99" s="472">
        <v>479</v>
      </c>
      <c r="C99" s="472" t="s">
        <v>64</v>
      </c>
      <c r="D99" s="472" t="s">
        <v>65</v>
      </c>
      <c r="E99" s="472">
        <v>125</v>
      </c>
      <c r="F99" s="472">
        <v>3000654</v>
      </c>
      <c r="G99" s="472">
        <v>5005023</v>
      </c>
      <c r="H99" s="472">
        <v>3</v>
      </c>
      <c r="I99" s="472">
        <v>12</v>
      </c>
      <c r="J99" s="472">
        <v>24</v>
      </c>
      <c r="K99" s="472">
        <v>135560</v>
      </c>
      <c r="L99" s="472" t="s">
        <v>66</v>
      </c>
      <c r="M99" s="124" t="s">
        <v>67</v>
      </c>
      <c r="N99" s="472">
        <v>95</v>
      </c>
      <c r="O99" s="474"/>
      <c r="P99" s="474" t="s">
        <v>4</v>
      </c>
      <c r="Q99" s="472" t="s">
        <v>68</v>
      </c>
      <c r="R99" s="475" t="s">
        <v>69</v>
      </c>
      <c r="S99" s="475" t="s">
        <v>137</v>
      </c>
      <c r="T99" s="475"/>
      <c r="U99" s="124" t="s">
        <v>182</v>
      </c>
      <c r="V99" s="475" t="s">
        <v>3</v>
      </c>
      <c r="W99" s="121">
        <v>1</v>
      </c>
      <c r="X99" s="476">
        <v>5000</v>
      </c>
      <c r="Y99" s="474"/>
      <c r="Z99" s="474"/>
      <c r="AA99" s="474"/>
      <c r="AB99" s="474"/>
      <c r="AC99" s="475">
        <v>30</v>
      </c>
      <c r="AD99" s="475">
        <v>30</v>
      </c>
      <c r="AE99" s="474"/>
      <c r="AF99" s="474"/>
      <c r="AG99" s="474"/>
      <c r="AH99" s="474"/>
      <c r="AI99" s="474"/>
      <c r="AJ99" s="474"/>
      <c r="AK99" s="477">
        <v>10000</v>
      </c>
      <c r="AL99" s="472" t="s">
        <v>73</v>
      </c>
      <c r="AM99" s="472" t="s">
        <v>73</v>
      </c>
      <c r="AN99" s="472" t="s">
        <v>73</v>
      </c>
      <c r="AO99" s="472" t="s">
        <v>73</v>
      </c>
      <c r="AP99" s="478">
        <v>5000</v>
      </c>
      <c r="AQ99" s="478">
        <v>5000</v>
      </c>
      <c r="AR99" s="472" t="s">
        <v>73</v>
      </c>
      <c r="AS99" s="472" t="s">
        <v>73</v>
      </c>
      <c r="AT99" s="472" t="s">
        <v>73</v>
      </c>
      <c r="AU99" s="472" t="s">
        <v>73</v>
      </c>
      <c r="AV99" s="472" t="s">
        <v>73</v>
      </c>
      <c r="AW99" s="472" t="s">
        <v>73</v>
      </c>
      <c r="AX99" s="30">
        <v>10000</v>
      </c>
      <c r="AY99" s="479" t="s">
        <v>7</v>
      </c>
      <c r="AZ99" s="474" t="s">
        <v>74</v>
      </c>
      <c r="BA99" s="474"/>
      <c r="BB99" s="480"/>
      <c r="BC99" s="480"/>
      <c r="BK99" s="481" t="s">
        <v>790</v>
      </c>
      <c r="BL99" s="481" t="s">
        <v>791</v>
      </c>
      <c r="BM99" s="284" t="s">
        <v>792</v>
      </c>
      <c r="BN99" s="414" t="s">
        <v>793</v>
      </c>
      <c r="BO99" s="284" t="s">
        <v>794</v>
      </c>
      <c r="BP99" s="285">
        <v>46134</v>
      </c>
      <c r="BQ99" s="482"/>
      <c r="BR99" s="963" t="s">
        <v>1139</v>
      </c>
      <c r="BS99" s="482"/>
      <c r="BT99" s="286" t="s">
        <v>796</v>
      </c>
      <c r="BU99" s="482" t="s">
        <v>797</v>
      </c>
      <c r="BV99" s="649" t="s">
        <v>1065</v>
      </c>
      <c r="BW99" s="284" t="s">
        <v>992</v>
      </c>
      <c r="BX99" s="284" t="s">
        <v>1140</v>
      </c>
      <c r="BY99" s="284">
        <v>70572675</v>
      </c>
      <c r="BZ99" s="284"/>
      <c r="CA99" s="288">
        <v>5000</v>
      </c>
      <c r="CB99" s="483">
        <v>46143</v>
      </c>
      <c r="CC99" s="483">
        <v>46203</v>
      </c>
      <c r="CD99" s="759"/>
      <c r="CE99" s="485">
        <f t="shared" si="278"/>
        <v>30</v>
      </c>
      <c r="CF99" s="484">
        <f t="shared" si="279"/>
        <v>5000</v>
      </c>
      <c r="CG99" s="485">
        <v>30</v>
      </c>
      <c r="CH99" s="485">
        <f t="shared" si="280"/>
        <v>5000</v>
      </c>
      <c r="CI99" s="485">
        <v>30</v>
      </c>
      <c r="CJ99" s="485">
        <f t="shared" si="281"/>
        <v>5000</v>
      </c>
      <c r="CK99" s="484">
        <f t="shared" si="282"/>
        <v>0</v>
      </c>
      <c r="CL99" s="484">
        <f t="shared" si="283"/>
        <v>0</v>
      </c>
      <c r="CM99" s="1006"/>
      <c r="CN99" s="485">
        <f t="shared" si="284"/>
        <v>30</v>
      </c>
      <c r="CO99" s="484">
        <f t="shared" si="285"/>
        <v>5000</v>
      </c>
      <c r="CP99" s="485">
        <v>30</v>
      </c>
      <c r="CQ99" s="485">
        <f t="shared" si="286"/>
        <v>5000</v>
      </c>
      <c r="CR99" s="485">
        <v>30</v>
      </c>
      <c r="CS99" s="485">
        <f t="shared" si="287"/>
        <v>5000</v>
      </c>
      <c r="CT99" s="484">
        <f t="shared" si="288"/>
        <v>0</v>
      </c>
      <c r="CU99" s="484">
        <f t="shared" si="289"/>
        <v>0</v>
      </c>
      <c r="CV99" s="1006"/>
      <c r="CW99" s="1007">
        <f t="shared" si="225"/>
        <v>10000</v>
      </c>
      <c r="CX99" s="486">
        <f t="shared" si="226"/>
        <v>10000</v>
      </c>
      <c r="CY99" s="486">
        <f t="shared" si="227"/>
        <v>10000</v>
      </c>
      <c r="CZ99" s="1007">
        <f t="shared" si="228"/>
        <v>0</v>
      </c>
      <c r="DA99" s="1007">
        <f t="shared" si="229"/>
        <v>0</v>
      </c>
    </row>
    <row r="100" spans="1:16378" ht="49.5" hidden="1" customHeight="1" x14ac:dyDescent="0.25">
      <c r="A100" s="472">
        <v>2026</v>
      </c>
      <c r="B100" s="472">
        <v>479</v>
      </c>
      <c r="C100" s="472" t="s">
        <v>64</v>
      </c>
      <c r="D100" s="472" t="s">
        <v>65</v>
      </c>
      <c r="E100" s="472">
        <v>125</v>
      </c>
      <c r="F100" s="472">
        <v>3000654</v>
      </c>
      <c r="G100" s="472">
        <v>5005023</v>
      </c>
      <c r="H100" s="472">
        <v>3</v>
      </c>
      <c r="I100" s="472">
        <v>12</v>
      </c>
      <c r="J100" s="472">
        <v>24</v>
      </c>
      <c r="K100" s="472">
        <v>135560</v>
      </c>
      <c r="L100" s="472" t="s">
        <v>66</v>
      </c>
      <c r="M100" s="124" t="s">
        <v>67</v>
      </c>
      <c r="N100" s="472">
        <v>95</v>
      </c>
      <c r="O100" s="474"/>
      <c r="P100" s="474" t="s">
        <v>4</v>
      </c>
      <c r="Q100" s="472" t="s">
        <v>68</v>
      </c>
      <c r="R100" s="475" t="s">
        <v>69</v>
      </c>
      <c r="S100" s="475" t="s">
        <v>137</v>
      </c>
      <c r="T100" s="475"/>
      <c r="U100" s="124" t="s">
        <v>182</v>
      </c>
      <c r="V100" s="475" t="s">
        <v>3</v>
      </c>
      <c r="W100" s="121">
        <v>1</v>
      </c>
      <c r="X100" s="476">
        <v>5000</v>
      </c>
      <c r="Y100" s="474"/>
      <c r="Z100" s="474"/>
      <c r="AA100" s="474"/>
      <c r="AB100" s="474"/>
      <c r="AC100" s="475">
        <v>30</v>
      </c>
      <c r="AD100" s="475">
        <v>30</v>
      </c>
      <c r="AE100" s="474"/>
      <c r="AF100" s="474"/>
      <c r="AG100" s="474"/>
      <c r="AH100" s="474"/>
      <c r="AI100" s="474"/>
      <c r="AJ100" s="474"/>
      <c r="AK100" s="477">
        <v>10000</v>
      </c>
      <c r="AL100" s="472" t="s">
        <v>73</v>
      </c>
      <c r="AM100" s="472" t="s">
        <v>73</v>
      </c>
      <c r="AN100" s="472" t="s">
        <v>73</v>
      </c>
      <c r="AO100" s="472" t="s">
        <v>73</v>
      </c>
      <c r="AP100" s="478">
        <v>5000</v>
      </c>
      <c r="AQ100" s="478">
        <v>5000</v>
      </c>
      <c r="AR100" s="472" t="s">
        <v>73</v>
      </c>
      <c r="AS100" s="472" t="s">
        <v>73</v>
      </c>
      <c r="AT100" s="472" t="s">
        <v>73</v>
      </c>
      <c r="AU100" s="472" t="s">
        <v>73</v>
      </c>
      <c r="AV100" s="472" t="s">
        <v>73</v>
      </c>
      <c r="AW100" s="472" t="s">
        <v>73</v>
      </c>
      <c r="AX100" s="30">
        <v>10000</v>
      </c>
      <c r="AY100" s="479" t="s">
        <v>7</v>
      </c>
      <c r="AZ100" s="474" t="s">
        <v>74</v>
      </c>
      <c r="BA100" s="474"/>
      <c r="BB100" s="480"/>
      <c r="BC100" s="480"/>
      <c r="BD100" s="480"/>
      <c r="BE100" s="480"/>
      <c r="BF100" s="480"/>
      <c r="BG100" s="494"/>
      <c r="BH100" s="493"/>
      <c r="BI100" s="494"/>
      <c r="BJ100" s="553"/>
      <c r="BK100" s="481" t="s">
        <v>790</v>
      </c>
      <c r="BL100" s="481" t="s">
        <v>791</v>
      </c>
      <c r="BM100" s="284" t="s">
        <v>792</v>
      </c>
      <c r="BN100" s="414" t="s">
        <v>793</v>
      </c>
      <c r="BO100" s="284" t="s">
        <v>794</v>
      </c>
      <c r="BP100" s="285">
        <v>46134</v>
      </c>
      <c r="BQ100" s="482"/>
      <c r="BR100" s="963" t="s">
        <v>1141</v>
      </c>
      <c r="BS100" s="482"/>
      <c r="BT100" s="286" t="s">
        <v>796</v>
      </c>
      <c r="BU100" s="482" t="s">
        <v>797</v>
      </c>
      <c r="BV100" s="649" t="s">
        <v>941</v>
      </c>
      <c r="BW100" s="284" t="s">
        <v>1142</v>
      </c>
      <c r="BX100" s="284" t="s">
        <v>1143</v>
      </c>
      <c r="BY100" s="284">
        <v>42459726</v>
      </c>
      <c r="BZ100" s="284"/>
      <c r="CA100" s="288">
        <v>5000</v>
      </c>
      <c r="CB100" s="483">
        <v>46143</v>
      </c>
      <c r="CC100" s="483">
        <v>46203</v>
      </c>
      <c r="CD100" s="759"/>
      <c r="CE100" s="485">
        <f t="shared" si="29"/>
        <v>30</v>
      </c>
      <c r="CF100" s="1029">
        <f t="shared" si="30"/>
        <v>5000</v>
      </c>
      <c r="CG100" s="484">
        <v>30</v>
      </c>
      <c r="CH100" s="484">
        <f t="shared" si="31"/>
        <v>5000</v>
      </c>
      <c r="CI100" s="484">
        <v>30</v>
      </c>
      <c r="CJ100" s="485">
        <f t="shared" si="32"/>
        <v>5000</v>
      </c>
      <c r="CK100" s="485">
        <f t="shared" si="33"/>
        <v>0</v>
      </c>
      <c r="CL100" s="484">
        <f t="shared" si="34"/>
        <v>0</v>
      </c>
      <c r="CM100" s="1006"/>
      <c r="CN100" s="485">
        <f t="shared" si="35"/>
        <v>30</v>
      </c>
      <c r="CO100" s="485">
        <f t="shared" si="36"/>
        <v>5000</v>
      </c>
      <c r="CP100" s="485">
        <v>30</v>
      </c>
      <c r="CQ100" s="485">
        <f t="shared" si="37"/>
        <v>5000</v>
      </c>
      <c r="CR100" s="485">
        <v>30</v>
      </c>
      <c r="CS100" s="485">
        <f t="shared" si="38"/>
        <v>5000</v>
      </c>
      <c r="CT100" s="485">
        <f t="shared" si="39"/>
        <v>0</v>
      </c>
      <c r="CU100" s="485">
        <f t="shared" si="40"/>
        <v>0</v>
      </c>
      <c r="CV100" s="1006"/>
      <c r="CW100" s="1007">
        <f t="shared" si="225"/>
        <v>10000</v>
      </c>
      <c r="CX100" s="486">
        <f t="shared" si="226"/>
        <v>10000</v>
      </c>
      <c r="CY100" s="486">
        <f t="shared" si="227"/>
        <v>10000</v>
      </c>
      <c r="CZ100" s="1007">
        <f t="shared" si="228"/>
        <v>0</v>
      </c>
      <c r="DA100" s="1007">
        <f t="shared" si="229"/>
        <v>0</v>
      </c>
      <c r="DB100" s="142"/>
      <c r="DC100" s="142"/>
      <c r="DD100" s="142"/>
      <c r="DE100" s="142"/>
      <c r="DF100" s="142"/>
      <c r="DG100" s="142"/>
      <c r="DH100" s="142"/>
      <c r="DI100" s="142"/>
      <c r="DJ100" s="142"/>
      <c r="DK100" s="142"/>
      <c r="DL100" s="142"/>
      <c r="DM100" s="142"/>
      <c r="DN100" s="142"/>
      <c r="DO100" s="142"/>
      <c r="DP100" s="142"/>
      <c r="DQ100" s="142"/>
      <c r="DR100" s="142"/>
      <c r="DS100" s="142"/>
      <c r="DT100" s="142"/>
      <c r="DU100" s="142"/>
      <c r="DV100" s="142"/>
      <c r="DW100" s="142"/>
      <c r="DX100" s="142"/>
      <c r="DY100" s="142"/>
      <c r="DZ100" s="142"/>
      <c r="EA100" s="142"/>
      <c r="EB100" s="142"/>
      <c r="EC100" s="142"/>
      <c r="ED100" s="142"/>
      <c r="EE100" s="142"/>
      <c r="EF100" s="142"/>
      <c r="EG100" s="142"/>
      <c r="EH100" s="142"/>
      <c r="EI100" s="142"/>
      <c r="EJ100" s="142"/>
      <c r="EK100" s="142"/>
      <c r="EL100" s="142"/>
      <c r="EM100" s="142"/>
      <c r="EN100" s="142"/>
      <c r="EO100" s="142"/>
      <c r="EP100" s="142"/>
      <c r="EQ100" s="142"/>
      <c r="ER100" s="142"/>
      <c r="ES100" s="142"/>
      <c r="ET100" s="142"/>
      <c r="EU100" s="142"/>
      <c r="EV100" s="142"/>
      <c r="EW100" s="142"/>
      <c r="EX100" s="142"/>
      <c r="EY100" s="142"/>
      <c r="EZ100" s="142"/>
      <c r="FA100" s="142"/>
      <c r="FB100" s="142"/>
      <c r="FC100" s="142"/>
      <c r="FD100" s="142"/>
      <c r="FE100" s="142"/>
      <c r="FF100" s="142"/>
      <c r="FG100" s="142"/>
      <c r="FH100" s="142"/>
      <c r="FI100" s="142"/>
      <c r="FJ100" s="142"/>
      <c r="FK100" s="142"/>
      <c r="FL100" s="142"/>
      <c r="FM100" s="142"/>
      <c r="FN100" s="142"/>
      <c r="FO100" s="142"/>
      <c r="FP100" s="142"/>
      <c r="FQ100" s="142"/>
      <c r="FR100" s="142"/>
      <c r="FS100" s="142"/>
      <c r="FT100" s="142"/>
      <c r="FU100" s="142"/>
      <c r="FV100" s="142"/>
      <c r="FW100" s="142"/>
      <c r="FX100" s="142"/>
      <c r="FY100" s="142"/>
      <c r="FZ100" s="142"/>
      <c r="GA100" s="142"/>
      <c r="GB100" s="142"/>
      <c r="GC100" s="142"/>
      <c r="GD100" s="142"/>
      <c r="GE100" s="142"/>
      <c r="GF100" s="142"/>
      <c r="GG100" s="142"/>
      <c r="GH100" s="142"/>
      <c r="GI100" s="142"/>
      <c r="GJ100" s="142"/>
      <c r="GK100" s="142"/>
      <c r="GL100" s="142"/>
      <c r="GM100" s="142"/>
      <c r="GN100" s="142"/>
      <c r="GO100" s="142"/>
      <c r="GP100" s="142"/>
      <c r="GQ100" s="142"/>
      <c r="GR100" s="142"/>
      <c r="GS100" s="142"/>
      <c r="GT100" s="142"/>
      <c r="GU100" s="142"/>
      <c r="GV100" s="142"/>
      <c r="GW100" s="142"/>
      <c r="GX100" s="142"/>
      <c r="GY100" s="142"/>
      <c r="GZ100" s="142"/>
      <c r="HA100" s="142"/>
      <c r="HB100" s="142"/>
      <c r="HC100" s="142"/>
      <c r="HD100" s="142"/>
      <c r="HE100" s="142"/>
      <c r="HF100" s="142"/>
      <c r="HG100" s="142"/>
      <c r="HH100" s="142"/>
      <c r="HI100" s="142"/>
      <c r="HJ100" s="142"/>
      <c r="HK100" s="142"/>
      <c r="HL100" s="142"/>
      <c r="HM100" s="142"/>
      <c r="HN100" s="142"/>
      <c r="HO100" s="142"/>
      <c r="HP100" s="142"/>
      <c r="HQ100" s="142"/>
      <c r="HR100" s="142"/>
      <c r="HS100" s="142"/>
      <c r="HT100" s="142"/>
      <c r="HU100" s="142"/>
      <c r="HV100" s="142"/>
      <c r="HW100" s="142"/>
      <c r="HX100" s="142"/>
      <c r="HY100" s="142"/>
      <c r="HZ100" s="142"/>
      <c r="IA100" s="142"/>
      <c r="IB100" s="142"/>
      <c r="IC100" s="142"/>
      <c r="ID100" s="142"/>
      <c r="IE100" s="142"/>
      <c r="IF100" s="142"/>
      <c r="IG100" s="142"/>
      <c r="IH100" s="142"/>
      <c r="II100" s="142"/>
      <c r="IJ100" s="142"/>
      <c r="IK100" s="142"/>
      <c r="IL100" s="142"/>
      <c r="IM100" s="142"/>
      <c r="IN100" s="142"/>
      <c r="IO100" s="142"/>
      <c r="IP100" s="142"/>
      <c r="IQ100" s="142"/>
      <c r="IR100" s="142"/>
      <c r="IS100" s="142"/>
      <c r="IT100" s="142"/>
      <c r="IU100" s="142"/>
      <c r="IV100" s="142"/>
      <c r="IW100" s="142"/>
      <c r="IX100" s="142"/>
      <c r="IY100" s="142"/>
      <c r="IZ100" s="142"/>
      <c r="JA100" s="142"/>
      <c r="JB100" s="142"/>
      <c r="JC100" s="142"/>
      <c r="JD100" s="142"/>
      <c r="JE100" s="142"/>
      <c r="JF100" s="142"/>
      <c r="JG100" s="142"/>
      <c r="JH100" s="142"/>
      <c r="JI100" s="142"/>
      <c r="JJ100" s="142"/>
      <c r="JK100" s="142"/>
      <c r="JL100" s="142"/>
      <c r="JM100" s="142"/>
      <c r="JN100" s="142"/>
      <c r="JO100" s="142"/>
      <c r="JP100" s="142"/>
      <c r="JQ100" s="142"/>
      <c r="JR100" s="142"/>
      <c r="JS100" s="142"/>
      <c r="JT100" s="142"/>
      <c r="JU100" s="142"/>
      <c r="JV100" s="142"/>
      <c r="JW100" s="142"/>
      <c r="JX100" s="142"/>
      <c r="JY100" s="142"/>
      <c r="JZ100" s="142"/>
      <c r="KA100" s="142"/>
      <c r="KB100" s="142"/>
      <c r="KC100" s="142"/>
      <c r="KD100" s="142"/>
      <c r="KE100" s="142"/>
      <c r="KF100" s="142"/>
      <c r="KG100" s="142"/>
      <c r="KH100" s="142"/>
      <c r="KI100" s="142"/>
      <c r="KJ100" s="142"/>
      <c r="KK100" s="142"/>
      <c r="KL100" s="142"/>
      <c r="KM100" s="142"/>
      <c r="KN100" s="142"/>
      <c r="KO100" s="142"/>
      <c r="KP100" s="142"/>
      <c r="KQ100" s="142"/>
      <c r="KR100" s="142"/>
      <c r="KS100" s="142"/>
      <c r="KT100" s="142"/>
      <c r="KU100" s="142"/>
      <c r="KV100" s="142"/>
      <c r="KW100" s="142"/>
      <c r="KX100" s="142"/>
      <c r="KY100" s="142"/>
      <c r="KZ100" s="142"/>
      <c r="LA100" s="142"/>
      <c r="LB100" s="142"/>
      <c r="LC100" s="142"/>
      <c r="LD100" s="142"/>
      <c r="LE100" s="142"/>
      <c r="LF100" s="142"/>
      <c r="LG100" s="142"/>
      <c r="LH100" s="142"/>
      <c r="LI100" s="142"/>
      <c r="LJ100" s="142"/>
      <c r="LK100" s="142"/>
      <c r="LL100" s="142"/>
      <c r="LM100" s="142"/>
      <c r="LN100" s="142"/>
      <c r="LO100" s="142"/>
      <c r="LP100" s="142"/>
      <c r="LQ100" s="142"/>
      <c r="LR100" s="142"/>
      <c r="LS100" s="142"/>
      <c r="LT100" s="142"/>
      <c r="LU100" s="142"/>
      <c r="LV100" s="142"/>
      <c r="LW100" s="142"/>
      <c r="LX100" s="142"/>
      <c r="LY100" s="142"/>
      <c r="LZ100" s="142"/>
      <c r="MA100" s="142"/>
      <c r="MB100" s="142"/>
      <c r="MC100" s="142"/>
      <c r="MD100" s="142"/>
      <c r="ME100" s="142"/>
      <c r="MF100" s="142"/>
      <c r="MG100" s="142"/>
      <c r="MH100" s="142"/>
      <c r="MI100" s="142"/>
      <c r="MJ100" s="142"/>
      <c r="MK100" s="142"/>
      <c r="ML100" s="142"/>
      <c r="MM100" s="142"/>
      <c r="MN100" s="142"/>
      <c r="MO100" s="142"/>
      <c r="MP100" s="142"/>
      <c r="MQ100" s="142"/>
      <c r="MR100" s="142"/>
      <c r="MS100" s="142"/>
      <c r="MT100" s="142"/>
      <c r="MU100" s="142"/>
      <c r="MV100" s="142"/>
      <c r="MW100" s="142"/>
      <c r="MX100" s="142"/>
      <c r="MY100" s="142"/>
      <c r="MZ100" s="142"/>
      <c r="NA100" s="142"/>
      <c r="NB100" s="142"/>
      <c r="NC100" s="142"/>
      <c r="ND100" s="142"/>
      <c r="NE100" s="142"/>
      <c r="NF100" s="142"/>
      <c r="NG100" s="142"/>
      <c r="NH100" s="142"/>
      <c r="NI100" s="142"/>
      <c r="NJ100" s="142"/>
      <c r="NK100" s="142"/>
      <c r="NL100" s="142"/>
      <c r="NM100" s="142"/>
      <c r="NN100" s="142"/>
      <c r="NO100" s="142"/>
      <c r="NP100" s="142"/>
      <c r="NQ100" s="142"/>
      <c r="NR100" s="142"/>
      <c r="NS100" s="142"/>
      <c r="NT100" s="142"/>
      <c r="NU100" s="142"/>
      <c r="NV100" s="142"/>
      <c r="NW100" s="142"/>
      <c r="NX100" s="142"/>
      <c r="NY100" s="142"/>
      <c r="NZ100" s="142"/>
      <c r="OA100" s="142"/>
      <c r="OB100" s="142"/>
      <c r="OC100" s="142"/>
      <c r="OD100" s="142"/>
      <c r="OE100" s="142"/>
      <c r="OF100" s="142"/>
      <c r="OG100" s="142"/>
      <c r="OH100" s="142"/>
      <c r="OI100" s="142"/>
      <c r="OJ100" s="142"/>
      <c r="OK100" s="142"/>
      <c r="OL100" s="142"/>
      <c r="OM100" s="142"/>
      <c r="ON100" s="142"/>
      <c r="OO100" s="142"/>
      <c r="OP100" s="142"/>
      <c r="OQ100" s="142"/>
      <c r="OR100" s="142"/>
      <c r="OS100" s="142"/>
      <c r="OT100" s="142"/>
      <c r="OU100" s="142"/>
      <c r="OV100" s="142"/>
      <c r="OW100" s="142"/>
      <c r="OX100" s="142"/>
      <c r="OY100" s="142"/>
      <c r="OZ100" s="142"/>
      <c r="PA100" s="142"/>
      <c r="PB100" s="142"/>
      <c r="PC100" s="142"/>
      <c r="PD100" s="142"/>
      <c r="PE100" s="142"/>
      <c r="PF100" s="142"/>
      <c r="PG100" s="142"/>
      <c r="PH100" s="142"/>
      <c r="PI100" s="142"/>
      <c r="PJ100" s="142"/>
      <c r="PK100" s="142"/>
      <c r="PL100" s="142"/>
      <c r="PM100" s="142"/>
      <c r="PN100" s="142"/>
      <c r="PO100" s="142"/>
      <c r="PP100" s="142"/>
      <c r="PQ100" s="142"/>
      <c r="PR100" s="142"/>
      <c r="PS100" s="142"/>
      <c r="PT100" s="142"/>
      <c r="PU100" s="142"/>
      <c r="PV100" s="142"/>
      <c r="PW100" s="142"/>
      <c r="PX100" s="142"/>
      <c r="PY100" s="142"/>
      <c r="PZ100" s="142"/>
      <c r="QA100" s="142"/>
      <c r="QB100" s="142"/>
      <c r="QC100" s="142"/>
      <c r="QD100" s="142"/>
      <c r="QE100" s="142"/>
      <c r="QF100" s="142"/>
      <c r="QG100" s="142"/>
      <c r="QH100" s="142"/>
      <c r="QI100" s="142"/>
      <c r="QJ100" s="142"/>
      <c r="QK100" s="142"/>
      <c r="QL100" s="142"/>
      <c r="QM100" s="142"/>
      <c r="QN100" s="142"/>
      <c r="QO100" s="142"/>
      <c r="QP100" s="142"/>
      <c r="QQ100" s="142"/>
      <c r="QR100" s="142"/>
      <c r="QS100" s="142"/>
      <c r="QT100" s="142"/>
      <c r="QU100" s="142"/>
      <c r="QV100" s="142"/>
      <c r="QW100" s="142"/>
      <c r="QX100" s="142"/>
      <c r="QY100" s="142"/>
      <c r="QZ100" s="142"/>
      <c r="RA100" s="142"/>
      <c r="RB100" s="142"/>
      <c r="RC100" s="142"/>
      <c r="RD100" s="142"/>
      <c r="RE100" s="142"/>
      <c r="RF100" s="142"/>
      <c r="RG100" s="142"/>
      <c r="RH100" s="142"/>
      <c r="RI100" s="142"/>
      <c r="RJ100" s="142"/>
      <c r="RK100" s="142"/>
      <c r="RL100" s="142"/>
      <c r="RM100" s="142"/>
      <c r="RN100" s="142"/>
      <c r="RO100" s="142"/>
      <c r="RP100" s="142"/>
      <c r="RQ100" s="142"/>
      <c r="RR100" s="142"/>
      <c r="RS100" s="142"/>
      <c r="RT100" s="142"/>
      <c r="RU100" s="142"/>
      <c r="RV100" s="142"/>
      <c r="RW100" s="142"/>
      <c r="RX100" s="142"/>
      <c r="RY100" s="142"/>
      <c r="RZ100" s="142"/>
      <c r="SA100" s="142"/>
      <c r="SB100" s="142"/>
      <c r="SC100" s="142"/>
      <c r="SD100" s="142"/>
      <c r="SE100" s="142"/>
      <c r="SF100" s="142"/>
      <c r="SG100" s="142"/>
      <c r="SH100" s="142"/>
      <c r="SI100" s="142"/>
      <c r="SJ100" s="142"/>
      <c r="SK100" s="142"/>
      <c r="SL100" s="142"/>
      <c r="SM100" s="142"/>
      <c r="SN100" s="142"/>
      <c r="SO100" s="142"/>
      <c r="SP100" s="142"/>
      <c r="SQ100" s="142"/>
      <c r="SR100" s="142"/>
      <c r="SS100" s="142"/>
      <c r="ST100" s="142"/>
      <c r="SU100" s="142"/>
      <c r="SV100" s="142"/>
      <c r="SW100" s="142"/>
      <c r="SX100" s="142"/>
      <c r="SY100" s="142"/>
      <c r="SZ100" s="142"/>
      <c r="TA100" s="142"/>
      <c r="TB100" s="142"/>
      <c r="TC100" s="142"/>
      <c r="TD100" s="142"/>
      <c r="TE100" s="142"/>
      <c r="TF100" s="142"/>
      <c r="TG100" s="142"/>
      <c r="TH100" s="142"/>
      <c r="TI100" s="142"/>
      <c r="TJ100" s="142"/>
      <c r="TK100" s="142"/>
      <c r="TL100" s="142"/>
      <c r="TM100" s="142"/>
      <c r="TN100" s="142"/>
      <c r="TO100" s="142"/>
      <c r="TP100" s="142"/>
      <c r="TQ100" s="142"/>
      <c r="TR100" s="142"/>
      <c r="TS100" s="142"/>
      <c r="TT100" s="142"/>
      <c r="TU100" s="142"/>
      <c r="TV100" s="142"/>
      <c r="TW100" s="142"/>
      <c r="TX100" s="142"/>
      <c r="TY100" s="142"/>
      <c r="TZ100" s="142"/>
      <c r="UA100" s="142"/>
      <c r="UB100" s="142"/>
      <c r="UC100" s="142"/>
      <c r="UD100" s="142"/>
      <c r="UE100" s="142"/>
      <c r="UF100" s="142"/>
      <c r="UG100" s="142"/>
      <c r="UH100" s="142"/>
      <c r="UI100" s="142"/>
      <c r="UJ100" s="142"/>
      <c r="UK100" s="142"/>
      <c r="UL100" s="142"/>
      <c r="UM100" s="142"/>
      <c r="UN100" s="142"/>
      <c r="UO100" s="142"/>
      <c r="UP100" s="142"/>
      <c r="UQ100" s="142"/>
      <c r="UR100" s="142"/>
      <c r="US100" s="142"/>
      <c r="UT100" s="142"/>
      <c r="UU100" s="142"/>
      <c r="UV100" s="142"/>
      <c r="UW100" s="142"/>
      <c r="UX100" s="142"/>
      <c r="UY100" s="142"/>
      <c r="UZ100" s="142"/>
      <c r="VA100" s="142"/>
      <c r="VB100" s="142"/>
      <c r="VC100" s="142"/>
      <c r="VD100" s="142"/>
      <c r="VE100" s="142"/>
      <c r="VF100" s="142"/>
      <c r="VG100" s="142"/>
      <c r="VH100" s="142"/>
      <c r="VI100" s="142"/>
      <c r="VJ100" s="142"/>
      <c r="VK100" s="142"/>
      <c r="VL100" s="142"/>
      <c r="VM100" s="142"/>
      <c r="VN100" s="142"/>
      <c r="VO100" s="142"/>
      <c r="VP100" s="142"/>
      <c r="VQ100" s="142"/>
      <c r="VR100" s="142"/>
      <c r="VS100" s="142"/>
      <c r="VT100" s="142"/>
      <c r="VU100" s="142"/>
      <c r="VV100" s="142"/>
      <c r="VW100" s="142"/>
      <c r="VX100" s="142"/>
      <c r="VY100" s="142"/>
      <c r="VZ100" s="142"/>
      <c r="WA100" s="142"/>
      <c r="WB100" s="142"/>
      <c r="WC100" s="142"/>
      <c r="WD100" s="142"/>
      <c r="WE100" s="142"/>
      <c r="WF100" s="142"/>
      <c r="WG100" s="142"/>
      <c r="WH100" s="142"/>
      <c r="WI100" s="142"/>
      <c r="WJ100" s="142"/>
      <c r="WK100" s="142"/>
      <c r="WL100" s="142"/>
      <c r="WM100" s="142"/>
      <c r="WN100" s="142"/>
      <c r="WO100" s="142"/>
      <c r="WP100" s="142"/>
      <c r="WQ100" s="142"/>
      <c r="WR100" s="142"/>
      <c r="WS100" s="142"/>
      <c r="WT100" s="142"/>
      <c r="WU100" s="142"/>
      <c r="WV100" s="142"/>
      <c r="WW100" s="142"/>
      <c r="WX100" s="142"/>
      <c r="WY100" s="142"/>
      <c r="WZ100" s="142"/>
      <c r="XA100" s="142"/>
      <c r="XB100" s="142"/>
      <c r="XC100" s="142"/>
      <c r="XD100" s="142"/>
      <c r="XE100" s="142"/>
      <c r="XF100" s="142"/>
      <c r="XG100" s="142"/>
      <c r="XH100" s="142"/>
      <c r="XI100" s="142"/>
      <c r="XJ100" s="142"/>
      <c r="XK100" s="142"/>
      <c r="XL100" s="142"/>
      <c r="XM100" s="142"/>
      <c r="XN100" s="142"/>
      <c r="XO100" s="142"/>
      <c r="XP100" s="142"/>
      <c r="XQ100" s="142"/>
      <c r="XR100" s="142"/>
      <c r="XS100" s="142"/>
      <c r="XT100" s="142"/>
      <c r="XU100" s="142"/>
      <c r="XV100" s="142"/>
      <c r="XW100" s="142"/>
      <c r="XX100" s="142"/>
      <c r="XY100" s="142"/>
      <c r="XZ100" s="142"/>
      <c r="YA100" s="142"/>
      <c r="YB100" s="142"/>
      <c r="YC100" s="142"/>
      <c r="YD100" s="142"/>
      <c r="YE100" s="142"/>
      <c r="YF100" s="142"/>
      <c r="YG100" s="142"/>
      <c r="YH100" s="142"/>
      <c r="YI100" s="142"/>
      <c r="YJ100" s="142"/>
      <c r="YK100" s="142"/>
      <c r="YL100" s="142"/>
      <c r="YM100" s="142"/>
      <c r="YN100" s="142"/>
      <c r="YO100" s="142"/>
      <c r="YP100" s="142"/>
      <c r="YQ100" s="142"/>
      <c r="YR100" s="142"/>
      <c r="YS100" s="142"/>
      <c r="YT100" s="142"/>
      <c r="YU100" s="142"/>
      <c r="YV100" s="142"/>
      <c r="YW100" s="142"/>
      <c r="YX100" s="142"/>
      <c r="YY100" s="142"/>
      <c r="YZ100" s="142"/>
      <c r="ZA100" s="142"/>
      <c r="ZB100" s="142"/>
      <c r="ZC100" s="142"/>
      <c r="ZD100" s="142"/>
      <c r="ZE100" s="142"/>
      <c r="ZF100" s="142"/>
      <c r="ZG100" s="142"/>
      <c r="ZH100" s="142"/>
      <c r="ZI100" s="142"/>
      <c r="ZJ100" s="142"/>
      <c r="ZK100" s="142"/>
      <c r="ZL100" s="142"/>
      <c r="ZM100" s="142"/>
      <c r="ZN100" s="142"/>
      <c r="ZO100" s="142"/>
      <c r="ZP100" s="142"/>
      <c r="ZQ100" s="142"/>
      <c r="ZR100" s="142"/>
      <c r="ZS100" s="142"/>
      <c r="ZT100" s="142"/>
      <c r="ZU100" s="142"/>
      <c r="ZV100" s="142"/>
      <c r="ZW100" s="142"/>
      <c r="ZX100" s="142"/>
      <c r="ZY100" s="142"/>
      <c r="ZZ100" s="142"/>
      <c r="AAA100" s="142"/>
      <c r="AAB100" s="142"/>
      <c r="AAC100" s="142"/>
      <c r="AAD100" s="142"/>
      <c r="AAE100" s="142"/>
      <c r="AAF100" s="142"/>
      <c r="AAG100" s="142"/>
      <c r="AAH100" s="142"/>
      <c r="AAI100" s="142"/>
      <c r="AAJ100" s="142"/>
      <c r="AAK100" s="142"/>
      <c r="AAL100" s="142"/>
      <c r="AAM100" s="142"/>
      <c r="AAN100" s="142"/>
      <c r="AAO100" s="142"/>
      <c r="AAP100" s="142"/>
      <c r="AAQ100" s="142"/>
      <c r="AAR100" s="142"/>
      <c r="AAS100" s="142"/>
      <c r="AAT100" s="142"/>
      <c r="AAU100" s="142"/>
      <c r="AAV100" s="142"/>
      <c r="AAW100" s="142"/>
      <c r="AAX100" s="142"/>
      <c r="AAY100" s="142"/>
      <c r="AAZ100" s="142"/>
      <c r="ABA100" s="142"/>
      <c r="ABB100" s="142"/>
      <c r="ABC100" s="142"/>
      <c r="ABD100" s="142"/>
      <c r="ABE100" s="142"/>
      <c r="ABF100" s="142"/>
      <c r="ABG100" s="142"/>
      <c r="ABH100" s="142"/>
      <c r="ABI100" s="142"/>
      <c r="ABJ100" s="142"/>
      <c r="ABK100" s="142"/>
      <c r="ABL100" s="142"/>
      <c r="ABM100" s="142"/>
      <c r="ABN100" s="142"/>
      <c r="ABO100" s="142"/>
      <c r="ABP100" s="142"/>
      <c r="ABQ100" s="142"/>
      <c r="ABR100" s="142"/>
      <c r="ABS100" s="142"/>
      <c r="ABT100" s="142"/>
      <c r="ABU100" s="142"/>
      <c r="ABV100" s="142"/>
      <c r="ABW100" s="142"/>
      <c r="ABX100" s="142"/>
      <c r="ABY100" s="142"/>
      <c r="ABZ100" s="142"/>
      <c r="ACA100" s="142"/>
      <c r="ACB100" s="142"/>
      <c r="ACC100" s="142"/>
      <c r="ACD100" s="142"/>
      <c r="ACE100" s="142"/>
      <c r="ACF100" s="142"/>
      <c r="ACG100" s="142"/>
      <c r="ACH100" s="142"/>
      <c r="ACI100" s="142"/>
      <c r="ACJ100" s="142"/>
      <c r="ACK100" s="142"/>
      <c r="ACL100" s="142"/>
      <c r="ACM100" s="142"/>
      <c r="ACN100" s="142"/>
      <c r="ACO100" s="142"/>
      <c r="ACP100" s="142"/>
      <c r="ACQ100" s="142"/>
      <c r="ACR100" s="142"/>
      <c r="ACS100" s="142"/>
      <c r="ACT100" s="142"/>
      <c r="ACU100" s="142"/>
      <c r="ACV100" s="142"/>
      <c r="ACW100" s="142"/>
      <c r="ACX100" s="142"/>
      <c r="ACY100" s="142"/>
      <c r="ACZ100" s="142"/>
      <c r="ADA100" s="142"/>
      <c r="ADB100" s="142"/>
      <c r="ADC100" s="142"/>
      <c r="ADD100" s="142"/>
      <c r="ADE100" s="142"/>
      <c r="ADF100" s="142"/>
      <c r="ADG100" s="142"/>
      <c r="ADH100" s="142"/>
      <c r="ADI100" s="142"/>
      <c r="ADJ100" s="142"/>
      <c r="ADK100" s="142"/>
      <c r="ADL100" s="142"/>
      <c r="ADM100" s="142"/>
      <c r="ADN100" s="142"/>
      <c r="ADO100" s="142"/>
      <c r="ADP100" s="142"/>
      <c r="ADQ100" s="142"/>
      <c r="ADR100" s="142"/>
      <c r="ADS100" s="142"/>
      <c r="ADT100" s="142"/>
      <c r="ADU100" s="142"/>
      <c r="ADV100" s="142"/>
      <c r="ADW100" s="142"/>
      <c r="ADX100" s="142"/>
      <c r="ADY100" s="142"/>
      <c r="ADZ100" s="142"/>
      <c r="AEA100" s="142"/>
      <c r="AEB100" s="142"/>
      <c r="AEC100" s="142"/>
      <c r="AED100" s="142"/>
      <c r="AEE100" s="142"/>
      <c r="AEF100" s="142"/>
      <c r="AEG100" s="142"/>
      <c r="AEH100" s="142"/>
      <c r="AEI100" s="142"/>
      <c r="AEJ100" s="142"/>
      <c r="AEK100" s="142"/>
      <c r="AEL100" s="142"/>
      <c r="AEM100" s="142"/>
      <c r="AEN100" s="142"/>
      <c r="AEO100" s="142"/>
      <c r="AEP100" s="142"/>
      <c r="AEQ100" s="142"/>
      <c r="AER100" s="142"/>
      <c r="AES100" s="142"/>
      <c r="AET100" s="142"/>
      <c r="AEU100" s="142"/>
      <c r="AEV100" s="142"/>
      <c r="AEW100" s="142"/>
      <c r="AEX100" s="142"/>
      <c r="AEY100" s="142"/>
      <c r="AEZ100" s="142"/>
      <c r="AFA100" s="142"/>
      <c r="AFB100" s="142"/>
      <c r="AFC100" s="142"/>
      <c r="AFD100" s="142"/>
      <c r="AFE100" s="142"/>
      <c r="AFF100" s="142"/>
      <c r="AFG100" s="142"/>
      <c r="AFH100" s="142"/>
      <c r="AFI100" s="142"/>
      <c r="AFJ100" s="142"/>
      <c r="AFK100" s="142"/>
      <c r="AFL100" s="142"/>
      <c r="AFM100" s="142"/>
      <c r="AFN100" s="142"/>
      <c r="AFO100" s="142"/>
      <c r="AFP100" s="142"/>
      <c r="AFQ100" s="142"/>
      <c r="AFR100" s="142"/>
      <c r="AFS100" s="142"/>
      <c r="AFT100" s="142"/>
      <c r="AFU100" s="142"/>
      <c r="AFV100" s="142"/>
      <c r="AFW100" s="142"/>
      <c r="AFX100" s="142"/>
      <c r="AFY100" s="142"/>
      <c r="AFZ100" s="142"/>
      <c r="AGA100" s="142"/>
      <c r="AGB100" s="142"/>
      <c r="AGC100" s="142"/>
      <c r="AGD100" s="142"/>
      <c r="AGE100" s="142"/>
      <c r="AGF100" s="142"/>
      <c r="AGG100" s="142"/>
      <c r="AGH100" s="142"/>
      <c r="AGI100" s="142"/>
      <c r="AGJ100" s="142"/>
      <c r="AGK100" s="142"/>
      <c r="AGL100" s="142"/>
      <c r="AGM100" s="142"/>
      <c r="AGN100" s="142"/>
      <c r="AGO100" s="142"/>
      <c r="AGP100" s="142"/>
      <c r="AGQ100" s="142"/>
      <c r="AGR100" s="142"/>
      <c r="AGS100" s="142"/>
      <c r="AGT100" s="142"/>
      <c r="AGU100" s="142"/>
      <c r="AGV100" s="142"/>
      <c r="AGW100" s="142"/>
      <c r="AGX100" s="142"/>
      <c r="AGY100" s="142"/>
      <c r="AGZ100" s="142"/>
      <c r="AHA100" s="142"/>
      <c r="AHB100" s="142"/>
      <c r="AHC100" s="142"/>
      <c r="AHD100" s="142"/>
      <c r="AHE100" s="142"/>
      <c r="AHF100" s="142"/>
      <c r="AHG100" s="142"/>
      <c r="AHH100" s="142"/>
      <c r="AHI100" s="142"/>
      <c r="AHJ100" s="142"/>
      <c r="AHK100" s="142"/>
      <c r="AHL100" s="142"/>
      <c r="AHM100" s="142"/>
      <c r="AHN100" s="142"/>
      <c r="AHO100" s="142"/>
      <c r="AHP100" s="142"/>
      <c r="AHQ100" s="142"/>
      <c r="AHR100" s="142"/>
      <c r="AHS100" s="142"/>
      <c r="AHT100" s="142"/>
      <c r="AHU100" s="142"/>
      <c r="AHV100" s="142"/>
      <c r="AHW100" s="142"/>
      <c r="AHX100" s="142"/>
      <c r="AHY100" s="142"/>
      <c r="AHZ100" s="142"/>
      <c r="AIA100" s="142"/>
      <c r="AIB100" s="142"/>
      <c r="AIC100" s="142"/>
      <c r="AID100" s="142"/>
      <c r="AIE100" s="142"/>
      <c r="AIF100" s="142"/>
      <c r="AIG100" s="142"/>
      <c r="AIH100" s="142"/>
      <c r="AII100" s="142"/>
      <c r="AIJ100" s="142"/>
      <c r="AIK100" s="142"/>
      <c r="AIL100" s="142"/>
      <c r="AIM100" s="142"/>
      <c r="AIN100" s="142"/>
      <c r="AIO100" s="142"/>
      <c r="AIP100" s="142"/>
      <c r="AIQ100" s="142"/>
      <c r="AIR100" s="142"/>
      <c r="AIS100" s="142"/>
      <c r="AIT100" s="142"/>
      <c r="AIU100" s="142"/>
      <c r="AIV100" s="142"/>
      <c r="AIW100" s="142"/>
      <c r="AIX100" s="142"/>
      <c r="AIY100" s="142"/>
      <c r="AIZ100" s="142"/>
      <c r="AJA100" s="142"/>
      <c r="AJB100" s="142"/>
      <c r="AJC100" s="142"/>
      <c r="AJD100" s="142"/>
      <c r="AJE100" s="142"/>
      <c r="AJF100" s="142"/>
      <c r="AJG100" s="142"/>
      <c r="AJH100" s="142"/>
      <c r="AJI100" s="142"/>
      <c r="AJJ100" s="142"/>
      <c r="AJK100" s="142"/>
      <c r="AJL100" s="142"/>
      <c r="AJM100" s="142"/>
      <c r="AJN100" s="142"/>
      <c r="AJO100" s="142"/>
      <c r="AJP100" s="142"/>
      <c r="AJQ100" s="142"/>
      <c r="AJR100" s="142"/>
      <c r="AJS100" s="142"/>
      <c r="AJT100" s="142"/>
      <c r="AJU100" s="142"/>
      <c r="AJV100" s="142"/>
      <c r="AJW100" s="142"/>
      <c r="AJX100" s="142"/>
      <c r="AJY100" s="142"/>
      <c r="AJZ100" s="142"/>
      <c r="AKA100" s="142"/>
      <c r="AKB100" s="142"/>
      <c r="AKC100" s="142"/>
      <c r="AKD100" s="142"/>
      <c r="AKE100" s="142"/>
      <c r="AKF100" s="142"/>
      <c r="AKG100" s="142"/>
      <c r="AKH100" s="142"/>
      <c r="AKI100" s="142"/>
      <c r="AKJ100" s="142"/>
      <c r="AKK100" s="142"/>
      <c r="AKL100" s="142"/>
      <c r="AKM100" s="142"/>
      <c r="AKN100" s="142"/>
      <c r="AKO100" s="142"/>
      <c r="AKP100" s="142"/>
      <c r="AKQ100" s="142"/>
      <c r="AKR100" s="142"/>
      <c r="AKS100" s="142"/>
      <c r="AKT100" s="142"/>
      <c r="AKU100" s="142"/>
      <c r="AKV100" s="142"/>
      <c r="AKW100" s="142"/>
      <c r="AKX100" s="142"/>
      <c r="AKY100" s="142"/>
      <c r="AKZ100" s="142"/>
      <c r="ALA100" s="142"/>
      <c r="ALB100" s="142"/>
      <c r="ALC100" s="142"/>
      <c r="ALD100" s="142"/>
      <c r="ALE100" s="142"/>
      <c r="ALF100" s="142"/>
      <c r="ALG100" s="142"/>
      <c r="ALH100" s="142"/>
      <c r="ALI100" s="142"/>
      <c r="ALJ100" s="142"/>
      <c r="ALK100" s="142"/>
      <c r="ALL100" s="142"/>
      <c r="ALM100" s="142"/>
      <c r="ALN100" s="142"/>
      <c r="ALO100" s="142"/>
      <c r="ALP100" s="142"/>
      <c r="ALQ100" s="142"/>
      <c r="ALR100" s="142"/>
      <c r="ALS100" s="142"/>
      <c r="ALT100" s="142"/>
      <c r="ALU100" s="142"/>
      <c r="ALV100" s="142"/>
      <c r="ALW100" s="142"/>
      <c r="ALX100" s="142"/>
      <c r="ALY100" s="142"/>
      <c r="ALZ100" s="142"/>
      <c r="AMA100" s="142"/>
      <c r="AMB100" s="142"/>
      <c r="AMC100" s="142"/>
      <c r="AMD100" s="142"/>
      <c r="AME100" s="142"/>
      <c r="AMF100" s="142"/>
      <c r="AMG100" s="142"/>
      <c r="AMH100" s="142"/>
      <c r="AMI100" s="142"/>
      <c r="AMJ100" s="142"/>
      <c r="AMK100" s="142"/>
      <c r="AML100" s="142"/>
      <c r="AMM100" s="142"/>
      <c r="AMN100" s="142"/>
      <c r="AMO100" s="142"/>
      <c r="AMP100" s="142"/>
      <c r="AMQ100" s="142"/>
      <c r="AMR100" s="142"/>
      <c r="AMS100" s="142"/>
      <c r="AMT100" s="142"/>
      <c r="AMU100" s="142"/>
      <c r="AMV100" s="142"/>
      <c r="AMW100" s="142"/>
      <c r="AMX100" s="142"/>
      <c r="AMY100" s="142"/>
      <c r="AMZ100" s="142"/>
      <c r="ANA100" s="142"/>
      <c r="ANB100" s="142"/>
      <c r="ANC100" s="142"/>
      <c r="AND100" s="142"/>
      <c r="ANE100" s="142"/>
      <c r="ANF100" s="142"/>
      <c r="ANG100" s="142"/>
      <c r="ANH100" s="142"/>
      <c r="ANI100" s="142"/>
      <c r="ANJ100" s="142"/>
      <c r="ANK100" s="142"/>
      <c r="ANL100" s="142"/>
      <c r="ANM100" s="142"/>
      <c r="ANN100" s="142"/>
      <c r="ANO100" s="142"/>
      <c r="ANP100" s="142"/>
      <c r="ANQ100" s="142"/>
      <c r="ANR100" s="142"/>
      <c r="ANS100" s="142"/>
      <c r="ANT100" s="142"/>
      <c r="ANU100" s="142"/>
      <c r="ANV100" s="142"/>
      <c r="ANW100" s="142"/>
      <c r="ANX100" s="142"/>
      <c r="ANY100" s="142"/>
      <c r="ANZ100" s="142"/>
      <c r="AOA100" s="142"/>
      <c r="AOB100" s="142"/>
      <c r="AOC100" s="142"/>
      <c r="AOD100" s="142"/>
      <c r="AOE100" s="142"/>
      <c r="AOF100" s="142"/>
      <c r="AOG100" s="142"/>
      <c r="AOH100" s="142"/>
      <c r="AOI100" s="142"/>
      <c r="AOJ100" s="142"/>
      <c r="AOK100" s="142"/>
      <c r="AOL100" s="142"/>
      <c r="AOM100" s="142"/>
      <c r="AON100" s="142"/>
      <c r="AOO100" s="142"/>
      <c r="AOP100" s="142"/>
      <c r="AOQ100" s="142"/>
      <c r="AOR100" s="142"/>
      <c r="AOS100" s="142"/>
      <c r="AOT100" s="142"/>
      <c r="AOU100" s="142"/>
      <c r="AOV100" s="142"/>
      <c r="AOW100" s="142"/>
      <c r="AOX100" s="142"/>
      <c r="AOY100" s="142"/>
      <c r="AOZ100" s="142"/>
      <c r="APA100" s="142"/>
      <c r="APB100" s="142"/>
      <c r="APC100" s="142"/>
      <c r="APD100" s="142"/>
      <c r="APE100" s="142"/>
      <c r="APF100" s="142"/>
      <c r="APG100" s="142"/>
      <c r="APH100" s="142"/>
      <c r="API100" s="142"/>
      <c r="APJ100" s="142"/>
      <c r="APK100" s="142"/>
      <c r="APL100" s="142"/>
      <c r="APM100" s="142"/>
      <c r="APN100" s="142"/>
      <c r="APO100" s="142"/>
      <c r="APP100" s="142"/>
      <c r="APQ100" s="142"/>
      <c r="APR100" s="142"/>
      <c r="APS100" s="142"/>
      <c r="APT100" s="142"/>
      <c r="APU100" s="142"/>
      <c r="APV100" s="142"/>
      <c r="APW100" s="142"/>
      <c r="APX100" s="142"/>
      <c r="APY100" s="142"/>
      <c r="APZ100" s="142"/>
      <c r="AQA100" s="142"/>
      <c r="AQB100" s="142"/>
      <c r="AQC100" s="142"/>
      <c r="AQD100" s="142"/>
      <c r="AQE100" s="142"/>
      <c r="AQF100" s="142"/>
      <c r="AQG100" s="142"/>
      <c r="AQH100" s="142"/>
      <c r="AQI100" s="142"/>
      <c r="AQJ100" s="142"/>
      <c r="AQK100" s="142"/>
      <c r="AQL100" s="142"/>
      <c r="AQM100" s="142"/>
      <c r="AQN100" s="142"/>
      <c r="AQO100" s="142"/>
      <c r="AQP100" s="142"/>
      <c r="AQQ100" s="142"/>
      <c r="AQR100" s="142"/>
      <c r="AQS100" s="142"/>
      <c r="AQT100" s="142"/>
      <c r="AQU100" s="142"/>
      <c r="AQV100" s="142"/>
      <c r="AQW100" s="142"/>
      <c r="AQX100" s="142"/>
      <c r="AQY100" s="142"/>
      <c r="AQZ100" s="142"/>
      <c r="ARA100" s="142"/>
      <c r="ARB100" s="142"/>
      <c r="ARC100" s="142"/>
      <c r="ARD100" s="142"/>
      <c r="ARE100" s="142"/>
      <c r="ARF100" s="142"/>
      <c r="ARG100" s="142"/>
      <c r="ARH100" s="142"/>
      <c r="ARI100" s="142"/>
      <c r="ARJ100" s="142"/>
      <c r="ARK100" s="142"/>
      <c r="ARL100" s="142"/>
      <c r="ARM100" s="142"/>
      <c r="ARN100" s="142"/>
      <c r="ARO100" s="142"/>
      <c r="ARP100" s="142"/>
      <c r="ARQ100" s="142"/>
      <c r="ARR100" s="142"/>
      <c r="ARS100" s="142"/>
      <c r="ART100" s="142"/>
      <c r="ARU100" s="142"/>
      <c r="ARV100" s="142"/>
      <c r="ARW100" s="142"/>
      <c r="ARX100" s="142"/>
      <c r="ARY100" s="142"/>
      <c r="ARZ100" s="142"/>
      <c r="ASA100" s="142"/>
      <c r="ASB100" s="142"/>
      <c r="ASC100" s="142"/>
      <c r="ASD100" s="142"/>
      <c r="ASE100" s="142"/>
      <c r="ASF100" s="142"/>
      <c r="ASG100" s="142"/>
      <c r="ASH100" s="142"/>
      <c r="ASI100" s="142"/>
      <c r="ASJ100" s="142"/>
      <c r="ASK100" s="142"/>
      <c r="ASL100" s="142"/>
      <c r="ASM100" s="142"/>
      <c r="ASN100" s="142"/>
      <c r="ASO100" s="142"/>
      <c r="ASP100" s="142"/>
      <c r="ASQ100" s="142"/>
      <c r="ASR100" s="142"/>
      <c r="ASS100" s="142"/>
      <c r="AST100" s="142"/>
      <c r="ASU100" s="142"/>
      <c r="ASV100" s="142"/>
      <c r="ASW100" s="142"/>
      <c r="ASX100" s="142"/>
      <c r="ASY100" s="142"/>
      <c r="ASZ100" s="142"/>
      <c r="ATA100" s="142"/>
      <c r="ATB100" s="142"/>
      <c r="ATC100" s="142"/>
      <c r="ATD100" s="142"/>
      <c r="ATE100" s="142"/>
      <c r="ATF100" s="142"/>
      <c r="ATG100" s="142"/>
      <c r="ATH100" s="142"/>
      <c r="ATI100" s="142"/>
      <c r="ATJ100" s="142"/>
      <c r="ATK100" s="142"/>
      <c r="ATL100" s="142"/>
      <c r="ATM100" s="142"/>
      <c r="ATN100" s="142"/>
      <c r="ATO100" s="142"/>
      <c r="ATP100" s="142"/>
      <c r="ATQ100" s="142"/>
      <c r="ATR100" s="142"/>
      <c r="ATS100" s="142"/>
      <c r="ATT100" s="142"/>
      <c r="ATU100" s="142"/>
      <c r="ATV100" s="142"/>
      <c r="ATW100" s="142"/>
      <c r="ATX100" s="142"/>
      <c r="ATY100" s="142"/>
      <c r="ATZ100" s="142"/>
      <c r="AUA100" s="142"/>
      <c r="AUB100" s="142"/>
      <c r="AUC100" s="142"/>
      <c r="AUD100" s="142"/>
      <c r="AUE100" s="142"/>
      <c r="AUF100" s="142"/>
      <c r="AUG100" s="142"/>
      <c r="AUH100" s="142"/>
      <c r="AUI100" s="142"/>
      <c r="AUJ100" s="142"/>
      <c r="AUK100" s="142"/>
      <c r="AUL100" s="142"/>
      <c r="AUM100" s="142"/>
      <c r="AUN100" s="142"/>
      <c r="AUO100" s="142"/>
      <c r="AUP100" s="142"/>
      <c r="AUQ100" s="142"/>
      <c r="AUR100" s="142"/>
      <c r="AUS100" s="142"/>
      <c r="AUT100" s="142"/>
      <c r="AUU100" s="142"/>
      <c r="AUV100" s="142"/>
      <c r="AUW100" s="142"/>
      <c r="AUX100" s="142"/>
      <c r="AUY100" s="142"/>
      <c r="AUZ100" s="142"/>
      <c r="AVA100" s="142"/>
      <c r="AVB100" s="142"/>
      <c r="AVC100" s="142"/>
      <c r="AVD100" s="142"/>
      <c r="AVE100" s="142"/>
      <c r="AVF100" s="142"/>
      <c r="AVG100" s="142"/>
      <c r="AVH100" s="142"/>
      <c r="AVI100" s="142"/>
      <c r="AVJ100" s="142"/>
      <c r="AVK100" s="142"/>
      <c r="AVL100" s="142"/>
      <c r="AVM100" s="142"/>
      <c r="AVN100" s="142"/>
      <c r="AVO100" s="142"/>
      <c r="AVP100" s="142"/>
      <c r="AVQ100" s="142"/>
      <c r="AVR100" s="142"/>
      <c r="AVS100" s="142"/>
      <c r="AVT100" s="142"/>
      <c r="AVU100" s="142"/>
      <c r="AVV100" s="142"/>
      <c r="AVW100" s="142"/>
      <c r="AVX100" s="142"/>
      <c r="AVY100" s="142"/>
      <c r="AVZ100" s="142"/>
      <c r="AWA100" s="142"/>
      <c r="AWB100" s="142"/>
      <c r="AWC100" s="142"/>
      <c r="AWD100" s="142"/>
      <c r="AWE100" s="142"/>
      <c r="AWF100" s="142"/>
      <c r="AWG100" s="142"/>
      <c r="AWH100" s="142"/>
      <c r="AWI100" s="142"/>
      <c r="AWJ100" s="142"/>
      <c r="AWK100" s="142"/>
      <c r="AWL100" s="142"/>
      <c r="AWM100" s="142"/>
      <c r="AWN100" s="142"/>
      <c r="AWO100" s="142"/>
      <c r="AWP100" s="142"/>
      <c r="AWQ100" s="142"/>
      <c r="AWR100" s="142"/>
      <c r="AWS100" s="142"/>
      <c r="AWT100" s="142"/>
      <c r="AWU100" s="142"/>
      <c r="AWV100" s="142"/>
      <c r="AWW100" s="142"/>
      <c r="AWX100" s="142"/>
      <c r="AWY100" s="142"/>
      <c r="AWZ100" s="142"/>
      <c r="AXA100" s="142"/>
      <c r="AXB100" s="142"/>
      <c r="AXC100" s="142"/>
      <c r="AXD100" s="142"/>
      <c r="AXE100" s="142"/>
      <c r="AXF100" s="142"/>
      <c r="AXG100" s="142"/>
      <c r="AXH100" s="142"/>
      <c r="AXI100" s="142"/>
      <c r="AXJ100" s="142"/>
      <c r="AXK100" s="142"/>
      <c r="AXL100" s="142"/>
      <c r="AXM100" s="142"/>
      <c r="AXN100" s="142"/>
      <c r="AXO100" s="142"/>
      <c r="AXP100" s="142"/>
      <c r="AXQ100" s="142"/>
      <c r="AXR100" s="142"/>
      <c r="AXS100" s="142"/>
      <c r="AXT100" s="142"/>
      <c r="AXU100" s="142"/>
      <c r="AXV100" s="142"/>
      <c r="AXW100" s="142"/>
      <c r="AXX100" s="142"/>
      <c r="AXY100" s="142"/>
      <c r="AXZ100" s="142"/>
      <c r="AYA100" s="142"/>
      <c r="AYB100" s="142"/>
      <c r="AYC100" s="142"/>
      <c r="AYD100" s="142"/>
      <c r="AYE100" s="142"/>
      <c r="AYF100" s="142"/>
      <c r="AYG100" s="142"/>
      <c r="AYH100" s="142"/>
      <c r="AYI100" s="142"/>
      <c r="AYJ100" s="142"/>
      <c r="AYK100" s="142"/>
      <c r="AYL100" s="142"/>
      <c r="AYM100" s="142"/>
      <c r="AYN100" s="142"/>
      <c r="AYO100" s="142"/>
      <c r="AYP100" s="142"/>
      <c r="AYQ100" s="142"/>
      <c r="AYR100" s="142"/>
      <c r="AYS100" s="142"/>
      <c r="AYT100" s="142"/>
      <c r="AYU100" s="142"/>
      <c r="AYV100" s="142"/>
      <c r="AYW100" s="142"/>
      <c r="AYX100" s="142"/>
      <c r="AYY100" s="142"/>
      <c r="AYZ100" s="142"/>
      <c r="AZA100" s="142"/>
      <c r="AZB100" s="142"/>
      <c r="AZC100" s="142"/>
      <c r="AZD100" s="142"/>
      <c r="AZE100" s="142"/>
      <c r="AZF100" s="142"/>
      <c r="AZG100" s="142"/>
      <c r="AZH100" s="142"/>
      <c r="AZI100" s="142"/>
      <c r="AZJ100" s="142"/>
      <c r="AZK100" s="142"/>
      <c r="AZL100" s="142"/>
      <c r="AZM100" s="142"/>
      <c r="AZN100" s="142"/>
      <c r="AZO100" s="142"/>
      <c r="AZP100" s="142"/>
      <c r="AZQ100" s="142"/>
      <c r="AZR100" s="142"/>
      <c r="AZS100" s="142"/>
      <c r="AZT100" s="142"/>
      <c r="AZU100" s="142"/>
      <c r="AZV100" s="142"/>
      <c r="AZW100" s="142"/>
      <c r="AZX100" s="142"/>
      <c r="AZY100" s="142"/>
      <c r="AZZ100" s="142"/>
      <c r="BAA100" s="142"/>
      <c r="BAB100" s="142"/>
      <c r="BAC100" s="142"/>
      <c r="BAD100" s="142"/>
      <c r="BAE100" s="142"/>
      <c r="BAF100" s="142"/>
      <c r="BAG100" s="142"/>
      <c r="BAH100" s="142"/>
      <c r="BAI100" s="142"/>
      <c r="BAJ100" s="142"/>
      <c r="BAK100" s="142"/>
      <c r="BAL100" s="142"/>
      <c r="BAM100" s="142"/>
      <c r="BAN100" s="142"/>
      <c r="BAO100" s="142"/>
      <c r="BAP100" s="142"/>
      <c r="BAQ100" s="142"/>
      <c r="BAR100" s="142"/>
      <c r="BAS100" s="142"/>
      <c r="BAT100" s="142"/>
      <c r="BAU100" s="142"/>
      <c r="BAV100" s="142"/>
      <c r="BAW100" s="142"/>
      <c r="BAX100" s="142"/>
      <c r="BAY100" s="142"/>
      <c r="BAZ100" s="142"/>
      <c r="BBA100" s="142"/>
      <c r="BBB100" s="142"/>
      <c r="BBC100" s="142"/>
      <c r="BBD100" s="142"/>
      <c r="BBE100" s="142"/>
      <c r="BBF100" s="142"/>
      <c r="BBG100" s="142"/>
      <c r="BBH100" s="142"/>
      <c r="BBI100" s="142"/>
      <c r="BBJ100" s="142"/>
      <c r="BBK100" s="142"/>
      <c r="BBL100" s="142"/>
      <c r="BBM100" s="142"/>
      <c r="BBN100" s="142"/>
      <c r="BBO100" s="142"/>
      <c r="BBP100" s="142"/>
      <c r="BBQ100" s="142"/>
      <c r="BBR100" s="142"/>
      <c r="BBS100" s="142"/>
      <c r="BBT100" s="142"/>
      <c r="BBU100" s="142"/>
      <c r="BBV100" s="142"/>
      <c r="BBW100" s="142"/>
      <c r="BBX100" s="142"/>
      <c r="BBY100" s="142"/>
      <c r="BBZ100" s="142"/>
      <c r="BCA100" s="142"/>
      <c r="BCB100" s="142"/>
      <c r="BCC100" s="142"/>
      <c r="BCD100" s="142"/>
      <c r="BCE100" s="142"/>
      <c r="BCF100" s="142"/>
      <c r="BCG100" s="142"/>
      <c r="BCH100" s="142"/>
      <c r="BCI100" s="142"/>
      <c r="BCJ100" s="142"/>
      <c r="BCK100" s="142"/>
      <c r="BCL100" s="142"/>
      <c r="BCM100" s="142"/>
      <c r="BCN100" s="142"/>
      <c r="BCO100" s="142"/>
      <c r="BCP100" s="142"/>
      <c r="BCQ100" s="142"/>
      <c r="BCR100" s="142"/>
      <c r="BCS100" s="142"/>
      <c r="BCT100" s="142"/>
      <c r="BCU100" s="142"/>
      <c r="BCV100" s="142"/>
      <c r="BCW100" s="142"/>
      <c r="BCX100" s="142"/>
      <c r="BCY100" s="142"/>
      <c r="BCZ100" s="142"/>
      <c r="BDA100" s="142"/>
      <c r="BDB100" s="142"/>
      <c r="BDC100" s="142"/>
      <c r="BDD100" s="142"/>
      <c r="BDE100" s="142"/>
      <c r="BDF100" s="142"/>
      <c r="BDG100" s="142"/>
      <c r="BDH100" s="142"/>
      <c r="BDI100" s="142"/>
      <c r="BDJ100" s="142"/>
      <c r="BDK100" s="142"/>
      <c r="BDL100" s="142"/>
      <c r="BDM100" s="142"/>
      <c r="BDN100" s="142"/>
      <c r="BDO100" s="142"/>
      <c r="BDP100" s="142"/>
      <c r="BDQ100" s="142"/>
      <c r="BDR100" s="142"/>
      <c r="BDS100" s="142"/>
      <c r="BDT100" s="142"/>
      <c r="BDU100" s="142"/>
      <c r="BDV100" s="142"/>
      <c r="BDW100" s="142"/>
      <c r="BDX100" s="142"/>
      <c r="BDY100" s="142"/>
      <c r="BDZ100" s="142"/>
      <c r="BEA100" s="142"/>
      <c r="BEB100" s="142"/>
      <c r="BEC100" s="142"/>
      <c r="BED100" s="142"/>
      <c r="BEE100" s="142"/>
      <c r="BEF100" s="142"/>
      <c r="BEG100" s="142"/>
      <c r="BEH100" s="142"/>
      <c r="BEI100" s="142"/>
      <c r="BEJ100" s="142"/>
      <c r="BEK100" s="142"/>
      <c r="BEL100" s="142"/>
      <c r="BEM100" s="142"/>
      <c r="BEN100" s="142"/>
      <c r="BEO100" s="142"/>
      <c r="BEP100" s="142"/>
      <c r="BEQ100" s="142"/>
      <c r="BER100" s="142"/>
      <c r="BES100" s="142"/>
      <c r="BET100" s="142"/>
      <c r="BEU100" s="142"/>
      <c r="BEV100" s="142"/>
      <c r="BEW100" s="142"/>
      <c r="BEX100" s="142"/>
      <c r="BEY100" s="142"/>
      <c r="BEZ100" s="142"/>
      <c r="BFA100" s="142"/>
      <c r="BFB100" s="142"/>
      <c r="BFC100" s="142"/>
      <c r="BFD100" s="142"/>
      <c r="BFE100" s="142"/>
      <c r="BFF100" s="142"/>
      <c r="BFG100" s="142"/>
      <c r="BFH100" s="142"/>
      <c r="BFI100" s="142"/>
      <c r="BFJ100" s="142"/>
      <c r="BFK100" s="142"/>
      <c r="BFL100" s="142"/>
      <c r="BFM100" s="142"/>
      <c r="BFN100" s="142"/>
      <c r="BFO100" s="142"/>
      <c r="BFP100" s="142"/>
      <c r="BFQ100" s="142"/>
      <c r="BFR100" s="142"/>
      <c r="BFS100" s="142"/>
      <c r="BFT100" s="142"/>
      <c r="BFU100" s="142"/>
      <c r="BFV100" s="142"/>
      <c r="BFW100" s="142"/>
      <c r="BFX100" s="142"/>
      <c r="BFY100" s="142"/>
      <c r="BFZ100" s="142"/>
      <c r="BGA100" s="142"/>
      <c r="BGB100" s="142"/>
      <c r="BGC100" s="142"/>
      <c r="BGD100" s="142"/>
      <c r="BGE100" s="142"/>
      <c r="BGF100" s="142"/>
      <c r="BGG100" s="142"/>
      <c r="BGH100" s="142"/>
      <c r="BGI100" s="142"/>
      <c r="BGJ100" s="142"/>
      <c r="BGK100" s="142"/>
      <c r="BGL100" s="142"/>
      <c r="BGM100" s="142"/>
      <c r="BGN100" s="142"/>
      <c r="BGO100" s="142"/>
      <c r="BGP100" s="142"/>
      <c r="BGQ100" s="142"/>
      <c r="BGR100" s="142"/>
      <c r="BGS100" s="142"/>
      <c r="BGT100" s="142"/>
      <c r="BGU100" s="142"/>
      <c r="BGV100" s="142"/>
      <c r="BGW100" s="142"/>
      <c r="BGX100" s="142"/>
      <c r="BGY100" s="142"/>
      <c r="BGZ100" s="142"/>
      <c r="BHA100" s="142"/>
      <c r="BHB100" s="142"/>
      <c r="BHC100" s="142"/>
      <c r="BHD100" s="142"/>
      <c r="BHE100" s="142"/>
      <c r="BHF100" s="142"/>
      <c r="BHG100" s="142"/>
      <c r="BHH100" s="142"/>
      <c r="BHI100" s="142"/>
      <c r="BHJ100" s="142"/>
      <c r="BHK100" s="142"/>
      <c r="BHL100" s="142"/>
      <c r="BHM100" s="142"/>
      <c r="BHN100" s="142"/>
      <c r="BHO100" s="142"/>
      <c r="BHP100" s="142"/>
      <c r="BHQ100" s="142"/>
      <c r="BHR100" s="142"/>
      <c r="BHS100" s="142"/>
      <c r="BHT100" s="142"/>
      <c r="BHU100" s="142"/>
      <c r="BHV100" s="142"/>
      <c r="BHW100" s="142"/>
      <c r="BHX100" s="142"/>
      <c r="BHY100" s="142"/>
      <c r="BHZ100" s="142"/>
      <c r="BIA100" s="142"/>
      <c r="BIB100" s="142"/>
      <c r="BIC100" s="142"/>
      <c r="BID100" s="142"/>
      <c r="BIE100" s="142"/>
      <c r="BIF100" s="142"/>
      <c r="BIG100" s="142"/>
      <c r="BIH100" s="142"/>
      <c r="BII100" s="142"/>
      <c r="BIJ100" s="142"/>
      <c r="BIK100" s="142"/>
      <c r="BIL100" s="142"/>
      <c r="BIM100" s="142"/>
      <c r="BIN100" s="142"/>
      <c r="BIO100" s="142"/>
      <c r="BIP100" s="142"/>
      <c r="BIQ100" s="142"/>
      <c r="BIR100" s="142"/>
      <c r="BIS100" s="142"/>
      <c r="BIT100" s="142"/>
      <c r="BIU100" s="142"/>
      <c r="BIV100" s="142"/>
      <c r="BIW100" s="142"/>
      <c r="BIX100" s="142"/>
      <c r="BIY100" s="142"/>
      <c r="BIZ100" s="142"/>
      <c r="BJA100" s="142"/>
      <c r="BJB100" s="142"/>
      <c r="BJC100" s="142"/>
      <c r="BJD100" s="142"/>
      <c r="BJE100" s="142"/>
      <c r="BJF100" s="142"/>
      <c r="BJG100" s="142"/>
      <c r="BJH100" s="142"/>
      <c r="BJI100" s="142"/>
      <c r="BJJ100" s="142"/>
      <c r="BJK100" s="142"/>
      <c r="BJL100" s="142"/>
      <c r="BJM100" s="142"/>
      <c r="BJN100" s="142"/>
      <c r="BJO100" s="142"/>
      <c r="BJP100" s="142"/>
      <c r="BJQ100" s="142"/>
      <c r="BJR100" s="142"/>
      <c r="BJS100" s="142"/>
      <c r="BJT100" s="142"/>
      <c r="BJU100" s="142"/>
      <c r="BJV100" s="142"/>
      <c r="BJW100" s="142"/>
      <c r="BJX100" s="142"/>
      <c r="BJY100" s="142"/>
      <c r="BJZ100" s="142"/>
      <c r="BKA100" s="142"/>
      <c r="BKB100" s="142"/>
      <c r="BKC100" s="142"/>
      <c r="BKD100" s="142"/>
      <c r="BKE100" s="142"/>
      <c r="BKF100" s="142"/>
      <c r="BKG100" s="142"/>
      <c r="BKH100" s="142"/>
      <c r="BKI100" s="142"/>
      <c r="BKJ100" s="142"/>
      <c r="BKK100" s="142"/>
      <c r="BKL100" s="142"/>
      <c r="BKM100" s="142"/>
      <c r="BKN100" s="142"/>
      <c r="BKO100" s="142"/>
      <c r="BKP100" s="142"/>
      <c r="BKQ100" s="142"/>
      <c r="BKR100" s="142"/>
      <c r="BKS100" s="142"/>
      <c r="BKT100" s="142"/>
      <c r="BKU100" s="142"/>
      <c r="BKV100" s="142"/>
      <c r="BKW100" s="142"/>
      <c r="BKX100" s="142"/>
      <c r="BKY100" s="142"/>
      <c r="BKZ100" s="142"/>
      <c r="BLA100" s="142"/>
      <c r="BLB100" s="142"/>
      <c r="BLC100" s="142"/>
      <c r="BLD100" s="142"/>
      <c r="BLE100" s="142"/>
      <c r="BLF100" s="142"/>
      <c r="BLG100" s="142"/>
      <c r="BLH100" s="142"/>
      <c r="BLI100" s="142"/>
      <c r="BLJ100" s="142"/>
      <c r="BLK100" s="142"/>
      <c r="BLL100" s="142"/>
      <c r="BLM100" s="142"/>
      <c r="BLN100" s="142"/>
      <c r="BLO100" s="142"/>
      <c r="BLP100" s="142"/>
      <c r="BLQ100" s="142"/>
      <c r="BLR100" s="142"/>
      <c r="BLS100" s="142"/>
      <c r="BLT100" s="142"/>
      <c r="BLU100" s="142"/>
      <c r="BLV100" s="142"/>
      <c r="BLW100" s="142"/>
      <c r="BLX100" s="142"/>
      <c r="BLY100" s="142"/>
      <c r="BLZ100" s="142"/>
      <c r="BMA100" s="142"/>
      <c r="BMB100" s="142"/>
      <c r="BMC100" s="142"/>
      <c r="BMD100" s="142"/>
      <c r="BME100" s="142"/>
      <c r="BMF100" s="142"/>
      <c r="BMG100" s="142"/>
      <c r="BMH100" s="142"/>
      <c r="BMI100" s="142"/>
      <c r="BMJ100" s="142"/>
      <c r="BMK100" s="142"/>
      <c r="BML100" s="142"/>
      <c r="BMM100" s="142"/>
      <c r="BMN100" s="142"/>
      <c r="BMO100" s="142"/>
      <c r="BMP100" s="142"/>
      <c r="BMQ100" s="142"/>
      <c r="BMR100" s="142"/>
      <c r="BMS100" s="142"/>
      <c r="BMT100" s="142"/>
      <c r="BMU100" s="142"/>
      <c r="BMV100" s="142"/>
      <c r="BMW100" s="142"/>
      <c r="BMX100" s="142"/>
      <c r="BMY100" s="142"/>
      <c r="BMZ100" s="142"/>
      <c r="BNA100" s="142"/>
      <c r="BNB100" s="142"/>
      <c r="BNC100" s="142"/>
      <c r="BND100" s="142"/>
      <c r="BNE100" s="142"/>
      <c r="BNF100" s="142"/>
      <c r="BNG100" s="142"/>
      <c r="BNH100" s="142"/>
      <c r="BNI100" s="142"/>
      <c r="BNJ100" s="142"/>
      <c r="BNK100" s="142"/>
      <c r="BNL100" s="142"/>
      <c r="BNM100" s="142"/>
      <c r="BNN100" s="142"/>
      <c r="BNO100" s="142"/>
      <c r="BNP100" s="142"/>
      <c r="BNQ100" s="142"/>
      <c r="BNR100" s="142"/>
      <c r="BNS100" s="142"/>
      <c r="BNT100" s="142"/>
      <c r="BNU100" s="142"/>
      <c r="BNV100" s="142"/>
      <c r="BNW100" s="142"/>
      <c r="BNX100" s="142"/>
      <c r="BNY100" s="142"/>
      <c r="BNZ100" s="142"/>
      <c r="BOA100" s="142"/>
      <c r="BOB100" s="142"/>
      <c r="BOC100" s="142"/>
      <c r="BOD100" s="142"/>
      <c r="BOE100" s="142"/>
      <c r="BOF100" s="142"/>
      <c r="BOG100" s="142"/>
      <c r="BOH100" s="142"/>
      <c r="BOI100" s="142"/>
      <c r="BOJ100" s="142"/>
      <c r="BOK100" s="142"/>
      <c r="BOL100" s="142"/>
      <c r="BOM100" s="142"/>
      <c r="BON100" s="142"/>
      <c r="BOO100" s="142"/>
      <c r="BOP100" s="142"/>
      <c r="BOQ100" s="142"/>
      <c r="BOR100" s="142"/>
      <c r="BOS100" s="142"/>
      <c r="BOT100" s="142"/>
      <c r="BOU100" s="142"/>
      <c r="BOV100" s="142"/>
      <c r="BOW100" s="142"/>
      <c r="BOX100" s="142"/>
      <c r="BOY100" s="142"/>
      <c r="BOZ100" s="142"/>
      <c r="BPA100" s="142"/>
      <c r="BPB100" s="142"/>
      <c r="BPC100" s="142"/>
      <c r="BPD100" s="142"/>
      <c r="BPE100" s="142"/>
      <c r="BPF100" s="142"/>
      <c r="BPG100" s="142"/>
      <c r="BPH100" s="142"/>
      <c r="BPI100" s="142"/>
      <c r="BPJ100" s="142"/>
      <c r="BPK100" s="142"/>
      <c r="BPL100" s="142"/>
      <c r="BPM100" s="142"/>
      <c r="BPN100" s="142"/>
      <c r="BPO100" s="142"/>
      <c r="BPP100" s="142"/>
      <c r="BPQ100" s="142"/>
      <c r="BPR100" s="142"/>
      <c r="BPS100" s="142"/>
      <c r="BPT100" s="142"/>
      <c r="BPU100" s="142"/>
      <c r="BPV100" s="142"/>
      <c r="BPW100" s="142"/>
      <c r="BPX100" s="142"/>
      <c r="BPY100" s="142"/>
      <c r="BPZ100" s="142"/>
      <c r="BQA100" s="142"/>
      <c r="BQB100" s="142"/>
      <c r="BQC100" s="142"/>
      <c r="BQD100" s="142"/>
      <c r="BQE100" s="142"/>
      <c r="BQF100" s="142"/>
      <c r="BQG100" s="142"/>
      <c r="BQH100" s="142"/>
      <c r="BQI100" s="142"/>
      <c r="BQJ100" s="142"/>
      <c r="BQK100" s="142"/>
      <c r="BQL100" s="142"/>
      <c r="BQM100" s="142"/>
      <c r="BQN100" s="142"/>
      <c r="BQO100" s="142"/>
      <c r="BQP100" s="142"/>
      <c r="BQQ100" s="142"/>
      <c r="BQR100" s="142"/>
      <c r="BQS100" s="142"/>
      <c r="BQT100" s="142"/>
      <c r="BQU100" s="142"/>
      <c r="BQV100" s="142"/>
      <c r="BQW100" s="142"/>
      <c r="BQX100" s="142"/>
      <c r="BQY100" s="142"/>
      <c r="BQZ100" s="142"/>
      <c r="BRA100" s="142"/>
      <c r="BRB100" s="142"/>
      <c r="BRC100" s="142"/>
      <c r="BRD100" s="142"/>
      <c r="BRE100" s="142"/>
      <c r="BRF100" s="142"/>
      <c r="BRG100" s="142"/>
      <c r="BRH100" s="142"/>
      <c r="BRI100" s="142"/>
      <c r="BRJ100" s="142"/>
      <c r="BRK100" s="142"/>
      <c r="BRL100" s="142"/>
      <c r="BRM100" s="142"/>
      <c r="BRN100" s="142"/>
      <c r="BRO100" s="142"/>
      <c r="BRP100" s="142"/>
      <c r="BRQ100" s="142"/>
      <c r="BRR100" s="142"/>
      <c r="BRS100" s="142"/>
      <c r="BRT100" s="142"/>
      <c r="BRU100" s="142"/>
      <c r="BRV100" s="142"/>
      <c r="BRW100" s="142"/>
      <c r="BRX100" s="142"/>
      <c r="BRY100" s="142"/>
      <c r="BRZ100" s="142"/>
      <c r="BSA100" s="142"/>
      <c r="BSB100" s="142"/>
      <c r="BSC100" s="142"/>
      <c r="BSD100" s="142"/>
      <c r="BSE100" s="142"/>
      <c r="BSF100" s="142"/>
      <c r="BSG100" s="142"/>
      <c r="BSH100" s="142"/>
      <c r="BSI100" s="142"/>
      <c r="BSJ100" s="142"/>
      <c r="BSK100" s="142"/>
      <c r="BSL100" s="142"/>
      <c r="BSM100" s="142"/>
      <c r="BSN100" s="142"/>
      <c r="BSO100" s="142"/>
      <c r="BSP100" s="142"/>
      <c r="BSQ100" s="142"/>
      <c r="BSR100" s="142"/>
      <c r="BSS100" s="142"/>
      <c r="BST100" s="142"/>
      <c r="BSU100" s="142"/>
      <c r="BSV100" s="142"/>
      <c r="BSW100" s="142"/>
      <c r="BSX100" s="142"/>
      <c r="BSY100" s="142"/>
      <c r="BSZ100" s="142"/>
      <c r="BTA100" s="142"/>
      <c r="BTB100" s="142"/>
      <c r="BTC100" s="142"/>
      <c r="BTD100" s="142"/>
      <c r="BTE100" s="142"/>
      <c r="BTF100" s="142"/>
      <c r="BTG100" s="142"/>
      <c r="BTH100" s="142"/>
      <c r="BTI100" s="142"/>
      <c r="BTJ100" s="142"/>
      <c r="BTK100" s="142"/>
      <c r="BTL100" s="142"/>
      <c r="BTM100" s="142"/>
      <c r="BTN100" s="142"/>
      <c r="BTO100" s="142"/>
      <c r="BTP100" s="142"/>
      <c r="BTQ100" s="142"/>
      <c r="BTR100" s="142"/>
      <c r="BTS100" s="142"/>
      <c r="BTT100" s="142"/>
      <c r="BTU100" s="142"/>
      <c r="BTV100" s="142"/>
      <c r="BTW100" s="142"/>
      <c r="BTX100" s="142"/>
      <c r="BTY100" s="142"/>
      <c r="BTZ100" s="142"/>
      <c r="BUA100" s="142"/>
      <c r="BUB100" s="142"/>
      <c r="BUC100" s="142"/>
      <c r="BUD100" s="142"/>
      <c r="BUE100" s="142"/>
      <c r="BUF100" s="142"/>
      <c r="BUG100" s="142"/>
      <c r="BUH100" s="142"/>
      <c r="BUI100" s="142"/>
      <c r="BUJ100" s="142"/>
      <c r="BUK100" s="142"/>
      <c r="BUL100" s="142"/>
      <c r="BUM100" s="142"/>
      <c r="BUN100" s="142"/>
      <c r="BUO100" s="142"/>
      <c r="BUP100" s="142"/>
      <c r="BUQ100" s="142"/>
      <c r="BUR100" s="142"/>
      <c r="BUS100" s="142"/>
      <c r="BUT100" s="142"/>
      <c r="BUU100" s="142"/>
      <c r="BUV100" s="142"/>
      <c r="BUW100" s="142"/>
      <c r="BUX100" s="142"/>
      <c r="BUY100" s="142"/>
      <c r="BUZ100" s="142"/>
      <c r="BVA100" s="142"/>
      <c r="BVB100" s="142"/>
      <c r="BVC100" s="142"/>
      <c r="BVD100" s="142"/>
      <c r="BVE100" s="142"/>
      <c r="BVF100" s="142"/>
      <c r="BVG100" s="142"/>
      <c r="BVH100" s="142"/>
      <c r="BVI100" s="142"/>
      <c r="BVJ100" s="142"/>
      <c r="BVK100" s="142"/>
      <c r="BVL100" s="142"/>
      <c r="BVM100" s="142"/>
      <c r="BVN100" s="142"/>
      <c r="BVO100" s="142"/>
      <c r="BVP100" s="142"/>
      <c r="BVQ100" s="142"/>
      <c r="BVR100" s="142"/>
      <c r="BVS100" s="142"/>
      <c r="BVT100" s="142"/>
      <c r="BVU100" s="142"/>
      <c r="BVV100" s="142"/>
      <c r="BVW100" s="142"/>
      <c r="BVX100" s="142"/>
      <c r="BVY100" s="142"/>
      <c r="BVZ100" s="142"/>
      <c r="BWA100" s="142"/>
      <c r="BWB100" s="142"/>
      <c r="BWC100" s="142"/>
      <c r="BWD100" s="142"/>
      <c r="BWE100" s="142"/>
      <c r="BWF100" s="142"/>
      <c r="BWG100" s="142"/>
      <c r="BWH100" s="142"/>
      <c r="BWI100" s="142"/>
      <c r="BWJ100" s="142"/>
      <c r="BWK100" s="142"/>
      <c r="BWL100" s="142"/>
      <c r="BWM100" s="142"/>
      <c r="BWN100" s="142"/>
      <c r="BWO100" s="142"/>
      <c r="BWP100" s="142"/>
      <c r="BWQ100" s="142"/>
      <c r="BWR100" s="142"/>
      <c r="BWS100" s="142"/>
      <c r="BWT100" s="142"/>
      <c r="BWU100" s="142"/>
      <c r="BWV100" s="142"/>
      <c r="BWW100" s="142"/>
      <c r="BWX100" s="142"/>
      <c r="BWY100" s="142"/>
      <c r="BWZ100" s="142"/>
      <c r="BXA100" s="142"/>
      <c r="BXB100" s="142"/>
      <c r="BXC100" s="142"/>
      <c r="BXD100" s="142"/>
      <c r="BXE100" s="142"/>
      <c r="BXF100" s="142"/>
      <c r="BXG100" s="142"/>
      <c r="BXH100" s="142"/>
      <c r="BXI100" s="142"/>
      <c r="BXJ100" s="142"/>
      <c r="BXK100" s="142"/>
      <c r="BXL100" s="142"/>
      <c r="BXM100" s="142"/>
      <c r="BXN100" s="142"/>
      <c r="BXO100" s="142"/>
      <c r="BXP100" s="142"/>
      <c r="BXQ100" s="142"/>
      <c r="BXR100" s="142"/>
      <c r="BXS100" s="142"/>
      <c r="BXT100" s="142"/>
      <c r="BXU100" s="142"/>
      <c r="BXV100" s="142"/>
      <c r="BXW100" s="142"/>
      <c r="BXX100" s="142"/>
      <c r="BXY100" s="142"/>
      <c r="BXZ100" s="142"/>
      <c r="BYA100" s="142"/>
      <c r="BYB100" s="142"/>
      <c r="BYC100" s="142"/>
      <c r="BYD100" s="142"/>
      <c r="BYE100" s="142"/>
      <c r="BYF100" s="142"/>
      <c r="BYG100" s="142"/>
      <c r="BYH100" s="142"/>
      <c r="BYI100" s="142"/>
      <c r="BYJ100" s="142"/>
      <c r="BYK100" s="142"/>
      <c r="BYL100" s="142"/>
      <c r="BYM100" s="142"/>
      <c r="BYN100" s="142"/>
      <c r="BYO100" s="142"/>
      <c r="BYP100" s="142"/>
      <c r="BYQ100" s="142"/>
      <c r="BYR100" s="142"/>
      <c r="BYS100" s="142"/>
      <c r="BYT100" s="142"/>
      <c r="BYU100" s="142"/>
      <c r="BYV100" s="142"/>
      <c r="BYW100" s="142"/>
      <c r="BYX100" s="142"/>
      <c r="BYY100" s="142"/>
      <c r="BYZ100" s="142"/>
      <c r="BZA100" s="142"/>
      <c r="BZB100" s="142"/>
      <c r="BZC100" s="142"/>
      <c r="BZD100" s="142"/>
      <c r="BZE100" s="142"/>
      <c r="BZF100" s="142"/>
      <c r="BZG100" s="142"/>
      <c r="BZH100" s="142"/>
      <c r="BZI100" s="142"/>
      <c r="BZJ100" s="142"/>
      <c r="BZK100" s="142"/>
      <c r="BZL100" s="142"/>
      <c r="BZM100" s="142"/>
      <c r="BZN100" s="142"/>
      <c r="BZO100" s="142"/>
      <c r="BZP100" s="142"/>
      <c r="BZQ100" s="142"/>
      <c r="BZR100" s="142"/>
      <c r="BZS100" s="142"/>
      <c r="BZT100" s="142"/>
      <c r="BZU100" s="142"/>
      <c r="BZV100" s="142"/>
      <c r="BZW100" s="142"/>
      <c r="BZX100" s="142"/>
      <c r="BZY100" s="142"/>
      <c r="BZZ100" s="142"/>
      <c r="CAA100" s="142"/>
      <c r="CAB100" s="142"/>
      <c r="CAC100" s="142"/>
      <c r="CAD100" s="142"/>
      <c r="CAE100" s="142"/>
      <c r="CAF100" s="142"/>
      <c r="CAG100" s="142"/>
      <c r="CAH100" s="142"/>
      <c r="CAI100" s="142"/>
      <c r="CAJ100" s="142"/>
      <c r="CAK100" s="142"/>
      <c r="CAL100" s="142"/>
      <c r="CAM100" s="142"/>
      <c r="CAN100" s="142"/>
      <c r="CAO100" s="142"/>
      <c r="CAP100" s="142"/>
      <c r="CAQ100" s="142"/>
      <c r="CAR100" s="142"/>
      <c r="CAS100" s="142"/>
      <c r="CAT100" s="142"/>
      <c r="CAU100" s="142"/>
      <c r="CAV100" s="142"/>
      <c r="CAW100" s="142"/>
      <c r="CAX100" s="142"/>
      <c r="CAY100" s="142"/>
      <c r="CAZ100" s="142"/>
      <c r="CBA100" s="142"/>
      <c r="CBB100" s="142"/>
      <c r="CBC100" s="142"/>
      <c r="CBD100" s="142"/>
      <c r="CBE100" s="142"/>
      <c r="CBF100" s="142"/>
      <c r="CBG100" s="142"/>
      <c r="CBH100" s="142"/>
      <c r="CBI100" s="142"/>
      <c r="CBJ100" s="142"/>
      <c r="CBK100" s="142"/>
      <c r="CBL100" s="142"/>
      <c r="CBM100" s="142"/>
      <c r="CBN100" s="142"/>
      <c r="CBO100" s="142"/>
      <c r="CBP100" s="142"/>
      <c r="CBQ100" s="142"/>
      <c r="CBR100" s="142"/>
      <c r="CBS100" s="142"/>
      <c r="CBT100" s="142"/>
      <c r="CBU100" s="142"/>
      <c r="CBV100" s="142"/>
      <c r="CBW100" s="142"/>
      <c r="CBX100" s="142"/>
      <c r="CBY100" s="142"/>
      <c r="CBZ100" s="142"/>
      <c r="CCA100" s="142"/>
      <c r="CCB100" s="142"/>
      <c r="CCC100" s="142"/>
      <c r="CCD100" s="142"/>
      <c r="CCE100" s="142"/>
      <c r="CCF100" s="142"/>
      <c r="CCG100" s="142"/>
      <c r="CCH100" s="142"/>
      <c r="CCI100" s="142"/>
      <c r="CCJ100" s="142"/>
      <c r="CCK100" s="142"/>
      <c r="CCL100" s="142"/>
      <c r="CCM100" s="142"/>
      <c r="CCN100" s="142"/>
      <c r="CCO100" s="142"/>
      <c r="CCP100" s="142"/>
      <c r="CCQ100" s="142"/>
      <c r="CCR100" s="142"/>
      <c r="CCS100" s="142"/>
      <c r="CCT100" s="142"/>
      <c r="CCU100" s="142"/>
      <c r="CCV100" s="142"/>
      <c r="CCW100" s="142"/>
      <c r="CCX100" s="142"/>
      <c r="CCY100" s="142"/>
      <c r="CCZ100" s="142"/>
      <c r="CDA100" s="142"/>
      <c r="CDB100" s="142"/>
      <c r="CDC100" s="142"/>
      <c r="CDD100" s="142"/>
      <c r="CDE100" s="142"/>
      <c r="CDF100" s="142"/>
      <c r="CDG100" s="142"/>
      <c r="CDH100" s="142"/>
      <c r="CDI100" s="142"/>
      <c r="CDJ100" s="142"/>
      <c r="CDK100" s="142"/>
      <c r="CDL100" s="142"/>
      <c r="CDM100" s="142"/>
      <c r="CDN100" s="142"/>
      <c r="CDO100" s="142"/>
      <c r="CDP100" s="142"/>
      <c r="CDQ100" s="142"/>
      <c r="CDR100" s="142"/>
      <c r="CDS100" s="142"/>
      <c r="CDT100" s="142"/>
      <c r="CDU100" s="142"/>
      <c r="CDV100" s="142"/>
      <c r="CDW100" s="142"/>
      <c r="CDX100" s="142"/>
      <c r="CDY100" s="142"/>
      <c r="CDZ100" s="142"/>
      <c r="CEA100" s="142"/>
      <c r="CEB100" s="142"/>
      <c r="CEC100" s="142"/>
      <c r="CED100" s="142"/>
      <c r="CEE100" s="142"/>
      <c r="CEF100" s="142"/>
      <c r="CEG100" s="142"/>
      <c r="CEH100" s="142"/>
      <c r="CEI100" s="142"/>
      <c r="CEJ100" s="142"/>
      <c r="CEK100" s="142"/>
      <c r="CEL100" s="142"/>
      <c r="CEM100" s="142"/>
      <c r="CEN100" s="142"/>
      <c r="CEO100" s="142"/>
      <c r="CEP100" s="142"/>
      <c r="CEQ100" s="142"/>
      <c r="CER100" s="142"/>
      <c r="CES100" s="142"/>
      <c r="CET100" s="142"/>
      <c r="CEU100" s="142"/>
      <c r="CEV100" s="142"/>
      <c r="CEW100" s="142"/>
      <c r="CEX100" s="142"/>
      <c r="CEY100" s="142"/>
      <c r="CEZ100" s="142"/>
      <c r="CFA100" s="142"/>
      <c r="CFB100" s="142"/>
      <c r="CFC100" s="142"/>
      <c r="CFD100" s="142"/>
      <c r="CFE100" s="142"/>
      <c r="CFF100" s="142"/>
      <c r="CFG100" s="142"/>
      <c r="CFH100" s="142"/>
      <c r="CFI100" s="142"/>
      <c r="CFJ100" s="142"/>
      <c r="CFK100" s="142"/>
      <c r="CFL100" s="142"/>
      <c r="CFM100" s="142"/>
      <c r="CFN100" s="142"/>
      <c r="CFO100" s="142"/>
      <c r="CFP100" s="142"/>
      <c r="CFQ100" s="142"/>
      <c r="CFR100" s="142"/>
      <c r="CFS100" s="142"/>
      <c r="CFT100" s="142"/>
      <c r="CFU100" s="142"/>
      <c r="CFV100" s="142"/>
      <c r="CFW100" s="142"/>
      <c r="CFX100" s="142"/>
      <c r="CFY100" s="142"/>
      <c r="CFZ100" s="142"/>
      <c r="CGA100" s="142"/>
      <c r="CGB100" s="142"/>
      <c r="CGC100" s="142"/>
      <c r="CGD100" s="142"/>
      <c r="CGE100" s="142"/>
      <c r="CGF100" s="142"/>
      <c r="CGG100" s="142"/>
      <c r="CGH100" s="142"/>
      <c r="CGI100" s="142"/>
      <c r="CGJ100" s="142"/>
      <c r="CGK100" s="142"/>
      <c r="CGL100" s="142"/>
      <c r="CGM100" s="142"/>
      <c r="CGN100" s="142"/>
      <c r="CGO100" s="142"/>
      <c r="CGP100" s="142"/>
      <c r="CGQ100" s="142"/>
      <c r="CGR100" s="142"/>
      <c r="CGS100" s="142"/>
      <c r="CGT100" s="142"/>
      <c r="CGU100" s="142"/>
      <c r="CGV100" s="142"/>
      <c r="CGW100" s="142"/>
      <c r="CGX100" s="142"/>
      <c r="CGY100" s="142"/>
      <c r="CGZ100" s="142"/>
      <c r="CHA100" s="142"/>
      <c r="CHB100" s="142"/>
      <c r="CHC100" s="142"/>
      <c r="CHD100" s="142"/>
      <c r="CHE100" s="142"/>
      <c r="CHF100" s="142"/>
      <c r="CHG100" s="142"/>
      <c r="CHH100" s="142"/>
      <c r="CHI100" s="142"/>
      <c r="CHJ100" s="142"/>
      <c r="CHK100" s="142"/>
      <c r="CHL100" s="142"/>
      <c r="CHM100" s="142"/>
      <c r="CHN100" s="142"/>
      <c r="CHO100" s="142"/>
      <c r="CHP100" s="142"/>
      <c r="CHQ100" s="142"/>
      <c r="CHR100" s="142"/>
      <c r="CHS100" s="142"/>
      <c r="CHT100" s="142"/>
      <c r="CHU100" s="142"/>
      <c r="CHV100" s="142"/>
      <c r="CHW100" s="142"/>
      <c r="CHX100" s="142"/>
      <c r="CHY100" s="142"/>
      <c r="CHZ100" s="142"/>
      <c r="CIA100" s="142"/>
      <c r="CIB100" s="142"/>
      <c r="CIC100" s="142"/>
      <c r="CID100" s="142"/>
      <c r="CIE100" s="142"/>
      <c r="CIF100" s="142"/>
      <c r="CIG100" s="142"/>
      <c r="CIH100" s="142"/>
      <c r="CII100" s="142"/>
      <c r="CIJ100" s="142"/>
      <c r="CIK100" s="142"/>
      <c r="CIL100" s="142"/>
      <c r="CIM100" s="142"/>
      <c r="CIN100" s="142"/>
      <c r="CIO100" s="142"/>
      <c r="CIP100" s="142"/>
      <c r="CIQ100" s="142"/>
      <c r="CIR100" s="142"/>
      <c r="CIS100" s="142"/>
      <c r="CIT100" s="142"/>
      <c r="CIU100" s="142"/>
      <c r="CIV100" s="142"/>
      <c r="CIW100" s="142"/>
      <c r="CIX100" s="142"/>
      <c r="CIY100" s="142"/>
      <c r="CIZ100" s="142"/>
      <c r="CJA100" s="142"/>
      <c r="CJB100" s="142"/>
      <c r="CJC100" s="142"/>
      <c r="CJD100" s="142"/>
      <c r="CJE100" s="142"/>
      <c r="CJF100" s="142"/>
      <c r="CJG100" s="142"/>
      <c r="CJH100" s="142"/>
      <c r="CJI100" s="142"/>
      <c r="CJJ100" s="142"/>
      <c r="CJK100" s="142"/>
      <c r="CJL100" s="142"/>
      <c r="CJM100" s="142"/>
      <c r="CJN100" s="142"/>
      <c r="CJO100" s="142"/>
      <c r="CJP100" s="142"/>
      <c r="CJQ100" s="142"/>
      <c r="CJR100" s="142"/>
      <c r="CJS100" s="142"/>
      <c r="CJT100" s="142"/>
      <c r="CJU100" s="142"/>
      <c r="CJV100" s="142"/>
      <c r="CJW100" s="142"/>
      <c r="CJX100" s="142"/>
      <c r="CJY100" s="142"/>
      <c r="CJZ100" s="142"/>
      <c r="CKA100" s="142"/>
      <c r="CKB100" s="142"/>
      <c r="CKC100" s="142"/>
      <c r="CKD100" s="142"/>
      <c r="CKE100" s="142"/>
      <c r="CKF100" s="142"/>
      <c r="CKG100" s="142"/>
      <c r="CKH100" s="142"/>
      <c r="CKI100" s="142"/>
      <c r="CKJ100" s="142"/>
      <c r="CKK100" s="142"/>
      <c r="CKL100" s="142"/>
      <c r="CKM100" s="142"/>
      <c r="CKN100" s="142"/>
      <c r="CKO100" s="142"/>
      <c r="CKP100" s="142"/>
      <c r="CKQ100" s="142"/>
      <c r="CKR100" s="142"/>
      <c r="CKS100" s="142"/>
      <c r="CKT100" s="142"/>
      <c r="CKU100" s="142"/>
      <c r="CKV100" s="142"/>
      <c r="CKW100" s="142"/>
      <c r="CKX100" s="142"/>
      <c r="CKY100" s="142"/>
      <c r="CKZ100" s="142"/>
      <c r="CLA100" s="142"/>
      <c r="CLB100" s="142"/>
      <c r="CLC100" s="142"/>
      <c r="CLD100" s="142"/>
      <c r="CLE100" s="142"/>
      <c r="CLF100" s="142"/>
      <c r="CLG100" s="142"/>
      <c r="CLH100" s="142"/>
      <c r="CLI100" s="142"/>
      <c r="CLJ100" s="142"/>
      <c r="CLK100" s="142"/>
      <c r="CLL100" s="142"/>
      <c r="CLM100" s="142"/>
      <c r="CLN100" s="142"/>
      <c r="CLO100" s="142"/>
      <c r="CLP100" s="142"/>
      <c r="CLQ100" s="142"/>
      <c r="CLR100" s="142"/>
      <c r="CLS100" s="142"/>
      <c r="CLT100" s="142"/>
      <c r="CLU100" s="142"/>
      <c r="CLV100" s="142"/>
      <c r="CLW100" s="142"/>
      <c r="CLX100" s="142"/>
      <c r="CLY100" s="142"/>
      <c r="CLZ100" s="142"/>
      <c r="CMA100" s="142"/>
      <c r="CMB100" s="142"/>
      <c r="CMC100" s="142"/>
      <c r="CMD100" s="142"/>
      <c r="CME100" s="142"/>
      <c r="CMF100" s="142"/>
      <c r="CMG100" s="142"/>
      <c r="CMH100" s="142"/>
      <c r="CMI100" s="142"/>
      <c r="CMJ100" s="142"/>
      <c r="CMK100" s="142"/>
      <c r="CML100" s="142"/>
      <c r="CMM100" s="142"/>
      <c r="CMN100" s="142"/>
      <c r="CMO100" s="142"/>
      <c r="CMP100" s="142"/>
      <c r="CMQ100" s="142"/>
      <c r="CMR100" s="142"/>
      <c r="CMS100" s="142"/>
      <c r="CMT100" s="142"/>
      <c r="CMU100" s="142"/>
      <c r="CMV100" s="142"/>
      <c r="CMW100" s="142"/>
      <c r="CMX100" s="142"/>
      <c r="CMY100" s="142"/>
      <c r="CMZ100" s="142"/>
      <c r="CNA100" s="142"/>
      <c r="CNB100" s="142"/>
      <c r="CNC100" s="142"/>
      <c r="CND100" s="142"/>
      <c r="CNE100" s="142"/>
      <c r="CNF100" s="142"/>
      <c r="CNG100" s="142"/>
      <c r="CNH100" s="142"/>
      <c r="CNI100" s="142"/>
      <c r="CNJ100" s="142"/>
      <c r="CNK100" s="142"/>
      <c r="CNL100" s="142"/>
      <c r="CNM100" s="142"/>
      <c r="CNN100" s="142"/>
      <c r="CNO100" s="142"/>
      <c r="CNP100" s="142"/>
      <c r="CNQ100" s="142"/>
      <c r="CNR100" s="142"/>
      <c r="CNS100" s="142"/>
      <c r="CNT100" s="142"/>
      <c r="CNU100" s="142"/>
      <c r="CNV100" s="142"/>
      <c r="CNW100" s="142"/>
      <c r="CNX100" s="142"/>
      <c r="CNY100" s="142"/>
      <c r="CNZ100" s="142"/>
      <c r="COA100" s="142"/>
      <c r="COB100" s="142"/>
      <c r="COC100" s="142"/>
      <c r="COD100" s="142"/>
      <c r="COE100" s="142"/>
      <c r="COF100" s="142"/>
      <c r="COG100" s="142"/>
      <c r="COH100" s="142"/>
      <c r="COI100" s="142"/>
      <c r="COJ100" s="142"/>
      <c r="COK100" s="142"/>
      <c r="COL100" s="142"/>
      <c r="COM100" s="142"/>
      <c r="CON100" s="142"/>
      <c r="COO100" s="142"/>
      <c r="COP100" s="142"/>
      <c r="COQ100" s="142"/>
      <c r="COR100" s="142"/>
      <c r="COS100" s="142"/>
      <c r="COT100" s="142"/>
      <c r="COU100" s="142"/>
      <c r="COV100" s="142"/>
      <c r="COW100" s="142"/>
      <c r="COX100" s="142"/>
      <c r="COY100" s="142"/>
      <c r="COZ100" s="142"/>
      <c r="CPA100" s="142"/>
      <c r="CPB100" s="142"/>
      <c r="CPC100" s="142"/>
      <c r="CPD100" s="142"/>
      <c r="CPE100" s="142"/>
      <c r="CPF100" s="142"/>
      <c r="CPG100" s="142"/>
      <c r="CPH100" s="142"/>
      <c r="CPI100" s="142"/>
      <c r="CPJ100" s="142"/>
      <c r="CPK100" s="142"/>
      <c r="CPL100" s="142"/>
      <c r="CPM100" s="142"/>
      <c r="CPN100" s="142"/>
      <c r="CPO100" s="142"/>
      <c r="CPP100" s="142"/>
      <c r="CPQ100" s="142"/>
      <c r="CPR100" s="142"/>
      <c r="CPS100" s="142"/>
      <c r="CPT100" s="142"/>
      <c r="CPU100" s="142"/>
      <c r="CPV100" s="142"/>
      <c r="CPW100" s="142"/>
      <c r="CPX100" s="142"/>
      <c r="CPY100" s="142"/>
      <c r="CPZ100" s="142"/>
      <c r="CQA100" s="142"/>
      <c r="CQB100" s="142"/>
      <c r="CQC100" s="142"/>
      <c r="CQD100" s="142"/>
      <c r="CQE100" s="142"/>
      <c r="CQF100" s="142"/>
      <c r="CQG100" s="142"/>
      <c r="CQH100" s="142"/>
      <c r="CQI100" s="142"/>
      <c r="CQJ100" s="142"/>
      <c r="CQK100" s="142"/>
      <c r="CQL100" s="142"/>
      <c r="CQM100" s="142"/>
      <c r="CQN100" s="142"/>
      <c r="CQO100" s="142"/>
      <c r="CQP100" s="142"/>
      <c r="CQQ100" s="142"/>
      <c r="CQR100" s="142"/>
      <c r="CQS100" s="142"/>
      <c r="CQT100" s="142"/>
      <c r="CQU100" s="142"/>
      <c r="CQV100" s="142"/>
      <c r="CQW100" s="142"/>
      <c r="CQX100" s="142"/>
      <c r="CQY100" s="142"/>
      <c r="CQZ100" s="142"/>
      <c r="CRA100" s="142"/>
      <c r="CRB100" s="142"/>
      <c r="CRC100" s="142"/>
      <c r="CRD100" s="142"/>
      <c r="CRE100" s="142"/>
      <c r="CRF100" s="142"/>
      <c r="CRG100" s="142"/>
      <c r="CRH100" s="142"/>
      <c r="CRI100" s="142"/>
      <c r="CRJ100" s="142"/>
      <c r="CRK100" s="142"/>
      <c r="CRL100" s="142"/>
      <c r="CRM100" s="142"/>
      <c r="CRN100" s="142"/>
      <c r="CRO100" s="142"/>
      <c r="CRP100" s="142"/>
      <c r="CRQ100" s="142"/>
      <c r="CRR100" s="142"/>
      <c r="CRS100" s="142"/>
      <c r="CRT100" s="142"/>
      <c r="CRU100" s="142"/>
      <c r="CRV100" s="142"/>
      <c r="CRW100" s="142"/>
      <c r="CRX100" s="142"/>
      <c r="CRY100" s="142"/>
      <c r="CRZ100" s="142"/>
      <c r="CSA100" s="142"/>
      <c r="CSB100" s="142"/>
      <c r="CSC100" s="142"/>
      <c r="CSD100" s="142"/>
      <c r="CSE100" s="142"/>
      <c r="CSF100" s="142"/>
      <c r="CSG100" s="142"/>
      <c r="CSH100" s="142"/>
      <c r="CSI100" s="142"/>
      <c r="CSJ100" s="142"/>
      <c r="CSK100" s="142"/>
      <c r="CSL100" s="142"/>
      <c r="CSM100" s="142"/>
      <c r="CSN100" s="142"/>
      <c r="CSO100" s="142"/>
      <c r="CSP100" s="142"/>
      <c r="CSQ100" s="142"/>
      <c r="CSR100" s="142"/>
      <c r="CSS100" s="142"/>
      <c r="CST100" s="142"/>
      <c r="CSU100" s="142"/>
      <c r="CSV100" s="142"/>
      <c r="CSW100" s="142"/>
      <c r="CSX100" s="142"/>
      <c r="CSY100" s="142"/>
      <c r="CSZ100" s="142"/>
      <c r="CTA100" s="142"/>
      <c r="CTB100" s="142"/>
      <c r="CTC100" s="142"/>
      <c r="CTD100" s="142"/>
      <c r="CTE100" s="142"/>
      <c r="CTF100" s="142"/>
      <c r="CTG100" s="142"/>
      <c r="CTH100" s="142"/>
      <c r="CTI100" s="142"/>
      <c r="CTJ100" s="142"/>
      <c r="CTK100" s="142"/>
      <c r="CTL100" s="142"/>
      <c r="CTM100" s="142"/>
      <c r="CTN100" s="142"/>
      <c r="CTO100" s="142"/>
      <c r="CTP100" s="142"/>
      <c r="CTQ100" s="142"/>
      <c r="CTR100" s="142"/>
      <c r="CTS100" s="142"/>
      <c r="CTT100" s="142"/>
      <c r="CTU100" s="142"/>
      <c r="CTV100" s="142"/>
      <c r="CTW100" s="142"/>
      <c r="CTX100" s="142"/>
      <c r="CTY100" s="142"/>
      <c r="CTZ100" s="142"/>
      <c r="CUA100" s="142"/>
      <c r="CUB100" s="142"/>
      <c r="CUC100" s="142"/>
      <c r="CUD100" s="142"/>
      <c r="CUE100" s="142"/>
      <c r="CUF100" s="142"/>
      <c r="CUG100" s="142"/>
      <c r="CUH100" s="142"/>
      <c r="CUI100" s="142"/>
      <c r="CUJ100" s="142"/>
      <c r="CUK100" s="142"/>
      <c r="CUL100" s="142"/>
      <c r="CUM100" s="142"/>
      <c r="CUN100" s="142"/>
      <c r="CUO100" s="142"/>
      <c r="CUP100" s="142"/>
      <c r="CUQ100" s="142"/>
      <c r="CUR100" s="142"/>
      <c r="CUS100" s="142"/>
      <c r="CUT100" s="142"/>
      <c r="CUU100" s="142"/>
      <c r="CUV100" s="142"/>
      <c r="CUW100" s="142"/>
      <c r="CUX100" s="142"/>
      <c r="CUY100" s="142"/>
      <c r="CUZ100" s="142"/>
      <c r="CVA100" s="142"/>
      <c r="CVB100" s="142"/>
      <c r="CVC100" s="142"/>
      <c r="CVD100" s="142"/>
      <c r="CVE100" s="142"/>
      <c r="CVF100" s="142"/>
      <c r="CVG100" s="142"/>
      <c r="CVH100" s="142"/>
      <c r="CVI100" s="142"/>
      <c r="CVJ100" s="142"/>
      <c r="CVK100" s="142"/>
      <c r="CVL100" s="142"/>
      <c r="CVM100" s="142"/>
      <c r="CVN100" s="142"/>
      <c r="CVO100" s="142"/>
      <c r="CVP100" s="142"/>
      <c r="CVQ100" s="142"/>
      <c r="CVR100" s="142"/>
      <c r="CVS100" s="142"/>
      <c r="CVT100" s="142"/>
      <c r="CVU100" s="142"/>
      <c r="CVV100" s="142"/>
      <c r="CVW100" s="142"/>
      <c r="CVX100" s="142"/>
      <c r="CVY100" s="142"/>
      <c r="CVZ100" s="142"/>
      <c r="CWA100" s="142"/>
      <c r="CWB100" s="142"/>
      <c r="CWC100" s="142"/>
      <c r="CWD100" s="142"/>
      <c r="CWE100" s="142"/>
      <c r="CWF100" s="142"/>
      <c r="CWG100" s="142"/>
      <c r="CWH100" s="142"/>
      <c r="CWI100" s="142"/>
      <c r="CWJ100" s="142"/>
      <c r="CWK100" s="142"/>
      <c r="CWL100" s="142"/>
      <c r="CWM100" s="142"/>
      <c r="CWN100" s="142"/>
      <c r="CWO100" s="142"/>
      <c r="CWP100" s="142"/>
      <c r="CWQ100" s="142"/>
      <c r="CWR100" s="142"/>
      <c r="CWS100" s="142"/>
      <c r="CWT100" s="142"/>
      <c r="CWU100" s="142"/>
      <c r="CWV100" s="142"/>
      <c r="CWW100" s="142"/>
      <c r="CWX100" s="142"/>
      <c r="CWY100" s="142"/>
      <c r="CWZ100" s="142"/>
      <c r="CXA100" s="142"/>
      <c r="CXB100" s="142"/>
      <c r="CXC100" s="142"/>
      <c r="CXD100" s="142"/>
      <c r="CXE100" s="142"/>
      <c r="CXF100" s="142"/>
      <c r="CXG100" s="142"/>
      <c r="CXH100" s="142"/>
      <c r="CXI100" s="142"/>
      <c r="CXJ100" s="142"/>
      <c r="CXK100" s="142"/>
      <c r="CXL100" s="142"/>
      <c r="CXM100" s="142"/>
      <c r="CXN100" s="142"/>
      <c r="CXO100" s="142"/>
      <c r="CXP100" s="142"/>
      <c r="CXQ100" s="142"/>
      <c r="CXR100" s="142"/>
      <c r="CXS100" s="142"/>
      <c r="CXT100" s="142"/>
      <c r="CXU100" s="142"/>
      <c r="CXV100" s="142"/>
      <c r="CXW100" s="142"/>
      <c r="CXX100" s="142"/>
      <c r="CXY100" s="142"/>
      <c r="CXZ100" s="142"/>
      <c r="CYA100" s="142"/>
      <c r="CYB100" s="142"/>
      <c r="CYC100" s="142"/>
      <c r="CYD100" s="142"/>
      <c r="CYE100" s="142"/>
      <c r="CYF100" s="142"/>
      <c r="CYG100" s="142"/>
      <c r="CYH100" s="142"/>
      <c r="CYI100" s="142"/>
      <c r="CYJ100" s="142"/>
      <c r="CYK100" s="142"/>
      <c r="CYL100" s="142"/>
      <c r="CYM100" s="142"/>
      <c r="CYN100" s="142"/>
      <c r="CYO100" s="142"/>
      <c r="CYP100" s="142"/>
      <c r="CYQ100" s="142"/>
      <c r="CYR100" s="142"/>
      <c r="CYS100" s="142"/>
      <c r="CYT100" s="142"/>
      <c r="CYU100" s="142"/>
      <c r="CYV100" s="142"/>
      <c r="CYW100" s="142"/>
      <c r="CYX100" s="142"/>
      <c r="CYY100" s="142"/>
      <c r="CYZ100" s="142"/>
      <c r="CZA100" s="142"/>
      <c r="CZB100" s="142"/>
      <c r="CZC100" s="142"/>
      <c r="CZD100" s="142"/>
      <c r="CZE100" s="142"/>
      <c r="CZF100" s="142"/>
      <c r="CZG100" s="142"/>
      <c r="CZH100" s="142"/>
      <c r="CZI100" s="142"/>
      <c r="CZJ100" s="142"/>
      <c r="CZK100" s="142"/>
      <c r="CZL100" s="142"/>
      <c r="CZM100" s="142"/>
      <c r="CZN100" s="142"/>
      <c r="CZO100" s="142"/>
      <c r="CZP100" s="142"/>
      <c r="CZQ100" s="142"/>
      <c r="CZR100" s="142"/>
      <c r="CZS100" s="142"/>
      <c r="CZT100" s="142"/>
      <c r="CZU100" s="142"/>
      <c r="CZV100" s="142"/>
      <c r="CZW100" s="142"/>
      <c r="CZX100" s="142"/>
      <c r="CZY100" s="142"/>
      <c r="CZZ100" s="142"/>
      <c r="DAA100" s="142"/>
      <c r="DAB100" s="142"/>
      <c r="DAC100" s="142"/>
      <c r="DAD100" s="142"/>
      <c r="DAE100" s="142"/>
      <c r="DAF100" s="142"/>
      <c r="DAG100" s="142"/>
      <c r="DAH100" s="142"/>
      <c r="DAI100" s="142"/>
      <c r="DAJ100" s="142"/>
      <c r="DAK100" s="142"/>
      <c r="DAL100" s="142"/>
      <c r="DAM100" s="142"/>
      <c r="DAN100" s="142"/>
      <c r="DAO100" s="142"/>
      <c r="DAP100" s="142"/>
      <c r="DAQ100" s="142"/>
      <c r="DAR100" s="142"/>
      <c r="DAS100" s="142"/>
      <c r="DAT100" s="142"/>
      <c r="DAU100" s="142"/>
      <c r="DAV100" s="142"/>
      <c r="DAW100" s="142"/>
      <c r="DAX100" s="142"/>
      <c r="DAY100" s="142"/>
      <c r="DAZ100" s="142"/>
      <c r="DBA100" s="142"/>
      <c r="DBB100" s="142"/>
      <c r="DBC100" s="142"/>
      <c r="DBD100" s="142"/>
      <c r="DBE100" s="142"/>
      <c r="DBF100" s="142"/>
      <c r="DBG100" s="142"/>
      <c r="DBH100" s="142"/>
      <c r="DBI100" s="142"/>
      <c r="DBJ100" s="142"/>
      <c r="DBK100" s="142"/>
      <c r="DBL100" s="142"/>
      <c r="DBM100" s="142"/>
      <c r="DBN100" s="142"/>
      <c r="DBO100" s="142"/>
      <c r="DBP100" s="142"/>
      <c r="DBQ100" s="142"/>
      <c r="DBR100" s="142"/>
      <c r="DBS100" s="142"/>
      <c r="DBT100" s="142"/>
      <c r="DBU100" s="142"/>
      <c r="DBV100" s="142"/>
      <c r="DBW100" s="142"/>
      <c r="DBX100" s="142"/>
      <c r="DBY100" s="142"/>
      <c r="DBZ100" s="142"/>
      <c r="DCA100" s="142"/>
      <c r="DCB100" s="142"/>
      <c r="DCC100" s="142"/>
      <c r="DCD100" s="142"/>
      <c r="DCE100" s="142"/>
      <c r="DCF100" s="142"/>
      <c r="DCG100" s="142"/>
      <c r="DCH100" s="142"/>
      <c r="DCI100" s="142"/>
      <c r="DCJ100" s="142"/>
      <c r="DCK100" s="142"/>
      <c r="DCL100" s="142"/>
      <c r="DCM100" s="142"/>
      <c r="DCN100" s="142"/>
      <c r="DCO100" s="142"/>
      <c r="DCP100" s="142"/>
      <c r="DCQ100" s="142"/>
      <c r="DCR100" s="142"/>
      <c r="DCS100" s="142"/>
      <c r="DCT100" s="142"/>
      <c r="DCU100" s="142"/>
      <c r="DCV100" s="142"/>
      <c r="DCW100" s="142"/>
      <c r="DCX100" s="142"/>
      <c r="DCY100" s="142"/>
      <c r="DCZ100" s="142"/>
      <c r="DDA100" s="142"/>
      <c r="DDB100" s="142"/>
      <c r="DDC100" s="142"/>
      <c r="DDD100" s="142"/>
      <c r="DDE100" s="142"/>
      <c r="DDF100" s="142"/>
      <c r="DDG100" s="142"/>
      <c r="DDH100" s="142"/>
      <c r="DDI100" s="142"/>
      <c r="DDJ100" s="142"/>
      <c r="DDK100" s="142"/>
      <c r="DDL100" s="142"/>
      <c r="DDM100" s="142"/>
      <c r="DDN100" s="142"/>
      <c r="DDO100" s="142"/>
      <c r="DDP100" s="142"/>
      <c r="DDQ100" s="142"/>
      <c r="DDR100" s="142"/>
      <c r="DDS100" s="142"/>
      <c r="DDT100" s="142"/>
      <c r="DDU100" s="142"/>
      <c r="DDV100" s="142"/>
      <c r="DDW100" s="142"/>
      <c r="DDX100" s="142"/>
      <c r="DDY100" s="142"/>
      <c r="DDZ100" s="142"/>
      <c r="DEA100" s="142"/>
      <c r="DEB100" s="142"/>
      <c r="DEC100" s="142"/>
      <c r="DED100" s="142"/>
      <c r="DEE100" s="142"/>
      <c r="DEF100" s="142"/>
      <c r="DEG100" s="142"/>
      <c r="DEH100" s="142"/>
      <c r="DEI100" s="142"/>
      <c r="DEJ100" s="142"/>
      <c r="DEK100" s="142"/>
      <c r="DEL100" s="142"/>
      <c r="DEM100" s="142"/>
      <c r="DEN100" s="142"/>
      <c r="DEO100" s="142"/>
      <c r="DEP100" s="142"/>
      <c r="DEQ100" s="142"/>
      <c r="DER100" s="142"/>
      <c r="DES100" s="142"/>
      <c r="DET100" s="142"/>
      <c r="DEU100" s="142"/>
      <c r="DEV100" s="142"/>
      <c r="DEW100" s="142"/>
      <c r="DEX100" s="142"/>
      <c r="DEY100" s="142"/>
      <c r="DEZ100" s="142"/>
      <c r="DFA100" s="142"/>
      <c r="DFB100" s="142"/>
      <c r="DFC100" s="142"/>
      <c r="DFD100" s="142"/>
      <c r="DFE100" s="142"/>
      <c r="DFF100" s="142"/>
      <c r="DFG100" s="142"/>
      <c r="DFH100" s="142"/>
      <c r="DFI100" s="142"/>
      <c r="DFJ100" s="142"/>
      <c r="DFK100" s="142"/>
      <c r="DFL100" s="142"/>
      <c r="DFM100" s="142"/>
      <c r="DFN100" s="142"/>
      <c r="DFO100" s="142"/>
      <c r="DFP100" s="142"/>
      <c r="DFQ100" s="142"/>
      <c r="DFR100" s="142"/>
      <c r="DFS100" s="142"/>
      <c r="DFT100" s="142"/>
      <c r="DFU100" s="142"/>
      <c r="DFV100" s="142"/>
      <c r="DFW100" s="142"/>
      <c r="DFX100" s="142"/>
      <c r="DFY100" s="142"/>
      <c r="DFZ100" s="142"/>
      <c r="DGA100" s="142"/>
      <c r="DGB100" s="142"/>
      <c r="DGC100" s="142"/>
      <c r="DGD100" s="142"/>
      <c r="DGE100" s="142"/>
      <c r="DGF100" s="142"/>
      <c r="DGG100" s="142"/>
      <c r="DGH100" s="142"/>
      <c r="DGI100" s="142"/>
      <c r="DGJ100" s="142"/>
      <c r="DGK100" s="142"/>
      <c r="DGL100" s="142"/>
      <c r="DGM100" s="142"/>
      <c r="DGN100" s="142"/>
      <c r="DGO100" s="142"/>
      <c r="DGP100" s="142"/>
      <c r="DGQ100" s="142"/>
      <c r="DGR100" s="142"/>
      <c r="DGS100" s="142"/>
      <c r="DGT100" s="142"/>
      <c r="DGU100" s="142"/>
      <c r="DGV100" s="142"/>
      <c r="DGW100" s="142"/>
      <c r="DGX100" s="142"/>
      <c r="DGY100" s="142"/>
      <c r="DGZ100" s="142"/>
      <c r="DHA100" s="142"/>
      <c r="DHB100" s="142"/>
      <c r="DHC100" s="142"/>
      <c r="DHD100" s="142"/>
      <c r="DHE100" s="142"/>
      <c r="DHF100" s="142"/>
      <c r="DHG100" s="142"/>
      <c r="DHH100" s="142"/>
      <c r="DHI100" s="142"/>
      <c r="DHJ100" s="142"/>
      <c r="DHK100" s="142"/>
      <c r="DHL100" s="142"/>
      <c r="DHM100" s="142"/>
      <c r="DHN100" s="142"/>
      <c r="DHO100" s="142"/>
      <c r="DHP100" s="142"/>
      <c r="DHQ100" s="142"/>
      <c r="DHR100" s="142"/>
      <c r="DHS100" s="142"/>
      <c r="DHT100" s="142"/>
      <c r="DHU100" s="142"/>
      <c r="DHV100" s="142"/>
      <c r="DHW100" s="142"/>
      <c r="DHX100" s="142"/>
      <c r="DHY100" s="142"/>
      <c r="DHZ100" s="142"/>
      <c r="DIA100" s="142"/>
      <c r="DIB100" s="142"/>
      <c r="DIC100" s="142"/>
      <c r="DID100" s="142"/>
      <c r="DIE100" s="142"/>
      <c r="DIF100" s="142"/>
      <c r="DIG100" s="142"/>
      <c r="DIH100" s="142"/>
      <c r="DII100" s="142"/>
      <c r="DIJ100" s="142"/>
      <c r="DIK100" s="142"/>
      <c r="DIL100" s="142"/>
      <c r="DIM100" s="142"/>
      <c r="DIN100" s="142"/>
      <c r="DIO100" s="142"/>
      <c r="DIP100" s="142"/>
      <c r="DIQ100" s="142"/>
      <c r="DIR100" s="142"/>
      <c r="DIS100" s="142"/>
      <c r="DIT100" s="142"/>
      <c r="DIU100" s="142"/>
      <c r="DIV100" s="142"/>
      <c r="DIW100" s="142"/>
      <c r="DIX100" s="142"/>
      <c r="DIY100" s="142"/>
      <c r="DIZ100" s="142"/>
      <c r="DJA100" s="142"/>
      <c r="DJB100" s="142"/>
      <c r="DJC100" s="142"/>
      <c r="DJD100" s="142"/>
      <c r="DJE100" s="142"/>
      <c r="DJF100" s="142"/>
      <c r="DJG100" s="142"/>
      <c r="DJH100" s="142"/>
      <c r="DJI100" s="142"/>
      <c r="DJJ100" s="142"/>
      <c r="DJK100" s="142"/>
      <c r="DJL100" s="142"/>
      <c r="DJM100" s="142"/>
      <c r="DJN100" s="142"/>
      <c r="DJO100" s="142"/>
      <c r="DJP100" s="142"/>
      <c r="DJQ100" s="142"/>
      <c r="DJR100" s="142"/>
      <c r="DJS100" s="142"/>
      <c r="DJT100" s="142"/>
      <c r="DJU100" s="142"/>
      <c r="DJV100" s="142"/>
      <c r="DJW100" s="142"/>
      <c r="DJX100" s="142"/>
      <c r="DJY100" s="142"/>
      <c r="DJZ100" s="142"/>
      <c r="DKA100" s="142"/>
      <c r="DKB100" s="142"/>
      <c r="DKC100" s="142"/>
      <c r="DKD100" s="142"/>
      <c r="DKE100" s="142"/>
      <c r="DKF100" s="142"/>
      <c r="DKG100" s="142"/>
      <c r="DKH100" s="142"/>
      <c r="DKI100" s="142"/>
      <c r="DKJ100" s="142"/>
      <c r="DKK100" s="142"/>
      <c r="DKL100" s="142"/>
      <c r="DKM100" s="142"/>
      <c r="DKN100" s="142"/>
      <c r="DKO100" s="142"/>
      <c r="DKP100" s="142"/>
      <c r="DKQ100" s="142"/>
      <c r="DKR100" s="142"/>
      <c r="DKS100" s="142"/>
      <c r="DKT100" s="142"/>
      <c r="DKU100" s="142"/>
      <c r="DKV100" s="142"/>
      <c r="DKW100" s="142"/>
      <c r="DKX100" s="142"/>
      <c r="DKY100" s="142"/>
      <c r="DKZ100" s="142"/>
      <c r="DLA100" s="142"/>
      <c r="DLB100" s="142"/>
      <c r="DLC100" s="142"/>
      <c r="DLD100" s="142"/>
      <c r="DLE100" s="142"/>
      <c r="DLF100" s="142"/>
      <c r="DLG100" s="142"/>
      <c r="DLH100" s="142"/>
      <c r="DLI100" s="142"/>
      <c r="DLJ100" s="142"/>
      <c r="DLK100" s="142"/>
      <c r="DLL100" s="142"/>
      <c r="DLM100" s="142"/>
      <c r="DLN100" s="142"/>
      <c r="DLO100" s="142"/>
      <c r="DLP100" s="142"/>
      <c r="DLQ100" s="142"/>
      <c r="DLR100" s="142"/>
      <c r="DLS100" s="142"/>
      <c r="DLT100" s="142"/>
      <c r="DLU100" s="142"/>
      <c r="DLV100" s="142"/>
      <c r="DLW100" s="142"/>
      <c r="DLX100" s="142"/>
      <c r="DLY100" s="142"/>
      <c r="DLZ100" s="142"/>
      <c r="DMA100" s="142"/>
      <c r="DMB100" s="142"/>
      <c r="DMC100" s="142"/>
      <c r="DMD100" s="142"/>
      <c r="DME100" s="142"/>
      <c r="DMF100" s="142"/>
      <c r="DMG100" s="142"/>
      <c r="DMH100" s="142"/>
      <c r="DMI100" s="142"/>
      <c r="DMJ100" s="142"/>
      <c r="DMK100" s="142"/>
      <c r="DML100" s="142"/>
      <c r="DMM100" s="142"/>
      <c r="DMN100" s="142"/>
      <c r="DMO100" s="142"/>
      <c r="DMP100" s="142"/>
      <c r="DMQ100" s="142"/>
      <c r="DMR100" s="142"/>
      <c r="DMS100" s="142"/>
      <c r="DMT100" s="142"/>
      <c r="DMU100" s="142"/>
      <c r="DMV100" s="142"/>
      <c r="DMW100" s="142"/>
      <c r="DMX100" s="142"/>
      <c r="DMY100" s="142"/>
      <c r="DMZ100" s="142"/>
      <c r="DNA100" s="142"/>
      <c r="DNB100" s="142"/>
      <c r="DNC100" s="142"/>
      <c r="DND100" s="142"/>
      <c r="DNE100" s="142"/>
      <c r="DNF100" s="142"/>
      <c r="DNG100" s="142"/>
      <c r="DNH100" s="142"/>
      <c r="DNI100" s="142"/>
      <c r="DNJ100" s="142"/>
      <c r="DNK100" s="142"/>
      <c r="DNL100" s="142"/>
      <c r="DNM100" s="142"/>
      <c r="DNN100" s="142"/>
      <c r="DNO100" s="142"/>
      <c r="DNP100" s="142"/>
      <c r="DNQ100" s="142"/>
      <c r="DNR100" s="142"/>
      <c r="DNS100" s="142"/>
      <c r="DNT100" s="142"/>
      <c r="DNU100" s="142"/>
      <c r="DNV100" s="142"/>
      <c r="DNW100" s="142"/>
      <c r="DNX100" s="142"/>
      <c r="DNY100" s="142"/>
      <c r="DNZ100" s="142"/>
      <c r="DOA100" s="142"/>
      <c r="DOB100" s="142"/>
      <c r="DOC100" s="142"/>
      <c r="DOD100" s="142"/>
      <c r="DOE100" s="142"/>
      <c r="DOF100" s="142"/>
      <c r="DOG100" s="142"/>
      <c r="DOH100" s="142"/>
      <c r="DOI100" s="142"/>
      <c r="DOJ100" s="142"/>
      <c r="DOK100" s="142"/>
      <c r="DOL100" s="142"/>
      <c r="DOM100" s="142"/>
      <c r="DON100" s="142"/>
      <c r="DOO100" s="142"/>
      <c r="DOP100" s="142"/>
      <c r="DOQ100" s="142"/>
      <c r="DOR100" s="142"/>
      <c r="DOS100" s="142"/>
      <c r="DOT100" s="142"/>
      <c r="DOU100" s="142"/>
      <c r="DOV100" s="142"/>
      <c r="DOW100" s="142"/>
      <c r="DOX100" s="142"/>
      <c r="DOY100" s="142"/>
      <c r="DOZ100" s="142"/>
      <c r="DPA100" s="142"/>
      <c r="DPB100" s="142"/>
      <c r="DPC100" s="142"/>
      <c r="DPD100" s="142"/>
      <c r="DPE100" s="142"/>
      <c r="DPF100" s="142"/>
      <c r="DPG100" s="142"/>
      <c r="DPH100" s="142"/>
      <c r="DPI100" s="142"/>
      <c r="DPJ100" s="142"/>
      <c r="DPK100" s="142"/>
      <c r="DPL100" s="142"/>
      <c r="DPM100" s="142"/>
      <c r="DPN100" s="142"/>
      <c r="DPO100" s="142"/>
      <c r="DPP100" s="142"/>
      <c r="DPQ100" s="142"/>
      <c r="DPR100" s="142"/>
      <c r="DPS100" s="142"/>
      <c r="DPT100" s="142"/>
      <c r="DPU100" s="142"/>
      <c r="DPV100" s="142"/>
      <c r="DPW100" s="142"/>
      <c r="DPX100" s="142"/>
      <c r="DPY100" s="142"/>
      <c r="DPZ100" s="142"/>
      <c r="DQA100" s="142"/>
      <c r="DQB100" s="142"/>
      <c r="DQC100" s="142"/>
      <c r="DQD100" s="142"/>
      <c r="DQE100" s="142"/>
      <c r="DQF100" s="142"/>
      <c r="DQG100" s="142"/>
      <c r="DQH100" s="142"/>
      <c r="DQI100" s="142"/>
      <c r="DQJ100" s="142"/>
      <c r="DQK100" s="142"/>
      <c r="DQL100" s="142"/>
      <c r="DQM100" s="142"/>
      <c r="DQN100" s="142"/>
      <c r="DQO100" s="142"/>
      <c r="DQP100" s="142"/>
      <c r="DQQ100" s="142"/>
      <c r="DQR100" s="142"/>
      <c r="DQS100" s="142"/>
      <c r="DQT100" s="142"/>
      <c r="DQU100" s="142"/>
      <c r="DQV100" s="142"/>
      <c r="DQW100" s="142"/>
      <c r="DQX100" s="142"/>
      <c r="DQY100" s="142"/>
      <c r="DQZ100" s="142"/>
      <c r="DRA100" s="142"/>
      <c r="DRB100" s="142"/>
      <c r="DRC100" s="142"/>
      <c r="DRD100" s="142"/>
      <c r="DRE100" s="142"/>
      <c r="DRF100" s="142"/>
      <c r="DRG100" s="142"/>
      <c r="DRH100" s="142"/>
      <c r="DRI100" s="142"/>
      <c r="DRJ100" s="142"/>
      <c r="DRK100" s="142"/>
      <c r="DRL100" s="142"/>
      <c r="DRM100" s="142"/>
      <c r="DRN100" s="142"/>
      <c r="DRO100" s="142"/>
      <c r="DRP100" s="142"/>
      <c r="DRQ100" s="142"/>
      <c r="DRR100" s="142"/>
      <c r="DRS100" s="142"/>
      <c r="DRT100" s="142"/>
      <c r="DRU100" s="142"/>
      <c r="DRV100" s="142"/>
      <c r="DRW100" s="142"/>
      <c r="DRX100" s="142"/>
      <c r="DRY100" s="142"/>
      <c r="DRZ100" s="142"/>
      <c r="DSA100" s="142"/>
      <c r="DSB100" s="142"/>
      <c r="DSC100" s="142"/>
      <c r="DSD100" s="142"/>
      <c r="DSE100" s="142"/>
      <c r="DSF100" s="142"/>
      <c r="DSG100" s="142"/>
      <c r="DSH100" s="142"/>
      <c r="DSI100" s="142"/>
      <c r="DSJ100" s="142"/>
      <c r="DSK100" s="142"/>
      <c r="DSL100" s="142"/>
      <c r="DSM100" s="142"/>
      <c r="DSN100" s="142"/>
      <c r="DSO100" s="142"/>
      <c r="DSP100" s="142"/>
      <c r="DSQ100" s="142"/>
      <c r="DSR100" s="142"/>
      <c r="DSS100" s="142"/>
      <c r="DST100" s="142"/>
      <c r="DSU100" s="142"/>
      <c r="DSV100" s="142"/>
      <c r="DSW100" s="142"/>
      <c r="DSX100" s="142"/>
      <c r="DSY100" s="142"/>
      <c r="DSZ100" s="142"/>
      <c r="DTA100" s="142"/>
      <c r="DTB100" s="142"/>
      <c r="DTC100" s="142"/>
      <c r="DTD100" s="142"/>
      <c r="DTE100" s="142"/>
      <c r="DTF100" s="142"/>
      <c r="DTG100" s="142"/>
      <c r="DTH100" s="142"/>
      <c r="DTI100" s="142"/>
      <c r="DTJ100" s="142"/>
      <c r="DTK100" s="142"/>
      <c r="DTL100" s="142"/>
      <c r="DTM100" s="142"/>
      <c r="DTN100" s="142"/>
      <c r="DTO100" s="142"/>
      <c r="DTP100" s="142"/>
      <c r="DTQ100" s="142"/>
      <c r="DTR100" s="142"/>
      <c r="DTS100" s="142"/>
      <c r="DTT100" s="142"/>
      <c r="DTU100" s="142"/>
      <c r="DTV100" s="142"/>
      <c r="DTW100" s="142"/>
      <c r="DTX100" s="142"/>
      <c r="DTY100" s="142"/>
      <c r="DTZ100" s="142"/>
      <c r="DUA100" s="142"/>
      <c r="DUB100" s="142"/>
      <c r="DUC100" s="142"/>
      <c r="DUD100" s="142"/>
      <c r="DUE100" s="142"/>
      <c r="DUF100" s="142"/>
      <c r="DUG100" s="142"/>
      <c r="DUH100" s="142"/>
      <c r="DUI100" s="142"/>
      <c r="DUJ100" s="142"/>
      <c r="DUK100" s="142"/>
      <c r="DUL100" s="142"/>
      <c r="DUM100" s="142"/>
      <c r="DUN100" s="142"/>
      <c r="DUO100" s="142"/>
      <c r="DUP100" s="142"/>
      <c r="DUQ100" s="142"/>
      <c r="DUR100" s="142"/>
      <c r="DUS100" s="142"/>
      <c r="DUT100" s="142"/>
      <c r="DUU100" s="142"/>
      <c r="DUV100" s="142"/>
      <c r="DUW100" s="142"/>
      <c r="DUX100" s="142"/>
      <c r="DUY100" s="142"/>
      <c r="DUZ100" s="142"/>
      <c r="DVA100" s="142"/>
      <c r="DVB100" s="142"/>
      <c r="DVC100" s="142"/>
      <c r="DVD100" s="142"/>
      <c r="DVE100" s="142"/>
      <c r="DVF100" s="142"/>
      <c r="DVG100" s="142"/>
      <c r="DVH100" s="142"/>
      <c r="DVI100" s="142"/>
      <c r="DVJ100" s="142"/>
      <c r="DVK100" s="142"/>
      <c r="DVL100" s="142"/>
      <c r="DVM100" s="142"/>
      <c r="DVN100" s="142"/>
      <c r="DVO100" s="142"/>
      <c r="DVP100" s="142"/>
      <c r="DVQ100" s="142"/>
      <c r="DVR100" s="142"/>
      <c r="DVS100" s="142"/>
      <c r="DVT100" s="142"/>
      <c r="DVU100" s="142"/>
      <c r="DVV100" s="142"/>
      <c r="DVW100" s="142"/>
      <c r="DVX100" s="142"/>
      <c r="DVY100" s="142"/>
      <c r="DVZ100" s="142"/>
      <c r="DWA100" s="142"/>
      <c r="DWB100" s="142"/>
      <c r="DWC100" s="142"/>
      <c r="DWD100" s="142"/>
      <c r="DWE100" s="142"/>
      <c r="DWF100" s="142"/>
      <c r="DWG100" s="142"/>
      <c r="DWH100" s="142"/>
      <c r="DWI100" s="142"/>
      <c r="DWJ100" s="142"/>
      <c r="DWK100" s="142"/>
      <c r="DWL100" s="142"/>
      <c r="DWM100" s="142"/>
      <c r="DWN100" s="142"/>
      <c r="DWO100" s="142"/>
      <c r="DWP100" s="142"/>
      <c r="DWQ100" s="142"/>
      <c r="DWR100" s="142"/>
      <c r="DWS100" s="142"/>
      <c r="DWT100" s="142"/>
      <c r="DWU100" s="142"/>
      <c r="DWV100" s="142"/>
      <c r="DWW100" s="142"/>
      <c r="DWX100" s="142"/>
      <c r="DWY100" s="142"/>
      <c r="DWZ100" s="142"/>
      <c r="DXA100" s="142"/>
      <c r="DXB100" s="142"/>
      <c r="DXC100" s="142"/>
      <c r="DXD100" s="142"/>
      <c r="DXE100" s="142"/>
      <c r="DXF100" s="142"/>
      <c r="DXG100" s="142"/>
      <c r="DXH100" s="142"/>
      <c r="DXI100" s="142"/>
      <c r="DXJ100" s="142"/>
      <c r="DXK100" s="142"/>
      <c r="DXL100" s="142"/>
      <c r="DXM100" s="142"/>
      <c r="DXN100" s="142"/>
      <c r="DXO100" s="142"/>
      <c r="DXP100" s="142"/>
      <c r="DXQ100" s="142"/>
      <c r="DXR100" s="142"/>
      <c r="DXS100" s="142"/>
      <c r="DXT100" s="142"/>
      <c r="DXU100" s="142"/>
      <c r="DXV100" s="142"/>
      <c r="DXW100" s="142"/>
      <c r="DXX100" s="142"/>
      <c r="DXY100" s="142"/>
      <c r="DXZ100" s="142"/>
      <c r="DYA100" s="142"/>
      <c r="DYB100" s="142"/>
      <c r="DYC100" s="142"/>
      <c r="DYD100" s="142"/>
      <c r="DYE100" s="142"/>
      <c r="DYF100" s="142"/>
      <c r="DYG100" s="142"/>
      <c r="DYH100" s="142"/>
      <c r="DYI100" s="142"/>
      <c r="DYJ100" s="142"/>
      <c r="DYK100" s="142"/>
      <c r="DYL100" s="142"/>
      <c r="DYM100" s="142"/>
      <c r="DYN100" s="142"/>
      <c r="DYO100" s="142"/>
      <c r="DYP100" s="142"/>
      <c r="DYQ100" s="142"/>
      <c r="DYR100" s="142"/>
      <c r="DYS100" s="142"/>
      <c r="DYT100" s="142"/>
      <c r="DYU100" s="142"/>
      <c r="DYV100" s="142"/>
      <c r="DYW100" s="142"/>
      <c r="DYX100" s="142"/>
      <c r="DYY100" s="142"/>
      <c r="DYZ100" s="142"/>
      <c r="DZA100" s="142"/>
      <c r="DZB100" s="142"/>
      <c r="DZC100" s="142"/>
      <c r="DZD100" s="142"/>
      <c r="DZE100" s="142"/>
      <c r="DZF100" s="142"/>
      <c r="DZG100" s="142"/>
      <c r="DZH100" s="142"/>
      <c r="DZI100" s="142"/>
      <c r="DZJ100" s="142"/>
      <c r="DZK100" s="142"/>
      <c r="DZL100" s="142"/>
      <c r="DZM100" s="142"/>
      <c r="DZN100" s="142"/>
      <c r="DZO100" s="142"/>
      <c r="DZP100" s="142"/>
      <c r="DZQ100" s="142"/>
      <c r="DZR100" s="142"/>
      <c r="DZS100" s="142"/>
      <c r="DZT100" s="142"/>
      <c r="DZU100" s="142"/>
      <c r="DZV100" s="142"/>
      <c r="DZW100" s="142"/>
      <c r="DZX100" s="142"/>
      <c r="DZY100" s="142"/>
      <c r="DZZ100" s="142"/>
      <c r="EAA100" s="142"/>
      <c r="EAB100" s="142"/>
      <c r="EAC100" s="142"/>
      <c r="EAD100" s="142"/>
      <c r="EAE100" s="142"/>
      <c r="EAF100" s="142"/>
      <c r="EAG100" s="142"/>
      <c r="EAH100" s="142"/>
      <c r="EAI100" s="142"/>
      <c r="EAJ100" s="142"/>
      <c r="EAK100" s="142"/>
      <c r="EAL100" s="142"/>
      <c r="EAM100" s="142"/>
      <c r="EAN100" s="142"/>
      <c r="EAO100" s="142"/>
      <c r="EAP100" s="142"/>
      <c r="EAQ100" s="142"/>
      <c r="EAR100" s="142"/>
      <c r="EAS100" s="142"/>
      <c r="EAT100" s="142"/>
      <c r="EAU100" s="142"/>
      <c r="EAV100" s="142"/>
      <c r="EAW100" s="142"/>
      <c r="EAX100" s="142"/>
      <c r="EAY100" s="142"/>
      <c r="EAZ100" s="142"/>
      <c r="EBA100" s="142"/>
      <c r="EBB100" s="142"/>
      <c r="EBC100" s="142"/>
      <c r="EBD100" s="142"/>
      <c r="EBE100" s="142"/>
      <c r="EBF100" s="142"/>
      <c r="EBG100" s="142"/>
      <c r="EBH100" s="142"/>
      <c r="EBI100" s="142"/>
      <c r="EBJ100" s="142"/>
      <c r="EBK100" s="142"/>
      <c r="EBL100" s="142"/>
      <c r="EBM100" s="142"/>
      <c r="EBN100" s="142"/>
      <c r="EBO100" s="142"/>
      <c r="EBP100" s="142"/>
      <c r="EBQ100" s="142"/>
      <c r="EBR100" s="142"/>
      <c r="EBS100" s="142"/>
      <c r="EBT100" s="142"/>
      <c r="EBU100" s="142"/>
      <c r="EBV100" s="142"/>
      <c r="EBW100" s="142"/>
      <c r="EBX100" s="142"/>
      <c r="EBY100" s="142"/>
      <c r="EBZ100" s="142"/>
      <c r="ECA100" s="142"/>
      <c r="ECB100" s="142"/>
      <c r="ECC100" s="142"/>
      <c r="ECD100" s="142"/>
      <c r="ECE100" s="142"/>
      <c r="ECF100" s="142"/>
      <c r="ECG100" s="142"/>
      <c r="ECH100" s="142"/>
      <c r="ECI100" s="142"/>
      <c r="ECJ100" s="142"/>
      <c r="ECK100" s="142"/>
      <c r="ECL100" s="142"/>
      <c r="ECM100" s="142"/>
      <c r="ECN100" s="142"/>
      <c r="ECO100" s="142"/>
      <c r="ECP100" s="142"/>
      <c r="ECQ100" s="142"/>
      <c r="ECR100" s="142"/>
      <c r="ECS100" s="142"/>
      <c r="ECT100" s="142"/>
      <c r="ECU100" s="142"/>
      <c r="ECV100" s="142"/>
      <c r="ECW100" s="142"/>
      <c r="ECX100" s="142"/>
      <c r="ECY100" s="142"/>
      <c r="ECZ100" s="142"/>
      <c r="EDA100" s="142"/>
      <c r="EDB100" s="142"/>
      <c r="EDC100" s="142"/>
      <c r="EDD100" s="142"/>
      <c r="EDE100" s="142"/>
      <c r="EDF100" s="142"/>
      <c r="EDG100" s="142"/>
      <c r="EDH100" s="142"/>
      <c r="EDI100" s="142"/>
      <c r="EDJ100" s="142"/>
      <c r="EDK100" s="142"/>
      <c r="EDL100" s="142"/>
      <c r="EDM100" s="142"/>
      <c r="EDN100" s="142"/>
      <c r="EDO100" s="142"/>
      <c r="EDP100" s="142"/>
      <c r="EDQ100" s="142"/>
      <c r="EDR100" s="142"/>
      <c r="EDS100" s="142"/>
      <c r="EDT100" s="142"/>
      <c r="EDU100" s="142"/>
      <c r="EDV100" s="142"/>
      <c r="EDW100" s="142"/>
      <c r="EDX100" s="142"/>
      <c r="EDY100" s="142"/>
      <c r="EDZ100" s="142"/>
      <c r="EEA100" s="142"/>
      <c r="EEB100" s="142"/>
      <c r="EEC100" s="142"/>
      <c r="EED100" s="142"/>
      <c r="EEE100" s="142"/>
      <c r="EEF100" s="142"/>
      <c r="EEG100" s="142"/>
      <c r="EEH100" s="142"/>
      <c r="EEI100" s="142"/>
      <c r="EEJ100" s="142"/>
      <c r="EEK100" s="142"/>
      <c r="EEL100" s="142"/>
      <c r="EEM100" s="142"/>
      <c r="EEN100" s="142"/>
      <c r="EEO100" s="142"/>
      <c r="EEP100" s="142"/>
      <c r="EEQ100" s="142"/>
      <c r="EER100" s="142"/>
      <c r="EES100" s="142"/>
      <c r="EET100" s="142"/>
      <c r="EEU100" s="142"/>
      <c r="EEV100" s="142"/>
      <c r="EEW100" s="142"/>
      <c r="EEX100" s="142"/>
      <c r="EEY100" s="142"/>
      <c r="EEZ100" s="142"/>
      <c r="EFA100" s="142"/>
      <c r="EFB100" s="142"/>
      <c r="EFC100" s="142"/>
      <c r="EFD100" s="142"/>
      <c r="EFE100" s="142"/>
      <c r="EFF100" s="142"/>
      <c r="EFG100" s="142"/>
      <c r="EFH100" s="142"/>
      <c r="EFI100" s="142"/>
      <c r="EFJ100" s="142"/>
      <c r="EFK100" s="142"/>
      <c r="EFL100" s="142"/>
      <c r="EFM100" s="142"/>
      <c r="EFN100" s="142"/>
      <c r="EFO100" s="142"/>
      <c r="EFP100" s="142"/>
      <c r="EFQ100" s="142"/>
      <c r="EFR100" s="142"/>
      <c r="EFS100" s="142"/>
      <c r="EFT100" s="142"/>
      <c r="EFU100" s="142"/>
      <c r="EFV100" s="142"/>
      <c r="EFW100" s="142"/>
      <c r="EFX100" s="142"/>
      <c r="EFY100" s="142"/>
      <c r="EFZ100" s="142"/>
      <c r="EGA100" s="142"/>
      <c r="EGB100" s="142"/>
      <c r="EGC100" s="142"/>
      <c r="EGD100" s="142"/>
      <c r="EGE100" s="142"/>
      <c r="EGF100" s="142"/>
      <c r="EGG100" s="142"/>
      <c r="EGH100" s="142"/>
      <c r="EGI100" s="142"/>
      <c r="EGJ100" s="142"/>
      <c r="EGK100" s="142"/>
      <c r="EGL100" s="142"/>
      <c r="EGM100" s="142"/>
      <c r="EGN100" s="142"/>
      <c r="EGO100" s="142"/>
      <c r="EGP100" s="142"/>
      <c r="EGQ100" s="142"/>
      <c r="EGR100" s="142"/>
      <c r="EGS100" s="142"/>
      <c r="EGT100" s="142"/>
      <c r="EGU100" s="142"/>
      <c r="EGV100" s="142"/>
      <c r="EGW100" s="142"/>
      <c r="EGX100" s="142"/>
      <c r="EGY100" s="142"/>
      <c r="EGZ100" s="142"/>
      <c r="EHA100" s="142"/>
      <c r="EHB100" s="142"/>
      <c r="EHC100" s="142"/>
      <c r="EHD100" s="142"/>
      <c r="EHE100" s="142"/>
      <c r="EHF100" s="142"/>
      <c r="EHG100" s="142"/>
      <c r="EHH100" s="142"/>
      <c r="EHI100" s="142"/>
      <c r="EHJ100" s="142"/>
      <c r="EHK100" s="142"/>
      <c r="EHL100" s="142"/>
      <c r="EHM100" s="142"/>
      <c r="EHN100" s="142"/>
      <c r="EHO100" s="142"/>
      <c r="EHP100" s="142"/>
      <c r="EHQ100" s="142"/>
      <c r="EHR100" s="142"/>
      <c r="EHS100" s="142"/>
      <c r="EHT100" s="142"/>
      <c r="EHU100" s="142"/>
      <c r="EHV100" s="142"/>
      <c r="EHW100" s="142"/>
      <c r="EHX100" s="142"/>
      <c r="EHY100" s="142"/>
      <c r="EHZ100" s="142"/>
      <c r="EIA100" s="142"/>
      <c r="EIB100" s="142"/>
      <c r="EIC100" s="142"/>
      <c r="EID100" s="142"/>
      <c r="EIE100" s="142"/>
      <c r="EIF100" s="142"/>
      <c r="EIG100" s="142"/>
      <c r="EIH100" s="142"/>
      <c r="EII100" s="142"/>
      <c r="EIJ100" s="142"/>
      <c r="EIK100" s="142"/>
      <c r="EIL100" s="142"/>
      <c r="EIM100" s="142"/>
      <c r="EIN100" s="142"/>
      <c r="EIO100" s="142"/>
      <c r="EIP100" s="142"/>
      <c r="EIQ100" s="142"/>
      <c r="EIR100" s="142"/>
      <c r="EIS100" s="142"/>
      <c r="EIT100" s="142"/>
      <c r="EIU100" s="142"/>
      <c r="EIV100" s="142"/>
      <c r="EIW100" s="142"/>
      <c r="EIX100" s="142"/>
      <c r="EIY100" s="142"/>
      <c r="EIZ100" s="142"/>
      <c r="EJA100" s="142"/>
      <c r="EJB100" s="142"/>
      <c r="EJC100" s="142"/>
      <c r="EJD100" s="142"/>
      <c r="EJE100" s="142"/>
      <c r="EJF100" s="142"/>
      <c r="EJG100" s="142"/>
      <c r="EJH100" s="142"/>
      <c r="EJI100" s="142"/>
      <c r="EJJ100" s="142"/>
      <c r="EJK100" s="142"/>
      <c r="EJL100" s="142"/>
      <c r="EJM100" s="142"/>
      <c r="EJN100" s="142"/>
      <c r="EJO100" s="142"/>
      <c r="EJP100" s="142"/>
      <c r="EJQ100" s="142"/>
      <c r="EJR100" s="142"/>
      <c r="EJS100" s="142"/>
      <c r="EJT100" s="142"/>
      <c r="EJU100" s="142"/>
      <c r="EJV100" s="142"/>
      <c r="EJW100" s="142"/>
      <c r="EJX100" s="142"/>
      <c r="EJY100" s="142"/>
      <c r="EJZ100" s="142"/>
      <c r="EKA100" s="142"/>
      <c r="EKB100" s="142"/>
      <c r="EKC100" s="142"/>
      <c r="EKD100" s="142"/>
      <c r="EKE100" s="142"/>
      <c r="EKF100" s="142"/>
      <c r="EKG100" s="142"/>
      <c r="EKH100" s="142"/>
      <c r="EKI100" s="142"/>
      <c r="EKJ100" s="142"/>
      <c r="EKK100" s="142"/>
      <c r="EKL100" s="142"/>
      <c r="EKM100" s="142"/>
      <c r="EKN100" s="142"/>
      <c r="EKO100" s="142"/>
      <c r="EKP100" s="142"/>
      <c r="EKQ100" s="142"/>
      <c r="EKR100" s="142"/>
      <c r="EKS100" s="142"/>
      <c r="EKT100" s="142"/>
      <c r="EKU100" s="142"/>
      <c r="EKV100" s="142"/>
      <c r="EKW100" s="142"/>
      <c r="EKX100" s="142"/>
      <c r="EKY100" s="142"/>
      <c r="EKZ100" s="142"/>
      <c r="ELA100" s="142"/>
      <c r="ELB100" s="142"/>
      <c r="ELC100" s="142"/>
      <c r="ELD100" s="142"/>
      <c r="ELE100" s="142"/>
      <c r="ELF100" s="142"/>
      <c r="ELG100" s="142"/>
      <c r="ELH100" s="142"/>
      <c r="ELI100" s="142"/>
      <c r="ELJ100" s="142"/>
      <c r="ELK100" s="142"/>
      <c r="ELL100" s="142"/>
      <c r="ELM100" s="142"/>
      <c r="ELN100" s="142"/>
      <c r="ELO100" s="142"/>
      <c r="ELP100" s="142"/>
      <c r="ELQ100" s="142"/>
      <c r="ELR100" s="142"/>
      <c r="ELS100" s="142"/>
      <c r="ELT100" s="142"/>
      <c r="ELU100" s="142"/>
      <c r="ELV100" s="142"/>
      <c r="ELW100" s="142"/>
      <c r="ELX100" s="142"/>
      <c r="ELY100" s="142"/>
      <c r="ELZ100" s="142"/>
      <c r="EMA100" s="142"/>
      <c r="EMB100" s="142"/>
      <c r="EMC100" s="142"/>
      <c r="EMD100" s="142"/>
      <c r="EME100" s="142"/>
      <c r="EMF100" s="142"/>
      <c r="EMG100" s="142"/>
      <c r="EMH100" s="142"/>
      <c r="EMI100" s="142"/>
      <c r="EMJ100" s="142"/>
      <c r="EMK100" s="142"/>
      <c r="EML100" s="142"/>
      <c r="EMM100" s="142"/>
      <c r="EMN100" s="142"/>
      <c r="EMO100" s="142"/>
      <c r="EMP100" s="142"/>
      <c r="EMQ100" s="142"/>
      <c r="EMR100" s="142"/>
      <c r="EMS100" s="142"/>
      <c r="EMT100" s="142"/>
      <c r="EMU100" s="142"/>
      <c r="EMV100" s="142"/>
      <c r="EMW100" s="142"/>
      <c r="EMX100" s="142"/>
      <c r="EMY100" s="142"/>
      <c r="EMZ100" s="142"/>
      <c r="ENA100" s="142"/>
      <c r="ENB100" s="142"/>
      <c r="ENC100" s="142"/>
      <c r="END100" s="142"/>
      <c r="ENE100" s="142"/>
      <c r="ENF100" s="142"/>
      <c r="ENG100" s="142"/>
      <c r="ENH100" s="142"/>
      <c r="ENI100" s="142"/>
      <c r="ENJ100" s="142"/>
      <c r="ENK100" s="142"/>
      <c r="ENL100" s="142"/>
      <c r="ENM100" s="142"/>
      <c r="ENN100" s="142"/>
      <c r="ENO100" s="142"/>
      <c r="ENP100" s="142"/>
      <c r="ENQ100" s="142"/>
      <c r="ENR100" s="142"/>
      <c r="ENS100" s="142"/>
      <c r="ENT100" s="142"/>
      <c r="ENU100" s="142"/>
      <c r="ENV100" s="142"/>
      <c r="ENW100" s="142"/>
      <c r="ENX100" s="142"/>
      <c r="ENY100" s="142"/>
      <c r="ENZ100" s="142"/>
      <c r="EOA100" s="142"/>
      <c r="EOB100" s="142"/>
      <c r="EOC100" s="142"/>
      <c r="EOD100" s="142"/>
      <c r="EOE100" s="142"/>
      <c r="EOF100" s="142"/>
      <c r="EOG100" s="142"/>
      <c r="EOH100" s="142"/>
      <c r="EOI100" s="142"/>
      <c r="EOJ100" s="142"/>
      <c r="EOK100" s="142"/>
      <c r="EOL100" s="142"/>
      <c r="EOM100" s="142"/>
      <c r="EON100" s="142"/>
      <c r="EOO100" s="142"/>
      <c r="EOP100" s="142"/>
      <c r="EOQ100" s="142"/>
      <c r="EOR100" s="142"/>
      <c r="EOS100" s="142"/>
      <c r="EOT100" s="142"/>
      <c r="EOU100" s="142"/>
      <c r="EOV100" s="142"/>
      <c r="EOW100" s="142"/>
      <c r="EOX100" s="142"/>
      <c r="EOY100" s="142"/>
      <c r="EOZ100" s="142"/>
      <c r="EPA100" s="142"/>
      <c r="EPB100" s="142"/>
      <c r="EPC100" s="142"/>
      <c r="EPD100" s="142"/>
      <c r="EPE100" s="142"/>
      <c r="EPF100" s="142"/>
      <c r="EPG100" s="142"/>
      <c r="EPH100" s="142"/>
      <c r="EPI100" s="142"/>
      <c r="EPJ100" s="142"/>
      <c r="EPK100" s="142"/>
      <c r="EPL100" s="142"/>
      <c r="EPM100" s="142"/>
      <c r="EPN100" s="142"/>
      <c r="EPO100" s="142"/>
      <c r="EPP100" s="142"/>
      <c r="EPQ100" s="142"/>
      <c r="EPR100" s="142"/>
      <c r="EPS100" s="142"/>
      <c r="EPT100" s="142"/>
      <c r="EPU100" s="142"/>
      <c r="EPV100" s="142"/>
      <c r="EPW100" s="142"/>
      <c r="EPX100" s="142"/>
      <c r="EPY100" s="142"/>
      <c r="EPZ100" s="142"/>
      <c r="EQA100" s="142"/>
      <c r="EQB100" s="142"/>
      <c r="EQC100" s="142"/>
      <c r="EQD100" s="142"/>
      <c r="EQE100" s="142"/>
      <c r="EQF100" s="142"/>
      <c r="EQG100" s="142"/>
      <c r="EQH100" s="142"/>
      <c r="EQI100" s="142"/>
      <c r="EQJ100" s="142"/>
      <c r="EQK100" s="142"/>
      <c r="EQL100" s="142"/>
      <c r="EQM100" s="142"/>
      <c r="EQN100" s="142"/>
      <c r="EQO100" s="142"/>
      <c r="EQP100" s="142"/>
      <c r="EQQ100" s="142"/>
      <c r="EQR100" s="142"/>
      <c r="EQS100" s="142"/>
      <c r="EQT100" s="142"/>
      <c r="EQU100" s="142"/>
      <c r="EQV100" s="142"/>
      <c r="EQW100" s="142"/>
      <c r="EQX100" s="142"/>
      <c r="EQY100" s="142"/>
      <c r="EQZ100" s="142"/>
      <c r="ERA100" s="142"/>
      <c r="ERB100" s="142"/>
      <c r="ERC100" s="142"/>
      <c r="ERD100" s="142"/>
      <c r="ERE100" s="142"/>
      <c r="ERF100" s="142"/>
      <c r="ERG100" s="142"/>
      <c r="ERH100" s="142"/>
      <c r="ERI100" s="142"/>
      <c r="ERJ100" s="142"/>
      <c r="ERK100" s="142"/>
      <c r="ERL100" s="142"/>
      <c r="ERM100" s="142"/>
      <c r="ERN100" s="142"/>
      <c r="ERO100" s="142"/>
      <c r="ERP100" s="142"/>
      <c r="ERQ100" s="142"/>
      <c r="ERR100" s="142"/>
      <c r="ERS100" s="142"/>
      <c r="ERT100" s="142"/>
      <c r="ERU100" s="142"/>
      <c r="ERV100" s="142"/>
      <c r="ERW100" s="142"/>
      <c r="ERX100" s="142"/>
      <c r="ERY100" s="142"/>
      <c r="ERZ100" s="142"/>
      <c r="ESA100" s="142"/>
      <c r="ESB100" s="142"/>
      <c r="ESC100" s="142"/>
      <c r="ESD100" s="142"/>
      <c r="ESE100" s="142"/>
      <c r="ESF100" s="142"/>
      <c r="ESG100" s="142"/>
      <c r="ESH100" s="142"/>
      <c r="ESI100" s="142"/>
      <c r="ESJ100" s="142"/>
      <c r="ESK100" s="142"/>
      <c r="ESL100" s="142"/>
      <c r="ESM100" s="142"/>
      <c r="ESN100" s="142"/>
      <c r="ESO100" s="142"/>
      <c r="ESP100" s="142"/>
      <c r="ESQ100" s="142"/>
      <c r="ESR100" s="142"/>
      <c r="ESS100" s="142"/>
      <c r="EST100" s="142"/>
      <c r="ESU100" s="142"/>
      <c r="ESV100" s="142"/>
      <c r="ESW100" s="142"/>
      <c r="ESX100" s="142"/>
      <c r="ESY100" s="142"/>
      <c r="ESZ100" s="142"/>
      <c r="ETA100" s="142"/>
      <c r="ETB100" s="142"/>
      <c r="ETC100" s="142"/>
      <c r="ETD100" s="142"/>
      <c r="ETE100" s="142"/>
      <c r="ETF100" s="142"/>
      <c r="ETG100" s="142"/>
      <c r="ETH100" s="142"/>
      <c r="ETI100" s="142"/>
      <c r="ETJ100" s="142"/>
      <c r="ETK100" s="142"/>
      <c r="ETL100" s="142"/>
      <c r="ETM100" s="142"/>
      <c r="ETN100" s="142"/>
      <c r="ETO100" s="142"/>
      <c r="ETP100" s="142"/>
      <c r="ETQ100" s="142"/>
      <c r="ETR100" s="142"/>
      <c r="ETS100" s="142"/>
      <c r="ETT100" s="142"/>
      <c r="ETU100" s="142"/>
      <c r="ETV100" s="142"/>
      <c r="ETW100" s="142"/>
      <c r="ETX100" s="142"/>
      <c r="ETY100" s="142"/>
      <c r="ETZ100" s="142"/>
      <c r="EUA100" s="142"/>
      <c r="EUB100" s="142"/>
      <c r="EUC100" s="142"/>
      <c r="EUD100" s="142"/>
      <c r="EUE100" s="142"/>
      <c r="EUF100" s="142"/>
      <c r="EUG100" s="142"/>
      <c r="EUH100" s="142"/>
      <c r="EUI100" s="142"/>
      <c r="EUJ100" s="142"/>
      <c r="EUK100" s="142"/>
      <c r="EUL100" s="142"/>
      <c r="EUM100" s="142"/>
      <c r="EUN100" s="142"/>
      <c r="EUO100" s="142"/>
      <c r="EUP100" s="142"/>
      <c r="EUQ100" s="142"/>
      <c r="EUR100" s="142"/>
      <c r="EUS100" s="142"/>
      <c r="EUT100" s="142"/>
      <c r="EUU100" s="142"/>
      <c r="EUV100" s="142"/>
      <c r="EUW100" s="142"/>
      <c r="EUX100" s="142"/>
      <c r="EUY100" s="142"/>
      <c r="EUZ100" s="142"/>
      <c r="EVA100" s="142"/>
      <c r="EVB100" s="142"/>
      <c r="EVC100" s="142"/>
      <c r="EVD100" s="142"/>
      <c r="EVE100" s="142"/>
      <c r="EVF100" s="142"/>
      <c r="EVG100" s="142"/>
      <c r="EVH100" s="142"/>
      <c r="EVI100" s="142"/>
      <c r="EVJ100" s="142"/>
      <c r="EVK100" s="142"/>
      <c r="EVL100" s="142"/>
      <c r="EVM100" s="142"/>
      <c r="EVN100" s="142"/>
      <c r="EVO100" s="142"/>
      <c r="EVP100" s="142"/>
      <c r="EVQ100" s="142"/>
      <c r="EVR100" s="142"/>
      <c r="EVS100" s="142"/>
      <c r="EVT100" s="142"/>
      <c r="EVU100" s="142"/>
      <c r="EVV100" s="142"/>
      <c r="EVW100" s="142"/>
      <c r="EVX100" s="142"/>
      <c r="EVY100" s="142"/>
      <c r="EVZ100" s="142"/>
      <c r="EWA100" s="142"/>
      <c r="EWB100" s="142"/>
      <c r="EWC100" s="142"/>
      <c r="EWD100" s="142"/>
      <c r="EWE100" s="142"/>
      <c r="EWF100" s="142"/>
      <c r="EWG100" s="142"/>
      <c r="EWH100" s="142"/>
      <c r="EWI100" s="142"/>
      <c r="EWJ100" s="142"/>
      <c r="EWK100" s="142"/>
      <c r="EWL100" s="142"/>
      <c r="EWM100" s="142"/>
      <c r="EWN100" s="142"/>
      <c r="EWO100" s="142"/>
      <c r="EWP100" s="142"/>
      <c r="EWQ100" s="142"/>
      <c r="EWR100" s="142"/>
      <c r="EWS100" s="142"/>
      <c r="EWT100" s="142"/>
      <c r="EWU100" s="142"/>
      <c r="EWV100" s="142"/>
      <c r="EWW100" s="142"/>
      <c r="EWX100" s="142"/>
      <c r="EWY100" s="142"/>
      <c r="EWZ100" s="142"/>
      <c r="EXA100" s="142"/>
      <c r="EXB100" s="142"/>
      <c r="EXC100" s="142"/>
      <c r="EXD100" s="142"/>
      <c r="EXE100" s="142"/>
      <c r="EXF100" s="142"/>
      <c r="EXG100" s="142"/>
      <c r="EXH100" s="142"/>
      <c r="EXI100" s="142"/>
      <c r="EXJ100" s="142"/>
      <c r="EXK100" s="142"/>
      <c r="EXL100" s="142"/>
      <c r="EXM100" s="142"/>
      <c r="EXN100" s="142"/>
      <c r="EXO100" s="142"/>
      <c r="EXP100" s="142"/>
      <c r="EXQ100" s="142"/>
      <c r="EXR100" s="142"/>
      <c r="EXS100" s="142"/>
      <c r="EXT100" s="142"/>
      <c r="EXU100" s="142"/>
      <c r="EXV100" s="142"/>
      <c r="EXW100" s="142"/>
      <c r="EXX100" s="142"/>
      <c r="EXY100" s="142"/>
      <c r="EXZ100" s="142"/>
      <c r="EYA100" s="142"/>
      <c r="EYB100" s="142"/>
      <c r="EYC100" s="142"/>
      <c r="EYD100" s="142"/>
      <c r="EYE100" s="142"/>
      <c r="EYF100" s="142"/>
      <c r="EYG100" s="142"/>
      <c r="EYH100" s="142"/>
      <c r="EYI100" s="142"/>
      <c r="EYJ100" s="142"/>
      <c r="EYK100" s="142"/>
      <c r="EYL100" s="142"/>
      <c r="EYM100" s="142"/>
      <c r="EYN100" s="142"/>
      <c r="EYO100" s="142"/>
      <c r="EYP100" s="142"/>
      <c r="EYQ100" s="142"/>
      <c r="EYR100" s="142"/>
      <c r="EYS100" s="142"/>
      <c r="EYT100" s="142"/>
      <c r="EYU100" s="142"/>
      <c r="EYV100" s="142"/>
      <c r="EYW100" s="142"/>
      <c r="EYX100" s="142"/>
      <c r="EYY100" s="142"/>
      <c r="EYZ100" s="142"/>
      <c r="EZA100" s="142"/>
      <c r="EZB100" s="142"/>
      <c r="EZC100" s="142"/>
      <c r="EZD100" s="142"/>
      <c r="EZE100" s="142"/>
      <c r="EZF100" s="142"/>
      <c r="EZG100" s="142"/>
      <c r="EZH100" s="142"/>
      <c r="EZI100" s="142"/>
      <c r="EZJ100" s="142"/>
      <c r="EZK100" s="142"/>
      <c r="EZL100" s="142"/>
      <c r="EZM100" s="142"/>
      <c r="EZN100" s="142"/>
      <c r="EZO100" s="142"/>
      <c r="EZP100" s="142"/>
      <c r="EZQ100" s="142"/>
      <c r="EZR100" s="142"/>
      <c r="EZS100" s="142"/>
      <c r="EZT100" s="142"/>
      <c r="EZU100" s="142"/>
      <c r="EZV100" s="142"/>
      <c r="EZW100" s="142"/>
      <c r="EZX100" s="142"/>
      <c r="EZY100" s="142"/>
      <c r="EZZ100" s="142"/>
      <c r="FAA100" s="142"/>
      <c r="FAB100" s="142"/>
      <c r="FAC100" s="142"/>
      <c r="FAD100" s="142"/>
      <c r="FAE100" s="142"/>
      <c r="FAF100" s="142"/>
      <c r="FAG100" s="142"/>
      <c r="FAH100" s="142"/>
      <c r="FAI100" s="142"/>
      <c r="FAJ100" s="142"/>
      <c r="FAK100" s="142"/>
      <c r="FAL100" s="142"/>
      <c r="FAM100" s="142"/>
      <c r="FAN100" s="142"/>
      <c r="FAO100" s="142"/>
      <c r="FAP100" s="142"/>
      <c r="FAQ100" s="142"/>
      <c r="FAR100" s="142"/>
      <c r="FAS100" s="142"/>
      <c r="FAT100" s="142"/>
      <c r="FAU100" s="142"/>
      <c r="FAV100" s="142"/>
      <c r="FAW100" s="142"/>
      <c r="FAX100" s="142"/>
      <c r="FAY100" s="142"/>
      <c r="FAZ100" s="142"/>
      <c r="FBA100" s="142"/>
      <c r="FBB100" s="142"/>
      <c r="FBC100" s="142"/>
      <c r="FBD100" s="142"/>
      <c r="FBE100" s="142"/>
      <c r="FBF100" s="142"/>
      <c r="FBG100" s="142"/>
      <c r="FBH100" s="142"/>
      <c r="FBI100" s="142"/>
      <c r="FBJ100" s="142"/>
      <c r="FBK100" s="142"/>
      <c r="FBL100" s="142"/>
      <c r="FBM100" s="142"/>
      <c r="FBN100" s="142"/>
      <c r="FBO100" s="142"/>
      <c r="FBP100" s="142"/>
      <c r="FBQ100" s="142"/>
      <c r="FBR100" s="142"/>
      <c r="FBS100" s="142"/>
      <c r="FBT100" s="142"/>
      <c r="FBU100" s="142"/>
      <c r="FBV100" s="142"/>
      <c r="FBW100" s="142"/>
      <c r="FBX100" s="142"/>
      <c r="FBY100" s="142"/>
      <c r="FBZ100" s="142"/>
      <c r="FCA100" s="142"/>
      <c r="FCB100" s="142"/>
      <c r="FCC100" s="142"/>
      <c r="FCD100" s="142"/>
      <c r="FCE100" s="142"/>
      <c r="FCF100" s="142"/>
      <c r="FCG100" s="142"/>
      <c r="FCH100" s="142"/>
      <c r="FCI100" s="142"/>
      <c r="FCJ100" s="142"/>
      <c r="FCK100" s="142"/>
      <c r="FCL100" s="142"/>
      <c r="FCM100" s="142"/>
      <c r="FCN100" s="142"/>
      <c r="FCO100" s="142"/>
      <c r="FCP100" s="142"/>
      <c r="FCQ100" s="142"/>
      <c r="FCR100" s="142"/>
      <c r="FCS100" s="142"/>
      <c r="FCT100" s="142"/>
      <c r="FCU100" s="142"/>
      <c r="FCV100" s="142"/>
      <c r="FCW100" s="142"/>
      <c r="FCX100" s="142"/>
      <c r="FCY100" s="142"/>
      <c r="FCZ100" s="142"/>
      <c r="FDA100" s="142"/>
      <c r="FDB100" s="142"/>
      <c r="FDC100" s="142"/>
      <c r="FDD100" s="142"/>
      <c r="FDE100" s="142"/>
      <c r="FDF100" s="142"/>
      <c r="FDG100" s="142"/>
      <c r="FDH100" s="142"/>
      <c r="FDI100" s="142"/>
      <c r="FDJ100" s="142"/>
      <c r="FDK100" s="142"/>
      <c r="FDL100" s="142"/>
      <c r="FDM100" s="142"/>
      <c r="FDN100" s="142"/>
      <c r="FDO100" s="142"/>
      <c r="FDP100" s="142"/>
      <c r="FDQ100" s="142"/>
      <c r="FDR100" s="142"/>
      <c r="FDS100" s="142"/>
      <c r="FDT100" s="142"/>
      <c r="FDU100" s="142"/>
      <c r="FDV100" s="142"/>
      <c r="FDW100" s="142"/>
      <c r="FDX100" s="142"/>
      <c r="FDY100" s="142"/>
      <c r="FDZ100" s="142"/>
      <c r="FEA100" s="142"/>
      <c r="FEB100" s="142"/>
      <c r="FEC100" s="142"/>
      <c r="FED100" s="142"/>
      <c r="FEE100" s="142"/>
      <c r="FEF100" s="142"/>
      <c r="FEG100" s="142"/>
      <c r="FEH100" s="142"/>
      <c r="FEI100" s="142"/>
      <c r="FEJ100" s="142"/>
      <c r="FEK100" s="142"/>
      <c r="FEL100" s="142"/>
      <c r="FEM100" s="142"/>
      <c r="FEN100" s="142"/>
      <c r="FEO100" s="142"/>
      <c r="FEP100" s="142"/>
      <c r="FEQ100" s="142"/>
      <c r="FER100" s="142"/>
      <c r="FES100" s="142"/>
      <c r="FET100" s="142"/>
      <c r="FEU100" s="142"/>
      <c r="FEV100" s="142"/>
      <c r="FEW100" s="142"/>
      <c r="FEX100" s="142"/>
      <c r="FEY100" s="142"/>
      <c r="FEZ100" s="142"/>
      <c r="FFA100" s="142"/>
      <c r="FFB100" s="142"/>
      <c r="FFC100" s="142"/>
      <c r="FFD100" s="142"/>
      <c r="FFE100" s="142"/>
      <c r="FFF100" s="142"/>
      <c r="FFG100" s="142"/>
      <c r="FFH100" s="142"/>
      <c r="FFI100" s="142"/>
      <c r="FFJ100" s="142"/>
      <c r="FFK100" s="142"/>
      <c r="FFL100" s="142"/>
      <c r="FFM100" s="142"/>
      <c r="FFN100" s="142"/>
      <c r="FFO100" s="142"/>
      <c r="FFP100" s="142"/>
      <c r="FFQ100" s="142"/>
      <c r="FFR100" s="142"/>
      <c r="FFS100" s="142"/>
      <c r="FFT100" s="142"/>
      <c r="FFU100" s="142"/>
      <c r="FFV100" s="142"/>
      <c r="FFW100" s="142"/>
      <c r="FFX100" s="142"/>
      <c r="FFY100" s="142"/>
      <c r="FFZ100" s="142"/>
      <c r="FGA100" s="142"/>
      <c r="FGB100" s="142"/>
      <c r="FGC100" s="142"/>
      <c r="FGD100" s="142"/>
      <c r="FGE100" s="142"/>
      <c r="FGF100" s="142"/>
      <c r="FGG100" s="142"/>
      <c r="FGH100" s="142"/>
      <c r="FGI100" s="142"/>
      <c r="FGJ100" s="142"/>
      <c r="FGK100" s="142"/>
      <c r="FGL100" s="142"/>
      <c r="FGM100" s="142"/>
      <c r="FGN100" s="142"/>
      <c r="FGO100" s="142"/>
      <c r="FGP100" s="142"/>
      <c r="FGQ100" s="142"/>
      <c r="FGR100" s="142"/>
      <c r="FGS100" s="142"/>
      <c r="FGT100" s="142"/>
      <c r="FGU100" s="142"/>
      <c r="FGV100" s="142"/>
      <c r="FGW100" s="142"/>
      <c r="FGX100" s="142"/>
      <c r="FGY100" s="142"/>
      <c r="FGZ100" s="142"/>
      <c r="FHA100" s="142"/>
      <c r="FHB100" s="142"/>
      <c r="FHC100" s="142"/>
      <c r="FHD100" s="142"/>
      <c r="FHE100" s="142"/>
      <c r="FHF100" s="142"/>
      <c r="FHG100" s="142"/>
      <c r="FHH100" s="142"/>
      <c r="FHI100" s="142"/>
      <c r="FHJ100" s="142"/>
      <c r="FHK100" s="142"/>
      <c r="FHL100" s="142"/>
      <c r="FHM100" s="142"/>
      <c r="FHN100" s="142"/>
      <c r="FHO100" s="142"/>
      <c r="FHP100" s="142"/>
      <c r="FHQ100" s="142"/>
      <c r="FHR100" s="142"/>
      <c r="FHS100" s="142"/>
      <c r="FHT100" s="142"/>
      <c r="FHU100" s="142"/>
      <c r="FHV100" s="142"/>
      <c r="FHW100" s="142"/>
      <c r="FHX100" s="142"/>
      <c r="FHY100" s="142"/>
      <c r="FHZ100" s="142"/>
      <c r="FIA100" s="142"/>
      <c r="FIB100" s="142"/>
      <c r="FIC100" s="142"/>
      <c r="FID100" s="142"/>
      <c r="FIE100" s="142"/>
      <c r="FIF100" s="142"/>
      <c r="FIG100" s="142"/>
      <c r="FIH100" s="142"/>
      <c r="FII100" s="142"/>
      <c r="FIJ100" s="142"/>
      <c r="FIK100" s="142"/>
      <c r="FIL100" s="142"/>
      <c r="FIM100" s="142"/>
      <c r="FIN100" s="142"/>
      <c r="FIO100" s="142"/>
      <c r="FIP100" s="142"/>
      <c r="FIQ100" s="142"/>
      <c r="FIR100" s="142"/>
      <c r="FIS100" s="142"/>
      <c r="FIT100" s="142"/>
      <c r="FIU100" s="142"/>
      <c r="FIV100" s="142"/>
      <c r="FIW100" s="142"/>
      <c r="FIX100" s="142"/>
      <c r="FIY100" s="142"/>
      <c r="FIZ100" s="142"/>
      <c r="FJA100" s="142"/>
      <c r="FJB100" s="142"/>
      <c r="FJC100" s="142"/>
      <c r="FJD100" s="142"/>
      <c r="FJE100" s="142"/>
      <c r="FJF100" s="142"/>
      <c r="FJG100" s="142"/>
      <c r="FJH100" s="142"/>
      <c r="FJI100" s="142"/>
      <c r="FJJ100" s="142"/>
      <c r="FJK100" s="142"/>
      <c r="FJL100" s="142"/>
      <c r="FJM100" s="142"/>
      <c r="FJN100" s="142"/>
      <c r="FJO100" s="142"/>
      <c r="FJP100" s="142"/>
      <c r="FJQ100" s="142"/>
      <c r="FJR100" s="142"/>
      <c r="FJS100" s="142"/>
      <c r="FJT100" s="142"/>
      <c r="FJU100" s="142"/>
      <c r="FJV100" s="142"/>
      <c r="FJW100" s="142"/>
      <c r="FJX100" s="142"/>
      <c r="FJY100" s="142"/>
      <c r="FJZ100" s="142"/>
      <c r="FKA100" s="142"/>
      <c r="FKB100" s="142"/>
      <c r="FKC100" s="142"/>
      <c r="FKD100" s="142"/>
      <c r="FKE100" s="142"/>
      <c r="FKF100" s="142"/>
      <c r="FKG100" s="142"/>
      <c r="FKH100" s="142"/>
      <c r="FKI100" s="142"/>
      <c r="FKJ100" s="142"/>
      <c r="FKK100" s="142"/>
      <c r="FKL100" s="142"/>
      <c r="FKM100" s="142"/>
      <c r="FKN100" s="142"/>
      <c r="FKO100" s="142"/>
      <c r="FKP100" s="142"/>
      <c r="FKQ100" s="142"/>
      <c r="FKR100" s="142"/>
      <c r="FKS100" s="142"/>
      <c r="FKT100" s="142"/>
      <c r="FKU100" s="142"/>
      <c r="FKV100" s="142"/>
      <c r="FKW100" s="142"/>
      <c r="FKX100" s="142"/>
      <c r="FKY100" s="142"/>
      <c r="FKZ100" s="142"/>
      <c r="FLA100" s="142"/>
      <c r="FLB100" s="142"/>
      <c r="FLC100" s="142"/>
      <c r="FLD100" s="142"/>
      <c r="FLE100" s="142"/>
      <c r="FLF100" s="142"/>
      <c r="FLG100" s="142"/>
      <c r="FLH100" s="142"/>
      <c r="FLI100" s="142"/>
      <c r="FLJ100" s="142"/>
      <c r="FLK100" s="142"/>
      <c r="FLL100" s="142"/>
      <c r="FLM100" s="142"/>
      <c r="FLN100" s="142"/>
      <c r="FLO100" s="142"/>
      <c r="FLP100" s="142"/>
      <c r="FLQ100" s="142"/>
      <c r="FLR100" s="142"/>
      <c r="FLS100" s="142"/>
      <c r="FLT100" s="142"/>
      <c r="FLU100" s="142"/>
      <c r="FLV100" s="142"/>
      <c r="FLW100" s="142"/>
      <c r="FLX100" s="142"/>
      <c r="FLY100" s="142"/>
      <c r="FLZ100" s="142"/>
      <c r="FMA100" s="142"/>
      <c r="FMB100" s="142"/>
      <c r="FMC100" s="142"/>
      <c r="FMD100" s="142"/>
      <c r="FME100" s="142"/>
      <c r="FMF100" s="142"/>
      <c r="FMG100" s="142"/>
      <c r="FMH100" s="142"/>
      <c r="FMI100" s="142"/>
      <c r="FMJ100" s="142"/>
      <c r="FMK100" s="142"/>
      <c r="FML100" s="142"/>
      <c r="FMM100" s="142"/>
      <c r="FMN100" s="142"/>
      <c r="FMO100" s="142"/>
      <c r="FMP100" s="142"/>
      <c r="FMQ100" s="142"/>
      <c r="FMR100" s="142"/>
      <c r="FMS100" s="142"/>
      <c r="FMT100" s="142"/>
      <c r="FMU100" s="142"/>
      <c r="FMV100" s="142"/>
      <c r="FMW100" s="142"/>
      <c r="FMX100" s="142"/>
      <c r="FMY100" s="142"/>
      <c r="FMZ100" s="142"/>
      <c r="FNA100" s="142"/>
      <c r="FNB100" s="142"/>
      <c r="FNC100" s="142"/>
      <c r="FND100" s="142"/>
      <c r="FNE100" s="142"/>
      <c r="FNF100" s="142"/>
      <c r="FNG100" s="142"/>
      <c r="FNH100" s="142"/>
      <c r="FNI100" s="142"/>
      <c r="FNJ100" s="142"/>
      <c r="FNK100" s="142"/>
      <c r="FNL100" s="142"/>
      <c r="FNM100" s="142"/>
      <c r="FNN100" s="142"/>
      <c r="FNO100" s="142"/>
      <c r="FNP100" s="142"/>
      <c r="FNQ100" s="142"/>
      <c r="FNR100" s="142"/>
      <c r="FNS100" s="142"/>
      <c r="FNT100" s="142"/>
      <c r="FNU100" s="142"/>
      <c r="FNV100" s="142"/>
      <c r="FNW100" s="142"/>
      <c r="FNX100" s="142"/>
      <c r="FNY100" s="142"/>
      <c r="FNZ100" s="142"/>
      <c r="FOA100" s="142"/>
      <c r="FOB100" s="142"/>
      <c r="FOC100" s="142"/>
      <c r="FOD100" s="142"/>
      <c r="FOE100" s="142"/>
      <c r="FOF100" s="142"/>
      <c r="FOG100" s="142"/>
      <c r="FOH100" s="142"/>
      <c r="FOI100" s="142"/>
      <c r="FOJ100" s="142"/>
      <c r="FOK100" s="142"/>
      <c r="FOL100" s="142"/>
      <c r="FOM100" s="142"/>
      <c r="FON100" s="142"/>
      <c r="FOO100" s="142"/>
      <c r="FOP100" s="142"/>
      <c r="FOQ100" s="142"/>
      <c r="FOR100" s="142"/>
      <c r="FOS100" s="142"/>
      <c r="FOT100" s="142"/>
      <c r="FOU100" s="142"/>
      <c r="FOV100" s="142"/>
      <c r="FOW100" s="142"/>
      <c r="FOX100" s="142"/>
      <c r="FOY100" s="142"/>
      <c r="FOZ100" s="142"/>
      <c r="FPA100" s="142"/>
      <c r="FPB100" s="142"/>
      <c r="FPC100" s="142"/>
      <c r="FPD100" s="142"/>
      <c r="FPE100" s="142"/>
      <c r="FPF100" s="142"/>
      <c r="FPG100" s="142"/>
      <c r="FPH100" s="142"/>
      <c r="FPI100" s="142"/>
      <c r="FPJ100" s="142"/>
      <c r="FPK100" s="142"/>
      <c r="FPL100" s="142"/>
      <c r="FPM100" s="142"/>
      <c r="FPN100" s="142"/>
      <c r="FPO100" s="142"/>
      <c r="FPP100" s="142"/>
      <c r="FPQ100" s="142"/>
      <c r="FPR100" s="142"/>
      <c r="FPS100" s="142"/>
      <c r="FPT100" s="142"/>
      <c r="FPU100" s="142"/>
      <c r="FPV100" s="142"/>
      <c r="FPW100" s="142"/>
      <c r="FPX100" s="142"/>
      <c r="FPY100" s="142"/>
      <c r="FPZ100" s="142"/>
      <c r="FQA100" s="142"/>
      <c r="FQB100" s="142"/>
      <c r="FQC100" s="142"/>
      <c r="FQD100" s="142"/>
      <c r="FQE100" s="142"/>
      <c r="FQF100" s="142"/>
      <c r="FQG100" s="142"/>
      <c r="FQH100" s="142"/>
      <c r="FQI100" s="142"/>
      <c r="FQJ100" s="142"/>
      <c r="FQK100" s="142"/>
      <c r="FQL100" s="142"/>
      <c r="FQM100" s="142"/>
      <c r="FQN100" s="142"/>
      <c r="FQO100" s="142"/>
      <c r="FQP100" s="142"/>
      <c r="FQQ100" s="142"/>
      <c r="FQR100" s="142"/>
      <c r="FQS100" s="142"/>
      <c r="FQT100" s="142"/>
      <c r="FQU100" s="142"/>
      <c r="FQV100" s="142"/>
      <c r="FQW100" s="142"/>
      <c r="FQX100" s="142"/>
      <c r="FQY100" s="142"/>
      <c r="FQZ100" s="142"/>
      <c r="FRA100" s="142"/>
      <c r="FRB100" s="142"/>
      <c r="FRC100" s="142"/>
      <c r="FRD100" s="142"/>
      <c r="FRE100" s="142"/>
      <c r="FRF100" s="142"/>
      <c r="FRG100" s="142"/>
      <c r="FRH100" s="142"/>
      <c r="FRI100" s="142"/>
      <c r="FRJ100" s="142"/>
      <c r="FRK100" s="142"/>
      <c r="FRL100" s="142"/>
      <c r="FRM100" s="142"/>
      <c r="FRN100" s="142"/>
      <c r="FRO100" s="142"/>
      <c r="FRP100" s="142"/>
      <c r="FRQ100" s="142"/>
      <c r="FRR100" s="142"/>
      <c r="FRS100" s="142"/>
      <c r="FRT100" s="142"/>
      <c r="FRU100" s="142"/>
      <c r="FRV100" s="142"/>
      <c r="FRW100" s="142"/>
      <c r="FRX100" s="142"/>
      <c r="FRY100" s="142"/>
      <c r="FRZ100" s="142"/>
      <c r="FSA100" s="142"/>
      <c r="FSB100" s="142"/>
      <c r="FSC100" s="142"/>
      <c r="FSD100" s="142"/>
      <c r="FSE100" s="142"/>
      <c r="FSF100" s="142"/>
      <c r="FSG100" s="142"/>
      <c r="FSH100" s="142"/>
      <c r="FSI100" s="142"/>
      <c r="FSJ100" s="142"/>
      <c r="FSK100" s="142"/>
      <c r="FSL100" s="142"/>
      <c r="FSM100" s="142"/>
      <c r="FSN100" s="142"/>
      <c r="FSO100" s="142"/>
      <c r="FSP100" s="142"/>
      <c r="FSQ100" s="142"/>
      <c r="FSR100" s="142"/>
      <c r="FSS100" s="142"/>
      <c r="FST100" s="142"/>
      <c r="FSU100" s="142"/>
      <c r="FSV100" s="142"/>
      <c r="FSW100" s="142"/>
      <c r="FSX100" s="142"/>
      <c r="FSY100" s="142"/>
      <c r="FSZ100" s="142"/>
      <c r="FTA100" s="142"/>
      <c r="FTB100" s="142"/>
      <c r="FTC100" s="142"/>
      <c r="FTD100" s="142"/>
      <c r="FTE100" s="142"/>
      <c r="FTF100" s="142"/>
      <c r="FTG100" s="142"/>
      <c r="FTH100" s="142"/>
      <c r="FTI100" s="142"/>
      <c r="FTJ100" s="142"/>
      <c r="FTK100" s="142"/>
      <c r="FTL100" s="142"/>
      <c r="FTM100" s="142"/>
      <c r="FTN100" s="142"/>
      <c r="FTO100" s="142"/>
      <c r="FTP100" s="142"/>
      <c r="FTQ100" s="142"/>
      <c r="FTR100" s="142"/>
      <c r="FTS100" s="142"/>
      <c r="FTT100" s="142"/>
      <c r="FTU100" s="142"/>
      <c r="FTV100" s="142"/>
      <c r="FTW100" s="142"/>
      <c r="FTX100" s="142"/>
      <c r="FTY100" s="142"/>
      <c r="FTZ100" s="142"/>
      <c r="FUA100" s="142"/>
      <c r="FUB100" s="142"/>
      <c r="FUC100" s="142"/>
      <c r="FUD100" s="142"/>
      <c r="FUE100" s="142"/>
      <c r="FUF100" s="142"/>
      <c r="FUG100" s="142"/>
      <c r="FUH100" s="142"/>
      <c r="FUI100" s="142"/>
      <c r="FUJ100" s="142"/>
      <c r="FUK100" s="142"/>
      <c r="FUL100" s="142"/>
      <c r="FUM100" s="142"/>
      <c r="FUN100" s="142"/>
      <c r="FUO100" s="142"/>
      <c r="FUP100" s="142"/>
      <c r="FUQ100" s="142"/>
      <c r="FUR100" s="142"/>
      <c r="FUS100" s="142"/>
      <c r="FUT100" s="142"/>
      <c r="FUU100" s="142"/>
      <c r="FUV100" s="142"/>
      <c r="FUW100" s="142"/>
      <c r="FUX100" s="142"/>
      <c r="FUY100" s="142"/>
      <c r="FUZ100" s="142"/>
      <c r="FVA100" s="142"/>
      <c r="FVB100" s="142"/>
      <c r="FVC100" s="142"/>
      <c r="FVD100" s="142"/>
      <c r="FVE100" s="142"/>
      <c r="FVF100" s="142"/>
      <c r="FVG100" s="142"/>
      <c r="FVH100" s="142"/>
      <c r="FVI100" s="142"/>
      <c r="FVJ100" s="142"/>
      <c r="FVK100" s="142"/>
      <c r="FVL100" s="142"/>
      <c r="FVM100" s="142"/>
      <c r="FVN100" s="142"/>
      <c r="FVO100" s="142"/>
      <c r="FVP100" s="142"/>
      <c r="FVQ100" s="142"/>
      <c r="FVR100" s="142"/>
      <c r="FVS100" s="142"/>
      <c r="FVT100" s="142"/>
      <c r="FVU100" s="142"/>
      <c r="FVV100" s="142"/>
      <c r="FVW100" s="142"/>
      <c r="FVX100" s="142"/>
      <c r="FVY100" s="142"/>
      <c r="FVZ100" s="142"/>
      <c r="FWA100" s="142"/>
      <c r="FWB100" s="142"/>
      <c r="FWC100" s="142"/>
      <c r="FWD100" s="142"/>
      <c r="FWE100" s="142"/>
      <c r="FWF100" s="142"/>
      <c r="FWG100" s="142"/>
      <c r="FWH100" s="142"/>
      <c r="FWI100" s="142"/>
      <c r="FWJ100" s="142"/>
      <c r="FWK100" s="142"/>
      <c r="FWL100" s="142"/>
      <c r="FWM100" s="142"/>
      <c r="FWN100" s="142"/>
      <c r="FWO100" s="142"/>
      <c r="FWP100" s="142"/>
      <c r="FWQ100" s="142"/>
      <c r="FWR100" s="142"/>
      <c r="FWS100" s="142"/>
      <c r="FWT100" s="142"/>
      <c r="FWU100" s="142"/>
      <c r="FWV100" s="142"/>
      <c r="FWW100" s="142"/>
      <c r="FWX100" s="142"/>
      <c r="FWY100" s="142"/>
      <c r="FWZ100" s="142"/>
      <c r="FXA100" s="142"/>
      <c r="FXB100" s="142"/>
      <c r="FXC100" s="142"/>
      <c r="FXD100" s="142"/>
      <c r="FXE100" s="142"/>
      <c r="FXF100" s="142"/>
      <c r="FXG100" s="142"/>
      <c r="FXH100" s="142"/>
      <c r="FXI100" s="142"/>
      <c r="FXJ100" s="142"/>
      <c r="FXK100" s="142"/>
      <c r="FXL100" s="142"/>
      <c r="FXM100" s="142"/>
      <c r="FXN100" s="142"/>
      <c r="FXO100" s="142"/>
      <c r="FXP100" s="142"/>
      <c r="FXQ100" s="142"/>
      <c r="FXR100" s="142"/>
      <c r="FXS100" s="142"/>
      <c r="FXT100" s="142"/>
      <c r="FXU100" s="142"/>
      <c r="FXV100" s="142"/>
      <c r="FXW100" s="142"/>
      <c r="FXX100" s="142"/>
      <c r="FXY100" s="142"/>
      <c r="FXZ100" s="142"/>
      <c r="FYA100" s="142"/>
      <c r="FYB100" s="142"/>
      <c r="FYC100" s="142"/>
      <c r="FYD100" s="142"/>
      <c r="FYE100" s="142"/>
      <c r="FYF100" s="142"/>
      <c r="FYG100" s="142"/>
      <c r="FYH100" s="142"/>
      <c r="FYI100" s="142"/>
      <c r="FYJ100" s="142"/>
      <c r="FYK100" s="142"/>
      <c r="FYL100" s="142"/>
      <c r="FYM100" s="142"/>
      <c r="FYN100" s="142"/>
      <c r="FYO100" s="142"/>
      <c r="FYP100" s="142"/>
      <c r="FYQ100" s="142"/>
      <c r="FYR100" s="142"/>
      <c r="FYS100" s="142"/>
      <c r="FYT100" s="142"/>
      <c r="FYU100" s="142"/>
      <c r="FYV100" s="142"/>
      <c r="FYW100" s="142"/>
      <c r="FYX100" s="142"/>
      <c r="FYY100" s="142"/>
      <c r="FYZ100" s="142"/>
      <c r="FZA100" s="142"/>
      <c r="FZB100" s="142"/>
      <c r="FZC100" s="142"/>
      <c r="FZD100" s="142"/>
      <c r="FZE100" s="142"/>
      <c r="FZF100" s="142"/>
      <c r="FZG100" s="142"/>
      <c r="FZH100" s="142"/>
      <c r="FZI100" s="142"/>
      <c r="FZJ100" s="142"/>
      <c r="FZK100" s="142"/>
      <c r="FZL100" s="142"/>
      <c r="FZM100" s="142"/>
      <c r="FZN100" s="142"/>
      <c r="FZO100" s="142"/>
      <c r="FZP100" s="142"/>
      <c r="FZQ100" s="142"/>
      <c r="FZR100" s="142"/>
      <c r="FZS100" s="142"/>
      <c r="FZT100" s="142"/>
      <c r="FZU100" s="142"/>
      <c r="FZV100" s="142"/>
      <c r="FZW100" s="142"/>
      <c r="FZX100" s="142"/>
      <c r="FZY100" s="142"/>
      <c r="FZZ100" s="142"/>
      <c r="GAA100" s="142"/>
      <c r="GAB100" s="142"/>
      <c r="GAC100" s="142"/>
      <c r="GAD100" s="142"/>
      <c r="GAE100" s="142"/>
      <c r="GAF100" s="142"/>
      <c r="GAG100" s="142"/>
      <c r="GAH100" s="142"/>
      <c r="GAI100" s="142"/>
      <c r="GAJ100" s="142"/>
      <c r="GAK100" s="142"/>
      <c r="GAL100" s="142"/>
      <c r="GAM100" s="142"/>
      <c r="GAN100" s="142"/>
      <c r="GAO100" s="142"/>
      <c r="GAP100" s="142"/>
      <c r="GAQ100" s="142"/>
      <c r="GAR100" s="142"/>
      <c r="GAS100" s="142"/>
      <c r="GAT100" s="142"/>
      <c r="GAU100" s="142"/>
      <c r="GAV100" s="142"/>
      <c r="GAW100" s="142"/>
      <c r="GAX100" s="142"/>
      <c r="GAY100" s="142"/>
      <c r="GAZ100" s="142"/>
      <c r="GBA100" s="142"/>
      <c r="GBB100" s="142"/>
      <c r="GBC100" s="142"/>
      <c r="GBD100" s="142"/>
      <c r="GBE100" s="142"/>
      <c r="GBF100" s="142"/>
      <c r="GBG100" s="142"/>
      <c r="GBH100" s="142"/>
      <c r="GBI100" s="142"/>
      <c r="GBJ100" s="142"/>
      <c r="GBK100" s="142"/>
      <c r="GBL100" s="142"/>
      <c r="GBM100" s="142"/>
      <c r="GBN100" s="142"/>
      <c r="GBO100" s="142"/>
      <c r="GBP100" s="142"/>
      <c r="GBQ100" s="142"/>
      <c r="GBR100" s="142"/>
      <c r="GBS100" s="142"/>
      <c r="GBT100" s="142"/>
      <c r="GBU100" s="142"/>
      <c r="GBV100" s="142"/>
      <c r="GBW100" s="142"/>
      <c r="GBX100" s="142"/>
      <c r="GBY100" s="142"/>
      <c r="GBZ100" s="142"/>
      <c r="GCA100" s="142"/>
      <c r="GCB100" s="142"/>
      <c r="GCC100" s="142"/>
      <c r="GCD100" s="142"/>
      <c r="GCE100" s="142"/>
      <c r="GCF100" s="142"/>
      <c r="GCG100" s="142"/>
      <c r="GCH100" s="142"/>
      <c r="GCI100" s="142"/>
      <c r="GCJ100" s="142"/>
      <c r="GCK100" s="142"/>
      <c r="GCL100" s="142"/>
      <c r="GCM100" s="142"/>
      <c r="GCN100" s="142"/>
      <c r="GCO100" s="142"/>
      <c r="GCP100" s="142"/>
      <c r="GCQ100" s="142"/>
      <c r="GCR100" s="142"/>
      <c r="GCS100" s="142"/>
      <c r="GCT100" s="142"/>
      <c r="GCU100" s="142"/>
      <c r="GCV100" s="142"/>
      <c r="GCW100" s="142"/>
      <c r="GCX100" s="142"/>
      <c r="GCY100" s="142"/>
      <c r="GCZ100" s="142"/>
      <c r="GDA100" s="142"/>
      <c r="GDB100" s="142"/>
      <c r="GDC100" s="142"/>
      <c r="GDD100" s="142"/>
      <c r="GDE100" s="142"/>
      <c r="GDF100" s="142"/>
      <c r="GDG100" s="142"/>
      <c r="GDH100" s="142"/>
      <c r="GDI100" s="142"/>
      <c r="GDJ100" s="142"/>
      <c r="GDK100" s="142"/>
      <c r="GDL100" s="142"/>
      <c r="GDM100" s="142"/>
      <c r="GDN100" s="142"/>
      <c r="GDO100" s="142"/>
      <c r="GDP100" s="142"/>
      <c r="GDQ100" s="142"/>
      <c r="GDR100" s="142"/>
      <c r="GDS100" s="142"/>
      <c r="GDT100" s="142"/>
      <c r="GDU100" s="142"/>
      <c r="GDV100" s="142"/>
      <c r="GDW100" s="142"/>
      <c r="GDX100" s="142"/>
      <c r="GDY100" s="142"/>
      <c r="GDZ100" s="142"/>
      <c r="GEA100" s="142"/>
      <c r="GEB100" s="142"/>
      <c r="GEC100" s="142"/>
      <c r="GED100" s="142"/>
      <c r="GEE100" s="142"/>
      <c r="GEF100" s="142"/>
      <c r="GEG100" s="142"/>
      <c r="GEH100" s="142"/>
      <c r="GEI100" s="142"/>
      <c r="GEJ100" s="142"/>
      <c r="GEK100" s="142"/>
      <c r="GEL100" s="142"/>
      <c r="GEM100" s="142"/>
      <c r="GEN100" s="142"/>
      <c r="GEO100" s="142"/>
      <c r="GEP100" s="142"/>
      <c r="GEQ100" s="142"/>
      <c r="GER100" s="142"/>
      <c r="GES100" s="142"/>
      <c r="GET100" s="142"/>
      <c r="GEU100" s="142"/>
      <c r="GEV100" s="142"/>
      <c r="GEW100" s="142"/>
      <c r="GEX100" s="142"/>
      <c r="GEY100" s="142"/>
      <c r="GEZ100" s="142"/>
      <c r="GFA100" s="142"/>
      <c r="GFB100" s="142"/>
      <c r="GFC100" s="142"/>
      <c r="GFD100" s="142"/>
      <c r="GFE100" s="142"/>
      <c r="GFF100" s="142"/>
      <c r="GFG100" s="142"/>
      <c r="GFH100" s="142"/>
      <c r="GFI100" s="142"/>
      <c r="GFJ100" s="142"/>
      <c r="GFK100" s="142"/>
      <c r="GFL100" s="142"/>
      <c r="GFM100" s="142"/>
      <c r="GFN100" s="142"/>
      <c r="GFO100" s="142"/>
      <c r="GFP100" s="142"/>
      <c r="GFQ100" s="142"/>
      <c r="GFR100" s="142"/>
      <c r="GFS100" s="142"/>
      <c r="GFT100" s="142"/>
      <c r="GFU100" s="142"/>
      <c r="GFV100" s="142"/>
      <c r="GFW100" s="142"/>
      <c r="GFX100" s="142"/>
      <c r="GFY100" s="142"/>
      <c r="GFZ100" s="142"/>
      <c r="GGA100" s="142"/>
      <c r="GGB100" s="142"/>
      <c r="GGC100" s="142"/>
      <c r="GGD100" s="142"/>
      <c r="GGE100" s="142"/>
      <c r="GGF100" s="142"/>
      <c r="GGG100" s="142"/>
      <c r="GGH100" s="142"/>
      <c r="GGI100" s="142"/>
      <c r="GGJ100" s="142"/>
      <c r="GGK100" s="142"/>
      <c r="GGL100" s="142"/>
      <c r="GGM100" s="142"/>
      <c r="GGN100" s="142"/>
      <c r="GGO100" s="142"/>
      <c r="GGP100" s="142"/>
      <c r="GGQ100" s="142"/>
      <c r="GGR100" s="142"/>
      <c r="GGS100" s="142"/>
      <c r="GGT100" s="142"/>
      <c r="GGU100" s="142"/>
      <c r="GGV100" s="142"/>
      <c r="GGW100" s="142"/>
      <c r="GGX100" s="142"/>
      <c r="GGY100" s="142"/>
      <c r="GGZ100" s="142"/>
      <c r="GHA100" s="142"/>
      <c r="GHB100" s="142"/>
      <c r="GHC100" s="142"/>
      <c r="GHD100" s="142"/>
      <c r="GHE100" s="142"/>
      <c r="GHF100" s="142"/>
      <c r="GHG100" s="142"/>
      <c r="GHH100" s="142"/>
      <c r="GHI100" s="142"/>
      <c r="GHJ100" s="142"/>
      <c r="GHK100" s="142"/>
      <c r="GHL100" s="142"/>
      <c r="GHM100" s="142"/>
      <c r="GHN100" s="142"/>
      <c r="GHO100" s="142"/>
      <c r="GHP100" s="142"/>
      <c r="GHQ100" s="142"/>
      <c r="GHR100" s="142"/>
      <c r="GHS100" s="142"/>
      <c r="GHT100" s="142"/>
      <c r="GHU100" s="142"/>
      <c r="GHV100" s="142"/>
      <c r="GHW100" s="142"/>
      <c r="GHX100" s="142"/>
      <c r="GHY100" s="142"/>
      <c r="GHZ100" s="142"/>
      <c r="GIA100" s="142"/>
      <c r="GIB100" s="142"/>
      <c r="GIC100" s="142"/>
      <c r="GID100" s="142"/>
      <c r="GIE100" s="142"/>
      <c r="GIF100" s="142"/>
      <c r="GIG100" s="142"/>
      <c r="GIH100" s="142"/>
      <c r="GII100" s="142"/>
      <c r="GIJ100" s="142"/>
      <c r="GIK100" s="142"/>
      <c r="GIL100" s="142"/>
      <c r="GIM100" s="142"/>
      <c r="GIN100" s="142"/>
      <c r="GIO100" s="142"/>
      <c r="GIP100" s="142"/>
      <c r="GIQ100" s="142"/>
      <c r="GIR100" s="142"/>
      <c r="GIS100" s="142"/>
      <c r="GIT100" s="142"/>
      <c r="GIU100" s="142"/>
      <c r="GIV100" s="142"/>
      <c r="GIW100" s="142"/>
      <c r="GIX100" s="142"/>
      <c r="GIY100" s="142"/>
      <c r="GIZ100" s="142"/>
      <c r="GJA100" s="142"/>
      <c r="GJB100" s="142"/>
      <c r="GJC100" s="142"/>
      <c r="GJD100" s="142"/>
      <c r="GJE100" s="142"/>
      <c r="GJF100" s="142"/>
      <c r="GJG100" s="142"/>
      <c r="GJH100" s="142"/>
      <c r="GJI100" s="142"/>
      <c r="GJJ100" s="142"/>
      <c r="GJK100" s="142"/>
      <c r="GJL100" s="142"/>
      <c r="GJM100" s="142"/>
      <c r="GJN100" s="142"/>
      <c r="GJO100" s="142"/>
      <c r="GJP100" s="142"/>
      <c r="GJQ100" s="142"/>
      <c r="GJR100" s="142"/>
      <c r="GJS100" s="142"/>
      <c r="GJT100" s="142"/>
      <c r="GJU100" s="142"/>
      <c r="GJV100" s="142"/>
      <c r="GJW100" s="142"/>
      <c r="GJX100" s="142"/>
      <c r="GJY100" s="142"/>
      <c r="GJZ100" s="142"/>
      <c r="GKA100" s="142"/>
      <c r="GKB100" s="142"/>
      <c r="GKC100" s="142"/>
      <c r="GKD100" s="142"/>
      <c r="GKE100" s="142"/>
      <c r="GKF100" s="142"/>
      <c r="GKG100" s="142"/>
      <c r="GKH100" s="142"/>
      <c r="GKI100" s="142"/>
      <c r="GKJ100" s="142"/>
      <c r="GKK100" s="142"/>
      <c r="GKL100" s="142"/>
      <c r="GKM100" s="142"/>
      <c r="GKN100" s="142"/>
      <c r="GKO100" s="142"/>
      <c r="GKP100" s="142"/>
      <c r="GKQ100" s="142"/>
      <c r="GKR100" s="142"/>
      <c r="GKS100" s="142"/>
      <c r="GKT100" s="142"/>
      <c r="GKU100" s="142"/>
      <c r="GKV100" s="142"/>
      <c r="GKW100" s="142"/>
      <c r="GKX100" s="142"/>
      <c r="GKY100" s="142"/>
      <c r="GKZ100" s="142"/>
      <c r="GLA100" s="142"/>
      <c r="GLB100" s="142"/>
      <c r="GLC100" s="142"/>
      <c r="GLD100" s="142"/>
      <c r="GLE100" s="142"/>
      <c r="GLF100" s="142"/>
      <c r="GLG100" s="142"/>
      <c r="GLH100" s="142"/>
      <c r="GLI100" s="142"/>
      <c r="GLJ100" s="142"/>
      <c r="GLK100" s="142"/>
      <c r="GLL100" s="142"/>
      <c r="GLM100" s="142"/>
      <c r="GLN100" s="142"/>
      <c r="GLO100" s="142"/>
      <c r="GLP100" s="142"/>
      <c r="GLQ100" s="142"/>
      <c r="GLR100" s="142"/>
      <c r="GLS100" s="142"/>
      <c r="GLT100" s="142"/>
      <c r="GLU100" s="142"/>
      <c r="GLV100" s="142"/>
      <c r="GLW100" s="142"/>
      <c r="GLX100" s="142"/>
      <c r="GLY100" s="142"/>
      <c r="GLZ100" s="142"/>
      <c r="GMA100" s="142"/>
      <c r="GMB100" s="142"/>
      <c r="GMC100" s="142"/>
      <c r="GMD100" s="142"/>
      <c r="GME100" s="142"/>
      <c r="GMF100" s="142"/>
      <c r="GMG100" s="142"/>
      <c r="GMH100" s="142"/>
      <c r="GMI100" s="142"/>
      <c r="GMJ100" s="142"/>
      <c r="GMK100" s="142"/>
      <c r="GML100" s="142"/>
      <c r="GMM100" s="142"/>
      <c r="GMN100" s="142"/>
      <c r="GMO100" s="142"/>
      <c r="GMP100" s="142"/>
      <c r="GMQ100" s="142"/>
      <c r="GMR100" s="142"/>
      <c r="GMS100" s="142"/>
      <c r="GMT100" s="142"/>
      <c r="GMU100" s="142"/>
      <c r="GMV100" s="142"/>
      <c r="GMW100" s="142"/>
      <c r="GMX100" s="142"/>
      <c r="GMY100" s="142"/>
      <c r="GMZ100" s="142"/>
      <c r="GNA100" s="142"/>
      <c r="GNB100" s="142"/>
      <c r="GNC100" s="142"/>
      <c r="GND100" s="142"/>
      <c r="GNE100" s="142"/>
      <c r="GNF100" s="142"/>
      <c r="GNG100" s="142"/>
      <c r="GNH100" s="142"/>
      <c r="GNI100" s="142"/>
      <c r="GNJ100" s="142"/>
      <c r="GNK100" s="142"/>
      <c r="GNL100" s="142"/>
      <c r="GNM100" s="142"/>
      <c r="GNN100" s="142"/>
      <c r="GNO100" s="142"/>
      <c r="GNP100" s="142"/>
      <c r="GNQ100" s="142"/>
      <c r="GNR100" s="142"/>
      <c r="GNS100" s="142"/>
      <c r="GNT100" s="142"/>
      <c r="GNU100" s="142"/>
      <c r="GNV100" s="142"/>
      <c r="GNW100" s="142"/>
      <c r="GNX100" s="142"/>
      <c r="GNY100" s="142"/>
      <c r="GNZ100" s="142"/>
      <c r="GOA100" s="142"/>
      <c r="GOB100" s="142"/>
      <c r="GOC100" s="142"/>
      <c r="GOD100" s="142"/>
      <c r="GOE100" s="142"/>
      <c r="GOF100" s="142"/>
      <c r="GOG100" s="142"/>
      <c r="GOH100" s="142"/>
      <c r="GOI100" s="142"/>
      <c r="GOJ100" s="142"/>
      <c r="GOK100" s="142"/>
      <c r="GOL100" s="142"/>
      <c r="GOM100" s="142"/>
      <c r="GON100" s="142"/>
      <c r="GOO100" s="142"/>
      <c r="GOP100" s="142"/>
      <c r="GOQ100" s="142"/>
      <c r="GOR100" s="142"/>
      <c r="GOS100" s="142"/>
      <c r="GOT100" s="142"/>
      <c r="GOU100" s="142"/>
      <c r="GOV100" s="142"/>
      <c r="GOW100" s="142"/>
      <c r="GOX100" s="142"/>
      <c r="GOY100" s="142"/>
      <c r="GOZ100" s="142"/>
      <c r="GPA100" s="142"/>
      <c r="GPB100" s="142"/>
      <c r="GPC100" s="142"/>
      <c r="GPD100" s="142"/>
      <c r="GPE100" s="142"/>
      <c r="GPF100" s="142"/>
      <c r="GPG100" s="142"/>
      <c r="GPH100" s="142"/>
      <c r="GPI100" s="142"/>
      <c r="GPJ100" s="142"/>
      <c r="GPK100" s="142"/>
      <c r="GPL100" s="142"/>
      <c r="GPM100" s="142"/>
      <c r="GPN100" s="142"/>
      <c r="GPO100" s="142"/>
      <c r="GPP100" s="142"/>
      <c r="GPQ100" s="142"/>
      <c r="GPR100" s="142"/>
      <c r="GPS100" s="142"/>
      <c r="GPT100" s="142"/>
      <c r="GPU100" s="142"/>
      <c r="GPV100" s="142"/>
      <c r="GPW100" s="142"/>
      <c r="GPX100" s="142"/>
      <c r="GPY100" s="142"/>
      <c r="GPZ100" s="142"/>
      <c r="GQA100" s="142"/>
      <c r="GQB100" s="142"/>
      <c r="GQC100" s="142"/>
      <c r="GQD100" s="142"/>
      <c r="GQE100" s="142"/>
      <c r="GQF100" s="142"/>
      <c r="GQG100" s="142"/>
      <c r="GQH100" s="142"/>
      <c r="GQI100" s="142"/>
      <c r="GQJ100" s="142"/>
      <c r="GQK100" s="142"/>
      <c r="GQL100" s="142"/>
      <c r="GQM100" s="142"/>
      <c r="GQN100" s="142"/>
      <c r="GQO100" s="142"/>
      <c r="GQP100" s="142"/>
      <c r="GQQ100" s="142"/>
      <c r="GQR100" s="142"/>
      <c r="GQS100" s="142"/>
      <c r="GQT100" s="142"/>
      <c r="GQU100" s="142"/>
      <c r="GQV100" s="142"/>
      <c r="GQW100" s="142"/>
      <c r="GQX100" s="142"/>
      <c r="GQY100" s="142"/>
      <c r="GQZ100" s="142"/>
      <c r="GRA100" s="142"/>
      <c r="GRB100" s="142"/>
      <c r="GRC100" s="142"/>
      <c r="GRD100" s="142"/>
      <c r="GRE100" s="142"/>
      <c r="GRF100" s="142"/>
      <c r="GRG100" s="142"/>
      <c r="GRH100" s="142"/>
      <c r="GRI100" s="142"/>
      <c r="GRJ100" s="142"/>
      <c r="GRK100" s="142"/>
      <c r="GRL100" s="142"/>
      <c r="GRM100" s="142"/>
      <c r="GRN100" s="142"/>
      <c r="GRO100" s="142"/>
      <c r="GRP100" s="142"/>
      <c r="GRQ100" s="142"/>
      <c r="GRR100" s="142"/>
      <c r="GRS100" s="142"/>
      <c r="GRT100" s="142"/>
      <c r="GRU100" s="142"/>
      <c r="GRV100" s="142"/>
      <c r="GRW100" s="142"/>
      <c r="GRX100" s="142"/>
      <c r="GRY100" s="142"/>
      <c r="GRZ100" s="142"/>
      <c r="GSA100" s="142"/>
      <c r="GSB100" s="142"/>
      <c r="GSC100" s="142"/>
      <c r="GSD100" s="142"/>
      <c r="GSE100" s="142"/>
      <c r="GSF100" s="142"/>
      <c r="GSG100" s="142"/>
      <c r="GSH100" s="142"/>
      <c r="GSI100" s="142"/>
      <c r="GSJ100" s="142"/>
      <c r="GSK100" s="142"/>
      <c r="GSL100" s="142"/>
      <c r="GSM100" s="142"/>
      <c r="GSN100" s="142"/>
      <c r="GSO100" s="142"/>
      <c r="GSP100" s="142"/>
      <c r="GSQ100" s="142"/>
      <c r="GSR100" s="142"/>
      <c r="GSS100" s="142"/>
      <c r="GST100" s="142"/>
      <c r="GSU100" s="142"/>
      <c r="GSV100" s="142"/>
      <c r="GSW100" s="142"/>
      <c r="GSX100" s="142"/>
      <c r="GSY100" s="142"/>
      <c r="GSZ100" s="142"/>
      <c r="GTA100" s="142"/>
      <c r="GTB100" s="142"/>
      <c r="GTC100" s="142"/>
      <c r="GTD100" s="142"/>
      <c r="GTE100" s="142"/>
      <c r="GTF100" s="142"/>
      <c r="GTG100" s="142"/>
      <c r="GTH100" s="142"/>
      <c r="GTI100" s="142"/>
      <c r="GTJ100" s="142"/>
      <c r="GTK100" s="142"/>
      <c r="GTL100" s="142"/>
      <c r="GTM100" s="142"/>
      <c r="GTN100" s="142"/>
      <c r="GTO100" s="142"/>
      <c r="GTP100" s="142"/>
      <c r="GTQ100" s="142"/>
      <c r="GTR100" s="142"/>
      <c r="GTS100" s="142"/>
      <c r="GTT100" s="142"/>
      <c r="GTU100" s="142"/>
      <c r="GTV100" s="142"/>
      <c r="GTW100" s="142"/>
      <c r="GTX100" s="142"/>
      <c r="GTY100" s="142"/>
      <c r="GTZ100" s="142"/>
      <c r="GUA100" s="142"/>
      <c r="GUB100" s="142"/>
      <c r="GUC100" s="142"/>
      <c r="GUD100" s="142"/>
      <c r="GUE100" s="142"/>
      <c r="GUF100" s="142"/>
      <c r="GUG100" s="142"/>
      <c r="GUH100" s="142"/>
      <c r="GUI100" s="142"/>
      <c r="GUJ100" s="142"/>
      <c r="GUK100" s="142"/>
      <c r="GUL100" s="142"/>
      <c r="GUM100" s="142"/>
      <c r="GUN100" s="142"/>
      <c r="GUO100" s="142"/>
      <c r="GUP100" s="142"/>
      <c r="GUQ100" s="142"/>
      <c r="GUR100" s="142"/>
      <c r="GUS100" s="142"/>
      <c r="GUT100" s="142"/>
      <c r="GUU100" s="142"/>
      <c r="GUV100" s="142"/>
      <c r="GUW100" s="142"/>
      <c r="GUX100" s="142"/>
      <c r="GUY100" s="142"/>
      <c r="GUZ100" s="142"/>
      <c r="GVA100" s="142"/>
      <c r="GVB100" s="142"/>
      <c r="GVC100" s="142"/>
      <c r="GVD100" s="142"/>
      <c r="GVE100" s="142"/>
      <c r="GVF100" s="142"/>
      <c r="GVG100" s="142"/>
      <c r="GVH100" s="142"/>
      <c r="GVI100" s="142"/>
      <c r="GVJ100" s="142"/>
      <c r="GVK100" s="142"/>
      <c r="GVL100" s="142"/>
      <c r="GVM100" s="142"/>
      <c r="GVN100" s="142"/>
      <c r="GVO100" s="142"/>
      <c r="GVP100" s="142"/>
      <c r="GVQ100" s="142"/>
      <c r="GVR100" s="142"/>
      <c r="GVS100" s="142"/>
      <c r="GVT100" s="142"/>
      <c r="GVU100" s="142"/>
      <c r="GVV100" s="142"/>
      <c r="GVW100" s="142"/>
      <c r="GVX100" s="142"/>
      <c r="GVY100" s="142"/>
      <c r="GVZ100" s="142"/>
      <c r="GWA100" s="142"/>
      <c r="GWB100" s="142"/>
      <c r="GWC100" s="142"/>
      <c r="GWD100" s="142"/>
      <c r="GWE100" s="142"/>
      <c r="GWF100" s="142"/>
      <c r="GWG100" s="142"/>
      <c r="GWH100" s="142"/>
      <c r="GWI100" s="142"/>
      <c r="GWJ100" s="142"/>
      <c r="GWK100" s="142"/>
      <c r="GWL100" s="142"/>
      <c r="GWM100" s="142"/>
      <c r="GWN100" s="142"/>
      <c r="GWO100" s="142"/>
      <c r="GWP100" s="142"/>
      <c r="GWQ100" s="142"/>
      <c r="GWR100" s="142"/>
      <c r="GWS100" s="142"/>
      <c r="GWT100" s="142"/>
      <c r="GWU100" s="142"/>
      <c r="GWV100" s="142"/>
      <c r="GWW100" s="142"/>
      <c r="GWX100" s="142"/>
      <c r="GWY100" s="142"/>
      <c r="GWZ100" s="142"/>
      <c r="GXA100" s="142"/>
      <c r="GXB100" s="142"/>
      <c r="GXC100" s="142"/>
      <c r="GXD100" s="142"/>
      <c r="GXE100" s="142"/>
      <c r="GXF100" s="142"/>
      <c r="GXG100" s="142"/>
      <c r="GXH100" s="142"/>
      <c r="GXI100" s="142"/>
      <c r="GXJ100" s="142"/>
      <c r="GXK100" s="142"/>
      <c r="GXL100" s="142"/>
      <c r="GXM100" s="142"/>
      <c r="GXN100" s="142"/>
      <c r="GXO100" s="142"/>
      <c r="GXP100" s="142"/>
      <c r="GXQ100" s="142"/>
      <c r="GXR100" s="142"/>
      <c r="GXS100" s="142"/>
      <c r="GXT100" s="142"/>
      <c r="GXU100" s="142"/>
      <c r="GXV100" s="142"/>
      <c r="GXW100" s="142"/>
      <c r="GXX100" s="142"/>
      <c r="GXY100" s="142"/>
      <c r="GXZ100" s="142"/>
      <c r="GYA100" s="142"/>
      <c r="GYB100" s="142"/>
      <c r="GYC100" s="142"/>
      <c r="GYD100" s="142"/>
      <c r="GYE100" s="142"/>
      <c r="GYF100" s="142"/>
      <c r="GYG100" s="142"/>
      <c r="GYH100" s="142"/>
      <c r="GYI100" s="142"/>
      <c r="GYJ100" s="142"/>
      <c r="GYK100" s="142"/>
      <c r="GYL100" s="142"/>
      <c r="GYM100" s="142"/>
      <c r="GYN100" s="142"/>
      <c r="GYO100" s="142"/>
      <c r="GYP100" s="142"/>
      <c r="GYQ100" s="142"/>
      <c r="GYR100" s="142"/>
      <c r="GYS100" s="142"/>
      <c r="GYT100" s="142"/>
      <c r="GYU100" s="142"/>
      <c r="GYV100" s="142"/>
      <c r="GYW100" s="142"/>
      <c r="GYX100" s="142"/>
      <c r="GYY100" s="142"/>
      <c r="GYZ100" s="142"/>
      <c r="GZA100" s="142"/>
      <c r="GZB100" s="142"/>
      <c r="GZC100" s="142"/>
      <c r="GZD100" s="142"/>
      <c r="GZE100" s="142"/>
      <c r="GZF100" s="142"/>
      <c r="GZG100" s="142"/>
      <c r="GZH100" s="142"/>
      <c r="GZI100" s="142"/>
      <c r="GZJ100" s="142"/>
      <c r="GZK100" s="142"/>
      <c r="GZL100" s="142"/>
      <c r="GZM100" s="142"/>
      <c r="GZN100" s="142"/>
      <c r="GZO100" s="142"/>
      <c r="GZP100" s="142"/>
      <c r="GZQ100" s="142"/>
      <c r="GZR100" s="142"/>
      <c r="GZS100" s="142"/>
      <c r="GZT100" s="142"/>
      <c r="GZU100" s="142"/>
      <c r="GZV100" s="142"/>
      <c r="GZW100" s="142"/>
      <c r="GZX100" s="142"/>
      <c r="GZY100" s="142"/>
      <c r="GZZ100" s="142"/>
      <c r="HAA100" s="142"/>
      <c r="HAB100" s="142"/>
      <c r="HAC100" s="142"/>
      <c r="HAD100" s="142"/>
      <c r="HAE100" s="142"/>
      <c r="HAF100" s="142"/>
      <c r="HAG100" s="142"/>
      <c r="HAH100" s="142"/>
      <c r="HAI100" s="142"/>
      <c r="HAJ100" s="142"/>
      <c r="HAK100" s="142"/>
      <c r="HAL100" s="142"/>
      <c r="HAM100" s="142"/>
      <c r="HAN100" s="142"/>
      <c r="HAO100" s="142"/>
      <c r="HAP100" s="142"/>
      <c r="HAQ100" s="142"/>
      <c r="HAR100" s="142"/>
      <c r="HAS100" s="142"/>
      <c r="HAT100" s="142"/>
      <c r="HAU100" s="142"/>
      <c r="HAV100" s="142"/>
      <c r="HAW100" s="142"/>
      <c r="HAX100" s="142"/>
      <c r="HAY100" s="142"/>
      <c r="HAZ100" s="142"/>
      <c r="HBA100" s="142"/>
      <c r="HBB100" s="142"/>
      <c r="HBC100" s="142"/>
      <c r="HBD100" s="142"/>
      <c r="HBE100" s="142"/>
      <c r="HBF100" s="142"/>
      <c r="HBG100" s="142"/>
      <c r="HBH100" s="142"/>
      <c r="HBI100" s="142"/>
      <c r="HBJ100" s="142"/>
      <c r="HBK100" s="142"/>
      <c r="HBL100" s="142"/>
      <c r="HBM100" s="142"/>
      <c r="HBN100" s="142"/>
      <c r="HBO100" s="142"/>
      <c r="HBP100" s="142"/>
      <c r="HBQ100" s="142"/>
      <c r="HBR100" s="142"/>
      <c r="HBS100" s="142"/>
      <c r="HBT100" s="142"/>
      <c r="HBU100" s="142"/>
      <c r="HBV100" s="142"/>
      <c r="HBW100" s="142"/>
      <c r="HBX100" s="142"/>
      <c r="HBY100" s="142"/>
      <c r="HBZ100" s="142"/>
      <c r="HCA100" s="142"/>
      <c r="HCB100" s="142"/>
      <c r="HCC100" s="142"/>
      <c r="HCD100" s="142"/>
      <c r="HCE100" s="142"/>
      <c r="HCF100" s="142"/>
      <c r="HCG100" s="142"/>
      <c r="HCH100" s="142"/>
      <c r="HCI100" s="142"/>
      <c r="HCJ100" s="142"/>
      <c r="HCK100" s="142"/>
      <c r="HCL100" s="142"/>
      <c r="HCM100" s="142"/>
      <c r="HCN100" s="142"/>
      <c r="HCO100" s="142"/>
      <c r="HCP100" s="142"/>
      <c r="HCQ100" s="142"/>
      <c r="HCR100" s="142"/>
      <c r="HCS100" s="142"/>
      <c r="HCT100" s="142"/>
      <c r="HCU100" s="142"/>
      <c r="HCV100" s="142"/>
      <c r="HCW100" s="142"/>
      <c r="HCX100" s="142"/>
      <c r="HCY100" s="142"/>
      <c r="HCZ100" s="142"/>
      <c r="HDA100" s="142"/>
      <c r="HDB100" s="142"/>
      <c r="HDC100" s="142"/>
      <c r="HDD100" s="142"/>
      <c r="HDE100" s="142"/>
      <c r="HDF100" s="142"/>
      <c r="HDG100" s="142"/>
      <c r="HDH100" s="142"/>
      <c r="HDI100" s="142"/>
      <c r="HDJ100" s="142"/>
      <c r="HDK100" s="142"/>
      <c r="HDL100" s="142"/>
      <c r="HDM100" s="142"/>
      <c r="HDN100" s="142"/>
      <c r="HDO100" s="142"/>
      <c r="HDP100" s="142"/>
      <c r="HDQ100" s="142"/>
      <c r="HDR100" s="142"/>
      <c r="HDS100" s="142"/>
      <c r="HDT100" s="142"/>
      <c r="HDU100" s="142"/>
      <c r="HDV100" s="142"/>
      <c r="HDW100" s="142"/>
      <c r="HDX100" s="142"/>
      <c r="HDY100" s="142"/>
      <c r="HDZ100" s="142"/>
      <c r="HEA100" s="142"/>
      <c r="HEB100" s="142"/>
      <c r="HEC100" s="142"/>
      <c r="HED100" s="142"/>
      <c r="HEE100" s="142"/>
      <c r="HEF100" s="142"/>
      <c r="HEG100" s="142"/>
      <c r="HEH100" s="142"/>
      <c r="HEI100" s="142"/>
      <c r="HEJ100" s="142"/>
      <c r="HEK100" s="142"/>
      <c r="HEL100" s="142"/>
      <c r="HEM100" s="142"/>
      <c r="HEN100" s="142"/>
      <c r="HEO100" s="142"/>
      <c r="HEP100" s="142"/>
      <c r="HEQ100" s="142"/>
      <c r="HER100" s="142"/>
      <c r="HES100" s="142"/>
      <c r="HET100" s="142"/>
      <c r="HEU100" s="142"/>
      <c r="HEV100" s="142"/>
      <c r="HEW100" s="142"/>
      <c r="HEX100" s="142"/>
      <c r="HEY100" s="142"/>
      <c r="HEZ100" s="142"/>
      <c r="HFA100" s="142"/>
      <c r="HFB100" s="142"/>
      <c r="HFC100" s="142"/>
      <c r="HFD100" s="142"/>
      <c r="HFE100" s="142"/>
      <c r="HFF100" s="142"/>
      <c r="HFG100" s="142"/>
      <c r="HFH100" s="142"/>
      <c r="HFI100" s="142"/>
      <c r="HFJ100" s="142"/>
      <c r="HFK100" s="142"/>
      <c r="HFL100" s="142"/>
      <c r="HFM100" s="142"/>
      <c r="HFN100" s="142"/>
      <c r="HFO100" s="142"/>
      <c r="HFP100" s="142"/>
      <c r="HFQ100" s="142"/>
      <c r="HFR100" s="142"/>
      <c r="HFS100" s="142"/>
      <c r="HFT100" s="142"/>
      <c r="HFU100" s="142"/>
      <c r="HFV100" s="142"/>
      <c r="HFW100" s="142"/>
      <c r="HFX100" s="142"/>
      <c r="HFY100" s="142"/>
      <c r="HFZ100" s="142"/>
      <c r="HGA100" s="142"/>
      <c r="HGB100" s="142"/>
      <c r="HGC100" s="142"/>
      <c r="HGD100" s="142"/>
      <c r="HGE100" s="142"/>
      <c r="HGF100" s="142"/>
      <c r="HGG100" s="142"/>
      <c r="HGH100" s="142"/>
      <c r="HGI100" s="142"/>
      <c r="HGJ100" s="142"/>
      <c r="HGK100" s="142"/>
      <c r="HGL100" s="142"/>
      <c r="HGM100" s="142"/>
      <c r="HGN100" s="142"/>
      <c r="HGO100" s="142"/>
      <c r="HGP100" s="142"/>
      <c r="HGQ100" s="142"/>
      <c r="HGR100" s="142"/>
      <c r="HGS100" s="142"/>
      <c r="HGT100" s="142"/>
      <c r="HGU100" s="142"/>
      <c r="HGV100" s="142"/>
      <c r="HGW100" s="142"/>
      <c r="HGX100" s="142"/>
      <c r="HGY100" s="142"/>
      <c r="HGZ100" s="142"/>
      <c r="HHA100" s="142"/>
      <c r="HHB100" s="142"/>
      <c r="HHC100" s="142"/>
      <c r="HHD100" s="142"/>
      <c r="HHE100" s="142"/>
      <c r="HHF100" s="142"/>
      <c r="HHG100" s="142"/>
      <c r="HHH100" s="142"/>
      <c r="HHI100" s="142"/>
      <c r="HHJ100" s="142"/>
      <c r="HHK100" s="142"/>
      <c r="HHL100" s="142"/>
      <c r="HHM100" s="142"/>
      <c r="HHN100" s="142"/>
      <c r="HHO100" s="142"/>
      <c r="HHP100" s="142"/>
      <c r="HHQ100" s="142"/>
      <c r="HHR100" s="142"/>
      <c r="HHS100" s="142"/>
      <c r="HHT100" s="142"/>
      <c r="HHU100" s="142"/>
      <c r="HHV100" s="142"/>
      <c r="HHW100" s="142"/>
      <c r="HHX100" s="142"/>
      <c r="HHY100" s="142"/>
      <c r="HHZ100" s="142"/>
      <c r="HIA100" s="142"/>
      <c r="HIB100" s="142"/>
      <c r="HIC100" s="142"/>
      <c r="HID100" s="142"/>
      <c r="HIE100" s="142"/>
      <c r="HIF100" s="142"/>
      <c r="HIG100" s="142"/>
      <c r="HIH100" s="142"/>
      <c r="HII100" s="142"/>
      <c r="HIJ100" s="142"/>
      <c r="HIK100" s="142"/>
      <c r="HIL100" s="142"/>
      <c r="HIM100" s="142"/>
      <c r="HIN100" s="142"/>
      <c r="HIO100" s="142"/>
      <c r="HIP100" s="142"/>
      <c r="HIQ100" s="142"/>
      <c r="HIR100" s="142"/>
      <c r="HIS100" s="142"/>
      <c r="HIT100" s="142"/>
      <c r="HIU100" s="142"/>
      <c r="HIV100" s="142"/>
      <c r="HIW100" s="142"/>
      <c r="HIX100" s="142"/>
      <c r="HIY100" s="142"/>
      <c r="HIZ100" s="142"/>
      <c r="HJA100" s="142"/>
      <c r="HJB100" s="142"/>
      <c r="HJC100" s="142"/>
      <c r="HJD100" s="142"/>
      <c r="HJE100" s="142"/>
      <c r="HJF100" s="142"/>
      <c r="HJG100" s="142"/>
      <c r="HJH100" s="142"/>
      <c r="HJI100" s="142"/>
      <c r="HJJ100" s="142"/>
      <c r="HJK100" s="142"/>
      <c r="HJL100" s="142"/>
      <c r="HJM100" s="142"/>
      <c r="HJN100" s="142"/>
      <c r="HJO100" s="142"/>
      <c r="HJP100" s="142"/>
      <c r="HJQ100" s="142"/>
      <c r="HJR100" s="142"/>
      <c r="HJS100" s="142"/>
      <c r="HJT100" s="142"/>
      <c r="HJU100" s="142"/>
      <c r="HJV100" s="142"/>
      <c r="HJW100" s="142"/>
      <c r="HJX100" s="142"/>
      <c r="HJY100" s="142"/>
      <c r="HJZ100" s="142"/>
      <c r="HKA100" s="142"/>
      <c r="HKB100" s="142"/>
      <c r="HKC100" s="142"/>
      <c r="HKD100" s="142"/>
      <c r="HKE100" s="142"/>
      <c r="HKF100" s="142"/>
      <c r="HKG100" s="142"/>
      <c r="HKH100" s="142"/>
      <c r="HKI100" s="142"/>
      <c r="HKJ100" s="142"/>
      <c r="HKK100" s="142"/>
      <c r="HKL100" s="142"/>
      <c r="HKM100" s="142"/>
      <c r="HKN100" s="142"/>
      <c r="HKO100" s="142"/>
      <c r="HKP100" s="142"/>
      <c r="HKQ100" s="142"/>
      <c r="HKR100" s="142"/>
      <c r="HKS100" s="142"/>
      <c r="HKT100" s="142"/>
      <c r="HKU100" s="142"/>
      <c r="HKV100" s="142"/>
      <c r="HKW100" s="142"/>
      <c r="HKX100" s="142"/>
      <c r="HKY100" s="142"/>
      <c r="HKZ100" s="142"/>
      <c r="HLA100" s="142"/>
      <c r="HLB100" s="142"/>
      <c r="HLC100" s="142"/>
      <c r="HLD100" s="142"/>
      <c r="HLE100" s="142"/>
      <c r="HLF100" s="142"/>
      <c r="HLG100" s="142"/>
      <c r="HLH100" s="142"/>
      <c r="HLI100" s="142"/>
      <c r="HLJ100" s="142"/>
      <c r="HLK100" s="142"/>
      <c r="HLL100" s="142"/>
      <c r="HLM100" s="142"/>
      <c r="HLN100" s="142"/>
      <c r="HLO100" s="142"/>
      <c r="HLP100" s="142"/>
      <c r="HLQ100" s="142"/>
      <c r="HLR100" s="142"/>
      <c r="HLS100" s="142"/>
      <c r="HLT100" s="142"/>
      <c r="HLU100" s="142"/>
      <c r="HLV100" s="142"/>
      <c r="HLW100" s="142"/>
      <c r="HLX100" s="142"/>
      <c r="HLY100" s="142"/>
      <c r="HLZ100" s="142"/>
      <c r="HMA100" s="142"/>
      <c r="HMB100" s="142"/>
      <c r="HMC100" s="142"/>
      <c r="HMD100" s="142"/>
      <c r="HME100" s="142"/>
      <c r="HMF100" s="142"/>
      <c r="HMG100" s="142"/>
      <c r="HMH100" s="142"/>
      <c r="HMI100" s="142"/>
      <c r="HMJ100" s="142"/>
      <c r="HMK100" s="142"/>
      <c r="HML100" s="142"/>
      <c r="HMM100" s="142"/>
      <c r="HMN100" s="142"/>
      <c r="HMO100" s="142"/>
      <c r="HMP100" s="142"/>
      <c r="HMQ100" s="142"/>
      <c r="HMR100" s="142"/>
      <c r="HMS100" s="142"/>
      <c r="HMT100" s="142"/>
      <c r="HMU100" s="142"/>
      <c r="HMV100" s="142"/>
      <c r="HMW100" s="142"/>
      <c r="HMX100" s="142"/>
      <c r="HMY100" s="142"/>
      <c r="HMZ100" s="142"/>
      <c r="HNA100" s="142"/>
      <c r="HNB100" s="142"/>
      <c r="HNC100" s="142"/>
      <c r="HND100" s="142"/>
      <c r="HNE100" s="142"/>
      <c r="HNF100" s="142"/>
      <c r="HNG100" s="142"/>
      <c r="HNH100" s="142"/>
      <c r="HNI100" s="142"/>
      <c r="HNJ100" s="142"/>
      <c r="HNK100" s="142"/>
      <c r="HNL100" s="142"/>
      <c r="HNM100" s="142"/>
      <c r="HNN100" s="142"/>
      <c r="HNO100" s="142"/>
      <c r="HNP100" s="142"/>
      <c r="HNQ100" s="142"/>
      <c r="HNR100" s="142"/>
      <c r="HNS100" s="142"/>
      <c r="HNT100" s="142"/>
      <c r="HNU100" s="142"/>
      <c r="HNV100" s="142"/>
      <c r="HNW100" s="142"/>
      <c r="HNX100" s="142"/>
      <c r="HNY100" s="142"/>
      <c r="HNZ100" s="142"/>
      <c r="HOA100" s="142"/>
      <c r="HOB100" s="142"/>
      <c r="HOC100" s="142"/>
      <c r="HOD100" s="142"/>
      <c r="HOE100" s="142"/>
      <c r="HOF100" s="142"/>
      <c r="HOG100" s="142"/>
      <c r="HOH100" s="142"/>
      <c r="HOI100" s="142"/>
      <c r="HOJ100" s="142"/>
      <c r="HOK100" s="142"/>
      <c r="HOL100" s="142"/>
      <c r="HOM100" s="142"/>
      <c r="HON100" s="142"/>
      <c r="HOO100" s="142"/>
      <c r="HOP100" s="142"/>
      <c r="HOQ100" s="142"/>
      <c r="HOR100" s="142"/>
      <c r="HOS100" s="142"/>
      <c r="HOT100" s="142"/>
      <c r="HOU100" s="142"/>
      <c r="HOV100" s="142"/>
      <c r="HOW100" s="142"/>
      <c r="HOX100" s="142"/>
      <c r="HOY100" s="142"/>
      <c r="HOZ100" s="142"/>
      <c r="HPA100" s="142"/>
      <c r="HPB100" s="142"/>
      <c r="HPC100" s="142"/>
      <c r="HPD100" s="142"/>
      <c r="HPE100" s="142"/>
      <c r="HPF100" s="142"/>
      <c r="HPG100" s="142"/>
      <c r="HPH100" s="142"/>
      <c r="HPI100" s="142"/>
      <c r="HPJ100" s="142"/>
      <c r="HPK100" s="142"/>
      <c r="HPL100" s="142"/>
      <c r="HPM100" s="142"/>
      <c r="HPN100" s="142"/>
      <c r="HPO100" s="142"/>
      <c r="HPP100" s="142"/>
      <c r="HPQ100" s="142"/>
      <c r="HPR100" s="142"/>
      <c r="HPS100" s="142"/>
      <c r="HPT100" s="142"/>
      <c r="HPU100" s="142"/>
      <c r="HPV100" s="142"/>
      <c r="HPW100" s="142"/>
      <c r="HPX100" s="142"/>
      <c r="HPY100" s="142"/>
      <c r="HPZ100" s="142"/>
      <c r="HQA100" s="142"/>
      <c r="HQB100" s="142"/>
      <c r="HQC100" s="142"/>
      <c r="HQD100" s="142"/>
      <c r="HQE100" s="142"/>
      <c r="HQF100" s="142"/>
      <c r="HQG100" s="142"/>
      <c r="HQH100" s="142"/>
      <c r="HQI100" s="142"/>
      <c r="HQJ100" s="142"/>
      <c r="HQK100" s="142"/>
      <c r="HQL100" s="142"/>
      <c r="HQM100" s="142"/>
      <c r="HQN100" s="142"/>
      <c r="HQO100" s="142"/>
      <c r="HQP100" s="142"/>
      <c r="HQQ100" s="142"/>
      <c r="HQR100" s="142"/>
      <c r="HQS100" s="142"/>
      <c r="HQT100" s="142"/>
      <c r="HQU100" s="142"/>
      <c r="HQV100" s="142"/>
      <c r="HQW100" s="142"/>
      <c r="HQX100" s="142"/>
      <c r="HQY100" s="142"/>
      <c r="HQZ100" s="142"/>
      <c r="HRA100" s="142"/>
      <c r="HRB100" s="142"/>
      <c r="HRC100" s="142"/>
      <c r="HRD100" s="142"/>
      <c r="HRE100" s="142"/>
      <c r="HRF100" s="142"/>
      <c r="HRG100" s="142"/>
      <c r="HRH100" s="142"/>
      <c r="HRI100" s="142"/>
      <c r="HRJ100" s="142"/>
      <c r="HRK100" s="142"/>
      <c r="HRL100" s="142"/>
      <c r="HRM100" s="142"/>
      <c r="HRN100" s="142"/>
      <c r="HRO100" s="142"/>
      <c r="HRP100" s="142"/>
      <c r="HRQ100" s="142"/>
      <c r="HRR100" s="142"/>
      <c r="HRS100" s="142"/>
      <c r="HRT100" s="142"/>
      <c r="HRU100" s="142"/>
      <c r="HRV100" s="142"/>
      <c r="HRW100" s="142"/>
      <c r="HRX100" s="142"/>
      <c r="HRY100" s="142"/>
      <c r="HRZ100" s="142"/>
      <c r="HSA100" s="142"/>
      <c r="HSB100" s="142"/>
      <c r="HSC100" s="142"/>
      <c r="HSD100" s="142"/>
      <c r="HSE100" s="142"/>
      <c r="HSF100" s="142"/>
      <c r="HSG100" s="142"/>
      <c r="HSH100" s="142"/>
      <c r="HSI100" s="142"/>
      <c r="HSJ100" s="142"/>
      <c r="HSK100" s="142"/>
      <c r="HSL100" s="142"/>
      <c r="HSM100" s="142"/>
      <c r="HSN100" s="142"/>
      <c r="HSO100" s="142"/>
      <c r="HSP100" s="142"/>
      <c r="HSQ100" s="142"/>
      <c r="HSR100" s="142"/>
      <c r="HSS100" s="142"/>
      <c r="HST100" s="142"/>
      <c r="HSU100" s="142"/>
      <c r="HSV100" s="142"/>
      <c r="HSW100" s="142"/>
      <c r="HSX100" s="142"/>
      <c r="HSY100" s="142"/>
      <c r="HSZ100" s="142"/>
      <c r="HTA100" s="142"/>
      <c r="HTB100" s="142"/>
      <c r="HTC100" s="142"/>
      <c r="HTD100" s="142"/>
      <c r="HTE100" s="142"/>
      <c r="HTF100" s="142"/>
      <c r="HTG100" s="142"/>
      <c r="HTH100" s="142"/>
      <c r="HTI100" s="142"/>
      <c r="HTJ100" s="142"/>
      <c r="HTK100" s="142"/>
      <c r="HTL100" s="142"/>
      <c r="HTM100" s="142"/>
      <c r="HTN100" s="142"/>
      <c r="HTO100" s="142"/>
      <c r="HTP100" s="142"/>
      <c r="HTQ100" s="142"/>
      <c r="HTR100" s="142"/>
      <c r="HTS100" s="142"/>
      <c r="HTT100" s="142"/>
      <c r="HTU100" s="142"/>
      <c r="HTV100" s="142"/>
      <c r="HTW100" s="142"/>
      <c r="HTX100" s="142"/>
      <c r="HTY100" s="142"/>
      <c r="HTZ100" s="142"/>
      <c r="HUA100" s="142"/>
      <c r="HUB100" s="142"/>
      <c r="HUC100" s="142"/>
      <c r="HUD100" s="142"/>
      <c r="HUE100" s="142"/>
      <c r="HUF100" s="142"/>
      <c r="HUG100" s="142"/>
      <c r="HUH100" s="142"/>
      <c r="HUI100" s="142"/>
      <c r="HUJ100" s="142"/>
      <c r="HUK100" s="142"/>
      <c r="HUL100" s="142"/>
      <c r="HUM100" s="142"/>
      <c r="HUN100" s="142"/>
      <c r="HUO100" s="142"/>
      <c r="HUP100" s="142"/>
      <c r="HUQ100" s="142"/>
      <c r="HUR100" s="142"/>
      <c r="HUS100" s="142"/>
      <c r="HUT100" s="142"/>
      <c r="HUU100" s="142"/>
      <c r="HUV100" s="142"/>
      <c r="HUW100" s="142"/>
      <c r="HUX100" s="142"/>
      <c r="HUY100" s="142"/>
      <c r="HUZ100" s="142"/>
      <c r="HVA100" s="142"/>
      <c r="HVB100" s="142"/>
      <c r="HVC100" s="142"/>
      <c r="HVD100" s="142"/>
      <c r="HVE100" s="142"/>
      <c r="HVF100" s="142"/>
      <c r="HVG100" s="142"/>
      <c r="HVH100" s="142"/>
      <c r="HVI100" s="142"/>
      <c r="HVJ100" s="142"/>
      <c r="HVK100" s="142"/>
      <c r="HVL100" s="142"/>
      <c r="HVM100" s="142"/>
      <c r="HVN100" s="142"/>
      <c r="HVO100" s="142"/>
      <c r="HVP100" s="142"/>
      <c r="HVQ100" s="142"/>
      <c r="HVR100" s="142"/>
      <c r="HVS100" s="142"/>
      <c r="HVT100" s="142"/>
      <c r="HVU100" s="142"/>
      <c r="HVV100" s="142"/>
      <c r="HVW100" s="142"/>
      <c r="HVX100" s="142"/>
      <c r="HVY100" s="142"/>
      <c r="HVZ100" s="142"/>
      <c r="HWA100" s="142"/>
      <c r="HWB100" s="142"/>
      <c r="HWC100" s="142"/>
      <c r="HWD100" s="142"/>
      <c r="HWE100" s="142"/>
      <c r="HWF100" s="142"/>
      <c r="HWG100" s="142"/>
      <c r="HWH100" s="142"/>
      <c r="HWI100" s="142"/>
      <c r="HWJ100" s="142"/>
      <c r="HWK100" s="142"/>
      <c r="HWL100" s="142"/>
      <c r="HWM100" s="142"/>
      <c r="HWN100" s="142"/>
      <c r="HWO100" s="142"/>
      <c r="HWP100" s="142"/>
      <c r="HWQ100" s="142"/>
      <c r="HWR100" s="142"/>
      <c r="HWS100" s="142"/>
      <c r="HWT100" s="142"/>
      <c r="HWU100" s="142"/>
      <c r="HWV100" s="142"/>
      <c r="HWW100" s="142"/>
      <c r="HWX100" s="142"/>
      <c r="HWY100" s="142"/>
      <c r="HWZ100" s="142"/>
      <c r="HXA100" s="142"/>
      <c r="HXB100" s="142"/>
      <c r="HXC100" s="142"/>
      <c r="HXD100" s="142"/>
      <c r="HXE100" s="142"/>
      <c r="HXF100" s="142"/>
      <c r="HXG100" s="142"/>
      <c r="HXH100" s="142"/>
      <c r="HXI100" s="142"/>
      <c r="HXJ100" s="142"/>
      <c r="HXK100" s="142"/>
      <c r="HXL100" s="142"/>
      <c r="HXM100" s="142"/>
      <c r="HXN100" s="142"/>
      <c r="HXO100" s="142"/>
      <c r="HXP100" s="142"/>
      <c r="HXQ100" s="142"/>
      <c r="HXR100" s="142"/>
      <c r="HXS100" s="142"/>
      <c r="HXT100" s="142"/>
      <c r="HXU100" s="142"/>
      <c r="HXV100" s="142"/>
      <c r="HXW100" s="142"/>
      <c r="HXX100" s="142"/>
      <c r="HXY100" s="142"/>
      <c r="HXZ100" s="142"/>
      <c r="HYA100" s="142"/>
      <c r="HYB100" s="142"/>
      <c r="HYC100" s="142"/>
      <c r="HYD100" s="142"/>
      <c r="HYE100" s="142"/>
      <c r="HYF100" s="142"/>
      <c r="HYG100" s="142"/>
      <c r="HYH100" s="142"/>
      <c r="HYI100" s="142"/>
      <c r="HYJ100" s="142"/>
      <c r="HYK100" s="142"/>
      <c r="HYL100" s="142"/>
      <c r="HYM100" s="142"/>
      <c r="HYN100" s="142"/>
      <c r="HYO100" s="142"/>
      <c r="HYP100" s="142"/>
      <c r="HYQ100" s="142"/>
      <c r="HYR100" s="142"/>
      <c r="HYS100" s="142"/>
      <c r="HYT100" s="142"/>
      <c r="HYU100" s="142"/>
      <c r="HYV100" s="142"/>
      <c r="HYW100" s="142"/>
      <c r="HYX100" s="142"/>
      <c r="HYY100" s="142"/>
      <c r="HYZ100" s="142"/>
      <c r="HZA100" s="142"/>
      <c r="HZB100" s="142"/>
      <c r="HZC100" s="142"/>
      <c r="HZD100" s="142"/>
      <c r="HZE100" s="142"/>
      <c r="HZF100" s="142"/>
      <c r="HZG100" s="142"/>
      <c r="HZH100" s="142"/>
      <c r="HZI100" s="142"/>
      <c r="HZJ100" s="142"/>
      <c r="HZK100" s="142"/>
      <c r="HZL100" s="142"/>
      <c r="HZM100" s="142"/>
      <c r="HZN100" s="142"/>
      <c r="HZO100" s="142"/>
      <c r="HZP100" s="142"/>
      <c r="HZQ100" s="142"/>
      <c r="HZR100" s="142"/>
      <c r="HZS100" s="142"/>
      <c r="HZT100" s="142"/>
      <c r="HZU100" s="142"/>
      <c r="HZV100" s="142"/>
      <c r="HZW100" s="142"/>
      <c r="HZX100" s="142"/>
      <c r="HZY100" s="142"/>
      <c r="HZZ100" s="142"/>
      <c r="IAA100" s="142"/>
      <c r="IAB100" s="142"/>
      <c r="IAC100" s="142"/>
      <c r="IAD100" s="142"/>
      <c r="IAE100" s="142"/>
      <c r="IAF100" s="142"/>
      <c r="IAG100" s="142"/>
      <c r="IAH100" s="142"/>
      <c r="IAI100" s="142"/>
      <c r="IAJ100" s="142"/>
      <c r="IAK100" s="142"/>
      <c r="IAL100" s="142"/>
      <c r="IAM100" s="142"/>
      <c r="IAN100" s="142"/>
      <c r="IAO100" s="142"/>
      <c r="IAP100" s="142"/>
      <c r="IAQ100" s="142"/>
      <c r="IAR100" s="142"/>
      <c r="IAS100" s="142"/>
      <c r="IAT100" s="142"/>
      <c r="IAU100" s="142"/>
      <c r="IAV100" s="142"/>
      <c r="IAW100" s="142"/>
      <c r="IAX100" s="142"/>
      <c r="IAY100" s="142"/>
      <c r="IAZ100" s="142"/>
      <c r="IBA100" s="142"/>
      <c r="IBB100" s="142"/>
      <c r="IBC100" s="142"/>
      <c r="IBD100" s="142"/>
      <c r="IBE100" s="142"/>
      <c r="IBF100" s="142"/>
      <c r="IBG100" s="142"/>
      <c r="IBH100" s="142"/>
      <c r="IBI100" s="142"/>
      <c r="IBJ100" s="142"/>
      <c r="IBK100" s="142"/>
      <c r="IBL100" s="142"/>
      <c r="IBM100" s="142"/>
      <c r="IBN100" s="142"/>
      <c r="IBO100" s="142"/>
      <c r="IBP100" s="142"/>
      <c r="IBQ100" s="142"/>
      <c r="IBR100" s="142"/>
      <c r="IBS100" s="142"/>
      <c r="IBT100" s="142"/>
      <c r="IBU100" s="142"/>
      <c r="IBV100" s="142"/>
      <c r="IBW100" s="142"/>
      <c r="IBX100" s="142"/>
      <c r="IBY100" s="142"/>
      <c r="IBZ100" s="142"/>
      <c r="ICA100" s="142"/>
      <c r="ICB100" s="142"/>
      <c r="ICC100" s="142"/>
      <c r="ICD100" s="142"/>
      <c r="ICE100" s="142"/>
      <c r="ICF100" s="142"/>
      <c r="ICG100" s="142"/>
      <c r="ICH100" s="142"/>
      <c r="ICI100" s="142"/>
      <c r="ICJ100" s="142"/>
      <c r="ICK100" s="142"/>
      <c r="ICL100" s="142"/>
      <c r="ICM100" s="142"/>
      <c r="ICN100" s="142"/>
      <c r="ICO100" s="142"/>
      <c r="ICP100" s="142"/>
      <c r="ICQ100" s="142"/>
      <c r="ICR100" s="142"/>
      <c r="ICS100" s="142"/>
      <c r="ICT100" s="142"/>
      <c r="ICU100" s="142"/>
      <c r="ICV100" s="142"/>
      <c r="ICW100" s="142"/>
      <c r="ICX100" s="142"/>
      <c r="ICY100" s="142"/>
      <c r="ICZ100" s="142"/>
      <c r="IDA100" s="142"/>
      <c r="IDB100" s="142"/>
      <c r="IDC100" s="142"/>
      <c r="IDD100" s="142"/>
      <c r="IDE100" s="142"/>
      <c r="IDF100" s="142"/>
      <c r="IDG100" s="142"/>
      <c r="IDH100" s="142"/>
      <c r="IDI100" s="142"/>
      <c r="IDJ100" s="142"/>
      <c r="IDK100" s="142"/>
      <c r="IDL100" s="142"/>
      <c r="IDM100" s="142"/>
      <c r="IDN100" s="142"/>
      <c r="IDO100" s="142"/>
      <c r="IDP100" s="142"/>
      <c r="IDQ100" s="142"/>
      <c r="IDR100" s="142"/>
      <c r="IDS100" s="142"/>
      <c r="IDT100" s="142"/>
      <c r="IDU100" s="142"/>
      <c r="IDV100" s="142"/>
      <c r="IDW100" s="142"/>
      <c r="IDX100" s="142"/>
      <c r="IDY100" s="142"/>
      <c r="IDZ100" s="142"/>
      <c r="IEA100" s="142"/>
      <c r="IEB100" s="142"/>
      <c r="IEC100" s="142"/>
      <c r="IED100" s="142"/>
      <c r="IEE100" s="142"/>
      <c r="IEF100" s="142"/>
      <c r="IEG100" s="142"/>
      <c r="IEH100" s="142"/>
      <c r="IEI100" s="142"/>
      <c r="IEJ100" s="142"/>
      <c r="IEK100" s="142"/>
      <c r="IEL100" s="142"/>
      <c r="IEM100" s="142"/>
      <c r="IEN100" s="142"/>
      <c r="IEO100" s="142"/>
      <c r="IEP100" s="142"/>
      <c r="IEQ100" s="142"/>
      <c r="IER100" s="142"/>
      <c r="IES100" s="142"/>
      <c r="IET100" s="142"/>
      <c r="IEU100" s="142"/>
      <c r="IEV100" s="142"/>
      <c r="IEW100" s="142"/>
      <c r="IEX100" s="142"/>
      <c r="IEY100" s="142"/>
      <c r="IEZ100" s="142"/>
      <c r="IFA100" s="142"/>
      <c r="IFB100" s="142"/>
      <c r="IFC100" s="142"/>
      <c r="IFD100" s="142"/>
      <c r="IFE100" s="142"/>
      <c r="IFF100" s="142"/>
      <c r="IFG100" s="142"/>
      <c r="IFH100" s="142"/>
      <c r="IFI100" s="142"/>
      <c r="IFJ100" s="142"/>
      <c r="IFK100" s="142"/>
      <c r="IFL100" s="142"/>
      <c r="IFM100" s="142"/>
      <c r="IFN100" s="142"/>
      <c r="IFO100" s="142"/>
      <c r="IFP100" s="142"/>
      <c r="IFQ100" s="142"/>
      <c r="IFR100" s="142"/>
      <c r="IFS100" s="142"/>
      <c r="IFT100" s="142"/>
      <c r="IFU100" s="142"/>
      <c r="IFV100" s="142"/>
      <c r="IFW100" s="142"/>
      <c r="IFX100" s="142"/>
      <c r="IFY100" s="142"/>
      <c r="IFZ100" s="142"/>
      <c r="IGA100" s="142"/>
      <c r="IGB100" s="142"/>
      <c r="IGC100" s="142"/>
      <c r="IGD100" s="142"/>
      <c r="IGE100" s="142"/>
      <c r="IGF100" s="142"/>
      <c r="IGG100" s="142"/>
      <c r="IGH100" s="142"/>
      <c r="IGI100" s="142"/>
      <c r="IGJ100" s="142"/>
      <c r="IGK100" s="142"/>
      <c r="IGL100" s="142"/>
      <c r="IGM100" s="142"/>
      <c r="IGN100" s="142"/>
      <c r="IGO100" s="142"/>
      <c r="IGP100" s="142"/>
      <c r="IGQ100" s="142"/>
      <c r="IGR100" s="142"/>
      <c r="IGS100" s="142"/>
      <c r="IGT100" s="142"/>
      <c r="IGU100" s="142"/>
      <c r="IGV100" s="142"/>
      <c r="IGW100" s="142"/>
      <c r="IGX100" s="142"/>
      <c r="IGY100" s="142"/>
      <c r="IGZ100" s="142"/>
      <c r="IHA100" s="142"/>
      <c r="IHB100" s="142"/>
      <c r="IHC100" s="142"/>
      <c r="IHD100" s="142"/>
      <c r="IHE100" s="142"/>
      <c r="IHF100" s="142"/>
      <c r="IHG100" s="142"/>
      <c r="IHH100" s="142"/>
      <c r="IHI100" s="142"/>
      <c r="IHJ100" s="142"/>
      <c r="IHK100" s="142"/>
      <c r="IHL100" s="142"/>
      <c r="IHM100" s="142"/>
      <c r="IHN100" s="142"/>
      <c r="IHO100" s="142"/>
      <c r="IHP100" s="142"/>
      <c r="IHQ100" s="142"/>
      <c r="IHR100" s="142"/>
      <c r="IHS100" s="142"/>
      <c r="IHT100" s="142"/>
      <c r="IHU100" s="142"/>
      <c r="IHV100" s="142"/>
      <c r="IHW100" s="142"/>
      <c r="IHX100" s="142"/>
      <c r="IHY100" s="142"/>
      <c r="IHZ100" s="142"/>
      <c r="IIA100" s="142"/>
      <c r="IIB100" s="142"/>
      <c r="IIC100" s="142"/>
      <c r="IID100" s="142"/>
      <c r="IIE100" s="142"/>
      <c r="IIF100" s="142"/>
      <c r="IIG100" s="142"/>
      <c r="IIH100" s="142"/>
      <c r="III100" s="142"/>
      <c r="IIJ100" s="142"/>
      <c r="IIK100" s="142"/>
      <c r="IIL100" s="142"/>
      <c r="IIM100" s="142"/>
      <c r="IIN100" s="142"/>
      <c r="IIO100" s="142"/>
      <c r="IIP100" s="142"/>
      <c r="IIQ100" s="142"/>
      <c r="IIR100" s="142"/>
      <c r="IIS100" s="142"/>
      <c r="IIT100" s="142"/>
      <c r="IIU100" s="142"/>
      <c r="IIV100" s="142"/>
      <c r="IIW100" s="142"/>
      <c r="IIX100" s="142"/>
      <c r="IIY100" s="142"/>
      <c r="IIZ100" s="142"/>
      <c r="IJA100" s="142"/>
      <c r="IJB100" s="142"/>
      <c r="IJC100" s="142"/>
      <c r="IJD100" s="142"/>
      <c r="IJE100" s="142"/>
      <c r="IJF100" s="142"/>
      <c r="IJG100" s="142"/>
      <c r="IJH100" s="142"/>
      <c r="IJI100" s="142"/>
      <c r="IJJ100" s="142"/>
      <c r="IJK100" s="142"/>
      <c r="IJL100" s="142"/>
      <c r="IJM100" s="142"/>
      <c r="IJN100" s="142"/>
      <c r="IJO100" s="142"/>
      <c r="IJP100" s="142"/>
      <c r="IJQ100" s="142"/>
      <c r="IJR100" s="142"/>
      <c r="IJS100" s="142"/>
      <c r="IJT100" s="142"/>
      <c r="IJU100" s="142"/>
      <c r="IJV100" s="142"/>
      <c r="IJW100" s="142"/>
      <c r="IJX100" s="142"/>
      <c r="IJY100" s="142"/>
      <c r="IJZ100" s="142"/>
      <c r="IKA100" s="142"/>
      <c r="IKB100" s="142"/>
      <c r="IKC100" s="142"/>
      <c r="IKD100" s="142"/>
      <c r="IKE100" s="142"/>
      <c r="IKF100" s="142"/>
      <c r="IKG100" s="142"/>
      <c r="IKH100" s="142"/>
      <c r="IKI100" s="142"/>
      <c r="IKJ100" s="142"/>
      <c r="IKK100" s="142"/>
      <c r="IKL100" s="142"/>
      <c r="IKM100" s="142"/>
      <c r="IKN100" s="142"/>
      <c r="IKO100" s="142"/>
      <c r="IKP100" s="142"/>
      <c r="IKQ100" s="142"/>
      <c r="IKR100" s="142"/>
      <c r="IKS100" s="142"/>
      <c r="IKT100" s="142"/>
      <c r="IKU100" s="142"/>
      <c r="IKV100" s="142"/>
      <c r="IKW100" s="142"/>
      <c r="IKX100" s="142"/>
      <c r="IKY100" s="142"/>
      <c r="IKZ100" s="142"/>
      <c r="ILA100" s="142"/>
      <c r="ILB100" s="142"/>
      <c r="ILC100" s="142"/>
      <c r="ILD100" s="142"/>
      <c r="ILE100" s="142"/>
      <c r="ILF100" s="142"/>
      <c r="ILG100" s="142"/>
      <c r="ILH100" s="142"/>
      <c r="ILI100" s="142"/>
      <c r="ILJ100" s="142"/>
      <c r="ILK100" s="142"/>
      <c r="ILL100" s="142"/>
      <c r="ILM100" s="142"/>
      <c r="ILN100" s="142"/>
      <c r="ILO100" s="142"/>
      <c r="ILP100" s="142"/>
      <c r="ILQ100" s="142"/>
      <c r="ILR100" s="142"/>
      <c r="ILS100" s="142"/>
      <c r="ILT100" s="142"/>
      <c r="ILU100" s="142"/>
      <c r="ILV100" s="142"/>
      <c r="ILW100" s="142"/>
      <c r="ILX100" s="142"/>
      <c r="ILY100" s="142"/>
      <c r="ILZ100" s="142"/>
      <c r="IMA100" s="142"/>
      <c r="IMB100" s="142"/>
      <c r="IMC100" s="142"/>
      <c r="IMD100" s="142"/>
      <c r="IME100" s="142"/>
      <c r="IMF100" s="142"/>
      <c r="IMG100" s="142"/>
      <c r="IMH100" s="142"/>
      <c r="IMI100" s="142"/>
      <c r="IMJ100" s="142"/>
      <c r="IMK100" s="142"/>
      <c r="IML100" s="142"/>
      <c r="IMM100" s="142"/>
      <c r="IMN100" s="142"/>
      <c r="IMO100" s="142"/>
      <c r="IMP100" s="142"/>
      <c r="IMQ100" s="142"/>
      <c r="IMR100" s="142"/>
      <c r="IMS100" s="142"/>
      <c r="IMT100" s="142"/>
      <c r="IMU100" s="142"/>
      <c r="IMV100" s="142"/>
      <c r="IMW100" s="142"/>
      <c r="IMX100" s="142"/>
      <c r="IMY100" s="142"/>
      <c r="IMZ100" s="142"/>
      <c r="INA100" s="142"/>
      <c r="INB100" s="142"/>
      <c r="INC100" s="142"/>
      <c r="IND100" s="142"/>
      <c r="INE100" s="142"/>
      <c r="INF100" s="142"/>
      <c r="ING100" s="142"/>
      <c r="INH100" s="142"/>
      <c r="INI100" s="142"/>
      <c r="INJ100" s="142"/>
      <c r="INK100" s="142"/>
      <c r="INL100" s="142"/>
      <c r="INM100" s="142"/>
      <c r="INN100" s="142"/>
      <c r="INO100" s="142"/>
      <c r="INP100" s="142"/>
      <c r="INQ100" s="142"/>
      <c r="INR100" s="142"/>
      <c r="INS100" s="142"/>
      <c r="INT100" s="142"/>
      <c r="INU100" s="142"/>
      <c r="INV100" s="142"/>
      <c r="INW100" s="142"/>
      <c r="INX100" s="142"/>
      <c r="INY100" s="142"/>
      <c r="INZ100" s="142"/>
      <c r="IOA100" s="142"/>
      <c r="IOB100" s="142"/>
      <c r="IOC100" s="142"/>
      <c r="IOD100" s="142"/>
      <c r="IOE100" s="142"/>
      <c r="IOF100" s="142"/>
      <c r="IOG100" s="142"/>
      <c r="IOH100" s="142"/>
      <c r="IOI100" s="142"/>
      <c r="IOJ100" s="142"/>
      <c r="IOK100" s="142"/>
      <c r="IOL100" s="142"/>
      <c r="IOM100" s="142"/>
      <c r="ION100" s="142"/>
      <c r="IOO100" s="142"/>
      <c r="IOP100" s="142"/>
      <c r="IOQ100" s="142"/>
      <c r="IOR100" s="142"/>
      <c r="IOS100" s="142"/>
      <c r="IOT100" s="142"/>
      <c r="IOU100" s="142"/>
      <c r="IOV100" s="142"/>
      <c r="IOW100" s="142"/>
      <c r="IOX100" s="142"/>
      <c r="IOY100" s="142"/>
      <c r="IOZ100" s="142"/>
      <c r="IPA100" s="142"/>
      <c r="IPB100" s="142"/>
      <c r="IPC100" s="142"/>
      <c r="IPD100" s="142"/>
      <c r="IPE100" s="142"/>
      <c r="IPF100" s="142"/>
      <c r="IPG100" s="142"/>
      <c r="IPH100" s="142"/>
      <c r="IPI100" s="142"/>
      <c r="IPJ100" s="142"/>
      <c r="IPK100" s="142"/>
      <c r="IPL100" s="142"/>
      <c r="IPM100" s="142"/>
      <c r="IPN100" s="142"/>
      <c r="IPO100" s="142"/>
      <c r="IPP100" s="142"/>
      <c r="IPQ100" s="142"/>
      <c r="IPR100" s="142"/>
      <c r="IPS100" s="142"/>
      <c r="IPT100" s="142"/>
      <c r="IPU100" s="142"/>
      <c r="IPV100" s="142"/>
      <c r="IPW100" s="142"/>
      <c r="IPX100" s="142"/>
      <c r="IPY100" s="142"/>
      <c r="IPZ100" s="142"/>
      <c r="IQA100" s="142"/>
      <c r="IQB100" s="142"/>
      <c r="IQC100" s="142"/>
      <c r="IQD100" s="142"/>
      <c r="IQE100" s="142"/>
      <c r="IQF100" s="142"/>
      <c r="IQG100" s="142"/>
      <c r="IQH100" s="142"/>
      <c r="IQI100" s="142"/>
      <c r="IQJ100" s="142"/>
      <c r="IQK100" s="142"/>
      <c r="IQL100" s="142"/>
      <c r="IQM100" s="142"/>
      <c r="IQN100" s="142"/>
      <c r="IQO100" s="142"/>
      <c r="IQP100" s="142"/>
      <c r="IQQ100" s="142"/>
      <c r="IQR100" s="142"/>
      <c r="IQS100" s="142"/>
      <c r="IQT100" s="142"/>
      <c r="IQU100" s="142"/>
      <c r="IQV100" s="142"/>
      <c r="IQW100" s="142"/>
      <c r="IQX100" s="142"/>
      <c r="IQY100" s="142"/>
      <c r="IQZ100" s="142"/>
      <c r="IRA100" s="142"/>
      <c r="IRB100" s="142"/>
      <c r="IRC100" s="142"/>
      <c r="IRD100" s="142"/>
      <c r="IRE100" s="142"/>
      <c r="IRF100" s="142"/>
      <c r="IRG100" s="142"/>
      <c r="IRH100" s="142"/>
      <c r="IRI100" s="142"/>
      <c r="IRJ100" s="142"/>
      <c r="IRK100" s="142"/>
      <c r="IRL100" s="142"/>
      <c r="IRM100" s="142"/>
      <c r="IRN100" s="142"/>
      <c r="IRO100" s="142"/>
      <c r="IRP100" s="142"/>
      <c r="IRQ100" s="142"/>
      <c r="IRR100" s="142"/>
      <c r="IRS100" s="142"/>
      <c r="IRT100" s="142"/>
      <c r="IRU100" s="142"/>
      <c r="IRV100" s="142"/>
      <c r="IRW100" s="142"/>
      <c r="IRX100" s="142"/>
      <c r="IRY100" s="142"/>
      <c r="IRZ100" s="142"/>
      <c r="ISA100" s="142"/>
      <c r="ISB100" s="142"/>
      <c r="ISC100" s="142"/>
      <c r="ISD100" s="142"/>
      <c r="ISE100" s="142"/>
      <c r="ISF100" s="142"/>
      <c r="ISG100" s="142"/>
      <c r="ISH100" s="142"/>
      <c r="ISI100" s="142"/>
      <c r="ISJ100" s="142"/>
      <c r="ISK100" s="142"/>
      <c r="ISL100" s="142"/>
      <c r="ISM100" s="142"/>
      <c r="ISN100" s="142"/>
      <c r="ISO100" s="142"/>
      <c r="ISP100" s="142"/>
      <c r="ISQ100" s="142"/>
      <c r="ISR100" s="142"/>
      <c r="ISS100" s="142"/>
      <c r="IST100" s="142"/>
      <c r="ISU100" s="142"/>
      <c r="ISV100" s="142"/>
      <c r="ISW100" s="142"/>
      <c r="ISX100" s="142"/>
      <c r="ISY100" s="142"/>
      <c r="ISZ100" s="142"/>
      <c r="ITA100" s="142"/>
      <c r="ITB100" s="142"/>
      <c r="ITC100" s="142"/>
      <c r="ITD100" s="142"/>
      <c r="ITE100" s="142"/>
      <c r="ITF100" s="142"/>
      <c r="ITG100" s="142"/>
      <c r="ITH100" s="142"/>
      <c r="ITI100" s="142"/>
      <c r="ITJ100" s="142"/>
      <c r="ITK100" s="142"/>
      <c r="ITL100" s="142"/>
      <c r="ITM100" s="142"/>
      <c r="ITN100" s="142"/>
      <c r="ITO100" s="142"/>
      <c r="ITP100" s="142"/>
      <c r="ITQ100" s="142"/>
      <c r="ITR100" s="142"/>
      <c r="ITS100" s="142"/>
      <c r="ITT100" s="142"/>
      <c r="ITU100" s="142"/>
      <c r="ITV100" s="142"/>
      <c r="ITW100" s="142"/>
      <c r="ITX100" s="142"/>
      <c r="ITY100" s="142"/>
      <c r="ITZ100" s="142"/>
      <c r="IUA100" s="142"/>
      <c r="IUB100" s="142"/>
      <c r="IUC100" s="142"/>
      <c r="IUD100" s="142"/>
      <c r="IUE100" s="142"/>
      <c r="IUF100" s="142"/>
      <c r="IUG100" s="142"/>
      <c r="IUH100" s="142"/>
      <c r="IUI100" s="142"/>
      <c r="IUJ100" s="142"/>
      <c r="IUK100" s="142"/>
      <c r="IUL100" s="142"/>
      <c r="IUM100" s="142"/>
      <c r="IUN100" s="142"/>
      <c r="IUO100" s="142"/>
      <c r="IUP100" s="142"/>
      <c r="IUQ100" s="142"/>
      <c r="IUR100" s="142"/>
      <c r="IUS100" s="142"/>
      <c r="IUT100" s="142"/>
      <c r="IUU100" s="142"/>
      <c r="IUV100" s="142"/>
      <c r="IUW100" s="142"/>
      <c r="IUX100" s="142"/>
      <c r="IUY100" s="142"/>
      <c r="IUZ100" s="142"/>
      <c r="IVA100" s="142"/>
      <c r="IVB100" s="142"/>
      <c r="IVC100" s="142"/>
      <c r="IVD100" s="142"/>
      <c r="IVE100" s="142"/>
      <c r="IVF100" s="142"/>
      <c r="IVG100" s="142"/>
      <c r="IVH100" s="142"/>
      <c r="IVI100" s="142"/>
      <c r="IVJ100" s="142"/>
      <c r="IVK100" s="142"/>
      <c r="IVL100" s="142"/>
      <c r="IVM100" s="142"/>
      <c r="IVN100" s="142"/>
      <c r="IVO100" s="142"/>
      <c r="IVP100" s="142"/>
      <c r="IVQ100" s="142"/>
      <c r="IVR100" s="142"/>
      <c r="IVS100" s="142"/>
      <c r="IVT100" s="142"/>
      <c r="IVU100" s="142"/>
      <c r="IVV100" s="142"/>
      <c r="IVW100" s="142"/>
      <c r="IVX100" s="142"/>
      <c r="IVY100" s="142"/>
      <c r="IVZ100" s="142"/>
      <c r="IWA100" s="142"/>
      <c r="IWB100" s="142"/>
      <c r="IWC100" s="142"/>
      <c r="IWD100" s="142"/>
      <c r="IWE100" s="142"/>
      <c r="IWF100" s="142"/>
      <c r="IWG100" s="142"/>
      <c r="IWH100" s="142"/>
      <c r="IWI100" s="142"/>
      <c r="IWJ100" s="142"/>
      <c r="IWK100" s="142"/>
      <c r="IWL100" s="142"/>
      <c r="IWM100" s="142"/>
      <c r="IWN100" s="142"/>
      <c r="IWO100" s="142"/>
      <c r="IWP100" s="142"/>
      <c r="IWQ100" s="142"/>
      <c r="IWR100" s="142"/>
      <c r="IWS100" s="142"/>
      <c r="IWT100" s="142"/>
      <c r="IWU100" s="142"/>
      <c r="IWV100" s="142"/>
      <c r="IWW100" s="142"/>
      <c r="IWX100" s="142"/>
      <c r="IWY100" s="142"/>
      <c r="IWZ100" s="142"/>
      <c r="IXA100" s="142"/>
      <c r="IXB100" s="142"/>
      <c r="IXC100" s="142"/>
      <c r="IXD100" s="142"/>
      <c r="IXE100" s="142"/>
      <c r="IXF100" s="142"/>
      <c r="IXG100" s="142"/>
      <c r="IXH100" s="142"/>
      <c r="IXI100" s="142"/>
      <c r="IXJ100" s="142"/>
      <c r="IXK100" s="142"/>
      <c r="IXL100" s="142"/>
      <c r="IXM100" s="142"/>
      <c r="IXN100" s="142"/>
      <c r="IXO100" s="142"/>
      <c r="IXP100" s="142"/>
      <c r="IXQ100" s="142"/>
      <c r="IXR100" s="142"/>
      <c r="IXS100" s="142"/>
      <c r="IXT100" s="142"/>
      <c r="IXU100" s="142"/>
      <c r="IXV100" s="142"/>
      <c r="IXW100" s="142"/>
      <c r="IXX100" s="142"/>
      <c r="IXY100" s="142"/>
      <c r="IXZ100" s="142"/>
      <c r="IYA100" s="142"/>
      <c r="IYB100" s="142"/>
      <c r="IYC100" s="142"/>
      <c r="IYD100" s="142"/>
      <c r="IYE100" s="142"/>
      <c r="IYF100" s="142"/>
      <c r="IYG100" s="142"/>
      <c r="IYH100" s="142"/>
      <c r="IYI100" s="142"/>
      <c r="IYJ100" s="142"/>
      <c r="IYK100" s="142"/>
      <c r="IYL100" s="142"/>
      <c r="IYM100" s="142"/>
      <c r="IYN100" s="142"/>
      <c r="IYO100" s="142"/>
      <c r="IYP100" s="142"/>
      <c r="IYQ100" s="142"/>
      <c r="IYR100" s="142"/>
      <c r="IYS100" s="142"/>
      <c r="IYT100" s="142"/>
      <c r="IYU100" s="142"/>
      <c r="IYV100" s="142"/>
      <c r="IYW100" s="142"/>
      <c r="IYX100" s="142"/>
      <c r="IYY100" s="142"/>
      <c r="IYZ100" s="142"/>
      <c r="IZA100" s="142"/>
      <c r="IZB100" s="142"/>
      <c r="IZC100" s="142"/>
      <c r="IZD100" s="142"/>
      <c r="IZE100" s="142"/>
      <c r="IZF100" s="142"/>
      <c r="IZG100" s="142"/>
      <c r="IZH100" s="142"/>
      <c r="IZI100" s="142"/>
      <c r="IZJ100" s="142"/>
      <c r="IZK100" s="142"/>
      <c r="IZL100" s="142"/>
      <c r="IZM100" s="142"/>
      <c r="IZN100" s="142"/>
      <c r="IZO100" s="142"/>
      <c r="IZP100" s="142"/>
      <c r="IZQ100" s="142"/>
      <c r="IZR100" s="142"/>
      <c r="IZS100" s="142"/>
      <c r="IZT100" s="142"/>
      <c r="IZU100" s="142"/>
      <c r="IZV100" s="142"/>
      <c r="IZW100" s="142"/>
      <c r="IZX100" s="142"/>
      <c r="IZY100" s="142"/>
      <c r="IZZ100" s="142"/>
      <c r="JAA100" s="142"/>
      <c r="JAB100" s="142"/>
      <c r="JAC100" s="142"/>
      <c r="JAD100" s="142"/>
      <c r="JAE100" s="142"/>
      <c r="JAF100" s="142"/>
      <c r="JAG100" s="142"/>
      <c r="JAH100" s="142"/>
      <c r="JAI100" s="142"/>
      <c r="JAJ100" s="142"/>
      <c r="JAK100" s="142"/>
      <c r="JAL100" s="142"/>
      <c r="JAM100" s="142"/>
      <c r="JAN100" s="142"/>
      <c r="JAO100" s="142"/>
      <c r="JAP100" s="142"/>
      <c r="JAQ100" s="142"/>
      <c r="JAR100" s="142"/>
      <c r="JAS100" s="142"/>
      <c r="JAT100" s="142"/>
      <c r="JAU100" s="142"/>
      <c r="JAV100" s="142"/>
      <c r="JAW100" s="142"/>
      <c r="JAX100" s="142"/>
      <c r="JAY100" s="142"/>
      <c r="JAZ100" s="142"/>
      <c r="JBA100" s="142"/>
      <c r="JBB100" s="142"/>
      <c r="JBC100" s="142"/>
      <c r="JBD100" s="142"/>
      <c r="JBE100" s="142"/>
      <c r="JBF100" s="142"/>
      <c r="JBG100" s="142"/>
      <c r="JBH100" s="142"/>
      <c r="JBI100" s="142"/>
      <c r="JBJ100" s="142"/>
      <c r="JBK100" s="142"/>
      <c r="JBL100" s="142"/>
      <c r="JBM100" s="142"/>
      <c r="JBN100" s="142"/>
      <c r="JBO100" s="142"/>
      <c r="JBP100" s="142"/>
      <c r="JBQ100" s="142"/>
      <c r="JBR100" s="142"/>
      <c r="JBS100" s="142"/>
      <c r="JBT100" s="142"/>
      <c r="JBU100" s="142"/>
      <c r="JBV100" s="142"/>
      <c r="JBW100" s="142"/>
      <c r="JBX100" s="142"/>
      <c r="JBY100" s="142"/>
      <c r="JBZ100" s="142"/>
      <c r="JCA100" s="142"/>
      <c r="JCB100" s="142"/>
      <c r="JCC100" s="142"/>
      <c r="JCD100" s="142"/>
      <c r="JCE100" s="142"/>
      <c r="JCF100" s="142"/>
      <c r="JCG100" s="142"/>
      <c r="JCH100" s="142"/>
      <c r="JCI100" s="142"/>
      <c r="JCJ100" s="142"/>
      <c r="JCK100" s="142"/>
      <c r="JCL100" s="142"/>
      <c r="JCM100" s="142"/>
      <c r="JCN100" s="142"/>
      <c r="JCO100" s="142"/>
      <c r="JCP100" s="142"/>
      <c r="JCQ100" s="142"/>
      <c r="JCR100" s="142"/>
      <c r="JCS100" s="142"/>
      <c r="JCT100" s="142"/>
      <c r="JCU100" s="142"/>
      <c r="JCV100" s="142"/>
      <c r="JCW100" s="142"/>
      <c r="JCX100" s="142"/>
      <c r="JCY100" s="142"/>
      <c r="JCZ100" s="142"/>
      <c r="JDA100" s="142"/>
      <c r="JDB100" s="142"/>
      <c r="JDC100" s="142"/>
      <c r="JDD100" s="142"/>
      <c r="JDE100" s="142"/>
      <c r="JDF100" s="142"/>
      <c r="JDG100" s="142"/>
      <c r="JDH100" s="142"/>
      <c r="JDI100" s="142"/>
      <c r="JDJ100" s="142"/>
      <c r="JDK100" s="142"/>
      <c r="JDL100" s="142"/>
      <c r="JDM100" s="142"/>
      <c r="JDN100" s="142"/>
      <c r="JDO100" s="142"/>
      <c r="JDP100" s="142"/>
      <c r="JDQ100" s="142"/>
      <c r="JDR100" s="142"/>
      <c r="JDS100" s="142"/>
      <c r="JDT100" s="142"/>
      <c r="JDU100" s="142"/>
      <c r="JDV100" s="142"/>
      <c r="JDW100" s="142"/>
      <c r="JDX100" s="142"/>
      <c r="JDY100" s="142"/>
      <c r="JDZ100" s="142"/>
      <c r="JEA100" s="142"/>
      <c r="JEB100" s="142"/>
      <c r="JEC100" s="142"/>
      <c r="JED100" s="142"/>
      <c r="JEE100" s="142"/>
      <c r="JEF100" s="142"/>
      <c r="JEG100" s="142"/>
      <c r="JEH100" s="142"/>
      <c r="JEI100" s="142"/>
      <c r="JEJ100" s="142"/>
      <c r="JEK100" s="142"/>
      <c r="JEL100" s="142"/>
      <c r="JEM100" s="142"/>
      <c r="JEN100" s="142"/>
      <c r="JEO100" s="142"/>
      <c r="JEP100" s="142"/>
      <c r="JEQ100" s="142"/>
      <c r="JER100" s="142"/>
      <c r="JES100" s="142"/>
      <c r="JET100" s="142"/>
      <c r="JEU100" s="142"/>
      <c r="JEV100" s="142"/>
      <c r="JEW100" s="142"/>
      <c r="JEX100" s="142"/>
      <c r="JEY100" s="142"/>
      <c r="JEZ100" s="142"/>
      <c r="JFA100" s="142"/>
      <c r="JFB100" s="142"/>
      <c r="JFC100" s="142"/>
      <c r="JFD100" s="142"/>
      <c r="JFE100" s="142"/>
      <c r="JFF100" s="142"/>
      <c r="JFG100" s="142"/>
      <c r="JFH100" s="142"/>
      <c r="JFI100" s="142"/>
      <c r="JFJ100" s="142"/>
      <c r="JFK100" s="142"/>
      <c r="JFL100" s="142"/>
      <c r="JFM100" s="142"/>
      <c r="JFN100" s="142"/>
      <c r="JFO100" s="142"/>
      <c r="JFP100" s="142"/>
      <c r="JFQ100" s="142"/>
      <c r="JFR100" s="142"/>
      <c r="JFS100" s="142"/>
      <c r="JFT100" s="142"/>
      <c r="JFU100" s="142"/>
      <c r="JFV100" s="142"/>
      <c r="JFW100" s="142"/>
      <c r="JFX100" s="142"/>
      <c r="JFY100" s="142"/>
      <c r="JFZ100" s="142"/>
      <c r="JGA100" s="142"/>
      <c r="JGB100" s="142"/>
      <c r="JGC100" s="142"/>
      <c r="JGD100" s="142"/>
      <c r="JGE100" s="142"/>
      <c r="JGF100" s="142"/>
      <c r="JGG100" s="142"/>
      <c r="JGH100" s="142"/>
      <c r="JGI100" s="142"/>
      <c r="JGJ100" s="142"/>
      <c r="JGK100" s="142"/>
      <c r="JGL100" s="142"/>
      <c r="JGM100" s="142"/>
      <c r="JGN100" s="142"/>
      <c r="JGO100" s="142"/>
      <c r="JGP100" s="142"/>
      <c r="JGQ100" s="142"/>
      <c r="JGR100" s="142"/>
      <c r="JGS100" s="142"/>
      <c r="JGT100" s="142"/>
      <c r="JGU100" s="142"/>
      <c r="JGV100" s="142"/>
      <c r="JGW100" s="142"/>
      <c r="JGX100" s="142"/>
      <c r="JGY100" s="142"/>
      <c r="JGZ100" s="142"/>
      <c r="JHA100" s="142"/>
      <c r="JHB100" s="142"/>
      <c r="JHC100" s="142"/>
      <c r="JHD100" s="142"/>
      <c r="JHE100" s="142"/>
      <c r="JHF100" s="142"/>
      <c r="JHG100" s="142"/>
      <c r="JHH100" s="142"/>
      <c r="JHI100" s="142"/>
      <c r="JHJ100" s="142"/>
      <c r="JHK100" s="142"/>
      <c r="JHL100" s="142"/>
      <c r="JHM100" s="142"/>
      <c r="JHN100" s="142"/>
      <c r="JHO100" s="142"/>
      <c r="JHP100" s="142"/>
      <c r="JHQ100" s="142"/>
      <c r="JHR100" s="142"/>
      <c r="JHS100" s="142"/>
      <c r="JHT100" s="142"/>
      <c r="JHU100" s="142"/>
      <c r="JHV100" s="142"/>
      <c r="JHW100" s="142"/>
      <c r="JHX100" s="142"/>
      <c r="JHY100" s="142"/>
      <c r="JHZ100" s="142"/>
      <c r="JIA100" s="142"/>
      <c r="JIB100" s="142"/>
      <c r="JIC100" s="142"/>
      <c r="JID100" s="142"/>
      <c r="JIE100" s="142"/>
      <c r="JIF100" s="142"/>
      <c r="JIG100" s="142"/>
      <c r="JIH100" s="142"/>
      <c r="JII100" s="142"/>
      <c r="JIJ100" s="142"/>
      <c r="JIK100" s="142"/>
      <c r="JIL100" s="142"/>
      <c r="JIM100" s="142"/>
      <c r="JIN100" s="142"/>
      <c r="JIO100" s="142"/>
      <c r="JIP100" s="142"/>
      <c r="JIQ100" s="142"/>
      <c r="JIR100" s="142"/>
      <c r="JIS100" s="142"/>
      <c r="JIT100" s="142"/>
      <c r="JIU100" s="142"/>
      <c r="JIV100" s="142"/>
      <c r="JIW100" s="142"/>
      <c r="JIX100" s="142"/>
      <c r="JIY100" s="142"/>
      <c r="JIZ100" s="142"/>
      <c r="JJA100" s="142"/>
      <c r="JJB100" s="142"/>
      <c r="JJC100" s="142"/>
      <c r="JJD100" s="142"/>
      <c r="JJE100" s="142"/>
      <c r="JJF100" s="142"/>
      <c r="JJG100" s="142"/>
      <c r="JJH100" s="142"/>
      <c r="JJI100" s="142"/>
      <c r="JJJ100" s="142"/>
      <c r="JJK100" s="142"/>
      <c r="JJL100" s="142"/>
      <c r="JJM100" s="142"/>
      <c r="JJN100" s="142"/>
      <c r="JJO100" s="142"/>
      <c r="JJP100" s="142"/>
      <c r="JJQ100" s="142"/>
      <c r="JJR100" s="142"/>
      <c r="JJS100" s="142"/>
      <c r="JJT100" s="142"/>
      <c r="JJU100" s="142"/>
      <c r="JJV100" s="142"/>
      <c r="JJW100" s="142"/>
      <c r="JJX100" s="142"/>
      <c r="JJY100" s="142"/>
      <c r="JJZ100" s="142"/>
      <c r="JKA100" s="142"/>
      <c r="JKB100" s="142"/>
      <c r="JKC100" s="142"/>
      <c r="JKD100" s="142"/>
      <c r="JKE100" s="142"/>
      <c r="JKF100" s="142"/>
      <c r="JKG100" s="142"/>
      <c r="JKH100" s="142"/>
      <c r="JKI100" s="142"/>
      <c r="JKJ100" s="142"/>
      <c r="JKK100" s="142"/>
      <c r="JKL100" s="142"/>
      <c r="JKM100" s="142"/>
      <c r="JKN100" s="142"/>
      <c r="JKO100" s="142"/>
      <c r="JKP100" s="142"/>
      <c r="JKQ100" s="142"/>
      <c r="JKR100" s="142"/>
      <c r="JKS100" s="142"/>
      <c r="JKT100" s="142"/>
      <c r="JKU100" s="142"/>
      <c r="JKV100" s="142"/>
      <c r="JKW100" s="142"/>
      <c r="JKX100" s="142"/>
      <c r="JKY100" s="142"/>
      <c r="JKZ100" s="142"/>
      <c r="JLA100" s="142"/>
      <c r="JLB100" s="142"/>
      <c r="JLC100" s="142"/>
      <c r="JLD100" s="142"/>
      <c r="JLE100" s="142"/>
      <c r="JLF100" s="142"/>
      <c r="JLG100" s="142"/>
      <c r="JLH100" s="142"/>
      <c r="JLI100" s="142"/>
      <c r="JLJ100" s="142"/>
      <c r="JLK100" s="142"/>
      <c r="JLL100" s="142"/>
      <c r="JLM100" s="142"/>
      <c r="JLN100" s="142"/>
      <c r="JLO100" s="142"/>
      <c r="JLP100" s="142"/>
      <c r="JLQ100" s="142"/>
      <c r="JLR100" s="142"/>
      <c r="JLS100" s="142"/>
      <c r="JLT100" s="142"/>
      <c r="JLU100" s="142"/>
      <c r="JLV100" s="142"/>
      <c r="JLW100" s="142"/>
      <c r="JLX100" s="142"/>
      <c r="JLY100" s="142"/>
      <c r="JLZ100" s="142"/>
      <c r="JMA100" s="142"/>
      <c r="JMB100" s="142"/>
      <c r="JMC100" s="142"/>
      <c r="JMD100" s="142"/>
      <c r="JME100" s="142"/>
      <c r="JMF100" s="142"/>
      <c r="JMG100" s="142"/>
      <c r="JMH100" s="142"/>
      <c r="JMI100" s="142"/>
      <c r="JMJ100" s="142"/>
      <c r="JMK100" s="142"/>
      <c r="JML100" s="142"/>
      <c r="JMM100" s="142"/>
      <c r="JMN100" s="142"/>
      <c r="JMO100" s="142"/>
      <c r="JMP100" s="142"/>
      <c r="JMQ100" s="142"/>
      <c r="JMR100" s="142"/>
      <c r="JMS100" s="142"/>
      <c r="JMT100" s="142"/>
      <c r="JMU100" s="142"/>
      <c r="JMV100" s="142"/>
      <c r="JMW100" s="142"/>
      <c r="JMX100" s="142"/>
      <c r="JMY100" s="142"/>
      <c r="JMZ100" s="142"/>
      <c r="JNA100" s="142"/>
      <c r="JNB100" s="142"/>
      <c r="JNC100" s="142"/>
      <c r="JND100" s="142"/>
      <c r="JNE100" s="142"/>
      <c r="JNF100" s="142"/>
      <c r="JNG100" s="142"/>
      <c r="JNH100" s="142"/>
      <c r="JNI100" s="142"/>
      <c r="JNJ100" s="142"/>
      <c r="JNK100" s="142"/>
      <c r="JNL100" s="142"/>
      <c r="JNM100" s="142"/>
      <c r="JNN100" s="142"/>
      <c r="JNO100" s="142"/>
      <c r="JNP100" s="142"/>
      <c r="JNQ100" s="142"/>
      <c r="JNR100" s="142"/>
      <c r="JNS100" s="142"/>
      <c r="JNT100" s="142"/>
      <c r="JNU100" s="142"/>
      <c r="JNV100" s="142"/>
      <c r="JNW100" s="142"/>
      <c r="JNX100" s="142"/>
      <c r="JNY100" s="142"/>
      <c r="JNZ100" s="142"/>
      <c r="JOA100" s="142"/>
      <c r="JOB100" s="142"/>
      <c r="JOC100" s="142"/>
      <c r="JOD100" s="142"/>
      <c r="JOE100" s="142"/>
      <c r="JOF100" s="142"/>
      <c r="JOG100" s="142"/>
      <c r="JOH100" s="142"/>
      <c r="JOI100" s="142"/>
      <c r="JOJ100" s="142"/>
      <c r="JOK100" s="142"/>
      <c r="JOL100" s="142"/>
      <c r="JOM100" s="142"/>
      <c r="JON100" s="142"/>
      <c r="JOO100" s="142"/>
      <c r="JOP100" s="142"/>
      <c r="JOQ100" s="142"/>
      <c r="JOR100" s="142"/>
      <c r="JOS100" s="142"/>
      <c r="JOT100" s="142"/>
      <c r="JOU100" s="142"/>
      <c r="JOV100" s="142"/>
      <c r="JOW100" s="142"/>
      <c r="JOX100" s="142"/>
      <c r="JOY100" s="142"/>
      <c r="JOZ100" s="142"/>
      <c r="JPA100" s="142"/>
      <c r="JPB100" s="142"/>
      <c r="JPC100" s="142"/>
      <c r="JPD100" s="142"/>
      <c r="JPE100" s="142"/>
      <c r="JPF100" s="142"/>
      <c r="JPG100" s="142"/>
      <c r="JPH100" s="142"/>
      <c r="JPI100" s="142"/>
      <c r="JPJ100" s="142"/>
      <c r="JPK100" s="142"/>
      <c r="JPL100" s="142"/>
      <c r="JPM100" s="142"/>
      <c r="JPN100" s="142"/>
      <c r="JPO100" s="142"/>
      <c r="JPP100" s="142"/>
      <c r="JPQ100" s="142"/>
      <c r="JPR100" s="142"/>
      <c r="JPS100" s="142"/>
      <c r="JPT100" s="142"/>
      <c r="JPU100" s="142"/>
      <c r="JPV100" s="142"/>
      <c r="JPW100" s="142"/>
      <c r="JPX100" s="142"/>
      <c r="JPY100" s="142"/>
      <c r="JPZ100" s="142"/>
      <c r="JQA100" s="142"/>
      <c r="JQB100" s="142"/>
      <c r="JQC100" s="142"/>
      <c r="JQD100" s="142"/>
      <c r="JQE100" s="142"/>
      <c r="JQF100" s="142"/>
      <c r="JQG100" s="142"/>
      <c r="JQH100" s="142"/>
      <c r="JQI100" s="142"/>
      <c r="JQJ100" s="142"/>
      <c r="JQK100" s="142"/>
      <c r="JQL100" s="142"/>
      <c r="JQM100" s="142"/>
      <c r="JQN100" s="142"/>
      <c r="JQO100" s="142"/>
      <c r="JQP100" s="142"/>
      <c r="JQQ100" s="142"/>
      <c r="JQR100" s="142"/>
      <c r="JQS100" s="142"/>
      <c r="JQT100" s="142"/>
      <c r="JQU100" s="142"/>
      <c r="JQV100" s="142"/>
      <c r="JQW100" s="142"/>
      <c r="JQX100" s="142"/>
      <c r="JQY100" s="142"/>
      <c r="JQZ100" s="142"/>
      <c r="JRA100" s="142"/>
      <c r="JRB100" s="142"/>
      <c r="JRC100" s="142"/>
      <c r="JRD100" s="142"/>
      <c r="JRE100" s="142"/>
      <c r="JRF100" s="142"/>
      <c r="JRG100" s="142"/>
      <c r="JRH100" s="142"/>
      <c r="JRI100" s="142"/>
      <c r="JRJ100" s="142"/>
      <c r="JRK100" s="142"/>
      <c r="JRL100" s="142"/>
      <c r="JRM100" s="142"/>
      <c r="JRN100" s="142"/>
      <c r="JRO100" s="142"/>
      <c r="JRP100" s="142"/>
      <c r="JRQ100" s="142"/>
      <c r="JRR100" s="142"/>
      <c r="JRS100" s="142"/>
      <c r="JRT100" s="142"/>
      <c r="JRU100" s="142"/>
      <c r="JRV100" s="142"/>
      <c r="JRW100" s="142"/>
      <c r="JRX100" s="142"/>
      <c r="JRY100" s="142"/>
      <c r="JRZ100" s="142"/>
      <c r="JSA100" s="142"/>
      <c r="JSB100" s="142"/>
      <c r="JSC100" s="142"/>
      <c r="JSD100" s="142"/>
      <c r="JSE100" s="142"/>
      <c r="JSF100" s="142"/>
      <c r="JSG100" s="142"/>
      <c r="JSH100" s="142"/>
      <c r="JSI100" s="142"/>
      <c r="JSJ100" s="142"/>
      <c r="JSK100" s="142"/>
      <c r="JSL100" s="142"/>
      <c r="JSM100" s="142"/>
      <c r="JSN100" s="142"/>
      <c r="JSO100" s="142"/>
      <c r="JSP100" s="142"/>
      <c r="JSQ100" s="142"/>
      <c r="JSR100" s="142"/>
      <c r="JSS100" s="142"/>
      <c r="JST100" s="142"/>
      <c r="JSU100" s="142"/>
      <c r="JSV100" s="142"/>
      <c r="JSW100" s="142"/>
      <c r="JSX100" s="142"/>
      <c r="JSY100" s="142"/>
      <c r="JSZ100" s="142"/>
      <c r="JTA100" s="142"/>
      <c r="JTB100" s="142"/>
      <c r="JTC100" s="142"/>
      <c r="JTD100" s="142"/>
      <c r="JTE100" s="142"/>
      <c r="JTF100" s="142"/>
      <c r="JTG100" s="142"/>
      <c r="JTH100" s="142"/>
      <c r="JTI100" s="142"/>
      <c r="JTJ100" s="142"/>
      <c r="JTK100" s="142"/>
      <c r="JTL100" s="142"/>
      <c r="JTM100" s="142"/>
      <c r="JTN100" s="142"/>
      <c r="JTO100" s="142"/>
      <c r="JTP100" s="142"/>
      <c r="JTQ100" s="142"/>
      <c r="JTR100" s="142"/>
      <c r="JTS100" s="142"/>
      <c r="JTT100" s="142"/>
      <c r="JTU100" s="142"/>
      <c r="JTV100" s="142"/>
      <c r="JTW100" s="142"/>
      <c r="JTX100" s="142"/>
      <c r="JTY100" s="142"/>
      <c r="JTZ100" s="142"/>
      <c r="JUA100" s="142"/>
      <c r="JUB100" s="142"/>
      <c r="JUC100" s="142"/>
      <c r="JUD100" s="142"/>
      <c r="JUE100" s="142"/>
      <c r="JUF100" s="142"/>
      <c r="JUG100" s="142"/>
      <c r="JUH100" s="142"/>
      <c r="JUI100" s="142"/>
      <c r="JUJ100" s="142"/>
      <c r="JUK100" s="142"/>
      <c r="JUL100" s="142"/>
      <c r="JUM100" s="142"/>
      <c r="JUN100" s="142"/>
      <c r="JUO100" s="142"/>
      <c r="JUP100" s="142"/>
      <c r="JUQ100" s="142"/>
      <c r="JUR100" s="142"/>
      <c r="JUS100" s="142"/>
      <c r="JUT100" s="142"/>
      <c r="JUU100" s="142"/>
      <c r="JUV100" s="142"/>
      <c r="JUW100" s="142"/>
      <c r="JUX100" s="142"/>
      <c r="JUY100" s="142"/>
      <c r="JUZ100" s="142"/>
      <c r="JVA100" s="142"/>
      <c r="JVB100" s="142"/>
      <c r="JVC100" s="142"/>
      <c r="JVD100" s="142"/>
      <c r="JVE100" s="142"/>
      <c r="JVF100" s="142"/>
      <c r="JVG100" s="142"/>
      <c r="JVH100" s="142"/>
      <c r="JVI100" s="142"/>
      <c r="JVJ100" s="142"/>
      <c r="JVK100" s="142"/>
      <c r="JVL100" s="142"/>
      <c r="JVM100" s="142"/>
      <c r="JVN100" s="142"/>
      <c r="JVO100" s="142"/>
      <c r="JVP100" s="142"/>
      <c r="JVQ100" s="142"/>
      <c r="JVR100" s="142"/>
      <c r="JVS100" s="142"/>
      <c r="JVT100" s="142"/>
      <c r="JVU100" s="142"/>
      <c r="JVV100" s="142"/>
      <c r="JVW100" s="142"/>
      <c r="JVX100" s="142"/>
      <c r="JVY100" s="142"/>
      <c r="JVZ100" s="142"/>
      <c r="JWA100" s="142"/>
      <c r="JWB100" s="142"/>
      <c r="JWC100" s="142"/>
      <c r="JWD100" s="142"/>
      <c r="JWE100" s="142"/>
      <c r="JWF100" s="142"/>
      <c r="JWG100" s="142"/>
      <c r="JWH100" s="142"/>
      <c r="JWI100" s="142"/>
      <c r="JWJ100" s="142"/>
      <c r="JWK100" s="142"/>
      <c r="JWL100" s="142"/>
      <c r="JWM100" s="142"/>
      <c r="JWN100" s="142"/>
      <c r="JWO100" s="142"/>
      <c r="JWP100" s="142"/>
      <c r="JWQ100" s="142"/>
      <c r="JWR100" s="142"/>
      <c r="JWS100" s="142"/>
      <c r="JWT100" s="142"/>
      <c r="JWU100" s="142"/>
      <c r="JWV100" s="142"/>
      <c r="JWW100" s="142"/>
      <c r="JWX100" s="142"/>
      <c r="JWY100" s="142"/>
      <c r="JWZ100" s="142"/>
      <c r="JXA100" s="142"/>
      <c r="JXB100" s="142"/>
      <c r="JXC100" s="142"/>
      <c r="JXD100" s="142"/>
      <c r="JXE100" s="142"/>
      <c r="JXF100" s="142"/>
      <c r="JXG100" s="142"/>
      <c r="JXH100" s="142"/>
      <c r="JXI100" s="142"/>
      <c r="JXJ100" s="142"/>
      <c r="JXK100" s="142"/>
      <c r="JXL100" s="142"/>
      <c r="JXM100" s="142"/>
      <c r="JXN100" s="142"/>
      <c r="JXO100" s="142"/>
      <c r="JXP100" s="142"/>
      <c r="JXQ100" s="142"/>
      <c r="JXR100" s="142"/>
      <c r="JXS100" s="142"/>
      <c r="JXT100" s="142"/>
      <c r="JXU100" s="142"/>
      <c r="JXV100" s="142"/>
      <c r="JXW100" s="142"/>
      <c r="JXX100" s="142"/>
      <c r="JXY100" s="142"/>
      <c r="JXZ100" s="142"/>
      <c r="JYA100" s="142"/>
      <c r="JYB100" s="142"/>
      <c r="JYC100" s="142"/>
      <c r="JYD100" s="142"/>
      <c r="JYE100" s="142"/>
      <c r="JYF100" s="142"/>
      <c r="JYG100" s="142"/>
      <c r="JYH100" s="142"/>
      <c r="JYI100" s="142"/>
      <c r="JYJ100" s="142"/>
      <c r="JYK100" s="142"/>
      <c r="JYL100" s="142"/>
      <c r="JYM100" s="142"/>
      <c r="JYN100" s="142"/>
      <c r="JYO100" s="142"/>
      <c r="JYP100" s="142"/>
      <c r="JYQ100" s="142"/>
      <c r="JYR100" s="142"/>
      <c r="JYS100" s="142"/>
      <c r="JYT100" s="142"/>
      <c r="JYU100" s="142"/>
      <c r="JYV100" s="142"/>
      <c r="JYW100" s="142"/>
      <c r="JYX100" s="142"/>
      <c r="JYY100" s="142"/>
      <c r="JYZ100" s="142"/>
      <c r="JZA100" s="142"/>
      <c r="JZB100" s="142"/>
      <c r="JZC100" s="142"/>
      <c r="JZD100" s="142"/>
      <c r="JZE100" s="142"/>
      <c r="JZF100" s="142"/>
      <c r="JZG100" s="142"/>
      <c r="JZH100" s="142"/>
      <c r="JZI100" s="142"/>
      <c r="JZJ100" s="142"/>
      <c r="JZK100" s="142"/>
      <c r="JZL100" s="142"/>
      <c r="JZM100" s="142"/>
      <c r="JZN100" s="142"/>
      <c r="JZO100" s="142"/>
      <c r="JZP100" s="142"/>
      <c r="JZQ100" s="142"/>
      <c r="JZR100" s="142"/>
      <c r="JZS100" s="142"/>
      <c r="JZT100" s="142"/>
      <c r="JZU100" s="142"/>
      <c r="JZV100" s="142"/>
      <c r="JZW100" s="142"/>
      <c r="JZX100" s="142"/>
      <c r="JZY100" s="142"/>
      <c r="JZZ100" s="142"/>
      <c r="KAA100" s="142"/>
      <c r="KAB100" s="142"/>
      <c r="KAC100" s="142"/>
      <c r="KAD100" s="142"/>
      <c r="KAE100" s="142"/>
      <c r="KAF100" s="142"/>
      <c r="KAG100" s="142"/>
      <c r="KAH100" s="142"/>
      <c r="KAI100" s="142"/>
      <c r="KAJ100" s="142"/>
      <c r="KAK100" s="142"/>
      <c r="KAL100" s="142"/>
      <c r="KAM100" s="142"/>
      <c r="KAN100" s="142"/>
      <c r="KAO100" s="142"/>
      <c r="KAP100" s="142"/>
      <c r="KAQ100" s="142"/>
      <c r="KAR100" s="142"/>
      <c r="KAS100" s="142"/>
      <c r="KAT100" s="142"/>
      <c r="KAU100" s="142"/>
      <c r="KAV100" s="142"/>
      <c r="KAW100" s="142"/>
      <c r="KAX100" s="142"/>
      <c r="KAY100" s="142"/>
      <c r="KAZ100" s="142"/>
      <c r="KBA100" s="142"/>
      <c r="KBB100" s="142"/>
      <c r="KBC100" s="142"/>
      <c r="KBD100" s="142"/>
      <c r="KBE100" s="142"/>
      <c r="KBF100" s="142"/>
      <c r="KBG100" s="142"/>
      <c r="KBH100" s="142"/>
      <c r="KBI100" s="142"/>
      <c r="KBJ100" s="142"/>
      <c r="KBK100" s="142"/>
      <c r="KBL100" s="142"/>
      <c r="KBM100" s="142"/>
      <c r="KBN100" s="142"/>
      <c r="KBO100" s="142"/>
      <c r="KBP100" s="142"/>
      <c r="KBQ100" s="142"/>
      <c r="KBR100" s="142"/>
      <c r="KBS100" s="142"/>
      <c r="KBT100" s="142"/>
      <c r="KBU100" s="142"/>
      <c r="KBV100" s="142"/>
      <c r="KBW100" s="142"/>
      <c r="KBX100" s="142"/>
      <c r="KBY100" s="142"/>
      <c r="KBZ100" s="142"/>
      <c r="KCA100" s="142"/>
      <c r="KCB100" s="142"/>
      <c r="KCC100" s="142"/>
      <c r="KCD100" s="142"/>
      <c r="KCE100" s="142"/>
      <c r="KCF100" s="142"/>
      <c r="KCG100" s="142"/>
      <c r="KCH100" s="142"/>
      <c r="KCI100" s="142"/>
      <c r="KCJ100" s="142"/>
      <c r="KCK100" s="142"/>
      <c r="KCL100" s="142"/>
      <c r="KCM100" s="142"/>
      <c r="KCN100" s="142"/>
      <c r="KCO100" s="142"/>
      <c r="KCP100" s="142"/>
      <c r="KCQ100" s="142"/>
      <c r="KCR100" s="142"/>
      <c r="KCS100" s="142"/>
      <c r="KCT100" s="142"/>
      <c r="KCU100" s="142"/>
      <c r="KCV100" s="142"/>
      <c r="KCW100" s="142"/>
      <c r="KCX100" s="142"/>
      <c r="KCY100" s="142"/>
      <c r="KCZ100" s="142"/>
      <c r="KDA100" s="142"/>
      <c r="KDB100" s="142"/>
      <c r="KDC100" s="142"/>
      <c r="KDD100" s="142"/>
      <c r="KDE100" s="142"/>
      <c r="KDF100" s="142"/>
      <c r="KDG100" s="142"/>
      <c r="KDH100" s="142"/>
      <c r="KDI100" s="142"/>
      <c r="KDJ100" s="142"/>
      <c r="KDK100" s="142"/>
      <c r="KDL100" s="142"/>
      <c r="KDM100" s="142"/>
      <c r="KDN100" s="142"/>
      <c r="KDO100" s="142"/>
      <c r="KDP100" s="142"/>
      <c r="KDQ100" s="142"/>
      <c r="KDR100" s="142"/>
      <c r="KDS100" s="142"/>
      <c r="KDT100" s="142"/>
      <c r="KDU100" s="142"/>
      <c r="KDV100" s="142"/>
      <c r="KDW100" s="142"/>
      <c r="KDX100" s="142"/>
      <c r="KDY100" s="142"/>
      <c r="KDZ100" s="142"/>
      <c r="KEA100" s="142"/>
      <c r="KEB100" s="142"/>
      <c r="KEC100" s="142"/>
      <c r="KED100" s="142"/>
      <c r="KEE100" s="142"/>
      <c r="KEF100" s="142"/>
      <c r="KEG100" s="142"/>
      <c r="KEH100" s="142"/>
      <c r="KEI100" s="142"/>
      <c r="KEJ100" s="142"/>
      <c r="KEK100" s="142"/>
      <c r="KEL100" s="142"/>
      <c r="KEM100" s="142"/>
      <c r="KEN100" s="142"/>
      <c r="KEO100" s="142"/>
      <c r="KEP100" s="142"/>
      <c r="KEQ100" s="142"/>
      <c r="KER100" s="142"/>
      <c r="KES100" s="142"/>
      <c r="KET100" s="142"/>
      <c r="KEU100" s="142"/>
      <c r="KEV100" s="142"/>
      <c r="KEW100" s="142"/>
      <c r="KEX100" s="142"/>
      <c r="KEY100" s="142"/>
      <c r="KEZ100" s="142"/>
      <c r="KFA100" s="142"/>
      <c r="KFB100" s="142"/>
      <c r="KFC100" s="142"/>
      <c r="KFD100" s="142"/>
      <c r="KFE100" s="142"/>
      <c r="KFF100" s="142"/>
      <c r="KFG100" s="142"/>
      <c r="KFH100" s="142"/>
      <c r="KFI100" s="142"/>
      <c r="KFJ100" s="142"/>
      <c r="KFK100" s="142"/>
      <c r="KFL100" s="142"/>
      <c r="KFM100" s="142"/>
      <c r="KFN100" s="142"/>
      <c r="KFO100" s="142"/>
      <c r="KFP100" s="142"/>
      <c r="KFQ100" s="142"/>
      <c r="KFR100" s="142"/>
      <c r="KFS100" s="142"/>
      <c r="KFT100" s="142"/>
      <c r="KFU100" s="142"/>
      <c r="KFV100" s="142"/>
      <c r="KFW100" s="142"/>
      <c r="KFX100" s="142"/>
      <c r="KFY100" s="142"/>
      <c r="KFZ100" s="142"/>
      <c r="KGA100" s="142"/>
      <c r="KGB100" s="142"/>
      <c r="KGC100" s="142"/>
      <c r="KGD100" s="142"/>
      <c r="KGE100" s="142"/>
      <c r="KGF100" s="142"/>
      <c r="KGG100" s="142"/>
      <c r="KGH100" s="142"/>
      <c r="KGI100" s="142"/>
      <c r="KGJ100" s="142"/>
      <c r="KGK100" s="142"/>
      <c r="KGL100" s="142"/>
      <c r="KGM100" s="142"/>
      <c r="KGN100" s="142"/>
      <c r="KGO100" s="142"/>
      <c r="KGP100" s="142"/>
      <c r="KGQ100" s="142"/>
      <c r="KGR100" s="142"/>
      <c r="KGS100" s="142"/>
      <c r="KGT100" s="142"/>
      <c r="KGU100" s="142"/>
      <c r="KGV100" s="142"/>
      <c r="KGW100" s="142"/>
      <c r="KGX100" s="142"/>
      <c r="KGY100" s="142"/>
      <c r="KGZ100" s="142"/>
      <c r="KHA100" s="142"/>
      <c r="KHB100" s="142"/>
      <c r="KHC100" s="142"/>
      <c r="KHD100" s="142"/>
      <c r="KHE100" s="142"/>
      <c r="KHF100" s="142"/>
      <c r="KHG100" s="142"/>
      <c r="KHH100" s="142"/>
      <c r="KHI100" s="142"/>
      <c r="KHJ100" s="142"/>
      <c r="KHK100" s="142"/>
      <c r="KHL100" s="142"/>
      <c r="KHM100" s="142"/>
      <c r="KHN100" s="142"/>
      <c r="KHO100" s="142"/>
      <c r="KHP100" s="142"/>
      <c r="KHQ100" s="142"/>
      <c r="KHR100" s="142"/>
      <c r="KHS100" s="142"/>
      <c r="KHT100" s="142"/>
      <c r="KHU100" s="142"/>
      <c r="KHV100" s="142"/>
      <c r="KHW100" s="142"/>
      <c r="KHX100" s="142"/>
      <c r="KHY100" s="142"/>
      <c r="KHZ100" s="142"/>
      <c r="KIA100" s="142"/>
      <c r="KIB100" s="142"/>
      <c r="KIC100" s="142"/>
      <c r="KID100" s="142"/>
      <c r="KIE100" s="142"/>
      <c r="KIF100" s="142"/>
      <c r="KIG100" s="142"/>
      <c r="KIH100" s="142"/>
      <c r="KII100" s="142"/>
      <c r="KIJ100" s="142"/>
      <c r="KIK100" s="142"/>
      <c r="KIL100" s="142"/>
      <c r="KIM100" s="142"/>
      <c r="KIN100" s="142"/>
      <c r="KIO100" s="142"/>
      <c r="KIP100" s="142"/>
      <c r="KIQ100" s="142"/>
      <c r="KIR100" s="142"/>
      <c r="KIS100" s="142"/>
      <c r="KIT100" s="142"/>
      <c r="KIU100" s="142"/>
      <c r="KIV100" s="142"/>
      <c r="KIW100" s="142"/>
      <c r="KIX100" s="142"/>
      <c r="KIY100" s="142"/>
      <c r="KIZ100" s="142"/>
      <c r="KJA100" s="142"/>
      <c r="KJB100" s="142"/>
      <c r="KJC100" s="142"/>
      <c r="KJD100" s="142"/>
      <c r="KJE100" s="142"/>
      <c r="KJF100" s="142"/>
      <c r="KJG100" s="142"/>
      <c r="KJH100" s="142"/>
      <c r="KJI100" s="142"/>
      <c r="KJJ100" s="142"/>
      <c r="KJK100" s="142"/>
      <c r="KJL100" s="142"/>
      <c r="KJM100" s="142"/>
      <c r="KJN100" s="142"/>
      <c r="KJO100" s="142"/>
      <c r="KJP100" s="142"/>
      <c r="KJQ100" s="142"/>
      <c r="KJR100" s="142"/>
      <c r="KJS100" s="142"/>
      <c r="KJT100" s="142"/>
      <c r="KJU100" s="142"/>
      <c r="KJV100" s="142"/>
      <c r="KJW100" s="142"/>
      <c r="KJX100" s="142"/>
      <c r="KJY100" s="142"/>
      <c r="KJZ100" s="142"/>
      <c r="KKA100" s="142"/>
      <c r="KKB100" s="142"/>
      <c r="KKC100" s="142"/>
      <c r="KKD100" s="142"/>
      <c r="KKE100" s="142"/>
      <c r="KKF100" s="142"/>
      <c r="KKG100" s="142"/>
      <c r="KKH100" s="142"/>
      <c r="KKI100" s="142"/>
      <c r="KKJ100" s="142"/>
      <c r="KKK100" s="142"/>
      <c r="KKL100" s="142"/>
      <c r="KKM100" s="142"/>
      <c r="KKN100" s="142"/>
      <c r="KKO100" s="142"/>
      <c r="KKP100" s="142"/>
      <c r="KKQ100" s="142"/>
      <c r="KKR100" s="142"/>
      <c r="KKS100" s="142"/>
      <c r="KKT100" s="142"/>
      <c r="KKU100" s="142"/>
      <c r="KKV100" s="142"/>
      <c r="KKW100" s="142"/>
      <c r="KKX100" s="142"/>
      <c r="KKY100" s="142"/>
      <c r="KKZ100" s="142"/>
      <c r="KLA100" s="142"/>
      <c r="KLB100" s="142"/>
      <c r="KLC100" s="142"/>
      <c r="KLD100" s="142"/>
      <c r="KLE100" s="142"/>
      <c r="KLF100" s="142"/>
      <c r="KLG100" s="142"/>
      <c r="KLH100" s="142"/>
      <c r="KLI100" s="142"/>
      <c r="KLJ100" s="142"/>
      <c r="KLK100" s="142"/>
      <c r="KLL100" s="142"/>
      <c r="KLM100" s="142"/>
      <c r="KLN100" s="142"/>
      <c r="KLO100" s="142"/>
      <c r="KLP100" s="142"/>
      <c r="KLQ100" s="142"/>
      <c r="KLR100" s="142"/>
      <c r="KLS100" s="142"/>
      <c r="KLT100" s="142"/>
      <c r="KLU100" s="142"/>
      <c r="KLV100" s="142"/>
      <c r="KLW100" s="142"/>
      <c r="KLX100" s="142"/>
      <c r="KLY100" s="142"/>
      <c r="KLZ100" s="142"/>
      <c r="KMA100" s="142"/>
      <c r="KMB100" s="142"/>
      <c r="KMC100" s="142"/>
      <c r="KMD100" s="142"/>
      <c r="KME100" s="142"/>
      <c r="KMF100" s="142"/>
      <c r="KMG100" s="142"/>
      <c r="KMH100" s="142"/>
      <c r="KMI100" s="142"/>
      <c r="KMJ100" s="142"/>
      <c r="KMK100" s="142"/>
      <c r="KML100" s="142"/>
      <c r="KMM100" s="142"/>
      <c r="KMN100" s="142"/>
      <c r="KMO100" s="142"/>
      <c r="KMP100" s="142"/>
      <c r="KMQ100" s="142"/>
      <c r="KMR100" s="142"/>
      <c r="KMS100" s="142"/>
      <c r="KMT100" s="142"/>
      <c r="KMU100" s="142"/>
      <c r="KMV100" s="142"/>
      <c r="KMW100" s="142"/>
      <c r="KMX100" s="142"/>
      <c r="KMY100" s="142"/>
      <c r="KMZ100" s="142"/>
      <c r="KNA100" s="142"/>
      <c r="KNB100" s="142"/>
      <c r="KNC100" s="142"/>
      <c r="KND100" s="142"/>
      <c r="KNE100" s="142"/>
      <c r="KNF100" s="142"/>
      <c r="KNG100" s="142"/>
      <c r="KNH100" s="142"/>
      <c r="KNI100" s="142"/>
      <c r="KNJ100" s="142"/>
      <c r="KNK100" s="142"/>
      <c r="KNL100" s="142"/>
      <c r="KNM100" s="142"/>
      <c r="KNN100" s="142"/>
      <c r="KNO100" s="142"/>
      <c r="KNP100" s="142"/>
      <c r="KNQ100" s="142"/>
      <c r="KNR100" s="142"/>
      <c r="KNS100" s="142"/>
      <c r="KNT100" s="142"/>
      <c r="KNU100" s="142"/>
      <c r="KNV100" s="142"/>
      <c r="KNW100" s="142"/>
      <c r="KNX100" s="142"/>
      <c r="KNY100" s="142"/>
      <c r="KNZ100" s="142"/>
      <c r="KOA100" s="142"/>
      <c r="KOB100" s="142"/>
      <c r="KOC100" s="142"/>
      <c r="KOD100" s="142"/>
      <c r="KOE100" s="142"/>
      <c r="KOF100" s="142"/>
      <c r="KOG100" s="142"/>
      <c r="KOH100" s="142"/>
      <c r="KOI100" s="142"/>
      <c r="KOJ100" s="142"/>
      <c r="KOK100" s="142"/>
      <c r="KOL100" s="142"/>
      <c r="KOM100" s="142"/>
      <c r="KON100" s="142"/>
      <c r="KOO100" s="142"/>
      <c r="KOP100" s="142"/>
      <c r="KOQ100" s="142"/>
      <c r="KOR100" s="142"/>
      <c r="KOS100" s="142"/>
      <c r="KOT100" s="142"/>
      <c r="KOU100" s="142"/>
      <c r="KOV100" s="142"/>
      <c r="KOW100" s="142"/>
      <c r="KOX100" s="142"/>
      <c r="KOY100" s="142"/>
      <c r="KOZ100" s="142"/>
      <c r="KPA100" s="142"/>
      <c r="KPB100" s="142"/>
      <c r="KPC100" s="142"/>
      <c r="KPD100" s="142"/>
      <c r="KPE100" s="142"/>
      <c r="KPF100" s="142"/>
      <c r="KPG100" s="142"/>
      <c r="KPH100" s="142"/>
      <c r="KPI100" s="142"/>
      <c r="KPJ100" s="142"/>
      <c r="KPK100" s="142"/>
      <c r="KPL100" s="142"/>
      <c r="KPM100" s="142"/>
      <c r="KPN100" s="142"/>
      <c r="KPO100" s="142"/>
      <c r="KPP100" s="142"/>
      <c r="KPQ100" s="142"/>
      <c r="KPR100" s="142"/>
      <c r="KPS100" s="142"/>
      <c r="KPT100" s="142"/>
      <c r="KPU100" s="142"/>
      <c r="KPV100" s="142"/>
      <c r="KPW100" s="142"/>
      <c r="KPX100" s="142"/>
      <c r="KPY100" s="142"/>
      <c r="KPZ100" s="142"/>
      <c r="KQA100" s="142"/>
      <c r="KQB100" s="142"/>
      <c r="KQC100" s="142"/>
      <c r="KQD100" s="142"/>
      <c r="KQE100" s="142"/>
      <c r="KQF100" s="142"/>
      <c r="KQG100" s="142"/>
      <c r="KQH100" s="142"/>
      <c r="KQI100" s="142"/>
      <c r="KQJ100" s="142"/>
      <c r="KQK100" s="142"/>
      <c r="KQL100" s="142"/>
      <c r="KQM100" s="142"/>
      <c r="KQN100" s="142"/>
      <c r="KQO100" s="142"/>
      <c r="KQP100" s="142"/>
      <c r="KQQ100" s="142"/>
      <c r="KQR100" s="142"/>
      <c r="KQS100" s="142"/>
      <c r="KQT100" s="142"/>
      <c r="KQU100" s="142"/>
      <c r="KQV100" s="142"/>
      <c r="KQW100" s="142"/>
      <c r="KQX100" s="142"/>
      <c r="KQY100" s="142"/>
      <c r="KQZ100" s="142"/>
      <c r="KRA100" s="142"/>
      <c r="KRB100" s="142"/>
      <c r="KRC100" s="142"/>
      <c r="KRD100" s="142"/>
      <c r="KRE100" s="142"/>
      <c r="KRF100" s="142"/>
      <c r="KRG100" s="142"/>
      <c r="KRH100" s="142"/>
      <c r="KRI100" s="142"/>
      <c r="KRJ100" s="142"/>
      <c r="KRK100" s="142"/>
      <c r="KRL100" s="142"/>
      <c r="KRM100" s="142"/>
      <c r="KRN100" s="142"/>
      <c r="KRO100" s="142"/>
      <c r="KRP100" s="142"/>
      <c r="KRQ100" s="142"/>
      <c r="KRR100" s="142"/>
      <c r="KRS100" s="142"/>
      <c r="KRT100" s="142"/>
      <c r="KRU100" s="142"/>
      <c r="KRV100" s="142"/>
      <c r="KRW100" s="142"/>
      <c r="KRX100" s="142"/>
      <c r="KRY100" s="142"/>
      <c r="KRZ100" s="142"/>
      <c r="KSA100" s="142"/>
      <c r="KSB100" s="142"/>
      <c r="KSC100" s="142"/>
      <c r="KSD100" s="142"/>
      <c r="KSE100" s="142"/>
      <c r="KSF100" s="142"/>
      <c r="KSG100" s="142"/>
      <c r="KSH100" s="142"/>
      <c r="KSI100" s="142"/>
      <c r="KSJ100" s="142"/>
      <c r="KSK100" s="142"/>
      <c r="KSL100" s="142"/>
      <c r="KSM100" s="142"/>
      <c r="KSN100" s="142"/>
      <c r="KSO100" s="142"/>
      <c r="KSP100" s="142"/>
      <c r="KSQ100" s="142"/>
      <c r="KSR100" s="142"/>
      <c r="KSS100" s="142"/>
      <c r="KST100" s="142"/>
      <c r="KSU100" s="142"/>
      <c r="KSV100" s="142"/>
      <c r="KSW100" s="142"/>
      <c r="KSX100" s="142"/>
      <c r="KSY100" s="142"/>
      <c r="KSZ100" s="142"/>
      <c r="KTA100" s="142"/>
      <c r="KTB100" s="142"/>
      <c r="KTC100" s="142"/>
      <c r="KTD100" s="142"/>
      <c r="KTE100" s="142"/>
      <c r="KTF100" s="142"/>
      <c r="KTG100" s="142"/>
      <c r="KTH100" s="142"/>
      <c r="KTI100" s="142"/>
      <c r="KTJ100" s="142"/>
      <c r="KTK100" s="142"/>
      <c r="KTL100" s="142"/>
      <c r="KTM100" s="142"/>
      <c r="KTN100" s="142"/>
      <c r="KTO100" s="142"/>
      <c r="KTP100" s="142"/>
      <c r="KTQ100" s="142"/>
      <c r="KTR100" s="142"/>
      <c r="KTS100" s="142"/>
      <c r="KTT100" s="142"/>
      <c r="KTU100" s="142"/>
      <c r="KTV100" s="142"/>
      <c r="KTW100" s="142"/>
      <c r="KTX100" s="142"/>
      <c r="KTY100" s="142"/>
      <c r="KTZ100" s="142"/>
      <c r="KUA100" s="142"/>
      <c r="KUB100" s="142"/>
      <c r="KUC100" s="142"/>
      <c r="KUD100" s="142"/>
      <c r="KUE100" s="142"/>
      <c r="KUF100" s="142"/>
      <c r="KUG100" s="142"/>
      <c r="KUH100" s="142"/>
      <c r="KUI100" s="142"/>
      <c r="KUJ100" s="142"/>
      <c r="KUK100" s="142"/>
      <c r="KUL100" s="142"/>
      <c r="KUM100" s="142"/>
      <c r="KUN100" s="142"/>
      <c r="KUO100" s="142"/>
      <c r="KUP100" s="142"/>
      <c r="KUQ100" s="142"/>
      <c r="KUR100" s="142"/>
      <c r="KUS100" s="142"/>
      <c r="KUT100" s="142"/>
      <c r="KUU100" s="142"/>
      <c r="KUV100" s="142"/>
      <c r="KUW100" s="142"/>
      <c r="KUX100" s="142"/>
      <c r="KUY100" s="142"/>
      <c r="KUZ100" s="142"/>
      <c r="KVA100" s="142"/>
      <c r="KVB100" s="142"/>
      <c r="KVC100" s="142"/>
      <c r="KVD100" s="142"/>
      <c r="KVE100" s="142"/>
      <c r="KVF100" s="142"/>
      <c r="KVG100" s="142"/>
      <c r="KVH100" s="142"/>
      <c r="KVI100" s="142"/>
      <c r="KVJ100" s="142"/>
      <c r="KVK100" s="142"/>
      <c r="KVL100" s="142"/>
      <c r="KVM100" s="142"/>
      <c r="KVN100" s="142"/>
      <c r="KVO100" s="142"/>
      <c r="KVP100" s="142"/>
      <c r="KVQ100" s="142"/>
      <c r="KVR100" s="142"/>
      <c r="KVS100" s="142"/>
      <c r="KVT100" s="142"/>
      <c r="KVU100" s="142"/>
      <c r="KVV100" s="142"/>
      <c r="KVW100" s="142"/>
      <c r="KVX100" s="142"/>
      <c r="KVY100" s="142"/>
      <c r="KVZ100" s="142"/>
      <c r="KWA100" s="142"/>
      <c r="KWB100" s="142"/>
      <c r="KWC100" s="142"/>
      <c r="KWD100" s="142"/>
      <c r="KWE100" s="142"/>
      <c r="KWF100" s="142"/>
      <c r="KWG100" s="142"/>
      <c r="KWH100" s="142"/>
      <c r="KWI100" s="142"/>
      <c r="KWJ100" s="142"/>
      <c r="KWK100" s="142"/>
      <c r="KWL100" s="142"/>
      <c r="KWM100" s="142"/>
      <c r="KWN100" s="142"/>
      <c r="KWO100" s="142"/>
      <c r="KWP100" s="142"/>
      <c r="KWQ100" s="142"/>
      <c r="KWR100" s="142"/>
      <c r="KWS100" s="142"/>
      <c r="KWT100" s="142"/>
      <c r="KWU100" s="142"/>
      <c r="KWV100" s="142"/>
      <c r="KWW100" s="142"/>
      <c r="KWX100" s="142"/>
      <c r="KWY100" s="142"/>
      <c r="KWZ100" s="142"/>
      <c r="KXA100" s="142"/>
      <c r="KXB100" s="142"/>
      <c r="KXC100" s="142"/>
      <c r="KXD100" s="142"/>
      <c r="KXE100" s="142"/>
      <c r="KXF100" s="142"/>
      <c r="KXG100" s="142"/>
      <c r="KXH100" s="142"/>
      <c r="KXI100" s="142"/>
      <c r="KXJ100" s="142"/>
      <c r="KXK100" s="142"/>
      <c r="KXL100" s="142"/>
      <c r="KXM100" s="142"/>
      <c r="KXN100" s="142"/>
      <c r="KXO100" s="142"/>
      <c r="KXP100" s="142"/>
      <c r="KXQ100" s="142"/>
      <c r="KXR100" s="142"/>
      <c r="KXS100" s="142"/>
      <c r="KXT100" s="142"/>
      <c r="KXU100" s="142"/>
      <c r="KXV100" s="142"/>
      <c r="KXW100" s="142"/>
      <c r="KXX100" s="142"/>
      <c r="KXY100" s="142"/>
      <c r="KXZ100" s="142"/>
      <c r="KYA100" s="142"/>
      <c r="KYB100" s="142"/>
      <c r="KYC100" s="142"/>
      <c r="KYD100" s="142"/>
      <c r="KYE100" s="142"/>
      <c r="KYF100" s="142"/>
      <c r="KYG100" s="142"/>
      <c r="KYH100" s="142"/>
      <c r="KYI100" s="142"/>
      <c r="KYJ100" s="142"/>
      <c r="KYK100" s="142"/>
      <c r="KYL100" s="142"/>
      <c r="KYM100" s="142"/>
      <c r="KYN100" s="142"/>
      <c r="KYO100" s="142"/>
      <c r="KYP100" s="142"/>
      <c r="KYQ100" s="142"/>
      <c r="KYR100" s="142"/>
      <c r="KYS100" s="142"/>
      <c r="KYT100" s="142"/>
      <c r="KYU100" s="142"/>
      <c r="KYV100" s="142"/>
      <c r="KYW100" s="142"/>
      <c r="KYX100" s="142"/>
      <c r="KYY100" s="142"/>
      <c r="KYZ100" s="142"/>
      <c r="KZA100" s="142"/>
      <c r="KZB100" s="142"/>
      <c r="KZC100" s="142"/>
      <c r="KZD100" s="142"/>
      <c r="KZE100" s="142"/>
      <c r="KZF100" s="142"/>
      <c r="KZG100" s="142"/>
      <c r="KZH100" s="142"/>
      <c r="KZI100" s="142"/>
      <c r="KZJ100" s="142"/>
      <c r="KZK100" s="142"/>
      <c r="KZL100" s="142"/>
      <c r="KZM100" s="142"/>
      <c r="KZN100" s="142"/>
      <c r="KZO100" s="142"/>
      <c r="KZP100" s="142"/>
      <c r="KZQ100" s="142"/>
      <c r="KZR100" s="142"/>
      <c r="KZS100" s="142"/>
      <c r="KZT100" s="142"/>
      <c r="KZU100" s="142"/>
      <c r="KZV100" s="142"/>
      <c r="KZW100" s="142"/>
      <c r="KZX100" s="142"/>
      <c r="KZY100" s="142"/>
      <c r="KZZ100" s="142"/>
      <c r="LAA100" s="142"/>
      <c r="LAB100" s="142"/>
      <c r="LAC100" s="142"/>
      <c r="LAD100" s="142"/>
      <c r="LAE100" s="142"/>
      <c r="LAF100" s="142"/>
      <c r="LAG100" s="142"/>
      <c r="LAH100" s="142"/>
      <c r="LAI100" s="142"/>
      <c r="LAJ100" s="142"/>
      <c r="LAK100" s="142"/>
      <c r="LAL100" s="142"/>
      <c r="LAM100" s="142"/>
      <c r="LAN100" s="142"/>
      <c r="LAO100" s="142"/>
      <c r="LAP100" s="142"/>
      <c r="LAQ100" s="142"/>
      <c r="LAR100" s="142"/>
      <c r="LAS100" s="142"/>
      <c r="LAT100" s="142"/>
      <c r="LAU100" s="142"/>
      <c r="LAV100" s="142"/>
      <c r="LAW100" s="142"/>
      <c r="LAX100" s="142"/>
      <c r="LAY100" s="142"/>
      <c r="LAZ100" s="142"/>
      <c r="LBA100" s="142"/>
      <c r="LBB100" s="142"/>
      <c r="LBC100" s="142"/>
      <c r="LBD100" s="142"/>
      <c r="LBE100" s="142"/>
      <c r="LBF100" s="142"/>
      <c r="LBG100" s="142"/>
      <c r="LBH100" s="142"/>
      <c r="LBI100" s="142"/>
      <c r="LBJ100" s="142"/>
      <c r="LBK100" s="142"/>
      <c r="LBL100" s="142"/>
      <c r="LBM100" s="142"/>
      <c r="LBN100" s="142"/>
      <c r="LBO100" s="142"/>
      <c r="LBP100" s="142"/>
      <c r="LBQ100" s="142"/>
      <c r="LBR100" s="142"/>
      <c r="LBS100" s="142"/>
      <c r="LBT100" s="142"/>
      <c r="LBU100" s="142"/>
      <c r="LBV100" s="142"/>
      <c r="LBW100" s="142"/>
      <c r="LBX100" s="142"/>
      <c r="LBY100" s="142"/>
      <c r="LBZ100" s="142"/>
      <c r="LCA100" s="142"/>
      <c r="LCB100" s="142"/>
      <c r="LCC100" s="142"/>
      <c r="LCD100" s="142"/>
      <c r="LCE100" s="142"/>
      <c r="LCF100" s="142"/>
      <c r="LCG100" s="142"/>
      <c r="LCH100" s="142"/>
      <c r="LCI100" s="142"/>
      <c r="LCJ100" s="142"/>
      <c r="LCK100" s="142"/>
      <c r="LCL100" s="142"/>
      <c r="LCM100" s="142"/>
      <c r="LCN100" s="142"/>
      <c r="LCO100" s="142"/>
      <c r="LCP100" s="142"/>
      <c r="LCQ100" s="142"/>
      <c r="LCR100" s="142"/>
      <c r="LCS100" s="142"/>
      <c r="LCT100" s="142"/>
      <c r="LCU100" s="142"/>
      <c r="LCV100" s="142"/>
      <c r="LCW100" s="142"/>
      <c r="LCX100" s="142"/>
      <c r="LCY100" s="142"/>
      <c r="LCZ100" s="142"/>
      <c r="LDA100" s="142"/>
      <c r="LDB100" s="142"/>
      <c r="LDC100" s="142"/>
      <c r="LDD100" s="142"/>
      <c r="LDE100" s="142"/>
      <c r="LDF100" s="142"/>
      <c r="LDG100" s="142"/>
      <c r="LDH100" s="142"/>
      <c r="LDI100" s="142"/>
      <c r="LDJ100" s="142"/>
      <c r="LDK100" s="142"/>
      <c r="LDL100" s="142"/>
      <c r="LDM100" s="142"/>
      <c r="LDN100" s="142"/>
      <c r="LDO100" s="142"/>
      <c r="LDP100" s="142"/>
      <c r="LDQ100" s="142"/>
      <c r="LDR100" s="142"/>
      <c r="LDS100" s="142"/>
      <c r="LDT100" s="142"/>
      <c r="LDU100" s="142"/>
      <c r="LDV100" s="142"/>
      <c r="LDW100" s="142"/>
      <c r="LDX100" s="142"/>
      <c r="LDY100" s="142"/>
      <c r="LDZ100" s="142"/>
      <c r="LEA100" s="142"/>
      <c r="LEB100" s="142"/>
      <c r="LEC100" s="142"/>
      <c r="LED100" s="142"/>
      <c r="LEE100" s="142"/>
      <c r="LEF100" s="142"/>
      <c r="LEG100" s="142"/>
      <c r="LEH100" s="142"/>
      <c r="LEI100" s="142"/>
      <c r="LEJ100" s="142"/>
      <c r="LEK100" s="142"/>
      <c r="LEL100" s="142"/>
      <c r="LEM100" s="142"/>
      <c r="LEN100" s="142"/>
      <c r="LEO100" s="142"/>
      <c r="LEP100" s="142"/>
      <c r="LEQ100" s="142"/>
      <c r="LER100" s="142"/>
      <c r="LES100" s="142"/>
      <c r="LET100" s="142"/>
      <c r="LEU100" s="142"/>
      <c r="LEV100" s="142"/>
      <c r="LEW100" s="142"/>
      <c r="LEX100" s="142"/>
      <c r="LEY100" s="142"/>
      <c r="LEZ100" s="142"/>
      <c r="LFA100" s="142"/>
      <c r="LFB100" s="142"/>
      <c r="LFC100" s="142"/>
      <c r="LFD100" s="142"/>
      <c r="LFE100" s="142"/>
      <c r="LFF100" s="142"/>
      <c r="LFG100" s="142"/>
      <c r="LFH100" s="142"/>
      <c r="LFI100" s="142"/>
      <c r="LFJ100" s="142"/>
      <c r="LFK100" s="142"/>
      <c r="LFL100" s="142"/>
      <c r="LFM100" s="142"/>
      <c r="LFN100" s="142"/>
      <c r="LFO100" s="142"/>
      <c r="LFP100" s="142"/>
      <c r="LFQ100" s="142"/>
      <c r="LFR100" s="142"/>
      <c r="LFS100" s="142"/>
      <c r="LFT100" s="142"/>
      <c r="LFU100" s="142"/>
      <c r="LFV100" s="142"/>
      <c r="LFW100" s="142"/>
      <c r="LFX100" s="142"/>
      <c r="LFY100" s="142"/>
      <c r="LFZ100" s="142"/>
      <c r="LGA100" s="142"/>
      <c r="LGB100" s="142"/>
      <c r="LGC100" s="142"/>
      <c r="LGD100" s="142"/>
      <c r="LGE100" s="142"/>
      <c r="LGF100" s="142"/>
      <c r="LGG100" s="142"/>
      <c r="LGH100" s="142"/>
      <c r="LGI100" s="142"/>
      <c r="LGJ100" s="142"/>
      <c r="LGK100" s="142"/>
      <c r="LGL100" s="142"/>
      <c r="LGM100" s="142"/>
      <c r="LGN100" s="142"/>
      <c r="LGO100" s="142"/>
      <c r="LGP100" s="142"/>
      <c r="LGQ100" s="142"/>
      <c r="LGR100" s="142"/>
      <c r="LGS100" s="142"/>
      <c r="LGT100" s="142"/>
      <c r="LGU100" s="142"/>
      <c r="LGV100" s="142"/>
      <c r="LGW100" s="142"/>
      <c r="LGX100" s="142"/>
      <c r="LGY100" s="142"/>
      <c r="LGZ100" s="142"/>
      <c r="LHA100" s="142"/>
      <c r="LHB100" s="142"/>
      <c r="LHC100" s="142"/>
      <c r="LHD100" s="142"/>
      <c r="LHE100" s="142"/>
      <c r="LHF100" s="142"/>
      <c r="LHG100" s="142"/>
      <c r="LHH100" s="142"/>
      <c r="LHI100" s="142"/>
      <c r="LHJ100" s="142"/>
      <c r="LHK100" s="142"/>
      <c r="LHL100" s="142"/>
      <c r="LHM100" s="142"/>
      <c r="LHN100" s="142"/>
      <c r="LHO100" s="142"/>
      <c r="LHP100" s="142"/>
      <c r="LHQ100" s="142"/>
      <c r="LHR100" s="142"/>
      <c r="LHS100" s="142"/>
      <c r="LHT100" s="142"/>
      <c r="LHU100" s="142"/>
      <c r="LHV100" s="142"/>
      <c r="LHW100" s="142"/>
      <c r="LHX100" s="142"/>
      <c r="LHY100" s="142"/>
      <c r="LHZ100" s="142"/>
      <c r="LIA100" s="142"/>
      <c r="LIB100" s="142"/>
      <c r="LIC100" s="142"/>
      <c r="LID100" s="142"/>
      <c r="LIE100" s="142"/>
      <c r="LIF100" s="142"/>
      <c r="LIG100" s="142"/>
      <c r="LIH100" s="142"/>
      <c r="LII100" s="142"/>
      <c r="LIJ100" s="142"/>
      <c r="LIK100" s="142"/>
      <c r="LIL100" s="142"/>
      <c r="LIM100" s="142"/>
      <c r="LIN100" s="142"/>
      <c r="LIO100" s="142"/>
      <c r="LIP100" s="142"/>
      <c r="LIQ100" s="142"/>
      <c r="LIR100" s="142"/>
      <c r="LIS100" s="142"/>
      <c r="LIT100" s="142"/>
      <c r="LIU100" s="142"/>
      <c r="LIV100" s="142"/>
      <c r="LIW100" s="142"/>
      <c r="LIX100" s="142"/>
      <c r="LIY100" s="142"/>
      <c r="LIZ100" s="142"/>
      <c r="LJA100" s="142"/>
      <c r="LJB100" s="142"/>
      <c r="LJC100" s="142"/>
      <c r="LJD100" s="142"/>
      <c r="LJE100" s="142"/>
      <c r="LJF100" s="142"/>
      <c r="LJG100" s="142"/>
      <c r="LJH100" s="142"/>
      <c r="LJI100" s="142"/>
      <c r="LJJ100" s="142"/>
      <c r="LJK100" s="142"/>
      <c r="LJL100" s="142"/>
      <c r="LJM100" s="142"/>
      <c r="LJN100" s="142"/>
      <c r="LJO100" s="142"/>
      <c r="LJP100" s="142"/>
      <c r="LJQ100" s="142"/>
      <c r="LJR100" s="142"/>
      <c r="LJS100" s="142"/>
      <c r="LJT100" s="142"/>
      <c r="LJU100" s="142"/>
      <c r="LJV100" s="142"/>
      <c r="LJW100" s="142"/>
      <c r="LJX100" s="142"/>
      <c r="LJY100" s="142"/>
      <c r="LJZ100" s="142"/>
      <c r="LKA100" s="142"/>
      <c r="LKB100" s="142"/>
      <c r="LKC100" s="142"/>
      <c r="LKD100" s="142"/>
      <c r="LKE100" s="142"/>
      <c r="LKF100" s="142"/>
      <c r="LKG100" s="142"/>
      <c r="LKH100" s="142"/>
      <c r="LKI100" s="142"/>
      <c r="LKJ100" s="142"/>
      <c r="LKK100" s="142"/>
      <c r="LKL100" s="142"/>
      <c r="LKM100" s="142"/>
      <c r="LKN100" s="142"/>
      <c r="LKO100" s="142"/>
      <c r="LKP100" s="142"/>
      <c r="LKQ100" s="142"/>
      <c r="LKR100" s="142"/>
      <c r="LKS100" s="142"/>
      <c r="LKT100" s="142"/>
      <c r="LKU100" s="142"/>
      <c r="LKV100" s="142"/>
      <c r="LKW100" s="142"/>
      <c r="LKX100" s="142"/>
      <c r="LKY100" s="142"/>
      <c r="LKZ100" s="142"/>
      <c r="LLA100" s="142"/>
      <c r="LLB100" s="142"/>
      <c r="LLC100" s="142"/>
      <c r="LLD100" s="142"/>
      <c r="LLE100" s="142"/>
      <c r="LLF100" s="142"/>
      <c r="LLG100" s="142"/>
      <c r="LLH100" s="142"/>
      <c r="LLI100" s="142"/>
      <c r="LLJ100" s="142"/>
      <c r="LLK100" s="142"/>
      <c r="LLL100" s="142"/>
      <c r="LLM100" s="142"/>
      <c r="LLN100" s="142"/>
      <c r="LLO100" s="142"/>
      <c r="LLP100" s="142"/>
      <c r="LLQ100" s="142"/>
      <c r="LLR100" s="142"/>
      <c r="LLS100" s="142"/>
      <c r="LLT100" s="142"/>
      <c r="LLU100" s="142"/>
      <c r="LLV100" s="142"/>
      <c r="LLW100" s="142"/>
      <c r="LLX100" s="142"/>
      <c r="LLY100" s="142"/>
      <c r="LLZ100" s="142"/>
      <c r="LMA100" s="142"/>
      <c r="LMB100" s="142"/>
      <c r="LMC100" s="142"/>
      <c r="LMD100" s="142"/>
      <c r="LME100" s="142"/>
      <c r="LMF100" s="142"/>
      <c r="LMG100" s="142"/>
      <c r="LMH100" s="142"/>
      <c r="LMI100" s="142"/>
      <c r="LMJ100" s="142"/>
      <c r="LMK100" s="142"/>
      <c r="LML100" s="142"/>
      <c r="LMM100" s="142"/>
      <c r="LMN100" s="142"/>
      <c r="LMO100" s="142"/>
      <c r="LMP100" s="142"/>
      <c r="LMQ100" s="142"/>
      <c r="LMR100" s="142"/>
      <c r="LMS100" s="142"/>
      <c r="LMT100" s="142"/>
      <c r="LMU100" s="142"/>
      <c r="LMV100" s="142"/>
      <c r="LMW100" s="142"/>
      <c r="LMX100" s="142"/>
      <c r="LMY100" s="142"/>
      <c r="LMZ100" s="142"/>
      <c r="LNA100" s="142"/>
      <c r="LNB100" s="142"/>
      <c r="LNC100" s="142"/>
      <c r="LND100" s="142"/>
      <c r="LNE100" s="142"/>
      <c r="LNF100" s="142"/>
      <c r="LNG100" s="142"/>
      <c r="LNH100" s="142"/>
      <c r="LNI100" s="142"/>
      <c r="LNJ100" s="142"/>
      <c r="LNK100" s="142"/>
      <c r="LNL100" s="142"/>
      <c r="LNM100" s="142"/>
      <c r="LNN100" s="142"/>
      <c r="LNO100" s="142"/>
      <c r="LNP100" s="142"/>
      <c r="LNQ100" s="142"/>
      <c r="LNR100" s="142"/>
      <c r="LNS100" s="142"/>
      <c r="LNT100" s="142"/>
      <c r="LNU100" s="142"/>
      <c r="LNV100" s="142"/>
      <c r="LNW100" s="142"/>
      <c r="LNX100" s="142"/>
      <c r="LNY100" s="142"/>
      <c r="LNZ100" s="142"/>
      <c r="LOA100" s="142"/>
      <c r="LOB100" s="142"/>
      <c r="LOC100" s="142"/>
      <c r="LOD100" s="142"/>
      <c r="LOE100" s="142"/>
      <c r="LOF100" s="142"/>
      <c r="LOG100" s="142"/>
      <c r="LOH100" s="142"/>
      <c r="LOI100" s="142"/>
      <c r="LOJ100" s="142"/>
      <c r="LOK100" s="142"/>
      <c r="LOL100" s="142"/>
      <c r="LOM100" s="142"/>
      <c r="LON100" s="142"/>
      <c r="LOO100" s="142"/>
      <c r="LOP100" s="142"/>
      <c r="LOQ100" s="142"/>
      <c r="LOR100" s="142"/>
      <c r="LOS100" s="142"/>
      <c r="LOT100" s="142"/>
      <c r="LOU100" s="142"/>
      <c r="LOV100" s="142"/>
      <c r="LOW100" s="142"/>
      <c r="LOX100" s="142"/>
      <c r="LOY100" s="142"/>
      <c r="LOZ100" s="142"/>
      <c r="LPA100" s="142"/>
      <c r="LPB100" s="142"/>
      <c r="LPC100" s="142"/>
      <c r="LPD100" s="142"/>
      <c r="LPE100" s="142"/>
      <c r="LPF100" s="142"/>
      <c r="LPG100" s="142"/>
      <c r="LPH100" s="142"/>
      <c r="LPI100" s="142"/>
      <c r="LPJ100" s="142"/>
      <c r="LPK100" s="142"/>
      <c r="LPL100" s="142"/>
      <c r="LPM100" s="142"/>
      <c r="LPN100" s="142"/>
      <c r="LPO100" s="142"/>
      <c r="LPP100" s="142"/>
      <c r="LPQ100" s="142"/>
      <c r="LPR100" s="142"/>
      <c r="LPS100" s="142"/>
      <c r="LPT100" s="142"/>
      <c r="LPU100" s="142"/>
      <c r="LPV100" s="142"/>
      <c r="LPW100" s="142"/>
      <c r="LPX100" s="142"/>
      <c r="LPY100" s="142"/>
      <c r="LPZ100" s="142"/>
      <c r="LQA100" s="142"/>
      <c r="LQB100" s="142"/>
      <c r="LQC100" s="142"/>
      <c r="LQD100" s="142"/>
      <c r="LQE100" s="142"/>
      <c r="LQF100" s="142"/>
      <c r="LQG100" s="142"/>
      <c r="LQH100" s="142"/>
      <c r="LQI100" s="142"/>
      <c r="LQJ100" s="142"/>
      <c r="LQK100" s="142"/>
      <c r="LQL100" s="142"/>
      <c r="LQM100" s="142"/>
      <c r="LQN100" s="142"/>
      <c r="LQO100" s="142"/>
      <c r="LQP100" s="142"/>
      <c r="LQQ100" s="142"/>
      <c r="LQR100" s="142"/>
      <c r="LQS100" s="142"/>
      <c r="LQT100" s="142"/>
      <c r="LQU100" s="142"/>
      <c r="LQV100" s="142"/>
      <c r="LQW100" s="142"/>
      <c r="LQX100" s="142"/>
      <c r="LQY100" s="142"/>
      <c r="LQZ100" s="142"/>
      <c r="LRA100" s="142"/>
      <c r="LRB100" s="142"/>
      <c r="LRC100" s="142"/>
      <c r="LRD100" s="142"/>
      <c r="LRE100" s="142"/>
      <c r="LRF100" s="142"/>
      <c r="LRG100" s="142"/>
      <c r="LRH100" s="142"/>
      <c r="LRI100" s="142"/>
      <c r="LRJ100" s="142"/>
      <c r="LRK100" s="142"/>
      <c r="LRL100" s="142"/>
      <c r="LRM100" s="142"/>
      <c r="LRN100" s="142"/>
      <c r="LRO100" s="142"/>
      <c r="LRP100" s="142"/>
      <c r="LRQ100" s="142"/>
      <c r="LRR100" s="142"/>
      <c r="LRS100" s="142"/>
      <c r="LRT100" s="142"/>
      <c r="LRU100" s="142"/>
      <c r="LRV100" s="142"/>
      <c r="LRW100" s="142"/>
      <c r="LRX100" s="142"/>
      <c r="LRY100" s="142"/>
      <c r="LRZ100" s="142"/>
      <c r="LSA100" s="142"/>
      <c r="LSB100" s="142"/>
      <c r="LSC100" s="142"/>
      <c r="LSD100" s="142"/>
      <c r="LSE100" s="142"/>
      <c r="LSF100" s="142"/>
      <c r="LSG100" s="142"/>
      <c r="LSH100" s="142"/>
      <c r="LSI100" s="142"/>
      <c r="LSJ100" s="142"/>
      <c r="LSK100" s="142"/>
      <c r="LSL100" s="142"/>
      <c r="LSM100" s="142"/>
      <c r="LSN100" s="142"/>
      <c r="LSO100" s="142"/>
      <c r="LSP100" s="142"/>
      <c r="LSQ100" s="142"/>
      <c r="LSR100" s="142"/>
      <c r="LSS100" s="142"/>
      <c r="LST100" s="142"/>
      <c r="LSU100" s="142"/>
      <c r="LSV100" s="142"/>
      <c r="LSW100" s="142"/>
      <c r="LSX100" s="142"/>
      <c r="LSY100" s="142"/>
      <c r="LSZ100" s="142"/>
      <c r="LTA100" s="142"/>
      <c r="LTB100" s="142"/>
      <c r="LTC100" s="142"/>
      <c r="LTD100" s="142"/>
      <c r="LTE100" s="142"/>
      <c r="LTF100" s="142"/>
      <c r="LTG100" s="142"/>
      <c r="LTH100" s="142"/>
      <c r="LTI100" s="142"/>
      <c r="LTJ100" s="142"/>
      <c r="LTK100" s="142"/>
      <c r="LTL100" s="142"/>
      <c r="LTM100" s="142"/>
      <c r="LTN100" s="142"/>
      <c r="LTO100" s="142"/>
      <c r="LTP100" s="142"/>
      <c r="LTQ100" s="142"/>
      <c r="LTR100" s="142"/>
      <c r="LTS100" s="142"/>
      <c r="LTT100" s="142"/>
      <c r="LTU100" s="142"/>
      <c r="LTV100" s="142"/>
      <c r="LTW100" s="142"/>
      <c r="LTX100" s="142"/>
      <c r="LTY100" s="142"/>
      <c r="LTZ100" s="142"/>
      <c r="LUA100" s="142"/>
      <c r="LUB100" s="142"/>
      <c r="LUC100" s="142"/>
      <c r="LUD100" s="142"/>
      <c r="LUE100" s="142"/>
      <c r="LUF100" s="142"/>
      <c r="LUG100" s="142"/>
      <c r="LUH100" s="142"/>
      <c r="LUI100" s="142"/>
      <c r="LUJ100" s="142"/>
      <c r="LUK100" s="142"/>
      <c r="LUL100" s="142"/>
      <c r="LUM100" s="142"/>
      <c r="LUN100" s="142"/>
      <c r="LUO100" s="142"/>
      <c r="LUP100" s="142"/>
      <c r="LUQ100" s="142"/>
      <c r="LUR100" s="142"/>
      <c r="LUS100" s="142"/>
      <c r="LUT100" s="142"/>
      <c r="LUU100" s="142"/>
      <c r="LUV100" s="142"/>
      <c r="LUW100" s="142"/>
      <c r="LUX100" s="142"/>
      <c r="LUY100" s="142"/>
      <c r="LUZ100" s="142"/>
      <c r="LVA100" s="142"/>
      <c r="LVB100" s="142"/>
      <c r="LVC100" s="142"/>
      <c r="LVD100" s="142"/>
      <c r="LVE100" s="142"/>
      <c r="LVF100" s="142"/>
      <c r="LVG100" s="142"/>
      <c r="LVH100" s="142"/>
      <c r="LVI100" s="142"/>
      <c r="LVJ100" s="142"/>
      <c r="LVK100" s="142"/>
      <c r="LVL100" s="142"/>
      <c r="LVM100" s="142"/>
      <c r="LVN100" s="142"/>
      <c r="LVO100" s="142"/>
      <c r="LVP100" s="142"/>
      <c r="LVQ100" s="142"/>
      <c r="LVR100" s="142"/>
      <c r="LVS100" s="142"/>
      <c r="LVT100" s="142"/>
      <c r="LVU100" s="142"/>
      <c r="LVV100" s="142"/>
      <c r="LVW100" s="142"/>
      <c r="LVX100" s="142"/>
      <c r="LVY100" s="142"/>
      <c r="LVZ100" s="142"/>
      <c r="LWA100" s="142"/>
      <c r="LWB100" s="142"/>
      <c r="LWC100" s="142"/>
      <c r="LWD100" s="142"/>
      <c r="LWE100" s="142"/>
      <c r="LWF100" s="142"/>
      <c r="LWG100" s="142"/>
      <c r="LWH100" s="142"/>
      <c r="LWI100" s="142"/>
      <c r="LWJ100" s="142"/>
      <c r="LWK100" s="142"/>
      <c r="LWL100" s="142"/>
      <c r="LWM100" s="142"/>
      <c r="LWN100" s="142"/>
      <c r="LWO100" s="142"/>
      <c r="LWP100" s="142"/>
      <c r="LWQ100" s="142"/>
      <c r="LWR100" s="142"/>
      <c r="LWS100" s="142"/>
      <c r="LWT100" s="142"/>
      <c r="LWU100" s="142"/>
      <c r="LWV100" s="142"/>
      <c r="LWW100" s="142"/>
      <c r="LWX100" s="142"/>
      <c r="LWY100" s="142"/>
      <c r="LWZ100" s="142"/>
      <c r="LXA100" s="142"/>
      <c r="LXB100" s="142"/>
      <c r="LXC100" s="142"/>
      <c r="LXD100" s="142"/>
      <c r="LXE100" s="142"/>
      <c r="LXF100" s="142"/>
      <c r="LXG100" s="142"/>
      <c r="LXH100" s="142"/>
      <c r="LXI100" s="142"/>
      <c r="LXJ100" s="142"/>
      <c r="LXK100" s="142"/>
      <c r="LXL100" s="142"/>
      <c r="LXM100" s="142"/>
      <c r="LXN100" s="142"/>
      <c r="LXO100" s="142"/>
      <c r="LXP100" s="142"/>
      <c r="LXQ100" s="142"/>
      <c r="LXR100" s="142"/>
      <c r="LXS100" s="142"/>
      <c r="LXT100" s="142"/>
      <c r="LXU100" s="142"/>
      <c r="LXV100" s="142"/>
      <c r="LXW100" s="142"/>
      <c r="LXX100" s="142"/>
      <c r="LXY100" s="142"/>
      <c r="LXZ100" s="142"/>
      <c r="LYA100" s="142"/>
      <c r="LYB100" s="142"/>
      <c r="LYC100" s="142"/>
      <c r="LYD100" s="142"/>
      <c r="LYE100" s="142"/>
      <c r="LYF100" s="142"/>
      <c r="LYG100" s="142"/>
      <c r="LYH100" s="142"/>
      <c r="LYI100" s="142"/>
      <c r="LYJ100" s="142"/>
      <c r="LYK100" s="142"/>
      <c r="LYL100" s="142"/>
      <c r="LYM100" s="142"/>
      <c r="LYN100" s="142"/>
      <c r="LYO100" s="142"/>
      <c r="LYP100" s="142"/>
      <c r="LYQ100" s="142"/>
      <c r="LYR100" s="142"/>
      <c r="LYS100" s="142"/>
      <c r="LYT100" s="142"/>
      <c r="LYU100" s="142"/>
      <c r="LYV100" s="142"/>
      <c r="LYW100" s="142"/>
      <c r="LYX100" s="142"/>
      <c r="LYY100" s="142"/>
      <c r="LYZ100" s="142"/>
      <c r="LZA100" s="142"/>
      <c r="LZB100" s="142"/>
      <c r="LZC100" s="142"/>
      <c r="LZD100" s="142"/>
      <c r="LZE100" s="142"/>
      <c r="LZF100" s="142"/>
      <c r="LZG100" s="142"/>
      <c r="LZH100" s="142"/>
      <c r="LZI100" s="142"/>
      <c r="LZJ100" s="142"/>
      <c r="LZK100" s="142"/>
      <c r="LZL100" s="142"/>
      <c r="LZM100" s="142"/>
      <c r="LZN100" s="142"/>
      <c r="LZO100" s="142"/>
      <c r="LZP100" s="142"/>
      <c r="LZQ100" s="142"/>
      <c r="LZR100" s="142"/>
      <c r="LZS100" s="142"/>
      <c r="LZT100" s="142"/>
      <c r="LZU100" s="142"/>
      <c r="LZV100" s="142"/>
      <c r="LZW100" s="142"/>
      <c r="LZX100" s="142"/>
      <c r="LZY100" s="142"/>
      <c r="LZZ100" s="142"/>
      <c r="MAA100" s="142"/>
      <c r="MAB100" s="142"/>
      <c r="MAC100" s="142"/>
      <c r="MAD100" s="142"/>
      <c r="MAE100" s="142"/>
      <c r="MAF100" s="142"/>
      <c r="MAG100" s="142"/>
      <c r="MAH100" s="142"/>
      <c r="MAI100" s="142"/>
      <c r="MAJ100" s="142"/>
      <c r="MAK100" s="142"/>
      <c r="MAL100" s="142"/>
      <c r="MAM100" s="142"/>
      <c r="MAN100" s="142"/>
      <c r="MAO100" s="142"/>
      <c r="MAP100" s="142"/>
      <c r="MAQ100" s="142"/>
      <c r="MAR100" s="142"/>
      <c r="MAS100" s="142"/>
      <c r="MAT100" s="142"/>
      <c r="MAU100" s="142"/>
      <c r="MAV100" s="142"/>
      <c r="MAW100" s="142"/>
      <c r="MAX100" s="142"/>
      <c r="MAY100" s="142"/>
      <c r="MAZ100" s="142"/>
      <c r="MBA100" s="142"/>
      <c r="MBB100" s="142"/>
      <c r="MBC100" s="142"/>
      <c r="MBD100" s="142"/>
      <c r="MBE100" s="142"/>
      <c r="MBF100" s="142"/>
      <c r="MBG100" s="142"/>
      <c r="MBH100" s="142"/>
      <c r="MBI100" s="142"/>
      <c r="MBJ100" s="142"/>
      <c r="MBK100" s="142"/>
      <c r="MBL100" s="142"/>
      <c r="MBM100" s="142"/>
      <c r="MBN100" s="142"/>
      <c r="MBO100" s="142"/>
      <c r="MBP100" s="142"/>
      <c r="MBQ100" s="142"/>
      <c r="MBR100" s="142"/>
      <c r="MBS100" s="142"/>
      <c r="MBT100" s="142"/>
      <c r="MBU100" s="142"/>
      <c r="MBV100" s="142"/>
      <c r="MBW100" s="142"/>
      <c r="MBX100" s="142"/>
      <c r="MBY100" s="142"/>
      <c r="MBZ100" s="142"/>
      <c r="MCA100" s="142"/>
      <c r="MCB100" s="142"/>
      <c r="MCC100" s="142"/>
      <c r="MCD100" s="142"/>
      <c r="MCE100" s="142"/>
      <c r="MCF100" s="142"/>
      <c r="MCG100" s="142"/>
      <c r="MCH100" s="142"/>
      <c r="MCI100" s="142"/>
      <c r="MCJ100" s="142"/>
      <c r="MCK100" s="142"/>
      <c r="MCL100" s="142"/>
      <c r="MCM100" s="142"/>
      <c r="MCN100" s="142"/>
      <c r="MCO100" s="142"/>
      <c r="MCP100" s="142"/>
      <c r="MCQ100" s="142"/>
      <c r="MCR100" s="142"/>
      <c r="MCS100" s="142"/>
      <c r="MCT100" s="142"/>
      <c r="MCU100" s="142"/>
      <c r="MCV100" s="142"/>
      <c r="MCW100" s="142"/>
      <c r="MCX100" s="142"/>
      <c r="MCY100" s="142"/>
      <c r="MCZ100" s="142"/>
      <c r="MDA100" s="142"/>
      <c r="MDB100" s="142"/>
      <c r="MDC100" s="142"/>
      <c r="MDD100" s="142"/>
      <c r="MDE100" s="142"/>
      <c r="MDF100" s="142"/>
      <c r="MDG100" s="142"/>
      <c r="MDH100" s="142"/>
      <c r="MDI100" s="142"/>
      <c r="MDJ100" s="142"/>
      <c r="MDK100" s="142"/>
      <c r="MDL100" s="142"/>
      <c r="MDM100" s="142"/>
      <c r="MDN100" s="142"/>
      <c r="MDO100" s="142"/>
      <c r="MDP100" s="142"/>
      <c r="MDQ100" s="142"/>
      <c r="MDR100" s="142"/>
      <c r="MDS100" s="142"/>
      <c r="MDT100" s="142"/>
      <c r="MDU100" s="142"/>
      <c r="MDV100" s="142"/>
      <c r="MDW100" s="142"/>
      <c r="MDX100" s="142"/>
      <c r="MDY100" s="142"/>
      <c r="MDZ100" s="142"/>
      <c r="MEA100" s="142"/>
      <c r="MEB100" s="142"/>
      <c r="MEC100" s="142"/>
      <c r="MED100" s="142"/>
      <c r="MEE100" s="142"/>
      <c r="MEF100" s="142"/>
      <c r="MEG100" s="142"/>
      <c r="MEH100" s="142"/>
      <c r="MEI100" s="142"/>
      <c r="MEJ100" s="142"/>
      <c r="MEK100" s="142"/>
      <c r="MEL100" s="142"/>
      <c r="MEM100" s="142"/>
      <c r="MEN100" s="142"/>
      <c r="MEO100" s="142"/>
      <c r="MEP100" s="142"/>
      <c r="MEQ100" s="142"/>
      <c r="MER100" s="142"/>
      <c r="MES100" s="142"/>
      <c r="MET100" s="142"/>
      <c r="MEU100" s="142"/>
      <c r="MEV100" s="142"/>
      <c r="MEW100" s="142"/>
      <c r="MEX100" s="142"/>
      <c r="MEY100" s="142"/>
      <c r="MEZ100" s="142"/>
      <c r="MFA100" s="142"/>
      <c r="MFB100" s="142"/>
      <c r="MFC100" s="142"/>
      <c r="MFD100" s="142"/>
      <c r="MFE100" s="142"/>
      <c r="MFF100" s="142"/>
      <c r="MFG100" s="142"/>
      <c r="MFH100" s="142"/>
      <c r="MFI100" s="142"/>
      <c r="MFJ100" s="142"/>
      <c r="MFK100" s="142"/>
      <c r="MFL100" s="142"/>
      <c r="MFM100" s="142"/>
      <c r="MFN100" s="142"/>
      <c r="MFO100" s="142"/>
      <c r="MFP100" s="142"/>
      <c r="MFQ100" s="142"/>
      <c r="MFR100" s="142"/>
      <c r="MFS100" s="142"/>
      <c r="MFT100" s="142"/>
      <c r="MFU100" s="142"/>
      <c r="MFV100" s="142"/>
      <c r="MFW100" s="142"/>
      <c r="MFX100" s="142"/>
      <c r="MFY100" s="142"/>
      <c r="MFZ100" s="142"/>
      <c r="MGA100" s="142"/>
      <c r="MGB100" s="142"/>
      <c r="MGC100" s="142"/>
      <c r="MGD100" s="142"/>
      <c r="MGE100" s="142"/>
      <c r="MGF100" s="142"/>
      <c r="MGG100" s="142"/>
      <c r="MGH100" s="142"/>
      <c r="MGI100" s="142"/>
      <c r="MGJ100" s="142"/>
      <c r="MGK100" s="142"/>
      <c r="MGL100" s="142"/>
      <c r="MGM100" s="142"/>
      <c r="MGN100" s="142"/>
      <c r="MGO100" s="142"/>
      <c r="MGP100" s="142"/>
      <c r="MGQ100" s="142"/>
      <c r="MGR100" s="142"/>
      <c r="MGS100" s="142"/>
      <c r="MGT100" s="142"/>
      <c r="MGU100" s="142"/>
      <c r="MGV100" s="142"/>
      <c r="MGW100" s="142"/>
      <c r="MGX100" s="142"/>
      <c r="MGY100" s="142"/>
      <c r="MGZ100" s="142"/>
      <c r="MHA100" s="142"/>
      <c r="MHB100" s="142"/>
      <c r="MHC100" s="142"/>
      <c r="MHD100" s="142"/>
      <c r="MHE100" s="142"/>
      <c r="MHF100" s="142"/>
      <c r="MHG100" s="142"/>
      <c r="MHH100" s="142"/>
      <c r="MHI100" s="142"/>
      <c r="MHJ100" s="142"/>
      <c r="MHK100" s="142"/>
      <c r="MHL100" s="142"/>
      <c r="MHM100" s="142"/>
      <c r="MHN100" s="142"/>
      <c r="MHO100" s="142"/>
      <c r="MHP100" s="142"/>
      <c r="MHQ100" s="142"/>
      <c r="MHR100" s="142"/>
      <c r="MHS100" s="142"/>
      <c r="MHT100" s="142"/>
      <c r="MHU100" s="142"/>
      <c r="MHV100" s="142"/>
      <c r="MHW100" s="142"/>
      <c r="MHX100" s="142"/>
      <c r="MHY100" s="142"/>
      <c r="MHZ100" s="142"/>
      <c r="MIA100" s="142"/>
      <c r="MIB100" s="142"/>
      <c r="MIC100" s="142"/>
      <c r="MID100" s="142"/>
      <c r="MIE100" s="142"/>
      <c r="MIF100" s="142"/>
      <c r="MIG100" s="142"/>
      <c r="MIH100" s="142"/>
      <c r="MII100" s="142"/>
      <c r="MIJ100" s="142"/>
      <c r="MIK100" s="142"/>
      <c r="MIL100" s="142"/>
      <c r="MIM100" s="142"/>
      <c r="MIN100" s="142"/>
      <c r="MIO100" s="142"/>
      <c r="MIP100" s="142"/>
      <c r="MIQ100" s="142"/>
      <c r="MIR100" s="142"/>
      <c r="MIS100" s="142"/>
      <c r="MIT100" s="142"/>
      <c r="MIU100" s="142"/>
      <c r="MIV100" s="142"/>
      <c r="MIW100" s="142"/>
      <c r="MIX100" s="142"/>
      <c r="MIY100" s="142"/>
      <c r="MIZ100" s="142"/>
      <c r="MJA100" s="142"/>
      <c r="MJB100" s="142"/>
      <c r="MJC100" s="142"/>
      <c r="MJD100" s="142"/>
      <c r="MJE100" s="142"/>
      <c r="MJF100" s="142"/>
      <c r="MJG100" s="142"/>
      <c r="MJH100" s="142"/>
      <c r="MJI100" s="142"/>
      <c r="MJJ100" s="142"/>
      <c r="MJK100" s="142"/>
      <c r="MJL100" s="142"/>
      <c r="MJM100" s="142"/>
      <c r="MJN100" s="142"/>
      <c r="MJO100" s="142"/>
      <c r="MJP100" s="142"/>
      <c r="MJQ100" s="142"/>
      <c r="MJR100" s="142"/>
      <c r="MJS100" s="142"/>
      <c r="MJT100" s="142"/>
      <c r="MJU100" s="142"/>
      <c r="MJV100" s="142"/>
      <c r="MJW100" s="142"/>
      <c r="MJX100" s="142"/>
      <c r="MJY100" s="142"/>
      <c r="MJZ100" s="142"/>
      <c r="MKA100" s="142"/>
      <c r="MKB100" s="142"/>
      <c r="MKC100" s="142"/>
      <c r="MKD100" s="142"/>
      <c r="MKE100" s="142"/>
      <c r="MKF100" s="142"/>
      <c r="MKG100" s="142"/>
      <c r="MKH100" s="142"/>
      <c r="MKI100" s="142"/>
      <c r="MKJ100" s="142"/>
      <c r="MKK100" s="142"/>
      <c r="MKL100" s="142"/>
      <c r="MKM100" s="142"/>
      <c r="MKN100" s="142"/>
      <c r="MKO100" s="142"/>
      <c r="MKP100" s="142"/>
      <c r="MKQ100" s="142"/>
      <c r="MKR100" s="142"/>
      <c r="MKS100" s="142"/>
      <c r="MKT100" s="142"/>
      <c r="MKU100" s="142"/>
      <c r="MKV100" s="142"/>
      <c r="MKW100" s="142"/>
      <c r="MKX100" s="142"/>
      <c r="MKY100" s="142"/>
      <c r="MKZ100" s="142"/>
      <c r="MLA100" s="142"/>
      <c r="MLB100" s="142"/>
      <c r="MLC100" s="142"/>
      <c r="MLD100" s="142"/>
      <c r="MLE100" s="142"/>
      <c r="MLF100" s="142"/>
      <c r="MLG100" s="142"/>
      <c r="MLH100" s="142"/>
      <c r="MLI100" s="142"/>
      <c r="MLJ100" s="142"/>
      <c r="MLK100" s="142"/>
      <c r="MLL100" s="142"/>
      <c r="MLM100" s="142"/>
      <c r="MLN100" s="142"/>
      <c r="MLO100" s="142"/>
      <c r="MLP100" s="142"/>
      <c r="MLQ100" s="142"/>
      <c r="MLR100" s="142"/>
      <c r="MLS100" s="142"/>
      <c r="MLT100" s="142"/>
      <c r="MLU100" s="142"/>
      <c r="MLV100" s="142"/>
      <c r="MLW100" s="142"/>
      <c r="MLX100" s="142"/>
      <c r="MLY100" s="142"/>
      <c r="MLZ100" s="142"/>
      <c r="MMA100" s="142"/>
      <c r="MMB100" s="142"/>
      <c r="MMC100" s="142"/>
      <c r="MMD100" s="142"/>
      <c r="MME100" s="142"/>
      <c r="MMF100" s="142"/>
      <c r="MMG100" s="142"/>
      <c r="MMH100" s="142"/>
      <c r="MMI100" s="142"/>
      <c r="MMJ100" s="142"/>
      <c r="MMK100" s="142"/>
      <c r="MML100" s="142"/>
      <c r="MMM100" s="142"/>
      <c r="MMN100" s="142"/>
      <c r="MMO100" s="142"/>
      <c r="MMP100" s="142"/>
      <c r="MMQ100" s="142"/>
      <c r="MMR100" s="142"/>
      <c r="MMS100" s="142"/>
      <c r="MMT100" s="142"/>
      <c r="MMU100" s="142"/>
      <c r="MMV100" s="142"/>
      <c r="MMW100" s="142"/>
      <c r="MMX100" s="142"/>
      <c r="MMY100" s="142"/>
      <c r="MMZ100" s="142"/>
      <c r="MNA100" s="142"/>
      <c r="MNB100" s="142"/>
      <c r="MNC100" s="142"/>
      <c r="MND100" s="142"/>
      <c r="MNE100" s="142"/>
      <c r="MNF100" s="142"/>
      <c r="MNG100" s="142"/>
      <c r="MNH100" s="142"/>
      <c r="MNI100" s="142"/>
      <c r="MNJ100" s="142"/>
      <c r="MNK100" s="142"/>
      <c r="MNL100" s="142"/>
      <c r="MNM100" s="142"/>
      <c r="MNN100" s="142"/>
      <c r="MNO100" s="142"/>
      <c r="MNP100" s="142"/>
      <c r="MNQ100" s="142"/>
      <c r="MNR100" s="142"/>
      <c r="MNS100" s="142"/>
      <c r="MNT100" s="142"/>
      <c r="MNU100" s="142"/>
      <c r="MNV100" s="142"/>
      <c r="MNW100" s="142"/>
      <c r="MNX100" s="142"/>
      <c r="MNY100" s="142"/>
      <c r="MNZ100" s="142"/>
      <c r="MOA100" s="142"/>
      <c r="MOB100" s="142"/>
      <c r="MOC100" s="142"/>
      <c r="MOD100" s="142"/>
      <c r="MOE100" s="142"/>
      <c r="MOF100" s="142"/>
      <c r="MOG100" s="142"/>
      <c r="MOH100" s="142"/>
      <c r="MOI100" s="142"/>
      <c r="MOJ100" s="142"/>
      <c r="MOK100" s="142"/>
      <c r="MOL100" s="142"/>
      <c r="MOM100" s="142"/>
      <c r="MON100" s="142"/>
      <c r="MOO100" s="142"/>
      <c r="MOP100" s="142"/>
      <c r="MOQ100" s="142"/>
      <c r="MOR100" s="142"/>
      <c r="MOS100" s="142"/>
      <c r="MOT100" s="142"/>
      <c r="MOU100" s="142"/>
      <c r="MOV100" s="142"/>
      <c r="MOW100" s="142"/>
      <c r="MOX100" s="142"/>
      <c r="MOY100" s="142"/>
      <c r="MOZ100" s="142"/>
      <c r="MPA100" s="142"/>
      <c r="MPB100" s="142"/>
      <c r="MPC100" s="142"/>
      <c r="MPD100" s="142"/>
      <c r="MPE100" s="142"/>
      <c r="MPF100" s="142"/>
      <c r="MPG100" s="142"/>
      <c r="MPH100" s="142"/>
      <c r="MPI100" s="142"/>
      <c r="MPJ100" s="142"/>
      <c r="MPK100" s="142"/>
      <c r="MPL100" s="142"/>
      <c r="MPM100" s="142"/>
      <c r="MPN100" s="142"/>
      <c r="MPO100" s="142"/>
      <c r="MPP100" s="142"/>
      <c r="MPQ100" s="142"/>
      <c r="MPR100" s="142"/>
      <c r="MPS100" s="142"/>
      <c r="MPT100" s="142"/>
      <c r="MPU100" s="142"/>
      <c r="MPV100" s="142"/>
      <c r="MPW100" s="142"/>
      <c r="MPX100" s="142"/>
      <c r="MPY100" s="142"/>
      <c r="MPZ100" s="142"/>
      <c r="MQA100" s="142"/>
      <c r="MQB100" s="142"/>
      <c r="MQC100" s="142"/>
      <c r="MQD100" s="142"/>
      <c r="MQE100" s="142"/>
      <c r="MQF100" s="142"/>
      <c r="MQG100" s="142"/>
      <c r="MQH100" s="142"/>
      <c r="MQI100" s="142"/>
      <c r="MQJ100" s="142"/>
      <c r="MQK100" s="142"/>
      <c r="MQL100" s="142"/>
      <c r="MQM100" s="142"/>
      <c r="MQN100" s="142"/>
      <c r="MQO100" s="142"/>
      <c r="MQP100" s="142"/>
      <c r="MQQ100" s="142"/>
      <c r="MQR100" s="142"/>
      <c r="MQS100" s="142"/>
      <c r="MQT100" s="142"/>
      <c r="MQU100" s="142"/>
      <c r="MQV100" s="142"/>
      <c r="MQW100" s="142"/>
      <c r="MQX100" s="142"/>
      <c r="MQY100" s="142"/>
      <c r="MQZ100" s="142"/>
      <c r="MRA100" s="142"/>
      <c r="MRB100" s="142"/>
      <c r="MRC100" s="142"/>
      <c r="MRD100" s="142"/>
      <c r="MRE100" s="142"/>
      <c r="MRF100" s="142"/>
      <c r="MRG100" s="142"/>
      <c r="MRH100" s="142"/>
      <c r="MRI100" s="142"/>
      <c r="MRJ100" s="142"/>
      <c r="MRK100" s="142"/>
      <c r="MRL100" s="142"/>
      <c r="MRM100" s="142"/>
      <c r="MRN100" s="142"/>
      <c r="MRO100" s="142"/>
      <c r="MRP100" s="142"/>
      <c r="MRQ100" s="142"/>
      <c r="MRR100" s="142"/>
      <c r="MRS100" s="142"/>
      <c r="MRT100" s="142"/>
      <c r="MRU100" s="142"/>
      <c r="MRV100" s="142"/>
      <c r="MRW100" s="142"/>
      <c r="MRX100" s="142"/>
      <c r="MRY100" s="142"/>
      <c r="MRZ100" s="142"/>
      <c r="MSA100" s="142"/>
      <c r="MSB100" s="142"/>
      <c r="MSC100" s="142"/>
      <c r="MSD100" s="142"/>
      <c r="MSE100" s="142"/>
      <c r="MSF100" s="142"/>
      <c r="MSG100" s="142"/>
      <c r="MSH100" s="142"/>
      <c r="MSI100" s="142"/>
      <c r="MSJ100" s="142"/>
      <c r="MSK100" s="142"/>
      <c r="MSL100" s="142"/>
      <c r="MSM100" s="142"/>
      <c r="MSN100" s="142"/>
      <c r="MSO100" s="142"/>
      <c r="MSP100" s="142"/>
      <c r="MSQ100" s="142"/>
      <c r="MSR100" s="142"/>
      <c r="MSS100" s="142"/>
      <c r="MST100" s="142"/>
      <c r="MSU100" s="142"/>
      <c r="MSV100" s="142"/>
      <c r="MSW100" s="142"/>
      <c r="MSX100" s="142"/>
      <c r="MSY100" s="142"/>
      <c r="MSZ100" s="142"/>
      <c r="MTA100" s="142"/>
      <c r="MTB100" s="142"/>
      <c r="MTC100" s="142"/>
      <c r="MTD100" s="142"/>
      <c r="MTE100" s="142"/>
      <c r="MTF100" s="142"/>
      <c r="MTG100" s="142"/>
      <c r="MTH100" s="142"/>
      <c r="MTI100" s="142"/>
      <c r="MTJ100" s="142"/>
      <c r="MTK100" s="142"/>
      <c r="MTL100" s="142"/>
      <c r="MTM100" s="142"/>
      <c r="MTN100" s="142"/>
      <c r="MTO100" s="142"/>
      <c r="MTP100" s="142"/>
      <c r="MTQ100" s="142"/>
      <c r="MTR100" s="142"/>
      <c r="MTS100" s="142"/>
      <c r="MTT100" s="142"/>
      <c r="MTU100" s="142"/>
      <c r="MTV100" s="142"/>
      <c r="MTW100" s="142"/>
      <c r="MTX100" s="142"/>
      <c r="MTY100" s="142"/>
      <c r="MTZ100" s="142"/>
      <c r="MUA100" s="142"/>
      <c r="MUB100" s="142"/>
      <c r="MUC100" s="142"/>
      <c r="MUD100" s="142"/>
      <c r="MUE100" s="142"/>
      <c r="MUF100" s="142"/>
      <c r="MUG100" s="142"/>
      <c r="MUH100" s="142"/>
      <c r="MUI100" s="142"/>
      <c r="MUJ100" s="142"/>
      <c r="MUK100" s="142"/>
      <c r="MUL100" s="142"/>
      <c r="MUM100" s="142"/>
      <c r="MUN100" s="142"/>
      <c r="MUO100" s="142"/>
      <c r="MUP100" s="142"/>
      <c r="MUQ100" s="142"/>
      <c r="MUR100" s="142"/>
      <c r="MUS100" s="142"/>
      <c r="MUT100" s="142"/>
      <c r="MUU100" s="142"/>
      <c r="MUV100" s="142"/>
      <c r="MUW100" s="142"/>
      <c r="MUX100" s="142"/>
      <c r="MUY100" s="142"/>
      <c r="MUZ100" s="142"/>
      <c r="MVA100" s="142"/>
      <c r="MVB100" s="142"/>
      <c r="MVC100" s="142"/>
      <c r="MVD100" s="142"/>
      <c r="MVE100" s="142"/>
      <c r="MVF100" s="142"/>
      <c r="MVG100" s="142"/>
      <c r="MVH100" s="142"/>
      <c r="MVI100" s="142"/>
      <c r="MVJ100" s="142"/>
      <c r="MVK100" s="142"/>
      <c r="MVL100" s="142"/>
      <c r="MVM100" s="142"/>
      <c r="MVN100" s="142"/>
      <c r="MVO100" s="142"/>
      <c r="MVP100" s="142"/>
      <c r="MVQ100" s="142"/>
      <c r="MVR100" s="142"/>
      <c r="MVS100" s="142"/>
      <c r="MVT100" s="142"/>
      <c r="MVU100" s="142"/>
      <c r="MVV100" s="142"/>
      <c r="MVW100" s="142"/>
      <c r="MVX100" s="142"/>
      <c r="MVY100" s="142"/>
      <c r="MVZ100" s="142"/>
      <c r="MWA100" s="142"/>
      <c r="MWB100" s="142"/>
      <c r="MWC100" s="142"/>
      <c r="MWD100" s="142"/>
      <c r="MWE100" s="142"/>
      <c r="MWF100" s="142"/>
      <c r="MWG100" s="142"/>
      <c r="MWH100" s="142"/>
      <c r="MWI100" s="142"/>
      <c r="MWJ100" s="142"/>
      <c r="MWK100" s="142"/>
      <c r="MWL100" s="142"/>
      <c r="MWM100" s="142"/>
      <c r="MWN100" s="142"/>
      <c r="MWO100" s="142"/>
      <c r="MWP100" s="142"/>
      <c r="MWQ100" s="142"/>
      <c r="MWR100" s="142"/>
      <c r="MWS100" s="142"/>
      <c r="MWT100" s="142"/>
      <c r="MWU100" s="142"/>
      <c r="MWV100" s="142"/>
      <c r="MWW100" s="142"/>
      <c r="MWX100" s="142"/>
      <c r="MWY100" s="142"/>
      <c r="MWZ100" s="142"/>
      <c r="MXA100" s="142"/>
      <c r="MXB100" s="142"/>
      <c r="MXC100" s="142"/>
      <c r="MXD100" s="142"/>
      <c r="MXE100" s="142"/>
      <c r="MXF100" s="142"/>
      <c r="MXG100" s="142"/>
      <c r="MXH100" s="142"/>
      <c r="MXI100" s="142"/>
      <c r="MXJ100" s="142"/>
      <c r="MXK100" s="142"/>
      <c r="MXL100" s="142"/>
      <c r="MXM100" s="142"/>
      <c r="MXN100" s="142"/>
      <c r="MXO100" s="142"/>
      <c r="MXP100" s="142"/>
      <c r="MXQ100" s="142"/>
      <c r="MXR100" s="142"/>
      <c r="MXS100" s="142"/>
      <c r="MXT100" s="142"/>
      <c r="MXU100" s="142"/>
      <c r="MXV100" s="142"/>
      <c r="MXW100" s="142"/>
      <c r="MXX100" s="142"/>
      <c r="MXY100" s="142"/>
      <c r="MXZ100" s="142"/>
      <c r="MYA100" s="142"/>
      <c r="MYB100" s="142"/>
      <c r="MYC100" s="142"/>
      <c r="MYD100" s="142"/>
      <c r="MYE100" s="142"/>
      <c r="MYF100" s="142"/>
      <c r="MYG100" s="142"/>
      <c r="MYH100" s="142"/>
      <c r="MYI100" s="142"/>
      <c r="MYJ100" s="142"/>
      <c r="MYK100" s="142"/>
      <c r="MYL100" s="142"/>
      <c r="MYM100" s="142"/>
      <c r="MYN100" s="142"/>
      <c r="MYO100" s="142"/>
      <c r="MYP100" s="142"/>
      <c r="MYQ100" s="142"/>
      <c r="MYR100" s="142"/>
      <c r="MYS100" s="142"/>
      <c r="MYT100" s="142"/>
      <c r="MYU100" s="142"/>
      <c r="MYV100" s="142"/>
      <c r="MYW100" s="142"/>
      <c r="MYX100" s="142"/>
      <c r="MYY100" s="142"/>
      <c r="MYZ100" s="142"/>
      <c r="MZA100" s="142"/>
      <c r="MZB100" s="142"/>
      <c r="MZC100" s="142"/>
      <c r="MZD100" s="142"/>
      <c r="MZE100" s="142"/>
      <c r="MZF100" s="142"/>
      <c r="MZG100" s="142"/>
      <c r="MZH100" s="142"/>
      <c r="MZI100" s="142"/>
      <c r="MZJ100" s="142"/>
      <c r="MZK100" s="142"/>
      <c r="MZL100" s="142"/>
      <c r="MZM100" s="142"/>
      <c r="MZN100" s="142"/>
      <c r="MZO100" s="142"/>
      <c r="MZP100" s="142"/>
      <c r="MZQ100" s="142"/>
      <c r="MZR100" s="142"/>
      <c r="MZS100" s="142"/>
      <c r="MZT100" s="142"/>
      <c r="MZU100" s="142"/>
      <c r="MZV100" s="142"/>
      <c r="MZW100" s="142"/>
      <c r="MZX100" s="142"/>
      <c r="MZY100" s="142"/>
      <c r="MZZ100" s="142"/>
      <c r="NAA100" s="142"/>
      <c r="NAB100" s="142"/>
      <c r="NAC100" s="142"/>
      <c r="NAD100" s="142"/>
      <c r="NAE100" s="142"/>
      <c r="NAF100" s="142"/>
      <c r="NAG100" s="142"/>
      <c r="NAH100" s="142"/>
      <c r="NAI100" s="142"/>
      <c r="NAJ100" s="142"/>
      <c r="NAK100" s="142"/>
      <c r="NAL100" s="142"/>
      <c r="NAM100" s="142"/>
      <c r="NAN100" s="142"/>
      <c r="NAO100" s="142"/>
      <c r="NAP100" s="142"/>
      <c r="NAQ100" s="142"/>
      <c r="NAR100" s="142"/>
      <c r="NAS100" s="142"/>
      <c r="NAT100" s="142"/>
      <c r="NAU100" s="142"/>
      <c r="NAV100" s="142"/>
      <c r="NAW100" s="142"/>
      <c r="NAX100" s="142"/>
      <c r="NAY100" s="142"/>
      <c r="NAZ100" s="142"/>
      <c r="NBA100" s="142"/>
      <c r="NBB100" s="142"/>
      <c r="NBC100" s="142"/>
      <c r="NBD100" s="142"/>
      <c r="NBE100" s="142"/>
      <c r="NBF100" s="142"/>
      <c r="NBG100" s="142"/>
      <c r="NBH100" s="142"/>
      <c r="NBI100" s="142"/>
      <c r="NBJ100" s="142"/>
      <c r="NBK100" s="142"/>
      <c r="NBL100" s="142"/>
      <c r="NBM100" s="142"/>
      <c r="NBN100" s="142"/>
      <c r="NBO100" s="142"/>
      <c r="NBP100" s="142"/>
      <c r="NBQ100" s="142"/>
      <c r="NBR100" s="142"/>
      <c r="NBS100" s="142"/>
      <c r="NBT100" s="142"/>
      <c r="NBU100" s="142"/>
      <c r="NBV100" s="142"/>
      <c r="NBW100" s="142"/>
      <c r="NBX100" s="142"/>
      <c r="NBY100" s="142"/>
      <c r="NBZ100" s="142"/>
      <c r="NCA100" s="142"/>
      <c r="NCB100" s="142"/>
      <c r="NCC100" s="142"/>
      <c r="NCD100" s="142"/>
      <c r="NCE100" s="142"/>
      <c r="NCF100" s="142"/>
      <c r="NCG100" s="142"/>
      <c r="NCH100" s="142"/>
      <c r="NCI100" s="142"/>
      <c r="NCJ100" s="142"/>
      <c r="NCK100" s="142"/>
      <c r="NCL100" s="142"/>
      <c r="NCM100" s="142"/>
      <c r="NCN100" s="142"/>
      <c r="NCO100" s="142"/>
      <c r="NCP100" s="142"/>
      <c r="NCQ100" s="142"/>
      <c r="NCR100" s="142"/>
      <c r="NCS100" s="142"/>
      <c r="NCT100" s="142"/>
      <c r="NCU100" s="142"/>
      <c r="NCV100" s="142"/>
      <c r="NCW100" s="142"/>
      <c r="NCX100" s="142"/>
      <c r="NCY100" s="142"/>
      <c r="NCZ100" s="142"/>
      <c r="NDA100" s="142"/>
      <c r="NDB100" s="142"/>
      <c r="NDC100" s="142"/>
      <c r="NDD100" s="142"/>
      <c r="NDE100" s="142"/>
      <c r="NDF100" s="142"/>
      <c r="NDG100" s="142"/>
      <c r="NDH100" s="142"/>
      <c r="NDI100" s="142"/>
      <c r="NDJ100" s="142"/>
      <c r="NDK100" s="142"/>
      <c r="NDL100" s="142"/>
      <c r="NDM100" s="142"/>
      <c r="NDN100" s="142"/>
      <c r="NDO100" s="142"/>
      <c r="NDP100" s="142"/>
      <c r="NDQ100" s="142"/>
      <c r="NDR100" s="142"/>
      <c r="NDS100" s="142"/>
      <c r="NDT100" s="142"/>
      <c r="NDU100" s="142"/>
      <c r="NDV100" s="142"/>
      <c r="NDW100" s="142"/>
      <c r="NDX100" s="142"/>
      <c r="NDY100" s="142"/>
      <c r="NDZ100" s="142"/>
      <c r="NEA100" s="142"/>
      <c r="NEB100" s="142"/>
      <c r="NEC100" s="142"/>
      <c r="NED100" s="142"/>
      <c r="NEE100" s="142"/>
      <c r="NEF100" s="142"/>
      <c r="NEG100" s="142"/>
      <c r="NEH100" s="142"/>
      <c r="NEI100" s="142"/>
      <c r="NEJ100" s="142"/>
      <c r="NEK100" s="142"/>
      <c r="NEL100" s="142"/>
      <c r="NEM100" s="142"/>
      <c r="NEN100" s="142"/>
      <c r="NEO100" s="142"/>
      <c r="NEP100" s="142"/>
      <c r="NEQ100" s="142"/>
      <c r="NER100" s="142"/>
      <c r="NES100" s="142"/>
      <c r="NET100" s="142"/>
      <c r="NEU100" s="142"/>
      <c r="NEV100" s="142"/>
      <c r="NEW100" s="142"/>
      <c r="NEX100" s="142"/>
      <c r="NEY100" s="142"/>
      <c r="NEZ100" s="142"/>
      <c r="NFA100" s="142"/>
      <c r="NFB100" s="142"/>
      <c r="NFC100" s="142"/>
      <c r="NFD100" s="142"/>
      <c r="NFE100" s="142"/>
      <c r="NFF100" s="142"/>
      <c r="NFG100" s="142"/>
      <c r="NFH100" s="142"/>
      <c r="NFI100" s="142"/>
      <c r="NFJ100" s="142"/>
      <c r="NFK100" s="142"/>
      <c r="NFL100" s="142"/>
      <c r="NFM100" s="142"/>
      <c r="NFN100" s="142"/>
      <c r="NFO100" s="142"/>
      <c r="NFP100" s="142"/>
      <c r="NFQ100" s="142"/>
      <c r="NFR100" s="142"/>
      <c r="NFS100" s="142"/>
      <c r="NFT100" s="142"/>
      <c r="NFU100" s="142"/>
      <c r="NFV100" s="142"/>
      <c r="NFW100" s="142"/>
      <c r="NFX100" s="142"/>
      <c r="NFY100" s="142"/>
      <c r="NFZ100" s="142"/>
      <c r="NGA100" s="142"/>
      <c r="NGB100" s="142"/>
      <c r="NGC100" s="142"/>
      <c r="NGD100" s="142"/>
      <c r="NGE100" s="142"/>
      <c r="NGF100" s="142"/>
      <c r="NGG100" s="142"/>
      <c r="NGH100" s="142"/>
      <c r="NGI100" s="142"/>
      <c r="NGJ100" s="142"/>
      <c r="NGK100" s="142"/>
      <c r="NGL100" s="142"/>
      <c r="NGM100" s="142"/>
      <c r="NGN100" s="142"/>
      <c r="NGO100" s="142"/>
      <c r="NGP100" s="142"/>
      <c r="NGQ100" s="142"/>
      <c r="NGR100" s="142"/>
      <c r="NGS100" s="142"/>
      <c r="NGT100" s="142"/>
      <c r="NGU100" s="142"/>
      <c r="NGV100" s="142"/>
      <c r="NGW100" s="142"/>
      <c r="NGX100" s="142"/>
      <c r="NGY100" s="142"/>
      <c r="NGZ100" s="142"/>
      <c r="NHA100" s="142"/>
      <c r="NHB100" s="142"/>
      <c r="NHC100" s="142"/>
      <c r="NHD100" s="142"/>
      <c r="NHE100" s="142"/>
      <c r="NHF100" s="142"/>
      <c r="NHG100" s="142"/>
      <c r="NHH100" s="142"/>
      <c r="NHI100" s="142"/>
      <c r="NHJ100" s="142"/>
      <c r="NHK100" s="142"/>
      <c r="NHL100" s="142"/>
      <c r="NHM100" s="142"/>
      <c r="NHN100" s="142"/>
      <c r="NHO100" s="142"/>
      <c r="NHP100" s="142"/>
      <c r="NHQ100" s="142"/>
      <c r="NHR100" s="142"/>
      <c r="NHS100" s="142"/>
      <c r="NHT100" s="142"/>
      <c r="NHU100" s="142"/>
      <c r="NHV100" s="142"/>
      <c r="NHW100" s="142"/>
      <c r="NHX100" s="142"/>
      <c r="NHY100" s="142"/>
      <c r="NHZ100" s="142"/>
      <c r="NIA100" s="142"/>
      <c r="NIB100" s="142"/>
      <c r="NIC100" s="142"/>
      <c r="NID100" s="142"/>
      <c r="NIE100" s="142"/>
      <c r="NIF100" s="142"/>
      <c r="NIG100" s="142"/>
      <c r="NIH100" s="142"/>
      <c r="NII100" s="142"/>
      <c r="NIJ100" s="142"/>
      <c r="NIK100" s="142"/>
      <c r="NIL100" s="142"/>
      <c r="NIM100" s="142"/>
      <c r="NIN100" s="142"/>
      <c r="NIO100" s="142"/>
      <c r="NIP100" s="142"/>
      <c r="NIQ100" s="142"/>
      <c r="NIR100" s="142"/>
      <c r="NIS100" s="142"/>
      <c r="NIT100" s="142"/>
      <c r="NIU100" s="142"/>
      <c r="NIV100" s="142"/>
      <c r="NIW100" s="142"/>
      <c r="NIX100" s="142"/>
      <c r="NIY100" s="142"/>
      <c r="NIZ100" s="142"/>
      <c r="NJA100" s="142"/>
      <c r="NJB100" s="142"/>
      <c r="NJC100" s="142"/>
      <c r="NJD100" s="142"/>
      <c r="NJE100" s="142"/>
      <c r="NJF100" s="142"/>
      <c r="NJG100" s="142"/>
      <c r="NJH100" s="142"/>
      <c r="NJI100" s="142"/>
      <c r="NJJ100" s="142"/>
      <c r="NJK100" s="142"/>
      <c r="NJL100" s="142"/>
      <c r="NJM100" s="142"/>
      <c r="NJN100" s="142"/>
      <c r="NJO100" s="142"/>
      <c r="NJP100" s="142"/>
      <c r="NJQ100" s="142"/>
      <c r="NJR100" s="142"/>
      <c r="NJS100" s="142"/>
      <c r="NJT100" s="142"/>
      <c r="NJU100" s="142"/>
      <c r="NJV100" s="142"/>
      <c r="NJW100" s="142"/>
      <c r="NJX100" s="142"/>
      <c r="NJY100" s="142"/>
      <c r="NJZ100" s="142"/>
      <c r="NKA100" s="142"/>
      <c r="NKB100" s="142"/>
      <c r="NKC100" s="142"/>
      <c r="NKD100" s="142"/>
      <c r="NKE100" s="142"/>
      <c r="NKF100" s="142"/>
      <c r="NKG100" s="142"/>
      <c r="NKH100" s="142"/>
      <c r="NKI100" s="142"/>
      <c r="NKJ100" s="142"/>
      <c r="NKK100" s="142"/>
      <c r="NKL100" s="142"/>
      <c r="NKM100" s="142"/>
      <c r="NKN100" s="142"/>
      <c r="NKO100" s="142"/>
      <c r="NKP100" s="142"/>
      <c r="NKQ100" s="142"/>
      <c r="NKR100" s="142"/>
      <c r="NKS100" s="142"/>
      <c r="NKT100" s="142"/>
      <c r="NKU100" s="142"/>
      <c r="NKV100" s="142"/>
      <c r="NKW100" s="142"/>
      <c r="NKX100" s="142"/>
      <c r="NKY100" s="142"/>
      <c r="NKZ100" s="142"/>
      <c r="NLA100" s="142"/>
      <c r="NLB100" s="142"/>
      <c r="NLC100" s="142"/>
      <c r="NLD100" s="142"/>
      <c r="NLE100" s="142"/>
      <c r="NLF100" s="142"/>
      <c r="NLG100" s="142"/>
      <c r="NLH100" s="142"/>
      <c r="NLI100" s="142"/>
      <c r="NLJ100" s="142"/>
      <c r="NLK100" s="142"/>
      <c r="NLL100" s="142"/>
      <c r="NLM100" s="142"/>
      <c r="NLN100" s="142"/>
      <c r="NLO100" s="142"/>
      <c r="NLP100" s="142"/>
      <c r="NLQ100" s="142"/>
      <c r="NLR100" s="142"/>
      <c r="NLS100" s="142"/>
      <c r="NLT100" s="142"/>
      <c r="NLU100" s="142"/>
      <c r="NLV100" s="142"/>
      <c r="NLW100" s="142"/>
      <c r="NLX100" s="142"/>
      <c r="NLY100" s="142"/>
      <c r="NLZ100" s="142"/>
      <c r="NMA100" s="142"/>
      <c r="NMB100" s="142"/>
      <c r="NMC100" s="142"/>
      <c r="NMD100" s="142"/>
      <c r="NME100" s="142"/>
      <c r="NMF100" s="142"/>
      <c r="NMG100" s="142"/>
      <c r="NMH100" s="142"/>
      <c r="NMI100" s="142"/>
      <c r="NMJ100" s="142"/>
      <c r="NMK100" s="142"/>
      <c r="NML100" s="142"/>
      <c r="NMM100" s="142"/>
      <c r="NMN100" s="142"/>
      <c r="NMO100" s="142"/>
      <c r="NMP100" s="142"/>
      <c r="NMQ100" s="142"/>
      <c r="NMR100" s="142"/>
      <c r="NMS100" s="142"/>
      <c r="NMT100" s="142"/>
      <c r="NMU100" s="142"/>
      <c r="NMV100" s="142"/>
      <c r="NMW100" s="142"/>
      <c r="NMX100" s="142"/>
      <c r="NMY100" s="142"/>
      <c r="NMZ100" s="142"/>
      <c r="NNA100" s="142"/>
      <c r="NNB100" s="142"/>
      <c r="NNC100" s="142"/>
      <c r="NND100" s="142"/>
      <c r="NNE100" s="142"/>
      <c r="NNF100" s="142"/>
      <c r="NNG100" s="142"/>
      <c r="NNH100" s="142"/>
      <c r="NNI100" s="142"/>
      <c r="NNJ100" s="142"/>
      <c r="NNK100" s="142"/>
      <c r="NNL100" s="142"/>
      <c r="NNM100" s="142"/>
      <c r="NNN100" s="142"/>
      <c r="NNO100" s="142"/>
      <c r="NNP100" s="142"/>
      <c r="NNQ100" s="142"/>
      <c r="NNR100" s="142"/>
      <c r="NNS100" s="142"/>
      <c r="NNT100" s="142"/>
      <c r="NNU100" s="142"/>
      <c r="NNV100" s="142"/>
      <c r="NNW100" s="142"/>
      <c r="NNX100" s="142"/>
      <c r="NNY100" s="142"/>
      <c r="NNZ100" s="142"/>
      <c r="NOA100" s="142"/>
      <c r="NOB100" s="142"/>
      <c r="NOC100" s="142"/>
      <c r="NOD100" s="142"/>
      <c r="NOE100" s="142"/>
      <c r="NOF100" s="142"/>
      <c r="NOG100" s="142"/>
      <c r="NOH100" s="142"/>
      <c r="NOI100" s="142"/>
      <c r="NOJ100" s="142"/>
      <c r="NOK100" s="142"/>
      <c r="NOL100" s="142"/>
      <c r="NOM100" s="142"/>
      <c r="NON100" s="142"/>
      <c r="NOO100" s="142"/>
      <c r="NOP100" s="142"/>
      <c r="NOQ100" s="142"/>
      <c r="NOR100" s="142"/>
      <c r="NOS100" s="142"/>
      <c r="NOT100" s="142"/>
      <c r="NOU100" s="142"/>
      <c r="NOV100" s="142"/>
      <c r="NOW100" s="142"/>
      <c r="NOX100" s="142"/>
      <c r="NOY100" s="142"/>
      <c r="NOZ100" s="142"/>
      <c r="NPA100" s="142"/>
      <c r="NPB100" s="142"/>
      <c r="NPC100" s="142"/>
      <c r="NPD100" s="142"/>
      <c r="NPE100" s="142"/>
      <c r="NPF100" s="142"/>
      <c r="NPG100" s="142"/>
      <c r="NPH100" s="142"/>
      <c r="NPI100" s="142"/>
      <c r="NPJ100" s="142"/>
      <c r="NPK100" s="142"/>
      <c r="NPL100" s="142"/>
      <c r="NPM100" s="142"/>
      <c r="NPN100" s="142"/>
      <c r="NPO100" s="142"/>
      <c r="NPP100" s="142"/>
      <c r="NPQ100" s="142"/>
      <c r="NPR100" s="142"/>
      <c r="NPS100" s="142"/>
      <c r="NPT100" s="142"/>
      <c r="NPU100" s="142"/>
      <c r="NPV100" s="142"/>
      <c r="NPW100" s="142"/>
      <c r="NPX100" s="142"/>
      <c r="NPY100" s="142"/>
      <c r="NPZ100" s="142"/>
      <c r="NQA100" s="142"/>
      <c r="NQB100" s="142"/>
      <c r="NQC100" s="142"/>
      <c r="NQD100" s="142"/>
      <c r="NQE100" s="142"/>
      <c r="NQF100" s="142"/>
      <c r="NQG100" s="142"/>
      <c r="NQH100" s="142"/>
      <c r="NQI100" s="142"/>
      <c r="NQJ100" s="142"/>
      <c r="NQK100" s="142"/>
      <c r="NQL100" s="142"/>
      <c r="NQM100" s="142"/>
      <c r="NQN100" s="142"/>
      <c r="NQO100" s="142"/>
      <c r="NQP100" s="142"/>
      <c r="NQQ100" s="142"/>
      <c r="NQR100" s="142"/>
      <c r="NQS100" s="142"/>
      <c r="NQT100" s="142"/>
      <c r="NQU100" s="142"/>
      <c r="NQV100" s="142"/>
      <c r="NQW100" s="142"/>
      <c r="NQX100" s="142"/>
      <c r="NQY100" s="142"/>
      <c r="NQZ100" s="142"/>
      <c r="NRA100" s="142"/>
      <c r="NRB100" s="142"/>
      <c r="NRC100" s="142"/>
      <c r="NRD100" s="142"/>
      <c r="NRE100" s="142"/>
      <c r="NRF100" s="142"/>
      <c r="NRG100" s="142"/>
      <c r="NRH100" s="142"/>
      <c r="NRI100" s="142"/>
      <c r="NRJ100" s="142"/>
      <c r="NRK100" s="142"/>
      <c r="NRL100" s="142"/>
      <c r="NRM100" s="142"/>
      <c r="NRN100" s="142"/>
      <c r="NRO100" s="142"/>
      <c r="NRP100" s="142"/>
      <c r="NRQ100" s="142"/>
      <c r="NRR100" s="142"/>
      <c r="NRS100" s="142"/>
      <c r="NRT100" s="142"/>
      <c r="NRU100" s="142"/>
      <c r="NRV100" s="142"/>
      <c r="NRW100" s="142"/>
      <c r="NRX100" s="142"/>
      <c r="NRY100" s="142"/>
      <c r="NRZ100" s="142"/>
      <c r="NSA100" s="142"/>
      <c r="NSB100" s="142"/>
      <c r="NSC100" s="142"/>
      <c r="NSD100" s="142"/>
      <c r="NSE100" s="142"/>
      <c r="NSF100" s="142"/>
      <c r="NSG100" s="142"/>
      <c r="NSH100" s="142"/>
      <c r="NSI100" s="142"/>
      <c r="NSJ100" s="142"/>
      <c r="NSK100" s="142"/>
      <c r="NSL100" s="142"/>
      <c r="NSM100" s="142"/>
      <c r="NSN100" s="142"/>
      <c r="NSO100" s="142"/>
      <c r="NSP100" s="142"/>
      <c r="NSQ100" s="142"/>
      <c r="NSR100" s="142"/>
      <c r="NSS100" s="142"/>
      <c r="NST100" s="142"/>
      <c r="NSU100" s="142"/>
      <c r="NSV100" s="142"/>
      <c r="NSW100" s="142"/>
      <c r="NSX100" s="142"/>
      <c r="NSY100" s="142"/>
      <c r="NSZ100" s="142"/>
      <c r="NTA100" s="142"/>
      <c r="NTB100" s="142"/>
      <c r="NTC100" s="142"/>
      <c r="NTD100" s="142"/>
      <c r="NTE100" s="142"/>
      <c r="NTF100" s="142"/>
      <c r="NTG100" s="142"/>
      <c r="NTH100" s="142"/>
      <c r="NTI100" s="142"/>
      <c r="NTJ100" s="142"/>
      <c r="NTK100" s="142"/>
      <c r="NTL100" s="142"/>
      <c r="NTM100" s="142"/>
      <c r="NTN100" s="142"/>
      <c r="NTO100" s="142"/>
      <c r="NTP100" s="142"/>
      <c r="NTQ100" s="142"/>
      <c r="NTR100" s="142"/>
      <c r="NTS100" s="142"/>
      <c r="NTT100" s="142"/>
      <c r="NTU100" s="142"/>
      <c r="NTV100" s="142"/>
      <c r="NTW100" s="142"/>
      <c r="NTX100" s="142"/>
      <c r="NTY100" s="142"/>
      <c r="NTZ100" s="142"/>
      <c r="NUA100" s="142"/>
      <c r="NUB100" s="142"/>
      <c r="NUC100" s="142"/>
      <c r="NUD100" s="142"/>
      <c r="NUE100" s="142"/>
      <c r="NUF100" s="142"/>
      <c r="NUG100" s="142"/>
      <c r="NUH100" s="142"/>
      <c r="NUI100" s="142"/>
      <c r="NUJ100" s="142"/>
      <c r="NUK100" s="142"/>
      <c r="NUL100" s="142"/>
      <c r="NUM100" s="142"/>
      <c r="NUN100" s="142"/>
      <c r="NUO100" s="142"/>
      <c r="NUP100" s="142"/>
      <c r="NUQ100" s="142"/>
      <c r="NUR100" s="142"/>
      <c r="NUS100" s="142"/>
      <c r="NUT100" s="142"/>
      <c r="NUU100" s="142"/>
      <c r="NUV100" s="142"/>
      <c r="NUW100" s="142"/>
      <c r="NUX100" s="142"/>
      <c r="NUY100" s="142"/>
      <c r="NUZ100" s="142"/>
      <c r="NVA100" s="142"/>
      <c r="NVB100" s="142"/>
      <c r="NVC100" s="142"/>
      <c r="NVD100" s="142"/>
      <c r="NVE100" s="142"/>
      <c r="NVF100" s="142"/>
      <c r="NVG100" s="142"/>
      <c r="NVH100" s="142"/>
      <c r="NVI100" s="142"/>
      <c r="NVJ100" s="142"/>
      <c r="NVK100" s="142"/>
      <c r="NVL100" s="142"/>
      <c r="NVM100" s="142"/>
      <c r="NVN100" s="142"/>
      <c r="NVO100" s="142"/>
      <c r="NVP100" s="142"/>
      <c r="NVQ100" s="142"/>
      <c r="NVR100" s="142"/>
      <c r="NVS100" s="142"/>
      <c r="NVT100" s="142"/>
      <c r="NVU100" s="142"/>
      <c r="NVV100" s="142"/>
      <c r="NVW100" s="142"/>
      <c r="NVX100" s="142"/>
      <c r="NVY100" s="142"/>
      <c r="NVZ100" s="142"/>
      <c r="NWA100" s="142"/>
      <c r="NWB100" s="142"/>
      <c r="NWC100" s="142"/>
      <c r="NWD100" s="142"/>
      <c r="NWE100" s="142"/>
      <c r="NWF100" s="142"/>
      <c r="NWG100" s="142"/>
      <c r="NWH100" s="142"/>
      <c r="NWI100" s="142"/>
      <c r="NWJ100" s="142"/>
      <c r="NWK100" s="142"/>
      <c r="NWL100" s="142"/>
      <c r="NWM100" s="142"/>
      <c r="NWN100" s="142"/>
      <c r="NWO100" s="142"/>
      <c r="NWP100" s="142"/>
      <c r="NWQ100" s="142"/>
      <c r="NWR100" s="142"/>
      <c r="NWS100" s="142"/>
      <c r="NWT100" s="142"/>
      <c r="NWU100" s="142"/>
      <c r="NWV100" s="142"/>
      <c r="NWW100" s="142"/>
      <c r="NWX100" s="142"/>
      <c r="NWY100" s="142"/>
      <c r="NWZ100" s="142"/>
      <c r="NXA100" s="142"/>
      <c r="NXB100" s="142"/>
      <c r="NXC100" s="142"/>
      <c r="NXD100" s="142"/>
      <c r="NXE100" s="142"/>
      <c r="NXF100" s="142"/>
      <c r="NXG100" s="142"/>
      <c r="NXH100" s="142"/>
      <c r="NXI100" s="142"/>
      <c r="NXJ100" s="142"/>
      <c r="NXK100" s="142"/>
      <c r="NXL100" s="142"/>
      <c r="NXM100" s="142"/>
      <c r="NXN100" s="142"/>
      <c r="NXO100" s="142"/>
      <c r="NXP100" s="142"/>
      <c r="NXQ100" s="142"/>
      <c r="NXR100" s="142"/>
      <c r="NXS100" s="142"/>
      <c r="NXT100" s="142"/>
      <c r="NXU100" s="142"/>
      <c r="NXV100" s="142"/>
      <c r="NXW100" s="142"/>
      <c r="NXX100" s="142"/>
      <c r="NXY100" s="142"/>
      <c r="NXZ100" s="142"/>
      <c r="NYA100" s="142"/>
      <c r="NYB100" s="142"/>
      <c r="NYC100" s="142"/>
      <c r="NYD100" s="142"/>
      <c r="NYE100" s="142"/>
      <c r="NYF100" s="142"/>
      <c r="NYG100" s="142"/>
      <c r="NYH100" s="142"/>
      <c r="NYI100" s="142"/>
      <c r="NYJ100" s="142"/>
      <c r="NYK100" s="142"/>
      <c r="NYL100" s="142"/>
      <c r="NYM100" s="142"/>
      <c r="NYN100" s="142"/>
      <c r="NYO100" s="142"/>
      <c r="NYP100" s="142"/>
      <c r="NYQ100" s="142"/>
      <c r="NYR100" s="142"/>
      <c r="NYS100" s="142"/>
      <c r="NYT100" s="142"/>
      <c r="NYU100" s="142"/>
      <c r="NYV100" s="142"/>
      <c r="NYW100" s="142"/>
      <c r="NYX100" s="142"/>
      <c r="NYY100" s="142"/>
      <c r="NYZ100" s="142"/>
      <c r="NZA100" s="142"/>
      <c r="NZB100" s="142"/>
      <c r="NZC100" s="142"/>
      <c r="NZD100" s="142"/>
      <c r="NZE100" s="142"/>
      <c r="NZF100" s="142"/>
      <c r="NZG100" s="142"/>
      <c r="NZH100" s="142"/>
      <c r="NZI100" s="142"/>
      <c r="NZJ100" s="142"/>
      <c r="NZK100" s="142"/>
      <c r="NZL100" s="142"/>
      <c r="NZM100" s="142"/>
      <c r="NZN100" s="142"/>
      <c r="NZO100" s="142"/>
      <c r="NZP100" s="142"/>
      <c r="NZQ100" s="142"/>
      <c r="NZR100" s="142"/>
      <c r="NZS100" s="142"/>
      <c r="NZT100" s="142"/>
      <c r="NZU100" s="142"/>
      <c r="NZV100" s="142"/>
      <c r="NZW100" s="142"/>
      <c r="NZX100" s="142"/>
      <c r="NZY100" s="142"/>
      <c r="NZZ100" s="142"/>
      <c r="OAA100" s="142"/>
      <c r="OAB100" s="142"/>
      <c r="OAC100" s="142"/>
      <c r="OAD100" s="142"/>
      <c r="OAE100" s="142"/>
      <c r="OAF100" s="142"/>
      <c r="OAG100" s="142"/>
      <c r="OAH100" s="142"/>
      <c r="OAI100" s="142"/>
      <c r="OAJ100" s="142"/>
      <c r="OAK100" s="142"/>
      <c r="OAL100" s="142"/>
      <c r="OAM100" s="142"/>
      <c r="OAN100" s="142"/>
      <c r="OAO100" s="142"/>
      <c r="OAP100" s="142"/>
      <c r="OAQ100" s="142"/>
      <c r="OAR100" s="142"/>
      <c r="OAS100" s="142"/>
      <c r="OAT100" s="142"/>
      <c r="OAU100" s="142"/>
      <c r="OAV100" s="142"/>
      <c r="OAW100" s="142"/>
      <c r="OAX100" s="142"/>
      <c r="OAY100" s="142"/>
      <c r="OAZ100" s="142"/>
      <c r="OBA100" s="142"/>
      <c r="OBB100" s="142"/>
      <c r="OBC100" s="142"/>
      <c r="OBD100" s="142"/>
      <c r="OBE100" s="142"/>
      <c r="OBF100" s="142"/>
      <c r="OBG100" s="142"/>
      <c r="OBH100" s="142"/>
      <c r="OBI100" s="142"/>
      <c r="OBJ100" s="142"/>
      <c r="OBK100" s="142"/>
      <c r="OBL100" s="142"/>
      <c r="OBM100" s="142"/>
      <c r="OBN100" s="142"/>
      <c r="OBO100" s="142"/>
      <c r="OBP100" s="142"/>
      <c r="OBQ100" s="142"/>
      <c r="OBR100" s="142"/>
      <c r="OBS100" s="142"/>
      <c r="OBT100" s="142"/>
      <c r="OBU100" s="142"/>
      <c r="OBV100" s="142"/>
      <c r="OBW100" s="142"/>
      <c r="OBX100" s="142"/>
      <c r="OBY100" s="142"/>
      <c r="OBZ100" s="142"/>
      <c r="OCA100" s="142"/>
      <c r="OCB100" s="142"/>
      <c r="OCC100" s="142"/>
      <c r="OCD100" s="142"/>
      <c r="OCE100" s="142"/>
      <c r="OCF100" s="142"/>
      <c r="OCG100" s="142"/>
      <c r="OCH100" s="142"/>
      <c r="OCI100" s="142"/>
      <c r="OCJ100" s="142"/>
      <c r="OCK100" s="142"/>
      <c r="OCL100" s="142"/>
      <c r="OCM100" s="142"/>
      <c r="OCN100" s="142"/>
      <c r="OCO100" s="142"/>
      <c r="OCP100" s="142"/>
      <c r="OCQ100" s="142"/>
      <c r="OCR100" s="142"/>
      <c r="OCS100" s="142"/>
      <c r="OCT100" s="142"/>
      <c r="OCU100" s="142"/>
      <c r="OCV100" s="142"/>
      <c r="OCW100" s="142"/>
      <c r="OCX100" s="142"/>
      <c r="OCY100" s="142"/>
      <c r="OCZ100" s="142"/>
      <c r="ODA100" s="142"/>
      <c r="ODB100" s="142"/>
      <c r="ODC100" s="142"/>
      <c r="ODD100" s="142"/>
      <c r="ODE100" s="142"/>
      <c r="ODF100" s="142"/>
      <c r="ODG100" s="142"/>
      <c r="ODH100" s="142"/>
      <c r="ODI100" s="142"/>
      <c r="ODJ100" s="142"/>
      <c r="ODK100" s="142"/>
      <c r="ODL100" s="142"/>
      <c r="ODM100" s="142"/>
      <c r="ODN100" s="142"/>
      <c r="ODO100" s="142"/>
      <c r="ODP100" s="142"/>
      <c r="ODQ100" s="142"/>
      <c r="ODR100" s="142"/>
      <c r="ODS100" s="142"/>
      <c r="ODT100" s="142"/>
      <c r="ODU100" s="142"/>
      <c r="ODV100" s="142"/>
      <c r="ODW100" s="142"/>
      <c r="ODX100" s="142"/>
      <c r="ODY100" s="142"/>
      <c r="ODZ100" s="142"/>
      <c r="OEA100" s="142"/>
      <c r="OEB100" s="142"/>
      <c r="OEC100" s="142"/>
      <c r="OED100" s="142"/>
      <c r="OEE100" s="142"/>
      <c r="OEF100" s="142"/>
      <c r="OEG100" s="142"/>
      <c r="OEH100" s="142"/>
      <c r="OEI100" s="142"/>
      <c r="OEJ100" s="142"/>
      <c r="OEK100" s="142"/>
      <c r="OEL100" s="142"/>
      <c r="OEM100" s="142"/>
      <c r="OEN100" s="142"/>
      <c r="OEO100" s="142"/>
      <c r="OEP100" s="142"/>
      <c r="OEQ100" s="142"/>
      <c r="OER100" s="142"/>
      <c r="OES100" s="142"/>
      <c r="OET100" s="142"/>
      <c r="OEU100" s="142"/>
      <c r="OEV100" s="142"/>
      <c r="OEW100" s="142"/>
      <c r="OEX100" s="142"/>
      <c r="OEY100" s="142"/>
      <c r="OEZ100" s="142"/>
      <c r="OFA100" s="142"/>
      <c r="OFB100" s="142"/>
      <c r="OFC100" s="142"/>
      <c r="OFD100" s="142"/>
      <c r="OFE100" s="142"/>
      <c r="OFF100" s="142"/>
      <c r="OFG100" s="142"/>
      <c r="OFH100" s="142"/>
      <c r="OFI100" s="142"/>
      <c r="OFJ100" s="142"/>
      <c r="OFK100" s="142"/>
      <c r="OFL100" s="142"/>
      <c r="OFM100" s="142"/>
      <c r="OFN100" s="142"/>
      <c r="OFO100" s="142"/>
      <c r="OFP100" s="142"/>
      <c r="OFQ100" s="142"/>
      <c r="OFR100" s="142"/>
      <c r="OFS100" s="142"/>
      <c r="OFT100" s="142"/>
      <c r="OFU100" s="142"/>
      <c r="OFV100" s="142"/>
      <c r="OFW100" s="142"/>
      <c r="OFX100" s="142"/>
      <c r="OFY100" s="142"/>
      <c r="OFZ100" s="142"/>
      <c r="OGA100" s="142"/>
      <c r="OGB100" s="142"/>
      <c r="OGC100" s="142"/>
      <c r="OGD100" s="142"/>
      <c r="OGE100" s="142"/>
      <c r="OGF100" s="142"/>
      <c r="OGG100" s="142"/>
      <c r="OGH100" s="142"/>
      <c r="OGI100" s="142"/>
      <c r="OGJ100" s="142"/>
      <c r="OGK100" s="142"/>
      <c r="OGL100" s="142"/>
      <c r="OGM100" s="142"/>
      <c r="OGN100" s="142"/>
      <c r="OGO100" s="142"/>
      <c r="OGP100" s="142"/>
      <c r="OGQ100" s="142"/>
      <c r="OGR100" s="142"/>
      <c r="OGS100" s="142"/>
      <c r="OGT100" s="142"/>
      <c r="OGU100" s="142"/>
      <c r="OGV100" s="142"/>
      <c r="OGW100" s="142"/>
      <c r="OGX100" s="142"/>
      <c r="OGY100" s="142"/>
      <c r="OGZ100" s="142"/>
      <c r="OHA100" s="142"/>
      <c r="OHB100" s="142"/>
      <c r="OHC100" s="142"/>
      <c r="OHD100" s="142"/>
      <c r="OHE100" s="142"/>
      <c r="OHF100" s="142"/>
      <c r="OHG100" s="142"/>
      <c r="OHH100" s="142"/>
      <c r="OHI100" s="142"/>
      <c r="OHJ100" s="142"/>
      <c r="OHK100" s="142"/>
      <c r="OHL100" s="142"/>
      <c r="OHM100" s="142"/>
      <c r="OHN100" s="142"/>
      <c r="OHO100" s="142"/>
      <c r="OHP100" s="142"/>
      <c r="OHQ100" s="142"/>
      <c r="OHR100" s="142"/>
      <c r="OHS100" s="142"/>
      <c r="OHT100" s="142"/>
      <c r="OHU100" s="142"/>
      <c r="OHV100" s="142"/>
      <c r="OHW100" s="142"/>
      <c r="OHX100" s="142"/>
      <c r="OHY100" s="142"/>
      <c r="OHZ100" s="142"/>
      <c r="OIA100" s="142"/>
      <c r="OIB100" s="142"/>
      <c r="OIC100" s="142"/>
      <c r="OID100" s="142"/>
      <c r="OIE100" s="142"/>
      <c r="OIF100" s="142"/>
      <c r="OIG100" s="142"/>
      <c r="OIH100" s="142"/>
      <c r="OII100" s="142"/>
      <c r="OIJ100" s="142"/>
      <c r="OIK100" s="142"/>
      <c r="OIL100" s="142"/>
      <c r="OIM100" s="142"/>
      <c r="OIN100" s="142"/>
      <c r="OIO100" s="142"/>
      <c r="OIP100" s="142"/>
      <c r="OIQ100" s="142"/>
      <c r="OIR100" s="142"/>
      <c r="OIS100" s="142"/>
      <c r="OIT100" s="142"/>
      <c r="OIU100" s="142"/>
      <c r="OIV100" s="142"/>
      <c r="OIW100" s="142"/>
      <c r="OIX100" s="142"/>
      <c r="OIY100" s="142"/>
      <c r="OIZ100" s="142"/>
      <c r="OJA100" s="142"/>
      <c r="OJB100" s="142"/>
      <c r="OJC100" s="142"/>
      <c r="OJD100" s="142"/>
      <c r="OJE100" s="142"/>
      <c r="OJF100" s="142"/>
      <c r="OJG100" s="142"/>
      <c r="OJH100" s="142"/>
      <c r="OJI100" s="142"/>
      <c r="OJJ100" s="142"/>
      <c r="OJK100" s="142"/>
      <c r="OJL100" s="142"/>
      <c r="OJM100" s="142"/>
      <c r="OJN100" s="142"/>
      <c r="OJO100" s="142"/>
      <c r="OJP100" s="142"/>
      <c r="OJQ100" s="142"/>
      <c r="OJR100" s="142"/>
      <c r="OJS100" s="142"/>
      <c r="OJT100" s="142"/>
      <c r="OJU100" s="142"/>
      <c r="OJV100" s="142"/>
      <c r="OJW100" s="142"/>
      <c r="OJX100" s="142"/>
      <c r="OJY100" s="142"/>
      <c r="OJZ100" s="142"/>
      <c r="OKA100" s="142"/>
      <c r="OKB100" s="142"/>
      <c r="OKC100" s="142"/>
      <c r="OKD100" s="142"/>
      <c r="OKE100" s="142"/>
      <c r="OKF100" s="142"/>
      <c r="OKG100" s="142"/>
      <c r="OKH100" s="142"/>
      <c r="OKI100" s="142"/>
      <c r="OKJ100" s="142"/>
      <c r="OKK100" s="142"/>
      <c r="OKL100" s="142"/>
      <c r="OKM100" s="142"/>
      <c r="OKN100" s="142"/>
      <c r="OKO100" s="142"/>
      <c r="OKP100" s="142"/>
      <c r="OKQ100" s="142"/>
      <c r="OKR100" s="142"/>
      <c r="OKS100" s="142"/>
      <c r="OKT100" s="142"/>
      <c r="OKU100" s="142"/>
      <c r="OKV100" s="142"/>
      <c r="OKW100" s="142"/>
      <c r="OKX100" s="142"/>
      <c r="OKY100" s="142"/>
      <c r="OKZ100" s="142"/>
      <c r="OLA100" s="142"/>
      <c r="OLB100" s="142"/>
      <c r="OLC100" s="142"/>
      <c r="OLD100" s="142"/>
      <c r="OLE100" s="142"/>
      <c r="OLF100" s="142"/>
      <c r="OLG100" s="142"/>
      <c r="OLH100" s="142"/>
      <c r="OLI100" s="142"/>
      <c r="OLJ100" s="142"/>
      <c r="OLK100" s="142"/>
      <c r="OLL100" s="142"/>
      <c r="OLM100" s="142"/>
      <c r="OLN100" s="142"/>
      <c r="OLO100" s="142"/>
      <c r="OLP100" s="142"/>
      <c r="OLQ100" s="142"/>
      <c r="OLR100" s="142"/>
      <c r="OLS100" s="142"/>
      <c r="OLT100" s="142"/>
      <c r="OLU100" s="142"/>
      <c r="OLV100" s="142"/>
      <c r="OLW100" s="142"/>
      <c r="OLX100" s="142"/>
      <c r="OLY100" s="142"/>
      <c r="OLZ100" s="142"/>
      <c r="OMA100" s="142"/>
      <c r="OMB100" s="142"/>
      <c r="OMC100" s="142"/>
      <c r="OMD100" s="142"/>
      <c r="OME100" s="142"/>
      <c r="OMF100" s="142"/>
      <c r="OMG100" s="142"/>
      <c r="OMH100" s="142"/>
      <c r="OMI100" s="142"/>
      <c r="OMJ100" s="142"/>
      <c r="OMK100" s="142"/>
      <c r="OML100" s="142"/>
      <c r="OMM100" s="142"/>
      <c r="OMN100" s="142"/>
      <c r="OMO100" s="142"/>
      <c r="OMP100" s="142"/>
      <c r="OMQ100" s="142"/>
      <c r="OMR100" s="142"/>
      <c r="OMS100" s="142"/>
      <c r="OMT100" s="142"/>
      <c r="OMU100" s="142"/>
      <c r="OMV100" s="142"/>
      <c r="OMW100" s="142"/>
      <c r="OMX100" s="142"/>
      <c r="OMY100" s="142"/>
      <c r="OMZ100" s="142"/>
      <c r="ONA100" s="142"/>
      <c r="ONB100" s="142"/>
      <c r="ONC100" s="142"/>
      <c r="OND100" s="142"/>
      <c r="ONE100" s="142"/>
      <c r="ONF100" s="142"/>
      <c r="ONG100" s="142"/>
      <c r="ONH100" s="142"/>
      <c r="ONI100" s="142"/>
      <c r="ONJ100" s="142"/>
      <c r="ONK100" s="142"/>
      <c r="ONL100" s="142"/>
      <c r="ONM100" s="142"/>
      <c r="ONN100" s="142"/>
      <c r="ONO100" s="142"/>
      <c r="ONP100" s="142"/>
      <c r="ONQ100" s="142"/>
      <c r="ONR100" s="142"/>
      <c r="ONS100" s="142"/>
      <c r="ONT100" s="142"/>
      <c r="ONU100" s="142"/>
      <c r="ONV100" s="142"/>
      <c r="ONW100" s="142"/>
      <c r="ONX100" s="142"/>
      <c r="ONY100" s="142"/>
      <c r="ONZ100" s="142"/>
      <c r="OOA100" s="142"/>
      <c r="OOB100" s="142"/>
      <c r="OOC100" s="142"/>
      <c r="OOD100" s="142"/>
      <c r="OOE100" s="142"/>
      <c r="OOF100" s="142"/>
      <c r="OOG100" s="142"/>
      <c r="OOH100" s="142"/>
      <c r="OOI100" s="142"/>
      <c r="OOJ100" s="142"/>
      <c r="OOK100" s="142"/>
      <c r="OOL100" s="142"/>
      <c r="OOM100" s="142"/>
      <c r="OON100" s="142"/>
      <c r="OOO100" s="142"/>
      <c r="OOP100" s="142"/>
      <c r="OOQ100" s="142"/>
      <c r="OOR100" s="142"/>
      <c r="OOS100" s="142"/>
      <c r="OOT100" s="142"/>
      <c r="OOU100" s="142"/>
      <c r="OOV100" s="142"/>
      <c r="OOW100" s="142"/>
      <c r="OOX100" s="142"/>
      <c r="OOY100" s="142"/>
      <c r="OOZ100" s="142"/>
      <c r="OPA100" s="142"/>
      <c r="OPB100" s="142"/>
      <c r="OPC100" s="142"/>
      <c r="OPD100" s="142"/>
      <c r="OPE100" s="142"/>
      <c r="OPF100" s="142"/>
      <c r="OPG100" s="142"/>
      <c r="OPH100" s="142"/>
      <c r="OPI100" s="142"/>
      <c r="OPJ100" s="142"/>
      <c r="OPK100" s="142"/>
      <c r="OPL100" s="142"/>
      <c r="OPM100" s="142"/>
      <c r="OPN100" s="142"/>
      <c r="OPO100" s="142"/>
      <c r="OPP100" s="142"/>
      <c r="OPQ100" s="142"/>
      <c r="OPR100" s="142"/>
      <c r="OPS100" s="142"/>
      <c r="OPT100" s="142"/>
      <c r="OPU100" s="142"/>
      <c r="OPV100" s="142"/>
      <c r="OPW100" s="142"/>
      <c r="OPX100" s="142"/>
      <c r="OPY100" s="142"/>
      <c r="OPZ100" s="142"/>
      <c r="OQA100" s="142"/>
      <c r="OQB100" s="142"/>
      <c r="OQC100" s="142"/>
      <c r="OQD100" s="142"/>
      <c r="OQE100" s="142"/>
      <c r="OQF100" s="142"/>
      <c r="OQG100" s="142"/>
      <c r="OQH100" s="142"/>
      <c r="OQI100" s="142"/>
      <c r="OQJ100" s="142"/>
      <c r="OQK100" s="142"/>
      <c r="OQL100" s="142"/>
      <c r="OQM100" s="142"/>
      <c r="OQN100" s="142"/>
      <c r="OQO100" s="142"/>
      <c r="OQP100" s="142"/>
      <c r="OQQ100" s="142"/>
      <c r="OQR100" s="142"/>
      <c r="OQS100" s="142"/>
      <c r="OQT100" s="142"/>
      <c r="OQU100" s="142"/>
      <c r="OQV100" s="142"/>
      <c r="OQW100" s="142"/>
      <c r="OQX100" s="142"/>
      <c r="OQY100" s="142"/>
      <c r="OQZ100" s="142"/>
      <c r="ORA100" s="142"/>
      <c r="ORB100" s="142"/>
      <c r="ORC100" s="142"/>
      <c r="ORD100" s="142"/>
      <c r="ORE100" s="142"/>
      <c r="ORF100" s="142"/>
      <c r="ORG100" s="142"/>
      <c r="ORH100" s="142"/>
      <c r="ORI100" s="142"/>
      <c r="ORJ100" s="142"/>
      <c r="ORK100" s="142"/>
      <c r="ORL100" s="142"/>
      <c r="ORM100" s="142"/>
      <c r="ORN100" s="142"/>
      <c r="ORO100" s="142"/>
      <c r="ORP100" s="142"/>
      <c r="ORQ100" s="142"/>
      <c r="ORR100" s="142"/>
      <c r="ORS100" s="142"/>
      <c r="ORT100" s="142"/>
      <c r="ORU100" s="142"/>
      <c r="ORV100" s="142"/>
      <c r="ORW100" s="142"/>
      <c r="ORX100" s="142"/>
      <c r="ORY100" s="142"/>
      <c r="ORZ100" s="142"/>
      <c r="OSA100" s="142"/>
      <c r="OSB100" s="142"/>
      <c r="OSC100" s="142"/>
      <c r="OSD100" s="142"/>
      <c r="OSE100" s="142"/>
      <c r="OSF100" s="142"/>
      <c r="OSG100" s="142"/>
      <c r="OSH100" s="142"/>
      <c r="OSI100" s="142"/>
      <c r="OSJ100" s="142"/>
      <c r="OSK100" s="142"/>
      <c r="OSL100" s="142"/>
      <c r="OSM100" s="142"/>
      <c r="OSN100" s="142"/>
      <c r="OSO100" s="142"/>
      <c r="OSP100" s="142"/>
      <c r="OSQ100" s="142"/>
      <c r="OSR100" s="142"/>
      <c r="OSS100" s="142"/>
      <c r="OST100" s="142"/>
      <c r="OSU100" s="142"/>
      <c r="OSV100" s="142"/>
      <c r="OSW100" s="142"/>
      <c r="OSX100" s="142"/>
      <c r="OSY100" s="142"/>
      <c r="OSZ100" s="142"/>
      <c r="OTA100" s="142"/>
      <c r="OTB100" s="142"/>
      <c r="OTC100" s="142"/>
      <c r="OTD100" s="142"/>
      <c r="OTE100" s="142"/>
      <c r="OTF100" s="142"/>
      <c r="OTG100" s="142"/>
      <c r="OTH100" s="142"/>
      <c r="OTI100" s="142"/>
      <c r="OTJ100" s="142"/>
      <c r="OTK100" s="142"/>
      <c r="OTL100" s="142"/>
      <c r="OTM100" s="142"/>
      <c r="OTN100" s="142"/>
      <c r="OTO100" s="142"/>
      <c r="OTP100" s="142"/>
      <c r="OTQ100" s="142"/>
      <c r="OTR100" s="142"/>
      <c r="OTS100" s="142"/>
      <c r="OTT100" s="142"/>
      <c r="OTU100" s="142"/>
      <c r="OTV100" s="142"/>
      <c r="OTW100" s="142"/>
      <c r="OTX100" s="142"/>
      <c r="OTY100" s="142"/>
      <c r="OTZ100" s="142"/>
      <c r="OUA100" s="142"/>
      <c r="OUB100" s="142"/>
      <c r="OUC100" s="142"/>
      <c r="OUD100" s="142"/>
      <c r="OUE100" s="142"/>
      <c r="OUF100" s="142"/>
      <c r="OUG100" s="142"/>
      <c r="OUH100" s="142"/>
      <c r="OUI100" s="142"/>
      <c r="OUJ100" s="142"/>
      <c r="OUK100" s="142"/>
      <c r="OUL100" s="142"/>
      <c r="OUM100" s="142"/>
      <c r="OUN100" s="142"/>
      <c r="OUO100" s="142"/>
      <c r="OUP100" s="142"/>
      <c r="OUQ100" s="142"/>
      <c r="OUR100" s="142"/>
      <c r="OUS100" s="142"/>
      <c r="OUT100" s="142"/>
      <c r="OUU100" s="142"/>
      <c r="OUV100" s="142"/>
      <c r="OUW100" s="142"/>
      <c r="OUX100" s="142"/>
      <c r="OUY100" s="142"/>
      <c r="OUZ100" s="142"/>
      <c r="OVA100" s="142"/>
      <c r="OVB100" s="142"/>
      <c r="OVC100" s="142"/>
      <c r="OVD100" s="142"/>
      <c r="OVE100" s="142"/>
      <c r="OVF100" s="142"/>
      <c r="OVG100" s="142"/>
      <c r="OVH100" s="142"/>
      <c r="OVI100" s="142"/>
      <c r="OVJ100" s="142"/>
      <c r="OVK100" s="142"/>
      <c r="OVL100" s="142"/>
      <c r="OVM100" s="142"/>
      <c r="OVN100" s="142"/>
      <c r="OVO100" s="142"/>
      <c r="OVP100" s="142"/>
      <c r="OVQ100" s="142"/>
      <c r="OVR100" s="142"/>
      <c r="OVS100" s="142"/>
      <c r="OVT100" s="142"/>
      <c r="OVU100" s="142"/>
      <c r="OVV100" s="142"/>
      <c r="OVW100" s="142"/>
      <c r="OVX100" s="142"/>
      <c r="OVY100" s="142"/>
      <c r="OVZ100" s="142"/>
      <c r="OWA100" s="142"/>
      <c r="OWB100" s="142"/>
      <c r="OWC100" s="142"/>
      <c r="OWD100" s="142"/>
      <c r="OWE100" s="142"/>
      <c r="OWF100" s="142"/>
      <c r="OWG100" s="142"/>
      <c r="OWH100" s="142"/>
      <c r="OWI100" s="142"/>
      <c r="OWJ100" s="142"/>
      <c r="OWK100" s="142"/>
      <c r="OWL100" s="142"/>
      <c r="OWM100" s="142"/>
      <c r="OWN100" s="142"/>
      <c r="OWO100" s="142"/>
      <c r="OWP100" s="142"/>
      <c r="OWQ100" s="142"/>
      <c r="OWR100" s="142"/>
      <c r="OWS100" s="142"/>
      <c r="OWT100" s="142"/>
      <c r="OWU100" s="142"/>
      <c r="OWV100" s="142"/>
      <c r="OWW100" s="142"/>
      <c r="OWX100" s="142"/>
      <c r="OWY100" s="142"/>
      <c r="OWZ100" s="142"/>
      <c r="OXA100" s="142"/>
      <c r="OXB100" s="142"/>
      <c r="OXC100" s="142"/>
      <c r="OXD100" s="142"/>
      <c r="OXE100" s="142"/>
      <c r="OXF100" s="142"/>
      <c r="OXG100" s="142"/>
      <c r="OXH100" s="142"/>
      <c r="OXI100" s="142"/>
      <c r="OXJ100" s="142"/>
      <c r="OXK100" s="142"/>
      <c r="OXL100" s="142"/>
      <c r="OXM100" s="142"/>
      <c r="OXN100" s="142"/>
      <c r="OXO100" s="142"/>
      <c r="OXP100" s="142"/>
      <c r="OXQ100" s="142"/>
      <c r="OXR100" s="142"/>
      <c r="OXS100" s="142"/>
      <c r="OXT100" s="142"/>
      <c r="OXU100" s="142"/>
      <c r="OXV100" s="142"/>
      <c r="OXW100" s="142"/>
      <c r="OXX100" s="142"/>
      <c r="OXY100" s="142"/>
      <c r="OXZ100" s="142"/>
      <c r="OYA100" s="142"/>
      <c r="OYB100" s="142"/>
      <c r="OYC100" s="142"/>
      <c r="OYD100" s="142"/>
      <c r="OYE100" s="142"/>
      <c r="OYF100" s="142"/>
      <c r="OYG100" s="142"/>
      <c r="OYH100" s="142"/>
      <c r="OYI100" s="142"/>
      <c r="OYJ100" s="142"/>
      <c r="OYK100" s="142"/>
      <c r="OYL100" s="142"/>
      <c r="OYM100" s="142"/>
      <c r="OYN100" s="142"/>
      <c r="OYO100" s="142"/>
      <c r="OYP100" s="142"/>
      <c r="OYQ100" s="142"/>
      <c r="OYR100" s="142"/>
      <c r="OYS100" s="142"/>
      <c r="OYT100" s="142"/>
      <c r="OYU100" s="142"/>
      <c r="OYV100" s="142"/>
      <c r="OYW100" s="142"/>
      <c r="OYX100" s="142"/>
      <c r="OYY100" s="142"/>
      <c r="OYZ100" s="142"/>
      <c r="OZA100" s="142"/>
      <c r="OZB100" s="142"/>
      <c r="OZC100" s="142"/>
      <c r="OZD100" s="142"/>
      <c r="OZE100" s="142"/>
      <c r="OZF100" s="142"/>
      <c r="OZG100" s="142"/>
      <c r="OZH100" s="142"/>
      <c r="OZI100" s="142"/>
      <c r="OZJ100" s="142"/>
      <c r="OZK100" s="142"/>
      <c r="OZL100" s="142"/>
      <c r="OZM100" s="142"/>
      <c r="OZN100" s="142"/>
      <c r="OZO100" s="142"/>
      <c r="OZP100" s="142"/>
      <c r="OZQ100" s="142"/>
      <c r="OZR100" s="142"/>
      <c r="OZS100" s="142"/>
      <c r="OZT100" s="142"/>
      <c r="OZU100" s="142"/>
      <c r="OZV100" s="142"/>
      <c r="OZW100" s="142"/>
      <c r="OZX100" s="142"/>
      <c r="OZY100" s="142"/>
      <c r="OZZ100" s="142"/>
      <c r="PAA100" s="142"/>
      <c r="PAB100" s="142"/>
      <c r="PAC100" s="142"/>
      <c r="PAD100" s="142"/>
      <c r="PAE100" s="142"/>
      <c r="PAF100" s="142"/>
      <c r="PAG100" s="142"/>
      <c r="PAH100" s="142"/>
      <c r="PAI100" s="142"/>
      <c r="PAJ100" s="142"/>
      <c r="PAK100" s="142"/>
      <c r="PAL100" s="142"/>
      <c r="PAM100" s="142"/>
      <c r="PAN100" s="142"/>
      <c r="PAO100" s="142"/>
      <c r="PAP100" s="142"/>
      <c r="PAQ100" s="142"/>
      <c r="PAR100" s="142"/>
      <c r="PAS100" s="142"/>
      <c r="PAT100" s="142"/>
      <c r="PAU100" s="142"/>
      <c r="PAV100" s="142"/>
      <c r="PAW100" s="142"/>
      <c r="PAX100" s="142"/>
      <c r="PAY100" s="142"/>
      <c r="PAZ100" s="142"/>
      <c r="PBA100" s="142"/>
      <c r="PBB100" s="142"/>
      <c r="PBC100" s="142"/>
      <c r="PBD100" s="142"/>
      <c r="PBE100" s="142"/>
      <c r="PBF100" s="142"/>
      <c r="PBG100" s="142"/>
      <c r="PBH100" s="142"/>
      <c r="PBI100" s="142"/>
      <c r="PBJ100" s="142"/>
      <c r="PBK100" s="142"/>
      <c r="PBL100" s="142"/>
      <c r="PBM100" s="142"/>
      <c r="PBN100" s="142"/>
      <c r="PBO100" s="142"/>
      <c r="PBP100" s="142"/>
      <c r="PBQ100" s="142"/>
      <c r="PBR100" s="142"/>
      <c r="PBS100" s="142"/>
      <c r="PBT100" s="142"/>
      <c r="PBU100" s="142"/>
      <c r="PBV100" s="142"/>
      <c r="PBW100" s="142"/>
      <c r="PBX100" s="142"/>
      <c r="PBY100" s="142"/>
      <c r="PBZ100" s="142"/>
      <c r="PCA100" s="142"/>
      <c r="PCB100" s="142"/>
      <c r="PCC100" s="142"/>
      <c r="PCD100" s="142"/>
      <c r="PCE100" s="142"/>
      <c r="PCF100" s="142"/>
      <c r="PCG100" s="142"/>
      <c r="PCH100" s="142"/>
      <c r="PCI100" s="142"/>
      <c r="PCJ100" s="142"/>
      <c r="PCK100" s="142"/>
      <c r="PCL100" s="142"/>
      <c r="PCM100" s="142"/>
      <c r="PCN100" s="142"/>
      <c r="PCO100" s="142"/>
      <c r="PCP100" s="142"/>
      <c r="PCQ100" s="142"/>
      <c r="PCR100" s="142"/>
      <c r="PCS100" s="142"/>
      <c r="PCT100" s="142"/>
      <c r="PCU100" s="142"/>
      <c r="PCV100" s="142"/>
      <c r="PCW100" s="142"/>
      <c r="PCX100" s="142"/>
      <c r="PCY100" s="142"/>
      <c r="PCZ100" s="142"/>
      <c r="PDA100" s="142"/>
      <c r="PDB100" s="142"/>
      <c r="PDC100" s="142"/>
      <c r="PDD100" s="142"/>
      <c r="PDE100" s="142"/>
      <c r="PDF100" s="142"/>
      <c r="PDG100" s="142"/>
      <c r="PDH100" s="142"/>
      <c r="PDI100" s="142"/>
      <c r="PDJ100" s="142"/>
      <c r="PDK100" s="142"/>
      <c r="PDL100" s="142"/>
      <c r="PDM100" s="142"/>
      <c r="PDN100" s="142"/>
      <c r="PDO100" s="142"/>
      <c r="PDP100" s="142"/>
      <c r="PDQ100" s="142"/>
      <c r="PDR100" s="142"/>
      <c r="PDS100" s="142"/>
      <c r="PDT100" s="142"/>
      <c r="PDU100" s="142"/>
      <c r="PDV100" s="142"/>
      <c r="PDW100" s="142"/>
      <c r="PDX100" s="142"/>
      <c r="PDY100" s="142"/>
      <c r="PDZ100" s="142"/>
      <c r="PEA100" s="142"/>
      <c r="PEB100" s="142"/>
      <c r="PEC100" s="142"/>
      <c r="PED100" s="142"/>
      <c r="PEE100" s="142"/>
      <c r="PEF100" s="142"/>
      <c r="PEG100" s="142"/>
      <c r="PEH100" s="142"/>
      <c r="PEI100" s="142"/>
      <c r="PEJ100" s="142"/>
      <c r="PEK100" s="142"/>
      <c r="PEL100" s="142"/>
      <c r="PEM100" s="142"/>
      <c r="PEN100" s="142"/>
      <c r="PEO100" s="142"/>
      <c r="PEP100" s="142"/>
      <c r="PEQ100" s="142"/>
      <c r="PER100" s="142"/>
      <c r="PES100" s="142"/>
      <c r="PET100" s="142"/>
      <c r="PEU100" s="142"/>
      <c r="PEV100" s="142"/>
      <c r="PEW100" s="142"/>
      <c r="PEX100" s="142"/>
      <c r="PEY100" s="142"/>
      <c r="PEZ100" s="142"/>
      <c r="PFA100" s="142"/>
      <c r="PFB100" s="142"/>
      <c r="PFC100" s="142"/>
      <c r="PFD100" s="142"/>
      <c r="PFE100" s="142"/>
      <c r="PFF100" s="142"/>
      <c r="PFG100" s="142"/>
      <c r="PFH100" s="142"/>
      <c r="PFI100" s="142"/>
      <c r="PFJ100" s="142"/>
      <c r="PFK100" s="142"/>
      <c r="PFL100" s="142"/>
      <c r="PFM100" s="142"/>
      <c r="PFN100" s="142"/>
      <c r="PFO100" s="142"/>
      <c r="PFP100" s="142"/>
      <c r="PFQ100" s="142"/>
      <c r="PFR100" s="142"/>
      <c r="PFS100" s="142"/>
      <c r="PFT100" s="142"/>
      <c r="PFU100" s="142"/>
      <c r="PFV100" s="142"/>
      <c r="PFW100" s="142"/>
      <c r="PFX100" s="142"/>
      <c r="PFY100" s="142"/>
      <c r="PFZ100" s="142"/>
      <c r="PGA100" s="142"/>
      <c r="PGB100" s="142"/>
      <c r="PGC100" s="142"/>
      <c r="PGD100" s="142"/>
      <c r="PGE100" s="142"/>
      <c r="PGF100" s="142"/>
      <c r="PGG100" s="142"/>
      <c r="PGH100" s="142"/>
      <c r="PGI100" s="142"/>
      <c r="PGJ100" s="142"/>
      <c r="PGK100" s="142"/>
      <c r="PGL100" s="142"/>
      <c r="PGM100" s="142"/>
      <c r="PGN100" s="142"/>
      <c r="PGO100" s="142"/>
      <c r="PGP100" s="142"/>
      <c r="PGQ100" s="142"/>
      <c r="PGR100" s="142"/>
      <c r="PGS100" s="142"/>
      <c r="PGT100" s="142"/>
      <c r="PGU100" s="142"/>
      <c r="PGV100" s="142"/>
      <c r="PGW100" s="142"/>
      <c r="PGX100" s="142"/>
      <c r="PGY100" s="142"/>
      <c r="PGZ100" s="142"/>
      <c r="PHA100" s="142"/>
      <c r="PHB100" s="142"/>
      <c r="PHC100" s="142"/>
      <c r="PHD100" s="142"/>
      <c r="PHE100" s="142"/>
      <c r="PHF100" s="142"/>
      <c r="PHG100" s="142"/>
      <c r="PHH100" s="142"/>
      <c r="PHI100" s="142"/>
      <c r="PHJ100" s="142"/>
      <c r="PHK100" s="142"/>
      <c r="PHL100" s="142"/>
      <c r="PHM100" s="142"/>
      <c r="PHN100" s="142"/>
      <c r="PHO100" s="142"/>
      <c r="PHP100" s="142"/>
      <c r="PHQ100" s="142"/>
      <c r="PHR100" s="142"/>
      <c r="PHS100" s="142"/>
      <c r="PHT100" s="142"/>
      <c r="PHU100" s="142"/>
      <c r="PHV100" s="142"/>
      <c r="PHW100" s="142"/>
      <c r="PHX100" s="142"/>
      <c r="PHY100" s="142"/>
      <c r="PHZ100" s="142"/>
      <c r="PIA100" s="142"/>
      <c r="PIB100" s="142"/>
      <c r="PIC100" s="142"/>
      <c r="PID100" s="142"/>
      <c r="PIE100" s="142"/>
      <c r="PIF100" s="142"/>
      <c r="PIG100" s="142"/>
      <c r="PIH100" s="142"/>
      <c r="PII100" s="142"/>
      <c r="PIJ100" s="142"/>
      <c r="PIK100" s="142"/>
      <c r="PIL100" s="142"/>
      <c r="PIM100" s="142"/>
      <c r="PIN100" s="142"/>
      <c r="PIO100" s="142"/>
      <c r="PIP100" s="142"/>
      <c r="PIQ100" s="142"/>
      <c r="PIR100" s="142"/>
      <c r="PIS100" s="142"/>
      <c r="PIT100" s="142"/>
      <c r="PIU100" s="142"/>
      <c r="PIV100" s="142"/>
      <c r="PIW100" s="142"/>
      <c r="PIX100" s="142"/>
      <c r="PIY100" s="142"/>
      <c r="PIZ100" s="142"/>
      <c r="PJA100" s="142"/>
      <c r="PJB100" s="142"/>
      <c r="PJC100" s="142"/>
      <c r="PJD100" s="142"/>
      <c r="PJE100" s="142"/>
      <c r="PJF100" s="142"/>
      <c r="PJG100" s="142"/>
      <c r="PJH100" s="142"/>
      <c r="PJI100" s="142"/>
      <c r="PJJ100" s="142"/>
      <c r="PJK100" s="142"/>
      <c r="PJL100" s="142"/>
      <c r="PJM100" s="142"/>
      <c r="PJN100" s="142"/>
      <c r="PJO100" s="142"/>
      <c r="PJP100" s="142"/>
      <c r="PJQ100" s="142"/>
      <c r="PJR100" s="142"/>
      <c r="PJS100" s="142"/>
      <c r="PJT100" s="142"/>
      <c r="PJU100" s="142"/>
      <c r="PJV100" s="142"/>
      <c r="PJW100" s="142"/>
      <c r="PJX100" s="142"/>
      <c r="PJY100" s="142"/>
      <c r="PJZ100" s="142"/>
      <c r="PKA100" s="142"/>
      <c r="PKB100" s="142"/>
      <c r="PKC100" s="142"/>
      <c r="PKD100" s="142"/>
      <c r="PKE100" s="142"/>
      <c r="PKF100" s="142"/>
      <c r="PKG100" s="142"/>
      <c r="PKH100" s="142"/>
      <c r="PKI100" s="142"/>
      <c r="PKJ100" s="142"/>
      <c r="PKK100" s="142"/>
      <c r="PKL100" s="142"/>
      <c r="PKM100" s="142"/>
      <c r="PKN100" s="142"/>
      <c r="PKO100" s="142"/>
      <c r="PKP100" s="142"/>
      <c r="PKQ100" s="142"/>
      <c r="PKR100" s="142"/>
      <c r="PKS100" s="142"/>
      <c r="PKT100" s="142"/>
      <c r="PKU100" s="142"/>
      <c r="PKV100" s="142"/>
      <c r="PKW100" s="142"/>
      <c r="PKX100" s="142"/>
      <c r="PKY100" s="142"/>
      <c r="PKZ100" s="142"/>
      <c r="PLA100" s="142"/>
      <c r="PLB100" s="142"/>
      <c r="PLC100" s="142"/>
      <c r="PLD100" s="142"/>
      <c r="PLE100" s="142"/>
      <c r="PLF100" s="142"/>
      <c r="PLG100" s="142"/>
      <c r="PLH100" s="142"/>
      <c r="PLI100" s="142"/>
      <c r="PLJ100" s="142"/>
      <c r="PLK100" s="142"/>
      <c r="PLL100" s="142"/>
      <c r="PLM100" s="142"/>
      <c r="PLN100" s="142"/>
      <c r="PLO100" s="142"/>
      <c r="PLP100" s="142"/>
      <c r="PLQ100" s="142"/>
      <c r="PLR100" s="142"/>
      <c r="PLS100" s="142"/>
      <c r="PLT100" s="142"/>
      <c r="PLU100" s="142"/>
      <c r="PLV100" s="142"/>
      <c r="PLW100" s="142"/>
      <c r="PLX100" s="142"/>
      <c r="PLY100" s="142"/>
      <c r="PLZ100" s="142"/>
      <c r="PMA100" s="142"/>
      <c r="PMB100" s="142"/>
      <c r="PMC100" s="142"/>
      <c r="PMD100" s="142"/>
      <c r="PME100" s="142"/>
      <c r="PMF100" s="142"/>
      <c r="PMG100" s="142"/>
      <c r="PMH100" s="142"/>
      <c r="PMI100" s="142"/>
      <c r="PMJ100" s="142"/>
      <c r="PMK100" s="142"/>
      <c r="PML100" s="142"/>
      <c r="PMM100" s="142"/>
      <c r="PMN100" s="142"/>
      <c r="PMO100" s="142"/>
      <c r="PMP100" s="142"/>
      <c r="PMQ100" s="142"/>
      <c r="PMR100" s="142"/>
      <c r="PMS100" s="142"/>
      <c r="PMT100" s="142"/>
      <c r="PMU100" s="142"/>
      <c r="PMV100" s="142"/>
      <c r="PMW100" s="142"/>
      <c r="PMX100" s="142"/>
      <c r="PMY100" s="142"/>
      <c r="PMZ100" s="142"/>
      <c r="PNA100" s="142"/>
      <c r="PNB100" s="142"/>
      <c r="PNC100" s="142"/>
      <c r="PND100" s="142"/>
      <c r="PNE100" s="142"/>
      <c r="PNF100" s="142"/>
      <c r="PNG100" s="142"/>
      <c r="PNH100" s="142"/>
      <c r="PNI100" s="142"/>
      <c r="PNJ100" s="142"/>
      <c r="PNK100" s="142"/>
      <c r="PNL100" s="142"/>
      <c r="PNM100" s="142"/>
      <c r="PNN100" s="142"/>
      <c r="PNO100" s="142"/>
      <c r="PNP100" s="142"/>
      <c r="PNQ100" s="142"/>
      <c r="PNR100" s="142"/>
      <c r="PNS100" s="142"/>
      <c r="PNT100" s="142"/>
      <c r="PNU100" s="142"/>
      <c r="PNV100" s="142"/>
      <c r="PNW100" s="142"/>
      <c r="PNX100" s="142"/>
      <c r="PNY100" s="142"/>
      <c r="PNZ100" s="142"/>
      <c r="POA100" s="142"/>
      <c r="POB100" s="142"/>
      <c r="POC100" s="142"/>
      <c r="POD100" s="142"/>
      <c r="POE100" s="142"/>
      <c r="POF100" s="142"/>
      <c r="POG100" s="142"/>
      <c r="POH100" s="142"/>
      <c r="POI100" s="142"/>
      <c r="POJ100" s="142"/>
      <c r="POK100" s="142"/>
      <c r="POL100" s="142"/>
      <c r="POM100" s="142"/>
      <c r="PON100" s="142"/>
      <c r="POO100" s="142"/>
      <c r="POP100" s="142"/>
      <c r="POQ100" s="142"/>
      <c r="POR100" s="142"/>
      <c r="POS100" s="142"/>
      <c r="POT100" s="142"/>
      <c r="POU100" s="142"/>
      <c r="POV100" s="142"/>
      <c r="POW100" s="142"/>
      <c r="POX100" s="142"/>
      <c r="POY100" s="142"/>
      <c r="POZ100" s="142"/>
      <c r="PPA100" s="142"/>
      <c r="PPB100" s="142"/>
      <c r="PPC100" s="142"/>
      <c r="PPD100" s="142"/>
      <c r="PPE100" s="142"/>
      <c r="PPF100" s="142"/>
      <c r="PPG100" s="142"/>
      <c r="PPH100" s="142"/>
      <c r="PPI100" s="142"/>
      <c r="PPJ100" s="142"/>
      <c r="PPK100" s="142"/>
      <c r="PPL100" s="142"/>
      <c r="PPM100" s="142"/>
      <c r="PPN100" s="142"/>
      <c r="PPO100" s="142"/>
      <c r="PPP100" s="142"/>
      <c r="PPQ100" s="142"/>
      <c r="PPR100" s="142"/>
      <c r="PPS100" s="142"/>
      <c r="PPT100" s="142"/>
      <c r="PPU100" s="142"/>
      <c r="PPV100" s="142"/>
      <c r="PPW100" s="142"/>
      <c r="PPX100" s="142"/>
      <c r="PPY100" s="142"/>
      <c r="PPZ100" s="142"/>
      <c r="PQA100" s="142"/>
      <c r="PQB100" s="142"/>
      <c r="PQC100" s="142"/>
      <c r="PQD100" s="142"/>
      <c r="PQE100" s="142"/>
      <c r="PQF100" s="142"/>
      <c r="PQG100" s="142"/>
      <c r="PQH100" s="142"/>
      <c r="PQI100" s="142"/>
      <c r="PQJ100" s="142"/>
      <c r="PQK100" s="142"/>
      <c r="PQL100" s="142"/>
      <c r="PQM100" s="142"/>
      <c r="PQN100" s="142"/>
      <c r="PQO100" s="142"/>
      <c r="PQP100" s="142"/>
      <c r="PQQ100" s="142"/>
      <c r="PQR100" s="142"/>
      <c r="PQS100" s="142"/>
      <c r="PQT100" s="142"/>
      <c r="PQU100" s="142"/>
      <c r="PQV100" s="142"/>
      <c r="PQW100" s="142"/>
      <c r="PQX100" s="142"/>
      <c r="PQY100" s="142"/>
      <c r="PQZ100" s="142"/>
      <c r="PRA100" s="142"/>
      <c r="PRB100" s="142"/>
      <c r="PRC100" s="142"/>
      <c r="PRD100" s="142"/>
      <c r="PRE100" s="142"/>
      <c r="PRF100" s="142"/>
      <c r="PRG100" s="142"/>
      <c r="PRH100" s="142"/>
      <c r="PRI100" s="142"/>
      <c r="PRJ100" s="142"/>
      <c r="PRK100" s="142"/>
      <c r="PRL100" s="142"/>
      <c r="PRM100" s="142"/>
      <c r="PRN100" s="142"/>
      <c r="PRO100" s="142"/>
      <c r="PRP100" s="142"/>
      <c r="PRQ100" s="142"/>
      <c r="PRR100" s="142"/>
      <c r="PRS100" s="142"/>
      <c r="PRT100" s="142"/>
      <c r="PRU100" s="142"/>
      <c r="PRV100" s="142"/>
      <c r="PRW100" s="142"/>
      <c r="PRX100" s="142"/>
      <c r="PRY100" s="142"/>
      <c r="PRZ100" s="142"/>
      <c r="PSA100" s="142"/>
      <c r="PSB100" s="142"/>
      <c r="PSC100" s="142"/>
      <c r="PSD100" s="142"/>
      <c r="PSE100" s="142"/>
      <c r="PSF100" s="142"/>
      <c r="PSG100" s="142"/>
      <c r="PSH100" s="142"/>
      <c r="PSI100" s="142"/>
      <c r="PSJ100" s="142"/>
      <c r="PSK100" s="142"/>
      <c r="PSL100" s="142"/>
      <c r="PSM100" s="142"/>
      <c r="PSN100" s="142"/>
      <c r="PSO100" s="142"/>
      <c r="PSP100" s="142"/>
      <c r="PSQ100" s="142"/>
      <c r="PSR100" s="142"/>
      <c r="PSS100" s="142"/>
      <c r="PST100" s="142"/>
      <c r="PSU100" s="142"/>
      <c r="PSV100" s="142"/>
      <c r="PSW100" s="142"/>
      <c r="PSX100" s="142"/>
      <c r="PSY100" s="142"/>
      <c r="PSZ100" s="142"/>
      <c r="PTA100" s="142"/>
      <c r="PTB100" s="142"/>
      <c r="PTC100" s="142"/>
      <c r="PTD100" s="142"/>
      <c r="PTE100" s="142"/>
      <c r="PTF100" s="142"/>
      <c r="PTG100" s="142"/>
      <c r="PTH100" s="142"/>
      <c r="PTI100" s="142"/>
      <c r="PTJ100" s="142"/>
      <c r="PTK100" s="142"/>
      <c r="PTL100" s="142"/>
      <c r="PTM100" s="142"/>
      <c r="PTN100" s="142"/>
      <c r="PTO100" s="142"/>
      <c r="PTP100" s="142"/>
      <c r="PTQ100" s="142"/>
      <c r="PTR100" s="142"/>
      <c r="PTS100" s="142"/>
      <c r="PTT100" s="142"/>
      <c r="PTU100" s="142"/>
      <c r="PTV100" s="142"/>
      <c r="PTW100" s="142"/>
      <c r="PTX100" s="142"/>
      <c r="PTY100" s="142"/>
      <c r="PTZ100" s="142"/>
      <c r="PUA100" s="142"/>
      <c r="PUB100" s="142"/>
      <c r="PUC100" s="142"/>
      <c r="PUD100" s="142"/>
      <c r="PUE100" s="142"/>
      <c r="PUF100" s="142"/>
      <c r="PUG100" s="142"/>
      <c r="PUH100" s="142"/>
      <c r="PUI100" s="142"/>
      <c r="PUJ100" s="142"/>
      <c r="PUK100" s="142"/>
      <c r="PUL100" s="142"/>
      <c r="PUM100" s="142"/>
      <c r="PUN100" s="142"/>
      <c r="PUO100" s="142"/>
      <c r="PUP100" s="142"/>
      <c r="PUQ100" s="142"/>
      <c r="PUR100" s="142"/>
      <c r="PUS100" s="142"/>
      <c r="PUT100" s="142"/>
      <c r="PUU100" s="142"/>
      <c r="PUV100" s="142"/>
      <c r="PUW100" s="142"/>
      <c r="PUX100" s="142"/>
      <c r="PUY100" s="142"/>
      <c r="PUZ100" s="142"/>
      <c r="PVA100" s="142"/>
      <c r="PVB100" s="142"/>
      <c r="PVC100" s="142"/>
      <c r="PVD100" s="142"/>
      <c r="PVE100" s="142"/>
      <c r="PVF100" s="142"/>
      <c r="PVG100" s="142"/>
      <c r="PVH100" s="142"/>
      <c r="PVI100" s="142"/>
      <c r="PVJ100" s="142"/>
      <c r="PVK100" s="142"/>
      <c r="PVL100" s="142"/>
      <c r="PVM100" s="142"/>
      <c r="PVN100" s="142"/>
      <c r="PVO100" s="142"/>
      <c r="PVP100" s="142"/>
      <c r="PVQ100" s="142"/>
      <c r="PVR100" s="142"/>
      <c r="PVS100" s="142"/>
      <c r="PVT100" s="142"/>
      <c r="PVU100" s="142"/>
      <c r="PVV100" s="142"/>
      <c r="PVW100" s="142"/>
      <c r="PVX100" s="142"/>
      <c r="PVY100" s="142"/>
      <c r="PVZ100" s="142"/>
      <c r="PWA100" s="142"/>
      <c r="PWB100" s="142"/>
      <c r="PWC100" s="142"/>
      <c r="PWD100" s="142"/>
      <c r="PWE100" s="142"/>
      <c r="PWF100" s="142"/>
      <c r="PWG100" s="142"/>
      <c r="PWH100" s="142"/>
      <c r="PWI100" s="142"/>
      <c r="PWJ100" s="142"/>
      <c r="PWK100" s="142"/>
      <c r="PWL100" s="142"/>
      <c r="PWM100" s="142"/>
      <c r="PWN100" s="142"/>
      <c r="PWO100" s="142"/>
      <c r="PWP100" s="142"/>
      <c r="PWQ100" s="142"/>
      <c r="PWR100" s="142"/>
      <c r="PWS100" s="142"/>
      <c r="PWT100" s="142"/>
      <c r="PWU100" s="142"/>
      <c r="PWV100" s="142"/>
      <c r="PWW100" s="142"/>
      <c r="PWX100" s="142"/>
      <c r="PWY100" s="142"/>
      <c r="PWZ100" s="142"/>
      <c r="PXA100" s="142"/>
      <c r="PXB100" s="142"/>
      <c r="PXC100" s="142"/>
      <c r="PXD100" s="142"/>
      <c r="PXE100" s="142"/>
      <c r="PXF100" s="142"/>
      <c r="PXG100" s="142"/>
      <c r="PXH100" s="142"/>
      <c r="PXI100" s="142"/>
      <c r="PXJ100" s="142"/>
      <c r="PXK100" s="142"/>
      <c r="PXL100" s="142"/>
      <c r="PXM100" s="142"/>
      <c r="PXN100" s="142"/>
      <c r="PXO100" s="142"/>
      <c r="PXP100" s="142"/>
      <c r="PXQ100" s="142"/>
      <c r="PXR100" s="142"/>
      <c r="PXS100" s="142"/>
      <c r="PXT100" s="142"/>
      <c r="PXU100" s="142"/>
      <c r="PXV100" s="142"/>
      <c r="PXW100" s="142"/>
      <c r="PXX100" s="142"/>
      <c r="PXY100" s="142"/>
      <c r="PXZ100" s="142"/>
      <c r="PYA100" s="142"/>
      <c r="PYB100" s="142"/>
      <c r="PYC100" s="142"/>
      <c r="PYD100" s="142"/>
      <c r="PYE100" s="142"/>
      <c r="PYF100" s="142"/>
      <c r="PYG100" s="142"/>
      <c r="PYH100" s="142"/>
      <c r="PYI100" s="142"/>
      <c r="PYJ100" s="142"/>
      <c r="PYK100" s="142"/>
      <c r="PYL100" s="142"/>
      <c r="PYM100" s="142"/>
      <c r="PYN100" s="142"/>
      <c r="PYO100" s="142"/>
      <c r="PYP100" s="142"/>
      <c r="PYQ100" s="142"/>
      <c r="PYR100" s="142"/>
      <c r="PYS100" s="142"/>
      <c r="PYT100" s="142"/>
      <c r="PYU100" s="142"/>
      <c r="PYV100" s="142"/>
      <c r="PYW100" s="142"/>
      <c r="PYX100" s="142"/>
      <c r="PYY100" s="142"/>
      <c r="PYZ100" s="142"/>
      <c r="PZA100" s="142"/>
      <c r="PZB100" s="142"/>
      <c r="PZC100" s="142"/>
      <c r="PZD100" s="142"/>
      <c r="PZE100" s="142"/>
      <c r="PZF100" s="142"/>
      <c r="PZG100" s="142"/>
      <c r="PZH100" s="142"/>
      <c r="PZI100" s="142"/>
      <c r="PZJ100" s="142"/>
      <c r="PZK100" s="142"/>
      <c r="PZL100" s="142"/>
      <c r="PZM100" s="142"/>
      <c r="PZN100" s="142"/>
      <c r="PZO100" s="142"/>
      <c r="PZP100" s="142"/>
      <c r="PZQ100" s="142"/>
      <c r="PZR100" s="142"/>
      <c r="PZS100" s="142"/>
      <c r="PZT100" s="142"/>
      <c r="PZU100" s="142"/>
      <c r="PZV100" s="142"/>
      <c r="PZW100" s="142"/>
      <c r="PZX100" s="142"/>
      <c r="PZY100" s="142"/>
      <c r="PZZ100" s="142"/>
      <c r="QAA100" s="142"/>
      <c r="QAB100" s="142"/>
      <c r="QAC100" s="142"/>
      <c r="QAD100" s="142"/>
      <c r="QAE100" s="142"/>
      <c r="QAF100" s="142"/>
      <c r="QAG100" s="142"/>
      <c r="QAH100" s="142"/>
      <c r="QAI100" s="142"/>
      <c r="QAJ100" s="142"/>
      <c r="QAK100" s="142"/>
      <c r="QAL100" s="142"/>
      <c r="QAM100" s="142"/>
      <c r="QAN100" s="142"/>
      <c r="QAO100" s="142"/>
      <c r="QAP100" s="142"/>
      <c r="QAQ100" s="142"/>
      <c r="QAR100" s="142"/>
      <c r="QAS100" s="142"/>
      <c r="QAT100" s="142"/>
      <c r="QAU100" s="142"/>
      <c r="QAV100" s="142"/>
      <c r="QAW100" s="142"/>
      <c r="QAX100" s="142"/>
      <c r="QAY100" s="142"/>
      <c r="QAZ100" s="142"/>
      <c r="QBA100" s="142"/>
      <c r="QBB100" s="142"/>
      <c r="QBC100" s="142"/>
      <c r="QBD100" s="142"/>
      <c r="QBE100" s="142"/>
      <c r="QBF100" s="142"/>
      <c r="QBG100" s="142"/>
      <c r="QBH100" s="142"/>
      <c r="QBI100" s="142"/>
      <c r="QBJ100" s="142"/>
      <c r="QBK100" s="142"/>
      <c r="QBL100" s="142"/>
      <c r="QBM100" s="142"/>
      <c r="QBN100" s="142"/>
      <c r="QBO100" s="142"/>
      <c r="QBP100" s="142"/>
      <c r="QBQ100" s="142"/>
      <c r="QBR100" s="142"/>
      <c r="QBS100" s="142"/>
      <c r="QBT100" s="142"/>
      <c r="QBU100" s="142"/>
      <c r="QBV100" s="142"/>
      <c r="QBW100" s="142"/>
      <c r="QBX100" s="142"/>
      <c r="QBY100" s="142"/>
      <c r="QBZ100" s="142"/>
      <c r="QCA100" s="142"/>
      <c r="QCB100" s="142"/>
      <c r="QCC100" s="142"/>
      <c r="QCD100" s="142"/>
      <c r="QCE100" s="142"/>
      <c r="QCF100" s="142"/>
      <c r="QCG100" s="142"/>
      <c r="QCH100" s="142"/>
      <c r="QCI100" s="142"/>
      <c r="QCJ100" s="142"/>
      <c r="QCK100" s="142"/>
      <c r="QCL100" s="142"/>
      <c r="QCM100" s="142"/>
      <c r="QCN100" s="142"/>
      <c r="QCO100" s="142"/>
      <c r="QCP100" s="142"/>
      <c r="QCQ100" s="142"/>
      <c r="QCR100" s="142"/>
      <c r="QCS100" s="142"/>
      <c r="QCT100" s="142"/>
      <c r="QCU100" s="142"/>
      <c r="QCV100" s="142"/>
      <c r="QCW100" s="142"/>
      <c r="QCX100" s="142"/>
      <c r="QCY100" s="142"/>
      <c r="QCZ100" s="142"/>
      <c r="QDA100" s="142"/>
      <c r="QDB100" s="142"/>
      <c r="QDC100" s="142"/>
      <c r="QDD100" s="142"/>
      <c r="QDE100" s="142"/>
      <c r="QDF100" s="142"/>
      <c r="QDG100" s="142"/>
      <c r="QDH100" s="142"/>
      <c r="QDI100" s="142"/>
      <c r="QDJ100" s="142"/>
      <c r="QDK100" s="142"/>
      <c r="QDL100" s="142"/>
      <c r="QDM100" s="142"/>
      <c r="QDN100" s="142"/>
      <c r="QDO100" s="142"/>
      <c r="QDP100" s="142"/>
      <c r="QDQ100" s="142"/>
      <c r="QDR100" s="142"/>
      <c r="QDS100" s="142"/>
      <c r="QDT100" s="142"/>
      <c r="QDU100" s="142"/>
      <c r="QDV100" s="142"/>
      <c r="QDW100" s="142"/>
      <c r="QDX100" s="142"/>
      <c r="QDY100" s="142"/>
      <c r="QDZ100" s="142"/>
      <c r="QEA100" s="142"/>
      <c r="QEB100" s="142"/>
      <c r="QEC100" s="142"/>
      <c r="QED100" s="142"/>
      <c r="QEE100" s="142"/>
      <c r="QEF100" s="142"/>
      <c r="QEG100" s="142"/>
      <c r="QEH100" s="142"/>
      <c r="QEI100" s="142"/>
      <c r="QEJ100" s="142"/>
      <c r="QEK100" s="142"/>
      <c r="QEL100" s="142"/>
      <c r="QEM100" s="142"/>
      <c r="QEN100" s="142"/>
      <c r="QEO100" s="142"/>
      <c r="QEP100" s="142"/>
      <c r="QEQ100" s="142"/>
      <c r="QER100" s="142"/>
      <c r="QES100" s="142"/>
      <c r="QET100" s="142"/>
      <c r="QEU100" s="142"/>
      <c r="QEV100" s="142"/>
      <c r="QEW100" s="142"/>
      <c r="QEX100" s="142"/>
      <c r="QEY100" s="142"/>
      <c r="QEZ100" s="142"/>
      <c r="QFA100" s="142"/>
      <c r="QFB100" s="142"/>
      <c r="QFC100" s="142"/>
      <c r="QFD100" s="142"/>
      <c r="QFE100" s="142"/>
      <c r="QFF100" s="142"/>
      <c r="QFG100" s="142"/>
      <c r="QFH100" s="142"/>
      <c r="QFI100" s="142"/>
      <c r="QFJ100" s="142"/>
      <c r="QFK100" s="142"/>
      <c r="QFL100" s="142"/>
      <c r="QFM100" s="142"/>
      <c r="QFN100" s="142"/>
      <c r="QFO100" s="142"/>
      <c r="QFP100" s="142"/>
      <c r="QFQ100" s="142"/>
      <c r="QFR100" s="142"/>
      <c r="QFS100" s="142"/>
      <c r="QFT100" s="142"/>
      <c r="QFU100" s="142"/>
      <c r="QFV100" s="142"/>
      <c r="QFW100" s="142"/>
      <c r="QFX100" s="142"/>
      <c r="QFY100" s="142"/>
      <c r="QFZ100" s="142"/>
      <c r="QGA100" s="142"/>
      <c r="QGB100" s="142"/>
      <c r="QGC100" s="142"/>
      <c r="QGD100" s="142"/>
      <c r="QGE100" s="142"/>
      <c r="QGF100" s="142"/>
      <c r="QGG100" s="142"/>
      <c r="QGH100" s="142"/>
      <c r="QGI100" s="142"/>
      <c r="QGJ100" s="142"/>
      <c r="QGK100" s="142"/>
      <c r="QGL100" s="142"/>
      <c r="QGM100" s="142"/>
      <c r="QGN100" s="142"/>
      <c r="QGO100" s="142"/>
      <c r="QGP100" s="142"/>
      <c r="QGQ100" s="142"/>
      <c r="QGR100" s="142"/>
      <c r="QGS100" s="142"/>
      <c r="QGT100" s="142"/>
      <c r="QGU100" s="142"/>
      <c r="QGV100" s="142"/>
      <c r="QGW100" s="142"/>
      <c r="QGX100" s="142"/>
      <c r="QGY100" s="142"/>
      <c r="QGZ100" s="142"/>
      <c r="QHA100" s="142"/>
      <c r="QHB100" s="142"/>
      <c r="QHC100" s="142"/>
      <c r="QHD100" s="142"/>
      <c r="QHE100" s="142"/>
      <c r="QHF100" s="142"/>
      <c r="QHG100" s="142"/>
      <c r="QHH100" s="142"/>
      <c r="QHI100" s="142"/>
      <c r="QHJ100" s="142"/>
      <c r="QHK100" s="142"/>
      <c r="QHL100" s="142"/>
      <c r="QHM100" s="142"/>
      <c r="QHN100" s="142"/>
      <c r="QHO100" s="142"/>
      <c r="QHP100" s="142"/>
      <c r="QHQ100" s="142"/>
      <c r="QHR100" s="142"/>
      <c r="QHS100" s="142"/>
      <c r="QHT100" s="142"/>
      <c r="QHU100" s="142"/>
      <c r="QHV100" s="142"/>
      <c r="QHW100" s="142"/>
      <c r="QHX100" s="142"/>
      <c r="QHY100" s="142"/>
      <c r="QHZ100" s="142"/>
      <c r="QIA100" s="142"/>
      <c r="QIB100" s="142"/>
      <c r="QIC100" s="142"/>
      <c r="QID100" s="142"/>
      <c r="QIE100" s="142"/>
      <c r="QIF100" s="142"/>
      <c r="QIG100" s="142"/>
      <c r="QIH100" s="142"/>
      <c r="QII100" s="142"/>
      <c r="QIJ100" s="142"/>
      <c r="QIK100" s="142"/>
      <c r="QIL100" s="142"/>
      <c r="QIM100" s="142"/>
      <c r="QIN100" s="142"/>
      <c r="QIO100" s="142"/>
      <c r="QIP100" s="142"/>
      <c r="QIQ100" s="142"/>
      <c r="QIR100" s="142"/>
      <c r="QIS100" s="142"/>
      <c r="QIT100" s="142"/>
      <c r="QIU100" s="142"/>
      <c r="QIV100" s="142"/>
      <c r="QIW100" s="142"/>
      <c r="QIX100" s="142"/>
      <c r="QIY100" s="142"/>
      <c r="QIZ100" s="142"/>
      <c r="QJA100" s="142"/>
      <c r="QJB100" s="142"/>
      <c r="QJC100" s="142"/>
      <c r="QJD100" s="142"/>
      <c r="QJE100" s="142"/>
      <c r="QJF100" s="142"/>
      <c r="QJG100" s="142"/>
      <c r="QJH100" s="142"/>
      <c r="QJI100" s="142"/>
      <c r="QJJ100" s="142"/>
      <c r="QJK100" s="142"/>
      <c r="QJL100" s="142"/>
      <c r="QJM100" s="142"/>
      <c r="QJN100" s="142"/>
      <c r="QJO100" s="142"/>
      <c r="QJP100" s="142"/>
      <c r="QJQ100" s="142"/>
      <c r="QJR100" s="142"/>
      <c r="QJS100" s="142"/>
      <c r="QJT100" s="142"/>
      <c r="QJU100" s="142"/>
      <c r="QJV100" s="142"/>
      <c r="QJW100" s="142"/>
      <c r="QJX100" s="142"/>
      <c r="QJY100" s="142"/>
      <c r="QJZ100" s="142"/>
      <c r="QKA100" s="142"/>
      <c r="QKB100" s="142"/>
      <c r="QKC100" s="142"/>
      <c r="QKD100" s="142"/>
      <c r="QKE100" s="142"/>
      <c r="QKF100" s="142"/>
      <c r="QKG100" s="142"/>
      <c r="QKH100" s="142"/>
      <c r="QKI100" s="142"/>
      <c r="QKJ100" s="142"/>
      <c r="QKK100" s="142"/>
      <c r="QKL100" s="142"/>
      <c r="QKM100" s="142"/>
      <c r="QKN100" s="142"/>
      <c r="QKO100" s="142"/>
      <c r="QKP100" s="142"/>
      <c r="QKQ100" s="142"/>
      <c r="QKR100" s="142"/>
      <c r="QKS100" s="142"/>
      <c r="QKT100" s="142"/>
      <c r="QKU100" s="142"/>
      <c r="QKV100" s="142"/>
      <c r="QKW100" s="142"/>
      <c r="QKX100" s="142"/>
      <c r="QKY100" s="142"/>
      <c r="QKZ100" s="142"/>
      <c r="QLA100" s="142"/>
      <c r="QLB100" s="142"/>
      <c r="QLC100" s="142"/>
      <c r="QLD100" s="142"/>
      <c r="QLE100" s="142"/>
      <c r="QLF100" s="142"/>
      <c r="QLG100" s="142"/>
      <c r="QLH100" s="142"/>
      <c r="QLI100" s="142"/>
      <c r="QLJ100" s="142"/>
      <c r="QLK100" s="142"/>
      <c r="QLL100" s="142"/>
      <c r="QLM100" s="142"/>
      <c r="QLN100" s="142"/>
      <c r="QLO100" s="142"/>
      <c r="QLP100" s="142"/>
      <c r="QLQ100" s="142"/>
      <c r="QLR100" s="142"/>
      <c r="QLS100" s="142"/>
      <c r="QLT100" s="142"/>
      <c r="QLU100" s="142"/>
      <c r="QLV100" s="142"/>
      <c r="QLW100" s="142"/>
      <c r="QLX100" s="142"/>
      <c r="QLY100" s="142"/>
      <c r="QLZ100" s="142"/>
      <c r="QMA100" s="142"/>
      <c r="QMB100" s="142"/>
      <c r="QMC100" s="142"/>
      <c r="QMD100" s="142"/>
      <c r="QME100" s="142"/>
      <c r="QMF100" s="142"/>
      <c r="QMG100" s="142"/>
      <c r="QMH100" s="142"/>
      <c r="QMI100" s="142"/>
      <c r="QMJ100" s="142"/>
      <c r="QMK100" s="142"/>
      <c r="QML100" s="142"/>
      <c r="QMM100" s="142"/>
      <c r="QMN100" s="142"/>
      <c r="QMO100" s="142"/>
      <c r="QMP100" s="142"/>
      <c r="QMQ100" s="142"/>
      <c r="QMR100" s="142"/>
      <c r="QMS100" s="142"/>
      <c r="QMT100" s="142"/>
      <c r="QMU100" s="142"/>
      <c r="QMV100" s="142"/>
      <c r="QMW100" s="142"/>
      <c r="QMX100" s="142"/>
      <c r="QMY100" s="142"/>
      <c r="QMZ100" s="142"/>
      <c r="QNA100" s="142"/>
      <c r="QNB100" s="142"/>
      <c r="QNC100" s="142"/>
      <c r="QND100" s="142"/>
      <c r="QNE100" s="142"/>
      <c r="QNF100" s="142"/>
      <c r="QNG100" s="142"/>
      <c r="QNH100" s="142"/>
      <c r="QNI100" s="142"/>
      <c r="QNJ100" s="142"/>
      <c r="QNK100" s="142"/>
      <c r="QNL100" s="142"/>
      <c r="QNM100" s="142"/>
      <c r="QNN100" s="142"/>
      <c r="QNO100" s="142"/>
      <c r="QNP100" s="142"/>
      <c r="QNQ100" s="142"/>
      <c r="QNR100" s="142"/>
      <c r="QNS100" s="142"/>
      <c r="QNT100" s="142"/>
      <c r="QNU100" s="142"/>
      <c r="QNV100" s="142"/>
      <c r="QNW100" s="142"/>
      <c r="QNX100" s="142"/>
      <c r="QNY100" s="142"/>
      <c r="QNZ100" s="142"/>
      <c r="QOA100" s="142"/>
      <c r="QOB100" s="142"/>
      <c r="QOC100" s="142"/>
      <c r="QOD100" s="142"/>
      <c r="QOE100" s="142"/>
      <c r="QOF100" s="142"/>
      <c r="QOG100" s="142"/>
      <c r="QOH100" s="142"/>
      <c r="QOI100" s="142"/>
      <c r="QOJ100" s="142"/>
      <c r="QOK100" s="142"/>
      <c r="QOL100" s="142"/>
      <c r="QOM100" s="142"/>
      <c r="QON100" s="142"/>
      <c r="QOO100" s="142"/>
      <c r="QOP100" s="142"/>
      <c r="QOQ100" s="142"/>
      <c r="QOR100" s="142"/>
      <c r="QOS100" s="142"/>
      <c r="QOT100" s="142"/>
      <c r="QOU100" s="142"/>
      <c r="QOV100" s="142"/>
      <c r="QOW100" s="142"/>
      <c r="QOX100" s="142"/>
      <c r="QOY100" s="142"/>
      <c r="QOZ100" s="142"/>
      <c r="QPA100" s="142"/>
      <c r="QPB100" s="142"/>
      <c r="QPC100" s="142"/>
      <c r="QPD100" s="142"/>
      <c r="QPE100" s="142"/>
      <c r="QPF100" s="142"/>
      <c r="QPG100" s="142"/>
      <c r="QPH100" s="142"/>
      <c r="QPI100" s="142"/>
      <c r="QPJ100" s="142"/>
      <c r="QPK100" s="142"/>
      <c r="QPL100" s="142"/>
      <c r="QPM100" s="142"/>
      <c r="QPN100" s="142"/>
      <c r="QPO100" s="142"/>
      <c r="QPP100" s="142"/>
      <c r="QPQ100" s="142"/>
      <c r="QPR100" s="142"/>
      <c r="QPS100" s="142"/>
      <c r="QPT100" s="142"/>
      <c r="QPU100" s="142"/>
      <c r="QPV100" s="142"/>
      <c r="QPW100" s="142"/>
      <c r="QPX100" s="142"/>
      <c r="QPY100" s="142"/>
      <c r="QPZ100" s="142"/>
      <c r="QQA100" s="142"/>
      <c r="QQB100" s="142"/>
      <c r="QQC100" s="142"/>
      <c r="QQD100" s="142"/>
      <c r="QQE100" s="142"/>
      <c r="QQF100" s="142"/>
      <c r="QQG100" s="142"/>
      <c r="QQH100" s="142"/>
      <c r="QQI100" s="142"/>
      <c r="QQJ100" s="142"/>
      <c r="QQK100" s="142"/>
      <c r="QQL100" s="142"/>
      <c r="QQM100" s="142"/>
      <c r="QQN100" s="142"/>
      <c r="QQO100" s="142"/>
      <c r="QQP100" s="142"/>
      <c r="QQQ100" s="142"/>
      <c r="QQR100" s="142"/>
      <c r="QQS100" s="142"/>
      <c r="QQT100" s="142"/>
      <c r="QQU100" s="142"/>
      <c r="QQV100" s="142"/>
      <c r="QQW100" s="142"/>
      <c r="QQX100" s="142"/>
      <c r="QQY100" s="142"/>
      <c r="QQZ100" s="142"/>
      <c r="QRA100" s="142"/>
      <c r="QRB100" s="142"/>
      <c r="QRC100" s="142"/>
      <c r="QRD100" s="142"/>
      <c r="QRE100" s="142"/>
      <c r="QRF100" s="142"/>
      <c r="QRG100" s="142"/>
      <c r="QRH100" s="142"/>
      <c r="QRI100" s="142"/>
      <c r="QRJ100" s="142"/>
      <c r="QRK100" s="142"/>
      <c r="QRL100" s="142"/>
      <c r="QRM100" s="142"/>
      <c r="QRN100" s="142"/>
      <c r="QRO100" s="142"/>
      <c r="QRP100" s="142"/>
      <c r="QRQ100" s="142"/>
      <c r="QRR100" s="142"/>
      <c r="QRS100" s="142"/>
      <c r="QRT100" s="142"/>
      <c r="QRU100" s="142"/>
      <c r="QRV100" s="142"/>
      <c r="QRW100" s="142"/>
      <c r="QRX100" s="142"/>
      <c r="QRY100" s="142"/>
      <c r="QRZ100" s="142"/>
      <c r="QSA100" s="142"/>
      <c r="QSB100" s="142"/>
      <c r="QSC100" s="142"/>
      <c r="QSD100" s="142"/>
      <c r="QSE100" s="142"/>
      <c r="QSF100" s="142"/>
      <c r="QSG100" s="142"/>
      <c r="QSH100" s="142"/>
      <c r="QSI100" s="142"/>
      <c r="QSJ100" s="142"/>
      <c r="QSK100" s="142"/>
      <c r="QSL100" s="142"/>
      <c r="QSM100" s="142"/>
      <c r="QSN100" s="142"/>
      <c r="QSO100" s="142"/>
      <c r="QSP100" s="142"/>
      <c r="QSQ100" s="142"/>
      <c r="QSR100" s="142"/>
      <c r="QSS100" s="142"/>
      <c r="QST100" s="142"/>
      <c r="QSU100" s="142"/>
      <c r="QSV100" s="142"/>
      <c r="QSW100" s="142"/>
      <c r="QSX100" s="142"/>
      <c r="QSY100" s="142"/>
      <c r="QSZ100" s="142"/>
      <c r="QTA100" s="142"/>
      <c r="QTB100" s="142"/>
      <c r="QTC100" s="142"/>
      <c r="QTD100" s="142"/>
      <c r="QTE100" s="142"/>
      <c r="QTF100" s="142"/>
      <c r="QTG100" s="142"/>
      <c r="QTH100" s="142"/>
      <c r="QTI100" s="142"/>
      <c r="QTJ100" s="142"/>
      <c r="QTK100" s="142"/>
      <c r="QTL100" s="142"/>
      <c r="QTM100" s="142"/>
      <c r="QTN100" s="142"/>
      <c r="QTO100" s="142"/>
      <c r="QTP100" s="142"/>
      <c r="QTQ100" s="142"/>
      <c r="QTR100" s="142"/>
      <c r="QTS100" s="142"/>
      <c r="QTT100" s="142"/>
      <c r="QTU100" s="142"/>
      <c r="QTV100" s="142"/>
      <c r="QTW100" s="142"/>
      <c r="QTX100" s="142"/>
      <c r="QTY100" s="142"/>
      <c r="QTZ100" s="142"/>
      <c r="QUA100" s="142"/>
      <c r="QUB100" s="142"/>
      <c r="QUC100" s="142"/>
      <c r="QUD100" s="142"/>
      <c r="QUE100" s="142"/>
      <c r="QUF100" s="142"/>
      <c r="QUG100" s="142"/>
      <c r="QUH100" s="142"/>
      <c r="QUI100" s="142"/>
      <c r="QUJ100" s="142"/>
      <c r="QUK100" s="142"/>
      <c r="QUL100" s="142"/>
      <c r="QUM100" s="142"/>
      <c r="QUN100" s="142"/>
      <c r="QUO100" s="142"/>
      <c r="QUP100" s="142"/>
      <c r="QUQ100" s="142"/>
      <c r="QUR100" s="142"/>
      <c r="QUS100" s="142"/>
      <c r="QUT100" s="142"/>
      <c r="QUU100" s="142"/>
      <c r="QUV100" s="142"/>
      <c r="QUW100" s="142"/>
      <c r="QUX100" s="142"/>
      <c r="QUY100" s="142"/>
      <c r="QUZ100" s="142"/>
      <c r="QVA100" s="142"/>
      <c r="QVB100" s="142"/>
      <c r="QVC100" s="142"/>
      <c r="QVD100" s="142"/>
      <c r="QVE100" s="142"/>
      <c r="QVF100" s="142"/>
      <c r="QVG100" s="142"/>
      <c r="QVH100" s="142"/>
      <c r="QVI100" s="142"/>
      <c r="QVJ100" s="142"/>
      <c r="QVK100" s="142"/>
      <c r="QVL100" s="142"/>
      <c r="QVM100" s="142"/>
      <c r="QVN100" s="142"/>
      <c r="QVO100" s="142"/>
      <c r="QVP100" s="142"/>
      <c r="QVQ100" s="142"/>
      <c r="QVR100" s="142"/>
      <c r="QVS100" s="142"/>
      <c r="QVT100" s="142"/>
      <c r="QVU100" s="142"/>
      <c r="QVV100" s="142"/>
      <c r="QVW100" s="142"/>
      <c r="QVX100" s="142"/>
      <c r="QVY100" s="142"/>
      <c r="QVZ100" s="142"/>
      <c r="QWA100" s="142"/>
      <c r="QWB100" s="142"/>
      <c r="QWC100" s="142"/>
      <c r="QWD100" s="142"/>
      <c r="QWE100" s="142"/>
      <c r="QWF100" s="142"/>
      <c r="QWG100" s="142"/>
      <c r="QWH100" s="142"/>
      <c r="QWI100" s="142"/>
      <c r="QWJ100" s="142"/>
      <c r="QWK100" s="142"/>
      <c r="QWL100" s="142"/>
      <c r="QWM100" s="142"/>
      <c r="QWN100" s="142"/>
      <c r="QWO100" s="142"/>
      <c r="QWP100" s="142"/>
      <c r="QWQ100" s="142"/>
      <c r="QWR100" s="142"/>
      <c r="QWS100" s="142"/>
      <c r="QWT100" s="142"/>
      <c r="QWU100" s="142"/>
      <c r="QWV100" s="142"/>
      <c r="QWW100" s="142"/>
      <c r="QWX100" s="142"/>
      <c r="QWY100" s="142"/>
      <c r="QWZ100" s="142"/>
      <c r="QXA100" s="142"/>
      <c r="QXB100" s="142"/>
      <c r="QXC100" s="142"/>
      <c r="QXD100" s="142"/>
      <c r="QXE100" s="142"/>
      <c r="QXF100" s="142"/>
      <c r="QXG100" s="142"/>
      <c r="QXH100" s="142"/>
      <c r="QXI100" s="142"/>
      <c r="QXJ100" s="142"/>
      <c r="QXK100" s="142"/>
      <c r="QXL100" s="142"/>
      <c r="QXM100" s="142"/>
      <c r="QXN100" s="142"/>
      <c r="QXO100" s="142"/>
      <c r="QXP100" s="142"/>
      <c r="QXQ100" s="142"/>
      <c r="QXR100" s="142"/>
      <c r="QXS100" s="142"/>
      <c r="QXT100" s="142"/>
      <c r="QXU100" s="142"/>
      <c r="QXV100" s="142"/>
      <c r="QXW100" s="142"/>
      <c r="QXX100" s="142"/>
      <c r="QXY100" s="142"/>
      <c r="QXZ100" s="142"/>
      <c r="QYA100" s="142"/>
      <c r="QYB100" s="142"/>
      <c r="QYC100" s="142"/>
      <c r="QYD100" s="142"/>
      <c r="QYE100" s="142"/>
      <c r="QYF100" s="142"/>
      <c r="QYG100" s="142"/>
      <c r="QYH100" s="142"/>
      <c r="QYI100" s="142"/>
      <c r="QYJ100" s="142"/>
      <c r="QYK100" s="142"/>
      <c r="QYL100" s="142"/>
      <c r="QYM100" s="142"/>
      <c r="QYN100" s="142"/>
      <c r="QYO100" s="142"/>
      <c r="QYP100" s="142"/>
      <c r="QYQ100" s="142"/>
      <c r="QYR100" s="142"/>
      <c r="QYS100" s="142"/>
      <c r="QYT100" s="142"/>
      <c r="QYU100" s="142"/>
      <c r="QYV100" s="142"/>
      <c r="QYW100" s="142"/>
      <c r="QYX100" s="142"/>
      <c r="QYY100" s="142"/>
      <c r="QYZ100" s="142"/>
      <c r="QZA100" s="142"/>
      <c r="QZB100" s="142"/>
      <c r="QZC100" s="142"/>
      <c r="QZD100" s="142"/>
      <c r="QZE100" s="142"/>
      <c r="QZF100" s="142"/>
      <c r="QZG100" s="142"/>
      <c r="QZH100" s="142"/>
      <c r="QZI100" s="142"/>
      <c r="QZJ100" s="142"/>
      <c r="QZK100" s="142"/>
      <c r="QZL100" s="142"/>
      <c r="QZM100" s="142"/>
      <c r="QZN100" s="142"/>
      <c r="QZO100" s="142"/>
      <c r="QZP100" s="142"/>
      <c r="QZQ100" s="142"/>
      <c r="QZR100" s="142"/>
      <c r="QZS100" s="142"/>
      <c r="QZT100" s="142"/>
      <c r="QZU100" s="142"/>
      <c r="QZV100" s="142"/>
      <c r="QZW100" s="142"/>
      <c r="QZX100" s="142"/>
      <c r="QZY100" s="142"/>
      <c r="QZZ100" s="142"/>
      <c r="RAA100" s="142"/>
      <c r="RAB100" s="142"/>
      <c r="RAC100" s="142"/>
      <c r="RAD100" s="142"/>
      <c r="RAE100" s="142"/>
      <c r="RAF100" s="142"/>
      <c r="RAG100" s="142"/>
      <c r="RAH100" s="142"/>
      <c r="RAI100" s="142"/>
      <c r="RAJ100" s="142"/>
      <c r="RAK100" s="142"/>
      <c r="RAL100" s="142"/>
      <c r="RAM100" s="142"/>
      <c r="RAN100" s="142"/>
      <c r="RAO100" s="142"/>
      <c r="RAP100" s="142"/>
      <c r="RAQ100" s="142"/>
      <c r="RAR100" s="142"/>
      <c r="RAS100" s="142"/>
      <c r="RAT100" s="142"/>
      <c r="RAU100" s="142"/>
      <c r="RAV100" s="142"/>
      <c r="RAW100" s="142"/>
      <c r="RAX100" s="142"/>
      <c r="RAY100" s="142"/>
      <c r="RAZ100" s="142"/>
      <c r="RBA100" s="142"/>
      <c r="RBB100" s="142"/>
      <c r="RBC100" s="142"/>
      <c r="RBD100" s="142"/>
      <c r="RBE100" s="142"/>
      <c r="RBF100" s="142"/>
      <c r="RBG100" s="142"/>
      <c r="RBH100" s="142"/>
      <c r="RBI100" s="142"/>
      <c r="RBJ100" s="142"/>
      <c r="RBK100" s="142"/>
      <c r="RBL100" s="142"/>
      <c r="RBM100" s="142"/>
      <c r="RBN100" s="142"/>
      <c r="RBO100" s="142"/>
      <c r="RBP100" s="142"/>
      <c r="RBQ100" s="142"/>
      <c r="RBR100" s="142"/>
      <c r="RBS100" s="142"/>
      <c r="RBT100" s="142"/>
      <c r="RBU100" s="142"/>
      <c r="RBV100" s="142"/>
      <c r="RBW100" s="142"/>
      <c r="RBX100" s="142"/>
      <c r="RBY100" s="142"/>
      <c r="RBZ100" s="142"/>
      <c r="RCA100" s="142"/>
      <c r="RCB100" s="142"/>
      <c r="RCC100" s="142"/>
      <c r="RCD100" s="142"/>
      <c r="RCE100" s="142"/>
      <c r="RCF100" s="142"/>
      <c r="RCG100" s="142"/>
      <c r="RCH100" s="142"/>
      <c r="RCI100" s="142"/>
      <c r="RCJ100" s="142"/>
      <c r="RCK100" s="142"/>
      <c r="RCL100" s="142"/>
      <c r="RCM100" s="142"/>
      <c r="RCN100" s="142"/>
      <c r="RCO100" s="142"/>
      <c r="RCP100" s="142"/>
      <c r="RCQ100" s="142"/>
      <c r="RCR100" s="142"/>
      <c r="RCS100" s="142"/>
      <c r="RCT100" s="142"/>
      <c r="RCU100" s="142"/>
      <c r="RCV100" s="142"/>
      <c r="RCW100" s="142"/>
      <c r="RCX100" s="142"/>
      <c r="RCY100" s="142"/>
      <c r="RCZ100" s="142"/>
      <c r="RDA100" s="142"/>
      <c r="RDB100" s="142"/>
      <c r="RDC100" s="142"/>
      <c r="RDD100" s="142"/>
      <c r="RDE100" s="142"/>
      <c r="RDF100" s="142"/>
      <c r="RDG100" s="142"/>
      <c r="RDH100" s="142"/>
      <c r="RDI100" s="142"/>
      <c r="RDJ100" s="142"/>
      <c r="RDK100" s="142"/>
      <c r="RDL100" s="142"/>
      <c r="RDM100" s="142"/>
      <c r="RDN100" s="142"/>
      <c r="RDO100" s="142"/>
      <c r="RDP100" s="142"/>
      <c r="RDQ100" s="142"/>
      <c r="RDR100" s="142"/>
      <c r="RDS100" s="142"/>
      <c r="RDT100" s="142"/>
      <c r="RDU100" s="142"/>
      <c r="RDV100" s="142"/>
      <c r="RDW100" s="142"/>
      <c r="RDX100" s="142"/>
      <c r="RDY100" s="142"/>
      <c r="RDZ100" s="142"/>
      <c r="REA100" s="142"/>
      <c r="REB100" s="142"/>
      <c r="REC100" s="142"/>
      <c r="RED100" s="142"/>
      <c r="REE100" s="142"/>
      <c r="REF100" s="142"/>
      <c r="REG100" s="142"/>
      <c r="REH100" s="142"/>
      <c r="REI100" s="142"/>
      <c r="REJ100" s="142"/>
      <c r="REK100" s="142"/>
      <c r="REL100" s="142"/>
      <c r="REM100" s="142"/>
      <c r="REN100" s="142"/>
      <c r="REO100" s="142"/>
      <c r="REP100" s="142"/>
      <c r="REQ100" s="142"/>
      <c r="RER100" s="142"/>
      <c r="RES100" s="142"/>
      <c r="RET100" s="142"/>
      <c r="REU100" s="142"/>
      <c r="REV100" s="142"/>
      <c r="REW100" s="142"/>
      <c r="REX100" s="142"/>
      <c r="REY100" s="142"/>
      <c r="REZ100" s="142"/>
      <c r="RFA100" s="142"/>
      <c r="RFB100" s="142"/>
      <c r="RFC100" s="142"/>
      <c r="RFD100" s="142"/>
      <c r="RFE100" s="142"/>
      <c r="RFF100" s="142"/>
      <c r="RFG100" s="142"/>
      <c r="RFH100" s="142"/>
      <c r="RFI100" s="142"/>
      <c r="RFJ100" s="142"/>
      <c r="RFK100" s="142"/>
      <c r="RFL100" s="142"/>
      <c r="RFM100" s="142"/>
      <c r="RFN100" s="142"/>
      <c r="RFO100" s="142"/>
      <c r="RFP100" s="142"/>
      <c r="RFQ100" s="142"/>
      <c r="RFR100" s="142"/>
      <c r="RFS100" s="142"/>
      <c r="RFT100" s="142"/>
      <c r="RFU100" s="142"/>
      <c r="RFV100" s="142"/>
      <c r="RFW100" s="142"/>
      <c r="RFX100" s="142"/>
      <c r="RFY100" s="142"/>
      <c r="RFZ100" s="142"/>
      <c r="RGA100" s="142"/>
      <c r="RGB100" s="142"/>
      <c r="RGC100" s="142"/>
      <c r="RGD100" s="142"/>
      <c r="RGE100" s="142"/>
      <c r="RGF100" s="142"/>
      <c r="RGG100" s="142"/>
      <c r="RGH100" s="142"/>
      <c r="RGI100" s="142"/>
      <c r="RGJ100" s="142"/>
      <c r="RGK100" s="142"/>
      <c r="RGL100" s="142"/>
      <c r="RGM100" s="142"/>
      <c r="RGN100" s="142"/>
      <c r="RGO100" s="142"/>
      <c r="RGP100" s="142"/>
      <c r="RGQ100" s="142"/>
      <c r="RGR100" s="142"/>
      <c r="RGS100" s="142"/>
      <c r="RGT100" s="142"/>
      <c r="RGU100" s="142"/>
      <c r="RGV100" s="142"/>
      <c r="RGW100" s="142"/>
      <c r="RGX100" s="142"/>
      <c r="RGY100" s="142"/>
      <c r="RGZ100" s="142"/>
      <c r="RHA100" s="142"/>
      <c r="RHB100" s="142"/>
      <c r="RHC100" s="142"/>
      <c r="RHD100" s="142"/>
      <c r="RHE100" s="142"/>
      <c r="RHF100" s="142"/>
      <c r="RHG100" s="142"/>
      <c r="RHH100" s="142"/>
      <c r="RHI100" s="142"/>
      <c r="RHJ100" s="142"/>
      <c r="RHK100" s="142"/>
      <c r="RHL100" s="142"/>
      <c r="RHM100" s="142"/>
      <c r="RHN100" s="142"/>
      <c r="RHO100" s="142"/>
      <c r="RHP100" s="142"/>
      <c r="RHQ100" s="142"/>
      <c r="RHR100" s="142"/>
      <c r="RHS100" s="142"/>
      <c r="RHT100" s="142"/>
      <c r="RHU100" s="142"/>
      <c r="RHV100" s="142"/>
      <c r="RHW100" s="142"/>
      <c r="RHX100" s="142"/>
      <c r="RHY100" s="142"/>
      <c r="RHZ100" s="142"/>
      <c r="RIA100" s="142"/>
      <c r="RIB100" s="142"/>
      <c r="RIC100" s="142"/>
      <c r="RID100" s="142"/>
      <c r="RIE100" s="142"/>
      <c r="RIF100" s="142"/>
      <c r="RIG100" s="142"/>
      <c r="RIH100" s="142"/>
      <c r="RII100" s="142"/>
      <c r="RIJ100" s="142"/>
      <c r="RIK100" s="142"/>
      <c r="RIL100" s="142"/>
      <c r="RIM100" s="142"/>
      <c r="RIN100" s="142"/>
      <c r="RIO100" s="142"/>
      <c r="RIP100" s="142"/>
      <c r="RIQ100" s="142"/>
      <c r="RIR100" s="142"/>
      <c r="RIS100" s="142"/>
      <c r="RIT100" s="142"/>
      <c r="RIU100" s="142"/>
      <c r="RIV100" s="142"/>
      <c r="RIW100" s="142"/>
      <c r="RIX100" s="142"/>
      <c r="RIY100" s="142"/>
      <c r="RIZ100" s="142"/>
      <c r="RJA100" s="142"/>
      <c r="RJB100" s="142"/>
      <c r="RJC100" s="142"/>
      <c r="RJD100" s="142"/>
      <c r="RJE100" s="142"/>
      <c r="RJF100" s="142"/>
      <c r="RJG100" s="142"/>
      <c r="RJH100" s="142"/>
      <c r="RJI100" s="142"/>
      <c r="RJJ100" s="142"/>
      <c r="RJK100" s="142"/>
      <c r="RJL100" s="142"/>
      <c r="RJM100" s="142"/>
      <c r="RJN100" s="142"/>
      <c r="RJO100" s="142"/>
      <c r="RJP100" s="142"/>
      <c r="RJQ100" s="142"/>
      <c r="RJR100" s="142"/>
      <c r="RJS100" s="142"/>
      <c r="RJT100" s="142"/>
      <c r="RJU100" s="142"/>
      <c r="RJV100" s="142"/>
      <c r="RJW100" s="142"/>
      <c r="RJX100" s="142"/>
      <c r="RJY100" s="142"/>
      <c r="RJZ100" s="142"/>
      <c r="RKA100" s="142"/>
      <c r="RKB100" s="142"/>
      <c r="RKC100" s="142"/>
      <c r="RKD100" s="142"/>
      <c r="RKE100" s="142"/>
      <c r="RKF100" s="142"/>
      <c r="RKG100" s="142"/>
      <c r="RKH100" s="142"/>
      <c r="RKI100" s="142"/>
      <c r="RKJ100" s="142"/>
      <c r="RKK100" s="142"/>
      <c r="RKL100" s="142"/>
      <c r="RKM100" s="142"/>
      <c r="RKN100" s="142"/>
      <c r="RKO100" s="142"/>
      <c r="RKP100" s="142"/>
      <c r="RKQ100" s="142"/>
      <c r="RKR100" s="142"/>
      <c r="RKS100" s="142"/>
      <c r="RKT100" s="142"/>
      <c r="RKU100" s="142"/>
      <c r="RKV100" s="142"/>
      <c r="RKW100" s="142"/>
      <c r="RKX100" s="142"/>
      <c r="RKY100" s="142"/>
      <c r="RKZ100" s="142"/>
      <c r="RLA100" s="142"/>
      <c r="RLB100" s="142"/>
      <c r="RLC100" s="142"/>
      <c r="RLD100" s="142"/>
      <c r="RLE100" s="142"/>
      <c r="RLF100" s="142"/>
      <c r="RLG100" s="142"/>
      <c r="RLH100" s="142"/>
      <c r="RLI100" s="142"/>
      <c r="RLJ100" s="142"/>
      <c r="RLK100" s="142"/>
      <c r="RLL100" s="142"/>
      <c r="RLM100" s="142"/>
      <c r="RLN100" s="142"/>
      <c r="RLO100" s="142"/>
      <c r="RLP100" s="142"/>
      <c r="RLQ100" s="142"/>
      <c r="RLR100" s="142"/>
      <c r="RLS100" s="142"/>
      <c r="RLT100" s="142"/>
      <c r="RLU100" s="142"/>
      <c r="RLV100" s="142"/>
      <c r="RLW100" s="142"/>
      <c r="RLX100" s="142"/>
      <c r="RLY100" s="142"/>
      <c r="RLZ100" s="142"/>
      <c r="RMA100" s="142"/>
      <c r="RMB100" s="142"/>
      <c r="RMC100" s="142"/>
      <c r="RMD100" s="142"/>
      <c r="RME100" s="142"/>
      <c r="RMF100" s="142"/>
      <c r="RMG100" s="142"/>
      <c r="RMH100" s="142"/>
      <c r="RMI100" s="142"/>
      <c r="RMJ100" s="142"/>
      <c r="RMK100" s="142"/>
      <c r="RML100" s="142"/>
      <c r="RMM100" s="142"/>
      <c r="RMN100" s="142"/>
      <c r="RMO100" s="142"/>
      <c r="RMP100" s="142"/>
      <c r="RMQ100" s="142"/>
      <c r="RMR100" s="142"/>
      <c r="RMS100" s="142"/>
      <c r="RMT100" s="142"/>
      <c r="RMU100" s="142"/>
      <c r="RMV100" s="142"/>
      <c r="RMW100" s="142"/>
      <c r="RMX100" s="142"/>
      <c r="RMY100" s="142"/>
      <c r="RMZ100" s="142"/>
      <c r="RNA100" s="142"/>
      <c r="RNB100" s="142"/>
      <c r="RNC100" s="142"/>
      <c r="RND100" s="142"/>
      <c r="RNE100" s="142"/>
      <c r="RNF100" s="142"/>
      <c r="RNG100" s="142"/>
      <c r="RNH100" s="142"/>
      <c r="RNI100" s="142"/>
      <c r="RNJ100" s="142"/>
      <c r="RNK100" s="142"/>
      <c r="RNL100" s="142"/>
      <c r="RNM100" s="142"/>
      <c r="RNN100" s="142"/>
      <c r="RNO100" s="142"/>
      <c r="RNP100" s="142"/>
      <c r="RNQ100" s="142"/>
      <c r="RNR100" s="142"/>
      <c r="RNS100" s="142"/>
      <c r="RNT100" s="142"/>
      <c r="RNU100" s="142"/>
      <c r="RNV100" s="142"/>
      <c r="RNW100" s="142"/>
      <c r="RNX100" s="142"/>
      <c r="RNY100" s="142"/>
      <c r="RNZ100" s="142"/>
      <c r="ROA100" s="142"/>
      <c r="ROB100" s="142"/>
      <c r="ROC100" s="142"/>
      <c r="ROD100" s="142"/>
      <c r="ROE100" s="142"/>
      <c r="ROF100" s="142"/>
      <c r="ROG100" s="142"/>
      <c r="ROH100" s="142"/>
      <c r="ROI100" s="142"/>
      <c r="ROJ100" s="142"/>
      <c r="ROK100" s="142"/>
      <c r="ROL100" s="142"/>
      <c r="ROM100" s="142"/>
      <c r="RON100" s="142"/>
      <c r="ROO100" s="142"/>
      <c r="ROP100" s="142"/>
      <c r="ROQ100" s="142"/>
      <c r="ROR100" s="142"/>
      <c r="ROS100" s="142"/>
      <c r="ROT100" s="142"/>
      <c r="ROU100" s="142"/>
      <c r="ROV100" s="142"/>
      <c r="ROW100" s="142"/>
      <c r="ROX100" s="142"/>
      <c r="ROY100" s="142"/>
      <c r="ROZ100" s="142"/>
      <c r="RPA100" s="142"/>
      <c r="RPB100" s="142"/>
      <c r="RPC100" s="142"/>
      <c r="RPD100" s="142"/>
      <c r="RPE100" s="142"/>
      <c r="RPF100" s="142"/>
      <c r="RPG100" s="142"/>
      <c r="RPH100" s="142"/>
      <c r="RPI100" s="142"/>
      <c r="RPJ100" s="142"/>
      <c r="RPK100" s="142"/>
      <c r="RPL100" s="142"/>
      <c r="RPM100" s="142"/>
      <c r="RPN100" s="142"/>
      <c r="RPO100" s="142"/>
      <c r="RPP100" s="142"/>
      <c r="RPQ100" s="142"/>
      <c r="RPR100" s="142"/>
      <c r="RPS100" s="142"/>
      <c r="RPT100" s="142"/>
      <c r="RPU100" s="142"/>
      <c r="RPV100" s="142"/>
      <c r="RPW100" s="142"/>
      <c r="RPX100" s="142"/>
      <c r="RPY100" s="142"/>
      <c r="RPZ100" s="142"/>
      <c r="RQA100" s="142"/>
      <c r="RQB100" s="142"/>
      <c r="RQC100" s="142"/>
      <c r="RQD100" s="142"/>
      <c r="RQE100" s="142"/>
      <c r="RQF100" s="142"/>
      <c r="RQG100" s="142"/>
      <c r="RQH100" s="142"/>
      <c r="RQI100" s="142"/>
      <c r="RQJ100" s="142"/>
      <c r="RQK100" s="142"/>
      <c r="RQL100" s="142"/>
      <c r="RQM100" s="142"/>
      <c r="RQN100" s="142"/>
      <c r="RQO100" s="142"/>
      <c r="RQP100" s="142"/>
      <c r="RQQ100" s="142"/>
      <c r="RQR100" s="142"/>
      <c r="RQS100" s="142"/>
      <c r="RQT100" s="142"/>
      <c r="RQU100" s="142"/>
      <c r="RQV100" s="142"/>
      <c r="RQW100" s="142"/>
      <c r="RQX100" s="142"/>
      <c r="RQY100" s="142"/>
      <c r="RQZ100" s="142"/>
      <c r="RRA100" s="142"/>
      <c r="RRB100" s="142"/>
      <c r="RRC100" s="142"/>
      <c r="RRD100" s="142"/>
      <c r="RRE100" s="142"/>
      <c r="RRF100" s="142"/>
      <c r="RRG100" s="142"/>
      <c r="RRH100" s="142"/>
      <c r="RRI100" s="142"/>
      <c r="RRJ100" s="142"/>
      <c r="RRK100" s="142"/>
      <c r="RRL100" s="142"/>
      <c r="RRM100" s="142"/>
      <c r="RRN100" s="142"/>
      <c r="RRO100" s="142"/>
      <c r="RRP100" s="142"/>
      <c r="RRQ100" s="142"/>
      <c r="RRR100" s="142"/>
      <c r="RRS100" s="142"/>
      <c r="RRT100" s="142"/>
      <c r="RRU100" s="142"/>
      <c r="RRV100" s="142"/>
      <c r="RRW100" s="142"/>
      <c r="RRX100" s="142"/>
      <c r="RRY100" s="142"/>
      <c r="RRZ100" s="142"/>
      <c r="RSA100" s="142"/>
      <c r="RSB100" s="142"/>
      <c r="RSC100" s="142"/>
      <c r="RSD100" s="142"/>
      <c r="RSE100" s="142"/>
      <c r="RSF100" s="142"/>
      <c r="RSG100" s="142"/>
      <c r="RSH100" s="142"/>
      <c r="RSI100" s="142"/>
      <c r="RSJ100" s="142"/>
      <c r="RSK100" s="142"/>
      <c r="RSL100" s="142"/>
      <c r="RSM100" s="142"/>
      <c r="RSN100" s="142"/>
      <c r="RSO100" s="142"/>
      <c r="RSP100" s="142"/>
      <c r="RSQ100" s="142"/>
      <c r="RSR100" s="142"/>
      <c r="RSS100" s="142"/>
      <c r="RST100" s="142"/>
      <c r="RSU100" s="142"/>
      <c r="RSV100" s="142"/>
      <c r="RSW100" s="142"/>
      <c r="RSX100" s="142"/>
      <c r="RSY100" s="142"/>
      <c r="RSZ100" s="142"/>
      <c r="RTA100" s="142"/>
      <c r="RTB100" s="142"/>
      <c r="RTC100" s="142"/>
      <c r="RTD100" s="142"/>
      <c r="RTE100" s="142"/>
      <c r="RTF100" s="142"/>
      <c r="RTG100" s="142"/>
      <c r="RTH100" s="142"/>
      <c r="RTI100" s="142"/>
      <c r="RTJ100" s="142"/>
      <c r="RTK100" s="142"/>
      <c r="RTL100" s="142"/>
      <c r="RTM100" s="142"/>
      <c r="RTN100" s="142"/>
      <c r="RTO100" s="142"/>
      <c r="RTP100" s="142"/>
      <c r="RTQ100" s="142"/>
      <c r="RTR100" s="142"/>
      <c r="RTS100" s="142"/>
      <c r="RTT100" s="142"/>
      <c r="RTU100" s="142"/>
      <c r="RTV100" s="142"/>
      <c r="RTW100" s="142"/>
      <c r="RTX100" s="142"/>
      <c r="RTY100" s="142"/>
      <c r="RTZ100" s="142"/>
      <c r="RUA100" s="142"/>
      <c r="RUB100" s="142"/>
      <c r="RUC100" s="142"/>
      <c r="RUD100" s="142"/>
      <c r="RUE100" s="142"/>
      <c r="RUF100" s="142"/>
      <c r="RUG100" s="142"/>
      <c r="RUH100" s="142"/>
      <c r="RUI100" s="142"/>
      <c r="RUJ100" s="142"/>
      <c r="RUK100" s="142"/>
      <c r="RUL100" s="142"/>
      <c r="RUM100" s="142"/>
      <c r="RUN100" s="142"/>
      <c r="RUO100" s="142"/>
      <c r="RUP100" s="142"/>
      <c r="RUQ100" s="142"/>
      <c r="RUR100" s="142"/>
      <c r="RUS100" s="142"/>
      <c r="RUT100" s="142"/>
      <c r="RUU100" s="142"/>
      <c r="RUV100" s="142"/>
      <c r="RUW100" s="142"/>
      <c r="RUX100" s="142"/>
      <c r="RUY100" s="142"/>
      <c r="RUZ100" s="142"/>
      <c r="RVA100" s="142"/>
      <c r="RVB100" s="142"/>
      <c r="RVC100" s="142"/>
      <c r="RVD100" s="142"/>
      <c r="RVE100" s="142"/>
      <c r="RVF100" s="142"/>
      <c r="RVG100" s="142"/>
      <c r="RVH100" s="142"/>
      <c r="RVI100" s="142"/>
      <c r="RVJ100" s="142"/>
      <c r="RVK100" s="142"/>
      <c r="RVL100" s="142"/>
      <c r="RVM100" s="142"/>
      <c r="RVN100" s="142"/>
      <c r="RVO100" s="142"/>
      <c r="RVP100" s="142"/>
      <c r="RVQ100" s="142"/>
      <c r="RVR100" s="142"/>
      <c r="RVS100" s="142"/>
      <c r="RVT100" s="142"/>
      <c r="RVU100" s="142"/>
      <c r="RVV100" s="142"/>
      <c r="RVW100" s="142"/>
      <c r="RVX100" s="142"/>
      <c r="RVY100" s="142"/>
      <c r="RVZ100" s="142"/>
      <c r="RWA100" s="142"/>
      <c r="RWB100" s="142"/>
      <c r="RWC100" s="142"/>
      <c r="RWD100" s="142"/>
      <c r="RWE100" s="142"/>
      <c r="RWF100" s="142"/>
      <c r="RWG100" s="142"/>
      <c r="RWH100" s="142"/>
      <c r="RWI100" s="142"/>
      <c r="RWJ100" s="142"/>
      <c r="RWK100" s="142"/>
      <c r="RWL100" s="142"/>
      <c r="RWM100" s="142"/>
      <c r="RWN100" s="142"/>
      <c r="RWO100" s="142"/>
      <c r="RWP100" s="142"/>
      <c r="RWQ100" s="142"/>
      <c r="RWR100" s="142"/>
      <c r="RWS100" s="142"/>
      <c r="RWT100" s="142"/>
      <c r="RWU100" s="142"/>
      <c r="RWV100" s="142"/>
      <c r="RWW100" s="142"/>
      <c r="RWX100" s="142"/>
      <c r="RWY100" s="142"/>
      <c r="RWZ100" s="142"/>
      <c r="RXA100" s="142"/>
      <c r="RXB100" s="142"/>
      <c r="RXC100" s="142"/>
      <c r="RXD100" s="142"/>
      <c r="RXE100" s="142"/>
      <c r="RXF100" s="142"/>
      <c r="RXG100" s="142"/>
      <c r="RXH100" s="142"/>
      <c r="RXI100" s="142"/>
      <c r="RXJ100" s="142"/>
      <c r="RXK100" s="142"/>
      <c r="RXL100" s="142"/>
      <c r="RXM100" s="142"/>
      <c r="RXN100" s="142"/>
      <c r="RXO100" s="142"/>
      <c r="RXP100" s="142"/>
      <c r="RXQ100" s="142"/>
      <c r="RXR100" s="142"/>
      <c r="RXS100" s="142"/>
      <c r="RXT100" s="142"/>
      <c r="RXU100" s="142"/>
      <c r="RXV100" s="142"/>
      <c r="RXW100" s="142"/>
      <c r="RXX100" s="142"/>
      <c r="RXY100" s="142"/>
      <c r="RXZ100" s="142"/>
      <c r="RYA100" s="142"/>
      <c r="RYB100" s="142"/>
      <c r="RYC100" s="142"/>
      <c r="RYD100" s="142"/>
      <c r="RYE100" s="142"/>
      <c r="RYF100" s="142"/>
      <c r="RYG100" s="142"/>
      <c r="RYH100" s="142"/>
      <c r="RYI100" s="142"/>
      <c r="RYJ100" s="142"/>
      <c r="RYK100" s="142"/>
      <c r="RYL100" s="142"/>
      <c r="RYM100" s="142"/>
      <c r="RYN100" s="142"/>
      <c r="RYO100" s="142"/>
      <c r="RYP100" s="142"/>
      <c r="RYQ100" s="142"/>
      <c r="RYR100" s="142"/>
      <c r="RYS100" s="142"/>
      <c r="RYT100" s="142"/>
      <c r="RYU100" s="142"/>
      <c r="RYV100" s="142"/>
      <c r="RYW100" s="142"/>
      <c r="RYX100" s="142"/>
      <c r="RYY100" s="142"/>
      <c r="RYZ100" s="142"/>
      <c r="RZA100" s="142"/>
      <c r="RZB100" s="142"/>
      <c r="RZC100" s="142"/>
      <c r="RZD100" s="142"/>
      <c r="RZE100" s="142"/>
      <c r="RZF100" s="142"/>
      <c r="RZG100" s="142"/>
      <c r="RZH100" s="142"/>
      <c r="RZI100" s="142"/>
      <c r="RZJ100" s="142"/>
      <c r="RZK100" s="142"/>
      <c r="RZL100" s="142"/>
      <c r="RZM100" s="142"/>
      <c r="RZN100" s="142"/>
      <c r="RZO100" s="142"/>
      <c r="RZP100" s="142"/>
      <c r="RZQ100" s="142"/>
      <c r="RZR100" s="142"/>
      <c r="RZS100" s="142"/>
      <c r="RZT100" s="142"/>
      <c r="RZU100" s="142"/>
      <c r="RZV100" s="142"/>
      <c r="RZW100" s="142"/>
      <c r="RZX100" s="142"/>
      <c r="RZY100" s="142"/>
      <c r="RZZ100" s="142"/>
      <c r="SAA100" s="142"/>
      <c r="SAB100" s="142"/>
      <c r="SAC100" s="142"/>
      <c r="SAD100" s="142"/>
      <c r="SAE100" s="142"/>
      <c r="SAF100" s="142"/>
      <c r="SAG100" s="142"/>
      <c r="SAH100" s="142"/>
      <c r="SAI100" s="142"/>
      <c r="SAJ100" s="142"/>
      <c r="SAK100" s="142"/>
      <c r="SAL100" s="142"/>
      <c r="SAM100" s="142"/>
      <c r="SAN100" s="142"/>
      <c r="SAO100" s="142"/>
      <c r="SAP100" s="142"/>
      <c r="SAQ100" s="142"/>
      <c r="SAR100" s="142"/>
      <c r="SAS100" s="142"/>
      <c r="SAT100" s="142"/>
      <c r="SAU100" s="142"/>
      <c r="SAV100" s="142"/>
      <c r="SAW100" s="142"/>
      <c r="SAX100" s="142"/>
      <c r="SAY100" s="142"/>
      <c r="SAZ100" s="142"/>
      <c r="SBA100" s="142"/>
      <c r="SBB100" s="142"/>
      <c r="SBC100" s="142"/>
      <c r="SBD100" s="142"/>
      <c r="SBE100" s="142"/>
      <c r="SBF100" s="142"/>
      <c r="SBG100" s="142"/>
      <c r="SBH100" s="142"/>
      <c r="SBI100" s="142"/>
      <c r="SBJ100" s="142"/>
      <c r="SBK100" s="142"/>
      <c r="SBL100" s="142"/>
      <c r="SBM100" s="142"/>
      <c r="SBN100" s="142"/>
      <c r="SBO100" s="142"/>
      <c r="SBP100" s="142"/>
      <c r="SBQ100" s="142"/>
      <c r="SBR100" s="142"/>
      <c r="SBS100" s="142"/>
      <c r="SBT100" s="142"/>
      <c r="SBU100" s="142"/>
      <c r="SBV100" s="142"/>
      <c r="SBW100" s="142"/>
      <c r="SBX100" s="142"/>
      <c r="SBY100" s="142"/>
      <c r="SBZ100" s="142"/>
      <c r="SCA100" s="142"/>
      <c r="SCB100" s="142"/>
      <c r="SCC100" s="142"/>
      <c r="SCD100" s="142"/>
      <c r="SCE100" s="142"/>
      <c r="SCF100" s="142"/>
      <c r="SCG100" s="142"/>
      <c r="SCH100" s="142"/>
      <c r="SCI100" s="142"/>
      <c r="SCJ100" s="142"/>
      <c r="SCK100" s="142"/>
      <c r="SCL100" s="142"/>
      <c r="SCM100" s="142"/>
      <c r="SCN100" s="142"/>
      <c r="SCO100" s="142"/>
      <c r="SCP100" s="142"/>
      <c r="SCQ100" s="142"/>
      <c r="SCR100" s="142"/>
      <c r="SCS100" s="142"/>
      <c r="SCT100" s="142"/>
      <c r="SCU100" s="142"/>
      <c r="SCV100" s="142"/>
      <c r="SCW100" s="142"/>
      <c r="SCX100" s="142"/>
      <c r="SCY100" s="142"/>
      <c r="SCZ100" s="142"/>
      <c r="SDA100" s="142"/>
      <c r="SDB100" s="142"/>
      <c r="SDC100" s="142"/>
      <c r="SDD100" s="142"/>
      <c r="SDE100" s="142"/>
      <c r="SDF100" s="142"/>
      <c r="SDG100" s="142"/>
      <c r="SDH100" s="142"/>
      <c r="SDI100" s="142"/>
      <c r="SDJ100" s="142"/>
      <c r="SDK100" s="142"/>
      <c r="SDL100" s="142"/>
      <c r="SDM100" s="142"/>
      <c r="SDN100" s="142"/>
      <c r="SDO100" s="142"/>
      <c r="SDP100" s="142"/>
      <c r="SDQ100" s="142"/>
      <c r="SDR100" s="142"/>
      <c r="SDS100" s="142"/>
      <c r="SDT100" s="142"/>
      <c r="SDU100" s="142"/>
      <c r="SDV100" s="142"/>
      <c r="SDW100" s="142"/>
      <c r="SDX100" s="142"/>
      <c r="SDY100" s="142"/>
      <c r="SDZ100" s="142"/>
      <c r="SEA100" s="142"/>
      <c r="SEB100" s="142"/>
      <c r="SEC100" s="142"/>
      <c r="SED100" s="142"/>
      <c r="SEE100" s="142"/>
      <c r="SEF100" s="142"/>
      <c r="SEG100" s="142"/>
      <c r="SEH100" s="142"/>
      <c r="SEI100" s="142"/>
      <c r="SEJ100" s="142"/>
      <c r="SEK100" s="142"/>
      <c r="SEL100" s="142"/>
      <c r="SEM100" s="142"/>
      <c r="SEN100" s="142"/>
      <c r="SEO100" s="142"/>
      <c r="SEP100" s="142"/>
      <c r="SEQ100" s="142"/>
      <c r="SER100" s="142"/>
      <c r="SES100" s="142"/>
      <c r="SET100" s="142"/>
      <c r="SEU100" s="142"/>
      <c r="SEV100" s="142"/>
      <c r="SEW100" s="142"/>
      <c r="SEX100" s="142"/>
      <c r="SEY100" s="142"/>
      <c r="SEZ100" s="142"/>
      <c r="SFA100" s="142"/>
      <c r="SFB100" s="142"/>
      <c r="SFC100" s="142"/>
      <c r="SFD100" s="142"/>
      <c r="SFE100" s="142"/>
      <c r="SFF100" s="142"/>
      <c r="SFG100" s="142"/>
      <c r="SFH100" s="142"/>
      <c r="SFI100" s="142"/>
      <c r="SFJ100" s="142"/>
      <c r="SFK100" s="142"/>
      <c r="SFL100" s="142"/>
      <c r="SFM100" s="142"/>
      <c r="SFN100" s="142"/>
      <c r="SFO100" s="142"/>
      <c r="SFP100" s="142"/>
      <c r="SFQ100" s="142"/>
      <c r="SFR100" s="142"/>
      <c r="SFS100" s="142"/>
      <c r="SFT100" s="142"/>
      <c r="SFU100" s="142"/>
      <c r="SFV100" s="142"/>
      <c r="SFW100" s="142"/>
      <c r="SFX100" s="142"/>
      <c r="SFY100" s="142"/>
      <c r="SFZ100" s="142"/>
      <c r="SGA100" s="142"/>
      <c r="SGB100" s="142"/>
      <c r="SGC100" s="142"/>
      <c r="SGD100" s="142"/>
      <c r="SGE100" s="142"/>
      <c r="SGF100" s="142"/>
      <c r="SGG100" s="142"/>
      <c r="SGH100" s="142"/>
      <c r="SGI100" s="142"/>
      <c r="SGJ100" s="142"/>
      <c r="SGK100" s="142"/>
      <c r="SGL100" s="142"/>
      <c r="SGM100" s="142"/>
      <c r="SGN100" s="142"/>
      <c r="SGO100" s="142"/>
      <c r="SGP100" s="142"/>
      <c r="SGQ100" s="142"/>
      <c r="SGR100" s="142"/>
      <c r="SGS100" s="142"/>
      <c r="SGT100" s="142"/>
      <c r="SGU100" s="142"/>
      <c r="SGV100" s="142"/>
      <c r="SGW100" s="142"/>
      <c r="SGX100" s="142"/>
      <c r="SGY100" s="142"/>
      <c r="SGZ100" s="142"/>
      <c r="SHA100" s="142"/>
      <c r="SHB100" s="142"/>
      <c r="SHC100" s="142"/>
      <c r="SHD100" s="142"/>
      <c r="SHE100" s="142"/>
      <c r="SHF100" s="142"/>
      <c r="SHG100" s="142"/>
      <c r="SHH100" s="142"/>
      <c r="SHI100" s="142"/>
      <c r="SHJ100" s="142"/>
      <c r="SHK100" s="142"/>
      <c r="SHL100" s="142"/>
      <c r="SHM100" s="142"/>
      <c r="SHN100" s="142"/>
      <c r="SHO100" s="142"/>
      <c r="SHP100" s="142"/>
      <c r="SHQ100" s="142"/>
      <c r="SHR100" s="142"/>
      <c r="SHS100" s="142"/>
      <c r="SHT100" s="142"/>
      <c r="SHU100" s="142"/>
      <c r="SHV100" s="142"/>
      <c r="SHW100" s="142"/>
      <c r="SHX100" s="142"/>
      <c r="SHY100" s="142"/>
      <c r="SHZ100" s="142"/>
      <c r="SIA100" s="142"/>
      <c r="SIB100" s="142"/>
      <c r="SIC100" s="142"/>
      <c r="SID100" s="142"/>
      <c r="SIE100" s="142"/>
      <c r="SIF100" s="142"/>
      <c r="SIG100" s="142"/>
      <c r="SIH100" s="142"/>
      <c r="SII100" s="142"/>
      <c r="SIJ100" s="142"/>
      <c r="SIK100" s="142"/>
      <c r="SIL100" s="142"/>
      <c r="SIM100" s="142"/>
      <c r="SIN100" s="142"/>
      <c r="SIO100" s="142"/>
      <c r="SIP100" s="142"/>
      <c r="SIQ100" s="142"/>
      <c r="SIR100" s="142"/>
      <c r="SIS100" s="142"/>
      <c r="SIT100" s="142"/>
      <c r="SIU100" s="142"/>
      <c r="SIV100" s="142"/>
      <c r="SIW100" s="142"/>
      <c r="SIX100" s="142"/>
      <c r="SIY100" s="142"/>
      <c r="SIZ100" s="142"/>
      <c r="SJA100" s="142"/>
      <c r="SJB100" s="142"/>
      <c r="SJC100" s="142"/>
      <c r="SJD100" s="142"/>
      <c r="SJE100" s="142"/>
      <c r="SJF100" s="142"/>
      <c r="SJG100" s="142"/>
      <c r="SJH100" s="142"/>
      <c r="SJI100" s="142"/>
      <c r="SJJ100" s="142"/>
      <c r="SJK100" s="142"/>
      <c r="SJL100" s="142"/>
      <c r="SJM100" s="142"/>
      <c r="SJN100" s="142"/>
      <c r="SJO100" s="142"/>
      <c r="SJP100" s="142"/>
      <c r="SJQ100" s="142"/>
      <c r="SJR100" s="142"/>
      <c r="SJS100" s="142"/>
      <c r="SJT100" s="142"/>
      <c r="SJU100" s="142"/>
      <c r="SJV100" s="142"/>
      <c r="SJW100" s="142"/>
      <c r="SJX100" s="142"/>
      <c r="SJY100" s="142"/>
      <c r="SJZ100" s="142"/>
      <c r="SKA100" s="142"/>
      <c r="SKB100" s="142"/>
      <c r="SKC100" s="142"/>
      <c r="SKD100" s="142"/>
      <c r="SKE100" s="142"/>
      <c r="SKF100" s="142"/>
      <c r="SKG100" s="142"/>
      <c r="SKH100" s="142"/>
      <c r="SKI100" s="142"/>
      <c r="SKJ100" s="142"/>
      <c r="SKK100" s="142"/>
      <c r="SKL100" s="142"/>
      <c r="SKM100" s="142"/>
      <c r="SKN100" s="142"/>
      <c r="SKO100" s="142"/>
      <c r="SKP100" s="142"/>
      <c r="SKQ100" s="142"/>
      <c r="SKR100" s="142"/>
      <c r="SKS100" s="142"/>
      <c r="SKT100" s="142"/>
      <c r="SKU100" s="142"/>
      <c r="SKV100" s="142"/>
      <c r="SKW100" s="142"/>
      <c r="SKX100" s="142"/>
      <c r="SKY100" s="142"/>
      <c r="SKZ100" s="142"/>
      <c r="SLA100" s="142"/>
      <c r="SLB100" s="142"/>
      <c r="SLC100" s="142"/>
      <c r="SLD100" s="142"/>
      <c r="SLE100" s="142"/>
      <c r="SLF100" s="142"/>
      <c r="SLG100" s="142"/>
      <c r="SLH100" s="142"/>
      <c r="SLI100" s="142"/>
      <c r="SLJ100" s="142"/>
      <c r="SLK100" s="142"/>
      <c r="SLL100" s="142"/>
      <c r="SLM100" s="142"/>
      <c r="SLN100" s="142"/>
      <c r="SLO100" s="142"/>
      <c r="SLP100" s="142"/>
      <c r="SLQ100" s="142"/>
      <c r="SLR100" s="142"/>
      <c r="SLS100" s="142"/>
      <c r="SLT100" s="142"/>
      <c r="SLU100" s="142"/>
      <c r="SLV100" s="142"/>
      <c r="SLW100" s="142"/>
      <c r="SLX100" s="142"/>
      <c r="SLY100" s="142"/>
      <c r="SLZ100" s="142"/>
      <c r="SMA100" s="142"/>
      <c r="SMB100" s="142"/>
      <c r="SMC100" s="142"/>
      <c r="SMD100" s="142"/>
      <c r="SME100" s="142"/>
      <c r="SMF100" s="142"/>
      <c r="SMG100" s="142"/>
      <c r="SMH100" s="142"/>
      <c r="SMI100" s="142"/>
      <c r="SMJ100" s="142"/>
      <c r="SMK100" s="142"/>
      <c r="SML100" s="142"/>
      <c r="SMM100" s="142"/>
      <c r="SMN100" s="142"/>
      <c r="SMO100" s="142"/>
      <c r="SMP100" s="142"/>
      <c r="SMQ100" s="142"/>
      <c r="SMR100" s="142"/>
      <c r="SMS100" s="142"/>
      <c r="SMT100" s="142"/>
      <c r="SMU100" s="142"/>
      <c r="SMV100" s="142"/>
      <c r="SMW100" s="142"/>
      <c r="SMX100" s="142"/>
      <c r="SMY100" s="142"/>
      <c r="SMZ100" s="142"/>
      <c r="SNA100" s="142"/>
      <c r="SNB100" s="142"/>
      <c r="SNC100" s="142"/>
      <c r="SND100" s="142"/>
      <c r="SNE100" s="142"/>
      <c r="SNF100" s="142"/>
      <c r="SNG100" s="142"/>
      <c r="SNH100" s="142"/>
      <c r="SNI100" s="142"/>
      <c r="SNJ100" s="142"/>
      <c r="SNK100" s="142"/>
      <c r="SNL100" s="142"/>
      <c r="SNM100" s="142"/>
      <c r="SNN100" s="142"/>
      <c r="SNO100" s="142"/>
      <c r="SNP100" s="142"/>
      <c r="SNQ100" s="142"/>
      <c r="SNR100" s="142"/>
      <c r="SNS100" s="142"/>
      <c r="SNT100" s="142"/>
      <c r="SNU100" s="142"/>
      <c r="SNV100" s="142"/>
      <c r="SNW100" s="142"/>
      <c r="SNX100" s="142"/>
      <c r="SNY100" s="142"/>
      <c r="SNZ100" s="142"/>
      <c r="SOA100" s="142"/>
      <c r="SOB100" s="142"/>
      <c r="SOC100" s="142"/>
      <c r="SOD100" s="142"/>
      <c r="SOE100" s="142"/>
      <c r="SOF100" s="142"/>
      <c r="SOG100" s="142"/>
      <c r="SOH100" s="142"/>
      <c r="SOI100" s="142"/>
      <c r="SOJ100" s="142"/>
      <c r="SOK100" s="142"/>
      <c r="SOL100" s="142"/>
      <c r="SOM100" s="142"/>
      <c r="SON100" s="142"/>
      <c r="SOO100" s="142"/>
      <c r="SOP100" s="142"/>
      <c r="SOQ100" s="142"/>
      <c r="SOR100" s="142"/>
      <c r="SOS100" s="142"/>
      <c r="SOT100" s="142"/>
      <c r="SOU100" s="142"/>
      <c r="SOV100" s="142"/>
      <c r="SOW100" s="142"/>
      <c r="SOX100" s="142"/>
      <c r="SOY100" s="142"/>
      <c r="SOZ100" s="142"/>
      <c r="SPA100" s="142"/>
      <c r="SPB100" s="142"/>
      <c r="SPC100" s="142"/>
      <c r="SPD100" s="142"/>
      <c r="SPE100" s="142"/>
      <c r="SPF100" s="142"/>
      <c r="SPG100" s="142"/>
      <c r="SPH100" s="142"/>
      <c r="SPI100" s="142"/>
      <c r="SPJ100" s="142"/>
      <c r="SPK100" s="142"/>
      <c r="SPL100" s="142"/>
      <c r="SPM100" s="142"/>
      <c r="SPN100" s="142"/>
      <c r="SPO100" s="142"/>
      <c r="SPP100" s="142"/>
      <c r="SPQ100" s="142"/>
      <c r="SPR100" s="142"/>
      <c r="SPS100" s="142"/>
      <c r="SPT100" s="142"/>
      <c r="SPU100" s="142"/>
      <c r="SPV100" s="142"/>
      <c r="SPW100" s="142"/>
      <c r="SPX100" s="142"/>
      <c r="SPY100" s="142"/>
      <c r="SPZ100" s="142"/>
      <c r="SQA100" s="142"/>
      <c r="SQB100" s="142"/>
      <c r="SQC100" s="142"/>
      <c r="SQD100" s="142"/>
      <c r="SQE100" s="142"/>
      <c r="SQF100" s="142"/>
      <c r="SQG100" s="142"/>
      <c r="SQH100" s="142"/>
      <c r="SQI100" s="142"/>
      <c r="SQJ100" s="142"/>
      <c r="SQK100" s="142"/>
      <c r="SQL100" s="142"/>
      <c r="SQM100" s="142"/>
      <c r="SQN100" s="142"/>
      <c r="SQO100" s="142"/>
      <c r="SQP100" s="142"/>
      <c r="SQQ100" s="142"/>
      <c r="SQR100" s="142"/>
      <c r="SQS100" s="142"/>
      <c r="SQT100" s="142"/>
      <c r="SQU100" s="142"/>
      <c r="SQV100" s="142"/>
      <c r="SQW100" s="142"/>
      <c r="SQX100" s="142"/>
      <c r="SQY100" s="142"/>
      <c r="SQZ100" s="142"/>
      <c r="SRA100" s="142"/>
      <c r="SRB100" s="142"/>
      <c r="SRC100" s="142"/>
      <c r="SRD100" s="142"/>
      <c r="SRE100" s="142"/>
      <c r="SRF100" s="142"/>
      <c r="SRG100" s="142"/>
      <c r="SRH100" s="142"/>
      <c r="SRI100" s="142"/>
      <c r="SRJ100" s="142"/>
      <c r="SRK100" s="142"/>
      <c r="SRL100" s="142"/>
      <c r="SRM100" s="142"/>
      <c r="SRN100" s="142"/>
      <c r="SRO100" s="142"/>
      <c r="SRP100" s="142"/>
      <c r="SRQ100" s="142"/>
      <c r="SRR100" s="142"/>
      <c r="SRS100" s="142"/>
      <c r="SRT100" s="142"/>
      <c r="SRU100" s="142"/>
      <c r="SRV100" s="142"/>
      <c r="SRW100" s="142"/>
      <c r="SRX100" s="142"/>
      <c r="SRY100" s="142"/>
      <c r="SRZ100" s="142"/>
      <c r="SSA100" s="142"/>
      <c r="SSB100" s="142"/>
      <c r="SSC100" s="142"/>
      <c r="SSD100" s="142"/>
      <c r="SSE100" s="142"/>
      <c r="SSF100" s="142"/>
      <c r="SSG100" s="142"/>
      <c r="SSH100" s="142"/>
      <c r="SSI100" s="142"/>
      <c r="SSJ100" s="142"/>
      <c r="SSK100" s="142"/>
      <c r="SSL100" s="142"/>
      <c r="SSM100" s="142"/>
      <c r="SSN100" s="142"/>
      <c r="SSO100" s="142"/>
      <c r="SSP100" s="142"/>
      <c r="SSQ100" s="142"/>
      <c r="SSR100" s="142"/>
      <c r="SSS100" s="142"/>
      <c r="SST100" s="142"/>
      <c r="SSU100" s="142"/>
      <c r="SSV100" s="142"/>
      <c r="SSW100" s="142"/>
      <c r="SSX100" s="142"/>
      <c r="SSY100" s="142"/>
      <c r="SSZ100" s="142"/>
      <c r="STA100" s="142"/>
      <c r="STB100" s="142"/>
      <c r="STC100" s="142"/>
      <c r="STD100" s="142"/>
      <c r="STE100" s="142"/>
      <c r="STF100" s="142"/>
      <c r="STG100" s="142"/>
      <c r="STH100" s="142"/>
      <c r="STI100" s="142"/>
      <c r="STJ100" s="142"/>
      <c r="STK100" s="142"/>
      <c r="STL100" s="142"/>
      <c r="STM100" s="142"/>
      <c r="STN100" s="142"/>
      <c r="STO100" s="142"/>
      <c r="STP100" s="142"/>
      <c r="STQ100" s="142"/>
      <c r="STR100" s="142"/>
      <c r="STS100" s="142"/>
      <c r="STT100" s="142"/>
      <c r="STU100" s="142"/>
      <c r="STV100" s="142"/>
      <c r="STW100" s="142"/>
      <c r="STX100" s="142"/>
      <c r="STY100" s="142"/>
      <c r="STZ100" s="142"/>
      <c r="SUA100" s="142"/>
      <c r="SUB100" s="142"/>
      <c r="SUC100" s="142"/>
      <c r="SUD100" s="142"/>
      <c r="SUE100" s="142"/>
      <c r="SUF100" s="142"/>
      <c r="SUG100" s="142"/>
      <c r="SUH100" s="142"/>
      <c r="SUI100" s="142"/>
      <c r="SUJ100" s="142"/>
      <c r="SUK100" s="142"/>
      <c r="SUL100" s="142"/>
      <c r="SUM100" s="142"/>
      <c r="SUN100" s="142"/>
      <c r="SUO100" s="142"/>
      <c r="SUP100" s="142"/>
      <c r="SUQ100" s="142"/>
      <c r="SUR100" s="142"/>
      <c r="SUS100" s="142"/>
      <c r="SUT100" s="142"/>
      <c r="SUU100" s="142"/>
      <c r="SUV100" s="142"/>
      <c r="SUW100" s="142"/>
      <c r="SUX100" s="142"/>
      <c r="SUY100" s="142"/>
      <c r="SUZ100" s="142"/>
      <c r="SVA100" s="142"/>
      <c r="SVB100" s="142"/>
      <c r="SVC100" s="142"/>
      <c r="SVD100" s="142"/>
      <c r="SVE100" s="142"/>
      <c r="SVF100" s="142"/>
      <c r="SVG100" s="142"/>
      <c r="SVH100" s="142"/>
      <c r="SVI100" s="142"/>
      <c r="SVJ100" s="142"/>
      <c r="SVK100" s="142"/>
      <c r="SVL100" s="142"/>
      <c r="SVM100" s="142"/>
      <c r="SVN100" s="142"/>
      <c r="SVO100" s="142"/>
      <c r="SVP100" s="142"/>
      <c r="SVQ100" s="142"/>
      <c r="SVR100" s="142"/>
      <c r="SVS100" s="142"/>
      <c r="SVT100" s="142"/>
      <c r="SVU100" s="142"/>
      <c r="SVV100" s="142"/>
      <c r="SVW100" s="142"/>
      <c r="SVX100" s="142"/>
      <c r="SVY100" s="142"/>
      <c r="SVZ100" s="142"/>
      <c r="SWA100" s="142"/>
      <c r="SWB100" s="142"/>
      <c r="SWC100" s="142"/>
      <c r="SWD100" s="142"/>
      <c r="SWE100" s="142"/>
      <c r="SWF100" s="142"/>
      <c r="SWG100" s="142"/>
      <c r="SWH100" s="142"/>
      <c r="SWI100" s="142"/>
      <c r="SWJ100" s="142"/>
      <c r="SWK100" s="142"/>
      <c r="SWL100" s="142"/>
      <c r="SWM100" s="142"/>
      <c r="SWN100" s="142"/>
      <c r="SWO100" s="142"/>
      <c r="SWP100" s="142"/>
      <c r="SWQ100" s="142"/>
      <c r="SWR100" s="142"/>
      <c r="SWS100" s="142"/>
      <c r="SWT100" s="142"/>
      <c r="SWU100" s="142"/>
      <c r="SWV100" s="142"/>
      <c r="SWW100" s="142"/>
      <c r="SWX100" s="142"/>
      <c r="SWY100" s="142"/>
      <c r="SWZ100" s="142"/>
      <c r="SXA100" s="142"/>
      <c r="SXB100" s="142"/>
      <c r="SXC100" s="142"/>
      <c r="SXD100" s="142"/>
      <c r="SXE100" s="142"/>
      <c r="SXF100" s="142"/>
      <c r="SXG100" s="142"/>
      <c r="SXH100" s="142"/>
      <c r="SXI100" s="142"/>
      <c r="SXJ100" s="142"/>
      <c r="SXK100" s="142"/>
      <c r="SXL100" s="142"/>
      <c r="SXM100" s="142"/>
      <c r="SXN100" s="142"/>
      <c r="SXO100" s="142"/>
      <c r="SXP100" s="142"/>
      <c r="SXQ100" s="142"/>
      <c r="SXR100" s="142"/>
      <c r="SXS100" s="142"/>
      <c r="SXT100" s="142"/>
      <c r="SXU100" s="142"/>
      <c r="SXV100" s="142"/>
      <c r="SXW100" s="142"/>
      <c r="SXX100" s="142"/>
      <c r="SXY100" s="142"/>
      <c r="SXZ100" s="142"/>
      <c r="SYA100" s="142"/>
      <c r="SYB100" s="142"/>
      <c r="SYC100" s="142"/>
      <c r="SYD100" s="142"/>
      <c r="SYE100" s="142"/>
      <c r="SYF100" s="142"/>
      <c r="SYG100" s="142"/>
      <c r="SYH100" s="142"/>
      <c r="SYI100" s="142"/>
      <c r="SYJ100" s="142"/>
      <c r="SYK100" s="142"/>
      <c r="SYL100" s="142"/>
      <c r="SYM100" s="142"/>
      <c r="SYN100" s="142"/>
      <c r="SYO100" s="142"/>
      <c r="SYP100" s="142"/>
      <c r="SYQ100" s="142"/>
      <c r="SYR100" s="142"/>
      <c r="SYS100" s="142"/>
      <c r="SYT100" s="142"/>
      <c r="SYU100" s="142"/>
      <c r="SYV100" s="142"/>
      <c r="SYW100" s="142"/>
      <c r="SYX100" s="142"/>
      <c r="SYY100" s="142"/>
      <c r="SYZ100" s="142"/>
      <c r="SZA100" s="142"/>
      <c r="SZB100" s="142"/>
      <c r="SZC100" s="142"/>
      <c r="SZD100" s="142"/>
      <c r="SZE100" s="142"/>
      <c r="SZF100" s="142"/>
      <c r="SZG100" s="142"/>
      <c r="SZH100" s="142"/>
      <c r="SZI100" s="142"/>
      <c r="SZJ100" s="142"/>
      <c r="SZK100" s="142"/>
      <c r="SZL100" s="142"/>
      <c r="SZM100" s="142"/>
      <c r="SZN100" s="142"/>
      <c r="SZO100" s="142"/>
      <c r="SZP100" s="142"/>
      <c r="SZQ100" s="142"/>
      <c r="SZR100" s="142"/>
      <c r="SZS100" s="142"/>
      <c r="SZT100" s="142"/>
      <c r="SZU100" s="142"/>
      <c r="SZV100" s="142"/>
      <c r="SZW100" s="142"/>
      <c r="SZX100" s="142"/>
      <c r="SZY100" s="142"/>
      <c r="SZZ100" s="142"/>
      <c r="TAA100" s="142"/>
      <c r="TAB100" s="142"/>
      <c r="TAC100" s="142"/>
      <c r="TAD100" s="142"/>
      <c r="TAE100" s="142"/>
      <c r="TAF100" s="142"/>
      <c r="TAG100" s="142"/>
      <c r="TAH100" s="142"/>
      <c r="TAI100" s="142"/>
      <c r="TAJ100" s="142"/>
      <c r="TAK100" s="142"/>
      <c r="TAL100" s="142"/>
      <c r="TAM100" s="142"/>
      <c r="TAN100" s="142"/>
      <c r="TAO100" s="142"/>
      <c r="TAP100" s="142"/>
      <c r="TAQ100" s="142"/>
      <c r="TAR100" s="142"/>
      <c r="TAS100" s="142"/>
      <c r="TAT100" s="142"/>
      <c r="TAU100" s="142"/>
      <c r="TAV100" s="142"/>
      <c r="TAW100" s="142"/>
      <c r="TAX100" s="142"/>
      <c r="TAY100" s="142"/>
      <c r="TAZ100" s="142"/>
      <c r="TBA100" s="142"/>
      <c r="TBB100" s="142"/>
      <c r="TBC100" s="142"/>
      <c r="TBD100" s="142"/>
      <c r="TBE100" s="142"/>
      <c r="TBF100" s="142"/>
      <c r="TBG100" s="142"/>
      <c r="TBH100" s="142"/>
      <c r="TBI100" s="142"/>
      <c r="TBJ100" s="142"/>
      <c r="TBK100" s="142"/>
      <c r="TBL100" s="142"/>
      <c r="TBM100" s="142"/>
      <c r="TBN100" s="142"/>
      <c r="TBO100" s="142"/>
      <c r="TBP100" s="142"/>
      <c r="TBQ100" s="142"/>
      <c r="TBR100" s="142"/>
      <c r="TBS100" s="142"/>
      <c r="TBT100" s="142"/>
      <c r="TBU100" s="142"/>
      <c r="TBV100" s="142"/>
      <c r="TBW100" s="142"/>
      <c r="TBX100" s="142"/>
      <c r="TBY100" s="142"/>
      <c r="TBZ100" s="142"/>
      <c r="TCA100" s="142"/>
      <c r="TCB100" s="142"/>
      <c r="TCC100" s="142"/>
      <c r="TCD100" s="142"/>
      <c r="TCE100" s="142"/>
      <c r="TCF100" s="142"/>
      <c r="TCG100" s="142"/>
      <c r="TCH100" s="142"/>
      <c r="TCI100" s="142"/>
      <c r="TCJ100" s="142"/>
      <c r="TCK100" s="142"/>
      <c r="TCL100" s="142"/>
      <c r="TCM100" s="142"/>
      <c r="TCN100" s="142"/>
      <c r="TCO100" s="142"/>
      <c r="TCP100" s="142"/>
      <c r="TCQ100" s="142"/>
      <c r="TCR100" s="142"/>
      <c r="TCS100" s="142"/>
      <c r="TCT100" s="142"/>
      <c r="TCU100" s="142"/>
      <c r="TCV100" s="142"/>
      <c r="TCW100" s="142"/>
      <c r="TCX100" s="142"/>
      <c r="TCY100" s="142"/>
      <c r="TCZ100" s="142"/>
      <c r="TDA100" s="142"/>
      <c r="TDB100" s="142"/>
      <c r="TDC100" s="142"/>
      <c r="TDD100" s="142"/>
      <c r="TDE100" s="142"/>
      <c r="TDF100" s="142"/>
      <c r="TDG100" s="142"/>
      <c r="TDH100" s="142"/>
      <c r="TDI100" s="142"/>
      <c r="TDJ100" s="142"/>
      <c r="TDK100" s="142"/>
      <c r="TDL100" s="142"/>
      <c r="TDM100" s="142"/>
      <c r="TDN100" s="142"/>
      <c r="TDO100" s="142"/>
      <c r="TDP100" s="142"/>
      <c r="TDQ100" s="142"/>
      <c r="TDR100" s="142"/>
      <c r="TDS100" s="142"/>
      <c r="TDT100" s="142"/>
      <c r="TDU100" s="142"/>
      <c r="TDV100" s="142"/>
      <c r="TDW100" s="142"/>
      <c r="TDX100" s="142"/>
      <c r="TDY100" s="142"/>
      <c r="TDZ100" s="142"/>
      <c r="TEA100" s="142"/>
      <c r="TEB100" s="142"/>
      <c r="TEC100" s="142"/>
      <c r="TED100" s="142"/>
      <c r="TEE100" s="142"/>
      <c r="TEF100" s="142"/>
      <c r="TEG100" s="142"/>
      <c r="TEH100" s="142"/>
      <c r="TEI100" s="142"/>
      <c r="TEJ100" s="142"/>
      <c r="TEK100" s="142"/>
      <c r="TEL100" s="142"/>
      <c r="TEM100" s="142"/>
      <c r="TEN100" s="142"/>
      <c r="TEO100" s="142"/>
      <c r="TEP100" s="142"/>
      <c r="TEQ100" s="142"/>
      <c r="TER100" s="142"/>
      <c r="TES100" s="142"/>
      <c r="TET100" s="142"/>
      <c r="TEU100" s="142"/>
      <c r="TEV100" s="142"/>
      <c r="TEW100" s="142"/>
      <c r="TEX100" s="142"/>
      <c r="TEY100" s="142"/>
      <c r="TEZ100" s="142"/>
      <c r="TFA100" s="142"/>
      <c r="TFB100" s="142"/>
      <c r="TFC100" s="142"/>
      <c r="TFD100" s="142"/>
      <c r="TFE100" s="142"/>
      <c r="TFF100" s="142"/>
      <c r="TFG100" s="142"/>
      <c r="TFH100" s="142"/>
      <c r="TFI100" s="142"/>
      <c r="TFJ100" s="142"/>
      <c r="TFK100" s="142"/>
      <c r="TFL100" s="142"/>
      <c r="TFM100" s="142"/>
      <c r="TFN100" s="142"/>
      <c r="TFO100" s="142"/>
      <c r="TFP100" s="142"/>
      <c r="TFQ100" s="142"/>
      <c r="TFR100" s="142"/>
      <c r="TFS100" s="142"/>
      <c r="TFT100" s="142"/>
      <c r="TFU100" s="142"/>
      <c r="TFV100" s="142"/>
      <c r="TFW100" s="142"/>
      <c r="TFX100" s="142"/>
      <c r="TFY100" s="142"/>
      <c r="TFZ100" s="142"/>
      <c r="TGA100" s="142"/>
      <c r="TGB100" s="142"/>
      <c r="TGC100" s="142"/>
      <c r="TGD100" s="142"/>
      <c r="TGE100" s="142"/>
      <c r="TGF100" s="142"/>
      <c r="TGG100" s="142"/>
      <c r="TGH100" s="142"/>
      <c r="TGI100" s="142"/>
      <c r="TGJ100" s="142"/>
      <c r="TGK100" s="142"/>
      <c r="TGL100" s="142"/>
      <c r="TGM100" s="142"/>
      <c r="TGN100" s="142"/>
      <c r="TGO100" s="142"/>
      <c r="TGP100" s="142"/>
      <c r="TGQ100" s="142"/>
      <c r="TGR100" s="142"/>
      <c r="TGS100" s="142"/>
      <c r="TGT100" s="142"/>
      <c r="TGU100" s="142"/>
      <c r="TGV100" s="142"/>
      <c r="TGW100" s="142"/>
      <c r="TGX100" s="142"/>
      <c r="TGY100" s="142"/>
      <c r="TGZ100" s="142"/>
      <c r="THA100" s="142"/>
      <c r="THB100" s="142"/>
      <c r="THC100" s="142"/>
      <c r="THD100" s="142"/>
      <c r="THE100" s="142"/>
      <c r="THF100" s="142"/>
      <c r="THG100" s="142"/>
      <c r="THH100" s="142"/>
      <c r="THI100" s="142"/>
      <c r="THJ100" s="142"/>
      <c r="THK100" s="142"/>
      <c r="THL100" s="142"/>
      <c r="THM100" s="142"/>
      <c r="THN100" s="142"/>
      <c r="THO100" s="142"/>
      <c r="THP100" s="142"/>
      <c r="THQ100" s="142"/>
      <c r="THR100" s="142"/>
      <c r="THS100" s="142"/>
      <c r="THT100" s="142"/>
      <c r="THU100" s="142"/>
      <c r="THV100" s="142"/>
      <c r="THW100" s="142"/>
      <c r="THX100" s="142"/>
      <c r="THY100" s="142"/>
      <c r="THZ100" s="142"/>
      <c r="TIA100" s="142"/>
      <c r="TIB100" s="142"/>
      <c r="TIC100" s="142"/>
      <c r="TID100" s="142"/>
      <c r="TIE100" s="142"/>
      <c r="TIF100" s="142"/>
      <c r="TIG100" s="142"/>
      <c r="TIH100" s="142"/>
      <c r="TII100" s="142"/>
      <c r="TIJ100" s="142"/>
      <c r="TIK100" s="142"/>
      <c r="TIL100" s="142"/>
      <c r="TIM100" s="142"/>
      <c r="TIN100" s="142"/>
      <c r="TIO100" s="142"/>
      <c r="TIP100" s="142"/>
      <c r="TIQ100" s="142"/>
      <c r="TIR100" s="142"/>
      <c r="TIS100" s="142"/>
      <c r="TIT100" s="142"/>
      <c r="TIU100" s="142"/>
      <c r="TIV100" s="142"/>
      <c r="TIW100" s="142"/>
      <c r="TIX100" s="142"/>
      <c r="TIY100" s="142"/>
      <c r="TIZ100" s="142"/>
      <c r="TJA100" s="142"/>
      <c r="TJB100" s="142"/>
      <c r="TJC100" s="142"/>
      <c r="TJD100" s="142"/>
      <c r="TJE100" s="142"/>
      <c r="TJF100" s="142"/>
      <c r="TJG100" s="142"/>
      <c r="TJH100" s="142"/>
      <c r="TJI100" s="142"/>
      <c r="TJJ100" s="142"/>
      <c r="TJK100" s="142"/>
      <c r="TJL100" s="142"/>
      <c r="TJM100" s="142"/>
      <c r="TJN100" s="142"/>
      <c r="TJO100" s="142"/>
      <c r="TJP100" s="142"/>
      <c r="TJQ100" s="142"/>
      <c r="TJR100" s="142"/>
      <c r="TJS100" s="142"/>
      <c r="TJT100" s="142"/>
      <c r="TJU100" s="142"/>
      <c r="TJV100" s="142"/>
      <c r="TJW100" s="142"/>
      <c r="TJX100" s="142"/>
      <c r="TJY100" s="142"/>
      <c r="TJZ100" s="142"/>
      <c r="TKA100" s="142"/>
      <c r="TKB100" s="142"/>
      <c r="TKC100" s="142"/>
      <c r="TKD100" s="142"/>
      <c r="TKE100" s="142"/>
      <c r="TKF100" s="142"/>
      <c r="TKG100" s="142"/>
      <c r="TKH100" s="142"/>
      <c r="TKI100" s="142"/>
      <c r="TKJ100" s="142"/>
      <c r="TKK100" s="142"/>
      <c r="TKL100" s="142"/>
      <c r="TKM100" s="142"/>
      <c r="TKN100" s="142"/>
      <c r="TKO100" s="142"/>
      <c r="TKP100" s="142"/>
      <c r="TKQ100" s="142"/>
      <c r="TKR100" s="142"/>
      <c r="TKS100" s="142"/>
      <c r="TKT100" s="142"/>
      <c r="TKU100" s="142"/>
      <c r="TKV100" s="142"/>
      <c r="TKW100" s="142"/>
      <c r="TKX100" s="142"/>
      <c r="TKY100" s="142"/>
      <c r="TKZ100" s="142"/>
      <c r="TLA100" s="142"/>
      <c r="TLB100" s="142"/>
      <c r="TLC100" s="142"/>
      <c r="TLD100" s="142"/>
      <c r="TLE100" s="142"/>
      <c r="TLF100" s="142"/>
      <c r="TLG100" s="142"/>
      <c r="TLH100" s="142"/>
      <c r="TLI100" s="142"/>
      <c r="TLJ100" s="142"/>
      <c r="TLK100" s="142"/>
      <c r="TLL100" s="142"/>
      <c r="TLM100" s="142"/>
      <c r="TLN100" s="142"/>
      <c r="TLO100" s="142"/>
      <c r="TLP100" s="142"/>
      <c r="TLQ100" s="142"/>
      <c r="TLR100" s="142"/>
      <c r="TLS100" s="142"/>
      <c r="TLT100" s="142"/>
      <c r="TLU100" s="142"/>
      <c r="TLV100" s="142"/>
      <c r="TLW100" s="142"/>
      <c r="TLX100" s="142"/>
      <c r="TLY100" s="142"/>
      <c r="TLZ100" s="142"/>
      <c r="TMA100" s="142"/>
      <c r="TMB100" s="142"/>
      <c r="TMC100" s="142"/>
      <c r="TMD100" s="142"/>
      <c r="TME100" s="142"/>
      <c r="TMF100" s="142"/>
      <c r="TMG100" s="142"/>
      <c r="TMH100" s="142"/>
      <c r="TMI100" s="142"/>
      <c r="TMJ100" s="142"/>
      <c r="TMK100" s="142"/>
      <c r="TML100" s="142"/>
      <c r="TMM100" s="142"/>
      <c r="TMN100" s="142"/>
      <c r="TMO100" s="142"/>
      <c r="TMP100" s="142"/>
      <c r="TMQ100" s="142"/>
      <c r="TMR100" s="142"/>
      <c r="TMS100" s="142"/>
      <c r="TMT100" s="142"/>
      <c r="TMU100" s="142"/>
      <c r="TMV100" s="142"/>
      <c r="TMW100" s="142"/>
      <c r="TMX100" s="142"/>
      <c r="TMY100" s="142"/>
      <c r="TMZ100" s="142"/>
      <c r="TNA100" s="142"/>
      <c r="TNB100" s="142"/>
      <c r="TNC100" s="142"/>
      <c r="TND100" s="142"/>
      <c r="TNE100" s="142"/>
      <c r="TNF100" s="142"/>
      <c r="TNG100" s="142"/>
      <c r="TNH100" s="142"/>
      <c r="TNI100" s="142"/>
      <c r="TNJ100" s="142"/>
      <c r="TNK100" s="142"/>
      <c r="TNL100" s="142"/>
      <c r="TNM100" s="142"/>
      <c r="TNN100" s="142"/>
      <c r="TNO100" s="142"/>
      <c r="TNP100" s="142"/>
      <c r="TNQ100" s="142"/>
      <c r="TNR100" s="142"/>
      <c r="TNS100" s="142"/>
      <c r="TNT100" s="142"/>
      <c r="TNU100" s="142"/>
      <c r="TNV100" s="142"/>
      <c r="TNW100" s="142"/>
      <c r="TNX100" s="142"/>
      <c r="TNY100" s="142"/>
      <c r="TNZ100" s="142"/>
      <c r="TOA100" s="142"/>
      <c r="TOB100" s="142"/>
      <c r="TOC100" s="142"/>
      <c r="TOD100" s="142"/>
      <c r="TOE100" s="142"/>
      <c r="TOF100" s="142"/>
      <c r="TOG100" s="142"/>
      <c r="TOH100" s="142"/>
      <c r="TOI100" s="142"/>
      <c r="TOJ100" s="142"/>
      <c r="TOK100" s="142"/>
      <c r="TOL100" s="142"/>
      <c r="TOM100" s="142"/>
      <c r="TON100" s="142"/>
      <c r="TOO100" s="142"/>
      <c r="TOP100" s="142"/>
      <c r="TOQ100" s="142"/>
      <c r="TOR100" s="142"/>
      <c r="TOS100" s="142"/>
      <c r="TOT100" s="142"/>
      <c r="TOU100" s="142"/>
      <c r="TOV100" s="142"/>
      <c r="TOW100" s="142"/>
      <c r="TOX100" s="142"/>
      <c r="TOY100" s="142"/>
      <c r="TOZ100" s="142"/>
      <c r="TPA100" s="142"/>
      <c r="TPB100" s="142"/>
      <c r="TPC100" s="142"/>
      <c r="TPD100" s="142"/>
      <c r="TPE100" s="142"/>
      <c r="TPF100" s="142"/>
      <c r="TPG100" s="142"/>
      <c r="TPH100" s="142"/>
      <c r="TPI100" s="142"/>
      <c r="TPJ100" s="142"/>
      <c r="TPK100" s="142"/>
      <c r="TPL100" s="142"/>
      <c r="TPM100" s="142"/>
      <c r="TPN100" s="142"/>
      <c r="TPO100" s="142"/>
      <c r="TPP100" s="142"/>
      <c r="TPQ100" s="142"/>
      <c r="TPR100" s="142"/>
      <c r="TPS100" s="142"/>
      <c r="TPT100" s="142"/>
      <c r="TPU100" s="142"/>
      <c r="TPV100" s="142"/>
      <c r="TPW100" s="142"/>
      <c r="TPX100" s="142"/>
      <c r="TPY100" s="142"/>
      <c r="TPZ100" s="142"/>
      <c r="TQA100" s="142"/>
      <c r="TQB100" s="142"/>
      <c r="TQC100" s="142"/>
      <c r="TQD100" s="142"/>
      <c r="TQE100" s="142"/>
      <c r="TQF100" s="142"/>
      <c r="TQG100" s="142"/>
      <c r="TQH100" s="142"/>
      <c r="TQI100" s="142"/>
      <c r="TQJ100" s="142"/>
      <c r="TQK100" s="142"/>
      <c r="TQL100" s="142"/>
      <c r="TQM100" s="142"/>
      <c r="TQN100" s="142"/>
      <c r="TQO100" s="142"/>
      <c r="TQP100" s="142"/>
      <c r="TQQ100" s="142"/>
      <c r="TQR100" s="142"/>
      <c r="TQS100" s="142"/>
      <c r="TQT100" s="142"/>
      <c r="TQU100" s="142"/>
      <c r="TQV100" s="142"/>
      <c r="TQW100" s="142"/>
      <c r="TQX100" s="142"/>
      <c r="TQY100" s="142"/>
      <c r="TQZ100" s="142"/>
      <c r="TRA100" s="142"/>
      <c r="TRB100" s="142"/>
      <c r="TRC100" s="142"/>
      <c r="TRD100" s="142"/>
      <c r="TRE100" s="142"/>
      <c r="TRF100" s="142"/>
      <c r="TRG100" s="142"/>
      <c r="TRH100" s="142"/>
      <c r="TRI100" s="142"/>
      <c r="TRJ100" s="142"/>
      <c r="TRK100" s="142"/>
      <c r="TRL100" s="142"/>
      <c r="TRM100" s="142"/>
      <c r="TRN100" s="142"/>
      <c r="TRO100" s="142"/>
      <c r="TRP100" s="142"/>
      <c r="TRQ100" s="142"/>
      <c r="TRR100" s="142"/>
      <c r="TRS100" s="142"/>
      <c r="TRT100" s="142"/>
      <c r="TRU100" s="142"/>
      <c r="TRV100" s="142"/>
      <c r="TRW100" s="142"/>
      <c r="TRX100" s="142"/>
      <c r="TRY100" s="142"/>
      <c r="TRZ100" s="142"/>
      <c r="TSA100" s="142"/>
      <c r="TSB100" s="142"/>
      <c r="TSC100" s="142"/>
      <c r="TSD100" s="142"/>
      <c r="TSE100" s="142"/>
      <c r="TSF100" s="142"/>
      <c r="TSG100" s="142"/>
      <c r="TSH100" s="142"/>
      <c r="TSI100" s="142"/>
      <c r="TSJ100" s="142"/>
      <c r="TSK100" s="142"/>
      <c r="TSL100" s="142"/>
      <c r="TSM100" s="142"/>
      <c r="TSN100" s="142"/>
      <c r="TSO100" s="142"/>
      <c r="TSP100" s="142"/>
      <c r="TSQ100" s="142"/>
      <c r="TSR100" s="142"/>
      <c r="TSS100" s="142"/>
      <c r="TST100" s="142"/>
      <c r="TSU100" s="142"/>
      <c r="TSV100" s="142"/>
      <c r="TSW100" s="142"/>
      <c r="TSX100" s="142"/>
      <c r="TSY100" s="142"/>
      <c r="TSZ100" s="142"/>
      <c r="TTA100" s="142"/>
      <c r="TTB100" s="142"/>
      <c r="TTC100" s="142"/>
      <c r="TTD100" s="142"/>
      <c r="TTE100" s="142"/>
      <c r="TTF100" s="142"/>
      <c r="TTG100" s="142"/>
      <c r="TTH100" s="142"/>
      <c r="TTI100" s="142"/>
      <c r="TTJ100" s="142"/>
      <c r="TTK100" s="142"/>
      <c r="TTL100" s="142"/>
      <c r="TTM100" s="142"/>
      <c r="TTN100" s="142"/>
      <c r="TTO100" s="142"/>
      <c r="TTP100" s="142"/>
      <c r="TTQ100" s="142"/>
      <c r="TTR100" s="142"/>
      <c r="TTS100" s="142"/>
      <c r="TTT100" s="142"/>
      <c r="TTU100" s="142"/>
      <c r="TTV100" s="142"/>
      <c r="TTW100" s="142"/>
      <c r="TTX100" s="142"/>
      <c r="TTY100" s="142"/>
      <c r="TTZ100" s="142"/>
      <c r="TUA100" s="142"/>
      <c r="TUB100" s="142"/>
      <c r="TUC100" s="142"/>
      <c r="TUD100" s="142"/>
      <c r="TUE100" s="142"/>
      <c r="TUF100" s="142"/>
      <c r="TUG100" s="142"/>
      <c r="TUH100" s="142"/>
      <c r="TUI100" s="142"/>
      <c r="TUJ100" s="142"/>
      <c r="TUK100" s="142"/>
      <c r="TUL100" s="142"/>
      <c r="TUM100" s="142"/>
      <c r="TUN100" s="142"/>
      <c r="TUO100" s="142"/>
      <c r="TUP100" s="142"/>
      <c r="TUQ100" s="142"/>
      <c r="TUR100" s="142"/>
      <c r="TUS100" s="142"/>
      <c r="TUT100" s="142"/>
      <c r="TUU100" s="142"/>
      <c r="TUV100" s="142"/>
      <c r="TUW100" s="142"/>
      <c r="TUX100" s="142"/>
      <c r="TUY100" s="142"/>
      <c r="TUZ100" s="142"/>
      <c r="TVA100" s="142"/>
      <c r="TVB100" s="142"/>
      <c r="TVC100" s="142"/>
      <c r="TVD100" s="142"/>
      <c r="TVE100" s="142"/>
      <c r="TVF100" s="142"/>
      <c r="TVG100" s="142"/>
      <c r="TVH100" s="142"/>
      <c r="TVI100" s="142"/>
      <c r="TVJ100" s="142"/>
      <c r="TVK100" s="142"/>
      <c r="TVL100" s="142"/>
      <c r="TVM100" s="142"/>
      <c r="TVN100" s="142"/>
      <c r="TVO100" s="142"/>
      <c r="TVP100" s="142"/>
      <c r="TVQ100" s="142"/>
      <c r="TVR100" s="142"/>
      <c r="TVS100" s="142"/>
      <c r="TVT100" s="142"/>
      <c r="TVU100" s="142"/>
      <c r="TVV100" s="142"/>
      <c r="TVW100" s="142"/>
      <c r="TVX100" s="142"/>
      <c r="TVY100" s="142"/>
      <c r="TVZ100" s="142"/>
      <c r="TWA100" s="142"/>
      <c r="TWB100" s="142"/>
      <c r="TWC100" s="142"/>
      <c r="TWD100" s="142"/>
      <c r="TWE100" s="142"/>
      <c r="TWF100" s="142"/>
      <c r="TWG100" s="142"/>
      <c r="TWH100" s="142"/>
      <c r="TWI100" s="142"/>
      <c r="TWJ100" s="142"/>
      <c r="TWK100" s="142"/>
      <c r="TWL100" s="142"/>
      <c r="TWM100" s="142"/>
      <c r="TWN100" s="142"/>
      <c r="TWO100" s="142"/>
      <c r="TWP100" s="142"/>
      <c r="TWQ100" s="142"/>
      <c r="TWR100" s="142"/>
      <c r="TWS100" s="142"/>
      <c r="TWT100" s="142"/>
      <c r="TWU100" s="142"/>
      <c r="TWV100" s="142"/>
      <c r="TWW100" s="142"/>
      <c r="TWX100" s="142"/>
      <c r="TWY100" s="142"/>
      <c r="TWZ100" s="142"/>
      <c r="TXA100" s="142"/>
      <c r="TXB100" s="142"/>
      <c r="TXC100" s="142"/>
      <c r="TXD100" s="142"/>
      <c r="TXE100" s="142"/>
      <c r="TXF100" s="142"/>
      <c r="TXG100" s="142"/>
      <c r="TXH100" s="142"/>
      <c r="TXI100" s="142"/>
      <c r="TXJ100" s="142"/>
      <c r="TXK100" s="142"/>
      <c r="TXL100" s="142"/>
      <c r="TXM100" s="142"/>
      <c r="TXN100" s="142"/>
      <c r="TXO100" s="142"/>
      <c r="TXP100" s="142"/>
      <c r="TXQ100" s="142"/>
      <c r="TXR100" s="142"/>
      <c r="TXS100" s="142"/>
      <c r="TXT100" s="142"/>
      <c r="TXU100" s="142"/>
      <c r="TXV100" s="142"/>
      <c r="TXW100" s="142"/>
      <c r="TXX100" s="142"/>
      <c r="TXY100" s="142"/>
      <c r="TXZ100" s="142"/>
      <c r="TYA100" s="142"/>
      <c r="TYB100" s="142"/>
      <c r="TYC100" s="142"/>
      <c r="TYD100" s="142"/>
      <c r="TYE100" s="142"/>
      <c r="TYF100" s="142"/>
      <c r="TYG100" s="142"/>
      <c r="TYH100" s="142"/>
      <c r="TYI100" s="142"/>
      <c r="TYJ100" s="142"/>
      <c r="TYK100" s="142"/>
      <c r="TYL100" s="142"/>
      <c r="TYM100" s="142"/>
      <c r="TYN100" s="142"/>
      <c r="TYO100" s="142"/>
      <c r="TYP100" s="142"/>
      <c r="TYQ100" s="142"/>
      <c r="TYR100" s="142"/>
      <c r="TYS100" s="142"/>
      <c r="TYT100" s="142"/>
      <c r="TYU100" s="142"/>
      <c r="TYV100" s="142"/>
      <c r="TYW100" s="142"/>
      <c r="TYX100" s="142"/>
      <c r="TYY100" s="142"/>
      <c r="TYZ100" s="142"/>
      <c r="TZA100" s="142"/>
      <c r="TZB100" s="142"/>
      <c r="TZC100" s="142"/>
      <c r="TZD100" s="142"/>
      <c r="TZE100" s="142"/>
      <c r="TZF100" s="142"/>
      <c r="TZG100" s="142"/>
      <c r="TZH100" s="142"/>
      <c r="TZI100" s="142"/>
      <c r="TZJ100" s="142"/>
      <c r="TZK100" s="142"/>
      <c r="TZL100" s="142"/>
      <c r="TZM100" s="142"/>
      <c r="TZN100" s="142"/>
      <c r="TZO100" s="142"/>
      <c r="TZP100" s="142"/>
      <c r="TZQ100" s="142"/>
      <c r="TZR100" s="142"/>
      <c r="TZS100" s="142"/>
      <c r="TZT100" s="142"/>
      <c r="TZU100" s="142"/>
      <c r="TZV100" s="142"/>
      <c r="TZW100" s="142"/>
      <c r="TZX100" s="142"/>
      <c r="TZY100" s="142"/>
      <c r="TZZ100" s="142"/>
      <c r="UAA100" s="142"/>
      <c r="UAB100" s="142"/>
      <c r="UAC100" s="142"/>
      <c r="UAD100" s="142"/>
      <c r="UAE100" s="142"/>
      <c r="UAF100" s="142"/>
      <c r="UAG100" s="142"/>
      <c r="UAH100" s="142"/>
      <c r="UAI100" s="142"/>
      <c r="UAJ100" s="142"/>
      <c r="UAK100" s="142"/>
      <c r="UAL100" s="142"/>
      <c r="UAM100" s="142"/>
      <c r="UAN100" s="142"/>
      <c r="UAO100" s="142"/>
      <c r="UAP100" s="142"/>
      <c r="UAQ100" s="142"/>
      <c r="UAR100" s="142"/>
      <c r="UAS100" s="142"/>
      <c r="UAT100" s="142"/>
      <c r="UAU100" s="142"/>
      <c r="UAV100" s="142"/>
      <c r="UAW100" s="142"/>
      <c r="UAX100" s="142"/>
      <c r="UAY100" s="142"/>
      <c r="UAZ100" s="142"/>
      <c r="UBA100" s="142"/>
      <c r="UBB100" s="142"/>
      <c r="UBC100" s="142"/>
      <c r="UBD100" s="142"/>
      <c r="UBE100" s="142"/>
      <c r="UBF100" s="142"/>
      <c r="UBG100" s="142"/>
      <c r="UBH100" s="142"/>
      <c r="UBI100" s="142"/>
      <c r="UBJ100" s="142"/>
      <c r="UBK100" s="142"/>
      <c r="UBL100" s="142"/>
      <c r="UBM100" s="142"/>
      <c r="UBN100" s="142"/>
      <c r="UBO100" s="142"/>
      <c r="UBP100" s="142"/>
      <c r="UBQ100" s="142"/>
      <c r="UBR100" s="142"/>
      <c r="UBS100" s="142"/>
      <c r="UBT100" s="142"/>
      <c r="UBU100" s="142"/>
      <c r="UBV100" s="142"/>
      <c r="UBW100" s="142"/>
      <c r="UBX100" s="142"/>
      <c r="UBY100" s="142"/>
      <c r="UBZ100" s="142"/>
      <c r="UCA100" s="142"/>
      <c r="UCB100" s="142"/>
      <c r="UCC100" s="142"/>
      <c r="UCD100" s="142"/>
      <c r="UCE100" s="142"/>
      <c r="UCF100" s="142"/>
      <c r="UCG100" s="142"/>
      <c r="UCH100" s="142"/>
      <c r="UCI100" s="142"/>
      <c r="UCJ100" s="142"/>
      <c r="UCK100" s="142"/>
      <c r="UCL100" s="142"/>
      <c r="UCM100" s="142"/>
      <c r="UCN100" s="142"/>
      <c r="UCO100" s="142"/>
      <c r="UCP100" s="142"/>
      <c r="UCQ100" s="142"/>
      <c r="UCR100" s="142"/>
      <c r="UCS100" s="142"/>
      <c r="UCT100" s="142"/>
      <c r="UCU100" s="142"/>
      <c r="UCV100" s="142"/>
      <c r="UCW100" s="142"/>
      <c r="UCX100" s="142"/>
      <c r="UCY100" s="142"/>
      <c r="UCZ100" s="142"/>
      <c r="UDA100" s="142"/>
      <c r="UDB100" s="142"/>
      <c r="UDC100" s="142"/>
      <c r="UDD100" s="142"/>
      <c r="UDE100" s="142"/>
      <c r="UDF100" s="142"/>
      <c r="UDG100" s="142"/>
      <c r="UDH100" s="142"/>
      <c r="UDI100" s="142"/>
      <c r="UDJ100" s="142"/>
      <c r="UDK100" s="142"/>
      <c r="UDL100" s="142"/>
      <c r="UDM100" s="142"/>
      <c r="UDN100" s="142"/>
      <c r="UDO100" s="142"/>
      <c r="UDP100" s="142"/>
      <c r="UDQ100" s="142"/>
      <c r="UDR100" s="142"/>
      <c r="UDS100" s="142"/>
      <c r="UDT100" s="142"/>
      <c r="UDU100" s="142"/>
      <c r="UDV100" s="142"/>
      <c r="UDW100" s="142"/>
      <c r="UDX100" s="142"/>
      <c r="UDY100" s="142"/>
      <c r="UDZ100" s="142"/>
      <c r="UEA100" s="142"/>
      <c r="UEB100" s="142"/>
      <c r="UEC100" s="142"/>
      <c r="UED100" s="142"/>
      <c r="UEE100" s="142"/>
      <c r="UEF100" s="142"/>
      <c r="UEG100" s="142"/>
      <c r="UEH100" s="142"/>
      <c r="UEI100" s="142"/>
      <c r="UEJ100" s="142"/>
      <c r="UEK100" s="142"/>
      <c r="UEL100" s="142"/>
      <c r="UEM100" s="142"/>
      <c r="UEN100" s="142"/>
      <c r="UEO100" s="142"/>
      <c r="UEP100" s="142"/>
      <c r="UEQ100" s="142"/>
      <c r="UER100" s="142"/>
      <c r="UES100" s="142"/>
      <c r="UET100" s="142"/>
      <c r="UEU100" s="142"/>
      <c r="UEV100" s="142"/>
      <c r="UEW100" s="142"/>
      <c r="UEX100" s="142"/>
      <c r="UEY100" s="142"/>
      <c r="UEZ100" s="142"/>
      <c r="UFA100" s="142"/>
      <c r="UFB100" s="142"/>
      <c r="UFC100" s="142"/>
      <c r="UFD100" s="142"/>
      <c r="UFE100" s="142"/>
      <c r="UFF100" s="142"/>
      <c r="UFG100" s="142"/>
      <c r="UFH100" s="142"/>
      <c r="UFI100" s="142"/>
      <c r="UFJ100" s="142"/>
      <c r="UFK100" s="142"/>
      <c r="UFL100" s="142"/>
      <c r="UFM100" s="142"/>
      <c r="UFN100" s="142"/>
      <c r="UFO100" s="142"/>
      <c r="UFP100" s="142"/>
      <c r="UFQ100" s="142"/>
      <c r="UFR100" s="142"/>
      <c r="UFS100" s="142"/>
      <c r="UFT100" s="142"/>
      <c r="UFU100" s="142"/>
      <c r="UFV100" s="142"/>
      <c r="UFW100" s="142"/>
      <c r="UFX100" s="142"/>
      <c r="UFY100" s="142"/>
      <c r="UFZ100" s="142"/>
      <c r="UGA100" s="142"/>
      <c r="UGB100" s="142"/>
      <c r="UGC100" s="142"/>
      <c r="UGD100" s="142"/>
      <c r="UGE100" s="142"/>
      <c r="UGF100" s="142"/>
      <c r="UGG100" s="142"/>
      <c r="UGH100" s="142"/>
      <c r="UGI100" s="142"/>
      <c r="UGJ100" s="142"/>
      <c r="UGK100" s="142"/>
      <c r="UGL100" s="142"/>
      <c r="UGM100" s="142"/>
      <c r="UGN100" s="142"/>
      <c r="UGO100" s="142"/>
      <c r="UGP100" s="142"/>
      <c r="UGQ100" s="142"/>
      <c r="UGR100" s="142"/>
      <c r="UGS100" s="142"/>
      <c r="UGT100" s="142"/>
      <c r="UGU100" s="142"/>
      <c r="UGV100" s="142"/>
      <c r="UGW100" s="142"/>
      <c r="UGX100" s="142"/>
      <c r="UGY100" s="142"/>
      <c r="UGZ100" s="142"/>
      <c r="UHA100" s="142"/>
      <c r="UHB100" s="142"/>
      <c r="UHC100" s="142"/>
      <c r="UHD100" s="142"/>
      <c r="UHE100" s="142"/>
      <c r="UHF100" s="142"/>
      <c r="UHG100" s="142"/>
      <c r="UHH100" s="142"/>
      <c r="UHI100" s="142"/>
      <c r="UHJ100" s="142"/>
      <c r="UHK100" s="142"/>
      <c r="UHL100" s="142"/>
      <c r="UHM100" s="142"/>
      <c r="UHN100" s="142"/>
      <c r="UHO100" s="142"/>
      <c r="UHP100" s="142"/>
      <c r="UHQ100" s="142"/>
      <c r="UHR100" s="142"/>
      <c r="UHS100" s="142"/>
      <c r="UHT100" s="142"/>
      <c r="UHU100" s="142"/>
      <c r="UHV100" s="142"/>
      <c r="UHW100" s="142"/>
      <c r="UHX100" s="142"/>
      <c r="UHY100" s="142"/>
      <c r="UHZ100" s="142"/>
      <c r="UIA100" s="142"/>
      <c r="UIB100" s="142"/>
      <c r="UIC100" s="142"/>
      <c r="UID100" s="142"/>
      <c r="UIE100" s="142"/>
      <c r="UIF100" s="142"/>
      <c r="UIG100" s="142"/>
      <c r="UIH100" s="142"/>
      <c r="UII100" s="142"/>
      <c r="UIJ100" s="142"/>
      <c r="UIK100" s="142"/>
      <c r="UIL100" s="142"/>
      <c r="UIM100" s="142"/>
      <c r="UIN100" s="142"/>
      <c r="UIO100" s="142"/>
      <c r="UIP100" s="142"/>
      <c r="UIQ100" s="142"/>
      <c r="UIR100" s="142"/>
      <c r="UIS100" s="142"/>
      <c r="UIT100" s="142"/>
      <c r="UIU100" s="142"/>
      <c r="UIV100" s="142"/>
      <c r="UIW100" s="142"/>
      <c r="UIX100" s="142"/>
      <c r="UIY100" s="142"/>
      <c r="UIZ100" s="142"/>
      <c r="UJA100" s="142"/>
      <c r="UJB100" s="142"/>
      <c r="UJC100" s="142"/>
      <c r="UJD100" s="142"/>
      <c r="UJE100" s="142"/>
      <c r="UJF100" s="142"/>
      <c r="UJG100" s="142"/>
      <c r="UJH100" s="142"/>
      <c r="UJI100" s="142"/>
      <c r="UJJ100" s="142"/>
      <c r="UJK100" s="142"/>
      <c r="UJL100" s="142"/>
      <c r="UJM100" s="142"/>
      <c r="UJN100" s="142"/>
      <c r="UJO100" s="142"/>
      <c r="UJP100" s="142"/>
      <c r="UJQ100" s="142"/>
      <c r="UJR100" s="142"/>
      <c r="UJS100" s="142"/>
      <c r="UJT100" s="142"/>
      <c r="UJU100" s="142"/>
      <c r="UJV100" s="142"/>
      <c r="UJW100" s="142"/>
      <c r="UJX100" s="142"/>
      <c r="UJY100" s="142"/>
      <c r="UJZ100" s="142"/>
      <c r="UKA100" s="142"/>
      <c r="UKB100" s="142"/>
      <c r="UKC100" s="142"/>
      <c r="UKD100" s="142"/>
      <c r="UKE100" s="142"/>
      <c r="UKF100" s="142"/>
      <c r="UKG100" s="142"/>
      <c r="UKH100" s="142"/>
      <c r="UKI100" s="142"/>
      <c r="UKJ100" s="142"/>
      <c r="UKK100" s="142"/>
      <c r="UKL100" s="142"/>
      <c r="UKM100" s="142"/>
      <c r="UKN100" s="142"/>
      <c r="UKO100" s="142"/>
      <c r="UKP100" s="142"/>
      <c r="UKQ100" s="142"/>
      <c r="UKR100" s="142"/>
      <c r="UKS100" s="142"/>
      <c r="UKT100" s="142"/>
      <c r="UKU100" s="142"/>
      <c r="UKV100" s="142"/>
      <c r="UKW100" s="142"/>
      <c r="UKX100" s="142"/>
      <c r="UKY100" s="142"/>
      <c r="UKZ100" s="142"/>
      <c r="ULA100" s="142"/>
      <c r="ULB100" s="142"/>
      <c r="ULC100" s="142"/>
      <c r="ULD100" s="142"/>
      <c r="ULE100" s="142"/>
      <c r="ULF100" s="142"/>
      <c r="ULG100" s="142"/>
      <c r="ULH100" s="142"/>
      <c r="ULI100" s="142"/>
      <c r="ULJ100" s="142"/>
      <c r="ULK100" s="142"/>
      <c r="ULL100" s="142"/>
      <c r="ULM100" s="142"/>
      <c r="ULN100" s="142"/>
      <c r="ULO100" s="142"/>
      <c r="ULP100" s="142"/>
      <c r="ULQ100" s="142"/>
      <c r="ULR100" s="142"/>
      <c r="ULS100" s="142"/>
      <c r="ULT100" s="142"/>
      <c r="ULU100" s="142"/>
      <c r="ULV100" s="142"/>
      <c r="ULW100" s="142"/>
      <c r="ULX100" s="142"/>
      <c r="ULY100" s="142"/>
      <c r="ULZ100" s="142"/>
      <c r="UMA100" s="142"/>
      <c r="UMB100" s="142"/>
      <c r="UMC100" s="142"/>
      <c r="UMD100" s="142"/>
      <c r="UME100" s="142"/>
      <c r="UMF100" s="142"/>
      <c r="UMG100" s="142"/>
      <c r="UMH100" s="142"/>
      <c r="UMI100" s="142"/>
      <c r="UMJ100" s="142"/>
      <c r="UMK100" s="142"/>
      <c r="UML100" s="142"/>
      <c r="UMM100" s="142"/>
      <c r="UMN100" s="142"/>
      <c r="UMO100" s="142"/>
      <c r="UMP100" s="142"/>
      <c r="UMQ100" s="142"/>
      <c r="UMR100" s="142"/>
      <c r="UMS100" s="142"/>
      <c r="UMT100" s="142"/>
      <c r="UMU100" s="142"/>
      <c r="UMV100" s="142"/>
      <c r="UMW100" s="142"/>
      <c r="UMX100" s="142"/>
      <c r="UMY100" s="142"/>
      <c r="UMZ100" s="142"/>
      <c r="UNA100" s="142"/>
      <c r="UNB100" s="142"/>
      <c r="UNC100" s="142"/>
      <c r="UND100" s="142"/>
      <c r="UNE100" s="142"/>
      <c r="UNF100" s="142"/>
      <c r="UNG100" s="142"/>
      <c r="UNH100" s="142"/>
      <c r="UNI100" s="142"/>
      <c r="UNJ100" s="142"/>
      <c r="UNK100" s="142"/>
      <c r="UNL100" s="142"/>
      <c r="UNM100" s="142"/>
      <c r="UNN100" s="142"/>
      <c r="UNO100" s="142"/>
      <c r="UNP100" s="142"/>
      <c r="UNQ100" s="142"/>
      <c r="UNR100" s="142"/>
      <c r="UNS100" s="142"/>
      <c r="UNT100" s="142"/>
      <c r="UNU100" s="142"/>
      <c r="UNV100" s="142"/>
      <c r="UNW100" s="142"/>
      <c r="UNX100" s="142"/>
      <c r="UNY100" s="142"/>
      <c r="UNZ100" s="142"/>
      <c r="UOA100" s="142"/>
      <c r="UOB100" s="142"/>
      <c r="UOC100" s="142"/>
      <c r="UOD100" s="142"/>
      <c r="UOE100" s="142"/>
      <c r="UOF100" s="142"/>
      <c r="UOG100" s="142"/>
      <c r="UOH100" s="142"/>
      <c r="UOI100" s="142"/>
      <c r="UOJ100" s="142"/>
      <c r="UOK100" s="142"/>
      <c r="UOL100" s="142"/>
      <c r="UOM100" s="142"/>
      <c r="UON100" s="142"/>
      <c r="UOO100" s="142"/>
      <c r="UOP100" s="142"/>
      <c r="UOQ100" s="142"/>
      <c r="UOR100" s="142"/>
      <c r="UOS100" s="142"/>
      <c r="UOT100" s="142"/>
      <c r="UOU100" s="142"/>
      <c r="UOV100" s="142"/>
      <c r="UOW100" s="142"/>
      <c r="UOX100" s="142"/>
      <c r="UOY100" s="142"/>
      <c r="UOZ100" s="142"/>
      <c r="UPA100" s="142"/>
      <c r="UPB100" s="142"/>
      <c r="UPC100" s="142"/>
      <c r="UPD100" s="142"/>
      <c r="UPE100" s="142"/>
      <c r="UPF100" s="142"/>
      <c r="UPG100" s="142"/>
      <c r="UPH100" s="142"/>
      <c r="UPI100" s="142"/>
      <c r="UPJ100" s="142"/>
      <c r="UPK100" s="142"/>
      <c r="UPL100" s="142"/>
      <c r="UPM100" s="142"/>
      <c r="UPN100" s="142"/>
      <c r="UPO100" s="142"/>
      <c r="UPP100" s="142"/>
      <c r="UPQ100" s="142"/>
      <c r="UPR100" s="142"/>
      <c r="UPS100" s="142"/>
      <c r="UPT100" s="142"/>
      <c r="UPU100" s="142"/>
      <c r="UPV100" s="142"/>
      <c r="UPW100" s="142"/>
      <c r="UPX100" s="142"/>
      <c r="UPY100" s="142"/>
      <c r="UPZ100" s="142"/>
      <c r="UQA100" s="142"/>
      <c r="UQB100" s="142"/>
      <c r="UQC100" s="142"/>
      <c r="UQD100" s="142"/>
      <c r="UQE100" s="142"/>
      <c r="UQF100" s="142"/>
      <c r="UQG100" s="142"/>
      <c r="UQH100" s="142"/>
      <c r="UQI100" s="142"/>
      <c r="UQJ100" s="142"/>
      <c r="UQK100" s="142"/>
      <c r="UQL100" s="142"/>
      <c r="UQM100" s="142"/>
      <c r="UQN100" s="142"/>
      <c r="UQO100" s="142"/>
      <c r="UQP100" s="142"/>
      <c r="UQQ100" s="142"/>
      <c r="UQR100" s="142"/>
      <c r="UQS100" s="142"/>
      <c r="UQT100" s="142"/>
      <c r="UQU100" s="142"/>
      <c r="UQV100" s="142"/>
      <c r="UQW100" s="142"/>
      <c r="UQX100" s="142"/>
      <c r="UQY100" s="142"/>
      <c r="UQZ100" s="142"/>
      <c r="URA100" s="142"/>
      <c r="URB100" s="142"/>
      <c r="URC100" s="142"/>
      <c r="URD100" s="142"/>
      <c r="URE100" s="142"/>
      <c r="URF100" s="142"/>
      <c r="URG100" s="142"/>
      <c r="URH100" s="142"/>
      <c r="URI100" s="142"/>
      <c r="URJ100" s="142"/>
      <c r="URK100" s="142"/>
      <c r="URL100" s="142"/>
      <c r="URM100" s="142"/>
      <c r="URN100" s="142"/>
      <c r="URO100" s="142"/>
      <c r="URP100" s="142"/>
      <c r="URQ100" s="142"/>
      <c r="URR100" s="142"/>
      <c r="URS100" s="142"/>
      <c r="URT100" s="142"/>
      <c r="URU100" s="142"/>
      <c r="URV100" s="142"/>
      <c r="URW100" s="142"/>
      <c r="URX100" s="142"/>
      <c r="URY100" s="142"/>
      <c r="URZ100" s="142"/>
      <c r="USA100" s="142"/>
      <c r="USB100" s="142"/>
      <c r="USC100" s="142"/>
      <c r="USD100" s="142"/>
      <c r="USE100" s="142"/>
      <c r="USF100" s="142"/>
      <c r="USG100" s="142"/>
      <c r="USH100" s="142"/>
      <c r="USI100" s="142"/>
      <c r="USJ100" s="142"/>
      <c r="USK100" s="142"/>
      <c r="USL100" s="142"/>
      <c r="USM100" s="142"/>
      <c r="USN100" s="142"/>
      <c r="USO100" s="142"/>
      <c r="USP100" s="142"/>
      <c r="USQ100" s="142"/>
      <c r="USR100" s="142"/>
      <c r="USS100" s="142"/>
      <c r="UST100" s="142"/>
      <c r="USU100" s="142"/>
      <c r="USV100" s="142"/>
      <c r="USW100" s="142"/>
      <c r="USX100" s="142"/>
      <c r="USY100" s="142"/>
      <c r="USZ100" s="142"/>
      <c r="UTA100" s="142"/>
      <c r="UTB100" s="142"/>
      <c r="UTC100" s="142"/>
      <c r="UTD100" s="142"/>
      <c r="UTE100" s="142"/>
      <c r="UTF100" s="142"/>
      <c r="UTG100" s="142"/>
      <c r="UTH100" s="142"/>
      <c r="UTI100" s="142"/>
      <c r="UTJ100" s="142"/>
      <c r="UTK100" s="142"/>
      <c r="UTL100" s="142"/>
      <c r="UTM100" s="142"/>
      <c r="UTN100" s="142"/>
      <c r="UTO100" s="142"/>
      <c r="UTP100" s="142"/>
      <c r="UTQ100" s="142"/>
      <c r="UTR100" s="142"/>
      <c r="UTS100" s="142"/>
      <c r="UTT100" s="142"/>
      <c r="UTU100" s="142"/>
      <c r="UTV100" s="142"/>
      <c r="UTW100" s="142"/>
      <c r="UTX100" s="142"/>
      <c r="UTY100" s="142"/>
      <c r="UTZ100" s="142"/>
      <c r="UUA100" s="142"/>
      <c r="UUB100" s="142"/>
      <c r="UUC100" s="142"/>
      <c r="UUD100" s="142"/>
      <c r="UUE100" s="142"/>
      <c r="UUF100" s="142"/>
      <c r="UUG100" s="142"/>
      <c r="UUH100" s="142"/>
      <c r="UUI100" s="142"/>
      <c r="UUJ100" s="142"/>
      <c r="UUK100" s="142"/>
      <c r="UUL100" s="142"/>
      <c r="UUM100" s="142"/>
      <c r="UUN100" s="142"/>
      <c r="UUO100" s="142"/>
      <c r="UUP100" s="142"/>
      <c r="UUQ100" s="142"/>
      <c r="UUR100" s="142"/>
      <c r="UUS100" s="142"/>
      <c r="UUT100" s="142"/>
      <c r="UUU100" s="142"/>
      <c r="UUV100" s="142"/>
      <c r="UUW100" s="142"/>
      <c r="UUX100" s="142"/>
      <c r="UUY100" s="142"/>
      <c r="UUZ100" s="142"/>
      <c r="UVA100" s="142"/>
      <c r="UVB100" s="142"/>
      <c r="UVC100" s="142"/>
      <c r="UVD100" s="142"/>
      <c r="UVE100" s="142"/>
      <c r="UVF100" s="142"/>
      <c r="UVG100" s="142"/>
      <c r="UVH100" s="142"/>
      <c r="UVI100" s="142"/>
      <c r="UVJ100" s="142"/>
      <c r="UVK100" s="142"/>
      <c r="UVL100" s="142"/>
      <c r="UVM100" s="142"/>
      <c r="UVN100" s="142"/>
      <c r="UVO100" s="142"/>
      <c r="UVP100" s="142"/>
      <c r="UVQ100" s="142"/>
      <c r="UVR100" s="142"/>
      <c r="UVS100" s="142"/>
      <c r="UVT100" s="142"/>
      <c r="UVU100" s="142"/>
      <c r="UVV100" s="142"/>
      <c r="UVW100" s="142"/>
      <c r="UVX100" s="142"/>
      <c r="UVY100" s="142"/>
      <c r="UVZ100" s="142"/>
      <c r="UWA100" s="142"/>
      <c r="UWB100" s="142"/>
      <c r="UWC100" s="142"/>
      <c r="UWD100" s="142"/>
      <c r="UWE100" s="142"/>
      <c r="UWF100" s="142"/>
      <c r="UWG100" s="142"/>
      <c r="UWH100" s="142"/>
      <c r="UWI100" s="142"/>
      <c r="UWJ100" s="142"/>
      <c r="UWK100" s="142"/>
      <c r="UWL100" s="142"/>
      <c r="UWM100" s="142"/>
      <c r="UWN100" s="142"/>
      <c r="UWO100" s="142"/>
      <c r="UWP100" s="142"/>
      <c r="UWQ100" s="142"/>
      <c r="UWR100" s="142"/>
      <c r="UWS100" s="142"/>
      <c r="UWT100" s="142"/>
      <c r="UWU100" s="142"/>
      <c r="UWV100" s="142"/>
      <c r="UWW100" s="142"/>
      <c r="UWX100" s="142"/>
      <c r="UWY100" s="142"/>
      <c r="UWZ100" s="142"/>
      <c r="UXA100" s="142"/>
      <c r="UXB100" s="142"/>
      <c r="UXC100" s="142"/>
      <c r="UXD100" s="142"/>
      <c r="UXE100" s="142"/>
      <c r="UXF100" s="142"/>
      <c r="UXG100" s="142"/>
      <c r="UXH100" s="142"/>
      <c r="UXI100" s="142"/>
      <c r="UXJ100" s="142"/>
      <c r="UXK100" s="142"/>
      <c r="UXL100" s="142"/>
      <c r="UXM100" s="142"/>
      <c r="UXN100" s="142"/>
      <c r="UXO100" s="142"/>
      <c r="UXP100" s="142"/>
      <c r="UXQ100" s="142"/>
      <c r="UXR100" s="142"/>
      <c r="UXS100" s="142"/>
      <c r="UXT100" s="142"/>
      <c r="UXU100" s="142"/>
      <c r="UXV100" s="142"/>
      <c r="UXW100" s="142"/>
      <c r="UXX100" s="142"/>
      <c r="UXY100" s="142"/>
      <c r="UXZ100" s="142"/>
      <c r="UYA100" s="142"/>
      <c r="UYB100" s="142"/>
      <c r="UYC100" s="142"/>
      <c r="UYD100" s="142"/>
      <c r="UYE100" s="142"/>
      <c r="UYF100" s="142"/>
      <c r="UYG100" s="142"/>
      <c r="UYH100" s="142"/>
      <c r="UYI100" s="142"/>
      <c r="UYJ100" s="142"/>
      <c r="UYK100" s="142"/>
      <c r="UYL100" s="142"/>
      <c r="UYM100" s="142"/>
      <c r="UYN100" s="142"/>
      <c r="UYO100" s="142"/>
      <c r="UYP100" s="142"/>
      <c r="UYQ100" s="142"/>
      <c r="UYR100" s="142"/>
      <c r="UYS100" s="142"/>
      <c r="UYT100" s="142"/>
      <c r="UYU100" s="142"/>
      <c r="UYV100" s="142"/>
      <c r="UYW100" s="142"/>
      <c r="UYX100" s="142"/>
      <c r="UYY100" s="142"/>
      <c r="UYZ100" s="142"/>
      <c r="UZA100" s="142"/>
      <c r="UZB100" s="142"/>
      <c r="UZC100" s="142"/>
      <c r="UZD100" s="142"/>
      <c r="UZE100" s="142"/>
      <c r="UZF100" s="142"/>
      <c r="UZG100" s="142"/>
      <c r="UZH100" s="142"/>
      <c r="UZI100" s="142"/>
      <c r="UZJ100" s="142"/>
      <c r="UZK100" s="142"/>
      <c r="UZL100" s="142"/>
      <c r="UZM100" s="142"/>
      <c r="UZN100" s="142"/>
      <c r="UZO100" s="142"/>
      <c r="UZP100" s="142"/>
      <c r="UZQ100" s="142"/>
      <c r="UZR100" s="142"/>
      <c r="UZS100" s="142"/>
      <c r="UZT100" s="142"/>
      <c r="UZU100" s="142"/>
      <c r="UZV100" s="142"/>
      <c r="UZW100" s="142"/>
      <c r="UZX100" s="142"/>
      <c r="UZY100" s="142"/>
      <c r="UZZ100" s="142"/>
      <c r="VAA100" s="142"/>
      <c r="VAB100" s="142"/>
      <c r="VAC100" s="142"/>
      <c r="VAD100" s="142"/>
      <c r="VAE100" s="142"/>
      <c r="VAF100" s="142"/>
      <c r="VAG100" s="142"/>
      <c r="VAH100" s="142"/>
      <c r="VAI100" s="142"/>
      <c r="VAJ100" s="142"/>
      <c r="VAK100" s="142"/>
      <c r="VAL100" s="142"/>
      <c r="VAM100" s="142"/>
      <c r="VAN100" s="142"/>
      <c r="VAO100" s="142"/>
      <c r="VAP100" s="142"/>
      <c r="VAQ100" s="142"/>
      <c r="VAR100" s="142"/>
      <c r="VAS100" s="142"/>
      <c r="VAT100" s="142"/>
      <c r="VAU100" s="142"/>
      <c r="VAV100" s="142"/>
      <c r="VAW100" s="142"/>
      <c r="VAX100" s="142"/>
      <c r="VAY100" s="142"/>
      <c r="VAZ100" s="142"/>
      <c r="VBA100" s="142"/>
      <c r="VBB100" s="142"/>
      <c r="VBC100" s="142"/>
      <c r="VBD100" s="142"/>
      <c r="VBE100" s="142"/>
      <c r="VBF100" s="142"/>
      <c r="VBG100" s="142"/>
      <c r="VBH100" s="142"/>
      <c r="VBI100" s="142"/>
      <c r="VBJ100" s="142"/>
      <c r="VBK100" s="142"/>
      <c r="VBL100" s="142"/>
      <c r="VBM100" s="142"/>
      <c r="VBN100" s="142"/>
      <c r="VBO100" s="142"/>
      <c r="VBP100" s="142"/>
      <c r="VBQ100" s="142"/>
      <c r="VBR100" s="142"/>
      <c r="VBS100" s="142"/>
      <c r="VBT100" s="142"/>
      <c r="VBU100" s="142"/>
      <c r="VBV100" s="142"/>
      <c r="VBW100" s="142"/>
      <c r="VBX100" s="142"/>
      <c r="VBY100" s="142"/>
      <c r="VBZ100" s="142"/>
      <c r="VCA100" s="142"/>
      <c r="VCB100" s="142"/>
      <c r="VCC100" s="142"/>
      <c r="VCD100" s="142"/>
      <c r="VCE100" s="142"/>
      <c r="VCF100" s="142"/>
      <c r="VCG100" s="142"/>
      <c r="VCH100" s="142"/>
      <c r="VCI100" s="142"/>
      <c r="VCJ100" s="142"/>
      <c r="VCK100" s="142"/>
      <c r="VCL100" s="142"/>
      <c r="VCM100" s="142"/>
      <c r="VCN100" s="142"/>
      <c r="VCO100" s="142"/>
      <c r="VCP100" s="142"/>
      <c r="VCQ100" s="142"/>
      <c r="VCR100" s="142"/>
      <c r="VCS100" s="142"/>
      <c r="VCT100" s="142"/>
      <c r="VCU100" s="142"/>
      <c r="VCV100" s="142"/>
      <c r="VCW100" s="142"/>
      <c r="VCX100" s="142"/>
      <c r="VCY100" s="142"/>
      <c r="VCZ100" s="142"/>
      <c r="VDA100" s="142"/>
      <c r="VDB100" s="142"/>
      <c r="VDC100" s="142"/>
      <c r="VDD100" s="142"/>
      <c r="VDE100" s="142"/>
      <c r="VDF100" s="142"/>
      <c r="VDG100" s="142"/>
      <c r="VDH100" s="142"/>
      <c r="VDI100" s="142"/>
      <c r="VDJ100" s="142"/>
      <c r="VDK100" s="142"/>
      <c r="VDL100" s="142"/>
      <c r="VDM100" s="142"/>
      <c r="VDN100" s="142"/>
      <c r="VDO100" s="142"/>
      <c r="VDP100" s="142"/>
      <c r="VDQ100" s="142"/>
      <c r="VDR100" s="142"/>
      <c r="VDS100" s="142"/>
      <c r="VDT100" s="142"/>
      <c r="VDU100" s="142"/>
      <c r="VDV100" s="142"/>
      <c r="VDW100" s="142"/>
      <c r="VDX100" s="142"/>
      <c r="VDY100" s="142"/>
      <c r="VDZ100" s="142"/>
      <c r="VEA100" s="142"/>
      <c r="VEB100" s="142"/>
      <c r="VEC100" s="142"/>
      <c r="VED100" s="142"/>
      <c r="VEE100" s="142"/>
      <c r="VEF100" s="142"/>
      <c r="VEG100" s="142"/>
      <c r="VEH100" s="142"/>
      <c r="VEI100" s="142"/>
      <c r="VEJ100" s="142"/>
      <c r="VEK100" s="142"/>
      <c r="VEL100" s="142"/>
      <c r="VEM100" s="142"/>
      <c r="VEN100" s="142"/>
      <c r="VEO100" s="142"/>
      <c r="VEP100" s="142"/>
      <c r="VEQ100" s="142"/>
      <c r="VER100" s="142"/>
      <c r="VES100" s="142"/>
      <c r="VET100" s="142"/>
      <c r="VEU100" s="142"/>
      <c r="VEV100" s="142"/>
      <c r="VEW100" s="142"/>
      <c r="VEX100" s="142"/>
      <c r="VEY100" s="142"/>
      <c r="VEZ100" s="142"/>
      <c r="VFA100" s="142"/>
      <c r="VFB100" s="142"/>
      <c r="VFC100" s="142"/>
      <c r="VFD100" s="142"/>
      <c r="VFE100" s="142"/>
      <c r="VFF100" s="142"/>
      <c r="VFG100" s="142"/>
      <c r="VFH100" s="142"/>
      <c r="VFI100" s="142"/>
      <c r="VFJ100" s="142"/>
      <c r="VFK100" s="142"/>
      <c r="VFL100" s="142"/>
      <c r="VFM100" s="142"/>
      <c r="VFN100" s="142"/>
      <c r="VFO100" s="142"/>
      <c r="VFP100" s="142"/>
      <c r="VFQ100" s="142"/>
      <c r="VFR100" s="142"/>
      <c r="VFS100" s="142"/>
      <c r="VFT100" s="142"/>
      <c r="VFU100" s="142"/>
      <c r="VFV100" s="142"/>
      <c r="VFW100" s="142"/>
      <c r="VFX100" s="142"/>
      <c r="VFY100" s="142"/>
      <c r="VFZ100" s="142"/>
      <c r="VGA100" s="142"/>
      <c r="VGB100" s="142"/>
      <c r="VGC100" s="142"/>
      <c r="VGD100" s="142"/>
      <c r="VGE100" s="142"/>
      <c r="VGF100" s="142"/>
      <c r="VGG100" s="142"/>
      <c r="VGH100" s="142"/>
      <c r="VGI100" s="142"/>
      <c r="VGJ100" s="142"/>
      <c r="VGK100" s="142"/>
      <c r="VGL100" s="142"/>
      <c r="VGM100" s="142"/>
      <c r="VGN100" s="142"/>
      <c r="VGO100" s="142"/>
      <c r="VGP100" s="142"/>
      <c r="VGQ100" s="142"/>
      <c r="VGR100" s="142"/>
      <c r="VGS100" s="142"/>
      <c r="VGT100" s="142"/>
      <c r="VGU100" s="142"/>
      <c r="VGV100" s="142"/>
      <c r="VGW100" s="142"/>
      <c r="VGX100" s="142"/>
      <c r="VGY100" s="142"/>
      <c r="VGZ100" s="142"/>
      <c r="VHA100" s="142"/>
      <c r="VHB100" s="142"/>
      <c r="VHC100" s="142"/>
      <c r="VHD100" s="142"/>
      <c r="VHE100" s="142"/>
      <c r="VHF100" s="142"/>
      <c r="VHG100" s="142"/>
      <c r="VHH100" s="142"/>
      <c r="VHI100" s="142"/>
      <c r="VHJ100" s="142"/>
      <c r="VHK100" s="142"/>
      <c r="VHL100" s="142"/>
      <c r="VHM100" s="142"/>
      <c r="VHN100" s="142"/>
      <c r="VHO100" s="142"/>
      <c r="VHP100" s="142"/>
      <c r="VHQ100" s="142"/>
      <c r="VHR100" s="142"/>
      <c r="VHS100" s="142"/>
      <c r="VHT100" s="142"/>
      <c r="VHU100" s="142"/>
      <c r="VHV100" s="142"/>
      <c r="VHW100" s="142"/>
      <c r="VHX100" s="142"/>
      <c r="VHY100" s="142"/>
      <c r="VHZ100" s="142"/>
      <c r="VIA100" s="142"/>
      <c r="VIB100" s="142"/>
      <c r="VIC100" s="142"/>
      <c r="VID100" s="142"/>
      <c r="VIE100" s="142"/>
      <c r="VIF100" s="142"/>
      <c r="VIG100" s="142"/>
      <c r="VIH100" s="142"/>
      <c r="VII100" s="142"/>
      <c r="VIJ100" s="142"/>
      <c r="VIK100" s="142"/>
      <c r="VIL100" s="142"/>
      <c r="VIM100" s="142"/>
      <c r="VIN100" s="142"/>
      <c r="VIO100" s="142"/>
      <c r="VIP100" s="142"/>
      <c r="VIQ100" s="142"/>
      <c r="VIR100" s="142"/>
      <c r="VIS100" s="142"/>
      <c r="VIT100" s="142"/>
      <c r="VIU100" s="142"/>
      <c r="VIV100" s="142"/>
      <c r="VIW100" s="142"/>
      <c r="VIX100" s="142"/>
      <c r="VIY100" s="142"/>
      <c r="VIZ100" s="142"/>
      <c r="VJA100" s="142"/>
      <c r="VJB100" s="142"/>
      <c r="VJC100" s="142"/>
      <c r="VJD100" s="142"/>
      <c r="VJE100" s="142"/>
      <c r="VJF100" s="142"/>
      <c r="VJG100" s="142"/>
      <c r="VJH100" s="142"/>
      <c r="VJI100" s="142"/>
      <c r="VJJ100" s="142"/>
      <c r="VJK100" s="142"/>
      <c r="VJL100" s="142"/>
      <c r="VJM100" s="142"/>
      <c r="VJN100" s="142"/>
      <c r="VJO100" s="142"/>
      <c r="VJP100" s="142"/>
      <c r="VJQ100" s="142"/>
      <c r="VJR100" s="142"/>
      <c r="VJS100" s="142"/>
      <c r="VJT100" s="142"/>
      <c r="VJU100" s="142"/>
      <c r="VJV100" s="142"/>
      <c r="VJW100" s="142"/>
      <c r="VJX100" s="142"/>
      <c r="VJY100" s="142"/>
      <c r="VJZ100" s="142"/>
      <c r="VKA100" s="142"/>
      <c r="VKB100" s="142"/>
      <c r="VKC100" s="142"/>
      <c r="VKD100" s="142"/>
      <c r="VKE100" s="142"/>
      <c r="VKF100" s="142"/>
      <c r="VKG100" s="142"/>
      <c r="VKH100" s="142"/>
      <c r="VKI100" s="142"/>
      <c r="VKJ100" s="142"/>
      <c r="VKK100" s="142"/>
      <c r="VKL100" s="142"/>
      <c r="VKM100" s="142"/>
      <c r="VKN100" s="142"/>
      <c r="VKO100" s="142"/>
      <c r="VKP100" s="142"/>
      <c r="VKQ100" s="142"/>
      <c r="VKR100" s="142"/>
      <c r="VKS100" s="142"/>
      <c r="VKT100" s="142"/>
      <c r="VKU100" s="142"/>
      <c r="VKV100" s="142"/>
      <c r="VKW100" s="142"/>
      <c r="VKX100" s="142"/>
      <c r="VKY100" s="142"/>
      <c r="VKZ100" s="142"/>
      <c r="VLA100" s="142"/>
      <c r="VLB100" s="142"/>
      <c r="VLC100" s="142"/>
      <c r="VLD100" s="142"/>
      <c r="VLE100" s="142"/>
      <c r="VLF100" s="142"/>
      <c r="VLG100" s="142"/>
      <c r="VLH100" s="142"/>
      <c r="VLI100" s="142"/>
      <c r="VLJ100" s="142"/>
      <c r="VLK100" s="142"/>
      <c r="VLL100" s="142"/>
      <c r="VLM100" s="142"/>
      <c r="VLN100" s="142"/>
      <c r="VLO100" s="142"/>
      <c r="VLP100" s="142"/>
      <c r="VLQ100" s="142"/>
      <c r="VLR100" s="142"/>
      <c r="VLS100" s="142"/>
      <c r="VLT100" s="142"/>
      <c r="VLU100" s="142"/>
      <c r="VLV100" s="142"/>
      <c r="VLW100" s="142"/>
      <c r="VLX100" s="142"/>
      <c r="VLY100" s="142"/>
      <c r="VLZ100" s="142"/>
      <c r="VMA100" s="142"/>
      <c r="VMB100" s="142"/>
      <c r="VMC100" s="142"/>
      <c r="VMD100" s="142"/>
      <c r="VME100" s="142"/>
      <c r="VMF100" s="142"/>
      <c r="VMG100" s="142"/>
      <c r="VMH100" s="142"/>
      <c r="VMI100" s="142"/>
      <c r="VMJ100" s="142"/>
      <c r="VMK100" s="142"/>
      <c r="VML100" s="142"/>
      <c r="VMM100" s="142"/>
      <c r="VMN100" s="142"/>
      <c r="VMO100" s="142"/>
      <c r="VMP100" s="142"/>
      <c r="VMQ100" s="142"/>
      <c r="VMR100" s="142"/>
      <c r="VMS100" s="142"/>
      <c r="VMT100" s="142"/>
      <c r="VMU100" s="142"/>
      <c r="VMV100" s="142"/>
      <c r="VMW100" s="142"/>
      <c r="VMX100" s="142"/>
      <c r="VMY100" s="142"/>
      <c r="VMZ100" s="142"/>
      <c r="VNA100" s="142"/>
      <c r="VNB100" s="142"/>
      <c r="VNC100" s="142"/>
      <c r="VND100" s="142"/>
      <c r="VNE100" s="142"/>
      <c r="VNF100" s="142"/>
      <c r="VNG100" s="142"/>
      <c r="VNH100" s="142"/>
      <c r="VNI100" s="142"/>
      <c r="VNJ100" s="142"/>
      <c r="VNK100" s="142"/>
      <c r="VNL100" s="142"/>
      <c r="VNM100" s="142"/>
      <c r="VNN100" s="142"/>
      <c r="VNO100" s="142"/>
      <c r="VNP100" s="142"/>
      <c r="VNQ100" s="142"/>
      <c r="VNR100" s="142"/>
      <c r="VNS100" s="142"/>
      <c r="VNT100" s="142"/>
      <c r="VNU100" s="142"/>
      <c r="VNV100" s="142"/>
      <c r="VNW100" s="142"/>
      <c r="VNX100" s="142"/>
      <c r="VNY100" s="142"/>
      <c r="VNZ100" s="142"/>
      <c r="VOA100" s="142"/>
      <c r="VOB100" s="142"/>
      <c r="VOC100" s="142"/>
      <c r="VOD100" s="142"/>
      <c r="VOE100" s="142"/>
      <c r="VOF100" s="142"/>
      <c r="VOG100" s="142"/>
      <c r="VOH100" s="142"/>
      <c r="VOI100" s="142"/>
      <c r="VOJ100" s="142"/>
      <c r="VOK100" s="142"/>
      <c r="VOL100" s="142"/>
      <c r="VOM100" s="142"/>
      <c r="VON100" s="142"/>
      <c r="VOO100" s="142"/>
      <c r="VOP100" s="142"/>
      <c r="VOQ100" s="142"/>
      <c r="VOR100" s="142"/>
      <c r="VOS100" s="142"/>
      <c r="VOT100" s="142"/>
      <c r="VOU100" s="142"/>
      <c r="VOV100" s="142"/>
      <c r="VOW100" s="142"/>
      <c r="VOX100" s="142"/>
      <c r="VOY100" s="142"/>
      <c r="VOZ100" s="142"/>
      <c r="VPA100" s="142"/>
      <c r="VPB100" s="142"/>
      <c r="VPC100" s="142"/>
      <c r="VPD100" s="142"/>
      <c r="VPE100" s="142"/>
      <c r="VPF100" s="142"/>
      <c r="VPG100" s="142"/>
      <c r="VPH100" s="142"/>
      <c r="VPI100" s="142"/>
      <c r="VPJ100" s="142"/>
      <c r="VPK100" s="142"/>
      <c r="VPL100" s="142"/>
      <c r="VPM100" s="142"/>
      <c r="VPN100" s="142"/>
      <c r="VPO100" s="142"/>
      <c r="VPP100" s="142"/>
      <c r="VPQ100" s="142"/>
      <c r="VPR100" s="142"/>
      <c r="VPS100" s="142"/>
      <c r="VPT100" s="142"/>
      <c r="VPU100" s="142"/>
      <c r="VPV100" s="142"/>
      <c r="VPW100" s="142"/>
      <c r="VPX100" s="142"/>
      <c r="VPY100" s="142"/>
      <c r="VPZ100" s="142"/>
      <c r="VQA100" s="142"/>
      <c r="VQB100" s="142"/>
      <c r="VQC100" s="142"/>
      <c r="VQD100" s="142"/>
      <c r="VQE100" s="142"/>
      <c r="VQF100" s="142"/>
      <c r="VQG100" s="142"/>
      <c r="VQH100" s="142"/>
      <c r="VQI100" s="142"/>
      <c r="VQJ100" s="142"/>
      <c r="VQK100" s="142"/>
      <c r="VQL100" s="142"/>
      <c r="VQM100" s="142"/>
      <c r="VQN100" s="142"/>
      <c r="VQO100" s="142"/>
      <c r="VQP100" s="142"/>
      <c r="VQQ100" s="142"/>
      <c r="VQR100" s="142"/>
      <c r="VQS100" s="142"/>
      <c r="VQT100" s="142"/>
      <c r="VQU100" s="142"/>
      <c r="VQV100" s="142"/>
      <c r="VQW100" s="142"/>
      <c r="VQX100" s="142"/>
      <c r="VQY100" s="142"/>
      <c r="VQZ100" s="142"/>
      <c r="VRA100" s="142"/>
      <c r="VRB100" s="142"/>
      <c r="VRC100" s="142"/>
      <c r="VRD100" s="142"/>
      <c r="VRE100" s="142"/>
      <c r="VRF100" s="142"/>
      <c r="VRG100" s="142"/>
      <c r="VRH100" s="142"/>
      <c r="VRI100" s="142"/>
      <c r="VRJ100" s="142"/>
      <c r="VRK100" s="142"/>
      <c r="VRL100" s="142"/>
      <c r="VRM100" s="142"/>
      <c r="VRN100" s="142"/>
      <c r="VRO100" s="142"/>
      <c r="VRP100" s="142"/>
      <c r="VRQ100" s="142"/>
      <c r="VRR100" s="142"/>
      <c r="VRS100" s="142"/>
      <c r="VRT100" s="142"/>
      <c r="VRU100" s="142"/>
      <c r="VRV100" s="142"/>
      <c r="VRW100" s="142"/>
      <c r="VRX100" s="142"/>
      <c r="VRY100" s="142"/>
      <c r="VRZ100" s="142"/>
      <c r="VSA100" s="142"/>
      <c r="VSB100" s="142"/>
      <c r="VSC100" s="142"/>
      <c r="VSD100" s="142"/>
      <c r="VSE100" s="142"/>
      <c r="VSF100" s="142"/>
      <c r="VSG100" s="142"/>
      <c r="VSH100" s="142"/>
      <c r="VSI100" s="142"/>
      <c r="VSJ100" s="142"/>
      <c r="VSK100" s="142"/>
      <c r="VSL100" s="142"/>
      <c r="VSM100" s="142"/>
      <c r="VSN100" s="142"/>
      <c r="VSO100" s="142"/>
      <c r="VSP100" s="142"/>
      <c r="VSQ100" s="142"/>
      <c r="VSR100" s="142"/>
      <c r="VSS100" s="142"/>
      <c r="VST100" s="142"/>
      <c r="VSU100" s="142"/>
      <c r="VSV100" s="142"/>
      <c r="VSW100" s="142"/>
      <c r="VSX100" s="142"/>
      <c r="VSY100" s="142"/>
      <c r="VSZ100" s="142"/>
      <c r="VTA100" s="142"/>
      <c r="VTB100" s="142"/>
      <c r="VTC100" s="142"/>
      <c r="VTD100" s="142"/>
      <c r="VTE100" s="142"/>
      <c r="VTF100" s="142"/>
      <c r="VTG100" s="142"/>
      <c r="VTH100" s="142"/>
      <c r="VTI100" s="142"/>
      <c r="VTJ100" s="142"/>
      <c r="VTK100" s="142"/>
      <c r="VTL100" s="142"/>
      <c r="VTM100" s="142"/>
      <c r="VTN100" s="142"/>
      <c r="VTO100" s="142"/>
      <c r="VTP100" s="142"/>
      <c r="VTQ100" s="142"/>
      <c r="VTR100" s="142"/>
      <c r="VTS100" s="142"/>
      <c r="VTT100" s="142"/>
      <c r="VTU100" s="142"/>
      <c r="VTV100" s="142"/>
      <c r="VTW100" s="142"/>
      <c r="VTX100" s="142"/>
      <c r="VTY100" s="142"/>
      <c r="VTZ100" s="142"/>
      <c r="VUA100" s="142"/>
      <c r="VUB100" s="142"/>
      <c r="VUC100" s="142"/>
      <c r="VUD100" s="142"/>
      <c r="VUE100" s="142"/>
      <c r="VUF100" s="142"/>
      <c r="VUG100" s="142"/>
      <c r="VUH100" s="142"/>
      <c r="VUI100" s="142"/>
      <c r="VUJ100" s="142"/>
      <c r="VUK100" s="142"/>
      <c r="VUL100" s="142"/>
      <c r="VUM100" s="142"/>
      <c r="VUN100" s="142"/>
      <c r="VUO100" s="142"/>
      <c r="VUP100" s="142"/>
      <c r="VUQ100" s="142"/>
      <c r="VUR100" s="142"/>
      <c r="VUS100" s="142"/>
      <c r="VUT100" s="142"/>
      <c r="VUU100" s="142"/>
      <c r="VUV100" s="142"/>
      <c r="VUW100" s="142"/>
      <c r="VUX100" s="142"/>
      <c r="VUY100" s="142"/>
      <c r="VUZ100" s="142"/>
      <c r="VVA100" s="142"/>
      <c r="VVB100" s="142"/>
      <c r="VVC100" s="142"/>
      <c r="VVD100" s="142"/>
      <c r="VVE100" s="142"/>
      <c r="VVF100" s="142"/>
      <c r="VVG100" s="142"/>
      <c r="VVH100" s="142"/>
      <c r="VVI100" s="142"/>
      <c r="VVJ100" s="142"/>
      <c r="VVK100" s="142"/>
      <c r="VVL100" s="142"/>
      <c r="VVM100" s="142"/>
      <c r="VVN100" s="142"/>
      <c r="VVO100" s="142"/>
      <c r="VVP100" s="142"/>
      <c r="VVQ100" s="142"/>
      <c r="VVR100" s="142"/>
      <c r="VVS100" s="142"/>
      <c r="VVT100" s="142"/>
      <c r="VVU100" s="142"/>
      <c r="VVV100" s="142"/>
      <c r="VVW100" s="142"/>
      <c r="VVX100" s="142"/>
      <c r="VVY100" s="142"/>
      <c r="VVZ100" s="142"/>
      <c r="VWA100" s="142"/>
      <c r="VWB100" s="142"/>
      <c r="VWC100" s="142"/>
      <c r="VWD100" s="142"/>
      <c r="VWE100" s="142"/>
      <c r="VWF100" s="142"/>
      <c r="VWG100" s="142"/>
      <c r="VWH100" s="142"/>
      <c r="VWI100" s="142"/>
      <c r="VWJ100" s="142"/>
      <c r="VWK100" s="142"/>
      <c r="VWL100" s="142"/>
      <c r="VWM100" s="142"/>
      <c r="VWN100" s="142"/>
      <c r="VWO100" s="142"/>
      <c r="VWP100" s="142"/>
      <c r="VWQ100" s="142"/>
      <c r="VWR100" s="142"/>
      <c r="VWS100" s="142"/>
      <c r="VWT100" s="142"/>
      <c r="VWU100" s="142"/>
      <c r="VWV100" s="142"/>
      <c r="VWW100" s="142"/>
      <c r="VWX100" s="142"/>
      <c r="VWY100" s="142"/>
      <c r="VWZ100" s="142"/>
      <c r="VXA100" s="142"/>
      <c r="VXB100" s="142"/>
      <c r="VXC100" s="142"/>
      <c r="VXD100" s="142"/>
      <c r="VXE100" s="142"/>
      <c r="VXF100" s="142"/>
      <c r="VXG100" s="142"/>
      <c r="VXH100" s="142"/>
      <c r="VXI100" s="142"/>
      <c r="VXJ100" s="142"/>
      <c r="VXK100" s="142"/>
      <c r="VXL100" s="142"/>
      <c r="VXM100" s="142"/>
      <c r="VXN100" s="142"/>
      <c r="VXO100" s="142"/>
      <c r="VXP100" s="142"/>
      <c r="VXQ100" s="142"/>
      <c r="VXR100" s="142"/>
      <c r="VXS100" s="142"/>
      <c r="VXT100" s="142"/>
      <c r="VXU100" s="142"/>
      <c r="VXV100" s="142"/>
      <c r="VXW100" s="142"/>
      <c r="VXX100" s="142"/>
      <c r="VXY100" s="142"/>
      <c r="VXZ100" s="142"/>
      <c r="VYA100" s="142"/>
      <c r="VYB100" s="142"/>
      <c r="VYC100" s="142"/>
      <c r="VYD100" s="142"/>
      <c r="VYE100" s="142"/>
      <c r="VYF100" s="142"/>
      <c r="VYG100" s="142"/>
      <c r="VYH100" s="142"/>
      <c r="VYI100" s="142"/>
      <c r="VYJ100" s="142"/>
      <c r="VYK100" s="142"/>
      <c r="VYL100" s="142"/>
      <c r="VYM100" s="142"/>
      <c r="VYN100" s="142"/>
      <c r="VYO100" s="142"/>
      <c r="VYP100" s="142"/>
      <c r="VYQ100" s="142"/>
      <c r="VYR100" s="142"/>
      <c r="VYS100" s="142"/>
      <c r="VYT100" s="142"/>
      <c r="VYU100" s="142"/>
      <c r="VYV100" s="142"/>
      <c r="VYW100" s="142"/>
      <c r="VYX100" s="142"/>
      <c r="VYY100" s="142"/>
      <c r="VYZ100" s="142"/>
      <c r="VZA100" s="142"/>
      <c r="VZB100" s="142"/>
      <c r="VZC100" s="142"/>
      <c r="VZD100" s="142"/>
      <c r="VZE100" s="142"/>
      <c r="VZF100" s="142"/>
      <c r="VZG100" s="142"/>
      <c r="VZH100" s="142"/>
      <c r="VZI100" s="142"/>
      <c r="VZJ100" s="142"/>
      <c r="VZK100" s="142"/>
      <c r="VZL100" s="142"/>
      <c r="VZM100" s="142"/>
      <c r="VZN100" s="142"/>
      <c r="VZO100" s="142"/>
      <c r="VZP100" s="142"/>
      <c r="VZQ100" s="142"/>
      <c r="VZR100" s="142"/>
      <c r="VZS100" s="142"/>
      <c r="VZT100" s="142"/>
      <c r="VZU100" s="142"/>
      <c r="VZV100" s="142"/>
      <c r="VZW100" s="142"/>
      <c r="VZX100" s="142"/>
      <c r="VZY100" s="142"/>
      <c r="VZZ100" s="142"/>
      <c r="WAA100" s="142"/>
      <c r="WAB100" s="142"/>
      <c r="WAC100" s="142"/>
      <c r="WAD100" s="142"/>
      <c r="WAE100" s="142"/>
      <c r="WAF100" s="142"/>
      <c r="WAG100" s="142"/>
      <c r="WAH100" s="142"/>
      <c r="WAI100" s="142"/>
      <c r="WAJ100" s="142"/>
      <c r="WAK100" s="142"/>
      <c r="WAL100" s="142"/>
      <c r="WAM100" s="142"/>
      <c r="WAN100" s="142"/>
      <c r="WAO100" s="142"/>
      <c r="WAP100" s="142"/>
      <c r="WAQ100" s="142"/>
      <c r="WAR100" s="142"/>
      <c r="WAS100" s="142"/>
      <c r="WAT100" s="142"/>
      <c r="WAU100" s="142"/>
      <c r="WAV100" s="142"/>
      <c r="WAW100" s="142"/>
      <c r="WAX100" s="142"/>
      <c r="WAY100" s="142"/>
      <c r="WAZ100" s="142"/>
      <c r="WBA100" s="142"/>
      <c r="WBB100" s="142"/>
      <c r="WBC100" s="142"/>
      <c r="WBD100" s="142"/>
      <c r="WBE100" s="142"/>
      <c r="WBF100" s="142"/>
      <c r="WBG100" s="142"/>
      <c r="WBH100" s="142"/>
      <c r="WBI100" s="142"/>
      <c r="WBJ100" s="142"/>
      <c r="WBK100" s="142"/>
      <c r="WBL100" s="142"/>
      <c r="WBM100" s="142"/>
      <c r="WBN100" s="142"/>
      <c r="WBO100" s="142"/>
      <c r="WBP100" s="142"/>
      <c r="WBQ100" s="142"/>
      <c r="WBR100" s="142"/>
      <c r="WBS100" s="142"/>
      <c r="WBT100" s="142"/>
      <c r="WBU100" s="142"/>
      <c r="WBV100" s="142"/>
      <c r="WBW100" s="142"/>
      <c r="WBX100" s="142"/>
      <c r="WBY100" s="142"/>
      <c r="WBZ100" s="142"/>
      <c r="WCA100" s="142"/>
      <c r="WCB100" s="142"/>
      <c r="WCC100" s="142"/>
      <c r="WCD100" s="142"/>
      <c r="WCE100" s="142"/>
      <c r="WCF100" s="142"/>
      <c r="WCG100" s="142"/>
      <c r="WCH100" s="142"/>
      <c r="WCI100" s="142"/>
      <c r="WCJ100" s="142"/>
      <c r="WCK100" s="142"/>
      <c r="WCL100" s="142"/>
      <c r="WCM100" s="142"/>
      <c r="WCN100" s="142"/>
      <c r="WCO100" s="142"/>
      <c r="WCP100" s="142"/>
      <c r="WCQ100" s="142"/>
      <c r="WCR100" s="142"/>
      <c r="WCS100" s="142"/>
      <c r="WCT100" s="142"/>
      <c r="WCU100" s="142"/>
      <c r="WCV100" s="142"/>
      <c r="WCW100" s="142"/>
      <c r="WCX100" s="142"/>
      <c r="WCY100" s="142"/>
      <c r="WCZ100" s="142"/>
      <c r="WDA100" s="142"/>
      <c r="WDB100" s="142"/>
      <c r="WDC100" s="142"/>
      <c r="WDD100" s="142"/>
      <c r="WDE100" s="142"/>
      <c r="WDF100" s="142"/>
      <c r="WDG100" s="142"/>
      <c r="WDH100" s="142"/>
      <c r="WDI100" s="142"/>
      <c r="WDJ100" s="142"/>
      <c r="WDK100" s="142"/>
      <c r="WDL100" s="142"/>
      <c r="WDM100" s="142"/>
      <c r="WDN100" s="142"/>
      <c r="WDO100" s="142"/>
      <c r="WDP100" s="142"/>
      <c r="WDQ100" s="142"/>
      <c r="WDR100" s="142"/>
      <c r="WDS100" s="142"/>
      <c r="WDT100" s="142"/>
      <c r="WDU100" s="142"/>
      <c r="WDV100" s="142"/>
      <c r="WDW100" s="142"/>
      <c r="WDX100" s="142"/>
      <c r="WDY100" s="142"/>
      <c r="WDZ100" s="142"/>
      <c r="WEA100" s="142"/>
      <c r="WEB100" s="142"/>
      <c r="WEC100" s="142"/>
      <c r="WED100" s="142"/>
      <c r="WEE100" s="142"/>
      <c r="WEF100" s="142"/>
      <c r="WEG100" s="142"/>
      <c r="WEH100" s="142"/>
      <c r="WEI100" s="142"/>
      <c r="WEJ100" s="142"/>
      <c r="WEK100" s="142"/>
      <c r="WEL100" s="142"/>
      <c r="WEM100" s="142"/>
      <c r="WEN100" s="142"/>
      <c r="WEO100" s="142"/>
      <c r="WEP100" s="142"/>
      <c r="WEQ100" s="142"/>
      <c r="WER100" s="142"/>
      <c r="WES100" s="142"/>
      <c r="WET100" s="142"/>
      <c r="WEU100" s="142"/>
      <c r="WEV100" s="142"/>
      <c r="WEW100" s="142"/>
      <c r="WEX100" s="142"/>
      <c r="WEY100" s="142"/>
      <c r="WEZ100" s="142"/>
      <c r="WFA100" s="142"/>
      <c r="WFB100" s="142"/>
      <c r="WFC100" s="142"/>
      <c r="WFD100" s="142"/>
      <c r="WFE100" s="142"/>
      <c r="WFF100" s="142"/>
      <c r="WFG100" s="142"/>
      <c r="WFH100" s="142"/>
      <c r="WFI100" s="142"/>
      <c r="WFJ100" s="142"/>
      <c r="WFK100" s="142"/>
      <c r="WFL100" s="142"/>
      <c r="WFM100" s="142"/>
      <c r="WFN100" s="142"/>
      <c r="WFO100" s="142"/>
      <c r="WFP100" s="142"/>
      <c r="WFQ100" s="142"/>
      <c r="WFR100" s="142"/>
      <c r="WFS100" s="142"/>
      <c r="WFT100" s="142"/>
      <c r="WFU100" s="142"/>
      <c r="WFV100" s="142"/>
      <c r="WFW100" s="142"/>
      <c r="WFX100" s="142"/>
      <c r="WFY100" s="142"/>
      <c r="WFZ100" s="142"/>
      <c r="WGA100" s="142"/>
      <c r="WGB100" s="142"/>
      <c r="WGC100" s="142"/>
      <c r="WGD100" s="142"/>
      <c r="WGE100" s="142"/>
      <c r="WGF100" s="142"/>
      <c r="WGG100" s="142"/>
      <c r="WGH100" s="142"/>
      <c r="WGI100" s="142"/>
      <c r="WGJ100" s="142"/>
      <c r="WGK100" s="142"/>
      <c r="WGL100" s="142"/>
      <c r="WGM100" s="142"/>
      <c r="WGN100" s="142"/>
      <c r="WGO100" s="142"/>
      <c r="WGP100" s="142"/>
      <c r="WGQ100" s="142"/>
      <c r="WGR100" s="142"/>
      <c r="WGS100" s="142"/>
      <c r="WGT100" s="142"/>
      <c r="WGU100" s="142"/>
      <c r="WGV100" s="142"/>
      <c r="WGW100" s="142"/>
      <c r="WGX100" s="142"/>
      <c r="WGY100" s="142"/>
      <c r="WGZ100" s="142"/>
      <c r="WHA100" s="142"/>
      <c r="WHB100" s="142"/>
      <c r="WHC100" s="142"/>
      <c r="WHD100" s="142"/>
      <c r="WHE100" s="142"/>
      <c r="WHF100" s="142"/>
      <c r="WHG100" s="142"/>
      <c r="WHH100" s="142"/>
      <c r="WHI100" s="142"/>
      <c r="WHJ100" s="142"/>
      <c r="WHK100" s="142"/>
      <c r="WHL100" s="142"/>
      <c r="WHM100" s="142"/>
      <c r="WHN100" s="142"/>
      <c r="WHO100" s="142"/>
      <c r="WHP100" s="142"/>
      <c r="WHQ100" s="142"/>
      <c r="WHR100" s="142"/>
      <c r="WHS100" s="142"/>
      <c r="WHT100" s="142"/>
      <c r="WHU100" s="142"/>
      <c r="WHV100" s="142"/>
      <c r="WHW100" s="142"/>
      <c r="WHX100" s="142"/>
      <c r="WHY100" s="142"/>
      <c r="WHZ100" s="142"/>
      <c r="WIA100" s="142"/>
      <c r="WIB100" s="142"/>
      <c r="WIC100" s="142"/>
      <c r="WID100" s="142"/>
      <c r="WIE100" s="142"/>
      <c r="WIF100" s="142"/>
      <c r="WIG100" s="142"/>
      <c r="WIH100" s="142"/>
      <c r="WII100" s="142"/>
      <c r="WIJ100" s="142"/>
      <c r="WIK100" s="142"/>
      <c r="WIL100" s="142"/>
      <c r="WIM100" s="142"/>
      <c r="WIN100" s="142"/>
      <c r="WIO100" s="142"/>
      <c r="WIP100" s="142"/>
      <c r="WIQ100" s="142"/>
      <c r="WIR100" s="142"/>
      <c r="WIS100" s="142"/>
      <c r="WIT100" s="142"/>
      <c r="WIU100" s="142"/>
      <c r="WIV100" s="142"/>
      <c r="WIW100" s="142"/>
      <c r="WIX100" s="142"/>
      <c r="WIY100" s="142"/>
      <c r="WIZ100" s="142"/>
      <c r="WJA100" s="142"/>
      <c r="WJB100" s="142"/>
      <c r="WJC100" s="142"/>
      <c r="WJD100" s="142"/>
      <c r="WJE100" s="142"/>
      <c r="WJF100" s="142"/>
      <c r="WJG100" s="142"/>
      <c r="WJH100" s="142"/>
      <c r="WJI100" s="142"/>
      <c r="WJJ100" s="142"/>
      <c r="WJK100" s="142"/>
      <c r="WJL100" s="142"/>
      <c r="WJM100" s="142"/>
      <c r="WJN100" s="142"/>
      <c r="WJO100" s="142"/>
      <c r="WJP100" s="142"/>
      <c r="WJQ100" s="142"/>
      <c r="WJR100" s="142"/>
      <c r="WJS100" s="142"/>
      <c r="WJT100" s="142"/>
      <c r="WJU100" s="142"/>
      <c r="WJV100" s="142"/>
      <c r="WJW100" s="142"/>
      <c r="WJX100" s="142"/>
      <c r="WJY100" s="142"/>
      <c r="WJZ100" s="142"/>
      <c r="WKA100" s="142"/>
      <c r="WKB100" s="142"/>
      <c r="WKC100" s="142"/>
      <c r="WKD100" s="142"/>
      <c r="WKE100" s="142"/>
      <c r="WKF100" s="142"/>
      <c r="WKG100" s="142"/>
      <c r="WKH100" s="142"/>
      <c r="WKI100" s="142"/>
      <c r="WKJ100" s="142"/>
      <c r="WKK100" s="142"/>
      <c r="WKL100" s="142"/>
      <c r="WKM100" s="142"/>
      <c r="WKN100" s="142"/>
      <c r="WKO100" s="142"/>
      <c r="WKP100" s="142"/>
      <c r="WKQ100" s="142"/>
      <c r="WKR100" s="142"/>
      <c r="WKS100" s="142"/>
      <c r="WKT100" s="142"/>
      <c r="WKU100" s="142"/>
      <c r="WKV100" s="142"/>
      <c r="WKW100" s="142"/>
      <c r="WKX100" s="142"/>
      <c r="WKY100" s="142"/>
      <c r="WKZ100" s="142"/>
      <c r="WLA100" s="142"/>
      <c r="WLB100" s="142"/>
      <c r="WLC100" s="142"/>
      <c r="WLD100" s="142"/>
      <c r="WLE100" s="142"/>
      <c r="WLF100" s="142"/>
      <c r="WLG100" s="142"/>
      <c r="WLH100" s="142"/>
      <c r="WLI100" s="142"/>
      <c r="WLJ100" s="142"/>
      <c r="WLK100" s="142"/>
      <c r="WLL100" s="142"/>
      <c r="WLM100" s="142"/>
      <c r="WLN100" s="142"/>
      <c r="WLO100" s="142"/>
      <c r="WLP100" s="142"/>
      <c r="WLQ100" s="142"/>
      <c r="WLR100" s="142"/>
      <c r="WLS100" s="142"/>
      <c r="WLT100" s="142"/>
      <c r="WLU100" s="142"/>
      <c r="WLV100" s="142"/>
      <c r="WLW100" s="142"/>
      <c r="WLX100" s="142"/>
      <c r="WLY100" s="142"/>
      <c r="WLZ100" s="142"/>
      <c r="WMA100" s="142"/>
      <c r="WMB100" s="142"/>
      <c r="WMC100" s="142"/>
      <c r="WMD100" s="142"/>
      <c r="WME100" s="142"/>
      <c r="WMF100" s="142"/>
      <c r="WMG100" s="142"/>
      <c r="WMH100" s="142"/>
      <c r="WMI100" s="142"/>
      <c r="WMJ100" s="142"/>
      <c r="WMK100" s="142"/>
      <c r="WML100" s="142"/>
      <c r="WMM100" s="142"/>
      <c r="WMN100" s="142"/>
      <c r="WMO100" s="142"/>
      <c r="WMP100" s="142"/>
      <c r="WMQ100" s="142"/>
      <c r="WMR100" s="142"/>
      <c r="WMS100" s="142"/>
      <c r="WMT100" s="142"/>
      <c r="WMU100" s="142"/>
      <c r="WMV100" s="142"/>
      <c r="WMW100" s="142"/>
      <c r="WMX100" s="142"/>
      <c r="WMY100" s="142"/>
      <c r="WMZ100" s="142"/>
      <c r="WNA100" s="142"/>
      <c r="WNB100" s="142"/>
      <c r="WNC100" s="142"/>
      <c r="WND100" s="142"/>
      <c r="WNE100" s="142"/>
      <c r="WNF100" s="142"/>
      <c r="WNG100" s="142"/>
      <c r="WNH100" s="142"/>
      <c r="WNI100" s="142"/>
      <c r="WNJ100" s="142"/>
      <c r="WNK100" s="142"/>
      <c r="WNL100" s="142"/>
      <c r="WNM100" s="142"/>
      <c r="WNN100" s="142"/>
      <c r="WNO100" s="142"/>
      <c r="WNP100" s="142"/>
      <c r="WNQ100" s="142"/>
      <c r="WNR100" s="142"/>
      <c r="WNS100" s="142"/>
      <c r="WNT100" s="142"/>
      <c r="WNU100" s="142"/>
      <c r="WNV100" s="142"/>
      <c r="WNW100" s="142"/>
      <c r="WNX100" s="142"/>
      <c r="WNY100" s="142"/>
      <c r="WNZ100" s="142"/>
      <c r="WOA100" s="142"/>
      <c r="WOB100" s="142"/>
      <c r="WOC100" s="142"/>
      <c r="WOD100" s="142"/>
      <c r="WOE100" s="142"/>
      <c r="WOF100" s="142"/>
      <c r="WOG100" s="142"/>
      <c r="WOH100" s="142"/>
      <c r="WOI100" s="142"/>
      <c r="WOJ100" s="142"/>
      <c r="WOK100" s="142"/>
      <c r="WOL100" s="142"/>
      <c r="WOM100" s="142"/>
      <c r="WON100" s="142"/>
      <c r="WOO100" s="142"/>
      <c r="WOP100" s="142"/>
      <c r="WOQ100" s="142"/>
      <c r="WOR100" s="142"/>
      <c r="WOS100" s="142"/>
      <c r="WOT100" s="142"/>
      <c r="WOU100" s="142"/>
      <c r="WOV100" s="142"/>
      <c r="WOW100" s="142"/>
      <c r="WOX100" s="142"/>
      <c r="WOY100" s="142"/>
      <c r="WOZ100" s="142"/>
      <c r="WPA100" s="142"/>
      <c r="WPB100" s="142"/>
      <c r="WPC100" s="142"/>
      <c r="WPD100" s="142"/>
      <c r="WPE100" s="142"/>
      <c r="WPF100" s="142"/>
      <c r="WPG100" s="142"/>
      <c r="WPH100" s="142"/>
      <c r="WPI100" s="142"/>
      <c r="WPJ100" s="142"/>
      <c r="WPK100" s="142"/>
      <c r="WPL100" s="142"/>
      <c r="WPM100" s="142"/>
      <c r="WPN100" s="142"/>
      <c r="WPO100" s="142"/>
      <c r="WPP100" s="142"/>
      <c r="WPQ100" s="142"/>
      <c r="WPR100" s="142"/>
      <c r="WPS100" s="142"/>
      <c r="WPT100" s="142"/>
      <c r="WPU100" s="142"/>
      <c r="WPV100" s="142"/>
      <c r="WPW100" s="142"/>
      <c r="WPX100" s="142"/>
      <c r="WPY100" s="142"/>
      <c r="WPZ100" s="142"/>
      <c r="WQA100" s="142"/>
      <c r="WQB100" s="142"/>
      <c r="WQC100" s="142"/>
      <c r="WQD100" s="142"/>
      <c r="WQE100" s="142"/>
      <c r="WQF100" s="142"/>
      <c r="WQG100" s="142"/>
      <c r="WQH100" s="142"/>
      <c r="WQI100" s="142"/>
      <c r="WQJ100" s="142"/>
      <c r="WQK100" s="142"/>
      <c r="WQL100" s="142"/>
      <c r="WQM100" s="142"/>
      <c r="WQN100" s="142"/>
      <c r="WQO100" s="142"/>
      <c r="WQP100" s="142"/>
      <c r="WQQ100" s="142"/>
      <c r="WQR100" s="142"/>
      <c r="WQS100" s="142"/>
      <c r="WQT100" s="142"/>
      <c r="WQU100" s="142"/>
      <c r="WQV100" s="142"/>
      <c r="WQW100" s="142"/>
      <c r="WQX100" s="142"/>
      <c r="WQY100" s="142"/>
      <c r="WQZ100" s="142"/>
      <c r="WRA100" s="142"/>
      <c r="WRB100" s="142"/>
      <c r="WRC100" s="142"/>
      <c r="WRD100" s="142"/>
      <c r="WRE100" s="142"/>
      <c r="WRF100" s="142"/>
      <c r="WRG100" s="142"/>
      <c r="WRH100" s="142"/>
      <c r="WRI100" s="142"/>
      <c r="WRJ100" s="142"/>
      <c r="WRK100" s="142"/>
      <c r="WRL100" s="142"/>
      <c r="WRM100" s="142"/>
      <c r="WRN100" s="142"/>
      <c r="WRO100" s="142"/>
      <c r="WRP100" s="142"/>
      <c r="WRQ100" s="142"/>
      <c r="WRR100" s="142"/>
      <c r="WRS100" s="142"/>
      <c r="WRT100" s="142"/>
      <c r="WRU100" s="142"/>
      <c r="WRV100" s="142"/>
      <c r="WRW100" s="142"/>
      <c r="WRX100" s="142"/>
      <c r="WRY100" s="142"/>
      <c r="WRZ100" s="142"/>
      <c r="WSA100" s="142"/>
      <c r="WSB100" s="142"/>
      <c r="WSC100" s="142"/>
      <c r="WSD100" s="142"/>
      <c r="WSE100" s="142"/>
      <c r="WSF100" s="142"/>
      <c r="WSG100" s="142"/>
      <c r="WSH100" s="142"/>
      <c r="WSI100" s="142"/>
      <c r="WSJ100" s="142"/>
      <c r="WSK100" s="142"/>
      <c r="WSL100" s="142"/>
      <c r="WSM100" s="142"/>
      <c r="WSN100" s="142"/>
      <c r="WSO100" s="142"/>
      <c r="WSP100" s="142"/>
      <c r="WSQ100" s="142"/>
      <c r="WSR100" s="142"/>
      <c r="WSS100" s="142"/>
      <c r="WST100" s="142"/>
      <c r="WSU100" s="142"/>
      <c r="WSV100" s="142"/>
      <c r="WSW100" s="142"/>
      <c r="WSX100" s="142"/>
      <c r="WSY100" s="142"/>
      <c r="WSZ100" s="142"/>
      <c r="WTA100" s="142"/>
      <c r="WTB100" s="142"/>
      <c r="WTC100" s="142"/>
      <c r="WTD100" s="142"/>
      <c r="WTE100" s="142"/>
      <c r="WTF100" s="142"/>
      <c r="WTG100" s="142"/>
      <c r="WTH100" s="142"/>
      <c r="WTI100" s="142"/>
      <c r="WTJ100" s="142"/>
      <c r="WTK100" s="142"/>
      <c r="WTL100" s="142"/>
      <c r="WTM100" s="142"/>
      <c r="WTN100" s="142"/>
      <c r="WTO100" s="142"/>
      <c r="WTP100" s="142"/>
      <c r="WTQ100" s="142"/>
      <c r="WTR100" s="142"/>
      <c r="WTS100" s="142"/>
      <c r="WTT100" s="142"/>
      <c r="WTU100" s="142"/>
      <c r="WTV100" s="142"/>
      <c r="WTW100" s="142"/>
      <c r="WTX100" s="142"/>
      <c r="WTY100" s="142"/>
      <c r="WTZ100" s="142"/>
      <c r="WUA100" s="142"/>
      <c r="WUB100" s="142"/>
      <c r="WUC100" s="142"/>
      <c r="WUD100" s="142"/>
      <c r="WUE100" s="142"/>
      <c r="WUF100" s="142"/>
      <c r="WUG100" s="142"/>
      <c r="WUH100" s="142"/>
      <c r="WUI100" s="142"/>
      <c r="WUJ100" s="142"/>
      <c r="WUK100" s="142"/>
      <c r="WUL100" s="142"/>
      <c r="WUM100" s="142"/>
      <c r="WUN100" s="142"/>
      <c r="WUO100" s="142"/>
      <c r="WUP100" s="142"/>
      <c r="WUQ100" s="142"/>
      <c r="WUR100" s="142"/>
      <c r="WUS100" s="142"/>
      <c r="WUT100" s="142"/>
      <c r="WUU100" s="142"/>
      <c r="WUV100" s="142"/>
      <c r="WUW100" s="142"/>
      <c r="WUX100" s="142"/>
      <c r="WUY100" s="142"/>
      <c r="WUZ100" s="142"/>
      <c r="WVA100" s="142"/>
      <c r="WVB100" s="142"/>
      <c r="WVC100" s="142"/>
      <c r="WVD100" s="142"/>
      <c r="WVE100" s="142"/>
      <c r="WVF100" s="142"/>
      <c r="WVG100" s="142"/>
      <c r="WVH100" s="142"/>
      <c r="WVI100" s="142"/>
      <c r="WVJ100" s="142"/>
      <c r="WVK100" s="142"/>
      <c r="WVL100" s="142"/>
      <c r="WVM100" s="142"/>
      <c r="WVN100" s="142"/>
      <c r="WVO100" s="142"/>
      <c r="WVP100" s="142"/>
      <c r="WVQ100" s="142"/>
      <c r="WVR100" s="142"/>
      <c r="WVS100" s="142"/>
      <c r="WVT100" s="142"/>
      <c r="WVU100" s="142"/>
      <c r="WVV100" s="142"/>
      <c r="WVW100" s="142"/>
      <c r="WVX100" s="142"/>
      <c r="WVY100" s="142"/>
      <c r="WVZ100" s="142"/>
      <c r="WWA100" s="142"/>
      <c r="WWB100" s="142"/>
      <c r="WWC100" s="142"/>
      <c r="WWD100" s="142"/>
      <c r="WWE100" s="142"/>
      <c r="WWF100" s="142"/>
      <c r="WWG100" s="142"/>
      <c r="WWH100" s="142"/>
      <c r="WWI100" s="142"/>
      <c r="WWJ100" s="142"/>
      <c r="WWK100" s="142"/>
      <c r="WWL100" s="142"/>
      <c r="WWM100" s="142"/>
      <c r="WWN100" s="142"/>
      <c r="WWO100" s="142"/>
      <c r="WWP100" s="142"/>
      <c r="WWQ100" s="142"/>
      <c r="WWR100" s="142"/>
      <c r="WWS100" s="142"/>
      <c r="WWT100" s="142"/>
      <c r="WWU100" s="142"/>
      <c r="WWV100" s="142"/>
      <c r="WWW100" s="142"/>
      <c r="WWX100" s="142"/>
      <c r="WWY100" s="142"/>
      <c r="WWZ100" s="142"/>
      <c r="WXA100" s="142"/>
      <c r="WXB100" s="142"/>
      <c r="WXC100" s="142"/>
      <c r="WXD100" s="142"/>
      <c r="WXE100" s="142"/>
      <c r="WXF100" s="142"/>
      <c r="WXG100" s="142"/>
      <c r="WXH100" s="142"/>
      <c r="WXI100" s="142"/>
      <c r="WXJ100" s="142"/>
      <c r="WXK100" s="142"/>
      <c r="WXL100" s="142"/>
      <c r="WXM100" s="142"/>
      <c r="WXN100" s="142"/>
      <c r="WXO100" s="142"/>
      <c r="WXP100" s="142"/>
      <c r="WXQ100" s="142"/>
      <c r="WXR100" s="142"/>
      <c r="WXS100" s="142"/>
      <c r="WXT100" s="142"/>
      <c r="WXU100" s="142"/>
      <c r="WXV100" s="142"/>
      <c r="WXW100" s="142"/>
      <c r="WXX100" s="142"/>
      <c r="WXY100" s="142"/>
      <c r="WXZ100" s="142"/>
      <c r="WYA100" s="142"/>
      <c r="WYB100" s="142"/>
      <c r="WYC100" s="142"/>
      <c r="WYD100" s="142"/>
      <c r="WYE100" s="142"/>
      <c r="WYF100" s="142"/>
      <c r="WYG100" s="142"/>
      <c r="WYH100" s="142"/>
      <c r="WYI100" s="142"/>
      <c r="WYJ100" s="142"/>
      <c r="WYK100" s="142"/>
      <c r="WYL100" s="142"/>
      <c r="WYM100" s="142"/>
      <c r="WYN100" s="142"/>
      <c r="WYO100" s="142"/>
      <c r="WYP100" s="142"/>
      <c r="WYQ100" s="142"/>
      <c r="WYR100" s="142"/>
      <c r="WYS100" s="142"/>
      <c r="WYT100" s="142"/>
      <c r="WYU100" s="142"/>
      <c r="WYV100" s="142"/>
      <c r="WYW100" s="142"/>
      <c r="WYX100" s="142"/>
      <c r="WYY100" s="142"/>
      <c r="WYZ100" s="142"/>
      <c r="WZA100" s="142"/>
      <c r="WZB100" s="142"/>
      <c r="WZC100" s="142"/>
      <c r="WZD100" s="142"/>
      <c r="WZE100" s="142"/>
      <c r="WZF100" s="142"/>
      <c r="WZG100" s="142"/>
      <c r="WZH100" s="142"/>
      <c r="WZI100" s="142"/>
      <c r="WZJ100" s="142"/>
      <c r="WZK100" s="142"/>
      <c r="WZL100" s="142"/>
      <c r="WZM100" s="142"/>
      <c r="WZN100" s="142"/>
      <c r="WZO100" s="142"/>
      <c r="WZP100" s="142"/>
      <c r="WZQ100" s="142"/>
      <c r="WZR100" s="142"/>
      <c r="WZS100" s="142"/>
      <c r="WZT100" s="142"/>
      <c r="WZU100" s="142"/>
      <c r="WZV100" s="142"/>
      <c r="WZW100" s="142"/>
      <c r="WZX100" s="142"/>
      <c r="WZY100" s="142"/>
      <c r="WZZ100" s="142"/>
      <c r="XAA100" s="142"/>
      <c r="XAB100" s="142"/>
      <c r="XAC100" s="142"/>
      <c r="XAD100" s="142"/>
      <c r="XAE100" s="142"/>
      <c r="XAF100" s="142"/>
      <c r="XAG100" s="142"/>
      <c r="XAH100" s="142"/>
      <c r="XAI100" s="142"/>
      <c r="XAJ100" s="142"/>
      <c r="XAK100" s="142"/>
      <c r="XAL100" s="142"/>
      <c r="XAM100" s="142"/>
      <c r="XAN100" s="142"/>
      <c r="XAO100" s="142"/>
      <c r="XAP100" s="142"/>
      <c r="XAQ100" s="142"/>
      <c r="XAR100" s="142"/>
      <c r="XAS100" s="142"/>
      <c r="XAT100" s="142"/>
      <c r="XAU100" s="142"/>
      <c r="XAV100" s="142"/>
      <c r="XAW100" s="142"/>
      <c r="XAX100" s="142"/>
      <c r="XAY100" s="142"/>
      <c r="XAZ100" s="142"/>
      <c r="XBA100" s="142"/>
      <c r="XBB100" s="142"/>
      <c r="XBC100" s="142"/>
      <c r="XBD100" s="142"/>
      <c r="XBE100" s="142"/>
      <c r="XBF100" s="142"/>
      <c r="XBG100" s="142"/>
      <c r="XBH100" s="142"/>
      <c r="XBI100" s="142"/>
      <c r="XBJ100" s="142"/>
      <c r="XBK100" s="142"/>
      <c r="XBL100" s="142"/>
      <c r="XBM100" s="142"/>
      <c r="XBN100" s="142"/>
      <c r="XBO100" s="142"/>
      <c r="XBP100" s="142"/>
      <c r="XBQ100" s="142"/>
      <c r="XBR100" s="142"/>
      <c r="XBS100" s="142"/>
      <c r="XBT100" s="142"/>
      <c r="XBU100" s="142"/>
      <c r="XBV100" s="142"/>
      <c r="XBW100" s="142"/>
      <c r="XBX100" s="142"/>
      <c r="XBY100" s="142"/>
      <c r="XBZ100" s="142"/>
      <c r="XCA100" s="142"/>
      <c r="XCB100" s="142"/>
      <c r="XCC100" s="142"/>
      <c r="XCD100" s="142"/>
      <c r="XCE100" s="142"/>
      <c r="XCF100" s="142"/>
      <c r="XCG100" s="142"/>
      <c r="XCH100" s="142"/>
      <c r="XCI100" s="142"/>
      <c r="XCJ100" s="142"/>
      <c r="XCK100" s="142"/>
      <c r="XCL100" s="142"/>
      <c r="XCM100" s="142"/>
      <c r="XCN100" s="142"/>
      <c r="XCO100" s="142"/>
      <c r="XCP100" s="142"/>
      <c r="XCQ100" s="142"/>
      <c r="XCR100" s="142"/>
      <c r="XCS100" s="142"/>
      <c r="XCT100" s="142"/>
      <c r="XCU100" s="142"/>
      <c r="XCV100" s="142"/>
      <c r="XCW100" s="142"/>
      <c r="XCX100" s="142"/>
      <c r="XCY100" s="142"/>
      <c r="XCZ100" s="142"/>
      <c r="XDA100" s="142"/>
      <c r="XDB100" s="142"/>
      <c r="XDC100" s="142"/>
      <c r="XDD100" s="142"/>
      <c r="XDE100" s="142"/>
      <c r="XDF100" s="142"/>
      <c r="XDG100" s="142"/>
      <c r="XDH100" s="142"/>
      <c r="XDI100" s="142"/>
      <c r="XDJ100" s="142"/>
      <c r="XDK100" s="142"/>
      <c r="XDL100" s="142"/>
      <c r="XDM100" s="142"/>
      <c r="XDN100" s="142"/>
      <c r="XDO100" s="142"/>
      <c r="XDP100" s="142"/>
      <c r="XDQ100" s="142"/>
      <c r="XDR100" s="142"/>
      <c r="XDS100" s="142"/>
      <c r="XDT100" s="142"/>
      <c r="XDU100" s="142"/>
      <c r="XDV100" s="142"/>
      <c r="XDW100" s="142"/>
      <c r="XDX100" s="142"/>
      <c r="XDY100" s="142"/>
      <c r="XDZ100" s="142"/>
      <c r="XEA100" s="142"/>
      <c r="XEB100" s="142"/>
      <c r="XEC100" s="142"/>
      <c r="XED100" s="142"/>
      <c r="XEE100" s="142"/>
      <c r="XEF100" s="142"/>
      <c r="XEG100" s="142"/>
      <c r="XEH100" s="142"/>
      <c r="XEI100" s="142"/>
      <c r="XEJ100" s="142"/>
      <c r="XEK100" s="142"/>
      <c r="XEL100" s="142"/>
      <c r="XEM100" s="142"/>
      <c r="XEN100" s="142"/>
      <c r="XEO100" s="142"/>
      <c r="XEP100" s="142"/>
      <c r="XEQ100" s="142"/>
    </row>
    <row r="101" spans="1:16378" ht="49.5" hidden="1" customHeight="1" x14ac:dyDescent="0.25">
      <c r="A101" s="472">
        <v>2026</v>
      </c>
      <c r="B101" s="472">
        <v>479</v>
      </c>
      <c r="C101" s="472" t="s">
        <v>64</v>
      </c>
      <c r="D101" s="472" t="s">
        <v>65</v>
      </c>
      <c r="E101" s="472">
        <v>125</v>
      </c>
      <c r="F101" s="472">
        <v>3000654</v>
      </c>
      <c r="G101" s="472">
        <v>5005023</v>
      </c>
      <c r="H101" s="472">
        <v>3</v>
      </c>
      <c r="I101" s="472">
        <v>12</v>
      </c>
      <c r="J101" s="472">
        <v>24</v>
      </c>
      <c r="K101" s="472">
        <v>135560</v>
      </c>
      <c r="L101" s="472" t="s">
        <v>66</v>
      </c>
      <c r="M101" s="124" t="s">
        <v>67</v>
      </c>
      <c r="N101" s="472">
        <v>95</v>
      </c>
      <c r="O101" s="474"/>
      <c r="P101" s="474" t="s">
        <v>4</v>
      </c>
      <c r="Q101" s="472" t="s">
        <v>68</v>
      </c>
      <c r="R101" s="475" t="s">
        <v>69</v>
      </c>
      <c r="S101" s="475" t="s">
        <v>137</v>
      </c>
      <c r="T101" s="475"/>
      <c r="U101" s="124" t="s">
        <v>182</v>
      </c>
      <c r="V101" s="475" t="s">
        <v>3</v>
      </c>
      <c r="W101" s="121">
        <v>1</v>
      </c>
      <c r="X101" s="476">
        <v>5000</v>
      </c>
      <c r="Y101" s="474"/>
      <c r="Z101" s="474"/>
      <c r="AA101" s="474"/>
      <c r="AB101" s="474"/>
      <c r="AC101" s="475">
        <v>30</v>
      </c>
      <c r="AD101" s="475">
        <v>30</v>
      </c>
      <c r="AE101" s="474"/>
      <c r="AF101" s="474"/>
      <c r="AG101" s="474"/>
      <c r="AH101" s="474"/>
      <c r="AI101" s="474"/>
      <c r="AJ101" s="474"/>
      <c r="AK101" s="477">
        <v>10000</v>
      </c>
      <c r="AL101" s="472" t="s">
        <v>73</v>
      </c>
      <c r="AM101" s="472" t="s">
        <v>73</v>
      </c>
      <c r="AN101" s="472" t="s">
        <v>73</v>
      </c>
      <c r="AO101" s="472" t="s">
        <v>73</v>
      </c>
      <c r="AP101" s="478">
        <v>5000</v>
      </c>
      <c r="AQ101" s="478">
        <v>5000</v>
      </c>
      <c r="AR101" s="472"/>
      <c r="AS101" s="472"/>
      <c r="AT101" s="472"/>
      <c r="AU101" s="472"/>
      <c r="AV101" s="472"/>
      <c r="AW101" s="472"/>
      <c r="AX101" s="30">
        <v>10000</v>
      </c>
      <c r="AY101" s="479" t="s">
        <v>7</v>
      </c>
      <c r="AZ101" s="474" t="s">
        <v>74</v>
      </c>
      <c r="BA101" s="474"/>
      <c r="BB101" s="480"/>
      <c r="BC101" s="480"/>
      <c r="BD101" s="489"/>
      <c r="BE101" s="480"/>
      <c r="BF101" s="480"/>
      <c r="BG101" s="480"/>
      <c r="BH101" s="490"/>
      <c r="BI101" s="480"/>
      <c r="BJ101" s="480"/>
      <c r="BK101" s="481" t="s">
        <v>790</v>
      </c>
      <c r="BL101" s="481" t="s">
        <v>791</v>
      </c>
      <c r="BM101" s="284" t="s">
        <v>792</v>
      </c>
      <c r="BN101" s="414" t="s">
        <v>793</v>
      </c>
      <c r="BO101" s="284" t="s">
        <v>794</v>
      </c>
      <c r="BP101" s="285">
        <v>46134</v>
      </c>
      <c r="BQ101" s="482"/>
      <c r="BR101" s="963" t="s">
        <v>1144</v>
      </c>
      <c r="BS101" s="482"/>
      <c r="BT101" s="286" t="s">
        <v>796</v>
      </c>
      <c r="BU101" s="482" t="s">
        <v>797</v>
      </c>
      <c r="BV101" s="649" t="s">
        <v>1145</v>
      </c>
      <c r="BW101" s="284" t="s">
        <v>895</v>
      </c>
      <c r="BX101" s="284" t="s">
        <v>1146</v>
      </c>
      <c r="BY101" s="284">
        <v>70020299</v>
      </c>
      <c r="BZ101" s="284"/>
      <c r="CA101" s="288">
        <v>5000</v>
      </c>
      <c r="CB101" s="483">
        <v>46143</v>
      </c>
      <c r="CC101" s="483">
        <v>46203</v>
      </c>
      <c r="CD101" s="759"/>
      <c r="CE101" s="484">
        <f t="shared" si="29"/>
        <v>30</v>
      </c>
      <c r="CF101" s="1029">
        <f t="shared" si="30"/>
        <v>5000</v>
      </c>
      <c r="CG101" s="485">
        <v>30</v>
      </c>
      <c r="CH101" s="484">
        <f t="shared" si="31"/>
        <v>5000</v>
      </c>
      <c r="CI101" s="485">
        <v>30</v>
      </c>
      <c r="CJ101" s="485">
        <f t="shared" si="32"/>
        <v>5000</v>
      </c>
      <c r="CK101" s="485">
        <f t="shared" si="33"/>
        <v>0</v>
      </c>
      <c r="CL101" s="485">
        <f t="shared" si="34"/>
        <v>0</v>
      </c>
      <c r="CM101" s="1006"/>
      <c r="CN101" s="484">
        <f t="shared" si="35"/>
        <v>30</v>
      </c>
      <c r="CO101" s="484">
        <f t="shared" si="36"/>
        <v>5000</v>
      </c>
      <c r="CP101" s="484">
        <v>30</v>
      </c>
      <c r="CQ101" s="485">
        <f t="shared" si="37"/>
        <v>5000</v>
      </c>
      <c r="CR101" s="485">
        <v>30</v>
      </c>
      <c r="CS101" s="484">
        <f t="shared" si="38"/>
        <v>5000</v>
      </c>
      <c r="CT101" s="484">
        <f t="shared" si="39"/>
        <v>0</v>
      </c>
      <c r="CU101" s="485">
        <f t="shared" si="40"/>
        <v>0</v>
      </c>
      <c r="CV101" s="1006"/>
      <c r="CW101" s="1007">
        <f t="shared" si="225"/>
        <v>10000</v>
      </c>
      <c r="CX101" s="486">
        <f t="shared" si="226"/>
        <v>10000</v>
      </c>
      <c r="CY101" s="486">
        <f t="shared" si="227"/>
        <v>10000</v>
      </c>
      <c r="CZ101" s="1007">
        <f t="shared" si="228"/>
        <v>0</v>
      </c>
      <c r="DA101" s="1007">
        <f t="shared" si="229"/>
        <v>0</v>
      </c>
      <c r="DB101" s="142"/>
      <c r="DC101" s="142"/>
      <c r="DD101" s="142"/>
      <c r="DE101" s="142"/>
      <c r="DF101" s="142"/>
      <c r="DG101" s="142"/>
      <c r="DH101" s="142"/>
      <c r="DI101" s="142"/>
      <c r="DJ101" s="142"/>
      <c r="DK101" s="142"/>
      <c r="DL101" s="142"/>
      <c r="DM101" s="142"/>
      <c r="DN101" s="142"/>
      <c r="DO101" s="142"/>
      <c r="DP101" s="142"/>
      <c r="DQ101" s="142"/>
      <c r="DR101" s="142"/>
      <c r="DS101" s="142"/>
      <c r="DT101" s="142"/>
      <c r="DU101" s="142"/>
      <c r="DV101" s="142"/>
      <c r="DW101" s="142"/>
      <c r="DX101" s="142"/>
      <c r="DY101" s="142"/>
      <c r="DZ101" s="142"/>
      <c r="EA101" s="142"/>
      <c r="EB101" s="142"/>
      <c r="EC101" s="142"/>
      <c r="ED101" s="142"/>
      <c r="EE101" s="142"/>
      <c r="EF101" s="142"/>
      <c r="EG101" s="142"/>
      <c r="EH101" s="142"/>
      <c r="EI101" s="142"/>
      <c r="EJ101" s="142"/>
      <c r="EK101" s="142"/>
      <c r="EL101" s="142"/>
      <c r="EM101" s="142"/>
      <c r="EN101" s="142"/>
      <c r="EO101" s="142"/>
      <c r="EP101" s="142"/>
      <c r="EQ101" s="142"/>
      <c r="ER101" s="142"/>
      <c r="ES101" s="142"/>
      <c r="ET101" s="142"/>
      <c r="EU101" s="142"/>
      <c r="EV101" s="142"/>
      <c r="EW101" s="142"/>
      <c r="EX101" s="142"/>
      <c r="EY101" s="142"/>
      <c r="EZ101" s="142"/>
      <c r="FA101" s="142"/>
      <c r="FB101" s="142"/>
      <c r="FC101" s="142"/>
      <c r="FD101" s="142"/>
      <c r="FE101" s="142"/>
      <c r="FF101" s="142"/>
      <c r="FG101" s="142"/>
      <c r="FH101" s="142"/>
      <c r="FI101" s="142"/>
      <c r="FJ101" s="142"/>
      <c r="FK101" s="142"/>
      <c r="FL101" s="142"/>
      <c r="FM101" s="142"/>
      <c r="FN101" s="142"/>
      <c r="FO101" s="142"/>
      <c r="FP101" s="142"/>
      <c r="FQ101" s="142"/>
      <c r="FR101" s="142"/>
      <c r="FS101" s="142"/>
      <c r="FT101" s="142"/>
      <c r="FU101" s="142"/>
      <c r="FV101" s="142"/>
      <c r="FW101" s="142"/>
      <c r="FX101" s="142"/>
      <c r="FY101" s="142"/>
      <c r="FZ101" s="142"/>
      <c r="GA101" s="142"/>
      <c r="GB101" s="142"/>
      <c r="GC101" s="142"/>
      <c r="GD101" s="142"/>
      <c r="GE101" s="142"/>
      <c r="GF101" s="142"/>
      <c r="GG101" s="142"/>
      <c r="GH101" s="142"/>
      <c r="GI101" s="142"/>
      <c r="GJ101" s="142"/>
      <c r="GK101" s="142"/>
      <c r="GL101" s="142"/>
      <c r="GM101" s="142"/>
      <c r="GN101" s="142"/>
      <c r="GO101" s="142"/>
      <c r="GP101" s="142"/>
      <c r="GQ101" s="142"/>
      <c r="GR101" s="142"/>
      <c r="GS101" s="142"/>
      <c r="GT101" s="142"/>
      <c r="GU101" s="142"/>
      <c r="GV101" s="142"/>
      <c r="GW101" s="142"/>
      <c r="GX101" s="142"/>
      <c r="GY101" s="142"/>
      <c r="GZ101" s="142"/>
      <c r="HA101" s="142"/>
      <c r="HB101" s="142"/>
      <c r="HC101" s="142"/>
      <c r="HD101" s="142"/>
      <c r="HE101" s="142"/>
      <c r="HF101" s="142"/>
      <c r="HG101" s="142"/>
      <c r="HH101" s="142"/>
      <c r="HI101" s="142"/>
      <c r="HJ101" s="142"/>
      <c r="HK101" s="142"/>
      <c r="HL101" s="142"/>
      <c r="HM101" s="142"/>
      <c r="HN101" s="142"/>
      <c r="HO101" s="142"/>
      <c r="HP101" s="142"/>
      <c r="HQ101" s="142"/>
      <c r="HR101" s="142"/>
      <c r="HS101" s="142"/>
      <c r="HT101" s="142"/>
      <c r="HU101" s="142"/>
      <c r="HV101" s="142"/>
      <c r="HW101" s="142"/>
      <c r="HX101" s="142"/>
      <c r="HY101" s="142"/>
      <c r="HZ101" s="142"/>
      <c r="IA101" s="142"/>
      <c r="IB101" s="142"/>
      <c r="IC101" s="142"/>
      <c r="ID101" s="142"/>
      <c r="IE101" s="142"/>
      <c r="IF101" s="142"/>
      <c r="IG101" s="142"/>
      <c r="IH101" s="142"/>
      <c r="II101" s="142"/>
      <c r="IJ101" s="142"/>
      <c r="IK101" s="142"/>
      <c r="IL101" s="142"/>
      <c r="IM101" s="142"/>
      <c r="IN101" s="142"/>
      <c r="IO101" s="142"/>
      <c r="IP101" s="142"/>
      <c r="IQ101" s="142"/>
      <c r="IR101" s="142"/>
      <c r="IS101" s="142"/>
      <c r="IT101" s="142"/>
      <c r="IU101" s="142"/>
      <c r="IV101" s="142"/>
      <c r="IW101" s="142"/>
      <c r="IX101" s="142"/>
      <c r="IY101" s="142"/>
      <c r="IZ101" s="142"/>
      <c r="JA101" s="142"/>
      <c r="JB101" s="142"/>
      <c r="JC101" s="142"/>
      <c r="JD101" s="142"/>
      <c r="JE101" s="142"/>
      <c r="JF101" s="142"/>
      <c r="JG101" s="142"/>
      <c r="JH101" s="142"/>
      <c r="JI101" s="142"/>
      <c r="JJ101" s="142"/>
      <c r="JK101" s="142"/>
      <c r="JL101" s="142"/>
      <c r="JM101" s="142"/>
      <c r="JN101" s="142"/>
      <c r="JO101" s="142"/>
      <c r="JP101" s="142"/>
      <c r="JQ101" s="142"/>
      <c r="JR101" s="142"/>
      <c r="JS101" s="142"/>
      <c r="JT101" s="142"/>
      <c r="JU101" s="142"/>
      <c r="JV101" s="142"/>
      <c r="JW101" s="142"/>
      <c r="JX101" s="142"/>
      <c r="JY101" s="142"/>
      <c r="JZ101" s="142"/>
      <c r="KA101" s="142"/>
      <c r="KB101" s="142"/>
      <c r="KC101" s="142"/>
      <c r="KD101" s="142"/>
      <c r="KE101" s="142"/>
      <c r="KF101" s="142"/>
      <c r="KG101" s="142"/>
      <c r="KH101" s="142"/>
      <c r="KI101" s="142"/>
      <c r="KJ101" s="142"/>
      <c r="KK101" s="142"/>
      <c r="KL101" s="142"/>
      <c r="KM101" s="142"/>
      <c r="KN101" s="142"/>
      <c r="KO101" s="142"/>
      <c r="KP101" s="142"/>
      <c r="KQ101" s="142"/>
      <c r="KR101" s="142"/>
      <c r="KS101" s="142"/>
      <c r="KT101" s="142"/>
      <c r="KU101" s="142"/>
      <c r="KV101" s="142"/>
      <c r="KW101" s="142"/>
      <c r="KX101" s="142"/>
      <c r="KY101" s="142"/>
      <c r="KZ101" s="142"/>
      <c r="LA101" s="142"/>
      <c r="LB101" s="142"/>
      <c r="LC101" s="142"/>
      <c r="LD101" s="142"/>
      <c r="LE101" s="142"/>
      <c r="LF101" s="142"/>
      <c r="LG101" s="142"/>
      <c r="LH101" s="142"/>
      <c r="LI101" s="142"/>
      <c r="LJ101" s="142"/>
      <c r="LK101" s="142"/>
      <c r="LL101" s="142"/>
      <c r="LM101" s="142"/>
      <c r="LN101" s="142"/>
      <c r="LO101" s="142"/>
      <c r="LP101" s="142"/>
      <c r="LQ101" s="142"/>
      <c r="LR101" s="142"/>
      <c r="LS101" s="142"/>
      <c r="LT101" s="142"/>
      <c r="LU101" s="142"/>
      <c r="LV101" s="142"/>
      <c r="LW101" s="142"/>
      <c r="LX101" s="142"/>
      <c r="LY101" s="142"/>
      <c r="LZ101" s="142"/>
      <c r="MA101" s="142"/>
      <c r="MB101" s="142"/>
      <c r="MC101" s="142"/>
      <c r="MD101" s="142"/>
      <c r="ME101" s="142"/>
      <c r="MF101" s="142"/>
      <c r="MG101" s="142"/>
      <c r="MH101" s="142"/>
      <c r="MI101" s="142"/>
      <c r="MJ101" s="142"/>
      <c r="MK101" s="142"/>
      <c r="ML101" s="142"/>
      <c r="MM101" s="142"/>
      <c r="MN101" s="142"/>
      <c r="MO101" s="142"/>
      <c r="MP101" s="142"/>
      <c r="MQ101" s="142"/>
      <c r="MR101" s="142"/>
      <c r="MS101" s="142"/>
      <c r="MT101" s="142"/>
      <c r="MU101" s="142"/>
      <c r="MV101" s="142"/>
      <c r="MW101" s="142"/>
      <c r="MX101" s="142"/>
      <c r="MY101" s="142"/>
      <c r="MZ101" s="142"/>
      <c r="NA101" s="142"/>
      <c r="NB101" s="142"/>
      <c r="NC101" s="142"/>
      <c r="ND101" s="142"/>
      <c r="NE101" s="142"/>
      <c r="NF101" s="142"/>
      <c r="NG101" s="142"/>
      <c r="NH101" s="142"/>
      <c r="NI101" s="142"/>
      <c r="NJ101" s="142"/>
      <c r="NK101" s="142"/>
      <c r="NL101" s="142"/>
      <c r="NM101" s="142"/>
      <c r="NN101" s="142"/>
      <c r="NO101" s="142"/>
      <c r="NP101" s="142"/>
      <c r="NQ101" s="142"/>
      <c r="NR101" s="142"/>
      <c r="NS101" s="142"/>
      <c r="NT101" s="142"/>
      <c r="NU101" s="142"/>
      <c r="NV101" s="142"/>
      <c r="NW101" s="142"/>
      <c r="NX101" s="142"/>
      <c r="NY101" s="142"/>
      <c r="NZ101" s="142"/>
      <c r="OA101" s="142"/>
      <c r="OB101" s="142"/>
      <c r="OC101" s="142"/>
      <c r="OD101" s="142"/>
      <c r="OE101" s="142"/>
      <c r="OF101" s="142"/>
      <c r="OG101" s="142"/>
      <c r="OH101" s="142"/>
      <c r="OI101" s="142"/>
      <c r="OJ101" s="142"/>
      <c r="OK101" s="142"/>
      <c r="OL101" s="142"/>
      <c r="OM101" s="142"/>
      <c r="ON101" s="142"/>
      <c r="OO101" s="142"/>
      <c r="OP101" s="142"/>
      <c r="OQ101" s="142"/>
      <c r="OR101" s="142"/>
      <c r="OS101" s="142"/>
      <c r="OT101" s="142"/>
      <c r="OU101" s="142"/>
      <c r="OV101" s="142"/>
      <c r="OW101" s="142"/>
      <c r="OX101" s="142"/>
      <c r="OY101" s="142"/>
      <c r="OZ101" s="142"/>
      <c r="PA101" s="142"/>
      <c r="PB101" s="142"/>
      <c r="PC101" s="142"/>
      <c r="PD101" s="142"/>
      <c r="PE101" s="142"/>
      <c r="PF101" s="142"/>
      <c r="PG101" s="142"/>
      <c r="PH101" s="142"/>
      <c r="PI101" s="142"/>
      <c r="PJ101" s="142"/>
      <c r="PK101" s="142"/>
      <c r="PL101" s="142"/>
      <c r="PM101" s="142"/>
      <c r="PN101" s="142"/>
      <c r="PO101" s="142"/>
      <c r="PP101" s="142"/>
      <c r="PQ101" s="142"/>
      <c r="PR101" s="142"/>
      <c r="PS101" s="142"/>
      <c r="PT101" s="142"/>
      <c r="PU101" s="142"/>
      <c r="PV101" s="142"/>
      <c r="PW101" s="142"/>
      <c r="PX101" s="142"/>
      <c r="PY101" s="142"/>
      <c r="PZ101" s="142"/>
      <c r="QA101" s="142"/>
      <c r="QB101" s="142"/>
      <c r="QC101" s="142"/>
      <c r="QD101" s="142"/>
      <c r="QE101" s="142"/>
      <c r="QF101" s="142"/>
      <c r="QG101" s="142"/>
      <c r="QH101" s="142"/>
      <c r="QI101" s="142"/>
      <c r="QJ101" s="142"/>
      <c r="QK101" s="142"/>
      <c r="QL101" s="142"/>
      <c r="QM101" s="142"/>
      <c r="QN101" s="142"/>
      <c r="QO101" s="142"/>
      <c r="QP101" s="142"/>
      <c r="QQ101" s="142"/>
      <c r="QR101" s="142"/>
      <c r="QS101" s="142"/>
      <c r="QT101" s="142"/>
      <c r="QU101" s="142"/>
      <c r="QV101" s="142"/>
      <c r="QW101" s="142"/>
      <c r="QX101" s="142"/>
      <c r="QY101" s="142"/>
      <c r="QZ101" s="142"/>
      <c r="RA101" s="142"/>
      <c r="RB101" s="142"/>
      <c r="RC101" s="142"/>
      <c r="RD101" s="142"/>
      <c r="RE101" s="142"/>
      <c r="RF101" s="142"/>
      <c r="RG101" s="142"/>
      <c r="RH101" s="142"/>
      <c r="RI101" s="142"/>
      <c r="RJ101" s="142"/>
      <c r="RK101" s="142"/>
      <c r="RL101" s="142"/>
      <c r="RM101" s="142"/>
      <c r="RN101" s="142"/>
      <c r="RO101" s="142"/>
      <c r="RP101" s="142"/>
      <c r="RQ101" s="142"/>
      <c r="RR101" s="142"/>
      <c r="RS101" s="142"/>
      <c r="RT101" s="142"/>
      <c r="RU101" s="142"/>
      <c r="RV101" s="142"/>
      <c r="RW101" s="142"/>
      <c r="RX101" s="142"/>
      <c r="RY101" s="142"/>
      <c r="RZ101" s="142"/>
      <c r="SA101" s="142"/>
      <c r="SB101" s="142"/>
      <c r="SC101" s="142"/>
      <c r="SD101" s="142"/>
      <c r="SE101" s="142"/>
      <c r="SF101" s="142"/>
      <c r="SG101" s="142"/>
      <c r="SH101" s="142"/>
      <c r="SI101" s="142"/>
      <c r="SJ101" s="142"/>
      <c r="SK101" s="142"/>
      <c r="SL101" s="142"/>
      <c r="SM101" s="142"/>
      <c r="SN101" s="142"/>
      <c r="SO101" s="142"/>
      <c r="SP101" s="142"/>
      <c r="SQ101" s="142"/>
      <c r="SR101" s="142"/>
      <c r="SS101" s="142"/>
      <c r="ST101" s="142"/>
      <c r="SU101" s="142"/>
      <c r="SV101" s="142"/>
      <c r="SW101" s="142"/>
      <c r="SX101" s="142"/>
      <c r="SY101" s="142"/>
      <c r="SZ101" s="142"/>
      <c r="TA101" s="142"/>
      <c r="TB101" s="142"/>
      <c r="TC101" s="142"/>
      <c r="TD101" s="142"/>
      <c r="TE101" s="142"/>
      <c r="TF101" s="142"/>
      <c r="TG101" s="142"/>
      <c r="TH101" s="142"/>
      <c r="TI101" s="142"/>
      <c r="TJ101" s="142"/>
      <c r="TK101" s="142"/>
      <c r="TL101" s="142"/>
      <c r="TM101" s="142"/>
      <c r="TN101" s="142"/>
      <c r="TO101" s="142"/>
      <c r="TP101" s="142"/>
      <c r="TQ101" s="142"/>
      <c r="TR101" s="142"/>
      <c r="TS101" s="142"/>
      <c r="TT101" s="142"/>
      <c r="TU101" s="142"/>
      <c r="TV101" s="142"/>
      <c r="TW101" s="142"/>
      <c r="TX101" s="142"/>
      <c r="TY101" s="142"/>
      <c r="TZ101" s="142"/>
      <c r="UA101" s="142"/>
      <c r="UB101" s="142"/>
      <c r="UC101" s="142"/>
      <c r="UD101" s="142"/>
      <c r="UE101" s="142"/>
      <c r="UF101" s="142"/>
      <c r="UG101" s="142"/>
      <c r="UH101" s="142"/>
      <c r="UI101" s="142"/>
      <c r="UJ101" s="142"/>
      <c r="UK101" s="142"/>
      <c r="UL101" s="142"/>
      <c r="UM101" s="142"/>
      <c r="UN101" s="142"/>
      <c r="UO101" s="142"/>
      <c r="UP101" s="142"/>
      <c r="UQ101" s="142"/>
      <c r="UR101" s="142"/>
      <c r="US101" s="142"/>
      <c r="UT101" s="142"/>
      <c r="UU101" s="142"/>
      <c r="UV101" s="142"/>
      <c r="UW101" s="142"/>
      <c r="UX101" s="142"/>
      <c r="UY101" s="142"/>
      <c r="UZ101" s="142"/>
      <c r="VA101" s="142"/>
      <c r="VB101" s="142"/>
      <c r="VC101" s="142"/>
      <c r="VD101" s="142"/>
      <c r="VE101" s="142"/>
      <c r="VF101" s="142"/>
      <c r="VG101" s="142"/>
      <c r="VH101" s="142"/>
      <c r="VI101" s="142"/>
      <c r="VJ101" s="142"/>
      <c r="VK101" s="142"/>
      <c r="VL101" s="142"/>
      <c r="VM101" s="142"/>
      <c r="VN101" s="142"/>
      <c r="VO101" s="142"/>
      <c r="VP101" s="142"/>
      <c r="VQ101" s="142"/>
      <c r="VR101" s="142"/>
      <c r="VS101" s="142"/>
      <c r="VT101" s="142"/>
      <c r="VU101" s="142"/>
      <c r="VV101" s="142"/>
      <c r="VW101" s="142"/>
      <c r="VX101" s="142"/>
      <c r="VY101" s="142"/>
      <c r="VZ101" s="142"/>
      <c r="WA101" s="142"/>
      <c r="WB101" s="142"/>
      <c r="WC101" s="142"/>
      <c r="WD101" s="142"/>
      <c r="WE101" s="142"/>
      <c r="WF101" s="142"/>
      <c r="WG101" s="142"/>
      <c r="WH101" s="142"/>
      <c r="WI101" s="142"/>
      <c r="WJ101" s="142"/>
      <c r="WK101" s="142"/>
      <c r="WL101" s="142"/>
      <c r="WM101" s="142"/>
      <c r="WN101" s="142"/>
      <c r="WO101" s="142"/>
      <c r="WP101" s="142"/>
      <c r="WQ101" s="142"/>
      <c r="WR101" s="142"/>
      <c r="WS101" s="142"/>
      <c r="WT101" s="142"/>
      <c r="WU101" s="142"/>
      <c r="WV101" s="142"/>
      <c r="WW101" s="142"/>
      <c r="WX101" s="142"/>
      <c r="WY101" s="142"/>
      <c r="WZ101" s="142"/>
      <c r="XA101" s="142"/>
      <c r="XB101" s="142"/>
      <c r="XC101" s="142"/>
      <c r="XD101" s="142"/>
      <c r="XE101" s="142"/>
      <c r="XF101" s="142"/>
      <c r="XG101" s="142"/>
      <c r="XH101" s="142"/>
      <c r="XI101" s="142"/>
      <c r="XJ101" s="142"/>
      <c r="XK101" s="142"/>
      <c r="XL101" s="142"/>
      <c r="XM101" s="142"/>
      <c r="XN101" s="142"/>
      <c r="XO101" s="142"/>
      <c r="XP101" s="142"/>
      <c r="XQ101" s="142"/>
      <c r="XR101" s="142"/>
      <c r="XS101" s="142"/>
      <c r="XT101" s="142"/>
      <c r="XU101" s="142"/>
      <c r="XV101" s="142"/>
      <c r="XW101" s="142"/>
      <c r="XX101" s="142"/>
      <c r="XY101" s="142"/>
      <c r="XZ101" s="142"/>
      <c r="YA101" s="142"/>
      <c r="YB101" s="142"/>
      <c r="YC101" s="142"/>
      <c r="YD101" s="142"/>
      <c r="YE101" s="142"/>
      <c r="YF101" s="142"/>
      <c r="YG101" s="142"/>
      <c r="YH101" s="142"/>
      <c r="YI101" s="142"/>
      <c r="YJ101" s="142"/>
      <c r="YK101" s="142"/>
      <c r="YL101" s="142"/>
      <c r="YM101" s="142"/>
      <c r="YN101" s="142"/>
      <c r="YO101" s="142"/>
      <c r="YP101" s="142"/>
      <c r="YQ101" s="142"/>
      <c r="YR101" s="142"/>
      <c r="YS101" s="142"/>
      <c r="YT101" s="142"/>
      <c r="YU101" s="142"/>
      <c r="YV101" s="142"/>
      <c r="YW101" s="142"/>
      <c r="YX101" s="142"/>
      <c r="YY101" s="142"/>
      <c r="YZ101" s="142"/>
      <c r="ZA101" s="142"/>
      <c r="ZB101" s="142"/>
      <c r="ZC101" s="142"/>
      <c r="ZD101" s="142"/>
      <c r="ZE101" s="142"/>
      <c r="ZF101" s="142"/>
      <c r="ZG101" s="142"/>
      <c r="ZH101" s="142"/>
      <c r="ZI101" s="142"/>
      <c r="ZJ101" s="142"/>
      <c r="ZK101" s="142"/>
      <c r="ZL101" s="142"/>
      <c r="ZM101" s="142"/>
      <c r="ZN101" s="142"/>
      <c r="ZO101" s="142"/>
      <c r="ZP101" s="142"/>
      <c r="ZQ101" s="142"/>
      <c r="ZR101" s="142"/>
      <c r="ZS101" s="142"/>
      <c r="ZT101" s="142"/>
      <c r="ZU101" s="142"/>
      <c r="ZV101" s="142"/>
      <c r="ZW101" s="142"/>
      <c r="ZX101" s="142"/>
      <c r="ZY101" s="142"/>
      <c r="ZZ101" s="142"/>
      <c r="AAA101" s="142"/>
      <c r="AAB101" s="142"/>
      <c r="AAC101" s="142"/>
      <c r="AAD101" s="142"/>
      <c r="AAE101" s="142"/>
      <c r="AAF101" s="142"/>
      <c r="AAG101" s="142"/>
      <c r="AAH101" s="142"/>
      <c r="AAI101" s="142"/>
      <c r="AAJ101" s="142"/>
      <c r="AAK101" s="142"/>
      <c r="AAL101" s="142"/>
      <c r="AAM101" s="142"/>
      <c r="AAN101" s="142"/>
      <c r="AAO101" s="142"/>
      <c r="AAP101" s="142"/>
      <c r="AAQ101" s="142"/>
      <c r="AAR101" s="142"/>
      <c r="AAS101" s="142"/>
      <c r="AAT101" s="142"/>
      <c r="AAU101" s="142"/>
      <c r="AAV101" s="142"/>
      <c r="AAW101" s="142"/>
      <c r="AAX101" s="142"/>
      <c r="AAY101" s="142"/>
      <c r="AAZ101" s="142"/>
      <c r="ABA101" s="142"/>
      <c r="ABB101" s="142"/>
      <c r="ABC101" s="142"/>
      <c r="ABD101" s="142"/>
      <c r="ABE101" s="142"/>
      <c r="ABF101" s="142"/>
      <c r="ABG101" s="142"/>
      <c r="ABH101" s="142"/>
      <c r="ABI101" s="142"/>
      <c r="ABJ101" s="142"/>
      <c r="ABK101" s="142"/>
      <c r="ABL101" s="142"/>
      <c r="ABM101" s="142"/>
      <c r="ABN101" s="142"/>
      <c r="ABO101" s="142"/>
      <c r="ABP101" s="142"/>
      <c r="ABQ101" s="142"/>
      <c r="ABR101" s="142"/>
      <c r="ABS101" s="142"/>
      <c r="ABT101" s="142"/>
      <c r="ABU101" s="142"/>
      <c r="ABV101" s="142"/>
      <c r="ABW101" s="142"/>
      <c r="ABX101" s="142"/>
      <c r="ABY101" s="142"/>
      <c r="ABZ101" s="142"/>
      <c r="ACA101" s="142"/>
      <c r="ACB101" s="142"/>
      <c r="ACC101" s="142"/>
      <c r="ACD101" s="142"/>
      <c r="ACE101" s="142"/>
      <c r="ACF101" s="142"/>
      <c r="ACG101" s="142"/>
      <c r="ACH101" s="142"/>
      <c r="ACI101" s="142"/>
      <c r="ACJ101" s="142"/>
      <c r="ACK101" s="142"/>
      <c r="ACL101" s="142"/>
      <c r="ACM101" s="142"/>
      <c r="ACN101" s="142"/>
      <c r="ACO101" s="142"/>
      <c r="ACP101" s="142"/>
      <c r="ACQ101" s="142"/>
      <c r="ACR101" s="142"/>
      <c r="ACS101" s="142"/>
      <c r="ACT101" s="142"/>
      <c r="ACU101" s="142"/>
      <c r="ACV101" s="142"/>
      <c r="ACW101" s="142"/>
      <c r="ACX101" s="142"/>
      <c r="ACY101" s="142"/>
      <c r="ACZ101" s="142"/>
      <c r="ADA101" s="142"/>
      <c r="ADB101" s="142"/>
      <c r="ADC101" s="142"/>
      <c r="ADD101" s="142"/>
      <c r="ADE101" s="142"/>
      <c r="ADF101" s="142"/>
      <c r="ADG101" s="142"/>
      <c r="ADH101" s="142"/>
      <c r="ADI101" s="142"/>
      <c r="ADJ101" s="142"/>
      <c r="ADK101" s="142"/>
      <c r="ADL101" s="142"/>
      <c r="ADM101" s="142"/>
      <c r="ADN101" s="142"/>
      <c r="ADO101" s="142"/>
      <c r="ADP101" s="142"/>
      <c r="ADQ101" s="142"/>
      <c r="ADR101" s="142"/>
      <c r="ADS101" s="142"/>
      <c r="ADT101" s="142"/>
      <c r="ADU101" s="142"/>
      <c r="ADV101" s="142"/>
      <c r="ADW101" s="142"/>
      <c r="ADX101" s="142"/>
      <c r="ADY101" s="142"/>
      <c r="ADZ101" s="142"/>
      <c r="AEA101" s="142"/>
      <c r="AEB101" s="142"/>
      <c r="AEC101" s="142"/>
      <c r="AED101" s="142"/>
      <c r="AEE101" s="142"/>
      <c r="AEF101" s="142"/>
      <c r="AEG101" s="142"/>
      <c r="AEH101" s="142"/>
      <c r="AEI101" s="142"/>
      <c r="AEJ101" s="142"/>
      <c r="AEK101" s="142"/>
      <c r="AEL101" s="142"/>
      <c r="AEM101" s="142"/>
      <c r="AEN101" s="142"/>
      <c r="AEO101" s="142"/>
      <c r="AEP101" s="142"/>
      <c r="AEQ101" s="142"/>
      <c r="AER101" s="142"/>
      <c r="AES101" s="142"/>
      <c r="AET101" s="142"/>
      <c r="AEU101" s="142"/>
      <c r="AEV101" s="142"/>
      <c r="AEW101" s="142"/>
      <c r="AEX101" s="142"/>
      <c r="AEY101" s="142"/>
      <c r="AEZ101" s="142"/>
      <c r="AFA101" s="142"/>
      <c r="AFB101" s="142"/>
      <c r="AFC101" s="142"/>
      <c r="AFD101" s="142"/>
      <c r="AFE101" s="142"/>
      <c r="AFF101" s="142"/>
      <c r="AFG101" s="142"/>
      <c r="AFH101" s="142"/>
      <c r="AFI101" s="142"/>
      <c r="AFJ101" s="142"/>
      <c r="AFK101" s="142"/>
      <c r="AFL101" s="142"/>
      <c r="AFM101" s="142"/>
      <c r="AFN101" s="142"/>
      <c r="AFO101" s="142"/>
      <c r="AFP101" s="142"/>
      <c r="AFQ101" s="142"/>
      <c r="AFR101" s="142"/>
      <c r="AFS101" s="142"/>
      <c r="AFT101" s="142"/>
      <c r="AFU101" s="142"/>
      <c r="AFV101" s="142"/>
      <c r="AFW101" s="142"/>
      <c r="AFX101" s="142"/>
      <c r="AFY101" s="142"/>
      <c r="AFZ101" s="142"/>
      <c r="AGA101" s="142"/>
      <c r="AGB101" s="142"/>
      <c r="AGC101" s="142"/>
      <c r="AGD101" s="142"/>
      <c r="AGE101" s="142"/>
      <c r="AGF101" s="142"/>
      <c r="AGG101" s="142"/>
      <c r="AGH101" s="142"/>
      <c r="AGI101" s="142"/>
      <c r="AGJ101" s="142"/>
      <c r="AGK101" s="142"/>
      <c r="AGL101" s="142"/>
      <c r="AGM101" s="142"/>
      <c r="AGN101" s="142"/>
      <c r="AGO101" s="142"/>
      <c r="AGP101" s="142"/>
      <c r="AGQ101" s="142"/>
      <c r="AGR101" s="142"/>
      <c r="AGS101" s="142"/>
      <c r="AGT101" s="142"/>
      <c r="AGU101" s="142"/>
      <c r="AGV101" s="142"/>
      <c r="AGW101" s="142"/>
      <c r="AGX101" s="142"/>
      <c r="AGY101" s="142"/>
      <c r="AGZ101" s="142"/>
      <c r="AHA101" s="142"/>
      <c r="AHB101" s="142"/>
      <c r="AHC101" s="142"/>
      <c r="AHD101" s="142"/>
      <c r="AHE101" s="142"/>
      <c r="AHF101" s="142"/>
      <c r="AHG101" s="142"/>
      <c r="AHH101" s="142"/>
      <c r="AHI101" s="142"/>
      <c r="AHJ101" s="142"/>
      <c r="AHK101" s="142"/>
      <c r="AHL101" s="142"/>
      <c r="AHM101" s="142"/>
      <c r="AHN101" s="142"/>
      <c r="AHO101" s="142"/>
      <c r="AHP101" s="142"/>
      <c r="AHQ101" s="142"/>
      <c r="AHR101" s="142"/>
      <c r="AHS101" s="142"/>
      <c r="AHT101" s="142"/>
      <c r="AHU101" s="142"/>
      <c r="AHV101" s="142"/>
      <c r="AHW101" s="142"/>
      <c r="AHX101" s="142"/>
      <c r="AHY101" s="142"/>
      <c r="AHZ101" s="142"/>
      <c r="AIA101" s="142"/>
      <c r="AIB101" s="142"/>
      <c r="AIC101" s="142"/>
      <c r="AID101" s="142"/>
      <c r="AIE101" s="142"/>
      <c r="AIF101" s="142"/>
      <c r="AIG101" s="142"/>
      <c r="AIH101" s="142"/>
      <c r="AII101" s="142"/>
      <c r="AIJ101" s="142"/>
      <c r="AIK101" s="142"/>
      <c r="AIL101" s="142"/>
      <c r="AIM101" s="142"/>
      <c r="AIN101" s="142"/>
      <c r="AIO101" s="142"/>
      <c r="AIP101" s="142"/>
      <c r="AIQ101" s="142"/>
      <c r="AIR101" s="142"/>
      <c r="AIS101" s="142"/>
      <c r="AIT101" s="142"/>
      <c r="AIU101" s="142"/>
      <c r="AIV101" s="142"/>
      <c r="AIW101" s="142"/>
      <c r="AIX101" s="142"/>
      <c r="AIY101" s="142"/>
      <c r="AIZ101" s="142"/>
      <c r="AJA101" s="142"/>
      <c r="AJB101" s="142"/>
      <c r="AJC101" s="142"/>
      <c r="AJD101" s="142"/>
      <c r="AJE101" s="142"/>
      <c r="AJF101" s="142"/>
      <c r="AJG101" s="142"/>
      <c r="AJH101" s="142"/>
      <c r="AJI101" s="142"/>
      <c r="AJJ101" s="142"/>
      <c r="AJK101" s="142"/>
      <c r="AJL101" s="142"/>
      <c r="AJM101" s="142"/>
      <c r="AJN101" s="142"/>
      <c r="AJO101" s="142"/>
      <c r="AJP101" s="142"/>
      <c r="AJQ101" s="142"/>
      <c r="AJR101" s="142"/>
      <c r="AJS101" s="142"/>
      <c r="AJT101" s="142"/>
      <c r="AJU101" s="142"/>
      <c r="AJV101" s="142"/>
      <c r="AJW101" s="142"/>
      <c r="AJX101" s="142"/>
      <c r="AJY101" s="142"/>
      <c r="AJZ101" s="142"/>
      <c r="AKA101" s="142"/>
      <c r="AKB101" s="142"/>
      <c r="AKC101" s="142"/>
      <c r="AKD101" s="142"/>
      <c r="AKE101" s="142"/>
      <c r="AKF101" s="142"/>
      <c r="AKG101" s="142"/>
      <c r="AKH101" s="142"/>
      <c r="AKI101" s="142"/>
      <c r="AKJ101" s="142"/>
      <c r="AKK101" s="142"/>
      <c r="AKL101" s="142"/>
      <c r="AKM101" s="142"/>
      <c r="AKN101" s="142"/>
      <c r="AKO101" s="142"/>
      <c r="AKP101" s="142"/>
      <c r="AKQ101" s="142"/>
      <c r="AKR101" s="142"/>
      <c r="AKS101" s="142"/>
      <c r="AKT101" s="142"/>
      <c r="AKU101" s="142"/>
      <c r="AKV101" s="142"/>
      <c r="AKW101" s="142"/>
      <c r="AKX101" s="142"/>
      <c r="AKY101" s="142"/>
      <c r="AKZ101" s="142"/>
      <c r="ALA101" s="142"/>
      <c r="ALB101" s="142"/>
      <c r="ALC101" s="142"/>
      <c r="ALD101" s="142"/>
      <c r="ALE101" s="142"/>
      <c r="ALF101" s="142"/>
      <c r="ALG101" s="142"/>
      <c r="ALH101" s="142"/>
      <c r="ALI101" s="142"/>
      <c r="ALJ101" s="142"/>
      <c r="ALK101" s="142"/>
      <c r="ALL101" s="142"/>
      <c r="ALM101" s="142"/>
      <c r="ALN101" s="142"/>
      <c r="ALO101" s="142"/>
      <c r="ALP101" s="142"/>
      <c r="ALQ101" s="142"/>
      <c r="ALR101" s="142"/>
      <c r="ALS101" s="142"/>
      <c r="ALT101" s="142"/>
      <c r="ALU101" s="142"/>
      <c r="ALV101" s="142"/>
      <c r="ALW101" s="142"/>
      <c r="ALX101" s="142"/>
      <c r="ALY101" s="142"/>
      <c r="ALZ101" s="142"/>
      <c r="AMA101" s="142"/>
      <c r="AMB101" s="142"/>
      <c r="AMC101" s="142"/>
      <c r="AMD101" s="142"/>
      <c r="AME101" s="142"/>
      <c r="AMF101" s="142"/>
      <c r="AMG101" s="142"/>
      <c r="AMH101" s="142"/>
      <c r="AMI101" s="142"/>
      <c r="AMJ101" s="142"/>
      <c r="AMK101" s="142"/>
      <c r="AML101" s="142"/>
      <c r="AMM101" s="142"/>
      <c r="AMN101" s="142"/>
      <c r="AMO101" s="142"/>
      <c r="AMP101" s="142"/>
      <c r="AMQ101" s="142"/>
      <c r="AMR101" s="142"/>
      <c r="AMS101" s="142"/>
      <c r="AMT101" s="142"/>
      <c r="AMU101" s="142"/>
      <c r="AMV101" s="142"/>
      <c r="AMW101" s="142"/>
      <c r="AMX101" s="142"/>
      <c r="AMY101" s="142"/>
      <c r="AMZ101" s="142"/>
      <c r="ANA101" s="142"/>
      <c r="ANB101" s="142"/>
      <c r="ANC101" s="142"/>
      <c r="AND101" s="142"/>
      <c r="ANE101" s="142"/>
      <c r="ANF101" s="142"/>
      <c r="ANG101" s="142"/>
      <c r="ANH101" s="142"/>
      <c r="ANI101" s="142"/>
      <c r="ANJ101" s="142"/>
      <c r="ANK101" s="142"/>
      <c r="ANL101" s="142"/>
      <c r="ANM101" s="142"/>
      <c r="ANN101" s="142"/>
      <c r="ANO101" s="142"/>
      <c r="ANP101" s="142"/>
      <c r="ANQ101" s="142"/>
      <c r="ANR101" s="142"/>
      <c r="ANS101" s="142"/>
      <c r="ANT101" s="142"/>
      <c r="ANU101" s="142"/>
      <c r="ANV101" s="142"/>
      <c r="ANW101" s="142"/>
      <c r="ANX101" s="142"/>
      <c r="ANY101" s="142"/>
      <c r="ANZ101" s="142"/>
      <c r="AOA101" s="142"/>
      <c r="AOB101" s="142"/>
      <c r="AOC101" s="142"/>
      <c r="AOD101" s="142"/>
      <c r="AOE101" s="142"/>
      <c r="AOF101" s="142"/>
      <c r="AOG101" s="142"/>
      <c r="AOH101" s="142"/>
      <c r="AOI101" s="142"/>
      <c r="AOJ101" s="142"/>
      <c r="AOK101" s="142"/>
      <c r="AOL101" s="142"/>
      <c r="AOM101" s="142"/>
      <c r="AON101" s="142"/>
      <c r="AOO101" s="142"/>
      <c r="AOP101" s="142"/>
      <c r="AOQ101" s="142"/>
      <c r="AOR101" s="142"/>
      <c r="AOS101" s="142"/>
      <c r="AOT101" s="142"/>
      <c r="AOU101" s="142"/>
      <c r="AOV101" s="142"/>
      <c r="AOW101" s="142"/>
      <c r="AOX101" s="142"/>
      <c r="AOY101" s="142"/>
      <c r="AOZ101" s="142"/>
      <c r="APA101" s="142"/>
      <c r="APB101" s="142"/>
      <c r="APC101" s="142"/>
      <c r="APD101" s="142"/>
      <c r="APE101" s="142"/>
      <c r="APF101" s="142"/>
      <c r="APG101" s="142"/>
      <c r="APH101" s="142"/>
      <c r="API101" s="142"/>
      <c r="APJ101" s="142"/>
      <c r="APK101" s="142"/>
      <c r="APL101" s="142"/>
      <c r="APM101" s="142"/>
      <c r="APN101" s="142"/>
      <c r="APO101" s="142"/>
      <c r="APP101" s="142"/>
      <c r="APQ101" s="142"/>
      <c r="APR101" s="142"/>
      <c r="APS101" s="142"/>
      <c r="APT101" s="142"/>
      <c r="APU101" s="142"/>
      <c r="APV101" s="142"/>
      <c r="APW101" s="142"/>
      <c r="APX101" s="142"/>
      <c r="APY101" s="142"/>
      <c r="APZ101" s="142"/>
      <c r="AQA101" s="142"/>
      <c r="AQB101" s="142"/>
      <c r="AQC101" s="142"/>
      <c r="AQD101" s="142"/>
      <c r="AQE101" s="142"/>
      <c r="AQF101" s="142"/>
      <c r="AQG101" s="142"/>
      <c r="AQH101" s="142"/>
      <c r="AQI101" s="142"/>
      <c r="AQJ101" s="142"/>
      <c r="AQK101" s="142"/>
      <c r="AQL101" s="142"/>
      <c r="AQM101" s="142"/>
      <c r="AQN101" s="142"/>
      <c r="AQO101" s="142"/>
      <c r="AQP101" s="142"/>
      <c r="AQQ101" s="142"/>
      <c r="AQR101" s="142"/>
      <c r="AQS101" s="142"/>
      <c r="AQT101" s="142"/>
      <c r="AQU101" s="142"/>
      <c r="AQV101" s="142"/>
      <c r="AQW101" s="142"/>
      <c r="AQX101" s="142"/>
      <c r="AQY101" s="142"/>
      <c r="AQZ101" s="142"/>
      <c r="ARA101" s="142"/>
      <c r="ARB101" s="142"/>
      <c r="ARC101" s="142"/>
      <c r="ARD101" s="142"/>
      <c r="ARE101" s="142"/>
      <c r="ARF101" s="142"/>
      <c r="ARG101" s="142"/>
      <c r="ARH101" s="142"/>
      <c r="ARI101" s="142"/>
      <c r="ARJ101" s="142"/>
      <c r="ARK101" s="142"/>
      <c r="ARL101" s="142"/>
      <c r="ARM101" s="142"/>
      <c r="ARN101" s="142"/>
      <c r="ARO101" s="142"/>
      <c r="ARP101" s="142"/>
      <c r="ARQ101" s="142"/>
      <c r="ARR101" s="142"/>
      <c r="ARS101" s="142"/>
      <c r="ART101" s="142"/>
      <c r="ARU101" s="142"/>
      <c r="ARV101" s="142"/>
      <c r="ARW101" s="142"/>
      <c r="ARX101" s="142"/>
      <c r="ARY101" s="142"/>
      <c r="ARZ101" s="142"/>
      <c r="ASA101" s="142"/>
      <c r="ASB101" s="142"/>
      <c r="ASC101" s="142"/>
      <c r="ASD101" s="142"/>
      <c r="ASE101" s="142"/>
      <c r="ASF101" s="142"/>
      <c r="ASG101" s="142"/>
      <c r="ASH101" s="142"/>
      <c r="ASI101" s="142"/>
      <c r="ASJ101" s="142"/>
      <c r="ASK101" s="142"/>
      <c r="ASL101" s="142"/>
      <c r="ASM101" s="142"/>
      <c r="ASN101" s="142"/>
      <c r="ASO101" s="142"/>
      <c r="ASP101" s="142"/>
      <c r="ASQ101" s="142"/>
      <c r="ASR101" s="142"/>
      <c r="ASS101" s="142"/>
      <c r="AST101" s="142"/>
      <c r="ASU101" s="142"/>
      <c r="ASV101" s="142"/>
      <c r="ASW101" s="142"/>
      <c r="ASX101" s="142"/>
      <c r="ASY101" s="142"/>
      <c r="ASZ101" s="142"/>
      <c r="ATA101" s="142"/>
      <c r="ATB101" s="142"/>
      <c r="ATC101" s="142"/>
      <c r="ATD101" s="142"/>
      <c r="ATE101" s="142"/>
      <c r="ATF101" s="142"/>
      <c r="ATG101" s="142"/>
      <c r="ATH101" s="142"/>
      <c r="ATI101" s="142"/>
      <c r="ATJ101" s="142"/>
      <c r="ATK101" s="142"/>
      <c r="ATL101" s="142"/>
      <c r="ATM101" s="142"/>
      <c r="ATN101" s="142"/>
      <c r="ATO101" s="142"/>
      <c r="ATP101" s="142"/>
      <c r="ATQ101" s="142"/>
      <c r="ATR101" s="142"/>
      <c r="ATS101" s="142"/>
      <c r="ATT101" s="142"/>
      <c r="ATU101" s="142"/>
      <c r="ATV101" s="142"/>
      <c r="ATW101" s="142"/>
      <c r="ATX101" s="142"/>
      <c r="ATY101" s="142"/>
      <c r="ATZ101" s="142"/>
      <c r="AUA101" s="142"/>
      <c r="AUB101" s="142"/>
      <c r="AUC101" s="142"/>
      <c r="AUD101" s="142"/>
      <c r="AUE101" s="142"/>
      <c r="AUF101" s="142"/>
      <c r="AUG101" s="142"/>
      <c r="AUH101" s="142"/>
      <c r="AUI101" s="142"/>
      <c r="AUJ101" s="142"/>
      <c r="AUK101" s="142"/>
      <c r="AUL101" s="142"/>
      <c r="AUM101" s="142"/>
      <c r="AUN101" s="142"/>
      <c r="AUO101" s="142"/>
      <c r="AUP101" s="142"/>
      <c r="AUQ101" s="142"/>
      <c r="AUR101" s="142"/>
      <c r="AUS101" s="142"/>
      <c r="AUT101" s="142"/>
      <c r="AUU101" s="142"/>
      <c r="AUV101" s="142"/>
      <c r="AUW101" s="142"/>
      <c r="AUX101" s="142"/>
      <c r="AUY101" s="142"/>
      <c r="AUZ101" s="142"/>
      <c r="AVA101" s="142"/>
      <c r="AVB101" s="142"/>
      <c r="AVC101" s="142"/>
      <c r="AVD101" s="142"/>
      <c r="AVE101" s="142"/>
      <c r="AVF101" s="142"/>
      <c r="AVG101" s="142"/>
      <c r="AVH101" s="142"/>
      <c r="AVI101" s="142"/>
      <c r="AVJ101" s="142"/>
      <c r="AVK101" s="142"/>
      <c r="AVL101" s="142"/>
      <c r="AVM101" s="142"/>
      <c r="AVN101" s="142"/>
      <c r="AVO101" s="142"/>
      <c r="AVP101" s="142"/>
      <c r="AVQ101" s="142"/>
      <c r="AVR101" s="142"/>
      <c r="AVS101" s="142"/>
      <c r="AVT101" s="142"/>
      <c r="AVU101" s="142"/>
      <c r="AVV101" s="142"/>
      <c r="AVW101" s="142"/>
      <c r="AVX101" s="142"/>
      <c r="AVY101" s="142"/>
      <c r="AVZ101" s="142"/>
      <c r="AWA101" s="142"/>
      <c r="AWB101" s="142"/>
      <c r="AWC101" s="142"/>
      <c r="AWD101" s="142"/>
      <c r="AWE101" s="142"/>
      <c r="AWF101" s="142"/>
      <c r="AWG101" s="142"/>
      <c r="AWH101" s="142"/>
      <c r="AWI101" s="142"/>
      <c r="AWJ101" s="142"/>
      <c r="AWK101" s="142"/>
      <c r="AWL101" s="142"/>
      <c r="AWM101" s="142"/>
      <c r="AWN101" s="142"/>
      <c r="AWO101" s="142"/>
      <c r="AWP101" s="142"/>
      <c r="AWQ101" s="142"/>
      <c r="AWR101" s="142"/>
      <c r="AWS101" s="142"/>
      <c r="AWT101" s="142"/>
      <c r="AWU101" s="142"/>
      <c r="AWV101" s="142"/>
      <c r="AWW101" s="142"/>
      <c r="AWX101" s="142"/>
      <c r="AWY101" s="142"/>
      <c r="AWZ101" s="142"/>
      <c r="AXA101" s="142"/>
      <c r="AXB101" s="142"/>
      <c r="AXC101" s="142"/>
      <c r="AXD101" s="142"/>
      <c r="AXE101" s="142"/>
      <c r="AXF101" s="142"/>
      <c r="AXG101" s="142"/>
      <c r="AXH101" s="142"/>
      <c r="AXI101" s="142"/>
      <c r="AXJ101" s="142"/>
      <c r="AXK101" s="142"/>
      <c r="AXL101" s="142"/>
      <c r="AXM101" s="142"/>
      <c r="AXN101" s="142"/>
      <c r="AXO101" s="142"/>
      <c r="AXP101" s="142"/>
      <c r="AXQ101" s="142"/>
      <c r="AXR101" s="142"/>
      <c r="AXS101" s="142"/>
      <c r="AXT101" s="142"/>
      <c r="AXU101" s="142"/>
      <c r="AXV101" s="142"/>
      <c r="AXW101" s="142"/>
      <c r="AXX101" s="142"/>
      <c r="AXY101" s="142"/>
      <c r="AXZ101" s="142"/>
      <c r="AYA101" s="142"/>
      <c r="AYB101" s="142"/>
      <c r="AYC101" s="142"/>
      <c r="AYD101" s="142"/>
      <c r="AYE101" s="142"/>
      <c r="AYF101" s="142"/>
      <c r="AYG101" s="142"/>
      <c r="AYH101" s="142"/>
      <c r="AYI101" s="142"/>
      <c r="AYJ101" s="142"/>
      <c r="AYK101" s="142"/>
      <c r="AYL101" s="142"/>
      <c r="AYM101" s="142"/>
      <c r="AYN101" s="142"/>
      <c r="AYO101" s="142"/>
      <c r="AYP101" s="142"/>
      <c r="AYQ101" s="142"/>
      <c r="AYR101" s="142"/>
      <c r="AYS101" s="142"/>
      <c r="AYT101" s="142"/>
      <c r="AYU101" s="142"/>
      <c r="AYV101" s="142"/>
      <c r="AYW101" s="142"/>
      <c r="AYX101" s="142"/>
      <c r="AYY101" s="142"/>
      <c r="AYZ101" s="142"/>
      <c r="AZA101" s="142"/>
      <c r="AZB101" s="142"/>
      <c r="AZC101" s="142"/>
      <c r="AZD101" s="142"/>
      <c r="AZE101" s="142"/>
      <c r="AZF101" s="142"/>
      <c r="AZG101" s="142"/>
      <c r="AZH101" s="142"/>
      <c r="AZI101" s="142"/>
      <c r="AZJ101" s="142"/>
      <c r="AZK101" s="142"/>
      <c r="AZL101" s="142"/>
      <c r="AZM101" s="142"/>
      <c r="AZN101" s="142"/>
      <c r="AZO101" s="142"/>
      <c r="AZP101" s="142"/>
      <c r="AZQ101" s="142"/>
      <c r="AZR101" s="142"/>
      <c r="AZS101" s="142"/>
      <c r="AZT101" s="142"/>
      <c r="AZU101" s="142"/>
      <c r="AZV101" s="142"/>
      <c r="AZW101" s="142"/>
      <c r="AZX101" s="142"/>
      <c r="AZY101" s="142"/>
      <c r="AZZ101" s="142"/>
      <c r="BAA101" s="142"/>
      <c r="BAB101" s="142"/>
      <c r="BAC101" s="142"/>
      <c r="BAD101" s="142"/>
      <c r="BAE101" s="142"/>
      <c r="BAF101" s="142"/>
      <c r="BAG101" s="142"/>
      <c r="BAH101" s="142"/>
      <c r="BAI101" s="142"/>
      <c r="BAJ101" s="142"/>
      <c r="BAK101" s="142"/>
      <c r="BAL101" s="142"/>
      <c r="BAM101" s="142"/>
      <c r="BAN101" s="142"/>
      <c r="BAO101" s="142"/>
      <c r="BAP101" s="142"/>
      <c r="BAQ101" s="142"/>
      <c r="BAR101" s="142"/>
      <c r="BAS101" s="142"/>
      <c r="BAT101" s="142"/>
      <c r="BAU101" s="142"/>
      <c r="BAV101" s="142"/>
      <c r="BAW101" s="142"/>
      <c r="BAX101" s="142"/>
      <c r="BAY101" s="142"/>
      <c r="BAZ101" s="142"/>
      <c r="BBA101" s="142"/>
      <c r="BBB101" s="142"/>
      <c r="BBC101" s="142"/>
      <c r="BBD101" s="142"/>
      <c r="BBE101" s="142"/>
      <c r="BBF101" s="142"/>
      <c r="BBG101" s="142"/>
      <c r="BBH101" s="142"/>
      <c r="BBI101" s="142"/>
      <c r="BBJ101" s="142"/>
      <c r="BBK101" s="142"/>
      <c r="BBL101" s="142"/>
      <c r="BBM101" s="142"/>
      <c r="BBN101" s="142"/>
      <c r="BBO101" s="142"/>
      <c r="BBP101" s="142"/>
      <c r="BBQ101" s="142"/>
      <c r="BBR101" s="142"/>
      <c r="BBS101" s="142"/>
      <c r="BBT101" s="142"/>
      <c r="BBU101" s="142"/>
      <c r="BBV101" s="142"/>
      <c r="BBW101" s="142"/>
      <c r="BBX101" s="142"/>
      <c r="BBY101" s="142"/>
      <c r="BBZ101" s="142"/>
      <c r="BCA101" s="142"/>
      <c r="BCB101" s="142"/>
      <c r="BCC101" s="142"/>
      <c r="BCD101" s="142"/>
      <c r="BCE101" s="142"/>
      <c r="BCF101" s="142"/>
      <c r="BCG101" s="142"/>
      <c r="BCH101" s="142"/>
      <c r="BCI101" s="142"/>
      <c r="BCJ101" s="142"/>
      <c r="BCK101" s="142"/>
      <c r="BCL101" s="142"/>
      <c r="BCM101" s="142"/>
      <c r="BCN101" s="142"/>
      <c r="BCO101" s="142"/>
      <c r="BCP101" s="142"/>
      <c r="BCQ101" s="142"/>
      <c r="BCR101" s="142"/>
      <c r="BCS101" s="142"/>
      <c r="BCT101" s="142"/>
      <c r="BCU101" s="142"/>
      <c r="BCV101" s="142"/>
      <c r="BCW101" s="142"/>
      <c r="BCX101" s="142"/>
      <c r="BCY101" s="142"/>
      <c r="BCZ101" s="142"/>
      <c r="BDA101" s="142"/>
      <c r="BDB101" s="142"/>
      <c r="BDC101" s="142"/>
      <c r="BDD101" s="142"/>
      <c r="BDE101" s="142"/>
      <c r="BDF101" s="142"/>
      <c r="BDG101" s="142"/>
      <c r="BDH101" s="142"/>
      <c r="BDI101" s="142"/>
      <c r="BDJ101" s="142"/>
      <c r="BDK101" s="142"/>
      <c r="BDL101" s="142"/>
      <c r="BDM101" s="142"/>
      <c r="BDN101" s="142"/>
      <c r="BDO101" s="142"/>
      <c r="BDP101" s="142"/>
      <c r="BDQ101" s="142"/>
      <c r="BDR101" s="142"/>
      <c r="BDS101" s="142"/>
      <c r="BDT101" s="142"/>
      <c r="BDU101" s="142"/>
      <c r="BDV101" s="142"/>
      <c r="BDW101" s="142"/>
      <c r="BDX101" s="142"/>
      <c r="BDY101" s="142"/>
      <c r="BDZ101" s="142"/>
      <c r="BEA101" s="142"/>
      <c r="BEB101" s="142"/>
      <c r="BEC101" s="142"/>
      <c r="BED101" s="142"/>
      <c r="BEE101" s="142"/>
      <c r="BEF101" s="142"/>
      <c r="BEG101" s="142"/>
      <c r="BEH101" s="142"/>
      <c r="BEI101" s="142"/>
      <c r="BEJ101" s="142"/>
      <c r="BEK101" s="142"/>
      <c r="BEL101" s="142"/>
      <c r="BEM101" s="142"/>
      <c r="BEN101" s="142"/>
      <c r="BEO101" s="142"/>
      <c r="BEP101" s="142"/>
      <c r="BEQ101" s="142"/>
      <c r="BER101" s="142"/>
      <c r="BES101" s="142"/>
      <c r="BET101" s="142"/>
      <c r="BEU101" s="142"/>
      <c r="BEV101" s="142"/>
      <c r="BEW101" s="142"/>
      <c r="BEX101" s="142"/>
      <c r="BEY101" s="142"/>
      <c r="BEZ101" s="142"/>
      <c r="BFA101" s="142"/>
      <c r="BFB101" s="142"/>
      <c r="BFC101" s="142"/>
      <c r="BFD101" s="142"/>
      <c r="BFE101" s="142"/>
      <c r="BFF101" s="142"/>
      <c r="BFG101" s="142"/>
      <c r="BFH101" s="142"/>
      <c r="BFI101" s="142"/>
      <c r="BFJ101" s="142"/>
      <c r="BFK101" s="142"/>
      <c r="BFL101" s="142"/>
      <c r="BFM101" s="142"/>
      <c r="BFN101" s="142"/>
      <c r="BFO101" s="142"/>
      <c r="BFP101" s="142"/>
      <c r="BFQ101" s="142"/>
      <c r="BFR101" s="142"/>
      <c r="BFS101" s="142"/>
      <c r="BFT101" s="142"/>
      <c r="BFU101" s="142"/>
      <c r="BFV101" s="142"/>
      <c r="BFW101" s="142"/>
      <c r="BFX101" s="142"/>
      <c r="BFY101" s="142"/>
      <c r="BFZ101" s="142"/>
      <c r="BGA101" s="142"/>
      <c r="BGB101" s="142"/>
      <c r="BGC101" s="142"/>
      <c r="BGD101" s="142"/>
      <c r="BGE101" s="142"/>
      <c r="BGF101" s="142"/>
      <c r="BGG101" s="142"/>
      <c r="BGH101" s="142"/>
      <c r="BGI101" s="142"/>
      <c r="BGJ101" s="142"/>
      <c r="BGK101" s="142"/>
      <c r="BGL101" s="142"/>
      <c r="BGM101" s="142"/>
      <c r="BGN101" s="142"/>
      <c r="BGO101" s="142"/>
      <c r="BGP101" s="142"/>
      <c r="BGQ101" s="142"/>
      <c r="BGR101" s="142"/>
      <c r="BGS101" s="142"/>
      <c r="BGT101" s="142"/>
      <c r="BGU101" s="142"/>
      <c r="BGV101" s="142"/>
      <c r="BGW101" s="142"/>
      <c r="BGX101" s="142"/>
      <c r="BGY101" s="142"/>
      <c r="BGZ101" s="142"/>
      <c r="BHA101" s="142"/>
      <c r="BHB101" s="142"/>
      <c r="BHC101" s="142"/>
      <c r="BHD101" s="142"/>
      <c r="BHE101" s="142"/>
      <c r="BHF101" s="142"/>
      <c r="BHG101" s="142"/>
      <c r="BHH101" s="142"/>
      <c r="BHI101" s="142"/>
      <c r="BHJ101" s="142"/>
      <c r="BHK101" s="142"/>
      <c r="BHL101" s="142"/>
      <c r="BHM101" s="142"/>
      <c r="BHN101" s="142"/>
      <c r="BHO101" s="142"/>
      <c r="BHP101" s="142"/>
      <c r="BHQ101" s="142"/>
      <c r="BHR101" s="142"/>
      <c r="BHS101" s="142"/>
      <c r="BHT101" s="142"/>
      <c r="BHU101" s="142"/>
      <c r="BHV101" s="142"/>
      <c r="BHW101" s="142"/>
      <c r="BHX101" s="142"/>
      <c r="BHY101" s="142"/>
      <c r="BHZ101" s="142"/>
      <c r="BIA101" s="142"/>
      <c r="BIB101" s="142"/>
      <c r="BIC101" s="142"/>
      <c r="BID101" s="142"/>
      <c r="BIE101" s="142"/>
      <c r="BIF101" s="142"/>
      <c r="BIG101" s="142"/>
      <c r="BIH101" s="142"/>
      <c r="BII101" s="142"/>
      <c r="BIJ101" s="142"/>
      <c r="BIK101" s="142"/>
      <c r="BIL101" s="142"/>
      <c r="BIM101" s="142"/>
      <c r="BIN101" s="142"/>
      <c r="BIO101" s="142"/>
      <c r="BIP101" s="142"/>
      <c r="BIQ101" s="142"/>
      <c r="BIR101" s="142"/>
      <c r="BIS101" s="142"/>
      <c r="BIT101" s="142"/>
      <c r="BIU101" s="142"/>
      <c r="BIV101" s="142"/>
      <c r="BIW101" s="142"/>
      <c r="BIX101" s="142"/>
      <c r="BIY101" s="142"/>
      <c r="BIZ101" s="142"/>
      <c r="BJA101" s="142"/>
      <c r="BJB101" s="142"/>
      <c r="BJC101" s="142"/>
      <c r="BJD101" s="142"/>
      <c r="BJE101" s="142"/>
      <c r="BJF101" s="142"/>
      <c r="BJG101" s="142"/>
      <c r="BJH101" s="142"/>
      <c r="BJI101" s="142"/>
      <c r="BJJ101" s="142"/>
      <c r="BJK101" s="142"/>
      <c r="BJL101" s="142"/>
      <c r="BJM101" s="142"/>
      <c r="BJN101" s="142"/>
      <c r="BJO101" s="142"/>
      <c r="BJP101" s="142"/>
      <c r="BJQ101" s="142"/>
      <c r="BJR101" s="142"/>
      <c r="BJS101" s="142"/>
      <c r="BJT101" s="142"/>
      <c r="BJU101" s="142"/>
      <c r="BJV101" s="142"/>
      <c r="BJW101" s="142"/>
      <c r="BJX101" s="142"/>
      <c r="BJY101" s="142"/>
      <c r="BJZ101" s="142"/>
      <c r="BKA101" s="142"/>
      <c r="BKB101" s="142"/>
      <c r="BKC101" s="142"/>
      <c r="BKD101" s="142"/>
      <c r="BKE101" s="142"/>
      <c r="BKF101" s="142"/>
      <c r="BKG101" s="142"/>
      <c r="BKH101" s="142"/>
      <c r="BKI101" s="142"/>
      <c r="BKJ101" s="142"/>
      <c r="BKK101" s="142"/>
      <c r="BKL101" s="142"/>
      <c r="BKM101" s="142"/>
      <c r="BKN101" s="142"/>
      <c r="BKO101" s="142"/>
      <c r="BKP101" s="142"/>
      <c r="BKQ101" s="142"/>
      <c r="BKR101" s="142"/>
      <c r="BKS101" s="142"/>
      <c r="BKT101" s="142"/>
      <c r="BKU101" s="142"/>
      <c r="BKV101" s="142"/>
      <c r="BKW101" s="142"/>
      <c r="BKX101" s="142"/>
      <c r="BKY101" s="142"/>
      <c r="BKZ101" s="142"/>
      <c r="BLA101" s="142"/>
      <c r="BLB101" s="142"/>
      <c r="BLC101" s="142"/>
      <c r="BLD101" s="142"/>
      <c r="BLE101" s="142"/>
      <c r="BLF101" s="142"/>
      <c r="BLG101" s="142"/>
      <c r="BLH101" s="142"/>
      <c r="BLI101" s="142"/>
      <c r="BLJ101" s="142"/>
      <c r="BLK101" s="142"/>
      <c r="BLL101" s="142"/>
      <c r="BLM101" s="142"/>
      <c r="BLN101" s="142"/>
      <c r="BLO101" s="142"/>
      <c r="BLP101" s="142"/>
      <c r="BLQ101" s="142"/>
      <c r="BLR101" s="142"/>
      <c r="BLS101" s="142"/>
      <c r="BLT101" s="142"/>
      <c r="BLU101" s="142"/>
      <c r="BLV101" s="142"/>
      <c r="BLW101" s="142"/>
      <c r="BLX101" s="142"/>
      <c r="BLY101" s="142"/>
      <c r="BLZ101" s="142"/>
      <c r="BMA101" s="142"/>
      <c r="BMB101" s="142"/>
      <c r="BMC101" s="142"/>
      <c r="BMD101" s="142"/>
      <c r="BME101" s="142"/>
      <c r="BMF101" s="142"/>
      <c r="BMG101" s="142"/>
      <c r="BMH101" s="142"/>
      <c r="BMI101" s="142"/>
      <c r="BMJ101" s="142"/>
      <c r="BMK101" s="142"/>
      <c r="BML101" s="142"/>
      <c r="BMM101" s="142"/>
      <c r="BMN101" s="142"/>
      <c r="BMO101" s="142"/>
      <c r="BMP101" s="142"/>
      <c r="BMQ101" s="142"/>
      <c r="BMR101" s="142"/>
      <c r="BMS101" s="142"/>
      <c r="BMT101" s="142"/>
      <c r="BMU101" s="142"/>
      <c r="BMV101" s="142"/>
      <c r="BMW101" s="142"/>
      <c r="BMX101" s="142"/>
      <c r="BMY101" s="142"/>
      <c r="BMZ101" s="142"/>
      <c r="BNA101" s="142"/>
      <c r="BNB101" s="142"/>
      <c r="BNC101" s="142"/>
      <c r="BND101" s="142"/>
      <c r="BNE101" s="142"/>
      <c r="BNF101" s="142"/>
      <c r="BNG101" s="142"/>
      <c r="BNH101" s="142"/>
      <c r="BNI101" s="142"/>
      <c r="BNJ101" s="142"/>
      <c r="BNK101" s="142"/>
      <c r="BNL101" s="142"/>
      <c r="BNM101" s="142"/>
      <c r="BNN101" s="142"/>
      <c r="BNO101" s="142"/>
      <c r="BNP101" s="142"/>
      <c r="BNQ101" s="142"/>
      <c r="BNR101" s="142"/>
      <c r="BNS101" s="142"/>
      <c r="BNT101" s="142"/>
      <c r="BNU101" s="142"/>
      <c r="BNV101" s="142"/>
      <c r="BNW101" s="142"/>
      <c r="BNX101" s="142"/>
      <c r="BNY101" s="142"/>
      <c r="BNZ101" s="142"/>
      <c r="BOA101" s="142"/>
      <c r="BOB101" s="142"/>
      <c r="BOC101" s="142"/>
      <c r="BOD101" s="142"/>
      <c r="BOE101" s="142"/>
      <c r="BOF101" s="142"/>
      <c r="BOG101" s="142"/>
      <c r="BOH101" s="142"/>
      <c r="BOI101" s="142"/>
      <c r="BOJ101" s="142"/>
      <c r="BOK101" s="142"/>
      <c r="BOL101" s="142"/>
      <c r="BOM101" s="142"/>
      <c r="BON101" s="142"/>
      <c r="BOO101" s="142"/>
      <c r="BOP101" s="142"/>
      <c r="BOQ101" s="142"/>
      <c r="BOR101" s="142"/>
      <c r="BOS101" s="142"/>
      <c r="BOT101" s="142"/>
      <c r="BOU101" s="142"/>
      <c r="BOV101" s="142"/>
      <c r="BOW101" s="142"/>
      <c r="BOX101" s="142"/>
      <c r="BOY101" s="142"/>
      <c r="BOZ101" s="142"/>
      <c r="BPA101" s="142"/>
      <c r="BPB101" s="142"/>
      <c r="BPC101" s="142"/>
      <c r="BPD101" s="142"/>
      <c r="BPE101" s="142"/>
      <c r="BPF101" s="142"/>
      <c r="BPG101" s="142"/>
      <c r="BPH101" s="142"/>
      <c r="BPI101" s="142"/>
      <c r="BPJ101" s="142"/>
      <c r="BPK101" s="142"/>
      <c r="BPL101" s="142"/>
      <c r="BPM101" s="142"/>
      <c r="BPN101" s="142"/>
      <c r="BPO101" s="142"/>
      <c r="BPP101" s="142"/>
      <c r="BPQ101" s="142"/>
      <c r="BPR101" s="142"/>
      <c r="BPS101" s="142"/>
      <c r="BPT101" s="142"/>
      <c r="BPU101" s="142"/>
      <c r="BPV101" s="142"/>
      <c r="BPW101" s="142"/>
      <c r="BPX101" s="142"/>
      <c r="BPY101" s="142"/>
      <c r="BPZ101" s="142"/>
      <c r="BQA101" s="142"/>
      <c r="BQB101" s="142"/>
      <c r="BQC101" s="142"/>
      <c r="BQD101" s="142"/>
      <c r="BQE101" s="142"/>
      <c r="BQF101" s="142"/>
      <c r="BQG101" s="142"/>
      <c r="BQH101" s="142"/>
      <c r="BQI101" s="142"/>
      <c r="BQJ101" s="142"/>
      <c r="BQK101" s="142"/>
      <c r="BQL101" s="142"/>
      <c r="BQM101" s="142"/>
      <c r="BQN101" s="142"/>
      <c r="BQO101" s="142"/>
      <c r="BQP101" s="142"/>
      <c r="BQQ101" s="142"/>
      <c r="BQR101" s="142"/>
      <c r="BQS101" s="142"/>
      <c r="BQT101" s="142"/>
      <c r="BQU101" s="142"/>
      <c r="BQV101" s="142"/>
      <c r="BQW101" s="142"/>
      <c r="BQX101" s="142"/>
      <c r="BQY101" s="142"/>
      <c r="BQZ101" s="142"/>
      <c r="BRA101" s="142"/>
      <c r="BRB101" s="142"/>
      <c r="BRC101" s="142"/>
      <c r="BRD101" s="142"/>
      <c r="BRE101" s="142"/>
      <c r="BRF101" s="142"/>
      <c r="BRG101" s="142"/>
      <c r="BRH101" s="142"/>
      <c r="BRI101" s="142"/>
      <c r="BRJ101" s="142"/>
      <c r="BRK101" s="142"/>
      <c r="BRL101" s="142"/>
      <c r="BRM101" s="142"/>
      <c r="BRN101" s="142"/>
      <c r="BRO101" s="142"/>
      <c r="BRP101" s="142"/>
      <c r="BRQ101" s="142"/>
      <c r="BRR101" s="142"/>
      <c r="BRS101" s="142"/>
      <c r="BRT101" s="142"/>
      <c r="BRU101" s="142"/>
      <c r="BRV101" s="142"/>
      <c r="BRW101" s="142"/>
      <c r="BRX101" s="142"/>
      <c r="BRY101" s="142"/>
      <c r="BRZ101" s="142"/>
      <c r="BSA101" s="142"/>
      <c r="BSB101" s="142"/>
      <c r="BSC101" s="142"/>
      <c r="BSD101" s="142"/>
      <c r="BSE101" s="142"/>
      <c r="BSF101" s="142"/>
      <c r="BSG101" s="142"/>
      <c r="BSH101" s="142"/>
      <c r="BSI101" s="142"/>
      <c r="BSJ101" s="142"/>
      <c r="BSK101" s="142"/>
      <c r="BSL101" s="142"/>
      <c r="BSM101" s="142"/>
      <c r="BSN101" s="142"/>
      <c r="BSO101" s="142"/>
      <c r="BSP101" s="142"/>
      <c r="BSQ101" s="142"/>
      <c r="BSR101" s="142"/>
      <c r="BSS101" s="142"/>
      <c r="BST101" s="142"/>
      <c r="BSU101" s="142"/>
      <c r="BSV101" s="142"/>
      <c r="BSW101" s="142"/>
      <c r="BSX101" s="142"/>
      <c r="BSY101" s="142"/>
      <c r="BSZ101" s="142"/>
      <c r="BTA101" s="142"/>
      <c r="BTB101" s="142"/>
      <c r="BTC101" s="142"/>
      <c r="BTD101" s="142"/>
      <c r="BTE101" s="142"/>
      <c r="BTF101" s="142"/>
      <c r="BTG101" s="142"/>
      <c r="BTH101" s="142"/>
      <c r="BTI101" s="142"/>
      <c r="BTJ101" s="142"/>
      <c r="BTK101" s="142"/>
      <c r="BTL101" s="142"/>
      <c r="BTM101" s="142"/>
      <c r="BTN101" s="142"/>
      <c r="BTO101" s="142"/>
      <c r="BTP101" s="142"/>
      <c r="BTQ101" s="142"/>
      <c r="BTR101" s="142"/>
      <c r="BTS101" s="142"/>
      <c r="BTT101" s="142"/>
      <c r="BTU101" s="142"/>
      <c r="BTV101" s="142"/>
      <c r="BTW101" s="142"/>
      <c r="BTX101" s="142"/>
      <c r="BTY101" s="142"/>
      <c r="BTZ101" s="142"/>
      <c r="BUA101" s="142"/>
      <c r="BUB101" s="142"/>
      <c r="BUC101" s="142"/>
      <c r="BUD101" s="142"/>
      <c r="BUE101" s="142"/>
      <c r="BUF101" s="142"/>
      <c r="BUG101" s="142"/>
      <c r="BUH101" s="142"/>
      <c r="BUI101" s="142"/>
      <c r="BUJ101" s="142"/>
      <c r="BUK101" s="142"/>
      <c r="BUL101" s="142"/>
      <c r="BUM101" s="142"/>
      <c r="BUN101" s="142"/>
      <c r="BUO101" s="142"/>
      <c r="BUP101" s="142"/>
      <c r="BUQ101" s="142"/>
      <c r="BUR101" s="142"/>
      <c r="BUS101" s="142"/>
      <c r="BUT101" s="142"/>
      <c r="BUU101" s="142"/>
      <c r="BUV101" s="142"/>
      <c r="BUW101" s="142"/>
      <c r="BUX101" s="142"/>
      <c r="BUY101" s="142"/>
      <c r="BUZ101" s="142"/>
      <c r="BVA101" s="142"/>
      <c r="BVB101" s="142"/>
      <c r="BVC101" s="142"/>
      <c r="BVD101" s="142"/>
      <c r="BVE101" s="142"/>
      <c r="BVF101" s="142"/>
      <c r="BVG101" s="142"/>
      <c r="BVH101" s="142"/>
      <c r="BVI101" s="142"/>
      <c r="BVJ101" s="142"/>
      <c r="BVK101" s="142"/>
      <c r="BVL101" s="142"/>
      <c r="BVM101" s="142"/>
      <c r="BVN101" s="142"/>
      <c r="BVO101" s="142"/>
      <c r="BVP101" s="142"/>
      <c r="BVQ101" s="142"/>
      <c r="BVR101" s="142"/>
      <c r="BVS101" s="142"/>
      <c r="BVT101" s="142"/>
      <c r="BVU101" s="142"/>
      <c r="BVV101" s="142"/>
      <c r="BVW101" s="142"/>
      <c r="BVX101" s="142"/>
      <c r="BVY101" s="142"/>
      <c r="BVZ101" s="142"/>
      <c r="BWA101" s="142"/>
      <c r="BWB101" s="142"/>
      <c r="BWC101" s="142"/>
      <c r="BWD101" s="142"/>
      <c r="BWE101" s="142"/>
      <c r="BWF101" s="142"/>
      <c r="BWG101" s="142"/>
      <c r="BWH101" s="142"/>
      <c r="BWI101" s="142"/>
      <c r="BWJ101" s="142"/>
      <c r="BWK101" s="142"/>
      <c r="BWL101" s="142"/>
      <c r="BWM101" s="142"/>
      <c r="BWN101" s="142"/>
      <c r="BWO101" s="142"/>
      <c r="BWP101" s="142"/>
      <c r="BWQ101" s="142"/>
      <c r="BWR101" s="142"/>
      <c r="BWS101" s="142"/>
      <c r="BWT101" s="142"/>
      <c r="BWU101" s="142"/>
      <c r="BWV101" s="142"/>
      <c r="BWW101" s="142"/>
      <c r="BWX101" s="142"/>
      <c r="BWY101" s="142"/>
      <c r="BWZ101" s="142"/>
      <c r="BXA101" s="142"/>
      <c r="BXB101" s="142"/>
      <c r="BXC101" s="142"/>
      <c r="BXD101" s="142"/>
      <c r="BXE101" s="142"/>
      <c r="BXF101" s="142"/>
      <c r="BXG101" s="142"/>
      <c r="BXH101" s="142"/>
      <c r="BXI101" s="142"/>
      <c r="BXJ101" s="142"/>
      <c r="BXK101" s="142"/>
      <c r="BXL101" s="142"/>
      <c r="BXM101" s="142"/>
      <c r="BXN101" s="142"/>
      <c r="BXO101" s="142"/>
      <c r="BXP101" s="142"/>
      <c r="BXQ101" s="142"/>
      <c r="BXR101" s="142"/>
      <c r="BXS101" s="142"/>
      <c r="BXT101" s="142"/>
      <c r="BXU101" s="142"/>
      <c r="BXV101" s="142"/>
      <c r="BXW101" s="142"/>
      <c r="BXX101" s="142"/>
      <c r="BXY101" s="142"/>
      <c r="BXZ101" s="142"/>
      <c r="BYA101" s="142"/>
      <c r="BYB101" s="142"/>
      <c r="BYC101" s="142"/>
      <c r="BYD101" s="142"/>
      <c r="BYE101" s="142"/>
      <c r="BYF101" s="142"/>
      <c r="BYG101" s="142"/>
      <c r="BYH101" s="142"/>
      <c r="BYI101" s="142"/>
      <c r="BYJ101" s="142"/>
      <c r="BYK101" s="142"/>
      <c r="BYL101" s="142"/>
      <c r="BYM101" s="142"/>
      <c r="BYN101" s="142"/>
      <c r="BYO101" s="142"/>
      <c r="BYP101" s="142"/>
      <c r="BYQ101" s="142"/>
      <c r="BYR101" s="142"/>
      <c r="BYS101" s="142"/>
      <c r="BYT101" s="142"/>
      <c r="BYU101" s="142"/>
      <c r="BYV101" s="142"/>
      <c r="BYW101" s="142"/>
      <c r="BYX101" s="142"/>
      <c r="BYY101" s="142"/>
      <c r="BYZ101" s="142"/>
      <c r="BZA101" s="142"/>
      <c r="BZB101" s="142"/>
      <c r="BZC101" s="142"/>
      <c r="BZD101" s="142"/>
      <c r="BZE101" s="142"/>
      <c r="BZF101" s="142"/>
      <c r="BZG101" s="142"/>
      <c r="BZH101" s="142"/>
      <c r="BZI101" s="142"/>
      <c r="BZJ101" s="142"/>
      <c r="BZK101" s="142"/>
      <c r="BZL101" s="142"/>
      <c r="BZM101" s="142"/>
      <c r="BZN101" s="142"/>
      <c r="BZO101" s="142"/>
      <c r="BZP101" s="142"/>
      <c r="BZQ101" s="142"/>
      <c r="BZR101" s="142"/>
      <c r="BZS101" s="142"/>
      <c r="BZT101" s="142"/>
      <c r="BZU101" s="142"/>
      <c r="BZV101" s="142"/>
      <c r="BZW101" s="142"/>
      <c r="BZX101" s="142"/>
      <c r="BZY101" s="142"/>
      <c r="BZZ101" s="142"/>
      <c r="CAA101" s="142"/>
      <c r="CAB101" s="142"/>
      <c r="CAC101" s="142"/>
      <c r="CAD101" s="142"/>
      <c r="CAE101" s="142"/>
      <c r="CAF101" s="142"/>
      <c r="CAG101" s="142"/>
      <c r="CAH101" s="142"/>
      <c r="CAI101" s="142"/>
      <c r="CAJ101" s="142"/>
      <c r="CAK101" s="142"/>
      <c r="CAL101" s="142"/>
      <c r="CAM101" s="142"/>
      <c r="CAN101" s="142"/>
      <c r="CAO101" s="142"/>
      <c r="CAP101" s="142"/>
      <c r="CAQ101" s="142"/>
      <c r="CAR101" s="142"/>
      <c r="CAS101" s="142"/>
      <c r="CAT101" s="142"/>
      <c r="CAU101" s="142"/>
      <c r="CAV101" s="142"/>
      <c r="CAW101" s="142"/>
      <c r="CAX101" s="142"/>
      <c r="CAY101" s="142"/>
      <c r="CAZ101" s="142"/>
      <c r="CBA101" s="142"/>
      <c r="CBB101" s="142"/>
      <c r="CBC101" s="142"/>
      <c r="CBD101" s="142"/>
      <c r="CBE101" s="142"/>
      <c r="CBF101" s="142"/>
      <c r="CBG101" s="142"/>
      <c r="CBH101" s="142"/>
      <c r="CBI101" s="142"/>
      <c r="CBJ101" s="142"/>
      <c r="CBK101" s="142"/>
      <c r="CBL101" s="142"/>
      <c r="CBM101" s="142"/>
      <c r="CBN101" s="142"/>
      <c r="CBO101" s="142"/>
      <c r="CBP101" s="142"/>
      <c r="CBQ101" s="142"/>
      <c r="CBR101" s="142"/>
      <c r="CBS101" s="142"/>
      <c r="CBT101" s="142"/>
      <c r="CBU101" s="142"/>
      <c r="CBV101" s="142"/>
      <c r="CBW101" s="142"/>
      <c r="CBX101" s="142"/>
      <c r="CBY101" s="142"/>
      <c r="CBZ101" s="142"/>
      <c r="CCA101" s="142"/>
      <c r="CCB101" s="142"/>
      <c r="CCC101" s="142"/>
      <c r="CCD101" s="142"/>
      <c r="CCE101" s="142"/>
      <c r="CCF101" s="142"/>
      <c r="CCG101" s="142"/>
      <c r="CCH101" s="142"/>
      <c r="CCI101" s="142"/>
      <c r="CCJ101" s="142"/>
      <c r="CCK101" s="142"/>
      <c r="CCL101" s="142"/>
      <c r="CCM101" s="142"/>
      <c r="CCN101" s="142"/>
      <c r="CCO101" s="142"/>
      <c r="CCP101" s="142"/>
      <c r="CCQ101" s="142"/>
      <c r="CCR101" s="142"/>
      <c r="CCS101" s="142"/>
      <c r="CCT101" s="142"/>
      <c r="CCU101" s="142"/>
      <c r="CCV101" s="142"/>
      <c r="CCW101" s="142"/>
      <c r="CCX101" s="142"/>
      <c r="CCY101" s="142"/>
      <c r="CCZ101" s="142"/>
      <c r="CDA101" s="142"/>
      <c r="CDB101" s="142"/>
      <c r="CDC101" s="142"/>
      <c r="CDD101" s="142"/>
      <c r="CDE101" s="142"/>
      <c r="CDF101" s="142"/>
      <c r="CDG101" s="142"/>
      <c r="CDH101" s="142"/>
      <c r="CDI101" s="142"/>
      <c r="CDJ101" s="142"/>
      <c r="CDK101" s="142"/>
      <c r="CDL101" s="142"/>
      <c r="CDM101" s="142"/>
      <c r="CDN101" s="142"/>
      <c r="CDO101" s="142"/>
      <c r="CDP101" s="142"/>
      <c r="CDQ101" s="142"/>
      <c r="CDR101" s="142"/>
      <c r="CDS101" s="142"/>
      <c r="CDT101" s="142"/>
      <c r="CDU101" s="142"/>
      <c r="CDV101" s="142"/>
      <c r="CDW101" s="142"/>
      <c r="CDX101" s="142"/>
      <c r="CDY101" s="142"/>
      <c r="CDZ101" s="142"/>
      <c r="CEA101" s="142"/>
      <c r="CEB101" s="142"/>
      <c r="CEC101" s="142"/>
      <c r="CED101" s="142"/>
      <c r="CEE101" s="142"/>
      <c r="CEF101" s="142"/>
      <c r="CEG101" s="142"/>
      <c r="CEH101" s="142"/>
      <c r="CEI101" s="142"/>
      <c r="CEJ101" s="142"/>
      <c r="CEK101" s="142"/>
      <c r="CEL101" s="142"/>
      <c r="CEM101" s="142"/>
      <c r="CEN101" s="142"/>
      <c r="CEO101" s="142"/>
      <c r="CEP101" s="142"/>
      <c r="CEQ101" s="142"/>
      <c r="CER101" s="142"/>
      <c r="CES101" s="142"/>
      <c r="CET101" s="142"/>
      <c r="CEU101" s="142"/>
      <c r="CEV101" s="142"/>
      <c r="CEW101" s="142"/>
      <c r="CEX101" s="142"/>
      <c r="CEY101" s="142"/>
      <c r="CEZ101" s="142"/>
      <c r="CFA101" s="142"/>
      <c r="CFB101" s="142"/>
      <c r="CFC101" s="142"/>
      <c r="CFD101" s="142"/>
      <c r="CFE101" s="142"/>
      <c r="CFF101" s="142"/>
      <c r="CFG101" s="142"/>
      <c r="CFH101" s="142"/>
      <c r="CFI101" s="142"/>
      <c r="CFJ101" s="142"/>
      <c r="CFK101" s="142"/>
      <c r="CFL101" s="142"/>
      <c r="CFM101" s="142"/>
      <c r="CFN101" s="142"/>
      <c r="CFO101" s="142"/>
      <c r="CFP101" s="142"/>
      <c r="CFQ101" s="142"/>
      <c r="CFR101" s="142"/>
      <c r="CFS101" s="142"/>
      <c r="CFT101" s="142"/>
      <c r="CFU101" s="142"/>
      <c r="CFV101" s="142"/>
      <c r="CFW101" s="142"/>
      <c r="CFX101" s="142"/>
      <c r="CFY101" s="142"/>
      <c r="CFZ101" s="142"/>
      <c r="CGA101" s="142"/>
      <c r="CGB101" s="142"/>
      <c r="CGC101" s="142"/>
      <c r="CGD101" s="142"/>
      <c r="CGE101" s="142"/>
      <c r="CGF101" s="142"/>
      <c r="CGG101" s="142"/>
      <c r="CGH101" s="142"/>
      <c r="CGI101" s="142"/>
      <c r="CGJ101" s="142"/>
      <c r="CGK101" s="142"/>
      <c r="CGL101" s="142"/>
      <c r="CGM101" s="142"/>
      <c r="CGN101" s="142"/>
      <c r="CGO101" s="142"/>
      <c r="CGP101" s="142"/>
      <c r="CGQ101" s="142"/>
      <c r="CGR101" s="142"/>
      <c r="CGS101" s="142"/>
      <c r="CGT101" s="142"/>
      <c r="CGU101" s="142"/>
      <c r="CGV101" s="142"/>
      <c r="CGW101" s="142"/>
      <c r="CGX101" s="142"/>
      <c r="CGY101" s="142"/>
      <c r="CGZ101" s="142"/>
      <c r="CHA101" s="142"/>
      <c r="CHB101" s="142"/>
      <c r="CHC101" s="142"/>
      <c r="CHD101" s="142"/>
      <c r="CHE101" s="142"/>
      <c r="CHF101" s="142"/>
      <c r="CHG101" s="142"/>
      <c r="CHH101" s="142"/>
      <c r="CHI101" s="142"/>
      <c r="CHJ101" s="142"/>
      <c r="CHK101" s="142"/>
      <c r="CHL101" s="142"/>
      <c r="CHM101" s="142"/>
      <c r="CHN101" s="142"/>
      <c r="CHO101" s="142"/>
      <c r="CHP101" s="142"/>
      <c r="CHQ101" s="142"/>
      <c r="CHR101" s="142"/>
      <c r="CHS101" s="142"/>
      <c r="CHT101" s="142"/>
      <c r="CHU101" s="142"/>
      <c r="CHV101" s="142"/>
      <c r="CHW101" s="142"/>
      <c r="CHX101" s="142"/>
      <c r="CHY101" s="142"/>
      <c r="CHZ101" s="142"/>
      <c r="CIA101" s="142"/>
      <c r="CIB101" s="142"/>
      <c r="CIC101" s="142"/>
      <c r="CID101" s="142"/>
      <c r="CIE101" s="142"/>
      <c r="CIF101" s="142"/>
      <c r="CIG101" s="142"/>
      <c r="CIH101" s="142"/>
      <c r="CII101" s="142"/>
      <c r="CIJ101" s="142"/>
      <c r="CIK101" s="142"/>
      <c r="CIL101" s="142"/>
      <c r="CIM101" s="142"/>
      <c r="CIN101" s="142"/>
      <c r="CIO101" s="142"/>
      <c r="CIP101" s="142"/>
      <c r="CIQ101" s="142"/>
      <c r="CIR101" s="142"/>
      <c r="CIS101" s="142"/>
      <c r="CIT101" s="142"/>
      <c r="CIU101" s="142"/>
      <c r="CIV101" s="142"/>
      <c r="CIW101" s="142"/>
      <c r="CIX101" s="142"/>
      <c r="CIY101" s="142"/>
      <c r="CIZ101" s="142"/>
      <c r="CJA101" s="142"/>
      <c r="CJB101" s="142"/>
      <c r="CJC101" s="142"/>
      <c r="CJD101" s="142"/>
      <c r="CJE101" s="142"/>
      <c r="CJF101" s="142"/>
      <c r="CJG101" s="142"/>
      <c r="CJH101" s="142"/>
      <c r="CJI101" s="142"/>
      <c r="CJJ101" s="142"/>
      <c r="CJK101" s="142"/>
      <c r="CJL101" s="142"/>
      <c r="CJM101" s="142"/>
      <c r="CJN101" s="142"/>
      <c r="CJO101" s="142"/>
      <c r="CJP101" s="142"/>
      <c r="CJQ101" s="142"/>
      <c r="CJR101" s="142"/>
      <c r="CJS101" s="142"/>
      <c r="CJT101" s="142"/>
      <c r="CJU101" s="142"/>
      <c r="CJV101" s="142"/>
      <c r="CJW101" s="142"/>
      <c r="CJX101" s="142"/>
      <c r="CJY101" s="142"/>
      <c r="CJZ101" s="142"/>
      <c r="CKA101" s="142"/>
      <c r="CKB101" s="142"/>
      <c r="CKC101" s="142"/>
      <c r="CKD101" s="142"/>
      <c r="CKE101" s="142"/>
      <c r="CKF101" s="142"/>
      <c r="CKG101" s="142"/>
      <c r="CKH101" s="142"/>
      <c r="CKI101" s="142"/>
      <c r="CKJ101" s="142"/>
      <c r="CKK101" s="142"/>
      <c r="CKL101" s="142"/>
      <c r="CKM101" s="142"/>
      <c r="CKN101" s="142"/>
      <c r="CKO101" s="142"/>
      <c r="CKP101" s="142"/>
      <c r="CKQ101" s="142"/>
      <c r="CKR101" s="142"/>
      <c r="CKS101" s="142"/>
      <c r="CKT101" s="142"/>
      <c r="CKU101" s="142"/>
      <c r="CKV101" s="142"/>
      <c r="CKW101" s="142"/>
      <c r="CKX101" s="142"/>
      <c r="CKY101" s="142"/>
      <c r="CKZ101" s="142"/>
      <c r="CLA101" s="142"/>
      <c r="CLB101" s="142"/>
      <c r="CLC101" s="142"/>
      <c r="CLD101" s="142"/>
      <c r="CLE101" s="142"/>
      <c r="CLF101" s="142"/>
      <c r="CLG101" s="142"/>
      <c r="CLH101" s="142"/>
      <c r="CLI101" s="142"/>
      <c r="CLJ101" s="142"/>
      <c r="CLK101" s="142"/>
      <c r="CLL101" s="142"/>
      <c r="CLM101" s="142"/>
      <c r="CLN101" s="142"/>
      <c r="CLO101" s="142"/>
      <c r="CLP101" s="142"/>
      <c r="CLQ101" s="142"/>
      <c r="CLR101" s="142"/>
      <c r="CLS101" s="142"/>
      <c r="CLT101" s="142"/>
      <c r="CLU101" s="142"/>
      <c r="CLV101" s="142"/>
      <c r="CLW101" s="142"/>
      <c r="CLX101" s="142"/>
      <c r="CLY101" s="142"/>
      <c r="CLZ101" s="142"/>
      <c r="CMA101" s="142"/>
      <c r="CMB101" s="142"/>
      <c r="CMC101" s="142"/>
      <c r="CMD101" s="142"/>
      <c r="CME101" s="142"/>
      <c r="CMF101" s="142"/>
      <c r="CMG101" s="142"/>
      <c r="CMH101" s="142"/>
      <c r="CMI101" s="142"/>
      <c r="CMJ101" s="142"/>
      <c r="CMK101" s="142"/>
      <c r="CML101" s="142"/>
      <c r="CMM101" s="142"/>
      <c r="CMN101" s="142"/>
      <c r="CMO101" s="142"/>
      <c r="CMP101" s="142"/>
      <c r="CMQ101" s="142"/>
      <c r="CMR101" s="142"/>
      <c r="CMS101" s="142"/>
      <c r="CMT101" s="142"/>
      <c r="CMU101" s="142"/>
      <c r="CMV101" s="142"/>
      <c r="CMW101" s="142"/>
      <c r="CMX101" s="142"/>
      <c r="CMY101" s="142"/>
      <c r="CMZ101" s="142"/>
      <c r="CNA101" s="142"/>
      <c r="CNB101" s="142"/>
      <c r="CNC101" s="142"/>
      <c r="CND101" s="142"/>
      <c r="CNE101" s="142"/>
      <c r="CNF101" s="142"/>
      <c r="CNG101" s="142"/>
      <c r="CNH101" s="142"/>
      <c r="CNI101" s="142"/>
      <c r="CNJ101" s="142"/>
      <c r="CNK101" s="142"/>
      <c r="CNL101" s="142"/>
      <c r="CNM101" s="142"/>
      <c r="CNN101" s="142"/>
      <c r="CNO101" s="142"/>
      <c r="CNP101" s="142"/>
      <c r="CNQ101" s="142"/>
      <c r="CNR101" s="142"/>
      <c r="CNS101" s="142"/>
      <c r="CNT101" s="142"/>
      <c r="CNU101" s="142"/>
      <c r="CNV101" s="142"/>
      <c r="CNW101" s="142"/>
      <c r="CNX101" s="142"/>
      <c r="CNY101" s="142"/>
      <c r="CNZ101" s="142"/>
      <c r="COA101" s="142"/>
      <c r="COB101" s="142"/>
      <c r="COC101" s="142"/>
      <c r="COD101" s="142"/>
      <c r="COE101" s="142"/>
      <c r="COF101" s="142"/>
      <c r="COG101" s="142"/>
      <c r="COH101" s="142"/>
      <c r="COI101" s="142"/>
      <c r="COJ101" s="142"/>
      <c r="COK101" s="142"/>
      <c r="COL101" s="142"/>
      <c r="COM101" s="142"/>
      <c r="CON101" s="142"/>
      <c r="COO101" s="142"/>
      <c r="COP101" s="142"/>
      <c r="COQ101" s="142"/>
      <c r="COR101" s="142"/>
      <c r="COS101" s="142"/>
      <c r="COT101" s="142"/>
      <c r="COU101" s="142"/>
      <c r="COV101" s="142"/>
      <c r="COW101" s="142"/>
      <c r="COX101" s="142"/>
      <c r="COY101" s="142"/>
      <c r="COZ101" s="142"/>
      <c r="CPA101" s="142"/>
      <c r="CPB101" s="142"/>
      <c r="CPC101" s="142"/>
      <c r="CPD101" s="142"/>
      <c r="CPE101" s="142"/>
      <c r="CPF101" s="142"/>
      <c r="CPG101" s="142"/>
      <c r="CPH101" s="142"/>
      <c r="CPI101" s="142"/>
      <c r="CPJ101" s="142"/>
      <c r="CPK101" s="142"/>
      <c r="CPL101" s="142"/>
      <c r="CPM101" s="142"/>
      <c r="CPN101" s="142"/>
      <c r="CPO101" s="142"/>
      <c r="CPP101" s="142"/>
      <c r="CPQ101" s="142"/>
      <c r="CPR101" s="142"/>
      <c r="CPS101" s="142"/>
      <c r="CPT101" s="142"/>
      <c r="CPU101" s="142"/>
      <c r="CPV101" s="142"/>
      <c r="CPW101" s="142"/>
      <c r="CPX101" s="142"/>
      <c r="CPY101" s="142"/>
      <c r="CPZ101" s="142"/>
      <c r="CQA101" s="142"/>
      <c r="CQB101" s="142"/>
      <c r="CQC101" s="142"/>
      <c r="CQD101" s="142"/>
      <c r="CQE101" s="142"/>
      <c r="CQF101" s="142"/>
      <c r="CQG101" s="142"/>
      <c r="CQH101" s="142"/>
      <c r="CQI101" s="142"/>
      <c r="CQJ101" s="142"/>
      <c r="CQK101" s="142"/>
      <c r="CQL101" s="142"/>
      <c r="CQM101" s="142"/>
      <c r="CQN101" s="142"/>
      <c r="CQO101" s="142"/>
      <c r="CQP101" s="142"/>
      <c r="CQQ101" s="142"/>
      <c r="CQR101" s="142"/>
      <c r="CQS101" s="142"/>
      <c r="CQT101" s="142"/>
      <c r="CQU101" s="142"/>
      <c r="CQV101" s="142"/>
      <c r="CQW101" s="142"/>
      <c r="CQX101" s="142"/>
      <c r="CQY101" s="142"/>
      <c r="CQZ101" s="142"/>
      <c r="CRA101" s="142"/>
      <c r="CRB101" s="142"/>
      <c r="CRC101" s="142"/>
      <c r="CRD101" s="142"/>
      <c r="CRE101" s="142"/>
      <c r="CRF101" s="142"/>
      <c r="CRG101" s="142"/>
      <c r="CRH101" s="142"/>
      <c r="CRI101" s="142"/>
      <c r="CRJ101" s="142"/>
      <c r="CRK101" s="142"/>
      <c r="CRL101" s="142"/>
      <c r="CRM101" s="142"/>
      <c r="CRN101" s="142"/>
      <c r="CRO101" s="142"/>
      <c r="CRP101" s="142"/>
      <c r="CRQ101" s="142"/>
      <c r="CRR101" s="142"/>
      <c r="CRS101" s="142"/>
      <c r="CRT101" s="142"/>
      <c r="CRU101" s="142"/>
      <c r="CRV101" s="142"/>
      <c r="CRW101" s="142"/>
      <c r="CRX101" s="142"/>
      <c r="CRY101" s="142"/>
      <c r="CRZ101" s="142"/>
      <c r="CSA101" s="142"/>
      <c r="CSB101" s="142"/>
      <c r="CSC101" s="142"/>
      <c r="CSD101" s="142"/>
      <c r="CSE101" s="142"/>
      <c r="CSF101" s="142"/>
      <c r="CSG101" s="142"/>
      <c r="CSH101" s="142"/>
      <c r="CSI101" s="142"/>
      <c r="CSJ101" s="142"/>
      <c r="CSK101" s="142"/>
      <c r="CSL101" s="142"/>
      <c r="CSM101" s="142"/>
      <c r="CSN101" s="142"/>
      <c r="CSO101" s="142"/>
      <c r="CSP101" s="142"/>
      <c r="CSQ101" s="142"/>
      <c r="CSR101" s="142"/>
      <c r="CSS101" s="142"/>
      <c r="CST101" s="142"/>
      <c r="CSU101" s="142"/>
      <c r="CSV101" s="142"/>
      <c r="CSW101" s="142"/>
      <c r="CSX101" s="142"/>
      <c r="CSY101" s="142"/>
      <c r="CSZ101" s="142"/>
      <c r="CTA101" s="142"/>
      <c r="CTB101" s="142"/>
      <c r="CTC101" s="142"/>
      <c r="CTD101" s="142"/>
      <c r="CTE101" s="142"/>
      <c r="CTF101" s="142"/>
      <c r="CTG101" s="142"/>
      <c r="CTH101" s="142"/>
      <c r="CTI101" s="142"/>
      <c r="CTJ101" s="142"/>
      <c r="CTK101" s="142"/>
      <c r="CTL101" s="142"/>
      <c r="CTM101" s="142"/>
      <c r="CTN101" s="142"/>
      <c r="CTO101" s="142"/>
      <c r="CTP101" s="142"/>
      <c r="CTQ101" s="142"/>
      <c r="CTR101" s="142"/>
      <c r="CTS101" s="142"/>
      <c r="CTT101" s="142"/>
      <c r="CTU101" s="142"/>
      <c r="CTV101" s="142"/>
      <c r="CTW101" s="142"/>
      <c r="CTX101" s="142"/>
      <c r="CTY101" s="142"/>
      <c r="CTZ101" s="142"/>
      <c r="CUA101" s="142"/>
      <c r="CUB101" s="142"/>
      <c r="CUC101" s="142"/>
      <c r="CUD101" s="142"/>
      <c r="CUE101" s="142"/>
      <c r="CUF101" s="142"/>
      <c r="CUG101" s="142"/>
      <c r="CUH101" s="142"/>
      <c r="CUI101" s="142"/>
      <c r="CUJ101" s="142"/>
      <c r="CUK101" s="142"/>
      <c r="CUL101" s="142"/>
      <c r="CUM101" s="142"/>
      <c r="CUN101" s="142"/>
      <c r="CUO101" s="142"/>
      <c r="CUP101" s="142"/>
      <c r="CUQ101" s="142"/>
      <c r="CUR101" s="142"/>
      <c r="CUS101" s="142"/>
      <c r="CUT101" s="142"/>
      <c r="CUU101" s="142"/>
      <c r="CUV101" s="142"/>
      <c r="CUW101" s="142"/>
      <c r="CUX101" s="142"/>
      <c r="CUY101" s="142"/>
      <c r="CUZ101" s="142"/>
      <c r="CVA101" s="142"/>
      <c r="CVB101" s="142"/>
      <c r="CVC101" s="142"/>
      <c r="CVD101" s="142"/>
      <c r="CVE101" s="142"/>
      <c r="CVF101" s="142"/>
      <c r="CVG101" s="142"/>
      <c r="CVH101" s="142"/>
      <c r="CVI101" s="142"/>
      <c r="CVJ101" s="142"/>
      <c r="CVK101" s="142"/>
      <c r="CVL101" s="142"/>
      <c r="CVM101" s="142"/>
      <c r="CVN101" s="142"/>
      <c r="CVO101" s="142"/>
      <c r="CVP101" s="142"/>
      <c r="CVQ101" s="142"/>
      <c r="CVR101" s="142"/>
      <c r="CVS101" s="142"/>
      <c r="CVT101" s="142"/>
      <c r="CVU101" s="142"/>
      <c r="CVV101" s="142"/>
      <c r="CVW101" s="142"/>
      <c r="CVX101" s="142"/>
      <c r="CVY101" s="142"/>
      <c r="CVZ101" s="142"/>
      <c r="CWA101" s="142"/>
      <c r="CWB101" s="142"/>
      <c r="CWC101" s="142"/>
      <c r="CWD101" s="142"/>
      <c r="CWE101" s="142"/>
      <c r="CWF101" s="142"/>
      <c r="CWG101" s="142"/>
      <c r="CWH101" s="142"/>
      <c r="CWI101" s="142"/>
      <c r="CWJ101" s="142"/>
      <c r="CWK101" s="142"/>
      <c r="CWL101" s="142"/>
      <c r="CWM101" s="142"/>
      <c r="CWN101" s="142"/>
      <c r="CWO101" s="142"/>
      <c r="CWP101" s="142"/>
      <c r="CWQ101" s="142"/>
      <c r="CWR101" s="142"/>
      <c r="CWS101" s="142"/>
      <c r="CWT101" s="142"/>
      <c r="CWU101" s="142"/>
      <c r="CWV101" s="142"/>
      <c r="CWW101" s="142"/>
      <c r="CWX101" s="142"/>
      <c r="CWY101" s="142"/>
      <c r="CWZ101" s="142"/>
      <c r="CXA101" s="142"/>
      <c r="CXB101" s="142"/>
      <c r="CXC101" s="142"/>
      <c r="CXD101" s="142"/>
      <c r="CXE101" s="142"/>
      <c r="CXF101" s="142"/>
      <c r="CXG101" s="142"/>
      <c r="CXH101" s="142"/>
      <c r="CXI101" s="142"/>
      <c r="CXJ101" s="142"/>
      <c r="CXK101" s="142"/>
      <c r="CXL101" s="142"/>
      <c r="CXM101" s="142"/>
      <c r="CXN101" s="142"/>
      <c r="CXO101" s="142"/>
      <c r="CXP101" s="142"/>
      <c r="CXQ101" s="142"/>
      <c r="CXR101" s="142"/>
      <c r="CXS101" s="142"/>
      <c r="CXT101" s="142"/>
      <c r="CXU101" s="142"/>
      <c r="CXV101" s="142"/>
      <c r="CXW101" s="142"/>
      <c r="CXX101" s="142"/>
      <c r="CXY101" s="142"/>
      <c r="CXZ101" s="142"/>
      <c r="CYA101" s="142"/>
      <c r="CYB101" s="142"/>
      <c r="CYC101" s="142"/>
      <c r="CYD101" s="142"/>
      <c r="CYE101" s="142"/>
      <c r="CYF101" s="142"/>
      <c r="CYG101" s="142"/>
      <c r="CYH101" s="142"/>
      <c r="CYI101" s="142"/>
      <c r="CYJ101" s="142"/>
      <c r="CYK101" s="142"/>
      <c r="CYL101" s="142"/>
      <c r="CYM101" s="142"/>
      <c r="CYN101" s="142"/>
      <c r="CYO101" s="142"/>
      <c r="CYP101" s="142"/>
      <c r="CYQ101" s="142"/>
      <c r="CYR101" s="142"/>
      <c r="CYS101" s="142"/>
      <c r="CYT101" s="142"/>
      <c r="CYU101" s="142"/>
      <c r="CYV101" s="142"/>
      <c r="CYW101" s="142"/>
      <c r="CYX101" s="142"/>
      <c r="CYY101" s="142"/>
      <c r="CYZ101" s="142"/>
      <c r="CZA101" s="142"/>
      <c r="CZB101" s="142"/>
      <c r="CZC101" s="142"/>
      <c r="CZD101" s="142"/>
      <c r="CZE101" s="142"/>
      <c r="CZF101" s="142"/>
      <c r="CZG101" s="142"/>
      <c r="CZH101" s="142"/>
      <c r="CZI101" s="142"/>
      <c r="CZJ101" s="142"/>
      <c r="CZK101" s="142"/>
      <c r="CZL101" s="142"/>
      <c r="CZM101" s="142"/>
      <c r="CZN101" s="142"/>
      <c r="CZO101" s="142"/>
      <c r="CZP101" s="142"/>
      <c r="CZQ101" s="142"/>
      <c r="CZR101" s="142"/>
      <c r="CZS101" s="142"/>
      <c r="CZT101" s="142"/>
      <c r="CZU101" s="142"/>
      <c r="CZV101" s="142"/>
      <c r="CZW101" s="142"/>
      <c r="CZX101" s="142"/>
      <c r="CZY101" s="142"/>
      <c r="CZZ101" s="142"/>
      <c r="DAA101" s="142"/>
      <c r="DAB101" s="142"/>
      <c r="DAC101" s="142"/>
      <c r="DAD101" s="142"/>
      <c r="DAE101" s="142"/>
      <c r="DAF101" s="142"/>
      <c r="DAG101" s="142"/>
      <c r="DAH101" s="142"/>
      <c r="DAI101" s="142"/>
      <c r="DAJ101" s="142"/>
      <c r="DAK101" s="142"/>
      <c r="DAL101" s="142"/>
      <c r="DAM101" s="142"/>
      <c r="DAN101" s="142"/>
      <c r="DAO101" s="142"/>
      <c r="DAP101" s="142"/>
      <c r="DAQ101" s="142"/>
      <c r="DAR101" s="142"/>
      <c r="DAS101" s="142"/>
      <c r="DAT101" s="142"/>
      <c r="DAU101" s="142"/>
      <c r="DAV101" s="142"/>
      <c r="DAW101" s="142"/>
      <c r="DAX101" s="142"/>
      <c r="DAY101" s="142"/>
      <c r="DAZ101" s="142"/>
      <c r="DBA101" s="142"/>
      <c r="DBB101" s="142"/>
      <c r="DBC101" s="142"/>
      <c r="DBD101" s="142"/>
      <c r="DBE101" s="142"/>
      <c r="DBF101" s="142"/>
      <c r="DBG101" s="142"/>
      <c r="DBH101" s="142"/>
      <c r="DBI101" s="142"/>
      <c r="DBJ101" s="142"/>
      <c r="DBK101" s="142"/>
      <c r="DBL101" s="142"/>
      <c r="DBM101" s="142"/>
      <c r="DBN101" s="142"/>
      <c r="DBO101" s="142"/>
      <c r="DBP101" s="142"/>
      <c r="DBQ101" s="142"/>
      <c r="DBR101" s="142"/>
      <c r="DBS101" s="142"/>
      <c r="DBT101" s="142"/>
      <c r="DBU101" s="142"/>
      <c r="DBV101" s="142"/>
      <c r="DBW101" s="142"/>
      <c r="DBX101" s="142"/>
      <c r="DBY101" s="142"/>
      <c r="DBZ101" s="142"/>
      <c r="DCA101" s="142"/>
      <c r="DCB101" s="142"/>
      <c r="DCC101" s="142"/>
      <c r="DCD101" s="142"/>
      <c r="DCE101" s="142"/>
      <c r="DCF101" s="142"/>
      <c r="DCG101" s="142"/>
      <c r="DCH101" s="142"/>
      <c r="DCI101" s="142"/>
      <c r="DCJ101" s="142"/>
      <c r="DCK101" s="142"/>
      <c r="DCL101" s="142"/>
      <c r="DCM101" s="142"/>
      <c r="DCN101" s="142"/>
      <c r="DCO101" s="142"/>
      <c r="DCP101" s="142"/>
      <c r="DCQ101" s="142"/>
      <c r="DCR101" s="142"/>
      <c r="DCS101" s="142"/>
      <c r="DCT101" s="142"/>
      <c r="DCU101" s="142"/>
      <c r="DCV101" s="142"/>
      <c r="DCW101" s="142"/>
      <c r="DCX101" s="142"/>
      <c r="DCY101" s="142"/>
      <c r="DCZ101" s="142"/>
      <c r="DDA101" s="142"/>
      <c r="DDB101" s="142"/>
      <c r="DDC101" s="142"/>
      <c r="DDD101" s="142"/>
      <c r="DDE101" s="142"/>
      <c r="DDF101" s="142"/>
      <c r="DDG101" s="142"/>
      <c r="DDH101" s="142"/>
      <c r="DDI101" s="142"/>
      <c r="DDJ101" s="142"/>
      <c r="DDK101" s="142"/>
      <c r="DDL101" s="142"/>
      <c r="DDM101" s="142"/>
      <c r="DDN101" s="142"/>
      <c r="DDO101" s="142"/>
      <c r="DDP101" s="142"/>
      <c r="DDQ101" s="142"/>
      <c r="DDR101" s="142"/>
      <c r="DDS101" s="142"/>
      <c r="DDT101" s="142"/>
      <c r="DDU101" s="142"/>
      <c r="DDV101" s="142"/>
      <c r="DDW101" s="142"/>
      <c r="DDX101" s="142"/>
      <c r="DDY101" s="142"/>
      <c r="DDZ101" s="142"/>
      <c r="DEA101" s="142"/>
      <c r="DEB101" s="142"/>
      <c r="DEC101" s="142"/>
      <c r="DED101" s="142"/>
      <c r="DEE101" s="142"/>
      <c r="DEF101" s="142"/>
      <c r="DEG101" s="142"/>
      <c r="DEH101" s="142"/>
      <c r="DEI101" s="142"/>
      <c r="DEJ101" s="142"/>
      <c r="DEK101" s="142"/>
      <c r="DEL101" s="142"/>
      <c r="DEM101" s="142"/>
      <c r="DEN101" s="142"/>
      <c r="DEO101" s="142"/>
      <c r="DEP101" s="142"/>
      <c r="DEQ101" s="142"/>
      <c r="DER101" s="142"/>
      <c r="DES101" s="142"/>
      <c r="DET101" s="142"/>
      <c r="DEU101" s="142"/>
      <c r="DEV101" s="142"/>
      <c r="DEW101" s="142"/>
      <c r="DEX101" s="142"/>
      <c r="DEY101" s="142"/>
      <c r="DEZ101" s="142"/>
      <c r="DFA101" s="142"/>
      <c r="DFB101" s="142"/>
      <c r="DFC101" s="142"/>
      <c r="DFD101" s="142"/>
      <c r="DFE101" s="142"/>
      <c r="DFF101" s="142"/>
      <c r="DFG101" s="142"/>
      <c r="DFH101" s="142"/>
      <c r="DFI101" s="142"/>
      <c r="DFJ101" s="142"/>
      <c r="DFK101" s="142"/>
      <c r="DFL101" s="142"/>
      <c r="DFM101" s="142"/>
      <c r="DFN101" s="142"/>
      <c r="DFO101" s="142"/>
      <c r="DFP101" s="142"/>
      <c r="DFQ101" s="142"/>
      <c r="DFR101" s="142"/>
      <c r="DFS101" s="142"/>
      <c r="DFT101" s="142"/>
      <c r="DFU101" s="142"/>
      <c r="DFV101" s="142"/>
      <c r="DFW101" s="142"/>
      <c r="DFX101" s="142"/>
      <c r="DFY101" s="142"/>
      <c r="DFZ101" s="142"/>
      <c r="DGA101" s="142"/>
      <c r="DGB101" s="142"/>
      <c r="DGC101" s="142"/>
      <c r="DGD101" s="142"/>
      <c r="DGE101" s="142"/>
      <c r="DGF101" s="142"/>
      <c r="DGG101" s="142"/>
      <c r="DGH101" s="142"/>
      <c r="DGI101" s="142"/>
      <c r="DGJ101" s="142"/>
      <c r="DGK101" s="142"/>
      <c r="DGL101" s="142"/>
      <c r="DGM101" s="142"/>
      <c r="DGN101" s="142"/>
      <c r="DGO101" s="142"/>
      <c r="DGP101" s="142"/>
      <c r="DGQ101" s="142"/>
      <c r="DGR101" s="142"/>
      <c r="DGS101" s="142"/>
      <c r="DGT101" s="142"/>
      <c r="DGU101" s="142"/>
      <c r="DGV101" s="142"/>
      <c r="DGW101" s="142"/>
      <c r="DGX101" s="142"/>
      <c r="DGY101" s="142"/>
      <c r="DGZ101" s="142"/>
      <c r="DHA101" s="142"/>
      <c r="DHB101" s="142"/>
      <c r="DHC101" s="142"/>
      <c r="DHD101" s="142"/>
      <c r="DHE101" s="142"/>
      <c r="DHF101" s="142"/>
      <c r="DHG101" s="142"/>
      <c r="DHH101" s="142"/>
      <c r="DHI101" s="142"/>
      <c r="DHJ101" s="142"/>
      <c r="DHK101" s="142"/>
      <c r="DHL101" s="142"/>
      <c r="DHM101" s="142"/>
      <c r="DHN101" s="142"/>
      <c r="DHO101" s="142"/>
      <c r="DHP101" s="142"/>
      <c r="DHQ101" s="142"/>
      <c r="DHR101" s="142"/>
      <c r="DHS101" s="142"/>
      <c r="DHT101" s="142"/>
      <c r="DHU101" s="142"/>
      <c r="DHV101" s="142"/>
      <c r="DHW101" s="142"/>
      <c r="DHX101" s="142"/>
      <c r="DHY101" s="142"/>
      <c r="DHZ101" s="142"/>
      <c r="DIA101" s="142"/>
      <c r="DIB101" s="142"/>
      <c r="DIC101" s="142"/>
      <c r="DID101" s="142"/>
      <c r="DIE101" s="142"/>
      <c r="DIF101" s="142"/>
      <c r="DIG101" s="142"/>
      <c r="DIH101" s="142"/>
      <c r="DII101" s="142"/>
      <c r="DIJ101" s="142"/>
      <c r="DIK101" s="142"/>
      <c r="DIL101" s="142"/>
      <c r="DIM101" s="142"/>
      <c r="DIN101" s="142"/>
      <c r="DIO101" s="142"/>
      <c r="DIP101" s="142"/>
      <c r="DIQ101" s="142"/>
      <c r="DIR101" s="142"/>
      <c r="DIS101" s="142"/>
      <c r="DIT101" s="142"/>
      <c r="DIU101" s="142"/>
      <c r="DIV101" s="142"/>
      <c r="DIW101" s="142"/>
      <c r="DIX101" s="142"/>
      <c r="DIY101" s="142"/>
      <c r="DIZ101" s="142"/>
      <c r="DJA101" s="142"/>
      <c r="DJB101" s="142"/>
      <c r="DJC101" s="142"/>
      <c r="DJD101" s="142"/>
      <c r="DJE101" s="142"/>
      <c r="DJF101" s="142"/>
      <c r="DJG101" s="142"/>
      <c r="DJH101" s="142"/>
      <c r="DJI101" s="142"/>
      <c r="DJJ101" s="142"/>
      <c r="DJK101" s="142"/>
      <c r="DJL101" s="142"/>
      <c r="DJM101" s="142"/>
      <c r="DJN101" s="142"/>
      <c r="DJO101" s="142"/>
      <c r="DJP101" s="142"/>
      <c r="DJQ101" s="142"/>
      <c r="DJR101" s="142"/>
      <c r="DJS101" s="142"/>
      <c r="DJT101" s="142"/>
      <c r="DJU101" s="142"/>
      <c r="DJV101" s="142"/>
      <c r="DJW101" s="142"/>
      <c r="DJX101" s="142"/>
      <c r="DJY101" s="142"/>
      <c r="DJZ101" s="142"/>
      <c r="DKA101" s="142"/>
      <c r="DKB101" s="142"/>
      <c r="DKC101" s="142"/>
      <c r="DKD101" s="142"/>
      <c r="DKE101" s="142"/>
      <c r="DKF101" s="142"/>
      <c r="DKG101" s="142"/>
      <c r="DKH101" s="142"/>
      <c r="DKI101" s="142"/>
      <c r="DKJ101" s="142"/>
      <c r="DKK101" s="142"/>
      <c r="DKL101" s="142"/>
      <c r="DKM101" s="142"/>
      <c r="DKN101" s="142"/>
      <c r="DKO101" s="142"/>
      <c r="DKP101" s="142"/>
      <c r="DKQ101" s="142"/>
      <c r="DKR101" s="142"/>
      <c r="DKS101" s="142"/>
      <c r="DKT101" s="142"/>
      <c r="DKU101" s="142"/>
      <c r="DKV101" s="142"/>
      <c r="DKW101" s="142"/>
      <c r="DKX101" s="142"/>
      <c r="DKY101" s="142"/>
      <c r="DKZ101" s="142"/>
      <c r="DLA101" s="142"/>
      <c r="DLB101" s="142"/>
      <c r="DLC101" s="142"/>
      <c r="DLD101" s="142"/>
      <c r="DLE101" s="142"/>
      <c r="DLF101" s="142"/>
      <c r="DLG101" s="142"/>
      <c r="DLH101" s="142"/>
      <c r="DLI101" s="142"/>
      <c r="DLJ101" s="142"/>
      <c r="DLK101" s="142"/>
      <c r="DLL101" s="142"/>
      <c r="DLM101" s="142"/>
      <c r="DLN101" s="142"/>
      <c r="DLO101" s="142"/>
      <c r="DLP101" s="142"/>
      <c r="DLQ101" s="142"/>
      <c r="DLR101" s="142"/>
      <c r="DLS101" s="142"/>
      <c r="DLT101" s="142"/>
      <c r="DLU101" s="142"/>
      <c r="DLV101" s="142"/>
      <c r="DLW101" s="142"/>
      <c r="DLX101" s="142"/>
      <c r="DLY101" s="142"/>
      <c r="DLZ101" s="142"/>
      <c r="DMA101" s="142"/>
      <c r="DMB101" s="142"/>
      <c r="DMC101" s="142"/>
      <c r="DMD101" s="142"/>
      <c r="DME101" s="142"/>
      <c r="DMF101" s="142"/>
      <c r="DMG101" s="142"/>
      <c r="DMH101" s="142"/>
      <c r="DMI101" s="142"/>
      <c r="DMJ101" s="142"/>
      <c r="DMK101" s="142"/>
      <c r="DML101" s="142"/>
      <c r="DMM101" s="142"/>
      <c r="DMN101" s="142"/>
      <c r="DMO101" s="142"/>
      <c r="DMP101" s="142"/>
      <c r="DMQ101" s="142"/>
      <c r="DMR101" s="142"/>
      <c r="DMS101" s="142"/>
      <c r="DMT101" s="142"/>
      <c r="DMU101" s="142"/>
      <c r="DMV101" s="142"/>
      <c r="DMW101" s="142"/>
      <c r="DMX101" s="142"/>
      <c r="DMY101" s="142"/>
      <c r="DMZ101" s="142"/>
      <c r="DNA101" s="142"/>
      <c r="DNB101" s="142"/>
      <c r="DNC101" s="142"/>
      <c r="DND101" s="142"/>
      <c r="DNE101" s="142"/>
      <c r="DNF101" s="142"/>
      <c r="DNG101" s="142"/>
      <c r="DNH101" s="142"/>
      <c r="DNI101" s="142"/>
      <c r="DNJ101" s="142"/>
      <c r="DNK101" s="142"/>
      <c r="DNL101" s="142"/>
      <c r="DNM101" s="142"/>
      <c r="DNN101" s="142"/>
      <c r="DNO101" s="142"/>
      <c r="DNP101" s="142"/>
      <c r="DNQ101" s="142"/>
      <c r="DNR101" s="142"/>
      <c r="DNS101" s="142"/>
      <c r="DNT101" s="142"/>
      <c r="DNU101" s="142"/>
      <c r="DNV101" s="142"/>
      <c r="DNW101" s="142"/>
      <c r="DNX101" s="142"/>
      <c r="DNY101" s="142"/>
      <c r="DNZ101" s="142"/>
      <c r="DOA101" s="142"/>
      <c r="DOB101" s="142"/>
      <c r="DOC101" s="142"/>
      <c r="DOD101" s="142"/>
      <c r="DOE101" s="142"/>
      <c r="DOF101" s="142"/>
      <c r="DOG101" s="142"/>
      <c r="DOH101" s="142"/>
      <c r="DOI101" s="142"/>
      <c r="DOJ101" s="142"/>
      <c r="DOK101" s="142"/>
      <c r="DOL101" s="142"/>
      <c r="DOM101" s="142"/>
      <c r="DON101" s="142"/>
      <c r="DOO101" s="142"/>
      <c r="DOP101" s="142"/>
      <c r="DOQ101" s="142"/>
      <c r="DOR101" s="142"/>
      <c r="DOS101" s="142"/>
      <c r="DOT101" s="142"/>
      <c r="DOU101" s="142"/>
      <c r="DOV101" s="142"/>
      <c r="DOW101" s="142"/>
      <c r="DOX101" s="142"/>
      <c r="DOY101" s="142"/>
      <c r="DOZ101" s="142"/>
      <c r="DPA101" s="142"/>
      <c r="DPB101" s="142"/>
      <c r="DPC101" s="142"/>
      <c r="DPD101" s="142"/>
      <c r="DPE101" s="142"/>
      <c r="DPF101" s="142"/>
      <c r="DPG101" s="142"/>
      <c r="DPH101" s="142"/>
      <c r="DPI101" s="142"/>
      <c r="DPJ101" s="142"/>
      <c r="DPK101" s="142"/>
      <c r="DPL101" s="142"/>
      <c r="DPM101" s="142"/>
      <c r="DPN101" s="142"/>
      <c r="DPO101" s="142"/>
      <c r="DPP101" s="142"/>
      <c r="DPQ101" s="142"/>
      <c r="DPR101" s="142"/>
      <c r="DPS101" s="142"/>
      <c r="DPT101" s="142"/>
      <c r="DPU101" s="142"/>
      <c r="DPV101" s="142"/>
      <c r="DPW101" s="142"/>
      <c r="DPX101" s="142"/>
      <c r="DPY101" s="142"/>
      <c r="DPZ101" s="142"/>
      <c r="DQA101" s="142"/>
      <c r="DQB101" s="142"/>
      <c r="DQC101" s="142"/>
      <c r="DQD101" s="142"/>
      <c r="DQE101" s="142"/>
      <c r="DQF101" s="142"/>
      <c r="DQG101" s="142"/>
      <c r="DQH101" s="142"/>
      <c r="DQI101" s="142"/>
      <c r="DQJ101" s="142"/>
      <c r="DQK101" s="142"/>
      <c r="DQL101" s="142"/>
      <c r="DQM101" s="142"/>
      <c r="DQN101" s="142"/>
      <c r="DQO101" s="142"/>
      <c r="DQP101" s="142"/>
      <c r="DQQ101" s="142"/>
      <c r="DQR101" s="142"/>
      <c r="DQS101" s="142"/>
      <c r="DQT101" s="142"/>
      <c r="DQU101" s="142"/>
      <c r="DQV101" s="142"/>
      <c r="DQW101" s="142"/>
      <c r="DQX101" s="142"/>
      <c r="DQY101" s="142"/>
      <c r="DQZ101" s="142"/>
      <c r="DRA101" s="142"/>
      <c r="DRB101" s="142"/>
      <c r="DRC101" s="142"/>
      <c r="DRD101" s="142"/>
      <c r="DRE101" s="142"/>
      <c r="DRF101" s="142"/>
      <c r="DRG101" s="142"/>
      <c r="DRH101" s="142"/>
      <c r="DRI101" s="142"/>
      <c r="DRJ101" s="142"/>
      <c r="DRK101" s="142"/>
      <c r="DRL101" s="142"/>
      <c r="DRM101" s="142"/>
      <c r="DRN101" s="142"/>
      <c r="DRO101" s="142"/>
      <c r="DRP101" s="142"/>
      <c r="DRQ101" s="142"/>
      <c r="DRR101" s="142"/>
      <c r="DRS101" s="142"/>
      <c r="DRT101" s="142"/>
      <c r="DRU101" s="142"/>
      <c r="DRV101" s="142"/>
      <c r="DRW101" s="142"/>
      <c r="DRX101" s="142"/>
      <c r="DRY101" s="142"/>
      <c r="DRZ101" s="142"/>
      <c r="DSA101" s="142"/>
      <c r="DSB101" s="142"/>
      <c r="DSC101" s="142"/>
      <c r="DSD101" s="142"/>
      <c r="DSE101" s="142"/>
      <c r="DSF101" s="142"/>
      <c r="DSG101" s="142"/>
      <c r="DSH101" s="142"/>
      <c r="DSI101" s="142"/>
      <c r="DSJ101" s="142"/>
      <c r="DSK101" s="142"/>
      <c r="DSL101" s="142"/>
      <c r="DSM101" s="142"/>
      <c r="DSN101" s="142"/>
      <c r="DSO101" s="142"/>
      <c r="DSP101" s="142"/>
      <c r="DSQ101" s="142"/>
      <c r="DSR101" s="142"/>
      <c r="DSS101" s="142"/>
      <c r="DST101" s="142"/>
      <c r="DSU101" s="142"/>
      <c r="DSV101" s="142"/>
      <c r="DSW101" s="142"/>
      <c r="DSX101" s="142"/>
      <c r="DSY101" s="142"/>
      <c r="DSZ101" s="142"/>
      <c r="DTA101" s="142"/>
      <c r="DTB101" s="142"/>
      <c r="DTC101" s="142"/>
      <c r="DTD101" s="142"/>
      <c r="DTE101" s="142"/>
      <c r="DTF101" s="142"/>
      <c r="DTG101" s="142"/>
      <c r="DTH101" s="142"/>
      <c r="DTI101" s="142"/>
      <c r="DTJ101" s="142"/>
      <c r="DTK101" s="142"/>
      <c r="DTL101" s="142"/>
      <c r="DTM101" s="142"/>
      <c r="DTN101" s="142"/>
      <c r="DTO101" s="142"/>
      <c r="DTP101" s="142"/>
      <c r="DTQ101" s="142"/>
      <c r="DTR101" s="142"/>
      <c r="DTS101" s="142"/>
      <c r="DTT101" s="142"/>
      <c r="DTU101" s="142"/>
      <c r="DTV101" s="142"/>
      <c r="DTW101" s="142"/>
      <c r="DTX101" s="142"/>
      <c r="DTY101" s="142"/>
      <c r="DTZ101" s="142"/>
      <c r="DUA101" s="142"/>
      <c r="DUB101" s="142"/>
      <c r="DUC101" s="142"/>
      <c r="DUD101" s="142"/>
      <c r="DUE101" s="142"/>
      <c r="DUF101" s="142"/>
      <c r="DUG101" s="142"/>
      <c r="DUH101" s="142"/>
      <c r="DUI101" s="142"/>
      <c r="DUJ101" s="142"/>
      <c r="DUK101" s="142"/>
      <c r="DUL101" s="142"/>
      <c r="DUM101" s="142"/>
      <c r="DUN101" s="142"/>
      <c r="DUO101" s="142"/>
      <c r="DUP101" s="142"/>
      <c r="DUQ101" s="142"/>
      <c r="DUR101" s="142"/>
      <c r="DUS101" s="142"/>
      <c r="DUT101" s="142"/>
      <c r="DUU101" s="142"/>
      <c r="DUV101" s="142"/>
      <c r="DUW101" s="142"/>
      <c r="DUX101" s="142"/>
      <c r="DUY101" s="142"/>
      <c r="DUZ101" s="142"/>
      <c r="DVA101" s="142"/>
      <c r="DVB101" s="142"/>
      <c r="DVC101" s="142"/>
      <c r="DVD101" s="142"/>
      <c r="DVE101" s="142"/>
      <c r="DVF101" s="142"/>
      <c r="DVG101" s="142"/>
      <c r="DVH101" s="142"/>
      <c r="DVI101" s="142"/>
      <c r="DVJ101" s="142"/>
      <c r="DVK101" s="142"/>
      <c r="DVL101" s="142"/>
      <c r="DVM101" s="142"/>
      <c r="DVN101" s="142"/>
      <c r="DVO101" s="142"/>
      <c r="DVP101" s="142"/>
      <c r="DVQ101" s="142"/>
      <c r="DVR101" s="142"/>
      <c r="DVS101" s="142"/>
      <c r="DVT101" s="142"/>
      <c r="DVU101" s="142"/>
      <c r="DVV101" s="142"/>
      <c r="DVW101" s="142"/>
      <c r="DVX101" s="142"/>
      <c r="DVY101" s="142"/>
      <c r="DVZ101" s="142"/>
      <c r="DWA101" s="142"/>
      <c r="DWB101" s="142"/>
      <c r="DWC101" s="142"/>
      <c r="DWD101" s="142"/>
      <c r="DWE101" s="142"/>
      <c r="DWF101" s="142"/>
      <c r="DWG101" s="142"/>
      <c r="DWH101" s="142"/>
      <c r="DWI101" s="142"/>
      <c r="DWJ101" s="142"/>
      <c r="DWK101" s="142"/>
      <c r="DWL101" s="142"/>
      <c r="DWM101" s="142"/>
      <c r="DWN101" s="142"/>
      <c r="DWO101" s="142"/>
      <c r="DWP101" s="142"/>
      <c r="DWQ101" s="142"/>
      <c r="DWR101" s="142"/>
      <c r="DWS101" s="142"/>
      <c r="DWT101" s="142"/>
      <c r="DWU101" s="142"/>
      <c r="DWV101" s="142"/>
      <c r="DWW101" s="142"/>
      <c r="DWX101" s="142"/>
      <c r="DWY101" s="142"/>
      <c r="DWZ101" s="142"/>
      <c r="DXA101" s="142"/>
      <c r="DXB101" s="142"/>
      <c r="DXC101" s="142"/>
      <c r="DXD101" s="142"/>
      <c r="DXE101" s="142"/>
      <c r="DXF101" s="142"/>
      <c r="DXG101" s="142"/>
      <c r="DXH101" s="142"/>
      <c r="DXI101" s="142"/>
      <c r="DXJ101" s="142"/>
      <c r="DXK101" s="142"/>
      <c r="DXL101" s="142"/>
      <c r="DXM101" s="142"/>
      <c r="DXN101" s="142"/>
      <c r="DXO101" s="142"/>
      <c r="DXP101" s="142"/>
      <c r="DXQ101" s="142"/>
      <c r="DXR101" s="142"/>
      <c r="DXS101" s="142"/>
      <c r="DXT101" s="142"/>
      <c r="DXU101" s="142"/>
      <c r="DXV101" s="142"/>
      <c r="DXW101" s="142"/>
      <c r="DXX101" s="142"/>
      <c r="DXY101" s="142"/>
      <c r="DXZ101" s="142"/>
      <c r="DYA101" s="142"/>
      <c r="DYB101" s="142"/>
      <c r="DYC101" s="142"/>
      <c r="DYD101" s="142"/>
      <c r="DYE101" s="142"/>
      <c r="DYF101" s="142"/>
      <c r="DYG101" s="142"/>
      <c r="DYH101" s="142"/>
      <c r="DYI101" s="142"/>
      <c r="DYJ101" s="142"/>
      <c r="DYK101" s="142"/>
      <c r="DYL101" s="142"/>
      <c r="DYM101" s="142"/>
      <c r="DYN101" s="142"/>
      <c r="DYO101" s="142"/>
      <c r="DYP101" s="142"/>
      <c r="DYQ101" s="142"/>
      <c r="DYR101" s="142"/>
      <c r="DYS101" s="142"/>
      <c r="DYT101" s="142"/>
      <c r="DYU101" s="142"/>
      <c r="DYV101" s="142"/>
      <c r="DYW101" s="142"/>
      <c r="DYX101" s="142"/>
      <c r="DYY101" s="142"/>
      <c r="DYZ101" s="142"/>
      <c r="DZA101" s="142"/>
      <c r="DZB101" s="142"/>
      <c r="DZC101" s="142"/>
      <c r="DZD101" s="142"/>
      <c r="DZE101" s="142"/>
      <c r="DZF101" s="142"/>
      <c r="DZG101" s="142"/>
      <c r="DZH101" s="142"/>
      <c r="DZI101" s="142"/>
      <c r="DZJ101" s="142"/>
      <c r="DZK101" s="142"/>
      <c r="DZL101" s="142"/>
      <c r="DZM101" s="142"/>
      <c r="DZN101" s="142"/>
      <c r="DZO101" s="142"/>
      <c r="DZP101" s="142"/>
      <c r="DZQ101" s="142"/>
      <c r="DZR101" s="142"/>
      <c r="DZS101" s="142"/>
      <c r="DZT101" s="142"/>
      <c r="DZU101" s="142"/>
      <c r="DZV101" s="142"/>
      <c r="DZW101" s="142"/>
      <c r="DZX101" s="142"/>
      <c r="DZY101" s="142"/>
      <c r="DZZ101" s="142"/>
      <c r="EAA101" s="142"/>
      <c r="EAB101" s="142"/>
      <c r="EAC101" s="142"/>
      <c r="EAD101" s="142"/>
      <c r="EAE101" s="142"/>
      <c r="EAF101" s="142"/>
      <c r="EAG101" s="142"/>
      <c r="EAH101" s="142"/>
      <c r="EAI101" s="142"/>
      <c r="EAJ101" s="142"/>
      <c r="EAK101" s="142"/>
      <c r="EAL101" s="142"/>
      <c r="EAM101" s="142"/>
      <c r="EAN101" s="142"/>
      <c r="EAO101" s="142"/>
      <c r="EAP101" s="142"/>
      <c r="EAQ101" s="142"/>
      <c r="EAR101" s="142"/>
      <c r="EAS101" s="142"/>
      <c r="EAT101" s="142"/>
      <c r="EAU101" s="142"/>
      <c r="EAV101" s="142"/>
      <c r="EAW101" s="142"/>
      <c r="EAX101" s="142"/>
      <c r="EAY101" s="142"/>
      <c r="EAZ101" s="142"/>
      <c r="EBA101" s="142"/>
      <c r="EBB101" s="142"/>
      <c r="EBC101" s="142"/>
      <c r="EBD101" s="142"/>
      <c r="EBE101" s="142"/>
      <c r="EBF101" s="142"/>
      <c r="EBG101" s="142"/>
      <c r="EBH101" s="142"/>
      <c r="EBI101" s="142"/>
      <c r="EBJ101" s="142"/>
      <c r="EBK101" s="142"/>
      <c r="EBL101" s="142"/>
      <c r="EBM101" s="142"/>
      <c r="EBN101" s="142"/>
      <c r="EBO101" s="142"/>
      <c r="EBP101" s="142"/>
      <c r="EBQ101" s="142"/>
      <c r="EBR101" s="142"/>
      <c r="EBS101" s="142"/>
      <c r="EBT101" s="142"/>
      <c r="EBU101" s="142"/>
      <c r="EBV101" s="142"/>
      <c r="EBW101" s="142"/>
      <c r="EBX101" s="142"/>
      <c r="EBY101" s="142"/>
      <c r="EBZ101" s="142"/>
      <c r="ECA101" s="142"/>
      <c r="ECB101" s="142"/>
      <c r="ECC101" s="142"/>
      <c r="ECD101" s="142"/>
      <c r="ECE101" s="142"/>
      <c r="ECF101" s="142"/>
      <c r="ECG101" s="142"/>
      <c r="ECH101" s="142"/>
      <c r="ECI101" s="142"/>
      <c r="ECJ101" s="142"/>
      <c r="ECK101" s="142"/>
      <c r="ECL101" s="142"/>
      <c r="ECM101" s="142"/>
      <c r="ECN101" s="142"/>
      <c r="ECO101" s="142"/>
      <c r="ECP101" s="142"/>
      <c r="ECQ101" s="142"/>
      <c r="ECR101" s="142"/>
      <c r="ECS101" s="142"/>
      <c r="ECT101" s="142"/>
      <c r="ECU101" s="142"/>
      <c r="ECV101" s="142"/>
      <c r="ECW101" s="142"/>
      <c r="ECX101" s="142"/>
      <c r="ECY101" s="142"/>
      <c r="ECZ101" s="142"/>
      <c r="EDA101" s="142"/>
      <c r="EDB101" s="142"/>
      <c r="EDC101" s="142"/>
      <c r="EDD101" s="142"/>
      <c r="EDE101" s="142"/>
      <c r="EDF101" s="142"/>
      <c r="EDG101" s="142"/>
      <c r="EDH101" s="142"/>
      <c r="EDI101" s="142"/>
      <c r="EDJ101" s="142"/>
      <c r="EDK101" s="142"/>
      <c r="EDL101" s="142"/>
      <c r="EDM101" s="142"/>
      <c r="EDN101" s="142"/>
      <c r="EDO101" s="142"/>
      <c r="EDP101" s="142"/>
      <c r="EDQ101" s="142"/>
      <c r="EDR101" s="142"/>
      <c r="EDS101" s="142"/>
      <c r="EDT101" s="142"/>
      <c r="EDU101" s="142"/>
      <c r="EDV101" s="142"/>
      <c r="EDW101" s="142"/>
      <c r="EDX101" s="142"/>
      <c r="EDY101" s="142"/>
      <c r="EDZ101" s="142"/>
      <c r="EEA101" s="142"/>
      <c r="EEB101" s="142"/>
      <c r="EEC101" s="142"/>
      <c r="EED101" s="142"/>
      <c r="EEE101" s="142"/>
      <c r="EEF101" s="142"/>
      <c r="EEG101" s="142"/>
      <c r="EEH101" s="142"/>
      <c r="EEI101" s="142"/>
      <c r="EEJ101" s="142"/>
      <c r="EEK101" s="142"/>
      <c r="EEL101" s="142"/>
      <c r="EEM101" s="142"/>
      <c r="EEN101" s="142"/>
      <c r="EEO101" s="142"/>
      <c r="EEP101" s="142"/>
      <c r="EEQ101" s="142"/>
      <c r="EER101" s="142"/>
      <c r="EES101" s="142"/>
      <c r="EET101" s="142"/>
      <c r="EEU101" s="142"/>
      <c r="EEV101" s="142"/>
      <c r="EEW101" s="142"/>
      <c r="EEX101" s="142"/>
      <c r="EEY101" s="142"/>
      <c r="EEZ101" s="142"/>
      <c r="EFA101" s="142"/>
      <c r="EFB101" s="142"/>
      <c r="EFC101" s="142"/>
      <c r="EFD101" s="142"/>
      <c r="EFE101" s="142"/>
      <c r="EFF101" s="142"/>
      <c r="EFG101" s="142"/>
      <c r="EFH101" s="142"/>
      <c r="EFI101" s="142"/>
      <c r="EFJ101" s="142"/>
      <c r="EFK101" s="142"/>
      <c r="EFL101" s="142"/>
      <c r="EFM101" s="142"/>
      <c r="EFN101" s="142"/>
      <c r="EFO101" s="142"/>
      <c r="EFP101" s="142"/>
      <c r="EFQ101" s="142"/>
      <c r="EFR101" s="142"/>
      <c r="EFS101" s="142"/>
      <c r="EFT101" s="142"/>
      <c r="EFU101" s="142"/>
      <c r="EFV101" s="142"/>
      <c r="EFW101" s="142"/>
      <c r="EFX101" s="142"/>
      <c r="EFY101" s="142"/>
      <c r="EFZ101" s="142"/>
      <c r="EGA101" s="142"/>
      <c r="EGB101" s="142"/>
      <c r="EGC101" s="142"/>
      <c r="EGD101" s="142"/>
      <c r="EGE101" s="142"/>
      <c r="EGF101" s="142"/>
      <c r="EGG101" s="142"/>
      <c r="EGH101" s="142"/>
      <c r="EGI101" s="142"/>
      <c r="EGJ101" s="142"/>
      <c r="EGK101" s="142"/>
      <c r="EGL101" s="142"/>
      <c r="EGM101" s="142"/>
      <c r="EGN101" s="142"/>
      <c r="EGO101" s="142"/>
      <c r="EGP101" s="142"/>
      <c r="EGQ101" s="142"/>
      <c r="EGR101" s="142"/>
      <c r="EGS101" s="142"/>
      <c r="EGT101" s="142"/>
      <c r="EGU101" s="142"/>
      <c r="EGV101" s="142"/>
      <c r="EGW101" s="142"/>
      <c r="EGX101" s="142"/>
      <c r="EGY101" s="142"/>
      <c r="EGZ101" s="142"/>
      <c r="EHA101" s="142"/>
      <c r="EHB101" s="142"/>
      <c r="EHC101" s="142"/>
      <c r="EHD101" s="142"/>
      <c r="EHE101" s="142"/>
      <c r="EHF101" s="142"/>
      <c r="EHG101" s="142"/>
      <c r="EHH101" s="142"/>
      <c r="EHI101" s="142"/>
      <c r="EHJ101" s="142"/>
      <c r="EHK101" s="142"/>
      <c r="EHL101" s="142"/>
      <c r="EHM101" s="142"/>
      <c r="EHN101" s="142"/>
      <c r="EHO101" s="142"/>
      <c r="EHP101" s="142"/>
      <c r="EHQ101" s="142"/>
      <c r="EHR101" s="142"/>
      <c r="EHS101" s="142"/>
      <c r="EHT101" s="142"/>
      <c r="EHU101" s="142"/>
      <c r="EHV101" s="142"/>
      <c r="EHW101" s="142"/>
      <c r="EHX101" s="142"/>
      <c r="EHY101" s="142"/>
      <c r="EHZ101" s="142"/>
      <c r="EIA101" s="142"/>
      <c r="EIB101" s="142"/>
      <c r="EIC101" s="142"/>
      <c r="EID101" s="142"/>
      <c r="EIE101" s="142"/>
      <c r="EIF101" s="142"/>
      <c r="EIG101" s="142"/>
      <c r="EIH101" s="142"/>
      <c r="EII101" s="142"/>
      <c r="EIJ101" s="142"/>
      <c r="EIK101" s="142"/>
      <c r="EIL101" s="142"/>
      <c r="EIM101" s="142"/>
      <c r="EIN101" s="142"/>
      <c r="EIO101" s="142"/>
      <c r="EIP101" s="142"/>
      <c r="EIQ101" s="142"/>
      <c r="EIR101" s="142"/>
      <c r="EIS101" s="142"/>
      <c r="EIT101" s="142"/>
      <c r="EIU101" s="142"/>
      <c r="EIV101" s="142"/>
      <c r="EIW101" s="142"/>
      <c r="EIX101" s="142"/>
      <c r="EIY101" s="142"/>
      <c r="EIZ101" s="142"/>
      <c r="EJA101" s="142"/>
      <c r="EJB101" s="142"/>
      <c r="EJC101" s="142"/>
      <c r="EJD101" s="142"/>
      <c r="EJE101" s="142"/>
      <c r="EJF101" s="142"/>
      <c r="EJG101" s="142"/>
      <c r="EJH101" s="142"/>
      <c r="EJI101" s="142"/>
      <c r="EJJ101" s="142"/>
      <c r="EJK101" s="142"/>
      <c r="EJL101" s="142"/>
      <c r="EJM101" s="142"/>
      <c r="EJN101" s="142"/>
      <c r="EJO101" s="142"/>
      <c r="EJP101" s="142"/>
      <c r="EJQ101" s="142"/>
      <c r="EJR101" s="142"/>
      <c r="EJS101" s="142"/>
      <c r="EJT101" s="142"/>
      <c r="EJU101" s="142"/>
      <c r="EJV101" s="142"/>
      <c r="EJW101" s="142"/>
      <c r="EJX101" s="142"/>
      <c r="EJY101" s="142"/>
      <c r="EJZ101" s="142"/>
      <c r="EKA101" s="142"/>
      <c r="EKB101" s="142"/>
      <c r="EKC101" s="142"/>
      <c r="EKD101" s="142"/>
      <c r="EKE101" s="142"/>
      <c r="EKF101" s="142"/>
      <c r="EKG101" s="142"/>
      <c r="EKH101" s="142"/>
      <c r="EKI101" s="142"/>
      <c r="EKJ101" s="142"/>
      <c r="EKK101" s="142"/>
      <c r="EKL101" s="142"/>
      <c r="EKM101" s="142"/>
      <c r="EKN101" s="142"/>
      <c r="EKO101" s="142"/>
      <c r="EKP101" s="142"/>
      <c r="EKQ101" s="142"/>
      <c r="EKR101" s="142"/>
      <c r="EKS101" s="142"/>
      <c r="EKT101" s="142"/>
      <c r="EKU101" s="142"/>
      <c r="EKV101" s="142"/>
      <c r="EKW101" s="142"/>
      <c r="EKX101" s="142"/>
      <c r="EKY101" s="142"/>
      <c r="EKZ101" s="142"/>
      <c r="ELA101" s="142"/>
      <c r="ELB101" s="142"/>
      <c r="ELC101" s="142"/>
      <c r="ELD101" s="142"/>
      <c r="ELE101" s="142"/>
      <c r="ELF101" s="142"/>
      <c r="ELG101" s="142"/>
      <c r="ELH101" s="142"/>
      <c r="ELI101" s="142"/>
      <c r="ELJ101" s="142"/>
      <c r="ELK101" s="142"/>
      <c r="ELL101" s="142"/>
      <c r="ELM101" s="142"/>
      <c r="ELN101" s="142"/>
      <c r="ELO101" s="142"/>
      <c r="ELP101" s="142"/>
      <c r="ELQ101" s="142"/>
      <c r="ELR101" s="142"/>
      <c r="ELS101" s="142"/>
      <c r="ELT101" s="142"/>
      <c r="ELU101" s="142"/>
      <c r="ELV101" s="142"/>
      <c r="ELW101" s="142"/>
      <c r="ELX101" s="142"/>
      <c r="ELY101" s="142"/>
      <c r="ELZ101" s="142"/>
      <c r="EMA101" s="142"/>
      <c r="EMB101" s="142"/>
      <c r="EMC101" s="142"/>
      <c r="EMD101" s="142"/>
      <c r="EME101" s="142"/>
      <c r="EMF101" s="142"/>
      <c r="EMG101" s="142"/>
      <c r="EMH101" s="142"/>
      <c r="EMI101" s="142"/>
      <c r="EMJ101" s="142"/>
      <c r="EMK101" s="142"/>
      <c r="EML101" s="142"/>
      <c r="EMM101" s="142"/>
      <c r="EMN101" s="142"/>
      <c r="EMO101" s="142"/>
      <c r="EMP101" s="142"/>
      <c r="EMQ101" s="142"/>
      <c r="EMR101" s="142"/>
      <c r="EMS101" s="142"/>
      <c r="EMT101" s="142"/>
      <c r="EMU101" s="142"/>
      <c r="EMV101" s="142"/>
      <c r="EMW101" s="142"/>
      <c r="EMX101" s="142"/>
      <c r="EMY101" s="142"/>
      <c r="EMZ101" s="142"/>
      <c r="ENA101" s="142"/>
      <c r="ENB101" s="142"/>
      <c r="ENC101" s="142"/>
      <c r="END101" s="142"/>
      <c r="ENE101" s="142"/>
      <c r="ENF101" s="142"/>
      <c r="ENG101" s="142"/>
      <c r="ENH101" s="142"/>
      <c r="ENI101" s="142"/>
      <c r="ENJ101" s="142"/>
      <c r="ENK101" s="142"/>
      <c r="ENL101" s="142"/>
      <c r="ENM101" s="142"/>
      <c r="ENN101" s="142"/>
      <c r="ENO101" s="142"/>
      <c r="ENP101" s="142"/>
      <c r="ENQ101" s="142"/>
      <c r="ENR101" s="142"/>
      <c r="ENS101" s="142"/>
      <c r="ENT101" s="142"/>
      <c r="ENU101" s="142"/>
      <c r="ENV101" s="142"/>
      <c r="ENW101" s="142"/>
      <c r="ENX101" s="142"/>
      <c r="ENY101" s="142"/>
      <c r="ENZ101" s="142"/>
      <c r="EOA101" s="142"/>
      <c r="EOB101" s="142"/>
      <c r="EOC101" s="142"/>
      <c r="EOD101" s="142"/>
      <c r="EOE101" s="142"/>
      <c r="EOF101" s="142"/>
      <c r="EOG101" s="142"/>
      <c r="EOH101" s="142"/>
      <c r="EOI101" s="142"/>
      <c r="EOJ101" s="142"/>
      <c r="EOK101" s="142"/>
      <c r="EOL101" s="142"/>
      <c r="EOM101" s="142"/>
      <c r="EON101" s="142"/>
      <c r="EOO101" s="142"/>
      <c r="EOP101" s="142"/>
      <c r="EOQ101" s="142"/>
      <c r="EOR101" s="142"/>
      <c r="EOS101" s="142"/>
      <c r="EOT101" s="142"/>
      <c r="EOU101" s="142"/>
      <c r="EOV101" s="142"/>
      <c r="EOW101" s="142"/>
      <c r="EOX101" s="142"/>
      <c r="EOY101" s="142"/>
      <c r="EOZ101" s="142"/>
      <c r="EPA101" s="142"/>
      <c r="EPB101" s="142"/>
      <c r="EPC101" s="142"/>
      <c r="EPD101" s="142"/>
      <c r="EPE101" s="142"/>
      <c r="EPF101" s="142"/>
      <c r="EPG101" s="142"/>
      <c r="EPH101" s="142"/>
      <c r="EPI101" s="142"/>
      <c r="EPJ101" s="142"/>
      <c r="EPK101" s="142"/>
      <c r="EPL101" s="142"/>
      <c r="EPM101" s="142"/>
      <c r="EPN101" s="142"/>
      <c r="EPO101" s="142"/>
      <c r="EPP101" s="142"/>
      <c r="EPQ101" s="142"/>
      <c r="EPR101" s="142"/>
      <c r="EPS101" s="142"/>
      <c r="EPT101" s="142"/>
      <c r="EPU101" s="142"/>
      <c r="EPV101" s="142"/>
      <c r="EPW101" s="142"/>
      <c r="EPX101" s="142"/>
      <c r="EPY101" s="142"/>
      <c r="EPZ101" s="142"/>
      <c r="EQA101" s="142"/>
      <c r="EQB101" s="142"/>
      <c r="EQC101" s="142"/>
      <c r="EQD101" s="142"/>
      <c r="EQE101" s="142"/>
      <c r="EQF101" s="142"/>
      <c r="EQG101" s="142"/>
      <c r="EQH101" s="142"/>
      <c r="EQI101" s="142"/>
      <c r="EQJ101" s="142"/>
      <c r="EQK101" s="142"/>
      <c r="EQL101" s="142"/>
      <c r="EQM101" s="142"/>
      <c r="EQN101" s="142"/>
      <c r="EQO101" s="142"/>
      <c r="EQP101" s="142"/>
      <c r="EQQ101" s="142"/>
      <c r="EQR101" s="142"/>
      <c r="EQS101" s="142"/>
      <c r="EQT101" s="142"/>
      <c r="EQU101" s="142"/>
      <c r="EQV101" s="142"/>
      <c r="EQW101" s="142"/>
      <c r="EQX101" s="142"/>
      <c r="EQY101" s="142"/>
      <c r="EQZ101" s="142"/>
      <c r="ERA101" s="142"/>
      <c r="ERB101" s="142"/>
      <c r="ERC101" s="142"/>
      <c r="ERD101" s="142"/>
      <c r="ERE101" s="142"/>
      <c r="ERF101" s="142"/>
      <c r="ERG101" s="142"/>
      <c r="ERH101" s="142"/>
      <c r="ERI101" s="142"/>
      <c r="ERJ101" s="142"/>
      <c r="ERK101" s="142"/>
      <c r="ERL101" s="142"/>
      <c r="ERM101" s="142"/>
      <c r="ERN101" s="142"/>
      <c r="ERO101" s="142"/>
      <c r="ERP101" s="142"/>
      <c r="ERQ101" s="142"/>
      <c r="ERR101" s="142"/>
      <c r="ERS101" s="142"/>
      <c r="ERT101" s="142"/>
      <c r="ERU101" s="142"/>
      <c r="ERV101" s="142"/>
      <c r="ERW101" s="142"/>
      <c r="ERX101" s="142"/>
      <c r="ERY101" s="142"/>
      <c r="ERZ101" s="142"/>
      <c r="ESA101" s="142"/>
      <c r="ESB101" s="142"/>
      <c r="ESC101" s="142"/>
      <c r="ESD101" s="142"/>
      <c r="ESE101" s="142"/>
      <c r="ESF101" s="142"/>
      <c r="ESG101" s="142"/>
      <c r="ESH101" s="142"/>
      <c r="ESI101" s="142"/>
      <c r="ESJ101" s="142"/>
      <c r="ESK101" s="142"/>
      <c r="ESL101" s="142"/>
      <c r="ESM101" s="142"/>
      <c r="ESN101" s="142"/>
      <c r="ESO101" s="142"/>
      <c r="ESP101" s="142"/>
      <c r="ESQ101" s="142"/>
      <c r="ESR101" s="142"/>
      <c r="ESS101" s="142"/>
      <c r="EST101" s="142"/>
      <c r="ESU101" s="142"/>
      <c r="ESV101" s="142"/>
      <c r="ESW101" s="142"/>
      <c r="ESX101" s="142"/>
      <c r="ESY101" s="142"/>
      <c r="ESZ101" s="142"/>
      <c r="ETA101" s="142"/>
      <c r="ETB101" s="142"/>
      <c r="ETC101" s="142"/>
      <c r="ETD101" s="142"/>
      <c r="ETE101" s="142"/>
      <c r="ETF101" s="142"/>
      <c r="ETG101" s="142"/>
      <c r="ETH101" s="142"/>
      <c r="ETI101" s="142"/>
      <c r="ETJ101" s="142"/>
      <c r="ETK101" s="142"/>
      <c r="ETL101" s="142"/>
      <c r="ETM101" s="142"/>
      <c r="ETN101" s="142"/>
      <c r="ETO101" s="142"/>
      <c r="ETP101" s="142"/>
      <c r="ETQ101" s="142"/>
      <c r="ETR101" s="142"/>
      <c r="ETS101" s="142"/>
      <c r="ETT101" s="142"/>
      <c r="ETU101" s="142"/>
      <c r="ETV101" s="142"/>
      <c r="ETW101" s="142"/>
      <c r="ETX101" s="142"/>
      <c r="ETY101" s="142"/>
      <c r="ETZ101" s="142"/>
      <c r="EUA101" s="142"/>
      <c r="EUB101" s="142"/>
      <c r="EUC101" s="142"/>
      <c r="EUD101" s="142"/>
      <c r="EUE101" s="142"/>
      <c r="EUF101" s="142"/>
      <c r="EUG101" s="142"/>
      <c r="EUH101" s="142"/>
      <c r="EUI101" s="142"/>
      <c r="EUJ101" s="142"/>
      <c r="EUK101" s="142"/>
      <c r="EUL101" s="142"/>
      <c r="EUM101" s="142"/>
      <c r="EUN101" s="142"/>
      <c r="EUO101" s="142"/>
      <c r="EUP101" s="142"/>
      <c r="EUQ101" s="142"/>
      <c r="EUR101" s="142"/>
      <c r="EUS101" s="142"/>
      <c r="EUT101" s="142"/>
      <c r="EUU101" s="142"/>
      <c r="EUV101" s="142"/>
      <c r="EUW101" s="142"/>
      <c r="EUX101" s="142"/>
      <c r="EUY101" s="142"/>
      <c r="EUZ101" s="142"/>
      <c r="EVA101" s="142"/>
      <c r="EVB101" s="142"/>
      <c r="EVC101" s="142"/>
      <c r="EVD101" s="142"/>
      <c r="EVE101" s="142"/>
      <c r="EVF101" s="142"/>
      <c r="EVG101" s="142"/>
      <c r="EVH101" s="142"/>
      <c r="EVI101" s="142"/>
      <c r="EVJ101" s="142"/>
      <c r="EVK101" s="142"/>
      <c r="EVL101" s="142"/>
      <c r="EVM101" s="142"/>
      <c r="EVN101" s="142"/>
      <c r="EVO101" s="142"/>
      <c r="EVP101" s="142"/>
      <c r="EVQ101" s="142"/>
      <c r="EVR101" s="142"/>
      <c r="EVS101" s="142"/>
      <c r="EVT101" s="142"/>
      <c r="EVU101" s="142"/>
      <c r="EVV101" s="142"/>
      <c r="EVW101" s="142"/>
      <c r="EVX101" s="142"/>
      <c r="EVY101" s="142"/>
      <c r="EVZ101" s="142"/>
      <c r="EWA101" s="142"/>
      <c r="EWB101" s="142"/>
      <c r="EWC101" s="142"/>
      <c r="EWD101" s="142"/>
      <c r="EWE101" s="142"/>
      <c r="EWF101" s="142"/>
      <c r="EWG101" s="142"/>
      <c r="EWH101" s="142"/>
      <c r="EWI101" s="142"/>
      <c r="EWJ101" s="142"/>
      <c r="EWK101" s="142"/>
      <c r="EWL101" s="142"/>
      <c r="EWM101" s="142"/>
      <c r="EWN101" s="142"/>
      <c r="EWO101" s="142"/>
      <c r="EWP101" s="142"/>
      <c r="EWQ101" s="142"/>
      <c r="EWR101" s="142"/>
      <c r="EWS101" s="142"/>
      <c r="EWT101" s="142"/>
      <c r="EWU101" s="142"/>
      <c r="EWV101" s="142"/>
      <c r="EWW101" s="142"/>
      <c r="EWX101" s="142"/>
      <c r="EWY101" s="142"/>
      <c r="EWZ101" s="142"/>
      <c r="EXA101" s="142"/>
      <c r="EXB101" s="142"/>
      <c r="EXC101" s="142"/>
      <c r="EXD101" s="142"/>
      <c r="EXE101" s="142"/>
      <c r="EXF101" s="142"/>
      <c r="EXG101" s="142"/>
      <c r="EXH101" s="142"/>
      <c r="EXI101" s="142"/>
      <c r="EXJ101" s="142"/>
      <c r="EXK101" s="142"/>
      <c r="EXL101" s="142"/>
      <c r="EXM101" s="142"/>
      <c r="EXN101" s="142"/>
      <c r="EXO101" s="142"/>
      <c r="EXP101" s="142"/>
      <c r="EXQ101" s="142"/>
      <c r="EXR101" s="142"/>
      <c r="EXS101" s="142"/>
      <c r="EXT101" s="142"/>
      <c r="EXU101" s="142"/>
      <c r="EXV101" s="142"/>
      <c r="EXW101" s="142"/>
      <c r="EXX101" s="142"/>
      <c r="EXY101" s="142"/>
      <c r="EXZ101" s="142"/>
      <c r="EYA101" s="142"/>
      <c r="EYB101" s="142"/>
      <c r="EYC101" s="142"/>
      <c r="EYD101" s="142"/>
      <c r="EYE101" s="142"/>
      <c r="EYF101" s="142"/>
      <c r="EYG101" s="142"/>
      <c r="EYH101" s="142"/>
      <c r="EYI101" s="142"/>
      <c r="EYJ101" s="142"/>
      <c r="EYK101" s="142"/>
      <c r="EYL101" s="142"/>
      <c r="EYM101" s="142"/>
      <c r="EYN101" s="142"/>
      <c r="EYO101" s="142"/>
      <c r="EYP101" s="142"/>
      <c r="EYQ101" s="142"/>
      <c r="EYR101" s="142"/>
      <c r="EYS101" s="142"/>
      <c r="EYT101" s="142"/>
      <c r="EYU101" s="142"/>
      <c r="EYV101" s="142"/>
      <c r="EYW101" s="142"/>
      <c r="EYX101" s="142"/>
      <c r="EYY101" s="142"/>
      <c r="EYZ101" s="142"/>
      <c r="EZA101" s="142"/>
      <c r="EZB101" s="142"/>
      <c r="EZC101" s="142"/>
      <c r="EZD101" s="142"/>
      <c r="EZE101" s="142"/>
      <c r="EZF101" s="142"/>
      <c r="EZG101" s="142"/>
      <c r="EZH101" s="142"/>
      <c r="EZI101" s="142"/>
      <c r="EZJ101" s="142"/>
      <c r="EZK101" s="142"/>
      <c r="EZL101" s="142"/>
      <c r="EZM101" s="142"/>
      <c r="EZN101" s="142"/>
      <c r="EZO101" s="142"/>
      <c r="EZP101" s="142"/>
      <c r="EZQ101" s="142"/>
      <c r="EZR101" s="142"/>
      <c r="EZS101" s="142"/>
      <c r="EZT101" s="142"/>
      <c r="EZU101" s="142"/>
      <c r="EZV101" s="142"/>
      <c r="EZW101" s="142"/>
      <c r="EZX101" s="142"/>
      <c r="EZY101" s="142"/>
      <c r="EZZ101" s="142"/>
      <c r="FAA101" s="142"/>
      <c r="FAB101" s="142"/>
      <c r="FAC101" s="142"/>
      <c r="FAD101" s="142"/>
      <c r="FAE101" s="142"/>
      <c r="FAF101" s="142"/>
      <c r="FAG101" s="142"/>
      <c r="FAH101" s="142"/>
      <c r="FAI101" s="142"/>
      <c r="FAJ101" s="142"/>
      <c r="FAK101" s="142"/>
      <c r="FAL101" s="142"/>
      <c r="FAM101" s="142"/>
      <c r="FAN101" s="142"/>
      <c r="FAO101" s="142"/>
      <c r="FAP101" s="142"/>
      <c r="FAQ101" s="142"/>
      <c r="FAR101" s="142"/>
      <c r="FAS101" s="142"/>
      <c r="FAT101" s="142"/>
      <c r="FAU101" s="142"/>
      <c r="FAV101" s="142"/>
      <c r="FAW101" s="142"/>
      <c r="FAX101" s="142"/>
      <c r="FAY101" s="142"/>
      <c r="FAZ101" s="142"/>
      <c r="FBA101" s="142"/>
      <c r="FBB101" s="142"/>
      <c r="FBC101" s="142"/>
      <c r="FBD101" s="142"/>
      <c r="FBE101" s="142"/>
      <c r="FBF101" s="142"/>
      <c r="FBG101" s="142"/>
      <c r="FBH101" s="142"/>
      <c r="FBI101" s="142"/>
      <c r="FBJ101" s="142"/>
      <c r="FBK101" s="142"/>
      <c r="FBL101" s="142"/>
      <c r="FBM101" s="142"/>
      <c r="FBN101" s="142"/>
      <c r="FBO101" s="142"/>
      <c r="FBP101" s="142"/>
      <c r="FBQ101" s="142"/>
      <c r="FBR101" s="142"/>
      <c r="FBS101" s="142"/>
      <c r="FBT101" s="142"/>
      <c r="FBU101" s="142"/>
      <c r="FBV101" s="142"/>
      <c r="FBW101" s="142"/>
      <c r="FBX101" s="142"/>
      <c r="FBY101" s="142"/>
      <c r="FBZ101" s="142"/>
      <c r="FCA101" s="142"/>
      <c r="FCB101" s="142"/>
      <c r="FCC101" s="142"/>
      <c r="FCD101" s="142"/>
      <c r="FCE101" s="142"/>
      <c r="FCF101" s="142"/>
      <c r="FCG101" s="142"/>
      <c r="FCH101" s="142"/>
      <c r="FCI101" s="142"/>
      <c r="FCJ101" s="142"/>
      <c r="FCK101" s="142"/>
      <c r="FCL101" s="142"/>
      <c r="FCM101" s="142"/>
      <c r="FCN101" s="142"/>
      <c r="FCO101" s="142"/>
      <c r="FCP101" s="142"/>
      <c r="FCQ101" s="142"/>
      <c r="FCR101" s="142"/>
      <c r="FCS101" s="142"/>
      <c r="FCT101" s="142"/>
      <c r="FCU101" s="142"/>
      <c r="FCV101" s="142"/>
      <c r="FCW101" s="142"/>
      <c r="FCX101" s="142"/>
      <c r="FCY101" s="142"/>
      <c r="FCZ101" s="142"/>
      <c r="FDA101" s="142"/>
      <c r="FDB101" s="142"/>
      <c r="FDC101" s="142"/>
      <c r="FDD101" s="142"/>
      <c r="FDE101" s="142"/>
      <c r="FDF101" s="142"/>
      <c r="FDG101" s="142"/>
      <c r="FDH101" s="142"/>
      <c r="FDI101" s="142"/>
      <c r="FDJ101" s="142"/>
      <c r="FDK101" s="142"/>
      <c r="FDL101" s="142"/>
      <c r="FDM101" s="142"/>
      <c r="FDN101" s="142"/>
      <c r="FDO101" s="142"/>
      <c r="FDP101" s="142"/>
      <c r="FDQ101" s="142"/>
      <c r="FDR101" s="142"/>
      <c r="FDS101" s="142"/>
      <c r="FDT101" s="142"/>
      <c r="FDU101" s="142"/>
      <c r="FDV101" s="142"/>
      <c r="FDW101" s="142"/>
      <c r="FDX101" s="142"/>
      <c r="FDY101" s="142"/>
      <c r="FDZ101" s="142"/>
      <c r="FEA101" s="142"/>
      <c r="FEB101" s="142"/>
      <c r="FEC101" s="142"/>
      <c r="FED101" s="142"/>
      <c r="FEE101" s="142"/>
      <c r="FEF101" s="142"/>
      <c r="FEG101" s="142"/>
      <c r="FEH101" s="142"/>
      <c r="FEI101" s="142"/>
      <c r="FEJ101" s="142"/>
      <c r="FEK101" s="142"/>
      <c r="FEL101" s="142"/>
      <c r="FEM101" s="142"/>
      <c r="FEN101" s="142"/>
      <c r="FEO101" s="142"/>
      <c r="FEP101" s="142"/>
      <c r="FEQ101" s="142"/>
      <c r="FER101" s="142"/>
      <c r="FES101" s="142"/>
      <c r="FET101" s="142"/>
      <c r="FEU101" s="142"/>
      <c r="FEV101" s="142"/>
      <c r="FEW101" s="142"/>
      <c r="FEX101" s="142"/>
      <c r="FEY101" s="142"/>
      <c r="FEZ101" s="142"/>
      <c r="FFA101" s="142"/>
      <c r="FFB101" s="142"/>
      <c r="FFC101" s="142"/>
      <c r="FFD101" s="142"/>
      <c r="FFE101" s="142"/>
      <c r="FFF101" s="142"/>
      <c r="FFG101" s="142"/>
      <c r="FFH101" s="142"/>
      <c r="FFI101" s="142"/>
      <c r="FFJ101" s="142"/>
      <c r="FFK101" s="142"/>
      <c r="FFL101" s="142"/>
      <c r="FFM101" s="142"/>
      <c r="FFN101" s="142"/>
      <c r="FFO101" s="142"/>
      <c r="FFP101" s="142"/>
      <c r="FFQ101" s="142"/>
      <c r="FFR101" s="142"/>
      <c r="FFS101" s="142"/>
      <c r="FFT101" s="142"/>
      <c r="FFU101" s="142"/>
      <c r="FFV101" s="142"/>
      <c r="FFW101" s="142"/>
      <c r="FFX101" s="142"/>
      <c r="FFY101" s="142"/>
      <c r="FFZ101" s="142"/>
      <c r="FGA101" s="142"/>
      <c r="FGB101" s="142"/>
      <c r="FGC101" s="142"/>
      <c r="FGD101" s="142"/>
      <c r="FGE101" s="142"/>
      <c r="FGF101" s="142"/>
      <c r="FGG101" s="142"/>
      <c r="FGH101" s="142"/>
      <c r="FGI101" s="142"/>
      <c r="FGJ101" s="142"/>
      <c r="FGK101" s="142"/>
      <c r="FGL101" s="142"/>
      <c r="FGM101" s="142"/>
      <c r="FGN101" s="142"/>
      <c r="FGO101" s="142"/>
      <c r="FGP101" s="142"/>
      <c r="FGQ101" s="142"/>
      <c r="FGR101" s="142"/>
      <c r="FGS101" s="142"/>
      <c r="FGT101" s="142"/>
      <c r="FGU101" s="142"/>
      <c r="FGV101" s="142"/>
      <c r="FGW101" s="142"/>
      <c r="FGX101" s="142"/>
      <c r="FGY101" s="142"/>
      <c r="FGZ101" s="142"/>
      <c r="FHA101" s="142"/>
      <c r="FHB101" s="142"/>
      <c r="FHC101" s="142"/>
      <c r="FHD101" s="142"/>
      <c r="FHE101" s="142"/>
      <c r="FHF101" s="142"/>
      <c r="FHG101" s="142"/>
      <c r="FHH101" s="142"/>
      <c r="FHI101" s="142"/>
      <c r="FHJ101" s="142"/>
      <c r="FHK101" s="142"/>
      <c r="FHL101" s="142"/>
      <c r="FHM101" s="142"/>
      <c r="FHN101" s="142"/>
      <c r="FHO101" s="142"/>
      <c r="FHP101" s="142"/>
      <c r="FHQ101" s="142"/>
      <c r="FHR101" s="142"/>
      <c r="FHS101" s="142"/>
      <c r="FHT101" s="142"/>
      <c r="FHU101" s="142"/>
      <c r="FHV101" s="142"/>
      <c r="FHW101" s="142"/>
      <c r="FHX101" s="142"/>
      <c r="FHY101" s="142"/>
      <c r="FHZ101" s="142"/>
      <c r="FIA101" s="142"/>
      <c r="FIB101" s="142"/>
      <c r="FIC101" s="142"/>
      <c r="FID101" s="142"/>
      <c r="FIE101" s="142"/>
      <c r="FIF101" s="142"/>
      <c r="FIG101" s="142"/>
      <c r="FIH101" s="142"/>
      <c r="FII101" s="142"/>
      <c r="FIJ101" s="142"/>
      <c r="FIK101" s="142"/>
      <c r="FIL101" s="142"/>
      <c r="FIM101" s="142"/>
      <c r="FIN101" s="142"/>
      <c r="FIO101" s="142"/>
      <c r="FIP101" s="142"/>
      <c r="FIQ101" s="142"/>
      <c r="FIR101" s="142"/>
      <c r="FIS101" s="142"/>
      <c r="FIT101" s="142"/>
      <c r="FIU101" s="142"/>
      <c r="FIV101" s="142"/>
      <c r="FIW101" s="142"/>
      <c r="FIX101" s="142"/>
      <c r="FIY101" s="142"/>
      <c r="FIZ101" s="142"/>
      <c r="FJA101" s="142"/>
      <c r="FJB101" s="142"/>
      <c r="FJC101" s="142"/>
      <c r="FJD101" s="142"/>
      <c r="FJE101" s="142"/>
      <c r="FJF101" s="142"/>
      <c r="FJG101" s="142"/>
      <c r="FJH101" s="142"/>
      <c r="FJI101" s="142"/>
      <c r="FJJ101" s="142"/>
      <c r="FJK101" s="142"/>
      <c r="FJL101" s="142"/>
      <c r="FJM101" s="142"/>
      <c r="FJN101" s="142"/>
      <c r="FJO101" s="142"/>
      <c r="FJP101" s="142"/>
      <c r="FJQ101" s="142"/>
      <c r="FJR101" s="142"/>
      <c r="FJS101" s="142"/>
      <c r="FJT101" s="142"/>
      <c r="FJU101" s="142"/>
      <c r="FJV101" s="142"/>
      <c r="FJW101" s="142"/>
      <c r="FJX101" s="142"/>
      <c r="FJY101" s="142"/>
      <c r="FJZ101" s="142"/>
      <c r="FKA101" s="142"/>
      <c r="FKB101" s="142"/>
      <c r="FKC101" s="142"/>
      <c r="FKD101" s="142"/>
      <c r="FKE101" s="142"/>
      <c r="FKF101" s="142"/>
      <c r="FKG101" s="142"/>
      <c r="FKH101" s="142"/>
      <c r="FKI101" s="142"/>
      <c r="FKJ101" s="142"/>
      <c r="FKK101" s="142"/>
      <c r="FKL101" s="142"/>
      <c r="FKM101" s="142"/>
      <c r="FKN101" s="142"/>
      <c r="FKO101" s="142"/>
      <c r="FKP101" s="142"/>
      <c r="FKQ101" s="142"/>
      <c r="FKR101" s="142"/>
      <c r="FKS101" s="142"/>
      <c r="FKT101" s="142"/>
      <c r="FKU101" s="142"/>
      <c r="FKV101" s="142"/>
      <c r="FKW101" s="142"/>
      <c r="FKX101" s="142"/>
      <c r="FKY101" s="142"/>
      <c r="FKZ101" s="142"/>
      <c r="FLA101" s="142"/>
      <c r="FLB101" s="142"/>
      <c r="FLC101" s="142"/>
      <c r="FLD101" s="142"/>
      <c r="FLE101" s="142"/>
      <c r="FLF101" s="142"/>
      <c r="FLG101" s="142"/>
      <c r="FLH101" s="142"/>
      <c r="FLI101" s="142"/>
      <c r="FLJ101" s="142"/>
      <c r="FLK101" s="142"/>
      <c r="FLL101" s="142"/>
      <c r="FLM101" s="142"/>
      <c r="FLN101" s="142"/>
      <c r="FLO101" s="142"/>
      <c r="FLP101" s="142"/>
      <c r="FLQ101" s="142"/>
      <c r="FLR101" s="142"/>
      <c r="FLS101" s="142"/>
      <c r="FLT101" s="142"/>
      <c r="FLU101" s="142"/>
      <c r="FLV101" s="142"/>
      <c r="FLW101" s="142"/>
      <c r="FLX101" s="142"/>
      <c r="FLY101" s="142"/>
      <c r="FLZ101" s="142"/>
      <c r="FMA101" s="142"/>
      <c r="FMB101" s="142"/>
      <c r="FMC101" s="142"/>
      <c r="FMD101" s="142"/>
      <c r="FME101" s="142"/>
      <c r="FMF101" s="142"/>
      <c r="FMG101" s="142"/>
      <c r="FMH101" s="142"/>
      <c r="FMI101" s="142"/>
      <c r="FMJ101" s="142"/>
      <c r="FMK101" s="142"/>
      <c r="FML101" s="142"/>
      <c r="FMM101" s="142"/>
      <c r="FMN101" s="142"/>
      <c r="FMO101" s="142"/>
      <c r="FMP101" s="142"/>
      <c r="FMQ101" s="142"/>
      <c r="FMR101" s="142"/>
      <c r="FMS101" s="142"/>
      <c r="FMT101" s="142"/>
      <c r="FMU101" s="142"/>
      <c r="FMV101" s="142"/>
      <c r="FMW101" s="142"/>
      <c r="FMX101" s="142"/>
      <c r="FMY101" s="142"/>
      <c r="FMZ101" s="142"/>
      <c r="FNA101" s="142"/>
      <c r="FNB101" s="142"/>
      <c r="FNC101" s="142"/>
      <c r="FND101" s="142"/>
      <c r="FNE101" s="142"/>
      <c r="FNF101" s="142"/>
      <c r="FNG101" s="142"/>
      <c r="FNH101" s="142"/>
      <c r="FNI101" s="142"/>
      <c r="FNJ101" s="142"/>
      <c r="FNK101" s="142"/>
      <c r="FNL101" s="142"/>
      <c r="FNM101" s="142"/>
      <c r="FNN101" s="142"/>
      <c r="FNO101" s="142"/>
      <c r="FNP101" s="142"/>
      <c r="FNQ101" s="142"/>
      <c r="FNR101" s="142"/>
      <c r="FNS101" s="142"/>
      <c r="FNT101" s="142"/>
      <c r="FNU101" s="142"/>
      <c r="FNV101" s="142"/>
      <c r="FNW101" s="142"/>
      <c r="FNX101" s="142"/>
      <c r="FNY101" s="142"/>
      <c r="FNZ101" s="142"/>
      <c r="FOA101" s="142"/>
      <c r="FOB101" s="142"/>
      <c r="FOC101" s="142"/>
      <c r="FOD101" s="142"/>
      <c r="FOE101" s="142"/>
      <c r="FOF101" s="142"/>
      <c r="FOG101" s="142"/>
      <c r="FOH101" s="142"/>
      <c r="FOI101" s="142"/>
      <c r="FOJ101" s="142"/>
      <c r="FOK101" s="142"/>
      <c r="FOL101" s="142"/>
      <c r="FOM101" s="142"/>
      <c r="FON101" s="142"/>
      <c r="FOO101" s="142"/>
      <c r="FOP101" s="142"/>
      <c r="FOQ101" s="142"/>
      <c r="FOR101" s="142"/>
      <c r="FOS101" s="142"/>
      <c r="FOT101" s="142"/>
      <c r="FOU101" s="142"/>
      <c r="FOV101" s="142"/>
      <c r="FOW101" s="142"/>
      <c r="FOX101" s="142"/>
      <c r="FOY101" s="142"/>
      <c r="FOZ101" s="142"/>
      <c r="FPA101" s="142"/>
      <c r="FPB101" s="142"/>
      <c r="FPC101" s="142"/>
      <c r="FPD101" s="142"/>
      <c r="FPE101" s="142"/>
      <c r="FPF101" s="142"/>
      <c r="FPG101" s="142"/>
      <c r="FPH101" s="142"/>
      <c r="FPI101" s="142"/>
      <c r="FPJ101" s="142"/>
      <c r="FPK101" s="142"/>
      <c r="FPL101" s="142"/>
      <c r="FPM101" s="142"/>
      <c r="FPN101" s="142"/>
      <c r="FPO101" s="142"/>
      <c r="FPP101" s="142"/>
      <c r="FPQ101" s="142"/>
      <c r="FPR101" s="142"/>
      <c r="FPS101" s="142"/>
      <c r="FPT101" s="142"/>
      <c r="FPU101" s="142"/>
      <c r="FPV101" s="142"/>
      <c r="FPW101" s="142"/>
      <c r="FPX101" s="142"/>
      <c r="FPY101" s="142"/>
      <c r="FPZ101" s="142"/>
      <c r="FQA101" s="142"/>
      <c r="FQB101" s="142"/>
      <c r="FQC101" s="142"/>
      <c r="FQD101" s="142"/>
      <c r="FQE101" s="142"/>
      <c r="FQF101" s="142"/>
      <c r="FQG101" s="142"/>
      <c r="FQH101" s="142"/>
      <c r="FQI101" s="142"/>
      <c r="FQJ101" s="142"/>
      <c r="FQK101" s="142"/>
      <c r="FQL101" s="142"/>
      <c r="FQM101" s="142"/>
      <c r="FQN101" s="142"/>
      <c r="FQO101" s="142"/>
      <c r="FQP101" s="142"/>
      <c r="FQQ101" s="142"/>
      <c r="FQR101" s="142"/>
      <c r="FQS101" s="142"/>
      <c r="FQT101" s="142"/>
      <c r="FQU101" s="142"/>
      <c r="FQV101" s="142"/>
      <c r="FQW101" s="142"/>
      <c r="FQX101" s="142"/>
      <c r="FQY101" s="142"/>
      <c r="FQZ101" s="142"/>
      <c r="FRA101" s="142"/>
      <c r="FRB101" s="142"/>
      <c r="FRC101" s="142"/>
      <c r="FRD101" s="142"/>
      <c r="FRE101" s="142"/>
      <c r="FRF101" s="142"/>
      <c r="FRG101" s="142"/>
      <c r="FRH101" s="142"/>
      <c r="FRI101" s="142"/>
      <c r="FRJ101" s="142"/>
      <c r="FRK101" s="142"/>
      <c r="FRL101" s="142"/>
      <c r="FRM101" s="142"/>
      <c r="FRN101" s="142"/>
      <c r="FRO101" s="142"/>
      <c r="FRP101" s="142"/>
      <c r="FRQ101" s="142"/>
      <c r="FRR101" s="142"/>
      <c r="FRS101" s="142"/>
      <c r="FRT101" s="142"/>
      <c r="FRU101" s="142"/>
      <c r="FRV101" s="142"/>
      <c r="FRW101" s="142"/>
      <c r="FRX101" s="142"/>
      <c r="FRY101" s="142"/>
      <c r="FRZ101" s="142"/>
      <c r="FSA101" s="142"/>
      <c r="FSB101" s="142"/>
      <c r="FSC101" s="142"/>
      <c r="FSD101" s="142"/>
      <c r="FSE101" s="142"/>
      <c r="FSF101" s="142"/>
      <c r="FSG101" s="142"/>
      <c r="FSH101" s="142"/>
      <c r="FSI101" s="142"/>
      <c r="FSJ101" s="142"/>
      <c r="FSK101" s="142"/>
      <c r="FSL101" s="142"/>
      <c r="FSM101" s="142"/>
      <c r="FSN101" s="142"/>
      <c r="FSO101" s="142"/>
      <c r="FSP101" s="142"/>
      <c r="FSQ101" s="142"/>
      <c r="FSR101" s="142"/>
      <c r="FSS101" s="142"/>
      <c r="FST101" s="142"/>
      <c r="FSU101" s="142"/>
      <c r="FSV101" s="142"/>
      <c r="FSW101" s="142"/>
      <c r="FSX101" s="142"/>
      <c r="FSY101" s="142"/>
      <c r="FSZ101" s="142"/>
      <c r="FTA101" s="142"/>
      <c r="FTB101" s="142"/>
      <c r="FTC101" s="142"/>
      <c r="FTD101" s="142"/>
      <c r="FTE101" s="142"/>
      <c r="FTF101" s="142"/>
      <c r="FTG101" s="142"/>
      <c r="FTH101" s="142"/>
      <c r="FTI101" s="142"/>
      <c r="FTJ101" s="142"/>
      <c r="FTK101" s="142"/>
      <c r="FTL101" s="142"/>
      <c r="FTM101" s="142"/>
      <c r="FTN101" s="142"/>
      <c r="FTO101" s="142"/>
      <c r="FTP101" s="142"/>
      <c r="FTQ101" s="142"/>
      <c r="FTR101" s="142"/>
      <c r="FTS101" s="142"/>
      <c r="FTT101" s="142"/>
      <c r="FTU101" s="142"/>
      <c r="FTV101" s="142"/>
      <c r="FTW101" s="142"/>
      <c r="FTX101" s="142"/>
      <c r="FTY101" s="142"/>
      <c r="FTZ101" s="142"/>
      <c r="FUA101" s="142"/>
      <c r="FUB101" s="142"/>
      <c r="FUC101" s="142"/>
      <c r="FUD101" s="142"/>
      <c r="FUE101" s="142"/>
      <c r="FUF101" s="142"/>
      <c r="FUG101" s="142"/>
      <c r="FUH101" s="142"/>
      <c r="FUI101" s="142"/>
      <c r="FUJ101" s="142"/>
      <c r="FUK101" s="142"/>
      <c r="FUL101" s="142"/>
      <c r="FUM101" s="142"/>
      <c r="FUN101" s="142"/>
      <c r="FUO101" s="142"/>
      <c r="FUP101" s="142"/>
      <c r="FUQ101" s="142"/>
      <c r="FUR101" s="142"/>
      <c r="FUS101" s="142"/>
      <c r="FUT101" s="142"/>
      <c r="FUU101" s="142"/>
      <c r="FUV101" s="142"/>
      <c r="FUW101" s="142"/>
      <c r="FUX101" s="142"/>
      <c r="FUY101" s="142"/>
      <c r="FUZ101" s="142"/>
      <c r="FVA101" s="142"/>
      <c r="FVB101" s="142"/>
      <c r="FVC101" s="142"/>
      <c r="FVD101" s="142"/>
      <c r="FVE101" s="142"/>
      <c r="FVF101" s="142"/>
      <c r="FVG101" s="142"/>
      <c r="FVH101" s="142"/>
      <c r="FVI101" s="142"/>
      <c r="FVJ101" s="142"/>
      <c r="FVK101" s="142"/>
      <c r="FVL101" s="142"/>
      <c r="FVM101" s="142"/>
      <c r="FVN101" s="142"/>
      <c r="FVO101" s="142"/>
      <c r="FVP101" s="142"/>
      <c r="FVQ101" s="142"/>
      <c r="FVR101" s="142"/>
      <c r="FVS101" s="142"/>
      <c r="FVT101" s="142"/>
      <c r="FVU101" s="142"/>
      <c r="FVV101" s="142"/>
      <c r="FVW101" s="142"/>
      <c r="FVX101" s="142"/>
      <c r="FVY101" s="142"/>
      <c r="FVZ101" s="142"/>
      <c r="FWA101" s="142"/>
      <c r="FWB101" s="142"/>
      <c r="FWC101" s="142"/>
      <c r="FWD101" s="142"/>
      <c r="FWE101" s="142"/>
      <c r="FWF101" s="142"/>
      <c r="FWG101" s="142"/>
      <c r="FWH101" s="142"/>
      <c r="FWI101" s="142"/>
      <c r="FWJ101" s="142"/>
      <c r="FWK101" s="142"/>
      <c r="FWL101" s="142"/>
      <c r="FWM101" s="142"/>
      <c r="FWN101" s="142"/>
      <c r="FWO101" s="142"/>
      <c r="FWP101" s="142"/>
      <c r="FWQ101" s="142"/>
      <c r="FWR101" s="142"/>
      <c r="FWS101" s="142"/>
      <c r="FWT101" s="142"/>
      <c r="FWU101" s="142"/>
      <c r="FWV101" s="142"/>
      <c r="FWW101" s="142"/>
      <c r="FWX101" s="142"/>
      <c r="FWY101" s="142"/>
      <c r="FWZ101" s="142"/>
      <c r="FXA101" s="142"/>
      <c r="FXB101" s="142"/>
      <c r="FXC101" s="142"/>
      <c r="FXD101" s="142"/>
      <c r="FXE101" s="142"/>
      <c r="FXF101" s="142"/>
      <c r="FXG101" s="142"/>
      <c r="FXH101" s="142"/>
      <c r="FXI101" s="142"/>
      <c r="FXJ101" s="142"/>
      <c r="FXK101" s="142"/>
      <c r="FXL101" s="142"/>
      <c r="FXM101" s="142"/>
      <c r="FXN101" s="142"/>
      <c r="FXO101" s="142"/>
      <c r="FXP101" s="142"/>
      <c r="FXQ101" s="142"/>
      <c r="FXR101" s="142"/>
      <c r="FXS101" s="142"/>
      <c r="FXT101" s="142"/>
      <c r="FXU101" s="142"/>
      <c r="FXV101" s="142"/>
      <c r="FXW101" s="142"/>
      <c r="FXX101" s="142"/>
      <c r="FXY101" s="142"/>
      <c r="FXZ101" s="142"/>
      <c r="FYA101" s="142"/>
      <c r="FYB101" s="142"/>
      <c r="FYC101" s="142"/>
      <c r="FYD101" s="142"/>
      <c r="FYE101" s="142"/>
      <c r="FYF101" s="142"/>
      <c r="FYG101" s="142"/>
      <c r="FYH101" s="142"/>
      <c r="FYI101" s="142"/>
      <c r="FYJ101" s="142"/>
      <c r="FYK101" s="142"/>
      <c r="FYL101" s="142"/>
      <c r="FYM101" s="142"/>
      <c r="FYN101" s="142"/>
      <c r="FYO101" s="142"/>
      <c r="FYP101" s="142"/>
      <c r="FYQ101" s="142"/>
      <c r="FYR101" s="142"/>
      <c r="FYS101" s="142"/>
      <c r="FYT101" s="142"/>
      <c r="FYU101" s="142"/>
      <c r="FYV101" s="142"/>
      <c r="FYW101" s="142"/>
      <c r="FYX101" s="142"/>
      <c r="FYY101" s="142"/>
      <c r="FYZ101" s="142"/>
      <c r="FZA101" s="142"/>
      <c r="FZB101" s="142"/>
      <c r="FZC101" s="142"/>
      <c r="FZD101" s="142"/>
      <c r="FZE101" s="142"/>
      <c r="FZF101" s="142"/>
      <c r="FZG101" s="142"/>
      <c r="FZH101" s="142"/>
      <c r="FZI101" s="142"/>
      <c r="FZJ101" s="142"/>
      <c r="FZK101" s="142"/>
      <c r="FZL101" s="142"/>
      <c r="FZM101" s="142"/>
      <c r="FZN101" s="142"/>
      <c r="FZO101" s="142"/>
      <c r="FZP101" s="142"/>
      <c r="FZQ101" s="142"/>
      <c r="FZR101" s="142"/>
      <c r="FZS101" s="142"/>
      <c r="FZT101" s="142"/>
      <c r="FZU101" s="142"/>
      <c r="FZV101" s="142"/>
      <c r="FZW101" s="142"/>
      <c r="FZX101" s="142"/>
      <c r="FZY101" s="142"/>
      <c r="FZZ101" s="142"/>
      <c r="GAA101" s="142"/>
      <c r="GAB101" s="142"/>
      <c r="GAC101" s="142"/>
      <c r="GAD101" s="142"/>
      <c r="GAE101" s="142"/>
      <c r="GAF101" s="142"/>
      <c r="GAG101" s="142"/>
      <c r="GAH101" s="142"/>
      <c r="GAI101" s="142"/>
      <c r="GAJ101" s="142"/>
      <c r="GAK101" s="142"/>
      <c r="GAL101" s="142"/>
      <c r="GAM101" s="142"/>
      <c r="GAN101" s="142"/>
      <c r="GAO101" s="142"/>
      <c r="GAP101" s="142"/>
      <c r="GAQ101" s="142"/>
      <c r="GAR101" s="142"/>
      <c r="GAS101" s="142"/>
      <c r="GAT101" s="142"/>
      <c r="GAU101" s="142"/>
      <c r="GAV101" s="142"/>
      <c r="GAW101" s="142"/>
      <c r="GAX101" s="142"/>
      <c r="GAY101" s="142"/>
      <c r="GAZ101" s="142"/>
      <c r="GBA101" s="142"/>
      <c r="GBB101" s="142"/>
      <c r="GBC101" s="142"/>
      <c r="GBD101" s="142"/>
      <c r="GBE101" s="142"/>
      <c r="GBF101" s="142"/>
      <c r="GBG101" s="142"/>
      <c r="GBH101" s="142"/>
      <c r="GBI101" s="142"/>
      <c r="GBJ101" s="142"/>
      <c r="GBK101" s="142"/>
      <c r="GBL101" s="142"/>
      <c r="GBM101" s="142"/>
      <c r="GBN101" s="142"/>
      <c r="GBO101" s="142"/>
      <c r="GBP101" s="142"/>
      <c r="GBQ101" s="142"/>
      <c r="GBR101" s="142"/>
      <c r="GBS101" s="142"/>
      <c r="GBT101" s="142"/>
      <c r="GBU101" s="142"/>
      <c r="GBV101" s="142"/>
      <c r="GBW101" s="142"/>
      <c r="GBX101" s="142"/>
      <c r="GBY101" s="142"/>
      <c r="GBZ101" s="142"/>
      <c r="GCA101" s="142"/>
      <c r="GCB101" s="142"/>
      <c r="GCC101" s="142"/>
      <c r="GCD101" s="142"/>
      <c r="GCE101" s="142"/>
      <c r="GCF101" s="142"/>
      <c r="GCG101" s="142"/>
      <c r="GCH101" s="142"/>
      <c r="GCI101" s="142"/>
      <c r="GCJ101" s="142"/>
      <c r="GCK101" s="142"/>
      <c r="GCL101" s="142"/>
      <c r="GCM101" s="142"/>
      <c r="GCN101" s="142"/>
      <c r="GCO101" s="142"/>
      <c r="GCP101" s="142"/>
      <c r="GCQ101" s="142"/>
      <c r="GCR101" s="142"/>
      <c r="GCS101" s="142"/>
      <c r="GCT101" s="142"/>
      <c r="GCU101" s="142"/>
      <c r="GCV101" s="142"/>
      <c r="GCW101" s="142"/>
      <c r="GCX101" s="142"/>
      <c r="GCY101" s="142"/>
      <c r="GCZ101" s="142"/>
      <c r="GDA101" s="142"/>
      <c r="GDB101" s="142"/>
      <c r="GDC101" s="142"/>
      <c r="GDD101" s="142"/>
      <c r="GDE101" s="142"/>
      <c r="GDF101" s="142"/>
      <c r="GDG101" s="142"/>
      <c r="GDH101" s="142"/>
      <c r="GDI101" s="142"/>
      <c r="GDJ101" s="142"/>
      <c r="GDK101" s="142"/>
      <c r="GDL101" s="142"/>
      <c r="GDM101" s="142"/>
      <c r="GDN101" s="142"/>
      <c r="GDO101" s="142"/>
      <c r="GDP101" s="142"/>
      <c r="GDQ101" s="142"/>
      <c r="GDR101" s="142"/>
      <c r="GDS101" s="142"/>
      <c r="GDT101" s="142"/>
      <c r="GDU101" s="142"/>
      <c r="GDV101" s="142"/>
      <c r="GDW101" s="142"/>
      <c r="GDX101" s="142"/>
      <c r="GDY101" s="142"/>
      <c r="GDZ101" s="142"/>
      <c r="GEA101" s="142"/>
      <c r="GEB101" s="142"/>
      <c r="GEC101" s="142"/>
      <c r="GED101" s="142"/>
      <c r="GEE101" s="142"/>
      <c r="GEF101" s="142"/>
      <c r="GEG101" s="142"/>
      <c r="GEH101" s="142"/>
      <c r="GEI101" s="142"/>
      <c r="GEJ101" s="142"/>
      <c r="GEK101" s="142"/>
      <c r="GEL101" s="142"/>
      <c r="GEM101" s="142"/>
      <c r="GEN101" s="142"/>
      <c r="GEO101" s="142"/>
      <c r="GEP101" s="142"/>
      <c r="GEQ101" s="142"/>
      <c r="GER101" s="142"/>
      <c r="GES101" s="142"/>
      <c r="GET101" s="142"/>
      <c r="GEU101" s="142"/>
      <c r="GEV101" s="142"/>
      <c r="GEW101" s="142"/>
      <c r="GEX101" s="142"/>
      <c r="GEY101" s="142"/>
      <c r="GEZ101" s="142"/>
      <c r="GFA101" s="142"/>
      <c r="GFB101" s="142"/>
      <c r="GFC101" s="142"/>
      <c r="GFD101" s="142"/>
      <c r="GFE101" s="142"/>
      <c r="GFF101" s="142"/>
      <c r="GFG101" s="142"/>
      <c r="GFH101" s="142"/>
      <c r="GFI101" s="142"/>
      <c r="GFJ101" s="142"/>
      <c r="GFK101" s="142"/>
      <c r="GFL101" s="142"/>
      <c r="GFM101" s="142"/>
      <c r="GFN101" s="142"/>
      <c r="GFO101" s="142"/>
      <c r="GFP101" s="142"/>
      <c r="GFQ101" s="142"/>
      <c r="GFR101" s="142"/>
      <c r="GFS101" s="142"/>
      <c r="GFT101" s="142"/>
      <c r="GFU101" s="142"/>
      <c r="GFV101" s="142"/>
      <c r="GFW101" s="142"/>
      <c r="GFX101" s="142"/>
      <c r="GFY101" s="142"/>
      <c r="GFZ101" s="142"/>
      <c r="GGA101" s="142"/>
      <c r="GGB101" s="142"/>
      <c r="GGC101" s="142"/>
      <c r="GGD101" s="142"/>
      <c r="GGE101" s="142"/>
      <c r="GGF101" s="142"/>
      <c r="GGG101" s="142"/>
      <c r="GGH101" s="142"/>
      <c r="GGI101" s="142"/>
      <c r="GGJ101" s="142"/>
      <c r="GGK101" s="142"/>
      <c r="GGL101" s="142"/>
      <c r="GGM101" s="142"/>
      <c r="GGN101" s="142"/>
      <c r="GGO101" s="142"/>
      <c r="GGP101" s="142"/>
      <c r="GGQ101" s="142"/>
      <c r="GGR101" s="142"/>
      <c r="GGS101" s="142"/>
      <c r="GGT101" s="142"/>
      <c r="GGU101" s="142"/>
      <c r="GGV101" s="142"/>
      <c r="GGW101" s="142"/>
      <c r="GGX101" s="142"/>
      <c r="GGY101" s="142"/>
      <c r="GGZ101" s="142"/>
      <c r="GHA101" s="142"/>
      <c r="GHB101" s="142"/>
      <c r="GHC101" s="142"/>
      <c r="GHD101" s="142"/>
      <c r="GHE101" s="142"/>
      <c r="GHF101" s="142"/>
      <c r="GHG101" s="142"/>
      <c r="GHH101" s="142"/>
      <c r="GHI101" s="142"/>
      <c r="GHJ101" s="142"/>
      <c r="GHK101" s="142"/>
      <c r="GHL101" s="142"/>
      <c r="GHM101" s="142"/>
      <c r="GHN101" s="142"/>
      <c r="GHO101" s="142"/>
      <c r="GHP101" s="142"/>
      <c r="GHQ101" s="142"/>
      <c r="GHR101" s="142"/>
      <c r="GHS101" s="142"/>
      <c r="GHT101" s="142"/>
      <c r="GHU101" s="142"/>
      <c r="GHV101" s="142"/>
      <c r="GHW101" s="142"/>
      <c r="GHX101" s="142"/>
      <c r="GHY101" s="142"/>
      <c r="GHZ101" s="142"/>
      <c r="GIA101" s="142"/>
      <c r="GIB101" s="142"/>
      <c r="GIC101" s="142"/>
      <c r="GID101" s="142"/>
      <c r="GIE101" s="142"/>
      <c r="GIF101" s="142"/>
      <c r="GIG101" s="142"/>
      <c r="GIH101" s="142"/>
      <c r="GII101" s="142"/>
      <c r="GIJ101" s="142"/>
      <c r="GIK101" s="142"/>
      <c r="GIL101" s="142"/>
      <c r="GIM101" s="142"/>
      <c r="GIN101" s="142"/>
      <c r="GIO101" s="142"/>
      <c r="GIP101" s="142"/>
      <c r="GIQ101" s="142"/>
      <c r="GIR101" s="142"/>
      <c r="GIS101" s="142"/>
      <c r="GIT101" s="142"/>
      <c r="GIU101" s="142"/>
      <c r="GIV101" s="142"/>
      <c r="GIW101" s="142"/>
      <c r="GIX101" s="142"/>
      <c r="GIY101" s="142"/>
      <c r="GIZ101" s="142"/>
      <c r="GJA101" s="142"/>
      <c r="GJB101" s="142"/>
      <c r="GJC101" s="142"/>
      <c r="GJD101" s="142"/>
      <c r="GJE101" s="142"/>
      <c r="GJF101" s="142"/>
      <c r="GJG101" s="142"/>
      <c r="GJH101" s="142"/>
      <c r="GJI101" s="142"/>
      <c r="GJJ101" s="142"/>
      <c r="GJK101" s="142"/>
      <c r="GJL101" s="142"/>
      <c r="GJM101" s="142"/>
      <c r="GJN101" s="142"/>
      <c r="GJO101" s="142"/>
      <c r="GJP101" s="142"/>
      <c r="GJQ101" s="142"/>
      <c r="GJR101" s="142"/>
      <c r="GJS101" s="142"/>
      <c r="GJT101" s="142"/>
      <c r="GJU101" s="142"/>
      <c r="GJV101" s="142"/>
      <c r="GJW101" s="142"/>
      <c r="GJX101" s="142"/>
      <c r="GJY101" s="142"/>
      <c r="GJZ101" s="142"/>
      <c r="GKA101" s="142"/>
      <c r="GKB101" s="142"/>
      <c r="GKC101" s="142"/>
      <c r="GKD101" s="142"/>
      <c r="GKE101" s="142"/>
      <c r="GKF101" s="142"/>
      <c r="GKG101" s="142"/>
      <c r="GKH101" s="142"/>
      <c r="GKI101" s="142"/>
      <c r="GKJ101" s="142"/>
      <c r="GKK101" s="142"/>
      <c r="GKL101" s="142"/>
      <c r="GKM101" s="142"/>
      <c r="GKN101" s="142"/>
      <c r="GKO101" s="142"/>
      <c r="GKP101" s="142"/>
      <c r="GKQ101" s="142"/>
      <c r="GKR101" s="142"/>
      <c r="GKS101" s="142"/>
      <c r="GKT101" s="142"/>
      <c r="GKU101" s="142"/>
      <c r="GKV101" s="142"/>
      <c r="GKW101" s="142"/>
      <c r="GKX101" s="142"/>
      <c r="GKY101" s="142"/>
      <c r="GKZ101" s="142"/>
      <c r="GLA101" s="142"/>
      <c r="GLB101" s="142"/>
      <c r="GLC101" s="142"/>
      <c r="GLD101" s="142"/>
      <c r="GLE101" s="142"/>
      <c r="GLF101" s="142"/>
      <c r="GLG101" s="142"/>
      <c r="GLH101" s="142"/>
      <c r="GLI101" s="142"/>
      <c r="GLJ101" s="142"/>
      <c r="GLK101" s="142"/>
      <c r="GLL101" s="142"/>
      <c r="GLM101" s="142"/>
      <c r="GLN101" s="142"/>
      <c r="GLO101" s="142"/>
      <c r="GLP101" s="142"/>
      <c r="GLQ101" s="142"/>
      <c r="GLR101" s="142"/>
      <c r="GLS101" s="142"/>
      <c r="GLT101" s="142"/>
      <c r="GLU101" s="142"/>
      <c r="GLV101" s="142"/>
      <c r="GLW101" s="142"/>
      <c r="GLX101" s="142"/>
      <c r="GLY101" s="142"/>
      <c r="GLZ101" s="142"/>
      <c r="GMA101" s="142"/>
      <c r="GMB101" s="142"/>
      <c r="GMC101" s="142"/>
      <c r="GMD101" s="142"/>
      <c r="GME101" s="142"/>
      <c r="GMF101" s="142"/>
      <c r="GMG101" s="142"/>
      <c r="GMH101" s="142"/>
      <c r="GMI101" s="142"/>
      <c r="GMJ101" s="142"/>
      <c r="GMK101" s="142"/>
      <c r="GML101" s="142"/>
      <c r="GMM101" s="142"/>
      <c r="GMN101" s="142"/>
      <c r="GMO101" s="142"/>
      <c r="GMP101" s="142"/>
      <c r="GMQ101" s="142"/>
      <c r="GMR101" s="142"/>
      <c r="GMS101" s="142"/>
      <c r="GMT101" s="142"/>
      <c r="GMU101" s="142"/>
      <c r="GMV101" s="142"/>
      <c r="GMW101" s="142"/>
      <c r="GMX101" s="142"/>
      <c r="GMY101" s="142"/>
      <c r="GMZ101" s="142"/>
      <c r="GNA101" s="142"/>
      <c r="GNB101" s="142"/>
      <c r="GNC101" s="142"/>
      <c r="GND101" s="142"/>
      <c r="GNE101" s="142"/>
      <c r="GNF101" s="142"/>
      <c r="GNG101" s="142"/>
      <c r="GNH101" s="142"/>
      <c r="GNI101" s="142"/>
      <c r="GNJ101" s="142"/>
      <c r="GNK101" s="142"/>
      <c r="GNL101" s="142"/>
      <c r="GNM101" s="142"/>
      <c r="GNN101" s="142"/>
      <c r="GNO101" s="142"/>
      <c r="GNP101" s="142"/>
      <c r="GNQ101" s="142"/>
      <c r="GNR101" s="142"/>
      <c r="GNS101" s="142"/>
      <c r="GNT101" s="142"/>
      <c r="GNU101" s="142"/>
      <c r="GNV101" s="142"/>
      <c r="GNW101" s="142"/>
      <c r="GNX101" s="142"/>
      <c r="GNY101" s="142"/>
      <c r="GNZ101" s="142"/>
      <c r="GOA101" s="142"/>
      <c r="GOB101" s="142"/>
      <c r="GOC101" s="142"/>
      <c r="GOD101" s="142"/>
      <c r="GOE101" s="142"/>
      <c r="GOF101" s="142"/>
      <c r="GOG101" s="142"/>
      <c r="GOH101" s="142"/>
      <c r="GOI101" s="142"/>
      <c r="GOJ101" s="142"/>
      <c r="GOK101" s="142"/>
      <c r="GOL101" s="142"/>
      <c r="GOM101" s="142"/>
      <c r="GON101" s="142"/>
      <c r="GOO101" s="142"/>
      <c r="GOP101" s="142"/>
      <c r="GOQ101" s="142"/>
      <c r="GOR101" s="142"/>
      <c r="GOS101" s="142"/>
      <c r="GOT101" s="142"/>
      <c r="GOU101" s="142"/>
      <c r="GOV101" s="142"/>
      <c r="GOW101" s="142"/>
      <c r="GOX101" s="142"/>
      <c r="GOY101" s="142"/>
      <c r="GOZ101" s="142"/>
      <c r="GPA101" s="142"/>
      <c r="GPB101" s="142"/>
      <c r="GPC101" s="142"/>
      <c r="GPD101" s="142"/>
      <c r="GPE101" s="142"/>
      <c r="GPF101" s="142"/>
      <c r="GPG101" s="142"/>
      <c r="GPH101" s="142"/>
      <c r="GPI101" s="142"/>
      <c r="GPJ101" s="142"/>
      <c r="GPK101" s="142"/>
      <c r="GPL101" s="142"/>
      <c r="GPM101" s="142"/>
      <c r="GPN101" s="142"/>
      <c r="GPO101" s="142"/>
      <c r="GPP101" s="142"/>
      <c r="GPQ101" s="142"/>
      <c r="GPR101" s="142"/>
      <c r="GPS101" s="142"/>
      <c r="GPT101" s="142"/>
      <c r="GPU101" s="142"/>
      <c r="GPV101" s="142"/>
      <c r="GPW101" s="142"/>
      <c r="GPX101" s="142"/>
      <c r="GPY101" s="142"/>
      <c r="GPZ101" s="142"/>
      <c r="GQA101" s="142"/>
      <c r="GQB101" s="142"/>
      <c r="GQC101" s="142"/>
      <c r="GQD101" s="142"/>
      <c r="GQE101" s="142"/>
      <c r="GQF101" s="142"/>
      <c r="GQG101" s="142"/>
      <c r="GQH101" s="142"/>
      <c r="GQI101" s="142"/>
      <c r="GQJ101" s="142"/>
      <c r="GQK101" s="142"/>
      <c r="GQL101" s="142"/>
      <c r="GQM101" s="142"/>
      <c r="GQN101" s="142"/>
      <c r="GQO101" s="142"/>
      <c r="GQP101" s="142"/>
      <c r="GQQ101" s="142"/>
      <c r="GQR101" s="142"/>
      <c r="GQS101" s="142"/>
      <c r="GQT101" s="142"/>
      <c r="GQU101" s="142"/>
      <c r="GQV101" s="142"/>
      <c r="GQW101" s="142"/>
      <c r="GQX101" s="142"/>
      <c r="GQY101" s="142"/>
      <c r="GQZ101" s="142"/>
      <c r="GRA101" s="142"/>
      <c r="GRB101" s="142"/>
      <c r="GRC101" s="142"/>
      <c r="GRD101" s="142"/>
      <c r="GRE101" s="142"/>
      <c r="GRF101" s="142"/>
      <c r="GRG101" s="142"/>
      <c r="GRH101" s="142"/>
      <c r="GRI101" s="142"/>
      <c r="GRJ101" s="142"/>
      <c r="GRK101" s="142"/>
      <c r="GRL101" s="142"/>
      <c r="GRM101" s="142"/>
      <c r="GRN101" s="142"/>
      <c r="GRO101" s="142"/>
      <c r="GRP101" s="142"/>
      <c r="GRQ101" s="142"/>
      <c r="GRR101" s="142"/>
      <c r="GRS101" s="142"/>
      <c r="GRT101" s="142"/>
      <c r="GRU101" s="142"/>
      <c r="GRV101" s="142"/>
      <c r="GRW101" s="142"/>
      <c r="GRX101" s="142"/>
      <c r="GRY101" s="142"/>
      <c r="GRZ101" s="142"/>
      <c r="GSA101" s="142"/>
      <c r="GSB101" s="142"/>
      <c r="GSC101" s="142"/>
      <c r="GSD101" s="142"/>
      <c r="GSE101" s="142"/>
      <c r="GSF101" s="142"/>
      <c r="GSG101" s="142"/>
      <c r="GSH101" s="142"/>
      <c r="GSI101" s="142"/>
      <c r="GSJ101" s="142"/>
      <c r="GSK101" s="142"/>
      <c r="GSL101" s="142"/>
      <c r="GSM101" s="142"/>
      <c r="GSN101" s="142"/>
      <c r="GSO101" s="142"/>
      <c r="GSP101" s="142"/>
      <c r="GSQ101" s="142"/>
      <c r="GSR101" s="142"/>
      <c r="GSS101" s="142"/>
      <c r="GST101" s="142"/>
      <c r="GSU101" s="142"/>
      <c r="GSV101" s="142"/>
      <c r="GSW101" s="142"/>
      <c r="GSX101" s="142"/>
      <c r="GSY101" s="142"/>
      <c r="GSZ101" s="142"/>
      <c r="GTA101" s="142"/>
      <c r="GTB101" s="142"/>
      <c r="GTC101" s="142"/>
      <c r="GTD101" s="142"/>
      <c r="GTE101" s="142"/>
      <c r="GTF101" s="142"/>
      <c r="GTG101" s="142"/>
      <c r="GTH101" s="142"/>
      <c r="GTI101" s="142"/>
      <c r="GTJ101" s="142"/>
      <c r="GTK101" s="142"/>
      <c r="GTL101" s="142"/>
      <c r="GTM101" s="142"/>
      <c r="GTN101" s="142"/>
      <c r="GTO101" s="142"/>
      <c r="GTP101" s="142"/>
      <c r="GTQ101" s="142"/>
      <c r="GTR101" s="142"/>
      <c r="GTS101" s="142"/>
      <c r="GTT101" s="142"/>
      <c r="GTU101" s="142"/>
      <c r="GTV101" s="142"/>
      <c r="GTW101" s="142"/>
      <c r="GTX101" s="142"/>
      <c r="GTY101" s="142"/>
      <c r="GTZ101" s="142"/>
      <c r="GUA101" s="142"/>
      <c r="GUB101" s="142"/>
      <c r="GUC101" s="142"/>
      <c r="GUD101" s="142"/>
      <c r="GUE101" s="142"/>
      <c r="GUF101" s="142"/>
      <c r="GUG101" s="142"/>
      <c r="GUH101" s="142"/>
      <c r="GUI101" s="142"/>
      <c r="GUJ101" s="142"/>
      <c r="GUK101" s="142"/>
      <c r="GUL101" s="142"/>
      <c r="GUM101" s="142"/>
      <c r="GUN101" s="142"/>
      <c r="GUO101" s="142"/>
      <c r="GUP101" s="142"/>
      <c r="GUQ101" s="142"/>
      <c r="GUR101" s="142"/>
      <c r="GUS101" s="142"/>
      <c r="GUT101" s="142"/>
      <c r="GUU101" s="142"/>
      <c r="GUV101" s="142"/>
      <c r="GUW101" s="142"/>
      <c r="GUX101" s="142"/>
      <c r="GUY101" s="142"/>
      <c r="GUZ101" s="142"/>
      <c r="GVA101" s="142"/>
      <c r="GVB101" s="142"/>
      <c r="GVC101" s="142"/>
      <c r="GVD101" s="142"/>
      <c r="GVE101" s="142"/>
      <c r="GVF101" s="142"/>
      <c r="GVG101" s="142"/>
      <c r="GVH101" s="142"/>
      <c r="GVI101" s="142"/>
      <c r="GVJ101" s="142"/>
      <c r="GVK101" s="142"/>
      <c r="GVL101" s="142"/>
      <c r="GVM101" s="142"/>
      <c r="GVN101" s="142"/>
      <c r="GVO101" s="142"/>
      <c r="GVP101" s="142"/>
      <c r="GVQ101" s="142"/>
      <c r="GVR101" s="142"/>
      <c r="GVS101" s="142"/>
      <c r="GVT101" s="142"/>
      <c r="GVU101" s="142"/>
      <c r="GVV101" s="142"/>
      <c r="GVW101" s="142"/>
      <c r="GVX101" s="142"/>
      <c r="GVY101" s="142"/>
      <c r="GVZ101" s="142"/>
      <c r="GWA101" s="142"/>
      <c r="GWB101" s="142"/>
      <c r="GWC101" s="142"/>
      <c r="GWD101" s="142"/>
      <c r="GWE101" s="142"/>
      <c r="GWF101" s="142"/>
      <c r="GWG101" s="142"/>
      <c r="GWH101" s="142"/>
      <c r="GWI101" s="142"/>
      <c r="GWJ101" s="142"/>
      <c r="GWK101" s="142"/>
      <c r="GWL101" s="142"/>
      <c r="GWM101" s="142"/>
      <c r="GWN101" s="142"/>
      <c r="GWO101" s="142"/>
      <c r="GWP101" s="142"/>
      <c r="GWQ101" s="142"/>
      <c r="GWR101" s="142"/>
      <c r="GWS101" s="142"/>
      <c r="GWT101" s="142"/>
      <c r="GWU101" s="142"/>
      <c r="GWV101" s="142"/>
      <c r="GWW101" s="142"/>
      <c r="GWX101" s="142"/>
      <c r="GWY101" s="142"/>
      <c r="GWZ101" s="142"/>
      <c r="GXA101" s="142"/>
      <c r="GXB101" s="142"/>
      <c r="GXC101" s="142"/>
      <c r="GXD101" s="142"/>
      <c r="GXE101" s="142"/>
      <c r="GXF101" s="142"/>
      <c r="GXG101" s="142"/>
      <c r="GXH101" s="142"/>
      <c r="GXI101" s="142"/>
      <c r="GXJ101" s="142"/>
      <c r="GXK101" s="142"/>
      <c r="GXL101" s="142"/>
      <c r="GXM101" s="142"/>
      <c r="GXN101" s="142"/>
      <c r="GXO101" s="142"/>
      <c r="GXP101" s="142"/>
      <c r="GXQ101" s="142"/>
      <c r="GXR101" s="142"/>
      <c r="GXS101" s="142"/>
      <c r="GXT101" s="142"/>
      <c r="GXU101" s="142"/>
      <c r="GXV101" s="142"/>
      <c r="GXW101" s="142"/>
      <c r="GXX101" s="142"/>
      <c r="GXY101" s="142"/>
      <c r="GXZ101" s="142"/>
      <c r="GYA101" s="142"/>
      <c r="GYB101" s="142"/>
      <c r="GYC101" s="142"/>
      <c r="GYD101" s="142"/>
      <c r="GYE101" s="142"/>
      <c r="GYF101" s="142"/>
      <c r="GYG101" s="142"/>
      <c r="GYH101" s="142"/>
      <c r="GYI101" s="142"/>
      <c r="GYJ101" s="142"/>
      <c r="GYK101" s="142"/>
      <c r="GYL101" s="142"/>
      <c r="GYM101" s="142"/>
      <c r="GYN101" s="142"/>
      <c r="GYO101" s="142"/>
      <c r="GYP101" s="142"/>
      <c r="GYQ101" s="142"/>
      <c r="GYR101" s="142"/>
      <c r="GYS101" s="142"/>
      <c r="GYT101" s="142"/>
      <c r="GYU101" s="142"/>
      <c r="GYV101" s="142"/>
      <c r="GYW101" s="142"/>
      <c r="GYX101" s="142"/>
      <c r="GYY101" s="142"/>
      <c r="GYZ101" s="142"/>
      <c r="GZA101" s="142"/>
      <c r="GZB101" s="142"/>
      <c r="GZC101" s="142"/>
      <c r="GZD101" s="142"/>
      <c r="GZE101" s="142"/>
      <c r="GZF101" s="142"/>
      <c r="GZG101" s="142"/>
      <c r="GZH101" s="142"/>
      <c r="GZI101" s="142"/>
      <c r="GZJ101" s="142"/>
      <c r="GZK101" s="142"/>
      <c r="GZL101" s="142"/>
      <c r="GZM101" s="142"/>
      <c r="GZN101" s="142"/>
      <c r="GZO101" s="142"/>
      <c r="GZP101" s="142"/>
      <c r="GZQ101" s="142"/>
      <c r="GZR101" s="142"/>
      <c r="GZS101" s="142"/>
      <c r="GZT101" s="142"/>
      <c r="GZU101" s="142"/>
      <c r="GZV101" s="142"/>
      <c r="GZW101" s="142"/>
      <c r="GZX101" s="142"/>
      <c r="GZY101" s="142"/>
      <c r="GZZ101" s="142"/>
      <c r="HAA101" s="142"/>
      <c r="HAB101" s="142"/>
      <c r="HAC101" s="142"/>
      <c r="HAD101" s="142"/>
      <c r="HAE101" s="142"/>
      <c r="HAF101" s="142"/>
      <c r="HAG101" s="142"/>
      <c r="HAH101" s="142"/>
      <c r="HAI101" s="142"/>
      <c r="HAJ101" s="142"/>
      <c r="HAK101" s="142"/>
      <c r="HAL101" s="142"/>
      <c r="HAM101" s="142"/>
      <c r="HAN101" s="142"/>
      <c r="HAO101" s="142"/>
      <c r="HAP101" s="142"/>
      <c r="HAQ101" s="142"/>
      <c r="HAR101" s="142"/>
      <c r="HAS101" s="142"/>
      <c r="HAT101" s="142"/>
      <c r="HAU101" s="142"/>
      <c r="HAV101" s="142"/>
      <c r="HAW101" s="142"/>
      <c r="HAX101" s="142"/>
      <c r="HAY101" s="142"/>
      <c r="HAZ101" s="142"/>
      <c r="HBA101" s="142"/>
      <c r="HBB101" s="142"/>
      <c r="HBC101" s="142"/>
      <c r="HBD101" s="142"/>
      <c r="HBE101" s="142"/>
      <c r="HBF101" s="142"/>
      <c r="HBG101" s="142"/>
      <c r="HBH101" s="142"/>
      <c r="HBI101" s="142"/>
      <c r="HBJ101" s="142"/>
      <c r="HBK101" s="142"/>
      <c r="HBL101" s="142"/>
      <c r="HBM101" s="142"/>
      <c r="HBN101" s="142"/>
      <c r="HBO101" s="142"/>
      <c r="HBP101" s="142"/>
      <c r="HBQ101" s="142"/>
      <c r="HBR101" s="142"/>
      <c r="HBS101" s="142"/>
      <c r="HBT101" s="142"/>
      <c r="HBU101" s="142"/>
      <c r="HBV101" s="142"/>
      <c r="HBW101" s="142"/>
      <c r="HBX101" s="142"/>
      <c r="HBY101" s="142"/>
      <c r="HBZ101" s="142"/>
      <c r="HCA101" s="142"/>
      <c r="HCB101" s="142"/>
      <c r="HCC101" s="142"/>
      <c r="HCD101" s="142"/>
      <c r="HCE101" s="142"/>
      <c r="HCF101" s="142"/>
      <c r="HCG101" s="142"/>
      <c r="HCH101" s="142"/>
      <c r="HCI101" s="142"/>
      <c r="HCJ101" s="142"/>
      <c r="HCK101" s="142"/>
      <c r="HCL101" s="142"/>
      <c r="HCM101" s="142"/>
      <c r="HCN101" s="142"/>
      <c r="HCO101" s="142"/>
      <c r="HCP101" s="142"/>
      <c r="HCQ101" s="142"/>
      <c r="HCR101" s="142"/>
      <c r="HCS101" s="142"/>
      <c r="HCT101" s="142"/>
      <c r="HCU101" s="142"/>
      <c r="HCV101" s="142"/>
      <c r="HCW101" s="142"/>
      <c r="HCX101" s="142"/>
      <c r="HCY101" s="142"/>
      <c r="HCZ101" s="142"/>
      <c r="HDA101" s="142"/>
      <c r="HDB101" s="142"/>
      <c r="HDC101" s="142"/>
      <c r="HDD101" s="142"/>
      <c r="HDE101" s="142"/>
      <c r="HDF101" s="142"/>
      <c r="HDG101" s="142"/>
      <c r="HDH101" s="142"/>
      <c r="HDI101" s="142"/>
      <c r="HDJ101" s="142"/>
      <c r="HDK101" s="142"/>
      <c r="HDL101" s="142"/>
      <c r="HDM101" s="142"/>
      <c r="HDN101" s="142"/>
      <c r="HDO101" s="142"/>
      <c r="HDP101" s="142"/>
      <c r="HDQ101" s="142"/>
      <c r="HDR101" s="142"/>
      <c r="HDS101" s="142"/>
      <c r="HDT101" s="142"/>
      <c r="HDU101" s="142"/>
      <c r="HDV101" s="142"/>
      <c r="HDW101" s="142"/>
      <c r="HDX101" s="142"/>
      <c r="HDY101" s="142"/>
      <c r="HDZ101" s="142"/>
      <c r="HEA101" s="142"/>
      <c r="HEB101" s="142"/>
      <c r="HEC101" s="142"/>
      <c r="HED101" s="142"/>
      <c r="HEE101" s="142"/>
      <c r="HEF101" s="142"/>
      <c r="HEG101" s="142"/>
      <c r="HEH101" s="142"/>
      <c r="HEI101" s="142"/>
      <c r="HEJ101" s="142"/>
      <c r="HEK101" s="142"/>
      <c r="HEL101" s="142"/>
      <c r="HEM101" s="142"/>
      <c r="HEN101" s="142"/>
      <c r="HEO101" s="142"/>
      <c r="HEP101" s="142"/>
      <c r="HEQ101" s="142"/>
      <c r="HER101" s="142"/>
      <c r="HES101" s="142"/>
      <c r="HET101" s="142"/>
      <c r="HEU101" s="142"/>
      <c r="HEV101" s="142"/>
      <c r="HEW101" s="142"/>
      <c r="HEX101" s="142"/>
      <c r="HEY101" s="142"/>
      <c r="HEZ101" s="142"/>
      <c r="HFA101" s="142"/>
      <c r="HFB101" s="142"/>
      <c r="HFC101" s="142"/>
      <c r="HFD101" s="142"/>
      <c r="HFE101" s="142"/>
      <c r="HFF101" s="142"/>
      <c r="HFG101" s="142"/>
      <c r="HFH101" s="142"/>
      <c r="HFI101" s="142"/>
      <c r="HFJ101" s="142"/>
      <c r="HFK101" s="142"/>
      <c r="HFL101" s="142"/>
      <c r="HFM101" s="142"/>
      <c r="HFN101" s="142"/>
      <c r="HFO101" s="142"/>
      <c r="HFP101" s="142"/>
      <c r="HFQ101" s="142"/>
      <c r="HFR101" s="142"/>
      <c r="HFS101" s="142"/>
      <c r="HFT101" s="142"/>
      <c r="HFU101" s="142"/>
      <c r="HFV101" s="142"/>
      <c r="HFW101" s="142"/>
      <c r="HFX101" s="142"/>
      <c r="HFY101" s="142"/>
      <c r="HFZ101" s="142"/>
      <c r="HGA101" s="142"/>
      <c r="HGB101" s="142"/>
      <c r="HGC101" s="142"/>
      <c r="HGD101" s="142"/>
      <c r="HGE101" s="142"/>
      <c r="HGF101" s="142"/>
      <c r="HGG101" s="142"/>
      <c r="HGH101" s="142"/>
      <c r="HGI101" s="142"/>
      <c r="HGJ101" s="142"/>
      <c r="HGK101" s="142"/>
      <c r="HGL101" s="142"/>
      <c r="HGM101" s="142"/>
      <c r="HGN101" s="142"/>
      <c r="HGO101" s="142"/>
      <c r="HGP101" s="142"/>
      <c r="HGQ101" s="142"/>
      <c r="HGR101" s="142"/>
      <c r="HGS101" s="142"/>
      <c r="HGT101" s="142"/>
      <c r="HGU101" s="142"/>
      <c r="HGV101" s="142"/>
      <c r="HGW101" s="142"/>
      <c r="HGX101" s="142"/>
      <c r="HGY101" s="142"/>
      <c r="HGZ101" s="142"/>
      <c r="HHA101" s="142"/>
      <c r="HHB101" s="142"/>
      <c r="HHC101" s="142"/>
      <c r="HHD101" s="142"/>
      <c r="HHE101" s="142"/>
      <c r="HHF101" s="142"/>
      <c r="HHG101" s="142"/>
      <c r="HHH101" s="142"/>
      <c r="HHI101" s="142"/>
      <c r="HHJ101" s="142"/>
      <c r="HHK101" s="142"/>
      <c r="HHL101" s="142"/>
      <c r="HHM101" s="142"/>
      <c r="HHN101" s="142"/>
      <c r="HHO101" s="142"/>
      <c r="HHP101" s="142"/>
      <c r="HHQ101" s="142"/>
      <c r="HHR101" s="142"/>
      <c r="HHS101" s="142"/>
      <c r="HHT101" s="142"/>
      <c r="HHU101" s="142"/>
      <c r="HHV101" s="142"/>
      <c r="HHW101" s="142"/>
      <c r="HHX101" s="142"/>
      <c r="HHY101" s="142"/>
      <c r="HHZ101" s="142"/>
      <c r="HIA101" s="142"/>
      <c r="HIB101" s="142"/>
      <c r="HIC101" s="142"/>
      <c r="HID101" s="142"/>
      <c r="HIE101" s="142"/>
      <c r="HIF101" s="142"/>
      <c r="HIG101" s="142"/>
      <c r="HIH101" s="142"/>
      <c r="HII101" s="142"/>
      <c r="HIJ101" s="142"/>
      <c r="HIK101" s="142"/>
      <c r="HIL101" s="142"/>
      <c r="HIM101" s="142"/>
      <c r="HIN101" s="142"/>
      <c r="HIO101" s="142"/>
      <c r="HIP101" s="142"/>
      <c r="HIQ101" s="142"/>
      <c r="HIR101" s="142"/>
      <c r="HIS101" s="142"/>
      <c r="HIT101" s="142"/>
      <c r="HIU101" s="142"/>
      <c r="HIV101" s="142"/>
      <c r="HIW101" s="142"/>
      <c r="HIX101" s="142"/>
      <c r="HIY101" s="142"/>
      <c r="HIZ101" s="142"/>
      <c r="HJA101" s="142"/>
      <c r="HJB101" s="142"/>
      <c r="HJC101" s="142"/>
      <c r="HJD101" s="142"/>
      <c r="HJE101" s="142"/>
      <c r="HJF101" s="142"/>
      <c r="HJG101" s="142"/>
      <c r="HJH101" s="142"/>
      <c r="HJI101" s="142"/>
      <c r="HJJ101" s="142"/>
      <c r="HJK101" s="142"/>
      <c r="HJL101" s="142"/>
      <c r="HJM101" s="142"/>
      <c r="HJN101" s="142"/>
      <c r="HJO101" s="142"/>
      <c r="HJP101" s="142"/>
      <c r="HJQ101" s="142"/>
      <c r="HJR101" s="142"/>
      <c r="HJS101" s="142"/>
      <c r="HJT101" s="142"/>
      <c r="HJU101" s="142"/>
      <c r="HJV101" s="142"/>
      <c r="HJW101" s="142"/>
      <c r="HJX101" s="142"/>
      <c r="HJY101" s="142"/>
      <c r="HJZ101" s="142"/>
      <c r="HKA101" s="142"/>
      <c r="HKB101" s="142"/>
      <c r="HKC101" s="142"/>
      <c r="HKD101" s="142"/>
      <c r="HKE101" s="142"/>
      <c r="HKF101" s="142"/>
      <c r="HKG101" s="142"/>
      <c r="HKH101" s="142"/>
      <c r="HKI101" s="142"/>
      <c r="HKJ101" s="142"/>
      <c r="HKK101" s="142"/>
      <c r="HKL101" s="142"/>
      <c r="HKM101" s="142"/>
      <c r="HKN101" s="142"/>
      <c r="HKO101" s="142"/>
      <c r="HKP101" s="142"/>
      <c r="HKQ101" s="142"/>
      <c r="HKR101" s="142"/>
      <c r="HKS101" s="142"/>
      <c r="HKT101" s="142"/>
      <c r="HKU101" s="142"/>
      <c r="HKV101" s="142"/>
      <c r="HKW101" s="142"/>
      <c r="HKX101" s="142"/>
      <c r="HKY101" s="142"/>
      <c r="HKZ101" s="142"/>
      <c r="HLA101" s="142"/>
      <c r="HLB101" s="142"/>
      <c r="HLC101" s="142"/>
      <c r="HLD101" s="142"/>
      <c r="HLE101" s="142"/>
      <c r="HLF101" s="142"/>
      <c r="HLG101" s="142"/>
      <c r="HLH101" s="142"/>
      <c r="HLI101" s="142"/>
      <c r="HLJ101" s="142"/>
      <c r="HLK101" s="142"/>
      <c r="HLL101" s="142"/>
      <c r="HLM101" s="142"/>
      <c r="HLN101" s="142"/>
      <c r="HLO101" s="142"/>
      <c r="HLP101" s="142"/>
      <c r="HLQ101" s="142"/>
      <c r="HLR101" s="142"/>
      <c r="HLS101" s="142"/>
      <c r="HLT101" s="142"/>
      <c r="HLU101" s="142"/>
      <c r="HLV101" s="142"/>
      <c r="HLW101" s="142"/>
      <c r="HLX101" s="142"/>
      <c r="HLY101" s="142"/>
      <c r="HLZ101" s="142"/>
      <c r="HMA101" s="142"/>
      <c r="HMB101" s="142"/>
      <c r="HMC101" s="142"/>
      <c r="HMD101" s="142"/>
      <c r="HME101" s="142"/>
      <c r="HMF101" s="142"/>
      <c r="HMG101" s="142"/>
      <c r="HMH101" s="142"/>
      <c r="HMI101" s="142"/>
      <c r="HMJ101" s="142"/>
      <c r="HMK101" s="142"/>
      <c r="HML101" s="142"/>
      <c r="HMM101" s="142"/>
      <c r="HMN101" s="142"/>
      <c r="HMO101" s="142"/>
      <c r="HMP101" s="142"/>
      <c r="HMQ101" s="142"/>
      <c r="HMR101" s="142"/>
      <c r="HMS101" s="142"/>
      <c r="HMT101" s="142"/>
      <c r="HMU101" s="142"/>
      <c r="HMV101" s="142"/>
      <c r="HMW101" s="142"/>
      <c r="HMX101" s="142"/>
      <c r="HMY101" s="142"/>
      <c r="HMZ101" s="142"/>
      <c r="HNA101" s="142"/>
      <c r="HNB101" s="142"/>
      <c r="HNC101" s="142"/>
      <c r="HND101" s="142"/>
      <c r="HNE101" s="142"/>
      <c r="HNF101" s="142"/>
      <c r="HNG101" s="142"/>
      <c r="HNH101" s="142"/>
      <c r="HNI101" s="142"/>
      <c r="HNJ101" s="142"/>
      <c r="HNK101" s="142"/>
      <c r="HNL101" s="142"/>
      <c r="HNM101" s="142"/>
      <c r="HNN101" s="142"/>
      <c r="HNO101" s="142"/>
      <c r="HNP101" s="142"/>
      <c r="HNQ101" s="142"/>
      <c r="HNR101" s="142"/>
      <c r="HNS101" s="142"/>
      <c r="HNT101" s="142"/>
      <c r="HNU101" s="142"/>
      <c r="HNV101" s="142"/>
      <c r="HNW101" s="142"/>
      <c r="HNX101" s="142"/>
      <c r="HNY101" s="142"/>
      <c r="HNZ101" s="142"/>
      <c r="HOA101" s="142"/>
      <c r="HOB101" s="142"/>
      <c r="HOC101" s="142"/>
      <c r="HOD101" s="142"/>
      <c r="HOE101" s="142"/>
      <c r="HOF101" s="142"/>
      <c r="HOG101" s="142"/>
      <c r="HOH101" s="142"/>
      <c r="HOI101" s="142"/>
      <c r="HOJ101" s="142"/>
      <c r="HOK101" s="142"/>
      <c r="HOL101" s="142"/>
      <c r="HOM101" s="142"/>
      <c r="HON101" s="142"/>
      <c r="HOO101" s="142"/>
      <c r="HOP101" s="142"/>
      <c r="HOQ101" s="142"/>
      <c r="HOR101" s="142"/>
      <c r="HOS101" s="142"/>
      <c r="HOT101" s="142"/>
      <c r="HOU101" s="142"/>
      <c r="HOV101" s="142"/>
      <c r="HOW101" s="142"/>
      <c r="HOX101" s="142"/>
      <c r="HOY101" s="142"/>
      <c r="HOZ101" s="142"/>
      <c r="HPA101" s="142"/>
      <c r="HPB101" s="142"/>
      <c r="HPC101" s="142"/>
      <c r="HPD101" s="142"/>
      <c r="HPE101" s="142"/>
      <c r="HPF101" s="142"/>
      <c r="HPG101" s="142"/>
      <c r="HPH101" s="142"/>
      <c r="HPI101" s="142"/>
      <c r="HPJ101" s="142"/>
      <c r="HPK101" s="142"/>
      <c r="HPL101" s="142"/>
      <c r="HPM101" s="142"/>
      <c r="HPN101" s="142"/>
      <c r="HPO101" s="142"/>
      <c r="HPP101" s="142"/>
      <c r="HPQ101" s="142"/>
      <c r="HPR101" s="142"/>
      <c r="HPS101" s="142"/>
      <c r="HPT101" s="142"/>
      <c r="HPU101" s="142"/>
      <c r="HPV101" s="142"/>
      <c r="HPW101" s="142"/>
      <c r="HPX101" s="142"/>
      <c r="HPY101" s="142"/>
      <c r="HPZ101" s="142"/>
      <c r="HQA101" s="142"/>
      <c r="HQB101" s="142"/>
      <c r="HQC101" s="142"/>
      <c r="HQD101" s="142"/>
      <c r="HQE101" s="142"/>
      <c r="HQF101" s="142"/>
      <c r="HQG101" s="142"/>
      <c r="HQH101" s="142"/>
      <c r="HQI101" s="142"/>
      <c r="HQJ101" s="142"/>
      <c r="HQK101" s="142"/>
      <c r="HQL101" s="142"/>
      <c r="HQM101" s="142"/>
      <c r="HQN101" s="142"/>
      <c r="HQO101" s="142"/>
      <c r="HQP101" s="142"/>
      <c r="HQQ101" s="142"/>
      <c r="HQR101" s="142"/>
      <c r="HQS101" s="142"/>
      <c r="HQT101" s="142"/>
      <c r="HQU101" s="142"/>
      <c r="HQV101" s="142"/>
      <c r="HQW101" s="142"/>
      <c r="HQX101" s="142"/>
      <c r="HQY101" s="142"/>
      <c r="HQZ101" s="142"/>
      <c r="HRA101" s="142"/>
      <c r="HRB101" s="142"/>
      <c r="HRC101" s="142"/>
      <c r="HRD101" s="142"/>
      <c r="HRE101" s="142"/>
      <c r="HRF101" s="142"/>
      <c r="HRG101" s="142"/>
      <c r="HRH101" s="142"/>
      <c r="HRI101" s="142"/>
      <c r="HRJ101" s="142"/>
      <c r="HRK101" s="142"/>
      <c r="HRL101" s="142"/>
      <c r="HRM101" s="142"/>
      <c r="HRN101" s="142"/>
      <c r="HRO101" s="142"/>
      <c r="HRP101" s="142"/>
      <c r="HRQ101" s="142"/>
      <c r="HRR101" s="142"/>
      <c r="HRS101" s="142"/>
      <c r="HRT101" s="142"/>
      <c r="HRU101" s="142"/>
      <c r="HRV101" s="142"/>
      <c r="HRW101" s="142"/>
      <c r="HRX101" s="142"/>
      <c r="HRY101" s="142"/>
      <c r="HRZ101" s="142"/>
      <c r="HSA101" s="142"/>
      <c r="HSB101" s="142"/>
      <c r="HSC101" s="142"/>
      <c r="HSD101" s="142"/>
      <c r="HSE101" s="142"/>
      <c r="HSF101" s="142"/>
      <c r="HSG101" s="142"/>
      <c r="HSH101" s="142"/>
      <c r="HSI101" s="142"/>
      <c r="HSJ101" s="142"/>
      <c r="HSK101" s="142"/>
      <c r="HSL101" s="142"/>
      <c r="HSM101" s="142"/>
      <c r="HSN101" s="142"/>
      <c r="HSO101" s="142"/>
      <c r="HSP101" s="142"/>
      <c r="HSQ101" s="142"/>
      <c r="HSR101" s="142"/>
      <c r="HSS101" s="142"/>
      <c r="HST101" s="142"/>
      <c r="HSU101" s="142"/>
      <c r="HSV101" s="142"/>
      <c r="HSW101" s="142"/>
      <c r="HSX101" s="142"/>
      <c r="HSY101" s="142"/>
      <c r="HSZ101" s="142"/>
      <c r="HTA101" s="142"/>
      <c r="HTB101" s="142"/>
      <c r="HTC101" s="142"/>
      <c r="HTD101" s="142"/>
      <c r="HTE101" s="142"/>
      <c r="HTF101" s="142"/>
      <c r="HTG101" s="142"/>
      <c r="HTH101" s="142"/>
      <c r="HTI101" s="142"/>
      <c r="HTJ101" s="142"/>
      <c r="HTK101" s="142"/>
      <c r="HTL101" s="142"/>
      <c r="HTM101" s="142"/>
      <c r="HTN101" s="142"/>
      <c r="HTO101" s="142"/>
      <c r="HTP101" s="142"/>
      <c r="HTQ101" s="142"/>
      <c r="HTR101" s="142"/>
      <c r="HTS101" s="142"/>
      <c r="HTT101" s="142"/>
      <c r="HTU101" s="142"/>
      <c r="HTV101" s="142"/>
      <c r="HTW101" s="142"/>
      <c r="HTX101" s="142"/>
      <c r="HTY101" s="142"/>
      <c r="HTZ101" s="142"/>
      <c r="HUA101" s="142"/>
      <c r="HUB101" s="142"/>
      <c r="HUC101" s="142"/>
      <c r="HUD101" s="142"/>
      <c r="HUE101" s="142"/>
      <c r="HUF101" s="142"/>
      <c r="HUG101" s="142"/>
      <c r="HUH101" s="142"/>
      <c r="HUI101" s="142"/>
      <c r="HUJ101" s="142"/>
      <c r="HUK101" s="142"/>
      <c r="HUL101" s="142"/>
      <c r="HUM101" s="142"/>
      <c r="HUN101" s="142"/>
      <c r="HUO101" s="142"/>
      <c r="HUP101" s="142"/>
      <c r="HUQ101" s="142"/>
      <c r="HUR101" s="142"/>
      <c r="HUS101" s="142"/>
      <c r="HUT101" s="142"/>
      <c r="HUU101" s="142"/>
      <c r="HUV101" s="142"/>
      <c r="HUW101" s="142"/>
      <c r="HUX101" s="142"/>
      <c r="HUY101" s="142"/>
      <c r="HUZ101" s="142"/>
      <c r="HVA101" s="142"/>
      <c r="HVB101" s="142"/>
      <c r="HVC101" s="142"/>
      <c r="HVD101" s="142"/>
      <c r="HVE101" s="142"/>
      <c r="HVF101" s="142"/>
      <c r="HVG101" s="142"/>
      <c r="HVH101" s="142"/>
      <c r="HVI101" s="142"/>
      <c r="HVJ101" s="142"/>
      <c r="HVK101" s="142"/>
      <c r="HVL101" s="142"/>
      <c r="HVM101" s="142"/>
      <c r="HVN101" s="142"/>
      <c r="HVO101" s="142"/>
      <c r="HVP101" s="142"/>
      <c r="HVQ101" s="142"/>
      <c r="HVR101" s="142"/>
      <c r="HVS101" s="142"/>
      <c r="HVT101" s="142"/>
      <c r="HVU101" s="142"/>
      <c r="HVV101" s="142"/>
      <c r="HVW101" s="142"/>
      <c r="HVX101" s="142"/>
      <c r="HVY101" s="142"/>
      <c r="HVZ101" s="142"/>
      <c r="HWA101" s="142"/>
      <c r="HWB101" s="142"/>
      <c r="HWC101" s="142"/>
      <c r="HWD101" s="142"/>
      <c r="HWE101" s="142"/>
      <c r="HWF101" s="142"/>
      <c r="HWG101" s="142"/>
      <c r="HWH101" s="142"/>
      <c r="HWI101" s="142"/>
      <c r="HWJ101" s="142"/>
      <c r="HWK101" s="142"/>
      <c r="HWL101" s="142"/>
      <c r="HWM101" s="142"/>
      <c r="HWN101" s="142"/>
      <c r="HWO101" s="142"/>
      <c r="HWP101" s="142"/>
      <c r="HWQ101" s="142"/>
      <c r="HWR101" s="142"/>
      <c r="HWS101" s="142"/>
      <c r="HWT101" s="142"/>
      <c r="HWU101" s="142"/>
      <c r="HWV101" s="142"/>
      <c r="HWW101" s="142"/>
      <c r="HWX101" s="142"/>
      <c r="HWY101" s="142"/>
      <c r="HWZ101" s="142"/>
      <c r="HXA101" s="142"/>
      <c r="HXB101" s="142"/>
      <c r="HXC101" s="142"/>
      <c r="HXD101" s="142"/>
      <c r="HXE101" s="142"/>
      <c r="HXF101" s="142"/>
      <c r="HXG101" s="142"/>
      <c r="HXH101" s="142"/>
      <c r="HXI101" s="142"/>
      <c r="HXJ101" s="142"/>
      <c r="HXK101" s="142"/>
      <c r="HXL101" s="142"/>
      <c r="HXM101" s="142"/>
      <c r="HXN101" s="142"/>
      <c r="HXO101" s="142"/>
      <c r="HXP101" s="142"/>
      <c r="HXQ101" s="142"/>
      <c r="HXR101" s="142"/>
      <c r="HXS101" s="142"/>
      <c r="HXT101" s="142"/>
      <c r="HXU101" s="142"/>
      <c r="HXV101" s="142"/>
      <c r="HXW101" s="142"/>
      <c r="HXX101" s="142"/>
      <c r="HXY101" s="142"/>
      <c r="HXZ101" s="142"/>
      <c r="HYA101" s="142"/>
      <c r="HYB101" s="142"/>
      <c r="HYC101" s="142"/>
      <c r="HYD101" s="142"/>
      <c r="HYE101" s="142"/>
      <c r="HYF101" s="142"/>
      <c r="HYG101" s="142"/>
      <c r="HYH101" s="142"/>
      <c r="HYI101" s="142"/>
      <c r="HYJ101" s="142"/>
      <c r="HYK101" s="142"/>
      <c r="HYL101" s="142"/>
      <c r="HYM101" s="142"/>
      <c r="HYN101" s="142"/>
      <c r="HYO101" s="142"/>
      <c r="HYP101" s="142"/>
      <c r="HYQ101" s="142"/>
      <c r="HYR101" s="142"/>
      <c r="HYS101" s="142"/>
      <c r="HYT101" s="142"/>
      <c r="HYU101" s="142"/>
      <c r="HYV101" s="142"/>
      <c r="HYW101" s="142"/>
      <c r="HYX101" s="142"/>
      <c r="HYY101" s="142"/>
      <c r="HYZ101" s="142"/>
      <c r="HZA101" s="142"/>
      <c r="HZB101" s="142"/>
      <c r="HZC101" s="142"/>
      <c r="HZD101" s="142"/>
      <c r="HZE101" s="142"/>
      <c r="HZF101" s="142"/>
      <c r="HZG101" s="142"/>
      <c r="HZH101" s="142"/>
      <c r="HZI101" s="142"/>
      <c r="HZJ101" s="142"/>
      <c r="HZK101" s="142"/>
      <c r="HZL101" s="142"/>
      <c r="HZM101" s="142"/>
      <c r="HZN101" s="142"/>
      <c r="HZO101" s="142"/>
      <c r="HZP101" s="142"/>
      <c r="HZQ101" s="142"/>
      <c r="HZR101" s="142"/>
      <c r="HZS101" s="142"/>
      <c r="HZT101" s="142"/>
      <c r="HZU101" s="142"/>
      <c r="HZV101" s="142"/>
      <c r="HZW101" s="142"/>
      <c r="HZX101" s="142"/>
      <c r="HZY101" s="142"/>
      <c r="HZZ101" s="142"/>
      <c r="IAA101" s="142"/>
      <c r="IAB101" s="142"/>
      <c r="IAC101" s="142"/>
      <c r="IAD101" s="142"/>
      <c r="IAE101" s="142"/>
      <c r="IAF101" s="142"/>
      <c r="IAG101" s="142"/>
      <c r="IAH101" s="142"/>
      <c r="IAI101" s="142"/>
      <c r="IAJ101" s="142"/>
      <c r="IAK101" s="142"/>
      <c r="IAL101" s="142"/>
      <c r="IAM101" s="142"/>
      <c r="IAN101" s="142"/>
      <c r="IAO101" s="142"/>
      <c r="IAP101" s="142"/>
      <c r="IAQ101" s="142"/>
      <c r="IAR101" s="142"/>
      <c r="IAS101" s="142"/>
      <c r="IAT101" s="142"/>
      <c r="IAU101" s="142"/>
      <c r="IAV101" s="142"/>
      <c r="IAW101" s="142"/>
      <c r="IAX101" s="142"/>
      <c r="IAY101" s="142"/>
      <c r="IAZ101" s="142"/>
      <c r="IBA101" s="142"/>
      <c r="IBB101" s="142"/>
      <c r="IBC101" s="142"/>
      <c r="IBD101" s="142"/>
      <c r="IBE101" s="142"/>
      <c r="IBF101" s="142"/>
      <c r="IBG101" s="142"/>
      <c r="IBH101" s="142"/>
      <c r="IBI101" s="142"/>
      <c r="IBJ101" s="142"/>
      <c r="IBK101" s="142"/>
      <c r="IBL101" s="142"/>
      <c r="IBM101" s="142"/>
      <c r="IBN101" s="142"/>
      <c r="IBO101" s="142"/>
      <c r="IBP101" s="142"/>
      <c r="IBQ101" s="142"/>
      <c r="IBR101" s="142"/>
      <c r="IBS101" s="142"/>
      <c r="IBT101" s="142"/>
      <c r="IBU101" s="142"/>
      <c r="IBV101" s="142"/>
      <c r="IBW101" s="142"/>
      <c r="IBX101" s="142"/>
      <c r="IBY101" s="142"/>
      <c r="IBZ101" s="142"/>
      <c r="ICA101" s="142"/>
      <c r="ICB101" s="142"/>
      <c r="ICC101" s="142"/>
      <c r="ICD101" s="142"/>
      <c r="ICE101" s="142"/>
      <c r="ICF101" s="142"/>
      <c r="ICG101" s="142"/>
      <c r="ICH101" s="142"/>
      <c r="ICI101" s="142"/>
      <c r="ICJ101" s="142"/>
      <c r="ICK101" s="142"/>
      <c r="ICL101" s="142"/>
      <c r="ICM101" s="142"/>
      <c r="ICN101" s="142"/>
      <c r="ICO101" s="142"/>
      <c r="ICP101" s="142"/>
      <c r="ICQ101" s="142"/>
      <c r="ICR101" s="142"/>
      <c r="ICS101" s="142"/>
      <c r="ICT101" s="142"/>
      <c r="ICU101" s="142"/>
      <c r="ICV101" s="142"/>
      <c r="ICW101" s="142"/>
      <c r="ICX101" s="142"/>
      <c r="ICY101" s="142"/>
      <c r="ICZ101" s="142"/>
      <c r="IDA101" s="142"/>
      <c r="IDB101" s="142"/>
      <c r="IDC101" s="142"/>
      <c r="IDD101" s="142"/>
      <c r="IDE101" s="142"/>
      <c r="IDF101" s="142"/>
      <c r="IDG101" s="142"/>
      <c r="IDH101" s="142"/>
      <c r="IDI101" s="142"/>
      <c r="IDJ101" s="142"/>
      <c r="IDK101" s="142"/>
      <c r="IDL101" s="142"/>
      <c r="IDM101" s="142"/>
      <c r="IDN101" s="142"/>
      <c r="IDO101" s="142"/>
      <c r="IDP101" s="142"/>
      <c r="IDQ101" s="142"/>
      <c r="IDR101" s="142"/>
      <c r="IDS101" s="142"/>
      <c r="IDT101" s="142"/>
      <c r="IDU101" s="142"/>
      <c r="IDV101" s="142"/>
      <c r="IDW101" s="142"/>
      <c r="IDX101" s="142"/>
      <c r="IDY101" s="142"/>
      <c r="IDZ101" s="142"/>
      <c r="IEA101" s="142"/>
      <c r="IEB101" s="142"/>
      <c r="IEC101" s="142"/>
      <c r="IED101" s="142"/>
      <c r="IEE101" s="142"/>
      <c r="IEF101" s="142"/>
      <c r="IEG101" s="142"/>
      <c r="IEH101" s="142"/>
      <c r="IEI101" s="142"/>
      <c r="IEJ101" s="142"/>
      <c r="IEK101" s="142"/>
      <c r="IEL101" s="142"/>
      <c r="IEM101" s="142"/>
      <c r="IEN101" s="142"/>
      <c r="IEO101" s="142"/>
      <c r="IEP101" s="142"/>
      <c r="IEQ101" s="142"/>
      <c r="IER101" s="142"/>
      <c r="IES101" s="142"/>
      <c r="IET101" s="142"/>
      <c r="IEU101" s="142"/>
      <c r="IEV101" s="142"/>
      <c r="IEW101" s="142"/>
      <c r="IEX101" s="142"/>
      <c r="IEY101" s="142"/>
      <c r="IEZ101" s="142"/>
      <c r="IFA101" s="142"/>
      <c r="IFB101" s="142"/>
      <c r="IFC101" s="142"/>
      <c r="IFD101" s="142"/>
      <c r="IFE101" s="142"/>
      <c r="IFF101" s="142"/>
      <c r="IFG101" s="142"/>
      <c r="IFH101" s="142"/>
      <c r="IFI101" s="142"/>
      <c r="IFJ101" s="142"/>
      <c r="IFK101" s="142"/>
      <c r="IFL101" s="142"/>
      <c r="IFM101" s="142"/>
      <c r="IFN101" s="142"/>
      <c r="IFO101" s="142"/>
      <c r="IFP101" s="142"/>
      <c r="IFQ101" s="142"/>
      <c r="IFR101" s="142"/>
      <c r="IFS101" s="142"/>
      <c r="IFT101" s="142"/>
      <c r="IFU101" s="142"/>
      <c r="IFV101" s="142"/>
      <c r="IFW101" s="142"/>
      <c r="IFX101" s="142"/>
      <c r="IFY101" s="142"/>
      <c r="IFZ101" s="142"/>
      <c r="IGA101" s="142"/>
      <c r="IGB101" s="142"/>
      <c r="IGC101" s="142"/>
      <c r="IGD101" s="142"/>
      <c r="IGE101" s="142"/>
      <c r="IGF101" s="142"/>
      <c r="IGG101" s="142"/>
      <c r="IGH101" s="142"/>
      <c r="IGI101" s="142"/>
      <c r="IGJ101" s="142"/>
      <c r="IGK101" s="142"/>
      <c r="IGL101" s="142"/>
      <c r="IGM101" s="142"/>
      <c r="IGN101" s="142"/>
      <c r="IGO101" s="142"/>
      <c r="IGP101" s="142"/>
      <c r="IGQ101" s="142"/>
      <c r="IGR101" s="142"/>
      <c r="IGS101" s="142"/>
      <c r="IGT101" s="142"/>
      <c r="IGU101" s="142"/>
      <c r="IGV101" s="142"/>
      <c r="IGW101" s="142"/>
      <c r="IGX101" s="142"/>
      <c r="IGY101" s="142"/>
      <c r="IGZ101" s="142"/>
      <c r="IHA101" s="142"/>
      <c r="IHB101" s="142"/>
      <c r="IHC101" s="142"/>
      <c r="IHD101" s="142"/>
      <c r="IHE101" s="142"/>
      <c r="IHF101" s="142"/>
      <c r="IHG101" s="142"/>
      <c r="IHH101" s="142"/>
      <c r="IHI101" s="142"/>
      <c r="IHJ101" s="142"/>
      <c r="IHK101" s="142"/>
      <c r="IHL101" s="142"/>
      <c r="IHM101" s="142"/>
      <c r="IHN101" s="142"/>
      <c r="IHO101" s="142"/>
      <c r="IHP101" s="142"/>
      <c r="IHQ101" s="142"/>
      <c r="IHR101" s="142"/>
      <c r="IHS101" s="142"/>
      <c r="IHT101" s="142"/>
      <c r="IHU101" s="142"/>
      <c r="IHV101" s="142"/>
      <c r="IHW101" s="142"/>
      <c r="IHX101" s="142"/>
      <c r="IHY101" s="142"/>
      <c r="IHZ101" s="142"/>
      <c r="IIA101" s="142"/>
      <c r="IIB101" s="142"/>
      <c r="IIC101" s="142"/>
      <c r="IID101" s="142"/>
      <c r="IIE101" s="142"/>
      <c r="IIF101" s="142"/>
      <c r="IIG101" s="142"/>
      <c r="IIH101" s="142"/>
      <c r="III101" s="142"/>
      <c r="IIJ101" s="142"/>
      <c r="IIK101" s="142"/>
      <c r="IIL101" s="142"/>
      <c r="IIM101" s="142"/>
      <c r="IIN101" s="142"/>
      <c r="IIO101" s="142"/>
      <c r="IIP101" s="142"/>
      <c r="IIQ101" s="142"/>
      <c r="IIR101" s="142"/>
      <c r="IIS101" s="142"/>
      <c r="IIT101" s="142"/>
      <c r="IIU101" s="142"/>
      <c r="IIV101" s="142"/>
      <c r="IIW101" s="142"/>
      <c r="IIX101" s="142"/>
      <c r="IIY101" s="142"/>
      <c r="IIZ101" s="142"/>
      <c r="IJA101" s="142"/>
      <c r="IJB101" s="142"/>
      <c r="IJC101" s="142"/>
      <c r="IJD101" s="142"/>
      <c r="IJE101" s="142"/>
      <c r="IJF101" s="142"/>
      <c r="IJG101" s="142"/>
      <c r="IJH101" s="142"/>
      <c r="IJI101" s="142"/>
      <c r="IJJ101" s="142"/>
      <c r="IJK101" s="142"/>
      <c r="IJL101" s="142"/>
      <c r="IJM101" s="142"/>
      <c r="IJN101" s="142"/>
      <c r="IJO101" s="142"/>
      <c r="IJP101" s="142"/>
      <c r="IJQ101" s="142"/>
      <c r="IJR101" s="142"/>
      <c r="IJS101" s="142"/>
      <c r="IJT101" s="142"/>
      <c r="IJU101" s="142"/>
      <c r="IJV101" s="142"/>
      <c r="IJW101" s="142"/>
      <c r="IJX101" s="142"/>
      <c r="IJY101" s="142"/>
      <c r="IJZ101" s="142"/>
      <c r="IKA101" s="142"/>
      <c r="IKB101" s="142"/>
      <c r="IKC101" s="142"/>
      <c r="IKD101" s="142"/>
      <c r="IKE101" s="142"/>
      <c r="IKF101" s="142"/>
      <c r="IKG101" s="142"/>
      <c r="IKH101" s="142"/>
      <c r="IKI101" s="142"/>
      <c r="IKJ101" s="142"/>
      <c r="IKK101" s="142"/>
      <c r="IKL101" s="142"/>
      <c r="IKM101" s="142"/>
      <c r="IKN101" s="142"/>
      <c r="IKO101" s="142"/>
      <c r="IKP101" s="142"/>
      <c r="IKQ101" s="142"/>
      <c r="IKR101" s="142"/>
      <c r="IKS101" s="142"/>
      <c r="IKT101" s="142"/>
      <c r="IKU101" s="142"/>
      <c r="IKV101" s="142"/>
      <c r="IKW101" s="142"/>
      <c r="IKX101" s="142"/>
      <c r="IKY101" s="142"/>
      <c r="IKZ101" s="142"/>
      <c r="ILA101" s="142"/>
      <c r="ILB101" s="142"/>
      <c r="ILC101" s="142"/>
      <c r="ILD101" s="142"/>
      <c r="ILE101" s="142"/>
      <c r="ILF101" s="142"/>
      <c r="ILG101" s="142"/>
      <c r="ILH101" s="142"/>
      <c r="ILI101" s="142"/>
      <c r="ILJ101" s="142"/>
      <c r="ILK101" s="142"/>
      <c r="ILL101" s="142"/>
      <c r="ILM101" s="142"/>
      <c r="ILN101" s="142"/>
      <c r="ILO101" s="142"/>
      <c r="ILP101" s="142"/>
      <c r="ILQ101" s="142"/>
      <c r="ILR101" s="142"/>
      <c r="ILS101" s="142"/>
      <c r="ILT101" s="142"/>
      <c r="ILU101" s="142"/>
      <c r="ILV101" s="142"/>
      <c r="ILW101" s="142"/>
      <c r="ILX101" s="142"/>
      <c r="ILY101" s="142"/>
      <c r="ILZ101" s="142"/>
      <c r="IMA101" s="142"/>
      <c r="IMB101" s="142"/>
      <c r="IMC101" s="142"/>
      <c r="IMD101" s="142"/>
      <c r="IME101" s="142"/>
      <c r="IMF101" s="142"/>
      <c r="IMG101" s="142"/>
      <c r="IMH101" s="142"/>
      <c r="IMI101" s="142"/>
      <c r="IMJ101" s="142"/>
      <c r="IMK101" s="142"/>
      <c r="IML101" s="142"/>
      <c r="IMM101" s="142"/>
      <c r="IMN101" s="142"/>
      <c r="IMO101" s="142"/>
      <c r="IMP101" s="142"/>
      <c r="IMQ101" s="142"/>
      <c r="IMR101" s="142"/>
      <c r="IMS101" s="142"/>
      <c r="IMT101" s="142"/>
      <c r="IMU101" s="142"/>
      <c r="IMV101" s="142"/>
      <c r="IMW101" s="142"/>
      <c r="IMX101" s="142"/>
      <c r="IMY101" s="142"/>
      <c r="IMZ101" s="142"/>
      <c r="INA101" s="142"/>
      <c r="INB101" s="142"/>
      <c r="INC101" s="142"/>
      <c r="IND101" s="142"/>
      <c r="INE101" s="142"/>
      <c r="INF101" s="142"/>
      <c r="ING101" s="142"/>
      <c r="INH101" s="142"/>
      <c r="INI101" s="142"/>
      <c r="INJ101" s="142"/>
      <c r="INK101" s="142"/>
      <c r="INL101" s="142"/>
      <c r="INM101" s="142"/>
      <c r="INN101" s="142"/>
      <c r="INO101" s="142"/>
      <c r="INP101" s="142"/>
      <c r="INQ101" s="142"/>
      <c r="INR101" s="142"/>
      <c r="INS101" s="142"/>
      <c r="INT101" s="142"/>
      <c r="INU101" s="142"/>
      <c r="INV101" s="142"/>
      <c r="INW101" s="142"/>
      <c r="INX101" s="142"/>
      <c r="INY101" s="142"/>
      <c r="INZ101" s="142"/>
      <c r="IOA101" s="142"/>
      <c r="IOB101" s="142"/>
      <c r="IOC101" s="142"/>
      <c r="IOD101" s="142"/>
      <c r="IOE101" s="142"/>
      <c r="IOF101" s="142"/>
      <c r="IOG101" s="142"/>
      <c r="IOH101" s="142"/>
      <c r="IOI101" s="142"/>
      <c r="IOJ101" s="142"/>
      <c r="IOK101" s="142"/>
      <c r="IOL101" s="142"/>
      <c r="IOM101" s="142"/>
      <c r="ION101" s="142"/>
      <c r="IOO101" s="142"/>
      <c r="IOP101" s="142"/>
      <c r="IOQ101" s="142"/>
      <c r="IOR101" s="142"/>
      <c r="IOS101" s="142"/>
      <c r="IOT101" s="142"/>
      <c r="IOU101" s="142"/>
      <c r="IOV101" s="142"/>
      <c r="IOW101" s="142"/>
      <c r="IOX101" s="142"/>
      <c r="IOY101" s="142"/>
      <c r="IOZ101" s="142"/>
      <c r="IPA101" s="142"/>
      <c r="IPB101" s="142"/>
      <c r="IPC101" s="142"/>
      <c r="IPD101" s="142"/>
      <c r="IPE101" s="142"/>
      <c r="IPF101" s="142"/>
      <c r="IPG101" s="142"/>
      <c r="IPH101" s="142"/>
      <c r="IPI101" s="142"/>
      <c r="IPJ101" s="142"/>
      <c r="IPK101" s="142"/>
      <c r="IPL101" s="142"/>
      <c r="IPM101" s="142"/>
      <c r="IPN101" s="142"/>
      <c r="IPO101" s="142"/>
      <c r="IPP101" s="142"/>
      <c r="IPQ101" s="142"/>
      <c r="IPR101" s="142"/>
      <c r="IPS101" s="142"/>
      <c r="IPT101" s="142"/>
      <c r="IPU101" s="142"/>
      <c r="IPV101" s="142"/>
      <c r="IPW101" s="142"/>
      <c r="IPX101" s="142"/>
      <c r="IPY101" s="142"/>
      <c r="IPZ101" s="142"/>
      <c r="IQA101" s="142"/>
      <c r="IQB101" s="142"/>
      <c r="IQC101" s="142"/>
      <c r="IQD101" s="142"/>
      <c r="IQE101" s="142"/>
      <c r="IQF101" s="142"/>
      <c r="IQG101" s="142"/>
      <c r="IQH101" s="142"/>
      <c r="IQI101" s="142"/>
      <c r="IQJ101" s="142"/>
      <c r="IQK101" s="142"/>
      <c r="IQL101" s="142"/>
      <c r="IQM101" s="142"/>
      <c r="IQN101" s="142"/>
      <c r="IQO101" s="142"/>
      <c r="IQP101" s="142"/>
      <c r="IQQ101" s="142"/>
      <c r="IQR101" s="142"/>
      <c r="IQS101" s="142"/>
      <c r="IQT101" s="142"/>
      <c r="IQU101" s="142"/>
      <c r="IQV101" s="142"/>
      <c r="IQW101" s="142"/>
      <c r="IQX101" s="142"/>
      <c r="IQY101" s="142"/>
      <c r="IQZ101" s="142"/>
      <c r="IRA101" s="142"/>
      <c r="IRB101" s="142"/>
      <c r="IRC101" s="142"/>
      <c r="IRD101" s="142"/>
      <c r="IRE101" s="142"/>
      <c r="IRF101" s="142"/>
      <c r="IRG101" s="142"/>
      <c r="IRH101" s="142"/>
      <c r="IRI101" s="142"/>
      <c r="IRJ101" s="142"/>
      <c r="IRK101" s="142"/>
      <c r="IRL101" s="142"/>
      <c r="IRM101" s="142"/>
      <c r="IRN101" s="142"/>
      <c r="IRO101" s="142"/>
      <c r="IRP101" s="142"/>
      <c r="IRQ101" s="142"/>
      <c r="IRR101" s="142"/>
      <c r="IRS101" s="142"/>
      <c r="IRT101" s="142"/>
      <c r="IRU101" s="142"/>
      <c r="IRV101" s="142"/>
      <c r="IRW101" s="142"/>
      <c r="IRX101" s="142"/>
      <c r="IRY101" s="142"/>
      <c r="IRZ101" s="142"/>
      <c r="ISA101" s="142"/>
      <c r="ISB101" s="142"/>
      <c r="ISC101" s="142"/>
      <c r="ISD101" s="142"/>
      <c r="ISE101" s="142"/>
      <c r="ISF101" s="142"/>
      <c r="ISG101" s="142"/>
      <c r="ISH101" s="142"/>
      <c r="ISI101" s="142"/>
      <c r="ISJ101" s="142"/>
      <c r="ISK101" s="142"/>
      <c r="ISL101" s="142"/>
      <c r="ISM101" s="142"/>
      <c r="ISN101" s="142"/>
      <c r="ISO101" s="142"/>
      <c r="ISP101" s="142"/>
      <c r="ISQ101" s="142"/>
      <c r="ISR101" s="142"/>
      <c r="ISS101" s="142"/>
      <c r="IST101" s="142"/>
      <c r="ISU101" s="142"/>
      <c r="ISV101" s="142"/>
      <c r="ISW101" s="142"/>
      <c r="ISX101" s="142"/>
      <c r="ISY101" s="142"/>
      <c r="ISZ101" s="142"/>
      <c r="ITA101" s="142"/>
      <c r="ITB101" s="142"/>
      <c r="ITC101" s="142"/>
      <c r="ITD101" s="142"/>
      <c r="ITE101" s="142"/>
      <c r="ITF101" s="142"/>
      <c r="ITG101" s="142"/>
      <c r="ITH101" s="142"/>
      <c r="ITI101" s="142"/>
      <c r="ITJ101" s="142"/>
      <c r="ITK101" s="142"/>
      <c r="ITL101" s="142"/>
      <c r="ITM101" s="142"/>
      <c r="ITN101" s="142"/>
      <c r="ITO101" s="142"/>
      <c r="ITP101" s="142"/>
      <c r="ITQ101" s="142"/>
      <c r="ITR101" s="142"/>
      <c r="ITS101" s="142"/>
      <c r="ITT101" s="142"/>
      <c r="ITU101" s="142"/>
      <c r="ITV101" s="142"/>
      <c r="ITW101" s="142"/>
      <c r="ITX101" s="142"/>
      <c r="ITY101" s="142"/>
      <c r="ITZ101" s="142"/>
      <c r="IUA101" s="142"/>
      <c r="IUB101" s="142"/>
      <c r="IUC101" s="142"/>
      <c r="IUD101" s="142"/>
      <c r="IUE101" s="142"/>
      <c r="IUF101" s="142"/>
      <c r="IUG101" s="142"/>
      <c r="IUH101" s="142"/>
      <c r="IUI101" s="142"/>
      <c r="IUJ101" s="142"/>
      <c r="IUK101" s="142"/>
      <c r="IUL101" s="142"/>
      <c r="IUM101" s="142"/>
      <c r="IUN101" s="142"/>
      <c r="IUO101" s="142"/>
      <c r="IUP101" s="142"/>
      <c r="IUQ101" s="142"/>
      <c r="IUR101" s="142"/>
      <c r="IUS101" s="142"/>
      <c r="IUT101" s="142"/>
      <c r="IUU101" s="142"/>
      <c r="IUV101" s="142"/>
      <c r="IUW101" s="142"/>
      <c r="IUX101" s="142"/>
      <c r="IUY101" s="142"/>
      <c r="IUZ101" s="142"/>
      <c r="IVA101" s="142"/>
      <c r="IVB101" s="142"/>
      <c r="IVC101" s="142"/>
      <c r="IVD101" s="142"/>
      <c r="IVE101" s="142"/>
      <c r="IVF101" s="142"/>
      <c r="IVG101" s="142"/>
      <c r="IVH101" s="142"/>
      <c r="IVI101" s="142"/>
      <c r="IVJ101" s="142"/>
      <c r="IVK101" s="142"/>
      <c r="IVL101" s="142"/>
      <c r="IVM101" s="142"/>
      <c r="IVN101" s="142"/>
      <c r="IVO101" s="142"/>
      <c r="IVP101" s="142"/>
      <c r="IVQ101" s="142"/>
      <c r="IVR101" s="142"/>
      <c r="IVS101" s="142"/>
      <c r="IVT101" s="142"/>
      <c r="IVU101" s="142"/>
      <c r="IVV101" s="142"/>
      <c r="IVW101" s="142"/>
      <c r="IVX101" s="142"/>
      <c r="IVY101" s="142"/>
      <c r="IVZ101" s="142"/>
      <c r="IWA101" s="142"/>
      <c r="IWB101" s="142"/>
      <c r="IWC101" s="142"/>
      <c r="IWD101" s="142"/>
      <c r="IWE101" s="142"/>
      <c r="IWF101" s="142"/>
      <c r="IWG101" s="142"/>
      <c r="IWH101" s="142"/>
      <c r="IWI101" s="142"/>
      <c r="IWJ101" s="142"/>
      <c r="IWK101" s="142"/>
      <c r="IWL101" s="142"/>
      <c r="IWM101" s="142"/>
      <c r="IWN101" s="142"/>
      <c r="IWO101" s="142"/>
      <c r="IWP101" s="142"/>
      <c r="IWQ101" s="142"/>
      <c r="IWR101" s="142"/>
      <c r="IWS101" s="142"/>
      <c r="IWT101" s="142"/>
      <c r="IWU101" s="142"/>
      <c r="IWV101" s="142"/>
      <c r="IWW101" s="142"/>
      <c r="IWX101" s="142"/>
      <c r="IWY101" s="142"/>
      <c r="IWZ101" s="142"/>
      <c r="IXA101" s="142"/>
      <c r="IXB101" s="142"/>
      <c r="IXC101" s="142"/>
      <c r="IXD101" s="142"/>
      <c r="IXE101" s="142"/>
      <c r="IXF101" s="142"/>
      <c r="IXG101" s="142"/>
      <c r="IXH101" s="142"/>
      <c r="IXI101" s="142"/>
      <c r="IXJ101" s="142"/>
      <c r="IXK101" s="142"/>
      <c r="IXL101" s="142"/>
      <c r="IXM101" s="142"/>
      <c r="IXN101" s="142"/>
      <c r="IXO101" s="142"/>
      <c r="IXP101" s="142"/>
      <c r="IXQ101" s="142"/>
      <c r="IXR101" s="142"/>
      <c r="IXS101" s="142"/>
      <c r="IXT101" s="142"/>
      <c r="IXU101" s="142"/>
      <c r="IXV101" s="142"/>
      <c r="IXW101" s="142"/>
      <c r="IXX101" s="142"/>
      <c r="IXY101" s="142"/>
      <c r="IXZ101" s="142"/>
      <c r="IYA101" s="142"/>
      <c r="IYB101" s="142"/>
      <c r="IYC101" s="142"/>
      <c r="IYD101" s="142"/>
      <c r="IYE101" s="142"/>
      <c r="IYF101" s="142"/>
      <c r="IYG101" s="142"/>
      <c r="IYH101" s="142"/>
      <c r="IYI101" s="142"/>
      <c r="IYJ101" s="142"/>
      <c r="IYK101" s="142"/>
      <c r="IYL101" s="142"/>
      <c r="IYM101" s="142"/>
      <c r="IYN101" s="142"/>
      <c r="IYO101" s="142"/>
      <c r="IYP101" s="142"/>
      <c r="IYQ101" s="142"/>
      <c r="IYR101" s="142"/>
      <c r="IYS101" s="142"/>
      <c r="IYT101" s="142"/>
      <c r="IYU101" s="142"/>
      <c r="IYV101" s="142"/>
      <c r="IYW101" s="142"/>
      <c r="IYX101" s="142"/>
      <c r="IYY101" s="142"/>
      <c r="IYZ101" s="142"/>
      <c r="IZA101" s="142"/>
      <c r="IZB101" s="142"/>
      <c r="IZC101" s="142"/>
      <c r="IZD101" s="142"/>
      <c r="IZE101" s="142"/>
      <c r="IZF101" s="142"/>
      <c r="IZG101" s="142"/>
      <c r="IZH101" s="142"/>
      <c r="IZI101" s="142"/>
      <c r="IZJ101" s="142"/>
      <c r="IZK101" s="142"/>
      <c r="IZL101" s="142"/>
      <c r="IZM101" s="142"/>
      <c r="IZN101" s="142"/>
      <c r="IZO101" s="142"/>
      <c r="IZP101" s="142"/>
      <c r="IZQ101" s="142"/>
      <c r="IZR101" s="142"/>
      <c r="IZS101" s="142"/>
      <c r="IZT101" s="142"/>
      <c r="IZU101" s="142"/>
      <c r="IZV101" s="142"/>
      <c r="IZW101" s="142"/>
      <c r="IZX101" s="142"/>
      <c r="IZY101" s="142"/>
      <c r="IZZ101" s="142"/>
      <c r="JAA101" s="142"/>
      <c r="JAB101" s="142"/>
      <c r="JAC101" s="142"/>
      <c r="JAD101" s="142"/>
      <c r="JAE101" s="142"/>
      <c r="JAF101" s="142"/>
      <c r="JAG101" s="142"/>
      <c r="JAH101" s="142"/>
      <c r="JAI101" s="142"/>
      <c r="JAJ101" s="142"/>
      <c r="JAK101" s="142"/>
      <c r="JAL101" s="142"/>
      <c r="JAM101" s="142"/>
      <c r="JAN101" s="142"/>
      <c r="JAO101" s="142"/>
      <c r="JAP101" s="142"/>
      <c r="JAQ101" s="142"/>
      <c r="JAR101" s="142"/>
      <c r="JAS101" s="142"/>
      <c r="JAT101" s="142"/>
      <c r="JAU101" s="142"/>
      <c r="JAV101" s="142"/>
      <c r="JAW101" s="142"/>
      <c r="JAX101" s="142"/>
      <c r="JAY101" s="142"/>
      <c r="JAZ101" s="142"/>
      <c r="JBA101" s="142"/>
      <c r="JBB101" s="142"/>
      <c r="JBC101" s="142"/>
      <c r="JBD101" s="142"/>
      <c r="JBE101" s="142"/>
      <c r="JBF101" s="142"/>
      <c r="JBG101" s="142"/>
      <c r="JBH101" s="142"/>
      <c r="JBI101" s="142"/>
      <c r="JBJ101" s="142"/>
      <c r="JBK101" s="142"/>
      <c r="JBL101" s="142"/>
      <c r="JBM101" s="142"/>
      <c r="JBN101" s="142"/>
      <c r="JBO101" s="142"/>
      <c r="JBP101" s="142"/>
      <c r="JBQ101" s="142"/>
      <c r="JBR101" s="142"/>
      <c r="JBS101" s="142"/>
      <c r="JBT101" s="142"/>
      <c r="JBU101" s="142"/>
      <c r="JBV101" s="142"/>
      <c r="JBW101" s="142"/>
      <c r="JBX101" s="142"/>
      <c r="JBY101" s="142"/>
      <c r="JBZ101" s="142"/>
      <c r="JCA101" s="142"/>
      <c r="JCB101" s="142"/>
      <c r="JCC101" s="142"/>
      <c r="JCD101" s="142"/>
      <c r="JCE101" s="142"/>
      <c r="JCF101" s="142"/>
      <c r="JCG101" s="142"/>
      <c r="JCH101" s="142"/>
      <c r="JCI101" s="142"/>
      <c r="JCJ101" s="142"/>
      <c r="JCK101" s="142"/>
      <c r="JCL101" s="142"/>
      <c r="JCM101" s="142"/>
      <c r="JCN101" s="142"/>
      <c r="JCO101" s="142"/>
      <c r="JCP101" s="142"/>
      <c r="JCQ101" s="142"/>
      <c r="JCR101" s="142"/>
      <c r="JCS101" s="142"/>
      <c r="JCT101" s="142"/>
      <c r="JCU101" s="142"/>
      <c r="JCV101" s="142"/>
      <c r="JCW101" s="142"/>
      <c r="JCX101" s="142"/>
      <c r="JCY101" s="142"/>
      <c r="JCZ101" s="142"/>
      <c r="JDA101" s="142"/>
      <c r="JDB101" s="142"/>
      <c r="JDC101" s="142"/>
      <c r="JDD101" s="142"/>
      <c r="JDE101" s="142"/>
      <c r="JDF101" s="142"/>
      <c r="JDG101" s="142"/>
      <c r="JDH101" s="142"/>
      <c r="JDI101" s="142"/>
      <c r="JDJ101" s="142"/>
      <c r="JDK101" s="142"/>
      <c r="JDL101" s="142"/>
      <c r="JDM101" s="142"/>
      <c r="JDN101" s="142"/>
      <c r="JDO101" s="142"/>
      <c r="JDP101" s="142"/>
      <c r="JDQ101" s="142"/>
      <c r="JDR101" s="142"/>
      <c r="JDS101" s="142"/>
      <c r="JDT101" s="142"/>
      <c r="JDU101" s="142"/>
      <c r="JDV101" s="142"/>
      <c r="JDW101" s="142"/>
      <c r="JDX101" s="142"/>
      <c r="JDY101" s="142"/>
      <c r="JDZ101" s="142"/>
      <c r="JEA101" s="142"/>
      <c r="JEB101" s="142"/>
      <c r="JEC101" s="142"/>
      <c r="JED101" s="142"/>
      <c r="JEE101" s="142"/>
      <c r="JEF101" s="142"/>
      <c r="JEG101" s="142"/>
      <c r="JEH101" s="142"/>
      <c r="JEI101" s="142"/>
      <c r="JEJ101" s="142"/>
      <c r="JEK101" s="142"/>
      <c r="JEL101" s="142"/>
      <c r="JEM101" s="142"/>
      <c r="JEN101" s="142"/>
      <c r="JEO101" s="142"/>
      <c r="JEP101" s="142"/>
      <c r="JEQ101" s="142"/>
      <c r="JER101" s="142"/>
      <c r="JES101" s="142"/>
      <c r="JET101" s="142"/>
      <c r="JEU101" s="142"/>
      <c r="JEV101" s="142"/>
      <c r="JEW101" s="142"/>
      <c r="JEX101" s="142"/>
      <c r="JEY101" s="142"/>
      <c r="JEZ101" s="142"/>
      <c r="JFA101" s="142"/>
      <c r="JFB101" s="142"/>
      <c r="JFC101" s="142"/>
      <c r="JFD101" s="142"/>
      <c r="JFE101" s="142"/>
      <c r="JFF101" s="142"/>
      <c r="JFG101" s="142"/>
      <c r="JFH101" s="142"/>
      <c r="JFI101" s="142"/>
      <c r="JFJ101" s="142"/>
      <c r="JFK101" s="142"/>
      <c r="JFL101" s="142"/>
      <c r="JFM101" s="142"/>
      <c r="JFN101" s="142"/>
      <c r="JFO101" s="142"/>
      <c r="JFP101" s="142"/>
      <c r="JFQ101" s="142"/>
      <c r="JFR101" s="142"/>
      <c r="JFS101" s="142"/>
      <c r="JFT101" s="142"/>
      <c r="JFU101" s="142"/>
      <c r="JFV101" s="142"/>
      <c r="JFW101" s="142"/>
      <c r="JFX101" s="142"/>
      <c r="JFY101" s="142"/>
      <c r="JFZ101" s="142"/>
      <c r="JGA101" s="142"/>
      <c r="JGB101" s="142"/>
      <c r="JGC101" s="142"/>
      <c r="JGD101" s="142"/>
      <c r="JGE101" s="142"/>
      <c r="JGF101" s="142"/>
      <c r="JGG101" s="142"/>
      <c r="JGH101" s="142"/>
      <c r="JGI101" s="142"/>
      <c r="JGJ101" s="142"/>
      <c r="JGK101" s="142"/>
      <c r="JGL101" s="142"/>
      <c r="JGM101" s="142"/>
      <c r="JGN101" s="142"/>
      <c r="JGO101" s="142"/>
      <c r="JGP101" s="142"/>
      <c r="JGQ101" s="142"/>
      <c r="JGR101" s="142"/>
      <c r="JGS101" s="142"/>
      <c r="JGT101" s="142"/>
      <c r="JGU101" s="142"/>
      <c r="JGV101" s="142"/>
      <c r="JGW101" s="142"/>
      <c r="JGX101" s="142"/>
      <c r="JGY101" s="142"/>
      <c r="JGZ101" s="142"/>
      <c r="JHA101" s="142"/>
      <c r="JHB101" s="142"/>
      <c r="JHC101" s="142"/>
      <c r="JHD101" s="142"/>
      <c r="JHE101" s="142"/>
      <c r="JHF101" s="142"/>
      <c r="JHG101" s="142"/>
      <c r="JHH101" s="142"/>
      <c r="JHI101" s="142"/>
      <c r="JHJ101" s="142"/>
      <c r="JHK101" s="142"/>
      <c r="JHL101" s="142"/>
      <c r="JHM101" s="142"/>
      <c r="JHN101" s="142"/>
      <c r="JHO101" s="142"/>
      <c r="JHP101" s="142"/>
      <c r="JHQ101" s="142"/>
      <c r="JHR101" s="142"/>
      <c r="JHS101" s="142"/>
      <c r="JHT101" s="142"/>
      <c r="JHU101" s="142"/>
      <c r="JHV101" s="142"/>
      <c r="JHW101" s="142"/>
      <c r="JHX101" s="142"/>
      <c r="JHY101" s="142"/>
      <c r="JHZ101" s="142"/>
      <c r="JIA101" s="142"/>
      <c r="JIB101" s="142"/>
      <c r="JIC101" s="142"/>
      <c r="JID101" s="142"/>
      <c r="JIE101" s="142"/>
      <c r="JIF101" s="142"/>
      <c r="JIG101" s="142"/>
      <c r="JIH101" s="142"/>
      <c r="JII101" s="142"/>
      <c r="JIJ101" s="142"/>
      <c r="JIK101" s="142"/>
      <c r="JIL101" s="142"/>
      <c r="JIM101" s="142"/>
      <c r="JIN101" s="142"/>
      <c r="JIO101" s="142"/>
      <c r="JIP101" s="142"/>
      <c r="JIQ101" s="142"/>
      <c r="JIR101" s="142"/>
      <c r="JIS101" s="142"/>
      <c r="JIT101" s="142"/>
      <c r="JIU101" s="142"/>
      <c r="JIV101" s="142"/>
      <c r="JIW101" s="142"/>
      <c r="JIX101" s="142"/>
      <c r="JIY101" s="142"/>
      <c r="JIZ101" s="142"/>
      <c r="JJA101" s="142"/>
      <c r="JJB101" s="142"/>
      <c r="JJC101" s="142"/>
      <c r="JJD101" s="142"/>
      <c r="JJE101" s="142"/>
      <c r="JJF101" s="142"/>
      <c r="JJG101" s="142"/>
      <c r="JJH101" s="142"/>
      <c r="JJI101" s="142"/>
      <c r="JJJ101" s="142"/>
      <c r="JJK101" s="142"/>
      <c r="JJL101" s="142"/>
      <c r="JJM101" s="142"/>
      <c r="JJN101" s="142"/>
      <c r="JJO101" s="142"/>
      <c r="JJP101" s="142"/>
      <c r="JJQ101" s="142"/>
      <c r="JJR101" s="142"/>
      <c r="JJS101" s="142"/>
      <c r="JJT101" s="142"/>
      <c r="JJU101" s="142"/>
      <c r="JJV101" s="142"/>
      <c r="JJW101" s="142"/>
      <c r="JJX101" s="142"/>
      <c r="JJY101" s="142"/>
      <c r="JJZ101" s="142"/>
      <c r="JKA101" s="142"/>
      <c r="JKB101" s="142"/>
      <c r="JKC101" s="142"/>
      <c r="JKD101" s="142"/>
      <c r="JKE101" s="142"/>
      <c r="JKF101" s="142"/>
      <c r="JKG101" s="142"/>
      <c r="JKH101" s="142"/>
      <c r="JKI101" s="142"/>
      <c r="JKJ101" s="142"/>
      <c r="JKK101" s="142"/>
      <c r="JKL101" s="142"/>
      <c r="JKM101" s="142"/>
      <c r="JKN101" s="142"/>
      <c r="JKO101" s="142"/>
      <c r="JKP101" s="142"/>
      <c r="JKQ101" s="142"/>
      <c r="JKR101" s="142"/>
      <c r="JKS101" s="142"/>
      <c r="JKT101" s="142"/>
      <c r="JKU101" s="142"/>
      <c r="JKV101" s="142"/>
      <c r="JKW101" s="142"/>
      <c r="JKX101" s="142"/>
      <c r="JKY101" s="142"/>
      <c r="JKZ101" s="142"/>
      <c r="JLA101" s="142"/>
      <c r="JLB101" s="142"/>
      <c r="JLC101" s="142"/>
      <c r="JLD101" s="142"/>
      <c r="JLE101" s="142"/>
      <c r="JLF101" s="142"/>
      <c r="JLG101" s="142"/>
      <c r="JLH101" s="142"/>
      <c r="JLI101" s="142"/>
      <c r="JLJ101" s="142"/>
      <c r="JLK101" s="142"/>
      <c r="JLL101" s="142"/>
      <c r="JLM101" s="142"/>
      <c r="JLN101" s="142"/>
      <c r="JLO101" s="142"/>
      <c r="JLP101" s="142"/>
      <c r="JLQ101" s="142"/>
      <c r="JLR101" s="142"/>
      <c r="JLS101" s="142"/>
      <c r="JLT101" s="142"/>
      <c r="JLU101" s="142"/>
      <c r="JLV101" s="142"/>
      <c r="JLW101" s="142"/>
      <c r="JLX101" s="142"/>
      <c r="JLY101" s="142"/>
      <c r="JLZ101" s="142"/>
      <c r="JMA101" s="142"/>
      <c r="JMB101" s="142"/>
      <c r="JMC101" s="142"/>
      <c r="JMD101" s="142"/>
      <c r="JME101" s="142"/>
      <c r="JMF101" s="142"/>
      <c r="JMG101" s="142"/>
      <c r="JMH101" s="142"/>
      <c r="JMI101" s="142"/>
      <c r="JMJ101" s="142"/>
      <c r="JMK101" s="142"/>
      <c r="JML101" s="142"/>
      <c r="JMM101" s="142"/>
      <c r="JMN101" s="142"/>
      <c r="JMO101" s="142"/>
      <c r="JMP101" s="142"/>
      <c r="JMQ101" s="142"/>
      <c r="JMR101" s="142"/>
      <c r="JMS101" s="142"/>
      <c r="JMT101" s="142"/>
      <c r="JMU101" s="142"/>
      <c r="JMV101" s="142"/>
      <c r="JMW101" s="142"/>
      <c r="JMX101" s="142"/>
      <c r="JMY101" s="142"/>
      <c r="JMZ101" s="142"/>
      <c r="JNA101" s="142"/>
      <c r="JNB101" s="142"/>
      <c r="JNC101" s="142"/>
      <c r="JND101" s="142"/>
      <c r="JNE101" s="142"/>
      <c r="JNF101" s="142"/>
      <c r="JNG101" s="142"/>
      <c r="JNH101" s="142"/>
      <c r="JNI101" s="142"/>
      <c r="JNJ101" s="142"/>
      <c r="JNK101" s="142"/>
      <c r="JNL101" s="142"/>
      <c r="JNM101" s="142"/>
      <c r="JNN101" s="142"/>
      <c r="JNO101" s="142"/>
      <c r="JNP101" s="142"/>
      <c r="JNQ101" s="142"/>
      <c r="JNR101" s="142"/>
      <c r="JNS101" s="142"/>
      <c r="JNT101" s="142"/>
      <c r="JNU101" s="142"/>
      <c r="JNV101" s="142"/>
      <c r="JNW101" s="142"/>
      <c r="JNX101" s="142"/>
      <c r="JNY101" s="142"/>
      <c r="JNZ101" s="142"/>
      <c r="JOA101" s="142"/>
      <c r="JOB101" s="142"/>
      <c r="JOC101" s="142"/>
      <c r="JOD101" s="142"/>
      <c r="JOE101" s="142"/>
      <c r="JOF101" s="142"/>
      <c r="JOG101" s="142"/>
      <c r="JOH101" s="142"/>
      <c r="JOI101" s="142"/>
      <c r="JOJ101" s="142"/>
      <c r="JOK101" s="142"/>
      <c r="JOL101" s="142"/>
      <c r="JOM101" s="142"/>
      <c r="JON101" s="142"/>
      <c r="JOO101" s="142"/>
      <c r="JOP101" s="142"/>
      <c r="JOQ101" s="142"/>
      <c r="JOR101" s="142"/>
      <c r="JOS101" s="142"/>
      <c r="JOT101" s="142"/>
      <c r="JOU101" s="142"/>
      <c r="JOV101" s="142"/>
      <c r="JOW101" s="142"/>
      <c r="JOX101" s="142"/>
      <c r="JOY101" s="142"/>
      <c r="JOZ101" s="142"/>
      <c r="JPA101" s="142"/>
      <c r="JPB101" s="142"/>
      <c r="JPC101" s="142"/>
      <c r="JPD101" s="142"/>
      <c r="JPE101" s="142"/>
      <c r="JPF101" s="142"/>
      <c r="JPG101" s="142"/>
      <c r="JPH101" s="142"/>
      <c r="JPI101" s="142"/>
      <c r="JPJ101" s="142"/>
      <c r="JPK101" s="142"/>
      <c r="JPL101" s="142"/>
      <c r="JPM101" s="142"/>
      <c r="JPN101" s="142"/>
      <c r="JPO101" s="142"/>
      <c r="JPP101" s="142"/>
      <c r="JPQ101" s="142"/>
      <c r="JPR101" s="142"/>
      <c r="JPS101" s="142"/>
      <c r="JPT101" s="142"/>
      <c r="JPU101" s="142"/>
      <c r="JPV101" s="142"/>
      <c r="JPW101" s="142"/>
      <c r="JPX101" s="142"/>
      <c r="JPY101" s="142"/>
      <c r="JPZ101" s="142"/>
      <c r="JQA101" s="142"/>
      <c r="JQB101" s="142"/>
      <c r="JQC101" s="142"/>
      <c r="JQD101" s="142"/>
      <c r="JQE101" s="142"/>
      <c r="JQF101" s="142"/>
      <c r="JQG101" s="142"/>
      <c r="JQH101" s="142"/>
      <c r="JQI101" s="142"/>
      <c r="JQJ101" s="142"/>
      <c r="JQK101" s="142"/>
      <c r="JQL101" s="142"/>
      <c r="JQM101" s="142"/>
      <c r="JQN101" s="142"/>
      <c r="JQO101" s="142"/>
      <c r="JQP101" s="142"/>
      <c r="JQQ101" s="142"/>
      <c r="JQR101" s="142"/>
      <c r="JQS101" s="142"/>
      <c r="JQT101" s="142"/>
      <c r="JQU101" s="142"/>
      <c r="JQV101" s="142"/>
      <c r="JQW101" s="142"/>
      <c r="JQX101" s="142"/>
      <c r="JQY101" s="142"/>
      <c r="JQZ101" s="142"/>
      <c r="JRA101" s="142"/>
      <c r="JRB101" s="142"/>
      <c r="JRC101" s="142"/>
      <c r="JRD101" s="142"/>
      <c r="JRE101" s="142"/>
      <c r="JRF101" s="142"/>
      <c r="JRG101" s="142"/>
      <c r="JRH101" s="142"/>
      <c r="JRI101" s="142"/>
      <c r="JRJ101" s="142"/>
      <c r="JRK101" s="142"/>
      <c r="JRL101" s="142"/>
      <c r="JRM101" s="142"/>
      <c r="JRN101" s="142"/>
      <c r="JRO101" s="142"/>
      <c r="JRP101" s="142"/>
      <c r="JRQ101" s="142"/>
      <c r="JRR101" s="142"/>
      <c r="JRS101" s="142"/>
      <c r="JRT101" s="142"/>
      <c r="JRU101" s="142"/>
      <c r="JRV101" s="142"/>
      <c r="JRW101" s="142"/>
      <c r="JRX101" s="142"/>
      <c r="JRY101" s="142"/>
      <c r="JRZ101" s="142"/>
      <c r="JSA101" s="142"/>
      <c r="JSB101" s="142"/>
      <c r="JSC101" s="142"/>
      <c r="JSD101" s="142"/>
      <c r="JSE101" s="142"/>
      <c r="JSF101" s="142"/>
      <c r="JSG101" s="142"/>
      <c r="JSH101" s="142"/>
      <c r="JSI101" s="142"/>
      <c r="JSJ101" s="142"/>
      <c r="JSK101" s="142"/>
      <c r="JSL101" s="142"/>
      <c r="JSM101" s="142"/>
      <c r="JSN101" s="142"/>
      <c r="JSO101" s="142"/>
      <c r="JSP101" s="142"/>
      <c r="JSQ101" s="142"/>
      <c r="JSR101" s="142"/>
      <c r="JSS101" s="142"/>
      <c r="JST101" s="142"/>
      <c r="JSU101" s="142"/>
      <c r="JSV101" s="142"/>
      <c r="JSW101" s="142"/>
      <c r="JSX101" s="142"/>
      <c r="JSY101" s="142"/>
      <c r="JSZ101" s="142"/>
      <c r="JTA101" s="142"/>
      <c r="JTB101" s="142"/>
      <c r="JTC101" s="142"/>
      <c r="JTD101" s="142"/>
      <c r="JTE101" s="142"/>
      <c r="JTF101" s="142"/>
      <c r="JTG101" s="142"/>
      <c r="JTH101" s="142"/>
      <c r="JTI101" s="142"/>
      <c r="JTJ101" s="142"/>
      <c r="JTK101" s="142"/>
      <c r="JTL101" s="142"/>
      <c r="JTM101" s="142"/>
      <c r="JTN101" s="142"/>
      <c r="JTO101" s="142"/>
      <c r="JTP101" s="142"/>
      <c r="JTQ101" s="142"/>
      <c r="JTR101" s="142"/>
      <c r="JTS101" s="142"/>
      <c r="JTT101" s="142"/>
      <c r="JTU101" s="142"/>
      <c r="JTV101" s="142"/>
      <c r="JTW101" s="142"/>
      <c r="JTX101" s="142"/>
      <c r="JTY101" s="142"/>
      <c r="JTZ101" s="142"/>
      <c r="JUA101" s="142"/>
      <c r="JUB101" s="142"/>
      <c r="JUC101" s="142"/>
      <c r="JUD101" s="142"/>
      <c r="JUE101" s="142"/>
      <c r="JUF101" s="142"/>
      <c r="JUG101" s="142"/>
      <c r="JUH101" s="142"/>
      <c r="JUI101" s="142"/>
      <c r="JUJ101" s="142"/>
      <c r="JUK101" s="142"/>
      <c r="JUL101" s="142"/>
      <c r="JUM101" s="142"/>
      <c r="JUN101" s="142"/>
      <c r="JUO101" s="142"/>
      <c r="JUP101" s="142"/>
      <c r="JUQ101" s="142"/>
      <c r="JUR101" s="142"/>
      <c r="JUS101" s="142"/>
      <c r="JUT101" s="142"/>
      <c r="JUU101" s="142"/>
      <c r="JUV101" s="142"/>
      <c r="JUW101" s="142"/>
      <c r="JUX101" s="142"/>
      <c r="JUY101" s="142"/>
      <c r="JUZ101" s="142"/>
      <c r="JVA101" s="142"/>
      <c r="JVB101" s="142"/>
      <c r="JVC101" s="142"/>
      <c r="JVD101" s="142"/>
      <c r="JVE101" s="142"/>
      <c r="JVF101" s="142"/>
      <c r="JVG101" s="142"/>
      <c r="JVH101" s="142"/>
      <c r="JVI101" s="142"/>
      <c r="JVJ101" s="142"/>
      <c r="JVK101" s="142"/>
      <c r="JVL101" s="142"/>
      <c r="JVM101" s="142"/>
      <c r="JVN101" s="142"/>
      <c r="JVO101" s="142"/>
      <c r="JVP101" s="142"/>
      <c r="JVQ101" s="142"/>
      <c r="JVR101" s="142"/>
      <c r="JVS101" s="142"/>
      <c r="JVT101" s="142"/>
      <c r="JVU101" s="142"/>
      <c r="JVV101" s="142"/>
      <c r="JVW101" s="142"/>
      <c r="JVX101" s="142"/>
      <c r="JVY101" s="142"/>
      <c r="JVZ101" s="142"/>
      <c r="JWA101" s="142"/>
      <c r="JWB101" s="142"/>
      <c r="JWC101" s="142"/>
      <c r="JWD101" s="142"/>
      <c r="JWE101" s="142"/>
      <c r="JWF101" s="142"/>
      <c r="JWG101" s="142"/>
      <c r="JWH101" s="142"/>
      <c r="JWI101" s="142"/>
      <c r="JWJ101" s="142"/>
      <c r="JWK101" s="142"/>
      <c r="JWL101" s="142"/>
      <c r="JWM101" s="142"/>
      <c r="JWN101" s="142"/>
      <c r="JWO101" s="142"/>
      <c r="JWP101" s="142"/>
      <c r="JWQ101" s="142"/>
      <c r="JWR101" s="142"/>
      <c r="JWS101" s="142"/>
      <c r="JWT101" s="142"/>
      <c r="JWU101" s="142"/>
      <c r="JWV101" s="142"/>
      <c r="JWW101" s="142"/>
      <c r="JWX101" s="142"/>
      <c r="JWY101" s="142"/>
      <c r="JWZ101" s="142"/>
      <c r="JXA101" s="142"/>
      <c r="JXB101" s="142"/>
      <c r="JXC101" s="142"/>
      <c r="JXD101" s="142"/>
      <c r="JXE101" s="142"/>
      <c r="JXF101" s="142"/>
      <c r="JXG101" s="142"/>
      <c r="JXH101" s="142"/>
      <c r="JXI101" s="142"/>
      <c r="JXJ101" s="142"/>
      <c r="JXK101" s="142"/>
      <c r="JXL101" s="142"/>
      <c r="JXM101" s="142"/>
      <c r="JXN101" s="142"/>
      <c r="JXO101" s="142"/>
      <c r="JXP101" s="142"/>
      <c r="JXQ101" s="142"/>
      <c r="JXR101" s="142"/>
      <c r="JXS101" s="142"/>
      <c r="JXT101" s="142"/>
      <c r="JXU101" s="142"/>
      <c r="JXV101" s="142"/>
      <c r="JXW101" s="142"/>
      <c r="JXX101" s="142"/>
      <c r="JXY101" s="142"/>
      <c r="JXZ101" s="142"/>
      <c r="JYA101" s="142"/>
      <c r="JYB101" s="142"/>
      <c r="JYC101" s="142"/>
      <c r="JYD101" s="142"/>
      <c r="JYE101" s="142"/>
      <c r="JYF101" s="142"/>
      <c r="JYG101" s="142"/>
      <c r="JYH101" s="142"/>
      <c r="JYI101" s="142"/>
      <c r="JYJ101" s="142"/>
      <c r="JYK101" s="142"/>
      <c r="JYL101" s="142"/>
      <c r="JYM101" s="142"/>
      <c r="JYN101" s="142"/>
      <c r="JYO101" s="142"/>
      <c r="JYP101" s="142"/>
      <c r="JYQ101" s="142"/>
      <c r="JYR101" s="142"/>
      <c r="JYS101" s="142"/>
      <c r="JYT101" s="142"/>
      <c r="JYU101" s="142"/>
      <c r="JYV101" s="142"/>
      <c r="JYW101" s="142"/>
      <c r="JYX101" s="142"/>
      <c r="JYY101" s="142"/>
      <c r="JYZ101" s="142"/>
      <c r="JZA101" s="142"/>
      <c r="JZB101" s="142"/>
      <c r="JZC101" s="142"/>
      <c r="JZD101" s="142"/>
      <c r="JZE101" s="142"/>
      <c r="JZF101" s="142"/>
      <c r="JZG101" s="142"/>
      <c r="JZH101" s="142"/>
      <c r="JZI101" s="142"/>
      <c r="JZJ101" s="142"/>
      <c r="JZK101" s="142"/>
      <c r="JZL101" s="142"/>
      <c r="JZM101" s="142"/>
      <c r="JZN101" s="142"/>
      <c r="JZO101" s="142"/>
      <c r="JZP101" s="142"/>
      <c r="JZQ101" s="142"/>
      <c r="JZR101" s="142"/>
      <c r="JZS101" s="142"/>
      <c r="JZT101" s="142"/>
      <c r="JZU101" s="142"/>
      <c r="JZV101" s="142"/>
      <c r="JZW101" s="142"/>
      <c r="JZX101" s="142"/>
      <c r="JZY101" s="142"/>
      <c r="JZZ101" s="142"/>
      <c r="KAA101" s="142"/>
      <c r="KAB101" s="142"/>
      <c r="KAC101" s="142"/>
      <c r="KAD101" s="142"/>
      <c r="KAE101" s="142"/>
      <c r="KAF101" s="142"/>
      <c r="KAG101" s="142"/>
      <c r="KAH101" s="142"/>
      <c r="KAI101" s="142"/>
      <c r="KAJ101" s="142"/>
      <c r="KAK101" s="142"/>
      <c r="KAL101" s="142"/>
      <c r="KAM101" s="142"/>
      <c r="KAN101" s="142"/>
      <c r="KAO101" s="142"/>
      <c r="KAP101" s="142"/>
      <c r="KAQ101" s="142"/>
      <c r="KAR101" s="142"/>
      <c r="KAS101" s="142"/>
      <c r="KAT101" s="142"/>
      <c r="KAU101" s="142"/>
      <c r="KAV101" s="142"/>
      <c r="KAW101" s="142"/>
      <c r="KAX101" s="142"/>
      <c r="KAY101" s="142"/>
      <c r="KAZ101" s="142"/>
      <c r="KBA101" s="142"/>
      <c r="KBB101" s="142"/>
      <c r="KBC101" s="142"/>
      <c r="KBD101" s="142"/>
      <c r="KBE101" s="142"/>
      <c r="KBF101" s="142"/>
      <c r="KBG101" s="142"/>
      <c r="KBH101" s="142"/>
      <c r="KBI101" s="142"/>
      <c r="KBJ101" s="142"/>
      <c r="KBK101" s="142"/>
      <c r="KBL101" s="142"/>
      <c r="KBM101" s="142"/>
      <c r="KBN101" s="142"/>
      <c r="KBO101" s="142"/>
      <c r="KBP101" s="142"/>
      <c r="KBQ101" s="142"/>
      <c r="KBR101" s="142"/>
      <c r="KBS101" s="142"/>
      <c r="KBT101" s="142"/>
      <c r="KBU101" s="142"/>
      <c r="KBV101" s="142"/>
      <c r="KBW101" s="142"/>
      <c r="KBX101" s="142"/>
      <c r="KBY101" s="142"/>
      <c r="KBZ101" s="142"/>
      <c r="KCA101" s="142"/>
      <c r="KCB101" s="142"/>
      <c r="KCC101" s="142"/>
      <c r="KCD101" s="142"/>
      <c r="KCE101" s="142"/>
      <c r="KCF101" s="142"/>
      <c r="KCG101" s="142"/>
      <c r="KCH101" s="142"/>
      <c r="KCI101" s="142"/>
      <c r="KCJ101" s="142"/>
      <c r="KCK101" s="142"/>
      <c r="KCL101" s="142"/>
      <c r="KCM101" s="142"/>
      <c r="KCN101" s="142"/>
      <c r="KCO101" s="142"/>
      <c r="KCP101" s="142"/>
      <c r="KCQ101" s="142"/>
      <c r="KCR101" s="142"/>
      <c r="KCS101" s="142"/>
      <c r="KCT101" s="142"/>
      <c r="KCU101" s="142"/>
      <c r="KCV101" s="142"/>
      <c r="KCW101" s="142"/>
      <c r="KCX101" s="142"/>
      <c r="KCY101" s="142"/>
      <c r="KCZ101" s="142"/>
      <c r="KDA101" s="142"/>
      <c r="KDB101" s="142"/>
      <c r="KDC101" s="142"/>
      <c r="KDD101" s="142"/>
      <c r="KDE101" s="142"/>
      <c r="KDF101" s="142"/>
      <c r="KDG101" s="142"/>
      <c r="KDH101" s="142"/>
      <c r="KDI101" s="142"/>
      <c r="KDJ101" s="142"/>
      <c r="KDK101" s="142"/>
      <c r="KDL101" s="142"/>
      <c r="KDM101" s="142"/>
      <c r="KDN101" s="142"/>
      <c r="KDO101" s="142"/>
      <c r="KDP101" s="142"/>
      <c r="KDQ101" s="142"/>
      <c r="KDR101" s="142"/>
      <c r="KDS101" s="142"/>
      <c r="KDT101" s="142"/>
      <c r="KDU101" s="142"/>
      <c r="KDV101" s="142"/>
      <c r="KDW101" s="142"/>
      <c r="KDX101" s="142"/>
      <c r="KDY101" s="142"/>
      <c r="KDZ101" s="142"/>
      <c r="KEA101" s="142"/>
      <c r="KEB101" s="142"/>
      <c r="KEC101" s="142"/>
      <c r="KED101" s="142"/>
      <c r="KEE101" s="142"/>
      <c r="KEF101" s="142"/>
      <c r="KEG101" s="142"/>
      <c r="KEH101" s="142"/>
      <c r="KEI101" s="142"/>
      <c r="KEJ101" s="142"/>
      <c r="KEK101" s="142"/>
      <c r="KEL101" s="142"/>
      <c r="KEM101" s="142"/>
      <c r="KEN101" s="142"/>
      <c r="KEO101" s="142"/>
      <c r="KEP101" s="142"/>
      <c r="KEQ101" s="142"/>
      <c r="KER101" s="142"/>
      <c r="KES101" s="142"/>
      <c r="KET101" s="142"/>
      <c r="KEU101" s="142"/>
      <c r="KEV101" s="142"/>
      <c r="KEW101" s="142"/>
      <c r="KEX101" s="142"/>
      <c r="KEY101" s="142"/>
      <c r="KEZ101" s="142"/>
      <c r="KFA101" s="142"/>
      <c r="KFB101" s="142"/>
      <c r="KFC101" s="142"/>
      <c r="KFD101" s="142"/>
      <c r="KFE101" s="142"/>
      <c r="KFF101" s="142"/>
      <c r="KFG101" s="142"/>
      <c r="KFH101" s="142"/>
      <c r="KFI101" s="142"/>
      <c r="KFJ101" s="142"/>
      <c r="KFK101" s="142"/>
      <c r="KFL101" s="142"/>
      <c r="KFM101" s="142"/>
      <c r="KFN101" s="142"/>
      <c r="KFO101" s="142"/>
      <c r="KFP101" s="142"/>
      <c r="KFQ101" s="142"/>
      <c r="KFR101" s="142"/>
      <c r="KFS101" s="142"/>
      <c r="KFT101" s="142"/>
      <c r="KFU101" s="142"/>
      <c r="KFV101" s="142"/>
      <c r="KFW101" s="142"/>
      <c r="KFX101" s="142"/>
      <c r="KFY101" s="142"/>
      <c r="KFZ101" s="142"/>
      <c r="KGA101" s="142"/>
      <c r="KGB101" s="142"/>
      <c r="KGC101" s="142"/>
      <c r="KGD101" s="142"/>
      <c r="KGE101" s="142"/>
      <c r="KGF101" s="142"/>
      <c r="KGG101" s="142"/>
      <c r="KGH101" s="142"/>
      <c r="KGI101" s="142"/>
      <c r="KGJ101" s="142"/>
      <c r="KGK101" s="142"/>
      <c r="KGL101" s="142"/>
      <c r="KGM101" s="142"/>
      <c r="KGN101" s="142"/>
      <c r="KGO101" s="142"/>
      <c r="KGP101" s="142"/>
      <c r="KGQ101" s="142"/>
      <c r="KGR101" s="142"/>
      <c r="KGS101" s="142"/>
      <c r="KGT101" s="142"/>
      <c r="KGU101" s="142"/>
      <c r="KGV101" s="142"/>
      <c r="KGW101" s="142"/>
      <c r="KGX101" s="142"/>
      <c r="KGY101" s="142"/>
      <c r="KGZ101" s="142"/>
      <c r="KHA101" s="142"/>
      <c r="KHB101" s="142"/>
      <c r="KHC101" s="142"/>
      <c r="KHD101" s="142"/>
      <c r="KHE101" s="142"/>
      <c r="KHF101" s="142"/>
      <c r="KHG101" s="142"/>
      <c r="KHH101" s="142"/>
      <c r="KHI101" s="142"/>
      <c r="KHJ101" s="142"/>
      <c r="KHK101" s="142"/>
      <c r="KHL101" s="142"/>
      <c r="KHM101" s="142"/>
      <c r="KHN101" s="142"/>
      <c r="KHO101" s="142"/>
      <c r="KHP101" s="142"/>
      <c r="KHQ101" s="142"/>
      <c r="KHR101" s="142"/>
      <c r="KHS101" s="142"/>
      <c r="KHT101" s="142"/>
      <c r="KHU101" s="142"/>
      <c r="KHV101" s="142"/>
      <c r="KHW101" s="142"/>
      <c r="KHX101" s="142"/>
      <c r="KHY101" s="142"/>
      <c r="KHZ101" s="142"/>
      <c r="KIA101" s="142"/>
      <c r="KIB101" s="142"/>
      <c r="KIC101" s="142"/>
      <c r="KID101" s="142"/>
      <c r="KIE101" s="142"/>
      <c r="KIF101" s="142"/>
      <c r="KIG101" s="142"/>
      <c r="KIH101" s="142"/>
      <c r="KII101" s="142"/>
      <c r="KIJ101" s="142"/>
      <c r="KIK101" s="142"/>
      <c r="KIL101" s="142"/>
      <c r="KIM101" s="142"/>
      <c r="KIN101" s="142"/>
      <c r="KIO101" s="142"/>
      <c r="KIP101" s="142"/>
      <c r="KIQ101" s="142"/>
      <c r="KIR101" s="142"/>
      <c r="KIS101" s="142"/>
      <c r="KIT101" s="142"/>
      <c r="KIU101" s="142"/>
      <c r="KIV101" s="142"/>
      <c r="KIW101" s="142"/>
      <c r="KIX101" s="142"/>
      <c r="KIY101" s="142"/>
      <c r="KIZ101" s="142"/>
      <c r="KJA101" s="142"/>
      <c r="KJB101" s="142"/>
      <c r="KJC101" s="142"/>
      <c r="KJD101" s="142"/>
      <c r="KJE101" s="142"/>
      <c r="KJF101" s="142"/>
      <c r="KJG101" s="142"/>
      <c r="KJH101" s="142"/>
      <c r="KJI101" s="142"/>
      <c r="KJJ101" s="142"/>
      <c r="KJK101" s="142"/>
      <c r="KJL101" s="142"/>
      <c r="KJM101" s="142"/>
      <c r="KJN101" s="142"/>
      <c r="KJO101" s="142"/>
      <c r="KJP101" s="142"/>
      <c r="KJQ101" s="142"/>
      <c r="KJR101" s="142"/>
      <c r="KJS101" s="142"/>
      <c r="KJT101" s="142"/>
      <c r="KJU101" s="142"/>
      <c r="KJV101" s="142"/>
      <c r="KJW101" s="142"/>
      <c r="KJX101" s="142"/>
      <c r="KJY101" s="142"/>
      <c r="KJZ101" s="142"/>
      <c r="KKA101" s="142"/>
      <c r="KKB101" s="142"/>
      <c r="KKC101" s="142"/>
      <c r="KKD101" s="142"/>
      <c r="KKE101" s="142"/>
      <c r="KKF101" s="142"/>
      <c r="KKG101" s="142"/>
      <c r="KKH101" s="142"/>
      <c r="KKI101" s="142"/>
      <c r="KKJ101" s="142"/>
      <c r="KKK101" s="142"/>
      <c r="KKL101" s="142"/>
      <c r="KKM101" s="142"/>
      <c r="KKN101" s="142"/>
      <c r="KKO101" s="142"/>
      <c r="KKP101" s="142"/>
      <c r="KKQ101" s="142"/>
      <c r="KKR101" s="142"/>
      <c r="KKS101" s="142"/>
      <c r="KKT101" s="142"/>
      <c r="KKU101" s="142"/>
      <c r="KKV101" s="142"/>
      <c r="KKW101" s="142"/>
      <c r="KKX101" s="142"/>
      <c r="KKY101" s="142"/>
      <c r="KKZ101" s="142"/>
      <c r="KLA101" s="142"/>
      <c r="KLB101" s="142"/>
      <c r="KLC101" s="142"/>
      <c r="KLD101" s="142"/>
      <c r="KLE101" s="142"/>
      <c r="KLF101" s="142"/>
      <c r="KLG101" s="142"/>
      <c r="KLH101" s="142"/>
      <c r="KLI101" s="142"/>
      <c r="KLJ101" s="142"/>
      <c r="KLK101" s="142"/>
      <c r="KLL101" s="142"/>
      <c r="KLM101" s="142"/>
      <c r="KLN101" s="142"/>
      <c r="KLO101" s="142"/>
      <c r="KLP101" s="142"/>
      <c r="KLQ101" s="142"/>
      <c r="KLR101" s="142"/>
      <c r="KLS101" s="142"/>
      <c r="KLT101" s="142"/>
      <c r="KLU101" s="142"/>
      <c r="KLV101" s="142"/>
      <c r="KLW101" s="142"/>
      <c r="KLX101" s="142"/>
      <c r="KLY101" s="142"/>
      <c r="KLZ101" s="142"/>
      <c r="KMA101" s="142"/>
      <c r="KMB101" s="142"/>
      <c r="KMC101" s="142"/>
      <c r="KMD101" s="142"/>
      <c r="KME101" s="142"/>
      <c r="KMF101" s="142"/>
      <c r="KMG101" s="142"/>
      <c r="KMH101" s="142"/>
      <c r="KMI101" s="142"/>
      <c r="KMJ101" s="142"/>
      <c r="KMK101" s="142"/>
      <c r="KML101" s="142"/>
      <c r="KMM101" s="142"/>
      <c r="KMN101" s="142"/>
      <c r="KMO101" s="142"/>
      <c r="KMP101" s="142"/>
      <c r="KMQ101" s="142"/>
      <c r="KMR101" s="142"/>
      <c r="KMS101" s="142"/>
      <c r="KMT101" s="142"/>
      <c r="KMU101" s="142"/>
      <c r="KMV101" s="142"/>
      <c r="KMW101" s="142"/>
      <c r="KMX101" s="142"/>
      <c r="KMY101" s="142"/>
      <c r="KMZ101" s="142"/>
      <c r="KNA101" s="142"/>
      <c r="KNB101" s="142"/>
      <c r="KNC101" s="142"/>
      <c r="KND101" s="142"/>
      <c r="KNE101" s="142"/>
      <c r="KNF101" s="142"/>
      <c r="KNG101" s="142"/>
      <c r="KNH101" s="142"/>
      <c r="KNI101" s="142"/>
      <c r="KNJ101" s="142"/>
      <c r="KNK101" s="142"/>
      <c r="KNL101" s="142"/>
      <c r="KNM101" s="142"/>
      <c r="KNN101" s="142"/>
      <c r="KNO101" s="142"/>
      <c r="KNP101" s="142"/>
      <c r="KNQ101" s="142"/>
      <c r="KNR101" s="142"/>
      <c r="KNS101" s="142"/>
      <c r="KNT101" s="142"/>
      <c r="KNU101" s="142"/>
      <c r="KNV101" s="142"/>
      <c r="KNW101" s="142"/>
      <c r="KNX101" s="142"/>
      <c r="KNY101" s="142"/>
      <c r="KNZ101" s="142"/>
      <c r="KOA101" s="142"/>
      <c r="KOB101" s="142"/>
      <c r="KOC101" s="142"/>
      <c r="KOD101" s="142"/>
      <c r="KOE101" s="142"/>
      <c r="KOF101" s="142"/>
      <c r="KOG101" s="142"/>
      <c r="KOH101" s="142"/>
      <c r="KOI101" s="142"/>
      <c r="KOJ101" s="142"/>
      <c r="KOK101" s="142"/>
      <c r="KOL101" s="142"/>
      <c r="KOM101" s="142"/>
      <c r="KON101" s="142"/>
      <c r="KOO101" s="142"/>
      <c r="KOP101" s="142"/>
      <c r="KOQ101" s="142"/>
      <c r="KOR101" s="142"/>
      <c r="KOS101" s="142"/>
      <c r="KOT101" s="142"/>
      <c r="KOU101" s="142"/>
      <c r="KOV101" s="142"/>
      <c r="KOW101" s="142"/>
      <c r="KOX101" s="142"/>
      <c r="KOY101" s="142"/>
      <c r="KOZ101" s="142"/>
      <c r="KPA101" s="142"/>
      <c r="KPB101" s="142"/>
      <c r="KPC101" s="142"/>
      <c r="KPD101" s="142"/>
      <c r="KPE101" s="142"/>
      <c r="KPF101" s="142"/>
      <c r="KPG101" s="142"/>
      <c r="KPH101" s="142"/>
      <c r="KPI101" s="142"/>
      <c r="KPJ101" s="142"/>
      <c r="KPK101" s="142"/>
      <c r="KPL101" s="142"/>
      <c r="KPM101" s="142"/>
      <c r="KPN101" s="142"/>
      <c r="KPO101" s="142"/>
      <c r="KPP101" s="142"/>
      <c r="KPQ101" s="142"/>
      <c r="KPR101" s="142"/>
      <c r="KPS101" s="142"/>
      <c r="KPT101" s="142"/>
      <c r="KPU101" s="142"/>
      <c r="KPV101" s="142"/>
      <c r="KPW101" s="142"/>
      <c r="KPX101" s="142"/>
      <c r="KPY101" s="142"/>
      <c r="KPZ101" s="142"/>
      <c r="KQA101" s="142"/>
      <c r="KQB101" s="142"/>
      <c r="KQC101" s="142"/>
      <c r="KQD101" s="142"/>
      <c r="KQE101" s="142"/>
      <c r="KQF101" s="142"/>
      <c r="KQG101" s="142"/>
      <c r="KQH101" s="142"/>
      <c r="KQI101" s="142"/>
      <c r="KQJ101" s="142"/>
      <c r="KQK101" s="142"/>
      <c r="KQL101" s="142"/>
      <c r="KQM101" s="142"/>
      <c r="KQN101" s="142"/>
      <c r="KQO101" s="142"/>
      <c r="KQP101" s="142"/>
      <c r="KQQ101" s="142"/>
      <c r="KQR101" s="142"/>
      <c r="KQS101" s="142"/>
      <c r="KQT101" s="142"/>
      <c r="KQU101" s="142"/>
      <c r="KQV101" s="142"/>
      <c r="KQW101" s="142"/>
      <c r="KQX101" s="142"/>
      <c r="KQY101" s="142"/>
      <c r="KQZ101" s="142"/>
      <c r="KRA101" s="142"/>
      <c r="KRB101" s="142"/>
      <c r="KRC101" s="142"/>
      <c r="KRD101" s="142"/>
      <c r="KRE101" s="142"/>
      <c r="KRF101" s="142"/>
      <c r="KRG101" s="142"/>
      <c r="KRH101" s="142"/>
      <c r="KRI101" s="142"/>
      <c r="KRJ101" s="142"/>
      <c r="KRK101" s="142"/>
      <c r="KRL101" s="142"/>
      <c r="KRM101" s="142"/>
      <c r="KRN101" s="142"/>
      <c r="KRO101" s="142"/>
      <c r="KRP101" s="142"/>
      <c r="KRQ101" s="142"/>
      <c r="KRR101" s="142"/>
      <c r="KRS101" s="142"/>
      <c r="KRT101" s="142"/>
      <c r="KRU101" s="142"/>
      <c r="KRV101" s="142"/>
      <c r="KRW101" s="142"/>
      <c r="KRX101" s="142"/>
      <c r="KRY101" s="142"/>
      <c r="KRZ101" s="142"/>
      <c r="KSA101" s="142"/>
      <c r="KSB101" s="142"/>
      <c r="KSC101" s="142"/>
      <c r="KSD101" s="142"/>
      <c r="KSE101" s="142"/>
      <c r="KSF101" s="142"/>
      <c r="KSG101" s="142"/>
      <c r="KSH101" s="142"/>
      <c r="KSI101" s="142"/>
      <c r="KSJ101" s="142"/>
      <c r="KSK101" s="142"/>
      <c r="KSL101" s="142"/>
      <c r="KSM101" s="142"/>
      <c r="KSN101" s="142"/>
      <c r="KSO101" s="142"/>
      <c r="KSP101" s="142"/>
      <c r="KSQ101" s="142"/>
      <c r="KSR101" s="142"/>
      <c r="KSS101" s="142"/>
      <c r="KST101" s="142"/>
      <c r="KSU101" s="142"/>
      <c r="KSV101" s="142"/>
      <c r="KSW101" s="142"/>
      <c r="KSX101" s="142"/>
      <c r="KSY101" s="142"/>
      <c r="KSZ101" s="142"/>
      <c r="KTA101" s="142"/>
      <c r="KTB101" s="142"/>
      <c r="KTC101" s="142"/>
      <c r="KTD101" s="142"/>
      <c r="KTE101" s="142"/>
      <c r="KTF101" s="142"/>
      <c r="KTG101" s="142"/>
      <c r="KTH101" s="142"/>
      <c r="KTI101" s="142"/>
      <c r="KTJ101" s="142"/>
      <c r="KTK101" s="142"/>
      <c r="KTL101" s="142"/>
      <c r="KTM101" s="142"/>
      <c r="KTN101" s="142"/>
      <c r="KTO101" s="142"/>
      <c r="KTP101" s="142"/>
      <c r="KTQ101" s="142"/>
      <c r="KTR101" s="142"/>
      <c r="KTS101" s="142"/>
      <c r="KTT101" s="142"/>
      <c r="KTU101" s="142"/>
      <c r="KTV101" s="142"/>
      <c r="KTW101" s="142"/>
      <c r="KTX101" s="142"/>
      <c r="KTY101" s="142"/>
      <c r="KTZ101" s="142"/>
      <c r="KUA101" s="142"/>
      <c r="KUB101" s="142"/>
      <c r="KUC101" s="142"/>
      <c r="KUD101" s="142"/>
      <c r="KUE101" s="142"/>
      <c r="KUF101" s="142"/>
      <c r="KUG101" s="142"/>
      <c r="KUH101" s="142"/>
      <c r="KUI101" s="142"/>
      <c r="KUJ101" s="142"/>
      <c r="KUK101" s="142"/>
      <c r="KUL101" s="142"/>
      <c r="KUM101" s="142"/>
      <c r="KUN101" s="142"/>
      <c r="KUO101" s="142"/>
      <c r="KUP101" s="142"/>
      <c r="KUQ101" s="142"/>
      <c r="KUR101" s="142"/>
      <c r="KUS101" s="142"/>
      <c r="KUT101" s="142"/>
      <c r="KUU101" s="142"/>
      <c r="KUV101" s="142"/>
      <c r="KUW101" s="142"/>
      <c r="KUX101" s="142"/>
      <c r="KUY101" s="142"/>
      <c r="KUZ101" s="142"/>
      <c r="KVA101" s="142"/>
      <c r="KVB101" s="142"/>
      <c r="KVC101" s="142"/>
      <c r="KVD101" s="142"/>
      <c r="KVE101" s="142"/>
      <c r="KVF101" s="142"/>
      <c r="KVG101" s="142"/>
      <c r="KVH101" s="142"/>
      <c r="KVI101" s="142"/>
      <c r="KVJ101" s="142"/>
      <c r="KVK101" s="142"/>
      <c r="KVL101" s="142"/>
      <c r="KVM101" s="142"/>
      <c r="KVN101" s="142"/>
      <c r="KVO101" s="142"/>
      <c r="KVP101" s="142"/>
      <c r="KVQ101" s="142"/>
      <c r="KVR101" s="142"/>
      <c r="KVS101" s="142"/>
      <c r="KVT101" s="142"/>
      <c r="KVU101" s="142"/>
      <c r="KVV101" s="142"/>
      <c r="KVW101" s="142"/>
      <c r="KVX101" s="142"/>
      <c r="KVY101" s="142"/>
      <c r="KVZ101" s="142"/>
      <c r="KWA101" s="142"/>
      <c r="KWB101" s="142"/>
      <c r="KWC101" s="142"/>
      <c r="KWD101" s="142"/>
      <c r="KWE101" s="142"/>
      <c r="KWF101" s="142"/>
      <c r="KWG101" s="142"/>
      <c r="KWH101" s="142"/>
      <c r="KWI101" s="142"/>
      <c r="KWJ101" s="142"/>
      <c r="KWK101" s="142"/>
      <c r="KWL101" s="142"/>
      <c r="KWM101" s="142"/>
      <c r="KWN101" s="142"/>
      <c r="KWO101" s="142"/>
      <c r="KWP101" s="142"/>
      <c r="KWQ101" s="142"/>
      <c r="KWR101" s="142"/>
      <c r="KWS101" s="142"/>
      <c r="KWT101" s="142"/>
      <c r="KWU101" s="142"/>
      <c r="KWV101" s="142"/>
      <c r="KWW101" s="142"/>
      <c r="KWX101" s="142"/>
      <c r="KWY101" s="142"/>
      <c r="KWZ101" s="142"/>
      <c r="KXA101" s="142"/>
      <c r="KXB101" s="142"/>
      <c r="KXC101" s="142"/>
      <c r="KXD101" s="142"/>
      <c r="KXE101" s="142"/>
      <c r="KXF101" s="142"/>
      <c r="KXG101" s="142"/>
      <c r="KXH101" s="142"/>
      <c r="KXI101" s="142"/>
      <c r="KXJ101" s="142"/>
      <c r="KXK101" s="142"/>
      <c r="KXL101" s="142"/>
      <c r="KXM101" s="142"/>
      <c r="KXN101" s="142"/>
      <c r="KXO101" s="142"/>
      <c r="KXP101" s="142"/>
      <c r="KXQ101" s="142"/>
      <c r="KXR101" s="142"/>
      <c r="KXS101" s="142"/>
      <c r="KXT101" s="142"/>
      <c r="KXU101" s="142"/>
      <c r="KXV101" s="142"/>
      <c r="KXW101" s="142"/>
      <c r="KXX101" s="142"/>
      <c r="KXY101" s="142"/>
      <c r="KXZ101" s="142"/>
      <c r="KYA101" s="142"/>
      <c r="KYB101" s="142"/>
      <c r="KYC101" s="142"/>
      <c r="KYD101" s="142"/>
      <c r="KYE101" s="142"/>
      <c r="KYF101" s="142"/>
      <c r="KYG101" s="142"/>
      <c r="KYH101" s="142"/>
      <c r="KYI101" s="142"/>
      <c r="KYJ101" s="142"/>
      <c r="KYK101" s="142"/>
      <c r="KYL101" s="142"/>
      <c r="KYM101" s="142"/>
      <c r="KYN101" s="142"/>
      <c r="KYO101" s="142"/>
      <c r="KYP101" s="142"/>
      <c r="KYQ101" s="142"/>
      <c r="KYR101" s="142"/>
      <c r="KYS101" s="142"/>
      <c r="KYT101" s="142"/>
      <c r="KYU101" s="142"/>
      <c r="KYV101" s="142"/>
      <c r="KYW101" s="142"/>
      <c r="KYX101" s="142"/>
      <c r="KYY101" s="142"/>
      <c r="KYZ101" s="142"/>
      <c r="KZA101" s="142"/>
      <c r="KZB101" s="142"/>
      <c r="KZC101" s="142"/>
      <c r="KZD101" s="142"/>
      <c r="KZE101" s="142"/>
      <c r="KZF101" s="142"/>
      <c r="KZG101" s="142"/>
      <c r="KZH101" s="142"/>
      <c r="KZI101" s="142"/>
      <c r="KZJ101" s="142"/>
      <c r="KZK101" s="142"/>
      <c r="KZL101" s="142"/>
      <c r="KZM101" s="142"/>
      <c r="KZN101" s="142"/>
      <c r="KZO101" s="142"/>
      <c r="KZP101" s="142"/>
      <c r="KZQ101" s="142"/>
      <c r="KZR101" s="142"/>
      <c r="KZS101" s="142"/>
      <c r="KZT101" s="142"/>
      <c r="KZU101" s="142"/>
      <c r="KZV101" s="142"/>
      <c r="KZW101" s="142"/>
      <c r="KZX101" s="142"/>
      <c r="KZY101" s="142"/>
      <c r="KZZ101" s="142"/>
      <c r="LAA101" s="142"/>
      <c r="LAB101" s="142"/>
      <c r="LAC101" s="142"/>
      <c r="LAD101" s="142"/>
      <c r="LAE101" s="142"/>
      <c r="LAF101" s="142"/>
      <c r="LAG101" s="142"/>
      <c r="LAH101" s="142"/>
      <c r="LAI101" s="142"/>
      <c r="LAJ101" s="142"/>
      <c r="LAK101" s="142"/>
      <c r="LAL101" s="142"/>
      <c r="LAM101" s="142"/>
      <c r="LAN101" s="142"/>
      <c r="LAO101" s="142"/>
      <c r="LAP101" s="142"/>
      <c r="LAQ101" s="142"/>
      <c r="LAR101" s="142"/>
      <c r="LAS101" s="142"/>
      <c r="LAT101" s="142"/>
      <c r="LAU101" s="142"/>
      <c r="LAV101" s="142"/>
      <c r="LAW101" s="142"/>
      <c r="LAX101" s="142"/>
      <c r="LAY101" s="142"/>
      <c r="LAZ101" s="142"/>
      <c r="LBA101" s="142"/>
      <c r="LBB101" s="142"/>
      <c r="LBC101" s="142"/>
      <c r="LBD101" s="142"/>
      <c r="LBE101" s="142"/>
      <c r="LBF101" s="142"/>
      <c r="LBG101" s="142"/>
      <c r="LBH101" s="142"/>
      <c r="LBI101" s="142"/>
      <c r="LBJ101" s="142"/>
      <c r="LBK101" s="142"/>
      <c r="LBL101" s="142"/>
      <c r="LBM101" s="142"/>
      <c r="LBN101" s="142"/>
      <c r="LBO101" s="142"/>
      <c r="LBP101" s="142"/>
      <c r="LBQ101" s="142"/>
      <c r="LBR101" s="142"/>
      <c r="LBS101" s="142"/>
      <c r="LBT101" s="142"/>
      <c r="LBU101" s="142"/>
      <c r="LBV101" s="142"/>
      <c r="LBW101" s="142"/>
      <c r="LBX101" s="142"/>
      <c r="LBY101" s="142"/>
      <c r="LBZ101" s="142"/>
      <c r="LCA101" s="142"/>
      <c r="LCB101" s="142"/>
      <c r="LCC101" s="142"/>
      <c r="LCD101" s="142"/>
      <c r="LCE101" s="142"/>
      <c r="LCF101" s="142"/>
      <c r="LCG101" s="142"/>
      <c r="LCH101" s="142"/>
      <c r="LCI101" s="142"/>
      <c r="LCJ101" s="142"/>
      <c r="LCK101" s="142"/>
      <c r="LCL101" s="142"/>
      <c r="LCM101" s="142"/>
      <c r="LCN101" s="142"/>
      <c r="LCO101" s="142"/>
      <c r="LCP101" s="142"/>
      <c r="LCQ101" s="142"/>
      <c r="LCR101" s="142"/>
      <c r="LCS101" s="142"/>
      <c r="LCT101" s="142"/>
      <c r="LCU101" s="142"/>
      <c r="LCV101" s="142"/>
      <c r="LCW101" s="142"/>
      <c r="LCX101" s="142"/>
      <c r="LCY101" s="142"/>
      <c r="LCZ101" s="142"/>
      <c r="LDA101" s="142"/>
      <c r="LDB101" s="142"/>
      <c r="LDC101" s="142"/>
      <c r="LDD101" s="142"/>
      <c r="LDE101" s="142"/>
      <c r="LDF101" s="142"/>
      <c r="LDG101" s="142"/>
      <c r="LDH101" s="142"/>
      <c r="LDI101" s="142"/>
      <c r="LDJ101" s="142"/>
      <c r="LDK101" s="142"/>
      <c r="LDL101" s="142"/>
      <c r="LDM101" s="142"/>
      <c r="LDN101" s="142"/>
      <c r="LDO101" s="142"/>
      <c r="LDP101" s="142"/>
      <c r="LDQ101" s="142"/>
      <c r="LDR101" s="142"/>
      <c r="LDS101" s="142"/>
      <c r="LDT101" s="142"/>
      <c r="LDU101" s="142"/>
      <c r="LDV101" s="142"/>
      <c r="LDW101" s="142"/>
      <c r="LDX101" s="142"/>
      <c r="LDY101" s="142"/>
      <c r="LDZ101" s="142"/>
      <c r="LEA101" s="142"/>
      <c r="LEB101" s="142"/>
      <c r="LEC101" s="142"/>
      <c r="LED101" s="142"/>
      <c r="LEE101" s="142"/>
      <c r="LEF101" s="142"/>
      <c r="LEG101" s="142"/>
      <c r="LEH101" s="142"/>
      <c r="LEI101" s="142"/>
      <c r="LEJ101" s="142"/>
      <c r="LEK101" s="142"/>
      <c r="LEL101" s="142"/>
      <c r="LEM101" s="142"/>
      <c r="LEN101" s="142"/>
      <c r="LEO101" s="142"/>
      <c r="LEP101" s="142"/>
      <c r="LEQ101" s="142"/>
      <c r="LER101" s="142"/>
      <c r="LES101" s="142"/>
      <c r="LET101" s="142"/>
      <c r="LEU101" s="142"/>
      <c r="LEV101" s="142"/>
      <c r="LEW101" s="142"/>
      <c r="LEX101" s="142"/>
      <c r="LEY101" s="142"/>
      <c r="LEZ101" s="142"/>
      <c r="LFA101" s="142"/>
      <c r="LFB101" s="142"/>
      <c r="LFC101" s="142"/>
      <c r="LFD101" s="142"/>
      <c r="LFE101" s="142"/>
      <c r="LFF101" s="142"/>
      <c r="LFG101" s="142"/>
      <c r="LFH101" s="142"/>
      <c r="LFI101" s="142"/>
      <c r="LFJ101" s="142"/>
      <c r="LFK101" s="142"/>
      <c r="LFL101" s="142"/>
      <c r="LFM101" s="142"/>
      <c r="LFN101" s="142"/>
      <c r="LFO101" s="142"/>
      <c r="LFP101" s="142"/>
      <c r="LFQ101" s="142"/>
      <c r="LFR101" s="142"/>
      <c r="LFS101" s="142"/>
      <c r="LFT101" s="142"/>
      <c r="LFU101" s="142"/>
      <c r="LFV101" s="142"/>
      <c r="LFW101" s="142"/>
      <c r="LFX101" s="142"/>
      <c r="LFY101" s="142"/>
      <c r="LFZ101" s="142"/>
      <c r="LGA101" s="142"/>
      <c r="LGB101" s="142"/>
      <c r="LGC101" s="142"/>
      <c r="LGD101" s="142"/>
      <c r="LGE101" s="142"/>
      <c r="LGF101" s="142"/>
      <c r="LGG101" s="142"/>
      <c r="LGH101" s="142"/>
      <c r="LGI101" s="142"/>
      <c r="LGJ101" s="142"/>
      <c r="LGK101" s="142"/>
      <c r="LGL101" s="142"/>
      <c r="LGM101" s="142"/>
      <c r="LGN101" s="142"/>
      <c r="LGO101" s="142"/>
      <c r="LGP101" s="142"/>
      <c r="LGQ101" s="142"/>
      <c r="LGR101" s="142"/>
      <c r="LGS101" s="142"/>
      <c r="LGT101" s="142"/>
      <c r="LGU101" s="142"/>
      <c r="LGV101" s="142"/>
      <c r="LGW101" s="142"/>
      <c r="LGX101" s="142"/>
      <c r="LGY101" s="142"/>
      <c r="LGZ101" s="142"/>
      <c r="LHA101" s="142"/>
      <c r="LHB101" s="142"/>
      <c r="LHC101" s="142"/>
      <c r="LHD101" s="142"/>
      <c r="LHE101" s="142"/>
      <c r="LHF101" s="142"/>
      <c r="LHG101" s="142"/>
      <c r="LHH101" s="142"/>
      <c r="LHI101" s="142"/>
      <c r="LHJ101" s="142"/>
      <c r="LHK101" s="142"/>
      <c r="LHL101" s="142"/>
      <c r="LHM101" s="142"/>
      <c r="LHN101" s="142"/>
      <c r="LHO101" s="142"/>
      <c r="LHP101" s="142"/>
      <c r="LHQ101" s="142"/>
      <c r="LHR101" s="142"/>
      <c r="LHS101" s="142"/>
      <c r="LHT101" s="142"/>
      <c r="LHU101" s="142"/>
      <c r="LHV101" s="142"/>
      <c r="LHW101" s="142"/>
      <c r="LHX101" s="142"/>
      <c r="LHY101" s="142"/>
      <c r="LHZ101" s="142"/>
      <c r="LIA101" s="142"/>
      <c r="LIB101" s="142"/>
      <c r="LIC101" s="142"/>
      <c r="LID101" s="142"/>
      <c r="LIE101" s="142"/>
      <c r="LIF101" s="142"/>
      <c r="LIG101" s="142"/>
      <c r="LIH101" s="142"/>
      <c r="LII101" s="142"/>
      <c r="LIJ101" s="142"/>
      <c r="LIK101" s="142"/>
      <c r="LIL101" s="142"/>
      <c r="LIM101" s="142"/>
      <c r="LIN101" s="142"/>
      <c r="LIO101" s="142"/>
      <c r="LIP101" s="142"/>
      <c r="LIQ101" s="142"/>
      <c r="LIR101" s="142"/>
      <c r="LIS101" s="142"/>
      <c r="LIT101" s="142"/>
      <c r="LIU101" s="142"/>
      <c r="LIV101" s="142"/>
      <c r="LIW101" s="142"/>
      <c r="LIX101" s="142"/>
      <c r="LIY101" s="142"/>
      <c r="LIZ101" s="142"/>
      <c r="LJA101" s="142"/>
      <c r="LJB101" s="142"/>
      <c r="LJC101" s="142"/>
      <c r="LJD101" s="142"/>
      <c r="LJE101" s="142"/>
      <c r="LJF101" s="142"/>
      <c r="LJG101" s="142"/>
      <c r="LJH101" s="142"/>
      <c r="LJI101" s="142"/>
      <c r="LJJ101" s="142"/>
      <c r="LJK101" s="142"/>
      <c r="LJL101" s="142"/>
      <c r="LJM101" s="142"/>
      <c r="LJN101" s="142"/>
      <c r="LJO101" s="142"/>
      <c r="LJP101" s="142"/>
      <c r="LJQ101" s="142"/>
      <c r="LJR101" s="142"/>
      <c r="LJS101" s="142"/>
      <c r="LJT101" s="142"/>
      <c r="LJU101" s="142"/>
      <c r="LJV101" s="142"/>
      <c r="LJW101" s="142"/>
      <c r="LJX101" s="142"/>
      <c r="LJY101" s="142"/>
      <c r="LJZ101" s="142"/>
      <c r="LKA101" s="142"/>
      <c r="LKB101" s="142"/>
      <c r="LKC101" s="142"/>
      <c r="LKD101" s="142"/>
      <c r="LKE101" s="142"/>
      <c r="LKF101" s="142"/>
      <c r="LKG101" s="142"/>
      <c r="LKH101" s="142"/>
      <c r="LKI101" s="142"/>
      <c r="LKJ101" s="142"/>
      <c r="LKK101" s="142"/>
      <c r="LKL101" s="142"/>
      <c r="LKM101" s="142"/>
      <c r="LKN101" s="142"/>
      <c r="LKO101" s="142"/>
      <c r="LKP101" s="142"/>
      <c r="LKQ101" s="142"/>
      <c r="LKR101" s="142"/>
      <c r="LKS101" s="142"/>
      <c r="LKT101" s="142"/>
      <c r="LKU101" s="142"/>
      <c r="LKV101" s="142"/>
      <c r="LKW101" s="142"/>
      <c r="LKX101" s="142"/>
      <c r="LKY101" s="142"/>
      <c r="LKZ101" s="142"/>
      <c r="LLA101" s="142"/>
      <c r="LLB101" s="142"/>
      <c r="LLC101" s="142"/>
      <c r="LLD101" s="142"/>
      <c r="LLE101" s="142"/>
      <c r="LLF101" s="142"/>
      <c r="LLG101" s="142"/>
      <c r="LLH101" s="142"/>
      <c r="LLI101" s="142"/>
      <c r="LLJ101" s="142"/>
      <c r="LLK101" s="142"/>
      <c r="LLL101" s="142"/>
      <c r="LLM101" s="142"/>
      <c r="LLN101" s="142"/>
      <c r="LLO101" s="142"/>
      <c r="LLP101" s="142"/>
      <c r="LLQ101" s="142"/>
      <c r="LLR101" s="142"/>
      <c r="LLS101" s="142"/>
      <c r="LLT101" s="142"/>
      <c r="LLU101" s="142"/>
      <c r="LLV101" s="142"/>
      <c r="LLW101" s="142"/>
      <c r="LLX101" s="142"/>
      <c r="LLY101" s="142"/>
      <c r="LLZ101" s="142"/>
      <c r="LMA101" s="142"/>
      <c r="LMB101" s="142"/>
      <c r="LMC101" s="142"/>
      <c r="LMD101" s="142"/>
      <c r="LME101" s="142"/>
      <c r="LMF101" s="142"/>
      <c r="LMG101" s="142"/>
      <c r="LMH101" s="142"/>
      <c r="LMI101" s="142"/>
      <c r="LMJ101" s="142"/>
      <c r="LMK101" s="142"/>
      <c r="LML101" s="142"/>
      <c r="LMM101" s="142"/>
      <c r="LMN101" s="142"/>
      <c r="LMO101" s="142"/>
      <c r="LMP101" s="142"/>
      <c r="LMQ101" s="142"/>
      <c r="LMR101" s="142"/>
      <c r="LMS101" s="142"/>
      <c r="LMT101" s="142"/>
      <c r="LMU101" s="142"/>
      <c r="LMV101" s="142"/>
      <c r="LMW101" s="142"/>
      <c r="LMX101" s="142"/>
      <c r="LMY101" s="142"/>
      <c r="LMZ101" s="142"/>
      <c r="LNA101" s="142"/>
      <c r="LNB101" s="142"/>
      <c r="LNC101" s="142"/>
      <c r="LND101" s="142"/>
      <c r="LNE101" s="142"/>
      <c r="LNF101" s="142"/>
      <c r="LNG101" s="142"/>
      <c r="LNH101" s="142"/>
      <c r="LNI101" s="142"/>
      <c r="LNJ101" s="142"/>
      <c r="LNK101" s="142"/>
      <c r="LNL101" s="142"/>
      <c r="LNM101" s="142"/>
      <c r="LNN101" s="142"/>
      <c r="LNO101" s="142"/>
      <c r="LNP101" s="142"/>
      <c r="LNQ101" s="142"/>
      <c r="LNR101" s="142"/>
      <c r="LNS101" s="142"/>
      <c r="LNT101" s="142"/>
      <c r="LNU101" s="142"/>
      <c r="LNV101" s="142"/>
      <c r="LNW101" s="142"/>
      <c r="LNX101" s="142"/>
      <c r="LNY101" s="142"/>
      <c r="LNZ101" s="142"/>
      <c r="LOA101" s="142"/>
      <c r="LOB101" s="142"/>
      <c r="LOC101" s="142"/>
      <c r="LOD101" s="142"/>
      <c r="LOE101" s="142"/>
      <c r="LOF101" s="142"/>
      <c r="LOG101" s="142"/>
      <c r="LOH101" s="142"/>
      <c r="LOI101" s="142"/>
      <c r="LOJ101" s="142"/>
      <c r="LOK101" s="142"/>
      <c r="LOL101" s="142"/>
      <c r="LOM101" s="142"/>
      <c r="LON101" s="142"/>
      <c r="LOO101" s="142"/>
      <c r="LOP101" s="142"/>
      <c r="LOQ101" s="142"/>
      <c r="LOR101" s="142"/>
      <c r="LOS101" s="142"/>
      <c r="LOT101" s="142"/>
      <c r="LOU101" s="142"/>
      <c r="LOV101" s="142"/>
      <c r="LOW101" s="142"/>
      <c r="LOX101" s="142"/>
      <c r="LOY101" s="142"/>
      <c r="LOZ101" s="142"/>
      <c r="LPA101" s="142"/>
      <c r="LPB101" s="142"/>
      <c r="LPC101" s="142"/>
      <c r="LPD101" s="142"/>
      <c r="LPE101" s="142"/>
      <c r="LPF101" s="142"/>
      <c r="LPG101" s="142"/>
      <c r="LPH101" s="142"/>
      <c r="LPI101" s="142"/>
      <c r="LPJ101" s="142"/>
      <c r="LPK101" s="142"/>
      <c r="LPL101" s="142"/>
      <c r="LPM101" s="142"/>
      <c r="LPN101" s="142"/>
      <c r="LPO101" s="142"/>
      <c r="LPP101" s="142"/>
      <c r="LPQ101" s="142"/>
      <c r="LPR101" s="142"/>
      <c r="LPS101" s="142"/>
      <c r="LPT101" s="142"/>
      <c r="LPU101" s="142"/>
      <c r="LPV101" s="142"/>
      <c r="LPW101" s="142"/>
      <c r="LPX101" s="142"/>
      <c r="LPY101" s="142"/>
      <c r="LPZ101" s="142"/>
      <c r="LQA101" s="142"/>
      <c r="LQB101" s="142"/>
      <c r="LQC101" s="142"/>
      <c r="LQD101" s="142"/>
      <c r="LQE101" s="142"/>
      <c r="LQF101" s="142"/>
      <c r="LQG101" s="142"/>
      <c r="LQH101" s="142"/>
      <c r="LQI101" s="142"/>
      <c r="LQJ101" s="142"/>
      <c r="LQK101" s="142"/>
      <c r="LQL101" s="142"/>
      <c r="LQM101" s="142"/>
      <c r="LQN101" s="142"/>
      <c r="LQO101" s="142"/>
      <c r="LQP101" s="142"/>
      <c r="LQQ101" s="142"/>
      <c r="LQR101" s="142"/>
      <c r="LQS101" s="142"/>
      <c r="LQT101" s="142"/>
      <c r="LQU101" s="142"/>
      <c r="LQV101" s="142"/>
      <c r="LQW101" s="142"/>
      <c r="LQX101" s="142"/>
      <c r="LQY101" s="142"/>
      <c r="LQZ101" s="142"/>
      <c r="LRA101" s="142"/>
      <c r="LRB101" s="142"/>
      <c r="LRC101" s="142"/>
      <c r="LRD101" s="142"/>
      <c r="LRE101" s="142"/>
      <c r="LRF101" s="142"/>
      <c r="LRG101" s="142"/>
      <c r="LRH101" s="142"/>
      <c r="LRI101" s="142"/>
      <c r="LRJ101" s="142"/>
      <c r="LRK101" s="142"/>
      <c r="LRL101" s="142"/>
      <c r="LRM101" s="142"/>
      <c r="LRN101" s="142"/>
      <c r="LRO101" s="142"/>
      <c r="LRP101" s="142"/>
      <c r="LRQ101" s="142"/>
      <c r="LRR101" s="142"/>
      <c r="LRS101" s="142"/>
      <c r="LRT101" s="142"/>
      <c r="LRU101" s="142"/>
      <c r="LRV101" s="142"/>
      <c r="LRW101" s="142"/>
      <c r="LRX101" s="142"/>
      <c r="LRY101" s="142"/>
      <c r="LRZ101" s="142"/>
      <c r="LSA101" s="142"/>
      <c r="LSB101" s="142"/>
      <c r="LSC101" s="142"/>
      <c r="LSD101" s="142"/>
      <c r="LSE101" s="142"/>
      <c r="LSF101" s="142"/>
      <c r="LSG101" s="142"/>
      <c r="LSH101" s="142"/>
      <c r="LSI101" s="142"/>
      <c r="LSJ101" s="142"/>
      <c r="LSK101" s="142"/>
      <c r="LSL101" s="142"/>
      <c r="LSM101" s="142"/>
      <c r="LSN101" s="142"/>
      <c r="LSO101" s="142"/>
      <c r="LSP101" s="142"/>
      <c r="LSQ101" s="142"/>
      <c r="LSR101" s="142"/>
      <c r="LSS101" s="142"/>
      <c r="LST101" s="142"/>
      <c r="LSU101" s="142"/>
      <c r="LSV101" s="142"/>
      <c r="LSW101" s="142"/>
      <c r="LSX101" s="142"/>
      <c r="LSY101" s="142"/>
      <c r="LSZ101" s="142"/>
      <c r="LTA101" s="142"/>
      <c r="LTB101" s="142"/>
      <c r="LTC101" s="142"/>
      <c r="LTD101" s="142"/>
      <c r="LTE101" s="142"/>
      <c r="LTF101" s="142"/>
      <c r="LTG101" s="142"/>
      <c r="LTH101" s="142"/>
      <c r="LTI101" s="142"/>
      <c r="LTJ101" s="142"/>
      <c r="LTK101" s="142"/>
      <c r="LTL101" s="142"/>
      <c r="LTM101" s="142"/>
      <c r="LTN101" s="142"/>
      <c r="LTO101" s="142"/>
      <c r="LTP101" s="142"/>
      <c r="LTQ101" s="142"/>
      <c r="LTR101" s="142"/>
      <c r="LTS101" s="142"/>
      <c r="LTT101" s="142"/>
      <c r="LTU101" s="142"/>
      <c r="LTV101" s="142"/>
      <c r="LTW101" s="142"/>
      <c r="LTX101" s="142"/>
      <c r="LTY101" s="142"/>
      <c r="LTZ101" s="142"/>
      <c r="LUA101" s="142"/>
      <c r="LUB101" s="142"/>
      <c r="LUC101" s="142"/>
      <c r="LUD101" s="142"/>
      <c r="LUE101" s="142"/>
      <c r="LUF101" s="142"/>
      <c r="LUG101" s="142"/>
      <c r="LUH101" s="142"/>
      <c r="LUI101" s="142"/>
      <c r="LUJ101" s="142"/>
      <c r="LUK101" s="142"/>
      <c r="LUL101" s="142"/>
      <c r="LUM101" s="142"/>
      <c r="LUN101" s="142"/>
      <c r="LUO101" s="142"/>
      <c r="LUP101" s="142"/>
      <c r="LUQ101" s="142"/>
      <c r="LUR101" s="142"/>
      <c r="LUS101" s="142"/>
      <c r="LUT101" s="142"/>
      <c r="LUU101" s="142"/>
      <c r="LUV101" s="142"/>
      <c r="LUW101" s="142"/>
      <c r="LUX101" s="142"/>
      <c r="LUY101" s="142"/>
      <c r="LUZ101" s="142"/>
      <c r="LVA101" s="142"/>
      <c r="LVB101" s="142"/>
      <c r="LVC101" s="142"/>
      <c r="LVD101" s="142"/>
      <c r="LVE101" s="142"/>
      <c r="LVF101" s="142"/>
      <c r="LVG101" s="142"/>
      <c r="LVH101" s="142"/>
      <c r="LVI101" s="142"/>
      <c r="LVJ101" s="142"/>
      <c r="LVK101" s="142"/>
      <c r="LVL101" s="142"/>
      <c r="LVM101" s="142"/>
      <c r="LVN101" s="142"/>
      <c r="LVO101" s="142"/>
      <c r="LVP101" s="142"/>
      <c r="LVQ101" s="142"/>
      <c r="LVR101" s="142"/>
      <c r="LVS101" s="142"/>
      <c r="LVT101" s="142"/>
      <c r="LVU101" s="142"/>
      <c r="LVV101" s="142"/>
      <c r="LVW101" s="142"/>
      <c r="LVX101" s="142"/>
      <c r="LVY101" s="142"/>
      <c r="LVZ101" s="142"/>
      <c r="LWA101" s="142"/>
      <c r="LWB101" s="142"/>
      <c r="LWC101" s="142"/>
      <c r="LWD101" s="142"/>
      <c r="LWE101" s="142"/>
      <c r="LWF101" s="142"/>
      <c r="LWG101" s="142"/>
      <c r="LWH101" s="142"/>
      <c r="LWI101" s="142"/>
      <c r="LWJ101" s="142"/>
      <c r="LWK101" s="142"/>
      <c r="LWL101" s="142"/>
      <c r="LWM101" s="142"/>
      <c r="LWN101" s="142"/>
      <c r="LWO101" s="142"/>
      <c r="LWP101" s="142"/>
      <c r="LWQ101" s="142"/>
      <c r="LWR101" s="142"/>
      <c r="LWS101" s="142"/>
      <c r="LWT101" s="142"/>
      <c r="LWU101" s="142"/>
      <c r="LWV101" s="142"/>
      <c r="LWW101" s="142"/>
      <c r="LWX101" s="142"/>
      <c r="LWY101" s="142"/>
      <c r="LWZ101" s="142"/>
      <c r="LXA101" s="142"/>
      <c r="LXB101" s="142"/>
      <c r="LXC101" s="142"/>
      <c r="LXD101" s="142"/>
      <c r="LXE101" s="142"/>
      <c r="LXF101" s="142"/>
      <c r="LXG101" s="142"/>
      <c r="LXH101" s="142"/>
      <c r="LXI101" s="142"/>
      <c r="LXJ101" s="142"/>
      <c r="LXK101" s="142"/>
      <c r="LXL101" s="142"/>
      <c r="LXM101" s="142"/>
      <c r="LXN101" s="142"/>
      <c r="LXO101" s="142"/>
      <c r="LXP101" s="142"/>
      <c r="LXQ101" s="142"/>
      <c r="LXR101" s="142"/>
      <c r="LXS101" s="142"/>
      <c r="LXT101" s="142"/>
      <c r="LXU101" s="142"/>
      <c r="LXV101" s="142"/>
      <c r="LXW101" s="142"/>
      <c r="LXX101" s="142"/>
      <c r="LXY101" s="142"/>
      <c r="LXZ101" s="142"/>
      <c r="LYA101" s="142"/>
      <c r="LYB101" s="142"/>
      <c r="LYC101" s="142"/>
      <c r="LYD101" s="142"/>
      <c r="LYE101" s="142"/>
      <c r="LYF101" s="142"/>
      <c r="LYG101" s="142"/>
      <c r="LYH101" s="142"/>
      <c r="LYI101" s="142"/>
      <c r="LYJ101" s="142"/>
      <c r="LYK101" s="142"/>
      <c r="LYL101" s="142"/>
      <c r="LYM101" s="142"/>
      <c r="LYN101" s="142"/>
      <c r="LYO101" s="142"/>
      <c r="LYP101" s="142"/>
      <c r="LYQ101" s="142"/>
      <c r="LYR101" s="142"/>
      <c r="LYS101" s="142"/>
      <c r="LYT101" s="142"/>
      <c r="LYU101" s="142"/>
      <c r="LYV101" s="142"/>
      <c r="LYW101" s="142"/>
      <c r="LYX101" s="142"/>
      <c r="LYY101" s="142"/>
      <c r="LYZ101" s="142"/>
      <c r="LZA101" s="142"/>
      <c r="LZB101" s="142"/>
      <c r="LZC101" s="142"/>
      <c r="LZD101" s="142"/>
      <c r="LZE101" s="142"/>
      <c r="LZF101" s="142"/>
      <c r="LZG101" s="142"/>
      <c r="LZH101" s="142"/>
      <c r="LZI101" s="142"/>
      <c r="LZJ101" s="142"/>
      <c r="LZK101" s="142"/>
      <c r="LZL101" s="142"/>
      <c r="LZM101" s="142"/>
      <c r="LZN101" s="142"/>
      <c r="LZO101" s="142"/>
      <c r="LZP101" s="142"/>
      <c r="LZQ101" s="142"/>
      <c r="LZR101" s="142"/>
      <c r="LZS101" s="142"/>
      <c r="LZT101" s="142"/>
      <c r="LZU101" s="142"/>
      <c r="LZV101" s="142"/>
      <c r="LZW101" s="142"/>
      <c r="LZX101" s="142"/>
      <c r="LZY101" s="142"/>
      <c r="LZZ101" s="142"/>
      <c r="MAA101" s="142"/>
      <c r="MAB101" s="142"/>
      <c r="MAC101" s="142"/>
      <c r="MAD101" s="142"/>
      <c r="MAE101" s="142"/>
      <c r="MAF101" s="142"/>
      <c r="MAG101" s="142"/>
      <c r="MAH101" s="142"/>
      <c r="MAI101" s="142"/>
      <c r="MAJ101" s="142"/>
      <c r="MAK101" s="142"/>
      <c r="MAL101" s="142"/>
      <c r="MAM101" s="142"/>
      <c r="MAN101" s="142"/>
      <c r="MAO101" s="142"/>
      <c r="MAP101" s="142"/>
      <c r="MAQ101" s="142"/>
      <c r="MAR101" s="142"/>
      <c r="MAS101" s="142"/>
      <c r="MAT101" s="142"/>
      <c r="MAU101" s="142"/>
      <c r="MAV101" s="142"/>
      <c r="MAW101" s="142"/>
      <c r="MAX101" s="142"/>
      <c r="MAY101" s="142"/>
      <c r="MAZ101" s="142"/>
      <c r="MBA101" s="142"/>
      <c r="MBB101" s="142"/>
      <c r="MBC101" s="142"/>
      <c r="MBD101" s="142"/>
      <c r="MBE101" s="142"/>
      <c r="MBF101" s="142"/>
      <c r="MBG101" s="142"/>
      <c r="MBH101" s="142"/>
      <c r="MBI101" s="142"/>
      <c r="MBJ101" s="142"/>
      <c r="MBK101" s="142"/>
      <c r="MBL101" s="142"/>
      <c r="MBM101" s="142"/>
      <c r="MBN101" s="142"/>
      <c r="MBO101" s="142"/>
      <c r="MBP101" s="142"/>
      <c r="MBQ101" s="142"/>
      <c r="MBR101" s="142"/>
      <c r="MBS101" s="142"/>
      <c r="MBT101" s="142"/>
      <c r="MBU101" s="142"/>
      <c r="MBV101" s="142"/>
      <c r="MBW101" s="142"/>
      <c r="MBX101" s="142"/>
      <c r="MBY101" s="142"/>
      <c r="MBZ101" s="142"/>
      <c r="MCA101" s="142"/>
      <c r="MCB101" s="142"/>
      <c r="MCC101" s="142"/>
      <c r="MCD101" s="142"/>
      <c r="MCE101" s="142"/>
      <c r="MCF101" s="142"/>
      <c r="MCG101" s="142"/>
      <c r="MCH101" s="142"/>
      <c r="MCI101" s="142"/>
      <c r="MCJ101" s="142"/>
      <c r="MCK101" s="142"/>
      <c r="MCL101" s="142"/>
      <c r="MCM101" s="142"/>
      <c r="MCN101" s="142"/>
      <c r="MCO101" s="142"/>
      <c r="MCP101" s="142"/>
      <c r="MCQ101" s="142"/>
      <c r="MCR101" s="142"/>
      <c r="MCS101" s="142"/>
      <c r="MCT101" s="142"/>
      <c r="MCU101" s="142"/>
      <c r="MCV101" s="142"/>
      <c r="MCW101" s="142"/>
      <c r="MCX101" s="142"/>
      <c r="MCY101" s="142"/>
      <c r="MCZ101" s="142"/>
      <c r="MDA101" s="142"/>
      <c r="MDB101" s="142"/>
      <c r="MDC101" s="142"/>
      <c r="MDD101" s="142"/>
      <c r="MDE101" s="142"/>
      <c r="MDF101" s="142"/>
      <c r="MDG101" s="142"/>
      <c r="MDH101" s="142"/>
      <c r="MDI101" s="142"/>
      <c r="MDJ101" s="142"/>
      <c r="MDK101" s="142"/>
      <c r="MDL101" s="142"/>
      <c r="MDM101" s="142"/>
      <c r="MDN101" s="142"/>
      <c r="MDO101" s="142"/>
      <c r="MDP101" s="142"/>
      <c r="MDQ101" s="142"/>
      <c r="MDR101" s="142"/>
      <c r="MDS101" s="142"/>
      <c r="MDT101" s="142"/>
      <c r="MDU101" s="142"/>
      <c r="MDV101" s="142"/>
      <c r="MDW101" s="142"/>
      <c r="MDX101" s="142"/>
      <c r="MDY101" s="142"/>
      <c r="MDZ101" s="142"/>
      <c r="MEA101" s="142"/>
      <c r="MEB101" s="142"/>
      <c r="MEC101" s="142"/>
      <c r="MED101" s="142"/>
      <c r="MEE101" s="142"/>
      <c r="MEF101" s="142"/>
      <c r="MEG101" s="142"/>
      <c r="MEH101" s="142"/>
      <c r="MEI101" s="142"/>
      <c r="MEJ101" s="142"/>
      <c r="MEK101" s="142"/>
      <c r="MEL101" s="142"/>
      <c r="MEM101" s="142"/>
      <c r="MEN101" s="142"/>
      <c r="MEO101" s="142"/>
      <c r="MEP101" s="142"/>
      <c r="MEQ101" s="142"/>
      <c r="MER101" s="142"/>
      <c r="MES101" s="142"/>
      <c r="MET101" s="142"/>
      <c r="MEU101" s="142"/>
      <c r="MEV101" s="142"/>
      <c r="MEW101" s="142"/>
      <c r="MEX101" s="142"/>
      <c r="MEY101" s="142"/>
      <c r="MEZ101" s="142"/>
      <c r="MFA101" s="142"/>
      <c r="MFB101" s="142"/>
      <c r="MFC101" s="142"/>
      <c r="MFD101" s="142"/>
      <c r="MFE101" s="142"/>
      <c r="MFF101" s="142"/>
      <c r="MFG101" s="142"/>
      <c r="MFH101" s="142"/>
      <c r="MFI101" s="142"/>
      <c r="MFJ101" s="142"/>
      <c r="MFK101" s="142"/>
      <c r="MFL101" s="142"/>
      <c r="MFM101" s="142"/>
      <c r="MFN101" s="142"/>
      <c r="MFO101" s="142"/>
      <c r="MFP101" s="142"/>
      <c r="MFQ101" s="142"/>
      <c r="MFR101" s="142"/>
      <c r="MFS101" s="142"/>
      <c r="MFT101" s="142"/>
      <c r="MFU101" s="142"/>
      <c r="MFV101" s="142"/>
      <c r="MFW101" s="142"/>
      <c r="MFX101" s="142"/>
      <c r="MFY101" s="142"/>
      <c r="MFZ101" s="142"/>
      <c r="MGA101" s="142"/>
      <c r="MGB101" s="142"/>
      <c r="MGC101" s="142"/>
      <c r="MGD101" s="142"/>
      <c r="MGE101" s="142"/>
      <c r="MGF101" s="142"/>
      <c r="MGG101" s="142"/>
      <c r="MGH101" s="142"/>
      <c r="MGI101" s="142"/>
      <c r="MGJ101" s="142"/>
      <c r="MGK101" s="142"/>
      <c r="MGL101" s="142"/>
      <c r="MGM101" s="142"/>
      <c r="MGN101" s="142"/>
      <c r="MGO101" s="142"/>
      <c r="MGP101" s="142"/>
      <c r="MGQ101" s="142"/>
      <c r="MGR101" s="142"/>
      <c r="MGS101" s="142"/>
      <c r="MGT101" s="142"/>
      <c r="MGU101" s="142"/>
      <c r="MGV101" s="142"/>
      <c r="MGW101" s="142"/>
      <c r="MGX101" s="142"/>
      <c r="MGY101" s="142"/>
      <c r="MGZ101" s="142"/>
      <c r="MHA101" s="142"/>
      <c r="MHB101" s="142"/>
      <c r="MHC101" s="142"/>
      <c r="MHD101" s="142"/>
      <c r="MHE101" s="142"/>
      <c r="MHF101" s="142"/>
      <c r="MHG101" s="142"/>
      <c r="MHH101" s="142"/>
      <c r="MHI101" s="142"/>
      <c r="MHJ101" s="142"/>
      <c r="MHK101" s="142"/>
      <c r="MHL101" s="142"/>
      <c r="MHM101" s="142"/>
      <c r="MHN101" s="142"/>
      <c r="MHO101" s="142"/>
      <c r="MHP101" s="142"/>
      <c r="MHQ101" s="142"/>
      <c r="MHR101" s="142"/>
      <c r="MHS101" s="142"/>
      <c r="MHT101" s="142"/>
      <c r="MHU101" s="142"/>
      <c r="MHV101" s="142"/>
      <c r="MHW101" s="142"/>
      <c r="MHX101" s="142"/>
      <c r="MHY101" s="142"/>
      <c r="MHZ101" s="142"/>
      <c r="MIA101" s="142"/>
      <c r="MIB101" s="142"/>
      <c r="MIC101" s="142"/>
      <c r="MID101" s="142"/>
      <c r="MIE101" s="142"/>
      <c r="MIF101" s="142"/>
      <c r="MIG101" s="142"/>
      <c r="MIH101" s="142"/>
      <c r="MII101" s="142"/>
      <c r="MIJ101" s="142"/>
      <c r="MIK101" s="142"/>
      <c r="MIL101" s="142"/>
      <c r="MIM101" s="142"/>
      <c r="MIN101" s="142"/>
      <c r="MIO101" s="142"/>
      <c r="MIP101" s="142"/>
      <c r="MIQ101" s="142"/>
      <c r="MIR101" s="142"/>
      <c r="MIS101" s="142"/>
      <c r="MIT101" s="142"/>
      <c r="MIU101" s="142"/>
      <c r="MIV101" s="142"/>
      <c r="MIW101" s="142"/>
      <c r="MIX101" s="142"/>
      <c r="MIY101" s="142"/>
      <c r="MIZ101" s="142"/>
      <c r="MJA101" s="142"/>
      <c r="MJB101" s="142"/>
      <c r="MJC101" s="142"/>
      <c r="MJD101" s="142"/>
      <c r="MJE101" s="142"/>
      <c r="MJF101" s="142"/>
      <c r="MJG101" s="142"/>
      <c r="MJH101" s="142"/>
      <c r="MJI101" s="142"/>
      <c r="MJJ101" s="142"/>
      <c r="MJK101" s="142"/>
      <c r="MJL101" s="142"/>
      <c r="MJM101" s="142"/>
      <c r="MJN101" s="142"/>
      <c r="MJO101" s="142"/>
      <c r="MJP101" s="142"/>
      <c r="MJQ101" s="142"/>
      <c r="MJR101" s="142"/>
      <c r="MJS101" s="142"/>
      <c r="MJT101" s="142"/>
      <c r="MJU101" s="142"/>
      <c r="MJV101" s="142"/>
      <c r="MJW101" s="142"/>
      <c r="MJX101" s="142"/>
      <c r="MJY101" s="142"/>
      <c r="MJZ101" s="142"/>
      <c r="MKA101" s="142"/>
      <c r="MKB101" s="142"/>
      <c r="MKC101" s="142"/>
      <c r="MKD101" s="142"/>
      <c r="MKE101" s="142"/>
      <c r="MKF101" s="142"/>
      <c r="MKG101" s="142"/>
      <c r="MKH101" s="142"/>
      <c r="MKI101" s="142"/>
      <c r="MKJ101" s="142"/>
      <c r="MKK101" s="142"/>
      <c r="MKL101" s="142"/>
      <c r="MKM101" s="142"/>
      <c r="MKN101" s="142"/>
      <c r="MKO101" s="142"/>
      <c r="MKP101" s="142"/>
      <c r="MKQ101" s="142"/>
      <c r="MKR101" s="142"/>
      <c r="MKS101" s="142"/>
      <c r="MKT101" s="142"/>
      <c r="MKU101" s="142"/>
      <c r="MKV101" s="142"/>
      <c r="MKW101" s="142"/>
      <c r="MKX101" s="142"/>
      <c r="MKY101" s="142"/>
      <c r="MKZ101" s="142"/>
      <c r="MLA101" s="142"/>
      <c r="MLB101" s="142"/>
      <c r="MLC101" s="142"/>
      <c r="MLD101" s="142"/>
      <c r="MLE101" s="142"/>
      <c r="MLF101" s="142"/>
      <c r="MLG101" s="142"/>
      <c r="MLH101" s="142"/>
      <c r="MLI101" s="142"/>
      <c r="MLJ101" s="142"/>
      <c r="MLK101" s="142"/>
      <c r="MLL101" s="142"/>
      <c r="MLM101" s="142"/>
      <c r="MLN101" s="142"/>
      <c r="MLO101" s="142"/>
      <c r="MLP101" s="142"/>
      <c r="MLQ101" s="142"/>
      <c r="MLR101" s="142"/>
      <c r="MLS101" s="142"/>
      <c r="MLT101" s="142"/>
      <c r="MLU101" s="142"/>
      <c r="MLV101" s="142"/>
      <c r="MLW101" s="142"/>
      <c r="MLX101" s="142"/>
      <c r="MLY101" s="142"/>
      <c r="MLZ101" s="142"/>
      <c r="MMA101" s="142"/>
      <c r="MMB101" s="142"/>
      <c r="MMC101" s="142"/>
      <c r="MMD101" s="142"/>
      <c r="MME101" s="142"/>
      <c r="MMF101" s="142"/>
      <c r="MMG101" s="142"/>
      <c r="MMH101" s="142"/>
      <c r="MMI101" s="142"/>
      <c r="MMJ101" s="142"/>
      <c r="MMK101" s="142"/>
      <c r="MML101" s="142"/>
      <c r="MMM101" s="142"/>
      <c r="MMN101" s="142"/>
      <c r="MMO101" s="142"/>
      <c r="MMP101" s="142"/>
      <c r="MMQ101" s="142"/>
      <c r="MMR101" s="142"/>
      <c r="MMS101" s="142"/>
      <c r="MMT101" s="142"/>
      <c r="MMU101" s="142"/>
      <c r="MMV101" s="142"/>
      <c r="MMW101" s="142"/>
      <c r="MMX101" s="142"/>
      <c r="MMY101" s="142"/>
      <c r="MMZ101" s="142"/>
      <c r="MNA101" s="142"/>
      <c r="MNB101" s="142"/>
      <c r="MNC101" s="142"/>
      <c r="MND101" s="142"/>
      <c r="MNE101" s="142"/>
      <c r="MNF101" s="142"/>
      <c r="MNG101" s="142"/>
      <c r="MNH101" s="142"/>
      <c r="MNI101" s="142"/>
      <c r="MNJ101" s="142"/>
      <c r="MNK101" s="142"/>
      <c r="MNL101" s="142"/>
      <c r="MNM101" s="142"/>
      <c r="MNN101" s="142"/>
      <c r="MNO101" s="142"/>
      <c r="MNP101" s="142"/>
      <c r="MNQ101" s="142"/>
      <c r="MNR101" s="142"/>
      <c r="MNS101" s="142"/>
      <c r="MNT101" s="142"/>
      <c r="MNU101" s="142"/>
      <c r="MNV101" s="142"/>
      <c r="MNW101" s="142"/>
      <c r="MNX101" s="142"/>
      <c r="MNY101" s="142"/>
      <c r="MNZ101" s="142"/>
      <c r="MOA101" s="142"/>
      <c r="MOB101" s="142"/>
      <c r="MOC101" s="142"/>
      <c r="MOD101" s="142"/>
      <c r="MOE101" s="142"/>
      <c r="MOF101" s="142"/>
      <c r="MOG101" s="142"/>
      <c r="MOH101" s="142"/>
      <c r="MOI101" s="142"/>
      <c r="MOJ101" s="142"/>
      <c r="MOK101" s="142"/>
      <c r="MOL101" s="142"/>
      <c r="MOM101" s="142"/>
      <c r="MON101" s="142"/>
      <c r="MOO101" s="142"/>
      <c r="MOP101" s="142"/>
      <c r="MOQ101" s="142"/>
      <c r="MOR101" s="142"/>
      <c r="MOS101" s="142"/>
      <c r="MOT101" s="142"/>
      <c r="MOU101" s="142"/>
      <c r="MOV101" s="142"/>
      <c r="MOW101" s="142"/>
      <c r="MOX101" s="142"/>
      <c r="MOY101" s="142"/>
      <c r="MOZ101" s="142"/>
      <c r="MPA101" s="142"/>
      <c r="MPB101" s="142"/>
      <c r="MPC101" s="142"/>
      <c r="MPD101" s="142"/>
      <c r="MPE101" s="142"/>
      <c r="MPF101" s="142"/>
      <c r="MPG101" s="142"/>
      <c r="MPH101" s="142"/>
      <c r="MPI101" s="142"/>
      <c r="MPJ101" s="142"/>
      <c r="MPK101" s="142"/>
      <c r="MPL101" s="142"/>
      <c r="MPM101" s="142"/>
      <c r="MPN101" s="142"/>
      <c r="MPO101" s="142"/>
      <c r="MPP101" s="142"/>
      <c r="MPQ101" s="142"/>
      <c r="MPR101" s="142"/>
      <c r="MPS101" s="142"/>
      <c r="MPT101" s="142"/>
      <c r="MPU101" s="142"/>
      <c r="MPV101" s="142"/>
      <c r="MPW101" s="142"/>
      <c r="MPX101" s="142"/>
      <c r="MPY101" s="142"/>
      <c r="MPZ101" s="142"/>
      <c r="MQA101" s="142"/>
      <c r="MQB101" s="142"/>
      <c r="MQC101" s="142"/>
      <c r="MQD101" s="142"/>
      <c r="MQE101" s="142"/>
      <c r="MQF101" s="142"/>
      <c r="MQG101" s="142"/>
      <c r="MQH101" s="142"/>
      <c r="MQI101" s="142"/>
      <c r="MQJ101" s="142"/>
      <c r="MQK101" s="142"/>
      <c r="MQL101" s="142"/>
      <c r="MQM101" s="142"/>
      <c r="MQN101" s="142"/>
      <c r="MQO101" s="142"/>
      <c r="MQP101" s="142"/>
      <c r="MQQ101" s="142"/>
      <c r="MQR101" s="142"/>
      <c r="MQS101" s="142"/>
      <c r="MQT101" s="142"/>
      <c r="MQU101" s="142"/>
      <c r="MQV101" s="142"/>
      <c r="MQW101" s="142"/>
      <c r="MQX101" s="142"/>
      <c r="MQY101" s="142"/>
      <c r="MQZ101" s="142"/>
      <c r="MRA101" s="142"/>
      <c r="MRB101" s="142"/>
      <c r="MRC101" s="142"/>
      <c r="MRD101" s="142"/>
      <c r="MRE101" s="142"/>
      <c r="MRF101" s="142"/>
      <c r="MRG101" s="142"/>
      <c r="MRH101" s="142"/>
      <c r="MRI101" s="142"/>
      <c r="MRJ101" s="142"/>
      <c r="MRK101" s="142"/>
      <c r="MRL101" s="142"/>
      <c r="MRM101" s="142"/>
      <c r="MRN101" s="142"/>
      <c r="MRO101" s="142"/>
      <c r="MRP101" s="142"/>
      <c r="MRQ101" s="142"/>
      <c r="MRR101" s="142"/>
      <c r="MRS101" s="142"/>
      <c r="MRT101" s="142"/>
      <c r="MRU101" s="142"/>
      <c r="MRV101" s="142"/>
      <c r="MRW101" s="142"/>
      <c r="MRX101" s="142"/>
      <c r="MRY101" s="142"/>
      <c r="MRZ101" s="142"/>
      <c r="MSA101" s="142"/>
      <c r="MSB101" s="142"/>
      <c r="MSC101" s="142"/>
      <c r="MSD101" s="142"/>
      <c r="MSE101" s="142"/>
      <c r="MSF101" s="142"/>
      <c r="MSG101" s="142"/>
      <c r="MSH101" s="142"/>
      <c r="MSI101" s="142"/>
      <c r="MSJ101" s="142"/>
      <c r="MSK101" s="142"/>
      <c r="MSL101" s="142"/>
      <c r="MSM101" s="142"/>
      <c r="MSN101" s="142"/>
      <c r="MSO101" s="142"/>
      <c r="MSP101" s="142"/>
      <c r="MSQ101" s="142"/>
      <c r="MSR101" s="142"/>
      <c r="MSS101" s="142"/>
      <c r="MST101" s="142"/>
      <c r="MSU101" s="142"/>
      <c r="MSV101" s="142"/>
      <c r="MSW101" s="142"/>
      <c r="MSX101" s="142"/>
      <c r="MSY101" s="142"/>
      <c r="MSZ101" s="142"/>
      <c r="MTA101" s="142"/>
      <c r="MTB101" s="142"/>
      <c r="MTC101" s="142"/>
      <c r="MTD101" s="142"/>
      <c r="MTE101" s="142"/>
      <c r="MTF101" s="142"/>
      <c r="MTG101" s="142"/>
      <c r="MTH101" s="142"/>
      <c r="MTI101" s="142"/>
      <c r="MTJ101" s="142"/>
      <c r="MTK101" s="142"/>
      <c r="MTL101" s="142"/>
      <c r="MTM101" s="142"/>
      <c r="MTN101" s="142"/>
      <c r="MTO101" s="142"/>
      <c r="MTP101" s="142"/>
      <c r="MTQ101" s="142"/>
      <c r="MTR101" s="142"/>
      <c r="MTS101" s="142"/>
      <c r="MTT101" s="142"/>
      <c r="MTU101" s="142"/>
      <c r="MTV101" s="142"/>
      <c r="MTW101" s="142"/>
      <c r="MTX101" s="142"/>
      <c r="MTY101" s="142"/>
      <c r="MTZ101" s="142"/>
      <c r="MUA101" s="142"/>
      <c r="MUB101" s="142"/>
      <c r="MUC101" s="142"/>
      <c r="MUD101" s="142"/>
      <c r="MUE101" s="142"/>
      <c r="MUF101" s="142"/>
      <c r="MUG101" s="142"/>
      <c r="MUH101" s="142"/>
      <c r="MUI101" s="142"/>
      <c r="MUJ101" s="142"/>
      <c r="MUK101" s="142"/>
      <c r="MUL101" s="142"/>
      <c r="MUM101" s="142"/>
      <c r="MUN101" s="142"/>
      <c r="MUO101" s="142"/>
      <c r="MUP101" s="142"/>
      <c r="MUQ101" s="142"/>
      <c r="MUR101" s="142"/>
      <c r="MUS101" s="142"/>
      <c r="MUT101" s="142"/>
      <c r="MUU101" s="142"/>
      <c r="MUV101" s="142"/>
      <c r="MUW101" s="142"/>
      <c r="MUX101" s="142"/>
      <c r="MUY101" s="142"/>
      <c r="MUZ101" s="142"/>
      <c r="MVA101" s="142"/>
      <c r="MVB101" s="142"/>
      <c r="MVC101" s="142"/>
      <c r="MVD101" s="142"/>
      <c r="MVE101" s="142"/>
      <c r="MVF101" s="142"/>
      <c r="MVG101" s="142"/>
      <c r="MVH101" s="142"/>
      <c r="MVI101" s="142"/>
      <c r="MVJ101" s="142"/>
      <c r="MVK101" s="142"/>
      <c r="MVL101" s="142"/>
      <c r="MVM101" s="142"/>
      <c r="MVN101" s="142"/>
      <c r="MVO101" s="142"/>
      <c r="MVP101" s="142"/>
      <c r="MVQ101" s="142"/>
      <c r="MVR101" s="142"/>
      <c r="MVS101" s="142"/>
      <c r="MVT101" s="142"/>
      <c r="MVU101" s="142"/>
      <c r="MVV101" s="142"/>
      <c r="MVW101" s="142"/>
      <c r="MVX101" s="142"/>
      <c r="MVY101" s="142"/>
      <c r="MVZ101" s="142"/>
      <c r="MWA101" s="142"/>
      <c r="MWB101" s="142"/>
      <c r="MWC101" s="142"/>
      <c r="MWD101" s="142"/>
      <c r="MWE101" s="142"/>
      <c r="MWF101" s="142"/>
      <c r="MWG101" s="142"/>
      <c r="MWH101" s="142"/>
      <c r="MWI101" s="142"/>
      <c r="MWJ101" s="142"/>
      <c r="MWK101" s="142"/>
      <c r="MWL101" s="142"/>
      <c r="MWM101" s="142"/>
      <c r="MWN101" s="142"/>
      <c r="MWO101" s="142"/>
      <c r="MWP101" s="142"/>
      <c r="MWQ101" s="142"/>
      <c r="MWR101" s="142"/>
      <c r="MWS101" s="142"/>
      <c r="MWT101" s="142"/>
      <c r="MWU101" s="142"/>
      <c r="MWV101" s="142"/>
      <c r="MWW101" s="142"/>
      <c r="MWX101" s="142"/>
      <c r="MWY101" s="142"/>
      <c r="MWZ101" s="142"/>
      <c r="MXA101" s="142"/>
      <c r="MXB101" s="142"/>
      <c r="MXC101" s="142"/>
      <c r="MXD101" s="142"/>
      <c r="MXE101" s="142"/>
      <c r="MXF101" s="142"/>
      <c r="MXG101" s="142"/>
      <c r="MXH101" s="142"/>
      <c r="MXI101" s="142"/>
      <c r="MXJ101" s="142"/>
      <c r="MXK101" s="142"/>
      <c r="MXL101" s="142"/>
      <c r="MXM101" s="142"/>
      <c r="MXN101" s="142"/>
      <c r="MXO101" s="142"/>
      <c r="MXP101" s="142"/>
      <c r="MXQ101" s="142"/>
      <c r="MXR101" s="142"/>
      <c r="MXS101" s="142"/>
      <c r="MXT101" s="142"/>
      <c r="MXU101" s="142"/>
      <c r="MXV101" s="142"/>
      <c r="MXW101" s="142"/>
      <c r="MXX101" s="142"/>
      <c r="MXY101" s="142"/>
      <c r="MXZ101" s="142"/>
      <c r="MYA101" s="142"/>
      <c r="MYB101" s="142"/>
      <c r="MYC101" s="142"/>
      <c r="MYD101" s="142"/>
      <c r="MYE101" s="142"/>
      <c r="MYF101" s="142"/>
      <c r="MYG101" s="142"/>
      <c r="MYH101" s="142"/>
      <c r="MYI101" s="142"/>
      <c r="MYJ101" s="142"/>
      <c r="MYK101" s="142"/>
      <c r="MYL101" s="142"/>
      <c r="MYM101" s="142"/>
      <c r="MYN101" s="142"/>
      <c r="MYO101" s="142"/>
      <c r="MYP101" s="142"/>
      <c r="MYQ101" s="142"/>
      <c r="MYR101" s="142"/>
      <c r="MYS101" s="142"/>
      <c r="MYT101" s="142"/>
      <c r="MYU101" s="142"/>
      <c r="MYV101" s="142"/>
      <c r="MYW101" s="142"/>
      <c r="MYX101" s="142"/>
      <c r="MYY101" s="142"/>
      <c r="MYZ101" s="142"/>
      <c r="MZA101" s="142"/>
      <c r="MZB101" s="142"/>
      <c r="MZC101" s="142"/>
      <c r="MZD101" s="142"/>
      <c r="MZE101" s="142"/>
      <c r="MZF101" s="142"/>
      <c r="MZG101" s="142"/>
      <c r="MZH101" s="142"/>
      <c r="MZI101" s="142"/>
      <c r="MZJ101" s="142"/>
      <c r="MZK101" s="142"/>
      <c r="MZL101" s="142"/>
      <c r="MZM101" s="142"/>
      <c r="MZN101" s="142"/>
      <c r="MZO101" s="142"/>
      <c r="MZP101" s="142"/>
      <c r="MZQ101" s="142"/>
      <c r="MZR101" s="142"/>
      <c r="MZS101" s="142"/>
      <c r="MZT101" s="142"/>
      <c r="MZU101" s="142"/>
      <c r="MZV101" s="142"/>
      <c r="MZW101" s="142"/>
      <c r="MZX101" s="142"/>
      <c r="MZY101" s="142"/>
      <c r="MZZ101" s="142"/>
      <c r="NAA101" s="142"/>
      <c r="NAB101" s="142"/>
      <c r="NAC101" s="142"/>
      <c r="NAD101" s="142"/>
      <c r="NAE101" s="142"/>
      <c r="NAF101" s="142"/>
      <c r="NAG101" s="142"/>
      <c r="NAH101" s="142"/>
      <c r="NAI101" s="142"/>
      <c r="NAJ101" s="142"/>
      <c r="NAK101" s="142"/>
      <c r="NAL101" s="142"/>
      <c r="NAM101" s="142"/>
      <c r="NAN101" s="142"/>
      <c r="NAO101" s="142"/>
      <c r="NAP101" s="142"/>
      <c r="NAQ101" s="142"/>
      <c r="NAR101" s="142"/>
      <c r="NAS101" s="142"/>
      <c r="NAT101" s="142"/>
      <c r="NAU101" s="142"/>
      <c r="NAV101" s="142"/>
      <c r="NAW101" s="142"/>
      <c r="NAX101" s="142"/>
      <c r="NAY101" s="142"/>
      <c r="NAZ101" s="142"/>
      <c r="NBA101" s="142"/>
      <c r="NBB101" s="142"/>
      <c r="NBC101" s="142"/>
      <c r="NBD101" s="142"/>
      <c r="NBE101" s="142"/>
      <c r="NBF101" s="142"/>
      <c r="NBG101" s="142"/>
      <c r="NBH101" s="142"/>
      <c r="NBI101" s="142"/>
      <c r="NBJ101" s="142"/>
      <c r="NBK101" s="142"/>
      <c r="NBL101" s="142"/>
      <c r="NBM101" s="142"/>
      <c r="NBN101" s="142"/>
      <c r="NBO101" s="142"/>
      <c r="NBP101" s="142"/>
      <c r="NBQ101" s="142"/>
      <c r="NBR101" s="142"/>
      <c r="NBS101" s="142"/>
      <c r="NBT101" s="142"/>
      <c r="NBU101" s="142"/>
      <c r="NBV101" s="142"/>
      <c r="NBW101" s="142"/>
      <c r="NBX101" s="142"/>
      <c r="NBY101" s="142"/>
      <c r="NBZ101" s="142"/>
      <c r="NCA101" s="142"/>
      <c r="NCB101" s="142"/>
      <c r="NCC101" s="142"/>
      <c r="NCD101" s="142"/>
      <c r="NCE101" s="142"/>
      <c r="NCF101" s="142"/>
      <c r="NCG101" s="142"/>
      <c r="NCH101" s="142"/>
      <c r="NCI101" s="142"/>
      <c r="NCJ101" s="142"/>
      <c r="NCK101" s="142"/>
      <c r="NCL101" s="142"/>
      <c r="NCM101" s="142"/>
      <c r="NCN101" s="142"/>
      <c r="NCO101" s="142"/>
      <c r="NCP101" s="142"/>
      <c r="NCQ101" s="142"/>
      <c r="NCR101" s="142"/>
      <c r="NCS101" s="142"/>
      <c r="NCT101" s="142"/>
      <c r="NCU101" s="142"/>
      <c r="NCV101" s="142"/>
      <c r="NCW101" s="142"/>
      <c r="NCX101" s="142"/>
      <c r="NCY101" s="142"/>
      <c r="NCZ101" s="142"/>
      <c r="NDA101" s="142"/>
      <c r="NDB101" s="142"/>
      <c r="NDC101" s="142"/>
      <c r="NDD101" s="142"/>
      <c r="NDE101" s="142"/>
      <c r="NDF101" s="142"/>
      <c r="NDG101" s="142"/>
      <c r="NDH101" s="142"/>
      <c r="NDI101" s="142"/>
      <c r="NDJ101" s="142"/>
      <c r="NDK101" s="142"/>
      <c r="NDL101" s="142"/>
      <c r="NDM101" s="142"/>
      <c r="NDN101" s="142"/>
      <c r="NDO101" s="142"/>
      <c r="NDP101" s="142"/>
      <c r="NDQ101" s="142"/>
      <c r="NDR101" s="142"/>
      <c r="NDS101" s="142"/>
      <c r="NDT101" s="142"/>
      <c r="NDU101" s="142"/>
      <c r="NDV101" s="142"/>
      <c r="NDW101" s="142"/>
      <c r="NDX101" s="142"/>
      <c r="NDY101" s="142"/>
      <c r="NDZ101" s="142"/>
      <c r="NEA101" s="142"/>
      <c r="NEB101" s="142"/>
      <c r="NEC101" s="142"/>
      <c r="NED101" s="142"/>
      <c r="NEE101" s="142"/>
      <c r="NEF101" s="142"/>
      <c r="NEG101" s="142"/>
      <c r="NEH101" s="142"/>
      <c r="NEI101" s="142"/>
      <c r="NEJ101" s="142"/>
      <c r="NEK101" s="142"/>
      <c r="NEL101" s="142"/>
      <c r="NEM101" s="142"/>
      <c r="NEN101" s="142"/>
      <c r="NEO101" s="142"/>
      <c r="NEP101" s="142"/>
      <c r="NEQ101" s="142"/>
      <c r="NER101" s="142"/>
      <c r="NES101" s="142"/>
      <c r="NET101" s="142"/>
      <c r="NEU101" s="142"/>
      <c r="NEV101" s="142"/>
      <c r="NEW101" s="142"/>
      <c r="NEX101" s="142"/>
      <c r="NEY101" s="142"/>
      <c r="NEZ101" s="142"/>
      <c r="NFA101" s="142"/>
      <c r="NFB101" s="142"/>
      <c r="NFC101" s="142"/>
      <c r="NFD101" s="142"/>
      <c r="NFE101" s="142"/>
      <c r="NFF101" s="142"/>
      <c r="NFG101" s="142"/>
      <c r="NFH101" s="142"/>
      <c r="NFI101" s="142"/>
      <c r="NFJ101" s="142"/>
      <c r="NFK101" s="142"/>
      <c r="NFL101" s="142"/>
      <c r="NFM101" s="142"/>
      <c r="NFN101" s="142"/>
      <c r="NFO101" s="142"/>
      <c r="NFP101" s="142"/>
      <c r="NFQ101" s="142"/>
      <c r="NFR101" s="142"/>
      <c r="NFS101" s="142"/>
      <c r="NFT101" s="142"/>
      <c r="NFU101" s="142"/>
      <c r="NFV101" s="142"/>
      <c r="NFW101" s="142"/>
      <c r="NFX101" s="142"/>
      <c r="NFY101" s="142"/>
      <c r="NFZ101" s="142"/>
      <c r="NGA101" s="142"/>
      <c r="NGB101" s="142"/>
      <c r="NGC101" s="142"/>
      <c r="NGD101" s="142"/>
      <c r="NGE101" s="142"/>
      <c r="NGF101" s="142"/>
      <c r="NGG101" s="142"/>
      <c r="NGH101" s="142"/>
      <c r="NGI101" s="142"/>
      <c r="NGJ101" s="142"/>
      <c r="NGK101" s="142"/>
      <c r="NGL101" s="142"/>
      <c r="NGM101" s="142"/>
      <c r="NGN101" s="142"/>
      <c r="NGO101" s="142"/>
      <c r="NGP101" s="142"/>
      <c r="NGQ101" s="142"/>
      <c r="NGR101" s="142"/>
      <c r="NGS101" s="142"/>
      <c r="NGT101" s="142"/>
      <c r="NGU101" s="142"/>
      <c r="NGV101" s="142"/>
      <c r="NGW101" s="142"/>
      <c r="NGX101" s="142"/>
      <c r="NGY101" s="142"/>
      <c r="NGZ101" s="142"/>
      <c r="NHA101" s="142"/>
      <c r="NHB101" s="142"/>
      <c r="NHC101" s="142"/>
      <c r="NHD101" s="142"/>
      <c r="NHE101" s="142"/>
      <c r="NHF101" s="142"/>
      <c r="NHG101" s="142"/>
      <c r="NHH101" s="142"/>
      <c r="NHI101" s="142"/>
      <c r="NHJ101" s="142"/>
      <c r="NHK101" s="142"/>
      <c r="NHL101" s="142"/>
      <c r="NHM101" s="142"/>
      <c r="NHN101" s="142"/>
      <c r="NHO101" s="142"/>
      <c r="NHP101" s="142"/>
      <c r="NHQ101" s="142"/>
      <c r="NHR101" s="142"/>
      <c r="NHS101" s="142"/>
      <c r="NHT101" s="142"/>
      <c r="NHU101" s="142"/>
      <c r="NHV101" s="142"/>
      <c r="NHW101" s="142"/>
      <c r="NHX101" s="142"/>
      <c r="NHY101" s="142"/>
      <c r="NHZ101" s="142"/>
      <c r="NIA101" s="142"/>
      <c r="NIB101" s="142"/>
      <c r="NIC101" s="142"/>
      <c r="NID101" s="142"/>
      <c r="NIE101" s="142"/>
      <c r="NIF101" s="142"/>
      <c r="NIG101" s="142"/>
      <c r="NIH101" s="142"/>
      <c r="NII101" s="142"/>
      <c r="NIJ101" s="142"/>
      <c r="NIK101" s="142"/>
      <c r="NIL101" s="142"/>
      <c r="NIM101" s="142"/>
      <c r="NIN101" s="142"/>
      <c r="NIO101" s="142"/>
      <c r="NIP101" s="142"/>
      <c r="NIQ101" s="142"/>
      <c r="NIR101" s="142"/>
      <c r="NIS101" s="142"/>
      <c r="NIT101" s="142"/>
      <c r="NIU101" s="142"/>
      <c r="NIV101" s="142"/>
      <c r="NIW101" s="142"/>
      <c r="NIX101" s="142"/>
      <c r="NIY101" s="142"/>
      <c r="NIZ101" s="142"/>
      <c r="NJA101" s="142"/>
      <c r="NJB101" s="142"/>
      <c r="NJC101" s="142"/>
      <c r="NJD101" s="142"/>
      <c r="NJE101" s="142"/>
      <c r="NJF101" s="142"/>
      <c r="NJG101" s="142"/>
      <c r="NJH101" s="142"/>
      <c r="NJI101" s="142"/>
      <c r="NJJ101" s="142"/>
      <c r="NJK101" s="142"/>
      <c r="NJL101" s="142"/>
      <c r="NJM101" s="142"/>
      <c r="NJN101" s="142"/>
      <c r="NJO101" s="142"/>
      <c r="NJP101" s="142"/>
      <c r="NJQ101" s="142"/>
      <c r="NJR101" s="142"/>
      <c r="NJS101" s="142"/>
      <c r="NJT101" s="142"/>
      <c r="NJU101" s="142"/>
      <c r="NJV101" s="142"/>
      <c r="NJW101" s="142"/>
      <c r="NJX101" s="142"/>
      <c r="NJY101" s="142"/>
      <c r="NJZ101" s="142"/>
      <c r="NKA101" s="142"/>
      <c r="NKB101" s="142"/>
      <c r="NKC101" s="142"/>
      <c r="NKD101" s="142"/>
      <c r="NKE101" s="142"/>
      <c r="NKF101" s="142"/>
      <c r="NKG101" s="142"/>
      <c r="NKH101" s="142"/>
      <c r="NKI101" s="142"/>
      <c r="NKJ101" s="142"/>
      <c r="NKK101" s="142"/>
      <c r="NKL101" s="142"/>
      <c r="NKM101" s="142"/>
      <c r="NKN101" s="142"/>
      <c r="NKO101" s="142"/>
      <c r="NKP101" s="142"/>
      <c r="NKQ101" s="142"/>
      <c r="NKR101" s="142"/>
      <c r="NKS101" s="142"/>
      <c r="NKT101" s="142"/>
      <c r="NKU101" s="142"/>
      <c r="NKV101" s="142"/>
      <c r="NKW101" s="142"/>
      <c r="NKX101" s="142"/>
      <c r="NKY101" s="142"/>
      <c r="NKZ101" s="142"/>
      <c r="NLA101" s="142"/>
      <c r="NLB101" s="142"/>
      <c r="NLC101" s="142"/>
      <c r="NLD101" s="142"/>
      <c r="NLE101" s="142"/>
      <c r="NLF101" s="142"/>
      <c r="NLG101" s="142"/>
      <c r="NLH101" s="142"/>
      <c r="NLI101" s="142"/>
      <c r="NLJ101" s="142"/>
      <c r="NLK101" s="142"/>
      <c r="NLL101" s="142"/>
      <c r="NLM101" s="142"/>
      <c r="NLN101" s="142"/>
      <c r="NLO101" s="142"/>
      <c r="NLP101" s="142"/>
      <c r="NLQ101" s="142"/>
      <c r="NLR101" s="142"/>
      <c r="NLS101" s="142"/>
      <c r="NLT101" s="142"/>
      <c r="NLU101" s="142"/>
      <c r="NLV101" s="142"/>
      <c r="NLW101" s="142"/>
      <c r="NLX101" s="142"/>
      <c r="NLY101" s="142"/>
      <c r="NLZ101" s="142"/>
      <c r="NMA101" s="142"/>
      <c r="NMB101" s="142"/>
      <c r="NMC101" s="142"/>
      <c r="NMD101" s="142"/>
      <c r="NME101" s="142"/>
      <c r="NMF101" s="142"/>
      <c r="NMG101" s="142"/>
      <c r="NMH101" s="142"/>
      <c r="NMI101" s="142"/>
      <c r="NMJ101" s="142"/>
      <c r="NMK101" s="142"/>
      <c r="NML101" s="142"/>
      <c r="NMM101" s="142"/>
      <c r="NMN101" s="142"/>
      <c r="NMO101" s="142"/>
      <c r="NMP101" s="142"/>
      <c r="NMQ101" s="142"/>
      <c r="NMR101" s="142"/>
      <c r="NMS101" s="142"/>
      <c r="NMT101" s="142"/>
      <c r="NMU101" s="142"/>
      <c r="NMV101" s="142"/>
      <c r="NMW101" s="142"/>
      <c r="NMX101" s="142"/>
      <c r="NMY101" s="142"/>
      <c r="NMZ101" s="142"/>
      <c r="NNA101" s="142"/>
      <c r="NNB101" s="142"/>
      <c r="NNC101" s="142"/>
      <c r="NND101" s="142"/>
      <c r="NNE101" s="142"/>
      <c r="NNF101" s="142"/>
      <c r="NNG101" s="142"/>
      <c r="NNH101" s="142"/>
      <c r="NNI101" s="142"/>
      <c r="NNJ101" s="142"/>
      <c r="NNK101" s="142"/>
      <c r="NNL101" s="142"/>
      <c r="NNM101" s="142"/>
      <c r="NNN101" s="142"/>
      <c r="NNO101" s="142"/>
      <c r="NNP101" s="142"/>
      <c r="NNQ101" s="142"/>
      <c r="NNR101" s="142"/>
      <c r="NNS101" s="142"/>
      <c r="NNT101" s="142"/>
      <c r="NNU101" s="142"/>
      <c r="NNV101" s="142"/>
      <c r="NNW101" s="142"/>
      <c r="NNX101" s="142"/>
      <c r="NNY101" s="142"/>
      <c r="NNZ101" s="142"/>
      <c r="NOA101" s="142"/>
      <c r="NOB101" s="142"/>
      <c r="NOC101" s="142"/>
      <c r="NOD101" s="142"/>
      <c r="NOE101" s="142"/>
      <c r="NOF101" s="142"/>
      <c r="NOG101" s="142"/>
      <c r="NOH101" s="142"/>
      <c r="NOI101" s="142"/>
      <c r="NOJ101" s="142"/>
      <c r="NOK101" s="142"/>
      <c r="NOL101" s="142"/>
      <c r="NOM101" s="142"/>
      <c r="NON101" s="142"/>
      <c r="NOO101" s="142"/>
      <c r="NOP101" s="142"/>
      <c r="NOQ101" s="142"/>
      <c r="NOR101" s="142"/>
      <c r="NOS101" s="142"/>
      <c r="NOT101" s="142"/>
      <c r="NOU101" s="142"/>
      <c r="NOV101" s="142"/>
      <c r="NOW101" s="142"/>
      <c r="NOX101" s="142"/>
      <c r="NOY101" s="142"/>
      <c r="NOZ101" s="142"/>
      <c r="NPA101" s="142"/>
      <c r="NPB101" s="142"/>
      <c r="NPC101" s="142"/>
      <c r="NPD101" s="142"/>
      <c r="NPE101" s="142"/>
      <c r="NPF101" s="142"/>
      <c r="NPG101" s="142"/>
      <c r="NPH101" s="142"/>
      <c r="NPI101" s="142"/>
      <c r="NPJ101" s="142"/>
      <c r="NPK101" s="142"/>
      <c r="NPL101" s="142"/>
      <c r="NPM101" s="142"/>
      <c r="NPN101" s="142"/>
      <c r="NPO101" s="142"/>
      <c r="NPP101" s="142"/>
      <c r="NPQ101" s="142"/>
      <c r="NPR101" s="142"/>
      <c r="NPS101" s="142"/>
      <c r="NPT101" s="142"/>
      <c r="NPU101" s="142"/>
      <c r="NPV101" s="142"/>
      <c r="NPW101" s="142"/>
      <c r="NPX101" s="142"/>
      <c r="NPY101" s="142"/>
      <c r="NPZ101" s="142"/>
      <c r="NQA101" s="142"/>
      <c r="NQB101" s="142"/>
      <c r="NQC101" s="142"/>
      <c r="NQD101" s="142"/>
      <c r="NQE101" s="142"/>
      <c r="NQF101" s="142"/>
      <c r="NQG101" s="142"/>
      <c r="NQH101" s="142"/>
      <c r="NQI101" s="142"/>
      <c r="NQJ101" s="142"/>
      <c r="NQK101" s="142"/>
      <c r="NQL101" s="142"/>
      <c r="NQM101" s="142"/>
      <c r="NQN101" s="142"/>
      <c r="NQO101" s="142"/>
      <c r="NQP101" s="142"/>
      <c r="NQQ101" s="142"/>
      <c r="NQR101" s="142"/>
      <c r="NQS101" s="142"/>
      <c r="NQT101" s="142"/>
      <c r="NQU101" s="142"/>
      <c r="NQV101" s="142"/>
      <c r="NQW101" s="142"/>
      <c r="NQX101" s="142"/>
      <c r="NQY101" s="142"/>
      <c r="NQZ101" s="142"/>
      <c r="NRA101" s="142"/>
      <c r="NRB101" s="142"/>
      <c r="NRC101" s="142"/>
      <c r="NRD101" s="142"/>
      <c r="NRE101" s="142"/>
      <c r="NRF101" s="142"/>
      <c r="NRG101" s="142"/>
      <c r="NRH101" s="142"/>
      <c r="NRI101" s="142"/>
      <c r="NRJ101" s="142"/>
      <c r="NRK101" s="142"/>
      <c r="NRL101" s="142"/>
      <c r="NRM101" s="142"/>
      <c r="NRN101" s="142"/>
      <c r="NRO101" s="142"/>
      <c r="NRP101" s="142"/>
      <c r="NRQ101" s="142"/>
      <c r="NRR101" s="142"/>
      <c r="NRS101" s="142"/>
      <c r="NRT101" s="142"/>
      <c r="NRU101" s="142"/>
      <c r="NRV101" s="142"/>
      <c r="NRW101" s="142"/>
      <c r="NRX101" s="142"/>
      <c r="NRY101" s="142"/>
      <c r="NRZ101" s="142"/>
      <c r="NSA101" s="142"/>
      <c r="NSB101" s="142"/>
      <c r="NSC101" s="142"/>
      <c r="NSD101" s="142"/>
      <c r="NSE101" s="142"/>
      <c r="NSF101" s="142"/>
      <c r="NSG101" s="142"/>
      <c r="NSH101" s="142"/>
      <c r="NSI101" s="142"/>
      <c r="NSJ101" s="142"/>
      <c r="NSK101" s="142"/>
      <c r="NSL101" s="142"/>
      <c r="NSM101" s="142"/>
      <c r="NSN101" s="142"/>
      <c r="NSO101" s="142"/>
      <c r="NSP101" s="142"/>
      <c r="NSQ101" s="142"/>
      <c r="NSR101" s="142"/>
      <c r="NSS101" s="142"/>
      <c r="NST101" s="142"/>
      <c r="NSU101" s="142"/>
      <c r="NSV101" s="142"/>
      <c r="NSW101" s="142"/>
      <c r="NSX101" s="142"/>
      <c r="NSY101" s="142"/>
      <c r="NSZ101" s="142"/>
      <c r="NTA101" s="142"/>
      <c r="NTB101" s="142"/>
      <c r="NTC101" s="142"/>
      <c r="NTD101" s="142"/>
      <c r="NTE101" s="142"/>
      <c r="NTF101" s="142"/>
      <c r="NTG101" s="142"/>
      <c r="NTH101" s="142"/>
      <c r="NTI101" s="142"/>
      <c r="NTJ101" s="142"/>
      <c r="NTK101" s="142"/>
      <c r="NTL101" s="142"/>
      <c r="NTM101" s="142"/>
      <c r="NTN101" s="142"/>
      <c r="NTO101" s="142"/>
      <c r="NTP101" s="142"/>
      <c r="NTQ101" s="142"/>
      <c r="NTR101" s="142"/>
      <c r="NTS101" s="142"/>
      <c r="NTT101" s="142"/>
      <c r="NTU101" s="142"/>
      <c r="NTV101" s="142"/>
      <c r="NTW101" s="142"/>
      <c r="NTX101" s="142"/>
      <c r="NTY101" s="142"/>
      <c r="NTZ101" s="142"/>
      <c r="NUA101" s="142"/>
      <c r="NUB101" s="142"/>
      <c r="NUC101" s="142"/>
      <c r="NUD101" s="142"/>
      <c r="NUE101" s="142"/>
      <c r="NUF101" s="142"/>
      <c r="NUG101" s="142"/>
      <c r="NUH101" s="142"/>
      <c r="NUI101" s="142"/>
      <c r="NUJ101" s="142"/>
      <c r="NUK101" s="142"/>
      <c r="NUL101" s="142"/>
      <c r="NUM101" s="142"/>
      <c r="NUN101" s="142"/>
      <c r="NUO101" s="142"/>
      <c r="NUP101" s="142"/>
      <c r="NUQ101" s="142"/>
      <c r="NUR101" s="142"/>
      <c r="NUS101" s="142"/>
      <c r="NUT101" s="142"/>
      <c r="NUU101" s="142"/>
      <c r="NUV101" s="142"/>
      <c r="NUW101" s="142"/>
      <c r="NUX101" s="142"/>
      <c r="NUY101" s="142"/>
      <c r="NUZ101" s="142"/>
      <c r="NVA101" s="142"/>
      <c r="NVB101" s="142"/>
      <c r="NVC101" s="142"/>
      <c r="NVD101" s="142"/>
      <c r="NVE101" s="142"/>
      <c r="NVF101" s="142"/>
      <c r="NVG101" s="142"/>
      <c r="NVH101" s="142"/>
      <c r="NVI101" s="142"/>
      <c r="NVJ101" s="142"/>
      <c r="NVK101" s="142"/>
      <c r="NVL101" s="142"/>
      <c r="NVM101" s="142"/>
      <c r="NVN101" s="142"/>
      <c r="NVO101" s="142"/>
      <c r="NVP101" s="142"/>
      <c r="NVQ101" s="142"/>
      <c r="NVR101" s="142"/>
      <c r="NVS101" s="142"/>
      <c r="NVT101" s="142"/>
      <c r="NVU101" s="142"/>
      <c r="NVV101" s="142"/>
      <c r="NVW101" s="142"/>
      <c r="NVX101" s="142"/>
      <c r="NVY101" s="142"/>
      <c r="NVZ101" s="142"/>
      <c r="NWA101" s="142"/>
      <c r="NWB101" s="142"/>
      <c r="NWC101" s="142"/>
      <c r="NWD101" s="142"/>
      <c r="NWE101" s="142"/>
      <c r="NWF101" s="142"/>
      <c r="NWG101" s="142"/>
      <c r="NWH101" s="142"/>
      <c r="NWI101" s="142"/>
      <c r="NWJ101" s="142"/>
      <c r="NWK101" s="142"/>
      <c r="NWL101" s="142"/>
      <c r="NWM101" s="142"/>
      <c r="NWN101" s="142"/>
      <c r="NWO101" s="142"/>
      <c r="NWP101" s="142"/>
      <c r="NWQ101" s="142"/>
      <c r="NWR101" s="142"/>
      <c r="NWS101" s="142"/>
      <c r="NWT101" s="142"/>
      <c r="NWU101" s="142"/>
      <c r="NWV101" s="142"/>
      <c r="NWW101" s="142"/>
      <c r="NWX101" s="142"/>
      <c r="NWY101" s="142"/>
      <c r="NWZ101" s="142"/>
      <c r="NXA101" s="142"/>
      <c r="NXB101" s="142"/>
      <c r="NXC101" s="142"/>
      <c r="NXD101" s="142"/>
      <c r="NXE101" s="142"/>
      <c r="NXF101" s="142"/>
      <c r="NXG101" s="142"/>
      <c r="NXH101" s="142"/>
      <c r="NXI101" s="142"/>
      <c r="NXJ101" s="142"/>
      <c r="NXK101" s="142"/>
      <c r="NXL101" s="142"/>
      <c r="NXM101" s="142"/>
      <c r="NXN101" s="142"/>
      <c r="NXO101" s="142"/>
      <c r="NXP101" s="142"/>
      <c r="NXQ101" s="142"/>
      <c r="NXR101" s="142"/>
      <c r="NXS101" s="142"/>
      <c r="NXT101" s="142"/>
      <c r="NXU101" s="142"/>
      <c r="NXV101" s="142"/>
      <c r="NXW101" s="142"/>
      <c r="NXX101" s="142"/>
      <c r="NXY101" s="142"/>
      <c r="NXZ101" s="142"/>
      <c r="NYA101" s="142"/>
      <c r="NYB101" s="142"/>
      <c r="NYC101" s="142"/>
      <c r="NYD101" s="142"/>
      <c r="NYE101" s="142"/>
      <c r="NYF101" s="142"/>
      <c r="NYG101" s="142"/>
      <c r="NYH101" s="142"/>
      <c r="NYI101" s="142"/>
      <c r="NYJ101" s="142"/>
      <c r="NYK101" s="142"/>
      <c r="NYL101" s="142"/>
      <c r="NYM101" s="142"/>
      <c r="NYN101" s="142"/>
      <c r="NYO101" s="142"/>
      <c r="NYP101" s="142"/>
      <c r="NYQ101" s="142"/>
      <c r="NYR101" s="142"/>
      <c r="NYS101" s="142"/>
      <c r="NYT101" s="142"/>
      <c r="NYU101" s="142"/>
      <c r="NYV101" s="142"/>
      <c r="NYW101" s="142"/>
      <c r="NYX101" s="142"/>
      <c r="NYY101" s="142"/>
      <c r="NYZ101" s="142"/>
      <c r="NZA101" s="142"/>
      <c r="NZB101" s="142"/>
      <c r="NZC101" s="142"/>
      <c r="NZD101" s="142"/>
      <c r="NZE101" s="142"/>
      <c r="NZF101" s="142"/>
      <c r="NZG101" s="142"/>
      <c r="NZH101" s="142"/>
      <c r="NZI101" s="142"/>
      <c r="NZJ101" s="142"/>
      <c r="NZK101" s="142"/>
      <c r="NZL101" s="142"/>
      <c r="NZM101" s="142"/>
      <c r="NZN101" s="142"/>
      <c r="NZO101" s="142"/>
      <c r="NZP101" s="142"/>
      <c r="NZQ101" s="142"/>
      <c r="NZR101" s="142"/>
      <c r="NZS101" s="142"/>
      <c r="NZT101" s="142"/>
      <c r="NZU101" s="142"/>
      <c r="NZV101" s="142"/>
      <c r="NZW101" s="142"/>
      <c r="NZX101" s="142"/>
      <c r="NZY101" s="142"/>
      <c r="NZZ101" s="142"/>
      <c r="OAA101" s="142"/>
      <c r="OAB101" s="142"/>
      <c r="OAC101" s="142"/>
      <c r="OAD101" s="142"/>
      <c r="OAE101" s="142"/>
      <c r="OAF101" s="142"/>
      <c r="OAG101" s="142"/>
      <c r="OAH101" s="142"/>
      <c r="OAI101" s="142"/>
      <c r="OAJ101" s="142"/>
      <c r="OAK101" s="142"/>
      <c r="OAL101" s="142"/>
      <c r="OAM101" s="142"/>
      <c r="OAN101" s="142"/>
      <c r="OAO101" s="142"/>
      <c r="OAP101" s="142"/>
      <c r="OAQ101" s="142"/>
      <c r="OAR101" s="142"/>
      <c r="OAS101" s="142"/>
      <c r="OAT101" s="142"/>
      <c r="OAU101" s="142"/>
      <c r="OAV101" s="142"/>
      <c r="OAW101" s="142"/>
      <c r="OAX101" s="142"/>
      <c r="OAY101" s="142"/>
      <c r="OAZ101" s="142"/>
      <c r="OBA101" s="142"/>
      <c r="OBB101" s="142"/>
      <c r="OBC101" s="142"/>
      <c r="OBD101" s="142"/>
      <c r="OBE101" s="142"/>
      <c r="OBF101" s="142"/>
      <c r="OBG101" s="142"/>
      <c r="OBH101" s="142"/>
      <c r="OBI101" s="142"/>
      <c r="OBJ101" s="142"/>
      <c r="OBK101" s="142"/>
      <c r="OBL101" s="142"/>
      <c r="OBM101" s="142"/>
      <c r="OBN101" s="142"/>
      <c r="OBO101" s="142"/>
      <c r="OBP101" s="142"/>
      <c r="OBQ101" s="142"/>
      <c r="OBR101" s="142"/>
      <c r="OBS101" s="142"/>
      <c r="OBT101" s="142"/>
      <c r="OBU101" s="142"/>
      <c r="OBV101" s="142"/>
      <c r="OBW101" s="142"/>
      <c r="OBX101" s="142"/>
      <c r="OBY101" s="142"/>
      <c r="OBZ101" s="142"/>
      <c r="OCA101" s="142"/>
      <c r="OCB101" s="142"/>
      <c r="OCC101" s="142"/>
      <c r="OCD101" s="142"/>
      <c r="OCE101" s="142"/>
      <c r="OCF101" s="142"/>
      <c r="OCG101" s="142"/>
      <c r="OCH101" s="142"/>
      <c r="OCI101" s="142"/>
      <c r="OCJ101" s="142"/>
      <c r="OCK101" s="142"/>
      <c r="OCL101" s="142"/>
      <c r="OCM101" s="142"/>
      <c r="OCN101" s="142"/>
      <c r="OCO101" s="142"/>
      <c r="OCP101" s="142"/>
      <c r="OCQ101" s="142"/>
      <c r="OCR101" s="142"/>
      <c r="OCS101" s="142"/>
      <c r="OCT101" s="142"/>
      <c r="OCU101" s="142"/>
      <c r="OCV101" s="142"/>
      <c r="OCW101" s="142"/>
      <c r="OCX101" s="142"/>
      <c r="OCY101" s="142"/>
      <c r="OCZ101" s="142"/>
      <c r="ODA101" s="142"/>
      <c r="ODB101" s="142"/>
      <c r="ODC101" s="142"/>
      <c r="ODD101" s="142"/>
      <c r="ODE101" s="142"/>
      <c r="ODF101" s="142"/>
      <c r="ODG101" s="142"/>
      <c r="ODH101" s="142"/>
      <c r="ODI101" s="142"/>
      <c r="ODJ101" s="142"/>
      <c r="ODK101" s="142"/>
      <c r="ODL101" s="142"/>
      <c r="ODM101" s="142"/>
      <c r="ODN101" s="142"/>
      <c r="ODO101" s="142"/>
      <c r="ODP101" s="142"/>
      <c r="ODQ101" s="142"/>
      <c r="ODR101" s="142"/>
      <c r="ODS101" s="142"/>
      <c r="ODT101" s="142"/>
      <c r="ODU101" s="142"/>
      <c r="ODV101" s="142"/>
      <c r="ODW101" s="142"/>
      <c r="ODX101" s="142"/>
      <c r="ODY101" s="142"/>
      <c r="ODZ101" s="142"/>
      <c r="OEA101" s="142"/>
      <c r="OEB101" s="142"/>
      <c r="OEC101" s="142"/>
      <c r="OED101" s="142"/>
      <c r="OEE101" s="142"/>
      <c r="OEF101" s="142"/>
      <c r="OEG101" s="142"/>
      <c r="OEH101" s="142"/>
      <c r="OEI101" s="142"/>
      <c r="OEJ101" s="142"/>
      <c r="OEK101" s="142"/>
      <c r="OEL101" s="142"/>
      <c r="OEM101" s="142"/>
      <c r="OEN101" s="142"/>
      <c r="OEO101" s="142"/>
      <c r="OEP101" s="142"/>
      <c r="OEQ101" s="142"/>
      <c r="OER101" s="142"/>
      <c r="OES101" s="142"/>
      <c r="OET101" s="142"/>
      <c r="OEU101" s="142"/>
      <c r="OEV101" s="142"/>
      <c r="OEW101" s="142"/>
      <c r="OEX101" s="142"/>
      <c r="OEY101" s="142"/>
      <c r="OEZ101" s="142"/>
      <c r="OFA101" s="142"/>
      <c r="OFB101" s="142"/>
      <c r="OFC101" s="142"/>
      <c r="OFD101" s="142"/>
      <c r="OFE101" s="142"/>
      <c r="OFF101" s="142"/>
      <c r="OFG101" s="142"/>
      <c r="OFH101" s="142"/>
      <c r="OFI101" s="142"/>
      <c r="OFJ101" s="142"/>
      <c r="OFK101" s="142"/>
      <c r="OFL101" s="142"/>
      <c r="OFM101" s="142"/>
      <c r="OFN101" s="142"/>
      <c r="OFO101" s="142"/>
      <c r="OFP101" s="142"/>
      <c r="OFQ101" s="142"/>
      <c r="OFR101" s="142"/>
      <c r="OFS101" s="142"/>
      <c r="OFT101" s="142"/>
      <c r="OFU101" s="142"/>
      <c r="OFV101" s="142"/>
      <c r="OFW101" s="142"/>
      <c r="OFX101" s="142"/>
      <c r="OFY101" s="142"/>
      <c r="OFZ101" s="142"/>
      <c r="OGA101" s="142"/>
      <c r="OGB101" s="142"/>
      <c r="OGC101" s="142"/>
      <c r="OGD101" s="142"/>
      <c r="OGE101" s="142"/>
      <c r="OGF101" s="142"/>
      <c r="OGG101" s="142"/>
      <c r="OGH101" s="142"/>
      <c r="OGI101" s="142"/>
      <c r="OGJ101" s="142"/>
      <c r="OGK101" s="142"/>
      <c r="OGL101" s="142"/>
      <c r="OGM101" s="142"/>
      <c r="OGN101" s="142"/>
      <c r="OGO101" s="142"/>
      <c r="OGP101" s="142"/>
      <c r="OGQ101" s="142"/>
      <c r="OGR101" s="142"/>
      <c r="OGS101" s="142"/>
      <c r="OGT101" s="142"/>
      <c r="OGU101" s="142"/>
      <c r="OGV101" s="142"/>
      <c r="OGW101" s="142"/>
      <c r="OGX101" s="142"/>
      <c r="OGY101" s="142"/>
      <c r="OGZ101" s="142"/>
      <c r="OHA101" s="142"/>
      <c r="OHB101" s="142"/>
      <c r="OHC101" s="142"/>
      <c r="OHD101" s="142"/>
      <c r="OHE101" s="142"/>
      <c r="OHF101" s="142"/>
      <c r="OHG101" s="142"/>
      <c r="OHH101" s="142"/>
      <c r="OHI101" s="142"/>
      <c r="OHJ101" s="142"/>
      <c r="OHK101" s="142"/>
      <c r="OHL101" s="142"/>
      <c r="OHM101" s="142"/>
      <c r="OHN101" s="142"/>
      <c r="OHO101" s="142"/>
      <c r="OHP101" s="142"/>
      <c r="OHQ101" s="142"/>
      <c r="OHR101" s="142"/>
      <c r="OHS101" s="142"/>
      <c r="OHT101" s="142"/>
      <c r="OHU101" s="142"/>
      <c r="OHV101" s="142"/>
      <c r="OHW101" s="142"/>
      <c r="OHX101" s="142"/>
      <c r="OHY101" s="142"/>
      <c r="OHZ101" s="142"/>
      <c r="OIA101" s="142"/>
      <c r="OIB101" s="142"/>
      <c r="OIC101" s="142"/>
      <c r="OID101" s="142"/>
      <c r="OIE101" s="142"/>
      <c r="OIF101" s="142"/>
      <c r="OIG101" s="142"/>
      <c r="OIH101" s="142"/>
      <c r="OII101" s="142"/>
      <c r="OIJ101" s="142"/>
      <c r="OIK101" s="142"/>
      <c r="OIL101" s="142"/>
      <c r="OIM101" s="142"/>
      <c r="OIN101" s="142"/>
      <c r="OIO101" s="142"/>
      <c r="OIP101" s="142"/>
      <c r="OIQ101" s="142"/>
      <c r="OIR101" s="142"/>
      <c r="OIS101" s="142"/>
      <c r="OIT101" s="142"/>
      <c r="OIU101" s="142"/>
      <c r="OIV101" s="142"/>
      <c r="OIW101" s="142"/>
      <c r="OIX101" s="142"/>
      <c r="OIY101" s="142"/>
      <c r="OIZ101" s="142"/>
      <c r="OJA101" s="142"/>
      <c r="OJB101" s="142"/>
      <c r="OJC101" s="142"/>
      <c r="OJD101" s="142"/>
      <c r="OJE101" s="142"/>
      <c r="OJF101" s="142"/>
      <c r="OJG101" s="142"/>
      <c r="OJH101" s="142"/>
      <c r="OJI101" s="142"/>
      <c r="OJJ101" s="142"/>
      <c r="OJK101" s="142"/>
      <c r="OJL101" s="142"/>
      <c r="OJM101" s="142"/>
      <c r="OJN101" s="142"/>
      <c r="OJO101" s="142"/>
      <c r="OJP101" s="142"/>
      <c r="OJQ101" s="142"/>
      <c r="OJR101" s="142"/>
      <c r="OJS101" s="142"/>
      <c r="OJT101" s="142"/>
      <c r="OJU101" s="142"/>
      <c r="OJV101" s="142"/>
      <c r="OJW101" s="142"/>
      <c r="OJX101" s="142"/>
      <c r="OJY101" s="142"/>
      <c r="OJZ101" s="142"/>
      <c r="OKA101" s="142"/>
      <c r="OKB101" s="142"/>
      <c r="OKC101" s="142"/>
      <c r="OKD101" s="142"/>
      <c r="OKE101" s="142"/>
      <c r="OKF101" s="142"/>
      <c r="OKG101" s="142"/>
      <c r="OKH101" s="142"/>
      <c r="OKI101" s="142"/>
      <c r="OKJ101" s="142"/>
      <c r="OKK101" s="142"/>
      <c r="OKL101" s="142"/>
      <c r="OKM101" s="142"/>
      <c r="OKN101" s="142"/>
      <c r="OKO101" s="142"/>
      <c r="OKP101" s="142"/>
      <c r="OKQ101" s="142"/>
      <c r="OKR101" s="142"/>
      <c r="OKS101" s="142"/>
      <c r="OKT101" s="142"/>
      <c r="OKU101" s="142"/>
      <c r="OKV101" s="142"/>
      <c r="OKW101" s="142"/>
      <c r="OKX101" s="142"/>
      <c r="OKY101" s="142"/>
      <c r="OKZ101" s="142"/>
      <c r="OLA101" s="142"/>
      <c r="OLB101" s="142"/>
      <c r="OLC101" s="142"/>
      <c r="OLD101" s="142"/>
      <c r="OLE101" s="142"/>
      <c r="OLF101" s="142"/>
      <c r="OLG101" s="142"/>
      <c r="OLH101" s="142"/>
      <c r="OLI101" s="142"/>
      <c r="OLJ101" s="142"/>
      <c r="OLK101" s="142"/>
      <c r="OLL101" s="142"/>
      <c r="OLM101" s="142"/>
      <c r="OLN101" s="142"/>
      <c r="OLO101" s="142"/>
      <c r="OLP101" s="142"/>
      <c r="OLQ101" s="142"/>
      <c r="OLR101" s="142"/>
      <c r="OLS101" s="142"/>
      <c r="OLT101" s="142"/>
      <c r="OLU101" s="142"/>
      <c r="OLV101" s="142"/>
      <c r="OLW101" s="142"/>
      <c r="OLX101" s="142"/>
      <c r="OLY101" s="142"/>
      <c r="OLZ101" s="142"/>
      <c r="OMA101" s="142"/>
      <c r="OMB101" s="142"/>
      <c r="OMC101" s="142"/>
      <c r="OMD101" s="142"/>
      <c r="OME101" s="142"/>
      <c r="OMF101" s="142"/>
      <c r="OMG101" s="142"/>
      <c r="OMH101" s="142"/>
      <c r="OMI101" s="142"/>
      <c r="OMJ101" s="142"/>
      <c r="OMK101" s="142"/>
      <c r="OML101" s="142"/>
      <c r="OMM101" s="142"/>
      <c r="OMN101" s="142"/>
      <c r="OMO101" s="142"/>
      <c r="OMP101" s="142"/>
      <c r="OMQ101" s="142"/>
      <c r="OMR101" s="142"/>
      <c r="OMS101" s="142"/>
      <c r="OMT101" s="142"/>
      <c r="OMU101" s="142"/>
      <c r="OMV101" s="142"/>
      <c r="OMW101" s="142"/>
      <c r="OMX101" s="142"/>
      <c r="OMY101" s="142"/>
      <c r="OMZ101" s="142"/>
      <c r="ONA101" s="142"/>
      <c r="ONB101" s="142"/>
      <c r="ONC101" s="142"/>
      <c r="OND101" s="142"/>
      <c r="ONE101" s="142"/>
      <c r="ONF101" s="142"/>
      <c r="ONG101" s="142"/>
      <c r="ONH101" s="142"/>
      <c r="ONI101" s="142"/>
      <c r="ONJ101" s="142"/>
      <c r="ONK101" s="142"/>
      <c r="ONL101" s="142"/>
      <c r="ONM101" s="142"/>
      <c r="ONN101" s="142"/>
      <c r="ONO101" s="142"/>
      <c r="ONP101" s="142"/>
      <c r="ONQ101" s="142"/>
      <c r="ONR101" s="142"/>
      <c r="ONS101" s="142"/>
      <c r="ONT101" s="142"/>
      <c r="ONU101" s="142"/>
      <c r="ONV101" s="142"/>
      <c r="ONW101" s="142"/>
      <c r="ONX101" s="142"/>
      <c r="ONY101" s="142"/>
      <c r="ONZ101" s="142"/>
      <c r="OOA101" s="142"/>
      <c r="OOB101" s="142"/>
      <c r="OOC101" s="142"/>
      <c r="OOD101" s="142"/>
      <c r="OOE101" s="142"/>
      <c r="OOF101" s="142"/>
      <c r="OOG101" s="142"/>
      <c r="OOH101" s="142"/>
      <c r="OOI101" s="142"/>
      <c r="OOJ101" s="142"/>
      <c r="OOK101" s="142"/>
      <c r="OOL101" s="142"/>
      <c r="OOM101" s="142"/>
      <c r="OON101" s="142"/>
      <c r="OOO101" s="142"/>
      <c r="OOP101" s="142"/>
      <c r="OOQ101" s="142"/>
      <c r="OOR101" s="142"/>
      <c r="OOS101" s="142"/>
      <c r="OOT101" s="142"/>
      <c r="OOU101" s="142"/>
      <c r="OOV101" s="142"/>
      <c r="OOW101" s="142"/>
      <c r="OOX101" s="142"/>
      <c r="OOY101" s="142"/>
      <c r="OOZ101" s="142"/>
      <c r="OPA101" s="142"/>
      <c r="OPB101" s="142"/>
      <c r="OPC101" s="142"/>
      <c r="OPD101" s="142"/>
      <c r="OPE101" s="142"/>
      <c r="OPF101" s="142"/>
      <c r="OPG101" s="142"/>
      <c r="OPH101" s="142"/>
      <c r="OPI101" s="142"/>
      <c r="OPJ101" s="142"/>
      <c r="OPK101" s="142"/>
      <c r="OPL101" s="142"/>
      <c r="OPM101" s="142"/>
      <c r="OPN101" s="142"/>
      <c r="OPO101" s="142"/>
      <c r="OPP101" s="142"/>
      <c r="OPQ101" s="142"/>
      <c r="OPR101" s="142"/>
      <c r="OPS101" s="142"/>
      <c r="OPT101" s="142"/>
      <c r="OPU101" s="142"/>
      <c r="OPV101" s="142"/>
      <c r="OPW101" s="142"/>
      <c r="OPX101" s="142"/>
      <c r="OPY101" s="142"/>
      <c r="OPZ101" s="142"/>
      <c r="OQA101" s="142"/>
      <c r="OQB101" s="142"/>
      <c r="OQC101" s="142"/>
      <c r="OQD101" s="142"/>
      <c r="OQE101" s="142"/>
      <c r="OQF101" s="142"/>
      <c r="OQG101" s="142"/>
      <c r="OQH101" s="142"/>
      <c r="OQI101" s="142"/>
      <c r="OQJ101" s="142"/>
      <c r="OQK101" s="142"/>
      <c r="OQL101" s="142"/>
      <c r="OQM101" s="142"/>
      <c r="OQN101" s="142"/>
      <c r="OQO101" s="142"/>
      <c r="OQP101" s="142"/>
      <c r="OQQ101" s="142"/>
      <c r="OQR101" s="142"/>
      <c r="OQS101" s="142"/>
      <c r="OQT101" s="142"/>
      <c r="OQU101" s="142"/>
      <c r="OQV101" s="142"/>
      <c r="OQW101" s="142"/>
      <c r="OQX101" s="142"/>
      <c r="OQY101" s="142"/>
      <c r="OQZ101" s="142"/>
      <c r="ORA101" s="142"/>
      <c r="ORB101" s="142"/>
      <c r="ORC101" s="142"/>
      <c r="ORD101" s="142"/>
      <c r="ORE101" s="142"/>
      <c r="ORF101" s="142"/>
      <c r="ORG101" s="142"/>
      <c r="ORH101" s="142"/>
      <c r="ORI101" s="142"/>
      <c r="ORJ101" s="142"/>
      <c r="ORK101" s="142"/>
      <c r="ORL101" s="142"/>
      <c r="ORM101" s="142"/>
      <c r="ORN101" s="142"/>
      <c r="ORO101" s="142"/>
      <c r="ORP101" s="142"/>
      <c r="ORQ101" s="142"/>
      <c r="ORR101" s="142"/>
      <c r="ORS101" s="142"/>
      <c r="ORT101" s="142"/>
      <c r="ORU101" s="142"/>
      <c r="ORV101" s="142"/>
      <c r="ORW101" s="142"/>
      <c r="ORX101" s="142"/>
      <c r="ORY101" s="142"/>
      <c r="ORZ101" s="142"/>
      <c r="OSA101" s="142"/>
      <c r="OSB101" s="142"/>
      <c r="OSC101" s="142"/>
      <c r="OSD101" s="142"/>
      <c r="OSE101" s="142"/>
      <c r="OSF101" s="142"/>
      <c r="OSG101" s="142"/>
      <c r="OSH101" s="142"/>
      <c r="OSI101" s="142"/>
      <c r="OSJ101" s="142"/>
      <c r="OSK101" s="142"/>
      <c r="OSL101" s="142"/>
      <c r="OSM101" s="142"/>
      <c r="OSN101" s="142"/>
      <c r="OSO101" s="142"/>
      <c r="OSP101" s="142"/>
      <c r="OSQ101" s="142"/>
      <c r="OSR101" s="142"/>
      <c r="OSS101" s="142"/>
      <c r="OST101" s="142"/>
      <c r="OSU101" s="142"/>
      <c r="OSV101" s="142"/>
      <c r="OSW101" s="142"/>
      <c r="OSX101" s="142"/>
      <c r="OSY101" s="142"/>
      <c r="OSZ101" s="142"/>
      <c r="OTA101" s="142"/>
      <c r="OTB101" s="142"/>
      <c r="OTC101" s="142"/>
      <c r="OTD101" s="142"/>
      <c r="OTE101" s="142"/>
      <c r="OTF101" s="142"/>
      <c r="OTG101" s="142"/>
      <c r="OTH101" s="142"/>
      <c r="OTI101" s="142"/>
      <c r="OTJ101" s="142"/>
      <c r="OTK101" s="142"/>
      <c r="OTL101" s="142"/>
      <c r="OTM101" s="142"/>
      <c r="OTN101" s="142"/>
      <c r="OTO101" s="142"/>
      <c r="OTP101" s="142"/>
      <c r="OTQ101" s="142"/>
      <c r="OTR101" s="142"/>
      <c r="OTS101" s="142"/>
      <c r="OTT101" s="142"/>
      <c r="OTU101" s="142"/>
      <c r="OTV101" s="142"/>
      <c r="OTW101" s="142"/>
      <c r="OTX101" s="142"/>
      <c r="OTY101" s="142"/>
      <c r="OTZ101" s="142"/>
      <c r="OUA101" s="142"/>
      <c r="OUB101" s="142"/>
      <c r="OUC101" s="142"/>
      <c r="OUD101" s="142"/>
      <c r="OUE101" s="142"/>
      <c r="OUF101" s="142"/>
      <c r="OUG101" s="142"/>
      <c r="OUH101" s="142"/>
      <c r="OUI101" s="142"/>
      <c r="OUJ101" s="142"/>
      <c r="OUK101" s="142"/>
      <c r="OUL101" s="142"/>
      <c r="OUM101" s="142"/>
      <c r="OUN101" s="142"/>
      <c r="OUO101" s="142"/>
      <c r="OUP101" s="142"/>
      <c r="OUQ101" s="142"/>
      <c r="OUR101" s="142"/>
      <c r="OUS101" s="142"/>
      <c r="OUT101" s="142"/>
      <c r="OUU101" s="142"/>
      <c r="OUV101" s="142"/>
      <c r="OUW101" s="142"/>
      <c r="OUX101" s="142"/>
      <c r="OUY101" s="142"/>
      <c r="OUZ101" s="142"/>
      <c r="OVA101" s="142"/>
      <c r="OVB101" s="142"/>
      <c r="OVC101" s="142"/>
      <c r="OVD101" s="142"/>
      <c r="OVE101" s="142"/>
      <c r="OVF101" s="142"/>
      <c r="OVG101" s="142"/>
      <c r="OVH101" s="142"/>
      <c r="OVI101" s="142"/>
      <c r="OVJ101" s="142"/>
      <c r="OVK101" s="142"/>
      <c r="OVL101" s="142"/>
      <c r="OVM101" s="142"/>
      <c r="OVN101" s="142"/>
      <c r="OVO101" s="142"/>
      <c r="OVP101" s="142"/>
      <c r="OVQ101" s="142"/>
      <c r="OVR101" s="142"/>
      <c r="OVS101" s="142"/>
      <c r="OVT101" s="142"/>
      <c r="OVU101" s="142"/>
      <c r="OVV101" s="142"/>
      <c r="OVW101" s="142"/>
      <c r="OVX101" s="142"/>
      <c r="OVY101" s="142"/>
      <c r="OVZ101" s="142"/>
      <c r="OWA101" s="142"/>
      <c r="OWB101" s="142"/>
      <c r="OWC101" s="142"/>
      <c r="OWD101" s="142"/>
      <c r="OWE101" s="142"/>
      <c r="OWF101" s="142"/>
      <c r="OWG101" s="142"/>
      <c r="OWH101" s="142"/>
      <c r="OWI101" s="142"/>
      <c r="OWJ101" s="142"/>
      <c r="OWK101" s="142"/>
      <c r="OWL101" s="142"/>
      <c r="OWM101" s="142"/>
      <c r="OWN101" s="142"/>
      <c r="OWO101" s="142"/>
      <c r="OWP101" s="142"/>
      <c r="OWQ101" s="142"/>
      <c r="OWR101" s="142"/>
      <c r="OWS101" s="142"/>
      <c r="OWT101" s="142"/>
      <c r="OWU101" s="142"/>
      <c r="OWV101" s="142"/>
      <c r="OWW101" s="142"/>
      <c r="OWX101" s="142"/>
      <c r="OWY101" s="142"/>
      <c r="OWZ101" s="142"/>
      <c r="OXA101" s="142"/>
      <c r="OXB101" s="142"/>
      <c r="OXC101" s="142"/>
      <c r="OXD101" s="142"/>
      <c r="OXE101" s="142"/>
      <c r="OXF101" s="142"/>
      <c r="OXG101" s="142"/>
      <c r="OXH101" s="142"/>
      <c r="OXI101" s="142"/>
      <c r="OXJ101" s="142"/>
      <c r="OXK101" s="142"/>
      <c r="OXL101" s="142"/>
      <c r="OXM101" s="142"/>
      <c r="OXN101" s="142"/>
      <c r="OXO101" s="142"/>
      <c r="OXP101" s="142"/>
      <c r="OXQ101" s="142"/>
      <c r="OXR101" s="142"/>
      <c r="OXS101" s="142"/>
      <c r="OXT101" s="142"/>
      <c r="OXU101" s="142"/>
      <c r="OXV101" s="142"/>
      <c r="OXW101" s="142"/>
      <c r="OXX101" s="142"/>
      <c r="OXY101" s="142"/>
      <c r="OXZ101" s="142"/>
      <c r="OYA101" s="142"/>
      <c r="OYB101" s="142"/>
      <c r="OYC101" s="142"/>
      <c r="OYD101" s="142"/>
      <c r="OYE101" s="142"/>
      <c r="OYF101" s="142"/>
      <c r="OYG101" s="142"/>
      <c r="OYH101" s="142"/>
      <c r="OYI101" s="142"/>
      <c r="OYJ101" s="142"/>
      <c r="OYK101" s="142"/>
      <c r="OYL101" s="142"/>
      <c r="OYM101" s="142"/>
      <c r="OYN101" s="142"/>
      <c r="OYO101" s="142"/>
      <c r="OYP101" s="142"/>
      <c r="OYQ101" s="142"/>
      <c r="OYR101" s="142"/>
      <c r="OYS101" s="142"/>
      <c r="OYT101" s="142"/>
      <c r="OYU101" s="142"/>
      <c r="OYV101" s="142"/>
      <c r="OYW101" s="142"/>
      <c r="OYX101" s="142"/>
      <c r="OYY101" s="142"/>
      <c r="OYZ101" s="142"/>
      <c r="OZA101" s="142"/>
      <c r="OZB101" s="142"/>
      <c r="OZC101" s="142"/>
      <c r="OZD101" s="142"/>
      <c r="OZE101" s="142"/>
      <c r="OZF101" s="142"/>
      <c r="OZG101" s="142"/>
      <c r="OZH101" s="142"/>
      <c r="OZI101" s="142"/>
      <c r="OZJ101" s="142"/>
      <c r="OZK101" s="142"/>
      <c r="OZL101" s="142"/>
      <c r="OZM101" s="142"/>
      <c r="OZN101" s="142"/>
      <c r="OZO101" s="142"/>
      <c r="OZP101" s="142"/>
      <c r="OZQ101" s="142"/>
      <c r="OZR101" s="142"/>
      <c r="OZS101" s="142"/>
      <c r="OZT101" s="142"/>
      <c r="OZU101" s="142"/>
      <c r="OZV101" s="142"/>
      <c r="OZW101" s="142"/>
      <c r="OZX101" s="142"/>
      <c r="OZY101" s="142"/>
      <c r="OZZ101" s="142"/>
      <c r="PAA101" s="142"/>
      <c r="PAB101" s="142"/>
      <c r="PAC101" s="142"/>
      <c r="PAD101" s="142"/>
      <c r="PAE101" s="142"/>
      <c r="PAF101" s="142"/>
      <c r="PAG101" s="142"/>
      <c r="PAH101" s="142"/>
      <c r="PAI101" s="142"/>
      <c r="PAJ101" s="142"/>
      <c r="PAK101" s="142"/>
      <c r="PAL101" s="142"/>
      <c r="PAM101" s="142"/>
      <c r="PAN101" s="142"/>
      <c r="PAO101" s="142"/>
      <c r="PAP101" s="142"/>
      <c r="PAQ101" s="142"/>
      <c r="PAR101" s="142"/>
      <c r="PAS101" s="142"/>
      <c r="PAT101" s="142"/>
      <c r="PAU101" s="142"/>
      <c r="PAV101" s="142"/>
      <c r="PAW101" s="142"/>
      <c r="PAX101" s="142"/>
      <c r="PAY101" s="142"/>
      <c r="PAZ101" s="142"/>
      <c r="PBA101" s="142"/>
      <c r="PBB101" s="142"/>
      <c r="PBC101" s="142"/>
      <c r="PBD101" s="142"/>
      <c r="PBE101" s="142"/>
      <c r="PBF101" s="142"/>
      <c r="PBG101" s="142"/>
      <c r="PBH101" s="142"/>
      <c r="PBI101" s="142"/>
      <c r="PBJ101" s="142"/>
      <c r="PBK101" s="142"/>
      <c r="PBL101" s="142"/>
      <c r="PBM101" s="142"/>
      <c r="PBN101" s="142"/>
      <c r="PBO101" s="142"/>
      <c r="PBP101" s="142"/>
      <c r="PBQ101" s="142"/>
      <c r="PBR101" s="142"/>
      <c r="PBS101" s="142"/>
      <c r="PBT101" s="142"/>
      <c r="PBU101" s="142"/>
      <c r="PBV101" s="142"/>
      <c r="PBW101" s="142"/>
      <c r="PBX101" s="142"/>
      <c r="PBY101" s="142"/>
      <c r="PBZ101" s="142"/>
      <c r="PCA101" s="142"/>
      <c r="PCB101" s="142"/>
      <c r="PCC101" s="142"/>
      <c r="PCD101" s="142"/>
      <c r="PCE101" s="142"/>
      <c r="PCF101" s="142"/>
      <c r="PCG101" s="142"/>
      <c r="PCH101" s="142"/>
      <c r="PCI101" s="142"/>
      <c r="PCJ101" s="142"/>
      <c r="PCK101" s="142"/>
      <c r="PCL101" s="142"/>
      <c r="PCM101" s="142"/>
      <c r="PCN101" s="142"/>
      <c r="PCO101" s="142"/>
      <c r="PCP101" s="142"/>
      <c r="PCQ101" s="142"/>
      <c r="PCR101" s="142"/>
      <c r="PCS101" s="142"/>
      <c r="PCT101" s="142"/>
      <c r="PCU101" s="142"/>
      <c r="PCV101" s="142"/>
      <c r="PCW101" s="142"/>
      <c r="PCX101" s="142"/>
      <c r="PCY101" s="142"/>
      <c r="PCZ101" s="142"/>
      <c r="PDA101" s="142"/>
      <c r="PDB101" s="142"/>
      <c r="PDC101" s="142"/>
      <c r="PDD101" s="142"/>
      <c r="PDE101" s="142"/>
      <c r="PDF101" s="142"/>
      <c r="PDG101" s="142"/>
      <c r="PDH101" s="142"/>
      <c r="PDI101" s="142"/>
      <c r="PDJ101" s="142"/>
      <c r="PDK101" s="142"/>
      <c r="PDL101" s="142"/>
      <c r="PDM101" s="142"/>
      <c r="PDN101" s="142"/>
      <c r="PDO101" s="142"/>
      <c r="PDP101" s="142"/>
      <c r="PDQ101" s="142"/>
      <c r="PDR101" s="142"/>
      <c r="PDS101" s="142"/>
      <c r="PDT101" s="142"/>
      <c r="PDU101" s="142"/>
      <c r="PDV101" s="142"/>
      <c r="PDW101" s="142"/>
      <c r="PDX101" s="142"/>
      <c r="PDY101" s="142"/>
      <c r="PDZ101" s="142"/>
      <c r="PEA101" s="142"/>
      <c r="PEB101" s="142"/>
      <c r="PEC101" s="142"/>
      <c r="PED101" s="142"/>
      <c r="PEE101" s="142"/>
      <c r="PEF101" s="142"/>
      <c r="PEG101" s="142"/>
      <c r="PEH101" s="142"/>
      <c r="PEI101" s="142"/>
      <c r="PEJ101" s="142"/>
      <c r="PEK101" s="142"/>
      <c r="PEL101" s="142"/>
      <c r="PEM101" s="142"/>
      <c r="PEN101" s="142"/>
      <c r="PEO101" s="142"/>
      <c r="PEP101" s="142"/>
      <c r="PEQ101" s="142"/>
      <c r="PER101" s="142"/>
      <c r="PES101" s="142"/>
      <c r="PET101" s="142"/>
      <c r="PEU101" s="142"/>
      <c r="PEV101" s="142"/>
      <c r="PEW101" s="142"/>
      <c r="PEX101" s="142"/>
      <c r="PEY101" s="142"/>
      <c r="PEZ101" s="142"/>
      <c r="PFA101" s="142"/>
      <c r="PFB101" s="142"/>
      <c r="PFC101" s="142"/>
      <c r="PFD101" s="142"/>
      <c r="PFE101" s="142"/>
      <c r="PFF101" s="142"/>
      <c r="PFG101" s="142"/>
      <c r="PFH101" s="142"/>
      <c r="PFI101" s="142"/>
      <c r="PFJ101" s="142"/>
      <c r="PFK101" s="142"/>
      <c r="PFL101" s="142"/>
      <c r="PFM101" s="142"/>
      <c r="PFN101" s="142"/>
      <c r="PFO101" s="142"/>
      <c r="PFP101" s="142"/>
      <c r="PFQ101" s="142"/>
      <c r="PFR101" s="142"/>
      <c r="PFS101" s="142"/>
      <c r="PFT101" s="142"/>
      <c r="PFU101" s="142"/>
      <c r="PFV101" s="142"/>
      <c r="PFW101" s="142"/>
      <c r="PFX101" s="142"/>
      <c r="PFY101" s="142"/>
      <c r="PFZ101" s="142"/>
      <c r="PGA101" s="142"/>
      <c r="PGB101" s="142"/>
      <c r="PGC101" s="142"/>
      <c r="PGD101" s="142"/>
      <c r="PGE101" s="142"/>
      <c r="PGF101" s="142"/>
      <c r="PGG101" s="142"/>
      <c r="PGH101" s="142"/>
      <c r="PGI101" s="142"/>
      <c r="PGJ101" s="142"/>
      <c r="PGK101" s="142"/>
      <c r="PGL101" s="142"/>
      <c r="PGM101" s="142"/>
      <c r="PGN101" s="142"/>
      <c r="PGO101" s="142"/>
      <c r="PGP101" s="142"/>
      <c r="PGQ101" s="142"/>
      <c r="PGR101" s="142"/>
      <c r="PGS101" s="142"/>
      <c r="PGT101" s="142"/>
      <c r="PGU101" s="142"/>
      <c r="PGV101" s="142"/>
      <c r="PGW101" s="142"/>
      <c r="PGX101" s="142"/>
      <c r="PGY101" s="142"/>
      <c r="PGZ101" s="142"/>
      <c r="PHA101" s="142"/>
      <c r="PHB101" s="142"/>
      <c r="PHC101" s="142"/>
      <c r="PHD101" s="142"/>
      <c r="PHE101" s="142"/>
      <c r="PHF101" s="142"/>
      <c r="PHG101" s="142"/>
      <c r="PHH101" s="142"/>
      <c r="PHI101" s="142"/>
      <c r="PHJ101" s="142"/>
      <c r="PHK101" s="142"/>
      <c r="PHL101" s="142"/>
      <c r="PHM101" s="142"/>
      <c r="PHN101" s="142"/>
      <c r="PHO101" s="142"/>
      <c r="PHP101" s="142"/>
      <c r="PHQ101" s="142"/>
      <c r="PHR101" s="142"/>
      <c r="PHS101" s="142"/>
      <c r="PHT101" s="142"/>
      <c r="PHU101" s="142"/>
      <c r="PHV101" s="142"/>
      <c r="PHW101" s="142"/>
      <c r="PHX101" s="142"/>
      <c r="PHY101" s="142"/>
      <c r="PHZ101" s="142"/>
      <c r="PIA101" s="142"/>
      <c r="PIB101" s="142"/>
      <c r="PIC101" s="142"/>
      <c r="PID101" s="142"/>
      <c r="PIE101" s="142"/>
      <c r="PIF101" s="142"/>
      <c r="PIG101" s="142"/>
      <c r="PIH101" s="142"/>
      <c r="PII101" s="142"/>
      <c r="PIJ101" s="142"/>
      <c r="PIK101" s="142"/>
      <c r="PIL101" s="142"/>
      <c r="PIM101" s="142"/>
      <c r="PIN101" s="142"/>
      <c r="PIO101" s="142"/>
      <c r="PIP101" s="142"/>
      <c r="PIQ101" s="142"/>
      <c r="PIR101" s="142"/>
      <c r="PIS101" s="142"/>
      <c r="PIT101" s="142"/>
      <c r="PIU101" s="142"/>
      <c r="PIV101" s="142"/>
      <c r="PIW101" s="142"/>
      <c r="PIX101" s="142"/>
      <c r="PIY101" s="142"/>
      <c r="PIZ101" s="142"/>
      <c r="PJA101" s="142"/>
      <c r="PJB101" s="142"/>
      <c r="PJC101" s="142"/>
      <c r="PJD101" s="142"/>
      <c r="PJE101" s="142"/>
      <c r="PJF101" s="142"/>
      <c r="PJG101" s="142"/>
      <c r="PJH101" s="142"/>
      <c r="PJI101" s="142"/>
      <c r="PJJ101" s="142"/>
      <c r="PJK101" s="142"/>
      <c r="PJL101" s="142"/>
      <c r="PJM101" s="142"/>
      <c r="PJN101" s="142"/>
      <c r="PJO101" s="142"/>
      <c r="PJP101" s="142"/>
      <c r="PJQ101" s="142"/>
      <c r="PJR101" s="142"/>
      <c r="PJS101" s="142"/>
      <c r="PJT101" s="142"/>
      <c r="PJU101" s="142"/>
      <c r="PJV101" s="142"/>
      <c r="PJW101" s="142"/>
      <c r="PJX101" s="142"/>
      <c r="PJY101" s="142"/>
      <c r="PJZ101" s="142"/>
      <c r="PKA101" s="142"/>
      <c r="PKB101" s="142"/>
      <c r="PKC101" s="142"/>
      <c r="PKD101" s="142"/>
      <c r="PKE101" s="142"/>
      <c r="PKF101" s="142"/>
      <c r="PKG101" s="142"/>
      <c r="PKH101" s="142"/>
      <c r="PKI101" s="142"/>
      <c r="PKJ101" s="142"/>
      <c r="PKK101" s="142"/>
      <c r="PKL101" s="142"/>
      <c r="PKM101" s="142"/>
      <c r="PKN101" s="142"/>
      <c r="PKO101" s="142"/>
      <c r="PKP101" s="142"/>
      <c r="PKQ101" s="142"/>
      <c r="PKR101" s="142"/>
      <c r="PKS101" s="142"/>
      <c r="PKT101" s="142"/>
      <c r="PKU101" s="142"/>
      <c r="PKV101" s="142"/>
      <c r="PKW101" s="142"/>
      <c r="PKX101" s="142"/>
      <c r="PKY101" s="142"/>
      <c r="PKZ101" s="142"/>
      <c r="PLA101" s="142"/>
      <c r="PLB101" s="142"/>
      <c r="PLC101" s="142"/>
      <c r="PLD101" s="142"/>
      <c r="PLE101" s="142"/>
      <c r="PLF101" s="142"/>
      <c r="PLG101" s="142"/>
      <c r="PLH101" s="142"/>
      <c r="PLI101" s="142"/>
      <c r="PLJ101" s="142"/>
      <c r="PLK101" s="142"/>
      <c r="PLL101" s="142"/>
      <c r="PLM101" s="142"/>
      <c r="PLN101" s="142"/>
      <c r="PLO101" s="142"/>
      <c r="PLP101" s="142"/>
      <c r="PLQ101" s="142"/>
      <c r="PLR101" s="142"/>
      <c r="PLS101" s="142"/>
      <c r="PLT101" s="142"/>
      <c r="PLU101" s="142"/>
      <c r="PLV101" s="142"/>
      <c r="PLW101" s="142"/>
      <c r="PLX101" s="142"/>
      <c r="PLY101" s="142"/>
      <c r="PLZ101" s="142"/>
      <c r="PMA101" s="142"/>
      <c r="PMB101" s="142"/>
      <c r="PMC101" s="142"/>
      <c r="PMD101" s="142"/>
      <c r="PME101" s="142"/>
      <c r="PMF101" s="142"/>
      <c r="PMG101" s="142"/>
      <c r="PMH101" s="142"/>
      <c r="PMI101" s="142"/>
      <c r="PMJ101" s="142"/>
      <c r="PMK101" s="142"/>
      <c r="PML101" s="142"/>
      <c r="PMM101" s="142"/>
      <c r="PMN101" s="142"/>
      <c r="PMO101" s="142"/>
      <c r="PMP101" s="142"/>
      <c r="PMQ101" s="142"/>
      <c r="PMR101" s="142"/>
      <c r="PMS101" s="142"/>
      <c r="PMT101" s="142"/>
      <c r="PMU101" s="142"/>
      <c r="PMV101" s="142"/>
      <c r="PMW101" s="142"/>
      <c r="PMX101" s="142"/>
      <c r="PMY101" s="142"/>
      <c r="PMZ101" s="142"/>
      <c r="PNA101" s="142"/>
      <c r="PNB101" s="142"/>
      <c r="PNC101" s="142"/>
      <c r="PND101" s="142"/>
      <c r="PNE101" s="142"/>
      <c r="PNF101" s="142"/>
      <c r="PNG101" s="142"/>
      <c r="PNH101" s="142"/>
      <c r="PNI101" s="142"/>
      <c r="PNJ101" s="142"/>
      <c r="PNK101" s="142"/>
      <c r="PNL101" s="142"/>
      <c r="PNM101" s="142"/>
      <c r="PNN101" s="142"/>
      <c r="PNO101" s="142"/>
      <c r="PNP101" s="142"/>
      <c r="PNQ101" s="142"/>
      <c r="PNR101" s="142"/>
      <c r="PNS101" s="142"/>
      <c r="PNT101" s="142"/>
      <c r="PNU101" s="142"/>
      <c r="PNV101" s="142"/>
      <c r="PNW101" s="142"/>
      <c r="PNX101" s="142"/>
      <c r="PNY101" s="142"/>
      <c r="PNZ101" s="142"/>
      <c r="POA101" s="142"/>
      <c r="POB101" s="142"/>
      <c r="POC101" s="142"/>
      <c r="POD101" s="142"/>
      <c r="POE101" s="142"/>
      <c r="POF101" s="142"/>
      <c r="POG101" s="142"/>
      <c r="POH101" s="142"/>
      <c r="POI101" s="142"/>
      <c r="POJ101" s="142"/>
      <c r="POK101" s="142"/>
      <c r="POL101" s="142"/>
      <c r="POM101" s="142"/>
      <c r="PON101" s="142"/>
      <c r="POO101" s="142"/>
      <c r="POP101" s="142"/>
      <c r="POQ101" s="142"/>
      <c r="POR101" s="142"/>
      <c r="POS101" s="142"/>
      <c r="POT101" s="142"/>
      <c r="POU101" s="142"/>
      <c r="POV101" s="142"/>
      <c r="POW101" s="142"/>
      <c r="POX101" s="142"/>
      <c r="POY101" s="142"/>
      <c r="POZ101" s="142"/>
      <c r="PPA101" s="142"/>
      <c r="PPB101" s="142"/>
      <c r="PPC101" s="142"/>
      <c r="PPD101" s="142"/>
      <c r="PPE101" s="142"/>
      <c r="PPF101" s="142"/>
      <c r="PPG101" s="142"/>
      <c r="PPH101" s="142"/>
      <c r="PPI101" s="142"/>
      <c r="PPJ101" s="142"/>
      <c r="PPK101" s="142"/>
      <c r="PPL101" s="142"/>
      <c r="PPM101" s="142"/>
      <c r="PPN101" s="142"/>
      <c r="PPO101" s="142"/>
      <c r="PPP101" s="142"/>
      <c r="PPQ101" s="142"/>
      <c r="PPR101" s="142"/>
      <c r="PPS101" s="142"/>
      <c r="PPT101" s="142"/>
      <c r="PPU101" s="142"/>
      <c r="PPV101" s="142"/>
      <c r="PPW101" s="142"/>
      <c r="PPX101" s="142"/>
      <c r="PPY101" s="142"/>
      <c r="PPZ101" s="142"/>
      <c r="PQA101" s="142"/>
      <c r="PQB101" s="142"/>
      <c r="PQC101" s="142"/>
      <c r="PQD101" s="142"/>
      <c r="PQE101" s="142"/>
      <c r="PQF101" s="142"/>
      <c r="PQG101" s="142"/>
      <c r="PQH101" s="142"/>
      <c r="PQI101" s="142"/>
      <c r="PQJ101" s="142"/>
      <c r="PQK101" s="142"/>
      <c r="PQL101" s="142"/>
      <c r="PQM101" s="142"/>
      <c r="PQN101" s="142"/>
      <c r="PQO101" s="142"/>
      <c r="PQP101" s="142"/>
      <c r="PQQ101" s="142"/>
      <c r="PQR101" s="142"/>
      <c r="PQS101" s="142"/>
      <c r="PQT101" s="142"/>
      <c r="PQU101" s="142"/>
      <c r="PQV101" s="142"/>
      <c r="PQW101" s="142"/>
      <c r="PQX101" s="142"/>
      <c r="PQY101" s="142"/>
      <c r="PQZ101" s="142"/>
      <c r="PRA101" s="142"/>
      <c r="PRB101" s="142"/>
      <c r="PRC101" s="142"/>
      <c r="PRD101" s="142"/>
      <c r="PRE101" s="142"/>
      <c r="PRF101" s="142"/>
      <c r="PRG101" s="142"/>
      <c r="PRH101" s="142"/>
      <c r="PRI101" s="142"/>
      <c r="PRJ101" s="142"/>
      <c r="PRK101" s="142"/>
      <c r="PRL101" s="142"/>
      <c r="PRM101" s="142"/>
      <c r="PRN101" s="142"/>
      <c r="PRO101" s="142"/>
      <c r="PRP101" s="142"/>
      <c r="PRQ101" s="142"/>
      <c r="PRR101" s="142"/>
      <c r="PRS101" s="142"/>
      <c r="PRT101" s="142"/>
      <c r="PRU101" s="142"/>
      <c r="PRV101" s="142"/>
      <c r="PRW101" s="142"/>
      <c r="PRX101" s="142"/>
      <c r="PRY101" s="142"/>
      <c r="PRZ101" s="142"/>
      <c r="PSA101" s="142"/>
      <c r="PSB101" s="142"/>
      <c r="PSC101" s="142"/>
      <c r="PSD101" s="142"/>
      <c r="PSE101" s="142"/>
      <c r="PSF101" s="142"/>
      <c r="PSG101" s="142"/>
      <c r="PSH101" s="142"/>
      <c r="PSI101" s="142"/>
      <c r="PSJ101" s="142"/>
      <c r="PSK101" s="142"/>
      <c r="PSL101" s="142"/>
      <c r="PSM101" s="142"/>
      <c r="PSN101" s="142"/>
      <c r="PSO101" s="142"/>
      <c r="PSP101" s="142"/>
      <c r="PSQ101" s="142"/>
      <c r="PSR101" s="142"/>
      <c r="PSS101" s="142"/>
      <c r="PST101" s="142"/>
      <c r="PSU101" s="142"/>
      <c r="PSV101" s="142"/>
      <c r="PSW101" s="142"/>
      <c r="PSX101" s="142"/>
      <c r="PSY101" s="142"/>
      <c r="PSZ101" s="142"/>
      <c r="PTA101" s="142"/>
      <c r="PTB101" s="142"/>
      <c r="PTC101" s="142"/>
      <c r="PTD101" s="142"/>
      <c r="PTE101" s="142"/>
      <c r="PTF101" s="142"/>
      <c r="PTG101" s="142"/>
      <c r="PTH101" s="142"/>
      <c r="PTI101" s="142"/>
      <c r="PTJ101" s="142"/>
      <c r="PTK101" s="142"/>
      <c r="PTL101" s="142"/>
      <c r="PTM101" s="142"/>
      <c r="PTN101" s="142"/>
      <c r="PTO101" s="142"/>
      <c r="PTP101" s="142"/>
      <c r="PTQ101" s="142"/>
      <c r="PTR101" s="142"/>
      <c r="PTS101" s="142"/>
      <c r="PTT101" s="142"/>
      <c r="PTU101" s="142"/>
      <c r="PTV101" s="142"/>
      <c r="PTW101" s="142"/>
      <c r="PTX101" s="142"/>
      <c r="PTY101" s="142"/>
      <c r="PTZ101" s="142"/>
      <c r="PUA101" s="142"/>
      <c r="PUB101" s="142"/>
      <c r="PUC101" s="142"/>
      <c r="PUD101" s="142"/>
      <c r="PUE101" s="142"/>
      <c r="PUF101" s="142"/>
      <c r="PUG101" s="142"/>
      <c r="PUH101" s="142"/>
      <c r="PUI101" s="142"/>
      <c r="PUJ101" s="142"/>
      <c r="PUK101" s="142"/>
      <c r="PUL101" s="142"/>
      <c r="PUM101" s="142"/>
      <c r="PUN101" s="142"/>
      <c r="PUO101" s="142"/>
      <c r="PUP101" s="142"/>
      <c r="PUQ101" s="142"/>
      <c r="PUR101" s="142"/>
      <c r="PUS101" s="142"/>
      <c r="PUT101" s="142"/>
      <c r="PUU101" s="142"/>
      <c r="PUV101" s="142"/>
      <c r="PUW101" s="142"/>
      <c r="PUX101" s="142"/>
      <c r="PUY101" s="142"/>
      <c r="PUZ101" s="142"/>
      <c r="PVA101" s="142"/>
      <c r="PVB101" s="142"/>
      <c r="PVC101" s="142"/>
      <c r="PVD101" s="142"/>
      <c r="PVE101" s="142"/>
      <c r="PVF101" s="142"/>
      <c r="PVG101" s="142"/>
      <c r="PVH101" s="142"/>
      <c r="PVI101" s="142"/>
      <c r="PVJ101" s="142"/>
      <c r="PVK101" s="142"/>
      <c r="PVL101" s="142"/>
      <c r="PVM101" s="142"/>
      <c r="PVN101" s="142"/>
      <c r="PVO101" s="142"/>
      <c r="PVP101" s="142"/>
      <c r="PVQ101" s="142"/>
      <c r="PVR101" s="142"/>
      <c r="PVS101" s="142"/>
      <c r="PVT101" s="142"/>
      <c r="PVU101" s="142"/>
      <c r="PVV101" s="142"/>
      <c r="PVW101" s="142"/>
      <c r="PVX101" s="142"/>
      <c r="PVY101" s="142"/>
      <c r="PVZ101" s="142"/>
      <c r="PWA101" s="142"/>
      <c r="PWB101" s="142"/>
      <c r="PWC101" s="142"/>
      <c r="PWD101" s="142"/>
      <c r="PWE101" s="142"/>
      <c r="PWF101" s="142"/>
      <c r="PWG101" s="142"/>
      <c r="PWH101" s="142"/>
      <c r="PWI101" s="142"/>
      <c r="PWJ101" s="142"/>
      <c r="PWK101" s="142"/>
      <c r="PWL101" s="142"/>
      <c r="PWM101" s="142"/>
      <c r="PWN101" s="142"/>
      <c r="PWO101" s="142"/>
      <c r="PWP101" s="142"/>
      <c r="PWQ101" s="142"/>
      <c r="PWR101" s="142"/>
      <c r="PWS101" s="142"/>
      <c r="PWT101" s="142"/>
      <c r="PWU101" s="142"/>
      <c r="PWV101" s="142"/>
      <c r="PWW101" s="142"/>
      <c r="PWX101" s="142"/>
      <c r="PWY101" s="142"/>
      <c r="PWZ101" s="142"/>
      <c r="PXA101" s="142"/>
      <c r="PXB101" s="142"/>
      <c r="PXC101" s="142"/>
      <c r="PXD101" s="142"/>
      <c r="PXE101" s="142"/>
      <c r="PXF101" s="142"/>
      <c r="PXG101" s="142"/>
      <c r="PXH101" s="142"/>
      <c r="PXI101" s="142"/>
      <c r="PXJ101" s="142"/>
      <c r="PXK101" s="142"/>
      <c r="PXL101" s="142"/>
      <c r="PXM101" s="142"/>
      <c r="PXN101" s="142"/>
      <c r="PXO101" s="142"/>
      <c r="PXP101" s="142"/>
      <c r="PXQ101" s="142"/>
      <c r="PXR101" s="142"/>
      <c r="PXS101" s="142"/>
      <c r="PXT101" s="142"/>
      <c r="PXU101" s="142"/>
      <c r="PXV101" s="142"/>
      <c r="PXW101" s="142"/>
      <c r="PXX101" s="142"/>
      <c r="PXY101" s="142"/>
      <c r="PXZ101" s="142"/>
      <c r="PYA101" s="142"/>
      <c r="PYB101" s="142"/>
      <c r="PYC101" s="142"/>
      <c r="PYD101" s="142"/>
      <c r="PYE101" s="142"/>
      <c r="PYF101" s="142"/>
      <c r="PYG101" s="142"/>
      <c r="PYH101" s="142"/>
      <c r="PYI101" s="142"/>
      <c r="PYJ101" s="142"/>
      <c r="PYK101" s="142"/>
      <c r="PYL101" s="142"/>
      <c r="PYM101" s="142"/>
      <c r="PYN101" s="142"/>
      <c r="PYO101" s="142"/>
      <c r="PYP101" s="142"/>
      <c r="PYQ101" s="142"/>
      <c r="PYR101" s="142"/>
      <c r="PYS101" s="142"/>
      <c r="PYT101" s="142"/>
      <c r="PYU101" s="142"/>
      <c r="PYV101" s="142"/>
      <c r="PYW101" s="142"/>
      <c r="PYX101" s="142"/>
      <c r="PYY101" s="142"/>
      <c r="PYZ101" s="142"/>
      <c r="PZA101" s="142"/>
      <c r="PZB101" s="142"/>
      <c r="PZC101" s="142"/>
      <c r="PZD101" s="142"/>
      <c r="PZE101" s="142"/>
      <c r="PZF101" s="142"/>
      <c r="PZG101" s="142"/>
      <c r="PZH101" s="142"/>
      <c r="PZI101" s="142"/>
      <c r="PZJ101" s="142"/>
      <c r="PZK101" s="142"/>
      <c r="PZL101" s="142"/>
      <c r="PZM101" s="142"/>
      <c r="PZN101" s="142"/>
      <c r="PZO101" s="142"/>
      <c r="PZP101" s="142"/>
      <c r="PZQ101" s="142"/>
      <c r="PZR101" s="142"/>
      <c r="PZS101" s="142"/>
      <c r="PZT101" s="142"/>
      <c r="PZU101" s="142"/>
      <c r="PZV101" s="142"/>
      <c r="PZW101" s="142"/>
      <c r="PZX101" s="142"/>
      <c r="PZY101" s="142"/>
      <c r="PZZ101" s="142"/>
      <c r="QAA101" s="142"/>
      <c r="QAB101" s="142"/>
      <c r="QAC101" s="142"/>
      <c r="QAD101" s="142"/>
      <c r="QAE101" s="142"/>
      <c r="QAF101" s="142"/>
      <c r="QAG101" s="142"/>
      <c r="QAH101" s="142"/>
      <c r="QAI101" s="142"/>
      <c r="QAJ101" s="142"/>
      <c r="QAK101" s="142"/>
      <c r="QAL101" s="142"/>
      <c r="QAM101" s="142"/>
      <c r="QAN101" s="142"/>
      <c r="QAO101" s="142"/>
      <c r="QAP101" s="142"/>
      <c r="QAQ101" s="142"/>
      <c r="QAR101" s="142"/>
      <c r="QAS101" s="142"/>
      <c r="QAT101" s="142"/>
      <c r="QAU101" s="142"/>
      <c r="QAV101" s="142"/>
      <c r="QAW101" s="142"/>
      <c r="QAX101" s="142"/>
      <c r="QAY101" s="142"/>
      <c r="QAZ101" s="142"/>
      <c r="QBA101" s="142"/>
      <c r="QBB101" s="142"/>
      <c r="QBC101" s="142"/>
      <c r="QBD101" s="142"/>
      <c r="QBE101" s="142"/>
      <c r="QBF101" s="142"/>
      <c r="QBG101" s="142"/>
      <c r="QBH101" s="142"/>
      <c r="QBI101" s="142"/>
      <c r="QBJ101" s="142"/>
      <c r="QBK101" s="142"/>
      <c r="QBL101" s="142"/>
      <c r="QBM101" s="142"/>
      <c r="QBN101" s="142"/>
      <c r="QBO101" s="142"/>
      <c r="QBP101" s="142"/>
      <c r="QBQ101" s="142"/>
      <c r="QBR101" s="142"/>
      <c r="QBS101" s="142"/>
      <c r="QBT101" s="142"/>
      <c r="QBU101" s="142"/>
      <c r="QBV101" s="142"/>
      <c r="QBW101" s="142"/>
      <c r="QBX101" s="142"/>
      <c r="QBY101" s="142"/>
      <c r="QBZ101" s="142"/>
      <c r="QCA101" s="142"/>
      <c r="QCB101" s="142"/>
      <c r="QCC101" s="142"/>
      <c r="QCD101" s="142"/>
      <c r="QCE101" s="142"/>
      <c r="QCF101" s="142"/>
      <c r="QCG101" s="142"/>
      <c r="QCH101" s="142"/>
      <c r="QCI101" s="142"/>
      <c r="QCJ101" s="142"/>
      <c r="QCK101" s="142"/>
      <c r="QCL101" s="142"/>
      <c r="QCM101" s="142"/>
      <c r="QCN101" s="142"/>
      <c r="QCO101" s="142"/>
      <c r="QCP101" s="142"/>
      <c r="QCQ101" s="142"/>
      <c r="QCR101" s="142"/>
      <c r="QCS101" s="142"/>
      <c r="QCT101" s="142"/>
      <c r="QCU101" s="142"/>
      <c r="QCV101" s="142"/>
      <c r="QCW101" s="142"/>
      <c r="QCX101" s="142"/>
      <c r="QCY101" s="142"/>
      <c r="QCZ101" s="142"/>
      <c r="QDA101" s="142"/>
      <c r="QDB101" s="142"/>
      <c r="QDC101" s="142"/>
      <c r="QDD101" s="142"/>
      <c r="QDE101" s="142"/>
      <c r="QDF101" s="142"/>
      <c r="QDG101" s="142"/>
      <c r="QDH101" s="142"/>
      <c r="QDI101" s="142"/>
      <c r="QDJ101" s="142"/>
      <c r="QDK101" s="142"/>
      <c r="QDL101" s="142"/>
      <c r="QDM101" s="142"/>
      <c r="QDN101" s="142"/>
      <c r="QDO101" s="142"/>
      <c r="QDP101" s="142"/>
      <c r="QDQ101" s="142"/>
      <c r="QDR101" s="142"/>
      <c r="QDS101" s="142"/>
      <c r="QDT101" s="142"/>
      <c r="QDU101" s="142"/>
      <c r="QDV101" s="142"/>
      <c r="QDW101" s="142"/>
      <c r="QDX101" s="142"/>
      <c r="QDY101" s="142"/>
      <c r="QDZ101" s="142"/>
      <c r="QEA101" s="142"/>
      <c r="QEB101" s="142"/>
      <c r="QEC101" s="142"/>
      <c r="QED101" s="142"/>
      <c r="QEE101" s="142"/>
      <c r="QEF101" s="142"/>
      <c r="QEG101" s="142"/>
      <c r="QEH101" s="142"/>
      <c r="QEI101" s="142"/>
      <c r="QEJ101" s="142"/>
      <c r="QEK101" s="142"/>
      <c r="QEL101" s="142"/>
      <c r="QEM101" s="142"/>
      <c r="QEN101" s="142"/>
      <c r="QEO101" s="142"/>
      <c r="QEP101" s="142"/>
      <c r="QEQ101" s="142"/>
      <c r="QER101" s="142"/>
      <c r="QES101" s="142"/>
      <c r="QET101" s="142"/>
      <c r="QEU101" s="142"/>
      <c r="QEV101" s="142"/>
      <c r="QEW101" s="142"/>
      <c r="QEX101" s="142"/>
      <c r="QEY101" s="142"/>
      <c r="QEZ101" s="142"/>
      <c r="QFA101" s="142"/>
      <c r="QFB101" s="142"/>
      <c r="QFC101" s="142"/>
      <c r="QFD101" s="142"/>
      <c r="QFE101" s="142"/>
      <c r="QFF101" s="142"/>
      <c r="QFG101" s="142"/>
      <c r="QFH101" s="142"/>
      <c r="QFI101" s="142"/>
      <c r="QFJ101" s="142"/>
      <c r="QFK101" s="142"/>
      <c r="QFL101" s="142"/>
      <c r="QFM101" s="142"/>
      <c r="QFN101" s="142"/>
      <c r="QFO101" s="142"/>
      <c r="QFP101" s="142"/>
      <c r="QFQ101" s="142"/>
      <c r="QFR101" s="142"/>
      <c r="QFS101" s="142"/>
      <c r="QFT101" s="142"/>
      <c r="QFU101" s="142"/>
      <c r="QFV101" s="142"/>
      <c r="QFW101" s="142"/>
      <c r="QFX101" s="142"/>
      <c r="QFY101" s="142"/>
      <c r="QFZ101" s="142"/>
      <c r="QGA101" s="142"/>
      <c r="QGB101" s="142"/>
      <c r="QGC101" s="142"/>
      <c r="QGD101" s="142"/>
      <c r="QGE101" s="142"/>
      <c r="QGF101" s="142"/>
      <c r="QGG101" s="142"/>
      <c r="QGH101" s="142"/>
      <c r="QGI101" s="142"/>
      <c r="QGJ101" s="142"/>
      <c r="QGK101" s="142"/>
      <c r="QGL101" s="142"/>
      <c r="QGM101" s="142"/>
      <c r="QGN101" s="142"/>
      <c r="QGO101" s="142"/>
      <c r="QGP101" s="142"/>
      <c r="QGQ101" s="142"/>
      <c r="QGR101" s="142"/>
      <c r="QGS101" s="142"/>
      <c r="QGT101" s="142"/>
      <c r="QGU101" s="142"/>
      <c r="QGV101" s="142"/>
      <c r="QGW101" s="142"/>
      <c r="QGX101" s="142"/>
      <c r="QGY101" s="142"/>
      <c r="QGZ101" s="142"/>
      <c r="QHA101" s="142"/>
      <c r="QHB101" s="142"/>
      <c r="QHC101" s="142"/>
      <c r="QHD101" s="142"/>
      <c r="QHE101" s="142"/>
      <c r="QHF101" s="142"/>
      <c r="QHG101" s="142"/>
      <c r="QHH101" s="142"/>
      <c r="QHI101" s="142"/>
      <c r="QHJ101" s="142"/>
      <c r="QHK101" s="142"/>
      <c r="QHL101" s="142"/>
      <c r="QHM101" s="142"/>
      <c r="QHN101" s="142"/>
      <c r="QHO101" s="142"/>
      <c r="QHP101" s="142"/>
      <c r="QHQ101" s="142"/>
      <c r="QHR101" s="142"/>
      <c r="QHS101" s="142"/>
      <c r="QHT101" s="142"/>
      <c r="QHU101" s="142"/>
      <c r="QHV101" s="142"/>
      <c r="QHW101" s="142"/>
      <c r="QHX101" s="142"/>
      <c r="QHY101" s="142"/>
      <c r="QHZ101" s="142"/>
      <c r="QIA101" s="142"/>
      <c r="QIB101" s="142"/>
      <c r="QIC101" s="142"/>
      <c r="QID101" s="142"/>
      <c r="QIE101" s="142"/>
      <c r="QIF101" s="142"/>
      <c r="QIG101" s="142"/>
      <c r="QIH101" s="142"/>
      <c r="QII101" s="142"/>
      <c r="QIJ101" s="142"/>
      <c r="QIK101" s="142"/>
      <c r="QIL101" s="142"/>
      <c r="QIM101" s="142"/>
      <c r="QIN101" s="142"/>
      <c r="QIO101" s="142"/>
      <c r="QIP101" s="142"/>
      <c r="QIQ101" s="142"/>
      <c r="QIR101" s="142"/>
      <c r="QIS101" s="142"/>
      <c r="QIT101" s="142"/>
      <c r="QIU101" s="142"/>
      <c r="QIV101" s="142"/>
      <c r="QIW101" s="142"/>
      <c r="QIX101" s="142"/>
      <c r="QIY101" s="142"/>
      <c r="QIZ101" s="142"/>
      <c r="QJA101" s="142"/>
      <c r="QJB101" s="142"/>
      <c r="QJC101" s="142"/>
      <c r="QJD101" s="142"/>
      <c r="QJE101" s="142"/>
      <c r="QJF101" s="142"/>
      <c r="QJG101" s="142"/>
      <c r="QJH101" s="142"/>
      <c r="QJI101" s="142"/>
      <c r="QJJ101" s="142"/>
      <c r="QJK101" s="142"/>
      <c r="QJL101" s="142"/>
      <c r="QJM101" s="142"/>
      <c r="QJN101" s="142"/>
      <c r="QJO101" s="142"/>
      <c r="QJP101" s="142"/>
      <c r="QJQ101" s="142"/>
      <c r="QJR101" s="142"/>
      <c r="QJS101" s="142"/>
      <c r="QJT101" s="142"/>
      <c r="QJU101" s="142"/>
      <c r="QJV101" s="142"/>
      <c r="QJW101" s="142"/>
      <c r="QJX101" s="142"/>
      <c r="QJY101" s="142"/>
      <c r="QJZ101" s="142"/>
      <c r="QKA101" s="142"/>
      <c r="QKB101" s="142"/>
      <c r="QKC101" s="142"/>
      <c r="QKD101" s="142"/>
      <c r="QKE101" s="142"/>
      <c r="QKF101" s="142"/>
      <c r="QKG101" s="142"/>
      <c r="QKH101" s="142"/>
      <c r="QKI101" s="142"/>
      <c r="QKJ101" s="142"/>
      <c r="QKK101" s="142"/>
      <c r="QKL101" s="142"/>
      <c r="QKM101" s="142"/>
      <c r="QKN101" s="142"/>
      <c r="QKO101" s="142"/>
      <c r="QKP101" s="142"/>
      <c r="QKQ101" s="142"/>
      <c r="QKR101" s="142"/>
      <c r="QKS101" s="142"/>
      <c r="QKT101" s="142"/>
      <c r="QKU101" s="142"/>
      <c r="QKV101" s="142"/>
      <c r="QKW101" s="142"/>
      <c r="QKX101" s="142"/>
      <c r="QKY101" s="142"/>
      <c r="QKZ101" s="142"/>
      <c r="QLA101" s="142"/>
      <c r="QLB101" s="142"/>
      <c r="QLC101" s="142"/>
      <c r="QLD101" s="142"/>
      <c r="QLE101" s="142"/>
      <c r="QLF101" s="142"/>
      <c r="QLG101" s="142"/>
      <c r="QLH101" s="142"/>
      <c r="QLI101" s="142"/>
      <c r="QLJ101" s="142"/>
      <c r="QLK101" s="142"/>
      <c r="QLL101" s="142"/>
      <c r="QLM101" s="142"/>
      <c r="QLN101" s="142"/>
      <c r="QLO101" s="142"/>
      <c r="QLP101" s="142"/>
      <c r="QLQ101" s="142"/>
      <c r="QLR101" s="142"/>
      <c r="QLS101" s="142"/>
      <c r="QLT101" s="142"/>
      <c r="QLU101" s="142"/>
      <c r="QLV101" s="142"/>
      <c r="QLW101" s="142"/>
      <c r="QLX101" s="142"/>
      <c r="QLY101" s="142"/>
      <c r="QLZ101" s="142"/>
      <c r="QMA101" s="142"/>
      <c r="QMB101" s="142"/>
      <c r="QMC101" s="142"/>
      <c r="QMD101" s="142"/>
      <c r="QME101" s="142"/>
      <c r="QMF101" s="142"/>
      <c r="QMG101" s="142"/>
      <c r="QMH101" s="142"/>
      <c r="QMI101" s="142"/>
      <c r="QMJ101" s="142"/>
      <c r="QMK101" s="142"/>
      <c r="QML101" s="142"/>
      <c r="QMM101" s="142"/>
      <c r="QMN101" s="142"/>
      <c r="QMO101" s="142"/>
      <c r="QMP101" s="142"/>
      <c r="QMQ101" s="142"/>
      <c r="QMR101" s="142"/>
      <c r="QMS101" s="142"/>
      <c r="QMT101" s="142"/>
      <c r="QMU101" s="142"/>
      <c r="QMV101" s="142"/>
      <c r="QMW101" s="142"/>
      <c r="QMX101" s="142"/>
      <c r="QMY101" s="142"/>
      <c r="QMZ101" s="142"/>
      <c r="QNA101" s="142"/>
      <c r="QNB101" s="142"/>
      <c r="QNC101" s="142"/>
      <c r="QND101" s="142"/>
      <c r="QNE101" s="142"/>
      <c r="QNF101" s="142"/>
      <c r="QNG101" s="142"/>
      <c r="QNH101" s="142"/>
      <c r="QNI101" s="142"/>
      <c r="QNJ101" s="142"/>
      <c r="QNK101" s="142"/>
      <c r="QNL101" s="142"/>
      <c r="QNM101" s="142"/>
      <c r="QNN101" s="142"/>
      <c r="QNO101" s="142"/>
      <c r="QNP101" s="142"/>
      <c r="QNQ101" s="142"/>
      <c r="QNR101" s="142"/>
      <c r="QNS101" s="142"/>
      <c r="QNT101" s="142"/>
      <c r="QNU101" s="142"/>
      <c r="QNV101" s="142"/>
      <c r="QNW101" s="142"/>
      <c r="QNX101" s="142"/>
      <c r="QNY101" s="142"/>
      <c r="QNZ101" s="142"/>
      <c r="QOA101" s="142"/>
      <c r="QOB101" s="142"/>
      <c r="QOC101" s="142"/>
      <c r="QOD101" s="142"/>
      <c r="QOE101" s="142"/>
      <c r="QOF101" s="142"/>
      <c r="QOG101" s="142"/>
      <c r="QOH101" s="142"/>
      <c r="QOI101" s="142"/>
      <c r="QOJ101" s="142"/>
      <c r="QOK101" s="142"/>
      <c r="QOL101" s="142"/>
      <c r="QOM101" s="142"/>
      <c r="QON101" s="142"/>
      <c r="QOO101" s="142"/>
      <c r="QOP101" s="142"/>
      <c r="QOQ101" s="142"/>
      <c r="QOR101" s="142"/>
      <c r="QOS101" s="142"/>
      <c r="QOT101" s="142"/>
      <c r="QOU101" s="142"/>
      <c r="QOV101" s="142"/>
      <c r="QOW101" s="142"/>
      <c r="QOX101" s="142"/>
      <c r="QOY101" s="142"/>
      <c r="QOZ101" s="142"/>
      <c r="QPA101" s="142"/>
      <c r="QPB101" s="142"/>
      <c r="QPC101" s="142"/>
      <c r="QPD101" s="142"/>
      <c r="QPE101" s="142"/>
      <c r="QPF101" s="142"/>
      <c r="QPG101" s="142"/>
      <c r="QPH101" s="142"/>
      <c r="QPI101" s="142"/>
      <c r="QPJ101" s="142"/>
      <c r="QPK101" s="142"/>
      <c r="QPL101" s="142"/>
      <c r="QPM101" s="142"/>
      <c r="QPN101" s="142"/>
      <c r="QPO101" s="142"/>
      <c r="QPP101" s="142"/>
      <c r="QPQ101" s="142"/>
      <c r="QPR101" s="142"/>
      <c r="QPS101" s="142"/>
      <c r="QPT101" s="142"/>
      <c r="QPU101" s="142"/>
      <c r="QPV101" s="142"/>
      <c r="QPW101" s="142"/>
      <c r="QPX101" s="142"/>
      <c r="QPY101" s="142"/>
      <c r="QPZ101" s="142"/>
      <c r="QQA101" s="142"/>
      <c r="QQB101" s="142"/>
      <c r="QQC101" s="142"/>
      <c r="QQD101" s="142"/>
      <c r="QQE101" s="142"/>
      <c r="QQF101" s="142"/>
      <c r="QQG101" s="142"/>
      <c r="QQH101" s="142"/>
      <c r="QQI101" s="142"/>
      <c r="QQJ101" s="142"/>
      <c r="QQK101" s="142"/>
      <c r="QQL101" s="142"/>
      <c r="QQM101" s="142"/>
      <c r="QQN101" s="142"/>
      <c r="QQO101" s="142"/>
      <c r="QQP101" s="142"/>
      <c r="QQQ101" s="142"/>
      <c r="QQR101" s="142"/>
      <c r="QQS101" s="142"/>
      <c r="QQT101" s="142"/>
      <c r="QQU101" s="142"/>
      <c r="QQV101" s="142"/>
      <c r="QQW101" s="142"/>
      <c r="QQX101" s="142"/>
      <c r="QQY101" s="142"/>
      <c r="QQZ101" s="142"/>
      <c r="QRA101" s="142"/>
      <c r="QRB101" s="142"/>
      <c r="QRC101" s="142"/>
      <c r="QRD101" s="142"/>
      <c r="QRE101" s="142"/>
      <c r="QRF101" s="142"/>
      <c r="QRG101" s="142"/>
      <c r="QRH101" s="142"/>
      <c r="QRI101" s="142"/>
      <c r="QRJ101" s="142"/>
      <c r="QRK101" s="142"/>
      <c r="QRL101" s="142"/>
      <c r="QRM101" s="142"/>
      <c r="QRN101" s="142"/>
      <c r="QRO101" s="142"/>
      <c r="QRP101" s="142"/>
      <c r="QRQ101" s="142"/>
      <c r="QRR101" s="142"/>
      <c r="QRS101" s="142"/>
      <c r="QRT101" s="142"/>
      <c r="QRU101" s="142"/>
      <c r="QRV101" s="142"/>
      <c r="QRW101" s="142"/>
      <c r="QRX101" s="142"/>
      <c r="QRY101" s="142"/>
      <c r="QRZ101" s="142"/>
      <c r="QSA101" s="142"/>
      <c r="QSB101" s="142"/>
      <c r="QSC101" s="142"/>
      <c r="QSD101" s="142"/>
      <c r="QSE101" s="142"/>
      <c r="QSF101" s="142"/>
      <c r="QSG101" s="142"/>
      <c r="QSH101" s="142"/>
      <c r="QSI101" s="142"/>
      <c r="QSJ101" s="142"/>
      <c r="QSK101" s="142"/>
      <c r="QSL101" s="142"/>
      <c r="QSM101" s="142"/>
      <c r="QSN101" s="142"/>
      <c r="QSO101" s="142"/>
      <c r="QSP101" s="142"/>
      <c r="QSQ101" s="142"/>
      <c r="QSR101" s="142"/>
      <c r="QSS101" s="142"/>
      <c r="QST101" s="142"/>
      <c r="QSU101" s="142"/>
      <c r="QSV101" s="142"/>
      <c r="QSW101" s="142"/>
      <c r="QSX101" s="142"/>
      <c r="QSY101" s="142"/>
      <c r="QSZ101" s="142"/>
      <c r="QTA101" s="142"/>
      <c r="QTB101" s="142"/>
      <c r="QTC101" s="142"/>
      <c r="QTD101" s="142"/>
      <c r="QTE101" s="142"/>
      <c r="QTF101" s="142"/>
      <c r="QTG101" s="142"/>
      <c r="QTH101" s="142"/>
      <c r="QTI101" s="142"/>
      <c r="QTJ101" s="142"/>
      <c r="QTK101" s="142"/>
      <c r="QTL101" s="142"/>
      <c r="QTM101" s="142"/>
      <c r="QTN101" s="142"/>
      <c r="QTO101" s="142"/>
      <c r="QTP101" s="142"/>
      <c r="QTQ101" s="142"/>
      <c r="QTR101" s="142"/>
      <c r="QTS101" s="142"/>
      <c r="QTT101" s="142"/>
      <c r="QTU101" s="142"/>
      <c r="QTV101" s="142"/>
      <c r="QTW101" s="142"/>
      <c r="QTX101" s="142"/>
      <c r="QTY101" s="142"/>
      <c r="QTZ101" s="142"/>
      <c r="QUA101" s="142"/>
      <c r="QUB101" s="142"/>
      <c r="QUC101" s="142"/>
      <c r="QUD101" s="142"/>
      <c r="QUE101" s="142"/>
      <c r="QUF101" s="142"/>
      <c r="QUG101" s="142"/>
      <c r="QUH101" s="142"/>
      <c r="QUI101" s="142"/>
      <c r="QUJ101" s="142"/>
      <c r="QUK101" s="142"/>
      <c r="QUL101" s="142"/>
      <c r="QUM101" s="142"/>
      <c r="QUN101" s="142"/>
      <c r="QUO101" s="142"/>
      <c r="QUP101" s="142"/>
      <c r="QUQ101" s="142"/>
      <c r="QUR101" s="142"/>
      <c r="QUS101" s="142"/>
      <c r="QUT101" s="142"/>
      <c r="QUU101" s="142"/>
      <c r="QUV101" s="142"/>
      <c r="QUW101" s="142"/>
      <c r="QUX101" s="142"/>
      <c r="QUY101" s="142"/>
      <c r="QUZ101" s="142"/>
      <c r="QVA101" s="142"/>
      <c r="QVB101" s="142"/>
      <c r="QVC101" s="142"/>
      <c r="QVD101" s="142"/>
      <c r="QVE101" s="142"/>
      <c r="QVF101" s="142"/>
      <c r="QVG101" s="142"/>
      <c r="QVH101" s="142"/>
      <c r="QVI101" s="142"/>
      <c r="QVJ101" s="142"/>
      <c r="QVK101" s="142"/>
      <c r="QVL101" s="142"/>
      <c r="QVM101" s="142"/>
      <c r="QVN101" s="142"/>
      <c r="QVO101" s="142"/>
      <c r="QVP101" s="142"/>
      <c r="QVQ101" s="142"/>
      <c r="QVR101" s="142"/>
      <c r="QVS101" s="142"/>
      <c r="QVT101" s="142"/>
      <c r="QVU101" s="142"/>
      <c r="QVV101" s="142"/>
      <c r="QVW101" s="142"/>
      <c r="QVX101" s="142"/>
      <c r="QVY101" s="142"/>
      <c r="QVZ101" s="142"/>
      <c r="QWA101" s="142"/>
      <c r="QWB101" s="142"/>
      <c r="QWC101" s="142"/>
      <c r="QWD101" s="142"/>
      <c r="QWE101" s="142"/>
      <c r="QWF101" s="142"/>
      <c r="QWG101" s="142"/>
      <c r="QWH101" s="142"/>
      <c r="QWI101" s="142"/>
      <c r="QWJ101" s="142"/>
      <c r="QWK101" s="142"/>
      <c r="QWL101" s="142"/>
      <c r="QWM101" s="142"/>
      <c r="QWN101" s="142"/>
      <c r="QWO101" s="142"/>
      <c r="QWP101" s="142"/>
      <c r="QWQ101" s="142"/>
      <c r="QWR101" s="142"/>
      <c r="QWS101" s="142"/>
      <c r="QWT101" s="142"/>
      <c r="QWU101" s="142"/>
      <c r="QWV101" s="142"/>
      <c r="QWW101" s="142"/>
      <c r="QWX101" s="142"/>
      <c r="QWY101" s="142"/>
      <c r="QWZ101" s="142"/>
      <c r="QXA101" s="142"/>
      <c r="QXB101" s="142"/>
      <c r="QXC101" s="142"/>
      <c r="QXD101" s="142"/>
      <c r="QXE101" s="142"/>
      <c r="QXF101" s="142"/>
      <c r="QXG101" s="142"/>
      <c r="QXH101" s="142"/>
      <c r="QXI101" s="142"/>
      <c r="QXJ101" s="142"/>
      <c r="QXK101" s="142"/>
      <c r="QXL101" s="142"/>
      <c r="QXM101" s="142"/>
      <c r="QXN101" s="142"/>
      <c r="QXO101" s="142"/>
      <c r="QXP101" s="142"/>
      <c r="QXQ101" s="142"/>
      <c r="QXR101" s="142"/>
      <c r="QXS101" s="142"/>
      <c r="QXT101" s="142"/>
      <c r="QXU101" s="142"/>
      <c r="QXV101" s="142"/>
      <c r="QXW101" s="142"/>
      <c r="QXX101" s="142"/>
      <c r="QXY101" s="142"/>
      <c r="QXZ101" s="142"/>
      <c r="QYA101" s="142"/>
      <c r="QYB101" s="142"/>
      <c r="QYC101" s="142"/>
      <c r="QYD101" s="142"/>
      <c r="QYE101" s="142"/>
      <c r="QYF101" s="142"/>
      <c r="QYG101" s="142"/>
      <c r="QYH101" s="142"/>
      <c r="QYI101" s="142"/>
      <c r="QYJ101" s="142"/>
      <c r="QYK101" s="142"/>
      <c r="QYL101" s="142"/>
      <c r="QYM101" s="142"/>
      <c r="QYN101" s="142"/>
      <c r="QYO101" s="142"/>
      <c r="QYP101" s="142"/>
      <c r="QYQ101" s="142"/>
      <c r="QYR101" s="142"/>
      <c r="QYS101" s="142"/>
      <c r="QYT101" s="142"/>
      <c r="QYU101" s="142"/>
      <c r="QYV101" s="142"/>
      <c r="QYW101" s="142"/>
      <c r="QYX101" s="142"/>
      <c r="QYY101" s="142"/>
      <c r="QYZ101" s="142"/>
      <c r="QZA101" s="142"/>
      <c r="QZB101" s="142"/>
      <c r="QZC101" s="142"/>
      <c r="QZD101" s="142"/>
      <c r="QZE101" s="142"/>
      <c r="QZF101" s="142"/>
      <c r="QZG101" s="142"/>
      <c r="QZH101" s="142"/>
      <c r="QZI101" s="142"/>
      <c r="QZJ101" s="142"/>
      <c r="QZK101" s="142"/>
      <c r="QZL101" s="142"/>
      <c r="QZM101" s="142"/>
      <c r="QZN101" s="142"/>
      <c r="QZO101" s="142"/>
      <c r="QZP101" s="142"/>
      <c r="QZQ101" s="142"/>
      <c r="QZR101" s="142"/>
      <c r="QZS101" s="142"/>
      <c r="QZT101" s="142"/>
      <c r="QZU101" s="142"/>
      <c r="QZV101" s="142"/>
      <c r="QZW101" s="142"/>
      <c r="QZX101" s="142"/>
      <c r="QZY101" s="142"/>
      <c r="QZZ101" s="142"/>
      <c r="RAA101" s="142"/>
      <c r="RAB101" s="142"/>
      <c r="RAC101" s="142"/>
      <c r="RAD101" s="142"/>
      <c r="RAE101" s="142"/>
      <c r="RAF101" s="142"/>
      <c r="RAG101" s="142"/>
      <c r="RAH101" s="142"/>
      <c r="RAI101" s="142"/>
      <c r="RAJ101" s="142"/>
      <c r="RAK101" s="142"/>
      <c r="RAL101" s="142"/>
      <c r="RAM101" s="142"/>
      <c r="RAN101" s="142"/>
      <c r="RAO101" s="142"/>
      <c r="RAP101" s="142"/>
      <c r="RAQ101" s="142"/>
      <c r="RAR101" s="142"/>
      <c r="RAS101" s="142"/>
      <c r="RAT101" s="142"/>
      <c r="RAU101" s="142"/>
      <c r="RAV101" s="142"/>
      <c r="RAW101" s="142"/>
      <c r="RAX101" s="142"/>
      <c r="RAY101" s="142"/>
      <c r="RAZ101" s="142"/>
      <c r="RBA101" s="142"/>
      <c r="RBB101" s="142"/>
      <c r="RBC101" s="142"/>
      <c r="RBD101" s="142"/>
      <c r="RBE101" s="142"/>
      <c r="RBF101" s="142"/>
      <c r="RBG101" s="142"/>
      <c r="RBH101" s="142"/>
      <c r="RBI101" s="142"/>
      <c r="RBJ101" s="142"/>
      <c r="RBK101" s="142"/>
      <c r="RBL101" s="142"/>
      <c r="RBM101" s="142"/>
      <c r="RBN101" s="142"/>
      <c r="RBO101" s="142"/>
      <c r="RBP101" s="142"/>
      <c r="RBQ101" s="142"/>
      <c r="RBR101" s="142"/>
      <c r="RBS101" s="142"/>
      <c r="RBT101" s="142"/>
      <c r="RBU101" s="142"/>
      <c r="RBV101" s="142"/>
      <c r="RBW101" s="142"/>
      <c r="RBX101" s="142"/>
      <c r="RBY101" s="142"/>
      <c r="RBZ101" s="142"/>
      <c r="RCA101" s="142"/>
      <c r="RCB101" s="142"/>
      <c r="RCC101" s="142"/>
      <c r="RCD101" s="142"/>
      <c r="RCE101" s="142"/>
      <c r="RCF101" s="142"/>
      <c r="RCG101" s="142"/>
      <c r="RCH101" s="142"/>
      <c r="RCI101" s="142"/>
      <c r="RCJ101" s="142"/>
      <c r="RCK101" s="142"/>
      <c r="RCL101" s="142"/>
      <c r="RCM101" s="142"/>
      <c r="RCN101" s="142"/>
      <c r="RCO101" s="142"/>
      <c r="RCP101" s="142"/>
      <c r="RCQ101" s="142"/>
      <c r="RCR101" s="142"/>
      <c r="RCS101" s="142"/>
      <c r="RCT101" s="142"/>
      <c r="RCU101" s="142"/>
      <c r="RCV101" s="142"/>
      <c r="RCW101" s="142"/>
      <c r="RCX101" s="142"/>
      <c r="RCY101" s="142"/>
      <c r="RCZ101" s="142"/>
      <c r="RDA101" s="142"/>
      <c r="RDB101" s="142"/>
      <c r="RDC101" s="142"/>
      <c r="RDD101" s="142"/>
      <c r="RDE101" s="142"/>
      <c r="RDF101" s="142"/>
      <c r="RDG101" s="142"/>
      <c r="RDH101" s="142"/>
      <c r="RDI101" s="142"/>
      <c r="RDJ101" s="142"/>
      <c r="RDK101" s="142"/>
      <c r="RDL101" s="142"/>
      <c r="RDM101" s="142"/>
      <c r="RDN101" s="142"/>
      <c r="RDO101" s="142"/>
      <c r="RDP101" s="142"/>
      <c r="RDQ101" s="142"/>
      <c r="RDR101" s="142"/>
      <c r="RDS101" s="142"/>
      <c r="RDT101" s="142"/>
      <c r="RDU101" s="142"/>
      <c r="RDV101" s="142"/>
      <c r="RDW101" s="142"/>
      <c r="RDX101" s="142"/>
      <c r="RDY101" s="142"/>
      <c r="RDZ101" s="142"/>
      <c r="REA101" s="142"/>
      <c r="REB101" s="142"/>
      <c r="REC101" s="142"/>
      <c r="RED101" s="142"/>
      <c r="REE101" s="142"/>
      <c r="REF101" s="142"/>
      <c r="REG101" s="142"/>
      <c r="REH101" s="142"/>
      <c r="REI101" s="142"/>
      <c r="REJ101" s="142"/>
      <c r="REK101" s="142"/>
      <c r="REL101" s="142"/>
      <c r="REM101" s="142"/>
      <c r="REN101" s="142"/>
      <c r="REO101" s="142"/>
      <c r="REP101" s="142"/>
      <c r="REQ101" s="142"/>
      <c r="RER101" s="142"/>
      <c r="RES101" s="142"/>
      <c r="RET101" s="142"/>
      <c r="REU101" s="142"/>
      <c r="REV101" s="142"/>
      <c r="REW101" s="142"/>
      <c r="REX101" s="142"/>
      <c r="REY101" s="142"/>
      <c r="REZ101" s="142"/>
      <c r="RFA101" s="142"/>
      <c r="RFB101" s="142"/>
      <c r="RFC101" s="142"/>
      <c r="RFD101" s="142"/>
      <c r="RFE101" s="142"/>
      <c r="RFF101" s="142"/>
      <c r="RFG101" s="142"/>
      <c r="RFH101" s="142"/>
      <c r="RFI101" s="142"/>
      <c r="RFJ101" s="142"/>
      <c r="RFK101" s="142"/>
      <c r="RFL101" s="142"/>
      <c r="RFM101" s="142"/>
      <c r="RFN101" s="142"/>
      <c r="RFO101" s="142"/>
      <c r="RFP101" s="142"/>
      <c r="RFQ101" s="142"/>
      <c r="RFR101" s="142"/>
      <c r="RFS101" s="142"/>
      <c r="RFT101" s="142"/>
      <c r="RFU101" s="142"/>
      <c r="RFV101" s="142"/>
      <c r="RFW101" s="142"/>
      <c r="RFX101" s="142"/>
      <c r="RFY101" s="142"/>
      <c r="RFZ101" s="142"/>
      <c r="RGA101" s="142"/>
      <c r="RGB101" s="142"/>
      <c r="RGC101" s="142"/>
      <c r="RGD101" s="142"/>
      <c r="RGE101" s="142"/>
      <c r="RGF101" s="142"/>
      <c r="RGG101" s="142"/>
      <c r="RGH101" s="142"/>
      <c r="RGI101" s="142"/>
      <c r="RGJ101" s="142"/>
      <c r="RGK101" s="142"/>
      <c r="RGL101" s="142"/>
      <c r="RGM101" s="142"/>
      <c r="RGN101" s="142"/>
      <c r="RGO101" s="142"/>
      <c r="RGP101" s="142"/>
      <c r="RGQ101" s="142"/>
      <c r="RGR101" s="142"/>
      <c r="RGS101" s="142"/>
      <c r="RGT101" s="142"/>
      <c r="RGU101" s="142"/>
      <c r="RGV101" s="142"/>
      <c r="RGW101" s="142"/>
      <c r="RGX101" s="142"/>
      <c r="RGY101" s="142"/>
      <c r="RGZ101" s="142"/>
      <c r="RHA101" s="142"/>
      <c r="RHB101" s="142"/>
      <c r="RHC101" s="142"/>
      <c r="RHD101" s="142"/>
      <c r="RHE101" s="142"/>
      <c r="RHF101" s="142"/>
      <c r="RHG101" s="142"/>
      <c r="RHH101" s="142"/>
      <c r="RHI101" s="142"/>
      <c r="RHJ101" s="142"/>
      <c r="RHK101" s="142"/>
      <c r="RHL101" s="142"/>
      <c r="RHM101" s="142"/>
      <c r="RHN101" s="142"/>
      <c r="RHO101" s="142"/>
      <c r="RHP101" s="142"/>
      <c r="RHQ101" s="142"/>
      <c r="RHR101" s="142"/>
      <c r="RHS101" s="142"/>
      <c r="RHT101" s="142"/>
      <c r="RHU101" s="142"/>
      <c r="RHV101" s="142"/>
      <c r="RHW101" s="142"/>
      <c r="RHX101" s="142"/>
      <c r="RHY101" s="142"/>
      <c r="RHZ101" s="142"/>
      <c r="RIA101" s="142"/>
      <c r="RIB101" s="142"/>
      <c r="RIC101" s="142"/>
      <c r="RID101" s="142"/>
      <c r="RIE101" s="142"/>
      <c r="RIF101" s="142"/>
      <c r="RIG101" s="142"/>
      <c r="RIH101" s="142"/>
      <c r="RII101" s="142"/>
      <c r="RIJ101" s="142"/>
      <c r="RIK101" s="142"/>
      <c r="RIL101" s="142"/>
      <c r="RIM101" s="142"/>
      <c r="RIN101" s="142"/>
      <c r="RIO101" s="142"/>
      <c r="RIP101" s="142"/>
      <c r="RIQ101" s="142"/>
      <c r="RIR101" s="142"/>
      <c r="RIS101" s="142"/>
      <c r="RIT101" s="142"/>
      <c r="RIU101" s="142"/>
      <c r="RIV101" s="142"/>
      <c r="RIW101" s="142"/>
      <c r="RIX101" s="142"/>
      <c r="RIY101" s="142"/>
      <c r="RIZ101" s="142"/>
      <c r="RJA101" s="142"/>
      <c r="RJB101" s="142"/>
      <c r="RJC101" s="142"/>
      <c r="RJD101" s="142"/>
      <c r="RJE101" s="142"/>
      <c r="RJF101" s="142"/>
      <c r="RJG101" s="142"/>
      <c r="RJH101" s="142"/>
      <c r="RJI101" s="142"/>
      <c r="RJJ101" s="142"/>
      <c r="RJK101" s="142"/>
      <c r="RJL101" s="142"/>
      <c r="RJM101" s="142"/>
      <c r="RJN101" s="142"/>
      <c r="RJO101" s="142"/>
      <c r="RJP101" s="142"/>
      <c r="RJQ101" s="142"/>
      <c r="RJR101" s="142"/>
      <c r="RJS101" s="142"/>
      <c r="RJT101" s="142"/>
      <c r="RJU101" s="142"/>
      <c r="RJV101" s="142"/>
      <c r="RJW101" s="142"/>
      <c r="RJX101" s="142"/>
      <c r="RJY101" s="142"/>
      <c r="RJZ101" s="142"/>
      <c r="RKA101" s="142"/>
      <c r="RKB101" s="142"/>
      <c r="RKC101" s="142"/>
      <c r="RKD101" s="142"/>
      <c r="RKE101" s="142"/>
      <c r="RKF101" s="142"/>
      <c r="RKG101" s="142"/>
      <c r="RKH101" s="142"/>
      <c r="RKI101" s="142"/>
      <c r="RKJ101" s="142"/>
      <c r="RKK101" s="142"/>
      <c r="RKL101" s="142"/>
      <c r="RKM101" s="142"/>
      <c r="RKN101" s="142"/>
      <c r="RKO101" s="142"/>
      <c r="RKP101" s="142"/>
      <c r="RKQ101" s="142"/>
      <c r="RKR101" s="142"/>
      <c r="RKS101" s="142"/>
      <c r="RKT101" s="142"/>
      <c r="RKU101" s="142"/>
      <c r="RKV101" s="142"/>
      <c r="RKW101" s="142"/>
      <c r="RKX101" s="142"/>
      <c r="RKY101" s="142"/>
      <c r="RKZ101" s="142"/>
      <c r="RLA101" s="142"/>
      <c r="RLB101" s="142"/>
      <c r="RLC101" s="142"/>
      <c r="RLD101" s="142"/>
      <c r="RLE101" s="142"/>
      <c r="RLF101" s="142"/>
      <c r="RLG101" s="142"/>
      <c r="RLH101" s="142"/>
      <c r="RLI101" s="142"/>
      <c r="RLJ101" s="142"/>
      <c r="RLK101" s="142"/>
      <c r="RLL101" s="142"/>
      <c r="RLM101" s="142"/>
      <c r="RLN101" s="142"/>
      <c r="RLO101" s="142"/>
      <c r="RLP101" s="142"/>
      <c r="RLQ101" s="142"/>
      <c r="RLR101" s="142"/>
      <c r="RLS101" s="142"/>
      <c r="RLT101" s="142"/>
      <c r="RLU101" s="142"/>
      <c r="RLV101" s="142"/>
      <c r="RLW101" s="142"/>
      <c r="RLX101" s="142"/>
      <c r="RLY101" s="142"/>
      <c r="RLZ101" s="142"/>
      <c r="RMA101" s="142"/>
      <c r="RMB101" s="142"/>
      <c r="RMC101" s="142"/>
      <c r="RMD101" s="142"/>
      <c r="RME101" s="142"/>
      <c r="RMF101" s="142"/>
      <c r="RMG101" s="142"/>
      <c r="RMH101" s="142"/>
      <c r="RMI101" s="142"/>
      <c r="RMJ101" s="142"/>
      <c r="RMK101" s="142"/>
      <c r="RML101" s="142"/>
      <c r="RMM101" s="142"/>
      <c r="RMN101" s="142"/>
      <c r="RMO101" s="142"/>
      <c r="RMP101" s="142"/>
      <c r="RMQ101" s="142"/>
      <c r="RMR101" s="142"/>
      <c r="RMS101" s="142"/>
      <c r="RMT101" s="142"/>
      <c r="RMU101" s="142"/>
      <c r="RMV101" s="142"/>
      <c r="RMW101" s="142"/>
      <c r="RMX101" s="142"/>
      <c r="RMY101" s="142"/>
      <c r="RMZ101" s="142"/>
      <c r="RNA101" s="142"/>
      <c r="RNB101" s="142"/>
      <c r="RNC101" s="142"/>
      <c r="RND101" s="142"/>
      <c r="RNE101" s="142"/>
      <c r="RNF101" s="142"/>
      <c r="RNG101" s="142"/>
      <c r="RNH101" s="142"/>
      <c r="RNI101" s="142"/>
      <c r="RNJ101" s="142"/>
      <c r="RNK101" s="142"/>
      <c r="RNL101" s="142"/>
      <c r="RNM101" s="142"/>
      <c r="RNN101" s="142"/>
      <c r="RNO101" s="142"/>
      <c r="RNP101" s="142"/>
      <c r="RNQ101" s="142"/>
      <c r="RNR101" s="142"/>
      <c r="RNS101" s="142"/>
      <c r="RNT101" s="142"/>
      <c r="RNU101" s="142"/>
      <c r="RNV101" s="142"/>
      <c r="RNW101" s="142"/>
      <c r="RNX101" s="142"/>
      <c r="RNY101" s="142"/>
      <c r="RNZ101" s="142"/>
      <c r="ROA101" s="142"/>
      <c r="ROB101" s="142"/>
      <c r="ROC101" s="142"/>
      <c r="ROD101" s="142"/>
      <c r="ROE101" s="142"/>
      <c r="ROF101" s="142"/>
      <c r="ROG101" s="142"/>
      <c r="ROH101" s="142"/>
      <c r="ROI101" s="142"/>
      <c r="ROJ101" s="142"/>
      <c r="ROK101" s="142"/>
      <c r="ROL101" s="142"/>
      <c r="ROM101" s="142"/>
      <c r="RON101" s="142"/>
      <c r="ROO101" s="142"/>
      <c r="ROP101" s="142"/>
      <c r="ROQ101" s="142"/>
      <c r="ROR101" s="142"/>
      <c r="ROS101" s="142"/>
      <c r="ROT101" s="142"/>
      <c r="ROU101" s="142"/>
      <c r="ROV101" s="142"/>
      <c r="ROW101" s="142"/>
      <c r="ROX101" s="142"/>
      <c r="ROY101" s="142"/>
      <c r="ROZ101" s="142"/>
      <c r="RPA101" s="142"/>
      <c r="RPB101" s="142"/>
      <c r="RPC101" s="142"/>
      <c r="RPD101" s="142"/>
      <c r="RPE101" s="142"/>
      <c r="RPF101" s="142"/>
      <c r="RPG101" s="142"/>
      <c r="RPH101" s="142"/>
      <c r="RPI101" s="142"/>
      <c r="RPJ101" s="142"/>
      <c r="RPK101" s="142"/>
      <c r="RPL101" s="142"/>
      <c r="RPM101" s="142"/>
      <c r="RPN101" s="142"/>
      <c r="RPO101" s="142"/>
      <c r="RPP101" s="142"/>
      <c r="RPQ101" s="142"/>
      <c r="RPR101" s="142"/>
      <c r="RPS101" s="142"/>
      <c r="RPT101" s="142"/>
      <c r="RPU101" s="142"/>
      <c r="RPV101" s="142"/>
      <c r="RPW101" s="142"/>
      <c r="RPX101" s="142"/>
      <c r="RPY101" s="142"/>
      <c r="RPZ101" s="142"/>
      <c r="RQA101" s="142"/>
      <c r="RQB101" s="142"/>
      <c r="RQC101" s="142"/>
      <c r="RQD101" s="142"/>
      <c r="RQE101" s="142"/>
      <c r="RQF101" s="142"/>
      <c r="RQG101" s="142"/>
      <c r="RQH101" s="142"/>
      <c r="RQI101" s="142"/>
      <c r="RQJ101" s="142"/>
      <c r="RQK101" s="142"/>
      <c r="RQL101" s="142"/>
      <c r="RQM101" s="142"/>
      <c r="RQN101" s="142"/>
      <c r="RQO101" s="142"/>
      <c r="RQP101" s="142"/>
      <c r="RQQ101" s="142"/>
      <c r="RQR101" s="142"/>
      <c r="RQS101" s="142"/>
      <c r="RQT101" s="142"/>
      <c r="RQU101" s="142"/>
      <c r="RQV101" s="142"/>
      <c r="RQW101" s="142"/>
      <c r="RQX101" s="142"/>
      <c r="RQY101" s="142"/>
      <c r="RQZ101" s="142"/>
      <c r="RRA101" s="142"/>
      <c r="RRB101" s="142"/>
      <c r="RRC101" s="142"/>
      <c r="RRD101" s="142"/>
      <c r="RRE101" s="142"/>
      <c r="RRF101" s="142"/>
      <c r="RRG101" s="142"/>
      <c r="RRH101" s="142"/>
      <c r="RRI101" s="142"/>
      <c r="RRJ101" s="142"/>
      <c r="RRK101" s="142"/>
      <c r="RRL101" s="142"/>
      <c r="RRM101" s="142"/>
      <c r="RRN101" s="142"/>
      <c r="RRO101" s="142"/>
      <c r="RRP101" s="142"/>
      <c r="RRQ101" s="142"/>
      <c r="RRR101" s="142"/>
      <c r="RRS101" s="142"/>
      <c r="RRT101" s="142"/>
      <c r="RRU101" s="142"/>
      <c r="RRV101" s="142"/>
      <c r="RRW101" s="142"/>
      <c r="RRX101" s="142"/>
      <c r="RRY101" s="142"/>
      <c r="RRZ101" s="142"/>
      <c r="RSA101" s="142"/>
      <c r="RSB101" s="142"/>
      <c r="RSC101" s="142"/>
      <c r="RSD101" s="142"/>
      <c r="RSE101" s="142"/>
      <c r="RSF101" s="142"/>
      <c r="RSG101" s="142"/>
      <c r="RSH101" s="142"/>
      <c r="RSI101" s="142"/>
      <c r="RSJ101" s="142"/>
      <c r="RSK101" s="142"/>
      <c r="RSL101" s="142"/>
      <c r="RSM101" s="142"/>
      <c r="RSN101" s="142"/>
      <c r="RSO101" s="142"/>
      <c r="RSP101" s="142"/>
      <c r="RSQ101" s="142"/>
      <c r="RSR101" s="142"/>
      <c r="RSS101" s="142"/>
      <c r="RST101" s="142"/>
      <c r="RSU101" s="142"/>
      <c r="RSV101" s="142"/>
      <c r="RSW101" s="142"/>
      <c r="RSX101" s="142"/>
      <c r="RSY101" s="142"/>
      <c r="RSZ101" s="142"/>
      <c r="RTA101" s="142"/>
      <c r="RTB101" s="142"/>
      <c r="RTC101" s="142"/>
      <c r="RTD101" s="142"/>
      <c r="RTE101" s="142"/>
      <c r="RTF101" s="142"/>
      <c r="RTG101" s="142"/>
      <c r="RTH101" s="142"/>
      <c r="RTI101" s="142"/>
      <c r="RTJ101" s="142"/>
      <c r="RTK101" s="142"/>
      <c r="RTL101" s="142"/>
      <c r="RTM101" s="142"/>
      <c r="RTN101" s="142"/>
      <c r="RTO101" s="142"/>
      <c r="RTP101" s="142"/>
      <c r="RTQ101" s="142"/>
      <c r="RTR101" s="142"/>
      <c r="RTS101" s="142"/>
      <c r="RTT101" s="142"/>
      <c r="RTU101" s="142"/>
      <c r="RTV101" s="142"/>
      <c r="RTW101" s="142"/>
      <c r="RTX101" s="142"/>
      <c r="RTY101" s="142"/>
      <c r="RTZ101" s="142"/>
      <c r="RUA101" s="142"/>
      <c r="RUB101" s="142"/>
      <c r="RUC101" s="142"/>
      <c r="RUD101" s="142"/>
      <c r="RUE101" s="142"/>
      <c r="RUF101" s="142"/>
      <c r="RUG101" s="142"/>
      <c r="RUH101" s="142"/>
      <c r="RUI101" s="142"/>
      <c r="RUJ101" s="142"/>
      <c r="RUK101" s="142"/>
      <c r="RUL101" s="142"/>
      <c r="RUM101" s="142"/>
      <c r="RUN101" s="142"/>
      <c r="RUO101" s="142"/>
      <c r="RUP101" s="142"/>
      <c r="RUQ101" s="142"/>
      <c r="RUR101" s="142"/>
      <c r="RUS101" s="142"/>
      <c r="RUT101" s="142"/>
      <c r="RUU101" s="142"/>
      <c r="RUV101" s="142"/>
      <c r="RUW101" s="142"/>
      <c r="RUX101" s="142"/>
      <c r="RUY101" s="142"/>
      <c r="RUZ101" s="142"/>
      <c r="RVA101" s="142"/>
      <c r="RVB101" s="142"/>
      <c r="RVC101" s="142"/>
      <c r="RVD101" s="142"/>
      <c r="RVE101" s="142"/>
      <c r="RVF101" s="142"/>
      <c r="RVG101" s="142"/>
      <c r="RVH101" s="142"/>
      <c r="RVI101" s="142"/>
      <c r="RVJ101" s="142"/>
      <c r="RVK101" s="142"/>
      <c r="RVL101" s="142"/>
      <c r="RVM101" s="142"/>
      <c r="RVN101" s="142"/>
      <c r="RVO101" s="142"/>
      <c r="RVP101" s="142"/>
      <c r="RVQ101" s="142"/>
      <c r="RVR101" s="142"/>
      <c r="RVS101" s="142"/>
      <c r="RVT101" s="142"/>
      <c r="RVU101" s="142"/>
      <c r="RVV101" s="142"/>
      <c r="RVW101" s="142"/>
      <c r="RVX101" s="142"/>
      <c r="RVY101" s="142"/>
      <c r="RVZ101" s="142"/>
      <c r="RWA101" s="142"/>
      <c r="RWB101" s="142"/>
      <c r="RWC101" s="142"/>
      <c r="RWD101" s="142"/>
      <c r="RWE101" s="142"/>
      <c r="RWF101" s="142"/>
      <c r="RWG101" s="142"/>
      <c r="RWH101" s="142"/>
      <c r="RWI101" s="142"/>
      <c r="RWJ101" s="142"/>
      <c r="RWK101" s="142"/>
      <c r="RWL101" s="142"/>
      <c r="RWM101" s="142"/>
      <c r="RWN101" s="142"/>
      <c r="RWO101" s="142"/>
      <c r="RWP101" s="142"/>
      <c r="RWQ101" s="142"/>
      <c r="RWR101" s="142"/>
      <c r="RWS101" s="142"/>
      <c r="RWT101" s="142"/>
      <c r="RWU101" s="142"/>
      <c r="RWV101" s="142"/>
      <c r="RWW101" s="142"/>
      <c r="RWX101" s="142"/>
      <c r="RWY101" s="142"/>
      <c r="RWZ101" s="142"/>
      <c r="RXA101" s="142"/>
      <c r="RXB101" s="142"/>
      <c r="RXC101" s="142"/>
      <c r="RXD101" s="142"/>
      <c r="RXE101" s="142"/>
      <c r="RXF101" s="142"/>
      <c r="RXG101" s="142"/>
      <c r="RXH101" s="142"/>
      <c r="RXI101" s="142"/>
      <c r="RXJ101" s="142"/>
      <c r="RXK101" s="142"/>
      <c r="RXL101" s="142"/>
      <c r="RXM101" s="142"/>
      <c r="RXN101" s="142"/>
      <c r="RXO101" s="142"/>
      <c r="RXP101" s="142"/>
      <c r="RXQ101" s="142"/>
      <c r="RXR101" s="142"/>
      <c r="RXS101" s="142"/>
      <c r="RXT101" s="142"/>
      <c r="RXU101" s="142"/>
      <c r="RXV101" s="142"/>
      <c r="RXW101" s="142"/>
      <c r="RXX101" s="142"/>
      <c r="RXY101" s="142"/>
      <c r="RXZ101" s="142"/>
      <c r="RYA101" s="142"/>
      <c r="RYB101" s="142"/>
      <c r="RYC101" s="142"/>
      <c r="RYD101" s="142"/>
      <c r="RYE101" s="142"/>
      <c r="RYF101" s="142"/>
      <c r="RYG101" s="142"/>
      <c r="RYH101" s="142"/>
      <c r="RYI101" s="142"/>
      <c r="RYJ101" s="142"/>
      <c r="RYK101" s="142"/>
      <c r="RYL101" s="142"/>
      <c r="RYM101" s="142"/>
      <c r="RYN101" s="142"/>
      <c r="RYO101" s="142"/>
      <c r="RYP101" s="142"/>
      <c r="RYQ101" s="142"/>
      <c r="RYR101" s="142"/>
      <c r="RYS101" s="142"/>
      <c r="RYT101" s="142"/>
      <c r="RYU101" s="142"/>
      <c r="RYV101" s="142"/>
      <c r="RYW101" s="142"/>
      <c r="RYX101" s="142"/>
      <c r="RYY101" s="142"/>
      <c r="RYZ101" s="142"/>
      <c r="RZA101" s="142"/>
      <c r="RZB101" s="142"/>
      <c r="RZC101" s="142"/>
      <c r="RZD101" s="142"/>
      <c r="RZE101" s="142"/>
      <c r="RZF101" s="142"/>
      <c r="RZG101" s="142"/>
      <c r="RZH101" s="142"/>
      <c r="RZI101" s="142"/>
      <c r="RZJ101" s="142"/>
      <c r="RZK101" s="142"/>
      <c r="RZL101" s="142"/>
      <c r="RZM101" s="142"/>
      <c r="RZN101" s="142"/>
      <c r="RZO101" s="142"/>
      <c r="RZP101" s="142"/>
      <c r="RZQ101" s="142"/>
      <c r="RZR101" s="142"/>
      <c r="RZS101" s="142"/>
      <c r="RZT101" s="142"/>
      <c r="RZU101" s="142"/>
      <c r="RZV101" s="142"/>
      <c r="RZW101" s="142"/>
      <c r="RZX101" s="142"/>
      <c r="RZY101" s="142"/>
      <c r="RZZ101" s="142"/>
      <c r="SAA101" s="142"/>
      <c r="SAB101" s="142"/>
      <c r="SAC101" s="142"/>
      <c r="SAD101" s="142"/>
      <c r="SAE101" s="142"/>
      <c r="SAF101" s="142"/>
      <c r="SAG101" s="142"/>
      <c r="SAH101" s="142"/>
      <c r="SAI101" s="142"/>
      <c r="SAJ101" s="142"/>
      <c r="SAK101" s="142"/>
      <c r="SAL101" s="142"/>
      <c r="SAM101" s="142"/>
      <c r="SAN101" s="142"/>
      <c r="SAO101" s="142"/>
      <c r="SAP101" s="142"/>
      <c r="SAQ101" s="142"/>
      <c r="SAR101" s="142"/>
      <c r="SAS101" s="142"/>
      <c r="SAT101" s="142"/>
      <c r="SAU101" s="142"/>
      <c r="SAV101" s="142"/>
      <c r="SAW101" s="142"/>
      <c r="SAX101" s="142"/>
      <c r="SAY101" s="142"/>
      <c r="SAZ101" s="142"/>
      <c r="SBA101" s="142"/>
      <c r="SBB101" s="142"/>
      <c r="SBC101" s="142"/>
      <c r="SBD101" s="142"/>
      <c r="SBE101" s="142"/>
      <c r="SBF101" s="142"/>
      <c r="SBG101" s="142"/>
      <c r="SBH101" s="142"/>
      <c r="SBI101" s="142"/>
      <c r="SBJ101" s="142"/>
      <c r="SBK101" s="142"/>
      <c r="SBL101" s="142"/>
      <c r="SBM101" s="142"/>
      <c r="SBN101" s="142"/>
      <c r="SBO101" s="142"/>
      <c r="SBP101" s="142"/>
      <c r="SBQ101" s="142"/>
      <c r="SBR101" s="142"/>
      <c r="SBS101" s="142"/>
      <c r="SBT101" s="142"/>
      <c r="SBU101" s="142"/>
      <c r="SBV101" s="142"/>
      <c r="SBW101" s="142"/>
      <c r="SBX101" s="142"/>
      <c r="SBY101" s="142"/>
      <c r="SBZ101" s="142"/>
      <c r="SCA101" s="142"/>
      <c r="SCB101" s="142"/>
      <c r="SCC101" s="142"/>
      <c r="SCD101" s="142"/>
      <c r="SCE101" s="142"/>
      <c r="SCF101" s="142"/>
      <c r="SCG101" s="142"/>
      <c r="SCH101" s="142"/>
      <c r="SCI101" s="142"/>
      <c r="SCJ101" s="142"/>
      <c r="SCK101" s="142"/>
      <c r="SCL101" s="142"/>
      <c r="SCM101" s="142"/>
      <c r="SCN101" s="142"/>
      <c r="SCO101" s="142"/>
      <c r="SCP101" s="142"/>
      <c r="SCQ101" s="142"/>
      <c r="SCR101" s="142"/>
      <c r="SCS101" s="142"/>
      <c r="SCT101" s="142"/>
      <c r="SCU101" s="142"/>
      <c r="SCV101" s="142"/>
      <c r="SCW101" s="142"/>
      <c r="SCX101" s="142"/>
      <c r="SCY101" s="142"/>
      <c r="SCZ101" s="142"/>
      <c r="SDA101" s="142"/>
      <c r="SDB101" s="142"/>
      <c r="SDC101" s="142"/>
      <c r="SDD101" s="142"/>
      <c r="SDE101" s="142"/>
      <c r="SDF101" s="142"/>
      <c r="SDG101" s="142"/>
      <c r="SDH101" s="142"/>
      <c r="SDI101" s="142"/>
      <c r="SDJ101" s="142"/>
      <c r="SDK101" s="142"/>
      <c r="SDL101" s="142"/>
      <c r="SDM101" s="142"/>
      <c r="SDN101" s="142"/>
      <c r="SDO101" s="142"/>
      <c r="SDP101" s="142"/>
      <c r="SDQ101" s="142"/>
      <c r="SDR101" s="142"/>
      <c r="SDS101" s="142"/>
      <c r="SDT101" s="142"/>
      <c r="SDU101" s="142"/>
      <c r="SDV101" s="142"/>
      <c r="SDW101" s="142"/>
      <c r="SDX101" s="142"/>
      <c r="SDY101" s="142"/>
      <c r="SDZ101" s="142"/>
      <c r="SEA101" s="142"/>
      <c r="SEB101" s="142"/>
      <c r="SEC101" s="142"/>
      <c r="SED101" s="142"/>
      <c r="SEE101" s="142"/>
      <c r="SEF101" s="142"/>
      <c r="SEG101" s="142"/>
      <c r="SEH101" s="142"/>
      <c r="SEI101" s="142"/>
      <c r="SEJ101" s="142"/>
      <c r="SEK101" s="142"/>
      <c r="SEL101" s="142"/>
      <c r="SEM101" s="142"/>
      <c r="SEN101" s="142"/>
      <c r="SEO101" s="142"/>
      <c r="SEP101" s="142"/>
      <c r="SEQ101" s="142"/>
      <c r="SER101" s="142"/>
      <c r="SES101" s="142"/>
      <c r="SET101" s="142"/>
      <c r="SEU101" s="142"/>
      <c r="SEV101" s="142"/>
      <c r="SEW101" s="142"/>
      <c r="SEX101" s="142"/>
      <c r="SEY101" s="142"/>
      <c r="SEZ101" s="142"/>
      <c r="SFA101" s="142"/>
      <c r="SFB101" s="142"/>
      <c r="SFC101" s="142"/>
      <c r="SFD101" s="142"/>
      <c r="SFE101" s="142"/>
      <c r="SFF101" s="142"/>
      <c r="SFG101" s="142"/>
      <c r="SFH101" s="142"/>
      <c r="SFI101" s="142"/>
      <c r="SFJ101" s="142"/>
      <c r="SFK101" s="142"/>
      <c r="SFL101" s="142"/>
      <c r="SFM101" s="142"/>
      <c r="SFN101" s="142"/>
      <c r="SFO101" s="142"/>
      <c r="SFP101" s="142"/>
      <c r="SFQ101" s="142"/>
      <c r="SFR101" s="142"/>
      <c r="SFS101" s="142"/>
      <c r="SFT101" s="142"/>
      <c r="SFU101" s="142"/>
      <c r="SFV101" s="142"/>
      <c r="SFW101" s="142"/>
      <c r="SFX101" s="142"/>
      <c r="SFY101" s="142"/>
      <c r="SFZ101" s="142"/>
      <c r="SGA101" s="142"/>
      <c r="SGB101" s="142"/>
      <c r="SGC101" s="142"/>
      <c r="SGD101" s="142"/>
      <c r="SGE101" s="142"/>
      <c r="SGF101" s="142"/>
      <c r="SGG101" s="142"/>
      <c r="SGH101" s="142"/>
      <c r="SGI101" s="142"/>
      <c r="SGJ101" s="142"/>
      <c r="SGK101" s="142"/>
      <c r="SGL101" s="142"/>
      <c r="SGM101" s="142"/>
      <c r="SGN101" s="142"/>
      <c r="SGO101" s="142"/>
      <c r="SGP101" s="142"/>
      <c r="SGQ101" s="142"/>
      <c r="SGR101" s="142"/>
      <c r="SGS101" s="142"/>
      <c r="SGT101" s="142"/>
      <c r="SGU101" s="142"/>
      <c r="SGV101" s="142"/>
      <c r="SGW101" s="142"/>
      <c r="SGX101" s="142"/>
      <c r="SGY101" s="142"/>
      <c r="SGZ101" s="142"/>
      <c r="SHA101" s="142"/>
      <c r="SHB101" s="142"/>
      <c r="SHC101" s="142"/>
      <c r="SHD101" s="142"/>
      <c r="SHE101" s="142"/>
      <c r="SHF101" s="142"/>
      <c r="SHG101" s="142"/>
      <c r="SHH101" s="142"/>
      <c r="SHI101" s="142"/>
      <c r="SHJ101" s="142"/>
      <c r="SHK101" s="142"/>
      <c r="SHL101" s="142"/>
      <c r="SHM101" s="142"/>
      <c r="SHN101" s="142"/>
      <c r="SHO101" s="142"/>
      <c r="SHP101" s="142"/>
      <c r="SHQ101" s="142"/>
      <c r="SHR101" s="142"/>
      <c r="SHS101" s="142"/>
      <c r="SHT101" s="142"/>
      <c r="SHU101" s="142"/>
      <c r="SHV101" s="142"/>
      <c r="SHW101" s="142"/>
      <c r="SHX101" s="142"/>
      <c r="SHY101" s="142"/>
      <c r="SHZ101" s="142"/>
      <c r="SIA101" s="142"/>
      <c r="SIB101" s="142"/>
      <c r="SIC101" s="142"/>
      <c r="SID101" s="142"/>
      <c r="SIE101" s="142"/>
      <c r="SIF101" s="142"/>
      <c r="SIG101" s="142"/>
      <c r="SIH101" s="142"/>
      <c r="SII101" s="142"/>
      <c r="SIJ101" s="142"/>
      <c r="SIK101" s="142"/>
      <c r="SIL101" s="142"/>
      <c r="SIM101" s="142"/>
      <c r="SIN101" s="142"/>
      <c r="SIO101" s="142"/>
      <c r="SIP101" s="142"/>
      <c r="SIQ101" s="142"/>
      <c r="SIR101" s="142"/>
      <c r="SIS101" s="142"/>
      <c r="SIT101" s="142"/>
      <c r="SIU101" s="142"/>
      <c r="SIV101" s="142"/>
      <c r="SIW101" s="142"/>
      <c r="SIX101" s="142"/>
      <c r="SIY101" s="142"/>
      <c r="SIZ101" s="142"/>
      <c r="SJA101" s="142"/>
      <c r="SJB101" s="142"/>
      <c r="SJC101" s="142"/>
      <c r="SJD101" s="142"/>
      <c r="SJE101" s="142"/>
      <c r="SJF101" s="142"/>
      <c r="SJG101" s="142"/>
      <c r="SJH101" s="142"/>
      <c r="SJI101" s="142"/>
      <c r="SJJ101" s="142"/>
      <c r="SJK101" s="142"/>
      <c r="SJL101" s="142"/>
      <c r="SJM101" s="142"/>
      <c r="SJN101" s="142"/>
      <c r="SJO101" s="142"/>
      <c r="SJP101" s="142"/>
      <c r="SJQ101" s="142"/>
      <c r="SJR101" s="142"/>
      <c r="SJS101" s="142"/>
      <c r="SJT101" s="142"/>
      <c r="SJU101" s="142"/>
      <c r="SJV101" s="142"/>
      <c r="SJW101" s="142"/>
      <c r="SJX101" s="142"/>
      <c r="SJY101" s="142"/>
      <c r="SJZ101" s="142"/>
      <c r="SKA101" s="142"/>
      <c r="SKB101" s="142"/>
      <c r="SKC101" s="142"/>
      <c r="SKD101" s="142"/>
      <c r="SKE101" s="142"/>
      <c r="SKF101" s="142"/>
      <c r="SKG101" s="142"/>
      <c r="SKH101" s="142"/>
      <c r="SKI101" s="142"/>
      <c r="SKJ101" s="142"/>
      <c r="SKK101" s="142"/>
      <c r="SKL101" s="142"/>
      <c r="SKM101" s="142"/>
      <c r="SKN101" s="142"/>
      <c r="SKO101" s="142"/>
      <c r="SKP101" s="142"/>
      <c r="SKQ101" s="142"/>
      <c r="SKR101" s="142"/>
      <c r="SKS101" s="142"/>
      <c r="SKT101" s="142"/>
      <c r="SKU101" s="142"/>
      <c r="SKV101" s="142"/>
      <c r="SKW101" s="142"/>
      <c r="SKX101" s="142"/>
      <c r="SKY101" s="142"/>
      <c r="SKZ101" s="142"/>
      <c r="SLA101" s="142"/>
      <c r="SLB101" s="142"/>
      <c r="SLC101" s="142"/>
      <c r="SLD101" s="142"/>
      <c r="SLE101" s="142"/>
      <c r="SLF101" s="142"/>
      <c r="SLG101" s="142"/>
      <c r="SLH101" s="142"/>
      <c r="SLI101" s="142"/>
      <c r="SLJ101" s="142"/>
      <c r="SLK101" s="142"/>
      <c r="SLL101" s="142"/>
      <c r="SLM101" s="142"/>
      <c r="SLN101" s="142"/>
      <c r="SLO101" s="142"/>
      <c r="SLP101" s="142"/>
      <c r="SLQ101" s="142"/>
      <c r="SLR101" s="142"/>
      <c r="SLS101" s="142"/>
      <c r="SLT101" s="142"/>
      <c r="SLU101" s="142"/>
      <c r="SLV101" s="142"/>
      <c r="SLW101" s="142"/>
      <c r="SLX101" s="142"/>
      <c r="SLY101" s="142"/>
      <c r="SLZ101" s="142"/>
      <c r="SMA101" s="142"/>
      <c r="SMB101" s="142"/>
      <c r="SMC101" s="142"/>
      <c r="SMD101" s="142"/>
      <c r="SME101" s="142"/>
      <c r="SMF101" s="142"/>
      <c r="SMG101" s="142"/>
      <c r="SMH101" s="142"/>
      <c r="SMI101" s="142"/>
      <c r="SMJ101" s="142"/>
      <c r="SMK101" s="142"/>
      <c r="SML101" s="142"/>
      <c r="SMM101" s="142"/>
      <c r="SMN101" s="142"/>
      <c r="SMO101" s="142"/>
      <c r="SMP101" s="142"/>
      <c r="SMQ101" s="142"/>
      <c r="SMR101" s="142"/>
      <c r="SMS101" s="142"/>
      <c r="SMT101" s="142"/>
      <c r="SMU101" s="142"/>
      <c r="SMV101" s="142"/>
      <c r="SMW101" s="142"/>
      <c r="SMX101" s="142"/>
      <c r="SMY101" s="142"/>
      <c r="SMZ101" s="142"/>
      <c r="SNA101" s="142"/>
      <c r="SNB101" s="142"/>
      <c r="SNC101" s="142"/>
      <c r="SND101" s="142"/>
      <c r="SNE101" s="142"/>
      <c r="SNF101" s="142"/>
      <c r="SNG101" s="142"/>
      <c r="SNH101" s="142"/>
      <c r="SNI101" s="142"/>
      <c r="SNJ101" s="142"/>
      <c r="SNK101" s="142"/>
      <c r="SNL101" s="142"/>
      <c r="SNM101" s="142"/>
      <c r="SNN101" s="142"/>
      <c r="SNO101" s="142"/>
      <c r="SNP101" s="142"/>
      <c r="SNQ101" s="142"/>
      <c r="SNR101" s="142"/>
      <c r="SNS101" s="142"/>
      <c r="SNT101" s="142"/>
      <c r="SNU101" s="142"/>
      <c r="SNV101" s="142"/>
      <c r="SNW101" s="142"/>
      <c r="SNX101" s="142"/>
      <c r="SNY101" s="142"/>
      <c r="SNZ101" s="142"/>
      <c r="SOA101" s="142"/>
      <c r="SOB101" s="142"/>
      <c r="SOC101" s="142"/>
      <c r="SOD101" s="142"/>
      <c r="SOE101" s="142"/>
      <c r="SOF101" s="142"/>
      <c r="SOG101" s="142"/>
      <c r="SOH101" s="142"/>
      <c r="SOI101" s="142"/>
      <c r="SOJ101" s="142"/>
      <c r="SOK101" s="142"/>
      <c r="SOL101" s="142"/>
      <c r="SOM101" s="142"/>
      <c r="SON101" s="142"/>
      <c r="SOO101" s="142"/>
      <c r="SOP101" s="142"/>
      <c r="SOQ101" s="142"/>
      <c r="SOR101" s="142"/>
      <c r="SOS101" s="142"/>
      <c r="SOT101" s="142"/>
      <c r="SOU101" s="142"/>
      <c r="SOV101" s="142"/>
      <c r="SOW101" s="142"/>
      <c r="SOX101" s="142"/>
      <c r="SOY101" s="142"/>
      <c r="SOZ101" s="142"/>
      <c r="SPA101" s="142"/>
      <c r="SPB101" s="142"/>
      <c r="SPC101" s="142"/>
      <c r="SPD101" s="142"/>
      <c r="SPE101" s="142"/>
      <c r="SPF101" s="142"/>
      <c r="SPG101" s="142"/>
      <c r="SPH101" s="142"/>
      <c r="SPI101" s="142"/>
      <c r="SPJ101" s="142"/>
      <c r="SPK101" s="142"/>
      <c r="SPL101" s="142"/>
      <c r="SPM101" s="142"/>
      <c r="SPN101" s="142"/>
      <c r="SPO101" s="142"/>
      <c r="SPP101" s="142"/>
      <c r="SPQ101" s="142"/>
      <c r="SPR101" s="142"/>
      <c r="SPS101" s="142"/>
      <c r="SPT101" s="142"/>
      <c r="SPU101" s="142"/>
      <c r="SPV101" s="142"/>
      <c r="SPW101" s="142"/>
      <c r="SPX101" s="142"/>
      <c r="SPY101" s="142"/>
      <c r="SPZ101" s="142"/>
      <c r="SQA101" s="142"/>
      <c r="SQB101" s="142"/>
      <c r="SQC101" s="142"/>
      <c r="SQD101" s="142"/>
      <c r="SQE101" s="142"/>
      <c r="SQF101" s="142"/>
      <c r="SQG101" s="142"/>
      <c r="SQH101" s="142"/>
      <c r="SQI101" s="142"/>
      <c r="SQJ101" s="142"/>
      <c r="SQK101" s="142"/>
      <c r="SQL101" s="142"/>
      <c r="SQM101" s="142"/>
      <c r="SQN101" s="142"/>
      <c r="SQO101" s="142"/>
      <c r="SQP101" s="142"/>
      <c r="SQQ101" s="142"/>
      <c r="SQR101" s="142"/>
      <c r="SQS101" s="142"/>
      <c r="SQT101" s="142"/>
      <c r="SQU101" s="142"/>
      <c r="SQV101" s="142"/>
      <c r="SQW101" s="142"/>
      <c r="SQX101" s="142"/>
      <c r="SQY101" s="142"/>
      <c r="SQZ101" s="142"/>
      <c r="SRA101" s="142"/>
      <c r="SRB101" s="142"/>
      <c r="SRC101" s="142"/>
      <c r="SRD101" s="142"/>
      <c r="SRE101" s="142"/>
      <c r="SRF101" s="142"/>
      <c r="SRG101" s="142"/>
      <c r="SRH101" s="142"/>
      <c r="SRI101" s="142"/>
      <c r="SRJ101" s="142"/>
      <c r="SRK101" s="142"/>
      <c r="SRL101" s="142"/>
      <c r="SRM101" s="142"/>
      <c r="SRN101" s="142"/>
      <c r="SRO101" s="142"/>
      <c r="SRP101" s="142"/>
      <c r="SRQ101" s="142"/>
      <c r="SRR101" s="142"/>
      <c r="SRS101" s="142"/>
      <c r="SRT101" s="142"/>
      <c r="SRU101" s="142"/>
      <c r="SRV101" s="142"/>
      <c r="SRW101" s="142"/>
      <c r="SRX101" s="142"/>
      <c r="SRY101" s="142"/>
      <c r="SRZ101" s="142"/>
      <c r="SSA101" s="142"/>
      <c r="SSB101" s="142"/>
      <c r="SSC101" s="142"/>
      <c r="SSD101" s="142"/>
      <c r="SSE101" s="142"/>
      <c r="SSF101" s="142"/>
      <c r="SSG101" s="142"/>
      <c r="SSH101" s="142"/>
      <c r="SSI101" s="142"/>
      <c r="SSJ101" s="142"/>
      <c r="SSK101" s="142"/>
      <c r="SSL101" s="142"/>
      <c r="SSM101" s="142"/>
      <c r="SSN101" s="142"/>
      <c r="SSO101" s="142"/>
      <c r="SSP101" s="142"/>
      <c r="SSQ101" s="142"/>
      <c r="SSR101" s="142"/>
      <c r="SSS101" s="142"/>
      <c r="SST101" s="142"/>
      <c r="SSU101" s="142"/>
      <c r="SSV101" s="142"/>
      <c r="SSW101" s="142"/>
      <c r="SSX101" s="142"/>
      <c r="SSY101" s="142"/>
      <c r="SSZ101" s="142"/>
      <c r="STA101" s="142"/>
      <c r="STB101" s="142"/>
      <c r="STC101" s="142"/>
      <c r="STD101" s="142"/>
      <c r="STE101" s="142"/>
      <c r="STF101" s="142"/>
      <c r="STG101" s="142"/>
      <c r="STH101" s="142"/>
      <c r="STI101" s="142"/>
      <c r="STJ101" s="142"/>
      <c r="STK101" s="142"/>
      <c r="STL101" s="142"/>
      <c r="STM101" s="142"/>
      <c r="STN101" s="142"/>
      <c r="STO101" s="142"/>
      <c r="STP101" s="142"/>
      <c r="STQ101" s="142"/>
      <c r="STR101" s="142"/>
      <c r="STS101" s="142"/>
      <c r="STT101" s="142"/>
      <c r="STU101" s="142"/>
      <c r="STV101" s="142"/>
      <c r="STW101" s="142"/>
      <c r="STX101" s="142"/>
      <c r="STY101" s="142"/>
      <c r="STZ101" s="142"/>
      <c r="SUA101" s="142"/>
      <c r="SUB101" s="142"/>
      <c r="SUC101" s="142"/>
      <c r="SUD101" s="142"/>
      <c r="SUE101" s="142"/>
      <c r="SUF101" s="142"/>
      <c r="SUG101" s="142"/>
      <c r="SUH101" s="142"/>
      <c r="SUI101" s="142"/>
      <c r="SUJ101" s="142"/>
      <c r="SUK101" s="142"/>
      <c r="SUL101" s="142"/>
      <c r="SUM101" s="142"/>
      <c r="SUN101" s="142"/>
      <c r="SUO101" s="142"/>
      <c r="SUP101" s="142"/>
      <c r="SUQ101" s="142"/>
      <c r="SUR101" s="142"/>
      <c r="SUS101" s="142"/>
      <c r="SUT101" s="142"/>
      <c r="SUU101" s="142"/>
      <c r="SUV101" s="142"/>
      <c r="SUW101" s="142"/>
      <c r="SUX101" s="142"/>
      <c r="SUY101" s="142"/>
      <c r="SUZ101" s="142"/>
      <c r="SVA101" s="142"/>
      <c r="SVB101" s="142"/>
      <c r="SVC101" s="142"/>
      <c r="SVD101" s="142"/>
      <c r="SVE101" s="142"/>
      <c r="SVF101" s="142"/>
      <c r="SVG101" s="142"/>
      <c r="SVH101" s="142"/>
      <c r="SVI101" s="142"/>
      <c r="SVJ101" s="142"/>
      <c r="SVK101" s="142"/>
      <c r="SVL101" s="142"/>
      <c r="SVM101" s="142"/>
      <c r="SVN101" s="142"/>
      <c r="SVO101" s="142"/>
      <c r="SVP101" s="142"/>
      <c r="SVQ101" s="142"/>
      <c r="SVR101" s="142"/>
      <c r="SVS101" s="142"/>
      <c r="SVT101" s="142"/>
      <c r="SVU101" s="142"/>
      <c r="SVV101" s="142"/>
      <c r="SVW101" s="142"/>
      <c r="SVX101" s="142"/>
      <c r="SVY101" s="142"/>
      <c r="SVZ101" s="142"/>
      <c r="SWA101" s="142"/>
      <c r="SWB101" s="142"/>
      <c r="SWC101" s="142"/>
      <c r="SWD101" s="142"/>
      <c r="SWE101" s="142"/>
      <c r="SWF101" s="142"/>
      <c r="SWG101" s="142"/>
      <c r="SWH101" s="142"/>
      <c r="SWI101" s="142"/>
      <c r="SWJ101" s="142"/>
      <c r="SWK101" s="142"/>
      <c r="SWL101" s="142"/>
      <c r="SWM101" s="142"/>
      <c r="SWN101" s="142"/>
      <c r="SWO101" s="142"/>
      <c r="SWP101" s="142"/>
      <c r="SWQ101" s="142"/>
      <c r="SWR101" s="142"/>
      <c r="SWS101" s="142"/>
      <c r="SWT101" s="142"/>
      <c r="SWU101" s="142"/>
      <c r="SWV101" s="142"/>
      <c r="SWW101" s="142"/>
      <c r="SWX101" s="142"/>
      <c r="SWY101" s="142"/>
      <c r="SWZ101" s="142"/>
      <c r="SXA101" s="142"/>
      <c r="SXB101" s="142"/>
      <c r="SXC101" s="142"/>
      <c r="SXD101" s="142"/>
      <c r="SXE101" s="142"/>
      <c r="SXF101" s="142"/>
      <c r="SXG101" s="142"/>
      <c r="SXH101" s="142"/>
      <c r="SXI101" s="142"/>
      <c r="SXJ101" s="142"/>
      <c r="SXK101" s="142"/>
      <c r="SXL101" s="142"/>
      <c r="SXM101" s="142"/>
      <c r="SXN101" s="142"/>
      <c r="SXO101" s="142"/>
      <c r="SXP101" s="142"/>
      <c r="SXQ101" s="142"/>
      <c r="SXR101" s="142"/>
      <c r="SXS101" s="142"/>
      <c r="SXT101" s="142"/>
      <c r="SXU101" s="142"/>
      <c r="SXV101" s="142"/>
      <c r="SXW101" s="142"/>
      <c r="SXX101" s="142"/>
      <c r="SXY101" s="142"/>
      <c r="SXZ101" s="142"/>
      <c r="SYA101" s="142"/>
      <c r="SYB101" s="142"/>
      <c r="SYC101" s="142"/>
      <c r="SYD101" s="142"/>
      <c r="SYE101" s="142"/>
      <c r="SYF101" s="142"/>
      <c r="SYG101" s="142"/>
      <c r="SYH101" s="142"/>
      <c r="SYI101" s="142"/>
      <c r="SYJ101" s="142"/>
      <c r="SYK101" s="142"/>
      <c r="SYL101" s="142"/>
      <c r="SYM101" s="142"/>
      <c r="SYN101" s="142"/>
      <c r="SYO101" s="142"/>
      <c r="SYP101" s="142"/>
      <c r="SYQ101" s="142"/>
      <c r="SYR101" s="142"/>
      <c r="SYS101" s="142"/>
      <c r="SYT101" s="142"/>
      <c r="SYU101" s="142"/>
      <c r="SYV101" s="142"/>
      <c r="SYW101" s="142"/>
      <c r="SYX101" s="142"/>
      <c r="SYY101" s="142"/>
      <c r="SYZ101" s="142"/>
      <c r="SZA101" s="142"/>
      <c r="SZB101" s="142"/>
      <c r="SZC101" s="142"/>
      <c r="SZD101" s="142"/>
      <c r="SZE101" s="142"/>
      <c r="SZF101" s="142"/>
      <c r="SZG101" s="142"/>
      <c r="SZH101" s="142"/>
      <c r="SZI101" s="142"/>
      <c r="SZJ101" s="142"/>
      <c r="SZK101" s="142"/>
      <c r="SZL101" s="142"/>
      <c r="SZM101" s="142"/>
      <c r="SZN101" s="142"/>
      <c r="SZO101" s="142"/>
      <c r="SZP101" s="142"/>
      <c r="SZQ101" s="142"/>
      <c r="SZR101" s="142"/>
      <c r="SZS101" s="142"/>
      <c r="SZT101" s="142"/>
      <c r="SZU101" s="142"/>
      <c r="SZV101" s="142"/>
      <c r="SZW101" s="142"/>
      <c r="SZX101" s="142"/>
      <c r="SZY101" s="142"/>
      <c r="SZZ101" s="142"/>
      <c r="TAA101" s="142"/>
      <c r="TAB101" s="142"/>
      <c r="TAC101" s="142"/>
      <c r="TAD101" s="142"/>
      <c r="TAE101" s="142"/>
      <c r="TAF101" s="142"/>
      <c r="TAG101" s="142"/>
      <c r="TAH101" s="142"/>
      <c r="TAI101" s="142"/>
      <c r="TAJ101" s="142"/>
      <c r="TAK101" s="142"/>
      <c r="TAL101" s="142"/>
      <c r="TAM101" s="142"/>
      <c r="TAN101" s="142"/>
      <c r="TAO101" s="142"/>
      <c r="TAP101" s="142"/>
      <c r="TAQ101" s="142"/>
      <c r="TAR101" s="142"/>
      <c r="TAS101" s="142"/>
      <c r="TAT101" s="142"/>
      <c r="TAU101" s="142"/>
      <c r="TAV101" s="142"/>
      <c r="TAW101" s="142"/>
      <c r="TAX101" s="142"/>
      <c r="TAY101" s="142"/>
      <c r="TAZ101" s="142"/>
      <c r="TBA101" s="142"/>
      <c r="TBB101" s="142"/>
      <c r="TBC101" s="142"/>
      <c r="TBD101" s="142"/>
      <c r="TBE101" s="142"/>
      <c r="TBF101" s="142"/>
      <c r="TBG101" s="142"/>
      <c r="TBH101" s="142"/>
      <c r="TBI101" s="142"/>
      <c r="TBJ101" s="142"/>
      <c r="TBK101" s="142"/>
      <c r="TBL101" s="142"/>
      <c r="TBM101" s="142"/>
      <c r="TBN101" s="142"/>
      <c r="TBO101" s="142"/>
      <c r="TBP101" s="142"/>
      <c r="TBQ101" s="142"/>
      <c r="TBR101" s="142"/>
      <c r="TBS101" s="142"/>
      <c r="TBT101" s="142"/>
      <c r="TBU101" s="142"/>
      <c r="TBV101" s="142"/>
      <c r="TBW101" s="142"/>
      <c r="TBX101" s="142"/>
      <c r="TBY101" s="142"/>
      <c r="TBZ101" s="142"/>
      <c r="TCA101" s="142"/>
      <c r="TCB101" s="142"/>
      <c r="TCC101" s="142"/>
      <c r="TCD101" s="142"/>
      <c r="TCE101" s="142"/>
      <c r="TCF101" s="142"/>
      <c r="TCG101" s="142"/>
      <c r="TCH101" s="142"/>
      <c r="TCI101" s="142"/>
      <c r="TCJ101" s="142"/>
      <c r="TCK101" s="142"/>
      <c r="TCL101" s="142"/>
      <c r="TCM101" s="142"/>
      <c r="TCN101" s="142"/>
      <c r="TCO101" s="142"/>
      <c r="TCP101" s="142"/>
      <c r="TCQ101" s="142"/>
      <c r="TCR101" s="142"/>
      <c r="TCS101" s="142"/>
      <c r="TCT101" s="142"/>
      <c r="TCU101" s="142"/>
      <c r="TCV101" s="142"/>
      <c r="TCW101" s="142"/>
      <c r="TCX101" s="142"/>
      <c r="TCY101" s="142"/>
      <c r="TCZ101" s="142"/>
      <c r="TDA101" s="142"/>
      <c r="TDB101" s="142"/>
      <c r="TDC101" s="142"/>
      <c r="TDD101" s="142"/>
      <c r="TDE101" s="142"/>
      <c r="TDF101" s="142"/>
      <c r="TDG101" s="142"/>
      <c r="TDH101" s="142"/>
      <c r="TDI101" s="142"/>
      <c r="TDJ101" s="142"/>
      <c r="TDK101" s="142"/>
      <c r="TDL101" s="142"/>
      <c r="TDM101" s="142"/>
      <c r="TDN101" s="142"/>
      <c r="TDO101" s="142"/>
      <c r="TDP101" s="142"/>
      <c r="TDQ101" s="142"/>
      <c r="TDR101" s="142"/>
      <c r="TDS101" s="142"/>
      <c r="TDT101" s="142"/>
      <c r="TDU101" s="142"/>
      <c r="TDV101" s="142"/>
      <c r="TDW101" s="142"/>
      <c r="TDX101" s="142"/>
      <c r="TDY101" s="142"/>
      <c r="TDZ101" s="142"/>
      <c r="TEA101" s="142"/>
      <c r="TEB101" s="142"/>
      <c r="TEC101" s="142"/>
      <c r="TED101" s="142"/>
      <c r="TEE101" s="142"/>
      <c r="TEF101" s="142"/>
      <c r="TEG101" s="142"/>
      <c r="TEH101" s="142"/>
      <c r="TEI101" s="142"/>
      <c r="TEJ101" s="142"/>
      <c r="TEK101" s="142"/>
      <c r="TEL101" s="142"/>
      <c r="TEM101" s="142"/>
      <c r="TEN101" s="142"/>
      <c r="TEO101" s="142"/>
      <c r="TEP101" s="142"/>
      <c r="TEQ101" s="142"/>
      <c r="TER101" s="142"/>
      <c r="TES101" s="142"/>
      <c r="TET101" s="142"/>
      <c r="TEU101" s="142"/>
      <c r="TEV101" s="142"/>
      <c r="TEW101" s="142"/>
      <c r="TEX101" s="142"/>
      <c r="TEY101" s="142"/>
      <c r="TEZ101" s="142"/>
      <c r="TFA101" s="142"/>
      <c r="TFB101" s="142"/>
      <c r="TFC101" s="142"/>
      <c r="TFD101" s="142"/>
      <c r="TFE101" s="142"/>
      <c r="TFF101" s="142"/>
      <c r="TFG101" s="142"/>
      <c r="TFH101" s="142"/>
      <c r="TFI101" s="142"/>
      <c r="TFJ101" s="142"/>
      <c r="TFK101" s="142"/>
      <c r="TFL101" s="142"/>
      <c r="TFM101" s="142"/>
      <c r="TFN101" s="142"/>
      <c r="TFO101" s="142"/>
      <c r="TFP101" s="142"/>
      <c r="TFQ101" s="142"/>
      <c r="TFR101" s="142"/>
      <c r="TFS101" s="142"/>
      <c r="TFT101" s="142"/>
      <c r="TFU101" s="142"/>
      <c r="TFV101" s="142"/>
      <c r="TFW101" s="142"/>
      <c r="TFX101" s="142"/>
      <c r="TFY101" s="142"/>
      <c r="TFZ101" s="142"/>
      <c r="TGA101" s="142"/>
      <c r="TGB101" s="142"/>
      <c r="TGC101" s="142"/>
      <c r="TGD101" s="142"/>
      <c r="TGE101" s="142"/>
      <c r="TGF101" s="142"/>
      <c r="TGG101" s="142"/>
      <c r="TGH101" s="142"/>
      <c r="TGI101" s="142"/>
      <c r="TGJ101" s="142"/>
      <c r="TGK101" s="142"/>
      <c r="TGL101" s="142"/>
      <c r="TGM101" s="142"/>
      <c r="TGN101" s="142"/>
      <c r="TGO101" s="142"/>
      <c r="TGP101" s="142"/>
      <c r="TGQ101" s="142"/>
      <c r="TGR101" s="142"/>
      <c r="TGS101" s="142"/>
      <c r="TGT101" s="142"/>
      <c r="TGU101" s="142"/>
      <c r="TGV101" s="142"/>
      <c r="TGW101" s="142"/>
      <c r="TGX101" s="142"/>
      <c r="TGY101" s="142"/>
      <c r="TGZ101" s="142"/>
      <c r="THA101" s="142"/>
      <c r="THB101" s="142"/>
      <c r="THC101" s="142"/>
      <c r="THD101" s="142"/>
      <c r="THE101" s="142"/>
      <c r="THF101" s="142"/>
      <c r="THG101" s="142"/>
      <c r="THH101" s="142"/>
      <c r="THI101" s="142"/>
      <c r="THJ101" s="142"/>
      <c r="THK101" s="142"/>
      <c r="THL101" s="142"/>
      <c r="THM101" s="142"/>
      <c r="THN101" s="142"/>
      <c r="THO101" s="142"/>
      <c r="THP101" s="142"/>
      <c r="THQ101" s="142"/>
      <c r="THR101" s="142"/>
      <c r="THS101" s="142"/>
      <c r="THT101" s="142"/>
      <c r="THU101" s="142"/>
      <c r="THV101" s="142"/>
      <c r="THW101" s="142"/>
      <c r="THX101" s="142"/>
      <c r="THY101" s="142"/>
      <c r="THZ101" s="142"/>
      <c r="TIA101" s="142"/>
      <c r="TIB101" s="142"/>
      <c r="TIC101" s="142"/>
      <c r="TID101" s="142"/>
      <c r="TIE101" s="142"/>
      <c r="TIF101" s="142"/>
      <c r="TIG101" s="142"/>
      <c r="TIH101" s="142"/>
      <c r="TII101" s="142"/>
      <c r="TIJ101" s="142"/>
      <c r="TIK101" s="142"/>
      <c r="TIL101" s="142"/>
      <c r="TIM101" s="142"/>
      <c r="TIN101" s="142"/>
      <c r="TIO101" s="142"/>
      <c r="TIP101" s="142"/>
      <c r="TIQ101" s="142"/>
      <c r="TIR101" s="142"/>
      <c r="TIS101" s="142"/>
      <c r="TIT101" s="142"/>
      <c r="TIU101" s="142"/>
      <c r="TIV101" s="142"/>
      <c r="TIW101" s="142"/>
      <c r="TIX101" s="142"/>
      <c r="TIY101" s="142"/>
      <c r="TIZ101" s="142"/>
      <c r="TJA101" s="142"/>
      <c r="TJB101" s="142"/>
      <c r="TJC101" s="142"/>
      <c r="TJD101" s="142"/>
      <c r="TJE101" s="142"/>
      <c r="TJF101" s="142"/>
      <c r="TJG101" s="142"/>
      <c r="TJH101" s="142"/>
      <c r="TJI101" s="142"/>
      <c r="TJJ101" s="142"/>
      <c r="TJK101" s="142"/>
      <c r="TJL101" s="142"/>
      <c r="TJM101" s="142"/>
      <c r="TJN101" s="142"/>
      <c r="TJO101" s="142"/>
      <c r="TJP101" s="142"/>
      <c r="TJQ101" s="142"/>
      <c r="TJR101" s="142"/>
      <c r="TJS101" s="142"/>
      <c r="TJT101" s="142"/>
      <c r="TJU101" s="142"/>
      <c r="TJV101" s="142"/>
      <c r="TJW101" s="142"/>
      <c r="TJX101" s="142"/>
      <c r="TJY101" s="142"/>
      <c r="TJZ101" s="142"/>
      <c r="TKA101" s="142"/>
      <c r="TKB101" s="142"/>
      <c r="TKC101" s="142"/>
      <c r="TKD101" s="142"/>
      <c r="TKE101" s="142"/>
      <c r="TKF101" s="142"/>
      <c r="TKG101" s="142"/>
      <c r="TKH101" s="142"/>
      <c r="TKI101" s="142"/>
      <c r="TKJ101" s="142"/>
      <c r="TKK101" s="142"/>
      <c r="TKL101" s="142"/>
      <c r="TKM101" s="142"/>
      <c r="TKN101" s="142"/>
      <c r="TKO101" s="142"/>
      <c r="TKP101" s="142"/>
      <c r="TKQ101" s="142"/>
      <c r="TKR101" s="142"/>
      <c r="TKS101" s="142"/>
      <c r="TKT101" s="142"/>
      <c r="TKU101" s="142"/>
      <c r="TKV101" s="142"/>
      <c r="TKW101" s="142"/>
      <c r="TKX101" s="142"/>
      <c r="TKY101" s="142"/>
      <c r="TKZ101" s="142"/>
      <c r="TLA101" s="142"/>
      <c r="TLB101" s="142"/>
      <c r="TLC101" s="142"/>
      <c r="TLD101" s="142"/>
      <c r="TLE101" s="142"/>
      <c r="TLF101" s="142"/>
      <c r="TLG101" s="142"/>
      <c r="TLH101" s="142"/>
      <c r="TLI101" s="142"/>
      <c r="TLJ101" s="142"/>
      <c r="TLK101" s="142"/>
      <c r="TLL101" s="142"/>
      <c r="TLM101" s="142"/>
      <c r="TLN101" s="142"/>
      <c r="TLO101" s="142"/>
      <c r="TLP101" s="142"/>
      <c r="TLQ101" s="142"/>
      <c r="TLR101" s="142"/>
      <c r="TLS101" s="142"/>
      <c r="TLT101" s="142"/>
      <c r="TLU101" s="142"/>
      <c r="TLV101" s="142"/>
      <c r="TLW101" s="142"/>
      <c r="TLX101" s="142"/>
      <c r="TLY101" s="142"/>
      <c r="TLZ101" s="142"/>
      <c r="TMA101" s="142"/>
      <c r="TMB101" s="142"/>
      <c r="TMC101" s="142"/>
      <c r="TMD101" s="142"/>
      <c r="TME101" s="142"/>
      <c r="TMF101" s="142"/>
      <c r="TMG101" s="142"/>
      <c r="TMH101" s="142"/>
      <c r="TMI101" s="142"/>
      <c r="TMJ101" s="142"/>
      <c r="TMK101" s="142"/>
      <c r="TML101" s="142"/>
      <c r="TMM101" s="142"/>
      <c r="TMN101" s="142"/>
      <c r="TMO101" s="142"/>
      <c r="TMP101" s="142"/>
      <c r="TMQ101" s="142"/>
      <c r="TMR101" s="142"/>
      <c r="TMS101" s="142"/>
      <c r="TMT101" s="142"/>
      <c r="TMU101" s="142"/>
      <c r="TMV101" s="142"/>
      <c r="TMW101" s="142"/>
      <c r="TMX101" s="142"/>
      <c r="TMY101" s="142"/>
      <c r="TMZ101" s="142"/>
      <c r="TNA101" s="142"/>
      <c r="TNB101" s="142"/>
      <c r="TNC101" s="142"/>
      <c r="TND101" s="142"/>
      <c r="TNE101" s="142"/>
      <c r="TNF101" s="142"/>
      <c r="TNG101" s="142"/>
      <c r="TNH101" s="142"/>
      <c r="TNI101" s="142"/>
      <c r="TNJ101" s="142"/>
      <c r="TNK101" s="142"/>
      <c r="TNL101" s="142"/>
      <c r="TNM101" s="142"/>
      <c r="TNN101" s="142"/>
      <c r="TNO101" s="142"/>
      <c r="TNP101" s="142"/>
      <c r="TNQ101" s="142"/>
      <c r="TNR101" s="142"/>
      <c r="TNS101" s="142"/>
      <c r="TNT101" s="142"/>
      <c r="TNU101" s="142"/>
      <c r="TNV101" s="142"/>
      <c r="TNW101" s="142"/>
      <c r="TNX101" s="142"/>
      <c r="TNY101" s="142"/>
      <c r="TNZ101" s="142"/>
      <c r="TOA101" s="142"/>
      <c r="TOB101" s="142"/>
      <c r="TOC101" s="142"/>
      <c r="TOD101" s="142"/>
      <c r="TOE101" s="142"/>
      <c r="TOF101" s="142"/>
      <c r="TOG101" s="142"/>
      <c r="TOH101" s="142"/>
      <c r="TOI101" s="142"/>
      <c r="TOJ101" s="142"/>
      <c r="TOK101" s="142"/>
      <c r="TOL101" s="142"/>
      <c r="TOM101" s="142"/>
      <c r="TON101" s="142"/>
      <c r="TOO101" s="142"/>
      <c r="TOP101" s="142"/>
      <c r="TOQ101" s="142"/>
      <c r="TOR101" s="142"/>
      <c r="TOS101" s="142"/>
      <c r="TOT101" s="142"/>
      <c r="TOU101" s="142"/>
      <c r="TOV101" s="142"/>
      <c r="TOW101" s="142"/>
      <c r="TOX101" s="142"/>
      <c r="TOY101" s="142"/>
      <c r="TOZ101" s="142"/>
      <c r="TPA101" s="142"/>
      <c r="TPB101" s="142"/>
      <c r="TPC101" s="142"/>
      <c r="TPD101" s="142"/>
      <c r="TPE101" s="142"/>
      <c r="TPF101" s="142"/>
      <c r="TPG101" s="142"/>
      <c r="TPH101" s="142"/>
      <c r="TPI101" s="142"/>
      <c r="TPJ101" s="142"/>
      <c r="TPK101" s="142"/>
      <c r="TPL101" s="142"/>
      <c r="TPM101" s="142"/>
      <c r="TPN101" s="142"/>
      <c r="TPO101" s="142"/>
      <c r="TPP101" s="142"/>
      <c r="TPQ101" s="142"/>
      <c r="TPR101" s="142"/>
      <c r="TPS101" s="142"/>
      <c r="TPT101" s="142"/>
      <c r="TPU101" s="142"/>
      <c r="TPV101" s="142"/>
      <c r="TPW101" s="142"/>
      <c r="TPX101" s="142"/>
      <c r="TPY101" s="142"/>
      <c r="TPZ101" s="142"/>
      <c r="TQA101" s="142"/>
      <c r="TQB101" s="142"/>
      <c r="TQC101" s="142"/>
      <c r="TQD101" s="142"/>
      <c r="TQE101" s="142"/>
      <c r="TQF101" s="142"/>
      <c r="TQG101" s="142"/>
      <c r="TQH101" s="142"/>
      <c r="TQI101" s="142"/>
      <c r="TQJ101" s="142"/>
      <c r="TQK101" s="142"/>
      <c r="TQL101" s="142"/>
      <c r="TQM101" s="142"/>
      <c r="TQN101" s="142"/>
      <c r="TQO101" s="142"/>
      <c r="TQP101" s="142"/>
      <c r="TQQ101" s="142"/>
      <c r="TQR101" s="142"/>
      <c r="TQS101" s="142"/>
      <c r="TQT101" s="142"/>
      <c r="TQU101" s="142"/>
      <c r="TQV101" s="142"/>
      <c r="TQW101" s="142"/>
      <c r="TQX101" s="142"/>
      <c r="TQY101" s="142"/>
      <c r="TQZ101" s="142"/>
      <c r="TRA101" s="142"/>
      <c r="TRB101" s="142"/>
      <c r="TRC101" s="142"/>
      <c r="TRD101" s="142"/>
      <c r="TRE101" s="142"/>
      <c r="TRF101" s="142"/>
      <c r="TRG101" s="142"/>
      <c r="TRH101" s="142"/>
      <c r="TRI101" s="142"/>
      <c r="TRJ101" s="142"/>
      <c r="TRK101" s="142"/>
      <c r="TRL101" s="142"/>
      <c r="TRM101" s="142"/>
      <c r="TRN101" s="142"/>
      <c r="TRO101" s="142"/>
      <c r="TRP101" s="142"/>
      <c r="TRQ101" s="142"/>
      <c r="TRR101" s="142"/>
      <c r="TRS101" s="142"/>
      <c r="TRT101" s="142"/>
      <c r="TRU101" s="142"/>
      <c r="TRV101" s="142"/>
      <c r="TRW101" s="142"/>
      <c r="TRX101" s="142"/>
      <c r="TRY101" s="142"/>
      <c r="TRZ101" s="142"/>
      <c r="TSA101" s="142"/>
      <c r="TSB101" s="142"/>
      <c r="TSC101" s="142"/>
      <c r="TSD101" s="142"/>
      <c r="TSE101" s="142"/>
      <c r="TSF101" s="142"/>
      <c r="TSG101" s="142"/>
      <c r="TSH101" s="142"/>
      <c r="TSI101" s="142"/>
      <c r="TSJ101" s="142"/>
      <c r="TSK101" s="142"/>
      <c r="TSL101" s="142"/>
      <c r="TSM101" s="142"/>
      <c r="TSN101" s="142"/>
      <c r="TSO101" s="142"/>
      <c r="TSP101" s="142"/>
      <c r="TSQ101" s="142"/>
      <c r="TSR101" s="142"/>
      <c r="TSS101" s="142"/>
      <c r="TST101" s="142"/>
      <c r="TSU101" s="142"/>
      <c r="TSV101" s="142"/>
      <c r="TSW101" s="142"/>
      <c r="TSX101" s="142"/>
      <c r="TSY101" s="142"/>
      <c r="TSZ101" s="142"/>
      <c r="TTA101" s="142"/>
      <c r="TTB101" s="142"/>
      <c r="TTC101" s="142"/>
      <c r="TTD101" s="142"/>
      <c r="TTE101" s="142"/>
      <c r="TTF101" s="142"/>
      <c r="TTG101" s="142"/>
      <c r="TTH101" s="142"/>
      <c r="TTI101" s="142"/>
      <c r="TTJ101" s="142"/>
      <c r="TTK101" s="142"/>
      <c r="TTL101" s="142"/>
      <c r="TTM101" s="142"/>
      <c r="TTN101" s="142"/>
      <c r="TTO101" s="142"/>
      <c r="TTP101" s="142"/>
      <c r="TTQ101" s="142"/>
      <c r="TTR101" s="142"/>
      <c r="TTS101" s="142"/>
      <c r="TTT101" s="142"/>
      <c r="TTU101" s="142"/>
      <c r="TTV101" s="142"/>
      <c r="TTW101" s="142"/>
      <c r="TTX101" s="142"/>
      <c r="TTY101" s="142"/>
      <c r="TTZ101" s="142"/>
      <c r="TUA101" s="142"/>
      <c r="TUB101" s="142"/>
      <c r="TUC101" s="142"/>
      <c r="TUD101" s="142"/>
      <c r="TUE101" s="142"/>
      <c r="TUF101" s="142"/>
      <c r="TUG101" s="142"/>
      <c r="TUH101" s="142"/>
      <c r="TUI101" s="142"/>
      <c r="TUJ101" s="142"/>
      <c r="TUK101" s="142"/>
      <c r="TUL101" s="142"/>
      <c r="TUM101" s="142"/>
      <c r="TUN101" s="142"/>
      <c r="TUO101" s="142"/>
      <c r="TUP101" s="142"/>
      <c r="TUQ101" s="142"/>
      <c r="TUR101" s="142"/>
      <c r="TUS101" s="142"/>
      <c r="TUT101" s="142"/>
      <c r="TUU101" s="142"/>
      <c r="TUV101" s="142"/>
      <c r="TUW101" s="142"/>
      <c r="TUX101" s="142"/>
      <c r="TUY101" s="142"/>
      <c r="TUZ101" s="142"/>
      <c r="TVA101" s="142"/>
      <c r="TVB101" s="142"/>
      <c r="TVC101" s="142"/>
      <c r="TVD101" s="142"/>
      <c r="TVE101" s="142"/>
      <c r="TVF101" s="142"/>
      <c r="TVG101" s="142"/>
      <c r="TVH101" s="142"/>
      <c r="TVI101" s="142"/>
      <c r="TVJ101" s="142"/>
      <c r="TVK101" s="142"/>
      <c r="TVL101" s="142"/>
      <c r="TVM101" s="142"/>
      <c r="TVN101" s="142"/>
      <c r="TVO101" s="142"/>
      <c r="TVP101" s="142"/>
      <c r="TVQ101" s="142"/>
      <c r="TVR101" s="142"/>
      <c r="TVS101" s="142"/>
      <c r="TVT101" s="142"/>
      <c r="TVU101" s="142"/>
      <c r="TVV101" s="142"/>
      <c r="TVW101" s="142"/>
      <c r="TVX101" s="142"/>
      <c r="TVY101" s="142"/>
      <c r="TVZ101" s="142"/>
      <c r="TWA101" s="142"/>
      <c r="TWB101" s="142"/>
      <c r="TWC101" s="142"/>
      <c r="TWD101" s="142"/>
      <c r="TWE101" s="142"/>
      <c r="TWF101" s="142"/>
      <c r="TWG101" s="142"/>
      <c r="TWH101" s="142"/>
      <c r="TWI101" s="142"/>
      <c r="TWJ101" s="142"/>
      <c r="TWK101" s="142"/>
      <c r="TWL101" s="142"/>
      <c r="TWM101" s="142"/>
      <c r="TWN101" s="142"/>
      <c r="TWO101" s="142"/>
      <c r="TWP101" s="142"/>
      <c r="TWQ101" s="142"/>
      <c r="TWR101" s="142"/>
      <c r="TWS101" s="142"/>
      <c r="TWT101" s="142"/>
      <c r="TWU101" s="142"/>
      <c r="TWV101" s="142"/>
      <c r="TWW101" s="142"/>
      <c r="TWX101" s="142"/>
      <c r="TWY101" s="142"/>
      <c r="TWZ101" s="142"/>
      <c r="TXA101" s="142"/>
      <c r="TXB101" s="142"/>
      <c r="TXC101" s="142"/>
      <c r="TXD101" s="142"/>
      <c r="TXE101" s="142"/>
      <c r="TXF101" s="142"/>
      <c r="TXG101" s="142"/>
      <c r="TXH101" s="142"/>
      <c r="TXI101" s="142"/>
      <c r="TXJ101" s="142"/>
      <c r="TXK101" s="142"/>
      <c r="TXL101" s="142"/>
      <c r="TXM101" s="142"/>
      <c r="TXN101" s="142"/>
      <c r="TXO101" s="142"/>
      <c r="TXP101" s="142"/>
      <c r="TXQ101" s="142"/>
      <c r="TXR101" s="142"/>
      <c r="TXS101" s="142"/>
      <c r="TXT101" s="142"/>
      <c r="TXU101" s="142"/>
      <c r="TXV101" s="142"/>
      <c r="TXW101" s="142"/>
      <c r="TXX101" s="142"/>
      <c r="TXY101" s="142"/>
      <c r="TXZ101" s="142"/>
      <c r="TYA101" s="142"/>
      <c r="TYB101" s="142"/>
      <c r="TYC101" s="142"/>
      <c r="TYD101" s="142"/>
      <c r="TYE101" s="142"/>
      <c r="TYF101" s="142"/>
      <c r="TYG101" s="142"/>
      <c r="TYH101" s="142"/>
      <c r="TYI101" s="142"/>
      <c r="TYJ101" s="142"/>
      <c r="TYK101" s="142"/>
      <c r="TYL101" s="142"/>
      <c r="TYM101" s="142"/>
      <c r="TYN101" s="142"/>
      <c r="TYO101" s="142"/>
      <c r="TYP101" s="142"/>
      <c r="TYQ101" s="142"/>
      <c r="TYR101" s="142"/>
      <c r="TYS101" s="142"/>
      <c r="TYT101" s="142"/>
      <c r="TYU101" s="142"/>
      <c r="TYV101" s="142"/>
      <c r="TYW101" s="142"/>
      <c r="TYX101" s="142"/>
      <c r="TYY101" s="142"/>
      <c r="TYZ101" s="142"/>
      <c r="TZA101" s="142"/>
      <c r="TZB101" s="142"/>
      <c r="TZC101" s="142"/>
      <c r="TZD101" s="142"/>
      <c r="TZE101" s="142"/>
      <c r="TZF101" s="142"/>
      <c r="TZG101" s="142"/>
      <c r="TZH101" s="142"/>
      <c r="TZI101" s="142"/>
      <c r="TZJ101" s="142"/>
      <c r="TZK101" s="142"/>
      <c r="TZL101" s="142"/>
      <c r="TZM101" s="142"/>
      <c r="TZN101" s="142"/>
      <c r="TZO101" s="142"/>
      <c r="TZP101" s="142"/>
      <c r="TZQ101" s="142"/>
      <c r="TZR101" s="142"/>
      <c r="TZS101" s="142"/>
      <c r="TZT101" s="142"/>
      <c r="TZU101" s="142"/>
      <c r="TZV101" s="142"/>
      <c r="TZW101" s="142"/>
      <c r="TZX101" s="142"/>
      <c r="TZY101" s="142"/>
      <c r="TZZ101" s="142"/>
      <c r="UAA101" s="142"/>
      <c r="UAB101" s="142"/>
      <c r="UAC101" s="142"/>
      <c r="UAD101" s="142"/>
      <c r="UAE101" s="142"/>
      <c r="UAF101" s="142"/>
      <c r="UAG101" s="142"/>
      <c r="UAH101" s="142"/>
      <c r="UAI101" s="142"/>
      <c r="UAJ101" s="142"/>
      <c r="UAK101" s="142"/>
      <c r="UAL101" s="142"/>
      <c r="UAM101" s="142"/>
      <c r="UAN101" s="142"/>
      <c r="UAO101" s="142"/>
      <c r="UAP101" s="142"/>
      <c r="UAQ101" s="142"/>
      <c r="UAR101" s="142"/>
      <c r="UAS101" s="142"/>
      <c r="UAT101" s="142"/>
      <c r="UAU101" s="142"/>
      <c r="UAV101" s="142"/>
      <c r="UAW101" s="142"/>
      <c r="UAX101" s="142"/>
      <c r="UAY101" s="142"/>
      <c r="UAZ101" s="142"/>
      <c r="UBA101" s="142"/>
      <c r="UBB101" s="142"/>
      <c r="UBC101" s="142"/>
      <c r="UBD101" s="142"/>
      <c r="UBE101" s="142"/>
      <c r="UBF101" s="142"/>
      <c r="UBG101" s="142"/>
      <c r="UBH101" s="142"/>
      <c r="UBI101" s="142"/>
      <c r="UBJ101" s="142"/>
      <c r="UBK101" s="142"/>
      <c r="UBL101" s="142"/>
      <c r="UBM101" s="142"/>
      <c r="UBN101" s="142"/>
      <c r="UBO101" s="142"/>
      <c r="UBP101" s="142"/>
      <c r="UBQ101" s="142"/>
      <c r="UBR101" s="142"/>
      <c r="UBS101" s="142"/>
      <c r="UBT101" s="142"/>
      <c r="UBU101" s="142"/>
      <c r="UBV101" s="142"/>
      <c r="UBW101" s="142"/>
      <c r="UBX101" s="142"/>
      <c r="UBY101" s="142"/>
      <c r="UBZ101" s="142"/>
      <c r="UCA101" s="142"/>
      <c r="UCB101" s="142"/>
      <c r="UCC101" s="142"/>
      <c r="UCD101" s="142"/>
      <c r="UCE101" s="142"/>
      <c r="UCF101" s="142"/>
      <c r="UCG101" s="142"/>
      <c r="UCH101" s="142"/>
      <c r="UCI101" s="142"/>
      <c r="UCJ101" s="142"/>
      <c r="UCK101" s="142"/>
      <c r="UCL101" s="142"/>
      <c r="UCM101" s="142"/>
      <c r="UCN101" s="142"/>
      <c r="UCO101" s="142"/>
      <c r="UCP101" s="142"/>
      <c r="UCQ101" s="142"/>
      <c r="UCR101" s="142"/>
      <c r="UCS101" s="142"/>
      <c r="UCT101" s="142"/>
      <c r="UCU101" s="142"/>
      <c r="UCV101" s="142"/>
      <c r="UCW101" s="142"/>
      <c r="UCX101" s="142"/>
      <c r="UCY101" s="142"/>
      <c r="UCZ101" s="142"/>
      <c r="UDA101" s="142"/>
      <c r="UDB101" s="142"/>
      <c r="UDC101" s="142"/>
      <c r="UDD101" s="142"/>
      <c r="UDE101" s="142"/>
      <c r="UDF101" s="142"/>
      <c r="UDG101" s="142"/>
      <c r="UDH101" s="142"/>
      <c r="UDI101" s="142"/>
      <c r="UDJ101" s="142"/>
      <c r="UDK101" s="142"/>
      <c r="UDL101" s="142"/>
      <c r="UDM101" s="142"/>
      <c r="UDN101" s="142"/>
      <c r="UDO101" s="142"/>
      <c r="UDP101" s="142"/>
      <c r="UDQ101" s="142"/>
      <c r="UDR101" s="142"/>
      <c r="UDS101" s="142"/>
      <c r="UDT101" s="142"/>
      <c r="UDU101" s="142"/>
      <c r="UDV101" s="142"/>
      <c r="UDW101" s="142"/>
      <c r="UDX101" s="142"/>
      <c r="UDY101" s="142"/>
      <c r="UDZ101" s="142"/>
      <c r="UEA101" s="142"/>
      <c r="UEB101" s="142"/>
      <c r="UEC101" s="142"/>
      <c r="UED101" s="142"/>
      <c r="UEE101" s="142"/>
      <c r="UEF101" s="142"/>
      <c r="UEG101" s="142"/>
      <c r="UEH101" s="142"/>
      <c r="UEI101" s="142"/>
      <c r="UEJ101" s="142"/>
      <c r="UEK101" s="142"/>
      <c r="UEL101" s="142"/>
      <c r="UEM101" s="142"/>
      <c r="UEN101" s="142"/>
      <c r="UEO101" s="142"/>
      <c r="UEP101" s="142"/>
      <c r="UEQ101" s="142"/>
      <c r="UER101" s="142"/>
      <c r="UES101" s="142"/>
      <c r="UET101" s="142"/>
      <c r="UEU101" s="142"/>
      <c r="UEV101" s="142"/>
      <c r="UEW101" s="142"/>
      <c r="UEX101" s="142"/>
      <c r="UEY101" s="142"/>
      <c r="UEZ101" s="142"/>
      <c r="UFA101" s="142"/>
      <c r="UFB101" s="142"/>
      <c r="UFC101" s="142"/>
      <c r="UFD101" s="142"/>
      <c r="UFE101" s="142"/>
      <c r="UFF101" s="142"/>
      <c r="UFG101" s="142"/>
      <c r="UFH101" s="142"/>
      <c r="UFI101" s="142"/>
      <c r="UFJ101" s="142"/>
      <c r="UFK101" s="142"/>
      <c r="UFL101" s="142"/>
      <c r="UFM101" s="142"/>
      <c r="UFN101" s="142"/>
      <c r="UFO101" s="142"/>
      <c r="UFP101" s="142"/>
      <c r="UFQ101" s="142"/>
      <c r="UFR101" s="142"/>
      <c r="UFS101" s="142"/>
      <c r="UFT101" s="142"/>
      <c r="UFU101" s="142"/>
      <c r="UFV101" s="142"/>
      <c r="UFW101" s="142"/>
      <c r="UFX101" s="142"/>
      <c r="UFY101" s="142"/>
      <c r="UFZ101" s="142"/>
      <c r="UGA101" s="142"/>
      <c r="UGB101" s="142"/>
      <c r="UGC101" s="142"/>
      <c r="UGD101" s="142"/>
      <c r="UGE101" s="142"/>
      <c r="UGF101" s="142"/>
      <c r="UGG101" s="142"/>
      <c r="UGH101" s="142"/>
      <c r="UGI101" s="142"/>
      <c r="UGJ101" s="142"/>
      <c r="UGK101" s="142"/>
      <c r="UGL101" s="142"/>
      <c r="UGM101" s="142"/>
      <c r="UGN101" s="142"/>
      <c r="UGO101" s="142"/>
      <c r="UGP101" s="142"/>
      <c r="UGQ101" s="142"/>
      <c r="UGR101" s="142"/>
      <c r="UGS101" s="142"/>
      <c r="UGT101" s="142"/>
      <c r="UGU101" s="142"/>
      <c r="UGV101" s="142"/>
      <c r="UGW101" s="142"/>
      <c r="UGX101" s="142"/>
      <c r="UGY101" s="142"/>
      <c r="UGZ101" s="142"/>
      <c r="UHA101" s="142"/>
      <c r="UHB101" s="142"/>
      <c r="UHC101" s="142"/>
      <c r="UHD101" s="142"/>
      <c r="UHE101" s="142"/>
      <c r="UHF101" s="142"/>
      <c r="UHG101" s="142"/>
      <c r="UHH101" s="142"/>
      <c r="UHI101" s="142"/>
      <c r="UHJ101" s="142"/>
      <c r="UHK101" s="142"/>
      <c r="UHL101" s="142"/>
      <c r="UHM101" s="142"/>
      <c r="UHN101" s="142"/>
      <c r="UHO101" s="142"/>
      <c r="UHP101" s="142"/>
      <c r="UHQ101" s="142"/>
      <c r="UHR101" s="142"/>
      <c r="UHS101" s="142"/>
      <c r="UHT101" s="142"/>
      <c r="UHU101" s="142"/>
      <c r="UHV101" s="142"/>
      <c r="UHW101" s="142"/>
      <c r="UHX101" s="142"/>
      <c r="UHY101" s="142"/>
      <c r="UHZ101" s="142"/>
      <c r="UIA101" s="142"/>
      <c r="UIB101" s="142"/>
      <c r="UIC101" s="142"/>
      <c r="UID101" s="142"/>
      <c r="UIE101" s="142"/>
      <c r="UIF101" s="142"/>
      <c r="UIG101" s="142"/>
      <c r="UIH101" s="142"/>
      <c r="UII101" s="142"/>
      <c r="UIJ101" s="142"/>
      <c r="UIK101" s="142"/>
      <c r="UIL101" s="142"/>
      <c r="UIM101" s="142"/>
      <c r="UIN101" s="142"/>
      <c r="UIO101" s="142"/>
      <c r="UIP101" s="142"/>
      <c r="UIQ101" s="142"/>
      <c r="UIR101" s="142"/>
      <c r="UIS101" s="142"/>
      <c r="UIT101" s="142"/>
      <c r="UIU101" s="142"/>
      <c r="UIV101" s="142"/>
      <c r="UIW101" s="142"/>
      <c r="UIX101" s="142"/>
      <c r="UIY101" s="142"/>
      <c r="UIZ101" s="142"/>
      <c r="UJA101" s="142"/>
      <c r="UJB101" s="142"/>
      <c r="UJC101" s="142"/>
      <c r="UJD101" s="142"/>
      <c r="UJE101" s="142"/>
      <c r="UJF101" s="142"/>
      <c r="UJG101" s="142"/>
      <c r="UJH101" s="142"/>
      <c r="UJI101" s="142"/>
      <c r="UJJ101" s="142"/>
      <c r="UJK101" s="142"/>
      <c r="UJL101" s="142"/>
      <c r="UJM101" s="142"/>
      <c r="UJN101" s="142"/>
      <c r="UJO101" s="142"/>
      <c r="UJP101" s="142"/>
      <c r="UJQ101" s="142"/>
      <c r="UJR101" s="142"/>
      <c r="UJS101" s="142"/>
      <c r="UJT101" s="142"/>
      <c r="UJU101" s="142"/>
      <c r="UJV101" s="142"/>
      <c r="UJW101" s="142"/>
      <c r="UJX101" s="142"/>
      <c r="UJY101" s="142"/>
      <c r="UJZ101" s="142"/>
      <c r="UKA101" s="142"/>
      <c r="UKB101" s="142"/>
      <c r="UKC101" s="142"/>
      <c r="UKD101" s="142"/>
      <c r="UKE101" s="142"/>
      <c r="UKF101" s="142"/>
      <c r="UKG101" s="142"/>
      <c r="UKH101" s="142"/>
      <c r="UKI101" s="142"/>
      <c r="UKJ101" s="142"/>
      <c r="UKK101" s="142"/>
      <c r="UKL101" s="142"/>
      <c r="UKM101" s="142"/>
      <c r="UKN101" s="142"/>
      <c r="UKO101" s="142"/>
      <c r="UKP101" s="142"/>
      <c r="UKQ101" s="142"/>
      <c r="UKR101" s="142"/>
      <c r="UKS101" s="142"/>
      <c r="UKT101" s="142"/>
      <c r="UKU101" s="142"/>
      <c r="UKV101" s="142"/>
      <c r="UKW101" s="142"/>
      <c r="UKX101" s="142"/>
      <c r="UKY101" s="142"/>
      <c r="UKZ101" s="142"/>
      <c r="ULA101" s="142"/>
      <c r="ULB101" s="142"/>
      <c r="ULC101" s="142"/>
      <c r="ULD101" s="142"/>
      <c r="ULE101" s="142"/>
      <c r="ULF101" s="142"/>
      <c r="ULG101" s="142"/>
      <c r="ULH101" s="142"/>
      <c r="ULI101" s="142"/>
      <c r="ULJ101" s="142"/>
      <c r="ULK101" s="142"/>
      <c r="ULL101" s="142"/>
      <c r="ULM101" s="142"/>
      <c r="ULN101" s="142"/>
      <c r="ULO101" s="142"/>
      <c r="ULP101" s="142"/>
      <c r="ULQ101" s="142"/>
      <c r="ULR101" s="142"/>
      <c r="ULS101" s="142"/>
      <c r="ULT101" s="142"/>
      <c r="ULU101" s="142"/>
      <c r="ULV101" s="142"/>
      <c r="ULW101" s="142"/>
      <c r="ULX101" s="142"/>
      <c r="ULY101" s="142"/>
      <c r="ULZ101" s="142"/>
      <c r="UMA101" s="142"/>
      <c r="UMB101" s="142"/>
      <c r="UMC101" s="142"/>
      <c r="UMD101" s="142"/>
      <c r="UME101" s="142"/>
      <c r="UMF101" s="142"/>
      <c r="UMG101" s="142"/>
      <c r="UMH101" s="142"/>
      <c r="UMI101" s="142"/>
      <c r="UMJ101" s="142"/>
      <c r="UMK101" s="142"/>
      <c r="UML101" s="142"/>
      <c r="UMM101" s="142"/>
      <c r="UMN101" s="142"/>
      <c r="UMO101" s="142"/>
      <c r="UMP101" s="142"/>
      <c r="UMQ101" s="142"/>
      <c r="UMR101" s="142"/>
      <c r="UMS101" s="142"/>
      <c r="UMT101" s="142"/>
      <c r="UMU101" s="142"/>
      <c r="UMV101" s="142"/>
      <c r="UMW101" s="142"/>
      <c r="UMX101" s="142"/>
      <c r="UMY101" s="142"/>
      <c r="UMZ101" s="142"/>
      <c r="UNA101" s="142"/>
      <c r="UNB101" s="142"/>
      <c r="UNC101" s="142"/>
      <c r="UND101" s="142"/>
      <c r="UNE101" s="142"/>
      <c r="UNF101" s="142"/>
      <c r="UNG101" s="142"/>
      <c r="UNH101" s="142"/>
      <c r="UNI101" s="142"/>
      <c r="UNJ101" s="142"/>
      <c r="UNK101" s="142"/>
      <c r="UNL101" s="142"/>
      <c r="UNM101" s="142"/>
      <c r="UNN101" s="142"/>
      <c r="UNO101" s="142"/>
      <c r="UNP101" s="142"/>
      <c r="UNQ101" s="142"/>
      <c r="UNR101" s="142"/>
      <c r="UNS101" s="142"/>
      <c r="UNT101" s="142"/>
      <c r="UNU101" s="142"/>
      <c r="UNV101" s="142"/>
      <c r="UNW101" s="142"/>
      <c r="UNX101" s="142"/>
      <c r="UNY101" s="142"/>
      <c r="UNZ101" s="142"/>
      <c r="UOA101" s="142"/>
      <c r="UOB101" s="142"/>
      <c r="UOC101" s="142"/>
      <c r="UOD101" s="142"/>
      <c r="UOE101" s="142"/>
      <c r="UOF101" s="142"/>
      <c r="UOG101" s="142"/>
      <c r="UOH101" s="142"/>
      <c r="UOI101" s="142"/>
      <c r="UOJ101" s="142"/>
      <c r="UOK101" s="142"/>
      <c r="UOL101" s="142"/>
      <c r="UOM101" s="142"/>
      <c r="UON101" s="142"/>
      <c r="UOO101" s="142"/>
      <c r="UOP101" s="142"/>
      <c r="UOQ101" s="142"/>
      <c r="UOR101" s="142"/>
      <c r="UOS101" s="142"/>
      <c r="UOT101" s="142"/>
      <c r="UOU101" s="142"/>
      <c r="UOV101" s="142"/>
      <c r="UOW101" s="142"/>
      <c r="UOX101" s="142"/>
      <c r="UOY101" s="142"/>
      <c r="UOZ101" s="142"/>
      <c r="UPA101" s="142"/>
      <c r="UPB101" s="142"/>
      <c r="UPC101" s="142"/>
      <c r="UPD101" s="142"/>
      <c r="UPE101" s="142"/>
      <c r="UPF101" s="142"/>
      <c r="UPG101" s="142"/>
      <c r="UPH101" s="142"/>
      <c r="UPI101" s="142"/>
      <c r="UPJ101" s="142"/>
      <c r="UPK101" s="142"/>
      <c r="UPL101" s="142"/>
      <c r="UPM101" s="142"/>
      <c r="UPN101" s="142"/>
      <c r="UPO101" s="142"/>
      <c r="UPP101" s="142"/>
      <c r="UPQ101" s="142"/>
      <c r="UPR101" s="142"/>
      <c r="UPS101" s="142"/>
      <c r="UPT101" s="142"/>
      <c r="UPU101" s="142"/>
      <c r="UPV101" s="142"/>
      <c r="UPW101" s="142"/>
      <c r="UPX101" s="142"/>
      <c r="UPY101" s="142"/>
      <c r="UPZ101" s="142"/>
      <c r="UQA101" s="142"/>
      <c r="UQB101" s="142"/>
      <c r="UQC101" s="142"/>
      <c r="UQD101" s="142"/>
      <c r="UQE101" s="142"/>
      <c r="UQF101" s="142"/>
      <c r="UQG101" s="142"/>
      <c r="UQH101" s="142"/>
      <c r="UQI101" s="142"/>
      <c r="UQJ101" s="142"/>
      <c r="UQK101" s="142"/>
      <c r="UQL101" s="142"/>
      <c r="UQM101" s="142"/>
      <c r="UQN101" s="142"/>
      <c r="UQO101" s="142"/>
      <c r="UQP101" s="142"/>
      <c r="UQQ101" s="142"/>
      <c r="UQR101" s="142"/>
      <c r="UQS101" s="142"/>
      <c r="UQT101" s="142"/>
      <c r="UQU101" s="142"/>
      <c r="UQV101" s="142"/>
      <c r="UQW101" s="142"/>
      <c r="UQX101" s="142"/>
      <c r="UQY101" s="142"/>
      <c r="UQZ101" s="142"/>
      <c r="URA101" s="142"/>
      <c r="URB101" s="142"/>
      <c r="URC101" s="142"/>
      <c r="URD101" s="142"/>
      <c r="URE101" s="142"/>
      <c r="URF101" s="142"/>
      <c r="URG101" s="142"/>
      <c r="URH101" s="142"/>
      <c r="URI101" s="142"/>
      <c r="URJ101" s="142"/>
      <c r="URK101" s="142"/>
      <c r="URL101" s="142"/>
      <c r="URM101" s="142"/>
      <c r="URN101" s="142"/>
      <c r="URO101" s="142"/>
      <c r="URP101" s="142"/>
      <c r="URQ101" s="142"/>
      <c r="URR101" s="142"/>
      <c r="URS101" s="142"/>
      <c r="URT101" s="142"/>
      <c r="URU101" s="142"/>
      <c r="URV101" s="142"/>
      <c r="URW101" s="142"/>
      <c r="URX101" s="142"/>
      <c r="URY101" s="142"/>
      <c r="URZ101" s="142"/>
      <c r="USA101" s="142"/>
      <c r="USB101" s="142"/>
      <c r="USC101" s="142"/>
      <c r="USD101" s="142"/>
      <c r="USE101" s="142"/>
      <c r="USF101" s="142"/>
      <c r="USG101" s="142"/>
      <c r="USH101" s="142"/>
      <c r="USI101" s="142"/>
      <c r="USJ101" s="142"/>
      <c r="USK101" s="142"/>
      <c r="USL101" s="142"/>
      <c r="USM101" s="142"/>
      <c r="USN101" s="142"/>
      <c r="USO101" s="142"/>
      <c r="USP101" s="142"/>
      <c r="USQ101" s="142"/>
      <c r="USR101" s="142"/>
      <c r="USS101" s="142"/>
      <c r="UST101" s="142"/>
      <c r="USU101" s="142"/>
      <c r="USV101" s="142"/>
      <c r="USW101" s="142"/>
      <c r="USX101" s="142"/>
      <c r="USY101" s="142"/>
      <c r="USZ101" s="142"/>
      <c r="UTA101" s="142"/>
      <c r="UTB101" s="142"/>
      <c r="UTC101" s="142"/>
      <c r="UTD101" s="142"/>
      <c r="UTE101" s="142"/>
      <c r="UTF101" s="142"/>
      <c r="UTG101" s="142"/>
      <c r="UTH101" s="142"/>
      <c r="UTI101" s="142"/>
      <c r="UTJ101" s="142"/>
      <c r="UTK101" s="142"/>
      <c r="UTL101" s="142"/>
      <c r="UTM101" s="142"/>
      <c r="UTN101" s="142"/>
      <c r="UTO101" s="142"/>
      <c r="UTP101" s="142"/>
      <c r="UTQ101" s="142"/>
      <c r="UTR101" s="142"/>
      <c r="UTS101" s="142"/>
      <c r="UTT101" s="142"/>
      <c r="UTU101" s="142"/>
      <c r="UTV101" s="142"/>
      <c r="UTW101" s="142"/>
      <c r="UTX101" s="142"/>
      <c r="UTY101" s="142"/>
      <c r="UTZ101" s="142"/>
      <c r="UUA101" s="142"/>
      <c r="UUB101" s="142"/>
      <c r="UUC101" s="142"/>
      <c r="UUD101" s="142"/>
      <c r="UUE101" s="142"/>
      <c r="UUF101" s="142"/>
      <c r="UUG101" s="142"/>
      <c r="UUH101" s="142"/>
      <c r="UUI101" s="142"/>
      <c r="UUJ101" s="142"/>
      <c r="UUK101" s="142"/>
      <c r="UUL101" s="142"/>
      <c r="UUM101" s="142"/>
      <c r="UUN101" s="142"/>
      <c r="UUO101" s="142"/>
      <c r="UUP101" s="142"/>
      <c r="UUQ101" s="142"/>
      <c r="UUR101" s="142"/>
      <c r="UUS101" s="142"/>
      <c r="UUT101" s="142"/>
      <c r="UUU101" s="142"/>
      <c r="UUV101" s="142"/>
      <c r="UUW101" s="142"/>
      <c r="UUX101" s="142"/>
      <c r="UUY101" s="142"/>
      <c r="UUZ101" s="142"/>
      <c r="UVA101" s="142"/>
      <c r="UVB101" s="142"/>
      <c r="UVC101" s="142"/>
      <c r="UVD101" s="142"/>
      <c r="UVE101" s="142"/>
      <c r="UVF101" s="142"/>
      <c r="UVG101" s="142"/>
      <c r="UVH101" s="142"/>
      <c r="UVI101" s="142"/>
      <c r="UVJ101" s="142"/>
      <c r="UVK101" s="142"/>
      <c r="UVL101" s="142"/>
      <c r="UVM101" s="142"/>
      <c r="UVN101" s="142"/>
      <c r="UVO101" s="142"/>
      <c r="UVP101" s="142"/>
      <c r="UVQ101" s="142"/>
      <c r="UVR101" s="142"/>
      <c r="UVS101" s="142"/>
      <c r="UVT101" s="142"/>
      <c r="UVU101" s="142"/>
      <c r="UVV101" s="142"/>
      <c r="UVW101" s="142"/>
      <c r="UVX101" s="142"/>
      <c r="UVY101" s="142"/>
      <c r="UVZ101" s="142"/>
      <c r="UWA101" s="142"/>
      <c r="UWB101" s="142"/>
      <c r="UWC101" s="142"/>
      <c r="UWD101" s="142"/>
      <c r="UWE101" s="142"/>
      <c r="UWF101" s="142"/>
      <c r="UWG101" s="142"/>
      <c r="UWH101" s="142"/>
      <c r="UWI101" s="142"/>
      <c r="UWJ101" s="142"/>
      <c r="UWK101" s="142"/>
      <c r="UWL101" s="142"/>
      <c r="UWM101" s="142"/>
      <c r="UWN101" s="142"/>
      <c r="UWO101" s="142"/>
      <c r="UWP101" s="142"/>
      <c r="UWQ101" s="142"/>
      <c r="UWR101" s="142"/>
      <c r="UWS101" s="142"/>
      <c r="UWT101" s="142"/>
      <c r="UWU101" s="142"/>
      <c r="UWV101" s="142"/>
      <c r="UWW101" s="142"/>
      <c r="UWX101" s="142"/>
      <c r="UWY101" s="142"/>
      <c r="UWZ101" s="142"/>
      <c r="UXA101" s="142"/>
      <c r="UXB101" s="142"/>
      <c r="UXC101" s="142"/>
      <c r="UXD101" s="142"/>
      <c r="UXE101" s="142"/>
      <c r="UXF101" s="142"/>
      <c r="UXG101" s="142"/>
      <c r="UXH101" s="142"/>
      <c r="UXI101" s="142"/>
      <c r="UXJ101" s="142"/>
      <c r="UXK101" s="142"/>
      <c r="UXL101" s="142"/>
      <c r="UXM101" s="142"/>
      <c r="UXN101" s="142"/>
      <c r="UXO101" s="142"/>
      <c r="UXP101" s="142"/>
      <c r="UXQ101" s="142"/>
      <c r="UXR101" s="142"/>
      <c r="UXS101" s="142"/>
      <c r="UXT101" s="142"/>
      <c r="UXU101" s="142"/>
      <c r="UXV101" s="142"/>
      <c r="UXW101" s="142"/>
      <c r="UXX101" s="142"/>
      <c r="UXY101" s="142"/>
      <c r="UXZ101" s="142"/>
      <c r="UYA101" s="142"/>
      <c r="UYB101" s="142"/>
      <c r="UYC101" s="142"/>
      <c r="UYD101" s="142"/>
      <c r="UYE101" s="142"/>
      <c r="UYF101" s="142"/>
      <c r="UYG101" s="142"/>
      <c r="UYH101" s="142"/>
      <c r="UYI101" s="142"/>
      <c r="UYJ101" s="142"/>
      <c r="UYK101" s="142"/>
      <c r="UYL101" s="142"/>
      <c r="UYM101" s="142"/>
      <c r="UYN101" s="142"/>
      <c r="UYO101" s="142"/>
      <c r="UYP101" s="142"/>
      <c r="UYQ101" s="142"/>
      <c r="UYR101" s="142"/>
      <c r="UYS101" s="142"/>
      <c r="UYT101" s="142"/>
      <c r="UYU101" s="142"/>
      <c r="UYV101" s="142"/>
      <c r="UYW101" s="142"/>
      <c r="UYX101" s="142"/>
      <c r="UYY101" s="142"/>
      <c r="UYZ101" s="142"/>
      <c r="UZA101" s="142"/>
      <c r="UZB101" s="142"/>
      <c r="UZC101" s="142"/>
      <c r="UZD101" s="142"/>
      <c r="UZE101" s="142"/>
      <c r="UZF101" s="142"/>
      <c r="UZG101" s="142"/>
      <c r="UZH101" s="142"/>
      <c r="UZI101" s="142"/>
      <c r="UZJ101" s="142"/>
      <c r="UZK101" s="142"/>
      <c r="UZL101" s="142"/>
      <c r="UZM101" s="142"/>
      <c r="UZN101" s="142"/>
      <c r="UZO101" s="142"/>
      <c r="UZP101" s="142"/>
      <c r="UZQ101" s="142"/>
      <c r="UZR101" s="142"/>
      <c r="UZS101" s="142"/>
      <c r="UZT101" s="142"/>
      <c r="UZU101" s="142"/>
      <c r="UZV101" s="142"/>
      <c r="UZW101" s="142"/>
      <c r="UZX101" s="142"/>
      <c r="UZY101" s="142"/>
      <c r="UZZ101" s="142"/>
      <c r="VAA101" s="142"/>
      <c r="VAB101" s="142"/>
      <c r="VAC101" s="142"/>
      <c r="VAD101" s="142"/>
      <c r="VAE101" s="142"/>
      <c r="VAF101" s="142"/>
      <c r="VAG101" s="142"/>
      <c r="VAH101" s="142"/>
      <c r="VAI101" s="142"/>
      <c r="VAJ101" s="142"/>
      <c r="VAK101" s="142"/>
      <c r="VAL101" s="142"/>
      <c r="VAM101" s="142"/>
      <c r="VAN101" s="142"/>
      <c r="VAO101" s="142"/>
      <c r="VAP101" s="142"/>
      <c r="VAQ101" s="142"/>
      <c r="VAR101" s="142"/>
      <c r="VAS101" s="142"/>
      <c r="VAT101" s="142"/>
      <c r="VAU101" s="142"/>
      <c r="VAV101" s="142"/>
      <c r="VAW101" s="142"/>
      <c r="VAX101" s="142"/>
      <c r="VAY101" s="142"/>
      <c r="VAZ101" s="142"/>
      <c r="VBA101" s="142"/>
      <c r="VBB101" s="142"/>
      <c r="VBC101" s="142"/>
      <c r="VBD101" s="142"/>
      <c r="VBE101" s="142"/>
      <c r="VBF101" s="142"/>
      <c r="VBG101" s="142"/>
      <c r="VBH101" s="142"/>
      <c r="VBI101" s="142"/>
      <c r="VBJ101" s="142"/>
      <c r="VBK101" s="142"/>
      <c r="VBL101" s="142"/>
      <c r="VBM101" s="142"/>
      <c r="VBN101" s="142"/>
      <c r="VBO101" s="142"/>
      <c r="VBP101" s="142"/>
      <c r="VBQ101" s="142"/>
      <c r="VBR101" s="142"/>
      <c r="VBS101" s="142"/>
      <c r="VBT101" s="142"/>
      <c r="VBU101" s="142"/>
      <c r="VBV101" s="142"/>
      <c r="VBW101" s="142"/>
      <c r="VBX101" s="142"/>
      <c r="VBY101" s="142"/>
      <c r="VBZ101" s="142"/>
      <c r="VCA101" s="142"/>
      <c r="VCB101" s="142"/>
      <c r="VCC101" s="142"/>
      <c r="VCD101" s="142"/>
      <c r="VCE101" s="142"/>
      <c r="VCF101" s="142"/>
      <c r="VCG101" s="142"/>
      <c r="VCH101" s="142"/>
      <c r="VCI101" s="142"/>
      <c r="VCJ101" s="142"/>
      <c r="VCK101" s="142"/>
      <c r="VCL101" s="142"/>
      <c r="VCM101" s="142"/>
      <c r="VCN101" s="142"/>
      <c r="VCO101" s="142"/>
      <c r="VCP101" s="142"/>
      <c r="VCQ101" s="142"/>
      <c r="VCR101" s="142"/>
      <c r="VCS101" s="142"/>
      <c r="VCT101" s="142"/>
      <c r="VCU101" s="142"/>
      <c r="VCV101" s="142"/>
      <c r="VCW101" s="142"/>
      <c r="VCX101" s="142"/>
      <c r="VCY101" s="142"/>
      <c r="VCZ101" s="142"/>
      <c r="VDA101" s="142"/>
      <c r="VDB101" s="142"/>
      <c r="VDC101" s="142"/>
      <c r="VDD101" s="142"/>
      <c r="VDE101" s="142"/>
      <c r="VDF101" s="142"/>
      <c r="VDG101" s="142"/>
      <c r="VDH101" s="142"/>
      <c r="VDI101" s="142"/>
      <c r="VDJ101" s="142"/>
      <c r="VDK101" s="142"/>
      <c r="VDL101" s="142"/>
      <c r="VDM101" s="142"/>
      <c r="VDN101" s="142"/>
      <c r="VDO101" s="142"/>
      <c r="VDP101" s="142"/>
      <c r="VDQ101" s="142"/>
      <c r="VDR101" s="142"/>
      <c r="VDS101" s="142"/>
      <c r="VDT101" s="142"/>
      <c r="VDU101" s="142"/>
      <c r="VDV101" s="142"/>
      <c r="VDW101" s="142"/>
      <c r="VDX101" s="142"/>
      <c r="VDY101" s="142"/>
      <c r="VDZ101" s="142"/>
      <c r="VEA101" s="142"/>
      <c r="VEB101" s="142"/>
      <c r="VEC101" s="142"/>
      <c r="VED101" s="142"/>
      <c r="VEE101" s="142"/>
      <c r="VEF101" s="142"/>
      <c r="VEG101" s="142"/>
      <c r="VEH101" s="142"/>
      <c r="VEI101" s="142"/>
      <c r="VEJ101" s="142"/>
      <c r="VEK101" s="142"/>
      <c r="VEL101" s="142"/>
      <c r="VEM101" s="142"/>
      <c r="VEN101" s="142"/>
      <c r="VEO101" s="142"/>
      <c r="VEP101" s="142"/>
      <c r="VEQ101" s="142"/>
      <c r="VER101" s="142"/>
      <c r="VES101" s="142"/>
      <c r="VET101" s="142"/>
      <c r="VEU101" s="142"/>
      <c r="VEV101" s="142"/>
      <c r="VEW101" s="142"/>
      <c r="VEX101" s="142"/>
      <c r="VEY101" s="142"/>
      <c r="VEZ101" s="142"/>
      <c r="VFA101" s="142"/>
      <c r="VFB101" s="142"/>
      <c r="VFC101" s="142"/>
      <c r="VFD101" s="142"/>
      <c r="VFE101" s="142"/>
      <c r="VFF101" s="142"/>
      <c r="VFG101" s="142"/>
      <c r="VFH101" s="142"/>
      <c r="VFI101" s="142"/>
      <c r="VFJ101" s="142"/>
      <c r="VFK101" s="142"/>
      <c r="VFL101" s="142"/>
      <c r="VFM101" s="142"/>
      <c r="VFN101" s="142"/>
      <c r="VFO101" s="142"/>
      <c r="VFP101" s="142"/>
      <c r="VFQ101" s="142"/>
      <c r="VFR101" s="142"/>
      <c r="VFS101" s="142"/>
      <c r="VFT101" s="142"/>
      <c r="VFU101" s="142"/>
      <c r="VFV101" s="142"/>
      <c r="VFW101" s="142"/>
      <c r="VFX101" s="142"/>
      <c r="VFY101" s="142"/>
      <c r="VFZ101" s="142"/>
      <c r="VGA101" s="142"/>
      <c r="VGB101" s="142"/>
      <c r="VGC101" s="142"/>
      <c r="VGD101" s="142"/>
      <c r="VGE101" s="142"/>
      <c r="VGF101" s="142"/>
      <c r="VGG101" s="142"/>
      <c r="VGH101" s="142"/>
      <c r="VGI101" s="142"/>
      <c r="VGJ101" s="142"/>
      <c r="VGK101" s="142"/>
      <c r="VGL101" s="142"/>
      <c r="VGM101" s="142"/>
      <c r="VGN101" s="142"/>
      <c r="VGO101" s="142"/>
      <c r="VGP101" s="142"/>
      <c r="VGQ101" s="142"/>
      <c r="VGR101" s="142"/>
      <c r="VGS101" s="142"/>
      <c r="VGT101" s="142"/>
      <c r="VGU101" s="142"/>
      <c r="VGV101" s="142"/>
      <c r="VGW101" s="142"/>
      <c r="VGX101" s="142"/>
      <c r="VGY101" s="142"/>
      <c r="VGZ101" s="142"/>
      <c r="VHA101" s="142"/>
      <c r="VHB101" s="142"/>
      <c r="VHC101" s="142"/>
      <c r="VHD101" s="142"/>
      <c r="VHE101" s="142"/>
      <c r="VHF101" s="142"/>
      <c r="VHG101" s="142"/>
      <c r="VHH101" s="142"/>
      <c r="VHI101" s="142"/>
      <c r="VHJ101" s="142"/>
      <c r="VHK101" s="142"/>
      <c r="VHL101" s="142"/>
      <c r="VHM101" s="142"/>
      <c r="VHN101" s="142"/>
      <c r="VHO101" s="142"/>
      <c r="VHP101" s="142"/>
      <c r="VHQ101" s="142"/>
      <c r="VHR101" s="142"/>
      <c r="VHS101" s="142"/>
      <c r="VHT101" s="142"/>
      <c r="VHU101" s="142"/>
      <c r="VHV101" s="142"/>
      <c r="VHW101" s="142"/>
      <c r="VHX101" s="142"/>
      <c r="VHY101" s="142"/>
      <c r="VHZ101" s="142"/>
      <c r="VIA101" s="142"/>
      <c r="VIB101" s="142"/>
      <c r="VIC101" s="142"/>
      <c r="VID101" s="142"/>
      <c r="VIE101" s="142"/>
      <c r="VIF101" s="142"/>
      <c r="VIG101" s="142"/>
      <c r="VIH101" s="142"/>
      <c r="VII101" s="142"/>
      <c r="VIJ101" s="142"/>
      <c r="VIK101" s="142"/>
      <c r="VIL101" s="142"/>
      <c r="VIM101" s="142"/>
      <c r="VIN101" s="142"/>
      <c r="VIO101" s="142"/>
      <c r="VIP101" s="142"/>
      <c r="VIQ101" s="142"/>
      <c r="VIR101" s="142"/>
      <c r="VIS101" s="142"/>
      <c r="VIT101" s="142"/>
      <c r="VIU101" s="142"/>
      <c r="VIV101" s="142"/>
      <c r="VIW101" s="142"/>
      <c r="VIX101" s="142"/>
      <c r="VIY101" s="142"/>
      <c r="VIZ101" s="142"/>
      <c r="VJA101" s="142"/>
      <c r="VJB101" s="142"/>
      <c r="VJC101" s="142"/>
      <c r="VJD101" s="142"/>
      <c r="VJE101" s="142"/>
      <c r="VJF101" s="142"/>
      <c r="VJG101" s="142"/>
      <c r="VJH101" s="142"/>
      <c r="VJI101" s="142"/>
      <c r="VJJ101" s="142"/>
      <c r="VJK101" s="142"/>
      <c r="VJL101" s="142"/>
      <c r="VJM101" s="142"/>
      <c r="VJN101" s="142"/>
      <c r="VJO101" s="142"/>
      <c r="VJP101" s="142"/>
      <c r="VJQ101" s="142"/>
      <c r="VJR101" s="142"/>
      <c r="VJS101" s="142"/>
      <c r="VJT101" s="142"/>
      <c r="VJU101" s="142"/>
      <c r="VJV101" s="142"/>
      <c r="VJW101" s="142"/>
      <c r="VJX101" s="142"/>
      <c r="VJY101" s="142"/>
      <c r="VJZ101" s="142"/>
      <c r="VKA101" s="142"/>
      <c r="VKB101" s="142"/>
      <c r="VKC101" s="142"/>
      <c r="VKD101" s="142"/>
      <c r="VKE101" s="142"/>
      <c r="VKF101" s="142"/>
      <c r="VKG101" s="142"/>
      <c r="VKH101" s="142"/>
      <c r="VKI101" s="142"/>
      <c r="VKJ101" s="142"/>
      <c r="VKK101" s="142"/>
      <c r="VKL101" s="142"/>
      <c r="VKM101" s="142"/>
      <c r="VKN101" s="142"/>
      <c r="VKO101" s="142"/>
      <c r="VKP101" s="142"/>
      <c r="VKQ101" s="142"/>
      <c r="VKR101" s="142"/>
      <c r="VKS101" s="142"/>
      <c r="VKT101" s="142"/>
      <c r="VKU101" s="142"/>
      <c r="VKV101" s="142"/>
      <c r="VKW101" s="142"/>
      <c r="VKX101" s="142"/>
      <c r="VKY101" s="142"/>
      <c r="VKZ101" s="142"/>
      <c r="VLA101" s="142"/>
      <c r="VLB101" s="142"/>
      <c r="VLC101" s="142"/>
      <c r="VLD101" s="142"/>
      <c r="VLE101" s="142"/>
      <c r="VLF101" s="142"/>
      <c r="VLG101" s="142"/>
      <c r="VLH101" s="142"/>
      <c r="VLI101" s="142"/>
      <c r="VLJ101" s="142"/>
      <c r="VLK101" s="142"/>
      <c r="VLL101" s="142"/>
      <c r="VLM101" s="142"/>
      <c r="VLN101" s="142"/>
      <c r="VLO101" s="142"/>
      <c r="VLP101" s="142"/>
      <c r="VLQ101" s="142"/>
      <c r="VLR101" s="142"/>
      <c r="VLS101" s="142"/>
      <c r="VLT101" s="142"/>
      <c r="VLU101" s="142"/>
      <c r="VLV101" s="142"/>
      <c r="VLW101" s="142"/>
      <c r="VLX101" s="142"/>
      <c r="VLY101" s="142"/>
      <c r="VLZ101" s="142"/>
      <c r="VMA101" s="142"/>
      <c r="VMB101" s="142"/>
      <c r="VMC101" s="142"/>
      <c r="VMD101" s="142"/>
      <c r="VME101" s="142"/>
      <c r="VMF101" s="142"/>
      <c r="VMG101" s="142"/>
      <c r="VMH101" s="142"/>
      <c r="VMI101" s="142"/>
      <c r="VMJ101" s="142"/>
      <c r="VMK101" s="142"/>
      <c r="VML101" s="142"/>
      <c r="VMM101" s="142"/>
      <c r="VMN101" s="142"/>
      <c r="VMO101" s="142"/>
      <c r="VMP101" s="142"/>
      <c r="VMQ101" s="142"/>
      <c r="VMR101" s="142"/>
      <c r="VMS101" s="142"/>
      <c r="VMT101" s="142"/>
      <c r="VMU101" s="142"/>
      <c r="VMV101" s="142"/>
      <c r="VMW101" s="142"/>
      <c r="VMX101" s="142"/>
      <c r="VMY101" s="142"/>
      <c r="VMZ101" s="142"/>
      <c r="VNA101" s="142"/>
      <c r="VNB101" s="142"/>
      <c r="VNC101" s="142"/>
      <c r="VND101" s="142"/>
      <c r="VNE101" s="142"/>
      <c r="VNF101" s="142"/>
      <c r="VNG101" s="142"/>
      <c r="VNH101" s="142"/>
      <c r="VNI101" s="142"/>
      <c r="VNJ101" s="142"/>
      <c r="VNK101" s="142"/>
      <c r="VNL101" s="142"/>
      <c r="VNM101" s="142"/>
      <c r="VNN101" s="142"/>
      <c r="VNO101" s="142"/>
      <c r="VNP101" s="142"/>
      <c r="VNQ101" s="142"/>
      <c r="VNR101" s="142"/>
      <c r="VNS101" s="142"/>
      <c r="VNT101" s="142"/>
      <c r="VNU101" s="142"/>
      <c r="VNV101" s="142"/>
      <c r="VNW101" s="142"/>
      <c r="VNX101" s="142"/>
      <c r="VNY101" s="142"/>
      <c r="VNZ101" s="142"/>
      <c r="VOA101" s="142"/>
      <c r="VOB101" s="142"/>
      <c r="VOC101" s="142"/>
      <c r="VOD101" s="142"/>
      <c r="VOE101" s="142"/>
      <c r="VOF101" s="142"/>
      <c r="VOG101" s="142"/>
      <c r="VOH101" s="142"/>
      <c r="VOI101" s="142"/>
      <c r="VOJ101" s="142"/>
      <c r="VOK101" s="142"/>
      <c r="VOL101" s="142"/>
      <c r="VOM101" s="142"/>
      <c r="VON101" s="142"/>
      <c r="VOO101" s="142"/>
      <c r="VOP101" s="142"/>
      <c r="VOQ101" s="142"/>
      <c r="VOR101" s="142"/>
      <c r="VOS101" s="142"/>
      <c r="VOT101" s="142"/>
      <c r="VOU101" s="142"/>
      <c r="VOV101" s="142"/>
      <c r="VOW101" s="142"/>
      <c r="VOX101" s="142"/>
      <c r="VOY101" s="142"/>
      <c r="VOZ101" s="142"/>
      <c r="VPA101" s="142"/>
      <c r="VPB101" s="142"/>
      <c r="VPC101" s="142"/>
      <c r="VPD101" s="142"/>
      <c r="VPE101" s="142"/>
      <c r="VPF101" s="142"/>
      <c r="VPG101" s="142"/>
      <c r="VPH101" s="142"/>
      <c r="VPI101" s="142"/>
      <c r="VPJ101" s="142"/>
      <c r="VPK101" s="142"/>
      <c r="VPL101" s="142"/>
      <c r="VPM101" s="142"/>
      <c r="VPN101" s="142"/>
      <c r="VPO101" s="142"/>
      <c r="VPP101" s="142"/>
      <c r="VPQ101" s="142"/>
      <c r="VPR101" s="142"/>
      <c r="VPS101" s="142"/>
      <c r="VPT101" s="142"/>
      <c r="VPU101" s="142"/>
      <c r="VPV101" s="142"/>
      <c r="VPW101" s="142"/>
      <c r="VPX101" s="142"/>
      <c r="VPY101" s="142"/>
      <c r="VPZ101" s="142"/>
      <c r="VQA101" s="142"/>
      <c r="VQB101" s="142"/>
      <c r="VQC101" s="142"/>
      <c r="VQD101" s="142"/>
      <c r="VQE101" s="142"/>
      <c r="VQF101" s="142"/>
      <c r="VQG101" s="142"/>
      <c r="VQH101" s="142"/>
      <c r="VQI101" s="142"/>
      <c r="VQJ101" s="142"/>
      <c r="VQK101" s="142"/>
      <c r="VQL101" s="142"/>
      <c r="VQM101" s="142"/>
      <c r="VQN101" s="142"/>
      <c r="VQO101" s="142"/>
      <c r="VQP101" s="142"/>
      <c r="VQQ101" s="142"/>
      <c r="VQR101" s="142"/>
      <c r="VQS101" s="142"/>
      <c r="VQT101" s="142"/>
      <c r="VQU101" s="142"/>
      <c r="VQV101" s="142"/>
      <c r="VQW101" s="142"/>
      <c r="VQX101" s="142"/>
      <c r="VQY101" s="142"/>
      <c r="VQZ101" s="142"/>
      <c r="VRA101" s="142"/>
      <c r="VRB101" s="142"/>
      <c r="VRC101" s="142"/>
      <c r="VRD101" s="142"/>
      <c r="VRE101" s="142"/>
      <c r="VRF101" s="142"/>
      <c r="VRG101" s="142"/>
      <c r="VRH101" s="142"/>
      <c r="VRI101" s="142"/>
      <c r="VRJ101" s="142"/>
      <c r="VRK101" s="142"/>
      <c r="VRL101" s="142"/>
      <c r="VRM101" s="142"/>
      <c r="VRN101" s="142"/>
      <c r="VRO101" s="142"/>
      <c r="VRP101" s="142"/>
      <c r="VRQ101" s="142"/>
      <c r="VRR101" s="142"/>
      <c r="VRS101" s="142"/>
      <c r="VRT101" s="142"/>
      <c r="VRU101" s="142"/>
      <c r="VRV101" s="142"/>
      <c r="VRW101" s="142"/>
      <c r="VRX101" s="142"/>
      <c r="VRY101" s="142"/>
      <c r="VRZ101" s="142"/>
      <c r="VSA101" s="142"/>
      <c r="VSB101" s="142"/>
      <c r="VSC101" s="142"/>
      <c r="VSD101" s="142"/>
      <c r="VSE101" s="142"/>
      <c r="VSF101" s="142"/>
      <c r="VSG101" s="142"/>
      <c r="VSH101" s="142"/>
      <c r="VSI101" s="142"/>
      <c r="VSJ101" s="142"/>
      <c r="VSK101" s="142"/>
      <c r="VSL101" s="142"/>
      <c r="VSM101" s="142"/>
      <c r="VSN101" s="142"/>
      <c r="VSO101" s="142"/>
      <c r="VSP101" s="142"/>
      <c r="VSQ101" s="142"/>
      <c r="VSR101" s="142"/>
      <c r="VSS101" s="142"/>
      <c r="VST101" s="142"/>
      <c r="VSU101" s="142"/>
      <c r="VSV101" s="142"/>
      <c r="VSW101" s="142"/>
      <c r="VSX101" s="142"/>
      <c r="VSY101" s="142"/>
      <c r="VSZ101" s="142"/>
      <c r="VTA101" s="142"/>
      <c r="VTB101" s="142"/>
      <c r="VTC101" s="142"/>
      <c r="VTD101" s="142"/>
      <c r="VTE101" s="142"/>
      <c r="VTF101" s="142"/>
      <c r="VTG101" s="142"/>
      <c r="VTH101" s="142"/>
      <c r="VTI101" s="142"/>
      <c r="VTJ101" s="142"/>
      <c r="VTK101" s="142"/>
      <c r="VTL101" s="142"/>
      <c r="VTM101" s="142"/>
      <c r="VTN101" s="142"/>
      <c r="VTO101" s="142"/>
      <c r="VTP101" s="142"/>
      <c r="VTQ101" s="142"/>
      <c r="VTR101" s="142"/>
      <c r="VTS101" s="142"/>
      <c r="VTT101" s="142"/>
      <c r="VTU101" s="142"/>
      <c r="VTV101" s="142"/>
      <c r="VTW101" s="142"/>
      <c r="VTX101" s="142"/>
      <c r="VTY101" s="142"/>
      <c r="VTZ101" s="142"/>
      <c r="VUA101" s="142"/>
      <c r="VUB101" s="142"/>
      <c r="VUC101" s="142"/>
      <c r="VUD101" s="142"/>
      <c r="VUE101" s="142"/>
      <c r="VUF101" s="142"/>
      <c r="VUG101" s="142"/>
      <c r="VUH101" s="142"/>
      <c r="VUI101" s="142"/>
      <c r="VUJ101" s="142"/>
      <c r="VUK101" s="142"/>
      <c r="VUL101" s="142"/>
      <c r="VUM101" s="142"/>
      <c r="VUN101" s="142"/>
      <c r="VUO101" s="142"/>
      <c r="VUP101" s="142"/>
      <c r="VUQ101" s="142"/>
      <c r="VUR101" s="142"/>
      <c r="VUS101" s="142"/>
      <c r="VUT101" s="142"/>
      <c r="VUU101" s="142"/>
      <c r="VUV101" s="142"/>
      <c r="VUW101" s="142"/>
      <c r="VUX101" s="142"/>
      <c r="VUY101" s="142"/>
      <c r="VUZ101" s="142"/>
      <c r="VVA101" s="142"/>
      <c r="VVB101" s="142"/>
      <c r="VVC101" s="142"/>
      <c r="VVD101" s="142"/>
      <c r="VVE101" s="142"/>
      <c r="VVF101" s="142"/>
      <c r="VVG101" s="142"/>
      <c r="VVH101" s="142"/>
      <c r="VVI101" s="142"/>
      <c r="VVJ101" s="142"/>
      <c r="VVK101" s="142"/>
      <c r="VVL101" s="142"/>
      <c r="VVM101" s="142"/>
      <c r="VVN101" s="142"/>
      <c r="VVO101" s="142"/>
      <c r="VVP101" s="142"/>
      <c r="VVQ101" s="142"/>
      <c r="VVR101" s="142"/>
      <c r="VVS101" s="142"/>
      <c r="VVT101" s="142"/>
      <c r="VVU101" s="142"/>
      <c r="VVV101" s="142"/>
      <c r="VVW101" s="142"/>
      <c r="VVX101" s="142"/>
      <c r="VVY101" s="142"/>
      <c r="VVZ101" s="142"/>
      <c r="VWA101" s="142"/>
      <c r="VWB101" s="142"/>
      <c r="VWC101" s="142"/>
      <c r="VWD101" s="142"/>
      <c r="VWE101" s="142"/>
      <c r="VWF101" s="142"/>
      <c r="VWG101" s="142"/>
      <c r="VWH101" s="142"/>
      <c r="VWI101" s="142"/>
      <c r="VWJ101" s="142"/>
      <c r="VWK101" s="142"/>
      <c r="VWL101" s="142"/>
      <c r="VWM101" s="142"/>
      <c r="VWN101" s="142"/>
      <c r="VWO101" s="142"/>
      <c r="VWP101" s="142"/>
      <c r="VWQ101" s="142"/>
      <c r="VWR101" s="142"/>
      <c r="VWS101" s="142"/>
      <c r="VWT101" s="142"/>
      <c r="VWU101" s="142"/>
      <c r="VWV101" s="142"/>
      <c r="VWW101" s="142"/>
      <c r="VWX101" s="142"/>
      <c r="VWY101" s="142"/>
      <c r="VWZ101" s="142"/>
      <c r="VXA101" s="142"/>
      <c r="VXB101" s="142"/>
      <c r="VXC101" s="142"/>
      <c r="VXD101" s="142"/>
      <c r="VXE101" s="142"/>
      <c r="VXF101" s="142"/>
      <c r="VXG101" s="142"/>
      <c r="VXH101" s="142"/>
      <c r="VXI101" s="142"/>
      <c r="VXJ101" s="142"/>
      <c r="VXK101" s="142"/>
      <c r="VXL101" s="142"/>
      <c r="VXM101" s="142"/>
      <c r="VXN101" s="142"/>
      <c r="VXO101" s="142"/>
      <c r="VXP101" s="142"/>
      <c r="VXQ101" s="142"/>
      <c r="VXR101" s="142"/>
      <c r="VXS101" s="142"/>
      <c r="VXT101" s="142"/>
      <c r="VXU101" s="142"/>
      <c r="VXV101" s="142"/>
      <c r="VXW101" s="142"/>
      <c r="VXX101" s="142"/>
      <c r="VXY101" s="142"/>
      <c r="VXZ101" s="142"/>
      <c r="VYA101" s="142"/>
      <c r="VYB101" s="142"/>
      <c r="VYC101" s="142"/>
      <c r="VYD101" s="142"/>
      <c r="VYE101" s="142"/>
      <c r="VYF101" s="142"/>
      <c r="VYG101" s="142"/>
      <c r="VYH101" s="142"/>
      <c r="VYI101" s="142"/>
      <c r="VYJ101" s="142"/>
      <c r="VYK101" s="142"/>
      <c r="VYL101" s="142"/>
      <c r="VYM101" s="142"/>
      <c r="VYN101" s="142"/>
      <c r="VYO101" s="142"/>
      <c r="VYP101" s="142"/>
      <c r="VYQ101" s="142"/>
      <c r="VYR101" s="142"/>
      <c r="VYS101" s="142"/>
      <c r="VYT101" s="142"/>
      <c r="VYU101" s="142"/>
      <c r="VYV101" s="142"/>
      <c r="VYW101" s="142"/>
      <c r="VYX101" s="142"/>
      <c r="VYY101" s="142"/>
      <c r="VYZ101" s="142"/>
      <c r="VZA101" s="142"/>
      <c r="VZB101" s="142"/>
      <c r="VZC101" s="142"/>
      <c r="VZD101" s="142"/>
      <c r="VZE101" s="142"/>
      <c r="VZF101" s="142"/>
      <c r="VZG101" s="142"/>
      <c r="VZH101" s="142"/>
      <c r="VZI101" s="142"/>
      <c r="VZJ101" s="142"/>
      <c r="VZK101" s="142"/>
      <c r="VZL101" s="142"/>
      <c r="VZM101" s="142"/>
      <c r="VZN101" s="142"/>
      <c r="VZO101" s="142"/>
      <c r="VZP101" s="142"/>
      <c r="VZQ101" s="142"/>
      <c r="VZR101" s="142"/>
      <c r="VZS101" s="142"/>
      <c r="VZT101" s="142"/>
      <c r="VZU101" s="142"/>
      <c r="VZV101" s="142"/>
      <c r="VZW101" s="142"/>
      <c r="VZX101" s="142"/>
      <c r="VZY101" s="142"/>
      <c r="VZZ101" s="142"/>
      <c r="WAA101" s="142"/>
      <c r="WAB101" s="142"/>
      <c r="WAC101" s="142"/>
      <c r="WAD101" s="142"/>
      <c r="WAE101" s="142"/>
      <c r="WAF101" s="142"/>
      <c r="WAG101" s="142"/>
      <c r="WAH101" s="142"/>
      <c r="WAI101" s="142"/>
      <c r="WAJ101" s="142"/>
      <c r="WAK101" s="142"/>
      <c r="WAL101" s="142"/>
      <c r="WAM101" s="142"/>
      <c r="WAN101" s="142"/>
      <c r="WAO101" s="142"/>
      <c r="WAP101" s="142"/>
      <c r="WAQ101" s="142"/>
      <c r="WAR101" s="142"/>
      <c r="WAS101" s="142"/>
      <c r="WAT101" s="142"/>
      <c r="WAU101" s="142"/>
      <c r="WAV101" s="142"/>
      <c r="WAW101" s="142"/>
      <c r="WAX101" s="142"/>
      <c r="WAY101" s="142"/>
      <c r="WAZ101" s="142"/>
      <c r="WBA101" s="142"/>
      <c r="WBB101" s="142"/>
      <c r="WBC101" s="142"/>
      <c r="WBD101" s="142"/>
      <c r="WBE101" s="142"/>
      <c r="WBF101" s="142"/>
      <c r="WBG101" s="142"/>
      <c r="WBH101" s="142"/>
      <c r="WBI101" s="142"/>
      <c r="WBJ101" s="142"/>
      <c r="WBK101" s="142"/>
      <c r="WBL101" s="142"/>
      <c r="WBM101" s="142"/>
      <c r="WBN101" s="142"/>
      <c r="WBO101" s="142"/>
      <c r="WBP101" s="142"/>
      <c r="WBQ101" s="142"/>
      <c r="WBR101" s="142"/>
      <c r="WBS101" s="142"/>
      <c r="WBT101" s="142"/>
      <c r="WBU101" s="142"/>
      <c r="WBV101" s="142"/>
      <c r="WBW101" s="142"/>
      <c r="WBX101" s="142"/>
      <c r="WBY101" s="142"/>
      <c r="WBZ101" s="142"/>
      <c r="WCA101" s="142"/>
      <c r="WCB101" s="142"/>
      <c r="WCC101" s="142"/>
      <c r="WCD101" s="142"/>
      <c r="WCE101" s="142"/>
      <c r="WCF101" s="142"/>
      <c r="WCG101" s="142"/>
      <c r="WCH101" s="142"/>
      <c r="WCI101" s="142"/>
      <c r="WCJ101" s="142"/>
      <c r="WCK101" s="142"/>
      <c r="WCL101" s="142"/>
      <c r="WCM101" s="142"/>
      <c r="WCN101" s="142"/>
      <c r="WCO101" s="142"/>
      <c r="WCP101" s="142"/>
      <c r="WCQ101" s="142"/>
      <c r="WCR101" s="142"/>
      <c r="WCS101" s="142"/>
      <c r="WCT101" s="142"/>
      <c r="WCU101" s="142"/>
      <c r="WCV101" s="142"/>
      <c r="WCW101" s="142"/>
      <c r="WCX101" s="142"/>
      <c r="WCY101" s="142"/>
      <c r="WCZ101" s="142"/>
      <c r="WDA101" s="142"/>
      <c r="WDB101" s="142"/>
      <c r="WDC101" s="142"/>
      <c r="WDD101" s="142"/>
      <c r="WDE101" s="142"/>
      <c r="WDF101" s="142"/>
      <c r="WDG101" s="142"/>
      <c r="WDH101" s="142"/>
      <c r="WDI101" s="142"/>
      <c r="WDJ101" s="142"/>
      <c r="WDK101" s="142"/>
      <c r="WDL101" s="142"/>
      <c r="WDM101" s="142"/>
      <c r="WDN101" s="142"/>
      <c r="WDO101" s="142"/>
      <c r="WDP101" s="142"/>
      <c r="WDQ101" s="142"/>
      <c r="WDR101" s="142"/>
      <c r="WDS101" s="142"/>
      <c r="WDT101" s="142"/>
      <c r="WDU101" s="142"/>
      <c r="WDV101" s="142"/>
      <c r="WDW101" s="142"/>
      <c r="WDX101" s="142"/>
      <c r="WDY101" s="142"/>
      <c r="WDZ101" s="142"/>
      <c r="WEA101" s="142"/>
      <c r="WEB101" s="142"/>
      <c r="WEC101" s="142"/>
      <c r="WED101" s="142"/>
      <c r="WEE101" s="142"/>
      <c r="WEF101" s="142"/>
      <c r="WEG101" s="142"/>
      <c r="WEH101" s="142"/>
      <c r="WEI101" s="142"/>
      <c r="WEJ101" s="142"/>
      <c r="WEK101" s="142"/>
      <c r="WEL101" s="142"/>
      <c r="WEM101" s="142"/>
      <c r="WEN101" s="142"/>
      <c r="WEO101" s="142"/>
      <c r="WEP101" s="142"/>
      <c r="WEQ101" s="142"/>
      <c r="WER101" s="142"/>
      <c r="WES101" s="142"/>
      <c r="WET101" s="142"/>
      <c r="WEU101" s="142"/>
      <c r="WEV101" s="142"/>
      <c r="WEW101" s="142"/>
      <c r="WEX101" s="142"/>
      <c r="WEY101" s="142"/>
      <c r="WEZ101" s="142"/>
      <c r="WFA101" s="142"/>
      <c r="WFB101" s="142"/>
      <c r="WFC101" s="142"/>
      <c r="WFD101" s="142"/>
      <c r="WFE101" s="142"/>
      <c r="WFF101" s="142"/>
      <c r="WFG101" s="142"/>
      <c r="WFH101" s="142"/>
      <c r="WFI101" s="142"/>
      <c r="WFJ101" s="142"/>
      <c r="WFK101" s="142"/>
      <c r="WFL101" s="142"/>
      <c r="WFM101" s="142"/>
      <c r="WFN101" s="142"/>
      <c r="WFO101" s="142"/>
      <c r="WFP101" s="142"/>
      <c r="WFQ101" s="142"/>
      <c r="WFR101" s="142"/>
      <c r="WFS101" s="142"/>
      <c r="WFT101" s="142"/>
      <c r="WFU101" s="142"/>
      <c r="WFV101" s="142"/>
      <c r="WFW101" s="142"/>
      <c r="WFX101" s="142"/>
      <c r="WFY101" s="142"/>
      <c r="WFZ101" s="142"/>
      <c r="WGA101" s="142"/>
      <c r="WGB101" s="142"/>
      <c r="WGC101" s="142"/>
      <c r="WGD101" s="142"/>
      <c r="WGE101" s="142"/>
      <c r="WGF101" s="142"/>
      <c r="WGG101" s="142"/>
      <c r="WGH101" s="142"/>
      <c r="WGI101" s="142"/>
      <c r="WGJ101" s="142"/>
      <c r="WGK101" s="142"/>
      <c r="WGL101" s="142"/>
      <c r="WGM101" s="142"/>
      <c r="WGN101" s="142"/>
      <c r="WGO101" s="142"/>
      <c r="WGP101" s="142"/>
      <c r="WGQ101" s="142"/>
      <c r="WGR101" s="142"/>
      <c r="WGS101" s="142"/>
      <c r="WGT101" s="142"/>
      <c r="WGU101" s="142"/>
      <c r="WGV101" s="142"/>
      <c r="WGW101" s="142"/>
      <c r="WGX101" s="142"/>
      <c r="WGY101" s="142"/>
      <c r="WGZ101" s="142"/>
      <c r="WHA101" s="142"/>
      <c r="WHB101" s="142"/>
      <c r="WHC101" s="142"/>
      <c r="WHD101" s="142"/>
      <c r="WHE101" s="142"/>
      <c r="WHF101" s="142"/>
      <c r="WHG101" s="142"/>
      <c r="WHH101" s="142"/>
      <c r="WHI101" s="142"/>
      <c r="WHJ101" s="142"/>
      <c r="WHK101" s="142"/>
      <c r="WHL101" s="142"/>
      <c r="WHM101" s="142"/>
      <c r="WHN101" s="142"/>
      <c r="WHO101" s="142"/>
      <c r="WHP101" s="142"/>
      <c r="WHQ101" s="142"/>
      <c r="WHR101" s="142"/>
      <c r="WHS101" s="142"/>
      <c r="WHT101" s="142"/>
      <c r="WHU101" s="142"/>
      <c r="WHV101" s="142"/>
      <c r="WHW101" s="142"/>
      <c r="WHX101" s="142"/>
      <c r="WHY101" s="142"/>
      <c r="WHZ101" s="142"/>
      <c r="WIA101" s="142"/>
      <c r="WIB101" s="142"/>
      <c r="WIC101" s="142"/>
      <c r="WID101" s="142"/>
      <c r="WIE101" s="142"/>
      <c r="WIF101" s="142"/>
      <c r="WIG101" s="142"/>
      <c r="WIH101" s="142"/>
      <c r="WII101" s="142"/>
      <c r="WIJ101" s="142"/>
      <c r="WIK101" s="142"/>
      <c r="WIL101" s="142"/>
      <c r="WIM101" s="142"/>
      <c r="WIN101" s="142"/>
      <c r="WIO101" s="142"/>
      <c r="WIP101" s="142"/>
      <c r="WIQ101" s="142"/>
      <c r="WIR101" s="142"/>
      <c r="WIS101" s="142"/>
      <c r="WIT101" s="142"/>
      <c r="WIU101" s="142"/>
      <c r="WIV101" s="142"/>
      <c r="WIW101" s="142"/>
      <c r="WIX101" s="142"/>
      <c r="WIY101" s="142"/>
      <c r="WIZ101" s="142"/>
      <c r="WJA101" s="142"/>
      <c r="WJB101" s="142"/>
      <c r="WJC101" s="142"/>
      <c r="WJD101" s="142"/>
      <c r="WJE101" s="142"/>
      <c r="WJF101" s="142"/>
      <c r="WJG101" s="142"/>
      <c r="WJH101" s="142"/>
      <c r="WJI101" s="142"/>
      <c r="WJJ101" s="142"/>
      <c r="WJK101" s="142"/>
      <c r="WJL101" s="142"/>
      <c r="WJM101" s="142"/>
      <c r="WJN101" s="142"/>
      <c r="WJO101" s="142"/>
      <c r="WJP101" s="142"/>
      <c r="WJQ101" s="142"/>
      <c r="WJR101" s="142"/>
      <c r="WJS101" s="142"/>
      <c r="WJT101" s="142"/>
      <c r="WJU101" s="142"/>
      <c r="WJV101" s="142"/>
      <c r="WJW101" s="142"/>
      <c r="WJX101" s="142"/>
      <c r="WJY101" s="142"/>
      <c r="WJZ101" s="142"/>
      <c r="WKA101" s="142"/>
      <c r="WKB101" s="142"/>
      <c r="WKC101" s="142"/>
      <c r="WKD101" s="142"/>
      <c r="WKE101" s="142"/>
      <c r="WKF101" s="142"/>
      <c r="WKG101" s="142"/>
      <c r="WKH101" s="142"/>
      <c r="WKI101" s="142"/>
      <c r="WKJ101" s="142"/>
      <c r="WKK101" s="142"/>
      <c r="WKL101" s="142"/>
      <c r="WKM101" s="142"/>
      <c r="WKN101" s="142"/>
      <c r="WKO101" s="142"/>
      <c r="WKP101" s="142"/>
      <c r="WKQ101" s="142"/>
      <c r="WKR101" s="142"/>
      <c r="WKS101" s="142"/>
      <c r="WKT101" s="142"/>
      <c r="WKU101" s="142"/>
      <c r="WKV101" s="142"/>
      <c r="WKW101" s="142"/>
      <c r="WKX101" s="142"/>
      <c r="WKY101" s="142"/>
      <c r="WKZ101" s="142"/>
      <c r="WLA101" s="142"/>
      <c r="WLB101" s="142"/>
      <c r="WLC101" s="142"/>
      <c r="WLD101" s="142"/>
      <c r="WLE101" s="142"/>
      <c r="WLF101" s="142"/>
      <c r="WLG101" s="142"/>
      <c r="WLH101" s="142"/>
      <c r="WLI101" s="142"/>
      <c r="WLJ101" s="142"/>
      <c r="WLK101" s="142"/>
      <c r="WLL101" s="142"/>
      <c r="WLM101" s="142"/>
      <c r="WLN101" s="142"/>
      <c r="WLO101" s="142"/>
      <c r="WLP101" s="142"/>
      <c r="WLQ101" s="142"/>
      <c r="WLR101" s="142"/>
      <c r="WLS101" s="142"/>
      <c r="WLT101" s="142"/>
      <c r="WLU101" s="142"/>
      <c r="WLV101" s="142"/>
      <c r="WLW101" s="142"/>
      <c r="WLX101" s="142"/>
      <c r="WLY101" s="142"/>
      <c r="WLZ101" s="142"/>
      <c r="WMA101" s="142"/>
      <c r="WMB101" s="142"/>
      <c r="WMC101" s="142"/>
      <c r="WMD101" s="142"/>
      <c r="WME101" s="142"/>
      <c r="WMF101" s="142"/>
      <c r="WMG101" s="142"/>
      <c r="WMH101" s="142"/>
      <c r="WMI101" s="142"/>
      <c r="WMJ101" s="142"/>
      <c r="WMK101" s="142"/>
      <c r="WML101" s="142"/>
      <c r="WMM101" s="142"/>
      <c r="WMN101" s="142"/>
      <c r="WMO101" s="142"/>
      <c r="WMP101" s="142"/>
      <c r="WMQ101" s="142"/>
      <c r="WMR101" s="142"/>
      <c r="WMS101" s="142"/>
      <c r="WMT101" s="142"/>
      <c r="WMU101" s="142"/>
      <c r="WMV101" s="142"/>
      <c r="WMW101" s="142"/>
      <c r="WMX101" s="142"/>
      <c r="WMY101" s="142"/>
      <c r="WMZ101" s="142"/>
      <c r="WNA101" s="142"/>
      <c r="WNB101" s="142"/>
      <c r="WNC101" s="142"/>
      <c r="WND101" s="142"/>
      <c r="WNE101" s="142"/>
      <c r="WNF101" s="142"/>
      <c r="WNG101" s="142"/>
      <c r="WNH101" s="142"/>
      <c r="WNI101" s="142"/>
      <c r="WNJ101" s="142"/>
      <c r="WNK101" s="142"/>
      <c r="WNL101" s="142"/>
      <c r="WNM101" s="142"/>
      <c r="WNN101" s="142"/>
      <c r="WNO101" s="142"/>
      <c r="WNP101" s="142"/>
      <c r="WNQ101" s="142"/>
      <c r="WNR101" s="142"/>
      <c r="WNS101" s="142"/>
      <c r="WNT101" s="142"/>
      <c r="WNU101" s="142"/>
      <c r="WNV101" s="142"/>
      <c r="WNW101" s="142"/>
      <c r="WNX101" s="142"/>
      <c r="WNY101" s="142"/>
      <c r="WNZ101" s="142"/>
      <c r="WOA101" s="142"/>
      <c r="WOB101" s="142"/>
      <c r="WOC101" s="142"/>
      <c r="WOD101" s="142"/>
      <c r="WOE101" s="142"/>
      <c r="WOF101" s="142"/>
      <c r="WOG101" s="142"/>
      <c r="WOH101" s="142"/>
      <c r="WOI101" s="142"/>
      <c r="WOJ101" s="142"/>
      <c r="WOK101" s="142"/>
      <c r="WOL101" s="142"/>
      <c r="WOM101" s="142"/>
      <c r="WON101" s="142"/>
      <c r="WOO101" s="142"/>
      <c r="WOP101" s="142"/>
      <c r="WOQ101" s="142"/>
      <c r="WOR101" s="142"/>
      <c r="WOS101" s="142"/>
      <c r="WOT101" s="142"/>
      <c r="WOU101" s="142"/>
      <c r="WOV101" s="142"/>
      <c r="WOW101" s="142"/>
      <c r="WOX101" s="142"/>
      <c r="WOY101" s="142"/>
      <c r="WOZ101" s="142"/>
      <c r="WPA101" s="142"/>
      <c r="WPB101" s="142"/>
      <c r="WPC101" s="142"/>
      <c r="WPD101" s="142"/>
      <c r="WPE101" s="142"/>
      <c r="WPF101" s="142"/>
      <c r="WPG101" s="142"/>
      <c r="WPH101" s="142"/>
      <c r="WPI101" s="142"/>
      <c r="WPJ101" s="142"/>
      <c r="WPK101" s="142"/>
      <c r="WPL101" s="142"/>
      <c r="WPM101" s="142"/>
      <c r="WPN101" s="142"/>
      <c r="WPO101" s="142"/>
      <c r="WPP101" s="142"/>
      <c r="WPQ101" s="142"/>
      <c r="WPR101" s="142"/>
      <c r="WPS101" s="142"/>
      <c r="WPT101" s="142"/>
      <c r="WPU101" s="142"/>
      <c r="WPV101" s="142"/>
      <c r="WPW101" s="142"/>
      <c r="WPX101" s="142"/>
      <c r="WPY101" s="142"/>
      <c r="WPZ101" s="142"/>
      <c r="WQA101" s="142"/>
      <c r="WQB101" s="142"/>
      <c r="WQC101" s="142"/>
      <c r="WQD101" s="142"/>
      <c r="WQE101" s="142"/>
      <c r="WQF101" s="142"/>
      <c r="WQG101" s="142"/>
      <c r="WQH101" s="142"/>
      <c r="WQI101" s="142"/>
      <c r="WQJ101" s="142"/>
      <c r="WQK101" s="142"/>
      <c r="WQL101" s="142"/>
      <c r="WQM101" s="142"/>
      <c r="WQN101" s="142"/>
      <c r="WQO101" s="142"/>
      <c r="WQP101" s="142"/>
      <c r="WQQ101" s="142"/>
      <c r="WQR101" s="142"/>
      <c r="WQS101" s="142"/>
      <c r="WQT101" s="142"/>
      <c r="WQU101" s="142"/>
      <c r="WQV101" s="142"/>
      <c r="WQW101" s="142"/>
      <c r="WQX101" s="142"/>
      <c r="WQY101" s="142"/>
      <c r="WQZ101" s="142"/>
      <c r="WRA101" s="142"/>
      <c r="WRB101" s="142"/>
      <c r="WRC101" s="142"/>
      <c r="WRD101" s="142"/>
      <c r="WRE101" s="142"/>
      <c r="WRF101" s="142"/>
      <c r="WRG101" s="142"/>
      <c r="WRH101" s="142"/>
      <c r="WRI101" s="142"/>
      <c r="WRJ101" s="142"/>
      <c r="WRK101" s="142"/>
      <c r="WRL101" s="142"/>
      <c r="WRM101" s="142"/>
      <c r="WRN101" s="142"/>
      <c r="WRO101" s="142"/>
      <c r="WRP101" s="142"/>
      <c r="WRQ101" s="142"/>
      <c r="WRR101" s="142"/>
      <c r="WRS101" s="142"/>
      <c r="WRT101" s="142"/>
      <c r="WRU101" s="142"/>
      <c r="WRV101" s="142"/>
      <c r="WRW101" s="142"/>
      <c r="WRX101" s="142"/>
      <c r="WRY101" s="142"/>
      <c r="WRZ101" s="142"/>
      <c r="WSA101" s="142"/>
      <c r="WSB101" s="142"/>
      <c r="WSC101" s="142"/>
      <c r="WSD101" s="142"/>
      <c r="WSE101" s="142"/>
      <c r="WSF101" s="142"/>
      <c r="WSG101" s="142"/>
      <c r="WSH101" s="142"/>
      <c r="WSI101" s="142"/>
      <c r="WSJ101" s="142"/>
      <c r="WSK101" s="142"/>
      <c r="WSL101" s="142"/>
      <c r="WSM101" s="142"/>
      <c r="WSN101" s="142"/>
      <c r="WSO101" s="142"/>
      <c r="WSP101" s="142"/>
      <c r="WSQ101" s="142"/>
      <c r="WSR101" s="142"/>
      <c r="WSS101" s="142"/>
      <c r="WST101" s="142"/>
      <c r="WSU101" s="142"/>
      <c r="WSV101" s="142"/>
      <c r="WSW101" s="142"/>
      <c r="WSX101" s="142"/>
      <c r="WSY101" s="142"/>
      <c r="WSZ101" s="142"/>
      <c r="WTA101" s="142"/>
      <c r="WTB101" s="142"/>
      <c r="WTC101" s="142"/>
      <c r="WTD101" s="142"/>
      <c r="WTE101" s="142"/>
      <c r="WTF101" s="142"/>
      <c r="WTG101" s="142"/>
      <c r="WTH101" s="142"/>
      <c r="WTI101" s="142"/>
      <c r="WTJ101" s="142"/>
      <c r="WTK101" s="142"/>
      <c r="WTL101" s="142"/>
      <c r="WTM101" s="142"/>
      <c r="WTN101" s="142"/>
      <c r="WTO101" s="142"/>
      <c r="WTP101" s="142"/>
      <c r="WTQ101" s="142"/>
      <c r="WTR101" s="142"/>
      <c r="WTS101" s="142"/>
      <c r="WTT101" s="142"/>
      <c r="WTU101" s="142"/>
      <c r="WTV101" s="142"/>
      <c r="WTW101" s="142"/>
      <c r="WTX101" s="142"/>
      <c r="WTY101" s="142"/>
      <c r="WTZ101" s="142"/>
      <c r="WUA101" s="142"/>
      <c r="WUB101" s="142"/>
      <c r="WUC101" s="142"/>
      <c r="WUD101" s="142"/>
      <c r="WUE101" s="142"/>
      <c r="WUF101" s="142"/>
      <c r="WUG101" s="142"/>
      <c r="WUH101" s="142"/>
      <c r="WUI101" s="142"/>
      <c r="WUJ101" s="142"/>
      <c r="WUK101" s="142"/>
      <c r="WUL101" s="142"/>
      <c r="WUM101" s="142"/>
      <c r="WUN101" s="142"/>
      <c r="WUO101" s="142"/>
      <c r="WUP101" s="142"/>
      <c r="WUQ101" s="142"/>
      <c r="WUR101" s="142"/>
      <c r="WUS101" s="142"/>
      <c r="WUT101" s="142"/>
      <c r="WUU101" s="142"/>
      <c r="WUV101" s="142"/>
      <c r="WUW101" s="142"/>
      <c r="WUX101" s="142"/>
      <c r="WUY101" s="142"/>
      <c r="WUZ101" s="142"/>
      <c r="WVA101" s="142"/>
      <c r="WVB101" s="142"/>
      <c r="WVC101" s="142"/>
      <c r="WVD101" s="142"/>
      <c r="WVE101" s="142"/>
      <c r="WVF101" s="142"/>
      <c r="WVG101" s="142"/>
      <c r="WVH101" s="142"/>
      <c r="WVI101" s="142"/>
      <c r="WVJ101" s="142"/>
      <c r="WVK101" s="142"/>
      <c r="WVL101" s="142"/>
      <c r="WVM101" s="142"/>
      <c r="WVN101" s="142"/>
      <c r="WVO101" s="142"/>
      <c r="WVP101" s="142"/>
      <c r="WVQ101" s="142"/>
      <c r="WVR101" s="142"/>
      <c r="WVS101" s="142"/>
      <c r="WVT101" s="142"/>
      <c r="WVU101" s="142"/>
      <c r="WVV101" s="142"/>
      <c r="WVW101" s="142"/>
      <c r="WVX101" s="142"/>
      <c r="WVY101" s="142"/>
      <c r="WVZ101" s="142"/>
      <c r="WWA101" s="142"/>
      <c r="WWB101" s="142"/>
      <c r="WWC101" s="142"/>
      <c r="WWD101" s="142"/>
      <c r="WWE101" s="142"/>
      <c r="WWF101" s="142"/>
      <c r="WWG101" s="142"/>
      <c r="WWH101" s="142"/>
      <c r="WWI101" s="142"/>
      <c r="WWJ101" s="142"/>
      <c r="WWK101" s="142"/>
      <c r="WWL101" s="142"/>
      <c r="WWM101" s="142"/>
      <c r="WWN101" s="142"/>
      <c r="WWO101" s="142"/>
      <c r="WWP101" s="142"/>
      <c r="WWQ101" s="142"/>
      <c r="WWR101" s="142"/>
      <c r="WWS101" s="142"/>
      <c r="WWT101" s="142"/>
      <c r="WWU101" s="142"/>
      <c r="WWV101" s="142"/>
      <c r="WWW101" s="142"/>
      <c r="WWX101" s="142"/>
      <c r="WWY101" s="142"/>
      <c r="WWZ101" s="142"/>
      <c r="WXA101" s="142"/>
      <c r="WXB101" s="142"/>
      <c r="WXC101" s="142"/>
      <c r="WXD101" s="142"/>
      <c r="WXE101" s="142"/>
      <c r="WXF101" s="142"/>
      <c r="WXG101" s="142"/>
      <c r="WXH101" s="142"/>
      <c r="WXI101" s="142"/>
      <c r="WXJ101" s="142"/>
      <c r="WXK101" s="142"/>
      <c r="WXL101" s="142"/>
      <c r="WXM101" s="142"/>
      <c r="WXN101" s="142"/>
      <c r="WXO101" s="142"/>
      <c r="WXP101" s="142"/>
      <c r="WXQ101" s="142"/>
      <c r="WXR101" s="142"/>
      <c r="WXS101" s="142"/>
      <c r="WXT101" s="142"/>
      <c r="WXU101" s="142"/>
      <c r="WXV101" s="142"/>
      <c r="WXW101" s="142"/>
      <c r="WXX101" s="142"/>
      <c r="WXY101" s="142"/>
      <c r="WXZ101" s="142"/>
      <c r="WYA101" s="142"/>
      <c r="WYB101" s="142"/>
      <c r="WYC101" s="142"/>
      <c r="WYD101" s="142"/>
      <c r="WYE101" s="142"/>
      <c r="WYF101" s="142"/>
      <c r="WYG101" s="142"/>
      <c r="WYH101" s="142"/>
      <c r="WYI101" s="142"/>
      <c r="WYJ101" s="142"/>
      <c r="WYK101" s="142"/>
      <c r="WYL101" s="142"/>
      <c r="WYM101" s="142"/>
      <c r="WYN101" s="142"/>
      <c r="WYO101" s="142"/>
      <c r="WYP101" s="142"/>
      <c r="WYQ101" s="142"/>
      <c r="WYR101" s="142"/>
      <c r="WYS101" s="142"/>
      <c r="WYT101" s="142"/>
      <c r="WYU101" s="142"/>
      <c r="WYV101" s="142"/>
      <c r="WYW101" s="142"/>
      <c r="WYX101" s="142"/>
      <c r="WYY101" s="142"/>
      <c r="WYZ101" s="142"/>
      <c r="WZA101" s="142"/>
      <c r="WZB101" s="142"/>
      <c r="WZC101" s="142"/>
      <c r="WZD101" s="142"/>
      <c r="WZE101" s="142"/>
      <c r="WZF101" s="142"/>
      <c r="WZG101" s="142"/>
      <c r="WZH101" s="142"/>
      <c r="WZI101" s="142"/>
      <c r="WZJ101" s="142"/>
      <c r="WZK101" s="142"/>
      <c r="WZL101" s="142"/>
      <c r="WZM101" s="142"/>
      <c r="WZN101" s="142"/>
      <c r="WZO101" s="142"/>
      <c r="WZP101" s="142"/>
      <c r="WZQ101" s="142"/>
      <c r="WZR101" s="142"/>
      <c r="WZS101" s="142"/>
      <c r="WZT101" s="142"/>
      <c r="WZU101" s="142"/>
      <c r="WZV101" s="142"/>
      <c r="WZW101" s="142"/>
      <c r="WZX101" s="142"/>
      <c r="WZY101" s="142"/>
      <c r="WZZ101" s="142"/>
      <c r="XAA101" s="142"/>
      <c r="XAB101" s="142"/>
      <c r="XAC101" s="142"/>
      <c r="XAD101" s="142"/>
      <c r="XAE101" s="142"/>
      <c r="XAF101" s="142"/>
      <c r="XAG101" s="142"/>
      <c r="XAH101" s="142"/>
      <c r="XAI101" s="142"/>
      <c r="XAJ101" s="142"/>
      <c r="XAK101" s="142"/>
      <c r="XAL101" s="142"/>
      <c r="XAM101" s="142"/>
      <c r="XAN101" s="142"/>
      <c r="XAO101" s="142"/>
      <c r="XAP101" s="142"/>
      <c r="XAQ101" s="142"/>
      <c r="XAR101" s="142"/>
      <c r="XAS101" s="142"/>
      <c r="XAT101" s="142"/>
      <c r="XAU101" s="142"/>
      <c r="XAV101" s="142"/>
      <c r="XAW101" s="142"/>
      <c r="XAX101" s="142"/>
      <c r="XAY101" s="142"/>
      <c r="XAZ101" s="142"/>
      <c r="XBA101" s="142"/>
      <c r="XBB101" s="142"/>
      <c r="XBC101" s="142"/>
      <c r="XBD101" s="142"/>
      <c r="XBE101" s="142"/>
      <c r="XBF101" s="142"/>
      <c r="XBG101" s="142"/>
      <c r="XBH101" s="142"/>
      <c r="XBI101" s="142"/>
      <c r="XBJ101" s="142"/>
      <c r="XBK101" s="142"/>
      <c r="XBL101" s="142"/>
      <c r="XBM101" s="142"/>
      <c r="XBN101" s="142"/>
      <c r="XBO101" s="142"/>
      <c r="XBP101" s="142"/>
      <c r="XBQ101" s="142"/>
      <c r="XBR101" s="142"/>
      <c r="XBS101" s="142"/>
      <c r="XBT101" s="142"/>
      <c r="XBU101" s="142"/>
      <c r="XBV101" s="142"/>
      <c r="XBW101" s="142"/>
      <c r="XBX101" s="142"/>
      <c r="XBY101" s="142"/>
      <c r="XBZ101" s="142"/>
      <c r="XCA101" s="142"/>
      <c r="XCB101" s="142"/>
      <c r="XCC101" s="142"/>
      <c r="XCD101" s="142"/>
      <c r="XCE101" s="142"/>
      <c r="XCF101" s="142"/>
      <c r="XCG101" s="142"/>
      <c r="XCH101" s="142"/>
      <c r="XCI101" s="142"/>
      <c r="XCJ101" s="142"/>
      <c r="XCK101" s="142"/>
      <c r="XCL101" s="142"/>
      <c r="XCM101" s="142"/>
      <c r="XCN101" s="142"/>
      <c r="XCO101" s="142"/>
      <c r="XCP101" s="142"/>
      <c r="XCQ101" s="142"/>
      <c r="XCR101" s="142"/>
      <c r="XCS101" s="142"/>
      <c r="XCT101" s="142"/>
      <c r="XCU101" s="142"/>
      <c r="XCV101" s="142"/>
      <c r="XCW101" s="142"/>
      <c r="XCX101" s="142"/>
      <c r="XCY101" s="142"/>
      <c r="XCZ101" s="142"/>
      <c r="XDA101" s="142"/>
      <c r="XDB101" s="142"/>
      <c r="XDC101" s="142"/>
      <c r="XDD101" s="142"/>
      <c r="XDE101" s="142"/>
      <c r="XDF101" s="142"/>
      <c r="XDG101" s="142"/>
      <c r="XDH101" s="142"/>
      <c r="XDI101" s="142"/>
      <c r="XDJ101" s="142"/>
      <c r="XDK101" s="142"/>
      <c r="XDL101" s="142"/>
      <c r="XDM101" s="142"/>
      <c r="XDN101" s="142"/>
      <c r="XDO101" s="142"/>
      <c r="XDP101" s="142"/>
      <c r="XDQ101" s="142"/>
      <c r="XDR101" s="142"/>
      <c r="XDS101" s="142"/>
      <c r="XDT101" s="142"/>
      <c r="XDU101" s="142"/>
      <c r="XDV101" s="142"/>
      <c r="XDW101" s="142"/>
      <c r="XDX101" s="142"/>
      <c r="XDY101" s="142"/>
      <c r="XDZ101" s="142"/>
      <c r="XEA101" s="142"/>
      <c r="XEB101" s="142"/>
      <c r="XEC101" s="142"/>
      <c r="XED101" s="142"/>
      <c r="XEE101" s="142"/>
      <c r="XEF101" s="142"/>
      <c r="XEG101" s="142"/>
      <c r="XEH101" s="142"/>
      <c r="XEI101" s="142"/>
      <c r="XEJ101" s="142"/>
      <c r="XEK101" s="142"/>
      <c r="XEL101" s="142"/>
      <c r="XEM101" s="142"/>
      <c r="XEN101" s="142"/>
      <c r="XEO101" s="142"/>
      <c r="XEP101" s="142"/>
      <c r="XEQ101" s="142"/>
      <c r="XER101" s="142"/>
      <c r="XES101" s="142"/>
      <c r="XET101" s="142"/>
      <c r="XEU101" s="142"/>
      <c r="XEV101" s="142"/>
      <c r="XEW101" s="142"/>
      <c r="XEX101" s="142"/>
    </row>
    <row r="102" spans="1:16378" ht="49.5" hidden="1" customHeight="1" x14ac:dyDescent="0.25">
      <c r="A102" s="472">
        <v>2026</v>
      </c>
      <c r="B102" s="472">
        <v>479</v>
      </c>
      <c r="C102" s="472" t="s">
        <v>64</v>
      </c>
      <c r="D102" s="472" t="s">
        <v>65</v>
      </c>
      <c r="E102" s="472">
        <v>125</v>
      </c>
      <c r="F102" s="472">
        <v>3000654</v>
      </c>
      <c r="G102" s="472">
        <v>5005023</v>
      </c>
      <c r="H102" s="472">
        <v>3</v>
      </c>
      <c r="I102" s="472">
        <v>12</v>
      </c>
      <c r="J102" s="472">
        <v>24</v>
      </c>
      <c r="K102" s="472">
        <v>135560</v>
      </c>
      <c r="L102" s="472" t="s">
        <v>66</v>
      </c>
      <c r="M102" s="124" t="s">
        <v>67</v>
      </c>
      <c r="N102" s="472">
        <v>95</v>
      </c>
      <c r="O102" s="474"/>
      <c r="P102" s="474" t="s">
        <v>4</v>
      </c>
      <c r="Q102" s="472" t="s">
        <v>68</v>
      </c>
      <c r="R102" s="475" t="s">
        <v>69</v>
      </c>
      <c r="S102" s="475" t="s">
        <v>137</v>
      </c>
      <c r="T102" s="475"/>
      <c r="U102" s="124" t="s">
        <v>182</v>
      </c>
      <c r="V102" s="475" t="s">
        <v>3</v>
      </c>
      <c r="W102" s="121">
        <v>2</v>
      </c>
      <c r="X102" s="476">
        <v>5000</v>
      </c>
      <c r="Y102" s="488"/>
      <c r="Z102" s="488"/>
      <c r="AA102" s="488"/>
      <c r="AB102" s="488"/>
      <c r="AC102" s="475">
        <v>30</v>
      </c>
      <c r="AD102" s="475">
        <v>30</v>
      </c>
      <c r="AE102" s="488"/>
      <c r="AF102" s="488"/>
      <c r="AG102" s="488"/>
      <c r="AH102" s="488"/>
      <c r="AI102" s="488"/>
      <c r="AJ102" s="488"/>
      <c r="AK102" s="477">
        <v>20000</v>
      </c>
      <c r="AL102" s="472" t="s">
        <v>73</v>
      </c>
      <c r="AM102" s="472" t="s">
        <v>73</v>
      </c>
      <c r="AN102" s="472" t="s">
        <v>73</v>
      </c>
      <c r="AO102" s="472" t="s">
        <v>73</v>
      </c>
      <c r="AP102" s="478">
        <v>10000</v>
      </c>
      <c r="AQ102" s="478">
        <v>10000</v>
      </c>
      <c r="AR102" s="472"/>
      <c r="AS102" s="472"/>
      <c r="AT102" s="472"/>
      <c r="AU102" s="472"/>
      <c r="AV102" s="472"/>
      <c r="AW102" s="472"/>
      <c r="AX102" s="30">
        <v>20000</v>
      </c>
      <c r="AY102" s="479" t="s">
        <v>7</v>
      </c>
      <c r="AZ102" s="474" t="s">
        <v>74</v>
      </c>
      <c r="BA102" s="474"/>
      <c r="BB102" s="480"/>
      <c r="BC102" s="480"/>
      <c r="BK102" s="481" t="s">
        <v>802</v>
      </c>
      <c r="BL102" s="481" t="s">
        <v>803</v>
      </c>
      <c r="BM102" s="284"/>
      <c r="BN102" s="414"/>
      <c r="BO102" s="284"/>
      <c r="BP102" s="285"/>
      <c r="BQ102" s="482"/>
      <c r="BR102" s="482"/>
      <c r="BS102" s="482"/>
      <c r="BT102" s="482"/>
      <c r="BU102" s="482"/>
      <c r="BV102" s="284"/>
      <c r="BW102" s="284"/>
      <c r="BX102" s="284"/>
      <c r="BY102" s="487"/>
      <c r="BZ102" s="284"/>
      <c r="CA102" s="288"/>
      <c r="CB102" s="483"/>
      <c r="CC102" s="483"/>
      <c r="CD102" s="759"/>
      <c r="CE102" s="485">
        <f t="shared" ref="CE102" si="290">AC102</f>
        <v>30</v>
      </c>
      <c r="CF102" s="484">
        <f t="shared" ref="CF102" si="291">AP102</f>
        <v>10000</v>
      </c>
      <c r="CG102" s="485">
        <v>0</v>
      </c>
      <c r="CH102" s="485">
        <f t="shared" ref="CH102" si="292">(X102/30)*CG102</f>
        <v>0</v>
      </c>
      <c r="CI102" s="485">
        <v>0</v>
      </c>
      <c r="CJ102" s="485">
        <f t="shared" ref="CJ102" si="293">(X102/30)*CI102</f>
        <v>0</v>
      </c>
      <c r="CK102" s="484">
        <f t="shared" ref="CK102" si="294">CF102-CH102</f>
        <v>10000</v>
      </c>
      <c r="CL102" s="484">
        <f t="shared" ref="CL102" si="295">CF102-CJ102</f>
        <v>10000</v>
      </c>
      <c r="CM102" s="1006"/>
      <c r="CN102" s="485">
        <f t="shared" ref="CN102" si="296">AD102</f>
        <v>30</v>
      </c>
      <c r="CO102" s="484">
        <f t="shared" ref="CO102" si="297">AQ102</f>
        <v>10000</v>
      </c>
      <c r="CP102" s="485"/>
      <c r="CQ102" s="485">
        <f t="shared" ref="CQ102" si="298">(X102/30)*CP102</f>
        <v>0</v>
      </c>
      <c r="CR102" s="485"/>
      <c r="CS102" s="485">
        <f t="shared" ref="CS102" si="299">(X102/30)*CR102</f>
        <v>0</v>
      </c>
      <c r="CT102" s="484">
        <f t="shared" ref="CT102" si="300">CO102-CQ102</f>
        <v>10000</v>
      </c>
      <c r="CU102" s="484">
        <f t="shared" ref="CU102" si="301">CO102-CS102</f>
        <v>10000</v>
      </c>
      <c r="CV102" s="1006"/>
      <c r="CW102" s="1007">
        <f t="shared" si="225"/>
        <v>20000</v>
      </c>
      <c r="CX102" s="486">
        <f t="shared" si="226"/>
        <v>0</v>
      </c>
      <c r="CY102" s="486">
        <f t="shared" si="227"/>
        <v>0</v>
      </c>
      <c r="CZ102" s="1007">
        <f t="shared" si="228"/>
        <v>20000</v>
      </c>
      <c r="DA102" s="1007">
        <f t="shared" si="229"/>
        <v>20000</v>
      </c>
      <c r="DB102" s="142"/>
      <c r="DC102" s="142"/>
      <c r="DD102" s="142"/>
      <c r="DE102" s="142"/>
      <c r="DF102" s="142"/>
      <c r="DG102" s="142"/>
      <c r="DH102" s="142"/>
      <c r="DI102" s="142"/>
      <c r="DJ102" s="142"/>
      <c r="DK102" s="142"/>
      <c r="DL102" s="142"/>
      <c r="DM102" s="142"/>
      <c r="DN102" s="142"/>
      <c r="DO102" s="142"/>
      <c r="DP102" s="142"/>
      <c r="DQ102" s="142"/>
      <c r="DR102" s="142"/>
      <c r="DS102" s="142"/>
      <c r="DT102" s="142"/>
      <c r="DU102" s="142"/>
      <c r="DV102" s="142"/>
      <c r="DW102" s="142"/>
      <c r="DX102" s="142"/>
      <c r="DY102" s="142"/>
      <c r="DZ102" s="142"/>
      <c r="EA102" s="142"/>
      <c r="EB102" s="142"/>
      <c r="EC102" s="142"/>
      <c r="ED102" s="142"/>
      <c r="EE102" s="142"/>
      <c r="EF102" s="142"/>
      <c r="EG102" s="142"/>
      <c r="EH102" s="142"/>
      <c r="EI102" s="142"/>
      <c r="EJ102" s="142"/>
      <c r="EK102" s="142"/>
      <c r="EL102" s="142"/>
      <c r="EM102" s="142"/>
      <c r="EN102" s="142"/>
      <c r="EO102" s="142"/>
      <c r="EP102" s="142"/>
      <c r="EQ102" s="142"/>
      <c r="ER102" s="142"/>
      <c r="ES102" s="142"/>
      <c r="ET102" s="142"/>
      <c r="EU102" s="142"/>
      <c r="EV102" s="142"/>
      <c r="EW102" s="142"/>
      <c r="EX102" s="142"/>
      <c r="EY102" s="142"/>
      <c r="EZ102" s="142"/>
      <c r="FA102" s="142"/>
      <c r="FB102" s="142"/>
      <c r="FC102" s="142"/>
      <c r="FD102" s="142"/>
      <c r="FE102" s="142"/>
      <c r="FF102" s="142"/>
      <c r="FG102" s="142"/>
      <c r="FH102" s="142"/>
      <c r="FI102" s="142"/>
      <c r="FJ102" s="142"/>
      <c r="FK102" s="142"/>
      <c r="FL102" s="142"/>
      <c r="FM102" s="142"/>
      <c r="FN102" s="142"/>
      <c r="FO102" s="142"/>
      <c r="FP102" s="142"/>
      <c r="FQ102" s="142"/>
      <c r="FR102" s="142"/>
      <c r="FS102" s="142"/>
      <c r="FT102" s="142"/>
      <c r="FU102" s="142"/>
      <c r="FV102" s="142"/>
      <c r="FW102" s="142"/>
      <c r="FX102" s="142"/>
      <c r="FY102" s="142"/>
      <c r="FZ102" s="142"/>
      <c r="GA102" s="142"/>
      <c r="GB102" s="142"/>
      <c r="GC102" s="142"/>
      <c r="GD102" s="142"/>
      <c r="GE102" s="142"/>
      <c r="GF102" s="142"/>
      <c r="GG102" s="142"/>
      <c r="GH102" s="142"/>
      <c r="GI102" s="142"/>
      <c r="GJ102" s="142"/>
      <c r="GK102" s="142"/>
      <c r="GL102" s="142"/>
      <c r="GM102" s="142"/>
      <c r="GN102" s="142"/>
      <c r="GO102" s="142"/>
      <c r="GP102" s="142"/>
      <c r="GQ102" s="142"/>
      <c r="GR102" s="142"/>
      <c r="GS102" s="142"/>
      <c r="GT102" s="142"/>
      <c r="GU102" s="142"/>
      <c r="GV102" s="142"/>
      <c r="GW102" s="142"/>
      <c r="GX102" s="142"/>
      <c r="GY102" s="142"/>
      <c r="GZ102" s="142"/>
      <c r="HA102" s="142"/>
      <c r="HB102" s="142"/>
      <c r="HC102" s="142"/>
      <c r="HD102" s="142"/>
      <c r="HE102" s="142"/>
      <c r="HF102" s="142"/>
      <c r="HG102" s="142"/>
      <c r="HH102" s="142"/>
      <c r="HI102" s="142"/>
      <c r="HJ102" s="142"/>
      <c r="HK102" s="142"/>
      <c r="HL102" s="142"/>
      <c r="HM102" s="142"/>
      <c r="HN102" s="142"/>
      <c r="HO102" s="142"/>
      <c r="HP102" s="142"/>
      <c r="HQ102" s="142"/>
      <c r="HR102" s="142"/>
      <c r="HS102" s="142"/>
      <c r="HT102" s="142"/>
      <c r="HU102" s="142"/>
      <c r="HV102" s="142"/>
      <c r="HW102" s="142"/>
      <c r="HX102" s="142"/>
      <c r="HY102" s="142"/>
      <c r="HZ102" s="142"/>
      <c r="IA102" s="142"/>
      <c r="IB102" s="142"/>
      <c r="IC102" s="142"/>
      <c r="ID102" s="142"/>
      <c r="IE102" s="142"/>
      <c r="IF102" s="142"/>
      <c r="IG102" s="142"/>
      <c r="IH102" s="142"/>
      <c r="II102" s="142"/>
      <c r="IJ102" s="142"/>
      <c r="IK102" s="142"/>
      <c r="IL102" s="142"/>
      <c r="IM102" s="142"/>
      <c r="IN102" s="142"/>
      <c r="IO102" s="142"/>
      <c r="IP102" s="142"/>
      <c r="IQ102" s="142"/>
      <c r="IR102" s="142"/>
      <c r="IS102" s="142"/>
      <c r="IT102" s="142"/>
      <c r="IU102" s="142"/>
      <c r="IV102" s="142"/>
      <c r="IW102" s="142"/>
      <c r="IX102" s="142"/>
      <c r="IY102" s="142"/>
      <c r="IZ102" s="142"/>
      <c r="JA102" s="142"/>
      <c r="JB102" s="142"/>
      <c r="JC102" s="142"/>
      <c r="JD102" s="142"/>
      <c r="JE102" s="142"/>
      <c r="JF102" s="142"/>
      <c r="JG102" s="142"/>
      <c r="JH102" s="142"/>
      <c r="JI102" s="142"/>
      <c r="JJ102" s="142"/>
      <c r="JK102" s="142"/>
      <c r="JL102" s="142"/>
      <c r="JM102" s="142"/>
      <c r="JN102" s="142"/>
      <c r="JO102" s="142"/>
      <c r="JP102" s="142"/>
      <c r="JQ102" s="142"/>
      <c r="JR102" s="142"/>
      <c r="JS102" s="142"/>
      <c r="JT102" s="142"/>
      <c r="JU102" s="142"/>
      <c r="JV102" s="142"/>
      <c r="JW102" s="142"/>
      <c r="JX102" s="142"/>
      <c r="JY102" s="142"/>
      <c r="JZ102" s="142"/>
      <c r="KA102" s="142"/>
      <c r="KB102" s="142"/>
      <c r="KC102" s="142"/>
      <c r="KD102" s="142"/>
      <c r="KE102" s="142"/>
      <c r="KF102" s="142"/>
      <c r="KG102" s="142"/>
      <c r="KH102" s="142"/>
      <c r="KI102" s="142"/>
      <c r="KJ102" s="142"/>
      <c r="KK102" s="142"/>
      <c r="KL102" s="142"/>
      <c r="KM102" s="142"/>
      <c r="KN102" s="142"/>
      <c r="KO102" s="142"/>
      <c r="KP102" s="142"/>
      <c r="KQ102" s="142"/>
      <c r="KR102" s="142"/>
      <c r="KS102" s="142"/>
      <c r="KT102" s="142"/>
      <c r="KU102" s="142"/>
      <c r="KV102" s="142"/>
      <c r="KW102" s="142"/>
      <c r="KX102" s="142"/>
      <c r="KY102" s="142"/>
      <c r="KZ102" s="142"/>
      <c r="LA102" s="142"/>
      <c r="LB102" s="142"/>
      <c r="LC102" s="142"/>
      <c r="LD102" s="142"/>
      <c r="LE102" s="142"/>
      <c r="LF102" s="142"/>
      <c r="LG102" s="142"/>
      <c r="LH102" s="142"/>
      <c r="LI102" s="142"/>
      <c r="LJ102" s="142"/>
      <c r="LK102" s="142"/>
      <c r="LL102" s="142"/>
      <c r="LM102" s="142"/>
      <c r="LN102" s="142"/>
      <c r="LO102" s="142"/>
      <c r="LP102" s="142"/>
      <c r="LQ102" s="142"/>
      <c r="LR102" s="142"/>
      <c r="LS102" s="142"/>
      <c r="LT102" s="142"/>
      <c r="LU102" s="142"/>
      <c r="LV102" s="142"/>
      <c r="LW102" s="142"/>
      <c r="LX102" s="142"/>
      <c r="LY102" s="142"/>
      <c r="LZ102" s="142"/>
      <c r="MA102" s="142"/>
      <c r="MB102" s="142"/>
      <c r="MC102" s="142"/>
      <c r="MD102" s="142"/>
      <c r="ME102" s="142"/>
      <c r="MF102" s="142"/>
      <c r="MG102" s="142"/>
      <c r="MH102" s="142"/>
      <c r="MI102" s="142"/>
      <c r="MJ102" s="142"/>
      <c r="MK102" s="142"/>
      <c r="ML102" s="142"/>
      <c r="MM102" s="142"/>
      <c r="MN102" s="142"/>
      <c r="MO102" s="142"/>
      <c r="MP102" s="142"/>
      <c r="MQ102" s="142"/>
      <c r="MR102" s="142"/>
      <c r="MS102" s="142"/>
      <c r="MT102" s="142"/>
      <c r="MU102" s="142"/>
      <c r="MV102" s="142"/>
      <c r="MW102" s="142"/>
      <c r="MX102" s="142"/>
      <c r="MY102" s="142"/>
      <c r="MZ102" s="142"/>
      <c r="NA102" s="142"/>
      <c r="NB102" s="142"/>
      <c r="NC102" s="142"/>
      <c r="ND102" s="142"/>
      <c r="NE102" s="142"/>
      <c r="NF102" s="142"/>
      <c r="NG102" s="142"/>
      <c r="NH102" s="142"/>
      <c r="NI102" s="142"/>
      <c r="NJ102" s="142"/>
      <c r="NK102" s="142"/>
      <c r="NL102" s="142"/>
      <c r="NM102" s="142"/>
      <c r="NN102" s="142"/>
      <c r="NO102" s="142"/>
      <c r="NP102" s="142"/>
      <c r="NQ102" s="142"/>
      <c r="NR102" s="142"/>
      <c r="NS102" s="142"/>
      <c r="NT102" s="142"/>
      <c r="NU102" s="142"/>
      <c r="NV102" s="142"/>
      <c r="NW102" s="142"/>
      <c r="NX102" s="142"/>
      <c r="NY102" s="142"/>
      <c r="NZ102" s="142"/>
      <c r="OA102" s="142"/>
      <c r="OB102" s="142"/>
      <c r="OC102" s="142"/>
      <c r="OD102" s="142"/>
      <c r="OE102" s="142"/>
      <c r="OF102" s="142"/>
      <c r="OG102" s="142"/>
      <c r="OH102" s="142"/>
      <c r="OI102" s="142"/>
      <c r="OJ102" s="142"/>
      <c r="OK102" s="142"/>
      <c r="OL102" s="142"/>
      <c r="OM102" s="142"/>
      <c r="ON102" s="142"/>
      <c r="OO102" s="142"/>
      <c r="OP102" s="142"/>
      <c r="OQ102" s="142"/>
      <c r="OR102" s="142"/>
      <c r="OS102" s="142"/>
      <c r="OT102" s="142"/>
      <c r="OU102" s="142"/>
      <c r="OV102" s="142"/>
      <c r="OW102" s="142"/>
      <c r="OX102" s="142"/>
      <c r="OY102" s="142"/>
      <c r="OZ102" s="142"/>
      <c r="PA102" s="142"/>
      <c r="PB102" s="142"/>
      <c r="PC102" s="142"/>
      <c r="PD102" s="142"/>
      <c r="PE102" s="142"/>
      <c r="PF102" s="142"/>
      <c r="PG102" s="142"/>
      <c r="PH102" s="142"/>
      <c r="PI102" s="142"/>
      <c r="PJ102" s="142"/>
      <c r="PK102" s="142"/>
      <c r="PL102" s="142"/>
      <c r="PM102" s="142"/>
      <c r="PN102" s="142"/>
      <c r="PO102" s="142"/>
      <c r="PP102" s="142"/>
      <c r="PQ102" s="142"/>
      <c r="PR102" s="142"/>
      <c r="PS102" s="142"/>
      <c r="PT102" s="142"/>
      <c r="PU102" s="142"/>
      <c r="PV102" s="142"/>
      <c r="PW102" s="142"/>
      <c r="PX102" s="142"/>
      <c r="PY102" s="142"/>
      <c r="PZ102" s="142"/>
      <c r="QA102" s="142"/>
      <c r="QB102" s="142"/>
      <c r="QC102" s="142"/>
      <c r="QD102" s="142"/>
      <c r="QE102" s="142"/>
      <c r="QF102" s="142"/>
      <c r="QG102" s="142"/>
      <c r="QH102" s="142"/>
      <c r="QI102" s="142"/>
      <c r="QJ102" s="142"/>
      <c r="QK102" s="142"/>
      <c r="QL102" s="142"/>
      <c r="QM102" s="142"/>
      <c r="QN102" s="142"/>
      <c r="QO102" s="142"/>
      <c r="QP102" s="142"/>
      <c r="QQ102" s="142"/>
      <c r="QR102" s="142"/>
      <c r="QS102" s="142"/>
      <c r="QT102" s="142"/>
      <c r="QU102" s="142"/>
      <c r="QV102" s="142"/>
      <c r="QW102" s="142"/>
      <c r="QX102" s="142"/>
      <c r="QY102" s="142"/>
      <c r="QZ102" s="142"/>
      <c r="RA102" s="142"/>
      <c r="RB102" s="142"/>
      <c r="RC102" s="142"/>
      <c r="RD102" s="142"/>
      <c r="RE102" s="142"/>
      <c r="RF102" s="142"/>
      <c r="RG102" s="142"/>
      <c r="RH102" s="142"/>
      <c r="RI102" s="142"/>
      <c r="RJ102" s="142"/>
      <c r="RK102" s="142"/>
      <c r="RL102" s="142"/>
      <c r="RM102" s="142"/>
      <c r="RN102" s="142"/>
      <c r="RO102" s="142"/>
      <c r="RP102" s="142"/>
      <c r="RQ102" s="142"/>
      <c r="RR102" s="142"/>
      <c r="RS102" s="142"/>
      <c r="RT102" s="142"/>
      <c r="RU102" s="142"/>
      <c r="RV102" s="142"/>
      <c r="RW102" s="142"/>
      <c r="RX102" s="142"/>
      <c r="RY102" s="142"/>
      <c r="RZ102" s="142"/>
      <c r="SA102" s="142"/>
      <c r="SB102" s="142"/>
      <c r="SC102" s="142"/>
      <c r="SD102" s="142"/>
      <c r="SE102" s="142"/>
      <c r="SF102" s="142"/>
      <c r="SG102" s="142"/>
      <c r="SH102" s="142"/>
      <c r="SI102" s="142"/>
      <c r="SJ102" s="142"/>
      <c r="SK102" s="142"/>
      <c r="SL102" s="142"/>
      <c r="SM102" s="142"/>
      <c r="SN102" s="142"/>
      <c r="SO102" s="142"/>
      <c r="SP102" s="142"/>
      <c r="SQ102" s="142"/>
      <c r="SR102" s="142"/>
      <c r="SS102" s="142"/>
      <c r="ST102" s="142"/>
      <c r="SU102" s="142"/>
      <c r="SV102" s="142"/>
      <c r="SW102" s="142"/>
      <c r="SX102" s="142"/>
      <c r="SY102" s="142"/>
      <c r="SZ102" s="142"/>
      <c r="TA102" s="142"/>
      <c r="TB102" s="142"/>
      <c r="TC102" s="142"/>
      <c r="TD102" s="142"/>
      <c r="TE102" s="142"/>
      <c r="TF102" s="142"/>
      <c r="TG102" s="142"/>
      <c r="TH102" s="142"/>
      <c r="TI102" s="142"/>
      <c r="TJ102" s="142"/>
      <c r="TK102" s="142"/>
      <c r="TL102" s="142"/>
      <c r="TM102" s="142"/>
      <c r="TN102" s="142"/>
      <c r="TO102" s="142"/>
      <c r="TP102" s="142"/>
      <c r="TQ102" s="142"/>
      <c r="TR102" s="142"/>
      <c r="TS102" s="142"/>
      <c r="TT102" s="142"/>
      <c r="TU102" s="142"/>
      <c r="TV102" s="142"/>
      <c r="TW102" s="142"/>
      <c r="TX102" s="142"/>
      <c r="TY102" s="142"/>
      <c r="TZ102" s="142"/>
      <c r="UA102" s="142"/>
      <c r="UB102" s="142"/>
      <c r="UC102" s="142"/>
      <c r="UD102" s="142"/>
      <c r="UE102" s="142"/>
      <c r="UF102" s="142"/>
      <c r="UG102" s="142"/>
      <c r="UH102" s="142"/>
      <c r="UI102" s="142"/>
      <c r="UJ102" s="142"/>
      <c r="UK102" s="142"/>
      <c r="UL102" s="142"/>
      <c r="UM102" s="142"/>
      <c r="UN102" s="142"/>
      <c r="UO102" s="142"/>
      <c r="UP102" s="142"/>
      <c r="UQ102" s="142"/>
      <c r="UR102" s="142"/>
      <c r="US102" s="142"/>
      <c r="UT102" s="142"/>
      <c r="UU102" s="142"/>
      <c r="UV102" s="142"/>
      <c r="UW102" s="142"/>
      <c r="UX102" s="142"/>
      <c r="UY102" s="142"/>
      <c r="UZ102" s="142"/>
      <c r="VA102" s="142"/>
      <c r="VB102" s="142"/>
      <c r="VC102" s="142"/>
      <c r="VD102" s="142"/>
      <c r="VE102" s="142"/>
      <c r="VF102" s="142"/>
      <c r="VG102" s="142"/>
      <c r="VH102" s="142"/>
      <c r="VI102" s="142"/>
      <c r="VJ102" s="142"/>
      <c r="VK102" s="142"/>
      <c r="VL102" s="142"/>
      <c r="VM102" s="142"/>
      <c r="VN102" s="142"/>
      <c r="VO102" s="142"/>
      <c r="VP102" s="142"/>
      <c r="VQ102" s="142"/>
      <c r="VR102" s="142"/>
      <c r="VS102" s="142"/>
      <c r="VT102" s="142"/>
      <c r="VU102" s="142"/>
      <c r="VV102" s="142"/>
      <c r="VW102" s="142"/>
      <c r="VX102" s="142"/>
      <c r="VY102" s="142"/>
      <c r="VZ102" s="142"/>
      <c r="WA102" s="142"/>
      <c r="WB102" s="142"/>
      <c r="WC102" s="142"/>
      <c r="WD102" s="142"/>
      <c r="WE102" s="142"/>
      <c r="WF102" s="142"/>
      <c r="WG102" s="142"/>
      <c r="WH102" s="142"/>
      <c r="WI102" s="142"/>
      <c r="WJ102" s="142"/>
      <c r="WK102" s="142"/>
      <c r="WL102" s="142"/>
      <c r="WM102" s="142"/>
      <c r="WN102" s="142"/>
      <c r="WO102" s="142"/>
      <c r="WP102" s="142"/>
      <c r="WQ102" s="142"/>
      <c r="WR102" s="142"/>
      <c r="WS102" s="142"/>
      <c r="WT102" s="142"/>
      <c r="WU102" s="142"/>
      <c r="WV102" s="142"/>
      <c r="WW102" s="142"/>
      <c r="WX102" s="142"/>
      <c r="WY102" s="142"/>
      <c r="WZ102" s="142"/>
      <c r="XA102" s="142"/>
      <c r="XB102" s="142"/>
      <c r="XC102" s="142"/>
      <c r="XD102" s="142"/>
      <c r="XE102" s="142"/>
      <c r="XF102" s="142"/>
      <c r="XG102" s="142"/>
      <c r="XH102" s="142"/>
      <c r="XI102" s="142"/>
      <c r="XJ102" s="142"/>
      <c r="XK102" s="142"/>
      <c r="XL102" s="142"/>
      <c r="XM102" s="142"/>
      <c r="XN102" s="142"/>
      <c r="XO102" s="142"/>
      <c r="XP102" s="142"/>
      <c r="XQ102" s="142"/>
      <c r="XR102" s="142"/>
      <c r="XS102" s="142"/>
      <c r="XT102" s="142"/>
      <c r="XU102" s="142"/>
      <c r="XV102" s="142"/>
      <c r="XW102" s="142"/>
      <c r="XX102" s="142"/>
      <c r="XY102" s="142"/>
      <c r="XZ102" s="142"/>
      <c r="YA102" s="142"/>
      <c r="YB102" s="142"/>
      <c r="YC102" s="142"/>
      <c r="YD102" s="142"/>
      <c r="YE102" s="142"/>
      <c r="YF102" s="142"/>
      <c r="YG102" s="142"/>
      <c r="YH102" s="142"/>
      <c r="YI102" s="142"/>
      <c r="YJ102" s="142"/>
      <c r="YK102" s="142"/>
      <c r="YL102" s="142"/>
      <c r="YM102" s="142"/>
      <c r="YN102" s="142"/>
      <c r="YO102" s="142"/>
      <c r="YP102" s="142"/>
      <c r="YQ102" s="142"/>
      <c r="YR102" s="142"/>
      <c r="YS102" s="142"/>
      <c r="YT102" s="142"/>
      <c r="YU102" s="142"/>
      <c r="YV102" s="142"/>
      <c r="YW102" s="142"/>
      <c r="YX102" s="142"/>
      <c r="YY102" s="142"/>
      <c r="YZ102" s="142"/>
      <c r="ZA102" s="142"/>
      <c r="ZB102" s="142"/>
      <c r="ZC102" s="142"/>
      <c r="ZD102" s="142"/>
      <c r="ZE102" s="142"/>
      <c r="ZF102" s="142"/>
      <c r="ZG102" s="142"/>
      <c r="ZH102" s="142"/>
      <c r="ZI102" s="142"/>
      <c r="ZJ102" s="142"/>
      <c r="ZK102" s="142"/>
      <c r="ZL102" s="142"/>
      <c r="ZM102" s="142"/>
      <c r="ZN102" s="142"/>
      <c r="ZO102" s="142"/>
      <c r="ZP102" s="142"/>
      <c r="ZQ102" s="142"/>
      <c r="ZR102" s="142"/>
      <c r="ZS102" s="142"/>
      <c r="ZT102" s="142"/>
      <c r="ZU102" s="142"/>
      <c r="ZV102" s="142"/>
      <c r="ZW102" s="142"/>
      <c r="ZX102" s="142"/>
      <c r="ZY102" s="142"/>
      <c r="ZZ102" s="142"/>
      <c r="AAA102" s="142"/>
      <c r="AAB102" s="142"/>
      <c r="AAC102" s="142"/>
      <c r="AAD102" s="142"/>
      <c r="AAE102" s="142"/>
      <c r="AAF102" s="142"/>
      <c r="AAG102" s="142"/>
      <c r="AAH102" s="142"/>
      <c r="AAI102" s="142"/>
      <c r="AAJ102" s="142"/>
      <c r="AAK102" s="142"/>
      <c r="AAL102" s="142"/>
      <c r="AAM102" s="142"/>
      <c r="AAN102" s="142"/>
      <c r="AAO102" s="142"/>
      <c r="AAP102" s="142"/>
      <c r="AAQ102" s="142"/>
      <c r="AAR102" s="142"/>
      <c r="AAS102" s="142"/>
      <c r="AAT102" s="142"/>
      <c r="AAU102" s="142"/>
      <c r="AAV102" s="142"/>
      <c r="AAW102" s="142"/>
      <c r="AAX102" s="142"/>
      <c r="AAY102" s="142"/>
      <c r="AAZ102" s="142"/>
      <c r="ABA102" s="142"/>
      <c r="ABB102" s="142"/>
      <c r="ABC102" s="142"/>
      <c r="ABD102" s="142"/>
      <c r="ABE102" s="142"/>
      <c r="ABF102" s="142"/>
      <c r="ABG102" s="142"/>
      <c r="ABH102" s="142"/>
      <c r="ABI102" s="142"/>
      <c r="ABJ102" s="142"/>
      <c r="ABK102" s="142"/>
      <c r="ABL102" s="142"/>
      <c r="ABM102" s="142"/>
      <c r="ABN102" s="142"/>
      <c r="ABO102" s="142"/>
      <c r="ABP102" s="142"/>
      <c r="ABQ102" s="142"/>
      <c r="ABR102" s="142"/>
      <c r="ABS102" s="142"/>
      <c r="ABT102" s="142"/>
      <c r="ABU102" s="142"/>
      <c r="ABV102" s="142"/>
      <c r="ABW102" s="142"/>
      <c r="ABX102" s="142"/>
      <c r="ABY102" s="142"/>
      <c r="ABZ102" s="142"/>
      <c r="ACA102" s="142"/>
      <c r="ACB102" s="142"/>
      <c r="ACC102" s="142"/>
      <c r="ACD102" s="142"/>
      <c r="ACE102" s="142"/>
      <c r="ACF102" s="142"/>
      <c r="ACG102" s="142"/>
      <c r="ACH102" s="142"/>
      <c r="ACI102" s="142"/>
      <c r="ACJ102" s="142"/>
      <c r="ACK102" s="142"/>
      <c r="ACL102" s="142"/>
      <c r="ACM102" s="142"/>
      <c r="ACN102" s="142"/>
      <c r="ACO102" s="142"/>
      <c r="ACP102" s="142"/>
      <c r="ACQ102" s="142"/>
      <c r="ACR102" s="142"/>
      <c r="ACS102" s="142"/>
      <c r="ACT102" s="142"/>
      <c r="ACU102" s="142"/>
      <c r="ACV102" s="142"/>
      <c r="ACW102" s="142"/>
      <c r="ACX102" s="142"/>
      <c r="ACY102" s="142"/>
      <c r="ACZ102" s="142"/>
      <c r="ADA102" s="142"/>
      <c r="ADB102" s="142"/>
      <c r="ADC102" s="142"/>
      <c r="ADD102" s="142"/>
      <c r="ADE102" s="142"/>
      <c r="ADF102" s="142"/>
      <c r="ADG102" s="142"/>
      <c r="ADH102" s="142"/>
      <c r="ADI102" s="142"/>
      <c r="ADJ102" s="142"/>
      <c r="ADK102" s="142"/>
      <c r="ADL102" s="142"/>
      <c r="ADM102" s="142"/>
      <c r="ADN102" s="142"/>
      <c r="ADO102" s="142"/>
      <c r="ADP102" s="142"/>
      <c r="ADQ102" s="142"/>
      <c r="ADR102" s="142"/>
      <c r="ADS102" s="142"/>
      <c r="ADT102" s="142"/>
      <c r="ADU102" s="142"/>
      <c r="ADV102" s="142"/>
      <c r="ADW102" s="142"/>
      <c r="ADX102" s="142"/>
      <c r="ADY102" s="142"/>
      <c r="ADZ102" s="142"/>
      <c r="AEA102" s="142"/>
      <c r="AEB102" s="142"/>
      <c r="AEC102" s="142"/>
      <c r="AED102" s="142"/>
      <c r="AEE102" s="142"/>
      <c r="AEF102" s="142"/>
      <c r="AEG102" s="142"/>
      <c r="AEH102" s="142"/>
      <c r="AEI102" s="142"/>
      <c r="AEJ102" s="142"/>
      <c r="AEK102" s="142"/>
      <c r="AEL102" s="142"/>
      <c r="AEM102" s="142"/>
      <c r="AEN102" s="142"/>
      <c r="AEO102" s="142"/>
      <c r="AEP102" s="142"/>
      <c r="AEQ102" s="142"/>
      <c r="AER102" s="142"/>
      <c r="AES102" s="142"/>
      <c r="AET102" s="142"/>
      <c r="AEU102" s="142"/>
      <c r="AEV102" s="142"/>
      <c r="AEW102" s="142"/>
      <c r="AEX102" s="142"/>
      <c r="AEY102" s="142"/>
      <c r="AEZ102" s="142"/>
      <c r="AFA102" s="142"/>
      <c r="AFB102" s="142"/>
      <c r="AFC102" s="142"/>
      <c r="AFD102" s="142"/>
      <c r="AFE102" s="142"/>
      <c r="AFF102" s="142"/>
      <c r="AFG102" s="142"/>
      <c r="AFH102" s="142"/>
      <c r="AFI102" s="142"/>
      <c r="AFJ102" s="142"/>
      <c r="AFK102" s="142"/>
      <c r="AFL102" s="142"/>
      <c r="AFM102" s="142"/>
      <c r="AFN102" s="142"/>
      <c r="AFO102" s="142"/>
      <c r="AFP102" s="142"/>
      <c r="AFQ102" s="142"/>
      <c r="AFR102" s="142"/>
      <c r="AFS102" s="142"/>
      <c r="AFT102" s="142"/>
      <c r="AFU102" s="142"/>
      <c r="AFV102" s="142"/>
      <c r="AFW102" s="142"/>
      <c r="AFX102" s="142"/>
      <c r="AFY102" s="142"/>
      <c r="AFZ102" s="142"/>
      <c r="AGA102" s="142"/>
      <c r="AGB102" s="142"/>
      <c r="AGC102" s="142"/>
      <c r="AGD102" s="142"/>
      <c r="AGE102" s="142"/>
      <c r="AGF102" s="142"/>
      <c r="AGG102" s="142"/>
      <c r="AGH102" s="142"/>
      <c r="AGI102" s="142"/>
      <c r="AGJ102" s="142"/>
      <c r="AGK102" s="142"/>
      <c r="AGL102" s="142"/>
      <c r="AGM102" s="142"/>
      <c r="AGN102" s="142"/>
      <c r="AGO102" s="142"/>
      <c r="AGP102" s="142"/>
      <c r="AGQ102" s="142"/>
      <c r="AGR102" s="142"/>
      <c r="AGS102" s="142"/>
      <c r="AGT102" s="142"/>
      <c r="AGU102" s="142"/>
      <c r="AGV102" s="142"/>
      <c r="AGW102" s="142"/>
      <c r="AGX102" s="142"/>
      <c r="AGY102" s="142"/>
      <c r="AGZ102" s="142"/>
      <c r="AHA102" s="142"/>
      <c r="AHB102" s="142"/>
      <c r="AHC102" s="142"/>
      <c r="AHD102" s="142"/>
      <c r="AHE102" s="142"/>
      <c r="AHF102" s="142"/>
      <c r="AHG102" s="142"/>
      <c r="AHH102" s="142"/>
      <c r="AHI102" s="142"/>
      <c r="AHJ102" s="142"/>
      <c r="AHK102" s="142"/>
      <c r="AHL102" s="142"/>
      <c r="AHM102" s="142"/>
      <c r="AHN102" s="142"/>
      <c r="AHO102" s="142"/>
      <c r="AHP102" s="142"/>
      <c r="AHQ102" s="142"/>
      <c r="AHR102" s="142"/>
      <c r="AHS102" s="142"/>
      <c r="AHT102" s="142"/>
      <c r="AHU102" s="142"/>
      <c r="AHV102" s="142"/>
      <c r="AHW102" s="142"/>
      <c r="AHX102" s="142"/>
      <c r="AHY102" s="142"/>
      <c r="AHZ102" s="142"/>
      <c r="AIA102" s="142"/>
      <c r="AIB102" s="142"/>
      <c r="AIC102" s="142"/>
      <c r="AID102" s="142"/>
      <c r="AIE102" s="142"/>
      <c r="AIF102" s="142"/>
      <c r="AIG102" s="142"/>
      <c r="AIH102" s="142"/>
      <c r="AII102" s="142"/>
      <c r="AIJ102" s="142"/>
      <c r="AIK102" s="142"/>
      <c r="AIL102" s="142"/>
      <c r="AIM102" s="142"/>
      <c r="AIN102" s="142"/>
      <c r="AIO102" s="142"/>
      <c r="AIP102" s="142"/>
      <c r="AIQ102" s="142"/>
      <c r="AIR102" s="142"/>
      <c r="AIS102" s="142"/>
      <c r="AIT102" s="142"/>
      <c r="AIU102" s="142"/>
      <c r="AIV102" s="142"/>
      <c r="AIW102" s="142"/>
      <c r="AIX102" s="142"/>
      <c r="AIY102" s="142"/>
      <c r="AIZ102" s="142"/>
      <c r="AJA102" s="142"/>
      <c r="AJB102" s="142"/>
      <c r="AJC102" s="142"/>
      <c r="AJD102" s="142"/>
      <c r="AJE102" s="142"/>
      <c r="AJF102" s="142"/>
      <c r="AJG102" s="142"/>
      <c r="AJH102" s="142"/>
      <c r="AJI102" s="142"/>
      <c r="AJJ102" s="142"/>
      <c r="AJK102" s="142"/>
      <c r="AJL102" s="142"/>
      <c r="AJM102" s="142"/>
      <c r="AJN102" s="142"/>
      <c r="AJO102" s="142"/>
      <c r="AJP102" s="142"/>
      <c r="AJQ102" s="142"/>
      <c r="AJR102" s="142"/>
      <c r="AJS102" s="142"/>
      <c r="AJT102" s="142"/>
      <c r="AJU102" s="142"/>
      <c r="AJV102" s="142"/>
      <c r="AJW102" s="142"/>
      <c r="AJX102" s="142"/>
      <c r="AJY102" s="142"/>
      <c r="AJZ102" s="142"/>
      <c r="AKA102" s="142"/>
      <c r="AKB102" s="142"/>
      <c r="AKC102" s="142"/>
      <c r="AKD102" s="142"/>
      <c r="AKE102" s="142"/>
      <c r="AKF102" s="142"/>
      <c r="AKG102" s="142"/>
      <c r="AKH102" s="142"/>
      <c r="AKI102" s="142"/>
      <c r="AKJ102" s="142"/>
      <c r="AKK102" s="142"/>
      <c r="AKL102" s="142"/>
      <c r="AKM102" s="142"/>
      <c r="AKN102" s="142"/>
      <c r="AKO102" s="142"/>
      <c r="AKP102" s="142"/>
      <c r="AKQ102" s="142"/>
      <c r="AKR102" s="142"/>
      <c r="AKS102" s="142"/>
      <c r="AKT102" s="142"/>
      <c r="AKU102" s="142"/>
      <c r="AKV102" s="142"/>
      <c r="AKW102" s="142"/>
      <c r="AKX102" s="142"/>
      <c r="AKY102" s="142"/>
      <c r="AKZ102" s="142"/>
      <c r="ALA102" s="142"/>
      <c r="ALB102" s="142"/>
      <c r="ALC102" s="142"/>
      <c r="ALD102" s="142"/>
      <c r="ALE102" s="142"/>
      <c r="ALF102" s="142"/>
      <c r="ALG102" s="142"/>
      <c r="ALH102" s="142"/>
      <c r="ALI102" s="142"/>
      <c r="ALJ102" s="142"/>
      <c r="ALK102" s="142"/>
      <c r="ALL102" s="142"/>
      <c r="ALM102" s="142"/>
      <c r="ALN102" s="142"/>
      <c r="ALO102" s="142"/>
      <c r="ALP102" s="142"/>
      <c r="ALQ102" s="142"/>
      <c r="ALR102" s="142"/>
      <c r="ALS102" s="142"/>
      <c r="ALT102" s="142"/>
      <c r="ALU102" s="142"/>
      <c r="ALV102" s="142"/>
      <c r="ALW102" s="142"/>
      <c r="ALX102" s="142"/>
      <c r="ALY102" s="142"/>
      <c r="ALZ102" s="142"/>
      <c r="AMA102" s="142"/>
      <c r="AMB102" s="142"/>
      <c r="AMC102" s="142"/>
      <c r="AMD102" s="142"/>
      <c r="AME102" s="142"/>
      <c r="AMF102" s="142"/>
      <c r="AMG102" s="142"/>
      <c r="AMH102" s="142"/>
      <c r="AMI102" s="142"/>
      <c r="AMJ102" s="142"/>
      <c r="AMK102" s="142"/>
      <c r="AML102" s="142"/>
      <c r="AMM102" s="142"/>
      <c r="AMN102" s="142"/>
      <c r="AMO102" s="142"/>
      <c r="AMP102" s="142"/>
      <c r="AMQ102" s="142"/>
      <c r="AMR102" s="142"/>
      <c r="AMS102" s="142"/>
      <c r="AMT102" s="142"/>
      <c r="AMU102" s="142"/>
      <c r="AMV102" s="142"/>
      <c r="AMW102" s="142"/>
      <c r="AMX102" s="142"/>
      <c r="AMY102" s="142"/>
      <c r="AMZ102" s="142"/>
      <c r="ANA102" s="142"/>
      <c r="ANB102" s="142"/>
      <c r="ANC102" s="142"/>
      <c r="AND102" s="142"/>
      <c r="ANE102" s="142"/>
      <c r="ANF102" s="142"/>
      <c r="ANG102" s="142"/>
      <c r="ANH102" s="142"/>
      <c r="ANI102" s="142"/>
      <c r="ANJ102" s="142"/>
      <c r="ANK102" s="142"/>
      <c r="ANL102" s="142"/>
      <c r="ANM102" s="142"/>
      <c r="ANN102" s="142"/>
      <c r="ANO102" s="142"/>
      <c r="ANP102" s="142"/>
      <c r="ANQ102" s="142"/>
      <c r="ANR102" s="142"/>
      <c r="ANS102" s="142"/>
      <c r="ANT102" s="142"/>
      <c r="ANU102" s="142"/>
      <c r="ANV102" s="142"/>
      <c r="ANW102" s="142"/>
      <c r="ANX102" s="142"/>
      <c r="ANY102" s="142"/>
      <c r="ANZ102" s="142"/>
      <c r="AOA102" s="142"/>
      <c r="AOB102" s="142"/>
      <c r="AOC102" s="142"/>
      <c r="AOD102" s="142"/>
      <c r="AOE102" s="142"/>
      <c r="AOF102" s="142"/>
      <c r="AOG102" s="142"/>
      <c r="AOH102" s="142"/>
      <c r="AOI102" s="142"/>
      <c r="AOJ102" s="142"/>
      <c r="AOK102" s="142"/>
      <c r="AOL102" s="142"/>
      <c r="AOM102" s="142"/>
      <c r="AON102" s="142"/>
      <c r="AOO102" s="142"/>
      <c r="AOP102" s="142"/>
      <c r="AOQ102" s="142"/>
      <c r="AOR102" s="142"/>
      <c r="AOS102" s="142"/>
      <c r="AOT102" s="142"/>
      <c r="AOU102" s="142"/>
      <c r="AOV102" s="142"/>
      <c r="AOW102" s="142"/>
      <c r="AOX102" s="142"/>
      <c r="AOY102" s="142"/>
      <c r="AOZ102" s="142"/>
      <c r="APA102" s="142"/>
      <c r="APB102" s="142"/>
      <c r="APC102" s="142"/>
      <c r="APD102" s="142"/>
      <c r="APE102" s="142"/>
      <c r="APF102" s="142"/>
      <c r="APG102" s="142"/>
      <c r="APH102" s="142"/>
      <c r="API102" s="142"/>
      <c r="APJ102" s="142"/>
      <c r="APK102" s="142"/>
      <c r="APL102" s="142"/>
      <c r="APM102" s="142"/>
      <c r="APN102" s="142"/>
      <c r="APO102" s="142"/>
      <c r="APP102" s="142"/>
      <c r="APQ102" s="142"/>
      <c r="APR102" s="142"/>
      <c r="APS102" s="142"/>
      <c r="APT102" s="142"/>
      <c r="APU102" s="142"/>
      <c r="APV102" s="142"/>
      <c r="APW102" s="142"/>
      <c r="APX102" s="142"/>
      <c r="APY102" s="142"/>
      <c r="APZ102" s="142"/>
      <c r="AQA102" s="142"/>
      <c r="AQB102" s="142"/>
      <c r="AQC102" s="142"/>
      <c r="AQD102" s="142"/>
      <c r="AQE102" s="142"/>
      <c r="AQF102" s="142"/>
      <c r="AQG102" s="142"/>
      <c r="AQH102" s="142"/>
      <c r="AQI102" s="142"/>
      <c r="AQJ102" s="142"/>
      <c r="AQK102" s="142"/>
      <c r="AQL102" s="142"/>
      <c r="AQM102" s="142"/>
      <c r="AQN102" s="142"/>
      <c r="AQO102" s="142"/>
      <c r="AQP102" s="142"/>
      <c r="AQQ102" s="142"/>
      <c r="AQR102" s="142"/>
      <c r="AQS102" s="142"/>
      <c r="AQT102" s="142"/>
      <c r="AQU102" s="142"/>
      <c r="AQV102" s="142"/>
      <c r="AQW102" s="142"/>
      <c r="AQX102" s="142"/>
      <c r="AQY102" s="142"/>
      <c r="AQZ102" s="142"/>
      <c r="ARA102" s="142"/>
      <c r="ARB102" s="142"/>
      <c r="ARC102" s="142"/>
      <c r="ARD102" s="142"/>
      <c r="ARE102" s="142"/>
      <c r="ARF102" s="142"/>
      <c r="ARG102" s="142"/>
      <c r="ARH102" s="142"/>
      <c r="ARI102" s="142"/>
      <c r="ARJ102" s="142"/>
      <c r="ARK102" s="142"/>
      <c r="ARL102" s="142"/>
      <c r="ARM102" s="142"/>
      <c r="ARN102" s="142"/>
      <c r="ARO102" s="142"/>
      <c r="ARP102" s="142"/>
      <c r="ARQ102" s="142"/>
      <c r="ARR102" s="142"/>
      <c r="ARS102" s="142"/>
      <c r="ART102" s="142"/>
      <c r="ARU102" s="142"/>
      <c r="ARV102" s="142"/>
      <c r="ARW102" s="142"/>
      <c r="ARX102" s="142"/>
      <c r="ARY102" s="142"/>
      <c r="ARZ102" s="142"/>
      <c r="ASA102" s="142"/>
      <c r="ASB102" s="142"/>
      <c r="ASC102" s="142"/>
      <c r="ASD102" s="142"/>
      <c r="ASE102" s="142"/>
      <c r="ASF102" s="142"/>
      <c r="ASG102" s="142"/>
      <c r="ASH102" s="142"/>
      <c r="ASI102" s="142"/>
      <c r="ASJ102" s="142"/>
      <c r="ASK102" s="142"/>
      <c r="ASL102" s="142"/>
      <c r="ASM102" s="142"/>
      <c r="ASN102" s="142"/>
      <c r="ASO102" s="142"/>
      <c r="ASP102" s="142"/>
      <c r="ASQ102" s="142"/>
      <c r="ASR102" s="142"/>
      <c r="ASS102" s="142"/>
      <c r="AST102" s="142"/>
      <c r="ASU102" s="142"/>
      <c r="ASV102" s="142"/>
      <c r="ASW102" s="142"/>
      <c r="ASX102" s="142"/>
      <c r="ASY102" s="142"/>
      <c r="ASZ102" s="142"/>
      <c r="ATA102" s="142"/>
      <c r="ATB102" s="142"/>
      <c r="ATC102" s="142"/>
      <c r="ATD102" s="142"/>
      <c r="ATE102" s="142"/>
      <c r="ATF102" s="142"/>
      <c r="ATG102" s="142"/>
      <c r="ATH102" s="142"/>
      <c r="ATI102" s="142"/>
      <c r="ATJ102" s="142"/>
      <c r="ATK102" s="142"/>
      <c r="ATL102" s="142"/>
      <c r="ATM102" s="142"/>
      <c r="ATN102" s="142"/>
      <c r="ATO102" s="142"/>
      <c r="ATP102" s="142"/>
      <c r="ATQ102" s="142"/>
      <c r="ATR102" s="142"/>
      <c r="ATS102" s="142"/>
      <c r="ATT102" s="142"/>
      <c r="ATU102" s="142"/>
      <c r="ATV102" s="142"/>
      <c r="ATW102" s="142"/>
      <c r="ATX102" s="142"/>
      <c r="ATY102" s="142"/>
      <c r="ATZ102" s="142"/>
      <c r="AUA102" s="142"/>
      <c r="AUB102" s="142"/>
      <c r="AUC102" s="142"/>
      <c r="AUD102" s="142"/>
      <c r="AUE102" s="142"/>
      <c r="AUF102" s="142"/>
      <c r="AUG102" s="142"/>
      <c r="AUH102" s="142"/>
      <c r="AUI102" s="142"/>
      <c r="AUJ102" s="142"/>
      <c r="AUK102" s="142"/>
      <c r="AUL102" s="142"/>
      <c r="AUM102" s="142"/>
      <c r="AUN102" s="142"/>
      <c r="AUO102" s="142"/>
      <c r="AUP102" s="142"/>
      <c r="AUQ102" s="142"/>
      <c r="AUR102" s="142"/>
      <c r="AUS102" s="142"/>
      <c r="AUT102" s="142"/>
      <c r="AUU102" s="142"/>
      <c r="AUV102" s="142"/>
      <c r="AUW102" s="142"/>
      <c r="AUX102" s="142"/>
      <c r="AUY102" s="142"/>
      <c r="AUZ102" s="142"/>
      <c r="AVA102" s="142"/>
      <c r="AVB102" s="142"/>
      <c r="AVC102" s="142"/>
      <c r="AVD102" s="142"/>
      <c r="AVE102" s="142"/>
      <c r="AVF102" s="142"/>
      <c r="AVG102" s="142"/>
      <c r="AVH102" s="142"/>
      <c r="AVI102" s="142"/>
      <c r="AVJ102" s="142"/>
      <c r="AVK102" s="142"/>
      <c r="AVL102" s="142"/>
      <c r="AVM102" s="142"/>
      <c r="AVN102" s="142"/>
      <c r="AVO102" s="142"/>
      <c r="AVP102" s="142"/>
      <c r="AVQ102" s="142"/>
      <c r="AVR102" s="142"/>
      <c r="AVS102" s="142"/>
      <c r="AVT102" s="142"/>
      <c r="AVU102" s="142"/>
      <c r="AVV102" s="142"/>
      <c r="AVW102" s="142"/>
      <c r="AVX102" s="142"/>
      <c r="AVY102" s="142"/>
      <c r="AVZ102" s="142"/>
      <c r="AWA102" s="142"/>
      <c r="AWB102" s="142"/>
      <c r="AWC102" s="142"/>
      <c r="AWD102" s="142"/>
      <c r="AWE102" s="142"/>
      <c r="AWF102" s="142"/>
      <c r="AWG102" s="142"/>
      <c r="AWH102" s="142"/>
      <c r="AWI102" s="142"/>
      <c r="AWJ102" s="142"/>
      <c r="AWK102" s="142"/>
      <c r="AWL102" s="142"/>
      <c r="AWM102" s="142"/>
      <c r="AWN102" s="142"/>
      <c r="AWO102" s="142"/>
      <c r="AWP102" s="142"/>
      <c r="AWQ102" s="142"/>
      <c r="AWR102" s="142"/>
      <c r="AWS102" s="142"/>
      <c r="AWT102" s="142"/>
      <c r="AWU102" s="142"/>
      <c r="AWV102" s="142"/>
      <c r="AWW102" s="142"/>
      <c r="AWX102" s="142"/>
      <c r="AWY102" s="142"/>
      <c r="AWZ102" s="142"/>
      <c r="AXA102" s="142"/>
      <c r="AXB102" s="142"/>
      <c r="AXC102" s="142"/>
      <c r="AXD102" s="142"/>
      <c r="AXE102" s="142"/>
      <c r="AXF102" s="142"/>
      <c r="AXG102" s="142"/>
      <c r="AXH102" s="142"/>
      <c r="AXI102" s="142"/>
      <c r="AXJ102" s="142"/>
      <c r="AXK102" s="142"/>
      <c r="AXL102" s="142"/>
      <c r="AXM102" s="142"/>
      <c r="AXN102" s="142"/>
      <c r="AXO102" s="142"/>
      <c r="AXP102" s="142"/>
      <c r="AXQ102" s="142"/>
      <c r="AXR102" s="142"/>
      <c r="AXS102" s="142"/>
      <c r="AXT102" s="142"/>
      <c r="AXU102" s="142"/>
      <c r="AXV102" s="142"/>
      <c r="AXW102" s="142"/>
      <c r="AXX102" s="142"/>
      <c r="AXY102" s="142"/>
      <c r="AXZ102" s="142"/>
      <c r="AYA102" s="142"/>
      <c r="AYB102" s="142"/>
      <c r="AYC102" s="142"/>
      <c r="AYD102" s="142"/>
      <c r="AYE102" s="142"/>
      <c r="AYF102" s="142"/>
      <c r="AYG102" s="142"/>
      <c r="AYH102" s="142"/>
      <c r="AYI102" s="142"/>
      <c r="AYJ102" s="142"/>
      <c r="AYK102" s="142"/>
      <c r="AYL102" s="142"/>
      <c r="AYM102" s="142"/>
      <c r="AYN102" s="142"/>
      <c r="AYO102" s="142"/>
      <c r="AYP102" s="142"/>
      <c r="AYQ102" s="142"/>
      <c r="AYR102" s="142"/>
      <c r="AYS102" s="142"/>
      <c r="AYT102" s="142"/>
      <c r="AYU102" s="142"/>
      <c r="AYV102" s="142"/>
      <c r="AYW102" s="142"/>
      <c r="AYX102" s="142"/>
      <c r="AYY102" s="142"/>
      <c r="AYZ102" s="142"/>
      <c r="AZA102" s="142"/>
      <c r="AZB102" s="142"/>
      <c r="AZC102" s="142"/>
      <c r="AZD102" s="142"/>
      <c r="AZE102" s="142"/>
      <c r="AZF102" s="142"/>
      <c r="AZG102" s="142"/>
      <c r="AZH102" s="142"/>
      <c r="AZI102" s="142"/>
      <c r="AZJ102" s="142"/>
      <c r="AZK102" s="142"/>
      <c r="AZL102" s="142"/>
      <c r="AZM102" s="142"/>
      <c r="AZN102" s="142"/>
      <c r="AZO102" s="142"/>
      <c r="AZP102" s="142"/>
      <c r="AZQ102" s="142"/>
      <c r="AZR102" s="142"/>
      <c r="AZS102" s="142"/>
      <c r="AZT102" s="142"/>
      <c r="AZU102" s="142"/>
      <c r="AZV102" s="142"/>
      <c r="AZW102" s="142"/>
      <c r="AZX102" s="142"/>
      <c r="AZY102" s="142"/>
      <c r="AZZ102" s="142"/>
      <c r="BAA102" s="142"/>
      <c r="BAB102" s="142"/>
      <c r="BAC102" s="142"/>
      <c r="BAD102" s="142"/>
      <c r="BAE102" s="142"/>
      <c r="BAF102" s="142"/>
      <c r="BAG102" s="142"/>
      <c r="BAH102" s="142"/>
      <c r="BAI102" s="142"/>
      <c r="BAJ102" s="142"/>
      <c r="BAK102" s="142"/>
      <c r="BAL102" s="142"/>
      <c r="BAM102" s="142"/>
      <c r="BAN102" s="142"/>
      <c r="BAO102" s="142"/>
      <c r="BAP102" s="142"/>
      <c r="BAQ102" s="142"/>
      <c r="BAR102" s="142"/>
      <c r="BAS102" s="142"/>
      <c r="BAT102" s="142"/>
      <c r="BAU102" s="142"/>
      <c r="BAV102" s="142"/>
      <c r="BAW102" s="142"/>
      <c r="BAX102" s="142"/>
      <c r="BAY102" s="142"/>
      <c r="BAZ102" s="142"/>
      <c r="BBA102" s="142"/>
      <c r="BBB102" s="142"/>
      <c r="BBC102" s="142"/>
      <c r="BBD102" s="142"/>
      <c r="BBE102" s="142"/>
      <c r="BBF102" s="142"/>
      <c r="BBG102" s="142"/>
      <c r="BBH102" s="142"/>
      <c r="BBI102" s="142"/>
      <c r="BBJ102" s="142"/>
      <c r="BBK102" s="142"/>
      <c r="BBL102" s="142"/>
      <c r="BBM102" s="142"/>
      <c r="BBN102" s="142"/>
      <c r="BBO102" s="142"/>
      <c r="BBP102" s="142"/>
      <c r="BBQ102" s="142"/>
      <c r="BBR102" s="142"/>
      <c r="BBS102" s="142"/>
      <c r="BBT102" s="142"/>
      <c r="BBU102" s="142"/>
      <c r="BBV102" s="142"/>
      <c r="BBW102" s="142"/>
      <c r="BBX102" s="142"/>
      <c r="BBY102" s="142"/>
      <c r="BBZ102" s="142"/>
      <c r="BCA102" s="142"/>
      <c r="BCB102" s="142"/>
      <c r="BCC102" s="142"/>
      <c r="BCD102" s="142"/>
      <c r="BCE102" s="142"/>
      <c r="BCF102" s="142"/>
      <c r="BCG102" s="142"/>
      <c r="BCH102" s="142"/>
      <c r="BCI102" s="142"/>
      <c r="BCJ102" s="142"/>
      <c r="BCK102" s="142"/>
      <c r="BCL102" s="142"/>
      <c r="BCM102" s="142"/>
      <c r="BCN102" s="142"/>
      <c r="BCO102" s="142"/>
      <c r="BCP102" s="142"/>
      <c r="BCQ102" s="142"/>
      <c r="BCR102" s="142"/>
      <c r="BCS102" s="142"/>
      <c r="BCT102" s="142"/>
      <c r="BCU102" s="142"/>
      <c r="BCV102" s="142"/>
      <c r="BCW102" s="142"/>
      <c r="BCX102" s="142"/>
      <c r="BCY102" s="142"/>
      <c r="BCZ102" s="142"/>
      <c r="BDA102" s="142"/>
      <c r="BDB102" s="142"/>
      <c r="BDC102" s="142"/>
      <c r="BDD102" s="142"/>
      <c r="BDE102" s="142"/>
      <c r="BDF102" s="142"/>
      <c r="BDG102" s="142"/>
      <c r="BDH102" s="142"/>
      <c r="BDI102" s="142"/>
      <c r="BDJ102" s="142"/>
      <c r="BDK102" s="142"/>
      <c r="BDL102" s="142"/>
      <c r="BDM102" s="142"/>
      <c r="BDN102" s="142"/>
      <c r="BDO102" s="142"/>
      <c r="BDP102" s="142"/>
      <c r="BDQ102" s="142"/>
      <c r="BDR102" s="142"/>
      <c r="BDS102" s="142"/>
      <c r="BDT102" s="142"/>
      <c r="BDU102" s="142"/>
      <c r="BDV102" s="142"/>
      <c r="BDW102" s="142"/>
      <c r="BDX102" s="142"/>
      <c r="BDY102" s="142"/>
      <c r="BDZ102" s="142"/>
      <c r="BEA102" s="142"/>
      <c r="BEB102" s="142"/>
      <c r="BEC102" s="142"/>
      <c r="BED102" s="142"/>
      <c r="BEE102" s="142"/>
      <c r="BEF102" s="142"/>
      <c r="BEG102" s="142"/>
      <c r="BEH102" s="142"/>
      <c r="BEI102" s="142"/>
      <c r="BEJ102" s="142"/>
      <c r="BEK102" s="142"/>
      <c r="BEL102" s="142"/>
      <c r="BEM102" s="142"/>
      <c r="BEN102" s="142"/>
      <c r="BEO102" s="142"/>
      <c r="BEP102" s="142"/>
      <c r="BEQ102" s="142"/>
      <c r="BER102" s="142"/>
      <c r="BES102" s="142"/>
      <c r="BET102" s="142"/>
      <c r="BEU102" s="142"/>
      <c r="BEV102" s="142"/>
      <c r="BEW102" s="142"/>
      <c r="BEX102" s="142"/>
      <c r="BEY102" s="142"/>
      <c r="BEZ102" s="142"/>
      <c r="BFA102" s="142"/>
      <c r="BFB102" s="142"/>
      <c r="BFC102" s="142"/>
      <c r="BFD102" s="142"/>
      <c r="BFE102" s="142"/>
      <c r="BFF102" s="142"/>
      <c r="BFG102" s="142"/>
      <c r="BFH102" s="142"/>
      <c r="BFI102" s="142"/>
      <c r="BFJ102" s="142"/>
      <c r="BFK102" s="142"/>
      <c r="BFL102" s="142"/>
      <c r="BFM102" s="142"/>
      <c r="BFN102" s="142"/>
      <c r="BFO102" s="142"/>
      <c r="BFP102" s="142"/>
      <c r="BFQ102" s="142"/>
      <c r="BFR102" s="142"/>
      <c r="BFS102" s="142"/>
      <c r="BFT102" s="142"/>
      <c r="BFU102" s="142"/>
      <c r="BFV102" s="142"/>
      <c r="BFW102" s="142"/>
      <c r="BFX102" s="142"/>
      <c r="BFY102" s="142"/>
      <c r="BFZ102" s="142"/>
      <c r="BGA102" s="142"/>
      <c r="BGB102" s="142"/>
      <c r="BGC102" s="142"/>
      <c r="BGD102" s="142"/>
      <c r="BGE102" s="142"/>
      <c r="BGF102" s="142"/>
      <c r="BGG102" s="142"/>
      <c r="BGH102" s="142"/>
      <c r="BGI102" s="142"/>
      <c r="BGJ102" s="142"/>
      <c r="BGK102" s="142"/>
      <c r="BGL102" s="142"/>
      <c r="BGM102" s="142"/>
      <c r="BGN102" s="142"/>
      <c r="BGO102" s="142"/>
      <c r="BGP102" s="142"/>
      <c r="BGQ102" s="142"/>
      <c r="BGR102" s="142"/>
      <c r="BGS102" s="142"/>
      <c r="BGT102" s="142"/>
      <c r="BGU102" s="142"/>
      <c r="BGV102" s="142"/>
      <c r="BGW102" s="142"/>
      <c r="BGX102" s="142"/>
      <c r="BGY102" s="142"/>
      <c r="BGZ102" s="142"/>
      <c r="BHA102" s="142"/>
      <c r="BHB102" s="142"/>
      <c r="BHC102" s="142"/>
      <c r="BHD102" s="142"/>
      <c r="BHE102" s="142"/>
      <c r="BHF102" s="142"/>
      <c r="BHG102" s="142"/>
      <c r="BHH102" s="142"/>
      <c r="BHI102" s="142"/>
      <c r="BHJ102" s="142"/>
      <c r="BHK102" s="142"/>
      <c r="BHL102" s="142"/>
      <c r="BHM102" s="142"/>
      <c r="BHN102" s="142"/>
      <c r="BHO102" s="142"/>
      <c r="BHP102" s="142"/>
      <c r="BHQ102" s="142"/>
      <c r="BHR102" s="142"/>
      <c r="BHS102" s="142"/>
      <c r="BHT102" s="142"/>
      <c r="BHU102" s="142"/>
      <c r="BHV102" s="142"/>
      <c r="BHW102" s="142"/>
      <c r="BHX102" s="142"/>
      <c r="BHY102" s="142"/>
      <c r="BHZ102" s="142"/>
      <c r="BIA102" s="142"/>
      <c r="BIB102" s="142"/>
      <c r="BIC102" s="142"/>
      <c r="BID102" s="142"/>
      <c r="BIE102" s="142"/>
      <c r="BIF102" s="142"/>
      <c r="BIG102" s="142"/>
      <c r="BIH102" s="142"/>
      <c r="BII102" s="142"/>
      <c r="BIJ102" s="142"/>
      <c r="BIK102" s="142"/>
      <c r="BIL102" s="142"/>
      <c r="BIM102" s="142"/>
      <c r="BIN102" s="142"/>
      <c r="BIO102" s="142"/>
      <c r="BIP102" s="142"/>
      <c r="BIQ102" s="142"/>
      <c r="BIR102" s="142"/>
      <c r="BIS102" s="142"/>
      <c r="BIT102" s="142"/>
      <c r="BIU102" s="142"/>
      <c r="BIV102" s="142"/>
      <c r="BIW102" s="142"/>
      <c r="BIX102" s="142"/>
      <c r="BIY102" s="142"/>
      <c r="BIZ102" s="142"/>
      <c r="BJA102" s="142"/>
      <c r="BJB102" s="142"/>
      <c r="BJC102" s="142"/>
      <c r="BJD102" s="142"/>
      <c r="BJE102" s="142"/>
      <c r="BJF102" s="142"/>
      <c r="BJG102" s="142"/>
      <c r="BJH102" s="142"/>
      <c r="BJI102" s="142"/>
      <c r="BJJ102" s="142"/>
      <c r="BJK102" s="142"/>
      <c r="BJL102" s="142"/>
      <c r="BJM102" s="142"/>
      <c r="BJN102" s="142"/>
      <c r="BJO102" s="142"/>
      <c r="BJP102" s="142"/>
      <c r="BJQ102" s="142"/>
      <c r="BJR102" s="142"/>
      <c r="BJS102" s="142"/>
      <c r="BJT102" s="142"/>
      <c r="BJU102" s="142"/>
      <c r="BJV102" s="142"/>
      <c r="BJW102" s="142"/>
      <c r="BJX102" s="142"/>
      <c r="BJY102" s="142"/>
      <c r="BJZ102" s="142"/>
      <c r="BKA102" s="142"/>
      <c r="BKB102" s="142"/>
      <c r="BKC102" s="142"/>
      <c r="BKD102" s="142"/>
      <c r="BKE102" s="142"/>
      <c r="BKF102" s="142"/>
      <c r="BKG102" s="142"/>
      <c r="BKH102" s="142"/>
      <c r="BKI102" s="142"/>
      <c r="BKJ102" s="142"/>
      <c r="BKK102" s="142"/>
      <c r="BKL102" s="142"/>
      <c r="BKM102" s="142"/>
      <c r="BKN102" s="142"/>
      <c r="BKO102" s="142"/>
      <c r="BKP102" s="142"/>
      <c r="BKQ102" s="142"/>
      <c r="BKR102" s="142"/>
      <c r="BKS102" s="142"/>
      <c r="BKT102" s="142"/>
      <c r="BKU102" s="142"/>
      <c r="BKV102" s="142"/>
      <c r="BKW102" s="142"/>
      <c r="BKX102" s="142"/>
      <c r="BKY102" s="142"/>
      <c r="BKZ102" s="142"/>
      <c r="BLA102" s="142"/>
      <c r="BLB102" s="142"/>
      <c r="BLC102" s="142"/>
      <c r="BLD102" s="142"/>
      <c r="BLE102" s="142"/>
      <c r="BLF102" s="142"/>
      <c r="BLG102" s="142"/>
      <c r="BLH102" s="142"/>
      <c r="BLI102" s="142"/>
      <c r="BLJ102" s="142"/>
      <c r="BLK102" s="142"/>
      <c r="BLL102" s="142"/>
      <c r="BLM102" s="142"/>
      <c r="BLN102" s="142"/>
      <c r="BLO102" s="142"/>
      <c r="BLP102" s="142"/>
      <c r="BLQ102" s="142"/>
      <c r="BLR102" s="142"/>
      <c r="BLS102" s="142"/>
      <c r="BLT102" s="142"/>
      <c r="BLU102" s="142"/>
      <c r="BLV102" s="142"/>
      <c r="BLW102" s="142"/>
      <c r="BLX102" s="142"/>
      <c r="BLY102" s="142"/>
      <c r="BLZ102" s="142"/>
      <c r="BMA102" s="142"/>
      <c r="BMB102" s="142"/>
      <c r="BMC102" s="142"/>
      <c r="BMD102" s="142"/>
      <c r="BME102" s="142"/>
      <c r="BMF102" s="142"/>
      <c r="BMG102" s="142"/>
      <c r="BMH102" s="142"/>
      <c r="BMI102" s="142"/>
      <c r="BMJ102" s="142"/>
      <c r="BMK102" s="142"/>
      <c r="BML102" s="142"/>
      <c r="BMM102" s="142"/>
      <c r="BMN102" s="142"/>
      <c r="BMO102" s="142"/>
      <c r="BMP102" s="142"/>
      <c r="BMQ102" s="142"/>
      <c r="BMR102" s="142"/>
      <c r="BMS102" s="142"/>
      <c r="BMT102" s="142"/>
      <c r="BMU102" s="142"/>
      <c r="BMV102" s="142"/>
      <c r="BMW102" s="142"/>
      <c r="BMX102" s="142"/>
      <c r="BMY102" s="142"/>
      <c r="BMZ102" s="142"/>
      <c r="BNA102" s="142"/>
      <c r="BNB102" s="142"/>
      <c r="BNC102" s="142"/>
      <c r="BND102" s="142"/>
      <c r="BNE102" s="142"/>
      <c r="BNF102" s="142"/>
      <c r="BNG102" s="142"/>
      <c r="BNH102" s="142"/>
      <c r="BNI102" s="142"/>
      <c r="BNJ102" s="142"/>
      <c r="BNK102" s="142"/>
      <c r="BNL102" s="142"/>
      <c r="BNM102" s="142"/>
      <c r="BNN102" s="142"/>
      <c r="BNO102" s="142"/>
      <c r="BNP102" s="142"/>
      <c r="BNQ102" s="142"/>
      <c r="BNR102" s="142"/>
      <c r="BNS102" s="142"/>
      <c r="BNT102" s="142"/>
      <c r="BNU102" s="142"/>
      <c r="BNV102" s="142"/>
      <c r="BNW102" s="142"/>
      <c r="BNX102" s="142"/>
      <c r="BNY102" s="142"/>
      <c r="BNZ102" s="142"/>
      <c r="BOA102" s="142"/>
      <c r="BOB102" s="142"/>
      <c r="BOC102" s="142"/>
      <c r="BOD102" s="142"/>
      <c r="BOE102" s="142"/>
      <c r="BOF102" s="142"/>
      <c r="BOG102" s="142"/>
      <c r="BOH102" s="142"/>
      <c r="BOI102" s="142"/>
      <c r="BOJ102" s="142"/>
      <c r="BOK102" s="142"/>
      <c r="BOL102" s="142"/>
      <c r="BOM102" s="142"/>
      <c r="BON102" s="142"/>
      <c r="BOO102" s="142"/>
      <c r="BOP102" s="142"/>
      <c r="BOQ102" s="142"/>
      <c r="BOR102" s="142"/>
      <c r="BOS102" s="142"/>
      <c r="BOT102" s="142"/>
      <c r="BOU102" s="142"/>
      <c r="BOV102" s="142"/>
      <c r="BOW102" s="142"/>
      <c r="BOX102" s="142"/>
      <c r="BOY102" s="142"/>
      <c r="BOZ102" s="142"/>
      <c r="BPA102" s="142"/>
      <c r="BPB102" s="142"/>
      <c r="BPC102" s="142"/>
      <c r="BPD102" s="142"/>
      <c r="BPE102" s="142"/>
      <c r="BPF102" s="142"/>
      <c r="BPG102" s="142"/>
      <c r="BPH102" s="142"/>
      <c r="BPI102" s="142"/>
      <c r="BPJ102" s="142"/>
      <c r="BPK102" s="142"/>
      <c r="BPL102" s="142"/>
      <c r="BPM102" s="142"/>
      <c r="BPN102" s="142"/>
      <c r="BPO102" s="142"/>
      <c r="BPP102" s="142"/>
      <c r="BPQ102" s="142"/>
      <c r="BPR102" s="142"/>
      <c r="BPS102" s="142"/>
      <c r="BPT102" s="142"/>
      <c r="BPU102" s="142"/>
      <c r="BPV102" s="142"/>
      <c r="BPW102" s="142"/>
      <c r="BPX102" s="142"/>
      <c r="BPY102" s="142"/>
      <c r="BPZ102" s="142"/>
      <c r="BQA102" s="142"/>
      <c r="BQB102" s="142"/>
      <c r="BQC102" s="142"/>
      <c r="BQD102" s="142"/>
      <c r="BQE102" s="142"/>
      <c r="BQF102" s="142"/>
      <c r="BQG102" s="142"/>
      <c r="BQH102" s="142"/>
      <c r="BQI102" s="142"/>
      <c r="BQJ102" s="142"/>
      <c r="BQK102" s="142"/>
      <c r="BQL102" s="142"/>
      <c r="BQM102" s="142"/>
      <c r="BQN102" s="142"/>
      <c r="BQO102" s="142"/>
      <c r="BQP102" s="142"/>
      <c r="BQQ102" s="142"/>
      <c r="BQR102" s="142"/>
      <c r="BQS102" s="142"/>
      <c r="BQT102" s="142"/>
      <c r="BQU102" s="142"/>
      <c r="BQV102" s="142"/>
      <c r="BQW102" s="142"/>
      <c r="BQX102" s="142"/>
      <c r="BQY102" s="142"/>
      <c r="BQZ102" s="142"/>
      <c r="BRA102" s="142"/>
      <c r="BRB102" s="142"/>
      <c r="BRC102" s="142"/>
      <c r="BRD102" s="142"/>
      <c r="BRE102" s="142"/>
      <c r="BRF102" s="142"/>
      <c r="BRG102" s="142"/>
      <c r="BRH102" s="142"/>
      <c r="BRI102" s="142"/>
      <c r="BRJ102" s="142"/>
      <c r="BRK102" s="142"/>
      <c r="BRL102" s="142"/>
      <c r="BRM102" s="142"/>
      <c r="BRN102" s="142"/>
      <c r="BRO102" s="142"/>
      <c r="BRP102" s="142"/>
      <c r="BRQ102" s="142"/>
      <c r="BRR102" s="142"/>
      <c r="BRS102" s="142"/>
      <c r="BRT102" s="142"/>
      <c r="BRU102" s="142"/>
      <c r="BRV102" s="142"/>
      <c r="BRW102" s="142"/>
      <c r="BRX102" s="142"/>
      <c r="BRY102" s="142"/>
      <c r="BRZ102" s="142"/>
      <c r="BSA102" s="142"/>
      <c r="BSB102" s="142"/>
      <c r="BSC102" s="142"/>
      <c r="BSD102" s="142"/>
      <c r="BSE102" s="142"/>
      <c r="BSF102" s="142"/>
      <c r="BSG102" s="142"/>
      <c r="BSH102" s="142"/>
      <c r="BSI102" s="142"/>
      <c r="BSJ102" s="142"/>
      <c r="BSK102" s="142"/>
      <c r="BSL102" s="142"/>
      <c r="BSM102" s="142"/>
      <c r="BSN102" s="142"/>
      <c r="BSO102" s="142"/>
      <c r="BSP102" s="142"/>
      <c r="BSQ102" s="142"/>
      <c r="BSR102" s="142"/>
      <c r="BSS102" s="142"/>
      <c r="BST102" s="142"/>
      <c r="BSU102" s="142"/>
      <c r="BSV102" s="142"/>
      <c r="BSW102" s="142"/>
      <c r="BSX102" s="142"/>
      <c r="BSY102" s="142"/>
      <c r="BSZ102" s="142"/>
      <c r="BTA102" s="142"/>
      <c r="BTB102" s="142"/>
      <c r="BTC102" s="142"/>
      <c r="BTD102" s="142"/>
      <c r="BTE102" s="142"/>
      <c r="BTF102" s="142"/>
      <c r="BTG102" s="142"/>
      <c r="BTH102" s="142"/>
      <c r="BTI102" s="142"/>
      <c r="BTJ102" s="142"/>
      <c r="BTK102" s="142"/>
      <c r="BTL102" s="142"/>
      <c r="BTM102" s="142"/>
      <c r="BTN102" s="142"/>
      <c r="BTO102" s="142"/>
      <c r="BTP102" s="142"/>
      <c r="BTQ102" s="142"/>
      <c r="BTR102" s="142"/>
      <c r="BTS102" s="142"/>
      <c r="BTT102" s="142"/>
      <c r="BTU102" s="142"/>
      <c r="BTV102" s="142"/>
      <c r="BTW102" s="142"/>
      <c r="BTX102" s="142"/>
      <c r="BTY102" s="142"/>
      <c r="BTZ102" s="142"/>
      <c r="BUA102" s="142"/>
      <c r="BUB102" s="142"/>
      <c r="BUC102" s="142"/>
      <c r="BUD102" s="142"/>
      <c r="BUE102" s="142"/>
      <c r="BUF102" s="142"/>
      <c r="BUG102" s="142"/>
      <c r="BUH102" s="142"/>
      <c r="BUI102" s="142"/>
      <c r="BUJ102" s="142"/>
      <c r="BUK102" s="142"/>
      <c r="BUL102" s="142"/>
      <c r="BUM102" s="142"/>
      <c r="BUN102" s="142"/>
      <c r="BUO102" s="142"/>
      <c r="BUP102" s="142"/>
      <c r="BUQ102" s="142"/>
      <c r="BUR102" s="142"/>
      <c r="BUS102" s="142"/>
      <c r="BUT102" s="142"/>
      <c r="BUU102" s="142"/>
      <c r="BUV102" s="142"/>
      <c r="BUW102" s="142"/>
      <c r="BUX102" s="142"/>
      <c r="BUY102" s="142"/>
      <c r="BUZ102" s="142"/>
      <c r="BVA102" s="142"/>
      <c r="BVB102" s="142"/>
      <c r="BVC102" s="142"/>
      <c r="BVD102" s="142"/>
      <c r="BVE102" s="142"/>
      <c r="BVF102" s="142"/>
      <c r="BVG102" s="142"/>
      <c r="BVH102" s="142"/>
      <c r="BVI102" s="142"/>
      <c r="BVJ102" s="142"/>
      <c r="BVK102" s="142"/>
      <c r="BVL102" s="142"/>
      <c r="BVM102" s="142"/>
      <c r="BVN102" s="142"/>
      <c r="BVO102" s="142"/>
      <c r="BVP102" s="142"/>
      <c r="BVQ102" s="142"/>
      <c r="BVR102" s="142"/>
      <c r="BVS102" s="142"/>
      <c r="BVT102" s="142"/>
      <c r="BVU102" s="142"/>
      <c r="BVV102" s="142"/>
      <c r="BVW102" s="142"/>
      <c r="BVX102" s="142"/>
      <c r="BVY102" s="142"/>
      <c r="BVZ102" s="142"/>
      <c r="BWA102" s="142"/>
      <c r="BWB102" s="142"/>
      <c r="BWC102" s="142"/>
      <c r="BWD102" s="142"/>
      <c r="BWE102" s="142"/>
      <c r="BWF102" s="142"/>
      <c r="BWG102" s="142"/>
      <c r="BWH102" s="142"/>
      <c r="BWI102" s="142"/>
      <c r="BWJ102" s="142"/>
      <c r="BWK102" s="142"/>
      <c r="BWL102" s="142"/>
      <c r="BWM102" s="142"/>
      <c r="BWN102" s="142"/>
      <c r="BWO102" s="142"/>
      <c r="BWP102" s="142"/>
      <c r="BWQ102" s="142"/>
      <c r="BWR102" s="142"/>
      <c r="BWS102" s="142"/>
      <c r="BWT102" s="142"/>
      <c r="BWU102" s="142"/>
      <c r="BWV102" s="142"/>
      <c r="BWW102" s="142"/>
      <c r="BWX102" s="142"/>
      <c r="BWY102" s="142"/>
      <c r="BWZ102" s="142"/>
      <c r="BXA102" s="142"/>
      <c r="BXB102" s="142"/>
      <c r="BXC102" s="142"/>
      <c r="BXD102" s="142"/>
      <c r="BXE102" s="142"/>
      <c r="BXF102" s="142"/>
      <c r="BXG102" s="142"/>
      <c r="BXH102" s="142"/>
      <c r="BXI102" s="142"/>
      <c r="BXJ102" s="142"/>
      <c r="BXK102" s="142"/>
      <c r="BXL102" s="142"/>
      <c r="BXM102" s="142"/>
      <c r="BXN102" s="142"/>
      <c r="BXO102" s="142"/>
      <c r="BXP102" s="142"/>
      <c r="BXQ102" s="142"/>
      <c r="BXR102" s="142"/>
      <c r="BXS102" s="142"/>
      <c r="BXT102" s="142"/>
      <c r="BXU102" s="142"/>
      <c r="BXV102" s="142"/>
      <c r="BXW102" s="142"/>
      <c r="BXX102" s="142"/>
      <c r="BXY102" s="142"/>
      <c r="BXZ102" s="142"/>
      <c r="BYA102" s="142"/>
      <c r="BYB102" s="142"/>
      <c r="BYC102" s="142"/>
      <c r="BYD102" s="142"/>
      <c r="BYE102" s="142"/>
      <c r="BYF102" s="142"/>
      <c r="BYG102" s="142"/>
      <c r="BYH102" s="142"/>
      <c r="BYI102" s="142"/>
      <c r="BYJ102" s="142"/>
      <c r="BYK102" s="142"/>
      <c r="BYL102" s="142"/>
      <c r="BYM102" s="142"/>
      <c r="BYN102" s="142"/>
      <c r="BYO102" s="142"/>
      <c r="BYP102" s="142"/>
      <c r="BYQ102" s="142"/>
      <c r="BYR102" s="142"/>
      <c r="BYS102" s="142"/>
      <c r="BYT102" s="142"/>
      <c r="BYU102" s="142"/>
      <c r="BYV102" s="142"/>
      <c r="BYW102" s="142"/>
      <c r="BYX102" s="142"/>
      <c r="BYY102" s="142"/>
      <c r="BYZ102" s="142"/>
      <c r="BZA102" s="142"/>
      <c r="BZB102" s="142"/>
      <c r="BZC102" s="142"/>
      <c r="BZD102" s="142"/>
      <c r="BZE102" s="142"/>
      <c r="BZF102" s="142"/>
      <c r="BZG102" s="142"/>
      <c r="BZH102" s="142"/>
      <c r="BZI102" s="142"/>
      <c r="BZJ102" s="142"/>
      <c r="BZK102" s="142"/>
      <c r="BZL102" s="142"/>
      <c r="BZM102" s="142"/>
      <c r="BZN102" s="142"/>
      <c r="BZO102" s="142"/>
      <c r="BZP102" s="142"/>
      <c r="BZQ102" s="142"/>
      <c r="BZR102" s="142"/>
      <c r="BZS102" s="142"/>
      <c r="BZT102" s="142"/>
      <c r="BZU102" s="142"/>
      <c r="BZV102" s="142"/>
      <c r="BZW102" s="142"/>
      <c r="BZX102" s="142"/>
      <c r="BZY102" s="142"/>
      <c r="BZZ102" s="142"/>
      <c r="CAA102" s="142"/>
      <c r="CAB102" s="142"/>
      <c r="CAC102" s="142"/>
      <c r="CAD102" s="142"/>
      <c r="CAE102" s="142"/>
      <c r="CAF102" s="142"/>
      <c r="CAG102" s="142"/>
      <c r="CAH102" s="142"/>
      <c r="CAI102" s="142"/>
      <c r="CAJ102" s="142"/>
      <c r="CAK102" s="142"/>
      <c r="CAL102" s="142"/>
      <c r="CAM102" s="142"/>
      <c r="CAN102" s="142"/>
      <c r="CAO102" s="142"/>
      <c r="CAP102" s="142"/>
      <c r="CAQ102" s="142"/>
      <c r="CAR102" s="142"/>
      <c r="CAS102" s="142"/>
      <c r="CAT102" s="142"/>
      <c r="CAU102" s="142"/>
      <c r="CAV102" s="142"/>
      <c r="CAW102" s="142"/>
      <c r="CAX102" s="142"/>
      <c r="CAY102" s="142"/>
      <c r="CAZ102" s="142"/>
      <c r="CBA102" s="142"/>
      <c r="CBB102" s="142"/>
      <c r="CBC102" s="142"/>
      <c r="CBD102" s="142"/>
      <c r="CBE102" s="142"/>
      <c r="CBF102" s="142"/>
      <c r="CBG102" s="142"/>
      <c r="CBH102" s="142"/>
      <c r="CBI102" s="142"/>
      <c r="CBJ102" s="142"/>
      <c r="CBK102" s="142"/>
      <c r="CBL102" s="142"/>
      <c r="CBM102" s="142"/>
      <c r="CBN102" s="142"/>
      <c r="CBO102" s="142"/>
      <c r="CBP102" s="142"/>
      <c r="CBQ102" s="142"/>
      <c r="CBR102" s="142"/>
      <c r="CBS102" s="142"/>
      <c r="CBT102" s="142"/>
      <c r="CBU102" s="142"/>
      <c r="CBV102" s="142"/>
      <c r="CBW102" s="142"/>
      <c r="CBX102" s="142"/>
      <c r="CBY102" s="142"/>
      <c r="CBZ102" s="142"/>
      <c r="CCA102" s="142"/>
      <c r="CCB102" s="142"/>
      <c r="CCC102" s="142"/>
      <c r="CCD102" s="142"/>
      <c r="CCE102" s="142"/>
      <c r="CCF102" s="142"/>
      <c r="CCG102" s="142"/>
      <c r="CCH102" s="142"/>
      <c r="CCI102" s="142"/>
      <c r="CCJ102" s="142"/>
      <c r="CCK102" s="142"/>
      <c r="CCL102" s="142"/>
      <c r="CCM102" s="142"/>
      <c r="CCN102" s="142"/>
      <c r="CCO102" s="142"/>
      <c r="CCP102" s="142"/>
      <c r="CCQ102" s="142"/>
      <c r="CCR102" s="142"/>
      <c r="CCS102" s="142"/>
      <c r="CCT102" s="142"/>
      <c r="CCU102" s="142"/>
      <c r="CCV102" s="142"/>
      <c r="CCW102" s="142"/>
      <c r="CCX102" s="142"/>
      <c r="CCY102" s="142"/>
      <c r="CCZ102" s="142"/>
      <c r="CDA102" s="142"/>
      <c r="CDB102" s="142"/>
      <c r="CDC102" s="142"/>
      <c r="CDD102" s="142"/>
      <c r="CDE102" s="142"/>
      <c r="CDF102" s="142"/>
      <c r="CDG102" s="142"/>
      <c r="CDH102" s="142"/>
      <c r="CDI102" s="142"/>
      <c r="CDJ102" s="142"/>
      <c r="CDK102" s="142"/>
      <c r="CDL102" s="142"/>
      <c r="CDM102" s="142"/>
      <c r="CDN102" s="142"/>
      <c r="CDO102" s="142"/>
      <c r="CDP102" s="142"/>
      <c r="CDQ102" s="142"/>
      <c r="CDR102" s="142"/>
      <c r="CDS102" s="142"/>
      <c r="CDT102" s="142"/>
      <c r="CDU102" s="142"/>
      <c r="CDV102" s="142"/>
      <c r="CDW102" s="142"/>
      <c r="CDX102" s="142"/>
      <c r="CDY102" s="142"/>
      <c r="CDZ102" s="142"/>
      <c r="CEA102" s="142"/>
      <c r="CEB102" s="142"/>
      <c r="CEC102" s="142"/>
      <c r="CED102" s="142"/>
      <c r="CEE102" s="142"/>
      <c r="CEF102" s="142"/>
      <c r="CEG102" s="142"/>
      <c r="CEH102" s="142"/>
      <c r="CEI102" s="142"/>
      <c r="CEJ102" s="142"/>
      <c r="CEK102" s="142"/>
      <c r="CEL102" s="142"/>
      <c r="CEM102" s="142"/>
      <c r="CEN102" s="142"/>
      <c r="CEO102" s="142"/>
      <c r="CEP102" s="142"/>
      <c r="CEQ102" s="142"/>
      <c r="CER102" s="142"/>
      <c r="CES102" s="142"/>
      <c r="CET102" s="142"/>
      <c r="CEU102" s="142"/>
      <c r="CEV102" s="142"/>
      <c r="CEW102" s="142"/>
      <c r="CEX102" s="142"/>
      <c r="CEY102" s="142"/>
      <c r="CEZ102" s="142"/>
      <c r="CFA102" s="142"/>
      <c r="CFB102" s="142"/>
      <c r="CFC102" s="142"/>
      <c r="CFD102" s="142"/>
      <c r="CFE102" s="142"/>
      <c r="CFF102" s="142"/>
      <c r="CFG102" s="142"/>
      <c r="CFH102" s="142"/>
      <c r="CFI102" s="142"/>
      <c r="CFJ102" s="142"/>
      <c r="CFK102" s="142"/>
      <c r="CFL102" s="142"/>
      <c r="CFM102" s="142"/>
      <c r="CFN102" s="142"/>
      <c r="CFO102" s="142"/>
      <c r="CFP102" s="142"/>
      <c r="CFQ102" s="142"/>
      <c r="CFR102" s="142"/>
      <c r="CFS102" s="142"/>
      <c r="CFT102" s="142"/>
      <c r="CFU102" s="142"/>
      <c r="CFV102" s="142"/>
      <c r="CFW102" s="142"/>
      <c r="CFX102" s="142"/>
      <c r="CFY102" s="142"/>
      <c r="CFZ102" s="142"/>
      <c r="CGA102" s="142"/>
      <c r="CGB102" s="142"/>
      <c r="CGC102" s="142"/>
      <c r="CGD102" s="142"/>
      <c r="CGE102" s="142"/>
      <c r="CGF102" s="142"/>
      <c r="CGG102" s="142"/>
      <c r="CGH102" s="142"/>
      <c r="CGI102" s="142"/>
      <c r="CGJ102" s="142"/>
      <c r="CGK102" s="142"/>
      <c r="CGL102" s="142"/>
      <c r="CGM102" s="142"/>
      <c r="CGN102" s="142"/>
      <c r="CGO102" s="142"/>
      <c r="CGP102" s="142"/>
      <c r="CGQ102" s="142"/>
      <c r="CGR102" s="142"/>
      <c r="CGS102" s="142"/>
      <c r="CGT102" s="142"/>
      <c r="CGU102" s="142"/>
      <c r="CGV102" s="142"/>
      <c r="CGW102" s="142"/>
      <c r="CGX102" s="142"/>
      <c r="CGY102" s="142"/>
      <c r="CGZ102" s="142"/>
      <c r="CHA102" s="142"/>
      <c r="CHB102" s="142"/>
      <c r="CHC102" s="142"/>
      <c r="CHD102" s="142"/>
      <c r="CHE102" s="142"/>
      <c r="CHF102" s="142"/>
      <c r="CHG102" s="142"/>
      <c r="CHH102" s="142"/>
      <c r="CHI102" s="142"/>
      <c r="CHJ102" s="142"/>
      <c r="CHK102" s="142"/>
      <c r="CHL102" s="142"/>
      <c r="CHM102" s="142"/>
      <c r="CHN102" s="142"/>
      <c r="CHO102" s="142"/>
      <c r="CHP102" s="142"/>
      <c r="CHQ102" s="142"/>
      <c r="CHR102" s="142"/>
      <c r="CHS102" s="142"/>
      <c r="CHT102" s="142"/>
      <c r="CHU102" s="142"/>
      <c r="CHV102" s="142"/>
      <c r="CHW102" s="142"/>
      <c r="CHX102" s="142"/>
      <c r="CHY102" s="142"/>
      <c r="CHZ102" s="142"/>
      <c r="CIA102" s="142"/>
      <c r="CIB102" s="142"/>
      <c r="CIC102" s="142"/>
      <c r="CID102" s="142"/>
      <c r="CIE102" s="142"/>
      <c r="CIF102" s="142"/>
      <c r="CIG102" s="142"/>
      <c r="CIH102" s="142"/>
      <c r="CII102" s="142"/>
      <c r="CIJ102" s="142"/>
      <c r="CIK102" s="142"/>
      <c r="CIL102" s="142"/>
      <c r="CIM102" s="142"/>
      <c r="CIN102" s="142"/>
      <c r="CIO102" s="142"/>
      <c r="CIP102" s="142"/>
      <c r="CIQ102" s="142"/>
      <c r="CIR102" s="142"/>
      <c r="CIS102" s="142"/>
      <c r="CIT102" s="142"/>
      <c r="CIU102" s="142"/>
      <c r="CIV102" s="142"/>
      <c r="CIW102" s="142"/>
      <c r="CIX102" s="142"/>
      <c r="CIY102" s="142"/>
      <c r="CIZ102" s="142"/>
      <c r="CJA102" s="142"/>
      <c r="CJB102" s="142"/>
      <c r="CJC102" s="142"/>
      <c r="CJD102" s="142"/>
      <c r="CJE102" s="142"/>
      <c r="CJF102" s="142"/>
      <c r="CJG102" s="142"/>
      <c r="CJH102" s="142"/>
      <c r="CJI102" s="142"/>
      <c r="CJJ102" s="142"/>
      <c r="CJK102" s="142"/>
      <c r="CJL102" s="142"/>
      <c r="CJM102" s="142"/>
      <c r="CJN102" s="142"/>
      <c r="CJO102" s="142"/>
      <c r="CJP102" s="142"/>
      <c r="CJQ102" s="142"/>
      <c r="CJR102" s="142"/>
      <c r="CJS102" s="142"/>
      <c r="CJT102" s="142"/>
      <c r="CJU102" s="142"/>
      <c r="CJV102" s="142"/>
      <c r="CJW102" s="142"/>
      <c r="CJX102" s="142"/>
      <c r="CJY102" s="142"/>
      <c r="CJZ102" s="142"/>
      <c r="CKA102" s="142"/>
      <c r="CKB102" s="142"/>
      <c r="CKC102" s="142"/>
      <c r="CKD102" s="142"/>
      <c r="CKE102" s="142"/>
      <c r="CKF102" s="142"/>
      <c r="CKG102" s="142"/>
      <c r="CKH102" s="142"/>
      <c r="CKI102" s="142"/>
      <c r="CKJ102" s="142"/>
      <c r="CKK102" s="142"/>
      <c r="CKL102" s="142"/>
      <c r="CKM102" s="142"/>
      <c r="CKN102" s="142"/>
      <c r="CKO102" s="142"/>
      <c r="CKP102" s="142"/>
      <c r="CKQ102" s="142"/>
      <c r="CKR102" s="142"/>
      <c r="CKS102" s="142"/>
      <c r="CKT102" s="142"/>
      <c r="CKU102" s="142"/>
      <c r="CKV102" s="142"/>
      <c r="CKW102" s="142"/>
      <c r="CKX102" s="142"/>
      <c r="CKY102" s="142"/>
      <c r="CKZ102" s="142"/>
      <c r="CLA102" s="142"/>
      <c r="CLB102" s="142"/>
      <c r="CLC102" s="142"/>
      <c r="CLD102" s="142"/>
      <c r="CLE102" s="142"/>
      <c r="CLF102" s="142"/>
      <c r="CLG102" s="142"/>
      <c r="CLH102" s="142"/>
      <c r="CLI102" s="142"/>
      <c r="CLJ102" s="142"/>
      <c r="CLK102" s="142"/>
      <c r="CLL102" s="142"/>
      <c r="CLM102" s="142"/>
      <c r="CLN102" s="142"/>
      <c r="CLO102" s="142"/>
      <c r="CLP102" s="142"/>
      <c r="CLQ102" s="142"/>
      <c r="CLR102" s="142"/>
      <c r="CLS102" s="142"/>
      <c r="CLT102" s="142"/>
      <c r="CLU102" s="142"/>
      <c r="CLV102" s="142"/>
      <c r="CLW102" s="142"/>
      <c r="CLX102" s="142"/>
      <c r="CLY102" s="142"/>
      <c r="CLZ102" s="142"/>
      <c r="CMA102" s="142"/>
      <c r="CMB102" s="142"/>
      <c r="CMC102" s="142"/>
      <c r="CMD102" s="142"/>
      <c r="CME102" s="142"/>
      <c r="CMF102" s="142"/>
      <c r="CMG102" s="142"/>
      <c r="CMH102" s="142"/>
      <c r="CMI102" s="142"/>
      <c r="CMJ102" s="142"/>
      <c r="CMK102" s="142"/>
      <c r="CML102" s="142"/>
      <c r="CMM102" s="142"/>
      <c r="CMN102" s="142"/>
      <c r="CMO102" s="142"/>
      <c r="CMP102" s="142"/>
      <c r="CMQ102" s="142"/>
      <c r="CMR102" s="142"/>
      <c r="CMS102" s="142"/>
      <c r="CMT102" s="142"/>
      <c r="CMU102" s="142"/>
      <c r="CMV102" s="142"/>
      <c r="CMW102" s="142"/>
      <c r="CMX102" s="142"/>
      <c r="CMY102" s="142"/>
      <c r="CMZ102" s="142"/>
      <c r="CNA102" s="142"/>
      <c r="CNB102" s="142"/>
      <c r="CNC102" s="142"/>
      <c r="CND102" s="142"/>
      <c r="CNE102" s="142"/>
      <c r="CNF102" s="142"/>
      <c r="CNG102" s="142"/>
      <c r="CNH102" s="142"/>
      <c r="CNI102" s="142"/>
      <c r="CNJ102" s="142"/>
      <c r="CNK102" s="142"/>
      <c r="CNL102" s="142"/>
      <c r="CNM102" s="142"/>
      <c r="CNN102" s="142"/>
      <c r="CNO102" s="142"/>
      <c r="CNP102" s="142"/>
      <c r="CNQ102" s="142"/>
      <c r="CNR102" s="142"/>
      <c r="CNS102" s="142"/>
      <c r="CNT102" s="142"/>
      <c r="CNU102" s="142"/>
      <c r="CNV102" s="142"/>
      <c r="CNW102" s="142"/>
      <c r="CNX102" s="142"/>
      <c r="CNY102" s="142"/>
      <c r="CNZ102" s="142"/>
      <c r="COA102" s="142"/>
      <c r="COB102" s="142"/>
      <c r="COC102" s="142"/>
      <c r="COD102" s="142"/>
      <c r="COE102" s="142"/>
      <c r="COF102" s="142"/>
      <c r="COG102" s="142"/>
      <c r="COH102" s="142"/>
      <c r="COI102" s="142"/>
      <c r="COJ102" s="142"/>
      <c r="COK102" s="142"/>
      <c r="COL102" s="142"/>
      <c r="COM102" s="142"/>
      <c r="CON102" s="142"/>
      <c r="COO102" s="142"/>
      <c r="COP102" s="142"/>
      <c r="COQ102" s="142"/>
      <c r="COR102" s="142"/>
      <c r="COS102" s="142"/>
      <c r="COT102" s="142"/>
      <c r="COU102" s="142"/>
      <c r="COV102" s="142"/>
      <c r="COW102" s="142"/>
      <c r="COX102" s="142"/>
      <c r="COY102" s="142"/>
      <c r="COZ102" s="142"/>
      <c r="CPA102" s="142"/>
      <c r="CPB102" s="142"/>
      <c r="CPC102" s="142"/>
      <c r="CPD102" s="142"/>
      <c r="CPE102" s="142"/>
      <c r="CPF102" s="142"/>
      <c r="CPG102" s="142"/>
      <c r="CPH102" s="142"/>
      <c r="CPI102" s="142"/>
      <c r="CPJ102" s="142"/>
      <c r="CPK102" s="142"/>
      <c r="CPL102" s="142"/>
      <c r="CPM102" s="142"/>
      <c r="CPN102" s="142"/>
      <c r="CPO102" s="142"/>
      <c r="CPP102" s="142"/>
      <c r="CPQ102" s="142"/>
      <c r="CPR102" s="142"/>
      <c r="CPS102" s="142"/>
      <c r="CPT102" s="142"/>
      <c r="CPU102" s="142"/>
      <c r="CPV102" s="142"/>
      <c r="CPW102" s="142"/>
      <c r="CPX102" s="142"/>
      <c r="CPY102" s="142"/>
      <c r="CPZ102" s="142"/>
      <c r="CQA102" s="142"/>
      <c r="CQB102" s="142"/>
      <c r="CQC102" s="142"/>
      <c r="CQD102" s="142"/>
      <c r="CQE102" s="142"/>
      <c r="CQF102" s="142"/>
      <c r="CQG102" s="142"/>
      <c r="CQH102" s="142"/>
      <c r="CQI102" s="142"/>
      <c r="CQJ102" s="142"/>
      <c r="CQK102" s="142"/>
      <c r="CQL102" s="142"/>
      <c r="CQM102" s="142"/>
      <c r="CQN102" s="142"/>
      <c r="CQO102" s="142"/>
      <c r="CQP102" s="142"/>
      <c r="CQQ102" s="142"/>
      <c r="CQR102" s="142"/>
      <c r="CQS102" s="142"/>
      <c r="CQT102" s="142"/>
      <c r="CQU102" s="142"/>
      <c r="CQV102" s="142"/>
      <c r="CQW102" s="142"/>
      <c r="CQX102" s="142"/>
      <c r="CQY102" s="142"/>
      <c r="CQZ102" s="142"/>
      <c r="CRA102" s="142"/>
      <c r="CRB102" s="142"/>
      <c r="CRC102" s="142"/>
      <c r="CRD102" s="142"/>
      <c r="CRE102" s="142"/>
      <c r="CRF102" s="142"/>
      <c r="CRG102" s="142"/>
      <c r="CRH102" s="142"/>
      <c r="CRI102" s="142"/>
      <c r="CRJ102" s="142"/>
      <c r="CRK102" s="142"/>
      <c r="CRL102" s="142"/>
      <c r="CRM102" s="142"/>
      <c r="CRN102" s="142"/>
      <c r="CRO102" s="142"/>
      <c r="CRP102" s="142"/>
      <c r="CRQ102" s="142"/>
      <c r="CRR102" s="142"/>
      <c r="CRS102" s="142"/>
      <c r="CRT102" s="142"/>
      <c r="CRU102" s="142"/>
      <c r="CRV102" s="142"/>
      <c r="CRW102" s="142"/>
      <c r="CRX102" s="142"/>
      <c r="CRY102" s="142"/>
      <c r="CRZ102" s="142"/>
      <c r="CSA102" s="142"/>
      <c r="CSB102" s="142"/>
      <c r="CSC102" s="142"/>
      <c r="CSD102" s="142"/>
      <c r="CSE102" s="142"/>
      <c r="CSF102" s="142"/>
      <c r="CSG102" s="142"/>
      <c r="CSH102" s="142"/>
      <c r="CSI102" s="142"/>
      <c r="CSJ102" s="142"/>
      <c r="CSK102" s="142"/>
      <c r="CSL102" s="142"/>
      <c r="CSM102" s="142"/>
      <c r="CSN102" s="142"/>
      <c r="CSO102" s="142"/>
      <c r="CSP102" s="142"/>
      <c r="CSQ102" s="142"/>
      <c r="CSR102" s="142"/>
      <c r="CSS102" s="142"/>
      <c r="CST102" s="142"/>
      <c r="CSU102" s="142"/>
      <c r="CSV102" s="142"/>
      <c r="CSW102" s="142"/>
      <c r="CSX102" s="142"/>
      <c r="CSY102" s="142"/>
      <c r="CSZ102" s="142"/>
      <c r="CTA102" s="142"/>
      <c r="CTB102" s="142"/>
      <c r="CTC102" s="142"/>
      <c r="CTD102" s="142"/>
      <c r="CTE102" s="142"/>
      <c r="CTF102" s="142"/>
      <c r="CTG102" s="142"/>
      <c r="CTH102" s="142"/>
      <c r="CTI102" s="142"/>
      <c r="CTJ102" s="142"/>
      <c r="CTK102" s="142"/>
      <c r="CTL102" s="142"/>
      <c r="CTM102" s="142"/>
      <c r="CTN102" s="142"/>
      <c r="CTO102" s="142"/>
      <c r="CTP102" s="142"/>
      <c r="CTQ102" s="142"/>
      <c r="CTR102" s="142"/>
      <c r="CTS102" s="142"/>
      <c r="CTT102" s="142"/>
      <c r="CTU102" s="142"/>
      <c r="CTV102" s="142"/>
      <c r="CTW102" s="142"/>
      <c r="CTX102" s="142"/>
      <c r="CTY102" s="142"/>
      <c r="CTZ102" s="142"/>
      <c r="CUA102" s="142"/>
      <c r="CUB102" s="142"/>
      <c r="CUC102" s="142"/>
      <c r="CUD102" s="142"/>
      <c r="CUE102" s="142"/>
      <c r="CUF102" s="142"/>
      <c r="CUG102" s="142"/>
      <c r="CUH102" s="142"/>
      <c r="CUI102" s="142"/>
      <c r="CUJ102" s="142"/>
      <c r="CUK102" s="142"/>
      <c r="CUL102" s="142"/>
      <c r="CUM102" s="142"/>
      <c r="CUN102" s="142"/>
      <c r="CUO102" s="142"/>
      <c r="CUP102" s="142"/>
      <c r="CUQ102" s="142"/>
      <c r="CUR102" s="142"/>
      <c r="CUS102" s="142"/>
      <c r="CUT102" s="142"/>
      <c r="CUU102" s="142"/>
      <c r="CUV102" s="142"/>
      <c r="CUW102" s="142"/>
      <c r="CUX102" s="142"/>
      <c r="CUY102" s="142"/>
      <c r="CUZ102" s="142"/>
      <c r="CVA102" s="142"/>
      <c r="CVB102" s="142"/>
      <c r="CVC102" s="142"/>
      <c r="CVD102" s="142"/>
      <c r="CVE102" s="142"/>
      <c r="CVF102" s="142"/>
      <c r="CVG102" s="142"/>
      <c r="CVH102" s="142"/>
      <c r="CVI102" s="142"/>
      <c r="CVJ102" s="142"/>
      <c r="CVK102" s="142"/>
      <c r="CVL102" s="142"/>
      <c r="CVM102" s="142"/>
      <c r="CVN102" s="142"/>
      <c r="CVO102" s="142"/>
      <c r="CVP102" s="142"/>
      <c r="CVQ102" s="142"/>
      <c r="CVR102" s="142"/>
      <c r="CVS102" s="142"/>
      <c r="CVT102" s="142"/>
      <c r="CVU102" s="142"/>
      <c r="CVV102" s="142"/>
      <c r="CVW102" s="142"/>
      <c r="CVX102" s="142"/>
      <c r="CVY102" s="142"/>
      <c r="CVZ102" s="142"/>
      <c r="CWA102" s="142"/>
      <c r="CWB102" s="142"/>
      <c r="CWC102" s="142"/>
      <c r="CWD102" s="142"/>
      <c r="CWE102" s="142"/>
      <c r="CWF102" s="142"/>
      <c r="CWG102" s="142"/>
      <c r="CWH102" s="142"/>
      <c r="CWI102" s="142"/>
      <c r="CWJ102" s="142"/>
      <c r="CWK102" s="142"/>
      <c r="CWL102" s="142"/>
      <c r="CWM102" s="142"/>
      <c r="CWN102" s="142"/>
      <c r="CWO102" s="142"/>
      <c r="CWP102" s="142"/>
      <c r="CWQ102" s="142"/>
      <c r="CWR102" s="142"/>
      <c r="CWS102" s="142"/>
      <c r="CWT102" s="142"/>
      <c r="CWU102" s="142"/>
      <c r="CWV102" s="142"/>
      <c r="CWW102" s="142"/>
      <c r="CWX102" s="142"/>
      <c r="CWY102" s="142"/>
      <c r="CWZ102" s="142"/>
      <c r="CXA102" s="142"/>
      <c r="CXB102" s="142"/>
      <c r="CXC102" s="142"/>
      <c r="CXD102" s="142"/>
      <c r="CXE102" s="142"/>
      <c r="CXF102" s="142"/>
      <c r="CXG102" s="142"/>
      <c r="CXH102" s="142"/>
      <c r="CXI102" s="142"/>
      <c r="CXJ102" s="142"/>
      <c r="CXK102" s="142"/>
      <c r="CXL102" s="142"/>
      <c r="CXM102" s="142"/>
      <c r="CXN102" s="142"/>
      <c r="CXO102" s="142"/>
      <c r="CXP102" s="142"/>
      <c r="CXQ102" s="142"/>
      <c r="CXR102" s="142"/>
      <c r="CXS102" s="142"/>
      <c r="CXT102" s="142"/>
      <c r="CXU102" s="142"/>
      <c r="CXV102" s="142"/>
      <c r="CXW102" s="142"/>
      <c r="CXX102" s="142"/>
      <c r="CXY102" s="142"/>
      <c r="CXZ102" s="142"/>
      <c r="CYA102" s="142"/>
      <c r="CYB102" s="142"/>
      <c r="CYC102" s="142"/>
      <c r="CYD102" s="142"/>
      <c r="CYE102" s="142"/>
      <c r="CYF102" s="142"/>
      <c r="CYG102" s="142"/>
      <c r="CYH102" s="142"/>
      <c r="CYI102" s="142"/>
      <c r="CYJ102" s="142"/>
      <c r="CYK102" s="142"/>
      <c r="CYL102" s="142"/>
      <c r="CYM102" s="142"/>
      <c r="CYN102" s="142"/>
      <c r="CYO102" s="142"/>
      <c r="CYP102" s="142"/>
      <c r="CYQ102" s="142"/>
      <c r="CYR102" s="142"/>
      <c r="CYS102" s="142"/>
      <c r="CYT102" s="142"/>
      <c r="CYU102" s="142"/>
      <c r="CYV102" s="142"/>
      <c r="CYW102" s="142"/>
      <c r="CYX102" s="142"/>
      <c r="CYY102" s="142"/>
      <c r="CYZ102" s="142"/>
      <c r="CZA102" s="142"/>
      <c r="CZB102" s="142"/>
      <c r="CZC102" s="142"/>
      <c r="CZD102" s="142"/>
      <c r="CZE102" s="142"/>
      <c r="CZF102" s="142"/>
      <c r="CZG102" s="142"/>
      <c r="CZH102" s="142"/>
      <c r="CZI102" s="142"/>
      <c r="CZJ102" s="142"/>
      <c r="CZK102" s="142"/>
      <c r="CZL102" s="142"/>
      <c r="CZM102" s="142"/>
      <c r="CZN102" s="142"/>
      <c r="CZO102" s="142"/>
      <c r="CZP102" s="142"/>
      <c r="CZQ102" s="142"/>
      <c r="CZR102" s="142"/>
      <c r="CZS102" s="142"/>
      <c r="CZT102" s="142"/>
      <c r="CZU102" s="142"/>
      <c r="CZV102" s="142"/>
      <c r="CZW102" s="142"/>
      <c r="CZX102" s="142"/>
      <c r="CZY102" s="142"/>
      <c r="CZZ102" s="142"/>
      <c r="DAA102" s="142"/>
      <c r="DAB102" s="142"/>
      <c r="DAC102" s="142"/>
      <c r="DAD102" s="142"/>
      <c r="DAE102" s="142"/>
      <c r="DAF102" s="142"/>
      <c r="DAG102" s="142"/>
      <c r="DAH102" s="142"/>
      <c r="DAI102" s="142"/>
      <c r="DAJ102" s="142"/>
      <c r="DAK102" s="142"/>
      <c r="DAL102" s="142"/>
      <c r="DAM102" s="142"/>
      <c r="DAN102" s="142"/>
      <c r="DAO102" s="142"/>
      <c r="DAP102" s="142"/>
      <c r="DAQ102" s="142"/>
      <c r="DAR102" s="142"/>
      <c r="DAS102" s="142"/>
      <c r="DAT102" s="142"/>
      <c r="DAU102" s="142"/>
      <c r="DAV102" s="142"/>
      <c r="DAW102" s="142"/>
      <c r="DAX102" s="142"/>
      <c r="DAY102" s="142"/>
      <c r="DAZ102" s="142"/>
      <c r="DBA102" s="142"/>
      <c r="DBB102" s="142"/>
      <c r="DBC102" s="142"/>
      <c r="DBD102" s="142"/>
      <c r="DBE102" s="142"/>
      <c r="DBF102" s="142"/>
      <c r="DBG102" s="142"/>
      <c r="DBH102" s="142"/>
      <c r="DBI102" s="142"/>
      <c r="DBJ102" s="142"/>
      <c r="DBK102" s="142"/>
      <c r="DBL102" s="142"/>
      <c r="DBM102" s="142"/>
      <c r="DBN102" s="142"/>
      <c r="DBO102" s="142"/>
      <c r="DBP102" s="142"/>
      <c r="DBQ102" s="142"/>
      <c r="DBR102" s="142"/>
      <c r="DBS102" s="142"/>
      <c r="DBT102" s="142"/>
      <c r="DBU102" s="142"/>
      <c r="DBV102" s="142"/>
      <c r="DBW102" s="142"/>
      <c r="DBX102" s="142"/>
      <c r="DBY102" s="142"/>
      <c r="DBZ102" s="142"/>
      <c r="DCA102" s="142"/>
      <c r="DCB102" s="142"/>
      <c r="DCC102" s="142"/>
      <c r="DCD102" s="142"/>
      <c r="DCE102" s="142"/>
      <c r="DCF102" s="142"/>
      <c r="DCG102" s="142"/>
      <c r="DCH102" s="142"/>
      <c r="DCI102" s="142"/>
      <c r="DCJ102" s="142"/>
      <c r="DCK102" s="142"/>
      <c r="DCL102" s="142"/>
      <c r="DCM102" s="142"/>
      <c r="DCN102" s="142"/>
      <c r="DCO102" s="142"/>
      <c r="DCP102" s="142"/>
      <c r="DCQ102" s="142"/>
      <c r="DCR102" s="142"/>
      <c r="DCS102" s="142"/>
      <c r="DCT102" s="142"/>
      <c r="DCU102" s="142"/>
      <c r="DCV102" s="142"/>
      <c r="DCW102" s="142"/>
      <c r="DCX102" s="142"/>
      <c r="DCY102" s="142"/>
      <c r="DCZ102" s="142"/>
      <c r="DDA102" s="142"/>
      <c r="DDB102" s="142"/>
      <c r="DDC102" s="142"/>
      <c r="DDD102" s="142"/>
      <c r="DDE102" s="142"/>
      <c r="DDF102" s="142"/>
      <c r="DDG102" s="142"/>
      <c r="DDH102" s="142"/>
      <c r="DDI102" s="142"/>
      <c r="DDJ102" s="142"/>
      <c r="DDK102" s="142"/>
      <c r="DDL102" s="142"/>
      <c r="DDM102" s="142"/>
      <c r="DDN102" s="142"/>
      <c r="DDO102" s="142"/>
      <c r="DDP102" s="142"/>
      <c r="DDQ102" s="142"/>
      <c r="DDR102" s="142"/>
      <c r="DDS102" s="142"/>
      <c r="DDT102" s="142"/>
      <c r="DDU102" s="142"/>
      <c r="DDV102" s="142"/>
      <c r="DDW102" s="142"/>
      <c r="DDX102" s="142"/>
      <c r="DDY102" s="142"/>
      <c r="DDZ102" s="142"/>
      <c r="DEA102" s="142"/>
      <c r="DEB102" s="142"/>
      <c r="DEC102" s="142"/>
      <c r="DED102" s="142"/>
      <c r="DEE102" s="142"/>
      <c r="DEF102" s="142"/>
      <c r="DEG102" s="142"/>
      <c r="DEH102" s="142"/>
      <c r="DEI102" s="142"/>
      <c r="DEJ102" s="142"/>
      <c r="DEK102" s="142"/>
      <c r="DEL102" s="142"/>
      <c r="DEM102" s="142"/>
      <c r="DEN102" s="142"/>
      <c r="DEO102" s="142"/>
      <c r="DEP102" s="142"/>
      <c r="DEQ102" s="142"/>
      <c r="DER102" s="142"/>
      <c r="DES102" s="142"/>
      <c r="DET102" s="142"/>
      <c r="DEU102" s="142"/>
      <c r="DEV102" s="142"/>
      <c r="DEW102" s="142"/>
      <c r="DEX102" s="142"/>
      <c r="DEY102" s="142"/>
      <c r="DEZ102" s="142"/>
      <c r="DFA102" s="142"/>
      <c r="DFB102" s="142"/>
      <c r="DFC102" s="142"/>
      <c r="DFD102" s="142"/>
      <c r="DFE102" s="142"/>
      <c r="DFF102" s="142"/>
      <c r="DFG102" s="142"/>
      <c r="DFH102" s="142"/>
      <c r="DFI102" s="142"/>
      <c r="DFJ102" s="142"/>
      <c r="DFK102" s="142"/>
      <c r="DFL102" s="142"/>
      <c r="DFM102" s="142"/>
      <c r="DFN102" s="142"/>
      <c r="DFO102" s="142"/>
      <c r="DFP102" s="142"/>
      <c r="DFQ102" s="142"/>
      <c r="DFR102" s="142"/>
      <c r="DFS102" s="142"/>
      <c r="DFT102" s="142"/>
      <c r="DFU102" s="142"/>
      <c r="DFV102" s="142"/>
      <c r="DFW102" s="142"/>
      <c r="DFX102" s="142"/>
      <c r="DFY102" s="142"/>
      <c r="DFZ102" s="142"/>
      <c r="DGA102" s="142"/>
      <c r="DGB102" s="142"/>
      <c r="DGC102" s="142"/>
      <c r="DGD102" s="142"/>
      <c r="DGE102" s="142"/>
      <c r="DGF102" s="142"/>
      <c r="DGG102" s="142"/>
      <c r="DGH102" s="142"/>
      <c r="DGI102" s="142"/>
      <c r="DGJ102" s="142"/>
      <c r="DGK102" s="142"/>
      <c r="DGL102" s="142"/>
      <c r="DGM102" s="142"/>
      <c r="DGN102" s="142"/>
      <c r="DGO102" s="142"/>
      <c r="DGP102" s="142"/>
      <c r="DGQ102" s="142"/>
      <c r="DGR102" s="142"/>
      <c r="DGS102" s="142"/>
      <c r="DGT102" s="142"/>
      <c r="DGU102" s="142"/>
      <c r="DGV102" s="142"/>
      <c r="DGW102" s="142"/>
      <c r="DGX102" s="142"/>
      <c r="DGY102" s="142"/>
      <c r="DGZ102" s="142"/>
      <c r="DHA102" s="142"/>
      <c r="DHB102" s="142"/>
      <c r="DHC102" s="142"/>
      <c r="DHD102" s="142"/>
      <c r="DHE102" s="142"/>
      <c r="DHF102" s="142"/>
      <c r="DHG102" s="142"/>
      <c r="DHH102" s="142"/>
      <c r="DHI102" s="142"/>
      <c r="DHJ102" s="142"/>
      <c r="DHK102" s="142"/>
      <c r="DHL102" s="142"/>
      <c r="DHM102" s="142"/>
      <c r="DHN102" s="142"/>
      <c r="DHO102" s="142"/>
      <c r="DHP102" s="142"/>
      <c r="DHQ102" s="142"/>
      <c r="DHR102" s="142"/>
      <c r="DHS102" s="142"/>
      <c r="DHT102" s="142"/>
      <c r="DHU102" s="142"/>
      <c r="DHV102" s="142"/>
      <c r="DHW102" s="142"/>
      <c r="DHX102" s="142"/>
      <c r="DHY102" s="142"/>
      <c r="DHZ102" s="142"/>
      <c r="DIA102" s="142"/>
      <c r="DIB102" s="142"/>
      <c r="DIC102" s="142"/>
      <c r="DID102" s="142"/>
      <c r="DIE102" s="142"/>
      <c r="DIF102" s="142"/>
      <c r="DIG102" s="142"/>
      <c r="DIH102" s="142"/>
      <c r="DII102" s="142"/>
      <c r="DIJ102" s="142"/>
      <c r="DIK102" s="142"/>
      <c r="DIL102" s="142"/>
      <c r="DIM102" s="142"/>
      <c r="DIN102" s="142"/>
      <c r="DIO102" s="142"/>
      <c r="DIP102" s="142"/>
      <c r="DIQ102" s="142"/>
      <c r="DIR102" s="142"/>
      <c r="DIS102" s="142"/>
      <c r="DIT102" s="142"/>
      <c r="DIU102" s="142"/>
      <c r="DIV102" s="142"/>
      <c r="DIW102" s="142"/>
      <c r="DIX102" s="142"/>
      <c r="DIY102" s="142"/>
      <c r="DIZ102" s="142"/>
      <c r="DJA102" s="142"/>
      <c r="DJB102" s="142"/>
      <c r="DJC102" s="142"/>
      <c r="DJD102" s="142"/>
      <c r="DJE102" s="142"/>
      <c r="DJF102" s="142"/>
      <c r="DJG102" s="142"/>
      <c r="DJH102" s="142"/>
      <c r="DJI102" s="142"/>
      <c r="DJJ102" s="142"/>
      <c r="DJK102" s="142"/>
      <c r="DJL102" s="142"/>
      <c r="DJM102" s="142"/>
      <c r="DJN102" s="142"/>
      <c r="DJO102" s="142"/>
      <c r="DJP102" s="142"/>
      <c r="DJQ102" s="142"/>
      <c r="DJR102" s="142"/>
      <c r="DJS102" s="142"/>
      <c r="DJT102" s="142"/>
      <c r="DJU102" s="142"/>
      <c r="DJV102" s="142"/>
      <c r="DJW102" s="142"/>
      <c r="DJX102" s="142"/>
      <c r="DJY102" s="142"/>
      <c r="DJZ102" s="142"/>
      <c r="DKA102" s="142"/>
      <c r="DKB102" s="142"/>
      <c r="DKC102" s="142"/>
      <c r="DKD102" s="142"/>
      <c r="DKE102" s="142"/>
      <c r="DKF102" s="142"/>
      <c r="DKG102" s="142"/>
      <c r="DKH102" s="142"/>
      <c r="DKI102" s="142"/>
      <c r="DKJ102" s="142"/>
      <c r="DKK102" s="142"/>
      <c r="DKL102" s="142"/>
      <c r="DKM102" s="142"/>
      <c r="DKN102" s="142"/>
      <c r="DKO102" s="142"/>
      <c r="DKP102" s="142"/>
      <c r="DKQ102" s="142"/>
      <c r="DKR102" s="142"/>
      <c r="DKS102" s="142"/>
      <c r="DKT102" s="142"/>
      <c r="DKU102" s="142"/>
      <c r="DKV102" s="142"/>
      <c r="DKW102" s="142"/>
      <c r="DKX102" s="142"/>
      <c r="DKY102" s="142"/>
      <c r="DKZ102" s="142"/>
      <c r="DLA102" s="142"/>
      <c r="DLB102" s="142"/>
      <c r="DLC102" s="142"/>
      <c r="DLD102" s="142"/>
      <c r="DLE102" s="142"/>
      <c r="DLF102" s="142"/>
      <c r="DLG102" s="142"/>
      <c r="DLH102" s="142"/>
      <c r="DLI102" s="142"/>
      <c r="DLJ102" s="142"/>
      <c r="DLK102" s="142"/>
      <c r="DLL102" s="142"/>
      <c r="DLM102" s="142"/>
      <c r="DLN102" s="142"/>
      <c r="DLO102" s="142"/>
      <c r="DLP102" s="142"/>
      <c r="DLQ102" s="142"/>
      <c r="DLR102" s="142"/>
      <c r="DLS102" s="142"/>
      <c r="DLT102" s="142"/>
      <c r="DLU102" s="142"/>
      <c r="DLV102" s="142"/>
      <c r="DLW102" s="142"/>
      <c r="DLX102" s="142"/>
      <c r="DLY102" s="142"/>
      <c r="DLZ102" s="142"/>
      <c r="DMA102" s="142"/>
      <c r="DMB102" s="142"/>
      <c r="DMC102" s="142"/>
      <c r="DMD102" s="142"/>
      <c r="DME102" s="142"/>
      <c r="DMF102" s="142"/>
      <c r="DMG102" s="142"/>
      <c r="DMH102" s="142"/>
      <c r="DMI102" s="142"/>
      <c r="DMJ102" s="142"/>
      <c r="DMK102" s="142"/>
      <c r="DML102" s="142"/>
      <c r="DMM102" s="142"/>
      <c r="DMN102" s="142"/>
      <c r="DMO102" s="142"/>
      <c r="DMP102" s="142"/>
      <c r="DMQ102" s="142"/>
      <c r="DMR102" s="142"/>
      <c r="DMS102" s="142"/>
      <c r="DMT102" s="142"/>
      <c r="DMU102" s="142"/>
      <c r="DMV102" s="142"/>
      <c r="DMW102" s="142"/>
      <c r="DMX102" s="142"/>
      <c r="DMY102" s="142"/>
      <c r="DMZ102" s="142"/>
      <c r="DNA102" s="142"/>
      <c r="DNB102" s="142"/>
      <c r="DNC102" s="142"/>
      <c r="DND102" s="142"/>
      <c r="DNE102" s="142"/>
      <c r="DNF102" s="142"/>
      <c r="DNG102" s="142"/>
      <c r="DNH102" s="142"/>
      <c r="DNI102" s="142"/>
      <c r="DNJ102" s="142"/>
      <c r="DNK102" s="142"/>
      <c r="DNL102" s="142"/>
      <c r="DNM102" s="142"/>
      <c r="DNN102" s="142"/>
      <c r="DNO102" s="142"/>
      <c r="DNP102" s="142"/>
      <c r="DNQ102" s="142"/>
      <c r="DNR102" s="142"/>
      <c r="DNS102" s="142"/>
      <c r="DNT102" s="142"/>
      <c r="DNU102" s="142"/>
      <c r="DNV102" s="142"/>
      <c r="DNW102" s="142"/>
      <c r="DNX102" s="142"/>
      <c r="DNY102" s="142"/>
      <c r="DNZ102" s="142"/>
      <c r="DOA102" s="142"/>
      <c r="DOB102" s="142"/>
      <c r="DOC102" s="142"/>
      <c r="DOD102" s="142"/>
      <c r="DOE102" s="142"/>
      <c r="DOF102" s="142"/>
      <c r="DOG102" s="142"/>
      <c r="DOH102" s="142"/>
      <c r="DOI102" s="142"/>
      <c r="DOJ102" s="142"/>
      <c r="DOK102" s="142"/>
      <c r="DOL102" s="142"/>
      <c r="DOM102" s="142"/>
      <c r="DON102" s="142"/>
      <c r="DOO102" s="142"/>
      <c r="DOP102" s="142"/>
      <c r="DOQ102" s="142"/>
      <c r="DOR102" s="142"/>
      <c r="DOS102" s="142"/>
      <c r="DOT102" s="142"/>
      <c r="DOU102" s="142"/>
      <c r="DOV102" s="142"/>
      <c r="DOW102" s="142"/>
      <c r="DOX102" s="142"/>
      <c r="DOY102" s="142"/>
      <c r="DOZ102" s="142"/>
      <c r="DPA102" s="142"/>
      <c r="DPB102" s="142"/>
      <c r="DPC102" s="142"/>
      <c r="DPD102" s="142"/>
      <c r="DPE102" s="142"/>
      <c r="DPF102" s="142"/>
      <c r="DPG102" s="142"/>
      <c r="DPH102" s="142"/>
      <c r="DPI102" s="142"/>
      <c r="DPJ102" s="142"/>
      <c r="DPK102" s="142"/>
      <c r="DPL102" s="142"/>
      <c r="DPM102" s="142"/>
      <c r="DPN102" s="142"/>
      <c r="DPO102" s="142"/>
      <c r="DPP102" s="142"/>
      <c r="DPQ102" s="142"/>
      <c r="DPR102" s="142"/>
      <c r="DPS102" s="142"/>
      <c r="DPT102" s="142"/>
      <c r="DPU102" s="142"/>
      <c r="DPV102" s="142"/>
      <c r="DPW102" s="142"/>
      <c r="DPX102" s="142"/>
      <c r="DPY102" s="142"/>
      <c r="DPZ102" s="142"/>
      <c r="DQA102" s="142"/>
      <c r="DQB102" s="142"/>
      <c r="DQC102" s="142"/>
      <c r="DQD102" s="142"/>
      <c r="DQE102" s="142"/>
      <c r="DQF102" s="142"/>
      <c r="DQG102" s="142"/>
      <c r="DQH102" s="142"/>
      <c r="DQI102" s="142"/>
      <c r="DQJ102" s="142"/>
      <c r="DQK102" s="142"/>
      <c r="DQL102" s="142"/>
      <c r="DQM102" s="142"/>
      <c r="DQN102" s="142"/>
      <c r="DQO102" s="142"/>
      <c r="DQP102" s="142"/>
      <c r="DQQ102" s="142"/>
      <c r="DQR102" s="142"/>
      <c r="DQS102" s="142"/>
      <c r="DQT102" s="142"/>
      <c r="DQU102" s="142"/>
      <c r="DQV102" s="142"/>
      <c r="DQW102" s="142"/>
      <c r="DQX102" s="142"/>
      <c r="DQY102" s="142"/>
      <c r="DQZ102" s="142"/>
      <c r="DRA102" s="142"/>
      <c r="DRB102" s="142"/>
      <c r="DRC102" s="142"/>
      <c r="DRD102" s="142"/>
      <c r="DRE102" s="142"/>
      <c r="DRF102" s="142"/>
      <c r="DRG102" s="142"/>
      <c r="DRH102" s="142"/>
      <c r="DRI102" s="142"/>
      <c r="DRJ102" s="142"/>
      <c r="DRK102" s="142"/>
      <c r="DRL102" s="142"/>
      <c r="DRM102" s="142"/>
      <c r="DRN102" s="142"/>
      <c r="DRO102" s="142"/>
      <c r="DRP102" s="142"/>
      <c r="DRQ102" s="142"/>
      <c r="DRR102" s="142"/>
      <c r="DRS102" s="142"/>
      <c r="DRT102" s="142"/>
      <c r="DRU102" s="142"/>
      <c r="DRV102" s="142"/>
      <c r="DRW102" s="142"/>
      <c r="DRX102" s="142"/>
      <c r="DRY102" s="142"/>
      <c r="DRZ102" s="142"/>
      <c r="DSA102" s="142"/>
      <c r="DSB102" s="142"/>
      <c r="DSC102" s="142"/>
      <c r="DSD102" s="142"/>
      <c r="DSE102" s="142"/>
      <c r="DSF102" s="142"/>
      <c r="DSG102" s="142"/>
      <c r="DSH102" s="142"/>
      <c r="DSI102" s="142"/>
      <c r="DSJ102" s="142"/>
      <c r="DSK102" s="142"/>
      <c r="DSL102" s="142"/>
      <c r="DSM102" s="142"/>
      <c r="DSN102" s="142"/>
      <c r="DSO102" s="142"/>
      <c r="DSP102" s="142"/>
      <c r="DSQ102" s="142"/>
      <c r="DSR102" s="142"/>
      <c r="DSS102" s="142"/>
      <c r="DST102" s="142"/>
      <c r="DSU102" s="142"/>
      <c r="DSV102" s="142"/>
      <c r="DSW102" s="142"/>
      <c r="DSX102" s="142"/>
      <c r="DSY102" s="142"/>
      <c r="DSZ102" s="142"/>
      <c r="DTA102" s="142"/>
      <c r="DTB102" s="142"/>
      <c r="DTC102" s="142"/>
      <c r="DTD102" s="142"/>
      <c r="DTE102" s="142"/>
      <c r="DTF102" s="142"/>
      <c r="DTG102" s="142"/>
      <c r="DTH102" s="142"/>
      <c r="DTI102" s="142"/>
      <c r="DTJ102" s="142"/>
      <c r="DTK102" s="142"/>
      <c r="DTL102" s="142"/>
      <c r="DTM102" s="142"/>
      <c r="DTN102" s="142"/>
      <c r="DTO102" s="142"/>
      <c r="DTP102" s="142"/>
      <c r="DTQ102" s="142"/>
      <c r="DTR102" s="142"/>
      <c r="DTS102" s="142"/>
      <c r="DTT102" s="142"/>
      <c r="DTU102" s="142"/>
      <c r="DTV102" s="142"/>
      <c r="DTW102" s="142"/>
      <c r="DTX102" s="142"/>
      <c r="DTY102" s="142"/>
      <c r="DTZ102" s="142"/>
      <c r="DUA102" s="142"/>
      <c r="DUB102" s="142"/>
      <c r="DUC102" s="142"/>
      <c r="DUD102" s="142"/>
      <c r="DUE102" s="142"/>
      <c r="DUF102" s="142"/>
      <c r="DUG102" s="142"/>
      <c r="DUH102" s="142"/>
      <c r="DUI102" s="142"/>
      <c r="DUJ102" s="142"/>
      <c r="DUK102" s="142"/>
      <c r="DUL102" s="142"/>
      <c r="DUM102" s="142"/>
      <c r="DUN102" s="142"/>
      <c r="DUO102" s="142"/>
      <c r="DUP102" s="142"/>
      <c r="DUQ102" s="142"/>
      <c r="DUR102" s="142"/>
      <c r="DUS102" s="142"/>
      <c r="DUT102" s="142"/>
      <c r="DUU102" s="142"/>
      <c r="DUV102" s="142"/>
      <c r="DUW102" s="142"/>
      <c r="DUX102" s="142"/>
      <c r="DUY102" s="142"/>
      <c r="DUZ102" s="142"/>
      <c r="DVA102" s="142"/>
      <c r="DVB102" s="142"/>
      <c r="DVC102" s="142"/>
      <c r="DVD102" s="142"/>
      <c r="DVE102" s="142"/>
      <c r="DVF102" s="142"/>
      <c r="DVG102" s="142"/>
      <c r="DVH102" s="142"/>
      <c r="DVI102" s="142"/>
      <c r="DVJ102" s="142"/>
      <c r="DVK102" s="142"/>
      <c r="DVL102" s="142"/>
      <c r="DVM102" s="142"/>
      <c r="DVN102" s="142"/>
      <c r="DVO102" s="142"/>
      <c r="DVP102" s="142"/>
      <c r="DVQ102" s="142"/>
      <c r="DVR102" s="142"/>
      <c r="DVS102" s="142"/>
      <c r="DVT102" s="142"/>
      <c r="DVU102" s="142"/>
      <c r="DVV102" s="142"/>
      <c r="DVW102" s="142"/>
      <c r="DVX102" s="142"/>
      <c r="DVY102" s="142"/>
      <c r="DVZ102" s="142"/>
      <c r="DWA102" s="142"/>
      <c r="DWB102" s="142"/>
      <c r="DWC102" s="142"/>
      <c r="DWD102" s="142"/>
      <c r="DWE102" s="142"/>
      <c r="DWF102" s="142"/>
      <c r="DWG102" s="142"/>
      <c r="DWH102" s="142"/>
      <c r="DWI102" s="142"/>
      <c r="DWJ102" s="142"/>
      <c r="DWK102" s="142"/>
      <c r="DWL102" s="142"/>
      <c r="DWM102" s="142"/>
      <c r="DWN102" s="142"/>
      <c r="DWO102" s="142"/>
      <c r="DWP102" s="142"/>
      <c r="DWQ102" s="142"/>
      <c r="DWR102" s="142"/>
      <c r="DWS102" s="142"/>
      <c r="DWT102" s="142"/>
      <c r="DWU102" s="142"/>
      <c r="DWV102" s="142"/>
      <c r="DWW102" s="142"/>
      <c r="DWX102" s="142"/>
      <c r="DWY102" s="142"/>
      <c r="DWZ102" s="142"/>
      <c r="DXA102" s="142"/>
      <c r="DXB102" s="142"/>
      <c r="DXC102" s="142"/>
      <c r="DXD102" s="142"/>
      <c r="DXE102" s="142"/>
      <c r="DXF102" s="142"/>
      <c r="DXG102" s="142"/>
      <c r="DXH102" s="142"/>
      <c r="DXI102" s="142"/>
      <c r="DXJ102" s="142"/>
      <c r="DXK102" s="142"/>
      <c r="DXL102" s="142"/>
      <c r="DXM102" s="142"/>
      <c r="DXN102" s="142"/>
      <c r="DXO102" s="142"/>
      <c r="DXP102" s="142"/>
      <c r="DXQ102" s="142"/>
      <c r="DXR102" s="142"/>
      <c r="DXS102" s="142"/>
      <c r="DXT102" s="142"/>
      <c r="DXU102" s="142"/>
      <c r="DXV102" s="142"/>
      <c r="DXW102" s="142"/>
      <c r="DXX102" s="142"/>
      <c r="DXY102" s="142"/>
      <c r="DXZ102" s="142"/>
      <c r="DYA102" s="142"/>
      <c r="DYB102" s="142"/>
      <c r="DYC102" s="142"/>
      <c r="DYD102" s="142"/>
      <c r="DYE102" s="142"/>
      <c r="DYF102" s="142"/>
      <c r="DYG102" s="142"/>
      <c r="DYH102" s="142"/>
      <c r="DYI102" s="142"/>
      <c r="DYJ102" s="142"/>
      <c r="DYK102" s="142"/>
      <c r="DYL102" s="142"/>
      <c r="DYM102" s="142"/>
      <c r="DYN102" s="142"/>
      <c r="DYO102" s="142"/>
      <c r="DYP102" s="142"/>
      <c r="DYQ102" s="142"/>
      <c r="DYR102" s="142"/>
      <c r="DYS102" s="142"/>
      <c r="DYT102" s="142"/>
      <c r="DYU102" s="142"/>
      <c r="DYV102" s="142"/>
      <c r="DYW102" s="142"/>
      <c r="DYX102" s="142"/>
      <c r="DYY102" s="142"/>
      <c r="DYZ102" s="142"/>
      <c r="DZA102" s="142"/>
      <c r="DZB102" s="142"/>
      <c r="DZC102" s="142"/>
      <c r="DZD102" s="142"/>
      <c r="DZE102" s="142"/>
      <c r="DZF102" s="142"/>
      <c r="DZG102" s="142"/>
      <c r="DZH102" s="142"/>
      <c r="DZI102" s="142"/>
      <c r="DZJ102" s="142"/>
      <c r="DZK102" s="142"/>
      <c r="DZL102" s="142"/>
      <c r="DZM102" s="142"/>
      <c r="DZN102" s="142"/>
      <c r="DZO102" s="142"/>
      <c r="DZP102" s="142"/>
      <c r="DZQ102" s="142"/>
      <c r="DZR102" s="142"/>
      <c r="DZS102" s="142"/>
      <c r="DZT102" s="142"/>
      <c r="DZU102" s="142"/>
      <c r="DZV102" s="142"/>
      <c r="DZW102" s="142"/>
      <c r="DZX102" s="142"/>
      <c r="DZY102" s="142"/>
      <c r="DZZ102" s="142"/>
      <c r="EAA102" s="142"/>
      <c r="EAB102" s="142"/>
      <c r="EAC102" s="142"/>
      <c r="EAD102" s="142"/>
      <c r="EAE102" s="142"/>
      <c r="EAF102" s="142"/>
      <c r="EAG102" s="142"/>
      <c r="EAH102" s="142"/>
      <c r="EAI102" s="142"/>
      <c r="EAJ102" s="142"/>
      <c r="EAK102" s="142"/>
      <c r="EAL102" s="142"/>
      <c r="EAM102" s="142"/>
      <c r="EAN102" s="142"/>
      <c r="EAO102" s="142"/>
      <c r="EAP102" s="142"/>
      <c r="EAQ102" s="142"/>
      <c r="EAR102" s="142"/>
      <c r="EAS102" s="142"/>
      <c r="EAT102" s="142"/>
      <c r="EAU102" s="142"/>
      <c r="EAV102" s="142"/>
      <c r="EAW102" s="142"/>
      <c r="EAX102" s="142"/>
      <c r="EAY102" s="142"/>
      <c r="EAZ102" s="142"/>
      <c r="EBA102" s="142"/>
      <c r="EBB102" s="142"/>
      <c r="EBC102" s="142"/>
      <c r="EBD102" s="142"/>
      <c r="EBE102" s="142"/>
      <c r="EBF102" s="142"/>
      <c r="EBG102" s="142"/>
      <c r="EBH102" s="142"/>
      <c r="EBI102" s="142"/>
      <c r="EBJ102" s="142"/>
      <c r="EBK102" s="142"/>
      <c r="EBL102" s="142"/>
      <c r="EBM102" s="142"/>
      <c r="EBN102" s="142"/>
      <c r="EBO102" s="142"/>
      <c r="EBP102" s="142"/>
      <c r="EBQ102" s="142"/>
      <c r="EBR102" s="142"/>
      <c r="EBS102" s="142"/>
      <c r="EBT102" s="142"/>
      <c r="EBU102" s="142"/>
      <c r="EBV102" s="142"/>
      <c r="EBW102" s="142"/>
      <c r="EBX102" s="142"/>
      <c r="EBY102" s="142"/>
      <c r="EBZ102" s="142"/>
      <c r="ECA102" s="142"/>
      <c r="ECB102" s="142"/>
      <c r="ECC102" s="142"/>
      <c r="ECD102" s="142"/>
      <c r="ECE102" s="142"/>
      <c r="ECF102" s="142"/>
      <c r="ECG102" s="142"/>
      <c r="ECH102" s="142"/>
      <c r="ECI102" s="142"/>
      <c r="ECJ102" s="142"/>
      <c r="ECK102" s="142"/>
      <c r="ECL102" s="142"/>
      <c r="ECM102" s="142"/>
      <c r="ECN102" s="142"/>
      <c r="ECO102" s="142"/>
      <c r="ECP102" s="142"/>
      <c r="ECQ102" s="142"/>
      <c r="ECR102" s="142"/>
      <c r="ECS102" s="142"/>
      <c r="ECT102" s="142"/>
      <c r="ECU102" s="142"/>
      <c r="ECV102" s="142"/>
      <c r="ECW102" s="142"/>
      <c r="ECX102" s="142"/>
      <c r="ECY102" s="142"/>
      <c r="ECZ102" s="142"/>
      <c r="EDA102" s="142"/>
      <c r="EDB102" s="142"/>
      <c r="EDC102" s="142"/>
      <c r="EDD102" s="142"/>
      <c r="EDE102" s="142"/>
      <c r="EDF102" s="142"/>
      <c r="EDG102" s="142"/>
      <c r="EDH102" s="142"/>
      <c r="EDI102" s="142"/>
      <c r="EDJ102" s="142"/>
      <c r="EDK102" s="142"/>
      <c r="EDL102" s="142"/>
      <c r="EDM102" s="142"/>
      <c r="EDN102" s="142"/>
      <c r="EDO102" s="142"/>
      <c r="EDP102" s="142"/>
      <c r="EDQ102" s="142"/>
      <c r="EDR102" s="142"/>
      <c r="EDS102" s="142"/>
      <c r="EDT102" s="142"/>
      <c r="EDU102" s="142"/>
      <c r="EDV102" s="142"/>
      <c r="EDW102" s="142"/>
      <c r="EDX102" s="142"/>
      <c r="EDY102" s="142"/>
      <c r="EDZ102" s="142"/>
      <c r="EEA102" s="142"/>
      <c r="EEB102" s="142"/>
      <c r="EEC102" s="142"/>
      <c r="EED102" s="142"/>
      <c r="EEE102" s="142"/>
      <c r="EEF102" s="142"/>
      <c r="EEG102" s="142"/>
      <c r="EEH102" s="142"/>
      <c r="EEI102" s="142"/>
      <c r="EEJ102" s="142"/>
      <c r="EEK102" s="142"/>
      <c r="EEL102" s="142"/>
      <c r="EEM102" s="142"/>
      <c r="EEN102" s="142"/>
      <c r="EEO102" s="142"/>
      <c r="EEP102" s="142"/>
      <c r="EEQ102" s="142"/>
      <c r="EER102" s="142"/>
      <c r="EES102" s="142"/>
      <c r="EET102" s="142"/>
      <c r="EEU102" s="142"/>
      <c r="EEV102" s="142"/>
      <c r="EEW102" s="142"/>
      <c r="EEX102" s="142"/>
      <c r="EEY102" s="142"/>
      <c r="EEZ102" s="142"/>
      <c r="EFA102" s="142"/>
      <c r="EFB102" s="142"/>
      <c r="EFC102" s="142"/>
      <c r="EFD102" s="142"/>
      <c r="EFE102" s="142"/>
      <c r="EFF102" s="142"/>
      <c r="EFG102" s="142"/>
      <c r="EFH102" s="142"/>
      <c r="EFI102" s="142"/>
      <c r="EFJ102" s="142"/>
      <c r="EFK102" s="142"/>
      <c r="EFL102" s="142"/>
      <c r="EFM102" s="142"/>
      <c r="EFN102" s="142"/>
      <c r="EFO102" s="142"/>
      <c r="EFP102" s="142"/>
      <c r="EFQ102" s="142"/>
      <c r="EFR102" s="142"/>
      <c r="EFS102" s="142"/>
      <c r="EFT102" s="142"/>
      <c r="EFU102" s="142"/>
      <c r="EFV102" s="142"/>
      <c r="EFW102" s="142"/>
      <c r="EFX102" s="142"/>
      <c r="EFY102" s="142"/>
      <c r="EFZ102" s="142"/>
      <c r="EGA102" s="142"/>
      <c r="EGB102" s="142"/>
      <c r="EGC102" s="142"/>
      <c r="EGD102" s="142"/>
      <c r="EGE102" s="142"/>
      <c r="EGF102" s="142"/>
      <c r="EGG102" s="142"/>
      <c r="EGH102" s="142"/>
      <c r="EGI102" s="142"/>
      <c r="EGJ102" s="142"/>
      <c r="EGK102" s="142"/>
      <c r="EGL102" s="142"/>
      <c r="EGM102" s="142"/>
      <c r="EGN102" s="142"/>
      <c r="EGO102" s="142"/>
      <c r="EGP102" s="142"/>
      <c r="EGQ102" s="142"/>
      <c r="EGR102" s="142"/>
      <c r="EGS102" s="142"/>
      <c r="EGT102" s="142"/>
      <c r="EGU102" s="142"/>
      <c r="EGV102" s="142"/>
      <c r="EGW102" s="142"/>
      <c r="EGX102" s="142"/>
      <c r="EGY102" s="142"/>
      <c r="EGZ102" s="142"/>
      <c r="EHA102" s="142"/>
      <c r="EHB102" s="142"/>
      <c r="EHC102" s="142"/>
      <c r="EHD102" s="142"/>
      <c r="EHE102" s="142"/>
      <c r="EHF102" s="142"/>
      <c r="EHG102" s="142"/>
      <c r="EHH102" s="142"/>
      <c r="EHI102" s="142"/>
      <c r="EHJ102" s="142"/>
      <c r="EHK102" s="142"/>
      <c r="EHL102" s="142"/>
      <c r="EHM102" s="142"/>
      <c r="EHN102" s="142"/>
      <c r="EHO102" s="142"/>
      <c r="EHP102" s="142"/>
      <c r="EHQ102" s="142"/>
      <c r="EHR102" s="142"/>
      <c r="EHS102" s="142"/>
      <c r="EHT102" s="142"/>
      <c r="EHU102" s="142"/>
      <c r="EHV102" s="142"/>
      <c r="EHW102" s="142"/>
      <c r="EHX102" s="142"/>
      <c r="EHY102" s="142"/>
      <c r="EHZ102" s="142"/>
      <c r="EIA102" s="142"/>
      <c r="EIB102" s="142"/>
      <c r="EIC102" s="142"/>
      <c r="EID102" s="142"/>
      <c r="EIE102" s="142"/>
      <c r="EIF102" s="142"/>
      <c r="EIG102" s="142"/>
      <c r="EIH102" s="142"/>
      <c r="EII102" s="142"/>
      <c r="EIJ102" s="142"/>
      <c r="EIK102" s="142"/>
      <c r="EIL102" s="142"/>
      <c r="EIM102" s="142"/>
      <c r="EIN102" s="142"/>
      <c r="EIO102" s="142"/>
      <c r="EIP102" s="142"/>
      <c r="EIQ102" s="142"/>
      <c r="EIR102" s="142"/>
      <c r="EIS102" s="142"/>
      <c r="EIT102" s="142"/>
      <c r="EIU102" s="142"/>
      <c r="EIV102" s="142"/>
      <c r="EIW102" s="142"/>
      <c r="EIX102" s="142"/>
      <c r="EIY102" s="142"/>
      <c r="EIZ102" s="142"/>
      <c r="EJA102" s="142"/>
      <c r="EJB102" s="142"/>
      <c r="EJC102" s="142"/>
      <c r="EJD102" s="142"/>
      <c r="EJE102" s="142"/>
      <c r="EJF102" s="142"/>
      <c r="EJG102" s="142"/>
      <c r="EJH102" s="142"/>
      <c r="EJI102" s="142"/>
      <c r="EJJ102" s="142"/>
      <c r="EJK102" s="142"/>
      <c r="EJL102" s="142"/>
      <c r="EJM102" s="142"/>
      <c r="EJN102" s="142"/>
      <c r="EJO102" s="142"/>
      <c r="EJP102" s="142"/>
      <c r="EJQ102" s="142"/>
      <c r="EJR102" s="142"/>
      <c r="EJS102" s="142"/>
      <c r="EJT102" s="142"/>
      <c r="EJU102" s="142"/>
      <c r="EJV102" s="142"/>
      <c r="EJW102" s="142"/>
      <c r="EJX102" s="142"/>
      <c r="EJY102" s="142"/>
      <c r="EJZ102" s="142"/>
      <c r="EKA102" s="142"/>
      <c r="EKB102" s="142"/>
      <c r="EKC102" s="142"/>
      <c r="EKD102" s="142"/>
      <c r="EKE102" s="142"/>
      <c r="EKF102" s="142"/>
      <c r="EKG102" s="142"/>
      <c r="EKH102" s="142"/>
      <c r="EKI102" s="142"/>
      <c r="EKJ102" s="142"/>
      <c r="EKK102" s="142"/>
      <c r="EKL102" s="142"/>
      <c r="EKM102" s="142"/>
      <c r="EKN102" s="142"/>
      <c r="EKO102" s="142"/>
      <c r="EKP102" s="142"/>
      <c r="EKQ102" s="142"/>
      <c r="EKR102" s="142"/>
      <c r="EKS102" s="142"/>
      <c r="EKT102" s="142"/>
      <c r="EKU102" s="142"/>
      <c r="EKV102" s="142"/>
      <c r="EKW102" s="142"/>
      <c r="EKX102" s="142"/>
      <c r="EKY102" s="142"/>
      <c r="EKZ102" s="142"/>
      <c r="ELA102" s="142"/>
      <c r="ELB102" s="142"/>
      <c r="ELC102" s="142"/>
      <c r="ELD102" s="142"/>
      <c r="ELE102" s="142"/>
      <c r="ELF102" s="142"/>
      <c r="ELG102" s="142"/>
      <c r="ELH102" s="142"/>
      <c r="ELI102" s="142"/>
      <c r="ELJ102" s="142"/>
      <c r="ELK102" s="142"/>
      <c r="ELL102" s="142"/>
      <c r="ELM102" s="142"/>
      <c r="ELN102" s="142"/>
      <c r="ELO102" s="142"/>
      <c r="ELP102" s="142"/>
      <c r="ELQ102" s="142"/>
      <c r="ELR102" s="142"/>
      <c r="ELS102" s="142"/>
      <c r="ELT102" s="142"/>
      <c r="ELU102" s="142"/>
      <c r="ELV102" s="142"/>
      <c r="ELW102" s="142"/>
      <c r="ELX102" s="142"/>
      <c r="ELY102" s="142"/>
      <c r="ELZ102" s="142"/>
      <c r="EMA102" s="142"/>
      <c r="EMB102" s="142"/>
      <c r="EMC102" s="142"/>
      <c r="EMD102" s="142"/>
      <c r="EME102" s="142"/>
      <c r="EMF102" s="142"/>
      <c r="EMG102" s="142"/>
      <c r="EMH102" s="142"/>
      <c r="EMI102" s="142"/>
      <c r="EMJ102" s="142"/>
      <c r="EMK102" s="142"/>
      <c r="EML102" s="142"/>
      <c r="EMM102" s="142"/>
      <c r="EMN102" s="142"/>
      <c r="EMO102" s="142"/>
      <c r="EMP102" s="142"/>
      <c r="EMQ102" s="142"/>
      <c r="EMR102" s="142"/>
      <c r="EMS102" s="142"/>
      <c r="EMT102" s="142"/>
      <c r="EMU102" s="142"/>
      <c r="EMV102" s="142"/>
      <c r="EMW102" s="142"/>
      <c r="EMX102" s="142"/>
      <c r="EMY102" s="142"/>
      <c r="EMZ102" s="142"/>
      <c r="ENA102" s="142"/>
      <c r="ENB102" s="142"/>
      <c r="ENC102" s="142"/>
      <c r="END102" s="142"/>
      <c r="ENE102" s="142"/>
      <c r="ENF102" s="142"/>
      <c r="ENG102" s="142"/>
      <c r="ENH102" s="142"/>
      <c r="ENI102" s="142"/>
      <c r="ENJ102" s="142"/>
      <c r="ENK102" s="142"/>
      <c r="ENL102" s="142"/>
      <c r="ENM102" s="142"/>
      <c r="ENN102" s="142"/>
      <c r="ENO102" s="142"/>
      <c r="ENP102" s="142"/>
      <c r="ENQ102" s="142"/>
      <c r="ENR102" s="142"/>
      <c r="ENS102" s="142"/>
      <c r="ENT102" s="142"/>
      <c r="ENU102" s="142"/>
      <c r="ENV102" s="142"/>
      <c r="ENW102" s="142"/>
      <c r="ENX102" s="142"/>
      <c r="ENY102" s="142"/>
      <c r="ENZ102" s="142"/>
      <c r="EOA102" s="142"/>
      <c r="EOB102" s="142"/>
      <c r="EOC102" s="142"/>
      <c r="EOD102" s="142"/>
      <c r="EOE102" s="142"/>
      <c r="EOF102" s="142"/>
      <c r="EOG102" s="142"/>
      <c r="EOH102" s="142"/>
      <c r="EOI102" s="142"/>
      <c r="EOJ102" s="142"/>
      <c r="EOK102" s="142"/>
      <c r="EOL102" s="142"/>
      <c r="EOM102" s="142"/>
      <c r="EON102" s="142"/>
      <c r="EOO102" s="142"/>
      <c r="EOP102" s="142"/>
      <c r="EOQ102" s="142"/>
      <c r="EOR102" s="142"/>
      <c r="EOS102" s="142"/>
      <c r="EOT102" s="142"/>
      <c r="EOU102" s="142"/>
      <c r="EOV102" s="142"/>
      <c r="EOW102" s="142"/>
      <c r="EOX102" s="142"/>
      <c r="EOY102" s="142"/>
      <c r="EOZ102" s="142"/>
      <c r="EPA102" s="142"/>
      <c r="EPB102" s="142"/>
      <c r="EPC102" s="142"/>
      <c r="EPD102" s="142"/>
      <c r="EPE102" s="142"/>
      <c r="EPF102" s="142"/>
      <c r="EPG102" s="142"/>
      <c r="EPH102" s="142"/>
      <c r="EPI102" s="142"/>
      <c r="EPJ102" s="142"/>
      <c r="EPK102" s="142"/>
      <c r="EPL102" s="142"/>
      <c r="EPM102" s="142"/>
      <c r="EPN102" s="142"/>
      <c r="EPO102" s="142"/>
      <c r="EPP102" s="142"/>
      <c r="EPQ102" s="142"/>
      <c r="EPR102" s="142"/>
      <c r="EPS102" s="142"/>
      <c r="EPT102" s="142"/>
      <c r="EPU102" s="142"/>
      <c r="EPV102" s="142"/>
      <c r="EPW102" s="142"/>
      <c r="EPX102" s="142"/>
      <c r="EPY102" s="142"/>
      <c r="EPZ102" s="142"/>
      <c r="EQA102" s="142"/>
      <c r="EQB102" s="142"/>
      <c r="EQC102" s="142"/>
      <c r="EQD102" s="142"/>
      <c r="EQE102" s="142"/>
      <c r="EQF102" s="142"/>
      <c r="EQG102" s="142"/>
      <c r="EQH102" s="142"/>
      <c r="EQI102" s="142"/>
      <c r="EQJ102" s="142"/>
      <c r="EQK102" s="142"/>
      <c r="EQL102" s="142"/>
      <c r="EQM102" s="142"/>
      <c r="EQN102" s="142"/>
      <c r="EQO102" s="142"/>
      <c r="EQP102" s="142"/>
      <c r="EQQ102" s="142"/>
      <c r="EQR102" s="142"/>
      <c r="EQS102" s="142"/>
      <c r="EQT102" s="142"/>
      <c r="EQU102" s="142"/>
      <c r="EQV102" s="142"/>
      <c r="EQW102" s="142"/>
      <c r="EQX102" s="142"/>
      <c r="EQY102" s="142"/>
      <c r="EQZ102" s="142"/>
      <c r="ERA102" s="142"/>
      <c r="ERB102" s="142"/>
      <c r="ERC102" s="142"/>
      <c r="ERD102" s="142"/>
      <c r="ERE102" s="142"/>
      <c r="ERF102" s="142"/>
      <c r="ERG102" s="142"/>
      <c r="ERH102" s="142"/>
      <c r="ERI102" s="142"/>
      <c r="ERJ102" s="142"/>
      <c r="ERK102" s="142"/>
      <c r="ERL102" s="142"/>
      <c r="ERM102" s="142"/>
      <c r="ERN102" s="142"/>
      <c r="ERO102" s="142"/>
      <c r="ERP102" s="142"/>
      <c r="ERQ102" s="142"/>
      <c r="ERR102" s="142"/>
      <c r="ERS102" s="142"/>
      <c r="ERT102" s="142"/>
      <c r="ERU102" s="142"/>
      <c r="ERV102" s="142"/>
      <c r="ERW102" s="142"/>
      <c r="ERX102" s="142"/>
      <c r="ERY102" s="142"/>
      <c r="ERZ102" s="142"/>
      <c r="ESA102" s="142"/>
      <c r="ESB102" s="142"/>
      <c r="ESC102" s="142"/>
      <c r="ESD102" s="142"/>
      <c r="ESE102" s="142"/>
      <c r="ESF102" s="142"/>
      <c r="ESG102" s="142"/>
      <c r="ESH102" s="142"/>
      <c r="ESI102" s="142"/>
      <c r="ESJ102" s="142"/>
      <c r="ESK102" s="142"/>
      <c r="ESL102" s="142"/>
      <c r="ESM102" s="142"/>
      <c r="ESN102" s="142"/>
      <c r="ESO102" s="142"/>
      <c r="ESP102" s="142"/>
      <c r="ESQ102" s="142"/>
      <c r="ESR102" s="142"/>
      <c r="ESS102" s="142"/>
      <c r="EST102" s="142"/>
      <c r="ESU102" s="142"/>
      <c r="ESV102" s="142"/>
      <c r="ESW102" s="142"/>
      <c r="ESX102" s="142"/>
      <c r="ESY102" s="142"/>
      <c r="ESZ102" s="142"/>
      <c r="ETA102" s="142"/>
      <c r="ETB102" s="142"/>
      <c r="ETC102" s="142"/>
      <c r="ETD102" s="142"/>
      <c r="ETE102" s="142"/>
      <c r="ETF102" s="142"/>
      <c r="ETG102" s="142"/>
      <c r="ETH102" s="142"/>
      <c r="ETI102" s="142"/>
      <c r="ETJ102" s="142"/>
      <c r="ETK102" s="142"/>
      <c r="ETL102" s="142"/>
      <c r="ETM102" s="142"/>
      <c r="ETN102" s="142"/>
      <c r="ETO102" s="142"/>
      <c r="ETP102" s="142"/>
      <c r="ETQ102" s="142"/>
      <c r="ETR102" s="142"/>
      <c r="ETS102" s="142"/>
      <c r="ETT102" s="142"/>
      <c r="ETU102" s="142"/>
      <c r="ETV102" s="142"/>
      <c r="ETW102" s="142"/>
      <c r="ETX102" s="142"/>
      <c r="ETY102" s="142"/>
      <c r="ETZ102" s="142"/>
      <c r="EUA102" s="142"/>
      <c r="EUB102" s="142"/>
      <c r="EUC102" s="142"/>
      <c r="EUD102" s="142"/>
      <c r="EUE102" s="142"/>
      <c r="EUF102" s="142"/>
      <c r="EUG102" s="142"/>
      <c r="EUH102" s="142"/>
      <c r="EUI102" s="142"/>
      <c r="EUJ102" s="142"/>
      <c r="EUK102" s="142"/>
      <c r="EUL102" s="142"/>
      <c r="EUM102" s="142"/>
      <c r="EUN102" s="142"/>
      <c r="EUO102" s="142"/>
      <c r="EUP102" s="142"/>
      <c r="EUQ102" s="142"/>
      <c r="EUR102" s="142"/>
      <c r="EUS102" s="142"/>
      <c r="EUT102" s="142"/>
      <c r="EUU102" s="142"/>
      <c r="EUV102" s="142"/>
      <c r="EUW102" s="142"/>
      <c r="EUX102" s="142"/>
      <c r="EUY102" s="142"/>
      <c r="EUZ102" s="142"/>
      <c r="EVA102" s="142"/>
      <c r="EVB102" s="142"/>
      <c r="EVC102" s="142"/>
      <c r="EVD102" s="142"/>
      <c r="EVE102" s="142"/>
      <c r="EVF102" s="142"/>
      <c r="EVG102" s="142"/>
      <c r="EVH102" s="142"/>
      <c r="EVI102" s="142"/>
      <c r="EVJ102" s="142"/>
      <c r="EVK102" s="142"/>
      <c r="EVL102" s="142"/>
      <c r="EVM102" s="142"/>
      <c r="EVN102" s="142"/>
      <c r="EVO102" s="142"/>
      <c r="EVP102" s="142"/>
      <c r="EVQ102" s="142"/>
      <c r="EVR102" s="142"/>
      <c r="EVS102" s="142"/>
      <c r="EVT102" s="142"/>
      <c r="EVU102" s="142"/>
      <c r="EVV102" s="142"/>
      <c r="EVW102" s="142"/>
      <c r="EVX102" s="142"/>
      <c r="EVY102" s="142"/>
      <c r="EVZ102" s="142"/>
      <c r="EWA102" s="142"/>
      <c r="EWB102" s="142"/>
      <c r="EWC102" s="142"/>
      <c r="EWD102" s="142"/>
      <c r="EWE102" s="142"/>
      <c r="EWF102" s="142"/>
      <c r="EWG102" s="142"/>
      <c r="EWH102" s="142"/>
      <c r="EWI102" s="142"/>
      <c r="EWJ102" s="142"/>
      <c r="EWK102" s="142"/>
      <c r="EWL102" s="142"/>
      <c r="EWM102" s="142"/>
      <c r="EWN102" s="142"/>
      <c r="EWO102" s="142"/>
      <c r="EWP102" s="142"/>
      <c r="EWQ102" s="142"/>
      <c r="EWR102" s="142"/>
      <c r="EWS102" s="142"/>
      <c r="EWT102" s="142"/>
      <c r="EWU102" s="142"/>
      <c r="EWV102" s="142"/>
      <c r="EWW102" s="142"/>
      <c r="EWX102" s="142"/>
      <c r="EWY102" s="142"/>
      <c r="EWZ102" s="142"/>
      <c r="EXA102" s="142"/>
      <c r="EXB102" s="142"/>
      <c r="EXC102" s="142"/>
      <c r="EXD102" s="142"/>
      <c r="EXE102" s="142"/>
      <c r="EXF102" s="142"/>
      <c r="EXG102" s="142"/>
      <c r="EXH102" s="142"/>
      <c r="EXI102" s="142"/>
      <c r="EXJ102" s="142"/>
      <c r="EXK102" s="142"/>
      <c r="EXL102" s="142"/>
      <c r="EXM102" s="142"/>
      <c r="EXN102" s="142"/>
      <c r="EXO102" s="142"/>
      <c r="EXP102" s="142"/>
      <c r="EXQ102" s="142"/>
      <c r="EXR102" s="142"/>
      <c r="EXS102" s="142"/>
      <c r="EXT102" s="142"/>
      <c r="EXU102" s="142"/>
      <c r="EXV102" s="142"/>
      <c r="EXW102" s="142"/>
      <c r="EXX102" s="142"/>
      <c r="EXY102" s="142"/>
      <c r="EXZ102" s="142"/>
      <c r="EYA102" s="142"/>
      <c r="EYB102" s="142"/>
      <c r="EYC102" s="142"/>
      <c r="EYD102" s="142"/>
      <c r="EYE102" s="142"/>
      <c r="EYF102" s="142"/>
      <c r="EYG102" s="142"/>
      <c r="EYH102" s="142"/>
      <c r="EYI102" s="142"/>
      <c r="EYJ102" s="142"/>
      <c r="EYK102" s="142"/>
      <c r="EYL102" s="142"/>
      <c r="EYM102" s="142"/>
      <c r="EYN102" s="142"/>
      <c r="EYO102" s="142"/>
      <c r="EYP102" s="142"/>
      <c r="EYQ102" s="142"/>
      <c r="EYR102" s="142"/>
      <c r="EYS102" s="142"/>
      <c r="EYT102" s="142"/>
      <c r="EYU102" s="142"/>
      <c r="EYV102" s="142"/>
      <c r="EYW102" s="142"/>
      <c r="EYX102" s="142"/>
      <c r="EYY102" s="142"/>
      <c r="EYZ102" s="142"/>
      <c r="EZA102" s="142"/>
      <c r="EZB102" s="142"/>
      <c r="EZC102" s="142"/>
      <c r="EZD102" s="142"/>
      <c r="EZE102" s="142"/>
      <c r="EZF102" s="142"/>
      <c r="EZG102" s="142"/>
      <c r="EZH102" s="142"/>
      <c r="EZI102" s="142"/>
      <c r="EZJ102" s="142"/>
      <c r="EZK102" s="142"/>
      <c r="EZL102" s="142"/>
      <c r="EZM102" s="142"/>
      <c r="EZN102" s="142"/>
      <c r="EZO102" s="142"/>
      <c r="EZP102" s="142"/>
      <c r="EZQ102" s="142"/>
      <c r="EZR102" s="142"/>
      <c r="EZS102" s="142"/>
      <c r="EZT102" s="142"/>
      <c r="EZU102" s="142"/>
      <c r="EZV102" s="142"/>
      <c r="EZW102" s="142"/>
      <c r="EZX102" s="142"/>
      <c r="EZY102" s="142"/>
      <c r="EZZ102" s="142"/>
      <c r="FAA102" s="142"/>
      <c r="FAB102" s="142"/>
      <c r="FAC102" s="142"/>
      <c r="FAD102" s="142"/>
      <c r="FAE102" s="142"/>
      <c r="FAF102" s="142"/>
      <c r="FAG102" s="142"/>
      <c r="FAH102" s="142"/>
      <c r="FAI102" s="142"/>
      <c r="FAJ102" s="142"/>
      <c r="FAK102" s="142"/>
      <c r="FAL102" s="142"/>
      <c r="FAM102" s="142"/>
      <c r="FAN102" s="142"/>
      <c r="FAO102" s="142"/>
      <c r="FAP102" s="142"/>
      <c r="FAQ102" s="142"/>
      <c r="FAR102" s="142"/>
      <c r="FAS102" s="142"/>
      <c r="FAT102" s="142"/>
      <c r="FAU102" s="142"/>
      <c r="FAV102" s="142"/>
      <c r="FAW102" s="142"/>
      <c r="FAX102" s="142"/>
      <c r="FAY102" s="142"/>
      <c r="FAZ102" s="142"/>
      <c r="FBA102" s="142"/>
      <c r="FBB102" s="142"/>
      <c r="FBC102" s="142"/>
      <c r="FBD102" s="142"/>
      <c r="FBE102" s="142"/>
      <c r="FBF102" s="142"/>
      <c r="FBG102" s="142"/>
      <c r="FBH102" s="142"/>
      <c r="FBI102" s="142"/>
      <c r="FBJ102" s="142"/>
      <c r="FBK102" s="142"/>
      <c r="FBL102" s="142"/>
      <c r="FBM102" s="142"/>
      <c r="FBN102" s="142"/>
      <c r="FBO102" s="142"/>
      <c r="FBP102" s="142"/>
      <c r="FBQ102" s="142"/>
      <c r="FBR102" s="142"/>
      <c r="FBS102" s="142"/>
      <c r="FBT102" s="142"/>
      <c r="FBU102" s="142"/>
      <c r="FBV102" s="142"/>
      <c r="FBW102" s="142"/>
      <c r="FBX102" s="142"/>
      <c r="FBY102" s="142"/>
      <c r="FBZ102" s="142"/>
      <c r="FCA102" s="142"/>
      <c r="FCB102" s="142"/>
      <c r="FCC102" s="142"/>
      <c r="FCD102" s="142"/>
      <c r="FCE102" s="142"/>
      <c r="FCF102" s="142"/>
      <c r="FCG102" s="142"/>
      <c r="FCH102" s="142"/>
      <c r="FCI102" s="142"/>
      <c r="FCJ102" s="142"/>
      <c r="FCK102" s="142"/>
      <c r="FCL102" s="142"/>
      <c r="FCM102" s="142"/>
      <c r="FCN102" s="142"/>
      <c r="FCO102" s="142"/>
      <c r="FCP102" s="142"/>
      <c r="FCQ102" s="142"/>
      <c r="FCR102" s="142"/>
      <c r="FCS102" s="142"/>
      <c r="FCT102" s="142"/>
      <c r="FCU102" s="142"/>
      <c r="FCV102" s="142"/>
      <c r="FCW102" s="142"/>
      <c r="FCX102" s="142"/>
      <c r="FCY102" s="142"/>
      <c r="FCZ102" s="142"/>
      <c r="FDA102" s="142"/>
      <c r="FDB102" s="142"/>
      <c r="FDC102" s="142"/>
      <c r="FDD102" s="142"/>
      <c r="FDE102" s="142"/>
      <c r="FDF102" s="142"/>
      <c r="FDG102" s="142"/>
      <c r="FDH102" s="142"/>
      <c r="FDI102" s="142"/>
      <c r="FDJ102" s="142"/>
      <c r="FDK102" s="142"/>
      <c r="FDL102" s="142"/>
      <c r="FDM102" s="142"/>
      <c r="FDN102" s="142"/>
      <c r="FDO102" s="142"/>
      <c r="FDP102" s="142"/>
      <c r="FDQ102" s="142"/>
      <c r="FDR102" s="142"/>
      <c r="FDS102" s="142"/>
      <c r="FDT102" s="142"/>
      <c r="FDU102" s="142"/>
      <c r="FDV102" s="142"/>
      <c r="FDW102" s="142"/>
      <c r="FDX102" s="142"/>
      <c r="FDY102" s="142"/>
      <c r="FDZ102" s="142"/>
      <c r="FEA102" s="142"/>
      <c r="FEB102" s="142"/>
      <c r="FEC102" s="142"/>
      <c r="FED102" s="142"/>
      <c r="FEE102" s="142"/>
      <c r="FEF102" s="142"/>
      <c r="FEG102" s="142"/>
      <c r="FEH102" s="142"/>
      <c r="FEI102" s="142"/>
      <c r="FEJ102" s="142"/>
      <c r="FEK102" s="142"/>
      <c r="FEL102" s="142"/>
      <c r="FEM102" s="142"/>
      <c r="FEN102" s="142"/>
      <c r="FEO102" s="142"/>
      <c r="FEP102" s="142"/>
      <c r="FEQ102" s="142"/>
      <c r="FER102" s="142"/>
      <c r="FES102" s="142"/>
      <c r="FET102" s="142"/>
      <c r="FEU102" s="142"/>
      <c r="FEV102" s="142"/>
      <c r="FEW102" s="142"/>
      <c r="FEX102" s="142"/>
      <c r="FEY102" s="142"/>
      <c r="FEZ102" s="142"/>
      <c r="FFA102" s="142"/>
      <c r="FFB102" s="142"/>
      <c r="FFC102" s="142"/>
      <c r="FFD102" s="142"/>
      <c r="FFE102" s="142"/>
      <c r="FFF102" s="142"/>
      <c r="FFG102" s="142"/>
      <c r="FFH102" s="142"/>
      <c r="FFI102" s="142"/>
      <c r="FFJ102" s="142"/>
      <c r="FFK102" s="142"/>
      <c r="FFL102" s="142"/>
      <c r="FFM102" s="142"/>
      <c r="FFN102" s="142"/>
      <c r="FFO102" s="142"/>
      <c r="FFP102" s="142"/>
      <c r="FFQ102" s="142"/>
      <c r="FFR102" s="142"/>
      <c r="FFS102" s="142"/>
      <c r="FFT102" s="142"/>
      <c r="FFU102" s="142"/>
      <c r="FFV102" s="142"/>
      <c r="FFW102" s="142"/>
      <c r="FFX102" s="142"/>
      <c r="FFY102" s="142"/>
      <c r="FFZ102" s="142"/>
      <c r="FGA102" s="142"/>
      <c r="FGB102" s="142"/>
      <c r="FGC102" s="142"/>
      <c r="FGD102" s="142"/>
      <c r="FGE102" s="142"/>
      <c r="FGF102" s="142"/>
      <c r="FGG102" s="142"/>
      <c r="FGH102" s="142"/>
      <c r="FGI102" s="142"/>
      <c r="FGJ102" s="142"/>
      <c r="FGK102" s="142"/>
      <c r="FGL102" s="142"/>
      <c r="FGM102" s="142"/>
      <c r="FGN102" s="142"/>
      <c r="FGO102" s="142"/>
      <c r="FGP102" s="142"/>
      <c r="FGQ102" s="142"/>
      <c r="FGR102" s="142"/>
      <c r="FGS102" s="142"/>
      <c r="FGT102" s="142"/>
      <c r="FGU102" s="142"/>
      <c r="FGV102" s="142"/>
      <c r="FGW102" s="142"/>
      <c r="FGX102" s="142"/>
      <c r="FGY102" s="142"/>
      <c r="FGZ102" s="142"/>
      <c r="FHA102" s="142"/>
      <c r="FHB102" s="142"/>
      <c r="FHC102" s="142"/>
      <c r="FHD102" s="142"/>
      <c r="FHE102" s="142"/>
      <c r="FHF102" s="142"/>
      <c r="FHG102" s="142"/>
      <c r="FHH102" s="142"/>
      <c r="FHI102" s="142"/>
      <c r="FHJ102" s="142"/>
      <c r="FHK102" s="142"/>
      <c r="FHL102" s="142"/>
      <c r="FHM102" s="142"/>
      <c r="FHN102" s="142"/>
      <c r="FHO102" s="142"/>
      <c r="FHP102" s="142"/>
      <c r="FHQ102" s="142"/>
      <c r="FHR102" s="142"/>
      <c r="FHS102" s="142"/>
      <c r="FHT102" s="142"/>
      <c r="FHU102" s="142"/>
      <c r="FHV102" s="142"/>
      <c r="FHW102" s="142"/>
      <c r="FHX102" s="142"/>
      <c r="FHY102" s="142"/>
      <c r="FHZ102" s="142"/>
      <c r="FIA102" s="142"/>
      <c r="FIB102" s="142"/>
      <c r="FIC102" s="142"/>
      <c r="FID102" s="142"/>
      <c r="FIE102" s="142"/>
      <c r="FIF102" s="142"/>
      <c r="FIG102" s="142"/>
      <c r="FIH102" s="142"/>
      <c r="FII102" s="142"/>
      <c r="FIJ102" s="142"/>
      <c r="FIK102" s="142"/>
      <c r="FIL102" s="142"/>
      <c r="FIM102" s="142"/>
      <c r="FIN102" s="142"/>
      <c r="FIO102" s="142"/>
      <c r="FIP102" s="142"/>
      <c r="FIQ102" s="142"/>
      <c r="FIR102" s="142"/>
      <c r="FIS102" s="142"/>
      <c r="FIT102" s="142"/>
      <c r="FIU102" s="142"/>
      <c r="FIV102" s="142"/>
      <c r="FIW102" s="142"/>
      <c r="FIX102" s="142"/>
      <c r="FIY102" s="142"/>
      <c r="FIZ102" s="142"/>
      <c r="FJA102" s="142"/>
      <c r="FJB102" s="142"/>
      <c r="FJC102" s="142"/>
      <c r="FJD102" s="142"/>
      <c r="FJE102" s="142"/>
      <c r="FJF102" s="142"/>
      <c r="FJG102" s="142"/>
      <c r="FJH102" s="142"/>
      <c r="FJI102" s="142"/>
      <c r="FJJ102" s="142"/>
      <c r="FJK102" s="142"/>
      <c r="FJL102" s="142"/>
      <c r="FJM102" s="142"/>
      <c r="FJN102" s="142"/>
      <c r="FJO102" s="142"/>
      <c r="FJP102" s="142"/>
      <c r="FJQ102" s="142"/>
      <c r="FJR102" s="142"/>
      <c r="FJS102" s="142"/>
      <c r="FJT102" s="142"/>
      <c r="FJU102" s="142"/>
      <c r="FJV102" s="142"/>
      <c r="FJW102" s="142"/>
      <c r="FJX102" s="142"/>
      <c r="FJY102" s="142"/>
      <c r="FJZ102" s="142"/>
      <c r="FKA102" s="142"/>
      <c r="FKB102" s="142"/>
      <c r="FKC102" s="142"/>
      <c r="FKD102" s="142"/>
      <c r="FKE102" s="142"/>
      <c r="FKF102" s="142"/>
      <c r="FKG102" s="142"/>
      <c r="FKH102" s="142"/>
      <c r="FKI102" s="142"/>
      <c r="FKJ102" s="142"/>
      <c r="FKK102" s="142"/>
      <c r="FKL102" s="142"/>
      <c r="FKM102" s="142"/>
      <c r="FKN102" s="142"/>
      <c r="FKO102" s="142"/>
      <c r="FKP102" s="142"/>
      <c r="FKQ102" s="142"/>
      <c r="FKR102" s="142"/>
      <c r="FKS102" s="142"/>
      <c r="FKT102" s="142"/>
      <c r="FKU102" s="142"/>
      <c r="FKV102" s="142"/>
      <c r="FKW102" s="142"/>
      <c r="FKX102" s="142"/>
      <c r="FKY102" s="142"/>
      <c r="FKZ102" s="142"/>
      <c r="FLA102" s="142"/>
      <c r="FLB102" s="142"/>
      <c r="FLC102" s="142"/>
      <c r="FLD102" s="142"/>
      <c r="FLE102" s="142"/>
      <c r="FLF102" s="142"/>
      <c r="FLG102" s="142"/>
      <c r="FLH102" s="142"/>
      <c r="FLI102" s="142"/>
      <c r="FLJ102" s="142"/>
      <c r="FLK102" s="142"/>
      <c r="FLL102" s="142"/>
      <c r="FLM102" s="142"/>
      <c r="FLN102" s="142"/>
      <c r="FLO102" s="142"/>
      <c r="FLP102" s="142"/>
      <c r="FLQ102" s="142"/>
      <c r="FLR102" s="142"/>
      <c r="FLS102" s="142"/>
      <c r="FLT102" s="142"/>
      <c r="FLU102" s="142"/>
      <c r="FLV102" s="142"/>
      <c r="FLW102" s="142"/>
      <c r="FLX102" s="142"/>
      <c r="FLY102" s="142"/>
      <c r="FLZ102" s="142"/>
      <c r="FMA102" s="142"/>
      <c r="FMB102" s="142"/>
      <c r="FMC102" s="142"/>
      <c r="FMD102" s="142"/>
      <c r="FME102" s="142"/>
      <c r="FMF102" s="142"/>
      <c r="FMG102" s="142"/>
      <c r="FMH102" s="142"/>
      <c r="FMI102" s="142"/>
      <c r="FMJ102" s="142"/>
      <c r="FMK102" s="142"/>
      <c r="FML102" s="142"/>
      <c r="FMM102" s="142"/>
      <c r="FMN102" s="142"/>
      <c r="FMO102" s="142"/>
      <c r="FMP102" s="142"/>
      <c r="FMQ102" s="142"/>
      <c r="FMR102" s="142"/>
      <c r="FMS102" s="142"/>
      <c r="FMT102" s="142"/>
      <c r="FMU102" s="142"/>
      <c r="FMV102" s="142"/>
      <c r="FMW102" s="142"/>
      <c r="FMX102" s="142"/>
      <c r="FMY102" s="142"/>
      <c r="FMZ102" s="142"/>
      <c r="FNA102" s="142"/>
      <c r="FNB102" s="142"/>
      <c r="FNC102" s="142"/>
      <c r="FND102" s="142"/>
      <c r="FNE102" s="142"/>
      <c r="FNF102" s="142"/>
      <c r="FNG102" s="142"/>
      <c r="FNH102" s="142"/>
      <c r="FNI102" s="142"/>
      <c r="FNJ102" s="142"/>
      <c r="FNK102" s="142"/>
      <c r="FNL102" s="142"/>
      <c r="FNM102" s="142"/>
      <c r="FNN102" s="142"/>
      <c r="FNO102" s="142"/>
      <c r="FNP102" s="142"/>
      <c r="FNQ102" s="142"/>
      <c r="FNR102" s="142"/>
      <c r="FNS102" s="142"/>
      <c r="FNT102" s="142"/>
      <c r="FNU102" s="142"/>
      <c r="FNV102" s="142"/>
      <c r="FNW102" s="142"/>
      <c r="FNX102" s="142"/>
      <c r="FNY102" s="142"/>
      <c r="FNZ102" s="142"/>
      <c r="FOA102" s="142"/>
      <c r="FOB102" s="142"/>
      <c r="FOC102" s="142"/>
      <c r="FOD102" s="142"/>
      <c r="FOE102" s="142"/>
      <c r="FOF102" s="142"/>
      <c r="FOG102" s="142"/>
      <c r="FOH102" s="142"/>
      <c r="FOI102" s="142"/>
      <c r="FOJ102" s="142"/>
      <c r="FOK102" s="142"/>
      <c r="FOL102" s="142"/>
      <c r="FOM102" s="142"/>
      <c r="FON102" s="142"/>
      <c r="FOO102" s="142"/>
      <c r="FOP102" s="142"/>
      <c r="FOQ102" s="142"/>
      <c r="FOR102" s="142"/>
      <c r="FOS102" s="142"/>
      <c r="FOT102" s="142"/>
      <c r="FOU102" s="142"/>
      <c r="FOV102" s="142"/>
      <c r="FOW102" s="142"/>
      <c r="FOX102" s="142"/>
      <c r="FOY102" s="142"/>
      <c r="FOZ102" s="142"/>
      <c r="FPA102" s="142"/>
      <c r="FPB102" s="142"/>
      <c r="FPC102" s="142"/>
      <c r="FPD102" s="142"/>
      <c r="FPE102" s="142"/>
      <c r="FPF102" s="142"/>
      <c r="FPG102" s="142"/>
      <c r="FPH102" s="142"/>
      <c r="FPI102" s="142"/>
      <c r="FPJ102" s="142"/>
      <c r="FPK102" s="142"/>
      <c r="FPL102" s="142"/>
      <c r="FPM102" s="142"/>
      <c r="FPN102" s="142"/>
      <c r="FPO102" s="142"/>
      <c r="FPP102" s="142"/>
      <c r="FPQ102" s="142"/>
      <c r="FPR102" s="142"/>
      <c r="FPS102" s="142"/>
      <c r="FPT102" s="142"/>
      <c r="FPU102" s="142"/>
      <c r="FPV102" s="142"/>
      <c r="FPW102" s="142"/>
      <c r="FPX102" s="142"/>
      <c r="FPY102" s="142"/>
      <c r="FPZ102" s="142"/>
      <c r="FQA102" s="142"/>
      <c r="FQB102" s="142"/>
      <c r="FQC102" s="142"/>
      <c r="FQD102" s="142"/>
      <c r="FQE102" s="142"/>
      <c r="FQF102" s="142"/>
      <c r="FQG102" s="142"/>
      <c r="FQH102" s="142"/>
      <c r="FQI102" s="142"/>
      <c r="FQJ102" s="142"/>
      <c r="FQK102" s="142"/>
      <c r="FQL102" s="142"/>
      <c r="FQM102" s="142"/>
      <c r="FQN102" s="142"/>
      <c r="FQO102" s="142"/>
      <c r="FQP102" s="142"/>
      <c r="FQQ102" s="142"/>
      <c r="FQR102" s="142"/>
      <c r="FQS102" s="142"/>
      <c r="FQT102" s="142"/>
      <c r="FQU102" s="142"/>
      <c r="FQV102" s="142"/>
      <c r="FQW102" s="142"/>
      <c r="FQX102" s="142"/>
      <c r="FQY102" s="142"/>
      <c r="FQZ102" s="142"/>
      <c r="FRA102" s="142"/>
      <c r="FRB102" s="142"/>
      <c r="FRC102" s="142"/>
      <c r="FRD102" s="142"/>
      <c r="FRE102" s="142"/>
      <c r="FRF102" s="142"/>
      <c r="FRG102" s="142"/>
      <c r="FRH102" s="142"/>
      <c r="FRI102" s="142"/>
      <c r="FRJ102" s="142"/>
      <c r="FRK102" s="142"/>
      <c r="FRL102" s="142"/>
      <c r="FRM102" s="142"/>
      <c r="FRN102" s="142"/>
      <c r="FRO102" s="142"/>
      <c r="FRP102" s="142"/>
      <c r="FRQ102" s="142"/>
      <c r="FRR102" s="142"/>
      <c r="FRS102" s="142"/>
      <c r="FRT102" s="142"/>
      <c r="FRU102" s="142"/>
      <c r="FRV102" s="142"/>
      <c r="FRW102" s="142"/>
      <c r="FRX102" s="142"/>
      <c r="FRY102" s="142"/>
      <c r="FRZ102" s="142"/>
      <c r="FSA102" s="142"/>
      <c r="FSB102" s="142"/>
      <c r="FSC102" s="142"/>
      <c r="FSD102" s="142"/>
      <c r="FSE102" s="142"/>
      <c r="FSF102" s="142"/>
      <c r="FSG102" s="142"/>
      <c r="FSH102" s="142"/>
      <c r="FSI102" s="142"/>
      <c r="FSJ102" s="142"/>
      <c r="FSK102" s="142"/>
      <c r="FSL102" s="142"/>
      <c r="FSM102" s="142"/>
      <c r="FSN102" s="142"/>
      <c r="FSO102" s="142"/>
      <c r="FSP102" s="142"/>
      <c r="FSQ102" s="142"/>
      <c r="FSR102" s="142"/>
      <c r="FSS102" s="142"/>
      <c r="FST102" s="142"/>
      <c r="FSU102" s="142"/>
      <c r="FSV102" s="142"/>
      <c r="FSW102" s="142"/>
      <c r="FSX102" s="142"/>
      <c r="FSY102" s="142"/>
      <c r="FSZ102" s="142"/>
      <c r="FTA102" s="142"/>
      <c r="FTB102" s="142"/>
      <c r="FTC102" s="142"/>
      <c r="FTD102" s="142"/>
      <c r="FTE102" s="142"/>
      <c r="FTF102" s="142"/>
      <c r="FTG102" s="142"/>
      <c r="FTH102" s="142"/>
      <c r="FTI102" s="142"/>
      <c r="FTJ102" s="142"/>
      <c r="FTK102" s="142"/>
      <c r="FTL102" s="142"/>
      <c r="FTM102" s="142"/>
      <c r="FTN102" s="142"/>
      <c r="FTO102" s="142"/>
      <c r="FTP102" s="142"/>
      <c r="FTQ102" s="142"/>
      <c r="FTR102" s="142"/>
      <c r="FTS102" s="142"/>
      <c r="FTT102" s="142"/>
      <c r="FTU102" s="142"/>
      <c r="FTV102" s="142"/>
      <c r="FTW102" s="142"/>
      <c r="FTX102" s="142"/>
      <c r="FTY102" s="142"/>
      <c r="FTZ102" s="142"/>
      <c r="FUA102" s="142"/>
      <c r="FUB102" s="142"/>
      <c r="FUC102" s="142"/>
      <c r="FUD102" s="142"/>
      <c r="FUE102" s="142"/>
      <c r="FUF102" s="142"/>
      <c r="FUG102" s="142"/>
      <c r="FUH102" s="142"/>
      <c r="FUI102" s="142"/>
      <c r="FUJ102" s="142"/>
      <c r="FUK102" s="142"/>
      <c r="FUL102" s="142"/>
      <c r="FUM102" s="142"/>
      <c r="FUN102" s="142"/>
      <c r="FUO102" s="142"/>
      <c r="FUP102" s="142"/>
      <c r="FUQ102" s="142"/>
      <c r="FUR102" s="142"/>
      <c r="FUS102" s="142"/>
      <c r="FUT102" s="142"/>
      <c r="FUU102" s="142"/>
      <c r="FUV102" s="142"/>
      <c r="FUW102" s="142"/>
      <c r="FUX102" s="142"/>
      <c r="FUY102" s="142"/>
      <c r="FUZ102" s="142"/>
      <c r="FVA102" s="142"/>
      <c r="FVB102" s="142"/>
      <c r="FVC102" s="142"/>
      <c r="FVD102" s="142"/>
      <c r="FVE102" s="142"/>
      <c r="FVF102" s="142"/>
      <c r="FVG102" s="142"/>
      <c r="FVH102" s="142"/>
      <c r="FVI102" s="142"/>
      <c r="FVJ102" s="142"/>
      <c r="FVK102" s="142"/>
      <c r="FVL102" s="142"/>
      <c r="FVM102" s="142"/>
      <c r="FVN102" s="142"/>
      <c r="FVO102" s="142"/>
      <c r="FVP102" s="142"/>
      <c r="FVQ102" s="142"/>
      <c r="FVR102" s="142"/>
      <c r="FVS102" s="142"/>
      <c r="FVT102" s="142"/>
      <c r="FVU102" s="142"/>
      <c r="FVV102" s="142"/>
      <c r="FVW102" s="142"/>
      <c r="FVX102" s="142"/>
      <c r="FVY102" s="142"/>
      <c r="FVZ102" s="142"/>
      <c r="FWA102" s="142"/>
      <c r="FWB102" s="142"/>
      <c r="FWC102" s="142"/>
      <c r="FWD102" s="142"/>
      <c r="FWE102" s="142"/>
      <c r="FWF102" s="142"/>
      <c r="FWG102" s="142"/>
      <c r="FWH102" s="142"/>
      <c r="FWI102" s="142"/>
      <c r="FWJ102" s="142"/>
      <c r="FWK102" s="142"/>
      <c r="FWL102" s="142"/>
      <c r="FWM102" s="142"/>
      <c r="FWN102" s="142"/>
      <c r="FWO102" s="142"/>
      <c r="FWP102" s="142"/>
      <c r="FWQ102" s="142"/>
      <c r="FWR102" s="142"/>
      <c r="FWS102" s="142"/>
      <c r="FWT102" s="142"/>
      <c r="FWU102" s="142"/>
      <c r="FWV102" s="142"/>
      <c r="FWW102" s="142"/>
      <c r="FWX102" s="142"/>
      <c r="FWY102" s="142"/>
      <c r="FWZ102" s="142"/>
      <c r="FXA102" s="142"/>
      <c r="FXB102" s="142"/>
      <c r="FXC102" s="142"/>
      <c r="FXD102" s="142"/>
      <c r="FXE102" s="142"/>
      <c r="FXF102" s="142"/>
      <c r="FXG102" s="142"/>
      <c r="FXH102" s="142"/>
      <c r="FXI102" s="142"/>
      <c r="FXJ102" s="142"/>
      <c r="FXK102" s="142"/>
      <c r="FXL102" s="142"/>
      <c r="FXM102" s="142"/>
      <c r="FXN102" s="142"/>
      <c r="FXO102" s="142"/>
      <c r="FXP102" s="142"/>
      <c r="FXQ102" s="142"/>
      <c r="FXR102" s="142"/>
      <c r="FXS102" s="142"/>
      <c r="FXT102" s="142"/>
      <c r="FXU102" s="142"/>
      <c r="FXV102" s="142"/>
      <c r="FXW102" s="142"/>
      <c r="FXX102" s="142"/>
      <c r="FXY102" s="142"/>
      <c r="FXZ102" s="142"/>
      <c r="FYA102" s="142"/>
      <c r="FYB102" s="142"/>
      <c r="FYC102" s="142"/>
      <c r="FYD102" s="142"/>
      <c r="FYE102" s="142"/>
      <c r="FYF102" s="142"/>
      <c r="FYG102" s="142"/>
      <c r="FYH102" s="142"/>
      <c r="FYI102" s="142"/>
      <c r="FYJ102" s="142"/>
      <c r="FYK102" s="142"/>
      <c r="FYL102" s="142"/>
      <c r="FYM102" s="142"/>
      <c r="FYN102" s="142"/>
      <c r="FYO102" s="142"/>
      <c r="FYP102" s="142"/>
      <c r="FYQ102" s="142"/>
      <c r="FYR102" s="142"/>
      <c r="FYS102" s="142"/>
      <c r="FYT102" s="142"/>
      <c r="FYU102" s="142"/>
      <c r="FYV102" s="142"/>
      <c r="FYW102" s="142"/>
      <c r="FYX102" s="142"/>
      <c r="FYY102" s="142"/>
      <c r="FYZ102" s="142"/>
      <c r="FZA102" s="142"/>
      <c r="FZB102" s="142"/>
      <c r="FZC102" s="142"/>
      <c r="FZD102" s="142"/>
      <c r="FZE102" s="142"/>
      <c r="FZF102" s="142"/>
      <c r="FZG102" s="142"/>
      <c r="FZH102" s="142"/>
      <c r="FZI102" s="142"/>
      <c r="FZJ102" s="142"/>
      <c r="FZK102" s="142"/>
      <c r="FZL102" s="142"/>
      <c r="FZM102" s="142"/>
      <c r="FZN102" s="142"/>
      <c r="FZO102" s="142"/>
      <c r="FZP102" s="142"/>
      <c r="FZQ102" s="142"/>
      <c r="FZR102" s="142"/>
      <c r="FZS102" s="142"/>
      <c r="FZT102" s="142"/>
      <c r="FZU102" s="142"/>
      <c r="FZV102" s="142"/>
      <c r="FZW102" s="142"/>
      <c r="FZX102" s="142"/>
      <c r="FZY102" s="142"/>
      <c r="FZZ102" s="142"/>
      <c r="GAA102" s="142"/>
      <c r="GAB102" s="142"/>
      <c r="GAC102" s="142"/>
      <c r="GAD102" s="142"/>
      <c r="GAE102" s="142"/>
      <c r="GAF102" s="142"/>
      <c r="GAG102" s="142"/>
      <c r="GAH102" s="142"/>
      <c r="GAI102" s="142"/>
      <c r="GAJ102" s="142"/>
      <c r="GAK102" s="142"/>
      <c r="GAL102" s="142"/>
      <c r="GAM102" s="142"/>
      <c r="GAN102" s="142"/>
      <c r="GAO102" s="142"/>
      <c r="GAP102" s="142"/>
      <c r="GAQ102" s="142"/>
      <c r="GAR102" s="142"/>
      <c r="GAS102" s="142"/>
      <c r="GAT102" s="142"/>
      <c r="GAU102" s="142"/>
      <c r="GAV102" s="142"/>
      <c r="GAW102" s="142"/>
      <c r="GAX102" s="142"/>
      <c r="GAY102" s="142"/>
      <c r="GAZ102" s="142"/>
      <c r="GBA102" s="142"/>
      <c r="GBB102" s="142"/>
      <c r="GBC102" s="142"/>
      <c r="GBD102" s="142"/>
      <c r="GBE102" s="142"/>
      <c r="GBF102" s="142"/>
      <c r="GBG102" s="142"/>
      <c r="GBH102" s="142"/>
      <c r="GBI102" s="142"/>
      <c r="GBJ102" s="142"/>
      <c r="GBK102" s="142"/>
      <c r="GBL102" s="142"/>
      <c r="GBM102" s="142"/>
      <c r="GBN102" s="142"/>
      <c r="GBO102" s="142"/>
      <c r="GBP102" s="142"/>
      <c r="GBQ102" s="142"/>
      <c r="GBR102" s="142"/>
      <c r="GBS102" s="142"/>
      <c r="GBT102" s="142"/>
      <c r="GBU102" s="142"/>
      <c r="GBV102" s="142"/>
      <c r="GBW102" s="142"/>
      <c r="GBX102" s="142"/>
      <c r="GBY102" s="142"/>
      <c r="GBZ102" s="142"/>
      <c r="GCA102" s="142"/>
      <c r="GCB102" s="142"/>
      <c r="GCC102" s="142"/>
      <c r="GCD102" s="142"/>
      <c r="GCE102" s="142"/>
      <c r="GCF102" s="142"/>
      <c r="GCG102" s="142"/>
      <c r="GCH102" s="142"/>
      <c r="GCI102" s="142"/>
      <c r="GCJ102" s="142"/>
      <c r="GCK102" s="142"/>
      <c r="GCL102" s="142"/>
      <c r="GCM102" s="142"/>
      <c r="GCN102" s="142"/>
      <c r="GCO102" s="142"/>
      <c r="GCP102" s="142"/>
      <c r="GCQ102" s="142"/>
      <c r="GCR102" s="142"/>
      <c r="GCS102" s="142"/>
      <c r="GCT102" s="142"/>
      <c r="GCU102" s="142"/>
      <c r="GCV102" s="142"/>
      <c r="GCW102" s="142"/>
      <c r="GCX102" s="142"/>
      <c r="GCY102" s="142"/>
      <c r="GCZ102" s="142"/>
      <c r="GDA102" s="142"/>
      <c r="GDB102" s="142"/>
      <c r="GDC102" s="142"/>
      <c r="GDD102" s="142"/>
      <c r="GDE102" s="142"/>
      <c r="GDF102" s="142"/>
      <c r="GDG102" s="142"/>
      <c r="GDH102" s="142"/>
      <c r="GDI102" s="142"/>
      <c r="GDJ102" s="142"/>
      <c r="GDK102" s="142"/>
      <c r="GDL102" s="142"/>
      <c r="GDM102" s="142"/>
      <c r="GDN102" s="142"/>
      <c r="GDO102" s="142"/>
      <c r="GDP102" s="142"/>
      <c r="GDQ102" s="142"/>
      <c r="GDR102" s="142"/>
      <c r="GDS102" s="142"/>
      <c r="GDT102" s="142"/>
      <c r="GDU102" s="142"/>
      <c r="GDV102" s="142"/>
      <c r="GDW102" s="142"/>
      <c r="GDX102" s="142"/>
      <c r="GDY102" s="142"/>
      <c r="GDZ102" s="142"/>
      <c r="GEA102" s="142"/>
      <c r="GEB102" s="142"/>
      <c r="GEC102" s="142"/>
      <c r="GED102" s="142"/>
      <c r="GEE102" s="142"/>
      <c r="GEF102" s="142"/>
      <c r="GEG102" s="142"/>
      <c r="GEH102" s="142"/>
      <c r="GEI102" s="142"/>
      <c r="GEJ102" s="142"/>
      <c r="GEK102" s="142"/>
      <c r="GEL102" s="142"/>
      <c r="GEM102" s="142"/>
      <c r="GEN102" s="142"/>
      <c r="GEO102" s="142"/>
      <c r="GEP102" s="142"/>
      <c r="GEQ102" s="142"/>
      <c r="GER102" s="142"/>
      <c r="GES102" s="142"/>
      <c r="GET102" s="142"/>
      <c r="GEU102" s="142"/>
      <c r="GEV102" s="142"/>
      <c r="GEW102" s="142"/>
      <c r="GEX102" s="142"/>
      <c r="GEY102" s="142"/>
      <c r="GEZ102" s="142"/>
      <c r="GFA102" s="142"/>
      <c r="GFB102" s="142"/>
      <c r="GFC102" s="142"/>
      <c r="GFD102" s="142"/>
      <c r="GFE102" s="142"/>
      <c r="GFF102" s="142"/>
      <c r="GFG102" s="142"/>
      <c r="GFH102" s="142"/>
      <c r="GFI102" s="142"/>
      <c r="GFJ102" s="142"/>
      <c r="GFK102" s="142"/>
      <c r="GFL102" s="142"/>
      <c r="GFM102" s="142"/>
      <c r="GFN102" s="142"/>
      <c r="GFO102" s="142"/>
      <c r="GFP102" s="142"/>
      <c r="GFQ102" s="142"/>
      <c r="GFR102" s="142"/>
      <c r="GFS102" s="142"/>
      <c r="GFT102" s="142"/>
      <c r="GFU102" s="142"/>
      <c r="GFV102" s="142"/>
      <c r="GFW102" s="142"/>
      <c r="GFX102" s="142"/>
      <c r="GFY102" s="142"/>
      <c r="GFZ102" s="142"/>
      <c r="GGA102" s="142"/>
      <c r="GGB102" s="142"/>
      <c r="GGC102" s="142"/>
      <c r="GGD102" s="142"/>
      <c r="GGE102" s="142"/>
      <c r="GGF102" s="142"/>
      <c r="GGG102" s="142"/>
      <c r="GGH102" s="142"/>
      <c r="GGI102" s="142"/>
      <c r="GGJ102" s="142"/>
      <c r="GGK102" s="142"/>
      <c r="GGL102" s="142"/>
      <c r="GGM102" s="142"/>
      <c r="GGN102" s="142"/>
      <c r="GGO102" s="142"/>
      <c r="GGP102" s="142"/>
      <c r="GGQ102" s="142"/>
      <c r="GGR102" s="142"/>
      <c r="GGS102" s="142"/>
      <c r="GGT102" s="142"/>
      <c r="GGU102" s="142"/>
      <c r="GGV102" s="142"/>
      <c r="GGW102" s="142"/>
      <c r="GGX102" s="142"/>
      <c r="GGY102" s="142"/>
      <c r="GGZ102" s="142"/>
      <c r="GHA102" s="142"/>
      <c r="GHB102" s="142"/>
      <c r="GHC102" s="142"/>
      <c r="GHD102" s="142"/>
      <c r="GHE102" s="142"/>
      <c r="GHF102" s="142"/>
      <c r="GHG102" s="142"/>
      <c r="GHH102" s="142"/>
      <c r="GHI102" s="142"/>
      <c r="GHJ102" s="142"/>
      <c r="GHK102" s="142"/>
      <c r="GHL102" s="142"/>
      <c r="GHM102" s="142"/>
      <c r="GHN102" s="142"/>
      <c r="GHO102" s="142"/>
      <c r="GHP102" s="142"/>
      <c r="GHQ102" s="142"/>
      <c r="GHR102" s="142"/>
      <c r="GHS102" s="142"/>
      <c r="GHT102" s="142"/>
      <c r="GHU102" s="142"/>
      <c r="GHV102" s="142"/>
      <c r="GHW102" s="142"/>
      <c r="GHX102" s="142"/>
      <c r="GHY102" s="142"/>
      <c r="GHZ102" s="142"/>
      <c r="GIA102" s="142"/>
      <c r="GIB102" s="142"/>
      <c r="GIC102" s="142"/>
      <c r="GID102" s="142"/>
      <c r="GIE102" s="142"/>
      <c r="GIF102" s="142"/>
      <c r="GIG102" s="142"/>
      <c r="GIH102" s="142"/>
      <c r="GII102" s="142"/>
      <c r="GIJ102" s="142"/>
      <c r="GIK102" s="142"/>
      <c r="GIL102" s="142"/>
      <c r="GIM102" s="142"/>
      <c r="GIN102" s="142"/>
      <c r="GIO102" s="142"/>
      <c r="GIP102" s="142"/>
      <c r="GIQ102" s="142"/>
      <c r="GIR102" s="142"/>
      <c r="GIS102" s="142"/>
      <c r="GIT102" s="142"/>
      <c r="GIU102" s="142"/>
      <c r="GIV102" s="142"/>
      <c r="GIW102" s="142"/>
      <c r="GIX102" s="142"/>
      <c r="GIY102" s="142"/>
      <c r="GIZ102" s="142"/>
      <c r="GJA102" s="142"/>
      <c r="GJB102" s="142"/>
      <c r="GJC102" s="142"/>
      <c r="GJD102" s="142"/>
      <c r="GJE102" s="142"/>
      <c r="GJF102" s="142"/>
      <c r="GJG102" s="142"/>
      <c r="GJH102" s="142"/>
      <c r="GJI102" s="142"/>
      <c r="GJJ102" s="142"/>
      <c r="GJK102" s="142"/>
      <c r="GJL102" s="142"/>
      <c r="GJM102" s="142"/>
      <c r="GJN102" s="142"/>
      <c r="GJO102" s="142"/>
      <c r="GJP102" s="142"/>
      <c r="GJQ102" s="142"/>
      <c r="GJR102" s="142"/>
      <c r="GJS102" s="142"/>
      <c r="GJT102" s="142"/>
      <c r="GJU102" s="142"/>
      <c r="GJV102" s="142"/>
      <c r="GJW102" s="142"/>
      <c r="GJX102" s="142"/>
      <c r="GJY102" s="142"/>
      <c r="GJZ102" s="142"/>
      <c r="GKA102" s="142"/>
      <c r="GKB102" s="142"/>
      <c r="GKC102" s="142"/>
      <c r="GKD102" s="142"/>
      <c r="GKE102" s="142"/>
      <c r="GKF102" s="142"/>
      <c r="GKG102" s="142"/>
      <c r="GKH102" s="142"/>
      <c r="GKI102" s="142"/>
      <c r="GKJ102" s="142"/>
      <c r="GKK102" s="142"/>
      <c r="GKL102" s="142"/>
      <c r="GKM102" s="142"/>
      <c r="GKN102" s="142"/>
      <c r="GKO102" s="142"/>
      <c r="GKP102" s="142"/>
      <c r="GKQ102" s="142"/>
      <c r="GKR102" s="142"/>
      <c r="GKS102" s="142"/>
      <c r="GKT102" s="142"/>
      <c r="GKU102" s="142"/>
      <c r="GKV102" s="142"/>
      <c r="GKW102" s="142"/>
      <c r="GKX102" s="142"/>
      <c r="GKY102" s="142"/>
      <c r="GKZ102" s="142"/>
      <c r="GLA102" s="142"/>
      <c r="GLB102" s="142"/>
      <c r="GLC102" s="142"/>
      <c r="GLD102" s="142"/>
      <c r="GLE102" s="142"/>
      <c r="GLF102" s="142"/>
      <c r="GLG102" s="142"/>
      <c r="GLH102" s="142"/>
      <c r="GLI102" s="142"/>
      <c r="GLJ102" s="142"/>
      <c r="GLK102" s="142"/>
      <c r="GLL102" s="142"/>
      <c r="GLM102" s="142"/>
      <c r="GLN102" s="142"/>
      <c r="GLO102" s="142"/>
      <c r="GLP102" s="142"/>
      <c r="GLQ102" s="142"/>
      <c r="GLR102" s="142"/>
      <c r="GLS102" s="142"/>
      <c r="GLT102" s="142"/>
      <c r="GLU102" s="142"/>
      <c r="GLV102" s="142"/>
      <c r="GLW102" s="142"/>
      <c r="GLX102" s="142"/>
      <c r="GLY102" s="142"/>
      <c r="GLZ102" s="142"/>
      <c r="GMA102" s="142"/>
      <c r="GMB102" s="142"/>
      <c r="GMC102" s="142"/>
      <c r="GMD102" s="142"/>
      <c r="GME102" s="142"/>
      <c r="GMF102" s="142"/>
      <c r="GMG102" s="142"/>
      <c r="GMH102" s="142"/>
      <c r="GMI102" s="142"/>
      <c r="GMJ102" s="142"/>
      <c r="GMK102" s="142"/>
      <c r="GML102" s="142"/>
      <c r="GMM102" s="142"/>
      <c r="GMN102" s="142"/>
      <c r="GMO102" s="142"/>
      <c r="GMP102" s="142"/>
      <c r="GMQ102" s="142"/>
      <c r="GMR102" s="142"/>
      <c r="GMS102" s="142"/>
      <c r="GMT102" s="142"/>
      <c r="GMU102" s="142"/>
      <c r="GMV102" s="142"/>
      <c r="GMW102" s="142"/>
      <c r="GMX102" s="142"/>
      <c r="GMY102" s="142"/>
      <c r="GMZ102" s="142"/>
      <c r="GNA102" s="142"/>
      <c r="GNB102" s="142"/>
      <c r="GNC102" s="142"/>
      <c r="GND102" s="142"/>
      <c r="GNE102" s="142"/>
      <c r="GNF102" s="142"/>
      <c r="GNG102" s="142"/>
      <c r="GNH102" s="142"/>
      <c r="GNI102" s="142"/>
      <c r="GNJ102" s="142"/>
      <c r="GNK102" s="142"/>
      <c r="GNL102" s="142"/>
      <c r="GNM102" s="142"/>
      <c r="GNN102" s="142"/>
      <c r="GNO102" s="142"/>
      <c r="GNP102" s="142"/>
      <c r="GNQ102" s="142"/>
      <c r="GNR102" s="142"/>
      <c r="GNS102" s="142"/>
      <c r="GNT102" s="142"/>
      <c r="GNU102" s="142"/>
      <c r="GNV102" s="142"/>
      <c r="GNW102" s="142"/>
      <c r="GNX102" s="142"/>
      <c r="GNY102" s="142"/>
      <c r="GNZ102" s="142"/>
      <c r="GOA102" s="142"/>
      <c r="GOB102" s="142"/>
      <c r="GOC102" s="142"/>
      <c r="GOD102" s="142"/>
      <c r="GOE102" s="142"/>
      <c r="GOF102" s="142"/>
      <c r="GOG102" s="142"/>
      <c r="GOH102" s="142"/>
      <c r="GOI102" s="142"/>
      <c r="GOJ102" s="142"/>
      <c r="GOK102" s="142"/>
      <c r="GOL102" s="142"/>
      <c r="GOM102" s="142"/>
      <c r="GON102" s="142"/>
      <c r="GOO102" s="142"/>
      <c r="GOP102" s="142"/>
      <c r="GOQ102" s="142"/>
      <c r="GOR102" s="142"/>
      <c r="GOS102" s="142"/>
      <c r="GOT102" s="142"/>
      <c r="GOU102" s="142"/>
      <c r="GOV102" s="142"/>
      <c r="GOW102" s="142"/>
      <c r="GOX102" s="142"/>
      <c r="GOY102" s="142"/>
      <c r="GOZ102" s="142"/>
      <c r="GPA102" s="142"/>
      <c r="GPB102" s="142"/>
      <c r="GPC102" s="142"/>
      <c r="GPD102" s="142"/>
      <c r="GPE102" s="142"/>
      <c r="GPF102" s="142"/>
      <c r="GPG102" s="142"/>
      <c r="GPH102" s="142"/>
      <c r="GPI102" s="142"/>
      <c r="GPJ102" s="142"/>
      <c r="GPK102" s="142"/>
      <c r="GPL102" s="142"/>
      <c r="GPM102" s="142"/>
      <c r="GPN102" s="142"/>
      <c r="GPO102" s="142"/>
      <c r="GPP102" s="142"/>
      <c r="GPQ102" s="142"/>
      <c r="GPR102" s="142"/>
      <c r="GPS102" s="142"/>
      <c r="GPT102" s="142"/>
      <c r="GPU102" s="142"/>
      <c r="GPV102" s="142"/>
      <c r="GPW102" s="142"/>
      <c r="GPX102" s="142"/>
      <c r="GPY102" s="142"/>
      <c r="GPZ102" s="142"/>
      <c r="GQA102" s="142"/>
      <c r="GQB102" s="142"/>
      <c r="GQC102" s="142"/>
      <c r="GQD102" s="142"/>
      <c r="GQE102" s="142"/>
      <c r="GQF102" s="142"/>
      <c r="GQG102" s="142"/>
      <c r="GQH102" s="142"/>
      <c r="GQI102" s="142"/>
      <c r="GQJ102" s="142"/>
      <c r="GQK102" s="142"/>
      <c r="GQL102" s="142"/>
      <c r="GQM102" s="142"/>
      <c r="GQN102" s="142"/>
      <c r="GQO102" s="142"/>
      <c r="GQP102" s="142"/>
      <c r="GQQ102" s="142"/>
      <c r="GQR102" s="142"/>
      <c r="GQS102" s="142"/>
      <c r="GQT102" s="142"/>
      <c r="GQU102" s="142"/>
      <c r="GQV102" s="142"/>
      <c r="GQW102" s="142"/>
      <c r="GQX102" s="142"/>
      <c r="GQY102" s="142"/>
      <c r="GQZ102" s="142"/>
      <c r="GRA102" s="142"/>
      <c r="GRB102" s="142"/>
      <c r="GRC102" s="142"/>
      <c r="GRD102" s="142"/>
      <c r="GRE102" s="142"/>
      <c r="GRF102" s="142"/>
      <c r="GRG102" s="142"/>
      <c r="GRH102" s="142"/>
      <c r="GRI102" s="142"/>
      <c r="GRJ102" s="142"/>
      <c r="GRK102" s="142"/>
      <c r="GRL102" s="142"/>
      <c r="GRM102" s="142"/>
      <c r="GRN102" s="142"/>
      <c r="GRO102" s="142"/>
      <c r="GRP102" s="142"/>
      <c r="GRQ102" s="142"/>
      <c r="GRR102" s="142"/>
      <c r="GRS102" s="142"/>
      <c r="GRT102" s="142"/>
      <c r="GRU102" s="142"/>
      <c r="GRV102" s="142"/>
      <c r="GRW102" s="142"/>
      <c r="GRX102" s="142"/>
      <c r="GRY102" s="142"/>
      <c r="GRZ102" s="142"/>
      <c r="GSA102" s="142"/>
      <c r="GSB102" s="142"/>
      <c r="GSC102" s="142"/>
      <c r="GSD102" s="142"/>
      <c r="GSE102" s="142"/>
      <c r="GSF102" s="142"/>
      <c r="GSG102" s="142"/>
      <c r="GSH102" s="142"/>
      <c r="GSI102" s="142"/>
      <c r="GSJ102" s="142"/>
      <c r="GSK102" s="142"/>
      <c r="GSL102" s="142"/>
      <c r="GSM102" s="142"/>
      <c r="GSN102" s="142"/>
      <c r="GSO102" s="142"/>
      <c r="GSP102" s="142"/>
      <c r="GSQ102" s="142"/>
      <c r="GSR102" s="142"/>
      <c r="GSS102" s="142"/>
      <c r="GST102" s="142"/>
      <c r="GSU102" s="142"/>
      <c r="GSV102" s="142"/>
      <c r="GSW102" s="142"/>
      <c r="GSX102" s="142"/>
      <c r="GSY102" s="142"/>
      <c r="GSZ102" s="142"/>
      <c r="GTA102" s="142"/>
      <c r="GTB102" s="142"/>
      <c r="GTC102" s="142"/>
      <c r="GTD102" s="142"/>
      <c r="GTE102" s="142"/>
      <c r="GTF102" s="142"/>
      <c r="GTG102" s="142"/>
      <c r="GTH102" s="142"/>
      <c r="GTI102" s="142"/>
      <c r="GTJ102" s="142"/>
      <c r="GTK102" s="142"/>
      <c r="GTL102" s="142"/>
      <c r="GTM102" s="142"/>
      <c r="GTN102" s="142"/>
      <c r="GTO102" s="142"/>
      <c r="GTP102" s="142"/>
      <c r="GTQ102" s="142"/>
      <c r="GTR102" s="142"/>
      <c r="GTS102" s="142"/>
      <c r="GTT102" s="142"/>
      <c r="GTU102" s="142"/>
      <c r="GTV102" s="142"/>
      <c r="GTW102" s="142"/>
      <c r="GTX102" s="142"/>
      <c r="GTY102" s="142"/>
      <c r="GTZ102" s="142"/>
      <c r="GUA102" s="142"/>
      <c r="GUB102" s="142"/>
      <c r="GUC102" s="142"/>
      <c r="GUD102" s="142"/>
      <c r="GUE102" s="142"/>
      <c r="GUF102" s="142"/>
      <c r="GUG102" s="142"/>
      <c r="GUH102" s="142"/>
      <c r="GUI102" s="142"/>
      <c r="GUJ102" s="142"/>
      <c r="GUK102" s="142"/>
      <c r="GUL102" s="142"/>
      <c r="GUM102" s="142"/>
      <c r="GUN102" s="142"/>
      <c r="GUO102" s="142"/>
      <c r="GUP102" s="142"/>
      <c r="GUQ102" s="142"/>
      <c r="GUR102" s="142"/>
      <c r="GUS102" s="142"/>
      <c r="GUT102" s="142"/>
      <c r="GUU102" s="142"/>
      <c r="GUV102" s="142"/>
      <c r="GUW102" s="142"/>
      <c r="GUX102" s="142"/>
      <c r="GUY102" s="142"/>
      <c r="GUZ102" s="142"/>
      <c r="GVA102" s="142"/>
      <c r="GVB102" s="142"/>
      <c r="GVC102" s="142"/>
      <c r="GVD102" s="142"/>
      <c r="GVE102" s="142"/>
      <c r="GVF102" s="142"/>
      <c r="GVG102" s="142"/>
      <c r="GVH102" s="142"/>
      <c r="GVI102" s="142"/>
      <c r="GVJ102" s="142"/>
      <c r="GVK102" s="142"/>
      <c r="GVL102" s="142"/>
      <c r="GVM102" s="142"/>
      <c r="GVN102" s="142"/>
      <c r="GVO102" s="142"/>
      <c r="GVP102" s="142"/>
      <c r="GVQ102" s="142"/>
      <c r="GVR102" s="142"/>
      <c r="GVS102" s="142"/>
      <c r="GVT102" s="142"/>
      <c r="GVU102" s="142"/>
      <c r="GVV102" s="142"/>
      <c r="GVW102" s="142"/>
      <c r="GVX102" s="142"/>
      <c r="GVY102" s="142"/>
      <c r="GVZ102" s="142"/>
      <c r="GWA102" s="142"/>
      <c r="GWB102" s="142"/>
      <c r="GWC102" s="142"/>
      <c r="GWD102" s="142"/>
      <c r="GWE102" s="142"/>
      <c r="GWF102" s="142"/>
      <c r="GWG102" s="142"/>
      <c r="GWH102" s="142"/>
      <c r="GWI102" s="142"/>
      <c r="GWJ102" s="142"/>
      <c r="GWK102" s="142"/>
      <c r="GWL102" s="142"/>
      <c r="GWM102" s="142"/>
      <c r="GWN102" s="142"/>
      <c r="GWO102" s="142"/>
      <c r="GWP102" s="142"/>
      <c r="GWQ102" s="142"/>
      <c r="GWR102" s="142"/>
      <c r="GWS102" s="142"/>
      <c r="GWT102" s="142"/>
      <c r="GWU102" s="142"/>
      <c r="GWV102" s="142"/>
      <c r="GWW102" s="142"/>
      <c r="GWX102" s="142"/>
      <c r="GWY102" s="142"/>
      <c r="GWZ102" s="142"/>
      <c r="GXA102" s="142"/>
      <c r="GXB102" s="142"/>
      <c r="GXC102" s="142"/>
      <c r="GXD102" s="142"/>
      <c r="GXE102" s="142"/>
      <c r="GXF102" s="142"/>
      <c r="GXG102" s="142"/>
      <c r="GXH102" s="142"/>
      <c r="GXI102" s="142"/>
      <c r="GXJ102" s="142"/>
      <c r="GXK102" s="142"/>
      <c r="GXL102" s="142"/>
      <c r="GXM102" s="142"/>
      <c r="GXN102" s="142"/>
      <c r="GXO102" s="142"/>
      <c r="GXP102" s="142"/>
      <c r="GXQ102" s="142"/>
      <c r="GXR102" s="142"/>
      <c r="GXS102" s="142"/>
      <c r="GXT102" s="142"/>
      <c r="GXU102" s="142"/>
      <c r="GXV102" s="142"/>
      <c r="GXW102" s="142"/>
      <c r="GXX102" s="142"/>
      <c r="GXY102" s="142"/>
      <c r="GXZ102" s="142"/>
      <c r="GYA102" s="142"/>
      <c r="GYB102" s="142"/>
      <c r="GYC102" s="142"/>
      <c r="GYD102" s="142"/>
      <c r="GYE102" s="142"/>
      <c r="GYF102" s="142"/>
      <c r="GYG102" s="142"/>
      <c r="GYH102" s="142"/>
      <c r="GYI102" s="142"/>
      <c r="GYJ102" s="142"/>
      <c r="GYK102" s="142"/>
      <c r="GYL102" s="142"/>
      <c r="GYM102" s="142"/>
      <c r="GYN102" s="142"/>
      <c r="GYO102" s="142"/>
      <c r="GYP102" s="142"/>
      <c r="GYQ102" s="142"/>
      <c r="GYR102" s="142"/>
      <c r="GYS102" s="142"/>
      <c r="GYT102" s="142"/>
      <c r="GYU102" s="142"/>
      <c r="GYV102" s="142"/>
      <c r="GYW102" s="142"/>
      <c r="GYX102" s="142"/>
      <c r="GYY102" s="142"/>
      <c r="GYZ102" s="142"/>
      <c r="GZA102" s="142"/>
      <c r="GZB102" s="142"/>
      <c r="GZC102" s="142"/>
      <c r="GZD102" s="142"/>
      <c r="GZE102" s="142"/>
      <c r="GZF102" s="142"/>
      <c r="GZG102" s="142"/>
      <c r="GZH102" s="142"/>
      <c r="GZI102" s="142"/>
      <c r="GZJ102" s="142"/>
      <c r="GZK102" s="142"/>
      <c r="GZL102" s="142"/>
      <c r="GZM102" s="142"/>
      <c r="GZN102" s="142"/>
      <c r="GZO102" s="142"/>
      <c r="GZP102" s="142"/>
      <c r="GZQ102" s="142"/>
      <c r="GZR102" s="142"/>
      <c r="GZS102" s="142"/>
      <c r="GZT102" s="142"/>
      <c r="GZU102" s="142"/>
      <c r="GZV102" s="142"/>
      <c r="GZW102" s="142"/>
      <c r="GZX102" s="142"/>
      <c r="GZY102" s="142"/>
      <c r="GZZ102" s="142"/>
      <c r="HAA102" s="142"/>
      <c r="HAB102" s="142"/>
      <c r="HAC102" s="142"/>
      <c r="HAD102" s="142"/>
      <c r="HAE102" s="142"/>
      <c r="HAF102" s="142"/>
      <c r="HAG102" s="142"/>
      <c r="HAH102" s="142"/>
      <c r="HAI102" s="142"/>
      <c r="HAJ102" s="142"/>
      <c r="HAK102" s="142"/>
      <c r="HAL102" s="142"/>
      <c r="HAM102" s="142"/>
      <c r="HAN102" s="142"/>
      <c r="HAO102" s="142"/>
      <c r="HAP102" s="142"/>
      <c r="HAQ102" s="142"/>
      <c r="HAR102" s="142"/>
      <c r="HAS102" s="142"/>
      <c r="HAT102" s="142"/>
      <c r="HAU102" s="142"/>
      <c r="HAV102" s="142"/>
      <c r="HAW102" s="142"/>
      <c r="HAX102" s="142"/>
      <c r="HAY102" s="142"/>
      <c r="HAZ102" s="142"/>
      <c r="HBA102" s="142"/>
      <c r="HBB102" s="142"/>
      <c r="HBC102" s="142"/>
      <c r="HBD102" s="142"/>
      <c r="HBE102" s="142"/>
      <c r="HBF102" s="142"/>
      <c r="HBG102" s="142"/>
      <c r="HBH102" s="142"/>
      <c r="HBI102" s="142"/>
      <c r="HBJ102" s="142"/>
      <c r="HBK102" s="142"/>
      <c r="HBL102" s="142"/>
      <c r="HBM102" s="142"/>
      <c r="HBN102" s="142"/>
      <c r="HBO102" s="142"/>
      <c r="HBP102" s="142"/>
      <c r="HBQ102" s="142"/>
      <c r="HBR102" s="142"/>
      <c r="HBS102" s="142"/>
      <c r="HBT102" s="142"/>
      <c r="HBU102" s="142"/>
      <c r="HBV102" s="142"/>
      <c r="HBW102" s="142"/>
      <c r="HBX102" s="142"/>
      <c r="HBY102" s="142"/>
      <c r="HBZ102" s="142"/>
      <c r="HCA102" s="142"/>
      <c r="HCB102" s="142"/>
      <c r="HCC102" s="142"/>
      <c r="HCD102" s="142"/>
      <c r="HCE102" s="142"/>
      <c r="HCF102" s="142"/>
      <c r="HCG102" s="142"/>
      <c r="HCH102" s="142"/>
      <c r="HCI102" s="142"/>
      <c r="HCJ102" s="142"/>
      <c r="HCK102" s="142"/>
      <c r="HCL102" s="142"/>
      <c r="HCM102" s="142"/>
      <c r="HCN102" s="142"/>
      <c r="HCO102" s="142"/>
      <c r="HCP102" s="142"/>
      <c r="HCQ102" s="142"/>
      <c r="HCR102" s="142"/>
      <c r="HCS102" s="142"/>
      <c r="HCT102" s="142"/>
      <c r="HCU102" s="142"/>
      <c r="HCV102" s="142"/>
      <c r="HCW102" s="142"/>
      <c r="HCX102" s="142"/>
      <c r="HCY102" s="142"/>
      <c r="HCZ102" s="142"/>
      <c r="HDA102" s="142"/>
      <c r="HDB102" s="142"/>
      <c r="HDC102" s="142"/>
      <c r="HDD102" s="142"/>
      <c r="HDE102" s="142"/>
      <c r="HDF102" s="142"/>
      <c r="HDG102" s="142"/>
      <c r="HDH102" s="142"/>
      <c r="HDI102" s="142"/>
      <c r="HDJ102" s="142"/>
      <c r="HDK102" s="142"/>
      <c r="HDL102" s="142"/>
      <c r="HDM102" s="142"/>
      <c r="HDN102" s="142"/>
      <c r="HDO102" s="142"/>
      <c r="HDP102" s="142"/>
      <c r="HDQ102" s="142"/>
      <c r="HDR102" s="142"/>
      <c r="HDS102" s="142"/>
      <c r="HDT102" s="142"/>
      <c r="HDU102" s="142"/>
      <c r="HDV102" s="142"/>
      <c r="HDW102" s="142"/>
      <c r="HDX102" s="142"/>
      <c r="HDY102" s="142"/>
      <c r="HDZ102" s="142"/>
      <c r="HEA102" s="142"/>
      <c r="HEB102" s="142"/>
      <c r="HEC102" s="142"/>
      <c r="HED102" s="142"/>
      <c r="HEE102" s="142"/>
      <c r="HEF102" s="142"/>
      <c r="HEG102" s="142"/>
      <c r="HEH102" s="142"/>
      <c r="HEI102" s="142"/>
      <c r="HEJ102" s="142"/>
      <c r="HEK102" s="142"/>
      <c r="HEL102" s="142"/>
      <c r="HEM102" s="142"/>
      <c r="HEN102" s="142"/>
      <c r="HEO102" s="142"/>
      <c r="HEP102" s="142"/>
      <c r="HEQ102" s="142"/>
      <c r="HER102" s="142"/>
      <c r="HES102" s="142"/>
      <c r="HET102" s="142"/>
      <c r="HEU102" s="142"/>
      <c r="HEV102" s="142"/>
      <c r="HEW102" s="142"/>
      <c r="HEX102" s="142"/>
      <c r="HEY102" s="142"/>
      <c r="HEZ102" s="142"/>
      <c r="HFA102" s="142"/>
      <c r="HFB102" s="142"/>
      <c r="HFC102" s="142"/>
      <c r="HFD102" s="142"/>
      <c r="HFE102" s="142"/>
      <c r="HFF102" s="142"/>
      <c r="HFG102" s="142"/>
      <c r="HFH102" s="142"/>
      <c r="HFI102" s="142"/>
      <c r="HFJ102" s="142"/>
      <c r="HFK102" s="142"/>
      <c r="HFL102" s="142"/>
      <c r="HFM102" s="142"/>
      <c r="HFN102" s="142"/>
      <c r="HFO102" s="142"/>
      <c r="HFP102" s="142"/>
      <c r="HFQ102" s="142"/>
      <c r="HFR102" s="142"/>
      <c r="HFS102" s="142"/>
      <c r="HFT102" s="142"/>
      <c r="HFU102" s="142"/>
      <c r="HFV102" s="142"/>
      <c r="HFW102" s="142"/>
      <c r="HFX102" s="142"/>
      <c r="HFY102" s="142"/>
      <c r="HFZ102" s="142"/>
      <c r="HGA102" s="142"/>
      <c r="HGB102" s="142"/>
      <c r="HGC102" s="142"/>
      <c r="HGD102" s="142"/>
      <c r="HGE102" s="142"/>
      <c r="HGF102" s="142"/>
      <c r="HGG102" s="142"/>
      <c r="HGH102" s="142"/>
      <c r="HGI102" s="142"/>
      <c r="HGJ102" s="142"/>
      <c r="HGK102" s="142"/>
      <c r="HGL102" s="142"/>
      <c r="HGM102" s="142"/>
      <c r="HGN102" s="142"/>
      <c r="HGO102" s="142"/>
      <c r="HGP102" s="142"/>
      <c r="HGQ102" s="142"/>
      <c r="HGR102" s="142"/>
      <c r="HGS102" s="142"/>
      <c r="HGT102" s="142"/>
      <c r="HGU102" s="142"/>
      <c r="HGV102" s="142"/>
      <c r="HGW102" s="142"/>
      <c r="HGX102" s="142"/>
      <c r="HGY102" s="142"/>
      <c r="HGZ102" s="142"/>
      <c r="HHA102" s="142"/>
      <c r="HHB102" s="142"/>
      <c r="HHC102" s="142"/>
      <c r="HHD102" s="142"/>
      <c r="HHE102" s="142"/>
      <c r="HHF102" s="142"/>
      <c r="HHG102" s="142"/>
      <c r="HHH102" s="142"/>
      <c r="HHI102" s="142"/>
      <c r="HHJ102" s="142"/>
      <c r="HHK102" s="142"/>
      <c r="HHL102" s="142"/>
      <c r="HHM102" s="142"/>
      <c r="HHN102" s="142"/>
      <c r="HHO102" s="142"/>
      <c r="HHP102" s="142"/>
      <c r="HHQ102" s="142"/>
      <c r="HHR102" s="142"/>
      <c r="HHS102" s="142"/>
      <c r="HHT102" s="142"/>
      <c r="HHU102" s="142"/>
      <c r="HHV102" s="142"/>
      <c r="HHW102" s="142"/>
      <c r="HHX102" s="142"/>
      <c r="HHY102" s="142"/>
      <c r="HHZ102" s="142"/>
      <c r="HIA102" s="142"/>
      <c r="HIB102" s="142"/>
      <c r="HIC102" s="142"/>
      <c r="HID102" s="142"/>
      <c r="HIE102" s="142"/>
      <c r="HIF102" s="142"/>
      <c r="HIG102" s="142"/>
      <c r="HIH102" s="142"/>
      <c r="HII102" s="142"/>
      <c r="HIJ102" s="142"/>
      <c r="HIK102" s="142"/>
      <c r="HIL102" s="142"/>
      <c r="HIM102" s="142"/>
      <c r="HIN102" s="142"/>
      <c r="HIO102" s="142"/>
      <c r="HIP102" s="142"/>
      <c r="HIQ102" s="142"/>
      <c r="HIR102" s="142"/>
      <c r="HIS102" s="142"/>
      <c r="HIT102" s="142"/>
      <c r="HIU102" s="142"/>
      <c r="HIV102" s="142"/>
      <c r="HIW102" s="142"/>
      <c r="HIX102" s="142"/>
      <c r="HIY102" s="142"/>
      <c r="HIZ102" s="142"/>
      <c r="HJA102" s="142"/>
      <c r="HJB102" s="142"/>
      <c r="HJC102" s="142"/>
      <c r="HJD102" s="142"/>
      <c r="HJE102" s="142"/>
      <c r="HJF102" s="142"/>
      <c r="HJG102" s="142"/>
      <c r="HJH102" s="142"/>
      <c r="HJI102" s="142"/>
      <c r="HJJ102" s="142"/>
      <c r="HJK102" s="142"/>
      <c r="HJL102" s="142"/>
      <c r="HJM102" s="142"/>
      <c r="HJN102" s="142"/>
      <c r="HJO102" s="142"/>
      <c r="HJP102" s="142"/>
      <c r="HJQ102" s="142"/>
      <c r="HJR102" s="142"/>
      <c r="HJS102" s="142"/>
      <c r="HJT102" s="142"/>
      <c r="HJU102" s="142"/>
      <c r="HJV102" s="142"/>
      <c r="HJW102" s="142"/>
      <c r="HJX102" s="142"/>
      <c r="HJY102" s="142"/>
      <c r="HJZ102" s="142"/>
      <c r="HKA102" s="142"/>
      <c r="HKB102" s="142"/>
      <c r="HKC102" s="142"/>
      <c r="HKD102" s="142"/>
      <c r="HKE102" s="142"/>
      <c r="HKF102" s="142"/>
      <c r="HKG102" s="142"/>
      <c r="HKH102" s="142"/>
      <c r="HKI102" s="142"/>
      <c r="HKJ102" s="142"/>
      <c r="HKK102" s="142"/>
      <c r="HKL102" s="142"/>
      <c r="HKM102" s="142"/>
      <c r="HKN102" s="142"/>
      <c r="HKO102" s="142"/>
      <c r="HKP102" s="142"/>
      <c r="HKQ102" s="142"/>
      <c r="HKR102" s="142"/>
      <c r="HKS102" s="142"/>
      <c r="HKT102" s="142"/>
      <c r="HKU102" s="142"/>
      <c r="HKV102" s="142"/>
      <c r="HKW102" s="142"/>
      <c r="HKX102" s="142"/>
      <c r="HKY102" s="142"/>
      <c r="HKZ102" s="142"/>
      <c r="HLA102" s="142"/>
      <c r="HLB102" s="142"/>
      <c r="HLC102" s="142"/>
      <c r="HLD102" s="142"/>
      <c r="HLE102" s="142"/>
      <c r="HLF102" s="142"/>
      <c r="HLG102" s="142"/>
      <c r="HLH102" s="142"/>
      <c r="HLI102" s="142"/>
      <c r="HLJ102" s="142"/>
      <c r="HLK102" s="142"/>
      <c r="HLL102" s="142"/>
      <c r="HLM102" s="142"/>
      <c r="HLN102" s="142"/>
      <c r="HLO102" s="142"/>
      <c r="HLP102" s="142"/>
      <c r="HLQ102" s="142"/>
      <c r="HLR102" s="142"/>
      <c r="HLS102" s="142"/>
      <c r="HLT102" s="142"/>
      <c r="HLU102" s="142"/>
      <c r="HLV102" s="142"/>
      <c r="HLW102" s="142"/>
      <c r="HLX102" s="142"/>
      <c r="HLY102" s="142"/>
      <c r="HLZ102" s="142"/>
      <c r="HMA102" s="142"/>
      <c r="HMB102" s="142"/>
      <c r="HMC102" s="142"/>
      <c r="HMD102" s="142"/>
      <c r="HME102" s="142"/>
      <c r="HMF102" s="142"/>
      <c r="HMG102" s="142"/>
      <c r="HMH102" s="142"/>
      <c r="HMI102" s="142"/>
      <c r="HMJ102" s="142"/>
      <c r="HMK102" s="142"/>
      <c r="HML102" s="142"/>
      <c r="HMM102" s="142"/>
      <c r="HMN102" s="142"/>
      <c r="HMO102" s="142"/>
      <c r="HMP102" s="142"/>
      <c r="HMQ102" s="142"/>
      <c r="HMR102" s="142"/>
      <c r="HMS102" s="142"/>
      <c r="HMT102" s="142"/>
      <c r="HMU102" s="142"/>
      <c r="HMV102" s="142"/>
      <c r="HMW102" s="142"/>
      <c r="HMX102" s="142"/>
      <c r="HMY102" s="142"/>
      <c r="HMZ102" s="142"/>
      <c r="HNA102" s="142"/>
      <c r="HNB102" s="142"/>
      <c r="HNC102" s="142"/>
      <c r="HND102" s="142"/>
      <c r="HNE102" s="142"/>
      <c r="HNF102" s="142"/>
      <c r="HNG102" s="142"/>
      <c r="HNH102" s="142"/>
      <c r="HNI102" s="142"/>
      <c r="HNJ102" s="142"/>
      <c r="HNK102" s="142"/>
      <c r="HNL102" s="142"/>
      <c r="HNM102" s="142"/>
      <c r="HNN102" s="142"/>
      <c r="HNO102" s="142"/>
      <c r="HNP102" s="142"/>
      <c r="HNQ102" s="142"/>
      <c r="HNR102" s="142"/>
      <c r="HNS102" s="142"/>
      <c r="HNT102" s="142"/>
      <c r="HNU102" s="142"/>
      <c r="HNV102" s="142"/>
      <c r="HNW102" s="142"/>
      <c r="HNX102" s="142"/>
      <c r="HNY102" s="142"/>
      <c r="HNZ102" s="142"/>
      <c r="HOA102" s="142"/>
      <c r="HOB102" s="142"/>
      <c r="HOC102" s="142"/>
      <c r="HOD102" s="142"/>
      <c r="HOE102" s="142"/>
      <c r="HOF102" s="142"/>
      <c r="HOG102" s="142"/>
      <c r="HOH102" s="142"/>
      <c r="HOI102" s="142"/>
      <c r="HOJ102" s="142"/>
      <c r="HOK102" s="142"/>
      <c r="HOL102" s="142"/>
      <c r="HOM102" s="142"/>
      <c r="HON102" s="142"/>
      <c r="HOO102" s="142"/>
      <c r="HOP102" s="142"/>
      <c r="HOQ102" s="142"/>
      <c r="HOR102" s="142"/>
      <c r="HOS102" s="142"/>
      <c r="HOT102" s="142"/>
      <c r="HOU102" s="142"/>
      <c r="HOV102" s="142"/>
      <c r="HOW102" s="142"/>
      <c r="HOX102" s="142"/>
      <c r="HOY102" s="142"/>
      <c r="HOZ102" s="142"/>
      <c r="HPA102" s="142"/>
      <c r="HPB102" s="142"/>
      <c r="HPC102" s="142"/>
      <c r="HPD102" s="142"/>
      <c r="HPE102" s="142"/>
      <c r="HPF102" s="142"/>
      <c r="HPG102" s="142"/>
      <c r="HPH102" s="142"/>
      <c r="HPI102" s="142"/>
      <c r="HPJ102" s="142"/>
      <c r="HPK102" s="142"/>
      <c r="HPL102" s="142"/>
      <c r="HPM102" s="142"/>
      <c r="HPN102" s="142"/>
      <c r="HPO102" s="142"/>
      <c r="HPP102" s="142"/>
      <c r="HPQ102" s="142"/>
      <c r="HPR102" s="142"/>
      <c r="HPS102" s="142"/>
      <c r="HPT102" s="142"/>
      <c r="HPU102" s="142"/>
      <c r="HPV102" s="142"/>
      <c r="HPW102" s="142"/>
      <c r="HPX102" s="142"/>
      <c r="HPY102" s="142"/>
      <c r="HPZ102" s="142"/>
      <c r="HQA102" s="142"/>
      <c r="HQB102" s="142"/>
      <c r="HQC102" s="142"/>
      <c r="HQD102" s="142"/>
      <c r="HQE102" s="142"/>
      <c r="HQF102" s="142"/>
      <c r="HQG102" s="142"/>
      <c r="HQH102" s="142"/>
      <c r="HQI102" s="142"/>
      <c r="HQJ102" s="142"/>
      <c r="HQK102" s="142"/>
      <c r="HQL102" s="142"/>
      <c r="HQM102" s="142"/>
      <c r="HQN102" s="142"/>
      <c r="HQO102" s="142"/>
      <c r="HQP102" s="142"/>
      <c r="HQQ102" s="142"/>
      <c r="HQR102" s="142"/>
      <c r="HQS102" s="142"/>
      <c r="HQT102" s="142"/>
      <c r="HQU102" s="142"/>
      <c r="HQV102" s="142"/>
      <c r="HQW102" s="142"/>
      <c r="HQX102" s="142"/>
      <c r="HQY102" s="142"/>
      <c r="HQZ102" s="142"/>
      <c r="HRA102" s="142"/>
      <c r="HRB102" s="142"/>
      <c r="HRC102" s="142"/>
      <c r="HRD102" s="142"/>
      <c r="HRE102" s="142"/>
      <c r="HRF102" s="142"/>
      <c r="HRG102" s="142"/>
      <c r="HRH102" s="142"/>
      <c r="HRI102" s="142"/>
      <c r="HRJ102" s="142"/>
      <c r="HRK102" s="142"/>
      <c r="HRL102" s="142"/>
      <c r="HRM102" s="142"/>
      <c r="HRN102" s="142"/>
      <c r="HRO102" s="142"/>
      <c r="HRP102" s="142"/>
      <c r="HRQ102" s="142"/>
      <c r="HRR102" s="142"/>
      <c r="HRS102" s="142"/>
      <c r="HRT102" s="142"/>
      <c r="HRU102" s="142"/>
      <c r="HRV102" s="142"/>
      <c r="HRW102" s="142"/>
      <c r="HRX102" s="142"/>
      <c r="HRY102" s="142"/>
      <c r="HRZ102" s="142"/>
      <c r="HSA102" s="142"/>
      <c r="HSB102" s="142"/>
      <c r="HSC102" s="142"/>
      <c r="HSD102" s="142"/>
      <c r="HSE102" s="142"/>
      <c r="HSF102" s="142"/>
      <c r="HSG102" s="142"/>
      <c r="HSH102" s="142"/>
      <c r="HSI102" s="142"/>
      <c r="HSJ102" s="142"/>
      <c r="HSK102" s="142"/>
      <c r="HSL102" s="142"/>
      <c r="HSM102" s="142"/>
      <c r="HSN102" s="142"/>
      <c r="HSO102" s="142"/>
      <c r="HSP102" s="142"/>
      <c r="HSQ102" s="142"/>
      <c r="HSR102" s="142"/>
      <c r="HSS102" s="142"/>
      <c r="HST102" s="142"/>
      <c r="HSU102" s="142"/>
      <c r="HSV102" s="142"/>
      <c r="HSW102" s="142"/>
      <c r="HSX102" s="142"/>
      <c r="HSY102" s="142"/>
      <c r="HSZ102" s="142"/>
      <c r="HTA102" s="142"/>
      <c r="HTB102" s="142"/>
      <c r="HTC102" s="142"/>
      <c r="HTD102" s="142"/>
      <c r="HTE102" s="142"/>
      <c r="HTF102" s="142"/>
      <c r="HTG102" s="142"/>
      <c r="HTH102" s="142"/>
      <c r="HTI102" s="142"/>
      <c r="HTJ102" s="142"/>
      <c r="HTK102" s="142"/>
      <c r="HTL102" s="142"/>
      <c r="HTM102" s="142"/>
      <c r="HTN102" s="142"/>
      <c r="HTO102" s="142"/>
      <c r="HTP102" s="142"/>
      <c r="HTQ102" s="142"/>
      <c r="HTR102" s="142"/>
      <c r="HTS102" s="142"/>
      <c r="HTT102" s="142"/>
      <c r="HTU102" s="142"/>
      <c r="HTV102" s="142"/>
      <c r="HTW102" s="142"/>
      <c r="HTX102" s="142"/>
      <c r="HTY102" s="142"/>
      <c r="HTZ102" s="142"/>
      <c r="HUA102" s="142"/>
      <c r="HUB102" s="142"/>
      <c r="HUC102" s="142"/>
      <c r="HUD102" s="142"/>
      <c r="HUE102" s="142"/>
      <c r="HUF102" s="142"/>
      <c r="HUG102" s="142"/>
      <c r="HUH102" s="142"/>
      <c r="HUI102" s="142"/>
      <c r="HUJ102" s="142"/>
      <c r="HUK102" s="142"/>
      <c r="HUL102" s="142"/>
      <c r="HUM102" s="142"/>
      <c r="HUN102" s="142"/>
      <c r="HUO102" s="142"/>
      <c r="HUP102" s="142"/>
      <c r="HUQ102" s="142"/>
      <c r="HUR102" s="142"/>
      <c r="HUS102" s="142"/>
      <c r="HUT102" s="142"/>
      <c r="HUU102" s="142"/>
      <c r="HUV102" s="142"/>
      <c r="HUW102" s="142"/>
      <c r="HUX102" s="142"/>
      <c r="HUY102" s="142"/>
      <c r="HUZ102" s="142"/>
      <c r="HVA102" s="142"/>
      <c r="HVB102" s="142"/>
      <c r="HVC102" s="142"/>
      <c r="HVD102" s="142"/>
      <c r="HVE102" s="142"/>
      <c r="HVF102" s="142"/>
      <c r="HVG102" s="142"/>
      <c r="HVH102" s="142"/>
      <c r="HVI102" s="142"/>
      <c r="HVJ102" s="142"/>
      <c r="HVK102" s="142"/>
      <c r="HVL102" s="142"/>
      <c r="HVM102" s="142"/>
      <c r="HVN102" s="142"/>
      <c r="HVO102" s="142"/>
      <c r="HVP102" s="142"/>
      <c r="HVQ102" s="142"/>
      <c r="HVR102" s="142"/>
      <c r="HVS102" s="142"/>
      <c r="HVT102" s="142"/>
      <c r="HVU102" s="142"/>
      <c r="HVV102" s="142"/>
      <c r="HVW102" s="142"/>
      <c r="HVX102" s="142"/>
      <c r="HVY102" s="142"/>
      <c r="HVZ102" s="142"/>
      <c r="HWA102" s="142"/>
      <c r="HWB102" s="142"/>
      <c r="HWC102" s="142"/>
      <c r="HWD102" s="142"/>
      <c r="HWE102" s="142"/>
      <c r="HWF102" s="142"/>
      <c r="HWG102" s="142"/>
      <c r="HWH102" s="142"/>
      <c r="HWI102" s="142"/>
      <c r="HWJ102" s="142"/>
      <c r="HWK102" s="142"/>
      <c r="HWL102" s="142"/>
      <c r="HWM102" s="142"/>
      <c r="HWN102" s="142"/>
      <c r="HWO102" s="142"/>
      <c r="HWP102" s="142"/>
      <c r="HWQ102" s="142"/>
      <c r="HWR102" s="142"/>
      <c r="HWS102" s="142"/>
      <c r="HWT102" s="142"/>
      <c r="HWU102" s="142"/>
      <c r="HWV102" s="142"/>
      <c r="HWW102" s="142"/>
      <c r="HWX102" s="142"/>
      <c r="HWY102" s="142"/>
      <c r="HWZ102" s="142"/>
      <c r="HXA102" s="142"/>
      <c r="HXB102" s="142"/>
      <c r="HXC102" s="142"/>
      <c r="HXD102" s="142"/>
      <c r="HXE102" s="142"/>
      <c r="HXF102" s="142"/>
      <c r="HXG102" s="142"/>
      <c r="HXH102" s="142"/>
      <c r="HXI102" s="142"/>
      <c r="HXJ102" s="142"/>
      <c r="HXK102" s="142"/>
      <c r="HXL102" s="142"/>
      <c r="HXM102" s="142"/>
      <c r="HXN102" s="142"/>
      <c r="HXO102" s="142"/>
      <c r="HXP102" s="142"/>
      <c r="HXQ102" s="142"/>
      <c r="HXR102" s="142"/>
      <c r="HXS102" s="142"/>
      <c r="HXT102" s="142"/>
      <c r="HXU102" s="142"/>
      <c r="HXV102" s="142"/>
      <c r="HXW102" s="142"/>
      <c r="HXX102" s="142"/>
      <c r="HXY102" s="142"/>
      <c r="HXZ102" s="142"/>
      <c r="HYA102" s="142"/>
      <c r="HYB102" s="142"/>
      <c r="HYC102" s="142"/>
      <c r="HYD102" s="142"/>
      <c r="HYE102" s="142"/>
      <c r="HYF102" s="142"/>
      <c r="HYG102" s="142"/>
      <c r="HYH102" s="142"/>
      <c r="HYI102" s="142"/>
      <c r="HYJ102" s="142"/>
      <c r="HYK102" s="142"/>
      <c r="HYL102" s="142"/>
      <c r="HYM102" s="142"/>
      <c r="HYN102" s="142"/>
      <c r="HYO102" s="142"/>
      <c r="HYP102" s="142"/>
      <c r="HYQ102" s="142"/>
      <c r="HYR102" s="142"/>
      <c r="HYS102" s="142"/>
      <c r="HYT102" s="142"/>
      <c r="HYU102" s="142"/>
      <c r="HYV102" s="142"/>
      <c r="HYW102" s="142"/>
      <c r="HYX102" s="142"/>
      <c r="HYY102" s="142"/>
      <c r="HYZ102" s="142"/>
      <c r="HZA102" s="142"/>
      <c r="HZB102" s="142"/>
      <c r="HZC102" s="142"/>
      <c r="HZD102" s="142"/>
      <c r="HZE102" s="142"/>
      <c r="HZF102" s="142"/>
      <c r="HZG102" s="142"/>
      <c r="HZH102" s="142"/>
      <c r="HZI102" s="142"/>
      <c r="HZJ102" s="142"/>
      <c r="HZK102" s="142"/>
      <c r="HZL102" s="142"/>
      <c r="HZM102" s="142"/>
      <c r="HZN102" s="142"/>
      <c r="HZO102" s="142"/>
      <c r="HZP102" s="142"/>
      <c r="HZQ102" s="142"/>
      <c r="HZR102" s="142"/>
      <c r="HZS102" s="142"/>
      <c r="HZT102" s="142"/>
      <c r="HZU102" s="142"/>
      <c r="HZV102" s="142"/>
      <c r="HZW102" s="142"/>
      <c r="HZX102" s="142"/>
      <c r="HZY102" s="142"/>
      <c r="HZZ102" s="142"/>
      <c r="IAA102" s="142"/>
      <c r="IAB102" s="142"/>
      <c r="IAC102" s="142"/>
      <c r="IAD102" s="142"/>
      <c r="IAE102" s="142"/>
      <c r="IAF102" s="142"/>
      <c r="IAG102" s="142"/>
      <c r="IAH102" s="142"/>
      <c r="IAI102" s="142"/>
      <c r="IAJ102" s="142"/>
      <c r="IAK102" s="142"/>
      <c r="IAL102" s="142"/>
      <c r="IAM102" s="142"/>
      <c r="IAN102" s="142"/>
      <c r="IAO102" s="142"/>
      <c r="IAP102" s="142"/>
      <c r="IAQ102" s="142"/>
      <c r="IAR102" s="142"/>
      <c r="IAS102" s="142"/>
      <c r="IAT102" s="142"/>
      <c r="IAU102" s="142"/>
      <c r="IAV102" s="142"/>
      <c r="IAW102" s="142"/>
      <c r="IAX102" s="142"/>
      <c r="IAY102" s="142"/>
      <c r="IAZ102" s="142"/>
      <c r="IBA102" s="142"/>
      <c r="IBB102" s="142"/>
      <c r="IBC102" s="142"/>
      <c r="IBD102" s="142"/>
      <c r="IBE102" s="142"/>
      <c r="IBF102" s="142"/>
      <c r="IBG102" s="142"/>
      <c r="IBH102" s="142"/>
      <c r="IBI102" s="142"/>
      <c r="IBJ102" s="142"/>
      <c r="IBK102" s="142"/>
      <c r="IBL102" s="142"/>
      <c r="IBM102" s="142"/>
      <c r="IBN102" s="142"/>
      <c r="IBO102" s="142"/>
      <c r="IBP102" s="142"/>
      <c r="IBQ102" s="142"/>
      <c r="IBR102" s="142"/>
      <c r="IBS102" s="142"/>
      <c r="IBT102" s="142"/>
      <c r="IBU102" s="142"/>
      <c r="IBV102" s="142"/>
      <c r="IBW102" s="142"/>
      <c r="IBX102" s="142"/>
      <c r="IBY102" s="142"/>
      <c r="IBZ102" s="142"/>
      <c r="ICA102" s="142"/>
      <c r="ICB102" s="142"/>
      <c r="ICC102" s="142"/>
      <c r="ICD102" s="142"/>
      <c r="ICE102" s="142"/>
      <c r="ICF102" s="142"/>
      <c r="ICG102" s="142"/>
      <c r="ICH102" s="142"/>
      <c r="ICI102" s="142"/>
      <c r="ICJ102" s="142"/>
      <c r="ICK102" s="142"/>
      <c r="ICL102" s="142"/>
      <c r="ICM102" s="142"/>
      <c r="ICN102" s="142"/>
      <c r="ICO102" s="142"/>
      <c r="ICP102" s="142"/>
      <c r="ICQ102" s="142"/>
      <c r="ICR102" s="142"/>
      <c r="ICS102" s="142"/>
      <c r="ICT102" s="142"/>
      <c r="ICU102" s="142"/>
      <c r="ICV102" s="142"/>
      <c r="ICW102" s="142"/>
      <c r="ICX102" s="142"/>
      <c r="ICY102" s="142"/>
      <c r="ICZ102" s="142"/>
      <c r="IDA102" s="142"/>
      <c r="IDB102" s="142"/>
      <c r="IDC102" s="142"/>
      <c r="IDD102" s="142"/>
      <c r="IDE102" s="142"/>
      <c r="IDF102" s="142"/>
      <c r="IDG102" s="142"/>
      <c r="IDH102" s="142"/>
      <c r="IDI102" s="142"/>
      <c r="IDJ102" s="142"/>
      <c r="IDK102" s="142"/>
      <c r="IDL102" s="142"/>
      <c r="IDM102" s="142"/>
      <c r="IDN102" s="142"/>
      <c r="IDO102" s="142"/>
      <c r="IDP102" s="142"/>
      <c r="IDQ102" s="142"/>
      <c r="IDR102" s="142"/>
      <c r="IDS102" s="142"/>
      <c r="IDT102" s="142"/>
      <c r="IDU102" s="142"/>
      <c r="IDV102" s="142"/>
      <c r="IDW102" s="142"/>
      <c r="IDX102" s="142"/>
      <c r="IDY102" s="142"/>
      <c r="IDZ102" s="142"/>
      <c r="IEA102" s="142"/>
      <c r="IEB102" s="142"/>
      <c r="IEC102" s="142"/>
      <c r="IED102" s="142"/>
      <c r="IEE102" s="142"/>
      <c r="IEF102" s="142"/>
      <c r="IEG102" s="142"/>
      <c r="IEH102" s="142"/>
      <c r="IEI102" s="142"/>
      <c r="IEJ102" s="142"/>
      <c r="IEK102" s="142"/>
      <c r="IEL102" s="142"/>
      <c r="IEM102" s="142"/>
      <c r="IEN102" s="142"/>
      <c r="IEO102" s="142"/>
      <c r="IEP102" s="142"/>
      <c r="IEQ102" s="142"/>
      <c r="IER102" s="142"/>
      <c r="IES102" s="142"/>
      <c r="IET102" s="142"/>
      <c r="IEU102" s="142"/>
      <c r="IEV102" s="142"/>
      <c r="IEW102" s="142"/>
      <c r="IEX102" s="142"/>
      <c r="IEY102" s="142"/>
      <c r="IEZ102" s="142"/>
      <c r="IFA102" s="142"/>
      <c r="IFB102" s="142"/>
      <c r="IFC102" s="142"/>
      <c r="IFD102" s="142"/>
      <c r="IFE102" s="142"/>
      <c r="IFF102" s="142"/>
      <c r="IFG102" s="142"/>
      <c r="IFH102" s="142"/>
      <c r="IFI102" s="142"/>
      <c r="IFJ102" s="142"/>
      <c r="IFK102" s="142"/>
      <c r="IFL102" s="142"/>
      <c r="IFM102" s="142"/>
      <c r="IFN102" s="142"/>
      <c r="IFO102" s="142"/>
      <c r="IFP102" s="142"/>
      <c r="IFQ102" s="142"/>
      <c r="IFR102" s="142"/>
      <c r="IFS102" s="142"/>
      <c r="IFT102" s="142"/>
      <c r="IFU102" s="142"/>
      <c r="IFV102" s="142"/>
      <c r="IFW102" s="142"/>
      <c r="IFX102" s="142"/>
      <c r="IFY102" s="142"/>
      <c r="IFZ102" s="142"/>
      <c r="IGA102" s="142"/>
      <c r="IGB102" s="142"/>
      <c r="IGC102" s="142"/>
      <c r="IGD102" s="142"/>
      <c r="IGE102" s="142"/>
      <c r="IGF102" s="142"/>
      <c r="IGG102" s="142"/>
      <c r="IGH102" s="142"/>
      <c r="IGI102" s="142"/>
      <c r="IGJ102" s="142"/>
      <c r="IGK102" s="142"/>
      <c r="IGL102" s="142"/>
      <c r="IGM102" s="142"/>
      <c r="IGN102" s="142"/>
      <c r="IGO102" s="142"/>
      <c r="IGP102" s="142"/>
      <c r="IGQ102" s="142"/>
      <c r="IGR102" s="142"/>
      <c r="IGS102" s="142"/>
      <c r="IGT102" s="142"/>
      <c r="IGU102" s="142"/>
      <c r="IGV102" s="142"/>
      <c r="IGW102" s="142"/>
      <c r="IGX102" s="142"/>
      <c r="IGY102" s="142"/>
      <c r="IGZ102" s="142"/>
      <c r="IHA102" s="142"/>
      <c r="IHB102" s="142"/>
      <c r="IHC102" s="142"/>
      <c r="IHD102" s="142"/>
      <c r="IHE102" s="142"/>
      <c r="IHF102" s="142"/>
      <c r="IHG102" s="142"/>
      <c r="IHH102" s="142"/>
      <c r="IHI102" s="142"/>
      <c r="IHJ102" s="142"/>
      <c r="IHK102" s="142"/>
      <c r="IHL102" s="142"/>
      <c r="IHM102" s="142"/>
      <c r="IHN102" s="142"/>
      <c r="IHO102" s="142"/>
      <c r="IHP102" s="142"/>
      <c r="IHQ102" s="142"/>
      <c r="IHR102" s="142"/>
      <c r="IHS102" s="142"/>
      <c r="IHT102" s="142"/>
      <c r="IHU102" s="142"/>
      <c r="IHV102" s="142"/>
      <c r="IHW102" s="142"/>
      <c r="IHX102" s="142"/>
      <c r="IHY102" s="142"/>
      <c r="IHZ102" s="142"/>
      <c r="IIA102" s="142"/>
      <c r="IIB102" s="142"/>
      <c r="IIC102" s="142"/>
      <c r="IID102" s="142"/>
      <c r="IIE102" s="142"/>
      <c r="IIF102" s="142"/>
      <c r="IIG102" s="142"/>
      <c r="IIH102" s="142"/>
      <c r="III102" s="142"/>
      <c r="IIJ102" s="142"/>
      <c r="IIK102" s="142"/>
      <c r="IIL102" s="142"/>
      <c r="IIM102" s="142"/>
      <c r="IIN102" s="142"/>
      <c r="IIO102" s="142"/>
      <c r="IIP102" s="142"/>
      <c r="IIQ102" s="142"/>
      <c r="IIR102" s="142"/>
      <c r="IIS102" s="142"/>
      <c r="IIT102" s="142"/>
      <c r="IIU102" s="142"/>
      <c r="IIV102" s="142"/>
      <c r="IIW102" s="142"/>
      <c r="IIX102" s="142"/>
      <c r="IIY102" s="142"/>
      <c r="IIZ102" s="142"/>
      <c r="IJA102" s="142"/>
      <c r="IJB102" s="142"/>
      <c r="IJC102" s="142"/>
      <c r="IJD102" s="142"/>
      <c r="IJE102" s="142"/>
      <c r="IJF102" s="142"/>
      <c r="IJG102" s="142"/>
      <c r="IJH102" s="142"/>
      <c r="IJI102" s="142"/>
      <c r="IJJ102" s="142"/>
      <c r="IJK102" s="142"/>
      <c r="IJL102" s="142"/>
      <c r="IJM102" s="142"/>
      <c r="IJN102" s="142"/>
      <c r="IJO102" s="142"/>
      <c r="IJP102" s="142"/>
      <c r="IJQ102" s="142"/>
      <c r="IJR102" s="142"/>
      <c r="IJS102" s="142"/>
      <c r="IJT102" s="142"/>
      <c r="IJU102" s="142"/>
      <c r="IJV102" s="142"/>
      <c r="IJW102" s="142"/>
      <c r="IJX102" s="142"/>
      <c r="IJY102" s="142"/>
      <c r="IJZ102" s="142"/>
      <c r="IKA102" s="142"/>
      <c r="IKB102" s="142"/>
      <c r="IKC102" s="142"/>
      <c r="IKD102" s="142"/>
      <c r="IKE102" s="142"/>
      <c r="IKF102" s="142"/>
      <c r="IKG102" s="142"/>
      <c r="IKH102" s="142"/>
      <c r="IKI102" s="142"/>
      <c r="IKJ102" s="142"/>
      <c r="IKK102" s="142"/>
      <c r="IKL102" s="142"/>
      <c r="IKM102" s="142"/>
      <c r="IKN102" s="142"/>
      <c r="IKO102" s="142"/>
      <c r="IKP102" s="142"/>
      <c r="IKQ102" s="142"/>
      <c r="IKR102" s="142"/>
      <c r="IKS102" s="142"/>
      <c r="IKT102" s="142"/>
      <c r="IKU102" s="142"/>
      <c r="IKV102" s="142"/>
      <c r="IKW102" s="142"/>
      <c r="IKX102" s="142"/>
      <c r="IKY102" s="142"/>
      <c r="IKZ102" s="142"/>
      <c r="ILA102" s="142"/>
      <c r="ILB102" s="142"/>
      <c r="ILC102" s="142"/>
      <c r="ILD102" s="142"/>
      <c r="ILE102" s="142"/>
      <c r="ILF102" s="142"/>
      <c r="ILG102" s="142"/>
      <c r="ILH102" s="142"/>
      <c r="ILI102" s="142"/>
      <c r="ILJ102" s="142"/>
      <c r="ILK102" s="142"/>
      <c r="ILL102" s="142"/>
      <c r="ILM102" s="142"/>
      <c r="ILN102" s="142"/>
      <c r="ILO102" s="142"/>
      <c r="ILP102" s="142"/>
      <c r="ILQ102" s="142"/>
      <c r="ILR102" s="142"/>
      <c r="ILS102" s="142"/>
      <c r="ILT102" s="142"/>
      <c r="ILU102" s="142"/>
      <c r="ILV102" s="142"/>
      <c r="ILW102" s="142"/>
      <c r="ILX102" s="142"/>
      <c r="ILY102" s="142"/>
      <c r="ILZ102" s="142"/>
      <c r="IMA102" s="142"/>
      <c r="IMB102" s="142"/>
      <c r="IMC102" s="142"/>
      <c r="IMD102" s="142"/>
      <c r="IME102" s="142"/>
      <c r="IMF102" s="142"/>
      <c r="IMG102" s="142"/>
      <c r="IMH102" s="142"/>
      <c r="IMI102" s="142"/>
      <c r="IMJ102" s="142"/>
      <c r="IMK102" s="142"/>
      <c r="IML102" s="142"/>
      <c r="IMM102" s="142"/>
      <c r="IMN102" s="142"/>
      <c r="IMO102" s="142"/>
      <c r="IMP102" s="142"/>
      <c r="IMQ102" s="142"/>
      <c r="IMR102" s="142"/>
      <c r="IMS102" s="142"/>
      <c r="IMT102" s="142"/>
      <c r="IMU102" s="142"/>
      <c r="IMV102" s="142"/>
      <c r="IMW102" s="142"/>
      <c r="IMX102" s="142"/>
      <c r="IMY102" s="142"/>
      <c r="IMZ102" s="142"/>
      <c r="INA102" s="142"/>
      <c r="INB102" s="142"/>
      <c r="INC102" s="142"/>
      <c r="IND102" s="142"/>
      <c r="INE102" s="142"/>
      <c r="INF102" s="142"/>
      <c r="ING102" s="142"/>
      <c r="INH102" s="142"/>
      <c r="INI102" s="142"/>
      <c r="INJ102" s="142"/>
      <c r="INK102" s="142"/>
      <c r="INL102" s="142"/>
      <c r="INM102" s="142"/>
      <c r="INN102" s="142"/>
      <c r="INO102" s="142"/>
      <c r="INP102" s="142"/>
      <c r="INQ102" s="142"/>
      <c r="INR102" s="142"/>
      <c r="INS102" s="142"/>
      <c r="INT102" s="142"/>
      <c r="INU102" s="142"/>
      <c r="INV102" s="142"/>
      <c r="INW102" s="142"/>
      <c r="INX102" s="142"/>
      <c r="INY102" s="142"/>
      <c r="INZ102" s="142"/>
      <c r="IOA102" s="142"/>
      <c r="IOB102" s="142"/>
      <c r="IOC102" s="142"/>
      <c r="IOD102" s="142"/>
      <c r="IOE102" s="142"/>
      <c r="IOF102" s="142"/>
      <c r="IOG102" s="142"/>
      <c r="IOH102" s="142"/>
      <c r="IOI102" s="142"/>
      <c r="IOJ102" s="142"/>
      <c r="IOK102" s="142"/>
      <c r="IOL102" s="142"/>
      <c r="IOM102" s="142"/>
      <c r="ION102" s="142"/>
      <c r="IOO102" s="142"/>
      <c r="IOP102" s="142"/>
      <c r="IOQ102" s="142"/>
      <c r="IOR102" s="142"/>
      <c r="IOS102" s="142"/>
      <c r="IOT102" s="142"/>
      <c r="IOU102" s="142"/>
      <c r="IOV102" s="142"/>
      <c r="IOW102" s="142"/>
      <c r="IOX102" s="142"/>
      <c r="IOY102" s="142"/>
      <c r="IOZ102" s="142"/>
      <c r="IPA102" s="142"/>
      <c r="IPB102" s="142"/>
      <c r="IPC102" s="142"/>
      <c r="IPD102" s="142"/>
      <c r="IPE102" s="142"/>
      <c r="IPF102" s="142"/>
      <c r="IPG102" s="142"/>
      <c r="IPH102" s="142"/>
      <c r="IPI102" s="142"/>
      <c r="IPJ102" s="142"/>
      <c r="IPK102" s="142"/>
      <c r="IPL102" s="142"/>
      <c r="IPM102" s="142"/>
      <c r="IPN102" s="142"/>
      <c r="IPO102" s="142"/>
      <c r="IPP102" s="142"/>
      <c r="IPQ102" s="142"/>
      <c r="IPR102" s="142"/>
      <c r="IPS102" s="142"/>
      <c r="IPT102" s="142"/>
      <c r="IPU102" s="142"/>
      <c r="IPV102" s="142"/>
      <c r="IPW102" s="142"/>
      <c r="IPX102" s="142"/>
      <c r="IPY102" s="142"/>
      <c r="IPZ102" s="142"/>
      <c r="IQA102" s="142"/>
      <c r="IQB102" s="142"/>
      <c r="IQC102" s="142"/>
      <c r="IQD102" s="142"/>
      <c r="IQE102" s="142"/>
      <c r="IQF102" s="142"/>
      <c r="IQG102" s="142"/>
      <c r="IQH102" s="142"/>
      <c r="IQI102" s="142"/>
      <c r="IQJ102" s="142"/>
      <c r="IQK102" s="142"/>
      <c r="IQL102" s="142"/>
      <c r="IQM102" s="142"/>
      <c r="IQN102" s="142"/>
      <c r="IQO102" s="142"/>
      <c r="IQP102" s="142"/>
      <c r="IQQ102" s="142"/>
      <c r="IQR102" s="142"/>
      <c r="IQS102" s="142"/>
      <c r="IQT102" s="142"/>
      <c r="IQU102" s="142"/>
      <c r="IQV102" s="142"/>
      <c r="IQW102" s="142"/>
      <c r="IQX102" s="142"/>
      <c r="IQY102" s="142"/>
      <c r="IQZ102" s="142"/>
      <c r="IRA102" s="142"/>
      <c r="IRB102" s="142"/>
      <c r="IRC102" s="142"/>
      <c r="IRD102" s="142"/>
      <c r="IRE102" s="142"/>
      <c r="IRF102" s="142"/>
      <c r="IRG102" s="142"/>
      <c r="IRH102" s="142"/>
      <c r="IRI102" s="142"/>
      <c r="IRJ102" s="142"/>
      <c r="IRK102" s="142"/>
      <c r="IRL102" s="142"/>
      <c r="IRM102" s="142"/>
      <c r="IRN102" s="142"/>
      <c r="IRO102" s="142"/>
      <c r="IRP102" s="142"/>
      <c r="IRQ102" s="142"/>
      <c r="IRR102" s="142"/>
      <c r="IRS102" s="142"/>
      <c r="IRT102" s="142"/>
      <c r="IRU102" s="142"/>
      <c r="IRV102" s="142"/>
      <c r="IRW102" s="142"/>
      <c r="IRX102" s="142"/>
      <c r="IRY102" s="142"/>
      <c r="IRZ102" s="142"/>
      <c r="ISA102" s="142"/>
      <c r="ISB102" s="142"/>
      <c r="ISC102" s="142"/>
      <c r="ISD102" s="142"/>
      <c r="ISE102" s="142"/>
      <c r="ISF102" s="142"/>
      <c r="ISG102" s="142"/>
      <c r="ISH102" s="142"/>
      <c r="ISI102" s="142"/>
      <c r="ISJ102" s="142"/>
      <c r="ISK102" s="142"/>
      <c r="ISL102" s="142"/>
      <c r="ISM102" s="142"/>
      <c r="ISN102" s="142"/>
      <c r="ISO102" s="142"/>
      <c r="ISP102" s="142"/>
      <c r="ISQ102" s="142"/>
      <c r="ISR102" s="142"/>
      <c r="ISS102" s="142"/>
      <c r="IST102" s="142"/>
      <c r="ISU102" s="142"/>
      <c r="ISV102" s="142"/>
      <c r="ISW102" s="142"/>
      <c r="ISX102" s="142"/>
      <c r="ISY102" s="142"/>
      <c r="ISZ102" s="142"/>
      <c r="ITA102" s="142"/>
      <c r="ITB102" s="142"/>
      <c r="ITC102" s="142"/>
      <c r="ITD102" s="142"/>
      <c r="ITE102" s="142"/>
      <c r="ITF102" s="142"/>
      <c r="ITG102" s="142"/>
      <c r="ITH102" s="142"/>
      <c r="ITI102" s="142"/>
      <c r="ITJ102" s="142"/>
      <c r="ITK102" s="142"/>
      <c r="ITL102" s="142"/>
      <c r="ITM102" s="142"/>
      <c r="ITN102" s="142"/>
      <c r="ITO102" s="142"/>
      <c r="ITP102" s="142"/>
      <c r="ITQ102" s="142"/>
      <c r="ITR102" s="142"/>
      <c r="ITS102" s="142"/>
      <c r="ITT102" s="142"/>
      <c r="ITU102" s="142"/>
      <c r="ITV102" s="142"/>
      <c r="ITW102" s="142"/>
      <c r="ITX102" s="142"/>
      <c r="ITY102" s="142"/>
      <c r="ITZ102" s="142"/>
      <c r="IUA102" s="142"/>
      <c r="IUB102" s="142"/>
      <c r="IUC102" s="142"/>
      <c r="IUD102" s="142"/>
      <c r="IUE102" s="142"/>
      <c r="IUF102" s="142"/>
      <c r="IUG102" s="142"/>
      <c r="IUH102" s="142"/>
      <c r="IUI102" s="142"/>
      <c r="IUJ102" s="142"/>
      <c r="IUK102" s="142"/>
      <c r="IUL102" s="142"/>
      <c r="IUM102" s="142"/>
      <c r="IUN102" s="142"/>
      <c r="IUO102" s="142"/>
      <c r="IUP102" s="142"/>
      <c r="IUQ102" s="142"/>
      <c r="IUR102" s="142"/>
      <c r="IUS102" s="142"/>
      <c r="IUT102" s="142"/>
      <c r="IUU102" s="142"/>
      <c r="IUV102" s="142"/>
      <c r="IUW102" s="142"/>
      <c r="IUX102" s="142"/>
      <c r="IUY102" s="142"/>
      <c r="IUZ102" s="142"/>
      <c r="IVA102" s="142"/>
      <c r="IVB102" s="142"/>
      <c r="IVC102" s="142"/>
      <c r="IVD102" s="142"/>
      <c r="IVE102" s="142"/>
      <c r="IVF102" s="142"/>
      <c r="IVG102" s="142"/>
      <c r="IVH102" s="142"/>
      <c r="IVI102" s="142"/>
      <c r="IVJ102" s="142"/>
      <c r="IVK102" s="142"/>
      <c r="IVL102" s="142"/>
      <c r="IVM102" s="142"/>
      <c r="IVN102" s="142"/>
      <c r="IVO102" s="142"/>
      <c r="IVP102" s="142"/>
      <c r="IVQ102" s="142"/>
      <c r="IVR102" s="142"/>
      <c r="IVS102" s="142"/>
      <c r="IVT102" s="142"/>
      <c r="IVU102" s="142"/>
      <c r="IVV102" s="142"/>
      <c r="IVW102" s="142"/>
      <c r="IVX102" s="142"/>
      <c r="IVY102" s="142"/>
      <c r="IVZ102" s="142"/>
      <c r="IWA102" s="142"/>
      <c r="IWB102" s="142"/>
      <c r="IWC102" s="142"/>
      <c r="IWD102" s="142"/>
      <c r="IWE102" s="142"/>
      <c r="IWF102" s="142"/>
      <c r="IWG102" s="142"/>
      <c r="IWH102" s="142"/>
      <c r="IWI102" s="142"/>
      <c r="IWJ102" s="142"/>
      <c r="IWK102" s="142"/>
      <c r="IWL102" s="142"/>
      <c r="IWM102" s="142"/>
      <c r="IWN102" s="142"/>
      <c r="IWO102" s="142"/>
      <c r="IWP102" s="142"/>
      <c r="IWQ102" s="142"/>
      <c r="IWR102" s="142"/>
      <c r="IWS102" s="142"/>
      <c r="IWT102" s="142"/>
      <c r="IWU102" s="142"/>
      <c r="IWV102" s="142"/>
      <c r="IWW102" s="142"/>
      <c r="IWX102" s="142"/>
      <c r="IWY102" s="142"/>
      <c r="IWZ102" s="142"/>
      <c r="IXA102" s="142"/>
      <c r="IXB102" s="142"/>
      <c r="IXC102" s="142"/>
      <c r="IXD102" s="142"/>
      <c r="IXE102" s="142"/>
      <c r="IXF102" s="142"/>
      <c r="IXG102" s="142"/>
      <c r="IXH102" s="142"/>
      <c r="IXI102" s="142"/>
      <c r="IXJ102" s="142"/>
      <c r="IXK102" s="142"/>
      <c r="IXL102" s="142"/>
      <c r="IXM102" s="142"/>
      <c r="IXN102" s="142"/>
      <c r="IXO102" s="142"/>
      <c r="IXP102" s="142"/>
      <c r="IXQ102" s="142"/>
      <c r="IXR102" s="142"/>
      <c r="IXS102" s="142"/>
      <c r="IXT102" s="142"/>
      <c r="IXU102" s="142"/>
      <c r="IXV102" s="142"/>
      <c r="IXW102" s="142"/>
      <c r="IXX102" s="142"/>
      <c r="IXY102" s="142"/>
      <c r="IXZ102" s="142"/>
      <c r="IYA102" s="142"/>
      <c r="IYB102" s="142"/>
      <c r="IYC102" s="142"/>
      <c r="IYD102" s="142"/>
      <c r="IYE102" s="142"/>
      <c r="IYF102" s="142"/>
      <c r="IYG102" s="142"/>
      <c r="IYH102" s="142"/>
      <c r="IYI102" s="142"/>
      <c r="IYJ102" s="142"/>
      <c r="IYK102" s="142"/>
      <c r="IYL102" s="142"/>
      <c r="IYM102" s="142"/>
      <c r="IYN102" s="142"/>
      <c r="IYO102" s="142"/>
      <c r="IYP102" s="142"/>
      <c r="IYQ102" s="142"/>
      <c r="IYR102" s="142"/>
      <c r="IYS102" s="142"/>
      <c r="IYT102" s="142"/>
      <c r="IYU102" s="142"/>
      <c r="IYV102" s="142"/>
      <c r="IYW102" s="142"/>
      <c r="IYX102" s="142"/>
      <c r="IYY102" s="142"/>
      <c r="IYZ102" s="142"/>
      <c r="IZA102" s="142"/>
      <c r="IZB102" s="142"/>
      <c r="IZC102" s="142"/>
      <c r="IZD102" s="142"/>
      <c r="IZE102" s="142"/>
      <c r="IZF102" s="142"/>
      <c r="IZG102" s="142"/>
      <c r="IZH102" s="142"/>
      <c r="IZI102" s="142"/>
      <c r="IZJ102" s="142"/>
      <c r="IZK102" s="142"/>
      <c r="IZL102" s="142"/>
      <c r="IZM102" s="142"/>
      <c r="IZN102" s="142"/>
      <c r="IZO102" s="142"/>
      <c r="IZP102" s="142"/>
      <c r="IZQ102" s="142"/>
      <c r="IZR102" s="142"/>
      <c r="IZS102" s="142"/>
      <c r="IZT102" s="142"/>
      <c r="IZU102" s="142"/>
      <c r="IZV102" s="142"/>
      <c r="IZW102" s="142"/>
      <c r="IZX102" s="142"/>
      <c r="IZY102" s="142"/>
      <c r="IZZ102" s="142"/>
      <c r="JAA102" s="142"/>
      <c r="JAB102" s="142"/>
      <c r="JAC102" s="142"/>
      <c r="JAD102" s="142"/>
      <c r="JAE102" s="142"/>
      <c r="JAF102" s="142"/>
      <c r="JAG102" s="142"/>
      <c r="JAH102" s="142"/>
      <c r="JAI102" s="142"/>
      <c r="JAJ102" s="142"/>
      <c r="JAK102" s="142"/>
      <c r="JAL102" s="142"/>
      <c r="JAM102" s="142"/>
      <c r="JAN102" s="142"/>
      <c r="JAO102" s="142"/>
      <c r="JAP102" s="142"/>
      <c r="JAQ102" s="142"/>
      <c r="JAR102" s="142"/>
      <c r="JAS102" s="142"/>
      <c r="JAT102" s="142"/>
      <c r="JAU102" s="142"/>
      <c r="JAV102" s="142"/>
      <c r="JAW102" s="142"/>
      <c r="JAX102" s="142"/>
      <c r="JAY102" s="142"/>
      <c r="JAZ102" s="142"/>
      <c r="JBA102" s="142"/>
      <c r="JBB102" s="142"/>
      <c r="JBC102" s="142"/>
      <c r="JBD102" s="142"/>
      <c r="JBE102" s="142"/>
      <c r="JBF102" s="142"/>
      <c r="JBG102" s="142"/>
      <c r="JBH102" s="142"/>
      <c r="JBI102" s="142"/>
      <c r="JBJ102" s="142"/>
      <c r="JBK102" s="142"/>
      <c r="JBL102" s="142"/>
      <c r="JBM102" s="142"/>
      <c r="JBN102" s="142"/>
      <c r="JBO102" s="142"/>
      <c r="JBP102" s="142"/>
      <c r="JBQ102" s="142"/>
      <c r="JBR102" s="142"/>
      <c r="JBS102" s="142"/>
      <c r="JBT102" s="142"/>
      <c r="JBU102" s="142"/>
      <c r="JBV102" s="142"/>
      <c r="JBW102" s="142"/>
      <c r="JBX102" s="142"/>
      <c r="JBY102" s="142"/>
      <c r="JBZ102" s="142"/>
      <c r="JCA102" s="142"/>
      <c r="JCB102" s="142"/>
      <c r="JCC102" s="142"/>
      <c r="JCD102" s="142"/>
      <c r="JCE102" s="142"/>
      <c r="JCF102" s="142"/>
      <c r="JCG102" s="142"/>
      <c r="JCH102" s="142"/>
      <c r="JCI102" s="142"/>
      <c r="JCJ102" s="142"/>
      <c r="JCK102" s="142"/>
      <c r="JCL102" s="142"/>
      <c r="JCM102" s="142"/>
      <c r="JCN102" s="142"/>
      <c r="JCO102" s="142"/>
      <c r="JCP102" s="142"/>
      <c r="JCQ102" s="142"/>
      <c r="JCR102" s="142"/>
      <c r="JCS102" s="142"/>
      <c r="JCT102" s="142"/>
      <c r="JCU102" s="142"/>
      <c r="JCV102" s="142"/>
      <c r="JCW102" s="142"/>
      <c r="JCX102" s="142"/>
      <c r="JCY102" s="142"/>
      <c r="JCZ102" s="142"/>
      <c r="JDA102" s="142"/>
      <c r="JDB102" s="142"/>
      <c r="JDC102" s="142"/>
      <c r="JDD102" s="142"/>
      <c r="JDE102" s="142"/>
      <c r="JDF102" s="142"/>
      <c r="JDG102" s="142"/>
      <c r="JDH102" s="142"/>
      <c r="JDI102" s="142"/>
      <c r="JDJ102" s="142"/>
      <c r="JDK102" s="142"/>
      <c r="JDL102" s="142"/>
      <c r="JDM102" s="142"/>
      <c r="JDN102" s="142"/>
      <c r="JDO102" s="142"/>
      <c r="JDP102" s="142"/>
      <c r="JDQ102" s="142"/>
      <c r="JDR102" s="142"/>
      <c r="JDS102" s="142"/>
      <c r="JDT102" s="142"/>
      <c r="JDU102" s="142"/>
      <c r="JDV102" s="142"/>
      <c r="JDW102" s="142"/>
      <c r="JDX102" s="142"/>
      <c r="JDY102" s="142"/>
      <c r="JDZ102" s="142"/>
      <c r="JEA102" s="142"/>
      <c r="JEB102" s="142"/>
      <c r="JEC102" s="142"/>
      <c r="JED102" s="142"/>
      <c r="JEE102" s="142"/>
      <c r="JEF102" s="142"/>
      <c r="JEG102" s="142"/>
      <c r="JEH102" s="142"/>
      <c r="JEI102" s="142"/>
      <c r="JEJ102" s="142"/>
      <c r="JEK102" s="142"/>
      <c r="JEL102" s="142"/>
      <c r="JEM102" s="142"/>
      <c r="JEN102" s="142"/>
      <c r="JEO102" s="142"/>
      <c r="JEP102" s="142"/>
      <c r="JEQ102" s="142"/>
      <c r="JER102" s="142"/>
      <c r="JES102" s="142"/>
      <c r="JET102" s="142"/>
      <c r="JEU102" s="142"/>
      <c r="JEV102" s="142"/>
      <c r="JEW102" s="142"/>
      <c r="JEX102" s="142"/>
      <c r="JEY102" s="142"/>
      <c r="JEZ102" s="142"/>
      <c r="JFA102" s="142"/>
      <c r="JFB102" s="142"/>
      <c r="JFC102" s="142"/>
      <c r="JFD102" s="142"/>
      <c r="JFE102" s="142"/>
      <c r="JFF102" s="142"/>
      <c r="JFG102" s="142"/>
      <c r="JFH102" s="142"/>
      <c r="JFI102" s="142"/>
      <c r="JFJ102" s="142"/>
      <c r="JFK102" s="142"/>
      <c r="JFL102" s="142"/>
      <c r="JFM102" s="142"/>
      <c r="JFN102" s="142"/>
      <c r="JFO102" s="142"/>
      <c r="JFP102" s="142"/>
      <c r="JFQ102" s="142"/>
      <c r="JFR102" s="142"/>
      <c r="JFS102" s="142"/>
      <c r="JFT102" s="142"/>
      <c r="JFU102" s="142"/>
      <c r="JFV102" s="142"/>
      <c r="JFW102" s="142"/>
      <c r="JFX102" s="142"/>
      <c r="JFY102" s="142"/>
      <c r="JFZ102" s="142"/>
      <c r="JGA102" s="142"/>
      <c r="JGB102" s="142"/>
      <c r="JGC102" s="142"/>
      <c r="JGD102" s="142"/>
      <c r="JGE102" s="142"/>
      <c r="JGF102" s="142"/>
      <c r="JGG102" s="142"/>
      <c r="JGH102" s="142"/>
      <c r="JGI102" s="142"/>
      <c r="JGJ102" s="142"/>
      <c r="JGK102" s="142"/>
      <c r="JGL102" s="142"/>
      <c r="JGM102" s="142"/>
      <c r="JGN102" s="142"/>
      <c r="JGO102" s="142"/>
      <c r="JGP102" s="142"/>
      <c r="JGQ102" s="142"/>
      <c r="JGR102" s="142"/>
      <c r="JGS102" s="142"/>
      <c r="JGT102" s="142"/>
      <c r="JGU102" s="142"/>
      <c r="JGV102" s="142"/>
      <c r="JGW102" s="142"/>
      <c r="JGX102" s="142"/>
      <c r="JGY102" s="142"/>
      <c r="JGZ102" s="142"/>
      <c r="JHA102" s="142"/>
      <c r="JHB102" s="142"/>
      <c r="JHC102" s="142"/>
      <c r="JHD102" s="142"/>
      <c r="JHE102" s="142"/>
      <c r="JHF102" s="142"/>
      <c r="JHG102" s="142"/>
      <c r="JHH102" s="142"/>
      <c r="JHI102" s="142"/>
      <c r="JHJ102" s="142"/>
      <c r="JHK102" s="142"/>
      <c r="JHL102" s="142"/>
      <c r="JHM102" s="142"/>
      <c r="JHN102" s="142"/>
      <c r="JHO102" s="142"/>
      <c r="JHP102" s="142"/>
      <c r="JHQ102" s="142"/>
      <c r="JHR102" s="142"/>
      <c r="JHS102" s="142"/>
      <c r="JHT102" s="142"/>
      <c r="JHU102" s="142"/>
      <c r="JHV102" s="142"/>
      <c r="JHW102" s="142"/>
      <c r="JHX102" s="142"/>
      <c r="JHY102" s="142"/>
      <c r="JHZ102" s="142"/>
      <c r="JIA102" s="142"/>
      <c r="JIB102" s="142"/>
      <c r="JIC102" s="142"/>
      <c r="JID102" s="142"/>
      <c r="JIE102" s="142"/>
      <c r="JIF102" s="142"/>
      <c r="JIG102" s="142"/>
      <c r="JIH102" s="142"/>
      <c r="JII102" s="142"/>
      <c r="JIJ102" s="142"/>
      <c r="JIK102" s="142"/>
      <c r="JIL102" s="142"/>
      <c r="JIM102" s="142"/>
      <c r="JIN102" s="142"/>
      <c r="JIO102" s="142"/>
      <c r="JIP102" s="142"/>
      <c r="JIQ102" s="142"/>
      <c r="JIR102" s="142"/>
      <c r="JIS102" s="142"/>
      <c r="JIT102" s="142"/>
      <c r="JIU102" s="142"/>
      <c r="JIV102" s="142"/>
      <c r="JIW102" s="142"/>
      <c r="JIX102" s="142"/>
      <c r="JIY102" s="142"/>
      <c r="JIZ102" s="142"/>
      <c r="JJA102" s="142"/>
      <c r="JJB102" s="142"/>
      <c r="JJC102" s="142"/>
      <c r="JJD102" s="142"/>
      <c r="JJE102" s="142"/>
      <c r="JJF102" s="142"/>
      <c r="JJG102" s="142"/>
      <c r="JJH102" s="142"/>
      <c r="JJI102" s="142"/>
      <c r="JJJ102" s="142"/>
      <c r="JJK102" s="142"/>
      <c r="JJL102" s="142"/>
      <c r="JJM102" s="142"/>
      <c r="JJN102" s="142"/>
      <c r="JJO102" s="142"/>
      <c r="JJP102" s="142"/>
      <c r="JJQ102" s="142"/>
      <c r="JJR102" s="142"/>
      <c r="JJS102" s="142"/>
      <c r="JJT102" s="142"/>
      <c r="JJU102" s="142"/>
      <c r="JJV102" s="142"/>
      <c r="JJW102" s="142"/>
      <c r="JJX102" s="142"/>
      <c r="JJY102" s="142"/>
      <c r="JJZ102" s="142"/>
      <c r="JKA102" s="142"/>
      <c r="JKB102" s="142"/>
      <c r="JKC102" s="142"/>
      <c r="JKD102" s="142"/>
      <c r="JKE102" s="142"/>
      <c r="JKF102" s="142"/>
      <c r="JKG102" s="142"/>
      <c r="JKH102" s="142"/>
      <c r="JKI102" s="142"/>
      <c r="JKJ102" s="142"/>
      <c r="JKK102" s="142"/>
      <c r="JKL102" s="142"/>
      <c r="JKM102" s="142"/>
      <c r="JKN102" s="142"/>
      <c r="JKO102" s="142"/>
      <c r="JKP102" s="142"/>
      <c r="JKQ102" s="142"/>
      <c r="JKR102" s="142"/>
      <c r="JKS102" s="142"/>
      <c r="JKT102" s="142"/>
      <c r="JKU102" s="142"/>
      <c r="JKV102" s="142"/>
      <c r="JKW102" s="142"/>
      <c r="JKX102" s="142"/>
      <c r="JKY102" s="142"/>
      <c r="JKZ102" s="142"/>
      <c r="JLA102" s="142"/>
      <c r="JLB102" s="142"/>
      <c r="JLC102" s="142"/>
      <c r="JLD102" s="142"/>
      <c r="JLE102" s="142"/>
      <c r="JLF102" s="142"/>
      <c r="JLG102" s="142"/>
      <c r="JLH102" s="142"/>
      <c r="JLI102" s="142"/>
      <c r="JLJ102" s="142"/>
      <c r="JLK102" s="142"/>
      <c r="JLL102" s="142"/>
      <c r="JLM102" s="142"/>
      <c r="JLN102" s="142"/>
      <c r="JLO102" s="142"/>
      <c r="JLP102" s="142"/>
      <c r="JLQ102" s="142"/>
      <c r="JLR102" s="142"/>
      <c r="JLS102" s="142"/>
      <c r="JLT102" s="142"/>
      <c r="JLU102" s="142"/>
      <c r="JLV102" s="142"/>
      <c r="JLW102" s="142"/>
      <c r="JLX102" s="142"/>
      <c r="JLY102" s="142"/>
      <c r="JLZ102" s="142"/>
      <c r="JMA102" s="142"/>
      <c r="JMB102" s="142"/>
      <c r="JMC102" s="142"/>
      <c r="JMD102" s="142"/>
      <c r="JME102" s="142"/>
      <c r="JMF102" s="142"/>
      <c r="JMG102" s="142"/>
      <c r="JMH102" s="142"/>
      <c r="JMI102" s="142"/>
      <c r="JMJ102" s="142"/>
      <c r="JMK102" s="142"/>
      <c r="JML102" s="142"/>
      <c r="JMM102" s="142"/>
      <c r="JMN102" s="142"/>
      <c r="JMO102" s="142"/>
      <c r="JMP102" s="142"/>
      <c r="JMQ102" s="142"/>
      <c r="JMR102" s="142"/>
      <c r="JMS102" s="142"/>
      <c r="JMT102" s="142"/>
      <c r="JMU102" s="142"/>
      <c r="JMV102" s="142"/>
      <c r="JMW102" s="142"/>
      <c r="JMX102" s="142"/>
      <c r="JMY102" s="142"/>
      <c r="JMZ102" s="142"/>
      <c r="JNA102" s="142"/>
      <c r="JNB102" s="142"/>
      <c r="JNC102" s="142"/>
      <c r="JND102" s="142"/>
      <c r="JNE102" s="142"/>
      <c r="JNF102" s="142"/>
      <c r="JNG102" s="142"/>
      <c r="JNH102" s="142"/>
      <c r="JNI102" s="142"/>
      <c r="JNJ102" s="142"/>
      <c r="JNK102" s="142"/>
      <c r="JNL102" s="142"/>
      <c r="JNM102" s="142"/>
      <c r="JNN102" s="142"/>
      <c r="JNO102" s="142"/>
      <c r="JNP102" s="142"/>
      <c r="JNQ102" s="142"/>
      <c r="JNR102" s="142"/>
      <c r="JNS102" s="142"/>
      <c r="JNT102" s="142"/>
      <c r="JNU102" s="142"/>
      <c r="JNV102" s="142"/>
      <c r="JNW102" s="142"/>
      <c r="JNX102" s="142"/>
      <c r="JNY102" s="142"/>
      <c r="JNZ102" s="142"/>
      <c r="JOA102" s="142"/>
      <c r="JOB102" s="142"/>
      <c r="JOC102" s="142"/>
      <c r="JOD102" s="142"/>
      <c r="JOE102" s="142"/>
      <c r="JOF102" s="142"/>
      <c r="JOG102" s="142"/>
      <c r="JOH102" s="142"/>
      <c r="JOI102" s="142"/>
      <c r="JOJ102" s="142"/>
      <c r="JOK102" s="142"/>
      <c r="JOL102" s="142"/>
      <c r="JOM102" s="142"/>
      <c r="JON102" s="142"/>
      <c r="JOO102" s="142"/>
      <c r="JOP102" s="142"/>
      <c r="JOQ102" s="142"/>
      <c r="JOR102" s="142"/>
      <c r="JOS102" s="142"/>
      <c r="JOT102" s="142"/>
      <c r="JOU102" s="142"/>
      <c r="JOV102" s="142"/>
      <c r="JOW102" s="142"/>
      <c r="JOX102" s="142"/>
      <c r="JOY102" s="142"/>
      <c r="JOZ102" s="142"/>
      <c r="JPA102" s="142"/>
      <c r="JPB102" s="142"/>
      <c r="JPC102" s="142"/>
      <c r="JPD102" s="142"/>
      <c r="JPE102" s="142"/>
      <c r="JPF102" s="142"/>
      <c r="JPG102" s="142"/>
      <c r="JPH102" s="142"/>
      <c r="JPI102" s="142"/>
      <c r="JPJ102" s="142"/>
      <c r="JPK102" s="142"/>
      <c r="JPL102" s="142"/>
      <c r="JPM102" s="142"/>
      <c r="JPN102" s="142"/>
      <c r="JPO102" s="142"/>
      <c r="JPP102" s="142"/>
      <c r="JPQ102" s="142"/>
      <c r="JPR102" s="142"/>
      <c r="JPS102" s="142"/>
      <c r="JPT102" s="142"/>
      <c r="JPU102" s="142"/>
      <c r="JPV102" s="142"/>
      <c r="JPW102" s="142"/>
      <c r="JPX102" s="142"/>
      <c r="JPY102" s="142"/>
      <c r="JPZ102" s="142"/>
      <c r="JQA102" s="142"/>
      <c r="JQB102" s="142"/>
      <c r="JQC102" s="142"/>
      <c r="JQD102" s="142"/>
      <c r="JQE102" s="142"/>
      <c r="JQF102" s="142"/>
      <c r="JQG102" s="142"/>
      <c r="JQH102" s="142"/>
      <c r="JQI102" s="142"/>
      <c r="JQJ102" s="142"/>
      <c r="JQK102" s="142"/>
      <c r="JQL102" s="142"/>
      <c r="JQM102" s="142"/>
      <c r="JQN102" s="142"/>
      <c r="JQO102" s="142"/>
      <c r="JQP102" s="142"/>
      <c r="JQQ102" s="142"/>
      <c r="JQR102" s="142"/>
      <c r="JQS102" s="142"/>
      <c r="JQT102" s="142"/>
      <c r="JQU102" s="142"/>
      <c r="JQV102" s="142"/>
      <c r="JQW102" s="142"/>
      <c r="JQX102" s="142"/>
      <c r="JQY102" s="142"/>
      <c r="JQZ102" s="142"/>
      <c r="JRA102" s="142"/>
      <c r="JRB102" s="142"/>
      <c r="JRC102" s="142"/>
      <c r="JRD102" s="142"/>
      <c r="JRE102" s="142"/>
      <c r="JRF102" s="142"/>
      <c r="JRG102" s="142"/>
      <c r="JRH102" s="142"/>
      <c r="JRI102" s="142"/>
      <c r="JRJ102" s="142"/>
      <c r="JRK102" s="142"/>
      <c r="JRL102" s="142"/>
      <c r="JRM102" s="142"/>
      <c r="JRN102" s="142"/>
      <c r="JRO102" s="142"/>
      <c r="JRP102" s="142"/>
      <c r="JRQ102" s="142"/>
      <c r="JRR102" s="142"/>
      <c r="JRS102" s="142"/>
      <c r="JRT102" s="142"/>
      <c r="JRU102" s="142"/>
      <c r="JRV102" s="142"/>
      <c r="JRW102" s="142"/>
      <c r="JRX102" s="142"/>
      <c r="JRY102" s="142"/>
      <c r="JRZ102" s="142"/>
      <c r="JSA102" s="142"/>
      <c r="JSB102" s="142"/>
      <c r="JSC102" s="142"/>
      <c r="JSD102" s="142"/>
      <c r="JSE102" s="142"/>
      <c r="JSF102" s="142"/>
      <c r="JSG102" s="142"/>
      <c r="JSH102" s="142"/>
      <c r="JSI102" s="142"/>
      <c r="JSJ102" s="142"/>
      <c r="JSK102" s="142"/>
      <c r="JSL102" s="142"/>
      <c r="JSM102" s="142"/>
      <c r="JSN102" s="142"/>
      <c r="JSO102" s="142"/>
      <c r="JSP102" s="142"/>
      <c r="JSQ102" s="142"/>
      <c r="JSR102" s="142"/>
      <c r="JSS102" s="142"/>
      <c r="JST102" s="142"/>
      <c r="JSU102" s="142"/>
      <c r="JSV102" s="142"/>
      <c r="JSW102" s="142"/>
      <c r="JSX102" s="142"/>
      <c r="JSY102" s="142"/>
      <c r="JSZ102" s="142"/>
      <c r="JTA102" s="142"/>
      <c r="JTB102" s="142"/>
      <c r="JTC102" s="142"/>
      <c r="JTD102" s="142"/>
      <c r="JTE102" s="142"/>
      <c r="JTF102" s="142"/>
      <c r="JTG102" s="142"/>
      <c r="JTH102" s="142"/>
      <c r="JTI102" s="142"/>
      <c r="JTJ102" s="142"/>
      <c r="JTK102" s="142"/>
      <c r="JTL102" s="142"/>
      <c r="JTM102" s="142"/>
      <c r="JTN102" s="142"/>
      <c r="JTO102" s="142"/>
      <c r="JTP102" s="142"/>
      <c r="JTQ102" s="142"/>
      <c r="JTR102" s="142"/>
      <c r="JTS102" s="142"/>
      <c r="JTT102" s="142"/>
      <c r="JTU102" s="142"/>
      <c r="JTV102" s="142"/>
      <c r="JTW102" s="142"/>
      <c r="JTX102" s="142"/>
      <c r="JTY102" s="142"/>
      <c r="JTZ102" s="142"/>
      <c r="JUA102" s="142"/>
      <c r="JUB102" s="142"/>
      <c r="JUC102" s="142"/>
      <c r="JUD102" s="142"/>
      <c r="JUE102" s="142"/>
      <c r="JUF102" s="142"/>
      <c r="JUG102" s="142"/>
      <c r="JUH102" s="142"/>
      <c r="JUI102" s="142"/>
      <c r="JUJ102" s="142"/>
      <c r="JUK102" s="142"/>
      <c r="JUL102" s="142"/>
      <c r="JUM102" s="142"/>
      <c r="JUN102" s="142"/>
      <c r="JUO102" s="142"/>
      <c r="JUP102" s="142"/>
      <c r="JUQ102" s="142"/>
      <c r="JUR102" s="142"/>
      <c r="JUS102" s="142"/>
      <c r="JUT102" s="142"/>
      <c r="JUU102" s="142"/>
      <c r="JUV102" s="142"/>
      <c r="JUW102" s="142"/>
      <c r="JUX102" s="142"/>
      <c r="JUY102" s="142"/>
      <c r="JUZ102" s="142"/>
      <c r="JVA102" s="142"/>
      <c r="JVB102" s="142"/>
      <c r="JVC102" s="142"/>
      <c r="JVD102" s="142"/>
      <c r="JVE102" s="142"/>
      <c r="JVF102" s="142"/>
      <c r="JVG102" s="142"/>
      <c r="JVH102" s="142"/>
      <c r="JVI102" s="142"/>
      <c r="JVJ102" s="142"/>
      <c r="JVK102" s="142"/>
      <c r="JVL102" s="142"/>
      <c r="JVM102" s="142"/>
      <c r="JVN102" s="142"/>
      <c r="JVO102" s="142"/>
      <c r="JVP102" s="142"/>
      <c r="JVQ102" s="142"/>
      <c r="JVR102" s="142"/>
      <c r="JVS102" s="142"/>
      <c r="JVT102" s="142"/>
      <c r="JVU102" s="142"/>
      <c r="JVV102" s="142"/>
      <c r="JVW102" s="142"/>
      <c r="JVX102" s="142"/>
      <c r="JVY102" s="142"/>
      <c r="JVZ102" s="142"/>
      <c r="JWA102" s="142"/>
      <c r="JWB102" s="142"/>
      <c r="JWC102" s="142"/>
      <c r="JWD102" s="142"/>
      <c r="JWE102" s="142"/>
      <c r="JWF102" s="142"/>
      <c r="JWG102" s="142"/>
      <c r="JWH102" s="142"/>
      <c r="JWI102" s="142"/>
      <c r="JWJ102" s="142"/>
      <c r="JWK102" s="142"/>
      <c r="JWL102" s="142"/>
      <c r="JWM102" s="142"/>
      <c r="JWN102" s="142"/>
      <c r="JWO102" s="142"/>
      <c r="JWP102" s="142"/>
      <c r="JWQ102" s="142"/>
      <c r="JWR102" s="142"/>
      <c r="JWS102" s="142"/>
      <c r="JWT102" s="142"/>
      <c r="JWU102" s="142"/>
      <c r="JWV102" s="142"/>
      <c r="JWW102" s="142"/>
      <c r="JWX102" s="142"/>
      <c r="JWY102" s="142"/>
      <c r="JWZ102" s="142"/>
      <c r="JXA102" s="142"/>
      <c r="JXB102" s="142"/>
      <c r="JXC102" s="142"/>
      <c r="JXD102" s="142"/>
      <c r="JXE102" s="142"/>
      <c r="JXF102" s="142"/>
      <c r="JXG102" s="142"/>
      <c r="JXH102" s="142"/>
      <c r="JXI102" s="142"/>
      <c r="JXJ102" s="142"/>
      <c r="JXK102" s="142"/>
      <c r="JXL102" s="142"/>
      <c r="JXM102" s="142"/>
      <c r="JXN102" s="142"/>
      <c r="JXO102" s="142"/>
      <c r="JXP102" s="142"/>
      <c r="JXQ102" s="142"/>
      <c r="JXR102" s="142"/>
      <c r="JXS102" s="142"/>
      <c r="JXT102" s="142"/>
      <c r="JXU102" s="142"/>
      <c r="JXV102" s="142"/>
      <c r="JXW102" s="142"/>
      <c r="JXX102" s="142"/>
      <c r="JXY102" s="142"/>
      <c r="JXZ102" s="142"/>
      <c r="JYA102" s="142"/>
      <c r="JYB102" s="142"/>
      <c r="JYC102" s="142"/>
      <c r="JYD102" s="142"/>
      <c r="JYE102" s="142"/>
      <c r="JYF102" s="142"/>
      <c r="JYG102" s="142"/>
      <c r="JYH102" s="142"/>
      <c r="JYI102" s="142"/>
      <c r="JYJ102" s="142"/>
      <c r="JYK102" s="142"/>
      <c r="JYL102" s="142"/>
      <c r="JYM102" s="142"/>
      <c r="JYN102" s="142"/>
      <c r="JYO102" s="142"/>
      <c r="JYP102" s="142"/>
      <c r="JYQ102" s="142"/>
      <c r="JYR102" s="142"/>
      <c r="JYS102" s="142"/>
      <c r="JYT102" s="142"/>
      <c r="JYU102" s="142"/>
      <c r="JYV102" s="142"/>
      <c r="JYW102" s="142"/>
      <c r="JYX102" s="142"/>
      <c r="JYY102" s="142"/>
      <c r="JYZ102" s="142"/>
      <c r="JZA102" s="142"/>
      <c r="JZB102" s="142"/>
      <c r="JZC102" s="142"/>
      <c r="JZD102" s="142"/>
      <c r="JZE102" s="142"/>
      <c r="JZF102" s="142"/>
      <c r="JZG102" s="142"/>
      <c r="JZH102" s="142"/>
      <c r="JZI102" s="142"/>
      <c r="JZJ102" s="142"/>
      <c r="JZK102" s="142"/>
      <c r="JZL102" s="142"/>
      <c r="JZM102" s="142"/>
      <c r="JZN102" s="142"/>
      <c r="JZO102" s="142"/>
      <c r="JZP102" s="142"/>
      <c r="JZQ102" s="142"/>
      <c r="JZR102" s="142"/>
      <c r="JZS102" s="142"/>
      <c r="JZT102" s="142"/>
      <c r="JZU102" s="142"/>
      <c r="JZV102" s="142"/>
      <c r="JZW102" s="142"/>
      <c r="JZX102" s="142"/>
      <c r="JZY102" s="142"/>
      <c r="JZZ102" s="142"/>
      <c r="KAA102" s="142"/>
      <c r="KAB102" s="142"/>
      <c r="KAC102" s="142"/>
      <c r="KAD102" s="142"/>
      <c r="KAE102" s="142"/>
      <c r="KAF102" s="142"/>
      <c r="KAG102" s="142"/>
      <c r="KAH102" s="142"/>
      <c r="KAI102" s="142"/>
      <c r="KAJ102" s="142"/>
      <c r="KAK102" s="142"/>
      <c r="KAL102" s="142"/>
      <c r="KAM102" s="142"/>
      <c r="KAN102" s="142"/>
      <c r="KAO102" s="142"/>
      <c r="KAP102" s="142"/>
      <c r="KAQ102" s="142"/>
      <c r="KAR102" s="142"/>
      <c r="KAS102" s="142"/>
      <c r="KAT102" s="142"/>
      <c r="KAU102" s="142"/>
      <c r="KAV102" s="142"/>
      <c r="KAW102" s="142"/>
      <c r="KAX102" s="142"/>
      <c r="KAY102" s="142"/>
      <c r="KAZ102" s="142"/>
      <c r="KBA102" s="142"/>
      <c r="KBB102" s="142"/>
      <c r="KBC102" s="142"/>
      <c r="KBD102" s="142"/>
      <c r="KBE102" s="142"/>
      <c r="KBF102" s="142"/>
      <c r="KBG102" s="142"/>
      <c r="KBH102" s="142"/>
      <c r="KBI102" s="142"/>
      <c r="KBJ102" s="142"/>
      <c r="KBK102" s="142"/>
      <c r="KBL102" s="142"/>
      <c r="KBM102" s="142"/>
      <c r="KBN102" s="142"/>
      <c r="KBO102" s="142"/>
      <c r="KBP102" s="142"/>
      <c r="KBQ102" s="142"/>
      <c r="KBR102" s="142"/>
      <c r="KBS102" s="142"/>
      <c r="KBT102" s="142"/>
      <c r="KBU102" s="142"/>
      <c r="KBV102" s="142"/>
      <c r="KBW102" s="142"/>
      <c r="KBX102" s="142"/>
      <c r="KBY102" s="142"/>
      <c r="KBZ102" s="142"/>
      <c r="KCA102" s="142"/>
      <c r="KCB102" s="142"/>
      <c r="KCC102" s="142"/>
      <c r="KCD102" s="142"/>
      <c r="KCE102" s="142"/>
      <c r="KCF102" s="142"/>
      <c r="KCG102" s="142"/>
      <c r="KCH102" s="142"/>
      <c r="KCI102" s="142"/>
      <c r="KCJ102" s="142"/>
      <c r="KCK102" s="142"/>
      <c r="KCL102" s="142"/>
      <c r="KCM102" s="142"/>
      <c r="KCN102" s="142"/>
      <c r="KCO102" s="142"/>
      <c r="KCP102" s="142"/>
      <c r="KCQ102" s="142"/>
      <c r="KCR102" s="142"/>
      <c r="KCS102" s="142"/>
      <c r="KCT102" s="142"/>
      <c r="KCU102" s="142"/>
      <c r="KCV102" s="142"/>
      <c r="KCW102" s="142"/>
      <c r="KCX102" s="142"/>
      <c r="KCY102" s="142"/>
      <c r="KCZ102" s="142"/>
      <c r="KDA102" s="142"/>
      <c r="KDB102" s="142"/>
      <c r="KDC102" s="142"/>
      <c r="KDD102" s="142"/>
      <c r="KDE102" s="142"/>
      <c r="KDF102" s="142"/>
      <c r="KDG102" s="142"/>
      <c r="KDH102" s="142"/>
      <c r="KDI102" s="142"/>
      <c r="KDJ102" s="142"/>
      <c r="KDK102" s="142"/>
      <c r="KDL102" s="142"/>
      <c r="KDM102" s="142"/>
      <c r="KDN102" s="142"/>
      <c r="KDO102" s="142"/>
      <c r="KDP102" s="142"/>
      <c r="KDQ102" s="142"/>
      <c r="KDR102" s="142"/>
      <c r="KDS102" s="142"/>
      <c r="KDT102" s="142"/>
      <c r="KDU102" s="142"/>
      <c r="KDV102" s="142"/>
      <c r="KDW102" s="142"/>
      <c r="KDX102" s="142"/>
      <c r="KDY102" s="142"/>
      <c r="KDZ102" s="142"/>
      <c r="KEA102" s="142"/>
      <c r="KEB102" s="142"/>
      <c r="KEC102" s="142"/>
      <c r="KED102" s="142"/>
      <c r="KEE102" s="142"/>
      <c r="KEF102" s="142"/>
      <c r="KEG102" s="142"/>
      <c r="KEH102" s="142"/>
      <c r="KEI102" s="142"/>
      <c r="KEJ102" s="142"/>
      <c r="KEK102" s="142"/>
      <c r="KEL102" s="142"/>
      <c r="KEM102" s="142"/>
      <c r="KEN102" s="142"/>
      <c r="KEO102" s="142"/>
      <c r="KEP102" s="142"/>
      <c r="KEQ102" s="142"/>
      <c r="KER102" s="142"/>
      <c r="KES102" s="142"/>
      <c r="KET102" s="142"/>
      <c r="KEU102" s="142"/>
      <c r="KEV102" s="142"/>
      <c r="KEW102" s="142"/>
      <c r="KEX102" s="142"/>
      <c r="KEY102" s="142"/>
      <c r="KEZ102" s="142"/>
      <c r="KFA102" s="142"/>
      <c r="KFB102" s="142"/>
      <c r="KFC102" s="142"/>
      <c r="KFD102" s="142"/>
      <c r="KFE102" s="142"/>
      <c r="KFF102" s="142"/>
      <c r="KFG102" s="142"/>
      <c r="KFH102" s="142"/>
      <c r="KFI102" s="142"/>
      <c r="KFJ102" s="142"/>
      <c r="KFK102" s="142"/>
      <c r="KFL102" s="142"/>
      <c r="KFM102" s="142"/>
      <c r="KFN102" s="142"/>
      <c r="KFO102" s="142"/>
      <c r="KFP102" s="142"/>
      <c r="KFQ102" s="142"/>
      <c r="KFR102" s="142"/>
      <c r="KFS102" s="142"/>
      <c r="KFT102" s="142"/>
      <c r="KFU102" s="142"/>
      <c r="KFV102" s="142"/>
      <c r="KFW102" s="142"/>
      <c r="KFX102" s="142"/>
      <c r="KFY102" s="142"/>
      <c r="KFZ102" s="142"/>
      <c r="KGA102" s="142"/>
      <c r="KGB102" s="142"/>
      <c r="KGC102" s="142"/>
      <c r="KGD102" s="142"/>
      <c r="KGE102" s="142"/>
      <c r="KGF102" s="142"/>
      <c r="KGG102" s="142"/>
      <c r="KGH102" s="142"/>
      <c r="KGI102" s="142"/>
      <c r="KGJ102" s="142"/>
      <c r="KGK102" s="142"/>
      <c r="KGL102" s="142"/>
      <c r="KGM102" s="142"/>
      <c r="KGN102" s="142"/>
      <c r="KGO102" s="142"/>
      <c r="KGP102" s="142"/>
      <c r="KGQ102" s="142"/>
      <c r="KGR102" s="142"/>
      <c r="KGS102" s="142"/>
      <c r="KGT102" s="142"/>
      <c r="KGU102" s="142"/>
      <c r="KGV102" s="142"/>
      <c r="KGW102" s="142"/>
      <c r="KGX102" s="142"/>
      <c r="KGY102" s="142"/>
      <c r="KGZ102" s="142"/>
      <c r="KHA102" s="142"/>
      <c r="KHB102" s="142"/>
      <c r="KHC102" s="142"/>
      <c r="KHD102" s="142"/>
      <c r="KHE102" s="142"/>
      <c r="KHF102" s="142"/>
      <c r="KHG102" s="142"/>
      <c r="KHH102" s="142"/>
      <c r="KHI102" s="142"/>
      <c r="KHJ102" s="142"/>
      <c r="KHK102" s="142"/>
      <c r="KHL102" s="142"/>
      <c r="KHM102" s="142"/>
      <c r="KHN102" s="142"/>
      <c r="KHO102" s="142"/>
      <c r="KHP102" s="142"/>
      <c r="KHQ102" s="142"/>
      <c r="KHR102" s="142"/>
      <c r="KHS102" s="142"/>
      <c r="KHT102" s="142"/>
      <c r="KHU102" s="142"/>
      <c r="KHV102" s="142"/>
      <c r="KHW102" s="142"/>
      <c r="KHX102" s="142"/>
      <c r="KHY102" s="142"/>
      <c r="KHZ102" s="142"/>
      <c r="KIA102" s="142"/>
      <c r="KIB102" s="142"/>
      <c r="KIC102" s="142"/>
      <c r="KID102" s="142"/>
      <c r="KIE102" s="142"/>
      <c r="KIF102" s="142"/>
      <c r="KIG102" s="142"/>
      <c r="KIH102" s="142"/>
      <c r="KII102" s="142"/>
      <c r="KIJ102" s="142"/>
      <c r="KIK102" s="142"/>
      <c r="KIL102" s="142"/>
      <c r="KIM102" s="142"/>
      <c r="KIN102" s="142"/>
      <c r="KIO102" s="142"/>
      <c r="KIP102" s="142"/>
      <c r="KIQ102" s="142"/>
      <c r="KIR102" s="142"/>
      <c r="KIS102" s="142"/>
      <c r="KIT102" s="142"/>
      <c r="KIU102" s="142"/>
      <c r="KIV102" s="142"/>
      <c r="KIW102" s="142"/>
      <c r="KIX102" s="142"/>
      <c r="KIY102" s="142"/>
      <c r="KIZ102" s="142"/>
      <c r="KJA102" s="142"/>
      <c r="KJB102" s="142"/>
      <c r="KJC102" s="142"/>
      <c r="KJD102" s="142"/>
      <c r="KJE102" s="142"/>
      <c r="KJF102" s="142"/>
      <c r="KJG102" s="142"/>
      <c r="KJH102" s="142"/>
      <c r="KJI102" s="142"/>
      <c r="KJJ102" s="142"/>
      <c r="KJK102" s="142"/>
      <c r="KJL102" s="142"/>
      <c r="KJM102" s="142"/>
      <c r="KJN102" s="142"/>
      <c r="KJO102" s="142"/>
      <c r="KJP102" s="142"/>
      <c r="KJQ102" s="142"/>
      <c r="KJR102" s="142"/>
      <c r="KJS102" s="142"/>
      <c r="KJT102" s="142"/>
      <c r="KJU102" s="142"/>
      <c r="KJV102" s="142"/>
      <c r="KJW102" s="142"/>
      <c r="KJX102" s="142"/>
      <c r="KJY102" s="142"/>
      <c r="KJZ102" s="142"/>
      <c r="KKA102" s="142"/>
      <c r="KKB102" s="142"/>
      <c r="KKC102" s="142"/>
      <c r="KKD102" s="142"/>
      <c r="KKE102" s="142"/>
      <c r="KKF102" s="142"/>
      <c r="KKG102" s="142"/>
      <c r="KKH102" s="142"/>
      <c r="KKI102" s="142"/>
      <c r="KKJ102" s="142"/>
      <c r="KKK102" s="142"/>
      <c r="KKL102" s="142"/>
      <c r="KKM102" s="142"/>
      <c r="KKN102" s="142"/>
      <c r="KKO102" s="142"/>
      <c r="KKP102" s="142"/>
      <c r="KKQ102" s="142"/>
      <c r="KKR102" s="142"/>
      <c r="KKS102" s="142"/>
      <c r="KKT102" s="142"/>
      <c r="KKU102" s="142"/>
      <c r="KKV102" s="142"/>
      <c r="KKW102" s="142"/>
      <c r="KKX102" s="142"/>
      <c r="KKY102" s="142"/>
      <c r="KKZ102" s="142"/>
      <c r="KLA102" s="142"/>
      <c r="KLB102" s="142"/>
      <c r="KLC102" s="142"/>
      <c r="KLD102" s="142"/>
      <c r="KLE102" s="142"/>
      <c r="KLF102" s="142"/>
      <c r="KLG102" s="142"/>
      <c r="KLH102" s="142"/>
      <c r="KLI102" s="142"/>
      <c r="KLJ102" s="142"/>
      <c r="KLK102" s="142"/>
      <c r="KLL102" s="142"/>
      <c r="KLM102" s="142"/>
      <c r="KLN102" s="142"/>
      <c r="KLO102" s="142"/>
      <c r="KLP102" s="142"/>
      <c r="KLQ102" s="142"/>
      <c r="KLR102" s="142"/>
      <c r="KLS102" s="142"/>
      <c r="KLT102" s="142"/>
      <c r="KLU102" s="142"/>
      <c r="KLV102" s="142"/>
      <c r="KLW102" s="142"/>
      <c r="KLX102" s="142"/>
      <c r="KLY102" s="142"/>
      <c r="KLZ102" s="142"/>
      <c r="KMA102" s="142"/>
      <c r="KMB102" s="142"/>
      <c r="KMC102" s="142"/>
      <c r="KMD102" s="142"/>
      <c r="KME102" s="142"/>
      <c r="KMF102" s="142"/>
      <c r="KMG102" s="142"/>
      <c r="KMH102" s="142"/>
      <c r="KMI102" s="142"/>
      <c r="KMJ102" s="142"/>
      <c r="KMK102" s="142"/>
      <c r="KML102" s="142"/>
      <c r="KMM102" s="142"/>
      <c r="KMN102" s="142"/>
      <c r="KMO102" s="142"/>
      <c r="KMP102" s="142"/>
      <c r="KMQ102" s="142"/>
      <c r="KMR102" s="142"/>
      <c r="KMS102" s="142"/>
      <c r="KMT102" s="142"/>
      <c r="KMU102" s="142"/>
      <c r="KMV102" s="142"/>
      <c r="KMW102" s="142"/>
      <c r="KMX102" s="142"/>
      <c r="KMY102" s="142"/>
      <c r="KMZ102" s="142"/>
      <c r="KNA102" s="142"/>
      <c r="KNB102" s="142"/>
      <c r="KNC102" s="142"/>
      <c r="KND102" s="142"/>
      <c r="KNE102" s="142"/>
      <c r="KNF102" s="142"/>
      <c r="KNG102" s="142"/>
      <c r="KNH102" s="142"/>
      <c r="KNI102" s="142"/>
      <c r="KNJ102" s="142"/>
      <c r="KNK102" s="142"/>
      <c r="KNL102" s="142"/>
      <c r="KNM102" s="142"/>
      <c r="KNN102" s="142"/>
      <c r="KNO102" s="142"/>
      <c r="KNP102" s="142"/>
      <c r="KNQ102" s="142"/>
      <c r="KNR102" s="142"/>
      <c r="KNS102" s="142"/>
      <c r="KNT102" s="142"/>
      <c r="KNU102" s="142"/>
      <c r="KNV102" s="142"/>
      <c r="KNW102" s="142"/>
      <c r="KNX102" s="142"/>
      <c r="KNY102" s="142"/>
      <c r="KNZ102" s="142"/>
      <c r="KOA102" s="142"/>
      <c r="KOB102" s="142"/>
      <c r="KOC102" s="142"/>
      <c r="KOD102" s="142"/>
      <c r="KOE102" s="142"/>
      <c r="KOF102" s="142"/>
      <c r="KOG102" s="142"/>
      <c r="KOH102" s="142"/>
      <c r="KOI102" s="142"/>
      <c r="KOJ102" s="142"/>
      <c r="KOK102" s="142"/>
      <c r="KOL102" s="142"/>
      <c r="KOM102" s="142"/>
      <c r="KON102" s="142"/>
      <c r="KOO102" s="142"/>
      <c r="KOP102" s="142"/>
      <c r="KOQ102" s="142"/>
      <c r="KOR102" s="142"/>
      <c r="KOS102" s="142"/>
      <c r="KOT102" s="142"/>
      <c r="KOU102" s="142"/>
      <c r="KOV102" s="142"/>
      <c r="KOW102" s="142"/>
      <c r="KOX102" s="142"/>
      <c r="KOY102" s="142"/>
      <c r="KOZ102" s="142"/>
      <c r="KPA102" s="142"/>
      <c r="KPB102" s="142"/>
      <c r="KPC102" s="142"/>
      <c r="KPD102" s="142"/>
      <c r="KPE102" s="142"/>
      <c r="KPF102" s="142"/>
      <c r="KPG102" s="142"/>
      <c r="KPH102" s="142"/>
      <c r="KPI102" s="142"/>
      <c r="KPJ102" s="142"/>
      <c r="KPK102" s="142"/>
      <c r="KPL102" s="142"/>
      <c r="KPM102" s="142"/>
      <c r="KPN102" s="142"/>
      <c r="KPO102" s="142"/>
      <c r="KPP102" s="142"/>
      <c r="KPQ102" s="142"/>
      <c r="KPR102" s="142"/>
      <c r="KPS102" s="142"/>
      <c r="KPT102" s="142"/>
      <c r="KPU102" s="142"/>
      <c r="KPV102" s="142"/>
      <c r="KPW102" s="142"/>
      <c r="KPX102" s="142"/>
      <c r="KPY102" s="142"/>
      <c r="KPZ102" s="142"/>
      <c r="KQA102" s="142"/>
      <c r="KQB102" s="142"/>
      <c r="KQC102" s="142"/>
      <c r="KQD102" s="142"/>
      <c r="KQE102" s="142"/>
      <c r="KQF102" s="142"/>
      <c r="KQG102" s="142"/>
      <c r="KQH102" s="142"/>
      <c r="KQI102" s="142"/>
      <c r="KQJ102" s="142"/>
      <c r="KQK102" s="142"/>
      <c r="KQL102" s="142"/>
      <c r="KQM102" s="142"/>
      <c r="KQN102" s="142"/>
      <c r="KQO102" s="142"/>
      <c r="KQP102" s="142"/>
      <c r="KQQ102" s="142"/>
      <c r="KQR102" s="142"/>
      <c r="KQS102" s="142"/>
      <c r="KQT102" s="142"/>
      <c r="KQU102" s="142"/>
      <c r="KQV102" s="142"/>
      <c r="KQW102" s="142"/>
      <c r="KQX102" s="142"/>
      <c r="KQY102" s="142"/>
      <c r="KQZ102" s="142"/>
      <c r="KRA102" s="142"/>
      <c r="KRB102" s="142"/>
      <c r="KRC102" s="142"/>
      <c r="KRD102" s="142"/>
      <c r="KRE102" s="142"/>
      <c r="KRF102" s="142"/>
      <c r="KRG102" s="142"/>
      <c r="KRH102" s="142"/>
      <c r="KRI102" s="142"/>
      <c r="KRJ102" s="142"/>
      <c r="KRK102" s="142"/>
      <c r="KRL102" s="142"/>
      <c r="KRM102" s="142"/>
      <c r="KRN102" s="142"/>
      <c r="KRO102" s="142"/>
      <c r="KRP102" s="142"/>
      <c r="KRQ102" s="142"/>
      <c r="KRR102" s="142"/>
      <c r="KRS102" s="142"/>
      <c r="KRT102" s="142"/>
      <c r="KRU102" s="142"/>
      <c r="KRV102" s="142"/>
      <c r="KRW102" s="142"/>
      <c r="KRX102" s="142"/>
      <c r="KRY102" s="142"/>
      <c r="KRZ102" s="142"/>
      <c r="KSA102" s="142"/>
      <c r="KSB102" s="142"/>
      <c r="KSC102" s="142"/>
      <c r="KSD102" s="142"/>
      <c r="KSE102" s="142"/>
      <c r="KSF102" s="142"/>
      <c r="KSG102" s="142"/>
      <c r="KSH102" s="142"/>
      <c r="KSI102" s="142"/>
      <c r="KSJ102" s="142"/>
      <c r="KSK102" s="142"/>
      <c r="KSL102" s="142"/>
      <c r="KSM102" s="142"/>
      <c r="KSN102" s="142"/>
      <c r="KSO102" s="142"/>
      <c r="KSP102" s="142"/>
      <c r="KSQ102" s="142"/>
      <c r="KSR102" s="142"/>
      <c r="KSS102" s="142"/>
      <c r="KST102" s="142"/>
      <c r="KSU102" s="142"/>
      <c r="KSV102" s="142"/>
      <c r="KSW102" s="142"/>
      <c r="KSX102" s="142"/>
      <c r="KSY102" s="142"/>
      <c r="KSZ102" s="142"/>
      <c r="KTA102" s="142"/>
      <c r="KTB102" s="142"/>
      <c r="KTC102" s="142"/>
      <c r="KTD102" s="142"/>
      <c r="KTE102" s="142"/>
      <c r="KTF102" s="142"/>
      <c r="KTG102" s="142"/>
      <c r="KTH102" s="142"/>
      <c r="KTI102" s="142"/>
      <c r="KTJ102" s="142"/>
      <c r="KTK102" s="142"/>
      <c r="KTL102" s="142"/>
      <c r="KTM102" s="142"/>
      <c r="KTN102" s="142"/>
      <c r="KTO102" s="142"/>
      <c r="KTP102" s="142"/>
      <c r="KTQ102" s="142"/>
      <c r="KTR102" s="142"/>
      <c r="KTS102" s="142"/>
      <c r="KTT102" s="142"/>
      <c r="KTU102" s="142"/>
      <c r="KTV102" s="142"/>
      <c r="KTW102" s="142"/>
      <c r="KTX102" s="142"/>
      <c r="KTY102" s="142"/>
      <c r="KTZ102" s="142"/>
      <c r="KUA102" s="142"/>
      <c r="KUB102" s="142"/>
      <c r="KUC102" s="142"/>
      <c r="KUD102" s="142"/>
      <c r="KUE102" s="142"/>
      <c r="KUF102" s="142"/>
      <c r="KUG102" s="142"/>
      <c r="KUH102" s="142"/>
      <c r="KUI102" s="142"/>
      <c r="KUJ102" s="142"/>
      <c r="KUK102" s="142"/>
      <c r="KUL102" s="142"/>
      <c r="KUM102" s="142"/>
      <c r="KUN102" s="142"/>
      <c r="KUO102" s="142"/>
      <c r="KUP102" s="142"/>
      <c r="KUQ102" s="142"/>
      <c r="KUR102" s="142"/>
      <c r="KUS102" s="142"/>
      <c r="KUT102" s="142"/>
      <c r="KUU102" s="142"/>
      <c r="KUV102" s="142"/>
      <c r="KUW102" s="142"/>
      <c r="KUX102" s="142"/>
      <c r="KUY102" s="142"/>
      <c r="KUZ102" s="142"/>
      <c r="KVA102" s="142"/>
      <c r="KVB102" s="142"/>
      <c r="KVC102" s="142"/>
      <c r="KVD102" s="142"/>
      <c r="KVE102" s="142"/>
      <c r="KVF102" s="142"/>
      <c r="KVG102" s="142"/>
      <c r="KVH102" s="142"/>
      <c r="KVI102" s="142"/>
      <c r="KVJ102" s="142"/>
      <c r="KVK102" s="142"/>
      <c r="KVL102" s="142"/>
      <c r="KVM102" s="142"/>
      <c r="KVN102" s="142"/>
      <c r="KVO102" s="142"/>
      <c r="KVP102" s="142"/>
      <c r="KVQ102" s="142"/>
      <c r="KVR102" s="142"/>
      <c r="KVS102" s="142"/>
      <c r="KVT102" s="142"/>
      <c r="KVU102" s="142"/>
      <c r="KVV102" s="142"/>
      <c r="KVW102" s="142"/>
      <c r="KVX102" s="142"/>
      <c r="KVY102" s="142"/>
      <c r="KVZ102" s="142"/>
      <c r="KWA102" s="142"/>
      <c r="KWB102" s="142"/>
      <c r="KWC102" s="142"/>
      <c r="KWD102" s="142"/>
      <c r="KWE102" s="142"/>
      <c r="KWF102" s="142"/>
      <c r="KWG102" s="142"/>
      <c r="KWH102" s="142"/>
      <c r="KWI102" s="142"/>
      <c r="KWJ102" s="142"/>
      <c r="KWK102" s="142"/>
      <c r="KWL102" s="142"/>
      <c r="KWM102" s="142"/>
      <c r="KWN102" s="142"/>
      <c r="KWO102" s="142"/>
      <c r="KWP102" s="142"/>
      <c r="KWQ102" s="142"/>
      <c r="KWR102" s="142"/>
      <c r="KWS102" s="142"/>
      <c r="KWT102" s="142"/>
      <c r="KWU102" s="142"/>
      <c r="KWV102" s="142"/>
      <c r="KWW102" s="142"/>
      <c r="KWX102" s="142"/>
      <c r="KWY102" s="142"/>
      <c r="KWZ102" s="142"/>
      <c r="KXA102" s="142"/>
      <c r="KXB102" s="142"/>
      <c r="KXC102" s="142"/>
      <c r="KXD102" s="142"/>
      <c r="KXE102" s="142"/>
      <c r="KXF102" s="142"/>
      <c r="KXG102" s="142"/>
      <c r="KXH102" s="142"/>
      <c r="KXI102" s="142"/>
      <c r="KXJ102" s="142"/>
      <c r="KXK102" s="142"/>
      <c r="KXL102" s="142"/>
      <c r="KXM102" s="142"/>
      <c r="KXN102" s="142"/>
      <c r="KXO102" s="142"/>
      <c r="KXP102" s="142"/>
      <c r="KXQ102" s="142"/>
      <c r="KXR102" s="142"/>
      <c r="KXS102" s="142"/>
      <c r="KXT102" s="142"/>
      <c r="KXU102" s="142"/>
      <c r="KXV102" s="142"/>
      <c r="KXW102" s="142"/>
      <c r="KXX102" s="142"/>
      <c r="KXY102" s="142"/>
      <c r="KXZ102" s="142"/>
      <c r="KYA102" s="142"/>
      <c r="KYB102" s="142"/>
      <c r="KYC102" s="142"/>
      <c r="KYD102" s="142"/>
      <c r="KYE102" s="142"/>
      <c r="KYF102" s="142"/>
      <c r="KYG102" s="142"/>
      <c r="KYH102" s="142"/>
      <c r="KYI102" s="142"/>
      <c r="KYJ102" s="142"/>
      <c r="KYK102" s="142"/>
      <c r="KYL102" s="142"/>
      <c r="KYM102" s="142"/>
      <c r="KYN102" s="142"/>
      <c r="KYO102" s="142"/>
      <c r="KYP102" s="142"/>
      <c r="KYQ102" s="142"/>
      <c r="KYR102" s="142"/>
      <c r="KYS102" s="142"/>
      <c r="KYT102" s="142"/>
      <c r="KYU102" s="142"/>
      <c r="KYV102" s="142"/>
      <c r="KYW102" s="142"/>
      <c r="KYX102" s="142"/>
      <c r="KYY102" s="142"/>
      <c r="KYZ102" s="142"/>
      <c r="KZA102" s="142"/>
      <c r="KZB102" s="142"/>
      <c r="KZC102" s="142"/>
      <c r="KZD102" s="142"/>
      <c r="KZE102" s="142"/>
      <c r="KZF102" s="142"/>
      <c r="KZG102" s="142"/>
      <c r="KZH102" s="142"/>
      <c r="KZI102" s="142"/>
      <c r="KZJ102" s="142"/>
      <c r="KZK102" s="142"/>
      <c r="KZL102" s="142"/>
      <c r="KZM102" s="142"/>
      <c r="KZN102" s="142"/>
      <c r="KZO102" s="142"/>
      <c r="KZP102" s="142"/>
      <c r="KZQ102" s="142"/>
      <c r="KZR102" s="142"/>
      <c r="KZS102" s="142"/>
      <c r="KZT102" s="142"/>
      <c r="KZU102" s="142"/>
      <c r="KZV102" s="142"/>
      <c r="KZW102" s="142"/>
      <c r="KZX102" s="142"/>
      <c r="KZY102" s="142"/>
      <c r="KZZ102" s="142"/>
      <c r="LAA102" s="142"/>
      <c r="LAB102" s="142"/>
      <c r="LAC102" s="142"/>
      <c r="LAD102" s="142"/>
      <c r="LAE102" s="142"/>
      <c r="LAF102" s="142"/>
      <c r="LAG102" s="142"/>
      <c r="LAH102" s="142"/>
      <c r="LAI102" s="142"/>
      <c r="LAJ102" s="142"/>
      <c r="LAK102" s="142"/>
      <c r="LAL102" s="142"/>
      <c r="LAM102" s="142"/>
      <c r="LAN102" s="142"/>
      <c r="LAO102" s="142"/>
      <c r="LAP102" s="142"/>
      <c r="LAQ102" s="142"/>
      <c r="LAR102" s="142"/>
      <c r="LAS102" s="142"/>
      <c r="LAT102" s="142"/>
      <c r="LAU102" s="142"/>
      <c r="LAV102" s="142"/>
      <c r="LAW102" s="142"/>
      <c r="LAX102" s="142"/>
      <c r="LAY102" s="142"/>
      <c r="LAZ102" s="142"/>
      <c r="LBA102" s="142"/>
      <c r="LBB102" s="142"/>
      <c r="LBC102" s="142"/>
      <c r="LBD102" s="142"/>
      <c r="LBE102" s="142"/>
      <c r="LBF102" s="142"/>
      <c r="LBG102" s="142"/>
      <c r="LBH102" s="142"/>
      <c r="LBI102" s="142"/>
      <c r="LBJ102" s="142"/>
      <c r="LBK102" s="142"/>
      <c r="LBL102" s="142"/>
      <c r="LBM102" s="142"/>
      <c r="LBN102" s="142"/>
      <c r="LBO102" s="142"/>
      <c r="LBP102" s="142"/>
      <c r="LBQ102" s="142"/>
      <c r="LBR102" s="142"/>
      <c r="LBS102" s="142"/>
      <c r="LBT102" s="142"/>
      <c r="LBU102" s="142"/>
      <c r="LBV102" s="142"/>
      <c r="LBW102" s="142"/>
      <c r="LBX102" s="142"/>
      <c r="LBY102" s="142"/>
      <c r="LBZ102" s="142"/>
      <c r="LCA102" s="142"/>
      <c r="LCB102" s="142"/>
      <c r="LCC102" s="142"/>
      <c r="LCD102" s="142"/>
      <c r="LCE102" s="142"/>
      <c r="LCF102" s="142"/>
      <c r="LCG102" s="142"/>
      <c r="LCH102" s="142"/>
      <c r="LCI102" s="142"/>
      <c r="LCJ102" s="142"/>
      <c r="LCK102" s="142"/>
      <c r="LCL102" s="142"/>
      <c r="LCM102" s="142"/>
      <c r="LCN102" s="142"/>
      <c r="LCO102" s="142"/>
      <c r="LCP102" s="142"/>
      <c r="LCQ102" s="142"/>
      <c r="LCR102" s="142"/>
      <c r="LCS102" s="142"/>
      <c r="LCT102" s="142"/>
      <c r="LCU102" s="142"/>
      <c r="LCV102" s="142"/>
      <c r="LCW102" s="142"/>
      <c r="LCX102" s="142"/>
      <c r="LCY102" s="142"/>
      <c r="LCZ102" s="142"/>
      <c r="LDA102" s="142"/>
      <c r="LDB102" s="142"/>
      <c r="LDC102" s="142"/>
      <c r="LDD102" s="142"/>
      <c r="LDE102" s="142"/>
      <c r="LDF102" s="142"/>
      <c r="LDG102" s="142"/>
      <c r="LDH102" s="142"/>
      <c r="LDI102" s="142"/>
      <c r="LDJ102" s="142"/>
      <c r="LDK102" s="142"/>
      <c r="LDL102" s="142"/>
      <c r="LDM102" s="142"/>
      <c r="LDN102" s="142"/>
      <c r="LDO102" s="142"/>
      <c r="LDP102" s="142"/>
      <c r="LDQ102" s="142"/>
      <c r="LDR102" s="142"/>
      <c r="LDS102" s="142"/>
      <c r="LDT102" s="142"/>
      <c r="LDU102" s="142"/>
      <c r="LDV102" s="142"/>
      <c r="LDW102" s="142"/>
      <c r="LDX102" s="142"/>
      <c r="LDY102" s="142"/>
      <c r="LDZ102" s="142"/>
      <c r="LEA102" s="142"/>
      <c r="LEB102" s="142"/>
      <c r="LEC102" s="142"/>
      <c r="LED102" s="142"/>
      <c r="LEE102" s="142"/>
      <c r="LEF102" s="142"/>
      <c r="LEG102" s="142"/>
      <c r="LEH102" s="142"/>
      <c r="LEI102" s="142"/>
      <c r="LEJ102" s="142"/>
      <c r="LEK102" s="142"/>
      <c r="LEL102" s="142"/>
      <c r="LEM102" s="142"/>
      <c r="LEN102" s="142"/>
      <c r="LEO102" s="142"/>
      <c r="LEP102" s="142"/>
      <c r="LEQ102" s="142"/>
      <c r="LER102" s="142"/>
      <c r="LES102" s="142"/>
      <c r="LET102" s="142"/>
      <c r="LEU102" s="142"/>
      <c r="LEV102" s="142"/>
      <c r="LEW102" s="142"/>
      <c r="LEX102" s="142"/>
      <c r="LEY102" s="142"/>
      <c r="LEZ102" s="142"/>
      <c r="LFA102" s="142"/>
      <c r="LFB102" s="142"/>
      <c r="LFC102" s="142"/>
      <c r="LFD102" s="142"/>
      <c r="LFE102" s="142"/>
      <c r="LFF102" s="142"/>
      <c r="LFG102" s="142"/>
      <c r="LFH102" s="142"/>
      <c r="LFI102" s="142"/>
      <c r="LFJ102" s="142"/>
      <c r="LFK102" s="142"/>
      <c r="LFL102" s="142"/>
      <c r="LFM102" s="142"/>
      <c r="LFN102" s="142"/>
      <c r="LFO102" s="142"/>
      <c r="LFP102" s="142"/>
      <c r="LFQ102" s="142"/>
      <c r="LFR102" s="142"/>
      <c r="LFS102" s="142"/>
      <c r="LFT102" s="142"/>
      <c r="LFU102" s="142"/>
      <c r="LFV102" s="142"/>
      <c r="LFW102" s="142"/>
      <c r="LFX102" s="142"/>
      <c r="LFY102" s="142"/>
      <c r="LFZ102" s="142"/>
      <c r="LGA102" s="142"/>
      <c r="LGB102" s="142"/>
      <c r="LGC102" s="142"/>
      <c r="LGD102" s="142"/>
      <c r="LGE102" s="142"/>
      <c r="LGF102" s="142"/>
      <c r="LGG102" s="142"/>
      <c r="LGH102" s="142"/>
      <c r="LGI102" s="142"/>
      <c r="LGJ102" s="142"/>
      <c r="LGK102" s="142"/>
      <c r="LGL102" s="142"/>
      <c r="LGM102" s="142"/>
      <c r="LGN102" s="142"/>
      <c r="LGO102" s="142"/>
      <c r="LGP102" s="142"/>
      <c r="LGQ102" s="142"/>
      <c r="LGR102" s="142"/>
      <c r="LGS102" s="142"/>
      <c r="LGT102" s="142"/>
      <c r="LGU102" s="142"/>
      <c r="LGV102" s="142"/>
      <c r="LGW102" s="142"/>
      <c r="LGX102" s="142"/>
      <c r="LGY102" s="142"/>
      <c r="LGZ102" s="142"/>
      <c r="LHA102" s="142"/>
      <c r="LHB102" s="142"/>
      <c r="LHC102" s="142"/>
      <c r="LHD102" s="142"/>
      <c r="LHE102" s="142"/>
      <c r="LHF102" s="142"/>
      <c r="LHG102" s="142"/>
      <c r="LHH102" s="142"/>
      <c r="LHI102" s="142"/>
      <c r="LHJ102" s="142"/>
      <c r="LHK102" s="142"/>
      <c r="LHL102" s="142"/>
      <c r="LHM102" s="142"/>
      <c r="LHN102" s="142"/>
      <c r="LHO102" s="142"/>
      <c r="LHP102" s="142"/>
      <c r="LHQ102" s="142"/>
      <c r="LHR102" s="142"/>
      <c r="LHS102" s="142"/>
      <c r="LHT102" s="142"/>
      <c r="LHU102" s="142"/>
      <c r="LHV102" s="142"/>
      <c r="LHW102" s="142"/>
      <c r="LHX102" s="142"/>
      <c r="LHY102" s="142"/>
      <c r="LHZ102" s="142"/>
      <c r="LIA102" s="142"/>
      <c r="LIB102" s="142"/>
      <c r="LIC102" s="142"/>
      <c r="LID102" s="142"/>
      <c r="LIE102" s="142"/>
      <c r="LIF102" s="142"/>
      <c r="LIG102" s="142"/>
      <c r="LIH102" s="142"/>
      <c r="LII102" s="142"/>
      <c r="LIJ102" s="142"/>
      <c r="LIK102" s="142"/>
      <c r="LIL102" s="142"/>
      <c r="LIM102" s="142"/>
      <c r="LIN102" s="142"/>
      <c r="LIO102" s="142"/>
      <c r="LIP102" s="142"/>
      <c r="LIQ102" s="142"/>
      <c r="LIR102" s="142"/>
      <c r="LIS102" s="142"/>
      <c r="LIT102" s="142"/>
      <c r="LIU102" s="142"/>
      <c r="LIV102" s="142"/>
      <c r="LIW102" s="142"/>
      <c r="LIX102" s="142"/>
      <c r="LIY102" s="142"/>
      <c r="LIZ102" s="142"/>
      <c r="LJA102" s="142"/>
      <c r="LJB102" s="142"/>
      <c r="LJC102" s="142"/>
      <c r="LJD102" s="142"/>
      <c r="LJE102" s="142"/>
      <c r="LJF102" s="142"/>
      <c r="LJG102" s="142"/>
      <c r="LJH102" s="142"/>
      <c r="LJI102" s="142"/>
      <c r="LJJ102" s="142"/>
      <c r="LJK102" s="142"/>
      <c r="LJL102" s="142"/>
      <c r="LJM102" s="142"/>
      <c r="LJN102" s="142"/>
      <c r="LJO102" s="142"/>
      <c r="LJP102" s="142"/>
      <c r="LJQ102" s="142"/>
      <c r="LJR102" s="142"/>
      <c r="LJS102" s="142"/>
      <c r="LJT102" s="142"/>
      <c r="LJU102" s="142"/>
      <c r="LJV102" s="142"/>
      <c r="LJW102" s="142"/>
      <c r="LJX102" s="142"/>
      <c r="LJY102" s="142"/>
      <c r="LJZ102" s="142"/>
      <c r="LKA102" s="142"/>
      <c r="LKB102" s="142"/>
      <c r="LKC102" s="142"/>
      <c r="LKD102" s="142"/>
      <c r="LKE102" s="142"/>
      <c r="LKF102" s="142"/>
      <c r="LKG102" s="142"/>
      <c r="LKH102" s="142"/>
      <c r="LKI102" s="142"/>
      <c r="LKJ102" s="142"/>
      <c r="LKK102" s="142"/>
      <c r="LKL102" s="142"/>
      <c r="LKM102" s="142"/>
      <c r="LKN102" s="142"/>
      <c r="LKO102" s="142"/>
      <c r="LKP102" s="142"/>
      <c r="LKQ102" s="142"/>
      <c r="LKR102" s="142"/>
      <c r="LKS102" s="142"/>
      <c r="LKT102" s="142"/>
      <c r="LKU102" s="142"/>
      <c r="LKV102" s="142"/>
      <c r="LKW102" s="142"/>
      <c r="LKX102" s="142"/>
      <c r="LKY102" s="142"/>
      <c r="LKZ102" s="142"/>
      <c r="LLA102" s="142"/>
      <c r="LLB102" s="142"/>
      <c r="LLC102" s="142"/>
      <c r="LLD102" s="142"/>
      <c r="LLE102" s="142"/>
      <c r="LLF102" s="142"/>
      <c r="LLG102" s="142"/>
      <c r="LLH102" s="142"/>
      <c r="LLI102" s="142"/>
      <c r="LLJ102" s="142"/>
      <c r="LLK102" s="142"/>
      <c r="LLL102" s="142"/>
      <c r="LLM102" s="142"/>
      <c r="LLN102" s="142"/>
      <c r="LLO102" s="142"/>
      <c r="LLP102" s="142"/>
      <c r="LLQ102" s="142"/>
      <c r="LLR102" s="142"/>
      <c r="LLS102" s="142"/>
      <c r="LLT102" s="142"/>
      <c r="LLU102" s="142"/>
      <c r="LLV102" s="142"/>
      <c r="LLW102" s="142"/>
      <c r="LLX102" s="142"/>
      <c r="LLY102" s="142"/>
      <c r="LLZ102" s="142"/>
      <c r="LMA102" s="142"/>
      <c r="LMB102" s="142"/>
      <c r="LMC102" s="142"/>
      <c r="LMD102" s="142"/>
      <c r="LME102" s="142"/>
      <c r="LMF102" s="142"/>
      <c r="LMG102" s="142"/>
      <c r="LMH102" s="142"/>
      <c r="LMI102" s="142"/>
      <c r="LMJ102" s="142"/>
      <c r="LMK102" s="142"/>
      <c r="LML102" s="142"/>
      <c r="LMM102" s="142"/>
      <c r="LMN102" s="142"/>
      <c r="LMO102" s="142"/>
      <c r="LMP102" s="142"/>
      <c r="LMQ102" s="142"/>
      <c r="LMR102" s="142"/>
      <c r="LMS102" s="142"/>
      <c r="LMT102" s="142"/>
      <c r="LMU102" s="142"/>
      <c r="LMV102" s="142"/>
      <c r="LMW102" s="142"/>
      <c r="LMX102" s="142"/>
      <c r="LMY102" s="142"/>
      <c r="LMZ102" s="142"/>
      <c r="LNA102" s="142"/>
      <c r="LNB102" s="142"/>
      <c r="LNC102" s="142"/>
      <c r="LND102" s="142"/>
      <c r="LNE102" s="142"/>
      <c r="LNF102" s="142"/>
      <c r="LNG102" s="142"/>
      <c r="LNH102" s="142"/>
      <c r="LNI102" s="142"/>
      <c r="LNJ102" s="142"/>
      <c r="LNK102" s="142"/>
      <c r="LNL102" s="142"/>
      <c r="LNM102" s="142"/>
      <c r="LNN102" s="142"/>
      <c r="LNO102" s="142"/>
      <c r="LNP102" s="142"/>
      <c r="LNQ102" s="142"/>
      <c r="LNR102" s="142"/>
      <c r="LNS102" s="142"/>
      <c r="LNT102" s="142"/>
      <c r="LNU102" s="142"/>
      <c r="LNV102" s="142"/>
      <c r="LNW102" s="142"/>
      <c r="LNX102" s="142"/>
      <c r="LNY102" s="142"/>
      <c r="LNZ102" s="142"/>
      <c r="LOA102" s="142"/>
      <c r="LOB102" s="142"/>
      <c r="LOC102" s="142"/>
      <c r="LOD102" s="142"/>
      <c r="LOE102" s="142"/>
      <c r="LOF102" s="142"/>
      <c r="LOG102" s="142"/>
      <c r="LOH102" s="142"/>
      <c r="LOI102" s="142"/>
      <c r="LOJ102" s="142"/>
      <c r="LOK102" s="142"/>
      <c r="LOL102" s="142"/>
      <c r="LOM102" s="142"/>
      <c r="LON102" s="142"/>
      <c r="LOO102" s="142"/>
      <c r="LOP102" s="142"/>
      <c r="LOQ102" s="142"/>
      <c r="LOR102" s="142"/>
      <c r="LOS102" s="142"/>
      <c r="LOT102" s="142"/>
      <c r="LOU102" s="142"/>
      <c r="LOV102" s="142"/>
      <c r="LOW102" s="142"/>
      <c r="LOX102" s="142"/>
      <c r="LOY102" s="142"/>
      <c r="LOZ102" s="142"/>
      <c r="LPA102" s="142"/>
      <c r="LPB102" s="142"/>
      <c r="LPC102" s="142"/>
      <c r="LPD102" s="142"/>
      <c r="LPE102" s="142"/>
      <c r="LPF102" s="142"/>
      <c r="LPG102" s="142"/>
      <c r="LPH102" s="142"/>
      <c r="LPI102" s="142"/>
      <c r="LPJ102" s="142"/>
      <c r="LPK102" s="142"/>
      <c r="LPL102" s="142"/>
      <c r="LPM102" s="142"/>
      <c r="LPN102" s="142"/>
      <c r="LPO102" s="142"/>
      <c r="LPP102" s="142"/>
      <c r="LPQ102" s="142"/>
      <c r="LPR102" s="142"/>
      <c r="LPS102" s="142"/>
      <c r="LPT102" s="142"/>
      <c r="LPU102" s="142"/>
      <c r="LPV102" s="142"/>
      <c r="LPW102" s="142"/>
      <c r="LPX102" s="142"/>
      <c r="LPY102" s="142"/>
      <c r="LPZ102" s="142"/>
      <c r="LQA102" s="142"/>
      <c r="LQB102" s="142"/>
      <c r="LQC102" s="142"/>
      <c r="LQD102" s="142"/>
      <c r="LQE102" s="142"/>
      <c r="LQF102" s="142"/>
      <c r="LQG102" s="142"/>
      <c r="LQH102" s="142"/>
      <c r="LQI102" s="142"/>
      <c r="LQJ102" s="142"/>
      <c r="LQK102" s="142"/>
      <c r="LQL102" s="142"/>
      <c r="LQM102" s="142"/>
      <c r="LQN102" s="142"/>
      <c r="LQO102" s="142"/>
      <c r="LQP102" s="142"/>
      <c r="LQQ102" s="142"/>
      <c r="LQR102" s="142"/>
      <c r="LQS102" s="142"/>
      <c r="LQT102" s="142"/>
      <c r="LQU102" s="142"/>
      <c r="LQV102" s="142"/>
      <c r="LQW102" s="142"/>
      <c r="LQX102" s="142"/>
      <c r="LQY102" s="142"/>
      <c r="LQZ102" s="142"/>
      <c r="LRA102" s="142"/>
      <c r="LRB102" s="142"/>
      <c r="LRC102" s="142"/>
      <c r="LRD102" s="142"/>
      <c r="LRE102" s="142"/>
      <c r="LRF102" s="142"/>
      <c r="LRG102" s="142"/>
      <c r="LRH102" s="142"/>
      <c r="LRI102" s="142"/>
      <c r="LRJ102" s="142"/>
      <c r="LRK102" s="142"/>
      <c r="LRL102" s="142"/>
      <c r="LRM102" s="142"/>
      <c r="LRN102" s="142"/>
      <c r="LRO102" s="142"/>
      <c r="LRP102" s="142"/>
      <c r="LRQ102" s="142"/>
      <c r="LRR102" s="142"/>
      <c r="LRS102" s="142"/>
      <c r="LRT102" s="142"/>
      <c r="LRU102" s="142"/>
      <c r="LRV102" s="142"/>
      <c r="LRW102" s="142"/>
      <c r="LRX102" s="142"/>
      <c r="LRY102" s="142"/>
      <c r="LRZ102" s="142"/>
      <c r="LSA102" s="142"/>
      <c r="LSB102" s="142"/>
      <c r="LSC102" s="142"/>
      <c r="LSD102" s="142"/>
      <c r="LSE102" s="142"/>
      <c r="LSF102" s="142"/>
      <c r="LSG102" s="142"/>
      <c r="LSH102" s="142"/>
      <c r="LSI102" s="142"/>
      <c r="LSJ102" s="142"/>
      <c r="LSK102" s="142"/>
      <c r="LSL102" s="142"/>
      <c r="LSM102" s="142"/>
      <c r="LSN102" s="142"/>
      <c r="LSO102" s="142"/>
      <c r="LSP102" s="142"/>
      <c r="LSQ102" s="142"/>
      <c r="LSR102" s="142"/>
      <c r="LSS102" s="142"/>
      <c r="LST102" s="142"/>
      <c r="LSU102" s="142"/>
      <c r="LSV102" s="142"/>
      <c r="LSW102" s="142"/>
      <c r="LSX102" s="142"/>
      <c r="LSY102" s="142"/>
      <c r="LSZ102" s="142"/>
      <c r="LTA102" s="142"/>
      <c r="LTB102" s="142"/>
      <c r="LTC102" s="142"/>
      <c r="LTD102" s="142"/>
      <c r="LTE102" s="142"/>
      <c r="LTF102" s="142"/>
      <c r="LTG102" s="142"/>
      <c r="LTH102" s="142"/>
      <c r="LTI102" s="142"/>
      <c r="LTJ102" s="142"/>
      <c r="LTK102" s="142"/>
      <c r="LTL102" s="142"/>
      <c r="LTM102" s="142"/>
      <c r="LTN102" s="142"/>
      <c r="LTO102" s="142"/>
      <c r="LTP102" s="142"/>
      <c r="LTQ102" s="142"/>
      <c r="LTR102" s="142"/>
      <c r="LTS102" s="142"/>
      <c r="LTT102" s="142"/>
      <c r="LTU102" s="142"/>
      <c r="LTV102" s="142"/>
      <c r="LTW102" s="142"/>
      <c r="LTX102" s="142"/>
      <c r="LTY102" s="142"/>
      <c r="LTZ102" s="142"/>
      <c r="LUA102" s="142"/>
      <c r="LUB102" s="142"/>
      <c r="LUC102" s="142"/>
      <c r="LUD102" s="142"/>
      <c r="LUE102" s="142"/>
      <c r="LUF102" s="142"/>
      <c r="LUG102" s="142"/>
      <c r="LUH102" s="142"/>
      <c r="LUI102" s="142"/>
      <c r="LUJ102" s="142"/>
      <c r="LUK102" s="142"/>
      <c r="LUL102" s="142"/>
      <c r="LUM102" s="142"/>
      <c r="LUN102" s="142"/>
      <c r="LUO102" s="142"/>
      <c r="LUP102" s="142"/>
      <c r="LUQ102" s="142"/>
      <c r="LUR102" s="142"/>
      <c r="LUS102" s="142"/>
      <c r="LUT102" s="142"/>
      <c r="LUU102" s="142"/>
      <c r="LUV102" s="142"/>
      <c r="LUW102" s="142"/>
      <c r="LUX102" s="142"/>
      <c r="LUY102" s="142"/>
      <c r="LUZ102" s="142"/>
      <c r="LVA102" s="142"/>
      <c r="LVB102" s="142"/>
      <c r="LVC102" s="142"/>
      <c r="LVD102" s="142"/>
      <c r="LVE102" s="142"/>
      <c r="LVF102" s="142"/>
      <c r="LVG102" s="142"/>
      <c r="LVH102" s="142"/>
      <c r="LVI102" s="142"/>
      <c r="LVJ102" s="142"/>
      <c r="LVK102" s="142"/>
      <c r="LVL102" s="142"/>
      <c r="LVM102" s="142"/>
      <c r="LVN102" s="142"/>
      <c r="LVO102" s="142"/>
      <c r="LVP102" s="142"/>
      <c r="LVQ102" s="142"/>
      <c r="LVR102" s="142"/>
      <c r="LVS102" s="142"/>
      <c r="LVT102" s="142"/>
      <c r="LVU102" s="142"/>
      <c r="LVV102" s="142"/>
      <c r="LVW102" s="142"/>
      <c r="LVX102" s="142"/>
      <c r="LVY102" s="142"/>
      <c r="LVZ102" s="142"/>
      <c r="LWA102" s="142"/>
      <c r="LWB102" s="142"/>
      <c r="LWC102" s="142"/>
      <c r="LWD102" s="142"/>
      <c r="LWE102" s="142"/>
      <c r="LWF102" s="142"/>
      <c r="LWG102" s="142"/>
      <c r="LWH102" s="142"/>
      <c r="LWI102" s="142"/>
      <c r="LWJ102" s="142"/>
      <c r="LWK102" s="142"/>
      <c r="LWL102" s="142"/>
      <c r="LWM102" s="142"/>
      <c r="LWN102" s="142"/>
      <c r="LWO102" s="142"/>
      <c r="LWP102" s="142"/>
      <c r="LWQ102" s="142"/>
      <c r="LWR102" s="142"/>
      <c r="LWS102" s="142"/>
      <c r="LWT102" s="142"/>
      <c r="LWU102" s="142"/>
      <c r="LWV102" s="142"/>
      <c r="LWW102" s="142"/>
      <c r="LWX102" s="142"/>
      <c r="LWY102" s="142"/>
      <c r="LWZ102" s="142"/>
      <c r="LXA102" s="142"/>
      <c r="LXB102" s="142"/>
      <c r="LXC102" s="142"/>
      <c r="LXD102" s="142"/>
      <c r="LXE102" s="142"/>
      <c r="LXF102" s="142"/>
      <c r="LXG102" s="142"/>
      <c r="LXH102" s="142"/>
      <c r="LXI102" s="142"/>
      <c r="LXJ102" s="142"/>
      <c r="LXK102" s="142"/>
      <c r="LXL102" s="142"/>
      <c r="LXM102" s="142"/>
      <c r="LXN102" s="142"/>
      <c r="LXO102" s="142"/>
      <c r="LXP102" s="142"/>
      <c r="LXQ102" s="142"/>
      <c r="LXR102" s="142"/>
      <c r="LXS102" s="142"/>
      <c r="LXT102" s="142"/>
      <c r="LXU102" s="142"/>
      <c r="LXV102" s="142"/>
      <c r="LXW102" s="142"/>
      <c r="LXX102" s="142"/>
      <c r="LXY102" s="142"/>
      <c r="LXZ102" s="142"/>
      <c r="LYA102" s="142"/>
      <c r="LYB102" s="142"/>
      <c r="LYC102" s="142"/>
      <c r="LYD102" s="142"/>
      <c r="LYE102" s="142"/>
      <c r="LYF102" s="142"/>
      <c r="LYG102" s="142"/>
      <c r="LYH102" s="142"/>
      <c r="LYI102" s="142"/>
      <c r="LYJ102" s="142"/>
      <c r="LYK102" s="142"/>
      <c r="LYL102" s="142"/>
      <c r="LYM102" s="142"/>
      <c r="LYN102" s="142"/>
      <c r="LYO102" s="142"/>
      <c r="LYP102" s="142"/>
      <c r="LYQ102" s="142"/>
      <c r="LYR102" s="142"/>
      <c r="LYS102" s="142"/>
      <c r="LYT102" s="142"/>
      <c r="LYU102" s="142"/>
      <c r="LYV102" s="142"/>
      <c r="LYW102" s="142"/>
      <c r="LYX102" s="142"/>
      <c r="LYY102" s="142"/>
      <c r="LYZ102" s="142"/>
      <c r="LZA102" s="142"/>
      <c r="LZB102" s="142"/>
      <c r="LZC102" s="142"/>
      <c r="LZD102" s="142"/>
      <c r="LZE102" s="142"/>
      <c r="LZF102" s="142"/>
      <c r="LZG102" s="142"/>
      <c r="LZH102" s="142"/>
      <c r="LZI102" s="142"/>
      <c r="LZJ102" s="142"/>
      <c r="LZK102" s="142"/>
      <c r="LZL102" s="142"/>
      <c r="LZM102" s="142"/>
      <c r="LZN102" s="142"/>
      <c r="LZO102" s="142"/>
      <c r="LZP102" s="142"/>
      <c r="LZQ102" s="142"/>
      <c r="LZR102" s="142"/>
      <c r="LZS102" s="142"/>
      <c r="LZT102" s="142"/>
      <c r="LZU102" s="142"/>
      <c r="LZV102" s="142"/>
      <c r="LZW102" s="142"/>
      <c r="LZX102" s="142"/>
      <c r="LZY102" s="142"/>
      <c r="LZZ102" s="142"/>
      <c r="MAA102" s="142"/>
      <c r="MAB102" s="142"/>
      <c r="MAC102" s="142"/>
      <c r="MAD102" s="142"/>
      <c r="MAE102" s="142"/>
      <c r="MAF102" s="142"/>
      <c r="MAG102" s="142"/>
      <c r="MAH102" s="142"/>
      <c r="MAI102" s="142"/>
      <c r="MAJ102" s="142"/>
      <c r="MAK102" s="142"/>
      <c r="MAL102" s="142"/>
      <c r="MAM102" s="142"/>
      <c r="MAN102" s="142"/>
      <c r="MAO102" s="142"/>
      <c r="MAP102" s="142"/>
      <c r="MAQ102" s="142"/>
      <c r="MAR102" s="142"/>
      <c r="MAS102" s="142"/>
      <c r="MAT102" s="142"/>
      <c r="MAU102" s="142"/>
      <c r="MAV102" s="142"/>
      <c r="MAW102" s="142"/>
      <c r="MAX102" s="142"/>
      <c r="MAY102" s="142"/>
      <c r="MAZ102" s="142"/>
      <c r="MBA102" s="142"/>
      <c r="MBB102" s="142"/>
      <c r="MBC102" s="142"/>
      <c r="MBD102" s="142"/>
      <c r="MBE102" s="142"/>
      <c r="MBF102" s="142"/>
      <c r="MBG102" s="142"/>
      <c r="MBH102" s="142"/>
      <c r="MBI102" s="142"/>
      <c r="MBJ102" s="142"/>
      <c r="MBK102" s="142"/>
      <c r="MBL102" s="142"/>
      <c r="MBM102" s="142"/>
      <c r="MBN102" s="142"/>
      <c r="MBO102" s="142"/>
      <c r="MBP102" s="142"/>
      <c r="MBQ102" s="142"/>
      <c r="MBR102" s="142"/>
      <c r="MBS102" s="142"/>
      <c r="MBT102" s="142"/>
      <c r="MBU102" s="142"/>
      <c r="MBV102" s="142"/>
      <c r="MBW102" s="142"/>
      <c r="MBX102" s="142"/>
      <c r="MBY102" s="142"/>
      <c r="MBZ102" s="142"/>
      <c r="MCA102" s="142"/>
      <c r="MCB102" s="142"/>
      <c r="MCC102" s="142"/>
      <c r="MCD102" s="142"/>
      <c r="MCE102" s="142"/>
      <c r="MCF102" s="142"/>
      <c r="MCG102" s="142"/>
      <c r="MCH102" s="142"/>
      <c r="MCI102" s="142"/>
      <c r="MCJ102" s="142"/>
      <c r="MCK102" s="142"/>
      <c r="MCL102" s="142"/>
      <c r="MCM102" s="142"/>
      <c r="MCN102" s="142"/>
      <c r="MCO102" s="142"/>
      <c r="MCP102" s="142"/>
      <c r="MCQ102" s="142"/>
      <c r="MCR102" s="142"/>
      <c r="MCS102" s="142"/>
      <c r="MCT102" s="142"/>
      <c r="MCU102" s="142"/>
      <c r="MCV102" s="142"/>
      <c r="MCW102" s="142"/>
      <c r="MCX102" s="142"/>
      <c r="MCY102" s="142"/>
      <c r="MCZ102" s="142"/>
      <c r="MDA102" s="142"/>
      <c r="MDB102" s="142"/>
      <c r="MDC102" s="142"/>
      <c r="MDD102" s="142"/>
      <c r="MDE102" s="142"/>
      <c r="MDF102" s="142"/>
      <c r="MDG102" s="142"/>
      <c r="MDH102" s="142"/>
      <c r="MDI102" s="142"/>
      <c r="MDJ102" s="142"/>
      <c r="MDK102" s="142"/>
      <c r="MDL102" s="142"/>
      <c r="MDM102" s="142"/>
      <c r="MDN102" s="142"/>
      <c r="MDO102" s="142"/>
      <c r="MDP102" s="142"/>
      <c r="MDQ102" s="142"/>
      <c r="MDR102" s="142"/>
      <c r="MDS102" s="142"/>
      <c r="MDT102" s="142"/>
      <c r="MDU102" s="142"/>
      <c r="MDV102" s="142"/>
      <c r="MDW102" s="142"/>
      <c r="MDX102" s="142"/>
      <c r="MDY102" s="142"/>
      <c r="MDZ102" s="142"/>
      <c r="MEA102" s="142"/>
      <c r="MEB102" s="142"/>
      <c r="MEC102" s="142"/>
      <c r="MED102" s="142"/>
      <c r="MEE102" s="142"/>
      <c r="MEF102" s="142"/>
      <c r="MEG102" s="142"/>
      <c r="MEH102" s="142"/>
      <c r="MEI102" s="142"/>
      <c r="MEJ102" s="142"/>
      <c r="MEK102" s="142"/>
      <c r="MEL102" s="142"/>
      <c r="MEM102" s="142"/>
      <c r="MEN102" s="142"/>
      <c r="MEO102" s="142"/>
      <c r="MEP102" s="142"/>
      <c r="MEQ102" s="142"/>
      <c r="MER102" s="142"/>
      <c r="MES102" s="142"/>
      <c r="MET102" s="142"/>
      <c r="MEU102" s="142"/>
      <c r="MEV102" s="142"/>
      <c r="MEW102" s="142"/>
      <c r="MEX102" s="142"/>
      <c r="MEY102" s="142"/>
      <c r="MEZ102" s="142"/>
      <c r="MFA102" s="142"/>
      <c r="MFB102" s="142"/>
      <c r="MFC102" s="142"/>
      <c r="MFD102" s="142"/>
      <c r="MFE102" s="142"/>
      <c r="MFF102" s="142"/>
      <c r="MFG102" s="142"/>
      <c r="MFH102" s="142"/>
      <c r="MFI102" s="142"/>
      <c r="MFJ102" s="142"/>
      <c r="MFK102" s="142"/>
      <c r="MFL102" s="142"/>
      <c r="MFM102" s="142"/>
      <c r="MFN102" s="142"/>
      <c r="MFO102" s="142"/>
      <c r="MFP102" s="142"/>
      <c r="MFQ102" s="142"/>
      <c r="MFR102" s="142"/>
      <c r="MFS102" s="142"/>
      <c r="MFT102" s="142"/>
      <c r="MFU102" s="142"/>
      <c r="MFV102" s="142"/>
      <c r="MFW102" s="142"/>
      <c r="MFX102" s="142"/>
      <c r="MFY102" s="142"/>
      <c r="MFZ102" s="142"/>
      <c r="MGA102" s="142"/>
      <c r="MGB102" s="142"/>
      <c r="MGC102" s="142"/>
      <c r="MGD102" s="142"/>
      <c r="MGE102" s="142"/>
      <c r="MGF102" s="142"/>
      <c r="MGG102" s="142"/>
      <c r="MGH102" s="142"/>
      <c r="MGI102" s="142"/>
      <c r="MGJ102" s="142"/>
      <c r="MGK102" s="142"/>
      <c r="MGL102" s="142"/>
      <c r="MGM102" s="142"/>
      <c r="MGN102" s="142"/>
      <c r="MGO102" s="142"/>
      <c r="MGP102" s="142"/>
      <c r="MGQ102" s="142"/>
      <c r="MGR102" s="142"/>
      <c r="MGS102" s="142"/>
      <c r="MGT102" s="142"/>
      <c r="MGU102" s="142"/>
      <c r="MGV102" s="142"/>
      <c r="MGW102" s="142"/>
      <c r="MGX102" s="142"/>
      <c r="MGY102" s="142"/>
      <c r="MGZ102" s="142"/>
      <c r="MHA102" s="142"/>
      <c r="MHB102" s="142"/>
      <c r="MHC102" s="142"/>
      <c r="MHD102" s="142"/>
      <c r="MHE102" s="142"/>
      <c r="MHF102" s="142"/>
      <c r="MHG102" s="142"/>
      <c r="MHH102" s="142"/>
      <c r="MHI102" s="142"/>
      <c r="MHJ102" s="142"/>
      <c r="MHK102" s="142"/>
      <c r="MHL102" s="142"/>
      <c r="MHM102" s="142"/>
      <c r="MHN102" s="142"/>
      <c r="MHO102" s="142"/>
      <c r="MHP102" s="142"/>
      <c r="MHQ102" s="142"/>
      <c r="MHR102" s="142"/>
      <c r="MHS102" s="142"/>
      <c r="MHT102" s="142"/>
      <c r="MHU102" s="142"/>
      <c r="MHV102" s="142"/>
      <c r="MHW102" s="142"/>
      <c r="MHX102" s="142"/>
      <c r="MHY102" s="142"/>
      <c r="MHZ102" s="142"/>
      <c r="MIA102" s="142"/>
      <c r="MIB102" s="142"/>
      <c r="MIC102" s="142"/>
      <c r="MID102" s="142"/>
      <c r="MIE102" s="142"/>
      <c r="MIF102" s="142"/>
      <c r="MIG102" s="142"/>
      <c r="MIH102" s="142"/>
      <c r="MII102" s="142"/>
      <c r="MIJ102" s="142"/>
      <c r="MIK102" s="142"/>
      <c r="MIL102" s="142"/>
      <c r="MIM102" s="142"/>
      <c r="MIN102" s="142"/>
      <c r="MIO102" s="142"/>
      <c r="MIP102" s="142"/>
      <c r="MIQ102" s="142"/>
      <c r="MIR102" s="142"/>
      <c r="MIS102" s="142"/>
      <c r="MIT102" s="142"/>
      <c r="MIU102" s="142"/>
      <c r="MIV102" s="142"/>
      <c r="MIW102" s="142"/>
      <c r="MIX102" s="142"/>
      <c r="MIY102" s="142"/>
      <c r="MIZ102" s="142"/>
      <c r="MJA102" s="142"/>
      <c r="MJB102" s="142"/>
      <c r="MJC102" s="142"/>
      <c r="MJD102" s="142"/>
      <c r="MJE102" s="142"/>
      <c r="MJF102" s="142"/>
      <c r="MJG102" s="142"/>
      <c r="MJH102" s="142"/>
      <c r="MJI102" s="142"/>
      <c r="MJJ102" s="142"/>
      <c r="MJK102" s="142"/>
      <c r="MJL102" s="142"/>
      <c r="MJM102" s="142"/>
      <c r="MJN102" s="142"/>
      <c r="MJO102" s="142"/>
      <c r="MJP102" s="142"/>
      <c r="MJQ102" s="142"/>
      <c r="MJR102" s="142"/>
      <c r="MJS102" s="142"/>
      <c r="MJT102" s="142"/>
      <c r="MJU102" s="142"/>
      <c r="MJV102" s="142"/>
      <c r="MJW102" s="142"/>
      <c r="MJX102" s="142"/>
      <c r="MJY102" s="142"/>
      <c r="MJZ102" s="142"/>
      <c r="MKA102" s="142"/>
      <c r="MKB102" s="142"/>
      <c r="MKC102" s="142"/>
      <c r="MKD102" s="142"/>
      <c r="MKE102" s="142"/>
      <c r="MKF102" s="142"/>
      <c r="MKG102" s="142"/>
      <c r="MKH102" s="142"/>
      <c r="MKI102" s="142"/>
      <c r="MKJ102" s="142"/>
      <c r="MKK102" s="142"/>
      <c r="MKL102" s="142"/>
      <c r="MKM102" s="142"/>
      <c r="MKN102" s="142"/>
      <c r="MKO102" s="142"/>
      <c r="MKP102" s="142"/>
      <c r="MKQ102" s="142"/>
      <c r="MKR102" s="142"/>
      <c r="MKS102" s="142"/>
      <c r="MKT102" s="142"/>
      <c r="MKU102" s="142"/>
      <c r="MKV102" s="142"/>
      <c r="MKW102" s="142"/>
      <c r="MKX102" s="142"/>
      <c r="MKY102" s="142"/>
      <c r="MKZ102" s="142"/>
      <c r="MLA102" s="142"/>
      <c r="MLB102" s="142"/>
      <c r="MLC102" s="142"/>
      <c r="MLD102" s="142"/>
      <c r="MLE102" s="142"/>
      <c r="MLF102" s="142"/>
      <c r="MLG102" s="142"/>
      <c r="MLH102" s="142"/>
      <c r="MLI102" s="142"/>
      <c r="MLJ102" s="142"/>
      <c r="MLK102" s="142"/>
      <c r="MLL102" s="142"/>
      <c r="MLM102" s="142"/>
      <c r="MLN102" s="142"/>
      <c r="MLO102" s="142"/>
      <c r="MLP102" s="142"/>
      <c r="MLQ102" s="142"/>
      <c r="MLR102" s="142"/>
      <c r="MLS102" s="142"/>
      <c r="MLT102" s="142"/>
      <c r="MLU102" s="142"/>
      <c r="MLV102" s="142"/>
      <c r="MLW102" s="142"/>
      <c r="MLX102" s="142"/>
      <c r="MLY102" s="142"/>
      <c r="MLZ102" s="142"/>
      <c r="MMA102" s="142"/>
      <c r="MMB102" s="142"/>
      <c r="MMC102" s="142"/>
      <c r="MMD102" s="142"/>
      <c r="MME102" s="142"/>
      <c r="MMF102" s="142"/>
      <c r="MMG102" s="142"/>
      <c r="MMH102" s="142"/>
      <c r="MMI102" s="142"/>
      <c r="MMJ102" s="142"/>
      <c r="MMK102" s="142"/>
      <c r="MML102" s="142"/>
      <c r="MMM102" s="142"/>
      <c r="MMN102" s="142"/>
      <c r="MMO102" s="142"/>
      <c r="MMP102" s="142"/>
      <c r="MMQ102" s="142"/>
      <c r="MMR102" s="142"/>
      <c r="MMS102" s="142"/>
      <c r="MMT102" s="142"/>
      <c r="MMU102" s="142"/>
      <c r="MMV102" s="142"/>
      <c r="MMW102" s="142"/>
      <c r="MMX102" s="142"/>
      <c r="MMY102" s="142"/>
      <c r="MMZ102" s="142"/>
      <c r="MNA102" s="142"/>
      <c r="MNB102" s="142"/>
      <c r="MNC102" s="142"/>
      <c r="MND102" s="142"/>
      <c r="MNE102" s="142"/>
      <c r="MNF102" s="142"/>
      <c r="MNG102" s="142"/>
      <c r="MNH102" s="142"/>
      <c r="MNI102" s="142"/>
      <c r="MNJ102" s="142"/>
      <c r="MNK102" s="142"/>
      <c r="MNL102" s="142"/>
      <c r="MNM102" s="142"/>
      <c r="MNN102" s="142"/>
      <c r="MNO102" s="142"/>
      <c r="MNP102" s="142"/>
      <c r="MNQ102" s="142"/>
      <c r="MNR102" s="142"/>
      <c r="MNS102" s="142"/>
      <c r="MNT102" s="142"/>
      <c r="MNU102" s="142"/>
      <c r="MNV102" s="142"/>
      <c r="MNW102" s="142"/>
      <c r="MNX102" s="142"/>
      <c r="MNY102" s="142"/>
      <c r="MNZ102" s="142"/>
      <c r="MOA102" s="142"/>
      <c r="MOB102" s="142"/>
      <c r="MOC102" s="142"/>
      <c r="MOD102" s="142"/>
      <c r="MOE102" s="142"/>
      <c r="MOF102" s="142"/>
      <c r="MOG102" s="142"/>
      <c r="MOH102" s="142"/>
      <c r="MOI102" s="142"/>
      <c r="MOJ102" s="142"/>
      <c r="MOK102" s="142"/>
      <c r="MOL102" s="142"/>
      <c r="MOM102" s="142"/>
      <c r="MON102" s="142"/>
      <c r="MOO102" s="142"/>
      <c r="MOP102" s="142"/>
      <c r="MOQ102" s="142"/>
      <c r="MOR102" s="142"/>
      <c r="MOS102" s="142"/>
      <c r="MOT102" s="142"/>
      <c r="MOU102" s="142"/>
      <c r="MOV102" s="142"/>
      <c r="MOW102" s="142"/>
      <c r="MOX102" s="142"/>
      <c r="MOY102" s="142"/>
      <c r="MOZ102" s="142"/>
      <c r="MPA102" s="142"/>
      <c r="MPB102" s="142"/>
      <c r="MPC102" s="142"/>
      <c r="MPD102" s="142"/>
      <c r="MPE102" s="142"/>
      <c r="MPF102" s="142"/>
      <c r="MPG102" s="142"/>
      <c r="MPH102" s="142"/>
      <c r="MPI102" s="142"/>
      <c r="MPJ102" s="142"/>
      <c r="MPK102" s="142"/>
      <c r="MPL102" s="142"/>
      <c r="MPM102" s="142"/>
      <c r="MPN102" s="142"/>
      <c r="MPO102" s="142"/>
      <c r="MPP102" s="142"/>
      <c r="MPQ102" s="142"/>
      <c r="MPR102" s="142"/>
      <c r="MPS102" s="142"/>
      <c r="MPT102" s="142"/>
      <c r="MPU102" s="142"/>
      <c r="MPV102" s="142"/>
      <c r="MPW102" s="142"/>
      <c r="MPX102" s="142"/>
      <c r="MPY102" s="142"/>
      <c r="MPZ102" s="142"/>
      <c r="MQA102" s="142"/>
      <c r="MQB102" s="142"/>
      <c r="MQC102" s="142"/>
      <c r="MQD102" s="142"/>
      <c r="MQE102" s="142"/>
      <c r="MQF102" s="142"/>
      <c r="MQG102" s="142"/>
      <c r="MQH102" s="142"/>
      <c r="MQI102" s="142"/>
      <c r="MQJ102" s="142"/>
      <c r="MQK102" s="142"/>
      <c r="MQL102" s="142"/>
      <c r="MQM102" s="142"/>
      <c r="MQN102" s="142"/>
      <c r="MQO102" s="142"/>
      <c r="MQP102" s="142"/>
      <c r="MQQ102" s="142"/>
      <c r="MQR102" s="142"/>
      <c r="MQS102" s="142"/>
      <c r="MQT102" s="142"/>
      <c r="MQU102" s="142"/>
      <c r="MQV102" s="142"/>
      <c r="MQW102" s="142"/>
      <c r="MQX102" s="142"/>
      <c r="MQY102" s="142"/>
      <c r="MQZ102" s="142"/>
      <c r="MRA102" s="142"/>
      <c r="MRB102" s="142"/>
      <c r="MRC102" s="142"/>
      <c r="MRD102" s="142"/>
      <c r="MRE102" s="142"/>
      <c r="MRF102" s="142"/>
      <c r="MRG102" s="142"/>
      <c r="MRH102" s="142"/>
      <c r="MRI102" s="142"/>
      <c r="MRJ102" s="142"/>
      <c r="MRK102" s="142"/>
      <c r="MRL102" s="142"/>
      <c r="MRM102" s="142"/>
      <c r="MRN102" s="142"/>
      <c r="MRO102" s="142"/>
      <c r="MRP102" s="142"/>
      <c r="MRQ102" s="142"/>
      <c r="MRR102" s="142"/>
      <c r="MRS102" s="142"/>
      <c r="MRT102" s="142"/>
      <c r="MRU102" s="142"/>
      <c r="MRV102" s="142"/>
      <c r="MRW102" s="142"/>
      <c r="MRX102" s="142"/>
      <c r="MRY102" s="142"/>
      <c r="MRZ102" s="142"/>
      <c r="MSA102" s="142"/>
      <c r="MSB102" s="142"/>
      <c r="MSC102" s="142"/>
      <c r="MSD102" s="142"/>
      <c r="MSE102" s="142"/>
      <c r="MSF102" s="142"/>
      <c r="MSG102" s="142"/>
      <c r="MSH102" s="142"/>
      <c r="MSI102" s="142"/>
      <c r="MSJ102" s="142"/>
      <c r="MSK102" s="142"/>
      <c r="MSL102" s="142"/>
      <c r="MSM102" s="142"/>
      <c r="MSN102" s="142"/>
      <c r="MSO102" s="142"/>
      <c r="MSP102" s="142"/>
      <c r="MSQ102" s="142"/>
      <c r="MSR102" s="142"/>
      <c r="MSS102" s="142"/>
      <c r="MST102" s="142"/>
      <c r="MSU102" s="142"/>
      <c r="MSV102" s="142"/>
      <c r="MSW102" s="142"/>
      <c r="MSX102" s="142"/>
      <c r="MSY102" s="142"/>
      <c r="MSZ102" s="142"/>
      <c r="MTA102" s="142"/>
      <c r="MTB102" s="142"/>
      <c r="MTC102" s="142"/>
      <c r="MTD102" s="142"/>
      <c r="MTE102" s="142"/>
      <c r="MTF102" s="142"/>
      <c r="MTG102" s="142"/>
      <c r="MTH102" s="142"/>
      <c r="MTI102" s="142"/>
      <c r="MTJ102" s="142"/>
      <c r="MTK102" s="142"/>
      <c r="MTL102" s="142"/>
      <c r="MTM102" s="142"/>
      <c r="MTN102" s="142"/>
      <c r="MTO102" s="142"/>
      <c r="MTP102" s="142"/>
      <c r="MTQ102" s="142"/>
      <c r="MTR102" s="142"/>
      <c r="MTS102" s="142"/>
      <c r="MTT102" s="142"/>
      <c r="MTU102" s="142"/>
      <c r="MTV102" s="142"/>
      <c r="MTW102" s="142"/>
      <c r="MTX102" s="142"/>
      <c r="MTY102" s="142"/>
      <c r="MTZ102" s="142"/>
      <c r="MUA102" s="142"/>
      <c r="MUB102" s="142"/>
      <c r="MUC102" s="142"/>
      <c r="MUD102" s="142"/>
      <c r="MUE102" s="142"/>
      <c r="MUF102" s="142"/>
      <c r="MUG102" s="142"/>
      <c r="MUH102" s="142"/>
      <c r="MUI102" s="142"/>
      <c r="MUJ102" s="142"/>
      <c r="MUK102" s="142"/>
      <c r="MUL102" s="142"/>
      <c r="MUM102" s="142"/>
      <c r="MUN102" s="142"/>
      <c r="MUO102" s="142"/>
      <c r="MUP102" s="142"/>
      <c r="MUQ102" s="142"/>
      <c r="MUR102" s="142"/>
      <c r="MUS102" s="142"/>
      <c r="MUT102" s="142"/>
      <c r="MUU102" s="142"/>
      <c r="MUV102" s="142"/>
      <c r="MUW102" s="142"/>
      <c r="MUX102" s="142"/>
      <c r="MUY102" s="142"/>
      <c r="MUZ102" s="142"/>
      <c r="MVA102" s="142"/>
      <c r="MVB102" s="142"/>
      <c r="MVC102" s="142"/>
      <c r="MVD102" s="142"/>
      <c r="MVE102" s="142"/>
      <c r="MVF102" s="142"/>
      <c r="MVG102" s="142"/>
      <c r="MVH102" s="142"/>
      <c r="MVI102" s="142"/>
      <c r="MVJ102" s="142"/>
      <c r="MVK102" s="142"/>
      <c r="MVL102" s="142"/>
      <c r="MVM102" s="142"/>
      <c r="MVN102" s="142"/>
      <c r="MVO102" s="142"/>
      <c r="MVP102" s="142"/>
      <c r="MVQ102" s="142"/>
      <c r="MVR102" s="142"/>
      <c r="MVS102" s="142"/>
      <c r="MVT102" s="142"/>
      <c r="MVU102" s="142"/>
      <c r="MVV102" s="142"/>
      <c r="MVW102" s="142"/>
      <c r="MVX102" s="142"/>
      <c r="MVY102" s="142"/>
      <c r="MVZ102" s="142"/>
      <c r="MWA102" s="142"/>
      <c r="MWB102" s="142"/>
      <c r="MWC102" s="142"/>
      <c r="MWD102" s="142"/>
      <c r="MWE102" s="142"/>
      <c r="MWF102" s="142"/>
      <c r="MWG102" s="142"/>
      <c r="MWH102" s="142"/>
      <c r="MWI102" s="142"/>
      <c r="MWJ102" s="142"/>
      <c r="MWK102" s="142"/>
      <c r="MWL102" s="142"/>
      <c r="MWM102" s="142"/>
      <c r="MWN102" s="142"/>
      <c r="MWO102" s="142"/>
      <c r="MWP102" s="142"/>
      <c r="MWQ102" s="142"/>
      <c r="MWR102" s="142"/>
      <c r="MWS102" s="142"/>
      <c r="MWT102" s="142"/>
      <c r="MWU102" s="142"/>
      <c r="MWV102" s="142"/>
      <c r="MWW102" s="142"/>
      <c r="MWX102" s="142"/>
      <c r="MWY102" s="142"/>
      <c r="MWZ102" s="142"/>
      <c r="MXA102" s="142"/>
      <c r="MXB102" s="142"/>
      <c r="MXC102" s="142"/>
      <c r="MXD102" s="142"/>
      <c r="MXE102" s="142"/>
      <c r="MXF102" s="142"/>
      <c r="MXG102" s="142"/>
      <c r="MXH102" s="142"/>
      <c r="MXI102" s="142"/>
      <c r="MXJ102" s="142"/>
      <c r="MXK102" s="142"/>
      <c r="MXL102" s="142"/>
      <c r="MXM102" s="142"/>
      <c r="MXN102" s="142"/>
      <c r="MXO102" s="142"/>
      <c r="MXP102" s="142"/>
      <c r="MXQ102" s="142"/>
      <c r="MXR102" s="142"/>
      <c r="MXS102" s="142"/>
      <c r="MXT102" s="142"/>
      <c r="MXU102" s="142"/>
      <c r="MXV102" s="142"/>
      <c r="MXW102" s="142"/>
      <c r="MXX102" s="142"/>
      <c r="MXY102" s="142"/>
      <c r="MXZ102" s="142"/>
      <c r="MYA102" s="142"/>
      <c r="MYB102" s="142"/>
      <c r="MYC102" s="142"/>
      <c r="MYD102" s="142"/>
      <c r="MYE102" s="142"/>
      <c r="MYF102" s="142"/>
      <c r="MYG102" s="142"/>
      <c r="MYH102" s="142"/>
      <c r="MYI102" s="142"/>
      <c r="MYJ102" s="142"/>
      <c r="MYK102" s="142"/>
      <c r="MYL102" s="142"/>
      <c r="MYM102" s="142"/>
      <c r="MYN102" s="142"/>
      <c r="MYO102" s="142"/>
      <c r="MYP102" s="142"/>
      <c r="MYQ102" s="142"/>
      <c r="MYR102" s="142"/>
      <c r="MYS102" s="142"/>
      <c r="MYT102" s="142"/>
      <c r="MYU102" s="142"/>
      <c r="MYV102" s="142"/>
      <c r="MYW102" s="142"/>
      <c r="MYX102" s="142"/>
      <c r="MYY102" s="142"/>
      <c r="MYZ102" s="142"/>
      <c r="MZA102" s="142"/>
      <c r="MZB102" s="142"/>
      <c r="MZC102" s="142"/>
      <c r="MZD102" s="142"/>
      <c r="MZE102" s="142"/>
      <c r="MZF102" s="142"/>
      <c r="MZG102" s="142"/>
      <c r="MZH102" s="142"/>
      <c r="MZI102" s="142"/>
      <c r="MZJ102" s="142"/>
      <c r="MZK102" s="142"/>
      <c r="MZL102" s="142"/>
      <c r="MZM102" s="142"/>
      <c r="MZN102" s="142"/>
      <c r="MZO102" s="142"/>
      <c r="MZP102" s="142"/>
      <c r="MZQ102" s="142"/>
      <c r="MZR102" s="142"/>
      <c r="MZS102" s="142"/>
      <c r="MZT102" s="142"/>
      <c r="MZU102" s="142"/>
      <c r="MZV102" s="142"/>
      <c r="MZW102" s="142"/>
      <c r="MZX102" s="142"/>
      <c r="MZY102" s="142"/>
      <c r="MZZ102" s="142"/>
      <c r="NAA102" s="142"/>
      <c r="NAB102" s="142"/>
      <c r="NAC102" s="142"/>
      <c r="NAD102" s="142"/>
      <c r="NAE102" s="142"/>
      <c r="NAF102" s="142"/>
      <c r="NAG102" s="142"/>
      <c r="NAH102" s="142"/>
      <c r="NAI102" s="142"/>
      <c r="NAJ102" s="142"/>
      <c r="NAK102" s="142"/>
      <c r="NAL102" s="142"/>
      <c r="NAM102" s="142"/>
      <c r="NAN102" s="142"/>
      <c r="NAO102" s="142"/>
      <c r="NAP102" s="142"/>
      <c r="NAQ102" s="142"/>
      <c r="NAR102" s="142"/>
      <c r="NAS102" s="142"/>
      <c r="NAT102" s="142"/>
      <c r="NAU102" s="142"/>
      <c r="NAV102" s="142"/>
      <c r="NAW102" s="142"/>
      <c r="NAX102" s="142"/>
      <c r="NAY102" s="142"/>
      <c r="NAZ102" s="142"/>
      <c r="NBA102" s="142"/>
      <c r="NBB102" s="142"/>
      <c r="NBC102" s="142"/>
      <c r="NBD102" s="142"/>
      <c r="NBE102" s="142"/>
      <c r="NBF102" s="142"/>
      <c r="NBG102" s="142"/>
      <c r="NBH102" s="142"/>
      <c r="NBI102" s="142"/>
      <c r="NBJ102" s="142"/>
      <c r="NBK102" s="142"/>
      <c r="NBL102" s="142"/>
      <c r="NBM102" s="142"/>
      <c r="NBN102" s="142"/>
      <c r="NBO102" s="142"/>
      <c r="NBP102" s="142"/>
      <c r="NBQ102" s="142"/>
      <c r="NBR102" s="142"/>
      <c r="NBS102" s="142"/>
      <c r="NBT102" s="142"/>
      <c r="NBU102" s="142"/>
      <c r="NBV102" s="142"/>
      <c r="NBW102" s="142"/>
      <c r="NBX102" s="142"/>
      <c r="NBY102" s="142"/>
      <c r="NBZ102" s="142"/>
      <c r="NCA102" s="142"/>
      <c r="NCB102" s="142"/>
      <c r="NCC102" s="142"/>
      <c r="NCD102" s="142"/>
      <c r="NCE102" s="142"/>
      <c r="NCF102" s="142"/>
      <c r="NCG102" s="142"/>
      <c r="NCH102" s="142"/>
      <c r="NCI102" s="142"/>
      <c r="NCJ102" s="142"/>
      <c r="NCK102" s="142"/>
      <c r="NCL102" s="142"/>
      <c r="NCM102" s="142"/>
      <c r="NCN102" s="142"/>
      <c r="NCO102" s="142"/>
      <c r="NCP102" s="142"/>
      <c r="NCQ102" s="142"/>
      <c r="NCR102" s="142"/>
      <c r="NCS102" s="142"/>
      <c r="NCT102" s="142"/>
      <c r="NCU102" s="142"/>
      <c r="NCV102" s="142"/>
      <c r="NCW102" s="142"/>
      <c r="NCX102" s="142"/>
      <c r="NCY102" s="142"/>
      <c r="NCZ102" s="142"/>
      <c r="NDA102" s="142"/>
      <c r="NDB102" s="142"/>
      <c r="NDC102" s="142"/>
      <c r="NDD102" s="142"/>
      <c r="NDE102" s="142"/>
      <c r="NDF102" s="142"/>
      <c r="NDG102" s="142"/>
      <c r="NDH102" s="142"/>
      <c r="NDI102" s="142"/>
      <c r="NDJ102" s="142"/>
      <c r="NDK102" s="142"/>
      <c r="NDL102" s="142"/>
      <c r="NDM102" s="142"/>
      <c r="NDN102" s="142"/>
      <c r="NDO102" s="142"/>
      <c r="NDP102" s="142"/>
      <c r="NDQ102" s="142"/>
      <c r="NDR102" s="142"/>
      <c r="NDS102" s="142"/>
      <c r="NDT102" s="142"/>
      <c r="NDU102" s="142"/>
      <c r="NDV102" s="142"/>
      <c r="NDW102" s="142"/>
      <c r="NDX102" s="142"/>
      <c r="NDY102" s="142"/>
      <c r="NDZ102" s="142"/>
      <c r="NEA102" s="142"/>
      <c r="NEB102" s="142"/>
      <c r="NEC102" s="142"/>
      <c r="NED102" s="142"/>
      <c r="NEE102" s="142"/>
      <c r="NEF102" s="142"/>
      <c r="NEG102" s="142"/>
      <c r="NEH102" s="142"/>
      <c r="NEI102" s="142"/>
      <c r="NEJ102" s="142"/>
      <c r="NEK102" s="142"/>
      <c r="NEL102" s="142"/>
      <c r="NEM102" s="142"/>
      <c r="NEN102" s="142"/>
      <c r="NEO102" s="142"/>
      <c r="NEP102" s="142"/>
      <c r="NEQ102" s="142"/>
      <c r="NER102" s="142"/>
      <c r="NES102" s="142"/>
      <c r="NET102" s="142"/>
      <c r="NEU102" s="142"/>
      <c r="NEV102" s="142"/>
      <c r="NEW102" s="142"/>
      <c r="NEX102" s="142"/>
      <c r="NEY102" s="142"/>
      <c r="NEZ102" s="142"/>
      <c r="NFA102" s="142"/>
      <c r="NFB102" s="142"/>
      <c r="NFC102" s="142"/>
      <c r="NFD102" s="142"/>
      <c r="NFE102" s="142"/>
      <c r="NFF102" s="142"/>
      <c r="NFG102" s="142"/>
      <c r="NFH102" s="142"/>
      <c r="NFI102" s="142"/>
      <c r="NFJ102" s="142"/>
      <c r="NFK102" s="142"/>
      <c r="NFL102" s="142"/>
      <c r="NFM102" s="142"/>
      <c r="NFN102" s="142"/>
      <c r="NFO102" s="142"/>
      <c r="NFP102" s="142"/>
      <c r="NFQ102" s="142"/>
      <c r="NFR102" s="142"/>
      <c r="NFS102" s="142"/>
      <c r="NFT102" s="142"/>
      <c r="NFU102" s="142"/>
      <c r="NFV102" s="142"/>
      <c r="NFW102" s="142"/>
      <c r="NFX102" s="142"/>
      <c r="NFY102" s="142"/>
      <c r="NFZ102" s="142"/>
      <c r="NGA102" s="142"/>
      <c r="NGB102" s="142"/>
      <c r="NGC102" s="142"/>
      <c r="NGD102" s="142"/>
      <c r="NGE102" s="142"/>
      <c r="NGF102" s="142"/>
      <c r="NGG102" s="142"/>
      <c r="NGH102" s="142"/>
      <c r="NGI102" s="142"/>
      <c r="NGJ102" s="142"/>
      <c r="NGK102" s="142"/>
      <c r="NGL102" s="142"/>
      <c r="NGM102" s="142"/>
      <c r="NGN102" s="142"/>
      <c r="NGO102" s="142"/>
      <c r="NGP102" s="142"/>
      <c r="NGQ102" s="142"/>
      <c r="NGR102" s="142"/>
      <c r="NGS102" s="142"/>
      <c r="NGT102" s="142"/>
      <c r="NGU102" s="142"/>
      <c r="NGV102" s="142"/>
      <c r="NGW102" s="142"/>
      <c r="NGX102" s="142"/>
      <c r="NGY102" s="142"/>
      <c r="NGZ102" s="142"/>
      <c r="NHA102" s="142"/>
      <c r="NHB102" s="142"/>
      <c r="NHC102" s="142"/>
      <c r="NHD102" s="142"/>
      <c r="NHE102" s="142"/>
      <c r="NHF102" s="142"/>
      <c r="NHG102" s="142"/>
      <c r="NHH102" s="142"/>
      <c r="NHI102" s="142"/>
      <c r="NHJ102" s="142"/>
      <c r="NHK102" s="142"/>
      <c r="NHL102" s="142"/>
      <c r="NHM102" s="142"/>
      <c r="NHN102" s="142"/>
      <c r="NHO102" s="142"/>
      <c r="NHP102" s="142"/>
      <c r="NHQ102" s="142"/>
      <c r="NHR102" s="142"/>
      <c r="NHS102" s="142"/>
      <c r="NHT102" s="142"/>
      <c r="NHU102" s="142"/>
      <c r="NHV102" s="142"/>
      <c r="NHW102" s="142"/>
      <c r="NHX102" s="142"/>
      <c r="NHY102" s="142"/>
      <c r="NHZ102" s="142"/>
      <c r="NIA102" s="142"/>
      <c r="NIB102" s="142"/>
      <c r="NIC102" s="142"/>
      <c r="NID102" s="142"/>
      <c r="NIE102" s="142"/>
      <c r="NIF102" s="142"/>
      <c r="NIG102" s="142"/>
      <c r="NIH102" s="142"/>
      <c r="NII102" s="142"/>
      <c r="NIJ102" s="142"/>
      <c r="NIK102" s="142"/>
      <c r="NIL102" s="142"/>
      <c r="NIM102" s="142"/>
      <c r="NIN102" s="142"/>
      <c r="NIO102" s="142"/>
      <c r="NIP102" s="142"/>
      <c r="NIQ102" s="142"/>
      <c r="NIR102" s="142"/>
      <c r="NIS102" s="142"/>
      <c r="NIT102" s="142"/>
      <c r="NIU102" s="142"/>
      <c r="NIV102" s="142"/>
      <c r="NIW102" s="142"/>
      <c r="NIX102" s="142"/>
      <c r="NIY102" s="142"/>
      <c r="NIZ102" s="142"/>
      <c r="NJA102" s="142"/>
      <c r="NJB102" s="142"/>
      <c r="NJC102" s="142"/>
      <c r="NJD102" s="142"/>
      <c r="NJE102" s="142"/>
      <c r="NJF102" s="142"/>
      <c r="NJG102" s="142"/>
      <c r="NJH102" s="142"/>
      <c r="NJI102" s="142"/>
      <c r="NJJ102" s="142"/>
      <c r="NJK102" s="142"/>
      <c r="NJL102" s="142"/>
      <c r="NJM102" s="142"/>
      <c r="NJN102" s="142"/>
      <c r="NJO102" s="142"/>
      <c r="NJP102" s="142"/>
      <c r="NJQ102" s="142"/>
      <c r="NJR102" s="142"/>
      <c r="NJS102" s="142"/>
      <c r="NJT102" s="142"/>
      <c r="NJU102" s="142"/>
      <c r="NJV102" s="142"/>
      <c r="NJW102" s="142"/>
      <c r="NJX102" s="142"/>
      <c r="NJY102" s="142"/>
      <c r="NJZ102" s="142"/>
      <c r="NKA102" s="142"/>
      <c r="NKB102" s="142"/>
      <c r="NKC102" s="142"/>
      <c r="NKD102" s="142"/>
      <c r="NKE102" s="142"/>
      <c r="NKF102" s="142"/>
      <c r="NKG102" s="142"/>
      <c r="NKH102" s="142"/>
      <c r="NKI102" s="142"/>
      <c r="NKJ102" s="142"/>
      <c r="NKK102" s="142"/>
      <c r="NKL102" s="142"/>
      <c r="NKM102" s="142"/>
      <c r="NKN102" s="142"/>
      <c r="NKO102" s="142"/>
      <c r="NKP102" s="142"/>
      <c r="NKQ102" s="142"/>
      <c r="NKR102" s="142"/>
      <c r="NKS102" s="142"/>
      <c r="NKT102" s="142"/>
      <c r="NKU102" s="142"/>
      <c r="NKV102" s="142"/>
      <c r="NKW102" s="142"/>
      <c r="NKX102" s="142"/>
      <c r="NKY102" s="142"/>
      <c r="NKZ102" s="142"/>
      <c r="NLA102" s="142"/>
      <c r="NLB102" s="142"/>
      <c r="NLC102" s="142"/>
      <c r="NLD102" s="142"/>
      <c r="NLE102" s="142"/>
      <c r="NLF102" s="142"/>
      <c r="NLG102" s="142"/>
      <c r="NLH102" s="142"/>
      <c r="NLI102" s="142"/>
      <c r="NLJ102" s="142"/>
      <c r="NLK102" s="142"/>
      <c r="NLL102" s="142"/>
      <c r="NLM102" s="142"/>
      <c r="NLN102" s="142"/>
      <c r="NLO102" s="142"/>
      <c r="NLP102" s="142"/>
      <c r="NLQ102" s="142"/>
      <c r="NLR102" s="142"/>
      <c r="NLS102" s="142"/>
      <c r="NLT102" s="142"/>
      <c r="NLU102" s="142"/>
      <c r="NLV102" s="142"/>
      <c r="NLW102" s="142"/>
      <c r="NLX102" s="142"/>
      <c r="NLY102" s="142"/>
      <c r="NLZ102" s="142"/>
      <c r="NMA102" s="142"/>
      <c r="NMB102" s="142"/>
      <c r="NMC102" s="142"/>
      <c r="NMD102" s="142"/>
      <c r="NME102" s="142"/>
      <c r="NMF102" s="142"/>
      <c r="NMG102" s="142"/>
      <c r="NMH102" s="142"/>
      <c r="NMI102" s="142"/>
      <c r="NMJ102" s="142"/>
      <c r="NMK102" s="142"/>
      <c r="NML102" s="142"/>
      <c r="NMM102" s="142"/>
      <c r="NMN102" s="142"/>
      <c r="NMO102" s="142"/>
      <c r="NMP102" s="142"/>
      <c r="NMQ102" s="142"/>
      <c r="NMR102" s="142"/>
      <c r="NMS102" s="142"/>
      <c r="NMT102" s="142"/>
      <c r="NMU102" s="142"/>
      <c r="NMV102" s="142"/>
      <c r="NMW102" s="142"/>
      <c r="NMX102" s="142"/>
      <c r="NMY102" s="142"/>
      <c r="NMZ102" s="142"/>
      <c r="NNA102" s="142"/>
      <c r="NNB102" s="142"/>
      <c r="NNC102" s="142"/>
      <c r="NND102" s="142"/>
      <c r="NNE102" s="142"/>
      <c r="NNF102" s="142"/>
      <c r="NNG102" s="142"/>
      <c r="NNH102" s="142"/>
      <c r="NNI102" s="142"/>
      <c r="NNJ102" s="142"/>
      <c r="NNK102" s="142"/>
      <c r="NNL102" s="142"/>
      <c r="NNM102" s="142"/>
      <c r="NNN102" s="142"/>
      <c r="NNO102" s="142"/>
      <c r="NNP102" s="142"/>
      <c r="NNQ102" s="142"/>
      <c r="NNR102" s="142"/>
      <c r="NNS102" s="142"/>
      <c r="NNT102" s="142"/>
      <c r="NNU102" s="142"/>
      <c r="NNV102" s="142"/>
      <c r="NNW102" s="142"/>
      <c r="NNX102" s="142"/>
      <c r="NNY102" s="142"/>
      <c r="NNZ102" s="142"/>
      <c r="NOA102" s="142"/>
      <c r="NOB102" s="142"/>
      <c r="NOC102" s="142"/>
      <c r="NOD102" s="142"/>
      <c r="NOE102" s="142"/>
      <c r="NOF102" s="142"/>
      <c r="NOG102" s="142"/>
      <c r="NOH102" s="142"/>
      <c r="NOI102" s="142"/>
      <c r="NOJ102" s="142"/>
      <c r="NOK102" s="142"/>
      <c r="NOL102" s="142"/>
      <c r="NOM102" s="142"/>
      <c r="NON102" s="142"/>
      <c r="NOO102" s="142"/>
      <c r="NOP102" s="142"/>
      <c r="NOQ102" s="142"/>
      <c r="NOR102" s="142"/>
      <c r="NOS102" s="142"/>
      <c r="NOT102" s="142"/>
      <c r="NOU102" s="142"/>
      <c r="NOV102" s="142"/>
      <c r="NOW102" s="142"/>
      <c r="NOX102" s="142"/>
      <c r="NOY102" s="142"/>
      <c r="NOZ102" s="142"/>
      <c r="NPA102" s="142"/>
      <c r="NPB102" s="142"/>
      <c r="NPC102" s="142"/>
      <c r="NPD102" s="142"/>
      <c r="NPE102" s="142"/>
      <c r="NPF102" s="142"/>
      <c r="NPG102" s="142"/>
      <c r="NPH102" s="142"/>
      <c r="NPI102" s="142"/>
      <c r="NPJ102" s="142"/>
      <c r="NPK102" s="142"/>
      <c r="NPL102" s="142"/>
      <c r="NPM102" s="142"/>
      <c r="NPN102" s="142"/>
      <c r="NPO102" s="142"/>
      <c r="NPP102" s="142"/>
      <c r="NPQ102" s="142"/>
      <c r="NPR102" s="142"/>
      <c r="NPS102" s="142"/>
      <c r="NPT102" s="142"/>
      <c r="NPU102" s="142"/>
      <c r="NPV102" s="142"/>
      <c r="NPW102" s="142"/>
      <c r="NPX102" s="142"/>
      <c r="NPY102" s="142"/>
      <c r="NPZ102" s="142"/>
      <c r="NQA102" s="142"/>
      <c r="NQB102" s="142"/>
      <c r="NQC102" s="142"/>
      <c r="NQD102" s="142"/>
      <c r="NQE102" s="142"/>
      <c r="NQF102" s="142"/>
      <c r="NQG102" s="142"/>
      <c r="NQH102" s="142"/>
      <c r="NQI102" s="142"/>
      <c r="NQJ102" s="142"/>
      <c r="NQK102" s="142"/>
      <c r="NQL102" s="142"/>
      <c r="NQM102" s="142"/>
      <c r="NQN102" s="142"/>
      <c r="NQO102" s="142"/>
      <c r="NQP102" s="142"/>
      <c r="NQQ102" s="142"/>
      <c r="NQR102" s="142"/>
      <c r="NQS102" s="142"/>
      <c r="NQT102" s="142"/>
      <c r="NQU102" s="142"/>
      <c r="NQV102" s="142"/>
      <c r="NQW102" s="142"/>
      <c r="NQX102" s="142"/>
      <c r="NQY102" s="142"/>
      <c r="NQZ102" s="142"/>
      <c r="NRA102" s="142"/>
      <c r="NRB102" s="142"/>
      <c r="NRC102" s="142"/>
      <c r="NRD102" s="142"/>
      <c r="NRE102" s="142"/>
      <c r="NRF102" s="142"/>
      <c r="NRG102" s="142"/>
      <c r="NRH102" s="142"/>
      <c r="NRI102" s="142"/>
      <c r="NRJ102" s="142"/>
      <c r="NRK102" s="142"/>
      <c r="NRL102" s="142"/>
      <c r="NRM102" s="142"/>
      <c r="NRN102" s="142"/>
      <c r="NRO102" s="142"/>
      <c r="NRP102" s="142"/>
      <c r="NRQ102" s="142"/>
      <c r="NRR102" s="142"/>
      <c r="NRS102" s="142"/>
      <c r="NRT102" s="142"/>
      <c r="NRU102" s="142"/>
      <c r="NRV102" s="142"/>
      <c r="NRW102" s="142"/>
      <c r="NRX102" s="142"/>
      <c r="NRY102" s="142"/>
      <c r="NRZ102" s="142"/>
      <c r="NSA102" s="142"/>
      <c r="NSB102" s="142"/>
      <c r="NSC102" s="142"/>
      <c r="NSD102" s="142"/>
      <c r="NSE102" s="142"/>
      <c r="NSF102" s="142"/>
      <c r="NSG102" s="142"/>
      <c r="NSH102" s="142"/>
      <c r="NSI102" s="142"/>
      <c r="NSJ102" s="142"/>
      <c r="NSK102" s="142"/>
      <c r="NSL102" s="142"/>
      <c r="NSM102" s="142"/>
      <c r="NSN102" s="142"/>
      <c r="NSO102" s="142"/>
      <c r="NSP102" s="142"/>
      <c r="NSQ102" s="142"/>
      <c r="NSR102" s="142"/>
      <c r="NSS102" s="142"/>
      <c r="NST102" s="142"/>
      <c r="NSU102" s="142"/>
      <c r="NSV102" s="142"/>
      <c r="NSW102" s="142"/>
      <c r="NSX102" s="142"/>
      <c r="NSY102" s="142"/>
      <c r="NSZ102" s="142"/>
      <c r="NTA102" s="142"/>
      <c r="NTB102" s="142"/>
      <c r="NTC102" s="142"/>
      <c r="NTD102" s="142"/>
      <c r="NTE102" s="142"/>
      <c r="NTF102" s="142"/>
      <c r="NTG102" s="142"/>
      <c r="NTH102" s="142"/>
      <c r="NTI102" s="142"/>
      <c r="NTJ102" s="142"/>
      <c r="NTK102" s="142"/>
      <c r="NTL102" s="142"/>
      <c r="NTM102" s="142"/>
      <c r="NTN102" s="142"/>
      <c r="NTO102" s="142"/>
      <c r="NTP102" s="142"/>
      <c r="NTQ102" s="142"/>
      <c r="NTR102" s="142"/>
      <c r="NTS102" s="142"/>
      <c r="NTT102" s="142"/>
      <c r="NTU102" s="142"/>
      <c r="NTV102" s="142"/>
      <c r="NTW102" s="142"/>
      <c r="NTX102" s="142"/>
      <c r="NTY102" s="142"/>
      <c r="NTZ102" s="142"/>
      <c r="NUA102" s="142"/>
      <c r="NUB102" s="142"/>
      <c r="NUC102" s="142"/>
      <c r="NUD102" s="142"/>
      <c r="NUE102" s="142"/>
      <c r="NUF102" s="142"/>
      <c r="NUG102" s="142"/>
      <c r="NUH102" s="142"/>
      <c r="NUI102" s="142"/>
      <c r="NUJ102" s="142"/>
      <c r="NUK102" s="142"/>
      <c r="NUL102" s="142"/>
      <c r="NUM102" s="142"/>
      <c r="NUN102" s="142"/>
      <c r="NUO102" s="142"/>
      <c r="NUP102" s="142"/>
      <c r="NUQ102" s="142"/>
      <c r="NUR102" s="142"/>
      <c r="NUS102" s="142"/>
      <c r="NUT102" s="142"/>
      <c r="NUU102" s="142"/>
      <c r="NUV102" s="142"/>
      <c r="NUW102" s="142"/>
      <c r="NUX102" s="142"/>
      <c r="NUY102" s="142"/>
      <c r="NUZ102" s="142"/>
      <c r="NVA102" s="142"/>
      <c r="NVB102" s="142"/>
      <c r="NVC102" s="142"/>
      <c r="NVD102" s="142"/>
      <c r="NVE102" s="142"/>
      <c r="NVF102" s="142"/>
      <c r="NVG102" s="142"/>
      <c r="NVH102" s="142"/>
      <c r="NVI102" s="142"/>
      <c r="NVJ102" s="142"/>
      <c r="NVK102" s="142"/>
      <c r="NVL102" s="142"/>
      <c r="NVM102" s="142"/>
      <c r="NVN102" s="142"/>
      <c r="NVO102" s="142"/>
      <c r="NVP102" s="142"/>
      <c r="NVQ102" s="142"/>
      <c r="NVR102" s="142"/>
      <c r="NVS102" s="142"/>
      <c r="NVT102" s="142"/>
      <c r="NVU102" s="142"/>
      <c r="NVV102" s="142"/>
      <c r="NVW102" s="142"/>
      <c r="NVX102" s="142"/>
      <c r="NVY102" s="142"/>
      <c r="NVZ102" s="142"/>
      <c r="NWA102" s="142"/>
      <c r="NWB102" s="142"/>
      <c r="NWC102" s="142"/>
      <c r="NWD102" s="142"/>
      <c r="NWE102" s="142"/>
      <c r="NWF102" s="142"/>
      <c r="NWG102" s="142"/>
      <c r="NWH102" s="142"/>
      <c r="NWI102" s="142"/>
      <c r="NWJ102" s="142"/>
      <c r="NWK102" s="142"/>
      <c r="NWL102" s="142"/>
      <c r="NWM102" s="142"/>
      <c r="NWN102" s="142"/>
      <c r="NWO102" s="142"/>
      <c r="NWP102" s="142"/>
      <c r="NWQ102" s="142"/>
      <c r="NWR102" s="142"/>
      <c r="NWS102" s="142"/>
      <c r="NWT102" s="142"/>
      <c r="NWU102" s="142"/>
      <c r="NWV102" s="142"/>
      <c r="NWW102" s="142"/>
      <c r="NWX102" s="142"/>
      <c r="NWY102" s="142"/>
      <c r="NWZ102" s="142"/>
      <c r="NXA102" s="142"/>
      <c r="NXB102" s="142"/>
      <c r="NXC102" s="142"/>
      <c r="NXD102" s="142"/>
      <c r="NXE102" s="142"/>
      <c r="NXF102" s="142"/>
      <c r="NXG102" s="142"/>
      <c r="NXH102" s="142"/>
      <c r="NXI102" s="142"/>
      <c r="NXJ102" s="142"/>
      <c r="NXK102" s="142"/>
      <c r="NXL102" s="142"/>
      <c r="NXM102" s="142"/>
      <c r="NXN102" s="142"/>
      <c r="NXO102" s="142"/>
      <c r="NXP102" s="142"/>
      <c r="NXQ102" s="142"/>
      <c r="NXR102" s="142"/>
      <c r="NXS102" s="142"/>
      <c r="NXT102" s="142"/>
      <c r="NXU102" s="142"/>
      <c r="NXV102" s="142"/>
      <c r="NXW102" s="142"/>
      <c r="NXX102" s="142"/>
      <c r="NXY102" s="142"/>
      <c r="NXZ102" s="142"/>
      <c r="NYA102" s="142"/>
      <c r="NYB102" s="142"/>
      <c r="NYC102" s="142"/>
      <c r="NYD102" s="142"/>
      <c r="NYE102" s="142"/>
      <c r="NYF102" s="142"/>
      <c r="NYG102" s="142"/>
      <c r="NYH102" s="142"/>
      <c r="NYI102" s="142"/>
      <c r="NYJ102" s="142"/>
      <c r="NYK102" s="142"/>
      <c r="NYL102" s="142"/>
      <c r="NYM102" s="142"/>
      <c r="NYN102" s="142"/>
      <c r="NYO102" s="142"/>
      <c r="NYP102" s="142"/>
      <c r="NYQ102" s="142"/>
      <c r="NYR102" s="142"/>
      <c r="NYS102" s="142"/>
      <c r="NYT102" s="142"/>
      <c r="NYU102" s="142"/>
      <c r="NYV102" s="142"/>
      <c r="NYW102" s="142"/>
      <c r="NYX102" s="142"/>
      <c r="NYY102" s="142"/>
      <c r="NYZ102" s="142"/>
      <c r="NZA102" s="142"/>
      <c r="NZB102" s="142"/>
      <c r="NZC102" s="142"/>
      <c r="NZD102" s="142"/>
      <c r="NZE102" s="142"/>
      <c r="NZF102" s="142"/>
      <c r="NZG102" s="142"/>
      <c r="NZH102" s="142"/>
      <c r="NZI102" s="142"/>
      <c r="NZJ102" s="142"/>
      <c r="NZK102" s="142"/>
      <c r="NZL102" s="142"/>
      <c r="NZM102" s="142"/>
      <c r="NZN102" s="142"/>
      <c r="NZO102" s="142"/>
      <c r="NZP102" s="142"/>
      <c r="NZQ102" s="142"/>
      <c r="NZR102" s="142"/>
      <c r="NZS102" s="142"/>
      <c r="NZT102" s="142"/>
      <c r="NZU102" s="142"/>
      <c r="NZV102" s="142"/>
      <c r="NZW102" s="142"/>
      <c r="NZX102" s="142"/>
      <c r="NZY102" s="142"/>
      <c r="NZZ102" s="142"/>
      <c r="OAA102" s="142"/>
      <c r="OAB102" s="142"/>
      <c r="OAC102" s="142"/>
      <c r="OAD102" s="142"/>
      <c r="OAE102" s="142"/>
      <c r="OAF102" s="142"/>
      <c r="OAG102" s="142"/>
      <c r="OAH102" s="142"/>
      <c r="OAI102" s="142"/>
      <c r="OAJ102" s="142"/>
      <c r="OAK102" s="142"/>
      <c r="OAL102" s="142"/>
      <c r="OAM102" s="142"/>
      <c r="OAN102" s="142"/>
      <c r="OAO102" s="142"/>
      <c r="OAP102" s="142"/>
      <c r="OAQ102" s="142"/>
      <c r="OAR102" s="142"/>
      <c r="OAS102" s="142"/>
      <c r="OAT102" s="142"/>
      <c r="OAU102" s="142"/>
      <c r="OAV102" s="142"/>
      <c r="OAW102" s="142"/>
      <c r="OAX102" s="142"/>
      <c r="OAY102" s="142"/>
      <c r="OAZ102" s="142"/>
      <c r="OBA102" s="142"/>
      <c r="OBB102" s="142"/>
      <c r="OBC102" s="142"/>
      <c r="OBD102" s="142"/>
      <c r="OBE102" s="142"/>
      <c r="OBF102" s="142"/>
      <c r="OBG102" s="142"/>
      <c r="OBH102" s="142"/>
      <c r="OBI102" s="142"/>
      <c r="OBJ102" s="142"/>
      <c r="OBK102" s="142"/>
      <c r="OBL102" s="142"/>
      <c r="OBM102" s="142"/>
      <c r="OBN102" s="142"/>
      <c r="OBO102" s="142"/>
      <c r="OBP102" s="142"/>
      <c r="OBQ102" s="142"/>
      <c r="OBR102" s="142"/>
      <c r="OBS102" s="142"/>
      <c r="OBT102" s="142"/>
      <c r="OBU102" s="142"/>
      <c r="OBV102" s="142"/>
      <c r="OBW102" s="142"/>
      <c r="OBX102" s="142"/>
      <c r="OBY102" s="142"/>
      <c r="OBZ102" s="142"/>
      <c r="OCA102" s="142"/>
      <c r="OCB102" s="142"/>
      <c r="OCC102" s="142"/>
      <c r="OCD102" s="142"/>
      <c r="OCE102" s="142"/>
      <c r="OCF102" s="142"/>
      <c r="OCG102" s="142"/>
      <c r="OCH102" s="142"/>
      <c r="OCI102" s="142"/>
      <c r="OCJ102" s="142"/>
      <c r="OCK102" s="142"/>
      <c r="OCL102" s="142"/>
      <c r="OCM102" s="142"/>
      <c r="OCN102" s="142"/>
      <c r="OCO102" s="142"/>
      <c r="OCP102" s="142"/>
      <c r="OCQ102" s="142"/>
      <c r="OCR102" s="142"/>
      <c r="OCS102" s="142"/>
      <c r="OCT102" s="142"/>
      <c r="OCU102" s="142"/>
      <c r="OCV102" s="142"/>
      <c r="OCW102" s="142"/>
      <c r="OCX102" s="142"/>
      <c r="OCY102" s="142"/>
      <c r="OCZ102" s="142"/>
      <c r="ODA102" s="142"/>
      <c r="ODB102" s="142"/>
      <c r="ODC102" s="142"/>
      <c r="ODD102" s="142"/>
      <c r="ODE102" s="142"/>
      <c r="ODF102" s="142"/>
      <c r="ODG102" s="142"/>
      <c r="ODH102" s="142"/>
      <c r="ODI102" s="142"/>
      <c r="ODJ102" s="142"/>
      <c r="ODK102" s="142"/>
      <c r="ODL102" s="142"/>
      <c r="ODM102" s="142"/>
      <c r="ODN102" s="142"/>
      <c r="ODO102" s="142"/>
      <c r="ODP102" s="142"/>
      <c r="ODQ102" s="142"/>
      <c r="ODR102" s="142"/>
      <c r="ODS102" s="142"/>
      <c r="ODT102" s="142"/>
      <c r="ODU102" s="142"/>
      <c r="ODV102" s="142"/>
      <c r="ODW102" s="142"/>
      <c r="ODX102" s="142"/>
      <c r="ODY102" s="142"/>
      <c r="ODZ102" s="142"/>
      <c r="OEA102" s="142"/>
      <c r="OEB102" s="142"/>
      <c r="OEC102" s="142"/>
      <c r="OED102" s="142"/>
      <c r="OEE102" s="142"/>
      <c r="OEF102" s="142"/>
      <c r="OEG102" s="142"/>
      <c r="OEH102" s="142"/>
      <c r="OEI102" s="142"/>
      <c r="OEJ102" s="142"/>
      <c r="OEK102" s="142"/>
      <c r="OEL102" s="142"/>
      <c r="OEM102" s="142"/>
      <c r="OEN102" s="142"/>
      <c r="OEO102" s="142"/>
      <c r="OEP102" s="142"/>
      <c r="OEQ102" s="142"/>
      <c r="OER102" s="142"/>
      <c r="OES102" s="142"/>
      <c r="OET102" s="142"/>
      <c r="OEU102" s="142"/>
      <c r="OEV102" s="142"/>
      <c r="OEW102" s="142"/>
      <c r="OEX102" s="142"/>
      <c r="OEY102" s="142"/>
      <c r="OEZ102" s="142"/>
      <c r="OFA102" s="142"/>
      <c r="OFB102" s="142"/>
      <c r="OFC102" s="142"/>
      <c r="OFD102" s="142"/>
      <c r="OFE102" s="142"/>
      <c r="OFF102" s="142"/>
      <c r="OFG102" s="142"/>
      <c r="OFH102" s="142"/>
      <c r="OFI102" s="142"/>
      <c r="OFJ102" s="142"/>
      <c r="OFK102" s="142"/>
      <c r="OFL102" s="142"/>
      <c r="OFM102" s="142"/>
      <c r="OFN102" s="142"/>
      <c r="OFO102" s="142"/>
      <c r="OFP102" s="142"/>
      <c r="OFQ102" s="142"/>
      <c r="OFR102" s="142"/>
      <c r="OFS102" s="142"/>
      <c r="OFT102" s="142"/>
      <c r="OFU102" s="142"/>
      <c r="OFV102" s="142"/>
      <c r="OFW102" s="142"/>
      <c r="OFX102" s="142"/>
      <c r="OFY102" s="142"/>
      <c r="OFZ102" s="142"/>
      <c r="OGA102" s="142"/>
      <c r="OGB102" s="142"/>
      <c r="OGC102" s="142"/>
      <c r="OGD102" s="142"/>
      <c r="OGE102" s="142"/>
      <c r="OGF102" s="142"/>
      <c r="OGG102" s="142"/>
      <c r="OGH102" s="142"/>
      <c r="OGI102" s="142"/>
      <c r="OGJ102" s="142"/>
      <c r="OGK102" s="142"/>
      <c r="OGL102" s="142"/>
      <c r="OGM102" s="142"/>
      <c r="OGN102" s="142"/>
      <c r="OGO102" s="142"/>
      <c r="OGP102" s="142"/>
      <c r="OGQ102" s="142"/>
      <c r="OGR102" s="142"/>
      <c r="OGS102" s="142"/>
      <c r="OGT102" s="142"/>
      <c r="OGU102" s="142"/>
      <c r="OGV102" s="142"/>
      <c r="OGW102" s="142"/>
      <c r="OGX102" s="142"/>
      <c r="OGY102" s="142"/>
      <c r="OGZ102" s="142"/>
      <c r="OHA102" s="142"/>
      <c r="OHB102" s="142"/>
      <c r="OHC102" s="142"/>
      <c r="OHD102" s="142"/>
      <c r="OHE102" s="142"/>
      <c r="OHF102" s="142"/>
      <c r="OHG102" s="142"/>
      <c r="OHH102" s="142"/>
      <c r="OHI102" s="142"/>
      <c r="OHJ102" s="142"/>
      <c r="OHK102" s="142"/>
      <c r="OHL102" s="142"/>
      <c r="OHM102" s="142"/>
      <c r="OHN102" s="142"/>
      <c r="OHO102" s="142"/>
      <c r="OHP102" s="142"/>
      <c r="OHQ102" s="142"/>
      <c r="OHR102" s="142"/>
      <c r="OHS102" s="142"/>
      <c r="OHT102" s="142"/>
      <c r="OHU102" s="142"/>
      <c r="OHV102" s="142"/>
      <c r="OHW102" s="142"/>
      <c r="OHX102" s="142"/>
      <c r="OHY102" s="142"/>
      <c r="OHZ102" s="142"/>
      <c r="OIA102" s="142"/>
      <c r="OIB102" s="142"/>
      <c r="OIC102" s="142"/>
      <c r="OID102" s="142"/>
      <c r="OIE102" s="142"/>
      <c r="OIF102" s="142"/>
      <c r="OIG102" s="142"/>
      <c r="OIH102" s="142"/>
      <c r="OII102" s="142"/>
      <c r="OIJ102" s="142"/>
      <c r="OIK102" s="142"/>
      <c r="OIL102" s="142"/>
      <c r="OIM102" s="142"/>
      <c r="OIN102" s="142"/>
      <c r="OIO102" s="142"/>
      <c r="OIP102" s="142"/>
      <c r="OIQ102" s="142"/>
      <c r="OIR102" s="142"/>
      <c r="OIS102" s="142"/>
      <c r="OIT102" s="142"/>
      <c r="OIU102" s="142"/>
      <c r="OIV102" s="142"/>
      <c r="OIW102" s="142"/>
      <c r="OIX102" s="142"/>
      <c r="OIY102" s="142"/>
      <c r="OIZ102" s="142"/>
      <c r="OJA102" s="142"/>
      <c r="OJB102" s="142"/>
      <c r="OJC102" s="142"/>
      <c r="OJD102" s="142"/>
      <c r="OJE102" s="142"/>
      <c r="OJF102" s="142"/>
      <c r="OJG102" s="142"/>
      <c r="OJH102" s="142"/>
      <c r="OJI102" s="142"/>
      <c r="OJJ102" s="142"/>
      <c r="OJK102" s="142"/>
      <c r="OJL102" s="142"/>
      <c r="OJM102" s="142"/>
      <c r="OJN102" s="142"/>
      <c r="OJO102" s="142"/>
      <c r="OJP102" s="142"/>
      <c r="OJQ102" s="142"/>
      <c r="OJR102" s="142"/>
      <c r="OJS102" s="142"/>
      <c r="OJT102" s="142"/>
      <c r="OJU102" s="142"/>
      <c r="OJV102" s="142"/>
      <c r="OJW102" s="142"/>
      <c r="OJX102" s="142"/>
      <c r="OJY102" s="142"/>
      <c r="OJZ102" s="142"/>
      <c r="OKA102" s="142"/>
      <c r="OKB102" s="142"/>
      <c r="OKC102" s="142"/>
      <c r="OKD102" s="142"/>
      <c r="OKE102" s="142"/>
      <c r="OKF102" s="142"/>
      <c r="OKG102" s="142"/>
      <c r="OKH102" s="142"/>
      <c r="OKI102" s="142"/>
      <c r="OKJ102" s="142"/>
      <c r="OKK102" s="142"/>
      <c r="OKL102" s="142"/>
      <c r="OKM102" s="142"/>
      <c r="OKN102" s="142"/>
      <c r="OKO102" s="142"/>
      <c r="OKP102" s="142"/>
      <c r="OKQ102" s="142"/>
      <c r="OKR102" s="142"/>
      <c r="OKS102" s="142"/>
      <c r="OKT102" s="142"/>
      <c r="OKU102" s="142"/>
      <c r="OKV102" s="142"/>
      <c r="OKW102" s="142"/>
      <c r="OKX102" s="142"/>
      <c r="OKY102" s="142"/>
      <c r="OKZ102" s="142"/>
      <c r="OLA102" s="142"/>
      <c r="OLB102" s="142"/>
      <c r="OLC102" s="142"/>
      <c r="OLD102" s="142"/>
      <c r="OLE102" s="142"/>
      <c r="OLF102" s="142"/>
      <c r="OLG102" s="142"/>
      <c r="OLH102" s="142"/>
      <c r="OLI102" s="142"/>
      <c r="OLJ102" s="142"/>
      <c r="OLK102" s="142"/>
      <c r="OLL102" s="142"/>
      <c r="OLM102" s="142"/>
      <c r="OLN102" s="142"/>
      <c r="OLO102" s="142"/>
      <c r="OLP102" s="142"/>
      <c r="OLQ102" s="142"/>
      <c r="OLR102" s="142"/>
      <c r="OLS102" s="142"/>
      <c r="OLT102" s="142"/>
      <c r="OLU102" s="142"/>
      <c r="OLV102" s="142"/>
      <c r="OLW102" s="142"/>
      <c r="OLX102" s="142"/>
      <c r="OLY102" s="142"/>
      <c r="OLZ102" s="142"/>
      <c r="OMA102" s="142"/>
      <c r="OMB102" s="142"/>
      <c r="OMC102" s="142"/>
      <c r="OMD102" s="142"/>
      <c r="OME102" s="142"/>
      <c r="OMF102" s="142"/>
      <c r="OMG102" s="142"/>
      <c r="OMH102" s="142"/>
      <c r="OMI102" s="142"/>
      <c r="OMJ102" s="142"/>
      <c r="OMK102" s="142"/>
      <c r="OML102" s="142"/>
      <c r="OMM102" s="142"/>
      <c r="OMN102" s="142"/>
      <c r="OMO102" s="142"/>
      <c r="OMP102" s="142"/>
      <c r="OMQ102" s="142"/>
      <c r="OMR102" s="142"/>
      <c r="OMS102" s="142"/>
      <c r="OMT102" s="142"/>
      <c r="OMU102" s="142"/>
      <c r="OMV102" s="142"/>
      <c r="OMW102" s="142"/>
      <c r="OMX102" s="142"/>
      <c r="OMY102" s="142"/>
      <c r="OMZ102" s="142"/>
      <c r="ONA102" s="142"/>
      <c r="ONB102" s="142"/>
      <c r="ONC102" s="142"/>
      <c r="OND102" s="142"/>
      <c r="ONE102" s="142"/>
      <c r="ONF102" s="142"/>
      <c r="ONG102" s="142"/>
      <c r="ONH102" s="142"/>
      <c r="ONI102" s="142"/>
      <c r="ONJ102" s="142"/>
      <c r="ONK102" s="142"/>
      <c r="ONL102" s="142"/>
      <c r="ONM102" s="142"/>
      <c r="ONN102" s="142"/>
      <c r="ONO102" s="142"/>
      <c r="ONP102" s="142"/>
      <c r="ONQ102" s="142"/>
      <c r="ONR102" s="142"/>
      <c r="ONS102" s="142"/>
      <c r="ONT102" s="142"/>
      <c r="ONU102" s="142"/>
      <c r="ONV102" s="142"/>
      <c r="ONW102" s="142"/>
      <c r="ONX102" s="142"/>
      <c r="ONY102" s="142"/>
      <c r="ONZ102" s="142"/>
      <c r="OOA102" s="142"/>
      <c r="OOB102" s="142"/>
      <c r="OOC102" s="142"/>
      <c r="OOD102" s="142"/>
      <c r="OOE102" s="142"/>
      <c r="OOF102" s="142"/>
      <c r="OOG102" s="142"/>
      <c r="OOH102" s="142"/>
      <c r="OOI102" s="142"/>
      <c r="OOJ102" s="142"/>
      <c r="OOK102" s="142"/>
      <c r="OOL102" s="142"/>
      <c r="OOM102" s="142"/>
      <c r="OON102" s="142"/>
      <c r="OOO102" s="142"/>
      <c r="OOP102" s="142"/>
      <c r="OOQ102" s="142"/>
      <c r="OOR102" s="142"/>
      <c r="OOS102" s="142"/>
      <c r="OOT102" s="142"/>
      <c r="OOU102" s="142"/>
      <c r="OOV102" s="142"/>
      <c r="OOW102" s="142"/>
      <c r="OOX102" s="142"/>
      <c r="OOY102" s="142"/>
      <c r="OOZ102" s="142"/>
      <c r="OPA102" s="142"/>
      <c r="OPB102" s="142"/>
      <c r="OPC102" s="142"/>
      <c r="OPD102" s="142"/>
      <c r="OPE102" s="142"/>
      <c r="OPF102" s="142"/>
      <c r="OPG102" s="142"/>
      <c r="OPH102" s="142"/>
      <c r="OPI102" s="142"/>
      <c r="OPJ102" s="142"/>
      <c r="OPK102" s="142"/>
      <c r="OPL102" s="142"/>
      <c r="OPM102" s="142"/>
      <c r="OPN102" s="142"/>
      <c r="OPO102" s="142"/>
      <c r="OPP102" s="142"/>
      <c r="OPQ102" s="142"/>
      <c r="OPR102" s="142"/>
      <c r="OPS102" s="142"/>
      <c r="OPT102" s="142"/>
      <c r="OPU102" s="142"/>
      <c r="OPV102" s="142"/>
      <c r="OPW102" s="142"/>
      <c r="OPX102" s="142"/>
      <c r="OPY102" s="142"/>
      <c r="OPZ102" s="142"/>
      <c r="OQA102" s="142"/>
      <c r="OQB102" s="142"/>
      <c r="OQC102" s="142"/>
      <c r="OQD102" s="142"/>
      <c r="OQE102" s="142"/>
      <c r="OQF102" s="142"/>
      <c r="OQG102" s="142"/>
      <c r="OQH102" s="142"/>
      <c r="OQI102" s="142"/>
      <c r="OQJ102" s="142"/>
      <c r="OQK102" s="142"/>
      <c r="OQL102" s="142"/>
      <c r="OQM102" s="142"/>
      <c r="OQN102" s="142"/>
      <c r="OQO102" s="142"/>
      <c r="OQP102" s="142"/>
      <c r="OQQ102" s="142"/>
      <c r="OQR102" s="142"/>
      <c r="OQS102" s="142"/>
      <c r="OQT102" s="142"/>
      <c r="OQU102" s="142"/>
      <c r="OQV102" s="142"/>
      <c r="OQW102" s="142"/>
      <c r="OQX102" s="142"/>
      <c r="OQY102" s="142"/>
      <c r="OQZ102" s="142"/>
      <c r="ORA102" s="142"/>
      <c r="ORB102" s="142"/>
      <c r="ORC102" s="142"/>
      <c r="ORD102" s="142"/>
      <c r="ORE102" s="142"/>
      <c r="ORF102" s="142"/>
      <c r="ORG102" s="142"/>
      <c r="ORH102" s="142"/>
      <c r="ORI102" s="142"/>
      <c r="ORJ102" s="142"/>
      <c r="ORK102" s="142"/>
      <c r="ORL102" s="142"/>
      <c r="ORM102" s="142"/>
      <c r="ORN102" s="142"/>
      <c r="ORO102" s="142"/>
      <c r="ORP102" s="142"/>
      <c r="ORQ102" s="142"/>
      <c r="ORR102" s="142"/>
      <c r="ORS102" s="142"/>
      <c r="ORT102" s="142"/>
      <c r="ORU102" s="142"/>
      <c r="ORV102" s="142"/>
      <c r="ORW102" s="142"/>
      <c r="ORX102" s="142"/>
      <c r="ORY102" s="142"/>
      <c r="ORZ102" s="142"/>
      <c r="OSA102" s="142"/>
      <c r="OSB102" s="142"/>
      <c r="OSC102" s="142"/>
      <c r="OSD102" s="142"/>
      <c r="OSE102" s="142"/>
      <c r="OSF102" s="142"/>
      <c r="OSG102" s="142"/>
      <c r="OSH102" s="142"/>
      <c r="OSI102" s="142"/>
      <c r="OSJ102" s="142"/>
      <c r="OSK102" s="142"/>
      <c r="OSL102" s="142"/>
      <c r="OSM102" s="142"/>
      <c r="OSN102" s="142"/>
      <c r="OSO102" s="142"/>
      <c r="OSP102" s="142"/>
      <c r="OSQ102" s="142"/>
      <c r="OSR102" s="142"/>
      <c r="OSS102" s="142"/>
      <c r="OST102" s="142"/>
      <c r="OSU102" s="142"/>
      <c r="OSV102" s="142"/>
      <c r="OSW102" s="142"/>
      <c r="OSX102" s="142"/>
      <c r="OSY102" s="142"/>
      <c r="OSZ102" s="142"/>
      <c r="OTA102" s="142"/>
      <c r="OTB102" s="142"/>
      <c r="OTC102" s="142"/>
      <c r="OTD102" s="142"/>
      <c r="OTE102" s="142"/>
      <c r="OTF102" s="142"/>
      <c r="OTG102" s="142"/>
      <c r="OTH102" s="142"/>
      <c r="OTI102" s="142"/>
      <c r="OTJ102" s="142"/>
      <c r="OTK102" s="142"/>
      <c r="OTL102" s="142"/>
      <c r="OTM102" s="142"/>
      <c r="OTN102" s="142"/>
      <c r="OTO102" s="142"/>
      <c r="OTP102" s="142"/>
      <c r="OTQ102" s="142"/>
      <c r="OTR102" s="142"/>
      <c r="OTS102" s="142"/>
      <c r="OTT102" s="142"/>
      <c r="OTU102" s="142"/>
      <c r="OTV102" s="142"/>
      <c r="OTW102" s="142"/>
      <c r="OTX102" s="142"/>
      <c r="OTY102" s="142"/>
      <c r="OTZ102" s="142"/>
      <c r="OUA102" s="142"/>
      <c r="OUB102" s="142"/>
      <c r="OUC102" s="142"/>
      <c r="OUD102" s="142"/>
      <c r="OUE102" s="142"/>
      <c r="OUF102" s="142"/>
      <c r="OUG102" s="142"/>
      <c r="OUH102" s="142"/>
      <c r="OUI102" s="142"/>
      <c r="OUJ102" s="142"/>
      <c r="OUK102" s="142"/>
      <c r="OUL102" s="142"/>
      <c r="OUM102" s="142"/>
      <c r="OUN102" s="142"/>
      <c r="OUO102" s="142"/>
      <c r="OUP102" s="142"/>
      <c r="OUQ102" s="142"/>
      <c r="OUR102" s="142"/>
      <c r="OUS102" s="142"/>
      <c r="OUT102" s="142"/>
      <c r="OUU102" s="142"/>
      <c r="OUV102" s="142"/>
      <c r="OUW102" s="142"/>
      <c r="OUX102" s="142"/>
      <c r="OUY102" s="142"/>
      <c r="OUZ102" s="142"/>
      <c r="OVA102" s="142"/>
      <c r="OVB102" s="142"/>
      <c r="OVC102" s="142"/>
      <c r="OVD102" s="142"/>
      <c r="OVE102" s="142"/>
      <c r="OVF102" s="142"/>
      <c r="OVG102" s="142"/>
      <c r="OVH102" s="142"/>
      <c r="OVI102" s="142"/>
      <c r="OVJ102" s="142"/>
      <c r="OVK102" s="142"/>
      <c r="OVL102" s="142"/>
      <c r="OVM102" s="142"/>
      <c r="OVN102" s="142"/>
      <c r="OVO102" s="142"/>
      <c r="OVP102" s="142"/>
      <c r="OVQ102" s="142"/>
      <c r="OVR102" s="142"/>
      <c r="OVS102" s="142"/>
      <c r="OVT102" s="142"/>
      <c r="OVU102" s="142"/>
      <c r="OVV102" s="142"/>
      <c r="OVW102" s="142"/>
      <c r="OVX102" s="142"/>
      <c r="OVY102" s="142"/>
      <c r="OVZ102" s="142"/>
      <c r="OWA102" s="142"/>
      <c r="OWB102" s="142"/>
      <c r="OWC102" s="142"/>
      <c r="OWD102" s="142"/>
      <c r="OWE102" s="142"/>
      <c r="OWF102" s="142"/>
      <c r="OWG102" s="142"/>
      <c r="OWH102" s="142"/>
      <c r="OWI102" s="142"/>
      <c r="OWJ102" s="142"/>
      <c r="OWK102" s="142"/>
      <c r="OWL102" s="142"/>
      <c r="OWM102" s="142"/>
      <c r="OWN102" s="142"/>
      <c r="OWO102" s="142"/>
      <c r="OWP102" s="142"/>
      <c r="OWQ102" s="142"/>
      <c r="OWR102" s="142"/>
      <c r="OWS102" s="142"/>
      <c r="OWT102" s="142"/>
      <c r="OWU102" s="142"/>
      <c r="OWV102" s="142"/>
      <c r="OWW102" s="142"/>
      <c r="OWX102" s="142"/>
      <c r="OWY102" s="142"/>
      <c r="OWZ102" s="142"/>
      <c r="OXA102" s="142"/>
      <c r="OXB102" s="142"/>
      <c r="OXC102" s="142"/>
      <c r="OXD102" s="142"/>
      <c r="OXE102" s="142"/>
      <c r="OXF102" s="142"/>
      <c r="OXG102" s="142"/>
      <c r="OXH102" s="142"/>
      <c r="OXI102" s="142"/>
      <c r="OXJ102" s="142"/>
      <c r="OXK102" s="142"/>
      <c r="OXL102" s="142"/>
      <c r="OXM102" s="142"/>
      <c r="OXN102" s="142"/>
      <c r="OXO102" s="142"/>
      <c r="OXP102" s="142"/>
      <c r="OXQ102" s="142"/>
      <c r="OXR102" s="142"/>
      <c r="OXS102" s="142"/>
      <c r="OXT102" s="142"/>
      <c r="OXU102" s="142"/>
      <c r="OXV102" s="142"/>
      <c r="OXW102" s="142"/>
      <c r="OXX102" s="142"/>
      <c r="OXY102" s="142"/>
      <c r="OXZ102" s="142"/>
      <c r="OYA102" s="142"/>
      <c r="OYB102" s="142"/>
      <c r="OYC102" s="142"/>
      <c r="OYD102" s="142"/>
      <c r="OYE102" s="142"/>
      <c r="OYF102" s="142"/>
      <c r="OYG102" s="142"/>
      <c r="OYH102" s="142"/>
      <c r="OYI102" s="142"/>
      <c r="OYJ102" s="142"/>
      <c r="OYK102" s="142"/>
      <c r="OYL102" s="142"/>
      <c r="OYM102" s="142"/>
      <c r="OYN102" s="142"/>
      <c r="OYO102" s="142"/>
      <c r="OYP102" s="142"/>
      <c r="OYQ102" s="142"/>
      <c r="OYR102" s="142"/>
      <c r="OYS102" s="142"/>
      <c r="OYT102" s="142"/>
      <c r="OYU102" s="142"/>
      <c r="OYV102" s="142"/>
      <c r="OYW102" s="142"/>
      <c r="OYX102" s="142"/>
      <c r="OYY102" s="142"/>
      <c r="OYZ102" s="142"/>
      <c r="OZA102" s="142"/>
      <c r="OZB102" s="142"/>
      <c r="OZC102" s="142"/>
      <c r="OZD102" s="142"/>
      <c r="OZE102" s="142"/>
      <c r="OZF102" s="142"/>
      <c r="OZG102" s="142"/>
      <c r="OZH102" s="142"/>
      <c r="OZI102" s="142"/>
      <c r="OZJ102" s="142"/>
      <c r="OZK102" s="142"/>
      <c r="OZL102" s="142"/>
      <c r="OZM102" s="142"/>
      <c r="OZN102" s="142"/>
      <c r="OZO102" s="142"/>
      <c r="OZP102" s="142"/>
      <c r="OZQ102" s="142"/>
      <c r="OZR102" s="142"/>
      <c r="OZS102" s="142"/>
      <c r="OZT102" s="142"/>
      <c r="OZU102" s="142"/>
      <c r="OZV102" s="142"/>
      <c r="OZW102" s="142"/>
      <c r="OZX102" s="142"/>
      <c r="OZY102" s="142"/>
      <c r="OZZ102" s="142"/>
      <c r="PAA102" s="142"/>
      <c r="PAB102" s="142"/>
      <c r="PAC102" s="142"/>
      <c r="PAD102" s="142"/>
      <c r="PAE102" s="142"/>
      <c r="PAF102" s="142"/>
      <c r="PAG102" s="142"/>
      <c r="PAH102" s="142"/>
      <c r="PAI102" s="142"/>
      <c r="PAJ102" s="142"/>
      <c r="PAK102" s="142"/>
      <c r="PAL102" s="142"/>
      <c r="PAM102" s="142"/>
      <c r="PAN102" s="142"/>
      <c r="PAO102" s="142"/>
      <c r="PAP102" s="142"/>
      <c r="PAQ102" s="142"/>
      <c r="PAR102" s="142"/>
      <c r="PAS102" s="142"/>
      <c r="PAT102" s="142"/>
      <c r="PAU102" s="142"/>
      <c r="PAV102" s="142"/>
      <c r="PAW102" s="142"/>
      <c r="PAX102" s="142"/>
      <c r="PAY102" s="142"/>
      <c r="PAZ102" s="142"/>
      <c r="PBA102" s="142"/>
      <c r="PBB102" s="142"/>
      <c r="PBC102" s="142"/>
      <c r="PBD102" s="142"/>
      <c r="PBE102" s="142"/>
      <c r="PBF102" s="142"/>
      <c r="PBG102" s="142"/>
      <c r="PBH102" s="142"/>
      <c r="PBI102" s="142"/>
      <c r="PBJ102" s="142"/>
      <c r="PBK102" s="142"/>
      <c r="PBL102" s="142"/>
      <c r="PBM102" s="142"/>
      <c r="PBN102" s="142"/>
      <c r="PBO102" s="142"/>
      <c r="PBP102" s="142"/>
      <c r="PBQ102" s="142"/>
      <c r="PBR102" s="142"/>
      <c r="PBS102" s="142"/>
      <c r="PBT102" s="142"/>
      <c r="PBU102" s="142"/>
      <c r="PBV102" s="142"/>
      <c r="PBW102" s="142"/>
      <c r="PBX102" s="142"/>
      <c r="PBY102" s="142"/>
      <c r="PBZ102" s="142"/>
      <c r="PCA102" s="142"/>
      <c r="PCB102" s="142"/>
      <c r="PCC102" s="142"/>
      <c r="PCD102" s="142"/>
      <c r="PCE102" s="142"/>
      <c r="PCF102" s="142"/>
      <c r="PCG102" s="142"/>
      <c r="PCH102" s="142"/>
      <c r="PCI102" s="142"/>
      <c r="PCJ102" s="142"/>
      <c r="PCK102" s="142"/>
      <c r="PCL102" s="142"/>
      <c r="PCM102" s="142"/>
      <c r="PCN102" s="142"/>
      <c r="PCO102" s="142"/>
      <c r="PCP102" s="142"/>
      <c r="PCQ102" s="142"/>
      <c r="PCR102" s="142"/>
      <c r="PCS102" s="142"/>
      <c r="PCT102" s="142"/>
      <c r="PCU102" s="142"/>
      <c r="PCV102" s="142"/>
      <c r="PCW102" s="142"/>
      <c r="PCX102" s="142"/>
      <c r="PCY102" s="142"/>
      <c r="PCZ102" s="142"/>
      <c r="PDA102" s="142"/>
      <c r="PDB102" s="142"/>
      <c r="PDC102" s="142"/>
      <c r="PDD102" s="142"/>
      <c r="PDE102" s="142"/>
      <c r="PDF102" s="142"/>
      <c r="PDG102" s="142"/>
      <c r="PDH102" s="142"/>
      <c r="PDI102" s="142"/>
      <c r="PDJ102" s="142"/>
      <c r="PDK102" s="142"/>
      <c r="PDL102" s="142"/>
      <c r="PDM102" s="142"/>
      <c r="PDN102" s="142"/>
      <c r="PDO102" s="142"/>
      <c r="PDP102" s="142"/>
      <c r="PDQ102" s="142"/>
      <c r="PDR102" s="142"/>
      <c r="PDS102" s="142"/>
      <c r="PDT102" s="142"/>
      <c r="PDU102" s="142"/>
      <c r="PDV102" s="142"/>
      <c r="PDW102" s="142"/>
      <c r="PDX102" s="142"/>
      <c r="PDY102" s="142"/>
      <c r="PDZ102" s="142"/>
      <c r="PEA102" s="142"/>
      <c r="PEB102" s="142"/>
      <c r="PEC102" s="142"/>
      <c r="PED102" s="142"/>
      <c r="PEE102" s="142"/>
      <c r="PEF102" s="142"/>
      <c r="PEG102" s="142"/>
      <c r="PEH102" s="142"/>
      <c r="PEI102" s="142"/>
      <c r="PEJ102" s="142"/>
      <c r="PEK102" s="142"/>
      <c r="PEL102" s="142"/>
      <c r="PEM102" s="142"/>
      <c r="PEN102" s="142"/>
      <c r="PEO102" s="142"/>
      <c r="PEP102" s="142"/>
      <c r="PEQ102" s="142"/>
      <c r="PER102" s="142"/>
      <c r="PES102" s="142"/>
      <c r="PET102" s="142"/>
      <c r="PEU102" s="142"/>
      <c r="PEV102" s="142"/>
      <c r="PEW102" s="142"/>
      <c r="PEX102" s="142"/>
      <c r="PEY102" s="142"/>
      <c r="PEZ102" s="142"/>
      <c r="PFA102" s="142"/>
      <c r="PFB102" s="142"/>
      <c r="PFC102" s="142"/>
      <c r="PFD102" s="142"/>
      <c r="PFE102" s="142"/>
      <c r="PFF102" s="142"/>
      <c r="PFG102" s="142"/>
      <c r="PFH102" s="142"/>
      <c r="PFI102" s="142"/>
      <c r="PFJ102" s="142"/>
      <c r="PFK102" s="142"/>
      <c r="PFL102" s="142"/>
      <c r="PFM102" s="142"/>
      <c r="PFN102" s="142"/>
      <c r="PFO102" s="142"/>
      <c r="PFP102" s="142"/>
      <c r="PFQ102" s="142"/>
      <c r="PFR102" s="142"/>
      <c r="PFS102" s="142"/>
      <c r="PFT102" s="142"/>
      <c r="PFU102" s="142"/>
      <c r="PFV102" s="142"/>
      <c r="PFW102" s="142"/>
      <c r="PFX102" s="142"/>
      <c r="PFY102" s="142"/>
      <c r="PFZ102" s="142"/>
      <c r="PGA102" s="142"/>
      <c r="PGB102" s="142"/>
      <c r="PGC102" s="142"/>
      <c r="PGD102" s="142"/>
      <c r="PGE102" s="142"/>
      <c r="PGF102" s="142"/>
      <c r="PGG102" s="142"/>
      <c r="PGH102" s="142"/>
      <c r="PGI102" s="142"/>
      <c r="PGJ102" s="142"/>
      <c r="PGK102" s="142"/>
      <c r="PGL102" s="142"/>
      <c r="PGM102" s="142"/>
      <c r="PGN102" s="142"/>
      <c r="PGO102" s="142"/>
      <c r="PGP102" s="142"/>
      <c r="PGQ102" s="142"/>
      <c r="PGR102" s="142"/>
      <c r="PGS102" s="142"/>
      <c r="PGT102" s="142"/>
      <c r="PGU102" s="142"/>
      <c r="PGV102" s="142"/>
      <c r="PGW102" s="142"/>
      <c r="PGX102" s="142"/>
      <c r="PGY102" s="142"/>
      <c r="PGZ102" s="142"/>
      <c r="PHA102" s="142"/>
      <c r="PHB102" s="142"/>
      <c r="PHC102" s="142"/>
      <c r="PHD102" s="142"/>
      <c r="PHE102" s="142"/>
      <c r="PHF102" s="142"/>
      <c r="PHG102" s="142"/>
      <c r="PHH102" s="142"/>
      <c r="PHI102" s="142"/>
      <c r="PHJ102" s="142"/>
      <c r="PHK102" s="142"/>
      <c r="PHL102" s="142"/>
      <c r="PHM102" s="142"/>
      <c r="PHN102" s="142"/>
      <c r="PHO102" s="142"/>
      <c r="PHP102" s="142"/>
      <c r="PHQ102" s="142"/>
      <c r="PHR102" s="142"/>
      <c r="PHS102" s="142"/>
      <c r="PHT102" s="142"/>
      <c r="PHU102" s="142"/>
      <c r="PHV102" s="142"/>
      <c r="PHW102" s="142"/>
      <c r="PHX102" s="142"/>
      <c r="PHY102" s="142"/>
      <c r="PHZ102" s="142"/>
      <c r="PIA102" s="142"/>
      <c r="PIB102" s="142"/>
      <c r="PIC102" s="142"/>
      <c r="PID102" s="142"/>
      <c r="PIE102" s="142"/>
      <c r="PIF102" s="142"/>
      <c r="PIG102" s="142"/>
      <c r="PIH102" s="142"/>
      <c r="PII102" s="142"/>
      <c r="PIJ102" s="142"/>
      <c r="PIK102" s="142"/>
      <c r="PIL102" s="142"/>
      <c r="PIM102" s="142"/>
      <c r="PIN102" s="142"/>
      <c r="PIO102" s="142"/>
      <c r="PIP102" s="142"/>
      <c r="PIQ102" s="142"/>
      <c r="PIR102" s="142"/>
      <c r="PIS102" s="142"/>
      <c r="PIT102" s="142"/>
      <c r="PIU102" s="142"/>
      <c r="PIV102" s="142"/>
      <c r="PIW102" s="142"/>
      <c r="PIX102" s="142"/>
      <c r="PIY102" s="142"/>
      <c r="PIZ102" s="142"/>
      <c r="PJA102" s="142"/>
      <c r="PJB102" s="142"/>
      <c r="PJC102" s="142"/>
      <c r="PJD102" s="142"/>
      <c r="PJE102" s="142"/>
      <c r="PJF102" s="142"/>
      <c r="PJG102" s="142"/>
      <c r="PJH102" s="142"/>
      <c r="PJI102" s="142"/>
      <c r="PJJ102" s="142"/>
      <c r="PJK102" s="142"/>
      <c r="PJL102" s="142"/>
      <c r="PJM102" s="142"/>
      <c r="PJN102" s="142"/>
      <c r="PJO102" s="142"/>
      <c r="PJP102" s="142"/>
      <c r="PJQ102" s="142"/>
      <c r="PJR102" s="142"/>
      <c r="PJS102" s="142"/>
      <c r="PJT102" s="142"/>
      <c r="PJU102" s="142"/>
      <c r="PJV102" s="142"/>
      <c r="PJW102" s="142"/>
      <c r="PJX102" s="142"/>
      <c r="PJY102" s="142"/>
      <c r="PJZ102" s="142"/>
      <c r="PKA102" s="142"/>
      <c r="PKB102" s="142"/>
      <c r="PKC102" s="142"/>
      <c r="PKD102" s="142"/>
      <c r="PKE102" s="142"/>
      <c r="PKF102" s="142"/>
      <c r="PKG102" s="142"/>
      <c r="PKH102" s="142"/>
      <c r="PKI102" s="142"/>
      <c r="PKJ102" s="142"/>
      <c r="PKK102" s="142"/>
      <c r="PKL102" s="142"/>
      <c r="PKM102" s="142"/>
      <c r="PKN102" s="142"/>
      <c r="PKO102" s="142"/>
      <c r="PKP102" s="142"/>
      <c r="PKQ102" s="142"/>
      <c r="PKR102" s="142"/>
      <c r="PKS102" s="142"/>
      <c r="PKT102" s="142"/>
      <c r="PKU102" s="142"/>
      <c r="PKV102" s="142"/>
      <c r="PKW102" s="142"/>
      <c r="PKX102" s="142"/>
      <c r="PKY102" s="142"/>
      <c r="PKZ102" s="142"/>
      <c r="PLA102" s="142"/>
      <c r="PLB102" s="142"/>
      <c r="PLC102" s="142"/>
      <c r="PLD102" s="142"/>
      <c r="PLE102" s="142"/>
      <c r="PLF102" s="142"/>
      <c r="PLG102" s="142"/>
      <c r="PLH102" s="142"/>
      <c r="PLI102" s="142"/>
      <c r="PLJ102" s="142"/>
      <c r="PLK102" s="142"/>
      <c r="PLL102" s="142"/>
      <c r="PLM102" s="142"/>
      <c r="PLN102" s="142"/>
      <c r="PLO102" s="142"/>
      <c r="PLP102" s="142"/>
      <c r="PLQ102" s="142"/>
      <c r="PLR102" s="142"/>
      <c r="PLS102" s="142"/>
      <c r="PLT102" s="142"/>
      <c r="PLU102" s="142"/>
      <c r="PLV102" s="142"/>
      <c r="PLW102" s="142"/>
      <c r="PLX102" s="142"/>
      <c r="PLY102" s="142"/>
      <c r="PLZ102" s="142"/>
      <c r="PMA102" s="142"/>
      <c r="PMB102" s="142"/>
      <c r="PMC102" s="142"/>
      <c r="PMD102" s="142"/>
      <c r="PME102" s="142"/>
      <c r="PMF102" s="142"/>
      <c r="PMG102" s="142"/>
      <c r="PMH102" s="142"/>
      <c r="PMI102" s="142"/>
      <c r="PMJ102" s="142"/>
      <c r="PMK102" s="142"/>
      <c r="PML102" s="142"/>
      <c r="PMM102" s="142"/>
      <c r="PMN102" s="142"/>
      <c r="PMO102" s="142"/>
      <c r="PMP102" s="142"/>
      <c r="PMQ102" s="142"/>
      <c r="PMR102" s="142"/>
      <c r="PMS102" s="142"/>
      <c r="PMT102" s="142"/>
      <c r="PMU102" s="142"/>
      <c r="PMV102" s="142"/>
      <c r="PMW102" s="142"/>
      <c r="PMX102" s="142"/>
      <c r="PMY102" s="142"/>
      <c r="PMZ102" s="142"/>
      <c r="PNA102" s="142"/>
      <c r="PNB102" s="142"/>
      <c r="PNC102" s="142"/>
      <c r="PND102" s="142"/>
      <c r="PNE102" s="142"/>
      <c r="PNF102" s="142"/>
      <c r="PNG102" s="142"/>
      <c r="PNH102" s="142"/>
      <c r="PNI102" s="142"/>
      <c r="PNJ102" s="142"/>
      <c r="PNK102" s="142"/>
      <c r="PNL102" s="142"/>
      <c r="PNM102" s="142"/>
      <c r="PNN102" s="142"/>
      <c r="PNO102" s="142"/>
      <c r="PNP102" s="142"/>
      <c r="PNQ102" s="142"/>
      <c r="PNR102" s="142"/>
      <c r="PNS102" s="142"/>
      <c r="PNT102" s="142"/>
      <c r="PNU102" s="142"/>
      <c r="PNV102" s="142"/>
      <c r="PNW102" s="142"/>
      <c r="PNX102" s="142"/>
      <c r="PNY102" s="142"/>
      <c r="PNZ102" s="142"/>
      <c r="POA102" s="142"/>
      <c r="POB102" s="142"/>
      <c r="POC102" s="142"/>
      <c r="POD102" s="142"/>
      <c r="POE102" s="142"/>
      <c r="POF102" s="142"/>
      <c r="POG102" s="142"/>
      <c r="POH102" s="142"/>
      <c r="POI102" s="142"/>
      <c r="POJ102" s="142"/>
      <c r="POK102" s="142"/>
      <c r="POL102" s="142"/>
      <c r="POM102" s="142"/>
      <c r="PON102" s="142"/>
      <c r="POO102" s="142"/>
      <c r="POP102" s="142"/>
      <c r="POQ102" s="142"/>
      <c r="POR102" s="142"/>
      <c r="POS102" s="142"/>
      <c r="POT102" s="142"/>
      <c r="POU102" s="142"/>
      <c r="POV102" s="142"/>
      <c r="POW102" s="142"/>
      <c r="POX102" s="142"/>
      <c r="POY102" s="142"/>
      <c r="POZ102" s="142"/>
      <c r="PPA102" s="142"/>
      <c r="PPB102" s="142"/>
      <c r="PPC102" s="142"/>
      <c r="PPD102" s="142"/>
      <c r="PPE102" s="142"/>
      <c r="PPF102" s="142"/>
      <c r="PPG102" s="142"/>
      <c r="PPH102" s="142"/>
      <c r="PPI102" s="142"/>
      <c r="PPJ102" s="142"/>
      <c r="PPK102" s="142"/>
      <c r="PPL102" s="142"/>
      <c r="PPM102" s="142"/>
      <c r="PPN102" s="142"/>
      <c r="PPO102" s="142"/>
      <c r="PPP102" s="142"/>
      <c r="PPQ102" s="142"/>
      <c r="PPR102" s="142"/>
      <c r="PPS102" s="142"/>
      <c r="PPT102" s="142"/>
      <c r="PPU102" s="142"/>
      <c r="PPV102" s="142"/>
      <c r="PPW102" s="142"/>
      <c r="PPX102" s="142"/>
      <c r="PPY102" s="142"/>
      <c r="PPZ102" s="142"/>
      <c r="PQA102" s="142"/>
      <c r="PQB102" s="142"/>
      <c r="PQC102" s="142"/>
      <c r="PQD102" s="142"/>
      <c r="PQE102" s="142"/>
      <c r="PQF102" s="142"/>
      <c r="PQG102" s="142"/>
      <c r="PQH102" s="142"/>
      <c r="PQI102" s="142"/>
      <c r="PQJ102" s="142"/>
      <c r="PQK102" s="142"/>
      <c r="PQL102" s="142"/>
      <c r="PQM102" s="142"/>
      <c r="PQN102" s="142"/>
      <c r="PQO102" s="142"/>
      <c r="PQP102" s="142"/>
      <c r="PQQ102" s="142"/>
      <c r="PQR102" s="142"/>
      <c r="PQS102" s="142"/>
      <c r="PQT102" s="142"/>
      <c r="PQU102" s="142"/>
      <c r="PQV102" s="142"/>
      <c r="PQW102" s="142"/>
      <c r="PQX102" s="142"/>
      <c r="PQY102" s="142"/>
      <c r="PQZ102" s="142"/>
      <c r="PRA102" s="142"/>
      <c r="PRB102" s="142"/>
      <c r="PRC102" s="142"/>
      <c r="PRD102" s="142"/>
      <c r="PRE102" s="142"/>
      <c r="PRF102" s="142"/>
      <c r="PRG102" s="142"/>
      <c r="PRH102" s="142"/>
      <c r="PRI102" s="142"/>
      <c r="PRJ102" s="142"/>
      <c r="PRK102" s="142"/>
      <c r="PRL102" s="142"/>
      <c r="PRM102" s="142"/>
      <c r="PRN102" s="142"/>
      <c r="PRO102" s="142"/>
      <c r="PRP102" s="142"/>
      <c r="PRQ102" s="142"/>
      <c r="PRR102" s="142"/>
      <c r="PRS102" s="142"/>
      <c r="PRT102" s="142"/>
      <c r="PRU102" s="142"/>
      <c r="PRV102" s="142"/>
      <c r="PRW102" s="142"/>
      <c r="PRX102" s="142"/>
      <c r="PRY102" s="142"/>
      <c r="PRZ102" s="142"/>
      <c r="PSA102" s="142"/>
      <c r="PSB102" s="142"/>
      <c r="PSC102" s="142"/>
      <c r="PSD102" s="142"/>
      <c r="PSE102" s="142"/>
      <c r="PSF102" s="142"/>
      <c r="PSG102" s="142"/>
      <c r="PSH102" s="142"/>
      <c r="PSI102" s="142"/>
      <c r="PSJ102" s="142"/>
      <c r="PSK102" s="142"/>
      <c r="PSL102" s="142"/>
      <c r="PSM102" s="142"/>
      <c r="PSN102" s="142"/>
      <c r="PSO102" s="142"/>
      <c r="PSP102" s="142"/>
      <c r="PSQ102" s="142"/>
      <c r="PSR102" s="142"/>
      <c r="PSS102" s="142"/>
      <c r="PST102" s="142"/>
      <c r="PSU102" s="142"/>
      <c r="PSV102" s="142"/>
      <c r="PSW102" s="142"/>
      <c r="PSX102" s="142"/>
      <c r="PSY102" s="142"/>
      <c r="PSZ102" s="142"/>
      <c r="PTA102" s="142"/>
      <c r="PTB102" s="142"/>
      <c r="PTC102" s="142"/>
      <c r="PTD102" s="142"/>
      <c r="PTE102" s="142"/>
      <c r="PTF102" s="142"/>
      <c r="PTG102" s="142"/>
      <c r="PTH102" s="142"/>
      <c r="PTI102" s="142"/>
      <c r="PTJ102" s="142"/>
      <c r="PTK102" s="142"/>
      <c r="PTL102" s="142"/>
      <c r="PTM102" s="142"/>
      <c r="PTN102" s="142"/>
      <c r="PTO102" s="142"/>
      <c r="PTP102" s="142"/>
      <c r="PTQ102" s="142"/>
      <c r="PTR102" s="142"/>
      <c r="PTS102" s="142"/>
      <c r="PTT102" s="142"/>
      <c r="PTU102" s="142"/>
      <c r="PTV102" s="142"/>
      <c r="PTW102" s="142"/>
      <c r="PTX102" s="142"/>
      <c r="PTY102" s="142"/>
      <c r="PTZ102" s="142"/>
      <c r="PUA102" s="142"/>
      <c r="PUB102" s="142"/>
      <c r="PUC102" s="142"/>
      <c r="PUD102" s="142"/>
      <c r="PUE102" s="142"/>
      <c r="PUF102" s="142"/>
      <c r="PUG102" s="142"/>
      <c r="PUH102" s="142"/>
      <c r="PUI102" s="142"/>
      <c r="PUJ102" s="142"/>
      <c r="PUK102" s="142"/>
      <c r="PUL102" s="142"/>
      <c r="PUM102" s="142"/>
      <c r="PUN102" s="142"/>
      <c r="PUO102" s="142"/>
      <c r="PUP102" s="142"/>
      <c r="PUQ102" s="142"/>
      <c r="PUR102" s="142"/>
      <c r="PUS102" s="142"/>
      <c r="PUT102" s="142"/>
      <c r="PUU102" s="142"/>
      <c r="PUV102" s="142"/>
      <c r="PUW102" s="142"/>
      <c r="PUX102" s="142"/>
      <c r="PUY102" s="142"/>
      <c r="PUZ102" s="142"/>
      <c r="PVA102" s="142"/>
      <c r="PVB102" s="142"/>
      <c r="PVC102" s="142"/>
      <c r="PVD102" s="142"/>
      <c r="PVE102" s="142"/>
      <c r="PVF102" s="142"/>
      <c r="PVG102" s="142"/>
      <c r="PVH102" s="142"/>
      <c r="PVI102" s="142"/>
      <c r="PVJ102" s="142"/>
      <c r="PVK102" s="142"/>
      <c r="PVL102" s="142"/>
      <c r="PVM102" s="142"/>
      <c r="PVN102" s="142"/>
      <c r="PVO102" s="142"/>
      <c r="PVP102" s="142"/>
      <c r="PVQ102" s="142"/>
      <c r="PVR102" s="142"/>
      <c r="PVS102" s="142"/>
      <c r="PVT102" s="142"/>
      <c r="PVU102" s="142"/>
      <c r="PVV102" s="142"/>
      <c r="PVW102" s="142"/>
      <c r="PVX102" s="142"/>
      <c r="PVY102" s="142"/>
      <c r="PVZ102" s="142"/>
      <c r="PWA102" s="142"/>
      <c r="PWB102" s="142"/>
      <c r="PWC102" s="142"/>
      <c r="PWD102" s="142"/>
      <c r="PWE102" s="142"/>
      <c r="PWF102" s="142"/>
      <c r="PWG102" s="142"/>
      <c r="PWH102" s="142"/>
      <c r="PWI102" s="142"/>
      <c r="PWJ102" s="142"/>
      <c r="PWK102" s="142"/>
      <c r="PWL102" s="142"/>
      <c r="PWM102" s="142"/>
      <c r="PWN102" s="142"/>
      <c r="PWO102" s="142"/>
      <c r="PWP102" s="142"/>
      <c r="PWQ102" s="142"/>
      <c r="PWR102" s="142"/>
      <c r="PWS102" s="142"/>
      <c r="PWT102" s="142"/>
      <c r="PWU102" s="142"/>
      <c r="PWV102" s="142"/>
      <c r="PWW102" s="142"/>
      <c r="PWX102" s="142"/>
      <c r="PWY102" s="142"/>
      <c r="PWZ102" s="142"/>
      <c r="PXA102" s="142"/>
      <c r="PXB102" s="142"/>
      <c r="PXC102" s="142"/>
      <c r="PXD102" s="142"/>
      <c r="PXE102" s="142"/>
      <c r="PXF102" s="142"/>
      <c r="PXG102" s="142"/>
      <c r="PXH102" s="142"/>
      <c r="PXI102" s="142"/>
      <c r="PXJ102" s="142"/>
      <c r="PXK102" s="142"/>
      <c r="PXL102" s="142"/>
      <c r="PXM102" s="142"/>
      <c r="PXN102" s="142"/>
      <c r="PXO102" s="142"/>
      <c r="PXP102" s="142"/>
      <c r="PXQ102" s="142"/>
      <c r="PXR102" s="142"/>
      <c r="PXS102" s="142"/>
      <c r="PXT102" s="142"/>
      <c r="PXU102" s="142"/>
      <c r="PXV102" s="142"/>
      <c r="PXW102" s="142"/>
      <c r="PXX102" s="142"/>
      <c r="PXY102" s="142"/>
      <c r="PXZ102" s="142"/>
      <c r="PYA102" s="142"/>
      <c r="PYB102" s="142"/>
      <c r="PYC102" s="142"/>
      <c r="PYD102" s="142"/>
      <c r="PYE102" s="142"/>
      <c r="PYF102" s="142"/>
      <c r="PYG102" s="142"/>
      <c r="PYH102" s="142"/>
      <c r="PYI102" s="142"/>
      <c r="PYJ102" s="142"/>
      <c r="PYK102" s="142"/>
      <c r="PYL102" s="142"/>
      <c r="PYM102" s="142"/>
      <c r="PYN102" s="142"/>
      <c r="PYO102" s="142"/>
      <c r="PYP102" s="142"/>
      <c r="PYQ102" s="142"/>
      <c r="PYR102" s="142"/>
      <c r="PYS102" s="142"/>
      <c r="PYT102" s="142"/>
      <c r="PYU102" s="142"/>
      <c r="PYV102" s="142"/>
      <c r="PYW102" s="142"/>
      <c r="PYX102" s="142"/>
      <c r="PYY102" s="142"/>
      <c r="PYZ102" s="142"/>
      <c r="PZA102" s="142"/>
      <c r="PZB102" s="142"/>
      <c r="PZC102" s="142"/>
      <c r="PZD102" s="142"/>
      <c r="PZE102" s="142"/>
      <c r="PZF102" s="142"/>
      <c r="PZG102" s="142"/>
      <c r="PZH102" s="142"/>
      <c r="PZI102" s="142"/>
      <c r="PZJ102" s="142"/>
      <c r="PZK102" s="142"/>
      <c r="PZL102" s="142"/>
      <c r="PZM102" s="142"/>
      <c r="PZN102" s="142"/>
      <c r="PZO102" s="142"/>
      <c r="PZP102" s="142"/>
      <c r="PZQ102" s="142"/>
      <c r="PZR102" s="142"/>
      <c r="PZS102" s="142"/>
      <c r="PZT102" s="142"/>
      <c r="PZU102" s="142"/>
      <c r="PZV102" s="142"/>
      <c r="PZW102" s="142"/>
      <c r="PZX102" s="142"/>
      <c r="PZY102" s="142"/>
      <c r="PZZ102" s="142"/>
      <c r="QAA102" s="142"/>
      <c r="QAB102" s="142"/>
      <c r="QAC102" s="142"/>
      <c r="QAD102" s="142"/>
      <c r="QAE102" s="142"/>
      <c r="QAF102" s="142"/>
      <c r="QAG102" s="142"/>
      <c r="QAH102" s="142"/>
      <c r="QAI102" s="142"/>
      <c r="QAJ102" s="142"/>
      <c r="QAK102" s="142"/>
      <c r="QAL102" s="142"/>
      <c r="QAM102" s="142"/>
      <c r="QAN102" s="142"/>
      <c r="QAO102" s="142"/>
      <c r="QAP102" s="142"/>
      <c r="QAQ102" s="142"/>
      <c r="QAR102" s="142"/>
      <c r="QAS102" s="142"/>
      <c r="QAT102" s="142"/>
      <c r="QAU102" s="142"/>
      <c r="QAV102" s="142"/>
      <c r="QAW102" s="142"/>
      <c r="QAX102" s="142"/>
      <c r="QAY102" s="142"/>
      <c r="QAZ102" s="142"/>
      <c r="QBA102" s="142"/>
      <c r="QBB102" s="142"/>
      <c r="QBC102" s="142"/>
      <c r="QBD102" s="142"/>
      <c r="QBE102" s="142"/>
      <c r="QBF102" s="142"/>
      <c r="QBG102" s="142"/>
      <c r="QBH102" s="142"/>
      <c r="QBI102" s="142"/>
      <c r="QBJ102" s="142"/>
      <c r="QBK102" s="142"/>
      <c r="QBL102" s="142"/>
      <c r="QBM102" s="142"/>
      <c r="QBN102" s="142"/>
      <c r="QBO102" s="142"/>
      <c r="QBP102" s="142"/>
      <c r="QBQ102" s="142"/>
      <c r="QBR102" s="142"/>
      <c r="QBS102" s="142"/>
      <c r="QBT102" s="142"/>
      <c r="QBU102" s="142"/>
      <c r="QBV102" s="142"/>
      <c r="QBW102" s="142"/>
      <c r="QBX102" s="142"/>
      <c r="QBY102" s="142"/>
      <c r="QBZ102" s="142"/>
      <c r="QCA102" s="142"/>
      <c r="QCB102" s="142"/>
      <c r="QCC102" s="142"/>
      <c r="QCD102" s="142"/>
      <c r="QCE102" s="142"/>
      <c r="QCF102" s="142"/>
      <c r="QCG102" s="142"/>
      <c r="QCH102" s="142"/>
      <c r="QCI102" s="142"/>
      <c r="QCJ102" s="142"/>
      <c r="QCK102" s="142"/>
      <c r="QCL102" s="142"/>
      <c r="QCM102" s="142"/>
      <c r="QCN102" s="142"/>
      <c r="QCO102" s="142"/>
      <c r="QCP102" s="142"/>
      <c r="QCQ102" s="142"/>
      <c r="QCR102" s="142"/>
      <c r="QCS102" s="142"/>
      <c r="QCT102" s="142"/>
      <c r="QCU102" s="142"/>
      <c r="QCV102" s="142"/>
      <c r="QCW102" s="142"/>
      <c r="QCX102" s="142"/>
      <c r="QCY102" s="142"/>
      <c r="QCZ102" s="142"/>
      <c r="QDA102" s="142"/>
      <c r="QDB102" s="142"/>
      <c r="QDC102" s="142"/>
      <c r="QDD102" s="142"/>
      <c r="QDE102" s="142"/>
      <c r="QDF102" s="142"/>
      <c r="QDG102" s="142"/>
      <c r="QDH102" s="142"/>
      <c r="QDI102" s="142"/>
      <c r="QDJ102" s="142"/>
      <c r="QDK102" s="142"/>
      <c r="QDL102" s="142"/>
      <c r="QDM102" s="142"/>
      <c r="QDN102" s="142"/>
      <c r="QDO102" s="142"/>
      <c r="QDP102" s="142"/>
      <c r="QDQ102" s="142"/>
      <c r="QDR102" s="142"/>
      <c r="QDS102" s="142"/>
      <c r="QDT102" s="142"/>
      <c r="QDU102" s="142"/>
      <c r="QDV102" s="142"/>
      <c r="QDW102" s="142"/>
      <c r="QDX102" s="142"/>
      <c r="QDY102" s="142"/>
      <c r="QDZ102" s="142"/>
      <c r="QEA102" s="142"/>
      <c r="QEB102" s="142"/>
      <c r="QEC102" s="142"/>
      <c r="QED102" s="142"/>
      <c r="QEE102" s="142"/>
      <c r="QEF102" s="142"/>
      <c r="QEG102" s="142"/>
      <c r="QEH102" s="142"/>
      <c r="QEI102" s="142"/>
      <c r="QEJ102" s="142"/>
      <c r="QEK102" s="142"/>
      <c r="QEL102" s="142"/>
      <c r="QEM102" s="142"/>
      <c r="QEN102" s="142"/>
      <c r="QEO102" s="142"/>
      <c r="QEP102" s="142"/>
      <c r="QEQ102" s="142"/>
      <c r="QER102" s="142"/>
      <c r="QES102" s="142"/>
      <c r="QET102" s="142"/>
      <c r="QEU102" s="142"/>
      <c r="QEV102" s="142"/>
      <c r="QEW102" s="142"/>
      <c r="QEX102" s="142"/>
      <c r="QEY102" s="142"/>
      <c r="QEZ102" s="142"/>
      <c r="QFA102" s="142"/>
      <c r="QFB102" s="142"/>
      <c r="QFC102" s="142"/>
      <c r="QFD102" s="142"/>
      <c r="QFE102" s="142"/>
      <c r="QFF102" s="142"/>
      <c r="QFG102" s="142"/>
      <c r="QFH102" s="142"/>
      <c r="QFI102" s="142"/>
      <c r="QFJ102" s="142"/>
      <c r="QFK102" s="142"/>
      <c r="QFL102" s="142"/>
      <c r="QFM102" s="142"/>
      <c r="QFN102" s="142"/>
      <c r="QFO102" s="142"/>
      <c r="QFP102" s="142"/>
      <c r="QFQ102" s="142"/>
      <c r="QFR102" s="142"/>
      <c r="QFS102" s="142"/>
      <c r="QFT102" s="142"/>
      <c r="QFU102" s="142"/>
      <c r="QFV102" s="142"/>
      <c r="QFW102" s="142"/>
      <c r="QFX102" s="142"/>
      <c r="QFY102" s="142"/>
      <c r="QFZ102" s="142"/>
      <c r="QGA102" s="142"/>
      <c r="QGB102" s="142"/>
      <c r="QGC102" s="142"/>
      <c r="QGD102" s="142"/>
      <c r="QGE102" s="142"/>
      <c r="QGF102" s="142"/>
      <c r="QGG102" s="142"/>
      <c r="QGH102" s="142"/>
      <c r="QGI102" s="142"/>
      <c r="QGJ102" s="142"/>
      <c r="QGK102" s="142"/>
      <c r="QGL102" s="142"/>
      <c r="QGM102" s="142"/>
      <c r="QGN102" s="142"/>
      <c r="QGO102" s="142"/>
      <c r="QGP102" s="142"/>
      <c r="QGQ102" s="142"/>
      <c r="QGR102" s="142"/>
      <c r="QGS102" s="142"/>
      <c r="QGT102" s="142"/>
      <c r="QGU102" s="142"/>
      <c r="QGV102" s="142"/>
      <c r="QGW102" s="142"/>
      <c r="QGX102" s="142"/>
      <c r="QGY102" s="142"/>
      <c r="QGZ102" s="142"/>
      <c r="QHA102" s="142"/>
      <c r="QHB102" s="142"/>
      <c r="QHC102" s="142"/>
      <c r="QHD102" s="142"/>
      <c r="QHE102" s="142"/>
      <c r="QHF102" s="142"/>
      <c r="QHG102" s="142"/>
      <c r="QHH102" s="142"/>
      <c r="QHI102" s="142"/>
      <c r="QHJ102" s="142"/>
      <c r="QHK102" s="142"/>
      <c r="QHL102" s="142"/>
      <c r="QHM102" s="142"/>
      <c r="QHN102" s="142"/>
      <c r="QHO102" s="142"/>
      <c r="QHP102" s="142"/>
      <c r="QHQ102" s="142"/>
      <c r="QHR102" s="142"/>
      <c r="QHS102" s="142"/>
      <c r="QHT102" s="142"/>
      <c r="QHU102" s="142"/>
      <c r="QHV102" s="142"/>
      <c r="QHW102" s="142"/>
      <c r="QHX102" s="142"/>
      <c r="QHY102" s="142"/>
      <c r="QHZ102" s="142"/>
      <c r="QIA102" s="142"/>
      <c r="QIB102" s="142"/>
      <c r="QIC102" s="142"/>
      <c r="QID102" s="142"/>
      <c r="QIE102" s="142"/>
      <c r="QIF102" s="142"/>
      <c r="QIG102" s="142"/>
      <c r="QIH102" s="142"/>
      <c r="QII102" s="142"/>
      <c r="QIJ102" s="142"/>
      <c r="QIK102" s="142"/>
      <c r="QIL102" s="142"/>
      <c r="QIM102" s="142"/>
      <c r="QIN102" s="142"/>
      <c r="QIO102" s="142"/>
      <c r="QIP102" s="142"/>
      <c r="QIQ102" s="142"/>
      <c r="QIR102" s="142"/>
      <c r="QIS102" s="142"/>
      <c r="QIT102" s="142"/>
      <c r="QIU102" s="142"/>
      <c r="QIV102" s="142"/>
      <c r="QIW102" s="142"/>
      <c r="QIX102" s="142"/>
      <c r="QIY102" s="142"/>
      <c r="QIZ102" s="142"/>
      <c r="QJA102" s="142"/>
      <c r="QJB102" s="142"/>
      <c r="QJC102" s="142"/>
      <c r="QJD102" s="142"/>
      <c r="QJE102" s="142"/>
      <c r="QJF102" s="142"/>
      <c r="QJG102" s="142"/>
      <c r="QJH102" s="142"/>
      <c r="QJI102" s="142"/>
      <c r="QJJ102" s="142"/>
      <c r="QJK102" s="142"/>
      <c r="QJL102" s="142"/>
      <c r="QJM102" s="142"/>
      <c r="QJN102" s="142"/>
      <c r="QJO102" s="142"/>
      <c r="QJP102" s="142"/>
      <c r="QJQ102" s="142"/>
      <c r="QJR102" s="142"/>
      <c r="QJS102" s="142"/>
      <c r="QJT102" s="142"/>
      <c r="QJU102" s="142"/>
      <c r="QJV102" s="142"/>
      <c r="QJW102" s="142"/>
      <c r="QJX102" s="142"/>
      <c r="QJY102" s="142"/>
      <c r="QJZ102" s="142"/>
      <c r="QKA102" s="142"/>
      <c r="QKB102" s="142"/>
      <c r="QKC102" s="142"/>
      <c r="QKD102" s="142"/>
      <c r="QKE102" s="142"/>
      <c r="QKF102" s="142"/>
      <c r="QKG102" s="142"/>
      <c r="QKH102" s="142"/>
      <c r="QKI102" s="142"/>
      <c r="QKJ102" s="142"/>
      <c r="QKK102" s="142"/>
      <c r="QKL102" s="142"/>
      <c r="QKM102" s="142"/>
      <c r="QKN102" s="142"/>
      <c r="QKO102" s="142"/>
      <c r="QKP102" s="142"/>
      <c r="QKQ102" s="142"/>
      <c r="QKR102" s="142"/>
      <c r="QKS102" s="142"/>
      <c r="QKT102" s="142"/>
      <c r="QKU102" s="142"/>
      <c r="QKV102" s="142"/>
      <c r="QKW102" s="142"/>
      <c r="QKX102" s="142"/>
      <c r="QKY102" s="142"/>
      <c r="QKZ102" s="142"/>
      <c r="QLA102" s="142"/>
      <c r="QLB102" s="142"/>
      <c r="QLC102" s="142"/>
      <c r="QLD102" s="142"/>
      <c r="QLE102" s="142"/>
      <c r="QLF102" s="142"/>
      <c r="QLG102" s="142"/>
      <c r="QLH102" s="142"/>
      <c r="QLI102" s="142"/>
      <c r="QLJ102" s="142"/>
      <c r="QLK102" s="142"/>
      <c r="QLL102" s="142"/>
      <c r="QLM102" s="142"/>
      <c r="QLN102" s="142"/>
      <c r="QLO102" s="142"/>
      <c r="QLP102" s="142"/>
      <c r="QLQ102" s="142"/>
      <c r="QLR102" s="142"/>
      <c r="QLS102" s="142"/>
      <c r="QLT102" s="142"/>
      <c r="QLU102" s="142"/>
      <c r="QLV102" s="142"/>
      <c r="QLW102" s="142"/>
      <c r="QLX102" s="142"/>
      <c r="QLY102" s="142"/>
      <c r="QLZ102" s="142"/>
      <c r="QMA102" s="142"/>
      <c r="QMB102" s="142"/>
      <c r="QMC102" s="142"/>
      <c r="QMD102" s="142"/>
      <c r="QME102" s="142"/>
      <c r="QMF102" s="142"/>
      <c r="QMG102" s="142"/>
      <c r="QMH102" s="142"/>
      <c r="QMI102" s="142"/>
      <c r="QMJ102" s="142"/>
      <c r="QMK102" s="142"/>
      <c r="QML102" s="142"/>
      <c r="QMM102" s="142"/>
      <c r="QMN102" s="142"/>
      <c r="QMO102" s="142"/>
      <c r="QMP102" s="142"/>
      <c r="QMQ102" s="142"/>
      <c r="QMR102" s="142"/>
      <c r="QMS102" s="142"/>
      <c r="QMT102" s="142"/>
      <c r="QMU102" s="142"/>
      <c r="QMV102" s="142"/>
      <c r="QMW102" s="142"/>
      <c r="QMX102" s="142"/>
      <c r="QMY102" s="142"/>
      <c r="QMZ102" s="142"/>
      <c r="QNA102" s="142"/>
      <c r="QNB102" s="142"/>
      <c r="QNC102" s="142"/>
      <c r="QND102" s="142"/>
      <c r="QNE102" s="142"/>
      <c r="QNF102" s="142"/>
      <c r="QNG102" s="142"/>
      <c r="QNH102" s="142"/>
      <c r="QNI102" s="142"/>
      <c r="QNJ102" s="142"/>
      <c r="QNK102" s="142"/>
      <c r="QNL102" s="142"/>
      <c r="QNM102" s="142"/>
      <c r="QNN102" s="142"/>
      <c r="QNO102" s="142"/>
      <c r="QNP102" s="142"/>
      <c r="QNQ102" s="142"/>
      <c r="QNR102" s="142"/>
      <c r="QNS102" s="142"/>
      <c r="QNT102" s="142"/>
      <c r="QNU102" s="142"/>
      <c r="QNV102" s="142"/>
      <c r="QNW102" s="142"/>
      <c r="QNX102" s="142"/>
      <c r="QNY102" s="142"/>
      <c r="QNZ102" s="142"/>
      <c r="QOA102" s="142"/>
      <c r="QOB102" s="142"/>
      <c r="QOC102" s="142"/>
      <c r="QOD102" s="142"/>
      <c r="QOE102" s="142"/>
      <c r="QOF102" s="142"/>
      <c r="QOG102" s="142"/>
      <c r="QOH102" s="142"/>
      <c r="QOI102" s="142"/>
      <c r="QOJ102" s="142"/>
      <c r="QOK102" s="142"/>
      <c r="QOL102" s="142"/>
      <c r="QOM102" s="142"/>
      <c r="QON102" s="142"/>
      <c r="QOO102" s="142"/>
      <c r="QOP102" s="142"/>
      <c r="QOQ102" s="142"/>
      <c r="QOR102" s="142"/>
      <c r="QOS102" s="142"/>
      <c r="QOT102" s="142"/>
      <c r="QOU102" s="142"/>
      <c r="QOV102" s="142"/>
      <c r="QOW102" s="142"/>
      <c r="QOX102" s="142"/>
      <c r="QOY102" s="142"/>
      <c r="QOZ102" s="142"/>
      <c r="QPA102" s="142"/>
      <c r="QPB102" s="142"/>
      <c r="QPC102" s="142"/>
      <c r="QPD102" s="142"/>
      <c r="QPE102" s="142"/>
      <c r="QPF102" s="142"/>
      <c r="QPG102" s="142"/>
      <c r="QPH102" s="142"/>
      <c r="QPI102" s="142"/>
      <c r="QPJ102" s="142"/>
      <c r="QPK102" s="142"/>
      <c r="QPL102" s="142"/>
      <c r="QPM102" s="142"/>
      <c r="QPN102" s="142"/>
      <c r="QPO102" s="142"/>
      <c r="QPP102" s="142"/>
      <c r="QPQ102" s="142"/>
      <c r="QPR102" s="142"/>
      <c r="QPS102" s="142"/>
      <c r="QPT102" s="142"/>
      <c r="QPU102" s="142"/>
      <c r="QPV102" s="142"/>
      <c r="QPW102" s="142"/>
      <c r="QPX102" s="142"/>
      <c r="QPY102" s="142"/>
      <c r="QPZ102" s="142"/>
      <c r="QQA102" s="142"/>
      <c r="QQB102" s="142"/>
      <c r="QQC102" s="142"/>
      <c r="QQD102" s="142"/>
      <c r="QQE102" s="142"/>
      <c r="QQF102" s="142"/>
      <c r="QQG102" s="142"/>
      <c r="QQH102" s="142"/>
      <c r="QQI102" s="142"/>
      <c r="QQJ102" s="142"/>
      <c r="QQK102" s="142"/>
      <c r="QQL102" s="142"/>
      <c r="QQM102" s="142"/>
      <c r="QQN102" s="142"/>
      <c r="QQO102" s="142"/>
      <c r="QQP102" s="142"/>
      <c r="QQQ102" s="142"/>
      <c r="QQR102" s="142"/>
      <c r="QQS102" s="142"/>
      <c r="QQT102" s="142"/>
      <c r="QQU102" s="142"/>
      <c r="QQV102" s="142"/>
      <c r="QQW102" s="142"/>
      <c r="QQX102" s="142"/>
      <c r="QQY102" s="142"/>
      <c r="QQZ102" s="142"/>
      <c r="QRA102" s="142"/>
      <c r="QRB102" s="142"/>
      <c r="QRC102" s="142"/>
      <c r="QRD102" s="142"/>
      <c r="QRE102" s="142"/>
      <c r="QRF102" s="142"/>
      <c r="QRG102" s="142"/>
      <c r="QRH102" s="142"/>
      <c r="QRI102" s="142"/>
      <c r="QRJ102" s="142"/>
      <c r="QRK102" s="142"/>
      <c r="QRL102" s="142"/>
      <c r="QRM102" s="142"/>
      <c r="QRN102" s="142"/>
      <c r="QRO102" s="142"/>
      <c r="QRP102" s="142"/>
      <c r="QRQ102" s="142"/>
      <c r="QRR102" s="142"/>
      <c r="QRS102" s="142"/>
      <c r="QRT102" s="142"/>
      <c r="QRU102" s="142"/>
      <c r="QRV102" s="142"/>
      <c r="QRW102" s="142"/>
      <c r="QRX102" s="142"/>
      <c r="QRY102" s="142"/>
      <c r="QRZ102" s="142"/>
      <c r="QSA102" s="142"/>
      <c r="QSB102" s="142"/>
      <c r="QSC102" s="142"/>
      <c r="QSD102" s="142"/>
      <c r="QSE102" s="142"/>
      <c r="QSF102" s="142"/>
      <c r="QSG102" s="142"/>
      <c r="QSH102" s="142"/>
      <c r="QSI102" s="142"/>
      <c r="QSJ102" s="142"/>
      <c r="QSK102" s="142"/>
      <c r="QSL102" s="142"/>
      <c r="QSM102" s="142"/>
      <c r="QSN102" s="142"/>
      <c r="QSO102" s="142"/>
      <c r="QSP102" s="142"/>
      <c r="QSQ102" s="142"/>
      <c r="QSR102" s="142"/>
      <c r="QSS102" s="142"/>
      <c r="QST102" s="142"/>
      <c r="QSU102" s="142"/>
      <c r="QSV102" s="142"/>
      <c r="QSW102" s="142"/>
      <c r="QSX102" s="142"/>
      <c r="QSY102" s="142"/>
      <c r="QSZ102" s="142"/>
      <c r="QTA102" s="142"/>
      <c r="QTB102" s="142"/>
      <c r="QTC102" s="142"/>
      <c r="QTD102" s="142"/>
      <c r="QTE102" s="142"/>
      <c r="QTF102" s="142"/>
      <c r="QTG102" s="142"/>
      <c r="QTH102" s="142"/>
      <c r="QTI102" s="142"/>
      <c r="QTJ102" s="142"/>
      <c r="QTK102" s="142"/>
      <c r="QTL102" s="142"/>
      <c r="QTM102" s="142"/>
      <c r="QTN102" s="142"/>
      <c r="QTO102" s="142"/>
      <c r="QTP102" s="142"/>
      <c r="QTQ102" s="142"/>
      <c r="QTR102" s="142"/>
      <c r="QTS102" s="142"/>
      <c r="QTT102" s="142"/>
      <c r="QTU102" s="142"/>
      <c r="QTV102" s="142"/>
      <c r="QTW102" s="142"/>
      <c r="QTX102" s="142"/>
      <c r="QTY102" s="142"/>
      <c r="QTZ102" s="142"/>
      <c r="QUA102" s="142"/>
      <c r="QUB102" s="142"/>
      <c r="QUC102" s="142"/>
      <c r="QUD102" s="142"/>
      <c r="QUE102" s="142"/>
      <c r="QUF102" s="142"/>
      <c r="QUG102" s="142"/>
      <c r="QUH102" s="142"/>
      <c r="QUI102" s="142"/>
      <c r="QUJ102" s="142"/>
      <c r="QUK102" s="142"/>
      <c r="QUL102" s="142"/>
      <c r="QUM102" s="142"/>
      <c r="QUN102" s="142"/>
      <c r="QUO102" s="142"/>
      <c r="QUP102" s="142"/>
      <c r="QUQ102" s="142"/>
      <c r="QUR102" s="142"/>
      <c r="QUS102" s="142"/>
      <c r="QUT102" s="142"/>
      <c r="QUU102" s="142"/>
      <c r="QUV102" s="142"/>
      <c r="QUW102" s="142"/>
      <c r="QUX102" s="142"/>
      <c r="QUY102" s="142"/>
      <c r="QUZ102" s="142"/>
      <c r="QVA102" s="142"/>
      <c r="QVB102" s="142"/>
      <c r="QVC102" s="142"/>
      <c r="QVD102" s="142"/>
      <c r="QVE102" s="142"/>
      <c r="QVF102" s="142"/>
      <c r="QVG102" s="142"/>
      <c r="QVH102" s="142"/>
      <c r="QVI102" s="142"/>
      <c r="QVJ102" s="142"/>
      <c r="QVK102" s="142"/>
      <c r="QVL102" s="142"/>
      <c r="QVM102" s="142"/>
      <c r="QVN102" s="142"/>
      <c r="QVO102" s="142"/>
      <c r="QVP102" s="142"/>
      <c r="QVQ102" s="142"/>
      <c r="QVR102" s="142"/>
      <c r="QVS102" s="142"/>
      <c r="QVT102" s="142"/>
      <c r="QVU102" s="142"/>
      <c r="QVV102" s="142"/>
      <c r="QVW102" s="142"/>
      <c r="QVX102" s="142"/>
      <c r="QVY102" s="142"/>
      <c r="QVZ102" s="142"/>
      <c r="QWA102" s="142"/>
      <c r="QWB102" s="142"/>
      <c r="QWC102" s="142"/>
      <c r="QWD102" s="142"/>
      <c r="QWE102" s="142"/>
      <c r="QWF102" s="142"/>
      <c r="QWG102" s="142"/>
      <c r="QWH102" s="142"/>
      <c r="QWI102" s="142"/>
      <c r="QWJ102" s="142"/>
      <c r="QWK102" s="142"/>
      <c r="QWL102" s="142"/>
      <c r="QWM102" s="142"/>
      <c r="QWN102" s="142"/>
      <c r="QWO102" s="142"/>
      <c r="QWP102" s="142"/>
      <c r="QWQ102" s="142"/>
      <c r="QWR102" s="142"/>
      <c r="QWS102" s="142"/>
      <c r="QWT102" s="142"/>
      <c r="QWU102" s="142"/>
      <c r="QWV102" s="142"/>
      <c r="QWW102" s="142"/>
      <c r="QWX102" s="142"/>
      <c r="QWY102" s="142"/>
      <c r="QWZ102" s="142"/>
      <c r="QXA102" s="142"/>
      <c r="QXB102" s="142"/>
      <c r="QXC102" s="142"/>
      <c r="QXD102" s="142"/>
      <c r="QXE102" s="142"/>
      <c r="QXF102" s="142"/>
      <c r="QXG102" s="142"/>
      <c r="QXH102" s="142"/>
      <c r="QXI102" s="142"/>
      <c r="QXJ102" s="142"/>
      <c r="QXK102" s="142"/>
      <c r="QXL102" s="142"/>
      <c r="QXM102" s="142"/>
      <c r="QXN102" s="142"/>
      <c r="QXO102" s="142"/>
      <c r="QXP102" s="142"/>
      <c r="QXQ102" s="142"/>
      <c r="QXR102" s="142"/>
      <c r="QXS102" s="142"/>
      <c r="QXT102" s="142"/>
      <c r="QXU102" s="142"/>
      <c r="QXV102" s="142"/>
      <c r="QXW102" s="142"/>
      <c r="QXX102" s="142"/>
      <c r="QXY102" s="142"/>
      <c r="QXZ102" s="142"/>
      <c r="QYA102" s="142"/>
      <c r="QYB102" s="142"/>
      <c r="QYC102" s="142"/>
      <c r="QYD102" s="142"/>
      <c r="QYE102" s="142"/>
      <c r="QYF102" s="142"/>
      <c r="QYG102" s="142"/>
      <c r="QYH102" s="142"/>
      <c r="QYI102" s="142"/>
      <c r="QYJ102" s="142"/>
      <c r="QYK102" s="142"/>
      <c r="QYL102" s="142"/>
      <c r="QYM102" s="142"/>
      <c r="QYN102" s="142"/>
      <c r="QYO102" s="142"/>
      <c r="QYP102" s="142"/>
      <c r="QYQ102" s="142"/>
      <c r="QYR102" s="142"/>
      <c r="QYS102" s="142"/>
      <c r="QYT102" s="142"/>
      <c r="QYU102" s="142"/>
      <c r="QYV102" s="142"/>
      <c r="QYW102" s="142"/>
      <c r="QYX102" s="142"/>
      <c r="QYY102" s="142"/>
      <c r="QYZ102" s="142"/>
      <c r="QZA102" s="142"/>
      <c r="QZB102" s="142"/>
      <c r="QZC102" s="142"/>
      <c r="QZD102" s="142"/>
      <c r="QZE102" s="142"/>
      <c r="QZF102" s="142"/>
      <c r="QZG102" s="142"/>
      <c r="QZH102" s="142"/>
      <c r="QZI102" s="142"/>
      <c r="QZJ102" s="142"/>
      <c r="QZK102" s="142"/>
      <c r="QZL102" s="142"/>
      <c r="QZM102" s="142"/>
      <c r="QZN102" s="142"/>
      <c r="QZO102" s="142"/>
      <c r="QZP102" s="142"/>
      <c r="QZQ102" s="142"/>
      <c r="QZR102" s="142"/>
      <c r="QZS102" s="142"/>
      <c r="QZT102" s="142"/>
      <c r="QZU102" s="142"/>
      <c r="QZV102" s="142"/>
      <c r="QZW102" s="142"/>
      <c r="QZX102" s="142"/>
      <c r="QZY102" s="142"/>
      <c r="QZZ102" s="142"/>
      <c r="RAA102" s="142"/>
      <c r="RAB102" s="142"/>
      <c r="RAC102" s="142"/>
      <c r="RAD102" s="142"/>
      <c r="RAE102" s="142"/>
      <c r="RAF102" s="142"/>
      <c r="RAG102" s="142"/>
      <c r="RAH102" s="142"/>
      <c r="RAI102" s="142"/>
      <c r="RAJ102" s="142"/>
      <c r="RAK102" s="142"/>
      <c r="RAL102" s="142"/>
      <c r="RAM102" s="142"/>
      <c r="RAN102" s="142"/>
      <c r="RAO102" s="142"/>
      <c r="RAP102" s="142"/>
      <c r="RAQ102" s="142"/>
      <c r="RAR102" s="142"/>
      <c r="RAS102" s="142"/>
      <c r="RAT102" s="142"/>
      <c r="RAU102" s="142"/>
      <c r="RAV102" s="142"/>
      <c r="RAW102" s="142"/>
      <c r="RAX102" s="142"/>
      <c r="RAY102" s="142"/>
      <c r="RAZ102" s="142"/>
      <c r="RBA102" s="142"/>
      <c r="RBB102" s="142"/>
      <c r="RBC102" s="142"/>
      <c r="RBD102" s="142"/>
      <c r="RBE102" s="142"/>
      <c r="RBF102" s="142"/>
      <c r="RBG102" s="142"/>
      <c r="RBH102" s="142"/>
      <c r="RBI102" s="142"/>
      <c r="RBJ102" s="142"/>
      <c r="RBK102" s="142"/>
      <c r="RBL102" s="142"/>
      <c r="RBM102" s="142"/>
      <c r="RBN102" s="142"/>
      <c r="RBO102" s="142"/>
      <c r="RBP102" s="142"/>
      <c r="RBQ102" s="142"/>
      <c r="RBR102" s="142"/>
      <c r="RBS102" s="142"/>
      <c r="RBT102" s="142"/>
      <c r="RBU102" s="142"/>
      <c r="RBV102" s="142"/>
      <c r="RBW102" s="142"/>
      <c r="RBX102" s="142"/>
      <c r="RBY102" s="142"/>
      <c r="RBZ102" s="142"/>
      <c r="RCA102" s="142"/>
      <c r="RCB102" s="142"/>
      <c r="RCC102" s="142"/>
      <c r="RCD102" s="142"/>
      <c r="RCE102" s="142"/>
      <c r="RCF102" s="142"/>
      <c r="RCG102" s="142"/>
      <c r="RCH102" s="142"/>
      <c r="RCI102" s="142"/>
      <c r="RCJ102" s="142"/>
      <c r="RCK102" s="142"/>
      <c r="RCL102" s="142"/>
      <c r="RCM102" s="142"/>
      <c r="RCN102" s="142"/>
      <c r="RCO102" s="142"/>
      <c r="RCP102" s="142"/>
      <c r="RCQ102" s="142"/>
      <c r="RCR102" s="142"/>
      <c r="RCS102" s="142"/>
      <c r="RCT102" s="142"/>
      <c r="RCU102" s="142"/>
      <c r="RCV102" s="142"/>
      <c r="RCW102" s="142"/>
      <c r="RCX102" s="142"/>
      <c r="RCY102" s="142"/>
      <c r="RCZ102" s="142"/>
      <c r="RDA102" s="142"/>
      <c r="RDB102" s="142"/>
      <c r="RDC102" s="142"/>
      <c r="RDD102" s="142"/>
      <c r="RDE102" s="142"/>
      <c r="RDF102" s="142"/>
      <c r="RDG102" s="142"/>
      <c r="RDH102" s="142"/>
      <c r="RDI102" s="142"/>
      <c r="RDJ102" s="142"/>
      <c r="RDK102" s="142"/>
      <c r="RDL102" s="142"/>
      <c r="RDM102" s="142"/>
      <c r="RDN102" s="142"/>
      <c r="RDO102" s="142"/>
      <c r="RDP102" s="142"/>
      <c r="RDQ102" s="142"/>
      <c r="RDR102" s="142"/>
      <c r="RDS102" s="142"/>
      <c r="RDT102" s="142"/>
      <c r="RDU102" s="142"/>
      <c r="RDV102" s="142"/>
      <c r="RDW102" s="142"/>
      <c r="RDX102" s="142"/>
      <c r="RDY102" s="142"/>
      <c r="RDZ102" s="142"/>
      <c r="REA102" s="142"/>
      <c r="REB102" s="142"/>
      <c r="REC102" s="142"/>
      <c r="RED102" s="142"/>
      <c r="REE102" s="142"/>
      <c r="REF102" s="142"/>
      <c r="REG102" s="142"/>
      <c r="REH102" s="142"/>
      <c r="REI102" s="142"/>
      <c r="REJ102" s="142"/>
      <c r="REK102" s="142"/>
      <c r="REL102" s="142"/>
      <c r="REM102" s="142"/>
      <c r="REN102" s="142"/>
      <c r="REO102" s="142"/>
      <c r="REP102" s="142"/>
      <c r="REQ102" s="142"/>
      <c r="RER102" s="142"/>
      <c r="RES102" s="142"/>
      <c r="RET102" s="142"/>
      <c r="REU102" s="142"/>
      <c r="REV102" s="142"/>
      <c r="REW102" s="142"/>
      <c r="REX102" s="142"/>
      <c r="REY102" s="142"/>
      <c r="REZ102" s="142"/>
      <c r="RFA102" s="142"/>
      <c r="RFB102" s="142"/>
      <c r="RFC102" s="142"/>
      <c r="RFD102" s="142"/>
      <c r="RFE102" s="142"/>
      <c r="RFF102" s="142"/>
      <c r="RFG102" s="142"/>
      <c r="RFH102" s="142"/>
      <c r="RFI102" s="142"/>
      <c r="RFJ102" s="142"/>
      <c r="RFK102" s="142"/>
      <c r="RFL102" s="142"/>
      <c r="RFM102" s="142"/>
      <c r="RFN102" s="142"/>
      <c r="RFO102" s="142"/>
      <c r="RFP102" s="142"/>
      <c r="RFQ102" s="142"/>
      <c r="RFR102" s="142"/>
      <c r="RFS102" s="142"/>
      <c r="RFT102" s="142"/>
      <c r="RFU102" s="142"/>
      <c r="RFV102" s="142"/>
      <c r="RFW102" s="142"/>
      <c r="RFX102" s="142"/>
      <c r="RFY102" s="142"/>
      <c r="RFZ102" s="142"/>
      <c r="RGA102" s="142"/>
      <c r="RGB102" s="142"/>
      <c r="RGC102" s="142"/>
      <c r="RGD102" s="142"/>
      <c r="RGE102" s="142"/>
      <c r="RGF102" s="142"/>
      <c r="RGG102" s="142"/>
      <c r="RGH102" s="142"/>
      <c r="RGI102" s="142"/>
      <c r="RGJ102" s="142"/>
      <c r="RGK102" s="142"/>
      <c r="RGL102" s="142"/>
      <c r="RGM102" s="142"/>
      <c r="RGN102" s="142"/>
      <c r="RGO102" s="142"/>
      <c r="RGP102" s="142"/>
      <c r="RGQ102" s="142"/>
      <c r="RGR102" s="142"/>
      <c r="RGS102" s="142"/>
      <c r="RGT102" s="142"/>
      <c r="RGU102" s="142"/>
      <c r="RGV102" s="142"/>
      <c r="RGW102" s="142"/>
      <c r="RGX102" s="142"/>
      <c r="RGY102" s="142"/>
      <c r="RGZ102" s="142"/>
      <c r="RHA102" s="142"/>
      <c r="RHB102" s="142"/>
      <c r="RHC102" s="142"/>
      <c r="RHD102" s="142"/>
      <c r="RHE102" s="142"/>
      <c r="RHF102" s="142"/>
      <c r="RHG102" s="142"/>
      <c r="RHH102" s="142"/>
      <c r="RHI102" s="142"/>
      <c r="RHJ102" s="142"/>
      <c r="RHK102" s="142"/>
      <c r="RHL102" s="142"/>
      <c r="RHM102" s="142"/>
      <c r="RHN102" s="142"/>
      <c r="RHO102" s="142"/>
      <c r="RHP102" s="142"/>
      <c r="RHQ102" s="142"/>
      <c r="RHR102" s="142"/>
      <c r="RHS102" s="142"/>
      <c r="RHT102" s="142"/>
      <c r="RHU102" s="142"/>
      <c r="RHV102" s="142"/>
      <c r="RHW102" s="142"/>
      <c r="RHX102" s="142"/>
      <c r="RHY102" s="142"/>
      <c r="RHZ102" s="142"/>
      <c r="RIA102" s="142"/>
      <c r="RIB102" s="142"/>
      <c r="RIC102" s="142"/>
      <c r="RID102" s="142"/>
      <c r="RIE102" s="142"/>
      <c r="RIF102" s="142"/>
      <c r="RIG102" s="142"/>
      <c r="RIH102" s="142"/>
      <c r="RII102" s="142"/>
      <c r="RIJ102" s="142"/>
      <c r="RIK102" s="142"/>
      <c r="RIL102" s="142"/>
      <c r="RIM102" s="142"/>
      <c r="RIN102" s="142"/>
      <c r="RIO102" s="142"/>
      <c r="RIP102" s="142"/>
      <c r="RIQ102" s="142"/>
      <c r="RIR102" s="142"/>
      <c r="RIS102" s="142"/>
      <c r="RIT102" s="142"/>
      <c r="RIU102" s="142"/>
      <c r="RIV102" s="142"/>
      <c r="RIW102" s="142"/>
      <c r="RIX102" s="142"/>
      <c r="RIY102" s="142"/>
      <c r="RIZ102" s="142"/>
      <c r="RJA102" s="142"/>
      <c r="RJB102" s="142"/>
      <c r="RJC102" s="142"/>
      <c r="RJD102" s="142"/>
      <c r="RJE102" s="142"/>
      <c r="RJF102" s="142"/>
      <c r="RJG102" s="142"/>
      <c r="RJH102" s="142"/>
      <c r="RJI102" s="142"/>
      <c r="RJJ102" s="142"/>
      <c r="RJK102" s="142"/>
      <c r="RJL102" s="142"/>
      <c r="RJM102" s="142"/>
      <c r="RJN102" s="142"/>
      <c r="RJO102" s="142"/>
      <c r="RJP102" s="142"/>
      <c r="RJQ102" s="142"/>
      <c r="RJR102" s="142"/>
      <c r="RJS102" s="142"/>
      <c r="RJT102" s="142"/>
      <c r="RJU102" s="142"/>
      <c r="RJV102" s="142"/>
      <c r="RJW102" s="142"/>
      <c r="RJX102" s="142"/>
      <c r="RJY102" s="142"/>
      <c r="RJZ102" s="142"/>
      <c r="RKA102" s="142"/>
      <c r="RKB102" s="142"/>
      <c r="RKC102" s="142"/>
      <c r="RKD102" s="142"/>
      <c r="RKE102" s="142"/>
      <c r="RKF102" s="142"/>
      <c r="RKG102" s="142"/>
      <c r="RKH102" s="142"/>
      <c r="RKI102" s="142"/>
      <c r="RKJ102" s="142"/>
      <c r="RKK102" s="142"/>
      <c r="RKL102" s="142"/>
      <c r="RKM102" s="142"/>
      <c r="RKN102" s="142"/>
      <c r="RKO102" s="142"/>
      <c r="RKP102" s="142"/>
      <c r="RKQ102" s="142"/>
      <c r="RKR102" s="142"/>
      <c r="RKS102" s="142"/>
      <c r="RKT102" s="142"/>
      <c r="RKU102" s="142"/>
      <c r="RKV102" s="142"/>
      <c r="RKW102" s="142"/>
      <c r="RKX102" s="142"/>
      <c r="RKY102" s="142"/>
      <c r="RKZ102" s="142"/>
      <c r="RLA102" s="142"/>
      <c r="RLB102" s="142"/>
      <c r="RLC102" s="142"/>
      <c r="RLD102" s="142"/>
      <c r="RLE102" s="142"/>
      <c r="RLF102" s="142"/>
      <c r="RLG102" s="142"/>
      <c r="RLH102" s="142"/>
      <c r="RLI102" s="142"/>
      <c r="RLJ102" s="142"/>
      <c r="RLK102" s="142"/>
      <c r="RLL102" s="142"/>
      <c r="RLM102" s="142"/>
      <c r="RLN102" s="142"/>
      <c r="RLO102" s="142"/>
      <c r="RLP102" s="142"/>
      <c r="RLQ102" s="142"/>
      <c r="RLR102" s="142"/>
      <c r="RLS102" s="142"/>
      <c r="RLT102" s="142"/>
      <c r="RLU102" s="142"/>
      <c r="RLV102" s="142"/>
      <c r="RLW102" s="142"/>
      <c r="RLX102" s="142"/>
      <c r="RLY102" s="142"/>
      <c r="RLZ102" s="142"/>
      <c r="RMA102" s="142"/>
      <c r="RMB102" s="142"/>
      <c r="RMC102" s="142"/>
      <c r="RMD102" s="142"/>
      <c r="RME102" s="142"/>
      <c r="RMF102" s="142"/>
      <c r="RMG102" s="142"/>
      <c r="RMH102" s="142"/>
      <c r="RMI102" s="142"/>
      <c r="RMJ102" s="142"/>
      <c r="RMK102" s="142"/>
      <c r="RML102" s="142"/>
      <c r="RMM102" s="142"/>
      <c r="RMN102" s="142"/>
      <c r="RMO102" s="142"/>
      <c r="RMP102" s="142"/>
      <c r="RMQ102" s="142"/>
      <c r="RMR102" s="142"/>
      <c r="RMS102" s="142"/>
      <c r="RMT102" s="142"/>
      <c r="RMU102" s="142"/>
      <c r="RMV102" s="142"/>
      <c r="RMW102" s="142"/>
      <c r="RMX102" s="142"/>
      <c r="RMY102" s="142"/>
      <c r="RMZ102" s="142"/>
      <c r="RNA102" s="142"/>
      <c r="RNB102" s="142"/>
      <c r="RNC102" s="142"/>
      <c r="RND102" s="142"/>
      <c r="RNE102" s="142"/>
      <c r="RNF102" s="142"/>
      <c r="RNG102" s="142"/>
      <c r="RNH102" s="142"/>
      <c r="RNI102" s="142"/>
      <c r="RNJ102" s="142"/>
      <c r="RNK102" s="142"/>
      <c r="RNL102" s="142"/>
      <c r="RNM102" s="142"/>
      <c r="RNN102" s="142"/>
      <c r="RNO102" s="142"/>
      <c r="RNP102" s="142"/>
      <c r="RNQ102" s="142"/>
      <c r="RNR102" s="142"/>
      <c r="RNS102" s="142"/>
      <c r="RNT102" s="142"/>
      <c r="RNU102" s="142"/>
      <c r="RNV102" s="142"/>
      <c r="RNW102" s="142"/>
      <c r="RNX102" s="142"/>
      <c r="RNY102" s="142"/>
      <c r="RNZ102" s="142"/>
      <c r="ROA102" s="142"/>
      <c r="ROB102" s="142"/>
      <c r="ROC102" s="142"/>
      <c r="ROD102" s="142"/>
      <c r="ROE102" s="142"/>
      <c r="ROF102" s="142"/>
      <c r="ROG102" s="142"/>
      <c r="ROH102" s="142"/>
      <c r="ROI102" s="142"/>
      <c r="ROJ102" s="142"/>
      <c r="ROK102" s="142"/>
      <c r="ROL102" s="142"/>
      <c r="ROM102" s="142"/>
      <c r="RON102" s="142"/>
      <c r="ROO102" s="142"/>
      <c r="ROP102" s="142"/>
      <c r="ROQ102" s="142"/>
      <c r="ROR102" s="142"/>
      <c r="ROS102" s="142"/>
      <c r="ROT102" s="142"/>
      <c r="ROU102" s="142"/>
      <c r="ROV102" s="142"/>
      <c r="ROW102" s="142"/>
      <c r="ROX102" s="142"/>
      <c r="ROY102" s="142"/>
      <c r="ROZ102" s="142"/>
      <c r="RPA102" s="142"/>
      <c r="RPB102" s="142"/>
      <c r="RPC102" s="142"/>
      <c r="RPD102" s="142"/>
      <c r="RPE102" s="142"/>
      <c r="RPF102" s="142"/>
      <c r="RPG102" s="142"/>
      <c r="RPH102" s="142"/>
      <c r="RPI102" s="142"/>
      <c r="RPJ102" s="142"/>
      <c r="RPK102" s="142"/>
      <c r="RPL102" s="142"/>
      <c r="RPM102" s="142"/>
      <c r="RPN102" s="142"/>
      <c r="RPO102" s="142"/>
      <c r="RPP102" s="142"/>
      <c r="RPQ102" s="142"/>
      <c r="RPR102" s="142"/>
      <c r="RPS102" s="142"/>
      <c r="RPT102" s="142"/>
      <c r="RPU102" s="142"/>
      <c r="RPV102" s="142"/>
      <c r="RPW102" s="142"/>
      <c r="RPX102" s="142"/>
      <c r="RPY102" s="142"/>
      <c r="RPZ102" s="142"/>
      <c r="RQA102" s="142"/>
      <c r="RQB102" s="142"/>
      <c r="RQC102" s="142"/>
      <c r="RQD102" s="142"/>
      <c r="RQE102" s="142"/>
      <c r="RQF102" s="142"/>
      <c r="RQG102" s="142"/>
      <c r="RQH102" s="142"/>
      <c r="RQI102" s="142"/>
      <c r="RQJ102" s="142"/>
      <c r="RQK102" s="142"/>
      <c r="RQL102" s="142"/>
      <c r="RQM102" s="142"/>
      <c r="RQN102" s="142"/>
      <c r="RQO102" s="142"/>
      <c r="RQP102" s="142"/>
      <c r="RQQ102" s="142"/>
      <c r="RQR102" s="142"/>
      <c r="RQS102" s="142"/>
      <c r="RQT102" s="142"/>
      <c r="RQU102" s="142"/>
      <c r="RQV102" s="142"/>
      <c r="RQW102" s="142"/>
      <c r="RQX102" s="142"/>
      <c r="RQY102" s="142"/>
      <c r="RQZ102" s="142"/>
      <c r="RRA102" s="142"/>
      <c r="RRB102" s="142"/>
      <c r="RRC102" s="142"/>
      <c r="RRD102" s="142"/>
      <c r="RRE102" s="142"/>
      <c r="RRF102" s="142"/>
      <c r="RRG102" s="142"/>
      <c r="RRH102" s="142"/>
      <c r="RRI102" s="142"/>
      <c r="RRJ102" s="142"/>
      <c r="RRK102" s="142"/>
      <c r="RRL102" s="142"/>
      <c r="RRM102" s="142"/>
      <c r="RRN102" s="142"/>
      <c r="RRO102" s="142"/>
      <c r="RRP102" s="142"/>
      <c r="RRQ102" s="142"/>
      <c r="RRR102" s="142"/>
      <c r="RRS102" s="142"/>
      <c r="RRT102" s="142"/>
      <c r="RRU102" s="142"/>
      <c r="RRV102" s="142"/>
      <c r="RRW102" s="142"/>
      <c r="RRX102" s="142"/>
      <c r="RRY102" s="142"/>
      <c r="RRZ102" s="142"/>
      <c r="RSA102" s="142"/>
      <c r="RSB102" s="142"/>
      <c r="RSC102" s="142"/>
      <c r="RSD102" s="142"/>
      <c r="RSE102" s="142"/>
      <c r="RSF102" s="142"/>
      <c r="RSG102" s="142"/>
      <c r="RSH102" s="142"/>
      <c r="RSI102" s="142"/>
      <c r="RSJ102" s="142"/>
      <c r="RSK102" s="142"/>
      <c r="RSL102" s="142"/>
      <c r="RSM102" s="142"/>
      <c r="RSN102" s="142"/>
      <c r="RSO102" s="142"/>
      <c r="RSP102" s="142"/>
      <c r="RSQ102" s="142"/>
      <c r="RSR102" s="142"/>
      <c r="RSS102" s="142"/>
      <c r="RST102" s="142"/>
      <c r="RSU102" s="142"/>
      <c r="RSV102" s="142"/>
      <c r="RSW102" s="142"/>
      <c r="RSX102" s="142"/>
      <c r="RSY102" s="142"/>
      <c r="RSZ102" s="142"/>
      <c r="RTA102" s="142"/>
      <c r="RTB102" s="142"/>
      <c r="RTC102" s="142"/>
      <c r="RTD102" s="142"/>
      <c r="RTE102" s="142"/>
      <c r="RTF102" s="142"/>
      <c r="RTG102" s="142"/>
      <c r="RTH102" s="142"/>
      <c r="RTI102" s="142"/>
      <c r="RTJ102" s="142"/>
      <c r="RTK102" s="142"/>
      <c r="RTL102" s="142"/>
      <c r="RTM102" s="142"/>
      <c r="RTN102" s="142"/>
      <c r="RTO102" s="142"/>
      <c r="RTP102" s="142"/>
      <c r="RTQ102" s="142"/>
      <c r="RTR102" s="142"/>
      <c r="RTS102" s="142"/>
      <c r="RTT102" s="142"/>
      <c r="RTU102" s="142"/>
      <c r="RTV102" s="142"/>
      <c r="RTW102" s="142"/>
      <c r="RTX102" s="142"/>
      <c r="RTY102" s="142"/>
      <c r="RTZ102" s="142"/>
      <c r="RUA102" s="142"/>
      <c r="RUB102" s="142"/>
      <c r="RUC102" s="142"/>
      <c r="RUD102" s="142"/>
      <c r="RUE102" s="142"/>
      <c r="RUF102" s="142"/>
      <c r="RUG102" s="142"/>
      <c r="RUH102" s="142"/>
      <c r="RUI102" s="142"/>
      <c r="RUJ102" s="142"/>
      <c r="RUK102" s="142"/>
      <c r="RUL102" s="142"/>
      <c r="RUM102" s="142"/>
      <c r="RUN102" s="142"/>
      <c r="RUO102" s="142"/>
      <c r="RUP102" s="142"/>
      <c r="RUQ102" s="142"/>
      <c r="RUR102" s="142"/>
      <c r="RUS102" s="142"/>
      <c r="RUT102" s="142"/>
      <c r="RUU102" s="142"/>
      <c r="RUV102" s="142"/>
      <c r="RUW102" s="142"/>
      <c r="RUX102" s="142"/>
      <c r="RUY102" s="142"/>
      <c r="RUZ102" s="142"/>
      <c r="RVA102" s="142"/>
      <c r="RVB102" s="142"/>
      <c r="RVC102" s="142"/>
      <c r="RVD102" s="142"/>
      <c r="RVE102" s="142"/>
      <c r="RVF102" s="142"/>
      <c r="RVG102" s="142"/>
      <c r="RVH102" s="142"/>
      <c r="RVI102" s="142"/>
      <c r="RVJ102" s="142"/>
      <c r="RVK102" s="142"/>
      <c r="RVL102" s="142"/>
      <c r="RVM102" s="142"/>
      <c r="RVN102" s="142"/>
      <c r="RVO102" s="142"/>
      <c r="RVP102" s="142"/>
      <c r="RVQ102" s="142"/>
      <c r="RVR102" s="142"/>
      <c r="RVS102" s="142"/>
      <c r="RVT102" s="142"/>
      <c r="RVU102" s="142"/>
      <c r="RVV102" s="142"/>
      <c r="RVW102" s="142"/>
      <c r="RVX102" s="142"/>
      <c r="RVY102" s="142"/>
      <c r="RVZ102" s="142"/>
      <c r="RWA102" s="142"/>
      <c r="RWB102" s="142"/>
      <c r="RWC102" s="142"/>
      <c r="RWD102" s="142"/>
      <c r="RWE102" s="142"/>
      <c r="RWF102" s="142"/>
      <c r="RWG102" s="142"/>
      <c r="RWH102" s="142"/>
      <c r="RWI102" s="142"/>
      <c r="RWJ102" s="142"/>
      <c r="RWK102" s="142"/>
      <c r="RWL102" s="142"/>
      <c r="RWM102" s="142"/>
      <c r="RWN102" s="142"/>
      <c r="RWO102" s="142"/>
      <c r="RWP102" s="142"/>
      <c r="RWQ102" s="142"/>
      <c r="RWR102" s="142"/>
      <c r="RWS102" s="142"/>
      <c r="RWT102" s="142"/>
      <c r="RWU102" s="142"/>
      <c r="RWV102" s="142"/>
      <c r="RWW102" s="142"/>
      <c r="RWX102" s="142"/>
      <c r="RWY102" s="142"/>
      <c r="RWZ102" s="142"/>
      <c r="RXA102" s="142"/>
      <c r="RXB102" s="142"/>
      <c r="RXC102" s="142"/>
      <c r="RXD102" s="142"/>
      <c r="RXE102" s="142"/>
      <c r="RXF102" s="142"/>
      <c r="RXG102" s="142"/>
      <c r="RXH102" s="142"/>
      <c r="RXI102" s="142"/>
      <c r="RXJ102" s="142"/>
      <c r="RXK102" s="142"/>
      <c r="RXL102" s="142"/>
      <c r="RXM102" s="142"/>
      <c r="RXN102" s="142"/>
      <c r="RXO102" s="142"/>
      <c r="RXP102" s="142"/>
      <c r="RXQ102" s="142"/>
      <c r="RXR102" s="142"/>
      <c r="RXS102" s="142"/>
      <c r="RXT102" s="142"/>
      <c r="RXU102" s="142"/>
      <c r="RXV102" s="142"/>
      <c r="RXW102" s="142"/>
      <c r="RXX102" s="142"/>
      <c r="RXY102" s="142"/>
      <c r="RXZ102" s="142"/>
      <c r="RYA102" s="142"/>
      <c r="RYB102" s="142"/>
      <c r="RYC102" s="142"/>
      <c r="RYD102" s="142"/>
      <c r="RYE102" s="142"/>
      <c r="RYF102" s="142"/>
      <c r="RYG102" s="142"/>
      <c r="RYH102" s="142"/>
      <c r="RYI102" s="142"/>
      <c r="RYJ102" s="142"/>
      <c r="RYK102" s="142"/>
      <c r="RYL102" s="142"/>
      <c r="RYM102" s="142"/>
      <c r="RYN102" s="142"/>
      <c r="RYO102" s="142"/>
      <c r="RYP102" s="142"/>
      <c r="RYQ102" s="142"/>
      <c r="RYR102" s="142"/>
      <c r="RYS102" s="142"/>
      <c r="RYT102" s="142"/>
      <c r="RYU102" s="142"/>
      <c r="RYV102" s="142"/>
      <c r="RYW102" s="142"/>
      <c r="RYX102" s="142"/>
      <c r="RYY102" s="142"/>
      <c r="RYZ102" s="142"/>
      <c r="RZA102" s="142"/>
      <c r="RZB102" s="142"/>
      <c r="RZC102" s="142"/>
      <c r="RZD102" s="142"/>
      <c r="RZE102" s="142"/>
      <c r="RZF102" s="142"/>
      <c r="RZG102" s="142"/>
      <c r="RZH102" s="142"/>
      <c r="RZI102" s="142"/>
      <c r="RZJ102" s="142"/>
      <c r="RZK102" s="142"/>
      <c r="RZL102" s="142"/>
      <c r="RZM102" s="142"/>
      <c r="RZN102" s="142"/>
      <c r="RZO102" s="142"/>
      <c r="RZP102" s="142"/>
      <c r="RZQ102" s="142"/>
      <c r="RZR102" s="142"/>
      <c r="RZS102" s="142"/>
      <c r="RZT102" s="142"/>
      <c r="RZU102" s="142"/>
      <c r="RZV102" s="142"/>
      <c r="RZW102" s="142"/>
      <c r="RZX102" s="142"/>
      <c r="RZY102" s="142"/>
      <c r="RZZ102" s="142"/>
      <c r="SAA102" s="142"/>
      <c r="SAB102" s="142"/>
      <c r="SAC102" s="142"/>
      <c r="SAD102" s="142"/>
      <c r="SAE102" s="142"/>
      <c r="SAF102" s="142"/>
      <c r="SAG102" s="142"/>
      <c r="SAH102" s="142"/>
      <c r="SAI102" s="142"/>
      <c r="SAJ102" s="142"/>
      <c r="SAK102" s="142"/>
      <c r="SAL102" s="142"/>
      <c r="SAM102" s="142"/>
      <c r="SAN102" s="142"/>
      <c r="SAO102" s="142"/>
      <c r="SAP102" s="142"/>
      <c r="SAQ102" s="142"/>
      <c r="SAR102" s="142"/>
      <c r="SAS102" s="142"/>
      <c r="SAT102" s="142"/>
      <c r="SAU102" s="142"/>
      <c r="SAV102" s="142"/>
      <c r="SAW102" s="142"/>
      <c r="SAX102" s="142"/>
      <c r="SAY102" s="142"/>
      <c r="SAZ102" s="142"/>
      <c r="SBA102" s="142"/>
      <c r="SBB102" s="142"/>
      <c r="SBC102" s="142"/>
      <c r="SBD102" s="142"/>
      <c r="SBE102" s="142"/>
      <c r="SBF102" s="142"/>
      <c r="SBG102" s="142"/>
      <c r="SBH102" s="142"/>
      <c r="SBI102" s="142"/>
      <c r="SBJ102" s="142"/>
      <c r="SBK102" s="142"/>
      <c r="SBL102" s="142"/>
      <c r="SBM102" s="142"/>
      <c r="SBN102" s="142"/>
      <c r="SBO102" s="142"/>
      <c r="SBP102" s="142"/>
      <c r="SBQ102" s="142"/>
      <c r="SBR102" s="142"/>
      <c r="SBS102" s="142"/>
      <c r="SBT102" s="142"/>
      <c r="SBU102" s="142"/>
      <c r="SBV102" s="142"/>
      <c r="SBW102" s="142"/>
      <c r="SBX102" s="142"/>
      <c r="SBY102" s="142"/>
      <c r="SBZ102" s="142"/>
      <c r="SCA102" s="142"/>
      <c r="SCB102" s="142"/>
      <c r="SCC102" s="142"/>
      <c r="SCD102" s="142"/>
      <c r="SCE102" s="142"/>
      <c r="SCF102" s="142"/>
      <c r="SCG102" s="142"/>
      <c r="SCH102" s="142"/>
      <c r="SCI102" s="142"/>
      <c r="SCJ102" s="142"/>
      <c r="SCK102" s="142"/>
      <c r="SCL102" s="142"/>
      <c r="SCM102" s="142"/>
      <c r="SCN102" s="142"/>
      <c r="SCO102" s="142"/>
      <c r="SCP102" s="142"/>
      <c r="SCQ102" s="142"/>
      <c r="SCR102" s="142"/>
      <c r="SCS102" s="142"/>
      <c r="SCT102" s="142"/>
      <c r="SCU102" s="142"/>
      <c r="SCV102" s="142"/>
      <c r="SCW102" s="142"/>
      <c r="SCX102" s="142"/>
      <c r="SCY102" s="142"/>
      <c r="SCZ102" s="142"/>
      <c r="SDA102" s="142"/>
      <c r="SDB102" s="142"/>
      <c r="SDC102" s="142"/>
      <c r="SDD102" s="142"/>
      <c r="SDE102" s="142"/>
      <c r="SDF102" s="142"/>
      <c r="SDG102" s="142"/>
      <c r="SDH102" s="142"/>
      <c r="SDI102" s="142"/>
      <c r="SDJ102" s="142"/>
      <c r="SDK102" s="142"/>
      <c r="SDL102" s="142"/>
      <c r="SDM102" s="142"/>
      <c r="SDN102" s="142"/>
      <c r="SDO102" s="142"/>
      <c r="SDP102" s="142"/>
      <c r="SDQ102" s="142"/>
      <c r="SDR102" s="142"/>
      <c r="SDS102" s="142"/>
      <c r="SDT102" s="142"/>
      <c r="SDU102" s="142"/>
      <c r="SDV102" s="142"/>
      <c r="SDW102" s="142"/>
      <c r="SDX102" s="142"/>
      <c r="SDY102" s="142"/>
      <c r="SDZ102" s="142"/>
      <c r="SEA102" s="142"/>
      <c r="SEB102" s="142"/>
      <c r="SEC102" s="142"/>
      <c r="SED102" s="142"/>
      <c r="SEE102" s="142"/>
      <c r="SEF102" s="142"/>
      <c r="SEG102" s="142"/>
      <c r="SEH102" s="142"/>
      <c r="SEI102" s="142"/>
      <c r="SEJ102" s="142"/>
      <c r="SEK102" s="142"/>
      <c r="SEL102" s="142"/>
      <c r="SEM102" s="142"/>
      <c r="SEN102" s="142"/>
      <c r="SEO102" s="142"/>
      <c r="SEP102" s="142"/>
      <c r="SEQ102" s="142"/>
      <c r="SER102" s="142"/>
      <c r="SES102" s="142"/>
      <c r="SET102" s="142"/>
      <c r="SEU102" s="142"/>
      <c r="SEV102" s="142"/>
      <c r="SEW102" s="142"/>
      <c r="SEX102" s="142"/>
      <c r="SEY102" s="142"/>
      <c r="SEZ102" s="142"/>
      <c r="SFA102" s="142"/>
      <c r="SFB102" s="142"/>
      <c r="SFC102" s="142"/>
      <c r="SFD102" s="142"/>
      <c r="SFE102" s="142"/>
      <c r="SFF102" s="142"/>
      <c r="SFG102" s="142"/>
      <c r="SFH102" s="142"/>
      <c r="SFI102" s="142"/>
      <c r="SFJ102" s="142"/>
      <c r="SFK102" s="142"/>
      <c r="SFL102" s="142"/>
      <c r="SFM102" s="142"/>
      <c r="SFN102" s="142"/>
      <c r="SFO102" s="142"/>
      <c r="SFP102" s="142"/>
      <c r="SFQ102" s="142"/>
      <c r="SFR102" s="142"/>
      <c r="SFS102" s="142"/>
      <c r="SFT102" s="142"/>
      <c r="SFU102" s="142"/>
      <c r="SFV102" s="142"/>
      <c r="SFW102" s="142"/>
      <c r="SFX102" s="142"/>
      <c r="SFY102" s="142"/>
      <c r="SFZ102" s="142"/>
      <c r="SGA102" s="142"/>
      <c r="SGB102" s="142"/>
      <c r="SGC102" s="142"/>
      <c r="SGD102" s="142"/>
      <c r="SGE102" s="142"/>
      <c r="SGF102" s="142"/>
      <c r="SGG102" s="142"/>
      <c r="SGH102" s="142"/>
      <c r="SGI102" s="142"/>
      <c r="SGJ102" s="142"/>
      <c r="SGK102" s="142"/>
      <c r="SGL102" s="142"/>
      <c r="SGM102" s="142"/>
      <c r="SGN102" s="142"/>
      <c r="SGO102" s="142"/>
      <c r="SGP102" s="142"/>
      <c r="SGQ102" s="142"/>
      <c r="SGR102" s="142"/>
      <c r="SGS102" s="142"/>
      <c r="SGT102" s="142"/>
      <c r="SGU102" s="142"/>
      <c r="SGV102" s="142"/>
      <c r="SGW102" s="142"/>
      <c r="SGX102" s="142"/>
      <c r="SGY102" s="142"/>
      <c r="SGZ102" s="142"/>
      <c r="SHA102" s="142"/>
      <c r="SHB102" s="142"/>
      <c r="SHC102" s="142"/>
      <c r="SHD102" s="142"/>
      <c r="SHE102" s="142"/>
      <c r="SHF102" s="142"/>
      <c r="SHG102" s="142"/>
      <c r="SHH102" s="142"/>
      <c r="SHI102" s="142"/>
      <c r="SHJ102" s="142"/>
      <c r="SHK102" s="142"/>
      <c r="SHL102" s="142"/>
      <c r="SHM102" s="142"/>
      <c r="SHN102" s="142"/>
      <c r="SHO102" s="142"/>
      <c r="SHP102" s="142"/>
      <c r="SHQ102" s="142"/>
      <c r="SHR102" s="142"/>
      <c r="SHS102" s="142"/>
      <c r="SHT102" s="142"/>
      <c r="SHU102" s="142"/>
      <c r="SHV102" s="142"/>
      <c r="SHW102" s="142"/>
      <c r="SHX102" s="142"/>
      <c r="SHY102" s="142"/>
      <c r="SHZ102" s="142"/>
      <c r="SIA102" s="142"/>
      <c r="SIB102" s="142"/>
      <c r="SIC102" s="142"/>
      <c r="SID102" s="142"/>
      <c r="SIE102" s="142"/>
      <c r="SIF102" s="142"/>
      <c r="SIG102" s="142"/>
      <c r="SIH102" s="142"/>
      <c r="SII102" s="142"/>
      <c r="SIJ102" s="142"/>
      <c r="SIK102" s="142"/>
      <c r="SIL102" s="142"/>
      <c r="SIM102" s="142"/>
      <c r="SIN102" s="142"/>
      <c r="SIO102" s="142"/>
      <c r="SIP102" s="142"/>
      <c r="SIQ102" s="142"/>
      <c r="SIR102" s="142"/>
      <c r="SIS102" s="142"/>
      <c r="SIT102" s="142"/>
      <c r="SIU102" s="142"/>
      <c r="SIV102" s="142"/>
      <c r="SIW102" s="142"/>
      <c r="SIX102" s="142"/>
      <c r="SIY102" s="142"/>
      <c r="SIZ102" s="142"/>
      <c r="SJA102" s="142"/>
      <c r="SJB102" s="142"/>
      <c r="SJC102" s="142"/>
      <c r="SJD102" s="142"/>
      <c r="SJE102" s="142"/>
      <c r="SJF102" s="142"/>
      <c r="SJG102" s="142"/>
      <c r="SJH102" s="142"/>
      <c r="SJI102" s="142"/>
      <c r="SJJ102" s="142"/>
      <c r="SJK102" s="142"/>
      <c r="SJL102" s="142"/>
      <c r="SJM102" s="142"/>
      <c r="SJN102" s="142"/>
      <c r="SJO102" s="142"/>
      <c r="SJP102" s="142"/>
      <c r="SJQ102" s="142"/>
      <c r="SJR102" s="142"/>
      <c r="SJS102" s="142"/>
      <c r="SJT102" s="142"/>
      <c r="SJU102" s="142"/>
      <c r="SJV102" s="142"/>
      <c r="SJW102" s="142"/>
      <c r="SJX102" s="142"/>
      <c r="SJY102" s="142"/>
      <c r="SJZ102" s="142"/>
      <c r="SKA102" s="142"/>
      <c r="SKB102" s="142"/>
      <c r="SKC102" s="142"/>
      <c r="SKD102" s="142"/>
      <c r="SKE102" s="142"/>
      <c r="SKF102" s="142"/>
      <c r="SKG102" s="142"/>
      <c r="SKH102" s="142"/>
      <c r="SKI102" s="142"/>
      <c r="SKJ102" s="142"/>
      <c r="SKK102" s="142"/>
      <c r="SKL102" s="142"/>
      <c r="SKM102" s="142"/>
      <c r="SKN102" s="142"/>
      <c r="SKO102" s="142"/>
      <c r="SKP102" s="142"/>
      <c r="SKQ102" s="142"/>
      <c r="SKR102" s="142"/>
      <c r="SKS102" s="142"/>
      <c r="SKT102" s="142"/>
      <c r="SKU102" s="142"/>
      <c r="SKV102" s="142"/>
      <c r="SKW102" s="142"/>
      <c r="SKX102" s="142"/>
      <c r="SKY102" s="142"/>
      <c r="SKZ102" s="142"/>
      <c r="SLA102" s="142"/>
      <c r="SLB102" s="142"/>
      <c r="SLC102" s="142"/>
      <c r="SLD102" s="142"/>
      <c r="SLE102" s="142"/>
      <c r="SLF102" s="142"/>
      <c r="SLG102" s="142"/>
      <c r="SLH102" s="142"/>
      <c r="SLI102" s="142"/>
      <c r="SLJ102" s="142"/>
      <c r="SLK102" s="142"/>
      <c r="SLL102" s="142"/>
      <c r="SLM102" s="142"/>
      <c r="SLN102" s="142"/>
      <c r="SLO102" s="142"/>
      <c r="SLP102" s="142"/>
      <c r="SLQ102" s="142"/>
      <c r="SLR102" s="142"/>
      <c r="SLS102" s="142"/>
      <c r="SLT102" s="142"/>
      <c r="SLU102" s="142"/>
      <c r="SLV102" s="142"/>
      <c r="SLW102" s="142"/>
      <c r="SLX102" s="142"/>
      <c r="SLY102" s="142"/>
      <c r="SLZ102" s="142"/>
      <c r="SMA102" s="142"/>
      <c r="SMB102" s="142"/>
      <c r="SMC102" s="142"/>
      <c r="SMD102" s="142"/>
      <c r="SME102" s="142"/>
      <c r="SMF102" s="142"/>
      <c r="SMG102" s="142"/>
      <c r="SMH102" s="142"/>
      <c r="SMI102" s="142"/>
      <c r="SMJ102" s="142"/>
      <c r="SMK102" s="142"/>
      <c r="SML102" s="142"/>
      <c r="SMM102" s="142"/>
      <c r="SMN102" s="142"/>
      <c r="SMO102" s="142"/>
      <c r="SMP102" s="142"/>
      <c r="SMQ102" s="142"/>
      <c r="SMR102" s="142"/>
      <c r="SMS102" s="142"/>
      <c r="SMT102" s="142"/>
      <c r="SMU102" s="142"/>
      <c r="SMV102" s="142"/>
      <c r="SMW102" s="142"/>
      <c r="SMX102" s="142"/>
      <c r="SMY102" s="142"/>
      <c r="SMZ102" s="142"/>
      <c r="SNA102" s="142"/>
      <c r="SNB102" s="142"/>
      <c r="SNC102" s="142"/>
      <c r="SND102" s="142"/>
      <c r="SNE102" s="142"/>
      <c r="SNF102" s="142"/>
      <c r="SNG102" s="142"/>
      <c r="SNH102" s="142"/>
      <c r="SNI102" s="142"/>
      <c r="SNJ102" s="142"/>
      <c r="SNK102" s="142"/>
      <c r="SNL102" s="142"/>
      <c r="SNM102" s="142"/>
      <c r="SNN102" s="142"/>
      <c r="SNO102" s="142"/>
      <c r="SNP102" s="142"/>
      <c r="SNQ102" s="142"/>
      <c r="SNR102" s="142"/>
      <c r="SNS102" s="142"/>
      <c r="SNT102" s="142"/>
      <c r="SNU102" s="142"/>
      <c r="SNV102" s="142"/>
      <c r="SNW102" s="142"/>
      <c r="SNX102" s="142"/>
      <c r="SNY102" s="142"/>
      <c r="SNZ102" s="142"/>
      <c r="SOA102" s="142"/>
      <c r="SOB102" s="142"/>
      <c r="SOC102" s="142"/>
      <c r="SOD102" s="142"/>
      <c r="SOE102" s="142"/>
      <c r="SOF102" s="142"/>
      <c r="SOG102" s="142"/>
      <c r="SOH102" s="142"/>
      <c r="SOI102" s="142"/>
      <c r="SOJ102" s="142"/>
      <c r="SOK102" s="142"/>
      <c r="SOL102" s="142"/>
      <c r="SOM102" s="142"/>
      <c r="SON102" s="142"/>
      <c r="SOO102" s="142"/>
      <c r="SOP102" s="142"/>
      <c r="SOQ102" s="142"/>
      <c r="SOR102" s="142"/>
      <c r="SOS102" s="142"/>
      <c r="SOT102" s="142"/>
      <c r="SOU102" s="142"/>
      <c r="SOV102" s="142"/>
      <c r="SOW102" s="142"/>
      <c r="SOX102" s="142"/>
      <c r="SOY102" s="142"/>
      <c r="SOZ102" s="142"/>
      <c r="SPA102" s="142"/>
      <c r="SPB102" s="142"/>
      <c r="SPC102" s="142"/>
      <c r="SPD102" s="142"/>
      <c r="SPE102" s="142"/>
      <c r="SPF102" s="142"/>
      <c r="SPG102" s="142"/>
      <c r="SPH102" s="142"/>
      <c r="SPI102" s="142"/>
      <c r="SPJ102" s="142"/>
      <c r="SPK102" s="142"/>
      <c r="SPL102" s="142"/>
      <c r="SPM102" s="142"/>
      <c r="SPN102" s="142"/>
      <c r="SPO102" s="142"/>
      <c r="SPP102" s="142"/>
      <c r="SPQ102" s="142"/>
      <c r="SPR102" s="142"/>
      <c r="SPS102" s="142"/>
      <c r="SPT102" s="142"/>
      <c r="SPU102" s="142"/>
      <c r="SPV102" s="142"/>
      <c r="SPW102" s="142"/>
      <c r="SPX102" s="142"/>
      <c r="SPY102" s="142"/>
      <c r="SPZ102" s="142"/>
      <c r="SQA102" s="142"/>
      <c r="SQB102" s="142"/>
      <c r="SQC102" s="142"/>
      <c r="SQD102" s="142"/>
      <c r="SQE102" s="142"/>
      <c r="SQF102" s="142"/>
      <c r="SQG102" s="142"/>
      <c r="SQH102" s="142"/>
      <c r="SQI102" s="142"/>
      <c r="SQJ102" s="142"/>
      <c r="SQK102" s="142"/>
      <c r="SQL102" s="142"/>
      <c r="SQM102" s="142"/>
      <c r="SQN102" s="142"/>
      <c r="SQO102" s="142"/>
      <c r="SQP102" s="142"/>
      <c r="SQQ102" s="142"/>
      <c r="SQR102" s="142"/>
      <c r="SQS102" s="142"/>
      <c r="SQT102" s="142"/>
      <c r="SQU102" s="142"/>
      <c r="SQV102" s="142"/>
      <c r="SQW102" s="142"/>
      <c r="SQX102" s="142"/>
      <c r="SQY102" s="142"/>
      <c r="SQZ102" s="142"/>
      <c r="SRA102" s="142"/>
      <c r="SRB102" s="142"/>
      <c r="SRC102" s="142"/>
      <c r="SRD102" s="142"/>
      <c r="SRE102" s="142"/>
      <c r="SRF102" s="142"/>
      <c r="SRG102" s="142"/>
      <c r="SRH102" s="142"/>
      <c r="SRI102" s="142"/>
      <c r="SRJ102" s="142"/>
      <c r="SRK102" s="142"/>
      <c r="SRL102" s="142"/>
      <c r="SRM102" s="142"/>
      <c r="SRN102" s="142"/>
      <c r="SRO102" s="142"/>
      <c r="SRP102" s="142"/>
      <c r="SRQ102" s="142"/>
      <c r="SRR102" s="142"/>
      <c r="SRS102" s="142"/>
      <c r="SRT102" s="142"/>
      <c r="SRU102" s="142"/>
      <c r="SRV102" s="142"/>
      <c r="SRW102" s="142"/>
      <c r="SRX102" s="142"/>
      <c r="SRY102" s="142"/>
      <c r="SRZ102" s="142"/>
      <c r="SSA102" s="142"/>
      <c r="SSB102" s="142"/>
      <c r="SSC102" s="142"/>
      <c r="SSD102" s="142"/>
      <c r="SSE102" s="142"/>
      <c r="SSF102" s="142"/>
      <c r="SSG102" s="142"/>
      <c r="SSH102" s="142"/>
      <c r="SSI102" s="142"/>
      <c r="SSJ102" s="142"/>
      <c r="SSK102" s="142"/>
      <c r="SSL102" s="142"/>
      <c r="SSM102" s="142"/>
      <c r="SSN102" s="142"/>
      <c r="SSO102" s="142"/>
      <c r="SSP102" s="142"/>
      <c r="SSQ102" s="142"/>
      <c r="SSR102" s="142"/>
      <c r="SSS102" s="142"/>
      <c r="SST102" s="142"/>
      <c r="SSU102" s="142"/>
      <c r="SSV102" s="142"/>
      <c r="SSW102" s="142"/>
      <c r="SSX102" s="142"/>
      <c r="SSY102" s="142"/>
      <c r="SSZ102" s="142"/>
      <c r="STA102" s="142"/>
      <c r="STB102" s="142"/>
      <c r="STC102" s="142"/>
      <c r="STD102" s="142"/>
      <c r="STE102" s="142"/>
      <c r="STF102" s="142"/>
      <c r="STG102" s="142"/>
      <c r="STH102" s="142"/>
      <c r="STI102" s="142"/>
      <c r="STJ102" s="142"/>
      <c r="STK102" s="142"/>
      <c r="STL102" s="142"/>
      <c r="STM102" s="142"/>
      <c r="STN102" s="142"/>
      <c r="STO102" s="142"/>
      <c r="STP102" s="142"/>
      <c r="STQ102" s="142"/>
      <c r="STR102" s="142"/>
      <c r="STS102" s="142"/>
      <c r="STT102" s="142"/>
      <c r="STU102" s="142"/>
      <c r="STV102" s="142"/>
      <c r="STW102" s="142"/>
      <c r="STX102" s="142"/>
      <c r="STY102" s="142"/>
      <c r="STZ102" s="142"/>
      <c r="SUA102" s="142"/>
      <c r="SUB102" s="142"/>
      <c r="SUC102" s="142"/>
      <c r="SUD102" s="142"/>
      <c r="SUE102" s="142"/>
      <c r="SUF102" s="142"/>
      <c r="SUG102" s="142"/>
      <c r="SUH102" s="142"/>
      <c r="SUI102" s="142"/>
      <c r="SUJ102" s="142"/>
      <c r="SUK102" s="142"/>
      <c r="SUL102" s="142"/>
      <c r="SUM102" s="142"/>
      <c r="SUN102" s="142"/>
      <c r="SUO102" s="142"/>
      <c r="SUP102" s="142"/>
      <c r="SUQ102" s="142"/>
      <c r="SUR102" s="142"/>
      <c r="SUS102" s="142"/>
      <c r="SUT102" s="142"/>
      <c r="SUU102" s="142"/>
      <c r="SUV102" s="142"/>
      <c r="SUW102" s="142"/>
      <c r="SUX102" s="142"/>
      <c r="SUY102" s="142"/>
      <c r="SUZ102" s="142"/>
      <c r="SVA102" s="142"/>
      <c r="SVB102" s="142"/>
      <c r="SVC102" s="142"/>
      <c r="SVD102" s="142"/>
      <c r="SVE102" s="142"/>
      <c r="SVF102" s="142"/>
      <c r="SVG102" s="142"/>
      <c r="SVH102" s="142"/>
      <c r="SVI102" s="142"/>
      <c r="SVJ102" s="142"/>
      <c r="SVK102" s="142"/>
      <c r="SVL102" s="142"/>
      <c r="SVM102" s="142"/>
      <c r="SVN102" s="142"/>
      <c r="SVO102" s="142"/>
      <c r="SVP102" s="142"/>
      <c r="SVQ102" s="142"/>
      <c r="SVR102" s="142"/>
      <c r="SVS102" s="142"/>
      <c r="SVT102" s="142"/>
      <c r="SVU102" s="142"/>
      <c r="SVV102" s="142"/>
      <c r="SVW102" s="142"/>
      <c r="SVX102" s="142"/>
      <c r="SVY102" s="142"/>
      <c r="SVZ102" s="142"/>
      <c r="SWA102" s="142"/>
      <c r="SWB102" s="142"/>
      <c r="SWC102" s="142"/>
      <c r="SWD102" s="142"/>
      <c r="SWE102" s="142"/>
      <c r="SWF102" s="142"/>
      <c r="SWG102" s="142"/>
      <c r="SWH102" s="142"/>
      <c r="SWI102" s="142"/>
      <c r="SWJ102" s="142"/>
      <c r="SWK102" s="142"/>
      <c r="SWL102" s="142"/>
      <c r="SWM102" s="142"/>
      <c r="SWN102" s="142"/>
      <c r="SWO102" s="142"/>
      <c r="SWP102" s="142"/>
      <c r="SWQ102" s="142"/>
      <c r="SWR102" s="142"/>
      <c r="SWS102" s="142"/>
      <c r="SWT102" s="142"/>
      <c r="SWU102" s="142"/>
      <c r="SWV102" s="142"/>
      <c r="SWW102" s="142"/>
      <c r="SWX102" s="142"/>
      <c r="SWY102" s="142"/>
      <c r="SWZ102" s="142"/>
      <c r="SXA102" s="142"/>
      <c r="SXB102" s="142"/>
      <c r="SXC102" s="142"/>
      <c r="SXD102" s="142"/>
      <c r="SXE102" s="142"/>
      <c r="SXF102" s="142"/>
      <c r="SXG102" s="142"/>
      <c r="SXH102" s="142"/>
      <c r="SXI102" s="142"/>
      <c r="SXJ102" s="142"/>
      <c r="SXK102" s="142"/>
      <c r="SXL102" s="142"/>
      <c r="SXM102" s="142"/>
      <c r="SXN102" s="142"/>
      <c r="SXO102" s="142"/>
      <c r="SXP102" s="142"/>
      <c r="SXQ102" s="142"/>
      <c r="SXR102" s="142"/>
      <c r="SXS102" s="142"/>
      <c r="SXT102" s="142"/>
      <c r="SXU102" s="142"/>
      <c r="SXV102" s="142"/>
      <c r="SXW102" s="142"/>
      <c r="SXX102" s="142"/>
      <c r="SXY102" s="142"/>
      <c r="SXZ102" s="142"/>
      <c r="SYA102" s="142"/>
      <c r="SYB102" s="142"/>
      <c r="SYC102" s="142"/>
      <c r="SYD102" s="142"/>
      <c r="SYE102" s="142"/>
      <c r="SYF102" s="142"/>
      <c r="SYG102" s="142"/>
      <c r="SYH102" s="142"/>
      <c r="SYI102" s="142"/>
      <c r="SYJ102" s="142"/>
      <c r="SYK102" s="142"/>
      <c r="SYL102" s="142"/>
      <c r="SYM102" s="142"/>
      <c r="SYN102" s="142"/>
      <c r="SYO102" s="142"/>
      <c r="SYP102" s="142"/>
      <c r="SYQ102" s="142"/>
      <c r="SYR102" s="142"/>
      <c r="SYS102" s="142"/>
      <c r="SYT102" s="142"/>
      <c r="SYU102" s="142"/>
      <c r="SYV102" s="142"/>
      <c r="SYW102" s="142"/>
      <c r="SYX102" s="142"/>
      <c r="SYY102" s="142"/>
      <c r="SYZ102" s="142"/>
      <c r="SZA102" s="142"/>
      <c r="SZB102" s="142"/>
      <c r="SZC102" s="142"/>
      <c r="SZD102" s="142"/>
      <c r="SZE102" s="142"/>
      <c r="SZF102" s="142"/>
      <c r="SZG102" s="142"/>
      <c r="SZH102" s="142"/>
      <c r="SZI102" s="142"/>
      <c r="SZJ102" s="142"/>
      <c r="SZK102" s="142"/>
      <c r="SZL102" s="142"/>
      <c r="SZM102" s="142"/>
      <c r="SZN102" s="142"/>
      <c r="SZO102" s="142"/>
      <c r="SZP102" s="142"/>
      <c r="SZQ102" s="142"/>
      <c r="SZR102" s="142"/>
      <c r="SZS102" s="142"/>
      <c r="SZT102" s="142"/>
      <c r="SZU102" s="142"/>
      <c r="SZV102" s="142"/>
      <c r="SZW102" s="142"/>
      <c r="SZX102" s="142"/>
      <c r="SZY102" s="142"/>
      <c r="SZZ102" s="142"/>
      <c r="TAA102" s="142"/>
      <c r="TAB102" s="142"/>
      <c r="TAC102" s="142"/>
      <c r="TAD102" s="142"/>
      <c r="TAE102" s="142"/>
      <c r="TAF102" s="142"/>
      <c r="TAG102" s="142"/>
      <c r="TAH102" s="142"/>
      <c r="TAI102" s="142"/>
      <c r="TAJ102" s="142"/>
      <c r="TAK102" s="142"/>
      <c r="TAL102" s="142"/>
      <c r="TAM102" s="142"/>
      <c r="TAN102" s="142"/>
      <c r="TAO102" s="142"/>
      <c r="TAP102" s="142"/>
      <c r="TAQ102" s="142"/>
      <c r="TAR102" s="142"/>
      <c r="TAS102" s="142"/>
      <c r="TAT102" s="142"/>
      <c r="TAU102" s="142"/>
      <c r="TAV102" s="142"/>
      <c r="TAW102" s="142"/>
      <c r="TAX102" s="142"/>
      <c r="TAY102" s="142"/>
      <c r="TAZ102" s="142"/>
      <c r="TBA102" s="142"/>
      <c r="TBB102" s="142"/>
      <c r="TBC102" s="142"/>
      <c r="TBD102" s="142"/>
      <c r="TBE102" s="142"/>
      <c r="TBF102" s="142"/>
      <c r="TBG102" s="142"/>
      <c r="TBH102" s="142"/>
      <c r="TBI102" s="142"/>
      <c r="TBJ102" s="142"/>
      <c r="TBK102" s="142"/>
      <c r="TBL102" s="142"/>
      <c r="TBM102" s="142"/>
      <c r="TBN102" s="142"/>
      <c r="TBO102" s="142"/>
      <c r="TBP102" s="142"/>
      <c r="TBQ102" s="142"/>
      <c r="TBR102" s="142"/>
      <c r="TBS102" s="142"/>
      <c r="TBT102" s="142"/>
      <c r="TBU102" s="142"/>
      <c r="TBV102" s="142"/>
      <c r="TBW102" s="142"/>
      <c r="TBX102" s="142"/>
      <c r="TBY102" s="142"/>
      <c r="TBZ102" s="142"/>
      <c r="TCA102" s="142"/>
      <c r="TCB102" s="142"/>
      <c r="TCC102" s="142"/>
      <c r="TCD102" s="142"/>
      <c r="TCE102" s="142"/>
      <c r="TCF102" s="142"/>
      <c r="TCG102" s="142"/>
      <c r="TCH102" s="142"/>
      <c r="TCI102" s="142"/>
      <c r="TCJ102" s="142"/>
      <c r="TCK102" s="142"/>
      <c r="TCL102" s="142"/>
      <c r="TCM102" s="142"/>
      <c r="TCN102" s="142"/>
      <c r="TCO102" s="142"/>
      <c r="TCP102" s="142"/>
      <c r="TCQ102" s="142"/>
      <c r="TCR102" s="142"/>
      <c r="TCS102" s="142"/>
      <c r="TCT102" s="142"/>
      <c r="TCU102" s="142"/>
      <c r="TCV102" s="142"/>
      <c r="TCW102" s="142"/>
      <c r="TCX102" s="142"/>
      <c r="TCY102" s="142"/>
      <c r="TCZ102" s="142"/>
      <c r="TDA102" s="142"/>
      <c r="TDB102" s="142"/>
      <c r="TDC102" s="142"/>
      <c r="TDD102" s="142"/>
      <c r="TDE102" s="142"/>
      <c r="TDF102" s="142"/>
      <c r="TDG102" s="142"/>
      <c r="TDH102" s="142"/>
      <c r="TDI102" s="142"/>
      <c r="TDJ102" s="142"/>
      <c r="TDK102" s="142"/>
      <c r="TDL102" s="142"/>
      <c r="TDM102" s="142"/>
      <c r="TDN102" s="142"/>
      <c r="TDO102" s="142"/>
      <c r="TDP102" s="142"/>
      <c r="TDQ102" s="142"/>
      <c r="TDR102" s="142"/>
      <c r="TDS102" s="142"/>
      <c r="TDT102" s="142"/>
      <c r="TDU102" s="142"/>
      <c r="TDV102" s="142"/>
      <c r="TDW102" s="142"/>
      <c r="TDX102" s="142"/>
      <c r="TDY102" s="142"/>
      <c r="TDZ102" s="142"/>
      <c r="TEA102" s="142"/>
      <c r="TEB102" s="142"/>
      <c r="TEC102" s="142"/>
      <c r="TED102" s="142"/>
      <c r="TEE102" s="142"/>
      <c r="TEF102" s="142"/>
      <c r="TEG102" s="142"/>
      <c r="TEH102" s="142"/>
      <c r="TEI102" s="142"/>
      <c r="TEJ102" s="142"/>
      <c r="TEK102" s="142"/>
      <c r="TEL102" s="142"/>
      <c r="TEM102" s="142"/>
      <c r="TEN102" s="142"/>
      <c r="TEO102" s="142"/>
      <c r="TEP102" s="142"/>
      <c r="TEQ102" s="142"/>
      <c r="TER102" s="142"/>
      <c r="TES102" s="142"/>
      <c r="TET102" s="142"/>
      <c r="TEU102" s="142"/>
      <c r="TEV102" s="142"/>
      <c r="TEW102" s="142"/>
      <c r="TEX102" s="142"/>
      <c r="TEY102" s="142"/>
      <c r="TEZ102" s="142"/>
      <c r="TFA102" s="142"/>
      <c r="TFB102" s="142"/>
      <c r="TFC102" s="142"/>
      <c r="TFD102" s="142"/>
      <c r="TFE102" s="142"/>
      <c r="TFF102" s="142"/>
      <c r="TFG102" s="142"/>
      <c r="TFH102" s="142"/>
      <c r="TFI102" s="142"/>
      <c r="TFJ102" s="142"/>
      <c r="TFK102" s="142"/>
      <c r="TFL102" s="142"/>
      <c r="TFM102" s="142"/>
      <c r="TFN102" s="142"/>
      <c r="TFO102" s="142"/>
      <c r="TFP102" s="142"/>
      <c r="TFQ102" s="142"/>
      <c r="TFR102" s="142"/>
      <c r="TFS102" s="142"/>
      <c r="TFT102" s="142"/>
      <c r="TFU102" s="142"/>
      <c r="TFV102" s="142"/>
      <c r="TFW102" s="142"/>
      <c r="TFX102" s="142"/>
      <c r="TFY102" s="142"/>
      <c r="TFZ102" s="142"/>
      <c r="TGA102" s="142"/>
      <c r="TGB102" s="142"/>
      <c r="TGC102" s="142"/>
      <c r="TGD102" s="142"/>
      <c r="TGE102" s="142"/>
      <c r="TGF102" s="142"/>
      <c r="TGG102" s="142"/>
      <c r="TGH102" s="142"/>
      <c r="TGI102" s="142"/>
      <c r="TGJ102" s="142"/>
      <c r="TGK102" s="142"/>
      <c r="TGL102" s="142"/>
      <c r="TGM102" s="142"/>
      <c r="TGN102" s="142"/>
      <c r="TGO102" s="142"/>
      <c r="TGP102" s="142"/>
      <c r="TGQ102" s="142"/>
      <c r="TGR102" s="142"/>
      <c r="TGS102" s="142"/>
      <c r="TGT102" s="142"/>
      <c r="TGU102" s="142"/>
      <c r="TGV102" s="142"/>
      <c r="TGW102" s="142"/>
      <c r="TGX102" s="142"/>
      <c r="TGY102" s="142"/>
      <c r="TGZ102" s="142"/>
      <c r="THA102" s="142"/>
      <c r="THB102" s="142"/>
      <c r="THC102" s="142"/>
      <c r="THD102" s="142"/>
      <c r="THE102" s="142"/>
      <c r="THF102" s="142"/>
      <c r="THG102" s="142"/>
      <c r="THH102" s="142"/>
      <c r="THI102" s="142"/>
      <c r="THJ102" s="142"/>
      <c r="THK102" s="142"/>
      <c r="THL102" s="142"/>
      <c r="THM102" s="142"/>
      <c r="THN102" s="142"/>
      <c r="THO102" s="142"/>
      <c r="THP102" s="142"/>
      <c r="THQ102" s="142"/>
      <c r="THR102" s="142"/>
      <c r="THS102" s="142"/>
      <c r="THT102" s="142"/>
      <c r="THU102" s="142"/>
      <c r="THV102" s="142"/>
      <c r="THW102" s="142"/>
      <c r="THX102" s="142"/>
      <c r="THY102" s="142"/>
      <c r="THZ102" s="142"/>
      <c r="TIA102" s="142"/>
      <c r="TIB102" s="142"/>
      <c r="TIC102" s="142"/>
      <c r="TID102" s="142"/>
      <c r="TIE102" s="142"/>
      <c r="TIF102" s="142"/>
      <c r="TIG102" s="142"/>
      <c r="TIH102" s="142"/>
      <c r="TII102" s="142"/>
      <c r="TIJ102" s="142"/>
      <c r="TIK102" s="142"/>
      <c r="TIL102" s="142"/>
      <c r="TIM102" s="142"/>
      <c r="TIN102" s="142"/>
      <c r="TIO102" s="142"/>
      <c r="TIP102" s="142"/>
      <c r="TIQ102" s="142"/>
      <c r="TIR102" s="142"/>
      <c r="TIS102" s="142"/>
      <c r="TIT102" s="142"/>
      <c r="TIU102" s="142"/>
      <c r="TIV102" s="142"/>
      <c r="TIW102" s="142"/>
      <c r="TIX102" s="142"/>
      <c r="TIY102" s="142"/>
      <c r="TIZ102" s="142"/>
      <c r="TJA102" s="142"/>
      <c r="TJB102" s="142"/>
      <c r="TJC102" s="142"/>
      <c r="TJD102" s="142"/>
      <c r="TJE102" s="142"/>
      <c r="TJF102" s="142"/>
      <c r="TJG102" s="142"/>
      <c r="TJH102" s="142"/>
      <c r="TJI102" s="142"/>
      <c r="TJJ102" s="142"/>
      <c r="TJK102" s="142"/>
      <c r="TJL102" s="142"/>
      <c r="TJM102" s="142"/>
      <c r="TJN102" s="142"/>
      <c r="TJO102" s="142"/>
      <c r="TJP102" s="142"/>
      <c r="TJQ102" s="142"/>
      <c r="TJR102" s="142"/>
      <c r="TJS102" s="142"/>
      <c r="TJT102" s="142"/>
      <c r="TJU102" s="142"/>
      <c r="TJV102" s="142"/>
      <c r="TJW102" s="142"/>
      <c r="TJX102" s="142"/>
      <c r="TJY102" s="142"/>
      <c r="TJZ102" s="142"/>
      <c r="TKA102" s="142"/>
      <c r="TKB102" s="142"/>
      <c r="TKC102" s="142"/>
      <c r="TKD102" s="142"/>
      <c r="TKE102" s="142"/>
      <c r="TKF102" s="142"/>
      <c r="TKG102" s="142"/>
      <c r="TKH102" s="142"/>
      <c r="TKI102" s="142"/>
      <c r="TKJ102" s="142"/>
      <c r="TKK102" s="142"/>
      <c r="TKL102" s="142"/>
      <c r="TKM102" s="142"/>
      <c r="TKN102" s="142"/>
      <c r="TKO102" s="142"/>
      <c r="TKP102" s="142"/>
      <c r="TKQ102" s="142"/>
      <c r="TKR102" s="142"/>
      <c r="TKS102" s="142"/>
      <c r="TKT102" s="142"/>
      <c r="TKU102" s="142"/>
      <c r="TKV102" s="142"/>
      <c r="TKW102" s="142"/>
      <c r="TKX102" s="142"/>
      <c r="TKY102" s="142"/>
      <c r="TKZ102" s="142"/>
      <c r="TLA102" s="142"/>
      <c r="TLB102" s="142"/>
      <c r="TLC102" s="142"/>
      <c r="TLD102" s="142"/>
      <c r="TLE102" s="142"/>
      <c r="TLF102" s="142"/>
      <c r="TLG102" s="142"/>
      <c r="TLH102" s="142"/>
      <c r="TLI102" s="142"/>
      <c r="TLJ102" s="142"/>
      <c r="TLK102" s="142"/>
      <c r="TLL102" s="142"/>
      <c r="TLM102" s="142"/>
      <c r="TLN102" s="142"/>
      <c r="TLO102" s="142"/>
      <c r="TLP102" s="142"/>
      <c r="TLQ102" s="142"/>
      <c r="TLR102" s="142"/>
      <c r="TLS102" s="142"/>
      <c r="TLT102" s="142"/>
      <c r="TLU102" s="142"/>
      <c r="TLV102" s="142"/>
      <c r="TLW102" s="142"/>
      <c r="TLX102" s="142"/>
      <c r="TLY102" s="142"/>
      <c r="TLZ102" s="142"/>
      <c r="TMA102" s="142"/>
      <c r="TMB102" s="142"/>
      <c r="TMC102" s="142"/>
      <c r="TMD102" s="142"/>
      <c r="TME102" s="142"/>
      <c r="TMF102" s="142"/>
      <c r="TMG102" s="142"/>
      <c r="TMH102" s="142"/>
      <c r="TMI102" s="142"/>
      <c r="TMJ102" s="142"/>
      <c r="TMK102" s="142"/>
      <c r="TML102" s="142"/>
      <c r="TMM102" s="142"/>
      <c r="TMN102" s="142"/>
      <c r="TMO102" s="142"/>
      <c r="TMP102" s="142"/>
      <c r="TMQ102" s="142"/>
      <c r="TMR102" s="142"/>
      <c r="TMS102" s="142"/>
      <c r="TMT102" s="142"/>
      <c r="TMU102" s="142"/>
      <c r="TMV102" s="142"/>
      <c r="TMW102" s="142"/>
      <c r="TMX102" s="142"/>
      <c r="TMY102" s="142"/>
      <c r="TMZ102" s="142"/>
      <c r="TNA102" s="142"/>
      <c r="TNB102" s="142"/>
      <c r="TNC102" s="142"/>
      <c r="TND102" s="142"/>
      <c r="TNE102" s="142"/>
      <c r="TNF102" s="142"/>
      <c r="TNG102" s="142"/>
      <c r="TNH102" s="142"/>
      <c r="TNI102" s="142"/>
      <c r="TNJ102" s="142"/>
      <c r="TNK102" s="142"/>
      <c r="TNL102" s="142"/>
      <c r="TNM102" s="142"/>
      <c r="TNN102" s="142"/>
      <c r="TNO102" s="142"/>
      <c r="TNP102" s="142"/>
      <c r="TNQ102" s="142"/>
      <c r="TNR102" s="142"/>
      <c r="TNS102" s="142"/>
      <c r="TNT102" s="142"/>
      <c r="TNU102" s="142"/>
      <c r="TNV102" s="142"/>
      <c r="TNW102" s="142"/>
      <c r="TNX102" s="142"/>
      <c r="TNY102" s="142"/>
      <c r="TNZ102" s="142"/>
      <c r="TOA102" s="142"/>
      <c r="TOB102" s="142"/>
      <c r="TOC102" s="142"/>
      <c r="TOD102" s="142"/>
      <c r="TOE102" s="142"/>
      <c r="TOF102" s="142"/>
      <c r="TOG102" s="142"/>
      <c r="TOH102" s="142"/>
      <c r="TOI102" s="142"/>
      <c r="TOJ102" s="142"/>
      <c r="TOK102" s="142"/>
      <c r="TOL102" s="142"/>
      <c r="TOM102" s="142"/>
      <c r="TON102" s="142"/>
      <c r="TOO102" s="142"/>
      <c r="TOP102" s="142"/>
      <c r="TOQ102" s="142"/>
      <c r="TOR102" s="142"/>
      <c r="TOS102" s="142"/>
      <c r="TOT102" s="142"/>
      <c r="TOU102" s="142"/>
      <c r="TOV102" s="142"/>
      <c r="TOW102" s="142"/>
      <c r="TOX102" s="142"/>
      <c r="TOY102" s="142"/>
      <c r="TOZ102" s="142"/>
      <c r="TPA102" s="142"/>
      <c r="TPB102" s="142"/>
      <c r="TPC102" s="142"/>
      <c r="TPD102" s="142"/>
      <c r="TPE102" s="142"/>
      <c r="TPF102" s="142"/>
      <c r="TPG102" s="142"/>
      <c r="TPH102" s="142"/>
      <c r="TPI102" s="142"/>
      <c r="TPJ102" s="142"/>
      <c r="TPK102" s="142"/>
      <c r="TPL102" s="142"/>
      <c r="TPM102" s="142"/>
      <c r="TPN102" s="142"/>
      <c r="TPO102" s="142"/>
      <c r="TPP102" s="142"/>
      <c r="TPQ102" s="142"/>
      <c r="TPR102" s="142"/>
      <c r="TPS102" s="142"/>
      <c r="TPT102" s="142"/>
      <c r="TPU102" s="142"/>
      <c r="TPV102" s="142"/>
      <c r="TPW102" s="142"/>
      <c r="TPX102" s="142"/>
      <c r="TPY102" s="142"/>
      <c r="TPZ102" s="142"/>
      <c r="TQA102" s="142"/>
      <c r="TQB102" s="142"/>
      <c r="TQC102" s="142"/>
      <c r="TQD102" s="142"/>
      <c r="TQE102" s="142"/>
      <c r="TQF102" s="142"/>
      <c r="TQG102" s="142"/>
      <c r="TQH102" s="142"/>
      <c r="TQI102" s="142"/>
      <c r="TQJ102" s="142"/>
      <c r="TQK102" s="142"/>
      <c r="TQL102" s="142"/>
      <c r="TQM102" s="142"/>
      <c r="TQN102" s="142"/>
      <c r="TQO102" s="142"/>
      <c r="TQP102" s="142"/>
      <c r="TQQ102" s="142"/>
      <c r="TQR102" s="142"/>
      <c r="TQS102" s="142"/>
      <c r="TQT102" s="142"/>
      <c r="TQU102" s="142"/>
      <c r="TQV102" s="142"/>
      <c r="TQW102" s="142"/>
      <c r="TQX102" s="142"/>
      <c r="TQY102" s="142"/>
      <c r="TQZ102" s="142"/>
      <c r="TRA102" s="142"/>
      <c r="TRB102" s="142"/>
      <c r="TRC102" s="142"/>
      <c r="TRD102" s="142"/>
      <c r="TRE102" s="142"/>
      <c r="TRF102" s="142"/>
      <c r="TRG102" s="142"/>
      <c r="TRH102" s="142"/>
      <c r="TRI102" s="142"/>
      <c r="TRJ102" s="142"/>
      <c r="TRK102" s="142"/>
      <c r="TRL102" s="142"/>
      <c r="TRM102" s="142"/>
      <c r="TRN102" s="142"/>
      <c r="TRO102" s="142"/>
      <c r="TRP102" s="142"/>
      <c r="TRQ102" s="142"/>
      <c r="TRR102" s="142"/>
      <c r="TRS102" s="142"/>
      <c r="TRT102" s="142"/>
      <c r="TRU102" s="142"/>
      <c r="TRV102" s="142"/>
      <c r="TRW102" s="142"/>
      <c r="TRX102" s="142"/>
      <c r="TRY102" s="142"/>
      <c r="TRZ102" s="142"/>
      <c r="TSA102" s="142"/>
      <c r="TSB102" s="142"/>
      <c r="TSC102" s="142"/>
      <c r="TSD102" s="142"/>
      <c r="TSE102" s="142"/>
      <c r="TSF102" s="142"/>
      <c r="TSG102" s="142"/>
      <c r="TSH102" s="142"/>
      <c r="TSI102" s="142"/>
      <c r="TSJ102" s="142"/>
      <c r="TSK102" s="142"/>
      <c r="TSL102" s="142"/>
      <c r="TSM102" s="142"/>
      <c r="TSN102" s="142"/>
      <c r="TSO102" s="142"/>
      <c r="TSP102" s="142"/>
      <c r="TSQ102" s="142"/>
      <c r="TSR102" s="142"/>
      <c r="TSS102" s="142"/>
      <c r="TST102" s="142"/>
      <c r="TSU102" s="142"/>
      <c r="TSV102" s="142"/>
      <c r="TSW102" s="142"/>
      <c r="TSX102" s="142"/>
      <c r="TSY102" s="142"/>
      <c r="TSZ102" s="142"/>
      <c r="TTA102" s="142"/>
      <c r="TTB102" s="142"/>
      <c r="TTC102" s="142"/>
      <c r="TTD102" s="142"/>
      <c r="TTE102" s="142"/>
      <c r="TTF102" s="142"/>
      <c r="TTG102" s="142"/>
      <c r="TTH102" s="142"/>
      <c r="TTI102" s="142"/>
      <c r="TTJ102" s="142"/>
      <c r="TTK102" s="142"/>
      <c r="TTL102" s="142"/>
      <c r="TTM102" s="142"/>
      <c r="TTN102" s="142"/>
      <c r="TTO102" s="142"/>
      <c r="TTP102" s="142"/>
      <c r="TTQ102" s="142"/>
      <c r="TTR102" s="142"/>
      <c r="TTS102" s="142"/>
      <c r="TTT102" s="142"/>
      <c r="TTU102" s="142"/>
      <c r="TTV102" s="142"/>
      <c r="TTW102" s="142"/>
      <c r="TTX102" s="142"/>
      <c r="TTY102" s="142"/>
      <c r="TTZ102" s="142"/>
      <c r="TUA102" s="142"/>
      <c r="TUB102" s="142"/>
      <c r="TUC102" s="142"/>
      <c r="TUD102" s="142"/>
      <c r="TUE102" s="142"/>
      <c r="TUF102" s="142"/>
      <c r="TUG102" s="142"/>
      <c r="TUH102" s="142"/>
      <c r="TUI102" s="142"/>
      <c r="TUJ102" s="142"/>
      <c r="TUK102" s="142"/>
      <c r="TUL102" s="142"/>
      <c r="TUM102" s="142"/>
      <c r="TUN102" s="142"/>
      <c r="TUO102" s="142"/>
      <c r="TUP102" s="142"/>
      <c r="TUQ102" s="142"/>
      <c r="TUR102" s="142"/>
      <c r="TUS102" s="142"/>
      <c r="TUT102" s="142"/>
      <c r="TUU102" s="142"/>
      <c r="TUV102" s="142"/>
      <c r="TUW102" s="142"/>
      <c r="TUX102" s="142"/>
      <c r="TUY102" s="142"/>
      <c r="TUZ102" s="142"/>
      <c r="TVA102" s="142"/>
      <c r="TVB102" s="142"/>
      <c r="TVC102" s="142"/>
      <c r="TVD102" s="142"/>
      <c r="TVE102" s="142"/>
      <c r="TVF102" s="142"/>
      <c r="TVG102" s="142"/>
      <c r="TVH102" s="142"/>
      <c r="TVI102" s="142"/>
      <c r="TVJ102" s="142"/>
      <c r="TVK102" s="142"/>
      <c r="TVL102" s="142"/>
      <c r="TVM102" s="142"/>
      <c r="TVN102" s="142"/>
      <c r="TVO102" s="142"/>
      <c r="TVP102" s="142"/>
      <c r="TVQ102" s="142"/>
      <c r="TVR102" s="142"/>
      <c r="TVS102" s="142"/>
      <c r="TVT102" s="142"/>
      <c r="TVU102" s="142"/>
      <c r="TVV102" s="142"/>
      <c r="TVW102" s="142"/>
      <c r="TVX102" s="142"/>
      <c r="TVY102" s="142"/>
      <c r="TVZ102" s="142"/>
      <c r="TWA102" s="142"/>
      <c r="TWB102" s="142"/>
      <c r="TWC102" s="142"/>
      <c r="TWD102" s="142"/>
      <c r="TWE102" s="142"/>
      <c r="TWF102" s="142"/>
      <c r="TWG102" s="142"/>
      <c r="TWH102" s="142"/>
      <c r="TWI102" s="142"/>
      <c r="TWJ102" s="142"/>
      <c r="TWK102" s="142"/>
      <c r="TWL102" s="142"/>
      <c r="TWM102" s="142"/>
      <c r="TWN102" s="142"/>
      <c r="TWO102" s="142"/>
      <c r="TWP102" s="142"/>
      <c r="TWQ102" s="142"/>
      <c r="TWR102" s="142"/>
      <c r="TWS102" s="142"/>
      <c r="TWT102" s="142"/>
      <c r="TWU102" s="142"/>
      <c r="TWV102" s="142"/>
      <c r="TWW102" s="142"/>
      <c r="TWX102" s="142"/>
      <c r="TWY102" s="142"/>
      <c r="TWZ102" s="142"/>
      <c r="TXA102" s="142"/>
      <c r="TXB102" s="142"/>
      <c r="TXC102" s="142"/>
      <c r="TXD102" s="142"/>
      <c r="TXE102" s="142"/>
      <c r="TXF102" s="142"/>
      <c r="TXG102" s="142"/>
      <c r="TXH102" s="142"/>
      <c r="TXI102" s="142"/>
      <c r="TXJ102" s="142"/>
      <c r="TXK102" s="142"/>
      <c r="TXL102" s="142"/>
      <c r="TXM102" s="142"/>
      <c r="TXN102" s="142"/>
      <c r="TXO102" s="142"/>
      <c r="TXP102" s="142"/>
      <c r="TXQ102" s="142"/>
      <c r="TXR102" s="142"/>
      <c r="TXS102" s="142"/>
      <c r="TXT102" s="142"/>
      <c r="TXU102" s="142"/>
      <c r="TXV102" s="142"/>
      <c r="TXW102" s="142"/>
      <c r="TXX102" s="142"/>
      <c r="TXY102" s="142"/>
      <c r="TXZ102" s="142"/>
      <c r="TYA102" s="142"/>
      <c r="TYB102" s="142"/>
      <c r="TYC102" s="142"/>
      <c r="TYD102" s="142"/>
      <c r="TYE102" s="142"/>
      <c r="TYF102" s="142"/>
      <c r="TYG102" s="142"/>
      <c r="TYH102" s="142"/>
      <c r="TYI102" s="142"/>
      <c r="TYJ102" s="142"/>
      <c r="TYK102" s="142"/>
      <c r="TYL102" s="142"/>
      <c r="TYM102" s="142"/>
      <c r="TYN102" s="142"/>
      <c r="TYO102" s="142"/>
      <c r="TYP102" s="142"/>
      <c r="TYQ102" s="142"/>
      <c r="TYR102" s="142"/>
      <c r="TYS102" s="142"/>
      <c r="TYT102" s="142"/>
      <c r="TYU102" s="142"/>
      <c r="TYV102" s="142"/>
      <c r="TYW102" s="142"/>
      <c r="TYX102" s="142"/>
      <c r="TYY102" s="142"/>
      <c r="TYZ102" s="142"/>
      <c r="TZA102" s="142"/>
      <c r="TZB102" s="142"/>
      <c r="TZC102" s="142"/>
      <c r="TZD102" s="142"/>
      <c r="TZE102" s="142"/>
      <c r="TZF102" s="142"/>
      <c r="TZG102" s="142"/>
      <c r="TZH102" s="142"/>
      <c r="TZI102" s="142"/>
      <c r="TZJ102" s="142"/>
      <c r="TZK102" s="142"/>
      <c r="TZL102" s="142"/>
      <c r="TZM102" s="142"/>
      <c r="TZN102" s="142"/>
      <c r="TZO102" s="142"/>
      <c r="TZP102" s="142"/>
      <c r="TZQ102" s="142"/>
      <c r="TZR102" s="142"/>
      <c r="TZS102" s="142"/>
      <c r="TZT102" s="142"/>
      <c r="TZU102" s="142"/>
      <c r="TZV102" s="142"/>
      <c r="TZW102" s="142"/>
      <c r="TZX102" s="142"/>
      <c r="TZY102" s="142"/>
      <c r="TZZ102" s="142"/>
      <c r="UAA102" s="142"/>
      <c r="UAB102" s="142"/>
      <c r="UAC102" s="142"/>
      <c r="UAD102" s="142"/>
      <c r="UAE102" s="142"/>
      <c r="UAF102" s="142"/>
      <c r="UAG102" s="142"/>
      <c r="UAH102" s="142"/>
      <c r="UAI102" s="142"/>
      <c r="UAJ102" s="142"/>
      <c r="UAK102" s="142"/>
      <c r="UAL102" s="142"/>
      <c r="UAM102" s="142"/>
      <c r="UAN102" s="142"/>
      <c r="UAO102" s="142"/>
      <c r="UAP102" s="142"/>
      <c r="UAQ102" s="142"/>
      <c r="UAR102" s="142"/>
      <c r="UAS102" s="142"/>
      <c r="UAT102" s="142"/>
      <c r="UAU102" s="142"/>
      <c r="UAV102" s="142"/>
      <c r="UAW102" s="142"/>
      <c r="UAX102" s="142"/>
      <c r="UAY102" s="142"/>
      <c r="UAZ102" s="142"/>
      <c r="UBA102" s="142"/>
      <c r="UBB102" s="142"/>
      <c r="UBC102" s="142"/>
      <c r="UBD102" s="142"/>
      <c r="UBE102" s="142"/>
      <c r="UBF102" s="142"/>
      <c r="UBG102" s="142"/>
      <c r="UBH102" s="142"/>
      <c r="UBI102" s="142"/>
      <c r="UBJ102" s="142"/>
      <c r="UBK102" s="142"/>
      <c r="UBL102" s="142"/>
      <c r="UBM102" s="142"/>
      <c r="UBN102" s="142"/>
      <c r="UBO102" s="142"/>
      <c r="UBP102" s="142"/>
      <c r="UBQ102" s="142"/>
      <c r="UBR102" s="142"/>
      <c r="UBS102" s="142"/>
      <c r="UBT102" s="142"/>
      <c r="UBU102" s="142"/>
      <c r="UBV102" s="142"/>
      <c r="UBW102" s="142"/>
      <c r="UBX102" s="142"/>
      <c r="UBY102" s="142"/>
      <c r="UBZ102" s="142"/>
      <c r="UCA102" s="142"/>
      <c r="UCB102" s="142"/>
      <c r="UCC102" s="142"/>
      <c r="UCD102" s="142"/>
      <c r="UCE102" s="142"/>
      <c r="UCF102" s="142"/>
      <c r="UCG102" s="142"/>
      <c r="UCH102" s="142"/>
      <c r="UCI102" s="142"/>
      <c r="UCJ102" s="142"/>
      <c r="UCK102" s="142"/>
      <c r="UCL102" s="142"/>
      <c r="UCM102" s="142"/>
      <c r="UCN102" s="142"/>
      <c r="UCO102" s="142"/>
      <c r="UCP102" s="142"/>
      <c r="UCQ102" s="142"/>
      <c r="UCR102" s="142"/>
      <c r="UCS102" s="142"/>
      <c r="UCT102" s="142"/>
      <c r="UCU102" s="142"/>
      <c r="UCV102" s="142"/>
      <c r="UCW102" s="142"/>
      <c r="UCX102" s="142"/>
      <c r="UCY102" s="142"/>
      <c r="UCZ102" s="142"/>
      <c r="UDA102" s="142"/>
      <c r="UDB102" s="142"/>
      <c r="UDC102" s="142"/>
      <c r="UDD102" s="142"/>
      <c r="UDE102" s="142"/>
      <c r="UDF102" s="142"/>
      <c r="UDG102" s="142"/>
      <c r="UDH102" s="142"/>
      <c r="UDI102" s="142"/>
      <c r="UDJ102" s="142"/>
      <c r="UDK102" s="142"/>
      <c r="UDL102" s="142"/>
      <c r="UDM102" s="142"/>
      <c r="UDN102" s="142"/>
      <c r="UDO102" s="142"/>
      <c r="UDP102" s="142"/>
      <c r="UDQ102" s="142"/>
      <c r="UDR102" s="142"/>
      <c r="UDS102" s="142"/>
      <c r="UDT102" s="142"/>
      <c r="UDU102" s="142"/>
      <c r="UDV102" s="142"/>
      <c r="UDW102" s="142"/>
      <c r="UDX102" s="142"/>
      <c r="UDY102" s="142"/>
      <c r="UDZ102" s="142"/>
      <c r="UEA102" s="142"/>
      <c r="UEB102" s="142"/>
      <c r="UEC102" s="142"/>
      <c r="UED102" s="142"/>
      <c r="UEE102" s="142"/>
      <c r="UEF102" s="142"/>
      <c r="UEG102" s="142"/>
      <c r="UEH102" s="142"/>
      <c r="UEI102" s="142"/>
      <c r="UEJ102" s="142"/>
      <c r="UEK102" s="142"/>
      <c r="UEL102" s="142"/>
      <c r="UEM102" s="142"/>
      <c r="UEN102" s="142"/>
      <c r="UEO102" s="142"/>
      <c r="UEP102" s="142"/>
      <c r="UEQ102" s="142"/>
      <c r="UER102" s="142"/>
      <c r="UES102" s="142"/>
      <c r="UET102" s="142"/>
      <c r="UEU102" s="142"/>
      <c r="UEV102" s="142"/>
      <c r="UEW102" s="142"/>
      <c r="UEX102" s="142"/>
      <c r="UEY102" s="142"/>
      <c r="UEZ102" s="142"/>
      <c r="UFA102" s="142"/>
      <c r="UFB102" s="142"/>
      <c r="UFC102" s="142"/>
      <c r="UFD102" s="142"/>
      <c r="UFE102" s="142"/>
      <c r="UFF102" s="142"/>
      <c r="UFG102" s="142"/>
      <c r="UFH102" s="142"/>
      <c r="UFI102" s="142"/>
      <c r="UFJ102" s="142"/>
      <c r="UFK102" s="142"/>
      <c r="UFL102" s="142"/>
      <c r="UFM102" s="142"/>
      <c r="UFN102" s="142"/>
      <c r="UFO102" s="142"/>
      <c r="UFP102" s="142"/>
      <c r="UFQ102" s="142"/>
      <c r="UFR102" s="142"/>
      <c r="UFS102" s="142"/>
      <c r="UFT102" s="142"/>
      <c r="UFU102" s="142"/>
      <c r="UFV102" s="142"/>
      <c r="UFW102" s="142"/>
      <c r="UFX102" s="142"/>
      <c r="UFY102" s="142"/>
      <c r="UFZ102" s="142"/>
      <c r="UGA102" s="142"/>
      <c r="UGB102" s="142"/>
      <c r="UGC102" s="142"/>
      <c r="UGD102" s="142"/>
      <c r="UGE102" s="142"/>
      <c r="UGF102" s="142"/>
      <c r="UGG102" s="142"/>
      <c r="UGH102" s="142"/>
      <c r="UGI102" s="142"/>
      <c r="UGJ102" s="142"/>
      <c r="UGK102" s="142"/>
      <c r="UGL102" s="142"/>
      <c r="UGM102" s="142"/>
      <c r="UGN102" s="142"/>
      <c r="UGO102" s="142"/>
      <c r="UGP102" s="142"/>
      <c r="UGQ102" s="142"/>
      <c r="UGR102" s="142"/>
      <c r="UGS102" s="142"/>
      <c r="UGT102" s="142"/>
      <c r="UGU102" s="142"/>
      <c r="UGV102" s="142"/>
      <c r="UGW102" s="142"/>
      <c r="UGX102" s="142"/>
      <c r="UGY102" s="142"/>
      <c r="UGZ102" s="142"/>
      <c r="UHA102" s="142"/>
      <c r="UHB102" s="142"/>
      <c r="UHC102" s="142"/>
      <c r="UHD102" s="142"/>
      <c r="UHE102" s="142"/>
      <c r="UHF102" s="142"/>
      <c r="UHG102" s="142"/>
      <c r="UHH102" s="142"/>
      <c r="UHI102" s="142"/>
      <c r="UHJ102" s="142"/>
      <c r="UHK102" s="142"/>
      <c r="UHL102" s="142"/>
      <c r="UHM102" s="142"/>
      <c r="UHN102" s="142"/>
      <c r="UHO102" s="142"/>
      <c r="UHP102" s="142"/>
      <c r="UHQ102" s="142"/>
      <c r="UHR102" s="142"/>
      <c r="UHS102" s="142"/>
      <c r="UHT102" s="142"/>
      <c r="UHU102" s="142"/>
      <c r="UHV102" s="142"/>
      <c r="UHW102" s="142"/>
      <c r="UHX102" s="142"/>
      <c r="UHY102" s="142"/>
      <c r="UHZ102" s="142"/>
      <c r="UIA102" s="142"/>
      <c r="UIB102" s="142"/>
      <c r="UIC102" s="142"/>
      <c r="UID102" s="142"/>
      <c r="UIE102" s="142"/>
      <c r="UIF102" s="142"/>
      <c r="UIG102" s="142"/>
      <c r="UIH102" s="142"/>
      <c r="UII102" s="142"/>
      <c r="UIJ102" s="142"/>
      <c r="UIK102" s="142"/>
      <c r="UIL102" s="142"/>
      <c r="UIM102" s="142"/>
      <c r="UIN102" s="142"/>
      <c r="UIO102" s="142"/>
      <c r="UIP102" s="142"/>
      <c r="UIQ102" s="142"/>
      <c r="UIR102" s="142"/>
      <c r="UIS102" s="142"/>
      <c r="UIT102" s="142"/>
      <c r="UIU102" s="142"/>
      <c r="UIV102" s="142"/>
      <c r="UIW102" s="142"/>
      <c r="UIX102" s="142"/>
      <c r="UIY102" s="142"/>
      <c r="UIZ102" s="142"/>
      <c r="UJA102" s="142"/>
      <c r="UJB102" s="142"/>
      <c r="UJC102" s="142"/>
      <c r="UJD102" s="142"/>
      <c r="UJE102" s="142"/>
      <c r="UJF102" s="142"/>
      <c r="UJG102" s="142"/>
      <c r="UJH102" s="142"/>
      <c r="UJI102" s="142"/>
      <c r="UJJ102" s="142"/>
      <c r="UJK102" s="142"/>
      <c r="UJL102" s="142"/>
      <c r="UJM102" s="142"/>
      <c r="UJN102" s="142"/>
      <c r="UJO102" s="142"/>
      <c r="UJP102" s="142"/>
      <c r="UJQ102" s="142"/>
      <c r="UJR102" s="142"/>
      <c r="UJS102" s="142"/>
      <c r="UJT102" s="142"/>
      <c r="UJU102" s="142"/>
      <c r="UJV102" s="142"/>
      <c r="UJW102" s="142"/>
      <c r="UJX102" s="142"/>
      <c r="UJY102" s="142"/>
      <c r="UJZ102" s="142"/>
      <c r="UKA102" s="142"/>
      <c r="UKB102" s="142"/>
      <c r="UKC102" s="142"/>
      <c r="UKD102" s="142"/>
      <c r="UKE102" s="142"/>
      <c r="UKF102" s="142"/>
      <c r="UKG102" s="142"/>
      <c r="UKH102" s="142"/>
      <c r="UKI102" s="142"/>
      <c r="UKJ102" s="142"/>
      <c r="UKK102" s="142"/>
      <c r="UKL102" s="142"/>
      <c r="UKM102" s="142"/>
      <c r="UKN102" s="142"/>
      <c r="UKO102" s="142"/>
      <c r="UKP102" s="142"/>
      <c r="UKQ102" s="142"/>
      <c r="UKR102" s="142"/>
      <c r="UKS102" s="142"/>
      <c r="UKT102" s="142"/>
      <c r="UKU102" s="142"/>
      <c r="UKV102" s="142"/>
      <c r="UKW102" s="142"/>
      <c r="UKX102" s="142"/>
      <c r="UKY102" s="142"/>
      <c r="UKZ102" s="142"/>
      <c r="ULA102" s="142"/>
      <c r="ULB102" s="142"/>
      <c r="ULC102" s="142"/>
      <c r="ULD102" s="142"/>
      <c r="ULE102" s="142"/>
      <c r="ULF102" s="142"/>
      <c r="ULG102" s="142"/>
      <c r="ULH102" s="142"/>
      <c r="ULI102" s="142"/>
      <c r="ULJ102" s="142"/>
      <c r="ULK102" s="142"/>
      <c r="ULL102" s="142"/>
      <c r="ULM102" s="142"/>
      <c r="ULN102" s="142"/>
      <c r="ULO102" s="142"/>
      <c r="ULP102" s="142"/>
      <c r="ULQ102" s="142"/>
      <c r="ULR102" s="142"/>
      <c r="ULS102" s="142"/>
      <c r="ULT102" s="142"/>
      <c r="ULU102" s="142"/>
      <c r="ULV102" s="142"/>
      <c r="ULW102" s="142"/>
      <c r="ULX102" s="142"/>
      <c r="ULY102" s="142"/>
      <c r="ULZ102" s="142"/>
      <c r="UMA102" s="142"/>
      <c r="UMB102" s="142"/>
      <c r="UMC102" s="142"/>
      <c r="UMD102" s="142"/>
      <c r="UME102" s="142"/>
      <c r="UMF102" s="142"/>
      <c r="UMG102" s="142"/>
      <c r="UMH102" s="142"/>
      <c r="UMI102" s="142"/>
      <c r="UMJ102" s="142"/>
      <c r="UMK102" s="142"/>
      <c r="UML102" s="142"/>
      <c r="UMM102" s="142"/>
      <c r="UMN102" s="142"/>
      <c r="UMO102" s="142"/>
      <c r="UMP102" s="142"/>
      <c r="UMQ102" s="142"/>
      <c r="UMR102" s="142"/>
      <c r="UMS102" s="142"/>
      <c r="UMT102" s="142"/>
      <c r="UMU102" s="142"/>
      <c r="UMV102" s="142"/>
      <c r="UMW102" s="142"/>
      <c r="UMX102" s="142"/>
      <c r="UMY102" s="142"/>
      <c r="UMZ102" s="142"/>
      <c r="UNA102" s="142"/>
      <c r="UNB102" s="142"/>
      <c r="UNC102" s="142"/>
      <c r="UND102" s="142"/>
      <c r="UNE102" s="142"/>
      <c r="UNF102" s="142"/>
      <c r="UNG102" s="142"/>
      <c r="UNH102" s="142"/>
      <c r="UNI102" s="142"/>
      <c r="UNJ102" s="142"/>
      <c r="UNK102" s="142"/>
      <c r="UNL102" s="142"/>
      <c r="UNM102" s="142"/>
      <c r="UNN102" s="142"/>
      <c r="UNO102" s="142"/>
      <c r="UNP102" s="142"/>
      <c r="UNQ102" s="142"/>
      <c r="UNR102" s="142"/>
      <c r="UNS102" s="142"/>
      <c r="UNT102" s="142"/>
      <c r="UNU102" s="142"/>
      <c r="UNV102" s="142"/>
      <c r="UNW102" s="142"/>
      <c r="UNX102" s="142"/>
      <c r="UNY102" s="142"/>
      <c r="UNZ102" s="142"/>
      <c r="UOA102" s="142"/>
      <c r="UOB102" s="142"/>
      <c r="UOC102" s="142"/>
      <c r="UOD102" s="142"/>
      <c r="UOE102" s="142"/>
      <c r="UOF102" s="142"/>
      <c r="UOG102" s="142"/>
      <c r="UOH102" s="142"/>
      <c r="UOI102" s="142"/>
      <c r="UOJ102" s="142"/>
      <c r="UOK102" s="142"/>
      <c r="UOL102" s="142"/>
      <c r="UOM102" s="142"/>
      <c r="UON102" s="142"/>
      <c r="UOO102" s="142"/>
      <c r="UOP102" s="142"/>
      <c r="UOQ102" s="142"/>
      <c r="UOR102" s="142"/>
      <c r="UOS102" s="142"/>
      <c r="UOT102" s="142"/>
      <c r="UOU102" s="142"/>
      <c r="UOV102" s="142"/>
      <c r="UOW102" s="142"/>
      <c r="UOX102" s="142"/>
      <c r="UOY102" s="142"/>
      <c r="UOZ102" s="142"/>
      <c r="UPA102" s="142"/>
      <c r="UPB102" s="142"/>
      <c r="UPC102" s="142"/>
      <c r="UPD102" s="142"/>
      <c r="UPE102" s="142"/>
      <c r="UPF102" s="142"/>
      <c r="UPG102" s="142"/>
      <c r="UPH102" s="142"/>
      <c r="UPI102" s="142"/>
      <c r="UPJ102" s="142"/>
      <c r="UPK102" s="142"/>
      <c r="UPL102" s="142"/>
      <c r="UPM102" s="142"/>
      <c r="UPN102" s="142"/>
      <c r="UPO102" s="142"/>
      <c r="UPP102" s="142"/>
      <c r="UPQ102" s="142"/>
      <c r="UPR102" s="142"/>
      <c r="UPS102" s="142"/>
      <c r="UPT102" s="142"/>
      <c r="UPU102" s="142"/>
      <c r="UPV102" s="142"/>
      <c r="UPW102" s="142"/>
      <c r="UPX102" s="142"/>
      <c r="UPY102" s="142"/>
      <c r="UPZ102" s="142"/>
      <c r="UQA102" s="142"/>
      <c r="UQB102" s="142"/>
      <c r="UQC102" s="142"/>
      <c r="UQD102" s="142"/>
      <c r="UQE102" s="142"/>
      <c r="UQF102" s="142"/>
      <c r="UQG102" s="142"/>
      <c r="UQH102" s="142"/>
      <c r="UQI102" s="142"/>
      <c r="UQJ102" s="142"/>
      <c r="UQK102" s="142"/>
      <c r="UQL102" s="142"/>
      <c r="UQM102" s="142"/>
      <c r="UQN102" s="142"/>
      <c r="UQO102" s="142"/>
      <c r="UQP102" s="142"/>
      <c r="UQQ102" s="142"/>
      <c r="UQR102" s="142"/>
      <c r="UQS102" s="142"/>
      <c r="UQT102" s="142"/>
      <c r="UQU102" s="142"/>
      <c r="UQV102" s="142"/>
      <c r="UQW102" s="142"/>
      <c r="UQX102" s="142"/>
      <c r="UQY102" s="142"/>
      <c r="UQZ102" s="142"/>
      <c r="URA102" s="142"/>
      <c r="URB102" s="142"/>
      <c r="URC102" s="142"/>
      <c r="URD102" s="142"/>
      <c r="URE102" s="142"/>
      <c r="URF102" s="142"/>
      <c r="URG102" s="142"/>
      <c r="URH102" s="142"/>
      <c r="URI102" s="142"/>
      <c r="URJ102" s="142"/>
      <c r="URK102" s="142"/>
      <c r="URL102" s="142"/>
      <c r="URM102" s="142"/>
      <c r="URN102" s="142"/>
      <c r="URO102" s="142"/>
      <c r="URP102" s="142"/>
      <c r="URQ102" s="142"/>
      <c r="URR102" s="142"/>
      <c r="URS102" s="142"/>
      <c r="URT102" s="142"/>
      <c r="URU102" s="142"/>
      <c r="URV102" s="142"/>
      <c r="URW102" s="142"/>
      <c r="URX102" s="142"/>
      <c r="URY102" s="142"/>
      <c r="URZ102" s="142"/>
      <c r="USA102" s="142"/>
      <c r="USB102" s="142"/>
      <c r="USC102" s="142"/>
      <c r="USD102" s="142"/>
      <c r="USE102" s="142"/>
      <c r="USF102" s="142"/>
      <c r="USG102" s="142"/>
      <c r="USH102" s="142"/>
      <c r="USI102" s="142"/>
      <c r="USJ102" s="142"/>
      <c r="USK102" s="142"/>
      <c r="USL102" s="142"/>
      <c r="USM102" s="142"/>
      <c r="USN102" s="142"/>
      <c r="USO102" s="142"/>
      <c r="USP102" s="142"/>
      <c r="USQ102" s="142"/>
      <c r="USR102" s="142"/>
      <c r="USS102" s="142"/>
      <c r="UST102" s="142"/>
      <c r="USU102" s="142"/>
      <c r="USV102" s="142"/>
      <c r="USW102" s="142"/>
      <c r="USX102" s="142"/>
      <c r="USY102" s="142"/>
      <c r="USZ102" s="142"/>
      <c r="UTA102" s="142"/>
      <c r="UTB102" s="142"/>
      <c r="UTC102" s="142"/>
      <c r="UTD102" s="142"/>
      <c r="UTE102" s="142"/>
      <c r="UTF102" s="142"/>
      <c r="UTG102" s="142"/>
      <c r="UTH102" s="142"/>
      <c r="UTI102" s="142"/>
      <c r="UTJ102" s="142"/>
      <c r="UTK102" s="142"/>
      <c r="UTL102" s="142"/>
      <c r="UTM102" s="142"/>
      <c r="UTN102" s="142"/>
      <c r="UTO102" s="142"/>
      <c r="UTP102" s="142"/>
      <c r="UTQ102" s="142"/>
      <c r="UTR102" s="142"/>
      <c r="UTS102" s="142"/>
      <c r="UTT102" s="142"/>
      <c r="UTU102" s="142"/>
      <c r="UTV102" s="142"/>
      <c r="UTW102" s="142"/>
      <c r="UTX102" s="142"/>
      <c r="UTY102" s="142"/>
      <c r="UTZ102" s="142"/>
      <c r="UUA102" s="142"/>
      <c r="UUB102" s="142"/>
      <c r="UUC102" s="142"/>
      <c r="UUD102" s="142"/>
      <c r="UUE102" s="142"/>
      <c r="UUF102" s="142"/>
      <c r="UUG102" s="142"/>
      <c r="UUH102" s="142"/>
      <c r="UUI102" s="142"/>
      <c r="UUJ102" s="142"/>
      <c r="UUK102" s="142"/>
      <c r="UUL102" s="142"/>
      <c r="UUM102" s="142"/>
      <c r="UUN102" s="142"/>
      <c r="UUO102" s="142"/>
      <c r="UUP102" s="142"/>
      <c r="UUQ102" s="142"/>
      <c r="UUR102" s="142"/>
      <c r="UUS102" s="142"/>
      <c r="UUT102" s="142"/>
      <c r="UUU102" s="142"/>
      <c r="UUV102" s="142"/>
      <c r="UUW102" s="142"/>
      <c r="UUX102" s="142"/>
      <c r="UUY102" s="142"/>
      <c r="UUZ102" s="142"/>
      <c r="UVA102" s="142"/>
      <c r="UVB102" s="142"/>
      <c r="UVC102" s="142"/>
      <c r="UVD102" s="142"/>
      <c r="UVE102" s="142"/>
      <c r="UVF102" s="142"/>
      <c r="UVG102" s="142"/>
      <c r="UVH102" s="142"/>
      <c r="UVI102" s="142"/>
      <c r="UVJ102" s="142"/>
      <c r="UVK102" s="142"/>
      <c r="UVL102" s="142"/>
      <c r="UVM102" s="142"/>
      <c r="UVN102" s="142"/>
      <c r="UVO102" s="142"/>
      <c r="UVP102" s="142"/>
      <c r="UVQ102" s="142"/>
      <c r="UVR102" s="142"/>
      <c r="UVS102" s="142"/>
      <c r="UVT102" s="142"/>
      <c r="UVU102" s="142"/>
      <c r="UVV102" s="142"/>
      <c r="UVW102" s="142"/>
      <c r="UVX102" s="142"/>
      <c r="UVY102" s="142"/>
      <c r="UVZ102" s="142"/>
      <c r="UWA102" s="142"/>
      <c r="UWB102" s="142"/>
      <c r="UWC102" s="142"/>
      <c r="UWD102" s="142"/>
      <c r="UWE102" s="142"/>
      <c r="UWF102" s="142"/>
      <c r="UWG102" s="142"/>
      <c r="UWH102" s="142"/>
      <c r="UWI102" s="142"/>
      <c r="UWJ102" s="142"/>
      <c r="UWK102" s="142"/>
      <c r="UWL102" s="142"/>
      <c r="UWM102" s="142"/>
      <c r="UWN102" s="142"/>
      <c r="UWO102" s="142"/>
      <c r="UWP102" s="142"/>
      <c r="UWQ102" s="142"/>
      <c r="UWR102" s="142"/>
      <c r="UWS102" s="142"/>
      <c r="UWT102" s="142"/>
      <c r="UWU102" s="142"/>
      <c r="UWV102" s="142"/>
      <c r="UWW102" s="142"/>
      <c r="UWX102" s="142"/>
      <c r="UWY102" s="142"/>
      <c r="UWZ102" s="142"/>
      <c r="UXA102" s="142"/>
      <c r="UXB102" s="142"/>
      <c r="UXC102" s="142"/>
      <c r="UXD102" s="142"/>
      <c r="UXE102" s="142"/>
      <c r="UXF102" s="142"/>
      <c r="UXG102" s="142"/>
      <c r="UXH102" s="142"/>
      <c r="UXI102" s="142"/>
      <c r="UXJ102" s="142"/>
      <c r="UXK102" s="142"/>
      <c r="UXL102" s="142"/>
      <c r="UXM102" s="142"/>
      <c r="UXN102" s="142"/>
      <c r="UXO102" s="142"/>
      <c r="UXP102" s="142"/>
      <c r="UXQ102" s="142"/>
      <c r="UXR102" s="142"/>
      <c r="UXS102" s="142"/>
      <c r="UXT102" s="142"/>
      <c r="UXU102" s="142"/>
      <c r="UXV102" s="142"/>
      <c r="UXW102" s="142"/>
      <c r="UXX102" s="142"/>
      <c r="UXY102" s="142"/>
      <c r="UXZ102" s="142"/>
      <c r="UYA102" s="142"/>
      <c r="UYB102" s="142"/>
      <c r="UYC102" s="142"/>
      <c r="UYD102" s="142"/>
      <c r="UYE102" s="142"/>
      <c r="UYF102" s="142"/>
      <c r="UYG102" s="142"/>
      <c r="UYH102" s="142"/>
      <c r="UYI102" s="142"/>
      <c r="UYJ102" s="142"/>
      <c r="UYK102" s="142"/>
      <c r="UYL102" s="142"/>
      <c r="UYM102" s="142"/>
      <c r="UYN102" s="142"/>
      <c r="UYO102" s="142"/>
      <c r="UYP102" s="142"/>
      <c r="UYQ102" s="142"/>
      <c r="UYR102" s="142"/>
      <c r="UYS102" s="142"/>
      <c r="UYT102" s="142"/>
      <c r="UYU102" s="142"/>
      <c r="UYV102" s="142"/>
      <c r="UYW102" s="142"/>
      <c r="UYX102" s="142"/>
      <c r="UYY102" s="142"/>
      <c r="UYZ102" s="142"/>
      <c r="UZA102" s="142"/>
      <c r="UZB102" s="142"/>
      <c r="UZC102" s="142"/>
      <c r="UZD102" s="142"/>
      <c r="UZE102" s="142"/>
      <c r="UZF102" s="142"/>
      <c r="UZG102" s="142"/>
      <c r="UZH102" s="142"/>
      <c r="UZI102" s="142"/>
      <c r="UZJ102" s="142"/>
      <c r="UZK102" s="142"/>
      <c r="UZL102" s="142"/>
      <c r="UZM102" s="142"/>
      <c r="UZN102" s="142"/>
      <c r="UZO102" s="142"/>
      <c r="UZP102" s="142"/>
      <c r="UZQ102" s="142"/>
      <c r="UZR102" s="142"/>
      <c r="UZS102" s="142"/>
      <c r="UZT102" s="142"/>
      <c r="UZU102" s="142"/>
      <c r="UZV102" s="142"/>
      <c r="UZW102" s="142"/>
      <c r="UZX102" s="142"/>
      <c r="UZY102" s="142"/>
      <c r="UZZ102" s="142"/>
      <c r="VAA102" s="142"/>
      <c r="VAB102" s="142"/>
      <c r="VAC102" s="142"/>
      <c r="VAD102" s="142"/>
      <c r="VAE102" s="142"/>
      <c r="VAF102" s="142"/>
      <c r="VAG102" s="142"/>
      <c r="VAH102" s="142"/>
      <c r="VAI102" s="142"/>
      <c r="VAJ102" s="142"/>
      <c r="VAK102" s="142"/>
      <c r="VAL102" s="142"/>
      <c r="VAM102" s="142"/>
      <c r="VAN102" s="142"/>
      <c r="VAO102" s="142"/>
      <c r="VAP102" s="142"/>
      <c r="VAQ102" s="142"/>
      <c r="VAR102" s="142"/>
      <c r="VAS102" s="142"/>
      <c r="VAT102" s="142"/>
      <c r="VAU102" s="142"/>
      <c r="VAV102" s="142"/>
      <c r="VAW102" s="142"/>
      <c r="VAX102" s="142"/>
      <c r="VAY102" s="142"/>
      <c r="VAZ102" s="142"/>
      <c r="VBA102" s="142"/>
      <c r="VBB102" s="142"/>
      <c r="VBC102" s="142"/>
      <c r="VBD102" s="142"/>
      <c r="VBE102" s="142"/>
      <c r="VBF102" s="142"/>
      <c r="VBG102" s="142"/>
      <c r="VBH102" s="142"/>
      <c r="VBI102" s="142"/>
      <c r="VBJ102" s="142"/>
      <c r="VBK102" s="142"/>
      <c r="VBL102" s="142"/>
      <c r="VBM102" s="142"/>
      <c r="VBN102" s="142"/>
      <c r="VBO102" s="142"/>
      <c r="VBP102" s="142"/>
      <c r="VBQ102" s="142"/>
      <c r="VBR102" s="142"/>
      <c r="VBS102" s="142"/>
      <c r="VBT102" s="142"/>
      <c r="VBU102" s="142"/>
      <c r="VBV102" s="142"/>
      <c r="VBW102" s="142"/>
      <c r="VBX102" s="142"/>
      <c r="VBY102" s="142"/>
      <c r="VBZ102" s="142"/>
      <c r="VCA102" s="142"/>
      <c r="VCB102" s="142"/>
      <c r="VCC102" s="142"/>
      <c r="VCD102" s="142"/>
      <c r="VCE102" s="142"/>
      <c r="VCF102" s="142"/>
      <c r="VCG102" s="142"/>
      <c r="VCH102" s="142"/>
      <c r="VCI102" s="142"/>
      <c r="VCJ102" s="142"/>
      <c r="VCK102" s="142"/>
      <c r="VCL102" s="142"/>
      <c r="VCM102" s="142"/>
      <c r="VCN102" s="142"/>
      <c r="VCO102" s="142"/>
      <c r="VCP102" s="142"/>
      <c r="VCQ102" s="142"/>
      <c r="VCR102" s="142"/>
      <c r="VCS102" s="142"/>
      <c r="VCT102" s="142"/>
      <c r="VCU102" s="142"/>
      <c r="VCV102" s="142"/>
      <c r="VCW102" s="142"/>
      <c r="VCX102" s="142"/>
      <c r="VCY102" s="142"/>
      <c r="VCZ102" s="142"/>
      <c r="VDA102" s="142"/>
      <c r="VDB102" s="142"/>
      <c r="VDC102" s="142"/>
      <c r="VDD102" s="142"/>
      <c r="VDE102" s="142"/>
      <c r="VDF102" s="142"/>
      <c r="VDG102" s="142"/>
      <c r="VDH102" s="142"/>
      <c r="VDI102" s="142"/>
      <c r="VDJ102" s="142"/>
      <c r="VDK102" s="142"/>
      <c r="VDL102" s="142"/>
      <c r="VDM102" s="142"/>
      <c r="VDN102" s="142"/>
      <c r="VDO102" s="142"/>
      <c r="VDP102" s="142"/>
      <c r="VDQ102" s="142"/>
      <c r="VDR102" s="142"/>
      <c r="VDS102" s="142"/>
      <c r="VDT102" s="142"/>
      <c r="VDU102" s="142"/>
      <c r="VDV102" s="142"/>
      <c r="VDW102" s="142"/>
      <c r="VDX102" s="142"/>
      <c r="VDY102" s="142"/>
      <c r="VDZ102" s="142"/>
      <c r="VEA102" s="142"/>
      <c r="VEB102" s="142"/>
      <c r="VEC102" s="142"/>
      <c r="VED102" s="142"/>
      <c r="VEE102" s="142"/>
      <c r="VEF102" s="142"/>
      <c r="VEG102" s="142"/>
      <c r="VEH102" s="142"/>
      <c r="VEI102" s="142"/>
      <c r="VEJ102" s="142"/>
      <c r="VEK102" s="142"/>
      <c r="VEL102" s="142"/>
      <c r="VEM102" s="142"/>
      <c r="VEN102" s="142"/>
      <c r="VEO102" s="142"/>
      <c r="VEP102" s="142"/>
      <c r="VEQ102" s="142"/>
      <c r="VER102" s="142"/>
      <c r="VES102" s="142"/>
      <c r="VET102" s="142"/>
      <c r="VEU102" s="142"/>
      <c r="VEV102" s="142"/>
      <c r="VEW102" s="142"/>
      <c r="VEX102" s="142"/>
      <c r="VEY102" s="142"/>
      <c r="VEZ102" s="142"/>
      <c r="VFA102" s="142"/>
      <c r="VFB102" s="142"/>
      <c r="VFC102" s="142"/>
      <c r="VFD102" s="142"/>
      <c r="VFE102" s="142"/>
      <c r="VFF102" s="142"/>
      <c r="VFG102" s="142"/>
      <c r="VFH102" s="142"/>
      <c r="VFI102" s="142"/>
      <c r="VFJ102" s="142"/>
      <c r="VFK102" s="142"/>
      <c r="VFL102" s="142"/>
      <c r="VFM102" s="142"/>
      <c r="VFN102" s="142"/>
      <c r="VFO102" s="142"/>
      <c r="VFP102" s="142"/>
      <c r="VFQ102" s="142"/>
      <c r="VFR102" s="142"/>
      <c r="VFS102" s="142"/>
      <c r="VFT102" s="142"/>
      <c r="VFU102" s="142"/>
      <c r="VFV102" s="142"/>
      <c r="VFW102" s="142"/>
      <c r="VFX102" s="142"/>
      <c r="VFY102" s="142"/>
      <c r="VFZ102" s="142"/>
      <c r="VGA102" s="142"/>
      <c r="VGB102" s="142"/>
      <c r="VGC102" s="142"/>
      <c r="VGD102" s="142"/>
      <c r="VGE102" s="142"/>
      <c r="VGF102" s="142"/>
      <c r="VGG102" s="142"/>
      <c r="VGH102" s="142"/>
      <c r="VGI102" s="142"/>
      <c r="VGJ102" s="142"/>
      <c r="VGK102" s="142"/>
      <c r="VGL102" s="142"/>
      <c r="VGM102" s="142"/>
      <c r="VGN102" s="142"/>
      <c r="VGO102" s="142"/>
      <c r="VGP102" s="142"/>
      <c r="VGQ102" s="142"/>
      <c r="VGR102" s="142"/>
      <c r="VGS102" s="142"/>
      <c r="VGT102" s="142"/>
      <c r="VGU102" s="142"/>
      <c r="VGV102" s="142"/>
      <c r="VGW102" s="142"/>
      <c r="VGX102" s="142"/>
      <c r="VGY102" s="142"/>
      <c r="VGZ102" s="142"/>
      <c r="VHA102" s="142"/>
      <c r="VHB102" s="142"/>
      <c r="VHC102" s="142"/>
      <c r="VHD102" s="142"/>
      <c r="VHE102" s="142"/>
      <c r="VHF102" s="142"/>
      <c r="VHG102" s="142"/>
      <c r="VHH102" s="142"/>
      <c r="VHI102" s="142"/>
      <c r="VHJ102" s="142"/>
      <c r="VHK102" s="142"/>
      <c r="VHL102" s="142"/>
      <c r="VHM102" s="142"/>
      <c r="VHN102" s="142"/>
      <c r="VHO102" s="142"/>
      <c r="VHP102" s="142"/>
      <c r="VHQ102" s="142"/>
      <c r="VHR102" s="142"/>
      <c r="VHS102" s="142"/>
      <c r="VHT102" s="142"/>
      <c r="VHU102" s="142"/>
      <c r="VHV102" s="142"/>
      <c r="VHW102" s="142"/>
      <c r="VHX102" s="142"/>
      <c r="VHY102" s="142"/>
      <c r="VHZ102" s="142"/>
      <c r="VIA102" s="142"/>
      <c r="VIB102" s="142"/>
      <c r="VIC102" s="142"/>
      <c r="VID102" s="142"/>
      <c r="VIE102" s="142"/>
      <c r="VIF102" s="142"/>
      <c r="VIG102" s="142"/>
      <c r="VIH102" s="142"/>
      <c r="VII102" s="142"/>
      <c r="VIJ102" s="142"/>
      <c r="VIK102" s="142"/>
      <c r="VIL102" s="142"/>
      <c r="VIM102" s="142"/>
      <c r="VIN102" s="142"/>
      <c r="VIO102" s="142"/>
      <c r="VIP102" s="142"/>
      <c r="VIQ102" s="142"/>
      <c r="VIR102" s="142"/>
      <c r="VIS102" s="142"/>
      <c r="VIT102" s="142"/>
      <c r="VIU102" s="142"/>
      <c r="VIV102" s="142"/>
      <c r="VIW102" s="142"/>
      <c r="VIX102" s="142"/>
      <c r="VIY102" s="142"/>
      <c r="VIZ102" s="142"/>
      <c r="VJA102" s="142"/>
      <c r="VJB102" s="142"/>
      <c r="VJC102" s="142"/>
      <c r="VJD102" s="142"/>
      <c r="VJE102" s="142"/>
      <c r="VJF102" s="142"/>
      <c r="VJG102" s="142"/>
      <c r="VJH102" s="142"/>
      <c r="VJI102" s="142"/>
      <c r="VJJ102" s="142"/>
      <c r="VJK102" s="142"/>
      <c r="VJL102" s="142"/>
      <c r="VJM102" s="142"/>
      <c r="VJN102" s="142"/>
      <c r="VJO102" s="142"/>
      <c r="VJP102" s="142"/>
      <c r="VJQ102" s="142"/>
      <c r="VJR102" s="142"/>
      <c r="VJS102" s="142"/>
      <c r="VJT102" s="142"/>
      <c r="VJU102" s="142"/>
      <c r="VJV102" s="142"/>
      <c r="VJW102" s="142"/>
      <c r="VJX102" s="142"/>
      <c r="VJY102" s="142"/>
      <c r="VJZ102" s="142"/>
      <c r="VKA102" s="142"/>
      <c r="VKB102" s="142"/>
      <c r="VKC102" s="142"/>
      <c r="VKD102" s="142"/>
      <c r="VKE102" s="142"/>
      <c r="VKF102" s="142"/>
      <c r="VKG102" s="142"/>
      <c r="VKH102" s="142"/>
      <c r="VKI102" s="142"/>
      <c r="VKJ102" s="142"/>
      <c r="VKK102" s="142"/>
      <c r="VKL102" s="142"/>
      <c r="VKM102" s="142"/>
      <c r="VKN102" s="142"/>
      <c r="VKO102" s="142"/>
      <c r="VKP102" s="142"/>
      <c r="VKQ102" s="142"/>
      <c r="VKR102" s="142"/>
      <c r="VKS102" s="142"/>
      <c r="VKT102" s="142"/>
      <c r="VKU102" s="142"/>
      <c r="VKV102" s="142"/>
      <c r="VKW102" s="142"/>
      <c r="VKX102" s="142"/>
      <c r="VKY102" s="142"/>
      <c r="VKZ102" s="142"/>
      <c r="VLA102" s="142"/>
      <c r="VLB102" s="142"/>
      <c r="VLC102" s="142"/>
      <c r="VLD102" s="142"/>
      <c r="VLE102" s="142"/>
      <c r="VLF102" s="142"/>
      <c r="VLG102" s="142"/>
      <c r="VLH102" s="142"/>
      <c r="VLI102" s="142"/>
      <c r="VLJ102" s="142"/>
      <c r="VLK102" s="142"/>
      <c r="VLL102" s="142"/>
      <c r="VLM102" s="142"/>
      <c r="VLN102" s="142"/>
      <c r="VLO102" s="142"/>
      <c r="VLP102" s="142"/>
      <c r="VLQ102" s="142"/>
      <c r="VLR102" s="142"/>
      <c r="VLS102" s="142"/>
      <c r="VLT102" s="142"/>
      <c r="VLU102" s="142"/>
      <c r="VLV102" s="142"/>
      <c r="VLW102" s="142"/>
      <c r="VLX102" s="142"/>
      <c r="VLY102" s="142"/>
      <c r="VLZ102" s="142"/>
      <c r="VMA102" s="142"/>
      <c r="VMB102" s="142"/>
      <c r="VMC102" s="142"/>
      <c r="VMD102" s="142"/>
      <c r="VME102" s="142"/>
      <c r="VMF102" s="142"/>
      <c r="VMG102" s="142"/>
      <c r="VMH102" s="142"/>
      <c r="VMI102" s="142"/>
      <c r="VMJ102" s="142"/>
      <c r="VMK102" s="142"/>
      <c r="VML102" s="142"/>
      <c r="VMM102" s="142"/>
      <c r="VMN102" s="142"/>
      <c r="VMO102" s="142"/>
      <c r="VMP102" s="142"/>
      <c r="VMQ102" s="142"/>
      <c r="VMR102" s="142"/>
      <c r="VMS102" s="142"/>
      <c r="VMT102" s="142"/>
      <c r="VMU102" s="142"/>
      <c r="VMV102" s="142"/>
      <c r="VMW102" s="142"/>
      <c r="VMX102" s="142"/>
      <c r="VMY102" s="142"/>
      <c r="VMZ102" s="142"/>
      <c r="VNA102" s="142"/>
      <c r="VNB102" s="142"/>
      <c r="VNC102" s="142"/>
      <c r="VND102" s="142"/>
      <c r="VNE102" s="142"/>
      <c r="VNF102" s="142"/>
      <c r="VNG102" s="142"/>
      <c r="VNH102" s="142"/>
      <c r="VNI102" s="142"/>
      <c r="VNJ102" s="142"/>
      <c r="VNK102" s="142"/>
      <c r="VNL102" s="142"/>
      <c r="VNM102" s="142"/>
      <c r="VNN102" s="142"/>
      <c r="VNO102" s="142"/>
      <c r="VNP102" s="142"/>
      <c r="VNQ102" s="142"/>
      <c r="VNR102" s="142"/>
      <c r="VNS102" s="142"/>
      <c r="VNT102" s="142"/>
      <c r="VNU102" s="142"/>
      <c r="VNV102" s="142"/>
      <c r="VNW102" s="142"/>
      <c r="VNX102" s="142"/>
      <c r="VNY102" s="142"/>
      <c r="VNZ102" s="142"/>
      <c r="VOA102" s="142"/>
      <c r="VOB102" s="142"/>
      <c r="VOC102" s="142"/>
      <c r="VOD102" s="142"/>
      <c r="VOE102" s="142"/>
      <c r="VOF102" s="142"/>
      <c r="VOG102" s="142"/>
      <c r="VOH102" s="142"/>
      <c r="VOI102" s="142"/>
      <c r="VOJ102" s="142"/>
      <c r="VOK102" s="142"/>
      <c r="VOL102" s="142"/>
      <c r="VOM102" s="142"/>
      <c r="VON102" s="142"/>
      <c r="VOO102" s="142"/>
      <c r="VOP102" s="142"/>
      <c r="VOQ102" s="142"/>
      <c r="VOR102" s="142"/>
      <c r="VOS102" s="142"/>
      <c r="VOT102" s="142"/>
      <c r="VOU102" s="142"/>
      <c r="VOV102" s="142"/>
      <c r="VOW102" s="142"/>
      <c r="VOX102" s="142"/>
      <c r="VOY102" s="142"/>
      <c r="VOZ102" s="142"/>
      <c r="VPA102" s="142"/>
      <c r="VPB102" s="142"/>
      <c r="VPC102" s="142"/>
      <c r="VPD102" s="142"/>
      <c r="VPE102" s="142"/>
      <c r="VPF102" s="142"/>
      <c r="VPG102" s="142"/>
      <c r="VPH102" s="142"/>
      <c r="VPI102" s="142"/>
      <c r="VPJ102" s="142"/>
      <c r="VPK102" s="142"/>
      <c r="VPL102" s="142"/>
      <c r="VPM102" s="142"/>
      <c r="VPN102" s="142"/>
      <c r="VPO102" s="142"/>
      <c r="VPP102" s="142"/>
      <c r="VPQ102" s="142"/>
      <c r="VPR102" s="142"/>
      <c r="VPS102" s="142"/>
      <c r="VPT102" s="142"/>
      <c r="VPU102" s="142"/>
      <c r="VPV102" s="142"/>
      <c r="VPW102" s="142"/>
      <c r="VPX102" s="142"/>
      <c r="VPY102" s="142"/>
      <c r="VPZ102" s="142"/>
      <c r="VQA102" s="142"/>
      <c r="VQB102" s="142"/>
      <c r="VQC102" s="142"/>
      <c r="VQD102" s="142"/>
      <c r="VQE102" s="142"/>
      <c r="VQF102" s="142"/>
      <c r="VQG102" s="142"/>
      <c r="VQH102" s="142"/>
      <c r="VQI102" s="142"/>
      <c r="VQJ102" s="142"/>
      <c r="VQK102" s="142"/>
      <c r="VQL102" s="142"/>
      <c r="VQM102" s="142"/>
      <c r="VQN102" s="142"/>
      <c r="VQO102" s="142"/>
      <c r="VQP102" s="142"/>
      <c r="VQQ102" s="142"/>
      <c r="VQR102" s="142"/>
      <c r="VQS102" s="142"/>
      <c r="VQT102" s="142"/>
      <c r="VQU102" s="142"/>
      <c r="VQV102" s="142"/>
      <c r="VQW102" s="142"/>
      <c r="VQX102" s="142"/>
      <c r="VQY102" s="142"/>
      <c r="VQZ102" s="142"/>
      <c r="VRA102" s="142"/>
      <c r="VRB102" s="142"/>
      <c r="VRC102" s="142"/>
      <c r="VRD102" s="142"/>
      <c r="VRE102" s="142"/>
      <c r="VRF102" s="142"/>
      <c r="VRG102" s="142"/>
      <c r="VRH102" s="142"/>
      <c r="VRI102" s="142"/>
      <c r="VRJ102" s="142"/>
      <c r="VRK102" s="142"/>
      <c r="VRL102" s="142"/>
      <c r="VRM102" s="142"/>
      <c r="VRN102" s="142"/>
      <c r="VRO102" s="142"/>
      <c r="VRP102" s="142"/>
      <c r="VRQ102" s="142"/>
      <c r="VRR102" s="142"/>
      <c r="VRS102" s="142"/>
      <c r="VRT102" s="142"/>
      <c r="VRU102" s="142"/>
      <c r="VRV102" s="142"/>
      <c r="VRW102" s="142"/>
      <c r="VRX102" s="142"/>
      <c r="VRY102" s="142"/>
      <c r="VRZ102" s="142"/>
      <c r="VSA102" s="142"/>
      <c r="VSB102" s="142"/>
      <c r="VSC102" s="142"/>
      <c r="VSD102" s="142"/>
      <c r="VSE102" s="142"/>
      <c r="VSF102" s="142"/>
      <c r="VSG102" s="142"/>
      <c r="VSH102" s="142"/>
      <c r="VSI102" s="142"/>
      <c r="VSJ102" s="142"/>
      <c r="VSK102" s="142"/>
      <c r="VSL102" s="142"/>
      <c r="VSM102" s="142"/>
      <c r="VSN102" s="142"/>
      <c r="VSO102" s="142"/>
      <c r="VSP102" s="142"/>
      <c r="VSQ102" s="142"/>
      <c r="VSR102" s="142"/>
      <c r="VSS102" s="142"/>
      <c r="VST102" s="142"/>
      <c r="VSU102" s="142"/>
      <c r="VSV102" s="142"/>
      <c r="VSW102" s="142"/>
      <c r="VSX102" s="142"/>
      <c r="VSY102" s="142"/>
      <c r="VSZ102" s="142"/>
      <c r="VTA102" s="142"/>
      <c r="VTB102" s="142"/>
      <c r="VTC102" s="142"/>
      <c r="VTD102" s="142"/>
      <c r="VTE102" s="142"/>
      <c r="VTF102" s="142"/>
      <c r="VTG102" s="142"/>
      <c r="VTH102" s="142"/>
      <c r="VTI102" s="142"/>
      <c r="VTJ102" s="142"/>
      <c r="VTK102" s="142"/>
      <c r="VTL102" s="142"/>
      <c r="VTM102" s="142"/>
      <c r="VTN102" s="142"/>
      <c r="VTO102" s="142"/>
      <c r="VTP102" s="142"/>
      <c r="VTQ102" s="142"/>
      <c r="VTR102" s="142"/>
      <c r="VTS102" s="142"/>
      <c r="VTT102" s="142"/>
      <c r="VTU102" s="142"/>
      <c r="VTV102" s="142"/>
      <c r="VTW102" s="142"/>
      <c r="VTX102" s="142"/>
      <c r="VTY102" s="142"/>
      <c r="VTZ102" s="142"/>
      <c r="VUA102" s="142"/>
      <c r="VUB102" s="142"/>
      <c r="VUC102" s="142"/>
      <c r="VUD102" s="142"/>
      <c r="VUE102" s="142"/>
      <c r="VUF102" s="142"/>
      <c r="VUG102" s="142"/>
      <c r="VUH102" s="142"/>
      <c r="VUI102" s="142"/>
      <c r="VUJ102" s="142"/>
      <c r="VUK102" s="142"/>
      <c r="VUL102" s="142"/>
      <c r="VUM102" s="142"/>
      <c r="VUN102" s="142"/>
      <c r="VUO102" s="142"/>
      <c r="VUP102" s="142"/>
      <c r="VUQ102" s="142"/>
      <c r="VUR102" s="142"/>
      <c r="VUS102" s="142"/>
      <c r="VUT102" s="142"/>
      <c r="VUU102" s="142"/>
      <c r="VUV102" s="142"/>
      <c r="VUW102" s="142"/>
      <c r="VUX102" s="142"/>
      <c r="VUY102" s="142"/>
      <c r="VUZ102" s="142"/>
      <c r="VVA102" s="142"/>
      <c r="VVB102" s="142"/>
      <c r="VVC102" s="142"/>
      <c r="VVD102" s="142"/>
      <c r="VVE102" s="142"/>
      <c r="VVF102" s="142"/>
      <c r="VVG102" s="142"/>
      <c r="VVH102" s="142"/>
      <c r="VVI102" s="142"/>
      <c r="VVJ102" s="142"/>
      <c r="VVK102" s="142"/>
      <c r="VVL102" s="142"/>
      <c r="VVM102" s="142"/>
      <c r="VVN102" s="142"/>
      <c r="VVO102" s="142"/>
      <c r="VVP102" s="142"/>
      <c r="VVQ102" s="142"/>
      <c r="VVR102" s="142"/>
      <c r="VVS102" s="142"/>
      <c r="VVT102" s="142"/>
      <c r="VVU102" s="142"/>
      <c r="VVV102" s="142"/>
      <c r="VVW102" s="142"/>
      <c r="VVX102" s="142"/>
      <c r="VVY102" s="142"/>
      <c r="VVZ102" s="142"/>
      <c r="VWA102" s="142"/>
      <c r="VWB102" s="142"/>
      <c r="VWC102" s="142"/>
      <c r="VWD102" s="142"/>
      <c r="VWE102" s="142"/>
      <c r="VWF102" s="142"/>
      <c r="VWG102" s="142"/>
      <c r="VWH102" s="142"/>
      <c r="VWI102" s="142"/>
      <c r="VWJ102" s="142"/>
      <c r="VWK102" s="142"/>
      <c r="VWL102" s="142"/>
      <c r="VWM102" s="142"/>
      <c r="VWN102" s="142"/>
      <c r="VWO102" s="142"/>
      <c r="VWP102" s="142"/>
      <c r="VWQ102" s="142"/>
      <c r="VWR102" s="142"/>
      <c r="VWS102" s="142"/>
      <c r="VWT102" s="142"/>
      <c r="VWU102" s="142"/>
      <c r="VWV102" s="142"/>
      <c r="VWW102" s="142"/>
      <c r="VWX102" s="142"/>
      <c r="VWY102" s="142"/>
      <c r="VWZ102" s="142"/>
      <c r="VXA102" s="142"/>
      <c r="VXB102" s="142"/>
      <c r="VXC102" s="142"/>
      <c r="VXD102" s="142"/>
      <c r="VXE102" s="142"/>
      <c r="VXF102" s="142"/>
      <c r="VXG102" s="142"/>
      <c r="VXH102" s="142"/>
      <c r="VXI102" s="142"/>
      <c r="VXJ102" s="142"/>
      <c r="VXK102" s="142"/>
      <c r="VXL102" s="142"/>
      <c r="VXM102" s="142"/>
      <c r="VXN102" s="142"/>
      <c r="VXO102" s="142"/>
      <c r="VXP102" s="142"/>
      <c r="VXQ102" s="142"/>
      <c r="VXR102" s="142"/>
      <c r="VXS102" s="142"/>
      <c r="VXT102" s="142"/>
      <c r="VXU102" s="142"/>
      <c r="VXV102" s="142"/>
      <c r="VXW102" s="142"/>
      <c r="VXX102" s="142"/>
      <c r="VXY102" s="142"/>
      <c r="VXZ102" s="142"/>
      <c r="VYA102" s="142"/>
      <c r="VYB102" s="142"/>
      <c r="VYC102" s="142"/>
      <c r="VYD102" s="142"/>
      <c r="VYE102" s="142"/>
      <c r="VYF102" s="142"/>
      <c r="VYG102" s="142"/>
      <c r="VYH102" s="142"/>
      <c r="VYI102" s="142"/>
      <c r="VYJ102" s="142"/>
      <c r="VYK102" s="142"/>
      <c r="VYL102" s="142"/>
      <c r="VYM102" s="142"/>
      <c r="VYN102" s="142"/>
      <c r="VYO102" s="142"/>
      <c r="VYP102" s="142"/>
      <c r="VYQ102" s="142"/>
      <c r="VYR102" s="142"/>
      <c r="VYS102" s="142"/>
      <c r="VYT102" s="142"/>
      <c r="VYU102" s="142"/>
      <c r="VYV102" s="142"/>
      <c r="VYW102" s="142"/>
      <c r="VYX102" s="142"/>
      <c r="VYY102" s="142"/>
      <c r="VYZ102" s="142"/>
      <c r="VZA102" s="142"/>
      <c r="VZB102" s="142"/>
      <c r="VZC102" s="142"/>
      <c r="VZD102" s="142"/>
      <c r="VZE102" s="142"/>
      <c r="VZF102" s="142"/>
      <c r="VZG102" s="142"/>
      <c r="VZH102" s="142"/>
      <c r="VZI102" s="142"/>
      <c r="VZJ102" s="142"/>
      <c r="VZK102" s="142"/>
      <c r="VZL102" s="142"/>
      <c r="VZM102" s="142"/>
      <c r="VZN102" s="142"/>
      <c r="VZO102" s="142"/>
      <c r="VZP102" s="142"/>
      <c r="VZQ102" s="142"/>
      <c r="VZR102" s="142"/>
      <c r="VZS102" s="142"/>
      <c r="VZT102" s="142"/>
      <c r="VZU102" s="142"/>
      <c r="VZV102" s="142"/>
      <c r="VZW102" s="142"/>
      <c r="VZX102" s="142"/>
      <c r="VZY102" s="142"/>
      <c r="VZZ102" s="142"/>
      <c r="WAA102" s="142"/>
      <c r="WAB102" s="142"/>
      <c r="WAC102" s="142"/>
      <c r="WAD102" s="142"/>
      <c r="WAE102" s="142"/>
      <c r="WAF102" s="142"/>
      <c r="WAG102" s="142"/>
      <c r="WAH102" s="142"/>
      <c r="WAI102" s="142"/>
      <c r="WAJ102" s="142"/>
      <c r="WAK102" s="142"/>
      <c r="WAL102" s="142"/>
      <c r="WAM102" s="142"/>
      <c r="WAN102" s="142"/>
      <c r="WAO102" s="142"/>
      <c r="WAP102" s="142"/>
      <c r="WAQ102" s="142"/>
      <c r="WAR102" s="142"/>
      <c r="WAS102" s="142"/>
      <c r="WAT102" s="142"/>
      <c r="WAU102" s="142"/>
      <c r="WAV102" s="142"/>
      <c r="WAW102" s="142"/>
      <c r="WAX102" s="142"/>
      <c r="WAY102" s="142"/>
      <c r="WAZ102" s="142"/>
      <c r="WBA102" s="142"/>
      <c r="WBB102" s="142"/>
      <c r="WBC102" s="142"/>
      <c r="WBD102" s="142"/>
      <c r="WBE102" s="142"/>
      <c r="WBF102" s="142"/>
      <c r="WBG102" s="142"/>
      <c r="WBH102" s="142"/>
      <c r="WBI102" s="142"/>
      <c r="WBJ102" s="142"/>
      <c r="WBK102" s="142"/>
      <c r="WBL102" s="142"/>
      <c r="WBM102" s="142"/>
      <c r="WBN102" s="142"/>
      <c r="WBO102" s="142"/>
      <c r="WBP102" s="142"/>
      <c r="WBQ102" s="142"/>
      <c r="WBR102" s="142"/>
      <c r="WBS102" s="142"/>
      <c r="WBT102" s="142"/>
      <c r="WBU102" s="142"/>
      <c r="WBV102" s="142"/>
      <c r="WBW102" s="142"/>
      <c r="WBX102" s="142"/>
      <c r="WBY102" s="142"/>
      <c r="WBZ102" s="142"/>
      <c r="WCA102" s="142"/>
      <c r="WCB102" s="142"/>
      <c r="WCC102" s="142"/>
      <c r="WCD102" s="142"/>
      <c r="WCE102" s="142"/>
      <c r="WCF102" s="142"/>
      <c r="WCG102" s="142"/>
      <c r="WCH102" s="142"/>
      <c r="WCI102" s="142"/>
      <c r="WCJ102" s="142"/>
      <c r="WCK102" s="142"/>
      <c r="WCL102" s="142"/>
      <c r="WCM102" s="142"/>
      <c r="WCN102" s="142"/>
      <c r="WCO102" s="142"/>
      <c r="WCP102" s="142"/>
      <c r="WCQ102" s="142"/>
      <c r="WCR102" s="142"/>
      <c r="WCS102" s="142"/>
      <c r="WCT102" s="142"/>
      <c r="WCU102" s="142"/>
      <c r="WCV102" s="142"/>
      <c r="WCW102" s="142"/>
      <c r="WCX102" s="142"/>
      <c r="WCY102" s="142"/>
      <c r="WCZ102" s="142"/>
      <c r="WDA102" s="142"/>
      <c r="WDB102" s="142"/>
      <c r="WDC102" s="142"/>
      <c r="WDD102" s="142"/>
      <c r="WDE102" s="142"/>
      <c r="WDF102" s="142"/>
      <c r="WDG102" s="142"/>
      <c r="WDH102" s="142"/>
      <c r="WDI102" s="142"/>
      <c r="WDJ102" s="142"/>
      <c r="WDK102" s="142"/>
      <c r="WDL102" s="142"/>
      <c r="WDM102" s="142"/>
      <c r="WDN102" s="142"/>
      <c r="WDO102" s="142"/>
      <c r="WDP102" s="142"/>
      <c r="WDQ102" s="142"/>
      <c r="WDR102" s="142"/>
      <c r="WDS102" s="142"/>
      <c r="WDT102" s="142"/>
      <c r="WDU102" s="142"/>
      <c r="WDV102" s="142"/>
      <c r="WDW102" s="142"/>
      <c r="WDX102" s="142"/>
      <c r="WDY102" s="142"/>
      <c r="WDZ102" s="142"/>
      <c r="WEA102" s="142"/>
      <c r="WEB102" s="142"/>
      <c r="WEC102" s="142"/>
      <c r="WED102" s="142"/>
      <c r="WEE102" s="142"/>
      <c r="WEF102" s="142"/>
      <c r="WEG102" s="142"/>
      <c r="WEH102" s="142"/>
      <c r="WEI102" s="142"/>
      <c r="WEJ102" s="142"/>
      <c r="WEK102" s="142"/>
      <c r="WEL102" s="142"/>
      <c r="WEM102" s="142"/>
      <c r="WEN102" s="142"/>
      <c r="WEO102" s="142"/>
      <c r="WEP102" s="142"/>
      <c r="WEQ102" s="142"/>
      <c r="WER102" s="142"/>
      <c r="WES102" s="142"/>
      <c r="WET102" s="142"/>
      <c r="WEU102" s="142"/>
      <c r="WEV102" s="142"/>
      <c r="WEW102" s="142"/>
      <c r="WEX102" s="142"/>
      <c r="WEY102" s="142"/>
      <c r="WEZ102" s="142"/>
      <c r="WFA102" s="142"/>
      <c r="WFB102" s="142"/>
      <c r="WFC102" s="142"/>
      <c r="WFD102" s="142"/>
      <c r="WFE102" s="142"/>
      <c r="WFF102" s="142"/>
      <c r="WFG102" s="142"/>
      <c r="WFH102" s="142"/>
      <c r="WFI102" s="142"/>
      <c r="WFJ102" s="142"/>
      <c r="WFK102" s="142"/>
      <c r="WFL102" s="142"/>
      <c r="WFM102" s="142"/>
      <c r="WFN102" s="142"/>
      <c r="WFO102" s="142"/>
      <c r="WFP102" s="142"/>
      <c r="WFQ102" s="142"/>
      <c r="WFR102" s="142"/>
      <c r="WFS102" s="142"/>
      <c r="WFT102" s="142"/>
      <c r="WFU102" s="142"/>
      <c r="WFV102" s="142"/>
      <c r="WFW102" s="142"/>
      <c r="WFX102" s="142"/>
      <c r="WFY102" s="142"/>
      <c r="WFZ102" s="142"/>
      <c r="WGA102" s="142"/>
      <c r="WGB102" s="142"/>
      <c r="WGC102" s="142"/>
      <c r="WGD102" s="142"/>
      <c r="WGE102" s="142"/>
      <c r="WGF102" s="142"/>
      <c r="WGG102" s="142"/>
      <c r="WGH102" s="142"/>
      <c r="WGI102" s="142"/>
      <c r="WGJ102" s="142"/>
      <c r="WGK102" s="142"/>
      <c r="WGL102" s="142"/>
      <c r="WGM102" s="142"/>
      <c r="WGN102" s="142"/>
      <c r="WGO102" s="142"/>
      <c r="WGP102" s="142"/>
      <c r="WGQ102" s="142"/>
      <c r="WGR102" s="142"/>
      <c r="WGS102" s="142"/>
      <c r="WGT102" s="142"/>
      <c r="WGU102" s="142"/>
      <c r="WGV102" s="142"/>
      <c r="WGW102" s="142"/>
      <c r="WGX102" s="142"/>
      <c r="WGY102" s="142"/>
      <c r="WGZ102" s="142"/>
      <c r="WHA102" s="142"/>
      <c r="WHB102" s="142"/>
      <c r="WHC102" s="142"/>
      <c r="WHD102" s="142"/>
      <c r="WHE102" s="142"/>
      <c r="WHF102" s="142"/>
      <c r="WHG102" s="142"/>
      <c r="WHH102" s="142"/>
      <c r="WHI102" s="142"/>
      <c r="WHJ102" s="142"/>
      <c r="WHK102" s="142"/>
      <c r="WHL102" s="142"/>
      <c r="WHM102" s="142"/>
      <c r="WHN102" s="142"/>
      <c r="WHO102" s="142"/>
      <c r="WHP102" s="142"/>
      <c r="WHQ102" s="142"/>
      <c r="WHR102" s="142"/>
      <c r="WHS102" s="142"/>
      <c r="WHT102" s="142"/>
      <c r="WHU102" s="142"/>
      <c r="WHV102" s="142"/>
      <c r="WHW102" s="142"/>
      <c r="WHX102" s="142"/>
      <c r="WHY102" s="142"/>
      <c r="WHZ102" s="142"/>
      <c r="WIA102" s="142"/>
      <c r="WIB102" s="142"/>
      <c r="WIC102" s="142"/>
      <c r="WID102" s="142"/>
      <c r="WIE102" s="142"/>
      <c r="WIF102" s="142"/>
      <c r="WIG102" s="142"/>
      <c r="WIH102" s="142"/>
      <c r="WII102" s="142"/>
      <c r="WIJ102" s="142"/>
      <c r="WIK102" s="142"/>
      <c r="WIL102" s="142"/>
      <c r="WIM102" s="142"/>
      <c r="WIN102" s="142"/>
      <c r="WIO102" s="142"/>
      <c r="WIP102" s="142"/>
      <c r="WIQ102" s="142"/>
      <c r="WIR102" s="142"/>
      <c r="WIS102" s="142"/>
      <c r="WIT102" s="142"/>
      <c r="WIU102" s="142"/>
      <c r="WIV102" s="142"/>
      <c r="WIW102" s="142"/>
      <c r="WIX102" s="142"/>
      <c r="WIY102" s="142"/>
      <c r="WIZ102" s="142"/>
      <c r="WJA102" s="142"/>
      <c r="WJB102" s="142"/>
      <c r="WJC102" s="142"/>
      <c r="WJD102" s="142"/>
      <c r="WJE102" s="142"/>
      <c r="WJF102" s="142"/>
      <c r="WJG102" s="142"/>
      <c r="WJH102" s="142"/>
      <c r="WJI102" s="142"/>
      <c r="WJJ102" s="142"/>
      <c r="WJK102" s="142"/>
      <c r="WJL102" s="142"/>
      <c r="WJM102" s="142"/>
      <c r="WJN102" s="142"/>
      <c r="WJO102" s="142"/>
      <c r="WJP102" s="142"/>
      <c r="WJQ102" s="142"/>
      <c r="WJR102" s="142"/>
      <c r="WJS102" s="142"/>
      <c r="WJT102" s="142"/>
      <c r="WJU102" s="142"/>
      <c r="WJV102" s="142"/>
      <c r="WJW102" s="142"/>
      <c r="WJX102" s="142"/>
      <c r="WJY102" s="142"/>
      <c r="WJZ102" s="142"/>
      <c r="WKA102" s="142"/>
      <c r="WKB102" s="142"/>
      <c r="WKC102" s="142"/>
      <c r="WKD102" s="142"/>
      <c r="WKE102" s="142"/>
      <c r="WKF102" s="142"/>
      <c r="WKG102" s="142"/>
      <c r="WKH102" s="142"/>
      <c r="WKI102" s="142"/>
      <c r="WKJ102" s="142"/>
      <c r="WKK102" s="142"/>
      <c r="WKL102" s="142"/>
      <c r="WKM102" s="142"/>
      <c r="WKN102" s="142"/>
      <c r="WKO102" s="142"/>
      <c r="WKP102" s="142"/>
      <c r="WKQ102" s="142"/>
      <c r="WKR102" s="142"/>
      <c r="WKS102" s="142"/>
      <c r="WKT102" s="142"/>
      <c r="WKU102" s="142"/>
      <c r="WKV102" s="142"/>
      <c r="WKW102" s="142"/>
      <c r="WKX102" s="142"/>
      <c r="WKY102" s="142"/>
      <c r="WKZ102" s="142"/>
      <c r="WLA102" s="142"/>
      <c r="WLB102" s="142"/>
      <c r="WLC102" s="142"/>
      <c r="WLD102" s="142"/>
      <c r="WLE102" s="142"/>
      <c r="WLF102" s="142"/>
      <c r="WLG102" s="142"/>
      <c r="WLH102" s="142"/>
      <c r="WLI102" s="142"/>
      <c r="WLJ102" s="142"/>
      <c r="WLK102" s="142"/>
      <c r="WLL102" s="142"/>
      <c r="WLM102" s="142"/>
      <c r="WLN102" s="142"/>
      <c r="WLO102" s="142"/>
      <c r="WLP102" s="142"/>
      <c r="WLQ102" s="142"/>
      <c r="WLR102" s="142"/>
      <c r="WLS102" s="142"/>
      <c r="WLT102" s="142"/>
      <c r="WLU102" s="142"/>
      <c r="WLV102" s="142"/>
      <c r="WLW102" s="142"/>
      <c r="WLX102" s="142"/>
      <c r="WLY102" s="142"/>
      <c r="WLZ102" s="142"/>
      <c r="WMA102" s="142"/>
      <c r="WMB102" s="142"/>
      <c r="WMC102" s="142"/>
      <c r="WMD102" s="142"/>
      <c r="WME102" s="142"/>
      <c r="WMF102" s="142"/>
      <c r="WMG102" s="142"/>
      <c r="WMH102" s="142"/>
      <c r="WMI102" s="142"/>
      <c r="WMJ102" s="142"/>
      <c r="WMK102" s="142"/>
      <c r="WML102" s="142"/>
      <c r="WMM102" s="142"/>
      <c r="WMN102" s="142"/>
      <c r="WMO102" s="142"/>
      <c r="WMP102" s="142"/>
      <c r="WMQ102" s="142"/>
      <c r="WMR102" s="142"/>
      <c r="WMS102" s="142"/>
      <c r="WMT102" s="142"/>
      <c r="WMU102" s="142"/>
      <c r="WMV102" s="142"/>
      <c r="WMW102" s="142"/>
      <c r="WMX102" s="142"/>
      <c r="WMY102" s="142"/>
      <c r="WMZ102" s="142"/>
      <c r="WNA102" s="142"/>
      <c r="WNB102" s="142"/>
      <c r="WNC102" s="142"/>
      <c r="WND102" s="142"/>
      <c r="WNE102" s="142"/>
      <c r="WNF102" s="142"/>
      <c r="WNG102" s="142"/>
      <c r="WNH102" s="142"/>
      <c r="WNI102" s="142"/>
      <c r="WNJ102" s="142"/>
      <c r="WNK102" s="142"/>
      <c r="WNL102" s="142"/>
      <c r="WNM102" s="142"/>
      <c r="WNN102" s="142"/>
      <c r="WNO102" s="142"/>
      <c r="WNP102" s="142"/>
      <c r="WNQ102" s="142"/>
      <c r="WNR102" s="142"/>
      <c r="WNS102" s="142"/>
      <c r="WNT102" s="142"/>
      <c r="WNU102" s="142"/>
      <c r="WNV102" s="142"/>
      <c r="WNW102" s="142"/>
      <c r="WNX102" s="142"/>
      <c r="WNY102" s="142"/>
      <c r="WNZ102" s="142"/>
      <c r="WOA102" s="142"/>
      <c r="WOB102" s="142"/>
      <c r="WOC102" s="142"/>
      <c r="WOD102" s="142"/>
      <c r="WOE102" s="142"/>
      <c r="WOF102" s="142"/>
      <c r="WOG102" s="142"/>
      <c r="WOH102" s="142"/>
      <c r="WOI102" s="142"/>
      <c r="WOJ102" s="142"/>
      <c r="WOK102" s="142"/>
      <c r="WOL102" s="142"/>
      <c r="WOM102" s="142"/>
      <c r="WON102" s="142"/>
      <c r="WOO102" s="142"/>
      <c r="WOP102" s="142"/>
      <c r="WOQ102" s="142"/>
      <c r="WOR102" s="142"/>
      <c r="WOS102" s="142"/>
      <c r="WOT102" s="142"/>
      <c r="WOU102" s="142"/>
      <c r="WOV102" s="142"/>
      <c r="WOW102" s="142"/>
      <c r="WOX102" s="142"/>
      <c r="WOY102" s="142"/>
      <c r="WOZ102" s="142"/>
      <c r="WPA102" s="142"/>
      <c r="WPB102" s="142"/>
      <c r="WPC102" s="142"/>
      <c r="WPD102" s="142"/>
      <c r="WPE102" s="142"/>
      <c r="WPF102" s="142"/>
      <c r="WPG102" s="142"/>
      <c r="WPH102" s="142"/>
      <c r="WPI102" s="142"/>
      <c r="WPJ102" s="142"/>
      <c r="WPK102" s="142"/>
      <c r="WPL102" s="142"/>
      <c r="WPM102" s="142"/>
      <c r="WPN102" s="142"/>
      <c r="WPO102" s="142"/>
      <c r="WPP102" s="142"/>
      <c r="WPQ102" s="142"/>
      <c r="WPR102" s="142"/>
      <c r="WPS102" s="142"/>
      <c r="WPT102" s="142"/>
      <c r="WPU102" s="142"/>
      <c r="WPV102" s="142"/>
      <c r="WPW102" s="142"/>
      <c r="WPX102" s="142"/>
      <c r="WPY102" s="142"/>
      <c r="WPZ102" s="142"/>
      <c r="WQA102" s="142"/>
      <c r="WQB102" s="142"/>
      <c r="WQC102" s="142"/>
      <c r="WQD102" s="142"/>
      <c r="WQE102" s="142"/>
      <c r="WQF102" s="142"/>
      <c r="WQG102" s="142"/>
      <c r="WQH102" s="142"/>
      <c r="WQI102" s="142"/>
      <c r="WQJ102" s="142"/>
      <c r="WQK102" s="142"/>
      <c r="WQL102" s="142"/>
      <c r="WQM102" s="142"/>
      <c r="WQN102" s="142"/>
      <c r="WQO102" s="142"/>
      <c r="WQP102" s="142"/>
      <c r="WQQ102" s="142"/>
      <c r="WQR102" s="142"/>
      <c r="WQS102" s="142"/>
      <c r="WQT102" s="142"/>
      <c r="WQU102" s="142"/>
      <c r="WQV102" s="142"/>
      <c r="WQW102" s="142"/>
      <c r="WQX102" s="142"/>
      <c r="WQY102" s="142"/>
      <c r="WQZ102" s="142"/>
      <c r="WRA102" s="142"/>
      <c r="WRB102" s="142"/>
      <c r="WRC102" s="142"/>
      <c r="WRD102" s="142"/>
      <c r="WRE102" s="142"/>
      <c r="WRF102" s="142"/>
      <c r="WRG102" s="142"/>
      <c r="WRH102" s="142"/>
      <c r="WRI102" s="142"/>
      <c r="WRJ102" s="142"/>
      <c r="WRK102" s="142"/>
      <c r="WRL102" s="142"/>
      <c r="WRM102" s="142"/>
      <c r="WRN102" s="142"/>
      <c r="WRO102" s="142"/>
      <c r="WRP102" s="142"/>
      <c r="WRQ102" s="142"/>
      <c r="WRR102" s="142"/>
      <c r="WRS102" s="142"/>
      <c r="WRT102" s="142"/>
      <c r="WRU102" s="142"/>
      <c r="WRV102" s="142"/>
      <c r="WRW102" s="142"/>
      <c r="WRX102" s="142"/>
      <c r="WRY102" s="142"/>
      <c r="WRZ102" s="142"/>
      <c r="WSA102" s="142"/>
      <c r="WSB102" s="142"/>
      <c r="WSC102" s="142"/>
      <c r="WSD102" s="142"/>
      <c r="WSE102" s="142"/>
      <c r="WSF102" s="142"/>
      <c r="WSG102" s="142"/>
      <c r="WSH102" s="142"/>
      <c r="WSI102" s="142"/>
      <c r="WSJ102" s="142"/>
      <c r="WSK102" s="142"/>
      <c r="WSL102" s="142"/>
      <c r="WSM102" s="142"/>
      <c r="WSN102" s="142"/>
      <c r="WSO102" s="142"/>
      <c r="WSP102" s="142"/>
      <c r="WSQ102" s="142"/>
      <c r="WSR102" s="142"/>
      <c r="WSS102" s="142"/>
      <c r="WST102" s="142"/>
      <c r="WSU102" s="142"/>
      <c r="WSV102" s="142"/>
      <c r="WSW102" s="142"/>
      <c r="WSX102" s="142"/>
      <c r="WSY102" s="142"/>
      <c r="WSZ102" s="142"/>
      <c r="WTA102" s="142"/>
      <c r="WTB102" s="142"/>
      <c r="WTC102" s="142"/>
      <c r="WTD102" s="142"/>
      <c r="WTE102" s="142"/>
      <c r="WTF102" s="142"/>
      <c r="WTG102" s="142"/>
      <c r="WTH102" s="142"/>
      <c r="WTI102" s="142"/>
      <c r="WTJ102" s="142"/>
      <c r="WTK102" s="142"/>
      <c r="WTL102" s="142"/>
      <c r="WTM102" s="142"/>
      <c r="WTN102" s="142"/>
      <c r="WTO102" s="142"/>
      <c r="WTP102" s="142"/>
      <c r="WTQ102" s="142"/>
      <c r="WTR102" s="142"/>
      <c r="WTS102" s="142"/>
      <c r="WTT102" s="142"/>
      <c r="WTU102" s="142"/>
      <c r="WTV102" s="142"/>
      <c r="WTW102" s="142"/>
      <c r="WTX102" s="142"/>
      <c r="WTY102" s="142"/>
      <c r="WTZ102" s="142"/>
      <c r="WUA102" s="142"/>
      <c r="WUB102" s="142"/>
      <c r="WUC102" s="142"/>
      <c r="WUD102" s="142"/>
      <c r="WUE102" s="142"/>
      <c r="WUF102" s="142"/>
      <c r="WUG102" s="142"/>
      <c r="WUH102" s="142"/>
      <c r="WUI102" s="142"/>
      <c r="WUJ102" s="142"/>
      <c r="WUK102" s="142"/>
      <c r="WUL102" s="142"/>
      <c r="WUM102" s="142"/>
      <c r="WUN102" s="142"/>
      <c r="WUO102" s="142"/>
      <c r="WUP102" s="142"/>
      <c r="WUQ102" s="142"/>
      <c r="WUR102" s="142"/>
      <c r="WUS102" s="142"/>
      <c r="WUT102" s="142"/>
      <c r="WUU102" s="142"/>
      <c r="WUV102" s="142"/>
      <c r="WUW102" s="142"/>
      <c r="WUX102" s="142"/>
      <c r="WUY102" s="142"/>
      <c r="WUZ102" s="142"/>
      <c r="WVA102" s="142"/>
      <c r="WVB102" s="142"/>
      <c r="WVC102" s="142"/>
      <c r="WVD102" s="142"/>
      <c r="WVE102" s="142"/>
      <c r="WVF102" s="142"/>
      <c r="WVG102" s="142"/>
      <c r="WVH102" s="142"/>
      <c r="WVI102" s="142"/>
      <c r="WVJ102" s="142"/>
      <c r="WVK102" s="142"/>
      <c r="WVL102" s="142"/>
      <c r="WVM102" s="142"/>
      <c r="WVN102" s="142"/>
      <c r="WVO102" s="142"/>
      <c r="WVP102" s="142"/>
      <c r="WVQ102" s="142"/>
      <c r="WVR102" s="142"/>
      <c r="WVS102" s="142"/>
      <c r="WVT102" s="142"/>
      <c r="WVU102" s="142"/>
      <c r="WVV102" s="142"/>
      <c r="WVW102" s="142"/>
      <c r="WVX102" s="142"/>
      <c r="WVY102" s="142"/>
      <c r="WVZ102" s="142"/>
      <c r="WWA102" s="142"/>
      <c r="WWB102" s="142"/>
      <c r="WWC102" s="142"/>
      <c r="WWD102" s="142"/>
      <c r="WWE102" s="142"/>
      <c r="WWF102" s="142"/>
      <c r="WWG102" s="142"/>
      <c r="WWH102" s="142"/>
      <c r="WWI102" s="142"/>
      <c r="WWJ102" s="142"/>
      <c r="WWK102" s="142"/>
      <c r="WWL102" s="142"/>
      <c r="WWM102" s="142"/>
      <c r="WWN102" s="142"/>
      <c r="WWO102" s="142"/>
      <c r="WWP102" s="142"/>
      <c r="WWQ102" s="142"/>
      <c r="WWR102" s="142"/>
      <c r="WWS102" s="142"/>
      <c r="WWT102" s="142"/>
      <c r="WWU102" s="142"/>
      <c r="WWV102" s="142"/>
      <c r="WWW102" s="142"/>
      <c r="WWX102" s="142"/>
      <c r="WWY102" s="142"/>
      <c r="WWZ102" s="142"/>
      <c r="WXA102" s="142"/>
      <c r="WXB102" s="142"/>
      <c r="WXC102" s="142"/>
      <c r="WXD102" s="142"/>
      <c r="WXE102" s="142"/>
      <c r="WXF102" s="142"/>
      <c r="WXG102" s="142"/>
      <c r="WXH102" s="142"/>
      <c r="WXI102" s="142"/>
      <c r="WXJ102" s="142"/>
      <c r="WXK102" s="142"/>
      <c r="WXL102" s="142"/>
      <c r="WXM102" s="142"/>
      <c r="WXN102" s="142"/>
      <c r="WXO102" s="142"/>
      <c r="WXP102" s="142"/>
      <c r="WXQ102" s="142"/>
      <c r="WXR102" s="142"/>
      <c r="WXS102" s="142"/>
      <c r="WXT102" s="142"/>
      <c r="WXU102" s="142"/>
      <c r="WXV102" s="142"/>
      <c r="WXW102" s="142"/>
      <c r="WXX102" s="142"/>
      <c r="WXY102" s="142"/>
      <c r="WXZ102" s="142"/>
      <c r="WYA102" s="142"/>
      <c r="WYB102" s="142"/>
      <c r="WYC102" s="142"/>
      <c r="WYD102" s="142"/>
      <c r="WYE102" s="142"/>
      <c r="WYF102" s="142"/>
      <c r="WYG102" s="142"/>
      <c r="WYH102" s="142"/>
      <c r="WYI102" s="142"/>
      <c r="WYJ102" s="142"/>
      <c r="WYK102" s="142"/>
      <c r="WYL102" s="142"/>
      <c r="WYM102" s="142"/>
      <c r="WYN102" s="142"/>
      <c r="WYO102" s="142"/>
      <c r="WYP102" s="142"/>
      <c r="WYQ102" s="142"/>
      <c r="WYR102" s="142"/>
      <c r="WYS102" s="142"/>
      <c r="WYT102" s="142"/>
      <c r="WYU102" s="142"/>
      <c r="WYV102" s="142"/>
      <c r="WYW102" s="142"/>
      <c r="WYX102" s="142"/>
      <c r="WYY102" s="142"/>
      <c r="WYZ102" s="142"/>
      <c r="WZA102" s="142"/>
      <c r="WZB102" s="142"/>
      <c r="WZC102" s="142"/>
      <c r="WZD102" s="142"/>
      <c r="WZE102" s="142"/>
      <c r="WZF102" s="142"/>
      <c r="WZG102" s="142"/>
      <c r="WZH102" s="142"/>
      <c r="WZI102" s="142"/>
      <c r="WZJ102" s="142"/>
      <c r="WZK102" s="142"/>
      <c r="WZL102" s="142"/>
      <c r="WZM102" s="142"/>
      <c r="WZN102" s="142"/>
      <c r="WZO102" s="142"/>
      <c r="WZP102" s="142"/>
      <c r="WZQ102" s="142"/>
      <c r="WZR102" s="142"/>
      <c r="WZS102" s="142"/>
      <c r="WZT102" s="142"/>
      <c r="WZU102" s="142"/>
      <c r="WZV102" s="142"/>
      <c r="WZW102" s="142"/>
      <c r="WZX102" s="142"/>
      <c r="WZY102" s="142"/>
      <c r="WZZ102" s="142"/>
      <c r="XAA102" s="142"/>
      <c r="XAB102" s="142"/>
      <c r="XAC102" s="142"/>
      <c r="XAD102" s="142"/>
      <c r="XAE102" s="142"/>
      <c r="XAF102" s="142"/>
      <c r="XAG102" s="142"/>
      <c r="XAH102" s="142"/>
      <c r="XAI102" s="142"/>
      <c r="XAJ102" s="142"/>
      <c r="XAK102" s="142"/>
      <c r="XAL102" s="142"/>
      <c r="XAM102" s="142"/>
      <c r="XAN102" s="142"/>
      <c r="XAO102" s="142"/>
      <c r="XAP102" s="142"/>
      <c r="XAQ102" s="142"/>
      <c r="XAR102" s="142"/>
      <c r="XAS102" s="142"/>
      <c r="XAT102" s="142"/>
      <c r="XAU102" s="142"/>
      <c r="XAV102" s="142"/>
      <c r="XAW102" s="142"/>
      <c r="XAX102" s="142"/>
      <c r="XAY102" s="142"/>
      <c r="XAZ102" s="142"/>
      <c r="XBA102" s="142"/>
      <c r="XBB102" s="142"/>
      <c r="XBC102" s="142"/>
      <c r="XBD102" s="142"/>
      <c r="XBE102" s="142"/>
      <c r="XBF102" s="142"/>
      <c r="XBG102" s="142"/>
      <c r="XBH102" s="142"/>
      <c r="XBI102" s="142"/>
      <c r="XBJ102" s="142"/>
      <c r="XBK102" s="142"/>
      <c r="XBL102" s="142"/>
      <c r="XBM102" s="142"/>
      <c r="XBN102" s="142"/>
      <c r="XBO102" s="142"/>
      <c r="XBP102" s="142"/>
      <c r="XBQ102" s="142"/>
      <c r="XBR102" s="142"/>
      <c r="XBS102" s="142"/>
      <c r="XBT102" s="142"/>
      <c r="XBU102" s="142"/>
      <c r="XBV102" s="142"/>
      <c r="XBW102" s="142"/>
      <c r="XBX102" s="142"/>
      <c r="XBY102" s="142"/>
      <c r="XBZ102" s="142"/>
      <c r="XCA102" s="142"/>
      <c r="XCB102" s="142"/>
      <c r="XCC102" s="142"/>
      <c r="XCD102" s="142"/>
      <c r="XCE102" s="142"/>
      <c r="XCF102" s="142"/>
      <c r="XCG102" s="142"/>
      <c r="XCH102" s="142"/>
      <c r="XCI102" s="142"/>
      <c r="XCJ102" s="142"/>
      <c r="XCK102" s="142"/>
      <c r="XCL102" s="142"/>
      <c r="XCM102" s="142"/>
      <c r="XCN102" s="142"/>
      <c r="XCO102" s="142"/>
      <c r="XCP102" s="142"/>
      <c r="XCQ102" s="142"/>
      <c r="XCR102" s="142"/>
      <c r="XCS102" s="142"/>
      <c r="XCT102" s="142"/>
      <c r="XCU102" s="142"/>
      <c r="XCV102" s="142"/>
      <c r="XCW102" s="142"/>
      <c r="XCX102" s="142"/>
      <c r="XCY102" s="142"/>
      <c r="XCZ102" s="142"/>
      <c r="XDA102" s="142"/>
      <c r="XDB102" s="142"/>
      <c r="XDC102" s="142"/>
      <c r="XDD102" s="142"/>
      <c r="XDE102" s="142"/>
      <c r="XDF102" s="142"/>
      <c r="XDG102" s="142"/>
      <c r="XDH102" s="142"/>
      <c r="XDI102" s="142"/>
      <c r="XDJ102" s="142"/>
      <c r="XDK102" s="142"/>
      <c r="XDL102" s="142"/>
      <c r="XDM102" s="142"/>
      <c r="XDN102" s="142"/>
      <c r="XDO102" s="142"/>
      <c r="XDP102" s="142"/>
      <c r="XDQ102" s="142"/>
      <c r="XDR102" s="142"/>
      <c r="XDS102" s="142"/>
      <c r="XDT102" s="142"/>
      <c r="XDU102" s="142"/>
      <c r="XDV102" s="142"/>
      <c r="XDW102" s="142"/>
      <c r="XDX102" s="142"/>
      <c r="XDY102" s="142"/>
      <c r="XDZ102" s="142"/>
      <c r="XEA102" s="142"/>
      <c r="XEB102" s="142"/>
      <c r="XEC102" s="142"/>
      <c r="XED102" s="142"/>
      <c r="XEE102" s="142"/>
      <c r="XEF102" s="142"/>
      <c r="XEG102" s="142"/>
      <c r="XEH102" s="142"/>
      <c r="XEI102" s="142"/>
      <c r="XEJ102" s="142"/>
      <c r="XEK102" s="142"/>
      <c r="XEL102" s="142"/>
      <c r="XEM102" s="142"/>
      <c r="XEN102" s="142"/>
      <c r="XEO102" s="142"/>
      <c r="XEP102" s="142"/>
      <c r="XEQ102" s="142"/>
      <c r="XER102" s="142"/>
      <c r="XES102" s="142"/>
      <c r="XET102" s="142"/>
      <c r="XEU102" s="142"/>
      <c r="XEV102" s="142"/>
      <c r="XEW102" s="142"/>
      <c r="XEX102" s="142"/>
    </row>
    <row r="103" spans="1:16378" s="142" customFormat="1" ht="51" hidden="1" x14ac:dyDescent="0.25">
      <c r="A103" s="472">
        <v>2026</v>
      </c>
      <c r="B103" s="472">
        <v>479</v>
      </c>
      <c r="C103" s="472" t="s">
        <v>64</v>
      </c>
      <c r="D103" s="472" t="s">
        <v>65</v>
      </c>
      <c r="E103" s="472">
        <v>125</v>
      </c>
      <c r="F103" s="472">
        <v>3000654</v>
      </c>
      <c r="G103" s="472">
        <v>5005023</v>
      </c>
      <c r="H103" s="472">
        <v>3</v>
      </c>
      <c r="I103" s="472">
        <v>12</v>
      </c>
      <c r="J103" s="472">
        <v>24</v>
      </c>
      <c r="K103" s="472">
        <v>135560</v>
      </c>
      <c r="L103" s="472" t="s">
        <v>66</v>
      </c>
      <c r="M103" s="124" t="s">
        <v>67</v>
      </c>
      <c r="N103" s="472">
        <v>95</v>
      </c>
      <c r="O103" s="474"/>
      <c r="P103" s="474" t="s">
        <v>4</v>
      </c>
      <c r="Q103" s="472" t="s">
        <v>68</v>
      </c>
      <c r="R103" s="475" t="s">
        <v>69</v>
      </c>
      <c r="S103" s="475" t="s">
        <v>137</v>
      </c>
      <c r="T103" s="475"/>
      <c r="U103" s="124" t="s">
        <v>183</v>
      </c>
      <c r="V103" s="475" t="s">
        <v>3</v>
      </c>
      <c r="W103" s="121">
        <v>1</v>
      </c>
      <c r="X103" s="476">
        <v>6000</v>
      </c>
      <c r="Y103" s="474"/>
      <c r="Z103" s="474"/>
      <c r="AA103" s="474"/>
      <c r="AB103" s="474"/>
      <c r="AC103" s="475">
        <v>30</v>
      </c>
      <c r="AD103" s="475">
        <v>30</v>
      </c>
      <c r="AE103" s="474"/>
      <c r="AF103" s="474"/>
      <c r="AG103" s="474"/>
      <c r="AH103" s="474"/>
      <c r="AI103" s="474"/>
      <c r="AJ103" s="474"/>
      <c r="AK103" s="477">
        <v>12000</v>
      </c>
      <c r="AL103" s="472" t="s">
        <v>73</v>
      </c>
      <c r="AM103" s="472" t="s">
        <v>73</v>
      </c>
      <c r="AN103" s="472" t="s">
        <v>73</v>
      </c>
      <c r="AO103" s="472" t="s">
        <v>73</v>
      </c>
      <c r="AP103" s="478">
        <v>6000</v>
      </c>
      <c r="AQ103" s="478">
        <v>6000</v>
      </c>
      <c r="AR103" s="472" t="s">
        <v>73</v>
      </c>
      <c r="AS103" s="472" t="s">
        <v>73</v>
      </c>
      <c r="AT103" s="472" t="s">
        <v>73</v>
      </c>
      <c r="AU103" s="472" t="s">
        <v>73</v>
      </c>
      <c r="AV103" s="472" t="s">
        <v>73</v>
      </c>
      <c r="AW103" s="472" t="s">
        <v>73</v>
      </c>
      <c r="AX103" s="30">
        <v>12000</v>
      </c>
      <c r="AY103" s="479" t="s">
        <v>7</v>
      </c>
      <c r="AZ103" s="474" t="s">
        <v>74</v>
      </c>
      <c r="BA103" s="474"/>
      <c r="BB103" s="480"/>
      <c r="BC103" s="480"/>
      <c r="BD103"/>
      <c r="BE103"/>
      <c r="BF103"/>
      <c r="BG103"/>
      <c r="BH103"/>
      <c r="BI103"/>
      <c r="BJ103"/>
      <c r="BK103" s="481" t="s">
        <v>790</v>
      </c>
      <c r="BL103" s="481" t="s">
        <v>791</v>
      </c>
      <c r="BM103" s="284" t="s">
        <v>792</v>
      </c>
      <c r="BN103" s="414" t="s">
        <v>793</v>
      </c>
      <c r="BO103" s="284" t="s">
        <v>794</v>
      </c>
      <c r="BP103" s="285">
        <v>46134</v>
      </c>
      <c r="BQ103" s="482"/>
      <c r="BR103" s="963" t="s">
        <v>1147</v>
      </c>
      <c r="BS103" s="482"/>
      <c r="BT103" s="286" t="s">
        <v>796</v>
      </c>
      <c r="BU103" s="482" t="s">
        <v>835</v>
      </c>
      <c r="BV103" s="414" t="s">
        <v>1148</v>
      </c>
      <c r="BW103" s="284" t="s">
        <v>1149</v>
      </c>
      <c r="BX103" s="284" t="s">
        <v>1150</v>
      </c>
      <c r="BY103" s="284" t="s">
        <v>1151</v>
      </c>
      <c r="BZ103" s="284"/>
      <c r="CA103" s="288">
        <v>6000</v>
      </c>
      <c r="CB103" s="483">
        <v>46143</v>
      </c>
      <c r="CC103" s="483">
        <v>46203</v>
      </c>
      <c r="CD103" s="759"/>
      <c r="CE103" s="485">
        <f t="shared" si="29"/>
        <v>30</v>
      </c>
      <c r="CF103" s="484">
        <f t="shared" si="30"/>
        <v>6000</v>
      </c>
      <c r="CG103" s="485">
        <v>30</v>
      </c>
      <c r="CH103" s="485">
        <f t="shared" si="31"/>
        <v>6000</v>
      </c>
      <c r="CI103" s="485">
        <v>30</v>
      </c>
      <c r="CJ103" s="485">
        <f t="shared" si="32"/>
        <v>6000</v>
      </c>
      <c r="CK103" s="484">
        <f t="shared" si="33"/>
        <v>0</v>
      </c>
      <c r="CL103" s="484">
        <f t="shared" si="34"/>
        <v>0</v>
      </c>
      <c r="CM103" s="1006"/>
      <c r="CN103" s="485">
        <f t="shared" si="35"/>
        <v>30</v>
      </c>
      <c r="CO103" s="484">
        <f t="shared" si="36"/>
        <v>6000</v>
      </c>
      <c r="CP103" s="485">
        <v>30</v>
      </c>
      <c r="CQ103" s="485">
        <f t="shared" si="37"/>
        <v>6000</v>
      </c>
      <c r="CR103" s="485">
        <v>30</v>
      </c>
      <c r="CS103" s="485">
        <f t="shared" si="38"/>
        <v>6000</v>
      </c>
      <c r="CT103" s="484">
        <f t="shared" si="39"/>
        <v>0</v>
      </c>
      <c r="CU103" s="484">
        <f t="shared" si="40"/>
        <v>0</v>
      </c>
      <c r="CV103" s="1006"/>
      <c r="CW103" s="1007">
        <f t="shared" si="225"/>
        <v>12000</v>
      </c>
      <c r="CX103" s="486">
        <f t="shared" si="226"/>
        <v>12000</v>
      </c>
      <c r="CY103" s="486">
        <f t="shared" si="227"/>
        <v>12000</v>
      </c>
      <c r="CZ103" s="1007">
        <f t="shared" si="228"/>
        <v>0</v>
      </c>
      <c r="DA103" s="1007">
        <f t="shared" si="229"/>
        <v>0</v>
      </c>
    </row>
    <row r="104" spans="1:16378" s="142" customFormat="1" ht="51" hidden="1" x14ac:dyDescent="0.25">
      <c r="A104" s="472">
        <v>2026</v>
      </c>
      <c r="B104" s="472">
        <v>479</v>
      </c>
      <c r="C104" s="472" t="s">
        <v>64</v>
      </c>
      <c r="D104" s="472" t="s">
        <v>65</v>
      </c>
      <c r="E104" s="472">
        <v>125</v>
      </c>
      <c r="F104" s="472">
        <v>3000654</v>
      </c>
      <c r="G104" s="472">
        <v>5005023</v>
      </c>
      <c r="H104" s="472">
        <v>3</v>
      </c>
      <c r="I104" s="472">
        <v>12</v>
      </c>
      <c r="J104" s="472">
        <v>24</v>
      </c>
      <c r="K104" s="472">
        <v>135560</v>
      </c>
      <c r="L104" s="472" t="s">
        <v>66</v>
      </c>
      <c r="M104" s="124" t="s">
        <v>67</v>
      </c>
      <c r="N104" s="472">
        <v>95</v>
      </c>
      <c r="O104" s="474"/>
      <c r="P104" s="474" t="s">
        <v>4</v>
      </c>
      <c r="Q104" s="472" t="s">
        <v>68</v>
      </c>
      <c r="R104" s="475" t="s">
        <v>69</v>
      </c>
      <c r="S104" s="475" t="s">
        <v>137</v>
      </c>
      <c r="T104" s="475"/>
      <c r="U104" s="124" t="s">
        <v>184</v>
      </c>
      <c r="V104" s="475" t="s">
        <v>3</v>
      </c>
      <c r="W104" s="121">
        <v>1</v>
      </c>
      <c r="X104" s="476">
        <v>4500</v>
      </c>
      <c r="Y104" s="474"/>
      <c r="Z104" s="474"/>
      <c r="AA104" s="474"/>
      <c r="AB104" s="474"/>
      <c r="AC104" s="475">
        <v>30</v>
      </c>
      <c r="AD104" s="475">
        <v>30</v>
      </c>
      <c r="AE104" s="474"/>
      <c r="AF104" s="474"/>
      <c r="AG104" s="474"/>
      <c r="AH104" s="474"/>
      <c r="AI104" s="474"/>
      <c r="AJ104" s="474"/>
      <c r="AK104" s="477">
        <v>9000</v>
      </c>
      <c r="AL104" s="472" t="s">
        <v>73</v>
      </c>
      <c r="AM104" s="472" t="s">
        <v>73</v>
      </c>
      <c r="AN104" s="472" t="s">
        <v>73</v>
      </c>
      <c r="AO104" s="472" t="s">
        <v>73</v>
      </c>
      <c r="AP104" s="478">
        <v>4500</v>
      </c>
      <c r="AQ104" s="478">
        <v>4500</v>
      </c>
      <c r="AR104" s="472" t="s">
        <v>73</v>
      </c>
      <c r="AS104" s="472" t="s">
        <v>73</v>
      </c>
      <c r="AT104" s="472" t="s">
        <v>73</v>
      </c>
      <c r="AU104" s="472" t="s">
        <v>73</v>
      </c>
      <c r="AV104" s="472" t="s">
        <v>73</v>
      </c>
      <c r="AW104" s="472" t="s">
        <v>73</v>
      </c>
      <c r="AX104" s="30">
        <v>9000</v>
      </c>
      <c r="AY104" s="479" t="s">
        <v>7</v>
      </c>
      <c r="AZ104" s="474" t="s">
        <v>74</v>
      </c>
      <c r="BA104" s="474"/>
      <c r="BB104" s="480"/>
      <c r="BC104" s="480"/>
      <c r="BD104"/>
      <c r="BE104"/>
      <c r="BF104"/>
      <c r="BG104"/>
      <c r="BH104"/>
      <c r="BI104"/>
      <c r="BJ104"/>
      <c r="BK104" s="481" t="s">
        <v>790</v>
      </c>
      <c r="BL104" s="481" t="s">
        <v>791</v>
      </c>
      <c r="BM104" s="284" t="s">
        <v>792</v>
      </c>
      <c r="BN104" s="414" t="s">
        <v>793</v>
      </c>
      <c r="BO104" s="284" t="s">
        <v>794</v>
      </c>
      <c r="BP104" s="285">
        <v>46134</v>
      </c>
      <c r="BQ104" s="482"/>
      <c r="BR104" s="963" t="s">
        <v>1152</v>
      </c>
      <c r="BS104" s="482"/>
      <c r="BT104" s="286" t="s">
        <v>796</v>
      </c>
      <c r="BU104" s="482" t="s">
        <v>797</v>
      </c>
      <c r="BV104" s="414" t="s">
        <v>1153</v>
      </c>
      <c r="BW104" s="284" t="s">
        <v>1154</v>
      </c>
      <c r="BX104" s="284" t="s">
        <v>1155</v>
      </c>
      <c r="BY104" s="284">
        <v>72177456</v>
      </c>
      <c r="BZ104" s="284"/>
      <c r="CA104" s="288">
        <v>4500</v>
      </c>
      <c r="CB104" s="483">
        <v>46143</v>
      </c>
      <c r="CC104" s="483">
        <v>46203</v>
      </c>
      <c r="CD104" s="759"/>
      <c r="CE104" s="485">
        <f t="shared" si="29"/>
        <v>30</v>
      </c>
      <c r="CF104" s="484">
        <f t="shared" si="30"/>
        <v>4500</v>
      </c>
      <c r="CG104" s="485">
        <v>30</v>
      </c>
      <c r="CH104" s="485">
        <f t="shared" si="31"/>
        <v>4500</v>
      </c>
      <c r="CI104" s="485">
        <v>30</v>
      </c>
      <c r="CJ104" s="485">
        <f t="shared" si="32"/>
        <v>4500</v>
      </c>
      <c r="CK104" s="484">
        <f t="shared" si="33"/>
        <v>0</v>
      </c>
      <c r="CL104" s="484">
        <f t="shared" si="34"/>
        <v>0</v>
      </c>
      <c r="CM104" s="1006"/>
      <c r="CN104" s="485">
        <f t="shared" si="35"/>
        <v>30</v>
      </c>
      <c r="CO104" s="484">
        <f t="shared" si="36"/>
        <v>4500</v>
      </c>
      <c r="CP104" s="485">
        <v>30</v>
      </c>
      <c r="CQ104" s="485">
        <f t="shared" si="37"/>
        <v>4500</v>
      </c>
      <c r="CR104" s="485">
        <v>30</v>
      </c>
      <c r="CS104" s="485">
        <f t="shared" si="38"/>
        <v>4500</v>
      </c>
      <c r="CT104" s="484">
        <f t="shared" si="39"/>
        <v>0</v>
      </c>
      <c r="CU104" s="484">
        <f t="shared" si="40"/>
        <v>0</v>
      </c>
      <c r="CV104" s="1006"/>
      <c r="CW104" s="1007">
        <f t="shared" si="225"/>
        <v>9000</v>
      </c>
      <c r="CX104" s="486">
        <f t="shared" si="226"/>
        <v>9000</v>
      </c>
      <c r="CY104" s="486">
        <f t="shared" si="227"/>
        <v>9000</v>
      </c>
      <c r="CZ104" s="1007">
        <f t="shared" si="228"/>
        <v>0</v>
      </c>
      <c r="DA104" s="1007">
        <f t="shared" si="229"/>
        <v>0</v>
      </c>
    </row>
    <row r="105" spans="1:16378" ht="51" hidden="1" x14ac:dyDescent="0.25">
      <c r="A105" s="472">
        <v>2026</v>
      </c>
      <c r="B105" s="472">
        <v>479</v>
      </c>
      <c r="C105" s="472" t="s">
        <v>64</v>
      </c>
      <c r="D105" s="472" t="s">
        <v>65</v>
      </c>
      <c r="E105" s="472">
        <v>125</v>
      </c>
      <c r="F105" s="472">
        <v>3000654</v>
      </c>
      <c r="G105" s="472">
        <v>5005023</v>
      </c>
      <c r="H105" s="472">
        <v>3</v>
      </c>
      <c r="I105" s="472">
        <v>12</v>
      </c>
      <c r="J105" s="472">
        <v>24</v>
      </c>
      <c r="K105" s="472">
        <v>135560</v>
      </c>
      <c r="L105" s="472" t="s">
        <v>66</v>
      </c>
      <c r="M105" s="124" t="s">
        <v>67</v>
      </c>
      <c r="N105" s="472">
        <v>95</v>
      </c>
      <c r="O105" s="474"/>
      <c r="P105" s="474" t="s">
        <v>4</v>
      </c>
      <c r="Q105" s="472" t="s">
        <v>68</v>
      </c>
      <c r="R105" s="475" t="s">
        <v>69</v>
      </c>
      <c r="S105" s="475" t="s">
        <v>137</v>
      </c>
      <c r="T105" s="475"/>
      <c r="U105" s="124" t="s">
        <v>185</v>
      </c>
      <c r="V105" s="475" t="s">
        <v>3</v>
      </c>
      <c r="W105" s="121">
        <v>1</v>
      </c>
      <c r="X105" s="476">
        <v>6000</v>
      </c>
      <c r="Y105" s="474"/>
      <c r="Z105" s="474"/>
      <c r="AA105" s="474"/>
      <c r="AB105" s="474"/>
      <c r="AC105" s="475">
        <v>30</v>
      </c>
      <c r="AD105" s="475">
        <v>30</v>
      </c>
      <c r="AE105" s="474"/>
      <c r="AF105" s="474"/>
      <c r="AG105" s="474"/>
      <c r="AH105" s="474"/>
      <c r="AI105" s="474"/>
      <c r="AJ105" s="474"/>
      <c r="AK105" s="477">
        <v>12000</v>
      </c>
      <c r="AL105" s="472" t="s">
        <v>73</v>
      </c>
      <c r="AM105" s="472" t="s">
        <v>73</v>
      </c>
      <c r="AN105" s="472" t="s">
        <v>73</v>
      </c>
      <c r="AO105" s="472" t="s">
        <v>73</v>
      </c>
      <c r="AP105" s="478">
        <v>6000</v>
      </c>
      <c r="AQ105" s="478">
        <v>6000</v>
      </c>
      <c r="AR105" s="472" t="s">
        <v>73</v>
      </c>
      <c r="AS105" s="472" t="s">
        <v>73</v>
      </c>
      <c r="AT105" s="472" t="s">
        <v>73</v>
      </c>
      <c r="AU105" s="472" t="s">
        <v>73</v>
      </c>
      <c r="AV105" s="472" t="s">
        <v>73</v>
      </c>
      <c r="AW105" s="472" t="s">
        <v>73</v>
      </c>
      <c r="AX105" s="30">
        <v>12000</v>
      </c>
      <c r="AY105" s="479" t="s">
        <v>7</v>
      </c>
      <c r="AZ105" s="474" t="s">
        <v>74</v>
      </c>
      <c r="BA105" s="474"/>
      <c r="BB105" s="480"/>
      <c r="BC105" s="480"/>
      <c r="BK105" s="481" t="s">
        <v>790</v>
      </c>
      <c r="BL105" s="481" t="s">
        <v>791</v>
      </c>
      <c r="BM105" s="284" t="s">
        <v>792</v>
      </c>
      <c r="BN105" s="414" t="s">
        <v>793</v>
      </c>
      <c r="BO105" s="284" t="s">
        <v>794</v>
      </c>
      <c r="BP105" s="285">
        <v>46134</v>
      </c>
      <c r="BQ105" s="482"/>
      <c r="BR105" s="963" t="s">
        <v>1156</v>
      </c>
      <c r="BS105" s="482"/>
      <c r="BT105" s="286" t="s">
        <v>796</v>
      </c>
      <c r="BU105" s="482" t="s">
        <v>797</v>
      </c>
      <c r="BV105" s="414" t="s">
        <v>1157</v>
      </c>
      <c r="BW105" s="284" t="s">
        <v>1065</v>
      </c>
      <c r="BX105" s="284" t="s">
        <v>1158</v>
      </c>
      <c r="BY105" s="284" t="s">
        <v>1159</v>
      </c>
      <c r="BZ105" s="284"/>
      <c r="CA105" s="288">
        <v>6000</v>
      </c>
      <c r="CB105" s="483">
        <v>46143</v>
      </c>
      <c r="CC105" s="483">
        <v>46203</v>
      </c>
      <c r="CD105" s="759"/>
      <c r="CE105" s="485">
        <f t="shared" si="29"/>
        <v>30</v>
      </c>
      <c r="CF105" s="484">
        <f t="shared" si="30"/>
        <v>6000</v>
      </c>
      <c r="CG105" s="485">
        <v>30</v>
      </c>
      <c r="CH105" s="485">
        <f t="shared" si="31"/>
        <v>6000</v>
      </c>
      <c r="CI105" s="485">
        <v>30</v>
      </c>
      <c r="CJ105" s="485">
        <f t="shared" si="32"/>
        <v>6000</v>
      </c>
      <c r="CK105" s="484">
        <f t="shared" si="33"/>
        <v>0</v>
      </c>
      <c r="CL105" s="484">
        <f t="shared" si="34"/>
        <v>0</v>
      </c>
      <c r="CM105" s="1006"/>
      <c r="CN105" s="485">
        <f t="shared" si="35"/>
        <v>30</v>
      </c>
      <c r="CO105" s="484">
        <f t="shared" si="36"/>
        <v>6000</v>
      </c>
      <c r="CP105" s="485">
        <v>30</v>
      </c>
      <c r="CQ105" s="485">
        <f t="shared" si="37"/>
        <v>6000</v>
      </c>
      <c r="CR105" s="485">
        <v>30</v>
      </c>
      <c r="CS105" s="485">
        <f t="shared" si="38"/>
        <v>6000</v>
      </c>
      <c r="CT105" s="484">
        <f t="shared" si="39"/>
        <v>0</v>
      </c>
      <c r="CU105" s="484">
        <f t="shared" si="40"/>
        <v>0</v>
      </c>
      <c r="CV105" s="1006"/>
      <c r="CW105" s="1007">
        <f t="shared" si="225"/>
        <v>12000</v>
      </c>
      <c r="CX105" s="486">
        <f t="shared" si="226"/>
        <v>12000</v>
      </c>
      <c r="CY105" s="486">
        <f t="shared" si="227"/>
        <v>12000</v>
      </c>
      <c r="CZ105" s="1007">
        <f t="shared" si="228"/>
        <v>0</v>
      </c>
      <c r="DA105" s="1007">
        <f t="shared" si="229"/>
        <v>0</v>
      </c>
    </row>
    <row r="106" spans="1:16378" ht="51" hidden="1" x14ac:dyDescent="0.25">
      <c r="A106" s="472">
        <v>2026</v>
      </c>
      <c r="B106" s="472">
        <v>479</v>
      </c>
      <c r="C106" s="472" t="s">
        <v>64</v>
      </c>
      <c r="D106" s="472" t="s">
        <v>65</v>
      </c>
      <c r="E106" s="472">
        <v>125</v>
      </c>
      <c r="F106" s="472">
        <v>3000654</v>
      </c>
      <c r="G106" s="472">
        <v>5005023</v>
      </c>
      <c r="H106" s="472">
        <v>3</v>
      </c>
      <c r="I106" s="472">
        <v>12</v>
      </c>
      <c r="J106" s="472">
        <v>24</v>
      </c>
      <c r="K106" s="472">
        <v>135560</v>
      </c>
      <c r="L106" s="472" t="s">
        <v>66</v>
      </c>
      <c r="M106" s="124" t="s">
        <v>67</v>
      </c>
      <c r="N106" s="472">
        <v>95</v>
      </c>
      <c r="O106" s="474"/>
      <c r="P106" s="474" t="s">
        <v>4</v>
      </c>
      <c r="Q106" s="472" t="s">
        <v>68</v>
      </c>
      <c r="R106" s="475" t="s">
        <v>69</v>
      </c>
      <c r="S106" s="475" t="s">
        <v>137</v>
      </c>
      <c r="T106" s="475"/>
      <c r="U106" s="124" t="s">
        <v>1160</v>
      </c>
      <c r="V106" s="475" t="s">
        <v>3</v>
      </c>
      <c r="W106" s="121">
        <v>1</v>
      </c>
      <c r="X106" s="476">
        <v>5000</v>
      </c>
      <c r="Y106" s="474"/>
      <c r="Z106" s="474"/>
      <c r="AA106" s="474"/>
      <c r="AB106" s="474"/>
      <c r="AC106" s="475">
        <v>30</v>
      </c>
      <c r="AD106" s="475">
        <v>30</v>
      </c>
      <c r="AE106" s="474"/>
      <c r="AF106" s="474"/>
      <c r="AG106" s="474"/>
      <c r="AH106" s="474"/>
      <c r="AI106" s="474"/>
      <c r="AJ106" s="474"/>
      <c r="AK106" s="477">
        <v>10000</v>
      </c>
      <c r="AL106" s="472" t="s">
        <v>73</v>
      </c>
      <c r="AM106" s="472" t="s">
        <v>73</v>
      </c>
      <c r="AN106" s="472" t="s">
        <v>73</v>
      </c>
      <c r="AO106" s="472" t="s">
        <v>73</v>
      </c>
      <c r="AP106" s="478">
        <v>5000</v>
      </c>
      <c r="AQ106" s="478">
        <v>5000</v>
      </c>
      <c r="AR106" s="472" t="s">
        <v>73</v>
      </c>
      <c r="AS106" s="472" t="s">
        <v>73</v>
      </c>
      <c r="AT106" s="472" t="s">
        <v>73</v>
      </c>
      <c r="AU106" s="472" t="s">
        <v>73</v>
      </c>
      <c r="AV106" s="472" t="s">
        <v>73</v>
      </c>
      <c r="AW106" s="472" t="s">
        <v>73</v>
      </c>
      <c r="AX106" s="30">
        <v>10000</v>
      </c>
      <c r="AY106" s="479" t="s">
        <v>7</v>
      </c>
      <c r="AZ106" s="474" t="s">
        <v>74</v>
      </c>
      <c r="BA106" s="474"/>
      <c r="BB106" s="480"/>
      <c r="BC106" s="480"/>
      <c r="BK106" s="481" t="s">
        <v>790</v>
      </c>
      <c r="BL106" s="481" t="s">
        <v>791</v>
      </c>
      <c r="BM106" s="284" t="s">
        <v>792</v>
      </c>
      <c r="BN106" s="414" t="s">
        <v>793</v>
      </c>
      <c r="BO106" s="284" t="s">
        <v>794</v>
      </c>
      <c r="BP106" s="285">
        <v>46134</v>
      </c>
      <c r="BQ106" s="482"/>
      <c r="BR106" s="963" t="s">
        <v>1161</v>
      </c>
      <c r="BS106" s="482"/>
      <c r="BT106" s="286" t="s">
        <v>796</v>
      </c>
      <c r="BU106" s="482" t="s">
        <v>797</v>
      </c>
      <c r="BV106" s="414" t="s">
        <v>1162</v>
      </c>
      <c r="BW106" s="284" t="s">
        <v>918</v>
      </c>
      <c r="BX106" s="284" t="s">
        <v>1163</v>
      </c>
      <c r="BY106" s="284">
        <v>73212565</v>
      </c>
      <c r="BZ106" s="284"/>
      <c r="CA106" s="288">
        <v>5000</v>
      </c>
      <c r="CB106" s="483">
        <v>46143</v>
      </c>
      <c r="CC106" s="483">
        <v>46203</v>
      </c>
      <c r="CD106" s="759"/>
      <c r="CE106" s="485">
        <f t="shared" ref="CE106" si="302">AC106</f>
        <v>30</v>
      </c>
      <c r="CF106" s="484">
        <f t="shared" ref="CF106" si="303">AP106</f>
        <v>5000</v>
      </c>
      <c r="CG106" s="485">
        <v>30</v>
      </c>
      <c r="CH106" s="485">
        <f t="shared" ref="CH106" si="304">(X106/30)*CG106</f>
        <v>5000</v>
      </c>
      <c r="CI106" s="485">
        <v>30</v>
      </c>
      <c r="CJ106" s="485">
        <f t="shared" ref="CJ106" si="305">(X106/30)*CI106</f>
        <v>5000</v>
      </c>
      <c r="CK106" s="484">
        <f t="shared" ref="CK106" si="306">CF106-CH106</f>
        <v>0</v>
      </c>
      <c r="CL106" s="484">
        <f t="shared" ref="CL106" si="307">CF106-CJ106</f>
        <v>0</v>
      </c>
      <c r="CM106" s="1006"/>
      <c r="CN106" s="485">
        <f t="shared" ref="CN106" si="308">AD106</f>
        <v>30</v>
      </c>
      <c r="CO106" s="484">
        <f t="shared" ref="CO106" si="309">AQ106</f>
        <v>5000</v>
      </c>
      <c r="CP106" s="485">
        <v>30</v>
      </c>
      <c r="CQ106" s="485">
        <f t="shared" ref="CQ106" si="310">(X106/30)*CP106</f>
        <v>5000</v>
      </c>
      <c r="CR106" s="485">
        <v>30</v>
      </c>
      <c r="CS106" s="485">
        <f t="shared" ref="CS106" si="311">(X106/30)*CR106</f>
        <v>5000</v>
      </c>
      <c r="CT106" s="484">
        <f t="shared" ref="CT106" si="312">CO106-CQ106</f>
        <v>0</v>
      </c>
      <c r="CU106" s="484">
        <f t="shared" ref="CU106" si="313">CO106-CS106</f>
        <v>0</v>
      </c>
      <c r="CV106" s="1006"/>
      <c r="CW106" s="1007">
        <f t="shared" si="225"/>
        <v>10000</v>
      </c>
      <c r="CX106" s="486">
        <f t="shared" si="226"/>
        <v>10000</v>
      </c>
      <c r="CY106" s="486">
        <f t="shared" si="227"/>
        <v>10000</v>
      </c>
      <c r="CZ106" s="1007">
        <f t="shared" si="228"/>
        <v>0</v>
      </c>
      <c r="DA106" s="1007">
        <f t="shared" si="229"/>
        <v>0</v>
      </c>
    </row>
    <row r="107" spans="1:16378" ht="51" hidden="1" x14ac:dyDescent="0.25">
      <c r="A107" s="472">
        <v>2026</v>
      </c>
      <c r="B107" s="472">
        <v>479</v>
      </c>
      <c r="C107" s="472" t="s">
        <v>64</v>
      </c>
      <c r="D107" s="472" t="s">
        <v>65</v>
      </c>
      <c r="E107" s="472">
        <v>125</v>
      </c>
      <c r="F107" s="472">
        <v>3000654</v>
      </c>
      <c r="G107" s="472">
        <v>5005023</v>
      </c>
      <c r="H107" s="472">
        <v>3</v>
      </c>
      <c r="I107" s="472">
        <v>12</v>
      </c>
      <c r="J107" s="472">
        <v>24</v>
      </c>
      <c r="K107" s="472">
        <v>135560</v>
      </c>
      <c r="L107" s="472" t="s">
        <v>66</v>
      </c>
      <c r="M107" s="124" t="s">
        <v>67</v>
      </c>
      <c r="N107" s="472">
        <v>95</v>
      </c>
      <c r="O107" s="474"/>
      <c r="P107" s="474" t="s">
        <v>4</v>
      </c>
      <c r="Q107" s="472" t="s">
        <v>68</v>
      </c>
      <c r="R107" s="475" t="s">
        <v>69</v>
      </c>
      <c r="S107" s="475" t="s">
        <v>137</v>
      </c>
      <c r="T107" s="475"/>
      <c r="U107" s="124" t="s">
        <v>186</v>
      </c>
      <c r="V107" s="475" t="s">
        <v>3</v>
      </c>
      <c r="W107" s="121">
        <v>1</v>
      </c>
      <c r="X107" s="476">
        <v>5000</v>
      </c>
      <c r="Y107" s="474"/>
      <c r="Z107" s="474"/>
      <c r="AA107" s="474"/>
      <c r="AB107" s="474"/>
      <c r="AC107" s="475">
        <v>30</v>
      </c>
      <c r="AD107" s="475">
        <v>30</v>
      </c>
      <c r="AE107" s="474"/>
      <c r="AF107" s="474"/>
      <c r="AG107" s="474"/>
      <c r="AH107" s="474"/>
      <c r="AI107" s="474"/>
      <c r="AJ107" s="474"/>
      <c r="AK107" s="477">
        <v>10000</v>
      </c>
      <c r="AL107" s="472" t="s">
        <v>73</v>
      </c>
      <c r="AM107" s="472" t="s">
        <v>73</v>
      </c>
      <c r="AN107" s="472" t="s">
        <v>73</v>
      </c>
      <c r="AO107" s="472" t="s">
        <v>73</v>
      </c>
      <c r="AP107" s="478">
        <v>5000</v>
      </c>
      <c r="AQ107" s="478">
        <v>5000</v>
      </c>
      <c r="AR107" s="472" t="s">
        <v>73</v>
      </c>
      <c r="AS107" s="472" t="s">
        <v>73</v>
      </c>
      <c r="AT107" s="472" t="s">
        <v>73</v>
      </c>
      <c r="AU107" s="472" t="s">
        <v>73</v>
      </c>
      <c r="AV107" s="472" t="s">
        <v>73</v>
      </c>
      <c r="AW107" s="472" t="s">
        <v>73</v>
      </c>
      <c r="AX107" s="30">
        <v>10000</v>
      </c>
      <c r="AY107" s="479" t="s">
        <v>7</v>
      </c>
      <c r="AZ107" s="474" t="s">
        <v>74</v>
      </c>
      <c r="BA107" s="474"/>
      <c r="BB107" s="480"/>
      <c r="BC107" s="480"/>
      <c r="BK107" s="481" t="s">
        <v>790</v>
      </c>
      <c r="BL107" s="481" t="s">
        <v>791</v>
      </c>
      <c r="BM107" s="284" t="s">
        <v>792</v>
      </c>
      <c r="BN107" s="414" t="s">
        <v>793</v>
      </c>
      <c r="BO107" s="284" t="s">
        <v>794</v>
      </c>
      <c r="BP107" s="285">
        <v>46134</v>
      </c>
      <c r="BQ107" s="482"/>
      <c r="BR107" s="963" t="s">
        <v>1164</v>
      </c>
      <c r="BS107" s="482"/>
      <c r="BT107" s="286" t="s">
        <v>796</v>
      </c>
      <c r="BU107" s="482" t="s">
        <v>797</v>
      </c>
      <c r="BV107" s="414" t="s">
        <v>1165</v>
      </c>
      <c r="BW107" s="284" t="s">
        <v>1166</v>
      </c>
      <c r="BX107" s="284" t="s">
        <v>1167</v>
      </c>
      <c r="BY107" s="284">
        <v>45601876</v>
      </c>
      <c r="BZ107" s="284"/>
      <c r="CA107" s="288">
        <v>5000</v>
      </c>
      <c r="CB107" s="483">
        <v>46143</v>
      </c>
      <c r="CC107" s="483">
        <v>46203</v>
      </c>
      <c r="CD107" s="759"/>
      <c r="CE107" s="485">
        <f t="shared" si="29"/>
        <v>30</v>
      </c>
      <c r="CF107" s="484">
        <f t="shared" si="30"/>
        <v>5000</v>
      </c>
      <c r="CG107" s="485">
        <v>30</v>
      </c>
      <c r="CH107" s="485">
        <f t="shared" si="31"/>
        <v>5000</v>
      </c>
      <c r="CI107" s="485">
        <v>30</v>
      </c>
      <c r="CJ107" s="485">
        <f t="shared" si="32"/>
        <v>5000</v>
      </c>
      <c r="CK107" s="484">
        <f t="shared" si="33"/>
        <v>0</v>
      </c>
      <c r="CL107" s="484">
        <f t="shared" si="34"/>
        <v>0</v>
      </c>
      <c r="CM107" s="1006"/>
      <c r="CN107" s="485">
        <f t="shared" si="35"/>
        <v>30</v>
      </c>
      <c r="CO107" s="484">
        <f t="shared" si="36"/>
        <v>5000</v>
      </c>
      <c r="CP107" s="485">
        <v>30</v>
      </c>
      <c r="CQ107" s="485">
        <f t="shared" si="37"/>
        <v>5000</v>
      </c>
      <c r="CR107" s="485">
        <v>30</v>
      </c>
      <c r="CS107" s="485">
        <f t="shared" si="38"/>
        <v>5000</v>
      </c>
      <c r="CT107" s="484">
        <f t="shared" si="39"/>
        <v>0</v>
      </c>
      <c r="CU107" s="484">
        <f t="shared" si="40"/>
        <v>0</v>
      </c>
      <c r="CV107" s="1006"/>
      <c r="CW107" s="1007">
        <f t="shared" si="225"/>
        <v>10000</v>
      </c>
      <c r="CX107" s="486">
        <f t="shared" si="226"/>
        <v>10000</v>
      </c>
      <c r="CY107" s="486">
        <f t="shared" si="227"/>
        <v>10000</v>
      </c>
      <c r="CZ107" s="1007">
        <f t="shared" si="228"/>
        <v>0</v>
      </c>
      <c r="DA107" s="1007">
        <f t="shared" si="229"/>
        <v>0</v>
      </c>
    </row>
    <row r="108" spans="1:16378" ht="51" hidden="1" x14ac:dyDescent="0.25">
      <c r="A108" s="472">
        <v>2026</v>
      </c>
      <c r="B108" s="472">
        <v>479</v>
      </c>
      <c r="C108" s="472" t="s">
        <v>64</v>
      </c>
      <c r="D108" s="472" t="s">
        <v>65</v>
      </c>
      <c r="E108" s="472">
        <v>125</v>
      </c>
      <c r="F108" s="472">
        <v>3000654</v>
      </c>
      <c r="G108" s="472">
        <v>5005023</v>
      </c>
      <c r="H108" s="472">
        <v>3</v>
      </c>
      <c r="I108" s="472">
        <v>12</v>
      </c>
      <c r="J108" s="472">
        <v>24</v>
      </c>
      <c r="K108" s="472">
        <v>135560</v>
      </c>
      <c r="L108" s="472" t="s">
        <v>66</v>
      </c>
      <c r="M108" s="124" t="s">
        <v>67</v>
      </c>
      <c r="N108" s="472">
        <v>95</v>
      </c>
      <c r="O108" s="474"/>
      <c r="P108" s="474" t="s">
        <v>4</v>
      </c>
      <c r="Q108" s="472" t="s">
        <v>68</v>
      </c>
      <c r="R108" s="475" t="s">
        <v>69</v>
      </c>
      <c r="S108" s="475" t="s">
        <v>137</v>
      </c>
      <c r="T108" s="475"/>
      <c r="U108" s="124" t="s">
        <v>187</v>
      </c>
      <c r="V108" s="475" t="s">
        <v>3</v>
      </c>
      <c r="W108" s="121">
        <v>1</v>
      </c>
      <c r="X108" s="476">
        <v>8000</v>
      </c>
      <c r="Y108" s="488"/>
      <c r="Z108" s="488"/>
      <c r="AA108" s="488"/>
      <c r="AB108" s="488"/>
      <c r="AC108" s="475">
        <v>30</v>
      </c>
      <c r="AD108" s="475">
        <v>30</v>
      </c>
      <c r="AE108" s="488"/>
      <c r="AF108" s="488"/>
      <c r="AG108" s="488"/>
      <c r="AH108" s="488"/>
      <c r="AI108" s="488"/>
      <c r="AJ108" s="488"/>
      <c r="AK108" s="477">
        <v>16000</v>
      </c>
      <c r="AL108" s="472" t="s">
        <v>73</v>
      </c>
      <c r="AM108" s="472" t="s">
        <v>73</v>
      </c>
      <c r="AN108" s="472" t="s">
        <v>73</v>
      </c>
      <c r="AO108" s="472" t="s">
        <v>73</v>
      </c>
      <c r="AP108" s="478">
        <v>8000</v>
      </c>
      <c r="AQ108" s="478">
        <v>8000</v>
      </c>
      <c r="AR108" s="472" t="s">
        <v>73</v>
      </c>
      <c r="AS108" s="472" t="s">
        <v>73</v>
      </c>
      <c r="AT108" s="472" t="s">
        <v>73</v>
      </c>
      <c r="AU108" s="472" t="s">
        <v>73</v>
      </c>
      <c r="AV108" s="472" t="s">
        <v>73</v>
      </c>
      <c r="AW108" s="472" t="s">
        <v>73</v>
      </c>
      <c r="AX108" s="30">
        <v>16000</v>
      </c>
      <c r="AY108" s="479" t="s">
        <v>7</v>
      </c>
      <c r="AZ108" s="474" t="s">
        <v>74</v>
      </c>
      <c r="BA108" s="474"/>
      <c r="BB108" s="480"/>
      <c r="BC108" s="480"/>
      <c r="BK108" s="481" t="s">
        <v>802</v>
      </c>
      <c r="BL108" s="481" t="s">
        <v>803</v>
      </c>
      <c r="BM108" s="284"/>
      <c r="BN108" s="414"/>
      <c r="BO108" s="284"/>
      <c r="BP108" s="285"/>
      <c r="BQ108" s="482"/>
      <c r="BR108" s="482"/>
      <c r="BS108" s="482"/>
      <c r="BT108" s="482"/>
      <c r="BU108" s="482"/>
      <c r="BV108" s="284"/>
      <c r="BW108" s="284"/>
      <c r="BX108" s="284"/>
      <c r="BY108" s="284"/>
      <c r="BZ108" s="284"/>
      <c r="CA108" s="288"/>
      <c r="CB108" s="483"/>
      <c r="CC108" s="483"/>
      <c r="CD108" s="759"/>
      <c r="CE108" s="485">
        <f t="shared" si="29"/>
        <v>30</v>
      </c>
      <c r="CF108" s="484">
        <f t="shared" si="30"/>
        <v>8000</v>
      </c>
      <c r="CG108" s="485"/>
      <c r="CH108" s="485">
        <f t="shared" si="31"/>
        <v>0</v>
      </c>
      <c r="CI108" s="485"/>
      <c r="CJ108" s="485">
        <f t="shared" si="32"/>
        <v>0</v>
      </c>
      <c r="CK108" s="484">
        <f t="shared" si="33"/>
        <v>8000</v>
      </c>
      <c r="CL108" s="484">
        <f t="shared" si="34"/>
        <v>8000</v>
      </c>
      <c r="CM108" s="1006"/>
      <c r="CN108" s="485">
        <f t="shared" si="35"/>
        <v>30</v>
      </c>
      <c r="CO108" s="484">
        <f t="shared" si="36"/>
        <v>8000</v>
      </c>
      <c r="CP108" s="485"/>
      <c r="CQ108" s="485">
        <f t="shared" si="37"/>
        <v>0</v>
      </c>
      <c r="CR108" s="485"/>
      <c r="CS108" s="485">
        <f t="shared" si="38"/>
        <v>0</v>
      </c>
      <c r="CT108" s="484">
        <f t="shared" si="39"/>
        <v>8000</v>
      </c>
      <c r="CU108" s="484">
        <f t="shared" si="40"/>
        <v>8000</v>
      </c>
      <c r="CV108" s="1006"/>
      <c r="CW108" s="1007">
        <f t="shared" si="225"/>
        <v>16000</v>
      </c>
      <c r="CX108" s="486">
        <f t="shared" si="226"/>
        <v>0</v>
      </c>
      <c r="CY108" s="486">
        <f t="shared" si="227"/>
        <v>0</v>
      </c>
      <c r="CZ108" s="1007">
        <f t="shared" si="228"/>
        <v>16000</v>
      </c>
      <c r="DA108" s="1007">
        <f t="shared" si="229"/>
        <v>16000</v>
      </c>
      <c r="DB108" s="142"/>
      <c r="DC108" s="142"/>
      <c r="DD108" s="142"/>
      <c r="DE108" s="142"/>
      <c r="DF108" s="142"/>
      <c r="DG108" s="142"/>
      <c r="DH108" s="142"/>
      <c r="DI108" s="142"/>
      <c r="DJ108" s="142"/>
      <c r="DK108" s="142"/>
      <c r="DL108" s="142"/>
      <c r="DM108" s="142"/>
      <c r="DN108" s="142"/>
      <c r="DO108" s="142"/>
      <c r="DP108" s="142"/>
      <c r="DQ108" s="142"/>
      <c r="DR108" s="142"/>
      <c r="DS108" s="142"/>
      <c r="DT108" s="142"/>
      <c r="DU108" s="142"/>
      <c r="DV108" s="142"/>
      <c r="DW108" s="142"/>
      <c r="DX108" s="142"/>
      <c r="DY108" s="142"/>
      <c r="DZ108" s="142"/>
      <c r="EA108" s="142"/>
      <c r="EB108" s="142"/>
      <c r="EC108" s="142"/>
      <c r="ED108" s="142"/>
      <c r="EE108" s="142"/>
      <c r="EF108" s="142"/>
      <c r="EG108" s="142"/>
      <c r="EH108" s="142"/>
      <c r="EI108" s="142"/>
      <c r="EJ108" s="142"/>
      <c r="EK108" s="142"/>
      <c r="EL108" s="142"/>
      <c r="EM108" s="142"/>
      <c r="EN108" s="142"/>
      <c r="EO108" s="142"/>
      <c r="EP108" s="142"/>
      <c r="EQ108" s="142"/>
      <c r="ER108" s="142"/>
      <c r="ES108" s="142"/>
      <c r="ET108" s="142"/>
      <c r="EU108" s="142"/>
      <c r="EV108" s="142"/>
      <c r="EW108" s="142"/>
      <c r="EX108" s="142"/>
      <c r="EY108" s="142"/>
      <c r="EZ108" s="142"/>
      <c r="FA108" s="142"/>
      <c r="FB108" s="142"/>
      <c r="FC108" s="142"/>
      <c r="FD108" s="142"/>
      <c r="FE108" s="142"/>
      <c r="FF108" s="142"/>
      <c r="FG108" s="142"/>
      <c r="FH108" s="142"/>
      <c r="FI108" s="142"/>
      <c r="FJ108" s="142"/>
      <c r="FK108" s="142"/>
      <c r="FL108" s="142"/>
      <c r="FM108" s="142"/>
      <c r="FN108" s="142"/>
      <c r="FO108" s="142"/>
      <c r="FP108" s="142"/>
      <c r="FQ108" s="142"/>
      <c r="FR108" s="142"/>
      <c r="FS108" s="142"/>
      <c r="FT108" s="142"/>
      <c r="FU108" s="142"/>
      <c r="FV108" s="142"/>
      <c r="FW108" s="142"/>
      <c r="FX108" s="142"/>
      <c r="FY108" s="142"/>
      <c r="FZ108" s="142"/>
      <c r="GA108" s="142"/>
      <c r="GB108" s="142"/>
      <c r="GC108" s="142"/>
      <c r="GD108" s="142"/>
      <c r="GE108" s="142"/>
      <c r="GF108" s="142"/>
      <c r="GG108" s="142"/>
      <c r="GH108" s="142"/>
      <c r="GI108" s="142"/>
      <c r="GJ108" s="142"/>
      <c r="GK108" s="142"/>
      <c r="GL108" s="142"/>
      <c r="GM108" s="142"/>
      <c r="GN108" s="142"/>
      <c r="GO108" s="142"/>
      <c r="GP108" s="142"/>
      <c r="GQ108" s="142"/>
      <c r="GR108" s="142"/>
      <c r="GS108" s="142"/>
      <c r="GT108" s="142"/>
      <c r="GU108" s="142"/>
      <c r="GV108" s="142"/>
      <c r="GW108" s="142"/>
      <c r="GX108" s="142"/>
      <c r="GY108" s="142"/>
      <c r="GZ108" s="142"/>
      <c r="HA108" s="142"/>
      <c r="HB108" s="142"/>
      <c r="HC108" s="142"/>
      <c r="HD108" s="142"/>
      <c r="HE108" s="142"/>
      <c r="HF108" s="142"/>
      <c r="HG108" s="142"/>
      <c r="HH108" s="142"/>
      <c r="HI108" s="142"/>
      <c r="HJ108" s="142"/>
      <c r="HK108" s="142"/>
      <c r="HL108" s="142"/>
      <c r="HM108" s="142"/>
      <c r="HN108" s="142"/>
      <c r="HO108" s="142"/>
      <c r="HP108" s="142"/>
      <c r="HQ108" s="142"/>
      <c r="HR108" s="142"/>
      <c r="HS108" s="142"/>
      <c r="HT108" s="142"/>
      <c r="HU108" s="142"/>
      <c r="HV108" s="142"/>
      <c r="HW108" s="142"/>
      <c r="HX108" s="142"/>
      <c r="HY108" s="142"/>
      <c r="HZ108" s="142"/>
      <c r="IA108" s="142"/>
      <c r="IB108" s="142"/>
      <c r="IC108" s="142"/>
      <c r="ID108" s="142"/>
      <c r="IE108" s="142"/>
      <c r="IF108" s="142"/>
      <c r="IG108" s="142"/>
      <c r="IH108" s="142"/>
      <c r="II108" s="142"/>
      <c r="IJ108" s="142"/>
      <c r="IK108" s="142"/>
      <c r="IL108" s="142"/>
      <c r="IM108" s="142"/>
      <c r="IN108" s="142"/>
      <c r="IO108" s="142"/>
      <c r="IP108" s="142"/>
      <c r="IQ108" s="142"/>
      <c r="IR108" s="142"/>
      <c r="IS108" s="142"/>
      <c r="IT108" s="142"/>
      <c r="IU108" s="142"/>
      <c r="IV108" s="142"/>
      <c r="IW108" s="142"/>
      <c r="IX108" s="142"/>
      <c r="IY108" s="142"/>
      <c r="IZ108" s="142"/>
      <c r="JA108" s="142"/>
      <c r="JB108" s="142"/>
      <c r="JC108" s="142"/>
      <c r="JD108" s="142"/>
      <c r="JE108" s="142"/>
      <c r="JF108" s="142"/>
      <c r="JG108" s="142"/>
      <c r="JH108" s="142"/>
      <c r="JI108" s="142"/>
      <c r="JJ108" s="142"/>
      <c r="JK108" s="142"/>
      <c r="JL108" s="142"/>
      <c r="JM108" s="142"/>
      <c r="JN108" s="142"/>
      <c r="JO108" s="142"/>
      <c r="JP108" s="142"/>
      <c r="JQ108" s="142"/>
      <c r="JR108" s="142"/>
      <c r="JS108" s="142"/>
      <c r="JT108" s="142"/>
      <c r="JU108" s="142"/>
      <c r="JV108" s="142"/>
      <c r="JW108" s="142"/>
      <c r="JX108" s="142"/>
      <c r="JY108" s="142"/>
      <c r="JZ108" s="142"/>
      <c r="KA108" s="142"/>
      <c r="KB108" s="142"/>
      <c r="KC108" s="142"/>
      <c r="KD108" s="142"/>
      <c r="KE108" s="142"/>
      <c r="KF108" s="142"/>
      <c r="KG108" s="142"/>
      <c r="KH108" s="142"/>
      <c r="KI108" s="142"/>
      <c r="KJ108" s="142"/>
      <c r="KK108" s="142"/>
      <c r="KL108" s="142"/>
      <c r="KM108" s="142"/>
      <c r="KN108" s="142"/>
      <c r="KO108" s="142"/>
      <c r="KP108" s="142"/>
      <c r="KQ108" s="142"/>
      <c r="KR108" s="142"/>
      <c r="KS108" s="142"/>
      <c r="KT108" s="142"/>
      <c r="KU108" s="142"/>
      <c r="KV108" s="142"/>
      <c r="KW108" s="142"/>
      <c r="KX108" s="142"/>
      <c r="KY108" s="142"/>
      <c r="KZ108" s="142"/>
      <c r="LA108" s="142"/>
      <c r="LB108" s="142"/>
      <c r="LC108" s="142"/>
      <c r="LD108" s="142"/>
      <c r="LE108" s="142"/>
      <c r="LF108" s="142"/>
      <c r="LG108" s="142"/>
      <c r="LH108" s="142"/>
      <c r="LI108" s="142"/>
      <c r="LJ108" s="142"/>
      <c r="LK108" s="142"/>
      <c r="LL108" s="142"/>
      <c r="LM108" s="142"/>
      <c r="LN108" s="142"/>
      <c r="LO108" s="142"/>
      <c r="LP108" s="142"/>
      <c r="LQ108" s="142"/>
      <c r="LR108" s="142"/>
      <c r="LS108" s="142"/>
      <c r="LT108" s="142"/>
      <c r="LU108" s="142"/>
      <c r="LV108" s="142"/>
      <c r="LW108" s="142"/>
      <c r="LX108" s="142"/>
      <c r="LY108" s="142"/>
      <c r="LZ108" s="142"/>
      <c r="MA108" s="142"/>
      <c r="MB108" s="142"/>
      <c r="MC108" s="142"/>
      <c r="MD108" s="142"/>
      <c r="ME108" s="142"/>
      <c r="MF108" s="142"/>
      <c r="MG108" s="142"/>
      <c r="MH108" s="142"/>
      <c r="MI108" s="142"/>
      <c r="MJ108" s="142"/>
      <c r="MK108" s="142"/>
      <c r="ML108" s="142"/>
      <c r="MM108" s="142"/>
      <c r="MN108" s="142"/>
      <c r="MO108" s="142"/>
      <c r="MP108" s="142"/>
      <c r="MQ108" s="142"/>
      <c r="MR108" s="142"/>
      <c r="MS108" s="142"/>
      <c r="MT108" s="142"/>
      <c r="MU108" s="142"/>
      <c r="MV108" s="142"/>
      <c r="MW108" s="142"/>
      <c r="MX108" s="142"/>
      <c r="MY108" s="142"/>
      <c r="MZ108" s="142"/>
      <c r="NA108" s="142"/>
      <c r="NB108" s="142"/>
      <c r="NC108" s="142"/>
      <c r="ND108" s="142"/>
      <c r="NE108" s="142"/>
      <c r="NF108" s="142"/>
      <c r="NG108" s="142"/>
      <c r="NH108" s="142"/>
      <c r="NI108" s="142"/>
      <c r="NJ108" s="142"/>
      <c r="NK108" s="142"/>
      <c r="NL108" s="142"/>
      <c r="NM108" s="142"/>
      <c r="NN108" s="142"/>
      <c r="NO108" s="142"/>
      <c r="NP108" s="142"/>
      <c r="NQ108" s="142"/>
      <c r="NR108" s="142"/>
      <c r="NS108" s="142"/>
      <c r="NT108" s="142"/>
      <c r="NU108" s="142"/>
      <c r="NV108" s="142"/>
      <c r="NW108" s="142"/>
      <c r="NX108" s="142"/>
      <c r="NY108" s="142"/>
      <c r="NZ108" s="142"/>
      <c r="OA108" s="142"/>
      <c r="OB108" s="142"/>
      <c r="OC108" s="142"/>
      <c r="OD108" s="142"/>
      <c r="OE108" s="142"/>
      <c r="OF108" s="142"/>
      <c r="OG108" s="142"/>
      <c r="OH108" s="142"/>
      <c r="OI108" s="142"/>
      <c r="OJ108" s="142"/>
      <c r="OK108" s="142"/>
      <c r="OL108" s="142"/>
      <c r="OM108" s="142"/>
      <c r="ON108" s="142"/>
      <c r="OO108" s="142"/>
      <c r="OP108" s="142"/>
      <c r="OQ108" s="142"/>
      <c r="OR108" s="142"/>
      <c r="OS108" s="142"/>
      <c r="OT108" s="142"/>
      <c r="OU108" s="142"/>
      <c r="OV108" s="142"/>
      <c r="OW108" s="142"/>
      <c r="OX108" s="142"/>
      <c r="OY108" s="142"/>
      <c r="OZ108" s="142"/>
      <c r="PA108" s="142"/>
      <c r="PB108" s="142"/>
      <c r="PC108" s="142"/>
      <c r="PD108" s="142"/>
      <c r="PE108" s="142"/>
      <c r="PF108" s="142"/>
      <c r="PG108" s="142"/>
      <c r="PH108" s="142"/>
      <c r="PI108" s="142"/>
      <c r="PJ108" s="142"/>
      <c r="PK108" s="142"/>
      <c r="PL108" s="142"/>
      <c r="PM108" s="142"/>
      <c r="PN108" s="142"/>
      <c r="PO108" s="142"/>
      <c r="PP108" s="142"/>
      <c r="PQ108" s="142"/>
      <c r="PR108" s="142"/>
      <c r="PS108" s="142"/>
      <c r="PT108" s="142"/>
      <c r="PU108" s="142"/>
      <c r="PV108" s="142"/>
      <c r="PW108" s="142"/>
      <c r="PX108" s="142"/>
      <c r="PY108" s="142"/>
      <c r="PZ108" s="142"/>
      <c r="QA108" s="142"/>
      <c r="QB108" s="142"/>
      <c r="QC108" s="142"/>
      <c r="QD108" s="142"/>
      <c r="QE108" s="142"/>
      <c r="QF108" s="142"/>
      <c r="QG108" s="142"/>
      <c r="QH108" s="142"/>
      <c r="QI108" s="142"/>
      <c r="QJ108" s="142"/>
      <c r="QK108" s="142"/>
      <c r="QL108" s="142"/>
      <c r="QM108" s="142"/>
      <c r="QN108" s="142"/>
      <c r="QO108" s="142"/>
      <c r="QP108" s="142"/>
      <c r="QQ108" s="142"/>
      <c r="QR108" s="142"/>
      <c r="QS108" s="142"/>
      <c r="QT108" s="142"/>
      <c r="QU108" s="142"/>
      <c r="QV108" s="142"/>
      <c r="QW108" s="142"/>
      <c r="QX108" s="142"/>
      <c r="QY108" s="142"/>
      <c r="QZ108" s="142"/>
      <c r="RA108" s="142"/>
      <c r="RB108" s="142"/>
      <c r="RC108" s="142"/>
      <c r="RD108" s="142"/>
      <c r="RE108" s="142"/>
      <c r="RF108" s="142"/>
      <c r="RG108" s="142"/>
      <c r="RH108" s="142"/>
      <c r="RI108" s="142"/>
      <c r="RJ108" s="142"/>
      <c r="RK108" s="142"/>
      <c r="RL108" s="142"/>
      <c r="RM108" s="142"/>
      <c r="RN108" s="142"/>
      <c r="RO108" s="142"/>
      <c r="RP108" s="142"/>
      <c r="RQ108" s="142"/>
      <c r="RR108" s="142"/>
      <c r="RS108" s="142"/>
      <c r="RT108" s="142"/>
      <c r="RU108" s="142"/>
      <c r="RV108" s="142"/>
      <c r="RW108" s="142"/>
      <c r="RX108" s="142"/>
      <c r="RY108" s="142"/>
      <c r="RZ108" s="142"/>
      <c r="SA108" s="142"/>
      <c r="SB108" s="142"/>
      <c r="SC108" s="142"/>
      <c r="SD108" s="142"/>
      <c r="SE108" s="142"/>
      <c r="SF108" s="142"/>
      <c r="SG108" s="142"/>
      <c r="SH108" s="142"/>
      <c r="SI108" s="142"/>
      <c r="SJ108" s="142"/>
      <c r="SK108" s="142"/>
      <c r="SL108" s="142"/>
      <c r="SM108" s="142"/>
      <c r="SN108" s="142"/>
      <c r="SO108" s="142"/>
      <c r="SP108" s="142"/>
      <c r="SQ108" s="142"/>
      <c r="SR108" s="142"/>
      <c r="SS108" s="142"/>
      <c r="ST108" s="142"/>
      <c r="SU108" s="142"/>
      <c r="SV108" s="142"/>
      <c r="SW108" s="142"/>
      <c r="SX108" s="142"/>
      <c r="SY108" s="142"/>
      <c r="SZ108" s="142"/>
      <c r="TA108" s="142"/>
      <c r="TB108" s="142"/>
      <c r="TC108" s="142"/>
      <c r="TD108" s="142"/>
      <c r="TE108" s="142"/>
      <c r="TF108" s="142"/>
      <c r="TG108" s="142"/>
      <c r="TH108" s="142"/>
      <c r="TI108" s="142"/>
      <c r="TJ108" s="142"/>
      <c r="TK108" s="142"/>
      <c r="TL108" s="142"/>
      <c r="TM108" s="142"/>
      <c r="TN108" s="142"/>
      <c r="TO108" s="142"/>
      <c r="TP108" s="142"/>
      <c r="TQ108" s="142"/>
      <c r="TR108" s="142"/>
      <c r="TS108" s="142"/>
      <c r="TT108" s="142"/>
      <c r="TU108" s="142"/>
      <c r="TV108" s="142"/>
      <c r="TW108" s="142"/>
      <c r="TX108" s="142"/>
      <c r="TY108" s="142"/>
      <c r="TZ108" s="142"/>
      <c r="UA108" s="142"/>
      <c r="UB108" s="142"/>
      <c r="UC108" s="142"/>
      <c r="UD108" s="142"/>
      <c r="UE108" s="142"/>
      <c r="UF108" s="142"/>
      <c r="UG108" s="142"/>
      <c r="UH108" s="142"/>
      <c r="UI108" s="142"/>
      <c r="UJ108" s="142"/>
      <c r="UK108" s="142"/>
      <c r="UL108" s="142"/>
      <c r="UM108" s="142"/>
      <c r="UN108" s="142"/>
      <c r="UO108" s="142"/>
      <c r="UP108" s="142"/>
      <c r="UQ108" s="142"/>
      <c r="UR108" s="142"/>
      <c r="US108" s="142"/>
      <c r="UT108" s="142"/>
      <c r="UU108" s="142"/>
      <c r="UV108" s="142"/>
      <c r="UW108" s="142"/>
      <c r="UX108" s="142"/>
      <c r="UY108" s="142"/>
      <c r="UZ108" s="142"/>
      <c r="VA108" s="142"/>
      <c r="VB108" s="142"/>
      <c r="VC108" s="142"/>
      <c r="VD108" s="142"/>
      <c r="VE108" s="142"/>
      <c r="VF108" s="142"/>
      <c r="VG108" s="142"/>
      <c r="VH108" s="142"/>
      <c r="VI108" s="142"/>
      <c r="VJ108" s="142"/>
      <c r="VK108" s="142"/>
      <c r="VL108" s="142"/>
      <c r="VM108" s="142"/>
      <c r="VN108" s="142"/>
      <c r="VO108" s="142"/>
      <c r="VP108" s="142"/>
      <c r="VQ108" s="142"/>
      <c r="VR108" s="142"/>
      <c r="VS108" s="142"/>
      <c r="VT108" s="142"/>
      <c r="VU108" s="142"/>
      <c r="VV108" s="142"/>
      <c r="VW108" s="142"/>
      <c r="VX108" s="142"/>
      <c r="VY108" s="142"/>
      <c r="VZ108" s="142"/>
      <c r="WA108" s="142"/>
      <c r="WB108" s="142"/>
      <c r="WC108" s="142"/>
      <c r="WD108" s="142"/>
      <c r="WE108" s="142"/>
      <c r="WF108" s="142"/>
      <c r="WG108" s="142"/>
      <c r="WH108" s="142"/>
      <c r="WI108" s="142"/>
      <c r="WJ108" s="142"/>
      <c r="WK108" s="142"/>
      <c r="WL108" s="142"/>
      <c r="WM108" s="142"/>
      <c r="WN108" s="142"/>
      <c r="WO108" s="142"/>
      <c r="WP108" s="142"/>
      <c r="WQ108" s="142"/>
      <c r="WR108" s="142"/>
      <c r="WS108" s="142"/>
      <c r="WT108" s="142"/>
      <c r="WU108" s="142"/>
      <c r="WV108" s="142"/>
      <c r="WW108" s="142"/>
      <c r="WX108" s="142"/>
      <c r="WY108" s="142"/>
      <c r="WZ108" s="142"/>
      <c r="XA108" s="142"/>
      <c r="XB108" s="142"/>
      <c r="XC108" s="142"/>
      <c r="XD108" s="142"/>
      <c r="XE108" s="142"/>
      <c r="XF108" s="142"/>
      <c r="XG108" s="142"/>
      <c r="XH108" s="142"/>
      <c r="XI108" s="142"/>
      <c r="XJ108" s="142"/>
      <c r="XK108" s="142"/>
      <c r="XL108" s="142"/>
      <c r="XM108" s="142"/>
      <c r="XN108" s="142"/>
      <c r="XO108" s="142"/>
      <c r="XP108" s="142"/>
      <c r="XQ108" s="142"/>
      <c r="XR108" s="142"/>
      <c r="XS108" s="142"/>
      <c r="XT108" s="142"/>
      <c r="XU108" s="142"/>
      <c r="XV108" s="142"/>
      <c r="XW108" s="142"/>
      <c r="XX108" s="142"/>
      <c r="XY108" s="142"/>
      <c r="XZ108" s="142"/>
      <c r="YA108" s="142"/>
      <c r="YB108" s="142"/>
      <c r="YC108" s="142"/>
      <c r="YD108" s="142"/>
      <c r="YE108" s="142"/>
      <c r="YF108" s="142"/>
      <c r="YG108" s="142"/>
      <c r="YH108" s="142"/>
      <c r="YI108" s="142"/>
      <c r="YJ108" s="142"/>
      <c r="YK108" s="142"/>
      <c r="YL108" s="142"/>
      <c r="YM108" s="142"/>
      <c r="YN108" s="142"/>
      <c r="YO108" s="142"/>
      <c r="YP108" s="142"/>
      <c r="YQ108" s="142"/>
      <c r="YR108" s="142"/>
      <c r="YS108" s="142"/>
      <c r="YT108" s="142"/>
      <c r="YU108" s="142"/>
      <c r="YV108" s="142"/>
      <c r="YW108" s="142"/>
      <c r="YX108" s="142"/>
      <c r="YY108" s="142"/>
      <c r="YZ108" s="142"/>
      <c r="ZA108" s="142"/>
      <c r="ZB108" s="142"/>
      <c r="ZC108" s="142"/>
      <c r="ZD108" s="142"/>
      <c r="ZE108" s="142"/>
      <c r="ZF108" s="142"/>
      <c r="ZG108" s="142"/>
      <c r="ZH108" s="142"/>
      <c r="ZI108" s="142"/>
      <c r="ZJ108" s="142"/>
      <c r="ZK108" s="142"/>
      <c r="ZL108" s="142"/>
      <c r="ZM108" s="142"/>
      <c r="ZN108" s="142"/>
      <c r="ZO108" s="142"/>
      <c r="ZP108" s="142"/>
      <c r="ZQ108" s="142"/>
      <c r="ZR108" s="142"/>
      <c r="ZS108" s="142"/>
      <c r="ZT108" s="142"/>
      <c r="ZU108" s="142"/>
      <c r="ZV108" s="142"/>
      <c r="ZW108" s="142"/>
      <c r="ZX108" s="142"/>
      <c r="ZY108" s="142"/>
      <c r="ZZ108" s="142"/>
      <c r="AAA108" s="142"/>
      <c r="AAB108" s="142"/>
      <c r="AAC108" s="142"/>
      <c r="AAD108" s="142"/>
      <c r="AAE108" s="142"/>
      <c r="AAF108" s="142"/>
      <c r="AAG108" s="142"/>
      <c r="AAH108" s="142"/>
      <c r="AAI108" s="142"/>
      <c r="AAJ108" s="142"/>
      <c r="AAK108" s="142"/>
      <c r="AAL108" s="142"/>
      <c r="AAM108" s="142"/>
      <c r="AAN108" s="142"/>
      <c r="AAO108" s="142"/>
      <c r="AAP108" s="142"/>
      <c r="AAQ108" s="142"/>
      <c r="AAR108" s="142"/>
      <c r="AAS108" s="142"/>
      <c r="AAT108" s="142"/>
      <c r="AAU108" s="142"/>
      <c r="AAV108" s="142"/>
      <c r="AAW108" s="142"/>
      <c r="AAX108" s="142"/>
      <c r="AAY108" s="142"/>
      <c r="AAZ108" s="142"/>
      <c r="ABA108" s="142"/>
      <c r="ABB108" s="142"/>
      <c r="ABC108" s="142"/>
      <c r="ABD108" s="142"/>
      <c r="ABE108" s="142"/>
      <c r="ABF108" s="142"/>
      <c r="ABG108" s="142"/>
      <c r="ABH108" s="142"/>
      <c r="ABI108" s="142"/>
      <c r="ABJ108" s="142"/>
      <c r="ABK108" s="142"/>
      <c r="ABL108" s="142"/>
      <c r="ABM108" s="142"/>
      <c r="ABN108" s="142"/>
      <c r="ABO108" s="142"/>
      <c r="ABP108" s="142"/>
      <c r="ABQ108" s="142"/>
      <c r="ABR108" s="142"/>
      <c r="ABS108" s="142"/>
      <c r="ABT108" s="142"/>
      <c r="ABU108" s="142"/>
      <c r="ABV108" s="142"/>
      <c r="ABW108" s="142"/>
      <c r="ABX108" s="142"/>
      <c r="ABY108" s="142"/>
      <c r="ABZ108" s="142"/>
      <c r="ACA108" s="142"/>
      <c r="ACB108" s="142"/>
      <c r="ACC108" s="142"/>
      <c r="ACD108" s="142"/>
      <c r="ACE108" s="142"/>
      <c r="ACF108" s="142"/>
      <c r="ACG108" s="142"/>
      <c r="ACH108" s="142"/>
      <c r="ACI108" s="142"/>
      <c r="ACJ108" s="142"/>
      <c r="ACK108" s="142"/>
      <c r="ACL108" s="142"/>
      <c r="ACM108" s="142"/>
      <c r="ACN108" s="142"/>
      <c r="ACO108" s="142"/>
      <c r="ACP108" s="142"/>
      <c r="ACQ108" s="142"/>
      <c r="ACR108" s="142"/>
      <c r="ACS108" s="142"/>
      <c r="ACT108" s="142"/>
      <c r="ACU108" s="142"/>
      <c r="ACV108" s="142"/>
      <c r="ACW108" s="142"/>
      <c r="ACX108" s="142"/>
      <c r="ACY108" s="142"/>
      <c r="ACZ108" s="142"/>
      <c r="ADA108" s="142"/>
      <c r="ADB108" s="142"/>
      <c r="ADC108" s="142"/>
      <c r="ADD108" s="142"/>
      <c r="ADE108" s="142"/>
      <c r="ADF108" s="142"/>
      <c r="ADG108" s="142"/>
      <c r="ADH108" s="142"/>
      <c r="ADI108" s="142"/>
      <c r="ADJ108" s="142"/>
      <c r="ADK108" s="142"/>
      <c r="ADL108" s="142"/>
      <c r="ADM108" s="142"/>
      <c r="ADN108" s="142"/>
      <c r="ADO108" s="142"/>
      <c r="ADP108" s="142"/>
      <c r="ADQ108" s="142"/>
      <c r="ADR108" s="142"/>
      <c r="ADS108" s="142"/>
      <c r="ADT108" s="142"/>
      <c r="ADU108" s="142"/>
      <c r="ADV108" s="142"/>
      <c r="ADW108" s="142"/>
      <c r="ADX108" s="142"/>
      <c r="ADY108" s="142"/>
      <c r="ADZ108" s="142"/>
      <c r="AEA108" s="142"/>
      <c r="AEB108" s="142"/>
      <c r="AEC108" s="142"/>
      <c r="AED108" s="142"/>
      <c r="AEE108" s="142"/>
      <c r="AEF108" s="142"/>
      <c r="AEG108" s="142"/>
      <c r="AEH108" s="142"/>
      <c r="AEI108" s="142"/>
      <c r="AEJ108" s="142"/>
      <c r="AEK108" s="142"/>
      <c r="AEL108" s="142"/>
      <c r="AEM108" s="142"/>
      <c r="AEN108" s="142"/>
      <c r="AEO108" s="142"/>
      <c r="AEP108" s="142"/>
      <c r="AEQ108" s="142"/>
      <c r="AER108" s="142"/>
      <c r="AES108" s="142"/>
      <c r="AET108" s="142"/>
      <c r="AEU108" s="142"/>
      <c r="AEV108" s="142"/>
      <c r="AEW108" s="142"/>
      <c r="AEX108" s="142"/>
      <c r="AEY108" s="142"/>
      <c r="AEZ108" s="142"/>
      <c r="AFA108" s="142"/>
      <c r="AFB108" s="142"/>
      <c r="AFC108" s="142"/>
      <c r="AFD108" s="142"/>
      <c r="AFE108" s="142"/>
      <c r="AFF108" s="142"/>
      <c r="AFG108" s="142"/>
      <c r="AFH108" s="142"/>
      <c r="AFI108" s="142"/>
      <c r="AFJ108" s="142"/>
      <c r="AFK108" s="142"/>
      <c r="AFL108" s="142"/>
      <c r="AFM108" s="142"/>
      <c r="AFN108" s="142"/>
      <c r="AFO108" s="142"/>
      <c r="AFP108" s="142"/>
      <c r="AFQ108" s="142"/>
      <c r="AFR108" s="142"/>
      <c r="AFS108" s="142"/>
      <c r="AFT108" s="142"/>
      <c r="AFU108" s="142"/>
      <c r="AFV108" s="142"/>
      <c r="AFW108" s="142"/>
      <c r="AFX108" s="142"/>
      <c r="AFY108" s="142"/>
      <c r="AFZ108" s="142"/>
      <c r="AGA108" s="142"/>
      <c r="AGB108" s="142"/>
      <c r="AGC108" s="142"/>
      <c r="AGD108" s="142"/>
      <c r="AGE108" s="142"/>
      <c r="AGF108" s="142"/>
      <c r="AGG108" s="142"/>
      <c r="AGH108" s="142"/>
      <c r="AGI108" s="142"/>
      <c r="AGJ108" s="142"/>
      <c r="AGK108" s="142"/>
      <c r="AGL108" s="142"/>
      <c r="AGM108" s="142"/>
      <c r="AGN108" s="142"/>
      <c r="AGO108" s="142"/>
      <c r="AGP108" s="142"/>
      <c r="AGQ108" s="142"/>
      <c r="AGR108" s="142"/>
      <c r="AGS108" s="142"/>
      <c r="AGT108" s="142"/>
      <c r="AGU108" s="142"/>
      <c r="AGV108" s="142"/>
      <c r="AGW108" s="142"/>
      <c r="AGX108" s="142"/>
      <c r="AGY108" s="142"/>
      <c r="AGZ108" s="142"/>
      <c r="AHA108" s="142"/>
      <c r="AHB108" s="142"/>
      <c r="AHC108" s="142"/>
      <c r="AHD108" s="142"/>
      <c r="AHE108" s="142"/>
      <c r="AHF108" s="142"/>
      <c r="AHG108" s="142"/>
      <c r="AHH108" s="142"/>
      <c r="AHI108" s="142"/>
      <c r="AHJ108" s="142"/>
      <c r="AHK108" s="142"/>
      <c r="AHL108" s="142"/>
      <c r="AHM108" s="142"/>
      <c r="AHN108" s="142"/>
      <c r="AHO108" s="142"/>
      <c r="AHP108" s="142"/>
      <c r="AHQ108" s="142"/>
      <c r="AHR108" s="142"/>
      <c r="AHS108" s="142"/>
      <c r="AHT108" s="142"/>
      <c r="AHU108" s="142"/>
      <c r="AHV108" s="142"/>
      <c r="AHW108" s="142"/>
      <c r="AHX108" s="142"/>
      <c r="AHY108" s="142"/>
      <c r="AHZ108" s="142"/>
      <c r="AIA108" s="142"/>
      <c r="AIB108" s="142"/>
      <c r="AIC108" s="142"/>
      <c r="AID108" s="142"/>
      <c r="AIE108" s="142"/>
      <c r="AIF108" s="142"/>
      <c r="AIG108" s="142"/>
      <c r="AIH108" s="142"/>
      <c r="AII108" s="142"/>
      <c r="AIJ108" s="142"/>
      <c r="AIK108" s="142"/>
      <c r="AIL108" s="142"/>
      <c r="AIM108" s="142"/>
      <c r="AIN108" s="142"/>
      <c r="AIO108" s="142"/>
      <c r="AIP108" s="142"/>
      <c r="AIQ108" s="142"/>
      <c r="AIR108" s="142"/>
      <c r="AIS108" s="142"/>
      <c r="AIT108" s="142"/>
      <c r="AIU108" s="142"/>
      <c r="AIV108" s="142"/>
      <c r="AIW108" s="142"/>
      <c r="AIX108" s="142"/>
      <c r="AIY108" s="142"/>
      <c r="AIZ108" s="142"/>
      <c r="AJA108" s="142"/>
      <c r="AJB108" s="142"/>
      <c r="AJC108" s="142"/>
      <c r="AJD108" s="142"/>
      <c r="AJE108" s="142"/>
      <c r="AJF108" s="142"/>
      <c r="AJG108" s="142"/>
      <c r="AJH108" s="142"/>
      <c r="AJI108" s="142"/>
      <c r="AJJ108" s="142"/>
      <c r="AJK108" s="142"/>
      <c r="AJL108" s="142"/>
      <c r="AJM108" s="142"/>
      <c r="AJN108" s="142"/>
      <c r="AJO108" s="142"/>
      <c r="AJP108" s="142"/>
      <c r="AJQ108" s="142"/>
      <c r="AJR108" s="142"/>
      <c r="AJS108" s="142"/>
      <c r="AJT108" s="142"/>
      <c r="AJU108" s="142"/>
      <c r="AJV108" s="142"/>
      <c r="AJW108" s="142"/>
      <c r="AJX108" s="142"/>
      <c r="AJY108" s="142"/>
      <c r="AJZ108" s="142"/>
      <c r="AKA108" s="142"/>
      <c r="AKB108" s="142"/>
      <c r="AKC108" s="142"/>
      <c r="AKD108" s="142"/>
      <c r="AKE108" s="142"/>
      <c r="AKF108" s="142"/>
      <c r="AKG108" s="142"/>
      <c r="AKH108" s="142"/>
      <c r="AKI108" s="142"/>
      <c r="AKJ108" s="142"/>
      <c r="AKK108" s="142"/>
      <c r="AKL108" s="142"/>
      <c r="AKM108" s="142"/>
      <c r="AKN108" s="142"/>
      <c r="AKO108" s="142"/>
      <c r="AKP108" s="142"/>
      <c r="AKQ108" s="142"/>
      <c r="AKR108" s="142"/>
      <c r="AKS108" s="142"/>
      <c r="AKT108" s="142"/>
      <c r="AKU108" s="142"/>
      <c r="AKV108" s="142"/>
      <c r="AKW108" s="142"/>
      <c r="AKX108" s="142"/>
      <c r="AKY108" s="142"/>
      <c r="AKZ108" s="142"/>
      <c r="ALA108" s="142"/>
      <c r="ALB108" s="142"/>
      <c r="ALC108" s="142"/>
      <c r="ALD108" s="142"/>
      <c r="ALE108" s="142"/>
      <c r="ALF108" s="142"/>
      <c r="ALG108" s="142"/>
      <c r="ALH108" s="142"/>
      <c r="ALI108" s="142"/>
      <c r="ALJ108" s="142"/>
      <c r="ALK108" s="142"/>
      <c r="ALL108" s="142"/>
      <c r="ALM108" s="142"/>
      <c r="ALN108" s="142"/>
      <c r="ALO108" s="142"/>
      <c r="ALP108" s="142"/>
      <c r="ALQ108" s="142"/>
      <c r="ALR108" s="142"/>
      <c r="ALS108" s="142"/>
      <c r="ALT108" s="142"/>
      <c r="ALU108" s="142"/>
      <c r="ALV108" s="142"/>
      <c r="ALW108" s="142"/>
      <c r="ALX108" s="142"/>
      <c r="ALY108" s="142"/>
      <c r="ALZ108" s="142"/>
      <c r="AMA108" s="142"/>
      <c r="AMB108" s="142"/>
      <c r="AMC108" s="142"/>
      <c r="AMD108" s="142"/>
      <c r="AME108" s="142"/>
      <c r="AMF108" s="142"/>
      <c r="AMG108" s="142"/>
      <c r="AMH108" s="142"/>
      <c r="AMI108" s="142"/>
      <c r="AMJ108" s="142"/>
      <c r="AMK108" s="142"/>
      <c r="AML108" s="142"/>
      <c r="AMM108" s="142"/>
      <c r="AMN108" s="142"/>
      <c r="AMO108" s="142"/>
      <c r="AMP108" s="142"/>
      <c r="AMQ108" s="142"/>
      <c r="AMR108" s="142"/>
      <c r="AMS108" s="142"/>
      <c r="AMT108" s="142"/>
      <c r="AMU108" s="142"/>
      <c r="AMV108" s="142"/>
      <c r="AMW108" s="142"/>
      <c r="AMX108" s="142"/>
      <c r="AMY108" s="142"/>
      <c r="AMZ108" s="142"/>
      <c r="ANA108" s="142"/>
      <c r="ANB108" s="142"/>
      <c r="ANC108" s="142"/>
      <c r="AND108" s="142"/>
      <c r="ANE108" s="142"/>
      <c r="ANF108" s="142"/>
      <c r="ANG108" s="142"/>
      <c r="ANH108" s="142"/>
      <c r="ANI108" s="142"/>
      <c r="ANJ108" s="142"/>
      <c r="ANK108" s="142"/>
      <c r="ANL108" s="142"/>
      <c r="ANM108" s="142"/>
      <c r="ANN108" s="142"/>
      <c r="ANO108" s="142"/>
      <c r="ANP108" s="142"/>
      <c r="ANQ108" s="142"/>
      <c r="ANR108" s="142"/>
      <c r="ANS108" s="142"/>
      <c r="ANT108" s="142"/>
      <c r="ANU108" s="142"/>
      <c r="ANV108" s="142"/>
      <c r="ANW108" s="142"/>
      <c r="ANX108" s="142"/>
      <c r="ANY108" s="142"/>
      <c r="ANZ108" s="142"/>
      <c r="AOA108" s="142"/>
      <c r="AOB108" s="142"/>
      <c r="AOC108" s="142"/>
      <c r="AOD108" s="142"/>
      <c r="AOE108" s="142"/>
      <c r="AOF108" s="142"/>
      <c r="AOG108" s="142"/>
      <c r="AOH108" s="142"/>
      <c r="AOI108" s="142"/>
      <c r="AOJ108" s="142"/>
      <c r="AOK108" s="142"/>
      <c r="AOL108" s="142"/>
      <c r="AOM108" s="142"/>
      <c r="AON108" s="142"/>
      <c r="AOO108" s="142"/>
      <c r="AOP108" s="142"/>
      <c r="AOQ108" s="142"/>
      <c r="AOR108" s="142"/>
      <c r="AOS108" s="142"/>
      <c r="AOT108" s="142"/>
      <c r="AOU108" s="142"/>
      <c r="AOV108" s="142"/>
      <c r="AOW108" s="142"/>
      <c r="AOX108" s="142"/>
      <c r="AOY108" s="142"/>
      <c r="AOZ108" s="142"/>
      <c r="APA108" s="142"/>
      <c r="APB108" s="142"/>
      <c r="APC108" s="142"/>
      <c r="APD108" s="142"/>
      <c r="APE108" s="142"/>
      <c r="APF108" s="142"/>
      <c r="APG108" s="142"/>
      <c r="APH108" s="142"/>
      <c r="API108" s="142"/>
      <c r="APJ108" s="142"/>
      <c r="APK108" s="142"/>
      <c r="APL108" s="142"/>
      <c r="APM108" s="142"/>
      <c r="APN108" s="142"/>
      <c r="APO108" s="142"/>
      <c r="APP108" s="142"/>
      <c r="APQ108" s="142"/>
      <c r="APR108" s="142"/>
      <c r="APS108" s="142"/>
      <c r="APT108" s="142"/>
      <c r="APU108" s="142"/>
      <c r="APV108" s="142"/>
      <c r="APW108" s="142"/>
      <c r="APX108" s="142"/>
      <c r="APY108" s="142"/>
      <c r="APZ108" s="142"/>
      <c r="AQA108" s="142"/>
      <c r="AQB108" s="142"/>
      <c r="AQC108" s="142"/>
      <c r="AQD108" s="142"/>
      <c r="AQE108" s="142"/>
      <c r="AQF108" s="142"/>
      <c r="AQG108" s="142"/>
      <c r="AQH108" s="142"/>
      <c r="AQI108" s="142"/>
      <c r="AQJ108" s="142"/>
      <c r="AQK108" s="142"/>
      <c r="AQL108" s="142"/>
      <c r="AQM108" s="142"/>
      <c r="AQN108" s="142"/>
      <c r="AQO108" s="142"/>
      <c r="AQP108" s="142"/>
      <c r="AQQ108" s="142"/>
      <c r="AQR108" s="142"/>
      <c r="AQS108" s="142"/>
      <c r="AQT108" s="142"/>
      <c r="AQU108" s="142"/>
      <c r="AQV108" s="142"/>
      <c r="AQW108" s="142"/>
      <c r="AQX108" s="142"/>
      <c r="AQY108" s="142"/>
      <c r="AQZ108" s="142"/>
      <c r="ARA108" s="142"/>
      <c r="ARB108" s="142"/>
      <c r="ARC108" s="142"/>
      <c r="ARD108" s="142"/>
      <c r="ARE108" s="142"/>
      <c r="ARF108" s="142"/>
      <c r="ARG108" s="142"/>
      <c r="ARH108" s="142"/>
      <c r="ARI108" s="142"/>
      <c r="ARJ108" s="142"/>
      <c r="ARK108" s="142"/>
      <c r="ARL108" s="142"/>
      <c r="ARM108" s="142"/>
      <c r="ARN108" s="142"/>
      <c r="ARO108" s="142"/>
      <c r="ARP108" s="142"/>
      <c r="ARQ108" s="142"/>
      <c r="ARR108" s="142"/>
      <c r="ARS108" s="142"/>
      <c r="ART108" s="142"/>
      <c r="ARU108" s="142"/>
      <c r="ARV108" s="142"/>
      <c r="ARW108" s="142"/>
      <c r="ARX108" s="142"/>
      <c r="ARY108" s="142"/>
      <c r="ARZ108" s="142"/>
      <c r="ASA108" s="142"/>
      <c r="ASB108" s="142"/>
      <c r="ASC108" s="142"/>
      <c r="ASD108" s="142"/>
      <c r="ASE108" s="142"/>
      <c r="ASF108" s="142"/>
      <c r="ASG108" s="142"/>
      <c r="ASH108" s="142"/>
      <c r="ASI108" s="142"/>
      <c r="ASJ108" s="142"/>
      <c r="ASK108" s="142"/>
      <c r="ASL108" s="142"/>
      <c r="ASM108" s="142"/>
      <c r="ASN108" s="142"/>
      <c r="ASO108" s="142"/>
      <c r="ASP108" s="142"/>
      <c r="ASQ108" s="142"/>
      <c r="ASR108" s="142"/>
      <c r="ASS108" s="142"/>
      <c r="AST108" s="142"/>
      <c r="ASU108" s="142"/>
      <c r="ASV108" s="142"/>
      <c r="ASW108" s="142"/>
      <c r="ASX108" s="142"/>
      <c r="ASY108" s="142"/>
      <c r="ASZ108" s="142"/>
      <c r="ATA108" s="142"/>
      <c r="ATB108" s="142"/>
      <c r="ATC108" s="142"/>
      <c r="ATD108" s="142"/>
      <c r="ATE108" s="142"/>
      <c r="ATF108" s="142"/>
      <c r="ATG108" s="142"/>
      <c r="ATH108" s="142"/>
      <c r="ATI108" s="142"/>
      <c r="ATJ108" s="142"/>
      <c r="ATK108" s="142"/>
      <c r="ATL108" s="142"/>
      <c r="ATM108" s="142"/>
      <c r="ATN108" s="142"/>
      <c r="ATO108" s="142"/>
      <c r="ATP108" s="142"/>
      <c r="ATQ108" s="142"/>
      <c r="ATR108" s="142"/>
      <c r="ATS108" s="142"/>
      <c r="ATT108" s="142"/>
      <c r="ATU108" s="142"/>
      <c r="ATV108" s="142"/>
      <c r="ATW108" s="142"/>
      <c r="ATX108" s="142"/>
      <c r="ATY108" s="142"/>
      <c r="ATZ108" s="142"/>
      <c r="AUA108" s="142"/>
      <c r="AUB108" s="142"/>
      <c r="AUC108" s="142"/>
      <c r="AUD108" s="142"/>
      <c r="AUE108" s="142"/>
      <c r="AUF108" s="142"/>
      <c r="AUG108" s="142"/>
      <c r="AUH108" s="142"/>
      <c r="AUI108" s="142"/>
      <c r="AUJ108" s="142"/>
      <c r="AUK108" s="142"/>
      <c r="AUL108" s="142"/>
      <c r="AUM108" s="142"/>
      <c r="AUN108" s="142"/>
      <c r="AUO108" s="142"/>
      <c r="AUP108" s="142"/>
      <c r="AUQ108" s="142"/>
      <c r="AUR108" s="142"/>
      <c r="AUS108" s="142"/>
      <c r="AUT108" s="142"/>
      <c r="AUU108" s="142"/>
      <c r="AUV108" s="142"/>
      <c r="AUW108" s="142"/>
      <c r="AUX108" s="142"/>
      <c r="AUY108" s="142"/>
      <c r="AUZ108" s="142"/>
      <c r="AVA108" s="142"/>
      <c r="AVB108" s="142"/>
      <c r="AVC108" s="142"/>
      <c r="AVD108" s="142"/>
      <c r="AVE108" s="142"/>
      <c r="AVF108" s="142"/>
      <c r="AVG108" s="142"/>
      <c r="AVH108" s="142"/>
      <c r="AVI108" s="142"/>
      <c r="AVJ108" s="142"/>
      <c r="AVK108" s="142"/>
      <c r="AVL108" s="142"/>
      <c r="AVM108" s="142"/>
      <c r="AVN108" s="142"/>
      <c r="AVO108" s="142"/>
      <c r="AVP108" s="142"/>
      <c r="AVQ108" s="142"/>
      <c r="AVR108" s="142"/>
      <c r="AVS108" s="142"/>
      <c r="AVT108" s="142"/>
      <c r="AVU108" s="142"/>
      <c r="AVV108" s="142"/>
      <c r="AVW108" s="142"/>
      <c r="AVX108" s="142"/>
      <c r="AVY108" s="142"/>
      <c r="AVZ108" s="142"/>
      <c r="AWA108" s="142"/>
      <c r="AWB108" s="142"/>
      <c r="AWC108" s="142"/>
      <c r="AWD108" s="142"/>
      <c r="AWE108" s="142"/>
      <c r="AWF108" s="142"/>
      <c r="AWG108" s="142"/>
      <c r="AWH108" s="142"/>
      <c r="AWI108" s="142"/>
      <c r="AWJ108" s="142"/>
      <c r="AWK108" s="142"/>
      <c r="AWL108" s="142"/>
      <c r="AWM108" s="142"/>
      <c r="AWN108" s="142"/>
      <c r="AWO108" s="142"/>
      <c r="AWP108" s="142"/>
      <c r="AWQ108" s="142"/>
      <c r="AWR108" s="142"/>
      <c r="AWS108" s="142"/>
      <c r="AWT108" s="142"/>
      <c r="AWU108" s="142"/>
      <c r="AWV108" s="142"/>
      <c r="AWW108" s="142"/>
      <c r="AWX108" s="142"/>
      <c r="AWY108" s="142"/>
      <c r="AWZ108" s="142"/>
      <c r="AXA108" s="142"/>
      <c r="AXB108" s="142"/>
      <c r="AXC108" s="142"/>
      <c r="AXD108" s="142"/>
      <c r="AXE108" s="142"/>
      <c r="AXF108" s="142"/>
      <c r="AXG108" s="142"/>
      <c r="AXH108" s="142"/>
      <c r="AXI108" s="142"/>
      <c r="AXJ108" s="142"/>
      <c r="AXK108" s="142"/>
      <c r="AXL108" s="142"/>
      <c r="AXM108" s="142"/>
      <c r="AXN108" s="142"/>
      <c r="AXO108" s="142"/>
      <c r="AXP108" s="142"/>
      <c r="AXQ108" s="142"/>
      <c r="AXR108" s="142"/>
      <c r="AXS108" s="142"/>
      <c r="AXT108" s="142"/>
      <c r="AXU108" s="142"/>
      <c r="AXV108" s="142"/>
      <c r="AXW108" s="142"/>
      <c r="AXX108" s="142"/>
      <c r="AXY108" s="142"/>
      <c r="AXZ108" s="142"/>
      <c r="AYA108" s="142"/>
      <c r="AYB108" s="142"/>
      <c r="AYC108" s="142"/>
      <c r="AYD108" s="142"/>
      <c r="AYE108" s="142"/>
      <c r="AYF108" s="142"/>
      <c r="AYG108" s="142"/>
      <c r="AYH108" s="142"/>
      <c r="AYI108" s="142"/>
      <c r="AYJ108" s="142"/>
      <c r="AYK108" s="142"/>
      <c r="AYL108" s="142"/>
      <c r="AYM108" s="142"/>
      <c r="AYN108" s="142"/>
      <c r="AYO108" s="142"/>
      <c r="AYP108" s="142"/>
      <c r="AYQ108" s="142"/>
      <c r="AYR108" s="142"/>
      <c r="AYS108" s="142"/>
      <c r="AYT108" s="142"/>
      <c r="AYU108" s="142"/>
      <c r="AYV108" s="142"/>
      <c r="AYW108" s="142"/>
      <c r="AYX108" s="142"/>
      <c r="AYY108" s="142"/>
      <c r="AYZ108" s="142"/>
      <c r="AZA108" s="142"/>
      <c r="AZB108" s="142"/>
      <c r="AZC108" s="142"/>
      <c r="AZD108" s="142"/>
      <c r="AZE108" s="142"/>
      <c r="AZF108" s="142"/>
      <c r="AZG108" s="142"/>
      <c r="AZH108" s="142"/>
      <c r="AZI108" s="142"/>
      <c r="AZJ108" s="142"/>
      <c r="AZK108" s="142"/>
      <c r="AZL108" s="142"/>
      <c r="AZM108" s="142"/>
      <c r="AZN108" s="142"/>
      <c r="AZO108" s="142"/>
      <c r="AZP108" s="142"/>
      <c r="AZQ108" s="142"/>
      <c r="AZR108" s="142"/>
      <c r="AZS108" s="142"/>
      <c r="AZT108" s="142"/>
      <c r="AZU108" s="142"/>
      <c r="AZV108" s="142"/>
      <c r="AZW108" s="142"/>
      <c r="AZX108" s="142"/>
      <c r="AZY108" s="142"/>
      <c r="AZZ108" s="142"/>
      <c r="BAA108" s="142"/>
      <c r="BAB108" s="142"/>
      <c r="BAC108" s="142"/>
      <c r="BAD108" s="142"/>
      <c r="BAE108" s="142"/>
      <c r="BAF108" s="142"/>
      <c r="BAG108" s="142"/>
      <c r="BAH108" s="142"/>
      <c r="BAI108" s="142"/>
      <c r="BAJ108" s="142"/>
      <c r="BAK108" s="142"/>
      <c r="BAL108" s="142"/>
      <c r="BAM108" s="142"/>
      <c r="BAN108" s="142"/>
      <c r="BAO108" s="142"/>
      <c r="BAP108" s="142"/>
      <c r="BAQ108" s="142"/>
      <c r="BAR108" s="142"/>
      <c r="BAS108" s="142"/>
      <c r="BAT108" s="142"/>
      <c r="BAU108" s="142"/>
      <c r="BAV108" s="142"/>
      <c r="BAW108" s="142"/>
      <c r="BAX108" s="142"/>
      <c r="BAY108" s="142"/>
      <c r="BAZ108" s="142"/>
      <c r="BBA108" s="142"/>
      <c r="BBB108" s="142"/>
      <c r="BBC108" s="142"/>
      <c r="BBD108" s="142"/>
      <c r="BBE108" s="142"/>
      <c r="BBF108" s="142"/>
      <c r="BBG108" s="142"/>
      <c r="BBH108" s="142"/>
      <c r="BBI108" s="142"/>
      <c r="BBJ108" s="142"/>
      <c r="BBK108" s="142"/>
      <c r="BBL108" s="142"/>
      <c r="BBM108" s="142"/>
      <c r="BBN108" s="142"/>
      <c r="BBO108" s="142"/>
      <c r="BBP108" s="142"/>
      <c r="BBQ108" s="142"/>
      <c r="BBR108" s="142"/>
      <c r="BBS108" s="142"/>
      <c r="BBT108" s="142"/>
      <c r="BBU108" s="142"/>
      <c r="BBV108" s="142"/>
      <c r="BBW108" s="142"/>
      <c r="BBX108" s="142"/>
      <c r="BBY108" s="142"/>
      <c r="BBZ108" s="142"/>
      <c r="BCA108" s="142"/>
      <c r="BCB108" s="142"/>
      <c r="BCC108" s="142"/>
      <c r="BCD108" s="142"/>
      <c r="BCE108" s="142"/>
      <c r="BCF108" s="142"/>
      <c r="BCG108" s="142"/>
      <c r="BCH108" s="142"/>
      <c r="BCI108" s="142"/>
      <c r="BCJ108" s="142"/>
      <c r="BCK108" s="142"/>
      <c r="BCL108" s="142"/>
      <c r="BCM108" s="142"/>
      <c r="BCN108" s="142"/>
      <c r="BCO108" s="142"/>
      <c r="BCP108" s="142"/>
      <c r="BCQ108" s="142"/>
      <c r="BCR108" s="142"/>
      <c r="BCS108" s="142"/>
      <c r="BCT108" s="142"/>
      <c r="BCU108" s="142"/>
      <c r="BCV108" s="142"/>
      <c r="BCW108" s="142"/>
      <c r="BCX108" s="142"/>
      <c r="BCY108" s="142"/>
      <c r="BCZ108" s="142"/>
      <c r="BDA108" s="142"/>
      <c r="BDB108" s="142"/>
      <c r="BDC108" s="142"/>
      <c r="BDD108" s="142"/>
      <c r="BDE108" s="142"/>
      <c r="BDF108" s="142"/>
      <c r="BDG108" s="142"/>
      <c r="BDH108" s="142"/>
      <c r="BDI108" s="142"/>
      <c r="BDJ108" s="142"/>
      <c r="BDK108" s="142"/>
      <c r="BDL108" s="142"/>
      <c r="BDM108" s="142"/>
      <c r="BDN108" s="142"/>
      <c r="BDO108" s="142"/>
      <c r="BDP108" s="142"/>
      <c r="BDQ108" s="142"/>
      <c r="BDR108" s="142"/>
      <c r="BDS108" s="142"/>
      <c r="BDT108" s="142"/>
      <c r="BDU108" s="142"/>
      <c r="BDV108" s="142"/>
      <c r="BDW108" s="142"/>
      <c r="BDX108" s="142"/>
      <c r="BDY108" s="142"/>
      <c r="BDZ108" s="142"/>
      <c r="BEA108" s="142"/>
      <c r="BEB108" s="142"/>
      <c r="BEC108" s="142"/>
      <c r="BED108" s="142"/>
      <c r="BEE108" s="142"/>
      <c r="BEF108" s="142"/>
      <c r="BEG108" s="142"/>
      <c r="BEH108" s="142"/>
      <c r="BEI108" s="142"/>
      <c r="BEJ108" s="142"/>
      <c r="BEK108" s="142"/>
      <c r="BEL108" s="142"/>
      <c r="BEM108" s="142"/>
      <c r="BEN108" s="142"/>
      <c r="BEO108" s="142"/>
      <c r="BEP108" s="142"/>
      <c r="BEQ108" s="142"/>
      <c r="BER108" s="142"/>
      <c r="BES108" s="142"/>
      <c r="BET108" s="142"/>
      <c r="BEU108" s="142"/>
      <c r="BEV108" s="142"/>
      <c r="BEW108" s="142"/>
      <c r="BEX108" s="142"/>
      <c r="BEY108" s="142"/>
      <c r="BEZ108" s="142"/>
      <c r="BFA108" s="142"/>
      <c r="BFB108" s="142"/>
      <c r="BFC108" s="142"/>
      <c r="BFD108" s="142"/>
      <c r="BFE108" s="142"/>
      <c r="BFF108" s="142"/>
      <c r="BFG108" s="142"/>
      <c r="BFH108" s="142"/>
      <c r="BFI108" s="142"/>
      <c r="BFJ108" s="142"/>
      <c r="BFK108" s="142"/>
      <c r="BFL108" s="142"/>
      <c r="BFM108" s="142"/>
      <c r="BFN108" s="142"/>
      <c r="BFO108" s="142"/>
      <c r="BFP108" s="142"/>
      <c r="BFQ108" s="142"/>
      <c r="BFR108" s="142"/>
      <c r="BFS108" s="142"/>
      <c r="BFT108" s="142"/>
      <c r="BFU108" s="142"/>
      <c r="BFV108" s="142"/>
      <c r="BFW108" s="142"/>
      <c r="BFX108" s="142"/>
      <c r="BFY108" s="142"/>
      <c r="BFZ108" s="142"/>
      <c r="BGA108" s="142"/>
      <c r="BGB108" s="142"/>
      <c r="BGC108" s="142"/>
      <c r="BGD108" s="142"/>
      <c r="BGE108" s="142"/>
      <c r="BGF108" s="142"/>
      <c r="BGG108" s="142"/>
      <c r="BGH108" s="142"/>
      <c r="BGI108" s="142"/>
      <c r="BGJ108" s="142"/>
      <c r="BGK108" s="142"/>
      <c r="BGL108" s="142"/>
      <c r="BGM108" s="142"/>
      <c r="BGN108" s="142"/>
      <c r="BGO108" s="142"/>
      <c r="BGP108" s="142"/>
      <c r="BGQ108" s="142"/>
      <c r="BGR108" s="142"/>
      <c r="BGS108" s="142"/>
      <c r="BGT108" s="142"/>
      <c r="BGU108" s="142"/>
      <c r="BGV108" s="142"/>
      <c r="BGW108" s="142"/>
      <c r="BGX108" s="142"/>
      <c r="BGY108" s="142"/>
      <c r="BGZ108" s="142"/>
      <c r="BHA108" s="142"/>
      <c r="BHB108" s="142"/>
      <c r="BHC108" s="142"/>
      <c r="BHD108" s="142"/>
      <c r="BHE108" s="142"/>
      <c r="BHF108" s="142"/>
      <c r="BHG108" s="142"/>
      <c r="BHH108" s="142"/>
      <c r="BHI108" s="142"/>
      <c r="BHJ108" s="142"/>
      <c r="BHK108" s="142"/>
      <c r="BHL108" s="142"/>
      <c r="BHM108" s="142"/>
      <c r="BHN108" s="142"/>
      <c r="BHO108" s="142"/>
      <c r="BHP108" s="142"/>
      <c r="BHQ108" s="142"/>
      <c r="BHR108" s="142"/>
      <c r="BHS108" s="142"/>
      <c r="BHT108" s="142"/>
      <c r="BHU108" s="142"/>
      <c r="BHV108" s="142"/>
      <c r="BHW108" s="142"/>
      <c r="BHX108" s="142"/>
      <c r="BHY108" s="142"/>
      <c r="BHZ108" s="142"/>
      <c r="BIA108" s="142"/>
      <c r="BIB108" s="142"/>
      <c r="BIC108" s="142"/>
      <c r="BID108" s="142"/>
      <c r="BIE108" s="142"/>
      <c r="BIF108" s="142"/>
      <c r="BIG108" s="142"/>
      <c r="BIH108" s="142"/>
      <c r="BII108" s="142"/>
      <c r="BIJ108" s="142"/>
      <c r="BIK108" s="142"/>
      <c r="BIL108" s="142"/>
      <c r="BIM108" s="142"/>
      <c r="BIN108" s="142"/>
      <c r="BIO108" s="142"/>
      <c r="BIP108" s="142"/>
      <c r="BIQ108" s="142"/>
      <c r="BIR108" s="142"/>
      <c r="BIS108" s="142"/>
      <c r="BIT108" s="142"/>
      <c r="BIU108" s="142"/>
      <c r="BIV108" s="142"/>
      <c r="BIW108" s="142"/>
      <c r="BIX108" s="142"/>
      <c r="BIY108" s="142"/>
      <c r="BIZ108" s="142"/>
      <c r="BJA108" s="142"/>
      <c r="BJB108" s="142"/>
      <c r="BJC108" s="142"/>
      <c r="BJD108" s="142"/>
      <c r="BJE108" s="142"/>
      <c r="BJF108" s="142"/>
      <c r="BJG108" s="142"/>
      <c r="BJH108" s="142"/>
      <c r="BJI108" s="142"/>
      <c r="BJJ108" s="142"/>
      <c r="BJK108" s="142"/>
      <c r="BJL108" s="142"/>
      <c r="BJM108" s="142"/>
      <c r="BJN108" s="142"/>
      <c r="BJO108" s="142"/>
      <c r="BJP108" s="142"/>
      <c r="BJQ108" s="142"/>
      <c r="BJR108" s="142"/>
      <c r="BJS108" s="142"/>
      <c r="BJT108" s="142"/>
      <c r="BJU108" s="142"/>
      <c r="BJV108" s="142"/>
      <c r="BJW108" s="142"/>
      <c r="BJX108" s="142"/>
      <c r="BJY108" s="142"/>
      <c r="BJZ108" s="142"/>
      <c r="BKA108" s="142"/>
      <c r="BKB108" s="142"/>
      <c r="BKC108" s="142"/>
      <c r="BKD108" s="142"/>
      <c r="BKE108" s="142"/>
      <c r="BKF108" s="142"/>
      <c r="BKG108" s="142"/>
      <c r="BKH108" s="142"/>
      <c r="BKI108" s="142"/>
      <c r="BKJ108" s="142"/>
      <c r="BKK108" s="142"/>
      <c r="BKL108" s="142"/>
      <c r="BKM108" s="142"/>
      <c r="BKN108" s="142"/>
      <c r="BKO108" s="142"/>
      <c r="BKP108" s="142"/>
      <c r="BKQ108" s="142"/>
      <c r="BKR108" s="142"/>
      <c r="BKS108" s="142"/>
      <c r="BKT108" s="142"/>
      <c r="BKU108" s="142"/>
      <c r="BKV108" s="142"/>
      <c r="BKW108" s="142"/>
      <c r="BKX108" s="142"/>
      <c r="BKY108" s="142"/>
      <c r="BKZ108" s="142"/>
      <c r="BLA108" s="142"/>
      <c r="BLB108" s="142"/>
      <c r="BLC108" s="142"/>
      <c r="BLD108" s="142"/>
      <c r="BLE108" s="142"/>
      <c r="BLF108" s="142"/>
      <c r="BLG108" s="142"/>
      <c r="BLH108" s="142"/>
      <c r="BLI108" s="142"/>
      <c r="BLJ108" s="142"/>
      <c r="BLK108" s="142"/>
      <c r="BLL108" s="142"/>
      <c r="BLM108" s="142"/>
      <c r="BLN108" s="142"/>
      <c r="BLO108" s="142"/>
      <c r="BLP108" s="142"/>
      <c r="BLQ108" s="142"/>
      <c r="BLR108" s="142"/>
      <c r="BLS108" s="142"/>
      <c r="BLT108" s="142"/>
      <c r="BLU108" s="142"/>
      <c r="BLV108" s="142"/>
      <c r="BLW108" s="142"/>
      <c r="BLX108" s="142"/>
      <c r="BLY108" s="142"/>
      <c r="BLZ108" s="142"/>
      <c r="BMA108" s="142"/>
      <c r="BMB108" s="142"/>
      <c r="BMC108" s="142"/>
      <c r="BMD108" s="142"/>
      <c r="BME108" s="142"/>
      <c r="BMF108" s="142"/>
      <c r="BMG108" s="142"/>
      <c r="BMH108" s="142"/>
      <c r="BMI108" s="142"/>
      <c r="BMJ108" s="142"/>
      <c r="BMK108" s="142"/>
      <c r="BML108" s="142"/>
      <c r="BMM108" s="142"/>
      <c r="BMN108" s="142"/>
      <c r="BMO108" s="142"/>
      <c r="BMP108" s="142"/>
      <c r="BMQ108" s="142"/>
      <c r="BMR108" s="142"/>
      <c r="BMS108" s="142"/>
      <c r="BMT108" s="142"/>
      <c r="BMU108" s="142"/>
      <c r="BMV108" s="142"/>
      <c r="BMW108" s="142"/>
      <c r="BMX108" s="142"/>
      <c r="BMY108" s="142"/>
      <c r="BMZ108" s="142"/>
      <c r="BNA108" s="142"/>
      <c r="BNB108" s="142"/>
      <c r="BNC108" s="142"/>
      <c r="BND108" s="142"/>
      <c r="BNE108" s="142"/>
      <c r="BNF108" s="142"/>
      <c r="BNG108" s="142"/>
      <c r="BNH108" s="142"/>
      <c r="BNI108" s="142"/>
      <c r="BNJ108" s="142"/>
      <c r="BNK108" s="142"/>
      <c r="BNL108" s="142"/>
      <c r="BNM108" s="142"/>
      <c r="BNN108" s="142"/>
      <c r="BNO108" s="142"/>
      <c r="BNP108" s="142"/>
      <c r="BNQ108" s="142"/>
      <c r="BNR108" s="142"/>
      <c r="BNS108" s="142"/>
      <c r="BNT108" s="142"/>
      <c r="BNU108" s="142"/>
      <c r="BNV108" s="142"/>
      <c r="BNW108" s="142"/>
      <c r="BNX108" s="142"/>
      <c r="BNY108" s="142"/>
      <c r="BNZ108" s="142"/>
      <c r="BOA108" s="142"/>
      <c r="BOB108" s="142"/>
      <c r="BOC108" s="142"/>
      <c r="BOD108" s="142"/>
      <c r="BOE108" s="142"/>
      <c r="BOF108" s="142"/>
      <c r="BOG108" s="142"/>
      <c r="BOH108" s="142"/>
      <c r="BOI108" s="142"/>
      <c r="BOJ108" s="142"/>
      <c r="BOK108" s="142"/>
      <c r="BOL108" s="142"/>
      <c r="BOM108" s="142"/>
      <c r="BON108" s="142"/>
      <c r="BOO108" s="142"/>
      <c r="BOP108" s="142"/>
      <c r="BOQ108" s="142"/>
      <c r="BOR108" s="142"/>
      <c r="BOS108" s="142"/>
      <c r="BOT108" s="142"/>
      <c r="BOU108" s="142"/>
      <c r="BOV108" s="142"/>
      <c r="BOW108" s="142"/>
      <c r="BOX108" s="142"/>
      <c r="BOY108" s="142"/>
      <c r="BOZ108" s="142"/>
      <c r="BPA108" s="142"/>
      <c r="BPB108" s="142"/>
      <c r="BPC108" s="142"/>
      <c r="BPD108" s="142"/>
      <c r="BPE108" s="142"/>
      <c r="BPF108" s="142"/>
      <c r="BPG108" s="142"/>
      <c r="BPH108" s="142"/>
      <c r="BPI108" s="142"/>
      <c r="BPJ108" s="142"/>
      <c r="BPK108" s="142"/>
      <c r="BPL108" s="142"/>
      <c r="BPM108" s="142"/>
      <c r="BPN108" s="142"/>
      <c r="BPO108" s="142"/>
      <c r="BPP108" s="142"/>
      <c r="BPQ108" s="142"/>
      <c r="BPR108" s="142"/>
      <c r="BPS108" s="142"/>
      <c r="BPT108" s="142"/>
      <c r="BPU108" s="142"/>
      <c r="BPV108" s="142"/>
      <c r="BPW108" s="142"/>
      <c r="BPX108" s="142"/>
      <c r="BPY108" s="142"/>
      <c r="BPZ108" s="142"/>
      <c r="BQA108" s="142"/>
      <c r="BQB108" s="142"/>
      <c r="BQC108" s="142"/>
      <c r="BQD108" s="142"/>
      <c r="BQE108" s="142"/>
      <c r="BQF108" s="142"/>
      <c r="BQG108" s="142"/>
      <c r="BQH108" s="142"/>
      <c r="BQI108" s="142"/>
      <c r="BQJ108" s="142"/>
      <c r="BQK108" s="142"/>
      <c r="BQL108" s="142"/>
      <c r="BQM108" s="142"/>
      <c r="BQN108" s="142"/>
      <c r="BQO108" s="142"/>
      <c r="BQP108" s="142"/>
      <c r="BQQ108" s="142"/>
      <c r="BQR108" s="142"/>
      <c r="BQS108" s="142"/>
      <c r="BQT108" s="142"/>
      <c r="BQU108" s="142"/>
      <c r="BQV108" s="142"/>
      <c r="BQW108" s="142"/>
      <c r="BQX108" s="142"/>
      <c r="BQY108" s="142"/>
      <c r="BQZ108" s="142"/>
      <c r="BRA108" s="142"/>
      <c r="BRB108" s="142"/>
      <c r="BRC108" s="142"/>
      <c r="BRD108" s="142"/>
      <c r="BRE108" s="142"/>
      <c r="BRF108" s="142"/>
      <c r="BRG108" s="142"/>
      <c r="BRH108" s="142"/>
      <c r="BRI108" s="142"/>
      <c r="BRJ108" s="142"/>
      <c r="BRK108" s="142"/>
      <c r="BRL108" s="142"/>
      <c r="BRM108" s="142"/>
      <c r="BRN108" s="142"/>
      <c r="BRO108" s="142"/>
      <c r="BRP108" s="142"/>
      <c r="BRQ108" s="142"/>
      <c r="BRR108" s="142"/>
      <c r="BRS108" s="142"/>
      <c r="BRT108" s="142"/>
      <c r="BRU108" s="142"/>
      <c r="BRV108" s="142"/>
      <c r="BRW108" s="142"/>
      <c r="BRX108" s="142"/>
      <c r="BRY108" s="142"/>
      <c r="BRZ108" s="142"/>
      <c r="BSA108" s="142"/>
      <c r="BSB108" s="142"/>
      <c r="BSC108" s="142"/>
      <c r="BSD108" s="142"/>
      <c r="BSE108" s="142"/>
      <c r="BSF108" s="142"/>
      <c r="BSG108" s="142"/>
      <c r="BSH108" s="142"/>
      <c r="BSI108" s="142"/>
      <c r="BSJ108" s="142"/>
      <c r="BSK108" s="142"/>
      <c r="BSL108" s="142"/>
      <c r="BSM108" s="142"/>
      <c r="BSN108" s="142"/>
      <c r="BSO108" s="142"/>
      <c r="BSP108" s="142"/>
      <c r="BSQ108" s="142"/>
      <c r="BSR108" s="142"/>
      <c r="BSS108" s="142"/>
      <c r="BST108" s="142"/>
      <c r="BSU108" s="142"/>
      <c r="BSV108" s="142"/>
      <c r="BSW108" s="142"/>
      <c r="BSX108" s="142"/>
      <c r="BSY108" s="142"/>
      <c r="BSZ108" s="142"/>
      <c r="BTA108" s="142"/>
      <c r="BTB108" s="142"/>
      <c r="BTC108" s="142"/>
      <c r="BTD108" s="142"/>
      <c r="BTE108" s="142"/>
      <c r="BTF108" s="142"/>
      <c r="BTG108" s="142"/>
      <c r="BTH108" s="142"/>
      <c r="BTI108" s="142"/>
      <c r="BTJ108" s="142"/>
      <c r="BTK108" s="142"/>
      <c r="BTL108" s="142"/>
      <c r="BTM108" s="142"/>
      <c r="BTN108" s="142"/>
      <c r="BTO108" s="142"/>
      <c r="BTP108" s="142"/>
      <c r="BTQ108" s="142"/>
      <c r="BTR108" s="142"/>
      <c r="BTS108" s="142"/>
      <c r="BTT108" s="142"/>
      <c r="BTU108" s="142"/>
      <c r="BTV108" s="142"/>
      <c r="BTW108" s="142"/>
      <c r="BTX108" s="142"/>
      <c r="BTY108" s="142"/>
      <c r="BTZ108" s="142"/>
      <c r="BUA108" s="142"/>
      <c r="BUB108" s="142"/>
      <c r="BUC108" s="142"/>
      <c r="BUD108" s="142"/>
      <c r="BUE108" s="142"/>
      <c r="BUF108" s="142"/>
      <c r="BUG108" s="142"/>
      <c r="BUH108" s="142"/>
      <c r="BUI108" s="142"/>
      <c r="BUJ108" s="142"/>
      <c r="BUK108" s="142"/>
      <c r="BUL108" s="142"/>
      <c r="BUM108" s="142"/>
      <c r="BUN108" s="142"/>
      <c r="BUO108" s="142"/>
      <c r="BUP108" s="142"/>
      <c r="BUQ108" s="142"/>
      <c r="BUR108" s="142"/>
      <c r="BUS108" s="142"/>
      <c r="BUT108" s="142"/>
      <c r="BUU108" s="142"/>
      <c r="BUV108" s="142"/>
      <c r="BUW108" s="142"/>
      <c r="BUX108" s="142"/>
      <c r="BUY108" s="142"/>
      <c r="BUZ108" s="142"/>
      <c r="BVA108" s="142"/>
      <c r="BVB108" s="142"/>
      <c r="BVC108" s="142"/>
      <c r="BVD108" s="142"/>
      <c r="BVE108" s="142"/>
      <c r="BVF108" s="142"/>
      <c r="BVG108" s="142"/>
      <c r="BVH108" s="142"/>
      <c r="BVI108" s="142"/>
      <c r="BVJ108" s="142"/>
      <c r="BVK108" s="142"/>
      <c r="BVL108" s="142"/>
      <c r="BVM108" s="142"/>
      <c r="BVN108" s="142"/>
      <c r="BVO108" s="142"/>
      <c r="BVP108" s="142"/>
      <c r="BVQ108" s="142"/>
      <c r="BVR108" s="142"/>
      <c r="BVS108" s="142"/>
      <c r="BVT108" s="142"/>
      <c r="BVU108" s="142"/>
      <c r="BVV108" s="142"/>
      <c r="BVW108" s="142"/>
      <c r="BVX108" s="142"/>
      <c r="BVY108" s="142"/>
      <c r="BVZ108" s="142"/>
      <c r="BWA108" s="142"/>
      <c r="BWB108" s="142"/>
      <c r="BWC108" s="142"/>
      <c r="BWD108" s="142"/>
      <c r="BWE108" s="142"/>
      <c r="BWF108" s="142"/>
      <c r="BWG108" s="142"/>
      <c r="BWH108" s="142"/>
      <c r="BWI108" s="142"/>
      <c r="BWJ108" s="142"/>
      <c r="BWK108" s="142"/>
      <c r="BWL108" s="142"/>
      <c r="BWM108" s="142"/>
      <c r="BWN108" s="142"/>
      <c r="BWO108" s="142"/>
      <c r="BWP108" s="142"/>
      <c r="BWQ108" s="142"/>
      <c r="BWR108" s="142"/>
      <c r="BWS108" s="142"/>
      <c r="BWT108" s="142"/>
      <c r="BWU108" s="142"/>
      <c r="BWV108" s="142"/>
      <c r="BWW108" s="142"/>
      <c r="BWX108" s="142"/>
      <c r="BWY108" s="142"/>
      <c r="BWZ108" s="142"/>
      <c r="BXA108" s="142"/>
      <c r="BXB108" s="142"/>
      <c r="BXC108" s="142"/>
      <c r="BXD108" s="142"/>
      <c r="BXE108" s="142"/>
      <c r="BXF108" s="142"/>
      <c r="BXG108" s="142"/>
      <c r="BXH108" s="142"/>
      <c r="BXI108" s="142"/>
      <c r="BXJ108" s="142"/>
      <c r="BXK108" s="142"/>
      <c r="BXL108" s="142"/>
      <c r="BXM108" s="142"/>
      <c r="BXN108" s="142"/>
      <c r="BXO108" s="142"/>
      <c r="BXP108" s="142"/>
      <c r="BXQ108" s="142"/>
      <c r="BXR108" s="142"/>
      <c r="BXS108" s="142"/>
      <c r="BXT108" s="142"/>
      <c r="BXU108" s="142"/>
      <c r="BXV108" s="142"/>
      <c r="BXW108" s="142"/>
      <c r="BXX108" s="142"/>
      <c r="BXY108" s="142"/>
      <c r="BXZ108" s="142"/>
      <c r="BYA108" s="142"/>
      <c r="BYB108" s="142"/>
      <c r="BYC108" s="142"/>
      <c r="BYD108" s="142"/>
      <c r="BYE108" s="142"/>
      <c r="BYF108" s="142"/>
      <c r="BYG108" s="142"/>
      <c r="BYH108" s="142"/>
      <c r="BYI108" s="142"/>
      <c r="BYJ108" s="142"/>
      <c r="BYK108" s="142"/>
      <c r="BYL108" s="142"/>
      <c r="BYM108" s="142"/>
      <c r="BYN108" s="142"/>
      <c r="BYO108" s="142"/>
      <c r="BYP108" s="142"/>
      <c r="BYQ108" s="142"/>
      <c r="BYR108" s="142"/>
      <c r="BYS108" s="142"/>
      <c r="BYT108" s="142"/>
      <c r="BYU108" s="142"/>
      <c r="BYV108" s="142"/>
      <c r="BYW108" s="142"/>
      <c r="BYX108" s="142"/>
      <c r="BYY108" s="142"/>
      <c r="BYZ108" s="142"/>
      <c r="BZA108" s="142"/>
      <c r="BZB108" s="142"/>
      <c r="BZC108" s="142"/>
      <c r="BZD108" s="142"/>
      <c r="BZE108" s="142"/>
      <c r="BZF108" s="142"/>
      <c r="BZG108" s="142"/>
      <c r="BZH108" s="142"/>
      <c r="BZI108" s="142"/>
      <c r="BZJ108" s="142"/>
      <c r="BZK108" s="142"/>
      <c r="BZL108" s="142"/>
      <c r="BZM108" s="142"/>
      <c r="BZN108" s="142"/>
      <c r="BZO108" s="142"/>
      <c r="BZP108" s="142"/>
      <c r="BZQ108" s="142"/>
      <c r="BZR108" s="142"/>
      <c r="BZS108" s="142"/>
      <c r="BZT108" s="142"/>
      <c r="BZU108" s="142"/>
      <c r="BZV108" s="142"/>
      <c r="BZW108" s="142"/>
      <c r="BZX108" s="142"/>
      <c r="BZY108" s="142"/>
      <c r="BZZ108" s="142"/>
      <c r="CAA108" s="142"/>
      <c r="CAB108" s="142"/>
      <c r="CAC108" s="142"/>
      <c r="CAD108" s="142"/>
      <c r="CAE108" s="142"/>
      <c r="CAF108" s="142"/>
      <c r="CAG108" s="142"/>
      <c r="CAH108" s="142"/>
      <c r="CAI108" s="142"/>
      <c r="CAJ108" s="142"/>
      <c r="CAK108" s="142"/>
      <c r="CAL108" s="142"/>
      <c r="CAM108" s="142"/>
      <c r="CAN108" s="142"/>
      <c r="CAO108" s="142"/>
      <c r="CAP108" s="142"/>
      <c r="CAQ108" s="142"/>
      <c r="CAR108" s="142"/>
      <c r="CAS108" s="142"/>
      <c r="CAT108" s="142"/>
      <c r="CAU108" s="142"/>
      <c r="CAV108" s="142"/>
      <c r="CAW108" s="142"/>
      <c r="CAX108" s="142"/>
      <c r="CAY108" s="142"/>
      <c r="CAZ108" s="142"/>
      <c r="CBA108" s="142"/>
      <c r="CBB108" s="142"/>
      <c r="CBC108" s="142"/>
      <c r="CBD108" s="142"/>
      <c r="CBE108" s="142"/>
      <c r="CBF108" s="142"/>
      <c r="CBG108" s="142"/>
      <c r="CBH108" s="142"/>
      <c r="CBI108" s="142"/>
      <c r="CBJ108" s="142"/>
      <c r="CBK108" s="142"/>
      <c r="CBL108" s="142"/>
      <c r="CBM108" s="142"/>
      <c r="CBN108" s="142"/>
      <c r="CBO108" s="142"/>
      <c r="CBP108" s="142"/>
      <c r="CBQ108" s="142"/>
      <c r="CBR108" s="142"/>
      <c r="CBS108" s="142"/>
      <c r="CBT108" s="142"/>
      <c r="CBU108" s="142"/>
      <c r="CBV108" s="142"/>
      <c r="CBW108" s="142"/>
      <c r="CBX108" s="142"/>
      <c r="CBY108" s="142"/>
      <c r="CBZ108" s="142"/>
      <c r="CCA108" s="142"/>
      <c r="CCB108" s="142"/>
      <c r="CCC108" s="142"/>
      <c r="CCD108" s="142"/>
      <c r="CCE108" s="142"/>
      <c r="CCF108" s="142"/>
      <c r="CCG108" s="142"/>
      <c r="CCH108" s="142"/>
      <c r="CCI108" s="142"/>
      <c r="CCJ108" s="142"/>
      <c r="CCK108" s="142"/>
      <c r="CCL108" s="142"/>
      <c r="CCM108" s="142"/>
      <c r="CCN108" s="142"/>
      <c r="CCO108" s="142"/>
      <c r="CCP108" s="142"/>
      <c r="CCQ108" s="142"/>
      <c r="CCR108" s="142"/>
      <c r="CCS108" s="142"/>
      <c r="CCT108" s="142"/>
      <c r="CCU108" s="142"/>
      <c r="CCV108" s="142"/>
      <c r="CCW108" s="142"/>
      <c r="CCX108" s="142"/>
      <c r="CCY108" s="142"/>
      <c r="CCZ108" s="142"/>
      <c r="CDA108" s="142"/>
      <c r="CDB108" s="142"/>
      <c r="CDC108" s="142"/>
      <c r="CDD108" s="142"/>
      <c r="CDE108" s="142"/>
      <c r="CDF108" s="142"/>
      <c r="CDG108" s="142"/>
      <c r="CDH108" s="142"/>
      <c r="CDI108" s="142"/>
      <c r="CDJ108" s="142"/>
      <c r="CDK108" s="142"/>
      <c r="CDL108" s="142"/>
      <c r="CDM108" s="142"/>
      <c r="CDN108" s="142"/>
      <c r="CDO108" s="142"/>
      <c r="CDP108" s="142"/>
      <c r="CDQ108" s="142"/>
      <c r="CDR108" s="142"/>
      <c r="CDS108" s="142"/>
      <c r="CDT108" s="142"/>
      <c r="CDU108" s="142"/>
      <c r="CDV108" s="142"/>
      <c r="CDW108" s="142"/>
      <c r="CDX108" s="142"/>
      <c r="CDY108" s="142"/>
      <c r="CDZ108" s="142"/>
      <c r="CEA108" s="142"/>
      <c r="CEB108" s="142"/>
      <c r="CEC108" s="142"/>
      <c r="CED108" s="142"/>
      <c r="CEE108" s="142"/>
      <c r="CEF108" s="142"/>
      <c r="CEG108" s="142"/>
      <c r="CEH108" s="142"/>
      <c r="CEI108" s="142"/>
      <c r="CEJ108" s="142"/>
      <c r="CEK108" s="142"/>
      <c r="CEL108" s="142"/>
      <c r="CEM108" s="142"/>
      <c r="CEN108" s="142"/>
      <c r="CEO108" s="142"/>
      <c r="CEP108" s="142"/>
      <c r="CEQ108" s="142"/>
      <c r="CER108" s="142"/>
      <c r="CES108" s="142"/>
      <c r="CET108" s="142"/>
      <c r="CEU108" s="142"/>
      <c r="CEV108" s="142"/>
      <c r="CEW108" s="142"/>
      <c r="CEX108" s="142"/>
      <c r="CEY108" s="142"/>
      <c r="CEZ108" s="142"/>
      <c r="CFA108" s="142"/>
      <c r="CFB108" s="142"/>
      <c r="CFC108" s="142"/>
      <c r="CFD108" s="142"/>
      <c r="CFE108" s="142"/>
      <c r="CFF108" s="142"/>
      <c r="CFG108" s="142"/>
      <c r="CFH108" s="142"/>
      <c r="CFI108" s="142"/>
      <c r="CFJ108" s="142"/>
      <c r="CFK108" s="142"/>
      <c r="CFL108" s="142"/>
      <c r="CFM108" s="142"/>
      <c r="CFN108" s="142"/>
      <c r="CFO108" s="142"/>
      <c r="CFP108" s="142"/>
      <c r="CFQ108" s="142"/>
      <c r="CFR108" s="142"/>
      <c r="CFS108" s="142"/>
      <c r="CFT108" s="142"/>
      <c r="CFU108" s="142"/>
      <c r="CFV108" s="142"/>
      <c r="CFW108" s="142"/>
      <c r="CFX108" s="142"/>
      <c r="CFY108" s="142"/>
      <c r="CFZ108" s="142"/>
      <c r="CGA108" s="142"/>
      <c r="CGB108" s="142"/>
      <c r="CGC108" s="142"/>
      <c r="CGD108" s="142"/>
      <c r="CGE108" s="142"/>
      <c r="CGF108" s="142"/>
      <c r="CGG108" s="142"/>
      <c r="CGH108" s="142"/>
      <c r="CGI108" s="142"/>
      <c r="CGJ108" s="142"/>
      <c r="CGK108" s="142"/>
      <c r="CGL108" s="142"/>
      <c r="CGM108" s="142"/>
      <c r="CGN108" s="142"/>
      <c r="CGO108" s="142"/>
      <c r="CGP108" s="142"/>
      <c r="CGQ108" s="142"/>
      <c r="CGR108" s="142"/>
      <c r="CGS108" s="142"/>
      <c r="CGT108" s="142"/>
      <c r="CGU108" s="142"/>
      <c r="CGV108" s="142"/>
      <c r="CGW108" s="142"/>
      <c r="CGX108" s="142"/>
      <c r="CGY108" s="142"/>
      <c r="CGZ108" s="142"/>
      <c r="CHA108" s="142"/>
      <c r="CHB108" s="142"/>
      <c r="CHC108" s="142"/>
      <c r="CHD108" s="142"/>
      <c r="CHE108" s="142"/>
      <c r="CHF108" s="142"/>
      <c r="CHG108" s="142"/>
      <c r="CHH108" s="142"/>
      <c r="CHI108" s="142"/>
      <c r="CHJ108" s="142"/>
      <c r="CHK108" s="142"/>
      <c r="CHL108" s="142"/>
      <c r="CHM108" s="142"/>
      <c r="CHN108" s="142"/>
      <c r="CHO108" s="142"/>
      <c r="CHP108" s="142"/>
      <c r="CHQ108" s="142"/>
      <c r="CHR108" s="142"/>
      <c r="CHS108" s="142"/>
      <c r="CHT108" s="142"/>
      <c r="CHU108" s="142"/>
      <c r="CHV108" s="142"/>
      <c r="CHW108" s="142"/>
      <c r="CHX108" s="142"/>
      <c r="CHY108" s="142"/>
      <c r="CHZ108" s="142"/>
      <c r="CIA108" s="142"/>
      <c r="CIB108" s="142"/>
      <c r="CIC108" s="142"/>
      <c r="CID108" s="142"/>
      <c r="CIE108" s="142"/>
      <c r="CIF108" s="142"/>
      <c r="CIG108" s="142"/>
      <c r="CIH108" s="142"/>
      <c r="CII108" s="142"/>
      <c r="CIJ108" s="142"/>
      <c r="CIK108" s="142"/>
      <c r="CIL108" s="142"/>
      <c r="CIM108" s="142"/>
      <c r="CIN108" s="142"/>
      <c r="CIO108" s="142"/>
      <c r="CIP108" s="142"/>
      <c r="CIQ108" s="142"/>
      <c r="CIR108" s="142"/>
      <c r="CIS108" s="142"/>
      <c r="CIT108" s="142"/>
      <c r="CIU108" s="142"/>
      <c r="CIV108" s="142"/>
      <c r="CIW108" s="142"/>
      <c r="CIX108" s="142"/>
      <c r="CIY108" s="142"/>
      <c r="CIZ108" s="142"/>
      <c r="CJA108" s="142"/>
      <c r="CJB108" s="142"/>
      <c r="CJC108" s="142"/>
      <c r="CJD108" s="142"/>
      <c r="CJE108" s="142"/>
      <c r="CJF108" s="142"/>
      <c r="CJG108" s="142"/>
      <c r="CJH108" s="142"/>
      <c r="CJI108" s="142"/>
      <c r="CJJ108" s="142"/>
      <c r="CJK108" s="142"/>
      <c r="CJL108" s="142"/>
      <c r="CJM108" s="142"/>
      <c r="CJN108" s="142"/>
      <c r="CJO108" s="142"/>
      <c r="CJP108" s="142"/>
      <c r="CJQ108" s="142"/>
      <c r="CJR108" s="142"/>
      <c r="CJS108" s="142"/>
      <c r="CJT108" s="142"/>
      <c r="CJU108" s="142"/>
      <c r="CJV108" s="142"/>
      <c r="CJW108" s="142"/>
      <c r="CJX108" s="142"/>
      <c r="CJY108" s="142"/>
      <c r="CJZ108" s="142"/>
      <c r="CKA108" s="142"/>
      <c r="CKB108" s="142"/>
      <c r="CKC108" s="142"/>
      <c r="CKD108" s="142"/>
      <c r="CKE108" s="142"/>
      <c r="CKF108" s="142"/>
      <c r="CKG108" s="142"/>
      <c r="CKH108" s="142"/>
      <c r="CKI108" s="142"/>
      <c r="CKJ108" s="142"/>
      <c r="CKK108" s="142"/>
      <c r="CKL108" s="142"/>
      <c r="CKM108" s="142"/>
      <c r="CKN108" s="142"/>
      <c r="CKO108" s="142"/>
      <c r="CKP108" s="142"/>
      <c r="CKQ108" s="142"/>
      <c r="CKR108" s="142"/>
      <c r="CKS108" s="142"/>
      <c r="CKT108" s="142"/>
      <c r="CKU108" s="142"/>
      <c r="CKV108" s="142"/>
      <c r="CKW108" s="142"/>
      <c r="CKX108" s="142"/>
      <c r="CKY108" s="142"/>
      <c r="CKZ108" s="142"/>
      <c r="CLA108" s="142"/>
      <c r="CLB108" s="142"/>
      <c r="CLC108" s="142"/>
      <c r="CLD108" s="142"/>
      <c r="CLE108" s="142"/>
      <c r="CLF108" s="142"/>
      <c r="CLG108" s="142"/>
      <c r="CLH108" s="142"/>
      <c r="CLI108" s="142"/>
      <c r="CLJ108" s="142"/>
      <c r="CLK108" s="142"/>
      <c r="CLL108" s="142"/>
      <c r="CLM108" s="142"/>
      <c r="CLN108" s="142"/>
      <c r="CLO108" s="142"/>
      <c r="CLP108" s="142"/>
      <c r="CLQ108" s="142"/>
      <c r="CLR108" s="142"/>
      <c r="CLS108" s="142"/>
      <c r="CLT108" s="142"/>
      <c r="CLU108" s="142"/>
      <c r="CLV108" s="142"/>
      <c r="CLW108" s="142"/>
      <c r="CLX108" s="142"/>
      <c r="CLY108" s="142"/>
      <c r="CLZ108" s="142"/>
      <c r="CMA108" s="142"/>
      <c r="CMB108" s="142"/>
      <c r="CMC108" s="142"/>
      <c r="CMD108" s="142"/>
      <c r="CME108" s="142"/>
      <c r="CMF108" s="142"/>
      <c r="CMG108" s="142"/>
      <c r="CMH108" s="142"/>
      <c r="CMI108" s="142"/>
      <c r="CMJ108" s="142"/>
      <c r="CMK108" s="142"/>
      <c r="CML108" s="142"/>
      <c r="CMM108" s="142"/>
      <c r="CMN108" s="142"/>
      <c r="CMO108" s="142"/>
      <c r="CMP108" s="142"/>
      <c r="CMQ108" s="142"/>
      <c r="CMR108" s="142"/>
      <c r="CMS108" s="142"/>
      <c r="CMT108" s="142"/>
      <c r="CMU108" s="142"/>
      <c r="CMV108" s="142"/>
      <c r="CMW108" s="142"/>
      <c r="CMX108" s="142"/>
      <c r="CMY108" s="142"/>
      <c r="CMZ108" s="142"/>
      <c r="CNA108" s="142"/>
      <c r="CNB108" s="142"/>
      <c r="CNC108" s="142"/>
      <c r="CND108" s="142"/>
      <c r="CNE108" s="142"/>
      <c r="CNF108" s="142"/>
      <c r="CNG108" s="142"/>
      <c r="CNH108" s="142"/>
      <c r="CNI108" s="142"/>
      <c r="CNJ108" s="142"/>
      <c r="CNK108" s="142"/>
      <c r="CNL108" s="142"/>
      <c r="CNM108" s="142"/>
      <c r="CNN108" s="142"/>
      <c r="CNO108" s="142"/>
      <c r="CNP108" s="142"/>
      <c r="CNQ108" s="142"/>
      <c r="CNR108" s="142"/>
      <c r="CNS108" s="142"/>
      <c r="CNT108" s="142"/>
      <c r="CNU108" s="142"/>
      <c r="CNV108" s="142"/>
      <c r="CNW108" s="142"/>
      <c r="CNX108" s="142"/>
      <c r="CNY108" s="142"/>
      <c r="CNZ108" s="142"/>
      <c r="COA108" s="142"/>
      <c r="COB108" s="142"/>
      <c r="COC108" s="142"/>
      <c r="COD108" s="142"/>
      <c r="COE108" s="142"/>
      <c r="COF108" s="142"/>
      <c r="COG108" s="142"/>
      <c r="COH108" s="142"/>
      <c r="COI108" s="142"/>
      <c r="COJ108" s="142"/>
      <c r="COK108" s="142"/>
      <c r="COL108" s="142"/>
      <c r="COM108" s="142"/>
      <c r="CON108" s="142"/>
      <c r="COO108" s="142"/>
      <c r="COP108" s="142"/>
      <c r="COQ108" s="142"/>
      <c r="COR108" s="142"/>
      <c r="COS108" s="142"/>
      <c r="COT108" s="142"/>
      <c r="COU108" s="142"/>
      <c r="COV108" s="142"/>
      <c r="COW108" s="142"/>
      <c r="COX108" s="142"/>
      <c r="COY108" s="142"/>
      <c r="COZ108" s="142"/>
      <c r="CPA108" s="142"/>
      <c r="CPB108" s="142"/>
      <c r="CPC108" s="142"/>
      <c r="CPD108" s="142"/>
      <c r="CPE108" s="142"/>
      <c r="CPF108" s="142"/>
      <c r="CPG108" s="142"/>
      <c r="CPH108" s="142"/>
      <c r="CPI108" s="142"/>
      <c r="CPJ108" s="142"/>
      <c r="CPK108" s="142"/>
      <c r="CPL108" s="142"/>
      <c r="CPM108" s="142"/>
      <c r="CPN108" s="142"/>
      <c r="CPO108" s="142"/>
      <c r="CPP108" s="142"/>
      <c r="CPQ108" s="142"/>
      <c r="CPR108" s="142"/>
      <c r="CPS108" s="142"/>
      <c r="CPT108" s="142"/>
      <c r="CPU108" s="142"/>
      <c r="CPV108" s="142"/>
      <c r="CPW108" s="142"/>
      <c r="CPX108" s="142"/>
      <c r="CPY108" s="142"/>
      <c r="CPZ108" s="142"/>
      <c r="CQA108" s="142"/>
      <c r="CQB108" s="142"/>
      <c r="CQC108" s="142"/>
      <c r="CQD108" s="142"/>
      <c r="CQE108" s="142"/>
      <c r="CQF108" s="142"/>
      <c r="CQG108" s="142"/>
      <c r="CQH108" s="142"/>
      <c r="CQI108" s="142"/>
      <c r="CQJ108" s="142"/>
      <c r="CQK108" s="142"/>
      <c r="CQL108" s="142"/>
      <c r="CQM108" s="142"/>
      <c r="CQN108" s="142"/>
      <c r="CQO108" s="142"/>
      <c r="CQP108" s="142"/>
      <c r="CQQ108" s="142"/>
      <c r="CQR108" s="142"/>
      <c r="CQS108" s="142"/>
      <c r="CQT108" s="142"/>
      <c r="CQU108" s="142"/>
      <c r="CQV108" s="142"/>
      <c r="CQW108" s="142"/>
      <c r="CQX108" s="142"/>
      <c r="CQY108" s="142"/>
      <c r="CQZ108" s="142"/>
      <c r="CRA108" s="142"/>
      <c r="CRB108" s="142"/>
      <c r="CRC108" s="142"/>
      <c r="CRD108" s="142"/>
      <c r="CRE108" s="142"/>
      <c r="CRF108" s="142"/>
      <c r="CRG108" s="142"/>
      <c r="CRH108" s="142"/>
      <c r="CRI108" s="142"/>
      <c r="CRJ108" s="142"/>
      <c r="CRK108" s="142"/>
      <c r="CRL108" s="142"/>
      <c r="CRM108" s="142"/>
      <c r="CRN108" s="142"/>
      <c r="CRO108" s="142"/>
      <c r="CRP108" s="142"/>
      <c r="CRQ108" s="142"/>
      <c r="CRR108" s="142"/>
      <c r="CRS108" s="142"/>
      <c r="CRT108" s="142"/>
      <c r="CRU108" s="142"/>
      <c r="CRV108" s="142"/>
      <c r="CRW108" s="142"/>
      <c r="CRX108" s="142"/>
      <c r="CRY108" s="142"/>
      <c r="CRZ108" s="142"/>
      <c r="CSA108" s="142"/>
      <c r="CSB108" s="142"/>
      <c r="CSC108" s="142"/>
      <c r="CSD108" s="142"/>
      <c r="CSE108" s="142"/>
      <c r="CSF108" s="142"/>
      <c r="CSG108" s="142"/>
      <c r="CSH108" s="142"/>
      <c r="CSI108" s="142"/>
      <c r="CSJ108" s="142"/>
      <c r="CSK108" s="142"/>
      <c r="CSL108" s="142"/>
      <c r="CSM108" s="142"/>
      <c r="CSN108" s="142"/>
      <c r="CSO108" s="142"/>
      <c r="CSP108" s="142"/>
      <c r="CSQ108" s="142"/>
      <c r="CSR108" s="142"/>
      <c r="CSS108" s="142"/>
      <c r="CST108" s="142"/>
      <c r="CSU108" s="142"/>
      <c r="CSV108" s="142"/>
      <c r="CSW108" s="142"/>
      <c r="CSX108" s="142"/>
      <c r="CSY108" s="142"/>
      <c r="CSZ108" s="142"/>
      <c r="CTA108" s="142"/>
      <c r="CTB108" s="142"/>
      <c r="CTC108" s="142"/>
      <c r="CTD108" s="142"/>
      <c r="CTE108" s="142"/>
      <c r="CTF108" s="142"/>
      <c r="CTG108" s="142"/>
      <c r="CTH108" s="142"/>
      <c r="CTI108" s="142"/>
      <c r="CTJ108" s="142"/>
      <c r="CTK108" s="142"/>
      <c r="CTL108" s="142"/>
      <c r="CTM108" s="142"/>
      <c r="CTN108" s="142"/>
      <c r="CTO108" s="142"/>
      <c r="CTP108" s="142"/>
      <c r="CTQ108" s="142"/>
      <c r="CTR108" s="142"/>
      <c r="CTS108" s="142"/>
      <c r="CTT108" s="142"/>
      <c r="CTU108" s="142"/>
      <c r="CTV108" s="142"/>
      <c r="CTW108" s="142"/>
      <c r="CTX108" s="142"/>
      <c r="CTY108" s="142"/>
      <c r="CTZ108" s="142"/>
      <c r="CUA108" s="142"/>
      <c r="CUB108" s="142"/>
      <c r="CUC108" s="142"/>
      <c r="CUD108" s="142"/>
      <c r="CUE108" s="142"/>
      <c r="CUF108" s="142"/>
      <c r="CUG108" s="142"/>
      <c r="CUH108" s="142"/>
      <c r="CUI108" s="142"/>
      <c r="CUJ108" s="142"/>
      <c r="CUK108" s="142"/>
      <c r="CUL108" s="142"/>
      <c r="CUM108" s="142"/>
      <c r="CUN108" s="142"/>
      <c r="CUO108" s="142"/>
      <c r="CUP108" s="142"/>
      <c r="CUQ108" s="142"/>
      <c r="CUR108" s="142"/>
      <c r="CUS108" s="142"/>
      <c r="CUT108" s="142"/>
      <c r="CUU108" s="142"/>
      <c r="CUV108" s="142"/>
      <c r="CUW108" s="142"/>
      <c r="CUX108" s="142"/>
      <c r="CUY108" s="142"/>
      <c r="CUZ108" s="142"/>
      <c r="CVA108" s="142"/>
      <c r="CVB108" s="142"/>
      <c r="CVC108" s="142"/>
      <c r="CVD108" s="142"/>
      <c r="CVE108" s="142"/>
      <c r="CVF108" s="142"/>
      <c r="CVG108" s="142"/>
      <c r="CVH108" s="142"/>
      <c r="CVI108" s="142"/>
      <c r="CVJ108" s="142"/>
      <c r="CVK108" s="142"/>
      <c r="CVL108" s="142"/>
      <c r="CVM108" s="142"/>
      <c r="CVN108" s="142"/>
      <c r="CVO108" s="142"/>
      <c r="CVP108" s="142"/>
      <c r="CVQ108" s="142"/>
      <c r="CVR108" s="142"/>
      <c r="CVS108" s="142"/>
      <c r="CVT108" s="142"/>
      <c r="CVU108" s="142"/>
      <c r="CVV108" s="142"/>
      <c r="CVW108" s="142"/>
      <c r="CVX108" s="142"/>
      <c r="CVY108" s="142"/>
      <c r="CVZ108" s="142"/>
      <c r="CWA108" s="142"/>
      <c r="CWB108" s="142"/>
      <c r="CWC108" s="142"/>
      <c r="CWD108" s="142"/>
      <c r="CWE108" s="142"/>
      <c r="CWF108" s="142"/>
      <c r="CWG108" s="142"/>
      <c r="CWH108" s="142"/>
      <c r="CWI108" s="142"/>
      <c r="CWJ108" s="142"/>
      <c r="CWK108" s="142"/>
      <c r="CWL108" s="142"/>
      <c r="CWM108" s="142"/>
      <c r="CWN108" s="142"/>
      <c r="CWO108" s="142"/>
      <c r="CWP108" s="142"/>
      <c r="CWQ108" s="142"/>
      <c r="CWR108" s="142"/>
      <c r="CWS108" s="142"/>
      <c r="CWT108" s="142"/>
      <c r="CWU108" s="142"/>
      <c r="CWV108" s="142"/>
      <c r="CWW108" s="142"/>
      <c r="CWX108" s="142"/>
      <c r="CWY108" s="142"/>
      <c r="CWZ108" s="142"/>
      <c r="CXA108" s="142"/>
      <c r="CXB108" s="142"/>
      <c r="CXC108" s="142"/>
      <c r="CXD108" s="142"/>
      <c r="CXE108" s="142"/>
      <c r="CXF108" s="142"/>
      <c r="CXG108" s="142"/>
      <c r="CXH108" s="142"/>
      <c r="CXI108" s="142"/>
      <c r="CXJ108" s="142"/>
      <c r="CXK108" s="142"/>
      <c r="CXL108" s="142"/>
      <c r="CXM108" s="142"/>
      <c r="CXN108" s="142"/>
      <c r="CXO108" s="142"/>
      <c r="CXP108" s="142"/>
      <c r="CXQ108" s="142"/>
      <c r="CXR108" s="142"/>
      <c r="CXS108" s="142"/>
      <c r="CXT108" s="142"/>
      <c r="CXU108" s="142"/>
      <c r="CXV108" s="142"/>
      <c r="CXW108" s="142"/>
      <c r="CXX108" s="142"/>
      <c r="CXY108" s="142"/>
      <c r="CXZ108" s="142"/>
      <c r="CYA108" s="142"/>
      <c r="CYB108" s="142"/>
      <c r="CYC108" s="142"/>
      <c r="CYD108" s="142"/>
      <c r="CYE108" s="142"/>
      <c r="CYF108" s="142"/>
      <c r="CYG108" s="142"/>
      <c r="CYH108" s="142"/>
      <c r="CYI108" s="142"/>
      <c r="CYJ108" s="142"/>
      <c r="CYK108" s="142"/>
      <c r="CYL108" s="142"/>
      <c r="CYM108" s="142"/>
      <c r="CYN108" s="142"/>
      <c r="CYO108" s="142"/>
      <c r="CYP108" s="142"/>
      <c r="CYQ108" s="142"/>
      <c r="CYR108" s="142"/>
      <c r="CYS108" s="142"/>
      <c r="CYT108" s="142"/>
      <c r="CYU108" s="142"/>
      <c r="CYV108" s="142"/>
      <c r="CYW108" s="142"/>
      <c r="CYX108" s="142"/>
      <c r="CYY108" s="142"/>
      <c r="CYZ108" s="142"/>
      <c r="CZA108" s="142"/>
      <c r="CZB108" s="142"/>
      <c r="CZC108" s="142"/>
      <c r="CZD108" s="142"/>
      <c r="CZE108" s="142"/>
      <c r="CZF108" s="142"/>
      <c r="CZG108" s="142"/>
      <c r="CZH108" s="142"/>
      <c r="CZI108" s="142"/>
      <c r="CZJ108" s="142"/>
      <c r="CZK108" s="142"/>
      <c r="CZL108" s="142"/>
      <c r="CZM108" s="142"/>
      <c r="CZN108" s="142"/>
      <c r="CZO108" s="142"/>
      <c r="CZP108" s="142"/>
      <c r="CZQ108" s="142"/>
      <c r="CZR108" s="142"/>
      <c r="CZS108" s="142"/>
      <c r="CZT108" s="142"/>
      <c r="CZU108" s="142"/>
      <c r="CZV108" s="142"/>
      <c r="CZW108" s="142"/>
      <c r="CZX108" s="142"/>
      <c r="CZY108" s="142"/>
      <c r="CZZ108" s="142"/>
      <c r="DAA108" s="142"/>
      <c r="DAB108" s="142"/>
      <c r="DAC108" s="142"/>
      <c r="DAD108" s="142"/>
      <c r="DAE108" s="142"/>
      <c r="DAF108" s="142"/>
      <c r="DAG108" s="142"/>
      <c r="DAH108" s="142"/>
      <c r="DAI108" s="142"/>
      <c r="DAJ108" s="142"/>
      <c r="DAK108" s="142"/>
      <c r="DAL108" s="142"/>
      <c r="DAM108" s="142"/>
      <c r="DAN108" s="142"/>
      <c r="DAO108" s="142"/>
      <c r="DAP108" s="142"/>
      <c r="DAQ108" s="142"/>
      <c r="DAR108" s="142"/>
      <c r="DAS108" s="142"/>
      <c r="DAT108" s="142"/>
      <c r="DAU108" s="142"/>
      <c r="DAV108" s="142"/>
      <c r="DAW108" s="142"/>
      <c r="DAX108" s="142"/>
      <c r="DAY108" s="142"/>
      <c r="DAZ108" s="142"/>
      <c r="DBA108" s="142"/>
      <c r="DBB108" s="142"/>
      <c r="DBC108" s="142"/>
      <c r="DBD108" s="142"/>
      <c r="DBE108" s="142"/>
      <c r="DBF108" s="142"/>
      <c r="DBG108" s="142"/>
      <c r="DBH108" s="142"/>
      <c r="DBI108" s="142"/>
      <c r="DBJ108" s="142"/>
      <c r="DBK108" s="142"/>
      <c r="DBL108" s="142"/>
      <c r="DBM108" s="142"/>
      <c r="DBN108" s="142"/>
      <c r="DBO108" s="142"/>
      <c r="DBP108" s="142"/>
      <c r="DBQ108" s="142"/>
      <c r="DBR108" s="142"/>
      <c r="DBS108" s="142"/>
      <c r="DBT108" s="142"/>
      <c r="DBU108" s="142"/>
      <c r="DBV108" s="142"/>
      <c r="DBW108" s="142"/>
      <c r="DBX108" s="142"/>
      <c r="DBY108" s="142"/>
      <c r="DBZ108" s="142"/>
      <c r="DCA108" s="142"/>
      <c r="DCB108" s="142"/>
      <c r="DCC108" s="142"/>
      <c r="DCD108" s="142"/>
      <c r="DCE108" s="142"/>
      <c r="DCF108" s="142"/>
      <c r="DCG108" s="142"/>
      <c r="DCH108" s="142"/>
      <c r="DCI108" s="142"/>
      <c r="DCJ108" s="142"/>
      <c r="DCK108" s="142"/>
      <c r="DCL108" s="142"/>
      <c r="DCM108" s="142"/>
      <c r="DCN108" s="142"/>
      <c r="DCO108" s="142"/>
      <c r="DCP108" s="142"/>
      <c r="DCQ108" s="142"/>
      <c r="DCR108" s="142"/>
      <c r="DCS108" s="142"/>
      <c r="DCT108" s="142"/>
      <c r="DCU108" s="142"/>
      <c r="DCV108" s="142"/>
      <c r="DCW108" s="142"/>
      <c r="DCX108" s="142"/>
      <c r="DCY108" s="142"/>
      <c r="DCZ108" s="142"/>
      <c r="DDA108" s="142"/>
      <c r="DDB108" s="142"/>
      <c r="DDC108" s="142"/>
      <c r="DDD108" s="142"/>
      <c r="DDE108" s="142"/>
      <c r="DDF108" s="142"/>
      <c r="DDG108" s="142"/>
      <c r="DDH108" s="142"/>
      <c r="DDI108" s="142"/>
      <c r="DDJ108" s="142"/>
      <c r="DDK108" s="142"/>
      <c r="DDL108" s="142"/>
      <c r="DDM108" s="142"/>
      <c r="DDN108" s="142"/>
      <c r="DDO108" s="142"/>
      <c r="DDP108" s="142"/>
      <c r="DDQ108" s="142"/>
      <c r="DDR108" s="142"/>
      <c r="DDS108" s="142"/>
      <c r="DDT108" s="142"/>
      <c r="DDU108" s="142"/>
      <c r="DDV108" s="142"/>
      <c r="DDW108" s="142"/>
      <c r="DDX108" s="142"/>
      <c r="DDY108" s="142"/>
      <c r="DDZ108" s="142"/>
      <c r="DEA108" s="142"/>
      <c r="DEB108" s="142"/>
      <c r="DEC108" s="142"/>
      <c r="DED108" s="142"/>
      <c r="DEE108" s="142"/>
      <c r="DEF108" s="142"/>
      <c r="DEG108" s="142"/>
      <c r="DEH108" s="142"/>
      <c r="DEI108" s="142"/>
      <c r="DEJ108" s="142"/>
      <c r="DEK108" s="142"/>
      <c r="DEL108" s="142"/>
      <c r="DEM108" s="142"/>
      <c r="DEN108" s="142"/>
      <c r="DEO108" s="142"/>
      <c r="DEP108" s="142"/>
      <c r="DEQ108" s="142"/>
      <c r="DER108" s="142"/>
      <c r="DES108" s="142"/>
      <c r="DET108" s="142"/>
      <c r="DEU108" s="142"/>
      <c r="DEV108" s="142"/>
      <c r="DEW108" s="142"/>
      <c r="DEX108" s="142"/>
      <c r="DEY108" s="142"/>
      <c r="DEZ108" s="142"/>
      <c r="DFA108" s="142"/>
      <c r="DFB108" s="142"/>
      <c r="DFC108" s="142"/>
      <c r="DFD108" s="142"/>
      <c r="DFE108" s="142"/>
      <c r="DFF108" s="142"/>
      <c r="DFG108" s="142"/>
      <c r="DFH108" s="142"/>
      <c r="DFI108" s="142"/>
      <c r="DFJ108" s="142"/>
      <c r="DFK108" s="142"/>
      <c r="DFL108" s="142"/>
      <c r="DFM108" s="142"/>
      <c r="DFN108" s="142"/>
      <c r="DFO108" s="142"/>
      <c r="DFP108" s="142"/>
      <c r="DFQ108" s="142"/>
      <c r="DFR108" s="142"/>
      <c r="DFS108" s="142"/>
      <c r="DFT108" s="142"/>
      <c r="DFU108" s="142"/>
      <c r="DFV108" s="142"/>
      <c r="DFW108" s="142"/>
      <c r="DFX108" s="142"/>
      <c r="DFY108" s="142"/>
      <c r="DFZ108" s="142"/>
      <c r="DGA108" s="142"/>
      <c r="DGB108" s="142"/>
      <c r="DGC108" s="142"/>
      <c r="DGD108" s="142"/>
      <c r="DGE108" s="142"/>
      <c r="DGF108" s="142"/>
      <c r="DGG108" s="142"/>
      <c r="DGH108" s="142"/>
      <c r="DGI108" s="142"/>
      <c r="DGJ108" s="142"/>
      <c r="DGK108" s="142"/>
      <c r="DGL108" s="142"/>
      <c r="DGM108" s="142"/>
      <c r="DGN108" s="142"/>
      <c r="DGO108" s="142"/>
      <c r="DGP108" s="142"/>
      <c r="DGQ108" s="142"/>
      <c r="DGR108" s="142"/>
      <c r="DGS108" s="142"/>
      <c r="DGT108" s="142"/>
      <c r="DGU108" s="142"/>
      <c r="DGV108" s="142"/>
      <c r="DGW108" s="142"/>
      <c r="DGX108" s="142"/>
      <c r="DGY108" s="142"/>
      <c r="DGZ108" s="142"/>
      <c r="DHA108" s="142"/>
      <c r="DHB108" s="142"/>
      <c r="DHC108" s="142"/>
      <c r="DHD108" s="142"/>
      <c r="DHE108" s="142"/>
      <c r="DHF108" s="142"/>
      <c r="DHG108" s="142"/>
      <c r="DHH108" s="142"/>
      <c r="DHI108" s="142"/>
      <c r="DHJ108" s="142"/>
      <c r="DHK108" s="142"/>
      <c r="DHL108" s="142"/>
      <c r="DHM108" s="142"/>
      <c r="DHN108" s="142"/>
      <c r="DHO108" s="142"/>
      <c r="DHP108" s="142"/>
      <c r="DHQ108" s="142"/>
      <c r="DHR108" s="142"/>
      <c r="DHS108" s="142"/>
      <c r="DHT108" s="142"/>
      <c r="DHU108" s="142"/>
      <c r="DHV108" s="142"/>
      <c r="DHW108" s="142"/>
      <c r="DHX108" s="142"/>
      <c r="DHY108" s="142"/>
      <c r="DHZ108" s="142"/>
      <c r="DIA108" s="142"/>
      <c r="DIB108" s="142"/>
      <c r="DIC108" s="142"/>
      <c r="DID108" s="142"/>
      <c r="DIE108" s="142"/>
      <c r="DIF108" s="142"/>
      <c r="DIG108" s="142"/>
      <c r="DIH108" s="142"/>
      <c r="DII108" s="142"/>
      <c r="DIJ108" s="142"/>
      <c r="DIK108" s="142"/>
      <c r="DIL108" s="142"/>
      <c r="DIM108" s="142"/>
      <c r="DIN108" s="142"/>
      <c r="DIO108" s="142"/>
      <c r="DIP108" s="142"/>
      <c r="DIQ108" s="142"/>
      <c r="DIR108" s="142"/>
      <c r="DIS108" s="142"/>
      <c r="DIT108" s="142"/>
      <c r="DIU108" s="142"/>
      <c r="DIV108" s="142"/>
      <c r="DIW108" s="142"/>
      <c r="DIX108" s="142"/>
      <c r="DIY108" s="142"/>
      <c r="DIZ108" s="142"/>
      <c r="DJA108" s="142"/>
      <c r="DJB108" s="142"/>
      <c r="DJC108" s="142"/>
      <c r="DJD108" s="142"/>
      <c r="DJE108" s="142"/>
      <c r="DJF108" s="142"/>
      <c r="DJG108" s="142"/>
      <c r="DJH108" s="142"/>
      <c r="DJI108" s="142"/>
      <c r="DJJ108" s="142"/>
      <c r="DJK108" s="142"/>
      <c r="DJL108" s="142"/>
      <c r="DJM108" s="142"/>
      <c r="DJN108" s="142"/>
      <c r="DJO108" s="142"/>
      <c r="DJP108" s="142"/>
      <c r="DJQ108" s="142"/>
      <c r="DJR108" s="142"/>
      <c r="DJS108" s="142"/>
      <c r="DJT108" s="142"/>
      <c r="DJU108" s="142"/>
      <c r="DJV108" s="142"/>
      <c r="DJW108" s="142"/>
      <c r="DJX108" s="142"/>
      <c r="DJY108" s="142"/>
      <c r="DJZ108" s="142"/>
      <c r="DKA108" s="142"/>
      <c r="DKB108" s="142"/>
      <c r="DKC108" s="142"/>
      <c r="DKD108" s="142"/>
      <c r="DKE108" s="142"/>
      <c r="DKF108" s="142"/>
      <c r="DKG108" s="142"/>
      <c r="DKH108" s="142"/>
      <c r="DKI108" s="142"/>
      <c r="DKJ108" s="142"/>
      <c r="DKK108" s="142"/>
      <c r="DKL108" s="142"/>
      <c r="DKM108" s="142"/>
      <c r="DKN108" s="142"/>
      <c r="DKO108" s="142"/>
      <c r="DKP108" s="142"/>
      <c r="DKQ108" s="142"/>
      <c r="DKR108" s="142"/>
      <c r="DKS108" s="142"/>
      <c r="DKT108" s="142"/>
      <c r="DKU108" s="142"/>
      <c r="DKV108" s="142"/>
      <c r="DKW108" s="142"/>
      <c r="DKX108" s="142"/>
      <c r="DKY108" s="142"/>
      <c r="DKZ108" s="142"/>
      <c r="DLA108" s="142"/>
      <c r="DLB108" s="142"/>
      <c r="DLC108" s="142"/>
      <c r="DLD108" s="142"/>
      <c r="DLE108" s="142"/>
      <c r="DLF108" s="142"/>
      <c r="DLG108" s="142"/>
      <c r="DLH108" s="142"/>
      <c r="DLI108" s="142"/>
      <c r="DLJ108" s="142"/>
      <c r="DLK108" s="142"/>
      <c r="DLL108" s="142"/>
      <c r="DLM108" s="142"/>
      <c r="DLN108" s="142"/>
      <c r="DLO108" s="142"/>
      <c r="DLP108" s="142"/>
      <c r="DLQ108" s="142"/>
      <c r="DLR108" s="142"/>
      <c r="DLS108" s="142"/>
      <c r="DLT108" s="142"/>
      <c r="DLU108" s="142"/>
      <c r="DLV108" s="142"/>
      <c r="DLW108" s="142"/>
      <c r="DLX108" s="142"/>
      <c r="DLY108" s="142"/>
      <c r="DLZ108" s="142"/>
      <c r="DMA108" s="142"/>
      <c r="DMB108" s="142"/>
      <c r="DMC108" s="142"/>
      <c r="DMD108" s="142"/>
      <c r="DME108" s="142"/>
      <c r="DMF108" s="142"/>
      <c r="DMG108" s="142"/>
      <c r="DMH108" s="142"/>
      <c r="DMI108" s="142"/>
      <c r="DMJ108" s="142"/>
      <c r="DMK108" s="142"/>
      <c r="DML108" s="142"/>
      <c r="DMM108" s="142"/>
      <c r="DMN108" s="142"/>
      <c r="DMO108" s="142"/>
      <c r="DMP108" s="142"/>
      <c r="DMQ108" s="142"/>
      <c r="DMR108" s="142"/>
      <c r="DMS108" s="142"/>
      <c r="DMT108" s="142"/>
      <c r="DMU108" s="142"/>
      <c r="DMV108" s="142"/>
      <c r="DMW108" s="142"/>
      <c r="DMX108" s="142"/>
      <c r="DMY108" s="142"/>
      <c r="DMZ108" s="142"/>
      <c r="DNA108" s="142"/>
      <c r="DNB108" s="142"/>
      <c r="DNC108" s="142"/>
      <c r="DND108" s="142"/>
      <c r="DNE108" s="142"/>
      <c r="DNF108" s="142"/>
      <c r="DNG108" s="142"/>
      <c r="DNH108" s="142"/>
      <c r="DNI108" s="142"/>
      <c r="DNJ108" s="142"/>
      <c r="DNK108" s="142"/>
      <c r="DNL108" s="142"/>
      <c r="DNM108" s="142"/>
      <c r="DNN108" s="142"/>
      <c r="DNO108" s="142"/>
      <c r="DNP108" s="142"/>
      <c r="DNQ108" s="142"/>
      <c r="DNR108" s="142"/>
      <c r="DNS108" s="142"/>
      <c r="DNT108" s="142"/>
      <c r="DNU108" s="142"/>
      <c r="DNV108" s="142"/>
      <c r="DNW108" s="142"/>
      <c r="DNX108" s="142"/>
      <c r="DNY108" s="142"/>
      <c r="DNZ108" s="142"/>
      <c r="DOA108" s="142"/>
      <c r="DOB108" s="142"/>
      <c r="DOC108" s="142"/>
      <c r="DOD108" s="142"/>
      <c r="DOE108" s="142"/>
      <c r="DOF108" s="142"/>
      <c r="DOG108" s="142"/>
      <c r="DOH108" s="142"/>
      <c r="DOI108" s="142"/>
      <c r="DOJ108" s="142"/>
      <c r="DOK108" s="142"/>
      <c r="DOL108" s="142"/>
      <c r="DOM108" s="142"/>
      <c r="DON108" s="142"/>
      <c r="DOO108" s="142"/>
      <c r="DOP108" s="142"/>
      <c r="DOQ108" s="142"/>
      <c r="DOR108" s="142"/>
      <c r="DOS108" s="142"/>
      <c r="DOT108" s="142"/>
      <c r="DOU108" s="142"/>
      <c r="DOV108" s="142"/>
      <c r="DOW108" s="142"/>
      <c r="DOX108" s="142"/>
      <c r="DOY108" s="142"/>
      <c r="DOZ108" s="142"/>
      <c r="DPA108" s="142"/>
      <c r="DPB108" s="142"/>
      <c r="DPC108" s="142"/>
      <c r="DPD108" s="142"/>
      <c r="DPE108" s="142"/>
      <c r="DPF108" s="142"/>
      <c r="DPG108" s="142"/>
      <c r="DPH108" s="142"/>
      <c r="DPI108" s="142"/>
      <c r="DPJ108" s="142"/>
      <c r="DPK108" s="142"/>
      <c r="DPL108" s="142"/>
      <c r="DPM108" s="142"/>
      <c r="DPN108" s="142"/>
      <c r="DPO108" s="142"/>
      <c r="DPP108" s="142"/>
      <c r="DPQ108" s="142"/>
      <c r="DPR108" s="142"/>
      <c r="DPS108" s="142"/>
      <c r="DPT108" s="142"/>
      <c r="DPU108" s="142"/>
      <c r="DPV108" s="142"/>
      <c r="DPW108" s="142"/>
      <c r="DPX108" s="142"/>
      <c r="DPY108" s="142"/>
      <c r="DPZ108" s="142"/>
      <c r="DQA108" s="142"/>
      <c r="DQB108" s="142"/>
      <c r="DQC108" s="142"/>
      <c r="DQD108" s="142"/>
      <c r="DQE108" s="142"/>
      <c r="DQF108" s="142"/>
      <c r="DQG108" s="142"/>
      <c r="DQH108" s="142"/>
      <c r="DQI108" s="142"/>
      <c r="DQJ108" s="142"/>
      <c r="DQK108" s="142"/>
      <c r="DQL108" s="142"/>
      <c r="DQM108" s="142"/>
      <c r="DQN108" s="142"/>
      <c r="DQO108" s="142"/>
      <c r="DQP108" s="142"/>
      <c r="DQQ108" s="142"/>
      <c r="DQR108" s="142"/>
      <c r="DQS108" s="142"/>
      <c r="DQT108" s="142"/>
      <c r="DQU108" s="142"/>
      <c r="DQV108" s="142"/>
      <c r="DQW108" s="142"/>
      <c r="DQX108" s="142"/>
      <c r="DQY108" s="142"/>
      <c r="DQZ108" s="142"/>
      <c r="DRA108" s="142"/>
      <c r="DRB108" s="142"/>
      <c r="DRC108" s="142"/>
      <c r="DRD108" s="142"/>
      <c r="DRE108" s="142"/>
      <c r="DRF108" s="142"/>
      <c r="DRG108" s="142"/>
      <c r="DRH108" s="142"/>
      <c r="DRI108" s="142"/>
      <c r="DRJ108" s="142"/>
      <c r="DRK108" s="142"/>
      <c r="DRL108" s="142"/>
      <c r="DRM108" s="142"/>
      <c r="DRN108" s="142"/>
      <c r="DRO108" s="142"/>
      <c r="DRP108" s="142"/>
      <c r="DRQ108" s="142"/>
      <c r="DRR108" s="142"/>
      <c r="DRS108" s="142"/>
      <c r="DRT108" s="142"/>
      <c r="DRU108" s="142"/>
      <c r="DRV108" s="142"/>
      <c r="DRW108" s="142"/>
      <c r="DRX108" s="142"/>
      <c r="DRY108" s="142"/>
      <c r="DRZ108" s="142"/>
      <c r="DSA108" s="142"/>
      <c r="DSB108" s="142"/>
      <c r="DSC108" s="142"/>
      <c r="DSD108" s="142"/>
      <c r="DSE108" s="142"/>
      <c r="DSF108" s="142"/>
      <c r="DSG108" s="142"/>
      <c r="DSH108" s="142"/>
      <c r="DSI108" s="142"/>
      <c r="DSJ108" s="142"/>
      <c r="DSK108" s="142"/>
      <c r="DSL108" s="142"/>
      <c r="DSM108" s="142"/>
      <c r="DSN108" s="142"/>
      <c r="DSO108" s="142"/>
      <c r="DSP108" s="142"/>
      <c r="DSQ108" s="142"/>
      <c r="DSR108" s="142"/>
      <c r="DSS108" s="142"/>
      <c r="DST108" s="142"/>
      <c r="DSU108" s="142"/>
      <c r="DSV108" s="142"/>
      <c r="DSW108" s="142"/>
      <c r="DSX108" s="142"/>
      <c r="DSY108" s="142"/>
      <c r="DSZ108" s="142"/>
      <c r="DTA108" s="142"/>
      <c r="DTB108" s="142"/>
      <c r="DTC108" s="142"/>
      <c r="DTD108" s="142"/>
      <c r="DTE108" s="142"/>
      <c r="DTF108" s="142"/>
      <c r="DTG108" s="142"/>
      <c r="DTH108" s="142"/>
      <c r="DTI108" s="142"/>
      <c r="DTJ108" s="142"/>
      <c r="DTK108" s="142"/>
      <c r="DTL108" s="142"/>
      <c r="DTM108" s="142"/>
      <c r="DTN108" s="142"/>
      <c r="DTO108" s="142"/>
      <c r="DTP108" s="142"/>
      <c r="DTQ108" s="142"/>
      <c r="DTR108" s="142"/>
      <c r="DTS108" s="142"/>
      <c r="DTT108" s="142"/>
      <c r="DTU108" s="142"/>
      <c r="DTV108" s="142"/>
      <c r="DTW108" s="142"/>
      <c r="DTX108" s="142"/>
      <c r="DTY108" s="142"/>
      <c r="DTZ108" s="142"/>
      <c r="DUA108" s="142"/>
      <c r="DUB108" s="142"/>
      <c r="DUC108" s="142"/>
      <c r="DUD108" s="142"/>
      <c r="DUE108" s="142"/>
      <c r="DUF108" s="142"/>
      <c r="DUG108" s="142"/>
      <c r="DUH108" s="142"/>
      <c r="DUI108" s="142"/>
      <c r="DUJ108" s="142"/>
      <c r="DUK108" s="142"/>
      <c r="DUL108" s="142"/>
      <c r="DUM108" s="142"/>
      <c r="DUN108" s="142"/>
      <c r="DUO108" s="142"/>
      <c r="DUP108" s="142"/>
      <c r="DUQ108" s="142"/>
      <c r="DUR108" s="142"/>
      <c r="DUS108" s="142"/>
      <c r="DUT108" s="142"/>
      <c r="DUU108" s="142"/>
      <c r="DUV108" s="142"/>
      <c r="DUW108" s="142"/>
      <c r="DUX108" s="142"/>
      <c r="DUY108" s="142"/>
      <c r="DUZ108" s="142"/>
      <c r="DVA108" s="142"/>
      <c r="DVB108" s="142"/>
      <c r="DVC108" s="142"/>
      <c r="DVD108" s="142"/>
      <c r="DVE108" s="142"/>
      <c r="DVF108" s="142"/>
      <c r="DVG108" s="142"/>
      <c r="DVH108" s="142"/>
      <c r="DVI108" s="142"/>
      <c r="DVJ108" s="142"/>
      <c r="DVK108" s="142"/>
      <c r="DVL108" s="142"/>
      <c r="DVM108" s="142"/>
      <c r="DVN108" s="142"/>
      <c r="DVO108" s="142"/>
      <c r="DVP108" s="142"/>
      <c r="DVQ108" s="142"/>
      <c r="DVR108" s="142"/>
      <c r="DVS108" s="142"/>
      <c r="DVT108" s="142"/>
      <c r="DVU108" s="142"/>
      <c r="DVV108" s="142"/>
      <c r="DVW108" s="142"/>
      <c r="DVX108" s="142"/>
      <c r="DVY108" s="142"/>
      <c r="DVZ108" s="142"/>
      <c r="DWA108" s="142"/>
      <c r="DWB108" s="142"/>
      <c r="DWC108" s="142"/>
      <c r="DWD108" s="142"/>
      <c r="DWE108" s="142"/>
      <c r="DWF108" s="142"/>
      <c r="DWG108" s="142"/>
      <c r="DWH108" s="142"/>
      <c r="DWI108" s="142"/>
      <c r="DWJ108" s="142"/>
      <c r="DWK108" s="142"/>
      <c r="DWL108" s="142"/>
      <c r="DWM108" s="142"/>
      <c r="DWN108" s="142"/>
      <c r="DWO108" s="142"/>
      <c r="DWP108" s="142"/>
      <c r="DWQ108" s="142"/>
      <c r="DWR108" s="142"/>
      <c r="DWS108" s="142"/>
      <c r="DWT108" s="142"/>
      <c r="DWU108" s="142"/>
      <c r="DWV108" s="142"/>
      <c r="DWW108" s="142"/>
      <c r="DWX108" s="142"/>
      <c r="DWY108" s="142"/>
      <c r="DWZ108" s="142"/>
      <c r="DXA108" s="142"/>
      <c r="DXB108" s="142"/>
      <c r="DXC108" s="142"/>
      <c r="DXD108" s="142"/>
      <c r="DXE108" s="142"/>
      <c r="DXF108" s="142"/>
      <c r="DXG108" s="142"/>
      <c r="DXH108" s="142"/>
      <c r="DXI108" s="142"/>
      <c r="DXJ108" s="142"/>
      <c r="DXK108" s="142"/>
      <c r="DXL108" s="142"/>
      <c r="DXM108" s="142"/>
      <c r="DXN108" s="142"/>
      <c r="DXO108" s="142"/>
      <c r="DXP108" s="142"/>
      <c r="DXQ108" s="142"/>
      <c r="DXR108" s="142"/>
      <c r="DXS108" s="142"/>
      <c r="DXT108" s="142"/>
      <c r="DXU108" s="142"/>
      <c r="DXV108" s="142"/>
      <c r="DXW108" s="142"/>
      <c r="DXX108" s="142"/>
      <c r="DXY108" s="142"/>
      <c r="DXZ108" s="142"/>
      <c r="DYA108" s="142"/>
      <c r="DYB108" s="142"/>
      <c r="DYC108" s="142"/>
      <c r="DYD108" s="142"/>
      <c r="DYE108" s="142"/>
      <c r="DYF108" s="142"/>
      <c r="DYG108" s="142"/>
      <c r="DYH108" s="142"/>
      <c r="DYI108" s="142"/>
      <c r="DYJ108" s="142"/>
      <c r="DYK108" s="142"/>
      <c r="DYL108" s="142"/>
      <c r="DYM108" s="142"/>
      <c r="DYN108" s="142"/>
      <c r="DYO108" s="142"/>
      <c r="DYP108" s="142"/>
      <c r="DYQ108" s="142"/>
      <c r="DYR108" s="142"/>
      <c r="DYS108" s="142"/>
      <c r="DYT108" s="142"/>
      <c r="DYU108" s="142"/>
      <c r="DYV108" s="142"/>
      <c r="DYW108" s="142"/>
      <c r="DYX108" s="142"/>
      <c r="DYY108" s="142"/>
      <c r="DYZ108" s="142"/>
      <c r="DZA108" s="142"/>
      <c r="DZB108" s="142"/>
      <c r="DZC108" s="142"/>
      <c r="DZD108" s="142"/>
      <c r="DZE108" s="142"/>
      <c r="DZF108" s="142"/>
      <c r="DZG108" s="142"/>
      <c r="DZH108" s="142"/>
      <c r="DZI108" s="142"/>
      <c r="DZJ108" s="142"/>
      <c r="DZK108" s="142"/>
      <c r="DZL108" s="142"/>
      <c r="DZM108" s="142"/>
      <c r="DZN108" s="142"/>
      <c r="DZO108" s="142"/>
      <c r="DZP108" s="142"/>
      <c r="DZQ108" s="142"/>
      <c r="DZR108" s="142"/>
      <c r="DZS108" s="142"/>
      <c r="DZT108" s="142"/>
      <c r="DZU108" s="142"/>
      <c r="DZV108" s="142"/>
      <c r="DZW108" s="142"/>
      <c r="DZX108" s="142"/>
      <c r="DZY108" s="142"/>
      <c r="DZZ108" s="142"/>
      <c r="EAA108" s="142"/>
      <c r="EAB108" s="142"/>
      <c r="EAC108" s="142"/>
      <c r="EAD108" s="142"/>
      <c r="EAE108" s="142"/>
      <c r="EAF108" s="142"/>
      <c r="EAG108" s="142"/>
      <c r="EAH108" s="142"/>
      <c r="EAI108" s="142"/>
      <c r="EAJ108" s="142"/>
      <c r="EAK108" s="142"/>
      <c r="EAL108" s="142"/>
      <c r="EAM108" s="142"/>
      <c r="EAN108" s="142"/>
      <c r="EAO108" s="142"/>
      <c r="EAP108" s="142"/>
      <c r="EAQ108" s="142"/>
      <c r="EAR108" s="142"/>
      <c r="EAS108" s="142"/>
      <c r="EAT108" s="142"/>
      <c r="EAU108" s="142"/>
      <c r="EAV108" s="142"/>
      <c r="EAW108" s="142"/>
      <c r="EAX108" s="142"/>
      <c r="EAY108" s="142"/>
      <c r="EAZ108" s="142"/>
      <c r="EBA108" s="142"/>
      <c r="EBB108" s="142"/>
      <c r="EBC108" s="142"/>
      <c r="EBD108" s="142"/>
      <c r="EBE108" s="142"/>
      <c r="EBF108" s="142"/>
      <c r="EBG108" s="142"/>
      <c r="EBH108" s="142"/>
      <c r="EBI108" s="142"/>
      <c r="EBJ108" s="142"/>
      <c r="EBK108" s="142"/>
      <c r="EBL108" s="142"/>
      <c r="EBM108" s="142"/>
      <c r="EBN108" s="142"/>
      <c r="EBO108" s="142"/>
      <c r="EBP108" s="142"/>
      <c r="EBQ108" s="142"/>
      <c r="EBR108" s="142"/>
      <c r="EBS108" s="142"/>
      <c r="EBT108" s="142"/>
      <c r="EBU108" s="142"/>
      <c r="EBV108" s="142"/>
      <c r="EBW108" s="142"/>
      <c r="EBX108" s="142"/>
      <c r="EBY108" s="142"/>
      <c r="EBZ108" s="142"/>
      <c r="ECA108" s="142"/>
      <c r="ECB108" s="142"/>
      <c r="ECC108" s="142"/>
      <c r="ECD108" s="142"/>
      <c r="ECE108" s="142"/>
      <c r="ECF108" s="142"/>
      <c r="ECG108" s="142"/>
      <c r="ECH108" s="142"/>
      <c r="ECI108" s="142"/>
      <c r="ECJ108" s="142"/>
      <c r="ECK108" s="142"/>
      <c r="ECL108" s="142"/>
      <c r="ECM108" s="142"/>
      <c r="ECN108" s="142"/>
      <c r="ECO108" s="142"/>
      <c r="ECP108" s="142"/>
      <c r="ECQ108" s="142"/>
      <c r="ECR108" s="142"/>
      <c r="ECS108" s="142"/>
      <c r="ECT108" s="142"/>
      <c r="ECU108" s="142"/>
      <c r="ECV108" s="142"/>
      <c r="ECW108" s="142"/>
      <c r="ECX108" s="142"/>
      <c r="ECY108" s="142"/>
      <c r="ECZ108" s="142"/>
      <c r="EDA108" s="142"/>
      <c r="EDB108" s="142"/>
      <c r="EDC108" s="142"/>
      <c r="EDD108" s="142"/>
      <c r="EDE108" s="142"/>
      <c r="EDF108" s="142"/>
      <c r="EDG108" s="142"/>
      <c r="EDH108" s="142"/>
      <c r="EDI108" s="142"/>
      <c r="EDJ108" s="142"/>
      <c r="EDK108" s="142"/>
      <c r="EDL108" s="142"/>
      <c r="EDM108" s="142"/>
      <c r="EDN108" s="142"/>
      <c r="EDO108" s="142"/>
      <c r="EDP108" s="142"/>
      <c r="EDQ108" s="142"/>
      <c r="EDR108" s="142"/>
      <c r="EDS108" s="142"/>
      <c r="EDT108" s="142"/>
      <c r="EDU108" s="142"/>
      <c r="EDV108" s="142"/>
      <c r="EDW108" s="142"/>
      <c r="EDX108" s="142"/>
      <c r="EDY108" s="142"/>
      <c r="EDZ108" s="142"/>
      <c r="EEA108" s="142"/>
      <c r="EEB108" s="142"/>
      <c r="EEC108" s="142"/>
      <c r="EED108" s="142"/>
      <c r="EEE108" s="142"/>
      <c r="EEF108" s="142"/>
      <c r="EEG108" s="142"/>
      <c r="EEH108" s="142"/>
      <c r="EEI108" s="142"/>
      <c r="EEJ108" s="142"/>
      <c r="EEK108" s="142"/>
      <c r="EEL108" s="142"/>
      <c r="EEM108" s="142"/>
      <c r="EEN108" s="142"/>
      <c r="EEO108" s="142"/>
      <c r="EEP108" s="142"/>
      <c r="EEQ108" s="142"/>
      <c r="EER108" s="142"/>
      <c r="EES108" s="142"/>
      <c r="EET108" s="142"/>
      <c r="EEU108" s="142"/>
      <c r="EEV108" s="142"/>
      <c r="EEW108" s="142"/>
      <c r="EEX108" s="142"/>
      <c r="EEY108" s="142"/>
      <c r="EEZ108" s="142"/>
      <c r="EFA108" s="142"/>
      <c r="EFB108" s="142"/>
      <c r="EFC108" s="142"/>
      <c r="EFD108" s="142"/>
      <c r="EFE108" s="142"/>
      <c r="EFF108" s="142"/>
      <c r="EFG108" s="142"/>
      <c r="EFH108" s="142"/>
      <c r="EFI108" s="142"/>
      <c r="EFJ108" s="142"/>
      <c r="EFK108" s="142"/>
      <c r="EFL108" s="142"/>
      <c r="EFM108" s="142"/>
      <c r="EFN108" s="142"/>
      <c r="EFO108" s="142"/>
      <c r="EFP108" s="142"/>
      <c r="EFQ108" s="142"/>
      <c r="EFR108" s="142"/>
      <c r="EFS108" s="142"/>
      <c r="EFT108" s="142"/>
      <c r="EFU108" s="142"/>
      <c r="EFV108" s="142"/>
      <c r="EFW108" s="142"/>
      <c r="EFX108" s="142"/>
      <c r="EFY108" s="142"/>
      <c r="EFZ108" s="142"/>
      <c r="EGA108" s="142"/>
      <c r="EGB108" s="142"/>
      <c r="EGC108" s="142"/>
      <c r="EGD108" s="142"/>
      <c r="EGE108" s="142"/>
      <c r="EGF108" s="142"/>
      <c r="EGG108" s="142"/>
      <c r="EGH108" s="142"/>
      <c r="EGI108" s="142"/>
      <c r="EGJ108" s="142"/>
      <c r="EGK108" s="142"/>
      <c r="EGL108" s="142"/>
      <c r="EGM108" s="142"/>
      <c r="EGN108" s="142"/>
      <c r="EGO108" s="142"/>
      <c r="EGP108" s="142"/>
      <c r="EGQ108" s="142"/>
      <c r="EGR108" s="142"/>
      <c r="EGS108" s="142"/>
      <c r="EGT108" s="142"/>
      <c r="EGU108" s="142"/>
      <c r="EGV108" s="142"/>
      <c r="EGW108" s="142"/>
      <c r="EGX108" s="142"/>
      <c r="EGY108" s="142"/>
      <c r="EGZ108" s="142"/>
      <c r="EHA108" s="142"/>
      <c r="EHB108" s="142"/>
      <c r="EHC108" s="142"/>
      <c r="EHD108" s="142"/>
      <c r="EHE108" s="142"/>
      <c r="EHF108" s="142"/>
      <c r="EHG108" s="142"/>
      <c r="EHH108" s="142"/>
      <c r="EHI108" s="142"/>
      <c r="EHJ108" s="142"/>
      <c r="EHK108" s="142"/>
      <c r="EHL108" s="142"/>
      <c r="EHM108" s="142"/>
      <c r="EHN108" s="142"/>
      <c r="EHO108" s="142"/>
      <c r="EHP108" s="142"/>
      <c r="EHQ108" s="142"/>
      <c r="EHR108" s="142"/>
      <c r="EHS108" s="142"/>
      <c r="EHT108" s="142"/>
      <c r="EHU108" s="142"/>
      <c r="EHV108" s="142"/>
      <c r="EHW108" s="142"/>
      <c r="EHX108" s="142"/>
      <c r="EHY108" s="142"/>
      <c r="EHZ108" s="142"/>
      <c r="EIA108" s="142"/>
      <c r="EIB108" s="142"/>
      <c r="EIC108" s="142"/>
      <c r="EID108" s="142"/>
      <c r="EIE108" s="142"/>
      <c r="EIF108" s="142"/>
      <c r="EIG108" s="142"/>
      <c r="EIH108" s="142"/>
      <c r="EII108" s="142"/>
      <c r="EIJ108" s="142"/>
      <c r="EIK108" s="142"/>
      <c r="EIL108" s="142"/>
      <c r="EIM108" s="142"/>
      <c r="EIN108" s="142"/>
      <c r="EIO108" s="142"/>
      <c r="EIP108" s="142"/>
      <c r="EIQ108" s="142"/>
      <c r="EIR108" s="142"/>
      <c r="EIS108" s="142"/>
      <c r="EIT108" s="142"/>
      <c r="EIU108" s="142"/>
      <c r="EIV108" s="142"/>
      <c r="EIW108" s="142"/>
      <c r="EIX108" s="142"/>
      <c r="EIY108" s="142"/>
      <c r="EIZ108" s="142"/>
      <c r="EJA108" s="142"/>
      <c r="EJB108" s="142"/>
      <c r="EJC108" s="142"/>
      <c r="EJD108" s="142"/>
      <c r="EJE108" s="142"/>
      <c r="EJF108" s="142"/>
      <c r="EJG108" s="142"/>
      <c r="EJH108" s="142"/>
      <c r="EJI108" s="142"/>
      <c r="EJJ108" s="142"/>
      <c r="EJK108" s="142"/>
      <c r="EJL108" s="142"/>
      <c r="EJM108" s="142"/>
      <c r="EJN108" s="142"/>
      <c r="EJO108" s="142"/>
      <c r="EJP108" s="142"/>
      <c r="EJQ108" s="142"/>
      <c r="EJR108" s="142"/>
      <c r="EJS108" s="142"/>
      <c r="EJT108" s="142"/>
      <c r="EJU108" s="142"/>
      <c r="EJV108" s="142"/>
      <c r="EJW108" s="142"/>
      <c r="EJX108" s="142"/>
      <c r="EJY108" s="142"/>
      <c r="EJZ108" s="142"/>
      <c r="EKA108" s="142"/>
      <c r="EKB108" s="142"/>
      <c r="EKC108" s="142"/>
      <c r="EKD108" s="142"/>
      <c r="EKE108" s="142"/>
      <c r="EKF108" s="142"/>
      <c r="EKG108" s="142"/>
      <c r="EKH108" s="142"/>
      <c r="EKI108" s="142"/>
      <c r="EKJ108" s="142"/>
      <c r="EKK108" s="142"/>
      <c r="EKL108" s="142"/>
      <c r="EKM108" s="142"/>
      <c r="EKN108" s="142"/>
      <c r="EKO108" s="142"/>
      <c r="EKP108" s="142"/>
      <c r="EKQ108" s="142"/>
      <c r="EKR108" s="142"/>
      <c r="EKS108" s="142"/>
      <c r="EKT108" s="142"/>
      <c r="EKU108" s="142"/>
      <c r="EKV108" s="142"/>
      <c r="EKW108" s="142"/>
      <c r="EKX108" s="142"/>
      <c r="EKY108" s="142"/>
      <c r="EKZ108" s="142"/>
      <c r="ELA108" s="142"/>
      <c r="ELB108" s="142"/>
      <c r="ELC108" s="142"/>
      <c r="ELD108" s="142"/>
      <c r="ELE108" s="142"/>
      <c r="ELF108" s="142"/>
      <c r="ELG108" s="142"/>
      <c r="ELH108" s="142"/>
      <c r="ELI108" s="142"/>
      <c r="ELJ108" s="142"/>
      <c r="ELK108" s="142"/>
      <c r="ELL108" s="142"/>
      <c r="ELM108" s="142"/>
      <c r="ELN108" s="142"/>
      <c r="ELO108" s="142"/>
      <c r="ELP108" s="142"/>
      <c r="ELQ108" s="142"/>
      <c r="ELR108" s="142"/>
      <c r="ELS108" s="142"/>
      <c r="ELT108" s="142"/>
      <c r="ELU108" s="142"/>
      <c r="ELV108" s="142"/>
      <c r="ELW108" s="142"/>
      <c r="ELX108" s="142"/>
      <c r="ELY108" s="142"/>
      <c r="ELZ108" s="142"/>
      <c r="EMA108" s="142"/>
      <c r="EMB108" s="142"/>
      <c r="EMC108" s="142"/>
      <c r="EMD108" s="142"/>
      <c r="EME108" s="142"/>
      <c r="EMF108" s="142"/>
      <c r="EMG108" s="142"/>
      <c r="EMH108" s="142"/>
      <c r="EMI108" s="142"/>
      <c r="EMJ108" s="142"/>
      <c r="EMK108" s="142"/>
      <c r="EML108" s="142"/>
      <c r="EMM108" s="142"/>
      <c r="EMN108" s="142"/>
      <c r="EMO108" s="142"/>
      <c r="EMP108" s="142"/>
      <c r="EMQ108" s="142"/>
      <c r="EMR108" s="142"/>
      <c r="EMS108" s="142"/>
      <c r="EMT108" s="142"/>
      <c r="EMU108" s="142"/>
      <c r="EMV108" s="142"/>
      <c r="EMW108" s="142"/>
      <c r="EMX108" s="142"/>
      <c r="EMY108" s="142"/>
      <c r="EMZ108" s="142"/>
      <c r="ENA108" s="142"/>
      <c r="ENB108" s="142"/>
      <c r="ENC108" s="142"/>
      <c r="END108" s="142"/>
      <c r="ENE108" s="142"/>
      <c r="ENF108" s="142"/>
      <c r="ENG108" s="142"/>
      <c r="ENH108" s="142"/>
      <c r="ENI108" s="142"/>
      <c r="ENJ108" s="142"/>
      <c r="ENK108" s="142"/>
      <c r="ENL108" s="142"/>
      <c r="ENM108" s="142"/>
      <c r="ENN108" s="142"/>
      <c r="ENO108" s="142"/>
      <c r="ENP108" s="142"/>
      <c r="ENQ108" s="142"/>
      <c r="ENR108" s="142"/>
      <c r="ENS108" s="142"/>
      <c r="ENT108" s="142"/>
      <c r="ENU108" s="142"/>
      <c r="ENV108" s="142"/>
      <c r="ENW108" s="142"/>
      <c r="ENX108" s="142"/>
      <c r="ENY108" s="142"/>
      <c r="ENZ108" s="142"/>
      <c r="EOA108" s="142"/>
      <c r="EOB108" s="142"/>
      <c r="EOC108" s="142"/>
      <c r="EOD108" s="142"/>
      <c r="EOE108" s="142"/>
      <c r="EOF108" s="142"/>
      <c r="EOG108" s="142"/>
      <c r="EOH108" s="142"/>
      <c r="EOI108" s="142"/>
      <c r="EOJ108" s="142"/>
      <c r="EOK108" s="142"/>
      <c r="EOL108" s="142"/>
      <c r="EOM108" s="142"/>
      <c r="EON108" s="142"/>
      <c r="EOO108" s="142"/>
      <c r="EOP108" s="142"/>
      <c r="EOQ108" s="142"/>
      <c r="EOR108" s="142"/>
      <c r="EOS108" s="142"/>
      <c r="EOT108" s="142"/>
      <c r="EOU108" s="142"/>
      <c r="EOV108" s="142"/>
      <c r="EOW108" s="142"/>
      <c r="EOX108" s="142"/>
      <c r="EOY108" s="142"/>
      <c r="EOZ108" s="142"/>
      <c r="EPA108" s="142"/>
      <c r="EPB108" s="142"/>
      <c r="EPC108" s="142"/>
      <c r="EPD108" s="142"/>
      <c r="EPE108" s="142"/>
      <c r="EPF108" s="142"/>
      <c r="EPG108" s="142"/>
      <c r="EPH108" s="142"/>
      <c r="EPI108" s="142"/>
      <c r="EPJ108" s="142"/>
      <c r="EPK108" s="142"/>
      <c r="EPL108" s="142"/>
      <c r="EPM108" s="142"/>
      <c r="EPN108" s="142"/>
      <c r="EPO108" s="142"/>
      <c r="EPP108" s="142"/>
      <c r="EPQ108" s="142"/>
      <c r="EPR108" s="142"/>
      <c r="EPS108" s="142"/>
      <c r="EPT108" s="142"/>
      <c r="EPU108" s="142"/>
      <c r="EPV108" s="142"/>
      <c r="EPW108" s="142"/>
      <c r="EPX108" s="142"/>
      <c r="EPY108" s="142"/>
      <c r="EPZ108" s="142"/>
      <c r="EQA108" s="142"/>
      <c r="EQB108" s="142"/>
      <c r="EQC108" s="142"/>
      <c r="EQD108" s="142"/>
      <c r="EQE108" s="142"/>
      <c r="EQF108" s="142"/>
      <c r="EQG108" s="142"/>
      <c r="EQH108" s="142"/>
      <c r="EQI108" s="142"/>
      <c r="EQJ108" s="142"/>
      <c r="EQK108" s="142"/>
      <c r="EQL108" s="142"/>
      <c r="EQM108" s="142"/>
      <c r="EQN108" s="142"/>
      <c r="EQO108" s="142"/>
      <c r="EQP108" s="142"/>
      <c r="EQQ108" s="142"/>
      <c r="EQR108" s="142"/>
      <c r="EQS108" s="142"/>
      <c r="EQT108" s="142"/>
      <c r="EQU108" s="142"/>
      <c r="EQV108" s="142"/>
      <c r="EQW108" s="142"/>
      <c r="EQX108" s="142"/>
      <c r="EQY108" s="142"/>
      <c r="EQZ108" s="142"/>
      <c r="ERA108" s="142"/>
      <c r="ERB108" s="142"/>
      <c r="ERC108" s="142"/>
      <c r="ERD108" s="142"/>
      <c r="ERE108" s="142"/>
      <c r="ERF108" s="142"/>
      <c r="ERG108" s="142"/>
      <c r="ERH108" s="142"/>
      <c r="ERI108" s="142"/>
      <c r="ERJ108" s="142"/>
      <c r="ERK108" s="142"/>
      <c r="ERL108" s="142"/>
      <c r="ERM108" s="142"/>
      <c r="ERN108" s="142"/>
      <c r="ERO108" s="142"/>
      <c r="ERP108" s="142"/>
      <c r="ERQ108" s="142"/>
      <c r="ERR108" s="142"/>
      <c r="ERS108" s="142"/>
      <c r="ERT108" s="142"/>
      <c r="ERU108" s="142"/>
      <c r="ERV108" s="142"/>
      <c r="ERW108" s="142"/>
      <c r="ERX108" s="142"/>
      <c r="ERY108" s="142"/>
      <c r="ERZ108" s="142"/>
      <c r="ESA108" s="142"/>
      <c r="ESB108" s="142"/>
      <c r="ESC108" s="142"/>
      <c r="ESD108" s="142"/>
      <c r="ESE108" s="142"/>
      <c r="ESF108" s="142"/>
      <c r="ESG108" s="142"/>
      <c r="ESH108" s="142"/>
      <c r="ESI108" s="142"/>
      <c r="ESJ108" s="142"/>
      <c r="ESK108" s="142"/>
      <c r="ESL108" s="142"/>
      <c r="ESM108" s="142"/>
      <c r="ESN108" s="142"/>
      <c r="ESO108" s="142"/>
      <c r="ESP108" s="142"/>
      <c r="ESQ108" s="142"/>
      <c r="ESR108" s="142"/>
      <c r="ESS108" s="142"/>
      <c r="EST108" s="142"/>
      <c r="ESU108" s="142"/>
      <c r="ESV108" s="142"/>
      <c r="ESW108" s="142"/>
      <c r="ESX108" s="142"/>
      <c r="ESY108" s="142"/>
      <c r="ESZ108" s="142"/>
      <c r="ETA108" s="142"/>
      <c r="ETB108" s="142"/>
      <c r="ETC108" s="142"/>
      <c r="ETD108" s="142"/>
      <c r="ETE108" s="142"/>
      <c r="ETF108" s="142"/>
      <c r="ETG108" s="142"/>
      <c r="ETH108" s="142"/>
      <c r="ETI108" s="142"/>
      <c r="ETJ108" s="142"/>
      <c r="ETK108" s="142"/>
      <c r="ETL108" s="142"/>
      <c r="ETM108" s="142"/>
      <c r="ETN108" s="142"/>
      <c r="ETO108" s="142"/>
      <c r="ETP108" s="142"/>
      <c r="ETQ108" s="142"/>
      <c r="ETR108" s="142"/>
      <c r="ETS108" s="142"/>
      <c r="ETT108" s="142"/>
      <c r="ETU108" s="142"/>
      <c r="ETV108" s="142"/>
      <c r="ETW108" s="142"/>
      <c r="ETX108" s="142"/>
      <c r="ETY108" s="142"/>
      <c r="ETZ108" s="142"/>
      <c r="EUA108" s="142"/>
      <c r="EUB108" s="142"/>
      <c r="EUC108" s="142"/>
      <c r="EUD108" s="142"/>
      <c r="EUE108" s="142"/>
      <c r="EUF108" s="142"/>
      <c r="EUG108" s="142"/>
      <c r="EUH108" s="142"/>
      <c r="EUI108" s="142"/>
      <c r="EUJ108" s="142"/>
      <c r="EUK108" s="142"/>
      <c r="EUL108" s="142"/>
      <c r="EUM108" s="142"/>
      <c r="EUN108" s="142"/>
      <c r="EUO108" s="142"/>
      <c r="EUP108" s="142"/>
      <c r="EUQ108" s="142"/>
      <c r="EUR108" s="142"/>
      <c r="EUS108" s="142"/>
      <c r="EUT108" s="142"/>
      <c r="EUU108" s="142"/>
      <c r="EUV108" s="142"/>
      <c r="EUW108" s="142"/>
      <c r="EUX108" s="142"/>
      <c r="EUY108" s="142"/>
      <c r="EUZ108" s="142"/>
      <c r="EVA108" s="142"/>
      <c r="EVB108" s="142"/>
      <c r="EVC108" s="142"/>
      <c r="EVD108" s="142"/>
      <c r="EVE108" s="142"/>
      <c r="EVF108" s="142"/>
      <c r="EVG108" s="142"/>
      <c r="EVH108" s="142"/>
      <c r="EVI108" s="142"/>
      <c r="EVJ108" s="142"/>
      <c r="EVK108" s="142"/>
      <c r="EVL108" s="142"/>
      <c r="EVM108" s="142"/>
      <c r="EVN108" s="142"/>
      <c r="EVO108" s="142"/>
      <c r="EVP108" s="142"/>
      <c r="EVQ108" s="142"/>
      <c r="EVR108" s="142"/>
      <c r="EVS108" s="142"/>
      <c r="EVT108" s="142"/>
      <c r="EVU108" s="142"/>
      <c r="EVV108" s="142"/>
      <c r="EVW108" s="142"/>
      <c r="EVX108" s="142"/>
      <c r="EVY108" s="142"/>
      <c r="EVZ108" s="142"/>
      <c r="EWA108" s="142"/>
      <c r="EWB108" s="142"/>
      <c r="EWC108" s="142"/>
      <c r="EWD108" s="142"/>
      <c r="EWE108" s="142"/>
      <c r="EWF108" s="142"/>
      <c r="EWG108" s="142"/>
      <c r="EWH108" s="142"/>
      <c r="EWI108" s="142"/>
      <c r="EWJ108" s="142"/>
      <c r="EWK108" s="142"/>
      <c r="EWL108" s="142"/>
      <c r="EWM108" s="142"/>
      <c r="EWN108" s="142"/>
      <c r="EWO108" s="142"/>
      <c r="EWP108" s="142"/>
      <c r="EWQ108" s="142"/>
      <c r="EWR108" s="142"/>
      <c r="EWS108" s="142"/>
      <c r="EWT108" s="142"/>
      <c r="EWU108" s="142"/>
      <c r="EWV108" s="142"/>
      <c r="EWW108" s="142"/>
      <c r="EWX108" s="142"/>
      <c r="EWY108" s="142"/>
      <c r="EWZ108" s="142"/>
      <c r="EXA108" s="142"/>
      <c r="EXB108" s="142"/>
      <c r="EXC108" s="142"/>
      <c r="EXD108" s="142"/>
      <c r="EXE108" s="142"/>
      <c r="EXF108" s="142"/>
      <c r="EXG108" s="142"/>
      <c r="EXH108" s="142"/>
      <c r="EXI108" s="142"/>
      <c r="EXJ108" s="142"/>
      <c r="EXK108" s="142"/>
      <c r="EXL108" s="142"/>
      <c r="EXM108" s="142"/>
      <c r="EXN108" s="142"/>
      <c r="EXO108" s="142"/>
      <c r="EXP108" s="142"/>
      <c r="EXQ108" s="142"/>
      <c r="EXR108" s="142"/>
      <c r="EXS108" s="142"/>
      <c r="EXT108" s="142"/>
      <c r="EXU108" s="142"/>
      <c r="EXV108" s="142"/>
      <c r="EXW108" s="142"/>
      <c r="EXX108" s="142"/>
      <c r="EXY108" s="142"/>
      <c r="EXZ108" s="142"/>
      <c r="EYA108" s="142"/>
      <c r="EYB108" s="142"/>
      <c r="EYC108" s="142"/>
      <c r="EYD108" s="142"/>
      <c r="EYE108" s="142"/>
      <c r="EYF108" s="142"/>
      <c r="EYG108" s="142"/>
      <c r="EYH108" s="142"/>
      <c r="EYI108" s="142"/>
      <c r="EYJ108" s="142"/>
      <c r="EYK108" s="142"/>
      <c r="EYL108" s="142"/>
      <c r="EYM108" s="142"/>
      <c r="EYN108" s="142"/>
      <c r="EYO108" s="142"/>
      <c r="EYP108" s="142"/>
      <c r="EYQ108" s="142"/>
      <c r="EYR108" s="142"/>
      <c r="EYS108" s="142"/>
      <c r="EYT108" s="142"/>
      <c r="EYU108" s="142"/>
      <c r="EYV108" s="142"/>
      <c r="EYW108" s="142"/>
      <c r="EYX108" s="142"/>
      <c r="EYY108" s="142"/>
      <c r="EYZ108" s="142"/>
      <c r="EZA108" s="142"/>
      <c r="EZB108" s="142"/>
      <c r="EZC108" s="142"/>
      <c r="EZD108" s="142"/>
      <c r="EZE108" s="142"/>
      <c r="EZF108" s="142"/>
      <c r="EZG108" s="142"/>
      <c r="EZH108" s="142"/>
      <c r="EZI108" s="142"/>
      <c r="EZJ108" s="142"/>
      <c r="EZK108" s="142"/>
      <c r="EZL108" s="142"/>
      <c r="EZM108" s="142"/>
      <c r="EZN108" s="142"/>
      <c r="EZO108" s="142"/>
      <c r="EZP108" s="142"/>
      <c r="EZQ108" s="142"/>
      <c r="EZR108" s="142"/>
      <c r="EZS108" s="142"/>
      <c r="EZT108" s="142"/>
      <c r="EZU108" s="142"/>
      <c r="EZV108" s="142"/>
      <c r="EZW108" s="142"/>
      <c r="EZX108" s="142"/>
      <c r="EZY108" s="142"/>
      <c r="EZZ108" s="142"/>
      <c r="FAA108" s="142"/>
      <c r="FAB108" s="142"/>
      <c r="FAC108" s="142"/>
      <c r="FAD108" s="142"/>
      <c r="FAE108" s="142"/>
      <c r="FAF108" s="142"/>
      <c r="FAG108" s="142"/>
      <c r="FAH108" s="142"/>
      <c r="FAI108" s="142"/>
      <c r="FAJ108" s="142"/>
      <c r="FAK108" s="142"/>
      <c r="FAL108" s="142"/>
      <c r="FAM108" s="142"/>
      <c r="FAN108" s="142"/>
      <c r="FAO108" s="142"/>
      <c r="FAP108" s="142"/>
      <c r="FAQ108" s="142"/>
      <c r="FAR108" s="142"/>
      <c r="FAS108" s="142"/>
      <c r="FAT108" s="142"/>
      <c r="FAU108" s="142"/>
      <c r="FAV108" s="142"/>
      <c r="FAW108" s="142"/>
      <c r="FAX108" s="142"/>
      <c r="FAY108" s="142"/>
      <c r="FAZ108" s="142"/>
      <c r="FBA108" s="142"/>
      <c r="FBB108" s="142"/>
      <c r="FBC108" s="142"/>
      <c r="FBD108" s="142"/>
      <c r="FBE108" s="142"/>
      <c r="FBF108" s="142"/>
      <c r="FBG108" s="142"/>
      <c r="FBH108" s="142"/>
      <c r="FBI108" s="142"/>
      <c r="FBJ108" s="142"/>
      <c r="FBK108" s="142"/>
      <c r="FBL108" s="142"/>
      <c r="FBM108" s="142"/>
      <c r="FBN108" s="142"/>
      <c r="FBO108" s="142"/>
      <c r="FBP108" s="142"/>
      <c r="FBQ108" s="142"/>
      <c r="FBR108" s="142"/>
      <c r="FBS108" s="142"/>
      <c r="FBT108" s="142"/>
      <c r="FBU108" s="142"/>
      <c r="FBV108" s="142"/>
      <c r="FBW108" s="142"/>
      <c r="FBX108" s="142"/>
      <c r="FBY108" s="142"/>
      <c r="FBZ108" s="142"/>
      <c r="FCA108" s="142"/>
      <c r="FCB108" s="142"/>
      <c r="FCC108" s="142"/>
      <c r="FCD108" s="142"/>
      <c r="FCE108" s="142"/>
      <c r="FCF108" s="142"/>
      <c r="FCG108" s="142"/>
      <c r="FCH108" s="142"/>
      <c r="FCI108" s="142"/>
      <c r="FCJ108" s="142"/>
      <c r="FCK108" s="142"/>
      <c r="FCL108" s="142"/>
      <c r="FCM108" s="142"/>
      <c r="FCN108" s="142"/>
      <c r="FCO108" s="142"/>
      <c r="FCP108" s="142"/>
      <c r="FCQ108" s="142"/>
      <c r="FCR108" s="142"/>
      <c r="FCS108" s="142"/>
      <c r="FCT108" s="142"/>
      <c r="FCU108" s="142"/>
      <c r="FCV108" s="142"/>
      <c r="FCW108" s="142"/>
      <c r="FCX108" s="142"/>
      <c r="FCY108" s="142"/>
      <c r="FCZ108" s="142"/>
      <c r="FDA108" s="142"/>
      <c r="FDB108" s="142"/>
      <c r="FDC108" s="142"/>
      <c r="FDD108" s="142"/>
      <c r="FDE108" s="142"/>
      <c r="FDF108" s="142"/>
      <c r="FDG108" s="142"/>
      <c r="FDH108" s="142"/>
      <c r="FDI108" s="142"/>
      <c r="FDJ108" s="142"/>
      <c r="FDK108" s="142"/>
      <c r="FDL108" s="142"/>
      <c r="FDM108" s="142"/>
      <c r="FDN108" s="142"/>
      <c r="FDO108" s="142"/>
      <c r="FDP108" s="142"/>
      <c r="FDQ108" s="142"/>
      <c r="FDR108" s="142"/>
      <c r="FDS108" s="142"/>
      <c r="FDT108" s="142"/>
      <c r="FDU108" s="142"/>
      <c r="FDV108" s="142"/>
      <c r="FDW108" s="142"/>
      <c r="FDX108" s="142"/>
      <c r="FDY108" s="142"/>
      <c r="FDZ108" s="142"/>
      <c r="FEA108" s="142"/>
      <c r="FEB108" s="142"/>
      <c r="FEC108" s="142"/>
      <c r="FED108" s="142"/>
      <c r="FEE108" s="142"/>
      <c r="FEF108" s="142"/>
      <c r="FEG108" s="142"/>
      <c r="FEH108" s="142"/>
      <c r="FEI108" s="142"/>
      <c r="FEJ108" s="142"/>
      <c r="FEK108" s="142"/>
      <c r="FEL108" s="142"/>
      <c r="FEM108" s="142"/>
      <c r="FEN108" s="142"/>
      <c r="FEO108" s="142"/>
      <c r="FEP108" s="142"/>
      <c r="FEQ108" s="142"/>
      <c r="FER108" s="142"/>
      <c r="FES108" s="142"/>
      <c r="FET108" s="142"/>
      <c r="FEU108" s="142"/>
      <c r="FEV108" s="142"/>
      <c r="FEW108" s="142"/>
      <c r="FEX108" s="142"/>
      <c r="FEY108" s="142"/>
      <c r="FEZ108" s="142"/>
      <c r="FFA108" s="142"/>
      <c r="FFB108" s="142"/>
      <c r="FFC108" s="142"/>
      <c r="FFD108" s="142"/>
      <c r="FFE108" s="142"/>
      <c r="FFF108" s="142"/>
      <c r="FFG108" s="142"/>
      <c r="FFH108" s="142"/>
      <c r="FFI108" s="142"/>
      <c r="FFJ108" s="142"/>
      <c r="FFK108" s="142"/>
      <c r="FFL108" s="142"/>
      <c r="FFM108" s="142"/>
      <c r="FFN108" s="142"/>
      <c r="FFO108" s="142"/>
      <c r="FFP108" s="142"/>
      <c r="FFQ108" s="142"/>
      <c r="FFR108" s="142"/>
      <c r="FFS108" s="142"/>
      <c r="FFT108" s="142"/>
      <c r="FFU108" s="142"/>
      <c r="FFV108" s="142"/>
      <c r="FFW108" s="142"/>
      <c r="FFX108" s="142"/>
      <c r="FFY108" s="142"/>
      <c r="FFZ108" s="142"/>
      <c r="FGA108" s="142"/>
      <c r="FGB108" s="142"/>
      <c r="FGC108" s="142"/>
      <c r="FGD108" s="142"/>
      <c r="FGE108" s="142"/>
      <c r="FGF108" s="142"/>
      <c r="FGG108" s="142"/>
      <c r="FGH108" s="142"/>
      <c r="FGI108" s="142"/>
      <c r="FGJ108" s="142"/>
      <c r="FGK108" s="142"/>
      <c r="FGL108" s="142"/>
      <c r="FGM108" s="142"/>
      <c r="FGN108" s="142"/>
      <c r="FGO108" s="142"/>
      <c r="FGP108" s="142"/>
      <c r="FGQ108" s="142"/>
      <c r="FGR108" s="142"/>
      <c r="FGS108" s="142"/>
      <c r="FGT108" s="142"/>
      <c r="FGU108" s="142"/>
      <c r="FGV108" s="142"/>
      <c r="FGW108" s="142"/>
      <c r="FGX108" s="142"/>
      <c r="FGY108" s="142"/>
      <c r="FGZ108" s="142"/>
      <c r="FHA108" s="142"/>
      <c r="FHB108" s="142"/>
      <c r="FHC108" s="142"/>
      <c r="FHD108" s="142"/>
      <c r="FHE108" s="142"/>
      <c r="FHF108" s="142"/>
      <c r="FHG108" s="142"/>
      <c r="FHH108" s="142"/>
      <c r="FHI108" s="142"/>
      <c r="FHJ108" s="142"/>
      <c r="FHK108" s="142"/>
      <c r="FHL108" s="142"/>
      <c r="FHM108" s="142"/>
      <c r="FHN108" s="142"/>
      <c r="FHO108" s="142"/>
      <c r="FHP108" s="142"/>
      <c r="FHQ108" s="142"/>
      <c r="FHR108" s="142"/>
      <c r="FHS108" s="142"/>
      <c r="FHT108" s="142"/>
      <c r="FHU108" s="142"/>
      <c r="FHV108" s="142"/>
      <c r="FHW108" s="142"/>
      <c r="FHX108" s="142"/>
      <c r="FHY108" s="142"/>
      <c r="FHZ108" s="142"/>
      <c r="FIA108" s="142"/>
      <c r="FIB108" s="142"/>
      <c r="FIC108" s="142"/>
      <c r="FID108" s="142"/>
      <c r="FIE108" s="142"/>
      <c r="FIF108" s="142"/>
      <c r="FIG108" s="142"/>
      <c r="FIH108" s="142"/>
      <c r="FII108" s="142"/>
      <c r="FIJ108" s="142"/>
      <c r="FIK108" s="142"/>
      <c r="FIL108" s="142"/>
      <c r="FIM108" s="142"/>
      <c r="FIN108" s="142"/>
      <c r="FIO108" s="142"/>
      <c r="FIP108" s="142"/>
      <c r="FIQ108" s="142"/>
      <c r="FIR108" s="142"/>
      <c r="FIS108" s="142"/>
      <c r="FIT108" s="142"/>
      <c r="FIU108" s="142"/>
      <c r="FIV108" s="142"/>
      <c r="FIW108" s="142"/>
      <c r="FIX108" s="142"/>
      <c r="FIY108" s="142"/>
      <c r="FIZ108" s="142"/>
      <c r="FJA108" s="142"/>
      <c r="FJB108" s="142"/>
      <c r="FJC108" s="142"/>
      <c r="FJD108" s="142"/>
      <c r="FJE108" s="142"/>
      <c r="FJF108" s="142"/>
      <c r="FJG108" s="142"/>
      <c r="FJH108" s="142"/>
      <c r="FJI108" s="142"/>
      <c r="FJJ108" s="142"/>
      <c r="FJK108" s="142"/>
      <c r="FJL108" s="142"/>
      <c r="FJM108" s="142"/>
      <c r="FJN108" s="142"/>
      <c r="FJO108" s="142"/>
      <c r="FJP108" s="142"/>
      <c r="FJQ108" s="142"/>
      <c r="FJR108" s="142"/>
      <c r="FJS108" s="142"/>
      <c r="FJT108" s="142"/>
      <c r="FJU108" s="142"/>
      <c r="FJV108" s="142"/>
      <c r="FJW108" s="142"/>
      <c r="FJX108" s="142"/>
      <c r="FJY108" s="142"/>
      <c r="FJZ108" s="142"/>
      <c r="FKA108" s="142"/>
      <c r="FKB108" s="142"/>
      <c r="FKC108" s="142"/>
      <c r="FKD108" s="142"/>
      <c r="FKE108" s="142"/>
      <c r="FKF108" s="142"/>
      <c r="FKG108" s="142"/>
      <c r="FKH108" s="142"/>
      <c r="FKI108" s="142"/>
      <c r="FKJ108" s="142"/>
      <c r="FKK108" s="142"/>
      <c r="FKL108" s="142"/>
      <c r="FKM108" s="142"/>
      <c r="FKN108" s="142"/>
      <c r="FKO108" s="142"/>
      <c r="FKP108" s="142"/>
      <c r="FKQ108" s="142"/>
      <c r="FKR108" s="142"/>
      <c r="FKS108" s="142"/>
      <c r="FKT108" s="142"/>
      <c r="FKU108" s="142"/>
      <c r="FKV108" s="142"/>
      <c r="FKW108" s="142"/>
      <c r="FKX108" s="142"/>
      <c r="FKY108" s="142"/>
      <c r="FKZ108" s="142"/>
      <c r="FLA108" s="142"/>
      <c r="FLB108" s="142"/>
      <c r="FLC108" s="142"/>
      <c r="FLD108" s="142"/>
      <c r="FLE108" s="142"/>
      <c r="FLF108" s="142"/>
      <c r="FLG108" s="142"/>
      <c r="FLH108" s="142"/>
      <c r="FLI108" s="142"/>
      <c r="FLJ108" s="142"/>
      <c r="FLK108" s="142"/>
      <c r="FLL108" s="142"/>
      <c r="FLM108" s="142"/>
      <c r="FLN108" s="142"/>
      <c r="FLO108" s="142"/>
      <c r="FLP108" s="142"/>
      <c r="FLQ108" s="142"/>
      <c r="FLR108" s="142"/>
      <c r="FLS108" s="142"/>
      <c r="FLT108" s="142"/>
      <c r="FLU108" s="142"/>
      <c r="FLV108" s="142"/>
      <c r="FLW108" s="142"/>
      <c r="FLX108" s="142"/>
      <c r="FLY108" s="142"/>
      <c r="FLZ108" s="142"/>
      <c r="FMA108" s="142"/>
      <c r="FMB108" s="142"/>
      <c r="FMC108" s="142"/>
      <c r="FMD108" s="142"/>
      <c r="FME108" s="142"/>
      <c r="FMF108" s="142"/>
      <c r="FMG108" s="142"/>
      <c r="FMH108" s="142"/>
      <c r="FMI108" s="142"/>
      <c r="FMJ108" s="142"/>
      <c r="FMK108" s="142"/>
      <c r="FML108" s="142"/>
      <c r="FMM108" s="142"/>
      <c r="FMN108" s="142"/>
      <c r="FMO108" s="142"/>
      <c r="FMP108" s="142"/>
      <c r="FMQ108" s="142"/>
      <c r="FMR108" s="142"/>
      <c r="FMS108" s="142"/>
      <c r="FMT108" s="142"/>
      <c r="FMU108" s="142"/>
      <c r="FMV108" s="142"/>
      <c r="FMW108" s="142"/>
      <c r="FMX108" s="142"/>
      <c r="FMY108" s="142"/>
      <c r="FMZ108" s="142"/>
      <c r="FNA108" s="142"/>
      <c r="FNB108" s="142"/>
      <c r="FNC108" s="142"/>
      <c r="FND108" s="142"/>
      <c r="FNE108" s="142"/>
      <c r="FNF108" s="142"/>
      <c r="FNG108" s="142"/>
      <c r="FNH108" s="142"/>
      <c r="FNI108" s="142"/>
      <c r="FNJ108" s="142"/>
      <c r="FNK108" s="142"/>
      <c r="FNL108" s="142"/>
      <c r="FNM108" s="142"/>
      <c r="FNN108" s="142"/>
      <c r="FNO108" s="142"/>
      <c r="FNP108" s="142"/>
      <c r="FNQ108" s="142"/>
      <c r="FNR108" s="142"/>
      <c r="FNS108" s="142"/>
      <c r="FNT108" s="142"/>
      <c r="FNU108" s="142"/>
      <c r="FNV108" s="142"/>
      <c r="FNW108" s="142"/>
      <c r="FNX108" s="142"/>
      <c r="FNY108" s="142"/>
      <c r="FNZ108" s="142"/>
      <c r="FOA108" s="142"/>
      <c r="FOB108" s="142"/>
      <c r="FOC108" s="142"/>
      <c r="FOD108" s="142"/>
      <c r="FOE108" s="142"/>
      <c r="FOF108" s="142"/>
      <c r="FOG108" s="142"/>
      <c r="FOH108" s="142"/>
      <c r="FOI108" s="142"/>
      <c r="FOJ108" s="142"/>
      <c r="FOK108" s="142"/>
      <c r="FOL108" s="142"/>
      <c r="FOM108" s="142"/>
      <c r="FON108" s="142"/>
      <c r="FOO108" s="142"/>
      <c r="FOP108" s="142"/>
      <c r="FOQ108" s="142"/>
      <c r="FOR108" s="142"/>
      <c r="FOS108" s="142"/>
      <c r="FOT108" s="142"/>
      <c r="FOU108" s="142"/>
      <c r="FOV108" s="142"/>
      <c r="FOW108" s="142"/>
      <c r="FOX108" s="142"/>
      <c r="FOY108" s="142"/>
      <c r="FOZ108" s="142"/>
      <c r="FPA108" s="142"/>
      <c r="FPB108" s="142"/>
      <c r="FPC108" s="142"/>
      <c r="FPD108" s="142"/>
      <c r="FPE108" s="142"/>
      <c r="FPF108" s="142"/>
      <c r="FPG108" s="142"/>
      <c r="FPH108" s="142"/>
      <c r="FPI108" s="142"/>
      <c r="FPJ108" s="142"/>
      <c r="FPK108" s="142"/>
      <c r="FPL108" s="142"/>
      <c r="FPM108" s="142"/>
      <c r="FPN108" s="142"/>
      <c r="FPO108" s="142"/>
      <c r="FPP108" s="142"/>
      <c r="FPQ108" s="142"/>
      <c r="FPR108" s="142"/>
      <c r="FPS108" s="142"/>
      <c r="FPT108" s="142"/>
      <c r="FPU108" s="142"/>
      <c r="FPV108" s="142"/>
      <c r="FPW108" s="142"/>
      <c r="FPX108" s="142"/>
      <c r="FPY108" s="142"/>
      <c r="FPZ108" s="142"/>
      <c r="FQA108" s="142"/>
      <c r="FQB108" s="142"/>
      <c r="FQC108" s="142"/>
      <c r="FQD108" s="142"/>
      <c r="FQE108" s="142"/>
      <c r="FQF108" s="142"/>
      <c r="FQG108" s="142"/>
      <c r="FQH108" s="142"/>
      <c r="FQI108" s="142"/>
      <c r="FQJ108" s="142"/>
      <c r="FQK108" s="142"/>
      <c r="FQL108" s="142"/>
      <c r="FQM108" s="142"/>
      <c r="FQN108" s="142"/>
      <c r="FQO108" s="142"/>
      <c r="FQP108" s="142"/>
      <c r="FQQ108" s="142"/>
      <c r="FQR108" s="142"/>
      <c r="FQS108" s="142"/>
      <c r="FQT108" s="142"/>
      <c r="FQU108" s="142"/>
      <c r="FQV108" s="142"/>
      <c r="FQW108" s="142"/>
      <c r="FQX108" s="142"/>
      <c r="FQY108" s="142"/>
      <c r="FQZ108" s="142"/>
      <c r="FRA108" s="142"/>
      <c r="FRB108" s="142"/>
      <c r="FRC108" s="142"/>
      <c r="FRD108" s="142"/>
      <c r="FRE108" s="142"/>
      <c r="FRF108" s="142"/>
      <c r="FRG108" s="142"/>
      <c r="FRH108" s="142"/>
      <c r="FRI108" s="142"/>
      <c r="FRJ108" s="142"/>
      <c r="FRK108" s="142"/>
      <c r="FRL108" s="142"/>
      <c r="FRM108" s="142"/>
      <c r="FRN108" s="142"/>
      <c r="FRO108" s="142"/>
      <c r="FRP108" s="142"/>
      <c r="FRQ108" s="142"/>
      <c r="FRR108" s="142"/>
      <c r="FRS108" s="142"/>
      <c r="FRT108" s="142"/>
      <c r="FRU108" s="142"/>
      <c r="FRV108" s="142"/>
      <c r="FRW108" s="142"/>
      <c r="FRX108" s="142"/>
      <c r="FRY108" s="142"/>
      <c r="FRZ108" s="142"/>
      <c r="FSA108" s="142"/>
      <c r="FSB108" s="142"/>
      <c r="FSC108" s="142"/>
      <c r="FSD108" s="142"/>
      <c r="FSE108" s="142"/>
      <c r="FSF108" s="142"/>
      <c r="FSG108" s="142"/>
      <c r="FSH108" s="142"/>
      <c r="FSI108" s="142"/>
      <c r="FSJ108" s="142"/>
      <c r="FSK108" s="142"/>
      <c r="FSL108" s="142"/>
      <c r="FSM108" s="142"/>
      <c r="FSN108" s="142"/>
      <c r="FSO108" s="142"/>
      <c r="FSP108" s="142"/>
      <c r="FSQ108" s="142"/>
      <c r="FSR108" s="142"/>
      <c r="FSS108" s="142"/>
      <c r="FST108" s="142"/>
      <c r="FSU108" s="142"/>
      <c r="FSV108" s="142"/>
      <c r="FSW108" s="142"/>
      <c r="FSX108" s="142"/>
      <c r="FSY108" s="142"/>
      <c r="FSZ108" s="142"/>
      <c r="FTA108" s="142"/>
      <c r="FTB108" s="142"/>
      <c r="FTC108" s="142"/>
      <c r="FTD108" s="142"/>
      <c r="FTE108" s="142"/>
      <c r="FTF108" s="142"/>
      <c r="FTG108" s="142"/>
      <c r="FTH108" s="142"/>
      <c r="FTI108" s="142"/>
      <c r="FTJ108" s="142"/>
      <c r="FTK108" s="142"/>
      <c r="FTL108" s="142"/>
      <c r="FTM108" s="142"/>
      <c r="FTN108" s="142"/>
      <c r="FTO108" s="142"/>
      <c r="FTP108" s="142"/>
      <c r="FTQ108" s="142"/>
      <c r="FTR108" s="142"/>
      <c r="FTS108" s="142"/>
      <c r="FTT108" s="142"/>
      <c r="FTU108" s="142"/>
      <c r="FTV108" s="142"/>
      <c r="FTW108" s="142"/>
      <c r="FTX108" s="142"/>
      <c r="FTY108" s="142"/>
      <c r="FTZ108" s="142"/>
      <c r="FUA108" s="142"/>
      <c r="FUB108" s="142"/>
      <c r="FUC108" s="142"/>
      <c r="FUD108" s="142"/>
      <c r="FUE108" s="142"/>
      <c r="FUF108" s="142"/>
      <c r="FUG108" s="142"/>
      <c r="FUH108" s="142"/>
      <c r="FUI108" s="142"/>
      <c r="FUJ108" s="142"/>
      <c r="FUK108" s="142"/>
      <c r="FUL108" s="142"/>
      <c r="FUM108" s="142"/>
      <c r="FUN108" s="142"/>
      <c r="FUO108" s="142"/>
      <c r="FUP108" s="142"/>
      <c r="FUQ108" s="142"/>
      <c r="FUR108" s="142"/>
      <c r="FUS108" s="142"/>
      <c r="FUT108" s="142"/>
      <c r="FUU108" s="142"/>
      <c r="FUV108" s="142"/>
      <c r="FUW108" s="142"/>
      <c r="FUX108" s="142"/>
      <c r="FUY108" s="142"/>
      <c r="FUZ108" s="142"/>
      <c r="FVA108" s="142"/>
      <c r="FVB108" s="142"/>
      <c r="FVC108" s="142"/>
      <c r="FVD108" s="142"/>
      <c r="FVE108" s="142"/>
      <c r="FVF108" s="142"/>
      <c r="FVG108" s="142"/>
      <c r="FVH108" s="142"/>
      <c r="FVI108" s="142"/>
      <c r="FVJ108" s="142"/>
      <c r="FVK108" s="142"/>
      <c r="FVL108" s="142"/>
      <c r="FVM108" s="142"/>
      <c r="FVN108" s="142"/>
      <c r="FVO108" s="142"/>
      <c r="FVP108" s="142"/>
      <c r="FVQ108" s="142"/>
      <c r="FVR108" s="142"/>
      <c r="FVS108" s="142"/>
      <c r="FVT108" s="142"/>
      <c r="FVU108" s="142"/>
      <c r="FVV108" s="142"/>
      <c r="FVW108" s="142"/>
      <c r="FVX108" s="142"/>
      <c r="FVY108" s="142"/>
      <c r="FVZ108" s="142"/>
      <c r="FWA108" s="142"/>
      <c r="FWB108" s="142"/>
      <c r="FWC108" s="142"/>
      <c r="FWD108" s="142"/>
      <c r="FWE108" s="142"/>
      <c r="FWF108" s="142"/>
      <c r="FWG108" s="142"/>
      <c r="FWH108" s="142"/>
      <c r="FWI108" s="142"/>
      <c r="FWJ108" s="142"/>
      <c r="FWK108" s="142"/>
      <c r="FWL108" s="142"/>
      <c r="FWM108" s="142"/>
      <c r="FWN108" s="142"/>
      <c r="FWO108" s="142"/>
      <c r="FWP108" s="142"/>
      <c r="FWQ108" s="142"/>
      <c r="FWR108" s="142"/>
      <c r="FWS108" s="142"/>
      <c r="FWT108" s="142"/>
      <c r="FWU108" s="142"/>
      <c r="FWV108" s="142"/>
      <c r="FWW108" s="142"/>
      <c r="FWX108" s="142"/>
      <c r="FWY108" s="142"/>
      <c r="FWZ108" s="142"/>
      <c r="FXA108" s="142"/>
      <c r="FXB108" s="142"/>
      <c r="FXC108" s="142"/>
      <c r="FXD108" s="142"/>
      <c r="FXE108" s="142"/>
      <c r="FXF108" s="142"/>
      <c r="FXG108" s="142"/>
      <c r="FXH108" s="142"/>
      <c r="FXI108" s="142"/>
      <c r="FXJ108" s="142"/>
      <c r="FXK108" s="142"/>
      <c r="FXL108" s="142"/>
      <c r="FXM108" s="142"/>
      <c r="FXN108" s="142"/>
      <c r="FXO108" s="142"/>
      <c r="FXP108" s="142"/>
      <c r="FXQ108" s="142"/>
      <c r="FXR108" s="142"/>
      <c r="FXS108" s="142"/>
      <c r="FXT108" s="142"/>
      <c r="FXU108" s="142"/>
      <c r="FXV108" s="142"/>
      <c r="FXW108" s="142"/>
      <c r="FXX108" s="142"/>
      <c r="FXY108" s="142"/>
      <c r="FXZ108" s="142"/>
      <c r="FYA108" s="142"/>
      <c r="FYB108" s="142"/>
      <c r="FYC108" s="142"/>
      <c r="FYD108" s="142"/>
      <c r="FYE108" s="142"/>
      <c r="FYF108" s="142"/>
      <c r="FYG108" s="142"/>
      <c r="FYH108" s="142"/>
      <c r="FYI108" s="142"/>
      <c r="FYJ108" s="142"/>
      <c r="FYK108" s="142"/>
      <c r="FYL108" s="142"/>
      <c r="FYM108" s="142"/>
      <c r="FYN108" s="142"/>
      <c r="FYO108" s="142"/>
      <c r="FYP108" s="142"/>
      <c r="FYQ108" s="142"/>
      <c r="FYR108" s="142"/>
      <c r="FYS108" s="142"/>
      <c r="FYT108" s="142"/>
      <c r="FYU108" s="142"/>
      <c r="FYV108" s="142"/>
      <c r="FYW108" s="142"/>
      <c r="FYX108" s="142"/>
      <c r="FYY108" s="142"/>
      <c r="FYZ108" s="142"/>
      <c r="FZA108" s="142"/>
      <c r="FZB108" s="142"/>
      <c r="FZC108" s="142"/>
      <c r="FZD108" s="142"/>
      <c r="FZE108" s="142"/>
      <c r="FZF108" s="142"/>
      <c r="FZG108" s="142"/>
      <c r="FZH108" s="142"/>
      <c r="FZI108" s="142"/>
      <c r="FZJ108" s="142"/>
      <c r="FZK108" s="142"/>
      <c r="FZL108" s="142"/>
      <c r="FZM108" s="142"/>
      <c r="FZN108" s="142"/>
      <c r="FZO108" s="142"/>
      <c r="FZP108" s="142"/>
      <c r="FZQ108" s="142"/>
      <c r="FZR108" s="142"/>
      <c r="FZS108" s="142"/>
      <c r="FZT108" s="142"/>
      <c r="FZU108" s="142"/>
      <c r="FZV108" s="142"/>
      <c r="FZW108" s="142"/>
      <c r="FZX108" s="142"/>
      <c r="FZY108" s="142"/>
      <c r="FZZ108" s="142"/>
      <c r="GAA108" s="142"/>
      <c r="GAB108" s="142"/>
      <c r="GAC108" s="142"/>
      <c r="GAD108" s="142"/>
      <c r="GAE108" s="142"/>
      <c r="GAF108" s="142"/>
      <c r="GAG108" s="142"/>
      <c r="GAH108" s="142"/>
      <c r="GAI108" s="142"/>
      <c r="GAJ108" s="142"/>
      <c r="GAK108" s="142"/>
      <c r="GAL108" s="142"/>
      <c r="GAM108" s="142"/>
      <c r="GAN108" s="142"/>
      <c r="GAO108" s="142"/>
      <c r="GAP108" s="142"/>
      <c r="GAQ108" s="142"/>
      <c r="GAR108" s="142"/>
      <c r="GAS108" s="142"/>
      <c r="GAT108" s="142"/>
      <c r="GAU108" s="142"/>
      <c r="GAV108" s="142"/>
      <c r="GAW108" s="142"/>
      <c r="GAX108" s="142"/>
      <c r="GAY108" s="142"/>
      <c r="GAZ108" s="142"/>
      <c r="GBA108" s="142"/>
      <c r="GBB108" s="142"/>
      <c r="GBC108" s="142"/>
      <c r="GBD108" s="142"/>
      <c r="GBE108" s="142"/>
      <c r="GBF108" s="142"/>
      <c r="GBG108" s="142"/>
      <c r="GBH108" s="142"/>
      <c r="GBI108" s="142"/>
      <c r="GBJ108" s="142"/>
      <c r="GBK108" s="142"/>
      <c r="GBL108" s="142"/>
      <c r="GBM108" s="142"/>
      <c r="GBN108" s="142"/>
      <c r="GBO108" s="142"/>
      <c r="GBP108" s="142"/>
      <c r="GBQ108" s="142"/>
      <c r="GBR108" s="142"/>
      <c r="GBS108" s="142"/>
      <c r="GBT108" s="142"/>
      <c r="GBU108" s="142"/>
      <c r="GBV108" s="142"/>
      <c r="GBW108" s="142"/>
      <c r="GBX108" s="142"/>
      <c r="GBY108" s="142"/>
      <c r="GBZ108" s="142"/>
      <c r="GCA108" s="142"/>
      <c r="GCB108" s="142"/>
      <c r="GCC108" s="142"/>
      <c r="GCD108" s="142"/>
      <c r="GCE108" s="142"/>
      <c r="GCF108" s="142"/>
      <c r="GCG108" s="142"/>
      <c r="GCH108" s="142"/>
      <c r="GCI108" s="142"/>
      <c r="GCJ108" s="142"/>
      <c r="GCK108" s="142"/>
      <c r="GCL108" s="142"/>
      <c r="GCM108" s="142"/>
      <c r="GCN108" s="142"/>
      <c r="GCO108" s="142"/>
      <c r="GCP108" s="142"/>
      <c r="GCQ108" s="142"/>
      <c r="GCR108" s="142"/>
      <c r="GCS108" s="142"/>
      <c r="GCT108" s="142"/>
      <c r="GCU108" s="142"/>
      <c r="GCV108" s="142"/>
      <c r="GCW108" s="142"/>
      <c r="GCX108" s="142"/>
      <c r="GCY108" s="142"/>
      <c r="GCZ108" s="142"/>
      <c r="GDA108" s="142"/>
      <c r="GDB108" s="142"/>
      <c r="GDC108" s="142"/>
      <c r="GDD108" s="142"/>
      <c r="GDE108" s="142"/>
      <c r="GDF108" s="142"/>
      <c r="GDG108" s="142"/>
      <c r="GDH108" s="142"/>
      <c r="GDI108" s="142"/>
      <c r="GDJ108" s="142"/>
      <c r="GDK108" s="142"/>
      <c r="GDL108" s="142"/>
      <c r="GDM108" s="142"/>
      <c r="GDN108" s="142"/>
      <c r="GDO108" s="142"/>
      <c r="GDP108" s="142"/>
      <c r="GDQ108" s="142"/>
      <c r="GDR108" s="142"/>
      <c r="GDS108" s="142"/>
      <c r="GDT108" s="142"/>
      <c r="GDU108" s="142"/>
      <c r="GDV108" s="142"/>
      <c r="GDW108" s="142"/>
      <c r="GDX108" s="142"/>
      <c r="GDY108" s="142"/>
      <c r="GDZ108" s="142"/>
      <c r="GEA108" s="142"/>
      <c r="GEB108" s="142"/>
      <c r="GEC108" s="142"/>
      <c r="GED108" s="142"/>
      <c r="GEE108" s="142"/>
      <c r="GEF108" s="142"/>
      <c r="GEG108" s="142"/>
      <c r="GEH108" s="142"/>
      <c r="GEI108" s="142"/>
      <c r="GEJ108" s="142"/>
      <c r="GEK108" s="142"/>
      <c r="GEL108" s="142"/>
      <c r="GEM108" s="142"/>
      <c r="GEN108" s="142"/>
      <c r="GEO108" s="142"/>
      <c r="GEP108" s="142"/>
      <c r="GEQ108" s="142"/>
      <c r="GER108" s="142"/>
      <c r="GES108" s="142"/>
      <c r="GET108" s="142"/>
      <c r="GEU108" s="142"/>
      <c r="GEV108" s="142"/>
      <c r="GEW108" s="142"/>
      <c r="GEX108" s="142"/>
      <c r="GEY108" s="142"/>
      <c r="GEZ108" s="142"/>
      <c r="GFA108" s="142"/>
      <c r="GFB108" s="142"/>
      <c r="GFC108" s="142"/>
      <c r="GFD108" s="142"/>
      <c r="GFE108" s="142"/>
      <c r="GFF108" s="142"/>
      <c r="GFG108" s="142"/>
      <c r="GFH108" s="142"/>
      <c r="GFI108" s="142"/>
      <c r="GFJ108" s="142"/>
      <c r="GFK108" s="142"/>
      <c r="GFL108" s="142"/>
      <c r="GFM108" s="142"/>
      <c r="GFN108" s="142"/>
      <c r="GFO108" s="142"/>
      <c r="GFP108" s="142"/>
      <c r="GFQ108" s="142"/>
      <c r="GFR108" s="142"/>
      <c r="GFS108" s="142"/>
      <c r="GFT108" s="142"/>
      <c r="GFU108" s="142"/>
      <c r="GFV108" s="142"/>
      <c r="GFW108" s="142"/>
      <c r="GFX108" s="142"/>
      <c r="GFY108" s="142"/>
      <c r="GFZ108" s="142"/>
      <c r="GGA108" s="142"/>
      <c r="GGB108" s="142"/>
      <c r="GGC108" s="142"/>
      <c r="GGD108" s="142"/>
      <c r="GGE108" s="142"/>
      <c r="GGF108" s="142"/>
      <c r="GGG108" s="142"/>
      <c r="GGH108" s="142"/>
      <c r="GGI108" s="142"/>
      <c r="GGJ108" s="142"/>
      <c r="GGK108" s="142"/>
      <c r="GGL108" s="142"/>
      <c r="GGM108" s="142"/>
      <c r="GGN108" s="142"/>
      <c r="GGO108" s="142"/>
      <c r="GGP108" s="142"/>
      <c r="GGQ108" s="142"/>
      <c r="GGR108" s="142"/>
      <c r="GGS108" s="142"/>
      <c r="GGT108" s="142"/>
      <c r="GGU108" s="142"/>
      <c r="GGV108" s="142"/>
      <c r="GGW108" s="142"/>
      <c r="GGX108" s="142"/>
      <c r="GGY108" s="142"/>
      <c r="GGZ108" s="142"/>
      <c r="GHA108" s="142"/>
      <c r="GHB108" s="142"/>
      <c r="GHC108" s="142"/>
      <c r="GHD108" s="142"/>
      <c r="GHE108" s="142"/>
      <c r="GHF108" s="142"/>
      <c r="GHG108" s="142"/>
      <c r="GHH108" s="142"/>
      <c r="GHI108" s="142"/>
      <c r="GHJ108" s="142"/>
      <c r="GHK108" s="142"/>
      <c r="GHL108" s="142"/>
      <c r="GHM108" s="142"/>
      <c r="GHN108" s="142"/>
      <c r="GHO108" s="142"/>
      <c r="GHP108" s="142"/>
      <c r="GHQ108" s="142"/>
      <c r="GHR108" s="142"/>
      <c r="GHS108" s="142"/>
      <c r="GHT108" s="142"/>
      <c r="GHU108" s="142"/>
      <c r="GHV108" s="142"/>
      <c r="GHW108" s="142"/>
      <c r="GHX108" s="142"/>
      <c r="GHY108" s="142"/>
      <c r="GHZ108" s="142"/>
      <c r="GIA108" s="142"/>
      <c r="GIB108" s="142"/>
      <c r="GIC108" s="142"/>
      <c r="GID108" s="142"/>
      <c r="GIE108" s="142"/>
      <c r="GIF108" s="142"/>
      <c r="GIG108" s="142"/>
      <c r="GIH108" s="142"/>
      <c r="GII108" s="142"/>
      <c r="GIJ108" s="142"/>
      <c r="GIK108" s="142"/>
      <c r="GIL108" s="142"/>
      <c r="GIM108" s="142"/>
      <c r="GIN108" s="142"/>
      <c r="GIO108" s="142"/>
      <c r="GIP108" s="142"/>
      <c r="GIQ108" s="142"/>
      <c r="GIR108" s="142"/>
      <c r="GIS108" s="142"/>
      <c r="GIT108" s="142"/>
      <c r="GIU108" s="142"/>
      <c r="GIV108" s="142"/>
      <c r="GIW108" s="142"/>
      <c r="GIX108" s="142"/>
      <c r="GIY108" s="142"/>
      <c r="GIZ108" s="142"/>
      <c r="GJA108" s="142"/>
      <c r="GJB108" s="142"/>
      <c r="GJC108" s="142"/>
      <c r="GJD108" s="142"/>
      <c r="GJE108" s="142"/>
      <c r="GJF108" s="142"/>
      <c r="GJG108" s="142"/>
      <c r="GJH108" s="142"/>
      <c r="GJI108" s="142"/>
      <c r="GJJ108" s="142"/>
      <c r="GJK108" s="142"/>
      <c r="GJL108" s="142"/>
      <c r="GJM108" s="142"/>
      <c r="GJN108" s="142"/>
      <c r="GJO108" s="142"/>
      <c r="GJP108" s="142"/>
      <c r="GJQ108" s="142"/>
      <c r="GJR108" s="142"/>
      <c r="GJS108" s="142"/>
      <c r="GJT108" s="142"/>
      <c r="GJU108" s="142"/>
      <c r="GJV108" s="142"/>
      <c r="GJW108" s="142"/>
      <c r="GJX108" s="142"/>
      <c r="GJY108" s="142"/>
      <c r="GJZ108" s="142"/>
      <c r="GKA108" s="142"/>
      <c r="GKB108" s="142"/>
      <c r="GKC108" s="142"/>
      <c r="GKD108" s="142"/>
      <c r="GKE108" s="142"/>
      <c r="GKF108" s="142"/>
      <c r="GKG108" s="142"/>
      <c r="GKH108" s="142"/>
      <c r="GKI108" s="142"/>
      <c r="GKJ108" s="142"/>
      <c r="GKK108" s="142"/>
      <c r="GKL108" s="142"/>
      <c r="GKM108" s="142"/>
      <c r="GKN108" s="142"/>
      <c r="GKO108" s="142"/>
      <c r="GKP108" s="142"/>
      <c r="GKQ108" s="142"/>
      <c r="GKR108" s="142"/>
      <c r="GKS108" s="142"/>
      <c r="GKT108" s="142"/>
      <c r="GKU108" s="142"/>
      <c r="GKV108" s="142"/>
      <c r="GKW108" s="142"/>
      <c r="GKX108" s="142"/>
      <c r="GKY108" s="142"/>
      <c r="GKZ108" s="142"/>
      <c r="GLA108" s="142"/>
      <c r="GLB108" s="142"/>
      <c r="GLC108" s="142"/>
      <c r="GLD108" s="142"/>
      <c r="GLE108" s="142"/>
      <c r="GLF108" s="142"/>
      <c r="GLG108" s="142"/>
      <c r="GLH108" s="142"/>
      <c r="GLI108" s="142"/>
      <c r="GLJ108" s="142"/>
      <c r="GLK108" s="142"/>
      <c r="GLL108" s="142"/>
      <c r="GLM108" s="142"/>
      <c r="GLN108" s="142"/>
      <c r="GLO108" s="142"/>
      <c r="GLP108" s="142"/>
      <c r="GLQ108" s="142"/>
      <c r="GLR108" s="142"/>
      <c r="GLS108" s="142"/>
      <c r="GLT108" s="142"/>
      <c r="GLU108" s="142"/>
      <c r="GLV108" s="142"/>
      <c r="GLW108" s="142"/>
      <c r="GLX108" s="142"/>
      <c r="GLY108" s="142"/>
      <c r="GLZ108" s="142"/>
      <c r="GMA108" s="142"/>
      <c r="GMB108" s="142"/>
      <c r="GMC108" s="142"/>
      <c r="GMD108" s="142"/>
      <c r="GME108" s="142"/>
      <c r="GMF108" s="142"/>
      <c r="GMG108" s="142"/>
      <c r="GMH108" s="142"/>
      <c r="GMI108" s="142"/>
      <c r="GMJ108" s="142"/>
      <c r="GMK108" s="142"/>
      <c r="GML108" s="142"/>
      <c r="GMM108" s="142"/>
      <c r="GMN108" s="142"/>
      <c r="GMO108" s="142"/>
      <c r="GMP108" s="142"/>
      <c r="GMQ108" s="142"/>
      <c r="GMR108" s="142"/>
      <c r="GMS108" s="142"/>
      <c r="GMT108" s="142"/>
      <c r="GMU108" s="142"/>
      <c r="GMV108" s="142"/>
      <c r="GMW108" s="142"/>
      <c r="GMX108" s="142"/>
      <c r="GMY108" s="142"/>
      <c r="GMZ108" s="142"/>
      <c r="GNA108" s="142"/>
      <c r="GNB108" s="142"/>
      <c r="GNC108" s="142"/>
      <c r="GND108" s="142"/>
      <c r="GNE108" s="142"/>
      <c r="GNF108" s="142"/>
      <c r="GNG108" s="142"/>
      <c r="GNH108" s="142"/>
      <c r="GNI108" s="142"/>
      <c r="GNJ108" s="142"/>
      <c r="GNK108" s="142"/>
      <c r="GNL108" s="142"/>
      <c r="GNM108" s="142"/>
      <c r="GNN108" s="142"/>
      <c r="GNO108" s="142"/>
      <c r="GNP108" s="142"/>
      <c r="GNQ108" s="142"/>
      <c r="GNR108" s="142"/>
      <c r="GNS108" s="142"/>
      <c r="GNT108" s="142"/>
      <c r="GNU108" s="142"/>
      <c r="GNV108" s="142"/>
      <c r="GNW108" s="142"/>
      <c r="GNX108" s="142"/>
      <c r="GNY108" s="142"/>
      <c r="GNZ108" s="142"/>
      <c r="GOA108" s="142"/>
      <c r="GOB108" s="142"/>
      <c r="GOC108" s="142"/>
      <c r="GOD108" s="142"/>
      <c r="GOE108" s="142"/>
      <c r="GOF108" s="142"/>
      <c r="GOG108" s="142"/>
      <c r="GOH108" s="142"/>
      <c r="GOI108" s="142"/>
      <c r="GOJ108" s="142"/>
      <c r="GOK108" s="142"/>
      <c r="GOL108" s="142"/>
      <c r="GOM108" s="142"/>
      <c r="GON108" s="142"/>
      <c r="GOO108" s="142"/>
      <c r="GOP108" s="142"/>
      <c r="GOQ108" s="142"/>
      <c r="GOR108" s="142"/>
      <c r="GOS108" s="142"/>
      <c r="GOT108" s="142"/>
      <c r="GOU108" s="142"/>
      <c r="GOV108" s="142"/>
      <c r="GOW108" s="142"/>
      <c r="GOX108" s="142"/>
      <c r="GOY108" s="142"/>
      <c r="GOZ108" s="142"/>
      <c r="GPA108" s="142"/>
      <c r="GPB108" s="142"/>
      <c r="GPC108" s="142"/>
      <c r="GPD108" s="142"/>
      <c r="GPE108" s="142"/>
      <c r="GPF108" s="142"/>
      <c r="GPG108" s="142"/>
      <c r="GPH108" s="142"/>
      <c r="GPI108" s="142"/>
      <c r="GPJ108" s="142"/>
      <c r="GPK108" s="142"/>
      <c r="GPL108" s="142"/>
      <c r="GPM108" s="142"/>
      <c r="GPN108" s="142"/>
      <c r="GPO108" s="142"/>
      <c r="GPP108" s="142"/>
      <c r="GPQ108" s="142"/>
      <c r="GPR108" s="142"/>
      <c r="GPS108" s="142"/>
      <c r="GPT108" s="142"/>
      <c r="GPU108" s="142"/>
      <c r="GPV108" s="142"/>
      <c r="GPW108" s="142"/>
      <c r="GPX108" s="142"/>
      <c r="GPY108" s="142"/>
      <c r="GPZ108" s="142"/>
      <c r="GQA108" s="142"/>
      <c r="GQB108" s="142"/>
      <c r="GQC108" s="142"/>
      <c r="GQD108" s="142"/>
      <c r="GQE108" s="142"/>
      <c r="GQF108" s="142"/>
      <c r="GQG108" s="142"/>
      <c r="GQH108" s="142"/>
      <c r="GQI108" s="142"/>
      <c r="GQJ108" s="142"/>
      <c r="GQK108" s="142"/>
      <c r="GQL108" s="142"/>
      <c r="GQM108" s="142"/>
      <c r="GQN108" s="142"/>
      <c r="GQO108" s="142"/>
      <c r="GQP108" s="142"/>
      <c r="GQQ108" s="142"/>
      <c r="GQR108" s="142"/>
      <c r="GQS108" s="142"/>
      <c r="GQT108" s="142"/>
      <c r="GQU108" s="142"/>
      <c r="GQV108" s="142"/>
      <c r="GQW108" s="142"/>
      <c r="GQX108" s="142"/>
      <c r="GQY108" s="142"/>
      <c r="GQZ108" s="142"/>
      <c r="GRA108" s="142"/>
      <c r="GRB108" s="142"/>
      <c r="GRC108" s="142"/>
      <c r="GRD108" s="142"/>
      <c r="GRE108" s="142"/>
      <c r="GRF108" s="142"/>
      <c r="GRG108" s="142"/>
      <c r="GRH108" s="142"/>
      <c r="GRI108" s="142"/>
      <c r="GRJ108" s="142"/>
      <c r="GRK108" s="142"/>
      <c r="GRL108" s="142"/>
      <c r="GRM108" s="142"/>
      <c r="GRN108" s="142"/>
      <c r="GRO108" s="142"/>
      <c r="GRP108" s="142"/>
      <c r="GRQ108" s="142"/>
      <c r="GRR108" s="142"/>
      <c r="GRS108" s="142"/>
      <c r="GRT108" s="142"/>
      <c r="GRU108" s="142"/>
      <c r="GRV108" s="142"/>
      <c r="GRW108" s="142"/>
      <c r="GRX108" s="142"/>
      <c r="GRY108" s="142"/>
      <c r="GRZ108" s="142"/>
      <c r="GSA108" s="142"/>
      <c r="GSB108" s="142"/>
      <c r="GSC108" s="142"/>
      <c r="GSD108" s="142"/>
      <c r="GSE108" s="142"/>
      <c r="GSF108" s="142"/>
      <c r="GSG108" s="142"/>
      <c r="GSH108" s="142"/>
      <c r="GSI108" s="142"/>
      <c r="GSJ108" s="142"/>
      <c r="GSK108" s="142"/>
      <c r="GSL108" s="142"/>
      <c r="GSM108" s="142"/>
      <c r="GSN108" s="142"/>
      <c r="GSO108" s="142"/>
      <c r="GSP108" s="142"/>
      <c r="GSQ108" s="142"/>
      <c r="GSR108" s="142"/>
      <c r="GSS108" s="142"/>
      <c r="GST108" s="142"/>
      <c r="GSU108" s="142"/>
      <c r="GSV108" s="142"/>
      <c r="GSW108" s="142"/>
      <c r="GSX108" s="142"/>
      <c r="GSY108" s="142"/>
      <c r="GSZ108" s="142"/>
      <c r="GTA108" s="142"/>
      <c r="GTB108" s="142"/>
      <c r="GTC108" s="142"/>
      <c r="GTD108" s="142"/>
      <c r="GTE108" s="142"/>
      <c r="GTF108" s="142"/>
      <c r="GTG108" s="142"/>
      <c r="GTH108" s="142"/>
      <c r="GTI108" s="142"/>
      <c r="GTJ108" s="142"/>
      <c r="GTK108" s="142"/>
      <c r="GTL108" s="142"/>
      <c r="GTM108" s="142"/>
      <c r="GTN108" s="142"/>
      <c r="GTO108" s="142"/>
      <c r="GTP108" s="142"/>
      <c r="GTQ108" s="142"/>
      <c r="GTR108" s="142"/>
      <c r="GTS108" s="142"/>
      <c r="GTT108" s="142"/>
      <c r="GTU108" s="142"/>
      <c r="GTV108" s="142"/>
      <c r="GTW108" s="142"/>
      <c r="GTX108" s="142"/>
      <c r="GTY108" s="142"/>
      <c r="GTZ108" s="142"/>
      <c r="GUA108" s="142"/>
      <c r="GUB108" s="142"/>
      <c r="GUC108" s="142"/>
      <c r="GUD108" s="142"/>
      <c r="GUE108" s="142"/>
      <c r="GUF108" s="142"/>
      <c r="GUG108" s="142"/>
      <c r="GUH108" s="142"/>
      <c r="GUI108" s="142"/>
      <c r="GUJ108" s="142"/>
      <c r="GUK108" s="142"/>
      <c r="GUL108" s="142"/>
      <c r="GUM108" s="142"/>
      <c r="GUN108" s="142"/>
      <c r="GUO108" s="142"/>
      <c r="GUP108" s="142"/>
      <c r="GUQ108" s="142"/>
      <c r="GUR108" s="142"/>
      <c r="GUS108" s="142"/>
      <c r="GUT108" s="142"/>
      <c r="GUU108" s="142"/>
      <c r="GUV108" s="142"/>
      <c r="GUW108" s="142"/>
      <c r="GUX108" s="142"/>
      <c r="GUY108" s="142"/>
      <c r="GUZ108" s="142"/>
      <c r="GVA108" s="142"/>
      <c r="GVB108" s="142"/>
      <c r="GVC108" s="142"/>
      <c r="GVD108" s="142"/>
      <c r="GVE108" s="142"/>
      <c r="GVF108" s="142"/>
      <c r="GVG108" s="142"/>
      <c r="GVH108" s="142"/>
      <c r="GVI108" s="142"/>
      <c r="GVJ108" s="142"/>
      <c r="GVK108" s="142"/>
      <c r="GVL108" s="142"/>
      <c r="GVM108" s="142"/>
      <c r="GVN108" s="142"/>
      <c r="GVO108" s="142"/>
      <c r="GVP108" s="142"/>
      <c r="GVQ108" s="142"/>
      <c r="GVR108" s="142"/>
      <c r="GVS108" s="142"/>
      <c r="GVT108" s="142"/>
      <c r="GVU108" s="142"/>
      <c r="GVV108" s="142"/>
      <c r="GVW108" s="142"/>
      <c r="GVX108" s="142"/>
      <c r="GVY108" s="142"/>
      <c r="GVZ108" s="142"/>
      <c r="GWA108" s="142"/>
      <c r="GWB108" s="142"/>
      <c r="GWC108" s="142"/>
      <c r="GWD108" s="142"/>
      <c r="GWE108" s="142"/>
      <c r="GWF108" s="142"/>
      <c r="GWG108" s="142"/>
      <c r="GWH108" s="142"/>
      <c r="GWI108" s="142"/>
      <c r="GWJ108" s="142"/>
      <c r="GWK108" s="142"/>
      <c r="GWL108" s="142"/>
      <c r="GWM108" s="142"/>
      <c r="GWN108" s="142"/>
      <c r="GWO108" s="142"/>
      <c r="GWP108" s="142"/>
      <c r="GWQ108" s="142"/>
      <c r="GWR108" s="142"/>
      <c r="GWS108" s="142"/>
      <c r="GWT108" s="142"/>
      <c r="GWU108" s="142"/>
      <c r="GWV108" s="142"/>
      <c r="GWW108" s="142"/>
      <c r="GWX108" s="142"/>
      <c r="GWY108" s="142"/>
      <c r="GWZ108" s="142"/>
      <c r="GXA108" s="142"/>
      <c r="GXB108" s="142"/>
      <c r="GXC108" s="142"/>
      <c r="GXD108" s="142"/>
      <c r="GXE108" s="142"/>
      <c r="GXF108" s="142"/>
      <c r="GXG108" s="142"/>
      <c r="GXH108" s="142"/>
      <c r="GXI108" s="142"/>
      <c r="GXJ108" s="142"/>
      <c r="GXK108" s="142"/>
      <c r="GXL108" s="142"/>
      <c r="GXM108" s="142"/>
      <c r="GXN108" s="142"/>
      <c r="GXO108" s="142"/>
      <c r="GXP108" s="142"/>
      <c r="GXQ108" s="142"/>
      <c r="GXR108" s="142"/>
      <c r="GXS108" s="142"/>
      <c r="GXT108" s="142"/>
      <c r="GXU108" s="142"/>
      <c r="GXV108" s="142"/>
      <c r="GXW108" s="142"/>
      <c r="GXX108" s="142"/>
      <c r="GXY108" s="142"/>
      <c r="GXZ108" s="142"/>
      <c r="GYA108" s="142"/>
      <c r="GYB108" s="142"/>
      <c r="GYC108" s="142"/>
      <c r="GYD108" s="142"/>
      <c r="GYE108" s="142"/>
      <c r="GYF108" s="142"/>
      <c r="GYG108" s="142"/>
      <c r="GYH108" s="142"/>
      <c r="GYI108" s="142"/>
      <c r="GYJ108" s="142"/>
      <c r="GYK108" s="142"/>
      <c r="GYL108" s="142"/>
      <c r="GYM108" s="142"/>
      <c r="GYN108" s="142"/>
      <c r="GYO108" s="142"/>
      <c r="GYP108" s="142"/>
      <c r="GYQ108" s="142"/>
      <c r="GYR108" s="142"/>
      <c r="GYS108" s="142"/>
      <c r="GYT108" s="142"/>
      <c r="GYU108" s="142"/>
      <c r="GYV108" s="142"/>
      <c r="GYW108" s="142"/>
      <c r="GYX108" s="142"/>
      <c r="GYY108" s="142"/>
      <c r="GYZ108" s="142"/>
      <c r="GZA108" s="142"/>
      <c r="GZB108" s="142"/>
      <c r="GZC108" s="142"/>
      <c r="GZD108" s="142"/>
      <c r="GZE108" s="142"/>
      <c r="GZF108" s="142"/>
      <c r="GZG108" s="142"/>
      <c r="GZH108" s="142"/>
      <c r="GZI108" s="142"/>
      <c r="GZJ108" s="142"/>
      <c r="GZK108" s="142"/>
      <c r="GZL108" s="142"/>
      <c r="GZM108" s="142"/>
      <c r="GZN108" s="142"/>
      <c r="GZO108" s="142"/>
      <c r="GZP108" s="142"/>
      <c r="GZQ108" s="142"/>
      <c r="GZR108" s="142"/>
      <c r="GZS108" s="142"/>
      <c r="GZT108" s="142"/>
      <c r="GZU108" s="142"/>
      <c r="GZV108" s="142"/>
      <c r="GZW108" s="142"/>
      <c r="GZX108" s="142"/>
      <c r="GZY108" s="142"/>
      <c r="GZZ108" s="142"/>
      <c r="HAA108" s="142"/>
      <c r="HAB108" s="142"/>
      <c r="HAC108" s="142"/>
      <c r="HAD108" s="142"/>
      <c r="HAE108" s="142"/>
      <c r="HAF108" s="142"/>
      <c r="HAG108" s="142"/>
      <c r="HAH108" s="142"/>
      <c r="HAI108" s="142"/>
      <c r="HAJ108" s="142"/>
      <c r="HAK108" s="142"/>
      <c r="HAL108" s="142"/>
      <c r="HAM108" s="142"/>
      <c r="HAN108" s="142"/>
      <c r="HAO108" s="142"/>
      <c r="HAP108" s="142"/>
      <c r="HAQ108" s="142"/>
      <c r="HAR108" s="142"/>
      <c r="HAS108" s="142"/>
      <c r="HAT108" s="142"/>
      <c r="HAU108" s="142"/>
      <c r="HAV108" s="142"/>
      <c r="HAW108" s="142"/>
      <c r="HAX108" s="142"/>
      <c r="HAY108" s="142"/>
      <c r="HAZ108" s="142"/>
      <c r="HBA108" s="142"/>
      <c r="HBB108" s="142"/>
      <c r="HBC108" s="142"/>
      <c r="HBD108" s="142"/>
      <c r="HBE108" s="142"/>
      <c r="HBF108" s="142"/>
      <c r="HBG108" s="142"/>
      <c r="HBH108" s="142"/>
      <c r="HBI108" s="142"/>
      <c r="HBJ108" s="142"/>
      <c r="HBK108" s="142"/>
      <c r="HBL108" s="142"/>
      <c r="HBM108" s="142"/>
      <c r="HBN108" s="142"/>
      <c r="HBO108" s="142"/>
      <c r="HBP108" s="142"/>
      <c r="HBQ108" s="142"/>
      <c r="HBR108" s="142"/>
      <c r="HBS108" s="142"/>
      <c r="HBT108" s="142"/>
      <c r="HBU108" s="142"/>
      <c r="HBV108" s="142"/>
      <c r="HBW108" s="142"/>
      <c r="HBX108" s="142"/>
      <c r="HBY108" s="142"/>
      <c r="HBZ108" s="142"/>
      <c r="HCA108" s="142"/>
      <c r="HCB108" s="142"/>
      <c r="HCC108" s="142"/>
      <c r="HCD108" s="142"/>
      <c r="HCE108" s="142"/>
      <c r="HCF108" s="142"/>
      <c r="HCG108" s="142"/>
      <c r="HCH108" s="142"/>
      <c r="HCI108" s="142"/>
      <c r="HCJ108" s="142"/>
      <c r="HCK108" s="142"/>
      <c r="HCL108" s="142"/>
      <c r="HCM108" s="142"/>
      <c r="HCN108" s="142"/>
      <c r="HCO108" s="142"/>
      <c r="HCP108" s="142"/>
      <c r="HCQ108" s="142"/>
      <c r="HCR108" s="142"/>
      <c r="HCS108" s="142"/>
      <c r="HCT108" s="142"/>
      <c r="HCU108" s="142"/>
      <c r="HCV108" s="142"/>
      <c r="HCW108" s="142"/>
      <c r="HCX108" s="142"/>
      <c r="HCY108" s="142"/>
      <c r="HCZ108" s="142"/>
      <c r="HDA108" s="142"/>
      <c r="HDB108" s="142"/>
      <c r="HDC108" s="142"/>
      <c r="HDD108" s="142"/>
      <c r="HDE108" s="142"/>
      <c r="HDF108" s="142"/>
      <c r="HDG108" s="142"/>
      <c r="HDH108" s="142"/>
      <c r="HDI108" s="142"/>
      <c r="HDJ108" s="142"/>
      <c r="HDK108" s="142"/>
      <c r="HDL108" s="142"/>
      <c r="HDM108" s="142"/>
      <c r="HDN108" s="142"/>
      <c r="HDO108" s="142"/>
      <c r="HDP108" s="142"/>
      <c r="HDQ108" s="142"/>
      <c r="HDR108" s="142"/>
      <c r="HDS108" s="142"/>
      <c r="HDT108" s="142"/>
      <c r="HDU108" s="142"/>
      <c r="HDV108" s="142"/>
      <c r="HDW108" s="142"/>
      <c r="HDX108" s="142"/>
      <c r="HDY108" s="142"/>
      <c r="HDZ108" s="142"/>
      <c r="HEA108" s="142"/>
      <c r="HEB108" s="142"/>
      <c r="HEC108" s="142"/>
      <c r="HED108" s="142"/>
      <c r="HEE108" s="142"/>
      <c r="HEF108" s="142"/>
      <c r="HEG108" s="142"/>
      <c r="HEH108" s="142"/>
      <c r="HEI108" s="142"/>
      <c r="HEJ108" s="142"/>
      <c r="HEK108" s="142"/>
      <c r="HEL108" s="142"/>
      <c r="HEM108" s="142"/>
      <c r="HEN108" s="142"/>
      <c r="HEO108" s="142"/>
      <c r="HEP108" s="142"/>
      <c r="HEQ108" s="142"/>
      <c r="HER108" s="142"/>
      <c r="HES108" s="142"/>
      <c r="HET108" s="142"/>
      <c r="HEU108" s="142"/>
      <c r="HEV108" s="142"/>
      <c r="HEW108" s="142"/>
      <c r="HEX108" s="142"/>
      <c r="HEY108" s="142"/>
      <c r="HEZ108" s="142"/>
      <c r="HFA108" s="142"/>
      <c r="HFB108" s="142"/>
      <c r="HFC108" s="142"/>
      <c r="HFD108" s="142"/>
      <c r="HFE108" s="142"/>
      <c r="HFF108" s="142"/>
      <c r="HFG108" s="142"/>
      <c r="HFH108" s="142"/>
      <c r="HFI108" s="142"/>
      <c r="HFJ108" s="142"/>
      <c r="HFK108" s="142"/>
      <c r="HFL108" s="142"/>
      <c r="HFM108" s="142"/>
      <c r="HFN108" s="142"/>
      <c r="HFO108" s="142"/>
      <c r="HFP108" s="142"/>
      <c r="HFQ108" s="142"/>
      <c r="HFR108" s="142"/>
      <c r="HFS108" s="142"/>
      <c r="HFT108" s="142"/>
      <c r="HFU108" s="142"/>
      <c r="HFV108" s="142"/>
      <c r="HFW108" s="142"/>
      <c r="HFX108" s="142"/>
      <c r="HFY108" s="142"/>
      <c r="HFZ108" s="142"/>
      <c r="HGA108" s="142"/>
      <c r="HGB108" s="142"/>
      <c r="HGC108" s="142"/>
      <c r="HGD108" s="142"/>
      <c r="HGE108" s="142"/>
      <c r="HGF108" s="142"/>
      <c r="HGG108" s="142"/>
      <c r="HGH108" s="142"/>
      <c r="HGI108" s="142"/>
      <c r="HGJ108" s="142"/>
      <c r="HGK108" s="142"/>
      <c r="HGL108" s="142"/>
      <c r="HGM108" s="142"/>
      <c r="HGN108" s="142"/>
      <c r="HGO108" s="142"/>
      <c r="HGP108" s="142"/>
      <c r="HGQ108" s="142"/>
      <c r="HGR108" s="142"/>
      <c r="HGS108" s="142"/>
      <c r="HGT108" s="142"/>
      <c r="HGU108" s="142"/>
      <c r="HGV108" s="142"/>
      <c r="HGW108" s="142"/>
      <c r="HGX108" s="142"/>
      <c r="HGY108" s="142"/>
      <c r="HGZ108" s="142"/>
      <c r="HHA108" s="142"/>
      <c r="HHB108" s="142"/>
      <c r="HHC108" s="142"/>
      <c r="HHD108" s="142"/>
      <c r="HHE108" s="142"/>
      <c r="HHF108" s="142"/>
      <c r="HHG108" s="142"/>
      <c r="HHH108" s="142"/>
      <c r="HHI108" s="142"/>
      <c r="HHJ108" s="142"/>
      <c r="HHK108" s="142"/>
      <c r="HHL108" s="142"/>
      <c r="HHM108" s="142"/>
      <c r="HHN108" s="142"/>
      <c r="HHO108" s="142"/>
      <c r="HHP108" s="142"/>
      <c r="HHQ108" s="142"/>
      <c r="HHR108" s="142"/>
      <c r="HHS108" s="142"/>
      <c r="HHT108" s="142"/>
      <c r="HHU108" s="142"/>
      <c r="HHV108" s="142"/>
      <c r="HHW108" s="142"/>
      <c r="HHX108" s="142"/>
      <c r="HHY108" s="142"/>
      <c r="HHZ108" s="142"/>
      <c r="HIA108" s="142"/>
      <c r="HIB108" s="142"/>
      <c r="HIC108" s="142"/>
      <c r="HID108" s="142"/>
      <c r="HIE108" s="142"/>
      <c r="HIF108" s="142"/>
      <c r="HIG108" s="142"/>
      <c r="HIH108" s="142"/>
      <c r="HII108" s="142"/>
      <c r="HIJ108" s="142"/>
      <c r="HIK108" s="142"/>
      <c r="HIL108" s="142"/>
      <c r="HIM108" s="142"/>
      <c r="HIN108" s="142"/>
      <c r="HIO108" s="142"/>
      <c r="HIP108" s="142"/>
      <c r="HIQ108" s="142"/>
      <c r="HIR108" s="142"/>
      <c r="HIS108" s="142"/>
      <c r="HIT108" s="142"/>
      <c r="HIU108" s="142"/>
      <c r="HIV108" s="142"/>
      <c r="HIW108" s="142"/>
      <c r="HIX108" s="142"/>
      <c r="HIY108" s="142"/>
      <c r="HIZ108" s="142"/>
      <c r="HJA108" s="142"/>
      <c r="HJB108" s="142"/>
      <c r="HJC108" s="142"/>
      <c r="HJD108" s="142"/>
      <c r="HJE108" s="142"/>
      <c r="HJF108" s="142"/>
      <c r="HJG108" s="142"/>
      <c r="HJH108" s="142"/>
      <c r="HJI108" s="142"/>
      <c r="HJJ108" s="142"/>
      <c r="HJK108" s="142"/>
      <c r="HJL108" s="142"/>
      <c r="HJM108" s="142"/>
      <c r="HJN108" s="142"/>
      <c r="HJO108" s="142"/>
      <c r="HJP108" s="142"/>
      <c r="HJQ108" s="142"/>
      <c r="HJR108" s="142"/>
      <c r="HJS108" s="142"/>
      <c r="HJT108" s="142"/>
      <c r="HJU108" s="142"/>
      <c r="HJV108" s="142"/>
      <c r="HJW108" s="142"/>
      <c r="HJX108" s="142"/>
      <c r="HJY108" s="142"/>
      <c r="HJZ108" s="142"/>
      <c r="HKA108" s="142"/>
      <c r="HKB108" s="142"/>
      <c r="HKC108" s="142"/>
      <c r="HKD108" s="142"/>
      <c r="HKE108" s="142"/>
      <c r="HKF108" s="142"/>
      <c r="HKG108" s="142"/>
      <c r="HKH108" s="142"/>
      <c r="HKI108" s="142"/>
      <c r="HKJ108" s="142"/>
      <c r="HKK108" s="142"/>
      <c r="HKL108" s="142"/>
      <c r="HKM108" s="142"/>
      <c r="HKN108" s="142"/>
      <c r="HKO108" s="142"/>
      <c r="HKP108" s="142"/>
      <c r="HKQ108" s="142"/>
      <c r="HKR108" s="142"/>
      <c r="HKS108" s="142"/>
      <c r="HKT108" s="142"/>
      <c r="HKU108" s="142"/>
      <c r="HKV108" s="142"/>
      <c r="HKW108" s="142"/>
      <c r="HKX108" s="142"/>
      <c r="HKY108" s="142"/>
      <c r="HKZ108" s="142"/>
      <c r="HLA108" s="142"/>
      <c r="HLB108" s="142"/>
      <c r="HLC108" s="142"/>
      <c r="HLD108" s="142"/>
      <c r="HLE108" s="142"/>
      <c r="HLF108" s="142"/>
      <c r="HLG108" s="142"/>
      <c r="HLH108" s="142"/>
      <c r="HLI108" s="142"/>
      <c r="HLJ108" s="142"/>
      <c r="HLK108" s="142"/>
      <c r="HLL108" s="142"/>
      <c r="HLM108" s="142"/>
      <c r="HLN108" s="142"/>
      <c r="HLO108" s="142"/>
      <c r="HLP108" s="142"/>
      <c r="HLQ108" s="142"/>
      <c r="HLR108" s="142"/>
      <c r="HLS108" s="142"/>
      <c r="HLT108" s="142"/>
      <c r="HLU108" s="142"/>
      <c r="HLV108" s="142"/>
      <c r="HLW108" s="142"/>
      <c r="HLX108" s="142"/>
      <c r="HLY108" s="142"/>
      <c r="HLZ108" s="142"/>
      <c r="HMA108" s="142"/>
      <c r="HMB108" s="142"/>
      <c r="HMC108" s="142"/>
      <c r="HMD108" s="142"/>
      <c r="HME108" s="142"/>
      <c r="HMF108" s="142"/>
      <c r="HMG108" s="142"/>
      <c r="HMH108" s="142"/>
      <c r="HMI108" s="142"/>
      <c r="HMJ108" s="142"/>
      <c r="HMK108" s="142"/>
      <c r="HML108" s="142"/>
      <c r="HMM108" s="142"/>
      <c r="HMN108" s="142"/>
      <c r="HMO108" s="142"/>
      <c r="HMP108" s="142"/>
      <c r="HMQ108" s="142"/>
      <c r="HMR108" s="142"/>
      <c r="HMS108" s="142"/>
      <c r="HMT108" s="142"/>
      <c r="HMU108" s="142"/>
      <c r="HMV108" s="142"/>
      <c r="HMW108" s="142"/>
      <c r="HMX108" s="142"/>
      <c r="HMY108" s="142"/>
      <c r="HMZ108" s="142"/>
      <c r="HNA108" s="142"/>
      <c r="HNB108" s="142"/>
      <c r="HNC108" s="142"/>
      <c r="HND108" s="142"/>
      <c r="HNE108" s="142"/>
      <c r="HNF108" s="142"/>
      <c r="HNG108" s="142"/>
      <c r="HNH108" s="142"/>
      <c r="HNI108" s="142"/>
      <c r="HNJ108" s="142"/>
      <c r="HNK108" s="142"/>
      <c r="HNL108" s="142"/>
      <c r="HNM108" s="142"/>
      <c r="HNN108" s="142"/>
      <c r="HNO108" s="142"/>
      <c r="HNP108" s="142"/>
      <c r="HNQ108" s="142"/>
      <c r="HNR108" s="142"/>
      <c r="HNS108" s="142"/>
      <c r="HNT108" s="142"/>
      <c r="HNU108" s="142"/>
      <c r="HNV108" s="142"/>
      <c r="HNW108" s="142"/>
      <c r="HNX108" s="142"/>
      <c r="HNY108" s="142"/>
      <c r="HNZ108" s="142"/>
      <c r="HOA108" s="142"/>
      <c r="HOB108" s="142"/>
      <c r="HOC108" s="142"/>
      <c r="HOD108" s="142"/>
      <c r="HOE108" s="142"/>
      <c r="HOF108" s="142"/>
      <c r="HOG108" s="142"/>
      <c r="HOH108" s="142"/>
      <c r="HOI108" s="142"/>
      <c r="HOJ108" s="142"/>
      <c r="HOK108" s="142"/>
      <c r="HOL108" s="142"/>
      <c r="HOM108" s="142"/>
      <c r="HON108" s="142"/>
      <c r="HOO108" s="142"/>
      <c r="HOP108" s="142"/>
      <c r="HOQ108" s="142"/>
      <c r="HOR108" s="142"/>
      <c r="HOS108" s="142"/>
      <c r="HOT108" s="142"/>
      <c r="HOU108" s="142"/>
      <c r="HOV108" s="142"/>
      <c r="HOW108" s="142"/>
      <c r="HOX108" s="142"/>
      <c r="HOY108" s="142"/>
      <c r="HOZ108" s="142"/>
      <c r="HPA108" s="142"/>
      <c r="HPB108" s="142"/>
      <c r="HPC108" s="142"/>
      <c r="HPD108" s="142"/>
      <c r="HPE108" s="142"/>
      <c r="HPF108" s="142"/>
      <c r="HPG108" s="142"/>
      <c r="HPH108" s="142"/>
      <c r="HPI108" s="142"/>
      <c r="HPJ108" s="142"/>
      <c r="HPK108" s="142"/>
      <c r="HPL108" s="142"/>
      <c r="HPM108" s="142"/>
      <c r="HPN108" s="142"/>
      <c r="HPO108" s="142"/>
      <c r="HPP108" s="142"/>
      <c r="HPQ108" s="142"/>
      <c r="HPR108" s="142"/>
      <c r="HPS108" s="142"/>
      <c r="HPT108" s="142"/>
      <c r="HPU108" s="142"/>
      <c r="HPV108" s="142"/>
      <c r="HPW108" s="142"/>
      <c r="HPX108" s="142"/>
      <c r="HPY108" s="142"/>
      <c r="HPZ108" s="142"/>
      <c r="HQA108" s="142"/>
      <c r="HQB108" s="142"/>
      <c r="HQC108" s="142"/>
      <c r="HQD108" s="142"/>
      <c r="HQE108" s="142"/>
      <c r="HQF108" s="142"/>
      <c r="HQG108" s="142"/>
      <c r="HQH108" s="142"/>
      <c r="HQI108" s="142"/>
      <c r="HQJ108" s="142"/>
      <c r="HQK108" s="142"/>
      <c r="HQL108" s="142"/>
      <c r="HQM108" s="142"/>
      <c r="HQN108" s="142"/>
      <c r="HQO108" s="142"/>
      <c r="HQP108" s="142"/>
      <c r="HQQ108" s="142"/>
      <c r="HQR108" s="142"/>
      <c r="HQS108" s="142"/>
      <c r="HQT108" s="142"/>
      <c r="HQU108" s="142"/>
      <c r="HQV108" s="142"/>
      <c r="HQW108" s="142"/>
      <c r="HQX108" s="142"/>
      <c r="HQY108" s="142"/>
      <c r="HQZ108" s="142"/>
      <c r="HRA108" s="142"/>
      <c r="HRB108" s="142"/>
      <c r="HRC108" s="142"/>
      <c r="HRD108" s="142"/>
      <c r="HRE108" s="142"/>
      <c r="HRF108" s="142"/>
      <c r="HRG108" s="142"/>
      <c r="HRH108" s="142"/>
      <c r="HRI108" s="142"/>
      <c r="HRJ108" s="142"/>
      <c r="HRK108" s="142"/>
      <c r="HRL108" s="142"/>
      <c r="HRM108" s="142"/>
      <c r="HRN108" s="142"/>
      <c r="HRO108" s="142"/>
      <c r="HRP108" s="142"/>
      <c r="HRQ108" s="142"/>
      <c r="HRR108" s="142"/>
      <c r="HRS108" s="142"/>
      <c r="HRT108" s="142"/>
      <c r="HRU108" s="142"/>
      <c r="HRV108" s="142"/>
      <c r="HRW108" s="142"/>
      <c r="HRX108" s="142"/>
      <c r="HRY108" s="142"/>
      <c r="HRZ108" s="142"/>
      <c r="HSA108" s="142"/>
      <c r="HSB108" s="142"/>
      <c r="HSC108" s="142"/>
      <c r="HSD108" s="142"/>
      <c r="HSE108" s="142"/>
      <c r="HSF108" s="142"/>
      <c r="HSG108" s="142"/>
      <c r="HSH108" s="142"/>
      <c r="HSI108" s="142"/>
      <c r="HSJ108" s="142"/>
      <c r="HSK108" s="142"/>
      <c r="HSL108" s="142"/>
      <c r="HSM108" s="142"/>
      <c r="HSN108" s="142"/>
      <c r="HSO108" s="142"/>
      <c r="HSP108" s="142"/>
      <c r="HSQ108" s="142"/>
      <c r="HSR108" s="142"/>
      <c r="HSS108" s="142"/>
      <c r="HST108" s="142"/>
      <c r="HSU108" s="142"/>
      <c r="HSV108" s="142"/>
      <c r="HSW108" s="142"/>
      <c r="HSX108" s="142"/>
      <c r="HSY108" s="142"/>
      <c r="HSZ108" s="142"/>
      <c r="HTA108" s="142"/>
      <c r="HTB108" s="142"/>
      <c r="HTC108" s="142"/>
      <c r="HTD108" s="142"/>
      <c r="HTE108" s="142"/>
      <c r="HTF108" s="142"/>
      <c r="HTG108" s="142"/>
      <c r="HTH108" s="142"/>
      <c r="HTI108" s="142"/>
      <c r="HTJ108" s="142"/>
      <c r="HTK108" s="142"/>
      <c r="HTL108" s="142"/>
      <c r="HTM108" s="142"/>
      <c r="HTN108" s="142"/>
      <c r="HTO108" s="142"/>
      <c r="HTP108" s="142"/>
      <c r="HTQ108" s="142"/>
      <c r="HTR108" s="142"/>
      <c r="HTS108" s="142"/>
      <c r="HTT108" s="142"/>
      <c r="HTU108" s="142"/>
      <c r="HTV108" s="142"/>
      <c r="HTW108" s="142"/>
      <c r="HTX108" s="142"/>
      <c r="HTY108" s="142"/>
      <c r="HTZ108" s="142"/>
      <c r="HUA108" s="142"/>
      <c r="HUB108" s="142"/>
      <c r="HUC108" s="142"/>
      <c r="HUD108" s="142"/>
      <c r="HUE108" s="142"/>
      <c r="HUF108" s="142"/>
      <c r="HUG108" s="142"/>
      <c r="HUH108" s="142"/>
      <c r="HUI108" s="142"/>
      <c r="HUJ108" s="142"/>
      <c r="HUK108" s="142"/>
      <c r="HUL108" s="142"/>
      <c r="HUM108" s="142"/>
      <c r="HUN108" s="142"/>
      <c r="HUO108" s="142"/>
      <c r="HUP108" s="142"/>
      <c r="HUQ108" s="142"/>
      <c r="HUR108" s="142"/>
      <c r="HUS108" s="142"/>
      <c r="HUT108" s="142"/>
      <c r="HUU108" s="142"/>
      <c r="HUV108" s="142"/>
      <c r="HUW108" s="142"/>
      <c r="HUX108" s="142"/>
      <c r="HUY108" s="142"/>
      <c r="HUZ108" s="142"/>
      <c r="HVA108" s="142"/>
      <c r="HVB108" s="142"/>
      <c r="HVC108" s="142"/>
      <c r="HVD108" s="142"/>
      <c r="HVE108" s="142"/>
      <c r="HVF108" s="142"/>
      <c r="HVG108" s="142"/>
      <c r="HVH108" s="142"/>
      <c r="HVI108" s="142"/>
      <c r="HVJ108" s="142"/>
      <c r="HVK108" s="142"/>
      <c r="HVL108" s="142"/>
      <c r="HVM108" s="142"/>
      <c r="HVN108" s="142"/>
      <c r="HVO108" s="142"/>
      <c r="HVP108" s="142"/>
      <c r="HVQ108" s="142"/>
      <c r="HVR108" s="142"/>
      <c r="HVS108" s="142"/>
      <c r="HVT108" s="142"/>
      <c r="HVU108" s="142"/>
      <c r="HVV108" s="142"/>
      <c r="HVW108" s="142"/>
      <c r="HVX108" s="142"/>
      <c r="HVY108" s="142"/>
      <c r="HVZ108" s="142"/>
      <c r="HWA108" s="142"/>
      <c r="HWB108" s="142"/>
      <c r="HWC108" s="142"/>
      <c r="HWD108" s="142"/>
      <c r="HWE108" s="142"/>
      <c r="HWF108" s="142"/>
      <c r="HWG108" s="142"/>
      <c r="HWH108" s="142"/>
      <c r="HWI108" s="142"/>
      <c r="HWJ108" s="142"/>
      <c r="HWK108" s="142"/>
      <c r="HWL108" s="142"/>
      <c r="HWM108" s="142"/>
      <c r="HWN108" s="142"/>
      <c r="HWO108" s="142"/>
      <c r="HWP108" s="142"/>
      <c r="HWQ108" s="142"/>
      <c r="HWR108" s="142"/>
      <c r="HWS108" s="142"/>
      <c r="HWT108" s="142"/>
      <c r="HWU108" s="142"/>
      <c r="HWV108" s="142"/>
      <c r="HWW108" s="142"/>
      <c r="HWX108" s="142"/>
      <c r="HWY108" s="142"/>
      <c r="HWZ108" s="142"/>
      <c r="HXA108" s="142"/>
      <c r="HXB108" s="142"/>
      <c r="HXC108" s="142"/>
      <c r="HXD108" s="142"/>
      <c r="HXE108" s="142"/>
      <c r="HXF108" s="142"/>
      <c r="HXG108" s="142"/>
      <c r="HXH108" s="142"/>
      <c r="HXI108" s="142"/>
      <c r="HXJ108" s="142"/>
      <c r="HXK108" s="142"/>
      <c r="HXL108" s="142"/>
      <c r="HXM108" s="142"/>
      <c r="HXN108" s="142"/>
      <c r="HXO108" s="142"/>
      <c r="HXP108" s="142"/>
      <c r="HXQ108" s="142"/>
      <c r="HXR108" s="142"/>
      <c r="HXS108" s="142"/>
      <c r="HXT108" s="142"/>
      <c r="HXU108" s="142"/>
      <c r="HXV108" s="142"/>
      <c r="HXW108" s="142"/>
      <c r="HXX108" s="142"/>
      <c r="HXY108" s="142"/>
      <c r="HXZ108" s="142"/>
      <c r="HYA108" s="142"/>
      <c r="HYB108" s="142"/>
      <c r="HYC108" s="142"/>
      <c r="HYD108" s="142"/>
      <c r="HYE108" s="142"/>
      <c r="HYF108" s="142"/>
      <c r="HYG108" s="142"/>
      <c r="HYH108" s="142"/>
      <c r="HYI108" s="142"/>
      <c r="HYJ108" s="142"/>
      <c r="HYK108" s="142"/>
      <c r="HYL108" s="142"/>
      <c r="HYM108" s="142"/>
      <c r="HYN108" s="142"/>
      <c r="HYO108" s="142"/>
      <c r="HYP108" s="142"/>
      <c r="HYQ108" s="142"/>
      <c r="HYR108" s="142"/>
      <c r="HYS108" s="142"/>
      <c r="HYT108" s="142"/>
      <c r="HYU108" s="142"/>
      <c r="HYV108" s="142"/>
      <c r="HYW108" s="142"/>
      <c r="HYX108" s="142"/>
      <c r="HYY108" s="142"/>
      <c r="HYZ108" s="142"/>
      <c r="HZA108" s="142"/>
      <c r="HZB108" s="142"/>
      <c r="HZC108" s="142"/>
      <c r="HZD108" s="142"/>
      <c r="HZE108" s="142"/>
      <c r="HZF108" s="142"/>
      <c r="HZG108" s="142"/>
      <c r="HZH108" s="142"/>
      <c r="HZI108" s="142"/>
      <c r="HZJ108" s="142"/>
      <c r="HZK108" s="142"/>
      <c r="HZL108" s="142"/>
      <c r="HZM108" s="142"/>
      <c r="HZN108" s="142"/>
      <c r="HZO108" s="142"/>
      <c r="HZP108" s="142"/>
      <c r="HZQ108" s="142"/>
      <c r="HZR108" s="142"/>
      <c r="HZS108" s="142"/>
      <c r="HZT108" s="142"/>
      <c r="HZU108" s="142"/>
      <c r="HZV108" s="142"/>
      <c r="HZW108" s="142"/>
      <c r="HZX108" s="142"/>
      <c r="HZY108" s="142"/>
      <c r="HZZ108" s="142"/>
      <c r="IAA108" s="142"/>
      <c r="IAB108" s="142"/>
      <c r="IAC108" s="142"/>
      <c r="IAD108" s="142"/>
      <c r="IAE108" s="142"/>
      <c r="IAF108" s="142"/>
      <c r="IAG108" s="142"/>
      <c r="IAH108" s="142"/>
      <c r="IAI108" s="142"/>
      <c r="IAJ108" s="142"/>
      <c r="IAK108" s="142"/>
      <c r="IAL108" s="142"/>
      <c r="IAM108" s="142"/>
      <c r="IAN108" s="142"/>
      <c r="IAO108" s="142"/>
      <c r="IAP108" s="142"/>
      <c r="IAQ108" s="142"/>
      <c r="IAR108" s="142"/>
      <c r="IAS108" s="142"/>
      <c r="IAT108" s="142"/>
      <c r="IAU108" s="142"/>
      <c r="IAV108" s="142"/>
      <c r="IAW108" s="142"/>
      <c r="IAX108" s="142"/>
      <c r="IAY108" s="142"/>
      <c r="IAZ108" s="142"/>
      <c r="IBA108" s="142"/>
      <c r="IBB108" s="142"/>
      <c r="IBC108" s="142"/>
      <c r="IBD108" s="142"/>
      <c r="IBE108" s="142"/>
      <c r="IBF108" s="142"/>
      <c r="IBG108" s="142"/>
      <c r="IBH108" s="142"/>
      <c r="IBI108" s="142"/>
      <c r="IBJ108" s="142"/>
      <c r="IBK108" s="142"/>
      <c r="IBL108" s="142"/>
      <c r="IBM108" s="142"/>
      <c r="IBN108" s="142"/>
      <c r="IBO108" s="142"/>
      <c r="IBP108" s="142"/>
      <c r="IBQ108" s="142"/>
      <c r="IBR108" s="142"/>
      <c r="IBS108" s="142"/>
      <c r="IBT108" s="142"/>
      <c r="IBU108" s="142"/>
      <c r="IBV108" s="142"/>
      <c r="IBW108" s="142"/>
      <c r="IBX108" s="142"/>
      <c r="IBY108" s="142"/>
      <c r="IBZ108" s="142"/>
      <c r="ICA108" s="142"/>
      <c r="ICB108" s="142"/>
      <c r="ICC108" s="142"/>
      <c r="ICD108" s="142"/>
      <c r="ICE108" s="142"/>
      <c r="ICF108" s="142"/>
      <c r="ICG108" s="142"/>
      <c r="ICH108" s="142"/>
      <c r="ICI108" s="142"/>
      <c r="ICJ108" s="142"/>
      <c r="ICK108" s="142"/>
      <c r="ICL108" s="142"/>
      <c r="ICM108" s="142"/>
      <c r="ICN108" s="142"/>
      <c r="ICO108" s="142"/>
      <c r="ICP108" s="142"/>
      <c r="ICQ108" s="142"/>
      <c r="ICR108" s="142"/>
      <c r="ICS108" s="142"/>
      <c r="ICT108" s="142"/>
      <c r="ICU108" s="142"/>
      <c r="ICV108" s="142"/>
      <c r="ICW108" s="142"/>
      <c r="ICX108" s="142"/>
      <c r="ICY108" s="142"/>
      <c r="ICZ108" s="142"/>
      <c r="IDA108" s="142"/>
      <c r="IDB108" s="142"/>
      <c r="IDC108" s="142"/>
      <c r="IDD108" s="142"/>
      <c r="IDE108" s="142"/>
      <c r="IDF108" s="142"/>
      <c r="IDG108" s="142"/>
      <c r="IDH108" s="142"/>
      <c r="IDI108" s="142"/>
      <c r="IDJ108" s="142"/>
      <c r="IDK108" s="142"/>
      <c r="IDL108" s="142"/>
      <c r="IDM108" s="142"/>
      <c r="IDN108" s="142"/>
      <c r="IDO108" s="142"/>
      <c r="IDP108" s="142"/>
      <c r="IDQ108" s="142"/>
      <c r="IDR108" s="142"/>
      <c r="IDS108" s="142"/>
      <c r="IDT108" s="142"/>
      <c r="IDU108" s="142"/>
      <c r="IDV108" s="142"/>
      <c r="IDW108" s="142"/>
      <c r="IDX108" s="142"/>
      <c r="IDY108" s="142"/>
      <c r="IDZ108" s="142"/>
      <c r="IEA108" s="142"/>
      <c r="IEB108" s="142"/>
      <c r="IEC108" s="142"/>
      <c r="IED108" s="142"/>
      <c r="IEE108" s="142"/>
      <c r="IEF108" s="142"/>
      <c r="IEG108" s="142"/>
      <c r="IEH108" s="142"/>
      <c r="IEI108" s="142"/>
      <c r="IEJ108" s="142"/>
      <c r="IEK108" s="142"/>
      <c r="IEL108" s="142"/>
      <c r="IEM108" s="142"/>
      <c r="IEN108" s="142"/>
      <c r="IEO108" s="142"/>
      <c r="IEP108" s="142"/>
      <c r="IEQ108" s="142"/>
      <c r="IER108" s="142"/>
      <c r="IES108" s="142"/>
      <c r="IET108" s="142"/>
      <c r="IEU108" s="142"/>
      <c r="IEV108" s="142"/>
      <c r="IEW108" s="142"/>
      <c r="IEX108" s="142"/>
      <c r="IEY108" s="142"/>
      <c r="IEZ108" s="142"/>
      <c r="IFA108" s="142"/>
      <c r="IFB108" s="142"/>
      <c r="IFC108" s="142"/>
      <c r="IFD108" s="142"/>
      <c r="IFE108" s="142"/>
      <c r="IFF108" s="142"/>
      <c r="IFG108" s="142"/>
      <c r="IFH108" s="142"/>
      <c r="IFI108" s="142"/>
      <c r="IFJ108" s="142"/>
      <c r="IFK108" s="142"/>
      <c r="IFL108" s="142"/>
      <c r="IFM108" s="142"/>
      <c r="IFN108" s="142"/>
      <c r="IFO108" s="142"/>
      <c r="IFP108" s="142"/>
      <c r="IFQ108" s="142"/>
      <c r="IFR108" s="142"/>
      <c r="IFS108" s="142"/>
      <c r="IFT108" s="142"/>
      <c r="IFU108" s="142"/>
      <c r="IFV108" s="142"/>
      <c r="IFW108" s="142"/>
      <c r="IFX108" s="142"/>
      <c r="IFY108" s="142"/>
      <c r="IFZ108" s="142"/>
      <c r="IGA108" s="142"/>
      <c r="IGB108" s="142"/>
      <c r="IGC108" s="142"/>
      <c r="IGD108" s="142"/>
      <c r="IGE108" s="142"/>
      <c r="IGF108" s="142"/>
      <c r="IGG108" s="142"/>
      <c r="IGH108" s="142"/>
      <c r="IGI108" s="142"/>
      <c r="IGJ108" s="142"/>
      <c r="IGK108" s="142"/>
      <c r="IGL108" s="142"/>
      <c r="IGM108" s="142"/>
      <c r="IGN108" s="142"/>
      <c r="IGO108" s="142"/>
      <c r="IGP108" s="142"/>
      <c r="IGQ108" s="142"/>
      <c r="IGR108" s="142"/>
      <c r="IGS108" s="142"/>
      <c r="IGT108" s="142"/>
      <c r="IGU108" s="142"/>
      <c r="IGV108" s="142"/>
      <c r="IGW108" s="142"/>
      <c r="IGX108" s="142"/>
      <c r="IGY108" s="142"/>
      <c r="IGZ108" s="142"/>
      <c r="IHA108" s="142"/>
      <c r="IHB108" s="142"/>
      <c r="IHC108" s="142"/>
      <c r="IHD108" s="142"/>
      <c r="IHE108" s="142"/>
      <c r="IHF108" s="142"/>
      <c r="IHG108" s="142"/>
      <c r="IHH108" s="142"/>
      <c r="IHI108" s="142"/>
      <c r="IHJ108" s="142"/>
      <c r="IHK108" s="142"/>
      <c r="IHL108" s="142"/>
      <c r="IHM108" s="142"/>
      <c r="IHN108" s="142"/>
      <c r="IHO108" s="142"/>
      <c r="IHP108" s="142"/>
      <c r="IHQ108" s="142"/>
      <c r="IHR108" s="142"/>
      <c r="IHS108" s="142"/>
      <c r="IHT108" s="142"/>
      <c r="IHU108" s="142"/>
      <c r="IHV108" s="142"/>
      <c r="IHW108" s="142"/>
      <c r="IHX108" s="142"/>
      <c r="IHY108" s="142"/>
      <c r="IHZ108" s="142"/>
      <c r="IIA108" s="142"/>
      <c r="IIB108" s="142"/>
      <c r="IIC108" s="142"/>
      <c r="IID108" s="142"/>
      <c r="IIE108" s="142"/>
      <c r="IIF108" s="142"/>
      <c r="IIG108" s="142"/>
      <c r="IIH108" s="142"/>
      <c r="III108" s="142"/>
      <c r="IIJ108" s="142"/>
      <c r="IIK108" s="142"/>
      <c r="IIL108" s="142"/>
      <c r="IIM108" s="142"/>
      <c r="IIN108" s="142"/>
      <c r="IIO108" s="142"/>
      <c r="IIP108" s="142"/>
      <c r="IIQ108" s="142"/>
      <c r="IIR108" s="142"/>
      <c r="IIS108" s="142"/>
      <c r="IIT108" s="142"/>
      <c r="IIU108" s="142"/>
      <c r="IIV108" s="142"/>
      <c r="IIW108" s="142"/>
      <c r="IIX108" s="142"/>
      <c r="IIY108" s="142"/>
      <c r="IIZ108" s="142"/>
      <c r="IJA108" s="142"/>
      <c r="IJB108" s="142"/>
      <c r="IJC108" s="142"/>
      <c r="IJD108" s="142"/>
      <c r="IJE108" s="142"/>
      <c r="IJF108" s="142"/>
      <c r="IJG108" s="142"/>
      <c r="IJH108" s="142"/>
      <c r="IJI108" s="142"/>
      <c r="IJJ108" s="142"/>
      <c r="IJK108" s="142"/>
      <c r="IJL108" s="142"/>
      <c r="IJM108" s="142"/>
      <c r="IJN108" s="142"/>
      <c r="IJO108" s="142"/>
      <c r="IJP108" s="142"/>
      <c r="IJQ108" s="142"/>
      <c r="IJR108" s="142"/>
      <c r="IJS108" s="142"/>
      <c r="IJT108" s="142"/>
      <c r="IJU108" s="142"/>
      <c r="IJV108" s="142"/>
      <c r="IJW108" s="142"/>
      <c r="IJX108" s="142"/>
      <c r="IJY108" s="142"/>
      <c r="IJZ108" s="142"/>
      <c r="IKA108" s="142"/>
      <c r="IKB108" s="142"/>
      <c r="IKC108" s="142"/>
      <c r="IKD108" s="142"/>
      <c r="IKE108" s="142"/>
      <c r="IKF108" s="142"/>
      <c r="IKG108" s="142"/>
      <c r="IKH108" s="142"/>
      <c r="IKI108" s="142"/>
      <c r="IKJ108" s="142"/>
      <c r="IKK108" s="142"/>
      <c r="IKL108" s="142"/>
      <c r="IKM108" s="142"/>
      <c r="IKN108" s="142"/>
      <c r="IKO108" s="142"/>
      <c r="IKP108" s="142"/>
      <c r="IKQ108" s="142"/>
      <c r="IKR108" s="142"/>
      <c r="IKS108" s="142"/>
      <c r="IKT108" s="142"/>
      <c r="IKU108" s="142"/>
      <c r="IKV108" s="142"/>
      <c r="IKW108" s="142"/>
      <c r="IKX108" s="142"/>
      <c r="IKY108" s="142"/>
      <c r="IKZ108" s="142"/>
      <c r="ILA108" s="142"/>
      <c r="ILB108" s="142"/>
      <c r="ILC108" s="142"/>
      <c r="ILD108" s="142"/>
      <c r="ILE108" s="142"/>
      <c r="ILF108" s="142"/>
      <c r="ILG108" s="142"/>
      <c r="ILH108" s="142"/>
      <c r="ILI108" s="142"/>
      <c r="ILJ108" s="142"/>
      <c r="ILK108" s="142"/>
      <c r="ILL108" s="142"/>
      <c r="ILM108" s="142"/>
      <c r="ILN108" s="142"/>
      <c r="ILO108" s="142"/>
      <c r="ILP108" s="142"/>
      <c r="ILQ108" s="142"/>
      <c r="ILR108" s="142"/>
      <c r="ILS108" s="142"/>
      <c r="ILT108" s="142"/>
      <c r="ILU108" s="142"/>
      <c r="ILV108" s="142"/>
      <c r="ILW108" s="142"/>
      <c r="ILX108" s="142"/>
      <c r="ILY108" s="142"/>
      <c r="ILZ108" s="142"/>
      <c r="IMA108" s="142"/>
      <c r="IMB108" s="142"/>
      <c r="IMC108" s="142"/>
      <c r="IMD108" s="142"/>
      <c r="IME108" s="142"/>
      <c r="IMF108" s="142"/>
      <c r="IMG108" s="142"/>
      <c r="IMH108" s="142"/>
      <c r="IMI108" s="142"/>
      <c r="IMJ108" s="142"/>
      <c r="IMK108" s="142"/>
      <c r="IML108" s="142"/>
      <c r="IMM108" s="142"/>
      <c r="IMN108" s="142"/>
      <c r="IMO108" s="142"/>
      <c r="IMP108" s="142"/>
      <c r="IMQ108" s="142"/>
      <c r="IMR108" s="142"/>
      <c r="IMS108" s="142"/>
      <c r="IMT108" s="142"/>
      <c r="IMU108" s="142"/>
      <c r="IMV108" s="142"/>
      <c r="IMW108" s="142"/>
      <c r="IMX108" s="142"/>
      <c r="IMY108" s="142"/>
      <c r="IMZ108" s="142"/>
      <c r="INA108" s="142"/>
      <c r="INB108" s="142"/>
      <c r="INC108" s="142"/>
      <c r="IND108" s="142"/>
      <c r="INE108" s="142"/>
      <c r="INF108" s="142"/>
      <c r="ING108" s="142"/>
      <c r="INH108" s="142"/>
      <c r="INI108" s="142"/>
      <c r="INJ108" s="142"/>
      <c r="INK108" s="142"/>
      <c r="INL108" s="142"/>
      <c r="INM108" s="142"/>
      <c r="INN108" s="142"/>
      <c r="INO108" s="142"/>
      <c r="INP108" s="142"/>
      <c r="INQ108" s="142"/>
      <c r="INR108" s="142"/>
      <c r="INS108" s="142"/>
      <c r="INT108" s="142"/>
      <c r="INU108" s="142"/>
      <c r="INV108" s="142"/>
      <c r="INW108" s="142"/>
      <c r="INX108" s="142"/>
      <c r="INY108" s="142"/>
      <c r="INZ108" s="142"/>
      <c r="IOA108" s="142"/>
      <c r="IOB108" s="142"/>
      <c r="IOC108" s="142"/>
      <c r="IOD108" s="142"/>
      <c r="IOE108" s="142"/>
      <c r="IOF108" s="142"/>
      <c r="IOG108" s="142"/>
      <c r="IOH108" s="142"/>
      <c r="IOI108" s="142"/>
      <c r="IOJ108" s="142"/>
      <c r="IOK108" s="142"/>
      <c r="IOL108" s="142"/>
      <c r="IOM108" s="142"/>
      <c r="ION108" s="142"/>
      <c r="IOO108" s="142"/>
      <c r="IOP108" s="142"/>
      <c r="IOQ108" s="142"/>
      <c r="IOR108" s="142"/>
      <c r="IOS108" s="142"/>
      <c r="IOT108" s="142"/>
      <c r="IOU108" s="142"/>
      <c r="IOV108" s="142"/>
      <c r="IOW108" s="142"/>
      <c r="IOX108" s="142"/>
      <c r="IOY108" s="142"/>
      <c r="IOZ108" s="142"/>
      <c r="IPA108" s="142"/>
      <c r="IPB108" s="142"/>
      <c r="IPC108" s="142"/>
      <c r="IPD108" s="142"/>
      <c r="IPE108" s="142"/>
      <c r="IPF108" s="142"/>
      <c r="IPG108" s="142"/>
      <c r="IPH108" s="142"/>
      <c r="IPI108" s="142"/>
      <c r="IPJ108" s="142"/>
      <c r="IPK108" s="142"/>
      <c r="IPL108" s="142"/>
      <c r="IPM108" s="142"/>
      <c r="IPN108" s="142"/>
      <c r="IPO108" s="142"/>
      <c r="IPP108" s="142"/>
      <c r="IPQ108" s="142"/>
      <c r="IPR108" s="142"/>
      <c r="IPS108" s="142"/>
      <c r="IPT108" s="142"/>
      <c r="IPU108" s="142"/>
      <c r="IPV108" s="142"/>
      <c r="IPW108" s="142"/>
      <c r="IPX108" s="142"/>
      <c r="IPY108" s="142"/>
      <c r="IPZ108" s="142"/>
      <c r="IQA108" s="142"/>
      <c r="IQB108" s="142"/>
      <c r="IQC108" s="142"/>
      <c r="IQD108" s="142"/>
      <c r="IQE108" s="142"/>
      <c r="IQF108" s="142"/>
      <c r="IQG108" s="142"/>
      <c r="IQH108" s="142"/>
      <c r="IQI108" s="142"/>
      <c r="IQJ108" s="142"/>
      <c r="IQK108" s="142"/>
      <c r="IQL108" s="142"/>
      <c r="IQM108" s="142"/>
      <c r="IQN108" s="142"/>
      <c r="IQO108" s="142"/>
      <c r="IQP108" s="142"/>
      <c r="IQQ108" s="142"/>
      <c r="IQR108" s="142"/>
      <c r="IQS108" s="142"/>
      <c r="IQT108" s="142"/>
      <c r="IQU108" s="142"/>
      <c r="IQV108" s="142"/>
      <c r="IQW108" s="142"/>
      <c r="IQX108" s="142"/>
      <c r="IQY108" s="142"/>
      <c r="IQZ108" s="142"/>
      <c r="IRA108" s="142"/>
      <c r="IRB108" s="142"/>
      <c r="IRC108" s="142"/>
      <c r="IRD108" s="142"/>
      <c r="IRE108" s="142"/>
      <c r="IRF108" s="142"/>
      <c r="IRG108" s="142"/>
      <c r="IRH108" s="142"/>
      <c r="IRI108" s="142"/>
      <c r="IRJ108" s="142"/>
      <c r="IRK108" s="142"/>
      <c r="IRL108" s="142"/>
      <c r="IRM108" s="142"/>
      <c r="IRN108" s="142"/>
      <c r="IRO108" s="142"/>
      <c r="IRP108" s="142"/>
      <c r="IRQ108" s="142"/>
      <c r="IRR108" s="142"/>
      <c r="IRS108" s="142"/>
      <c r="IRT108" s="142"/>
      <c r="IRU108" s="142"/>
      <c r="IRV108" s="142"/>
      <c r="IRW108" s="142"/>
      <c r="IRX108" s="142"/>
      <c r="IRY108" s="142"/>
      <c r="IRZ108" s="142"/>
      <c r="ISA108" s="142"/>
      <c r="ISB108" s="142"/>
      <c r="ISC108" s="142"/>
      <c r="ISD108" s="142"/>
      <c r="ISE108" s="142"/>
      <c r="ISF108" s="142"/>
      <c r="ISG108" s="142"/>
      <c r="ISH108" s="142"/>
      <c r="ISI108" s="142"/>
      <c r="ISJ108" s="142"/>
      <c r="ISK108" s="142"/>
      <c r="ISL108" s="142"/>
      <c r="ISM108" s="142"/>
      <c r="ISN108" s="142"/>
      <c r="ISO108" s="142"/>
      <c r="ISP108" s="142"/>
      <c r="ISQ108" s="142"/>
      <c r="ISR108" s="142"/>
      <c r="ISS108" s="142"/>
      <c r="IST108" s="142"/>
      <c r="ISU108" s="142"/>
      <c r="ISV108" s="142"/>
      <c r="ISW108" s="142"/>
      <c r="ISX108" s="142"/>
      <c r="ISY108" s="142"/>
      <c r="ISZ108" s="142"/>
      <c r="ITA108" s="142"/>
      <c r="ITB108" s="142"/>
      <c r="ITC108" s="142"/>
      <c r="ITD108" s="142"/>
      <c r="ITE108" s="142"/>
      <c r="ITF108" s="142"/>
      <c r="ITG108" s="142"/>
      <c r="ITH108" s="142"/>
      <c r="ITI108" s="142"/>
      <c r="ITJ108" s="142"/>
      <c r="ITK108" s="142"/>
      <c r="ITL108" s="142"/>
      <c r="ITM108" s="142"/>
      <c r="ITN108" s="142"/>
      <c r="ITO108" s="142"/>
      <c r="ITP108" s="142"/>
      <c r="ITQ108" s="142"/>
      <c r="ITR108" s="142"/>
      <c r="ITS108" s="142"/>
      <c r="ITT108" s="142"/>
      <c r="ITU108" s="142"/>
      <c r="ITV108" s="142"/>
      <c r="ITW108" s="142"/>
      <c r="ITX108" s="142"/>
      <c r="ITY108" s="142"/>
      <c r="ITZ108" s="142"/>
      <c r="IUA108" s="142"/>
      <c r="IUB108" s="142"/>
      <c r="IUC108" s="142"/>
      <c r="IUD108" s="142"/>
      <c r="IUE108" s="142"/>
      <c r="IUF108" s="142"/>
      <c r="IUG108" s="142"/>
      <c r="IUH108" s="142"/>
      <c r="IUI108" s="142"/>
      <c r="IUJ108" s="142"/>
      <c r="IUK108" s="142"/>
      <c r="IUL108" s="142"/>
      <c r="IUM108" s="142"/>
      <c r="IUN108" s="142"/>
      <c r="IUO108" s="142"/>
      <c r="IUP108" s="142"/>
      <c r="IUQ108" s="142"/>
      <c r="IUR108" s="142"/>
      <c r="IUS108" s="142"/>
      <c r="IUT108" s="142"/>
      <c r="IUU108" s="142"/>
      <c r="IUV108" s="142"/>
      <c r="IUW108" s="142"/>
      <c r="IUX108" s="142"/>
      <c r="IUY108" s="142"/>
      <c r="IUZ108" s="142"/>
      <c r="IVA108" s="142"/>
      <c r="IVB108" s="142"/>
      <c r="IVC108" s="142"/>
      <c r="IVD108" s="142"/>
      <c r="IVE108" s="142"/>
      <c r="IVF108" s="142"/>
      <c r="IVG108" s="142"/>
      <c r="IVH108" s="142"/>
      <c r="IVI108" s="142"/>
      <c r="IVJ108" s="142"/>
      <c r="IVK108" s="142"/>
      <c r="IVL108" s="142"/>
      <c r="IVM108" s="142"/>
      <c r="IVN108" s="142"/>
      <c r="IVO108" s="142"/>
      <c r="IVP108" s="142"/>
      <c r="IVQ108" s="142"/>
      <c r="IVR108" s="142"/>
      <c r="IVS108" s="142"/>
      <c r="IVT108" s="142"/>
      <c r="IVU108" s="142"/>
      <c r="IVV108" s="142"/>
      <c r="IVW108" s="142"/>
      <c r="IVX108" s="142"/>
      <c r="IVY108" s="142"/>
      <c r="IVZ108" s="142"/>
      <c r="IWA108" s="142"/>
      <c r="IWB108" s="142"/>
      <c r="IWC108" s="142"/>
      <c r="IWD108" s="142"/>
      <c r="IWE108" s="142"/>
      <c r="IWF108" s="142"/>
      <c r="IWG108" s="142"/>
      <c r="IWH108" s="142"/>
      <c r="IWI108" s="142"/>
      <c r="IWJ108" s="142"/>
      <c r="IWK108" s="142"/>
      <c r="IWL108" s="142"/>
      <c r="IWM108" s="142"/>
      <c r="IWN108" s="142"/>
      <c r="IWO108" s="142"/>
      <c r="IWP108" s="142"/>
      <c r="IWQ108" s="142"/>
      <c r="IWR108" s="142"/>
      <c r="IWS108" s="142"/>
      <c r="IWT108" s="142"/>
      <c r="IWU108" s="142"/>
      <c r="IWV108" s="142"/>
      <c r="IWW108" s="142"/>
      <c r="IWX108" s="142"/>
      <c r="IWY108" s="142"/>
      <c r="IWZ108" s="142"/>
      <c r="IXA108" s="142"/>
      <c r="IXB108" s="142"/>
      <c r="IXC108" s="142"/>
      <c r="IXD108" s="142"/>
      <c r="IXE108" s="142"/>
      <c r="IXF108" s="142"/>
      <c r="IXG108" s="142"/>
      <c r="IXH108" s="142"/>
      <c r="IXI108" s="142"/>
      <c r="IXJ108" s="142"/>
      <c r="IXK108" s="142"/>
      <c r="IXL108" s="142"/>
      <c r="IXM108" s="142"/>
      <c r="IXN108" s="142"/>
      <c r="IXO108" s="142"/>
      <c r="IXP108" s="142"/>
      <c r="IXQ108" s="142"/>
      <c r="IXR108" s="142"/>
      <c r="IXS108" s="142"/>
      <c r="IXT108" s="142"/>
      <c r="IXU108" s="142"/>
      <c r="IXV108" s="142"/>
      <c r="IXW108" s="142"/>
      <c r="IXX108" s="142"/>
      <c r="IXY108" s="142"/>
      <c r="IXZ108" s="142"/>
      <c r="IYA108" s="142"/>
      <c r="IYB108" s="142"/>
      <c r="IYC108" s="142"/>
      <c r="IYD108" s="142"/>
      <c r="IYE108" s="142"/>
      <c r="IYF108" s="142"/>
      <c r="IYG108" s="142"/>
      <c r="IYH108" s="142"/>
      <c r="IYI108" s="142"/>
      <c r="IYJ108" s="142"/>
      <c r="IYK108" s="142"/>
      <c r="IYL108" s="142"/>
      <c r="IYM108" s="142"/>
      <c r="IYN108" s="142"/>
      <c r="IYO108" s="142"/>
      <c r="IYP108" s="142"/>
      <c r="IYQ108" s="142"/>
      <c r="IYR108" s="142"/>
      <c r="IYS108" s="142"/>
      <c r="IYT108" s="142"/>
      <c r="IYU108" s="142"/>
      <c r="IYV108" s="142"/>
      <c r="IYW108" s="142"/>
      <c r="IYX108" s="142"/>
      <c r="IYY108" s="142"/>
      <c r="IYZ108" s="142"/>
      <c r="IZA108" s="142"/>
      <c r="IZB108" s="142"/>
      <c r="IZC108" s="142"/>
      <c r="IZD108" s="142"/>
      <c r="IZE108" s="142"/>
      <c r="IZF108" s="142"/>
      <c r="IZG108" s="142"/>
      <c r="IZH108" s="142"/>
      <c r="IZI108" s="142"/>
      <c r="IZJ108" s="142"/>
      <c r="IZK108" s="142"/>
      <c r="IZL108" s="142"/>
      <c r="IZM108" s="142"/>
      <c r="IZN108" s="142"/>
      <c r="IZO108" s="142"/>
      <c r="IZP108" s="142"/>
      <c r="IZQ108" s="142"/>
      <c r="IZR108" s="142"/>
      <c r="IZS108" s="142"/>
      <c r="IZT108" s="142"/>
      <c r="IZU108" s="142"/>
      <c r="IZV108" s="142"/>
      <c r="IZW108" s="142"/>
      <c r="IZX108" s="142"/>
      <c r="IZY108" s="142"/>
      <c r="IZZ108" s="142"/>
      <c r="JAA108" s="142"/>
      <c r="JAB108" s="142"/>
      <c r="JAC108" s="142"/>
      <c r="JAD108" s="142"/>
      <c r="JAE108" s="142"/>
      <c r="JAF108" s="142"/>
      <c r="JAG108" s="142"/>
      <c r="JAH108" s="142"/>
      <c r="JAI108" s="142"/>
      <c r="JAJ108" s="142"/>
      <c r="JAK108" s="142"/>
      <c r="JAL108" s="142"/>
      <c r="JAM108" s="142"/>
      <c r="JAN108" s="142"/>
      <c r="JAO108" s="142"/>
      <c r="JAP108" s="142"/>
      <c r="JAQ108" s="142"/>
      <c r="JAR108" s="142"/>
      <c r="JAS108" s="142"/>
      <c r="JAT108" s="142"/>
      <c r="JAU108" s="142"/>
      <c r="JAV108" s="142"/>
      <c r="JAW108" s="142"/>
      <c r="JAX108" s="142"/>
      <c r="JAY108" s="142"/>
      <c r="JAZ108" s="142"/>
      <c r="JBA108" s="142"/>
      <c r="JBB108" s="142"/>
      <c r="JBC108" s="142"/>
      <c r="JBD108" s="142"/>
      <c r="JBE108" s="142"/>
      <c r="JBF108" s="142"/>
      <c r="JBG108" s="142"/>
      <c r="JBH108" s="142"/>
      <c r="JBI108" s="142"/>
      <c r="JBJ108" s="142"/>
      <c r="JBK108" s="142"/>
      <c r="JBL108" s="142"/>
      <c r="JBM108" s="142"/>
      <c r="JBN108" s="142"/>
      <c r="JBO108" s="142"/>
      <c r="JBP108" s="142"/>
      <c r="JBQ108" s="142"/>
      <c r="JBR108" s="142"/>
      <c r="JBS108" s="142"/>
      <c r="JBT108" s="142"/>
      <c r="JBU108" s="142"/>
      <c r="JBV108" s="142"/>
      <c r="JBW108" s="142"/>
      <c r="JBX108" s="142"/>
      <c r="JBY108" s="142"/>
      <c r="JBZ108" s="142"/>
      <c r="JCA108" s="142"/>
      <c r="JCB108" s="142"/>
      <c r="JCC108" s="142"/>
      <c r="JCD108" s="142"/>
      <c r="JCE108" s="142"/>
      <c r="JCF108" s="142"/>
      <c r="JCG108" s="142"/>
      <c r="JCH108" s="142"/>
      <c r="JCI108" s="142"/>
      <c r="JCJ108" s="142"/>
      <c r="JCK108" s="142"/>
      <c r="JCL108" s="142"/>
      <c r="JCM108" s="142"/>
      <c r="JCN108" s="142"/>
      <c r="JCO108" s="142"/>
      <c r="JCP108" s="142"/>
      <c r="JCQ108" s="142"/>
      <c r="JCR108" s="142"/>
      <c r="JCS108" s="142"/>
      <c r="JCT108" s="142"/>
      <c r="JCU108" s="142"/>
      <c r="JCV108" s="142"/>
      <c r="JCW108" s="142"/>
      <c r="JCX108" s="142"/>
      <c r="JCY108" s="142"/>
      <c r="JCZ108" s="142"/>
      <c r="JDA108" s="142"/>
      <c r="JDB108" s="142"/>
      <c r="JDC108" s="142"/>
      <c r="JDD108" s="142"/>
      <c r="JDE108" s="142"/>
      <c r="JDF108" s="142"/>
      <c r="JDG108" s="142"/>
      <c r="JDH108" s="142"/>
      <c r="JDI108" s="142"/>
      <c r="JDJ108" s="142"/>
      <c r="JDK108" s="142"/>
      <c r="JDL108" s="142"/>
      <c r="JDM108" s="142"/>
      <c r="JDN108" s="142"/>
      <c r="JDO108" s="142"/>
      <c r="JDP108" s="142"/>
      <c r="JDQ108" s="142"/>
      <c r="JDR108" s="142"/>
      <c r="JDS108" s="142"/>
      <c r="JDT108" s="142"/>
      <c r="JDU108" s="142"/>
      <c r="JDV108" s="142"/>
      <c r="JDW108" s="142"/>
      <c r="JDX108" s="142"/>
      <c r="JDY108" s="142"/>
      <c r="JDZ108" s="142"/>
      <c r="JEA108" s="142"/>
      <c r="JEB108" s="142"/>
      <c r="JEC108" s="142"/>
      <c r="JED108" s="142"/>
      <c r="JEE108" s="142"/>
      <c r="JEF108" s="142"/>
      <c r="JEG108" s="142"/>
      <c r="JEH108" s="142"/>
      <c r="JEI108" s="142"/>
      <c r="JEJ108" s="142"/>
      <c r="JEK108" s="142"/>
      <c r="JEL108" s="142"/>
      <c r="JEM108" s="142"/>
      <c r="JEN108" s="142"/>
      <c r="JEO108" s="142"/>
      <c r="JEP108" s="142"/>
      <c r="JEQ108" s="142"/>
      <c r="JER108" s="142"/>
      <c r="JES108" s="142"/>
      <c r="JET108" s="142"/>
      <c r="JEU108" s="142"/>
      <c r="JEV108" s="142"/>
      <c r="JEW108" s="142"/>
      <c r="JEX108" s="142"/>
      <c r="JEY108" s="142"/>
      <c r="JEZ108" s="142"/>
      <c r="JFA108" s="142"/>
      <c r="JFB108" s="142"/>
      <c r="JFC108" s="142"/>
      <c r="JFD108" s="142"/>
      <c r="JFE108" s="142"/>
      <c r="JFF108" s="142"/>
      <c r="JFG108" s="142"/>
      <c r="JFH108" s="142"/>
      <c r="JFI108" s="142"/>
      <c r="JFJ108" s="142"/>
      <c r="JFK108" s="142"/>
      <c r="JFL108" s="142"/>
      <c r="JFM108" s="142"/>
      <c r="JFN108" s="142"/>
      <c r="JFO108" s="142"/>
      <c r="JFP108" s="142"/>
      <c r="JFQ108" s="142"/>
      <c r="JFR108" s="142"/>
      <c r="JFS108" s="142"/>
      <c r="JFT108" s="142"/>
      <c r="JFU108" s="142"/>
      <c r="JFV108" s="142"/>
      <c r="JFW108" s="142"/>
      <c r="JFX108" s="142"/>
      <c r="JFY108" s="142"/>
      <c r="JFZ108" s="142"/>
      <c r="JGA108" s="142"/>
      <c r="JGB108" s="142"/>
      <c r="JGC108" s="142"/>
      <c r="JGD108" s="142"/>
      <c r="JGE108" s="142"/>
      <c r="JGF108" s="142"/>
      <c r="JGG108" s="142"/>
      <c r="JGH108" s="142"/>
      <c r="JGI108" s="142"/>
      <c r="JGJ108" s="142"/>
      <c r="JGK108" s="142"/>
      <c r="JGL108" s="142"/>
      <c r="JGM108" s="142"/>
      <c r="JGN108" s="142"/>
      <c r="JGO108" s="142"/>
      <c r="JGP108" s="142"/>
      <c r="JGQ108" s="142"/>
      <c r="JGR108" s="142"/>
      <c r="JGS108" s="142"/>
      <c r="JGT108" s="142"/>
      <c r="JGU108" s="142"/>
      <c r="JGV108" s="142"/>
      <c r="JGW108" s="142"/>
      <c r="JGX108" s="142"/>
      <c r="JGY108" s="142"/>
      <c r="JGZ108" s="142"/>
      <c r="JHA108" s="142"/>
      <c r="JHB108" s="142"/>
      <c r="JHC108" s="142"/>
      <c r="JHD108" s="142"/>
      <c r="JHE108" s="142"/>
      <c r="JHF108" s="142"/>
      <c r="JHG108" s="142"/>
      <c r="JHH108" s="142"/>
      <c r="JHI108" s="142"/>
      <c r="JHJ108" s="142"/>
      <c r="JHK108" s="142"/>
      <c r="JHL108" s="142"/>
      <c r="JHM108" s="142"/>
      <c r="JHN108" s="142"/>
      <c r="JHO108" s="142"/>
      <c r="JHP108" s="142"/>
      <c r="JHQ108" s="142"/>
      <c r="JHR108" s="142"/>
      <c r="JHS108" s="142"/>
      <c r="JHT108" s="142"/>
      <c r="JHU108" s="142"/>
      <c r="JHV108" s="142"/>
      <c r="JHW108" s="142"/>
      <c r="JHX108" s="142"/>
      <c r="JHY108" s="142"/>
      <c r="JHZ108" s="142"/>
      <c r="JIA108" s="142"/>
      <c r="JIB108" s="142"/>
      <c r="JIC108" s="142"/>
      <c r="JID108" s="142"/>
      <c r="JIE108" s="142"/>
      <c r="JIF108" s="142"/>
      <c r="JIG108" s="142"/>
      <c r="JIH108" s="142"/>
      <c r="JII108" s="142"/>
      <c r="JIJ108" s="142"/>
      <c r="JIK108" s="142"/>
      <c r="JIL108" s="142"/>
      <c r="JIM108" s="142"/>
      <c r="JIN108" s="142"/>
      <c r="JIO108" s="142"/>
      <c r="JIP108" s="142"/>
      <c r="JIQ108" s="142"/>
      <c r="JIR108" s="142"/>
      <c r="JIS108" s="142"/>
      <c r="JIT108" s="142"/>
      <c r="JIU108" s="142"/>
      <c r="JIV108" s="142"/>
      <c r="JIW108" s="142"/>
      <c r="JIX108" s="142"/>
      <c r="JIY108" s="142"/>
      <c r="JIZ108" s="142"/>
      <c r="JJA108" s="142"/>
      <c r="JJB108" s="142"/>
      <c r="JJC108" s="142"/>
      <c r="JJD108" s="142"/>
      <c r="JJE108" s="142"/>
      <c r="JJF108" s="142"/>
      <c r="JJG108" s="142"/>
      <c r="JJH108" s="142"/>
      <c r="JJI108" s="142"/>
      <c r="JJJ108" s="142"/>
      <c r="JJK108" s="142"/>
      <c r="JJL108" s="142"/>
      <c r="JJM108" s="142"/>
      <c r="JJN108" s="142"/>
      <c r="JJO108" s="142"/>
      <c r="JJP108" s="142"/>
      <c r="JJQ108" s="142"/>
      <c r="JJR108" s="142"/>
      <c r="JJS108" s="142"/>
      <c r="JJT108" s="142"/>
      <c r="JJU108" s="142"/>
      <c r="JJV108" s="142"/>
      <c r="JJW108" s="142"/>
      <c r="JJX108" s="142"/>
      <c r="JJY108" s="142"/>
      <c r="JJZ108" s="142"/>
      <c r="JKA108" s="142"/>
      <c r="JKB108" s="142"/>
      <c r="JKC108" s="142"/>
      <c r="JKD108" s="142"/>
      <c r="JKE108" s="142"/>
      <c r="JKF108" s="142"/>
      <c r="JKG108" s="142"/>
      <c r="JKH108" s="142"/>
      <c r="JKI108" s="142"/>
      <c r="JKJ108" s="142"/>
      <c r="JKK108" s="142"/>
      <c r="JKL108" s="142"/>
      <c r="JKM108" s="142"/>
      <c r="JKN108" s="142"/>
      <c r="JKO108" s="142"/>
      <c r="JKP108" s="142"/>
      <c r="JKQ108" s="142"/>
      <c r="JKR108" s="142"/>
      <c r="JKS108" s="142"/>
      <c r="JKT108" s="142"/>
      <c r="JKU108" s="142"/>
      <c r="JKV108" s="142"/>
      <c r="JKW108" s="142"/>
      <c r="JKX108" s="142"/>
      <c r="JKY108" s="142"/>
      <c r="JKZ108" s="142"/>
      <c r="JLA108" s="142"/>
      <c r="JLB108" s="142"/>
      <c r="JLC108" s="142"/>
      <c r="JLD108" s="142"/>
      <c r="JLE108" s="142"/>
      <c r="JLF108" s="142"/>
      <c r="JLG108" s="142"/>
      <c r="JLH108" s="142"/>
      <c r="JLI108" s="142"/>
      <c r="JLJ108" s="142"/>
      <c r="JLK108" s="142"/>
      <c r="JLL108" s="142"/>
      <c r="JLM108" s="142"/>
      <c r="JLN108" s="142"/>
      <c r="JLO108" s="142"/>
      <c r="JLP108" s="142"/>
      <c r="JLQ108" s="142"/>
      <c r="JLR108" s="142"/>
      <c r="JLS108" s="142"/>
      <c r="JLT108" s="142"/>
      <c r="JLU108" s="142"/>
      <c r="JLV108" s="142"/>
      <c r="JLW108" s="142"/>
      <c r="JLX108" s="142"/>
      <c r="JLY108" s="142"/>
      <c r="JLZ108" s="142"/>
      <c r="JMA108" s="142"/>
      <c r="JMB108" s="142"/>
      <c r="JMC108" s="142"/>
      <c r="JMD108" s="142"/>
      <c r="JME108" s="142"/>
      <c r="JMF108" s="142"/>
      <c r="JMG108" s="142"/>
      <c r="JMH108" s="142"/>
      <c r="JMI108" s="142"/>
      <c r="JMJ108" s="142"/>
      <c r="JMK108" s="142"/>
      <c r="JML108" s="142"/>
      <c r="JMM108" s="142"/>
      <c r="JMN108" s="142"/>
      <c r="JMO108" s="142"/>
      <c r="JMP108" s="142"/>
      <c r="JMQ108" s="142"/>
      <c r="JMR108" s="142"/>
      <c r="JMS108" s="142"/>
      <c r="JMT108" s="142"/>
      <c r="JMU108" s="142"/>
      <c r="JMV108" s="142"/>
      <c r="JMW108" s="142"/>
      <c r="JMX108" s="142"/>
      <c r="JMY108" s="142"/>
      <c r="JMZ108" s="142"/>
      <c r="JNA108" s="142"/>
      <c r="JNB108" s="142"/>
      <c r="JNC108" s="142"/>
      <c r="JND108" s="142"/>
      <c r="JNE108" s="142"/>
      <c r="JNF108" s="142"/>
      <c r="JNG108" s="142"/>
      <c r="JNH108" s="142"/>
      <c r="JNI108" s="142"/>
      <c r="JNJ108" s="142"/>
      <c r="JNK108" s="142"/>
      <c r="JNL108" s="142"/>
      <c r="JNM108" s="142"/>
      <c r="JNN108" s="142"/>
      <c r="JNO108" s="142"/>
      <c r="JNP108" s="142"/>
      <c r="JNQ108" s="142"/>
      <c r="JNR108" s="142"/>
      <c r="JNS108" s="142"/>
      <c r="JNT108" s="142"/>
      <c r="JNU108" s="142"/>
      <c r="JNV108" s="142"/>
      <c r="JNW108" s="142"/>
      <c r="JNX108" s="142"/>
      <c r="JNY108" s="142"/>
      <c r="JNZ108" s="142"/>
      <c r="JOA108" s="142"/>
      <c r="JOB108" s="142"/>
      <c r="JOC108" s="142"/>
      <c r="JOD108" s="142"/>
      <c r="JOE108" s="142"/>
      <c r="JOF108" s="142"/>
      <c r="JOG108" s="142"/>
      <c r="JOH108" s="142"/>
      <c r="JOI108" s="142"/>
      <c r="JOJ108" s="142"/>
      <c r="JOK108" s="142"/>
      <c r="JOL108" s="142"/>
      <c r="JOM108" s="142"/>
      <c r="JON108" s="142"/>
      <c r="JOO108" s="142"/>
      <c r="JOP108" s="142"/>
      <c r="JOQ108" s="142"/>
      <c r="JOR108" s="142"/>
      <c r="JOS108" s="142"/>
      <c r="JOT108" s="142"/>
      <c r="JOU108" s="142"/>
      <c r="JOV108" s="142"/>
      <c r="JOW108" s="142"/>
      <c r="JOX108" s="142"/>
      <c r="JOY108" s="142"/>
      <c r="JOZ108" s="142"/>
      <c r="JPA108" s="142"/>
      <c r="JPB108" s="142"/>
      <c r="JPC108" s="142"/>
      <c r="JPD108" s="142"/>
      <c r="JPE108" s="142"/>
      <c r="JPF108" s="142"/>
      <c r="JPG108" s="142"/>
      <c r="JPH108" s="142"/>
      <c r="JPI108" s="142"/>
      <c r="JPJ108" s="142"/>
      <c r="JPK108" s="142"/>
      <c r="JPL108" s="142"/>
      <c r="JPM108" s="142"/>
      <c r="JPN108" s="142"/>
      <c r="JPO108" s="142"/>
      <c r="JPP108" s="142"/>
      <c r="JPQ108" s="142"/>
      <c r="JPR108" s="142"/>
      <c r="JPS108" s="142"/>
      <c r="JPT108" s="142"/>
      <c r="JPU108" s="142"/>
      <c r="JPV108" s="142"/>
      <c r="JPW108" s="142"/>
      <c r="JPX108" s="142"/>
      <c r="JPY108" s="142"/>
      <c r="JPZ108" s="142"/>
      <c r="JQA108" s="142"/>
      <c r="JQB108" s="142"/>
      <c r="JQC108" s="142"/>
      <c r="JQD108" s="142"/>
      <c r="JQE108" s="142"/>
      <c r="JQF108" s="142"/>
      <c r="JQG108" s="142"/>
      <c r="JQH108" s="142"/>
      <c r="JQI108" s="142"/>
      <c r="JQJ108" s="142"/>
      <c r="JQK108" s="142"/>
      <c r="JQL108" s="142"/>
      <c r="JQM108" s="142"/>
      <c r="JQN108" s="142"/>
      <c r="JQO108" s="142"/>
      <c r="JQP108" s="142"/>
      <c r="JQQ108" s="142"/>
      <c r="JQR108" s="142"/>
      <c r="JQS108" s="142"/>
      <c r="JQT108" s="142"/>
      <c r="JQU108" s="142"/>
      <c r="JQV108" s="142"/>
      <c r="JQW108" s="142"/>
      <c r="JQX108" s="142"/>
      <c r="JQY108" s="142"/>
      <c r="JQZ108" s="142"/>
      <c r="JRA108" s="142"/>
      <c r="JRB108" s="142"/>
      <c r="JRC108" s="142"/>
      <c r="JRD108" s="142"/>
      <c r="JRE108" s="142"/>
      <c r="JRF108" s="142"/>
      <c r="JRG108" s="142"/>
      <c r="JRH108" s="142"/>
      <c r="JRI108" s="142"/>
      <c r="JRJ108" s="142"/>
      <c r="JRK108" s="142"/>
      <c r="JRL108" s="142"/>
      <c r="JRM108" s="142"/>
      <c r="JRN108" s="142"/>
      <c r="JRO108" s="142"/>
      <c r="JRP108" s="142"/>
      <c r="JRQ108" s="142"/>
      <c r="JRR108" s="142"/>
      <c r="JRS108" s="142"/>
      <c r="JRT108" s="142"/>
      <c r="JRU108" s="142"/>
      <c r="JRV108" s="142"/>
      <c r="JRW108" s="142"/>
      <c r="JRX108" s="142"/>
      <c r="JRY108" s="142"/>
      <c r="JRZ108" s="142"/>
      <c r="JSA108" s="142"/>
      <c r="JSB108" s="142"/>
      <c r="JSC108" s="142"/>
      <c r="JSD108" s="142"/>
      <c r="JSE108" s="142"/>
      <c r="JSF108" s="142"/>
      <c r="JSG108" s="142"/>
      <c r="JSH108" s="142"/>
      <c r="JSI108" s="142"/>
      <c r="JSJ108" s="142"/>
      <c r="JSK108" s="142"/>
      <c r="JSL108" s="142"/>
      <c r="JSM108" s="142"/>
      <c r="JSN108" s="142"/>
      <c r="JSO108" s="142"/>
      <c r="JSP108" s="142"/>
      <c r="JSQ108" s="142"/>
      <c r="JSR108" s="142"/>
      <c r="JSS108" s="142"/>
      <c r="JST108" s="142"/>
      <c r="JSU108" s="142"/>
      <c r="JSV108" s="142"/>
      <c r="JSW108" s="142"/>
      <c r="JSX108" s="142"/>
      <c r="JSY108" s="142"/>
      <c r="JSZ108" s="142"/>
      <c r="JTA108" s="142"/>
      <c r="JTB108" s="142"/>
      <c r="JTC108" s="142"/>
      <c r="JTD108" s="142"/>
      <c r="JTE108" s="142"/>
      <c r="JTF108" s="142"/>
      <c r="JTG108" s="142"/>
      <c r="JTH108" s="142"/>
      <c r="JTI108" s="142"/>
      <c r="JTJ108" s="142"/>
      <c r="JTK108" s="142"/>
      <c r="JTL108" s="142"/>
      <c r="JTM108" s="142"/>
      <c r="JTN108" s="142"/>
      <c r="JTO108" s="142"/>
      <c r="JTP108" s="142"/>
      <c r="JTQ108" s="142"/>
      <c r="JTR108" s="142"/>
      <c r="JTS108" s="142"/>
      <c r="JTT108" s="142"/>
      <c r="JTU108" s="142"/>
      <c r="JTV108" s="142"/>
      <c r="JTW108" s="142"/>
      <c r="JTX108" s="142"/>
      <c r="JTY108" s="142"/>
      <c r="JTZ108" s="142"/>
      <c r="JUA108" s="142"/>
      <c r="JUB108" s="142"/>
      <c r="JUC108" s="142"/>
      <c r="JUD108" s="142"/>
      <c r="JUE108" s="142"/>
      <c r="JUF108" s="142"/>
      <c r="JUG108" s="142"/>
      <c r="JUH108" s="142"/>
      <c r="JUI108" s="142"/>
      <c r="JUJ108" s="142"/>
      <c r="JUK108" s="142"/>
      <c r="JUL108" s="142"/>
      <c r="JUM108" s="142"/>
      <c r="JUN108" s="142"/>
      <c r="JUO108" s="142"/>
      <c r="JUP108" s="142"/>
      <c r="JUQ108" s="142"/>
      <c r="JUR108" s="142"/>
      <c r="JUS108" s="142"/>
      <c r="JUT108" s="142"/>
      <c r="JUU108" s="142"/>
      <c r="JUV108" s="142"/>
      <c r="JUW108" s="142"/>
      <c r="JUX108" s="142"/>
      <c r="JUY108" s="142"/>
      <c r="JUZ108" s="142"/>
      <c r="JVA108" s="142"/>
      <c r="JVB108" s="142"/>
      <c r="JVC108" s="142"/>
      <c r="JVD108" s="142"/>
      <c r="JVE108" s="142"/>
      <c r="JVF108" s="142"/>
      <c r="JVG108" s="142"/>
      <c r="JVH108" s="142"/>
      <c r="JVI108" s="142"/>
      <c r="JVJ108" s="142"/>
      <c r="JVK108" s="142"/>
      <c r="JVL108" s="142"/>
      <c r="JVM108" s="142"/>
      <c r="JVN108" s="142"/>
      <c r="JVO108" s="142"/>
      <c r="JVP108" s="142"/>
      <c r="JVQ108" s="142"/>
      <c r="JVR108" s="142"/>
      <c r="JVS108" s="142"/>
      <c r="JVT108" s="142"/>
      <c r="JVU108" s="142"/>
      <c r="JVV108" s="142"/>
      <c r="JVW108" s="142"/>
      <c r="JVX108" s="142"/>
      <c r="JVY108" s="142"/>
      <c r="JVZ108" s="142"/>
      <c r="JWA108" s="142"/>
      <c r="JWB108" s="142"/>
      <c r="JWC108" s="142"/>
      <c r="JWD108" s="142"/>
      <c r="JWE108" s="142"/>
      <c r="JWF108" s="142"/>
      <c r="JWG108" s="142"/>
      <c r="JWH108" s="142"/>
      <c r="JWI108" s="142"/>
      <c r="JWJ108" s="142"/>
      <c r="JWK108" s="142"/>
      <c r="JWL108" s="142"/>
      <c r="JWM108" s="142"/>
      <c r="JWN108" s="142"/>
      <c r="JWO108" s="142"/>
      <c r="JWP108" s="142"/>
      <c r="JWQ108" s="142"/>
      <c r="JWR108" s="142"/>
      <c r="JWS108" s="142"/>
      <c r="JWT108" s="142"/>
      <c r="JWU108" s="142"/>
      <c r="JWV108" s="142"/>
      <c r="JWW108" s="142"/>
      <c r="JWX108" s="142"/>
      <c r="JWY108" s="142"/>
      <c r="JWZ108" s="142"/>
      <c r="JXA108" s="142"/>
      <c r="JXB108" s="142"/>
      <c r="JXC108" s="142"/>
      <c r="JXD108" s="142"/>
      <c r="JXE108" s="142"/>
      <c r="JXF108" s="142"/>
      <c r="JXG108" s="142"/>
      <c r="JXH108" s="142"/>
      <c r="JXI108" s="142"/>
      <c r="JXJ108" s="142"/>
      <c r="JXK108" s="142"/>
      <c r="JXL108" s="142"/>
      <c r="JXM108" s="142"/>
      <c r="JXN108" s="142"/>
      <c r="JXO108" s="142"/>
      <c r="JXP108" s="142"/>
      <c r="JXQ108" s="142"/>
      <c r="JXR108" s="142"/>
      <c r="JXS108" s="142"/>
      <c r="JXT108" s="142"/>
      <c r="JXU108" s="142"/>
      <c r="JXV108" s="142"/>
      <c r="JXW108" s="142"/>
      <c r="JXX108" s="142"/>
      <c r="JXY108" s="142"/>
      <c r="JXZ108" s="142"/>
      <c r="JYA108" s="142"/>
      <c r="JYB108" s="142"/>
      <c r="JYC108" s="142"/>
      <c r="JYD108" s="142"/>
      <c r="JYE108" s="142"/>
      <c r="JYF108" s="142"/>
      <c r="JYG108" s="142"/>
      <c r="JYH108" s="142"/>
      <c r="JYI108" s="142"/>
      <c r="JYJ108" s="142"/>
      <c r="JYK108" s="142"/>
      <c r="JYL108" s="142"/>
      <c r="JYM108" s="142"/>
      <c r="JYN108" s="142"/>
      <c r="JYO108" s="142"/>
      <c r="JYP108" s="142"/>
      <c r="JYQ108" s="142"/>
      <c r="JYR108" s="142"/>
      <c r="JYS108" s="142"/>
      <c r="JYT108" s="142"/>
      <c r="JYU108" s="142"/>
      <c r="JYV108" s="142"/>
      <c r="JYW108" s="142"/>
      <c r="JYX108" s="142"/>
      <c r="JYY108" s="142"/>
      <c r="JYZ108" s="142"/>
      <c r="JZA108" s="142"/>
      <c r="JZB108" s="142"/>
      <c r="JZC108" s="142"/>
      <c r="JZD108" s="142"/>
      <c r="JZE108" s="142"/>
      <c r="JZF108" s="142"/>
      <c r="JZG108" s="142"/>
      <c r="JZH108" s="142"/>
      <c r="JZI108" s="142"/>
      <c r="JZJ108" s="142"/>
      <c r="JZK108" s="142"/>
      <c r="JZL108" s="142"/>
      <c r="JZM108" s="142"/>
      <c r="JZN108" s="142"/>
      <c r="JZO108" s="142"/>
      <c r="JZP108" s="142"/>
      <c r="JZQ108" s="142"/>
      <c r="JZR108" s="142"/>
      <c r="JZS108" s="142"/>
      <c r="JZT108" s="142"/>
      <c r="JZU108" s="142"/>
      <c r="JZV108" s="142"/>
      <c r="JZW108" s="142"/>
      <c r="JZX108" s="142"/>
      <c r="JZY108" s="142"/>
      <c r="JZZ108" s="142"/>
      <c r="KAA108" s="142"/>
      <c r="KAB108" s="142"/>
      <c r="KAC108" s="142"/>
      <c r="KAD108" s="142"/>
      <c r="KAE108" s="142"/>
      <c r="KAF108" s="142"/>
      <c r="KAG108" s="142"/>
      <c r="KAH108" s="142"/>
      <c r="KAI108" s="142"/>
      <c r="KAJ108" s="142"/>
      <c r="KAK108" s="142"/>
      <c r="KAL108" s="142"/>
      <c r="KAM108" s="142"/>
      <c r="KAN108" s="142"/>
      <c r="KAO108" s="142"/>
      <c r="KAP108" s="142"/>
      <c r="KAQ108" s="142"/>
      <c r="KAR108" s="142"/>
      <c r="KAS108" s="142"/>
      <c r="KAT108" s="142"/>
      <c r="KAU108" s="142"/>
      <c r="KAV108" s="142"/>
      <c r="KAW108" s="142"/>
      <c r="KAX108" s="142"/>
      <c r="KAY108" s="142"/>
      <c r="KAZ108" s="142"/>
      <c r="KBA108" s="142"/>
      <c r="KBB108" s="142"/>
      <c r="KBC108" s="142"/>
      <c r="KBD108" s="142"/>
      <c r="KBE108" s="142"/>
      <c r="KBF108" s="142"/>
      <c r="KBG108" s="142"/>
      <c r="KBH108" s="142"/>
      <c r="KBI108" s="142"/>
      <c r="KBJ108" s="142"/>
      <c r="KBK108" s="142"/>
      <c r="KBL108" s="142"/>
      <c r="KBM108" s="142"/>
      <c r="KBN108" s="142"/>
      <c r="KBO108" s="142"/>
      <c r="KBP108" s="142"/>
      <c r="KBQ108" s="142"/>
      <c r="KBR108" s="142"/>
      <c r="KBS108" s="142"/>
      <c r="KBT108" s="142"/>
      <c r="KBU108" s="142"/>
      <c r="KBV108" s="142"/>
      <c r="KBW108" s="142"/>
      <c r="KBX108" s="142"/>
      <c r="KBY108" s="142"/>
      <c r="KBZ108" s="142"/>
      <c r="KCA108" s="142"/>
      <c r="KCB108" s="142"/>
      <c r="KCC108" s="142"/>
      <c r="KCD108" s="142"/>
      <c r="KCE108" s="142"/>
      <c r="KCF108" s="142"/>
      <c r="KCG108" s="142"/>
      <c r="KCH108" s="142"/>
      <c r="KCI108" s="142"/>
      <c r="KCJ108" s="142"/>
      <c r="KCK108" s="142"/>
      <c r="KCL108" s="142"/>
      <c r="KCM108" s="142"/>
      <c r="KCN108" s="142"/>
      <c r="KCO108" s="142"/>
      <c r="KCP108" s="142"/>
      <c r="KCQ108" s="142"/>
      <c r="KCR108" s="142"/>
      <c r="KCS108" s="142"/>
      <c r="KCT108" s="142"/>
      <c r="KCU108" s="142"/>
      <c r="KCV108" s="142"/>
      <c r="KCW108" s="142"/>
      <c r="KCX108" s="142"/>
      <c r="KCY108" s="142"/>
      <c r="KCZ108" s="142"/>
      <c r="KDA108" s="142"/>
      <c r="KDB108" s="142"/>
      <c r="KDC108" s="142"/>
      <c r="KDD108" s="142"/>
      <c r="KDE108" s="142"/>
      <c r="KDF108" s="142"/>
      <c r="KDG108" s="142"/>
      <c r="KDH108" s="142"/>
      <c r="KDI108" s="142"/>
      <c r="KDJ108" s="142"/>
      <c r="KDK108" s="142"/>
      <c r="KDL108" s="142"/>
      <c r="KDM108" s="142"/>
      <c r="KDN108" s="142"/>
      <c r="KDO108" s="142"/>
      <c r="KDP108" s="142"/>
      <c r="KDQ108" s="142"/>
      <c r="KDR108" s="142"/>
      <c r="KDS108" s="142"/>
      <c r="KDT108" s="142"/>
      <c r="KDU108" s="142"/>
      <c r="KDV108" s="142"/>
      <c r="KDW108" s="142"/>
      <c r="KDX108" s="142"/>
      <c r="KDY108" s="142"/>
      <c r="KDZ108" s="142"/>
      <c r="KEA108" s="142"/>
      <c r="KEB108" s="142"/>
      <c r="KEC108" s="142"/>
      <c r="KED108" s="142"/>
      <c r="KEE108" s="142"/>
      <c r="KEF108" s="142"/>
      <c r="KEG108" s="142"/>
      <c r="KEH108" s="142"/>
      <c r="KEI108" s="142"/>
      <c r="KEJ108" s="142"/>
      <c r="KEK108" s="142"/>
      <c r="KEL108" s="142"/>
      <c r="KEM108" s="142"/>
      <c r="KEN108" s="142"/>
      <c r="KEO108" s="142"/>
      <c r="KEP108" s="142"/>
      <c r="KEQ108" s="142"/>
      <c r="KER108" s="142"/>
      <c r="KES108" s="142"/>
      <c r="KET108" s="142"/>
      <c r="KEU108" s="142"/>
      <c r="KEV108" s="142"/>
      <c r="KEW108" s="142"/>
      <c r="KEX108" s="142"/>
      <c r="KEY108" s="142"/>
      <c r="KEZ108" s="142"/>
      <c r="KFA108" s="142"/>
      <c r="KFB108" s="142"/>
      <c r="KFC108" s="142"/>
      <c r="KFD108" s="142"/>
      <c r="KFE108" s="142"/>
      <c r="KFF108" s="142"/>
      <c r="KFG108" s="142"/>
      <c r="KFH108" s="142"/>
      <c r="KFI108" s="142"/>
      <c r="KFJ108" s="142"/>
      <c r="KFK108" s="142"/>
      <c r="KFL108" s="142"/>
      <c r="KFM108" s="142"/>
      <c r="KFN108" s="142"/>
      <c r="KFO108" s="142"/>
      <c r="KFP108" s="142"/>
      <c r="KFQ108" s="142"/>
      <c r="KFR108" s="142"/>
      <c r="KFS108" s="142"/>
      <c r="KFT108" s="142"/>
      <c r="KFU108" s="142"/>
      <c r="KFV108" s="142"/>
      <c r="KFW108" s="142"/>
      <c r="KFX108" s="142"/>
      <c r="KFY108" s="142"/>
      <c r="KFZ108" s="142"/>
      <c r="KGA108" s="142"/>
      <c r="KGB108" s="142"/>
      <c r="KGC108" s="142"/>
      <c r="KGD108" s="142"/>
      <c r="KGE108" s="142"/>
      <c r="KGF108" s="142"/>
      <c r="KGG108" s="142"/>
      <c r="KGH108" s="142"/>
      <c r="KGI108" s="142"/>
      <c r="KGJ108" s="142"/>
      <c r="KGK108" s="142"/>
      <c r="KGL108" s="142"/>
      <c r="KGM108" s="142"/>
      <c r="KGN108" s="142"/>
      <c r="KGO108" s="142"/>
      <c r="KGP108" s="142"/>
      <c r="KGQ108" s="142"/>
      <c r="KGR108" s="142"/>
      <c r="KGS108" s="142"/>
      <c r="KGT108" s="142"/>
      <c r="KGU108" s="142"/>
      <c r="KGV108" s="142"/>
      <c r="KGW108" s="142"/>
      <c r="KGX108" s="142"/>
      <c r="KGY108" s="142"/>
      <c r="KGZ108" s="142"/>
      <c r="KHA108" s="142"/>
      <c r="KHB108" s="142"/>
      <c r="KHC108" s="142"/>
      <c r="KHD108" s="142"/>
      <c r="KHE108" s="142"/>
      <c r="KHF108" s="142"/>
      <c r="KHG108" s="142"/>
      <c r="KHH108" s="142"/>
      <c r="KHI108" s="142"/>
      <c r="KHJ108" s="142"/>
      <c r="KHK108" s="142"/>
      <c r="KHL108" s="142"/>
      <c r="KHM108" s="142"/>
      <c r="KHN108" s="142"/>
      <c r="KHO108" s="142"/>
      <c r="KHP108" s="142"/>
      <c r="KHQ108" s="142"/>
      <c r="KHR108" s="142"/>
      <c r="KHS108" s="142"/>
      <c r="KHT108" s="142"/>
      <c r="KHU108" s="142"/>
      <c r="KHV108" s="142"/>
      <c r="KHW108" s="142"/>
      <c r="KHX108" s="142"/>
      <c r="KHY108" s="142"/>
      <c r="KHZ108" s="142"/>
      <c r="KIA108" s="142"/>
      <c r="KIB108" s="142"/>
      <c r="KIC108" s="142"/>
      <c r="KID108" s="142"/>
      <c r="KIE108" s="142"/>
      <c r="KIF108" s="142"/>
      <c r="KIG108" s="142"/>
      <c r="KIH108" s="142"/>
      <c r="KII108" s="142"/>
      <c r="KIJ108" s="142"/>
      <c r="KIK108" s="142"/>
      <c r="KIL108" s="142"/>
      <c r="KIM108" s="142"/>
      <c r="KIN108" s="142"/>
      <c r="KIO108" s="142"/>
      <c r="KIP108" s="142"/>
      <c r="KIQ108" s="142"/>
      <c r="KIR108" s="142"/>
      <c r="KIS108" s="142"/>
      <c r="KIT108" s="142"/>
      <c r="KIU108" s="142"/>
      <c r="KIV108" s="142"/>
      <c r="KIW108" s="142"/>
      <c r="KIX108" s="142"/>
      <c r="KIY108" s="142"/>
      <c r="KIZ108" s="142"/>
      <c r="KJA108" s="142"/>
      <c r="KJB108" s="142"/>
      <c r="KJC108" s="142"/>
      <c r="KJD108" s="142"/>
      <c r="KJE108" s="142"/>
      <c r="KJF108" s="142"/>
      <c r="KJG108" s="142"/>
      <c r="KJH108" s="142"/>
      <c r="KJI108" s="142"/>
      <c r="KJJ108" s="142"/>
      <c r="KJK108" s="142"/>
      <c r="KJL108" s="142"/>
      <c r="KJM108" s="142"/>
      <c r="KJN108" s="142"/>
      <c r="KJO108" s="142"/>
      <c r="KJP108" s="142"/>
      <c r="KJQ108" s="142"/>
      <c r="KJR108" s="142"/>
      <c r="KJS108" s="142"/>
      <c r="KJT108" s="142"/>
      <c r="KJU108" s="142"/>
      <c r="KJV108" s="142"/>
      <c r="KJW108" s="142"/>
      <c r="KJX108" s="142"/>
      <c r="KJY108" s="142"/>
      <c r="KJZ108" s="142"/>
      <c r="KKA108" s="142"/>
      <c r="KKB108" s="142"/>
      <c r="KKC108" s="142"/>
      <c r="KKD108" s="142"/>
      <c r="KKE108" s="142"/>
      <c r="KKF108" s="142"/>
      <c r="KKG108" s="142"/>
      <c r="KKH108" s="142"/>
      <c r="KKI108" s="142"/>
      <c r="KKJ108" s="142"/>
      <c r="KKK108" s="142"/>
      <c r="KKL108" s="142"/>
      <c r="KKM108" s="142"/>
      <c r="KKN108" s="142"/>
      <c r="KKO108" s="142"/>
      <c r="KKP108" s="142"/>
      <c r="KKQ108" s="142"/>
      <c r="KKR108" s="142"/>
      <c r="KKS108" s="142"/>
      <c r="KKT108" s="142"/>
      <c r="KKU108" s="142"/>
      <c r="KKV108" s="142"/>
      <c r="KKW108" s="142"/>
      <c r="KKX108" s="142"/>
      <c r="KKY108" s="142"/>
      <c r="KKZ108" s="142"/>
      <c r="KLA108" s="142"/>
      <c r="KLB108" s="142"/>
      <c r="KLC108" s="142"/>
      <c r="KLD108" s="142"/>
      <c r="KLE108" s="142"/>
      <c r="KLF108" s="142"/>
      <c r="KLG108" s="142"/>
      <c r="KLH108" s="142"/>
      <c r="KLI108" s="142"/>
      <c r="KLJ108" s="142"/>
      <c r="KLK108" s="142"/>
      <c r="KLL108" s="142"/>
      <c r="KLM108" s="142"/>
      <c r="KLN108" s="142"/>
      <c r="KLO108" s="142"/>
      <c r="KLP108" s="142"/>
      <c r="KLQ108" s="142"/>
      <c r="KLR108" s="142"/>
      <c r="KLS108" s="142"/>
      <c r="KLT108" s="142"/>
      <c r="KLU108" s="142"/>
      <c r="KLV108" s="142"/>
      <c r="KLW108" s="142"/>
      <c r="KLX108" s="142"/>
      <c r="KLY108" s="142"/>
      <c r="KLZ108" s="142"/>
      <c r="KMA108" s="142"/>
      <c r="KMB108" s="142"/>
      <c r="KMC108" s="142"/>
      <c r="KMD108" s="142"/>
      <c r="KME108" s="142"/>
      <c r="KMF108" s="142"/>
      <c r="KMG108" s="142"/>
      <c r="KMH108" s="142"/>
      <c r="KMI108" s="142"/>
      <c r="KMJ108" s="142"/>
      <c r="KMK108" s="142"/>
      <c r="KML108" s="142"/>
      <c r="KMM108" s="142"/>
      <c r="KMN108" s="142"/>
      <c r="KMO108" s="142"/>
      <c r="KMP108" s="142"/>
      <c r="KMQ108" s="142"/>
      <c r="KMR108" s="142"/>
      <c r="KMS108" s="142"/>
      <c r="KMT108" s="142"/>
      <c r="KMU108" s="142"/>
      <c r="KMV108" s="142"/>
      <c r="KMW108" s="142"/>
      <c r="KMX108" s="142"/>
      <c r="KMY108" s="142"/>
      <c r="KMZ108" s="142"/>
      <c r="KNA108" s="142"/>
      <c r="KNB108" s="142"/>
      <c r="KNC108" s="142"/>
      <c r="KND108" s="142"/>
      <c r="KNE108" s="142"/>
      <c r="KNF108" s="142"/>
      <c r="KNG108" s="142"/>
      <c r="KNH108" s="142"/>
      <c r="KNI108" s="142"/>
      <c r="KNJ108" s="142"/>
      <c r="KNK108" s="142"/>
      <c r="KNL108" s="142"/>
      <c r="KNM108" s="142"/>
      <c r="KNN108" s="142"/>
      <c r="KNO108" s="142"/>
      <c r="KNP108" s="142"/>
      <c r="KNQ108" s="142"/>
      <c r="KNR108" s="142"/>
      <c r="KNS108" s="142"/>
      <c r="KNT108" s="142"/>
      <c r="KNU108" s="142"/>
      <c r="KNV108" s="142"/>
      <c r="KNW108" s="142"/>
      <c r="KNX108" s="142"/>
      <c r="KNY108" s="142"/>
      <c r="KNZ108" s="142"/>
      <c r="KOA108" s="142"/>
      <c r="KOB108" s="142"/>
      <c r="KOC108" s="142"/>
      <c r="KOD108" s="142"/>
      <c r="KOE108" s="142"/>
      <c r="KOF108" s="142"/>
      <c r="KOG108" s="142"/>
      <c r="KOH108" s="142"/>
      <c r="KOI108" s="142"/>
      <c r="KOJ108" s="142"/>
      <c r="KOK108" s="142"/>
      <c r="KOL108" s="142"/>
      <c r="KOM108" s="142"/>
      <c r="KON108" s="142"/>
      <c r="KOO108" s="142"/>
      <c r="KOP108" s="142"/>
      <c r="KOQ108" s="142"/>
      <c r="KOR108" s="142"/>
      <c r="KOS108" s="142"/>
      <c r="KOT108" s="142"/>
      <c r="KOU108" s="142"/>
      <c r="KOV108" s="142"/>
      <c r="KOW108" s="142"/>
      <c r="KOX108" s="142"/>
      <c r="KOY108" s="142"/>
      <c r="KOZ108" s="142"/>
      <c r="KPA108" s="142"/>
      <c r="KPB108" s="142"/>
      <c r="KPC108" s="142"/>
      <c r="KPD108" s="142"/>
      <c r="KPE108" s="142"/>
      <c r="KPF108" s="142"/>
      <c r="KPG108" s="142"/>
      <c r="KPH108" s="142"/>
      <c r="KPI108" s="142"/>
      <c r="KPJ108" s="142"/>
      <c r="KPK108" s="142"/>
      <c r="KPL108" s="142"/>
      <c r="KPM108" s="142"/>
      <c r="KPN108" s="142"/>
      <c r="KPO108" s="142"/>
      <c r="KPP108" s="142"/>
      <c r="KPQ108" s="142"/>
      <c r="KPR108" s="142"/>
      <c r="KPS108" s="142"/>
      <c r="KPT108" s="142"/>
      <c r="KPU108" s="142"/>
      <c r="KPV108" s="142"/>
      <c r="KPW108" s="142"/>
      <c r="KPX108" s="142"/>
      <c r="KPY108" s="142"/>
      <c r="KPZ108" s="142"/>
      <c r="KQA108" s="142"/>
      <c r="KQB108" s="142"/>
      <c r="KQC108" s="142"/>
      <c r="KQD108" s="142"/>
      <c r="KQE108" s="142"/>
      <c r="KQF108" s="142"/>
      <c r="KQG108" s="142"/>
      <c r="KQH108" s="142"/>
      <c r="KQI108" s="142"/>
      <c r="KQJ108" s="142"/>
      <c r="KQK108" s="142"/>
      <c r="KQL108" s="142"/>
      <c r="KQM108" s="142"/>
      <c r="KQN108" s="142"/>
      <c r="KQO108" s="142"/>
      <c r="KQP108" s="142"/>
      <c r="KQQ108" s="142"/>
      <c r="KQR108" s="142"/>
      <c r="KQS108" s="142"/>
      <c r="KQT108" s="142"/>
      <c r="KQU108" s="142"/>
      <c r="KQV108" s="142"/>
      <c r="KQW108" s="142"/>
      <c r="KQX108" s="142"/>
      <c r="KQY108" s="142"/>
      <c r="KQZ108" s="142"/>
      <c r="KRA108" s="142"/>
      <c r="KRB108" s="142"/>
      <c r="KRC108" s="142"/>
      <c r="KRD108" s="142"/>
      <c r="KRE108" s="142"/>
      <c r="KRF108" s="142"/>
      <c r="KRG108" s="142"/>
      <c r="KRH108" s="142"/>
      <c r="KRI108" s="142"/>
      <c r="KRJ108" s="142"/>
      <c r="KRK108" s="142"/>
      <c r="KRL108" s="142"/>
      <c r="KRM108" s="142"/>
      <c r="KRN108" s="142"/>
      <c r="KRO108" s="142"/>
      <c r="KRP108" s="142"/>
      <c r="KRQ108" s="142"/>
      <c r="KRR108" s="142"/>
      <c r="KRS108" s="142"/>
      <c r="KRT108" s="142"/>
      <c r="KRU108" s="142"/>
      <c r="KRV108" s="142"/>
      <c r="KRW108" s="142"/>
      <c r="KRX108" s="142"/>
      <c r="KRY108" s="142"/>
      <c r="KRZ108" s="142"/>
      <c r="KSA108" s="142"/>
      <c r="KSB108" s="142"/>
      <c r="KSC108" s="142"/>
      <c r="KSD108" s="142"/>
      <c r="KSE108" s="142"/>
      <c r="KSF108" s="142"/>
      <c r="KSG108" s="142"/>
      <c r="KSH108" s="142"/>
      <c r="KSI108" s="142"/>
      <c r="KSJ108" s="142"/>
      <c r="KSK108" s="142"/>
      <c r="KSL108" s="142"/>
      <c r="KSM108" s="142"/>
      <c r="KSN108" s="142"/>
      <c r="KSO108" s="142"/>
      <c r="KSP108" s="142"/>
      <c r="KSQ108" s="142"/>
      <c r="KSR108" s="142"/>
      <c r="KSS108" s="142"/>
      <c r="KST108" s="142"/>
      <c r="KSU108" s="142"/>
      <c r="KSV108" s="142"/>
      <c r="KSW108" s="142"/>
      <c r="KSX108" s="142"/>
      <c r="KSY108" s="142"/>
      <c r="KSZ108" s="142"/>
      <c r="KTA108" s="142"/>
      <c r="KTB108" s="142"/>
      <c r="KTC108" s="142"/>
      <c r="KTD108" s="142"/>
      <c r="KTE108" s="142"/>
      <c r="KTF108" s="142"/>
      <c r="KTG108" s="142"/>
      <c r="KTH108" s="142"/>
      <c r="KTI108" s="142"/>
      <c r="KTJ108" s="142"/>
      <c r="KTK108" s="142"/>
      <c r="KTL108" s="142"/>
      <c r="KTM108" s="142"/>
      <c r="KTN108" s="142"/>
      <c r="KTO108" s="142"/>
      <c r="KTP108" s="142"/>
      <c r="KTQ108" s="142"/>
      <c r="KTR108" s="142"/>
      <c r="KTS108" s="142"/>
      <c r="KTT108" s="142"/>
      <c r="KTU108" s="142"/>
      <c r="KTV108" s="142"/>
      <c r="KTW108" s="142"/>
      <c r="KTX108" s="142"/>
      <c r="KTY108" s="142"/>
      <c r="KTZ108" s="142"/>
      <c r="KUA108" s="142"/>
      <c r="KUB108" s="142"/>
      <c r="KUC108" s="142"/>
      <c r="KUD108" s="142"/>
      <c r="KUE108" s="142"/>
      <c r="KUF108" s="142"/>
      <c r="KUG108" s="142"/>
      <c r="KUH108" s="142"/>
      <c r="KUI108" s="142"/>
      <c r="KUJ108" s="142"/>
      <c r="KUK108" s="142"/>
      <c r="KUL108" s="142"/>
      <c r="KUM108" s="142"/>
      <c r="KUN108" s="142"/>
      <c r="KUO108" s="142"/>
      <c r="KUP108" s="142"/>
      <c r="KUQ108" s="142"/>
      <c r="KUR108" s="142"/>
      <c r="KUS108" s="142"/>
      <c r="KUT108" s="142"/>
      <c r="KUU108" s="142"/>
      <c r="KUV108" s="142"/>
      <c r="KUW108" s="142"/>
      <c r="KUX108" s="142"/>
      <c r="KUY108" s="142"/>
      <c r="KUZ108" s="142"/>
      <c r="KVA108" s="142"/>
      <c r="KVB108" s="142"/>
      <c r="KVC108" s="142"/>
      <c r="KVD108" s="142"/>
      <c r="KVE108" s="142"/>
      <c r="KVF108" s="142"/>
      <c r="KVG108" s="142"/>
      <c r="KVH108" s="142"/>
      <c r="KVI108" s="142"/>
      <c r="KVJ108" s="142"/>
      <c r="KVK108" s="142"/>
      <c r="KVL108" s="142"/>
      <c r="KVM108" s="142"/>
      <c r="KVN108" s="142"/>
      <c r="KVO108" s="142"/>
      <c r="KVP108" s="142"/>
      <c r="KVQ108" s="142"/>
      <c r="KVR108" s="142"/>
      <c r="KVS108" s="142"/>
      <c r="KVT108" s="142"/>
      <c r="KVU108" s="142"/>
      <c r="KVV108" s="142"/>
      <c r="KVW108" s="142"/>
      <c r="KVX108" s="142"/>
      <c r="KVY108" s="142"/>
      <c r="KVZ108" s="142"/>
      <c r="KWA108" s="142"/>
      <c r="KWB108" s="142"/>
      <c r="KWC108" s="142"/>
      <c r="KWD108" s="142"/>
      <c r="KWE108" s="142"/>
      <c r="KWF108" s="142"/>
      <c r="KWG108" s="142"/>
      <c r="KWH108" s="142"/>
      <c r="KWI108" s="142"/>
      <c r="KWJ108" s="142"/>
      <c r="KWK108" s="142"/>
      <c r="KWL108" s="142"/>
      <c r="KWM108" s="142"/>
      <c r="KWN108" s="142"/>
      <c r="KWO108" s="142"/>
      <c r="KWP108" s="142"/>
      <c r="KWQ108" s="142"/>
      <c r="KWR108" s="142"/>
      <c r="KWS108" s="142"/>
      <c r="KWT108" s="142"/>
      <c r="KWU108" s="142"/>
      <c r="KWV108" s="142"/>
      <c r="KWW108" s="142"/>
      <c r="KWX108" s="142"/>
      <c r="KWY108" s="142"/>
      <c r="KWZ108" s="142"/>
      <c r="KXA108" s="142"/>
      <c r="KXB108" s="142"/>
      <c r="KXC108" s="142"/>
      <c r="KXD108" s="142"/>
      <c r="KXE108" s="142"/>
      <c r="KXF108" s="142"/>
      <c r="KXG108" s="142"/>
      <c r="KXH108" s="142"/>
      <c r="KXI108" s="142"/>
      <c r="KXJ108" s="142"/>
      <c r="KXK108" s="142"/>
      <c r="KXL108" s="142"/>
      <c r="KXM108" s="142"/>
      <c r="KXN108" s="142"/>
      <c r="KXO108" s="142"/>
      <c r="KXP108" s="142"/>
      <c r="KXQ108" s="142"/>
      <c r="KXR108" s="142"/>
      <c r="KXS108" s="142"/>
      <c r="KXT108" s="142"/>
      <c r="KXU108" s="142"/>
      <c r="KXV108" s="142"/>
      <c r="KXW108" s="142"/>
      <c r="KXX108" s="142"/>
      <c r="KXY108" s="142"/>
      <c r="KXZ108" s="142"/>
      <c r="KYA108" s="142"/>
      <c r="KYB108" s="142"/>
      <c r="KYC108" s="142"/>
      <c r="KYD108" s="142"/>
      <c r="KYE108" s="142"/>
      <c r="KYF108" s="142"/>
      <c r="KYG108" s="142"/>
      <c r="KYH108" s="142"/>
      <c r="KYI108" s="142"/>
      <c r="KYJ108" s="142"/>
      <c r="KYK108" s="142"/>
      <c r="KYL108" s="142"/>
      <c r="KYM108" s="142"/>
      <c r="KYN108" s="142"/>
      <c r="KYO108" s="142"/>
      <c r="KYP108" s="142"/>
      <c r="KYQ108" s="142"/>
      <c r="KYR108" s="142"/>
      <c r="KYS108" s="142"/>
      <c r="KYT108" s="142"/>
      <c r="KYU108" s="142"/>
      <c r="KYV108" s="142"/>
      <c r="KYW108" s="142"/>
      <c r="KYX108" s="142"/>
      <c r="KYY108" s="142"/>
      <c r="KYZ108" s="142"/>
      <c r="KZA108" s="142"/>
      <c r="KZB108" s="142"/>
      <c r="KZC108" s="142"/>
      <c r="KZD108" s="142"/>
      <c r="KZE108" s="142"/>
      <c r="KZF108" s="142"/>
      <c r="KZG108" s="142"/>
      <c r="KZH108" s="142"/>
      <c r="KZI108" s="142"/>
      <c r="KZJ108" s="142"/>
      <c r="KZK108" s="142"/>
      <c r="KZL108" s="142"/>
      <c r="KZM108" s="142"/>
      <c r="KZN108" s="142"/>
      <c r="KZO108" s="142"/>
      <c r="KZP108" s="142"/>
      <c r="KZQ108" s="142"/>
      <c r="KZR108" s="142"/>
      <c r="KZS108" s="142"/>
      <c r="KZT108" s="142"/>
      <c r="KZU108" s="142"/>
      <c r="KZV108" s="142"/>
      <c r="KZW108" s="142"/>
      <c r="KZX108" s="142"/>
      <c r="KZY108" s="142"/>
      <c r="KZZ108" s="142"/>
      <c r="LAA108" s="142"/>
      <c r="LAB108" s="142"/>
      <c r="LAC108" s="142"/>
      <c r="LAD108" s="142"/>
      <c r="LAE108" s="142"/>
      <c r="LAF108" s="142"/>
      <c r="LAG108" s="142"/>
      <c r="LAH108" s="142"/>
      <c r="LAI108" s="142"/>
      <c r="LAJ108" s="142"/>
      <c r="LAK108" s="142"/>
      <c r="LAL108" s="142"/>
      <c r="LAM108" s="142"/>
      <c r="LAN108" s="142"/>
      <c r="LAO108" s="142"/>
      <c r="LAP108" s="142"/>
      <c r="LAQ108" s="142"/>
      <c r="LAR108" s="142"/>
      <c r="LAS108" s="142"/>
      <c r="LAT108" s="142"/>
      <c r="LAU108" s="142"/>
      <c r="LAV108" s="142"/>
      <c r="LAW108" s="142"/>
      <c r="LAX108" s="142"/>
      <c r="LAY108" s="142"/>
      <c r="LAZ108" s="142"/>
      <c r="LBA108" s="142"/>
      <c r="LBB108" s="142"/>
      <c r="LBC108" s="142"/>
      <c r="LBD108" s="142"/>
      <c r="LBE108" s="142"/>
      <c r="LBF108" s="142"/>
      <c r="LBG108" s="142"/>
      <c r="LBH108" s="142"/>
      <c r="LBI108" s="142"/>
      <c r="LBJ108" s="142"/>
      <c r="LBK108" s="142"/>
      <c r="LBL108" s="142"/>
      <c r="LBM108" s="142"/>
      <c r="LBN108" s="142"/>
      <c r="LBO108" s="142"/>
      <c r="LBP108" s="142"/>
      <c r="LBQ108" s="142"/>
      <c r="LBR108" s="142"/>
      <c r="LBS108" s="142"/>
      <c r="LBT108" s="142"/>
      <c r="LBU108" s="142"/>
      <c r="LBV108" s="142"/>
      <c r="LBW108" s="142"/>
      <c r="LBX108" s="142"/>
      <c r="LBY108" s="142"/>
      <c r="LBZ108" s="142"/>
      <c r="LCA108" s="142"/>
      <c r="LCB108" s="142"/>
      <c r="LCC108" s="142"/>
      <c r="LCD108" s="142"/>
      <c r="LCE108" s="142"/>
      <c r="LCF108" s="142"/>
      <c r="LCG108" s="142"/>
      <c r="LCH108" s="142"/>
      <c r="LCI108" s="142"/>
      <c r="LCJ108" s="142"/>
      <c r="LCK108" s="142"/>
      <c r="LCL108" s="142"/>
      <c r="LCM108" s="142"/>
      <c r="LCN108" s="142"/>
      <c r="LCO108" s="142"/>
      <c r="LCP108" s="142"/>
      <c r="LCQ108" s="142"/>
      <c r="LCR108" s="142"/>
      <c r="LCS108" s="142"/>
      <c r="LCT108" s="142"/>
      <c r="LCU108" s="142"/>
      <c r="LCV108" s="142"/>
      <c r="LCW108" s="142"/>
      <c r="LCX108" s="142"/>
      <c r="LCY108" s="142"/>
      <c r="LCZ108" s="142"/>
      <c r="LDA108" s="142"/>
      <c r="LDB108" s="142"/>
      <c r="LDC108" s="142"/>
      <c r="LDD108" s="142"/>
      <c r="LDE108" s="142"/>
      <c r="LDF108" s="142"/>
      <c r="LDG108" s="142"/>
      <c r="LDH108" s="142"/>
      <c r="LDI108" s="142"/>
      <c r="LDJ108" s="142"/>
      <c r="LDK108" s="142"/>
      <c r="LDL108" s="142"/>
      <c r="LDM108" s="142"/>
      <c r="LDN108" s="142"/>
      <c r="LDO108" s="142"/>
      <c r="LDP108" s="142"/>
      <c r="LDQ108" s="142"/>
      <c r="LDR108" s="142"/>
      <c r="LDS108" s="142"/>
      <c r="LDT108" s="142"/>
      <c r="LDU108" s="142"/>
      <c r="LDV108" s="142"/>
      <c r="LDW108" s="142"/>
      <c r="LDX108" s="142"/>
      <c r="LDY108" s="142"/>
      <c r="LDZ108" s="142"/>
      <c r="LEA108" s="142"/>
      <c r="LEB108" s="142"/>
      <c r="LEC108" s="142"/>
      <c r="LED108" s="142"/>
      <c r="LEE108" s="142"/>
      <c r="LEF108" s="142"/>
      <c r="LEG108" s="142"/>
      <c r="LEH108" s="142"/>
      <c r="LEI108" s="142"/>
      <c r="LEJ108" s="142"/>
      <c r="LEK108" s="142"/>
      <c r="LEL108" s="142"/>
      <c r="LEM108" s="142"/>
      <c r="LEN108" s="142"/>
      <c r="LEO108" s="142"/>
      <c r="LEP108" s="142"/>
      <c r="LEQ108" s="142"/>
      <c r="LER108" s="142"/>
      <c r="LES108" s="142"/>
      <c r="LET108" s="142"/>
      <c r="LEU108" s="142"/>
      <c r="LEV108" s="142"/>
      <c r="LEW108" s="142"/>
      <c r="LEX108" s="142"/>
      <c r="LEY108" s="142"/>
      <c r="LEZ108" s="142"/>
      <c r="LFA108" s="142"/>
      <c r="LFB108" s="142"/>
      <c r="LFC108" s="142"/>
      <c r="LFD108" s="142"/>
      <c r="LFE108" s="142"/>
      <c r="LFF108" s="142"/>
      <c r="LFG108" s="142"/>
      <c r="LFH108" s="142"/>
      <c r="LFI108" s="142"/>
      <c r="LFJ108" s="142"/>
      <c r="LFK108" s="142"/>
      <c r="LFL108" s="142"/>
      <c r="LFM108" s="142"/>
      <c r="LFN108" s="142"/>
      <c r="LFO108" s="142"/>
      <c r="LFP108" s="142"/>
      <c r="LFQ108" s="142"/>
      <c r="LFR108" s="142"/>
      <c r="LFS108" s="142"/>
      <c r="LFT108" s="142"/>
      <c r="LFU108" s="142"/>
      <c r="LFV108" s="142"/>
      <c r="LFW108" s="142"/>
      <c r="LFX108" s="142"/>
      <c r="LFY108" s="142"/>
      <c r="LFZ108" s="142"/>
      <c r="LGA108" s="142"/>
      <c r="LGB108" s="142"/>
      <c r="LGC108" s="142"/>
      <c r="LGD108" s="142"/>
      <c r="LGE108" s="142"/>
      <c r="LGF108" s="142"/>
      <c r="LGG108" s="142"/>
      <c r="LGH108" s="142"/>
      <c r="LGI108" s="142"/>
      <c r="LGJ108" s="142"/>
      <c r="LGK108" s="142"/>
      <c r="LGL108" s="142"/>
      <c r="LGM108" s="142"/>
      <c r="LGN108" s="142"/>
      <c r="LGO108" s="142"/>
      <c r="LGP108" s="142"/>
      <c r="LGQ108" s="142"/>
      <c r="LGR108" s="142"/>
      <c r="LGS108" s="142"/>
      <c r="LGT108" s="142"/>
      <c r="LGU108" s="142"/>
      <c r="LGV108" s="142"/>
      <c r="LGW108" s="142"/>
      <c r="LGX108" s="142"/>
      <c r="LGY108" s="142"/>
      <c r="LGZ108" s="142"/>
      <c r="LHA108" s="142"/>
      <c r="LHB108" s="142"/>
      <c r="LHC108" s="142"/>
      <c r="LHD108" s="142"/>
      <c r="LHE108" s="142"/>
      <c r="LHF108" s="142"/>
      <c r="LHG108" s="142"/>
      <c r="LHH108" s="142"/>
      <c r="LHI108" s="142"/>
      <c r="LHJ108" s="142"/>
      <c r="LHK108" s="142"/>
      <c r="LHL108" s="142"/>
      <c r="LHM108" s="142"/>
      <c r="LHN108" s="142"/>
      <c r="LHO108" s="142"/>
      <c r="LHP108" s="142"/>
      <c r="LHQ108" s="142"/>
      <c r="LHR108" s="142"/>
      <c r="LHS108" s="142"/>
      <c r="LHT108" s="142"/>
      <c r="LHU108" s="142"/>
      <c r="LHV108" s="142"/>
      <c r="LHW108" s="142"/>
      <c r="LHX108" s="142"/>
      <c r="LHY108" s="142"/>
      <c r="LHZ108" s="142"/>
      <c r="LIA108" s="142"/>
      <c r="LIB108" s="142"/>
      <c r="LIC108" s="142"/>
      <c r="LID108" s="142"/>
      <c r="LIE108" s="142"/>
      <c r="LIF108" s="142"/>
      <c r="LIG108" s="142"/>
      <c r="LIH108" s="142"/>
      <c r="LII108" s="142"/>
      <c r="LIJ108" s="142"/>
      <c r="LIK108" s="142"/>
      <c r="LIL108" s="142"/>
      <c r="LIM108" s="142"/>
      <c r="LIN108" s="142"/>
      <c r="LIO108" s="142"/>
      <c r="LIP108" s="142"/>
      <c r="LIQ108" s="142"/>
      <c r="LIR108" s="142"/>
      <c r="LIS108" s="142"/>
      <c r="LIT108" s="142"/>
      <c r="LIU108" s="142"/>
      <c r="LIV108" s="142"/>
      <c r="LIW108" s="142"/>
      <c r="LIX108" s="142"/>
      <c r="LIY108" s="142"/>
      <c r="LIZ108" s="142"/>
      <c r="LJA108" s="142"/>
      <c r="LJB108" s="142"/>
      <c r="LJC108" s="142"/>
      <c r="LJD108" s="142"/>
      <c r="LJE108" s="142"/>
      <c r="LJF108" s="142"/>
      <c r="LJG108" s="142"/>
      <c r="LJH108" s="142"/>
      <c r="LJI108" s="142"/>
      <c r="LJJ108" s="142"/>
      <c r="LJK108" s="142"/>
      <c r="LJL108" s="142"/>
      <c r="LJM108" s="142"/>
      <c r="LJN108" s="142"/>
      <c r="LJO108" s="142"/>
      <c r="LJP108" s="142"/>
      <c r="LJQ108" s="142"/>
      <c r="LJR108" s="142"/>
      <c r="LJS108" s="142"/>
      <c r="LJT108" s="142"/>
      <c r="LJU108" s="142"/>
      <c r="LJV108" s="142"/>
      <c r="LJW108" s="142"/>
      <c r="LJX108" s="142"/>
      <c r="LJY108" s="142"/>
      <c r="LJZ108" s="142"/>
      <c r="LKA108" s="142"/>
      <c r="LKB108" s="142"/>
      <c r="LKC108" s="142"/>
      <c r="LKD108" s="142"/>
      <c r="LKE108" s="142"/>
      <c r="LKF108" s="142"/>
      <c r="LKG108" s="142"/>
      <c r="LKH108" s="142"/>
      <c r="LKI108" s="142"/>
      <c r="LKJ108" s="142"/>
      <c r="LKK108" s="142"/>
      <c r="LKL108" s="142"/>
      <c r="LKM108" s="142"/>
      <c r="LKN108" s="142"/>
      <c r="LKO108" s="142"/>
      <c r="LKP108" s="142"/>
      <c r="LKQ108" s="142"/>
      <c r="LKR108" s="142"/>
      <c r="LKS108" s="142"/>
      <c r="LKT108" s="142"/>
      <c r="LKU108" s="142"/>
      <c r="LKV108" s="142"/>
      <c r="LKW108" s="142"/>
      <c r="LKX108" s="142"/>
      <c r="LKY108" s="142"/>
      <c r="LKZ108" s="142"/>
      <c r="LLA108" s="142"/>
      <c r="LLB108" s="142"/>
      <c r="LLC108" s="142"/>
      <c r="LLD108" s="142"/>
      <c r="LLE108" s="142"/>
      <c r="LLF108" s="142"/>
      <c r="LLG108" s="142"/>
      <c r="LLH108" s="142"/>
      <c r="LLI108" s="142"/>
      <c r="LLJ108" s="142"/>
      <c r="LLK108" s="142"/>
      <c r="LLL108" s="142"/>
      <c r="LLM108" s="142"/>
      <c r="LLN108" s="142"/>
      <c r="LLO108" s="142"/>
      <c r="LLP108" s="142"/>
      <c r="LLQ108" s="142"/>
      <c r="LLR108" s="142"/>
      <c r="LLS108" s="142"/>
      <c r="LLT108" s="142"/>
      <c r="LLU108" s="142"/>
      <c r="LLV108" s="142"/>
      <c r="LLW108" s="142"/>
      <c r="LLX108" s="142"/>
      <c r="LLY108" s="142"/>
      <c r="LLZ108" s="142"/>
      <c r="LMA108" s="142"/>
      <c r="LMB108" s="142"/>
      <c r="LMC108" s="142"/>
      <c r="LMD108" s="142"/>
      <c r="LME108" s="142"/>
      <c r="LMF108" s="142"/>
      <c r="LMG108" s="142"/>
      <c r="LMH108" s="142"/>
      <c r="LMI108" s="142"/>
      <c r="LMJ108" s="142"/>
      <c r="LMK108" s="142"/>
      <c r="LML108" s="142"/>
      <c r="LMM108" s="142"/>
      <c r="LMN108" s="142"/>
      <c r="LMO108" s="142"/>
      <c r="LMP108" s="142"/>
      <c r="LMQ108" s="142"/>
      <c r="LMR108" s="142"/>
      <c r="LMS108" s="142"/>
      <c r="LMT108" s="142"/>
      <c r="LMU108" s="142"/>
      <c r="LMV108" s="142"/>
      <c r="LMW108" s="142"/>
      <c r="LMX108" s="142"/>
      <c r="LMY108" s="142"/>
      <c r="LMZ108" s="142"/>
      <c r="LNA108" s="142"/>
      <c r="LNB108" s="142"/>
      <c r="LNC108" s="142"/>
      <c r="LND108" s="142"/>
      <c r="LNE108" s="142"/>
      <c r="LNF108" s="142"/>
      <c r="LNG108" s="142"/>
      <c r="LNH108" s="142"/>
      <c r="LNI108" s="142"/>
      <c r="LNJ108" s="142"/>
      <c r="LNK108" s="142"/>
      <c r="LNL108" s="142"/>
      <c r="LNM108" s="142"/>
      <c r="LNN108" s="142"/>
      <c r="LNO108" s="142"/>
      <c r="LNP108" s="142"/>
      <c r="LNQ108" s="142"/>
      <c r="LNR108" s="142"/>
      <c r="LNS108" s="142"/>
      <c r="LNT108" s="142"/>
      <c r="LNU108" s="142"/>
      <c r="LNV108" s="142"/>
      <c r="LNW108" s="142"/>
      <c r="LNX108" s="142"/>
      <c r="LNY108" s="142"/>
      <c r="LNZ108" s="142"/>
      <c r="LOA108" s="142"/>
      <c r="LOB108" s="142"/>
      <c r="LOC108" s="142"/>
      <c r="LOD108" s="142"/>
      <c r="LOE108" s="142"/>
      <c r="LOF108" s="142"/>
      <c r="LOG108" s="142"/>
      <c r="LOH108" s="142"/>
      <c r="LOI108" s="142"/>
      <c r="LOJ108" s="142"/>
      <c r="LOK108" s="142"/>
      <c r="LOL108" s="142"/>
      <c r="LOM108" s="142"/>
      <c r="LON108" s="142"/>
      <c r="LOO108" s="142"/>
      <c r="LOP108" s="142"/>
      <c r="LOQ108" s="142"/>
      <c r="LOR108" s="142"/>
      <c r="LOS108" s="142"/>
      <c r="LOT108" s="142"/>
      <c r="LOU108" s="142"/>
      <c r="LOV108" s="142"/>
      <c r="LOW108" s="142"/>
      <c r="LOX108" s="142"/>
      <c r="LOY108" s="142"/>
      <c r="LOZ108" s="142"/>
      <c r="LPA108" s="142"/>
      <c r="LPB108" s="142"/>
      <c r="LPC108" s="142"/>
      <c r="LPD108" s="142"/>
      <c r="LPE108" s="142"/>
      <c r="LPF108" s="142"/>
      <c r="LPG108" s="142"/>
      <c r="LPH108" s="142"/>
      <c r="LPI108" s="142"/>
      <c r="LPJ108" s="142"/>
      <c r="LPK108" s="142"/>
      <c r="LPL108" s="142"/>
      <c r="LPM108" s="142"/>
      <c r="LPN108" s="142"/>
      <c r="LPO108" s="142"/>
      <c r="LPP108" s="142"/>
      <c r="LPQ108" s="142"/>
      <c r="LPR108" s="142"/>
      <c r="LPS108" s="142"/>
      <c r="LPT108" s="142"/>
      <c r="LPU108" s="142"/>
      <c r="LPV108" s="142"/>
      <c r="LPW108" s="142"/>
      <c r="LPX108" s="142"/>
      <c r="LPY108" s="142"/>
      <c r="LPZ108" s="142"/>
      <c r="LQA108" s="142"/>
      <c r="LQB108" s="142"/>
      <c r="LQC108" s="142"/>
      <c r="LQD108" s="142"/>
      <c r="LQE108" s="142"/>
      <c r="LQF108" s="142"/>
      <c r="LQG108" s="142"/>
      <c r="LQH108" s="142"/>
      <c r="LQI108" s="142"/>
      <c r="LQJ108" s="142"/>
      <c r="LQK108" s="142"/>
      <c r="LQL108" s="142"/>
      <c r="LQM108" s="142"/>
      <c r="LQN108" s="142"/>
      <c r="LQO108" s="142"/>
      <c r="LQP108" s="142"/>
      <c r="LQQ108" s="142"/>
      <c r="LQR108" s="142"/>
      <c r="LQS108" s="142"/>
      <c r="LQT108" s="142"/>
      <c r="LQU108" s="142"/>
      <c r="LQV108" s="142"/>
      <c r="LQW108" s="142"/>
      <c r="LQX108" s="142"/>
      <c r="LQY108" s="142"/>
      <c r="LQZ108" s="142"/>
      <c r="LRA108" s="142"/>
      <c r="LRB108" s="142"/>
      <c r="LRC108" s="142"/>
      <c r="LRD108" s="142"/>
      <c r="LRE108" s="142"/>
      <c r="LRF108" s="142"/>
      <c r="LRG108" s="142"/>
      <c r="LRH108" s="142"/>
      <c r="LRI108" s="142"/>
      <c r="LRJ108" s="142"/>
      <c r="LRK108" s="142"/>
      <c r="LRL108" s="142"/>
      <c r="LRM108" s="142"/>
      <c r="LRN108" s="142"/>
      <c r="LRO108" s="142"/>
      <c r="LRP108" s="142"/>
      <c r="LRQ108" s="142"/>
      <c r="LRR108" s="142"/>
      <c r="LRS108" s="142"/>
      <c r="LRT108" s="142"/>
      <c r="LRU108" s="142"/>
      <c r="LRV108" s="142"/>
      <c r="LRW108" s="142"/>
      <c r="LRX108" s="142"/>
      <c r="LRY108" s="142"/>
      <c r="LRZ108" s="142"/>
      <c r="LSA108" s="142"/>
      <c r="LSB108" s="142"/>
      <c r="LSC108" s="142"/>
      <c r="LSD108" s="142"/>
      <c r="LSE108" s="142"/>
      <c r="LSF108" s="142"/>
      <c r="LSG108" s="142"/>
      <c r="LSH108" s="142"/>
      <c r="LSI108" s="142"/>
      <c r="LSJ108" s="142"/>
      <c r="LSK108" s="142"/>
      <c r="LSL108" s="142"/>
      <c r="LSM108" s="142"/>
      <c r="LSN108" s="142"/>
      <c r="LSO108" s="142"/>
      <c r="LSP108" s="142"/>
      <c r="LSQ108" s="142"/>
      <c r="LSR108" s="142"/>
      <c r="LSS108" s="142"/>
      <c r="LST108" s="142"/>
      <c r="LSU108" s="142"/>
      <c r="LSV108" s="142"/>
      <c r="LSW108" s="142"/>
      <c r="LSX108" s="142"/>
      <c r="LSY108" s="142"/>
      <c r="LSZ108" s="142"/>
      <c r="LTA108" s="142"/>
      <c r="LTB108" s="142"/>
      <c r="LTC108" s="142"/>
      <c r="LTD108" s="142"/>
      <c r="LTE108" s="142"/>
      <c r="LTF108" s="142"/>
      <c r="LTG108" s="142"/>
      <c r="LTH108" s="142"/>
      <c r="LTI108" s="142"/>
      <c r="LTJ108" s="142"/>
      <c r="LTK108" s="142"/>
      <c r="LTL108" s="142"/>
      <c r="LTM108" s="142"/>
      <c r="LTN108" s="142"/>
      <c r="LTO108" s="142"/>
      <c r="LTP108" s="142"/>
      <c r="LTQ108" s="142"/>
      <c r="LTR108" s="142"/>
      <c r="LTS108" s="142"/>
      <c r="LTT108" s="142"/>
      <c r="LTU108" s="142"/>
      <c r="LTV108" s="142"/>
      <c r="LTW108" s="142"/>
      <c r="LTX108" s="142"/>
      <c r="LTY108" s="142"/>
      <c r="LTZ108" s="142"/>
      <c r="LUA108" s="142"/>
      <c r="LUB108" s="142"/>
      <c r="LUC108" s="142"/>
      <c r="LUD108" s="142"/>
      <c r="LUE108" s="142"/>
      <c r="LUF108" s="142"/>
      <c r="LUG108" s="142"/>
      <c r="LUH108" s="142"/>
      <c r="LUI108" s="142"/>
      <c r="LUJ108" s="142"/>
      <c r="LUK108" s="142"/>
      <c r="LUL108" s="142"/>
      <c r="LUM108" s="142"/>
      <c r="LUN108" s="142"/>
      <c r="LUO108" s="142"/>
      <c r="LUP108" s="142"/>
      <c r="LUQ108" s="142"/>
      <c r="LUR108" s="142"/>
      <c r="LUS108" s="142"/>
      <c r="LUT108" s="142"/>
      <c r="LUU108" s="142"/>
      <c r="LUV108" s="142"/>
      <c r="LUW108" s="142"/>
      <c r="LUX108" s="142"/>
      <c r="LUY108" s="142"/>
      <c r="LUZ108" s="142"/>
      <c r="LVA108" s="142"/>
      <c r="LVB108" s="142"/>
      <c r="LVC108" s="142"/>
      <c r="LVD108" s="142"/>
      <c r="LVE108" s="142"/>
      <c r="LVF108" s="142"/>
      <c r="LVG108" s="142"/>
      <c r="LVH108" s="142"/>
      <c r="LVI108" s="142"/>
      <c r="LVJ108" s="142"/>
      <c r="LVK108" s="142"/>
      <c r="LVL108" s="142"/>
      <c r="LVM108" s="142"/>
      <c r="LVN108" s="142"/>
      <c r="LVO108" s="142"/>
      <c r="LVP108" s="142"/>
      <c r="LVQ108" s="142"/>
      <c r="LVR108" s="142"/>
      <c r="LVS108" s="142"/>
      <c r="LVT108" s="142"/>
      <c r="LVU108" s="142"/>
      <c r="LVV108" s="142"/>
      <c r="LVW108" s="142"/>
      <c r="LVX108" s="142"/>
      <c r="LVY108" s="142"/>
      <c r="LVZ108" s="142"/>
      <c r="LWA108" s="142"/>
      <c r="LWB108" s="142"/>
      <c r="LWC108" s="142"/>
      <c r="LWD108" s="142"/>
      <c r="LWE108" s="142"/>
      <c r="LWF108" s="142"/>
      <c r="LWG108" s="142"/>
      <c r="LWH108" s="142"/>
      <c r="LWI108" s="142"/>
      <c r="LWJ108" s="142"/>
      <c r="LWK108" s="142"/>
      <c r="LWL108" s="142"/>
      <c r="LWM108" s="142"/>
      <c r="LWN108" s="142"/>
      <c r="LWO108" s="142"/>
      <c r="LWP108" s="142"/>
      <c r="LWQ108" s="142"/>
      <c r="LWR108" s="142"/>
      <c r="LWS108" s="142"/>
      <c r="LWT108" s="142"/>
      <c r="LWU108" s="142"/>
      <c r="LWV108" s="142"/>
      <c r="LWW108" s="142"/>
      <c r="LWX108" s="142"/>
      <c r="LWY108" s="142"/>
      <c r="LWZ108" s="142"/>
      <c r="LXA108" s="142"/>
      <c r="LXB108" s="142"/>
      <c r="LXC108" s="142"/>
      <c r="LXD108" s="142"/>
      <c r="LXE108" s="142"/>
      <c r="LXF108" s="142"/>
      <c r="LXG108" s="142"/>
      <c r="LXH108" s="142"/>
      <c r="LXI108" s="142"/>
      <c r="LXJ108" s="142"/>
      <c r="LXK108" s="142"/>
      <c r="LXL108" s="142"/>
      <c r="LXM108" s="142"/>
      <c r="LXN108" s="142"/>
      <c r="LXO108" s="142"/>
      <c r="LXP108" s="142"/>
      <c r="LXQ108" s="142"/>
      <c r="LXR108" s="142"/>
      <c r="LXS108" s="142"/>
      <c r="LXT108" s="142"/>
      <c r="LXU108" s="142"/>
      <c r="LXV108" s="142"/>
      <c r="LXW108" s="142"/>
      <c r="LXX108" s="142"/>
      <c r="LXY108" s="142"/>
      <c r="LXZ108" s="142"/>
      <c r="LYA108" s="142"/>
      <c r="LYB108" s="142"/>
      <c r="LYC108" s="142"/>
      <c r="LYD108" s="142"/>
      <c r="LYE108" s="142"/>
      <c r="LYF108" s="142"/>
      <c r="LYG108" s="142"/>
      <c r="LYH108" s="142"/>
      <c r="LYI108" s="142"/>
      <c r="LYJ108" s="142"/>
      <c r="LYK108" s="142"/>
      <c r="LYL108" s="142"/>
      <c r="LYM108" s="142"/>
      <c r="LYN108" s="142"/>
      <c r="LYO108" s="142"/>
      <c r="LYP108" s="142"/>
      <c r="LYQ108" s="142"/>
      <c r="LYR108" s="142"/>
      <c r="LYS108" s="142"/>
      <c r="LYT108" s="142"/>
      <c r="LYU108" s="142"/>
      <c r="LYV108" s="142"/>
      <c r="LYW108" s="142"/>
      <c r="LYX108" s="142"/>
      <c r="LYY108" s="142"/>
      <c r="LYZ108" s="142"/>
      <c r="LZA108" s="142"/>
      <c r="LZB108" s="142"/>
      <c r="LZC108" s="142"/>
      <c r="LZD108" s="142"/>
      <c r="LZE108" s="142"/>
      <c r="LZF108" s="142"/>
      <c r="LZG108" s="142"/>
      <c r="LZH108" s="142"/>
      <c r="LZI108" s="142"/>
      <c r="LZJ108" s="142"/>
      <c r="LZK108" s="142"/>
      <c r="LZL108" s="142"/>
      <c r="LZM108" s="142"/>
      <c r="LZN108" s="142"/>
      <c r="LZO108" s="142"/>
      <c r="LZP108" s="142"/>
      <c r="LZQ108" s="142"/>
      <c r="LZR108" s="142"/>
      <c r="LZS108" s="142"/>
      <c r="LZT108" s="142"/>
      <c r="LZU108" s="142"/>
      <c r="LZV108" s="142"/>
      <c r="LZW108" s="142"/>
      <c r="LZX108" s="142"/>
      <c r="LZY108" s="142"/>
      <c r="LZZ108" s="142"/>
      <c r="MAA108" s="142"/>
      <c r="MAB108" s="142"/>
      <c r="MAC108" s="142"/>
      <c r="MAD108" s="142"/>
      <c r="MAE108" s="142"/>
      <c r="MAF108" s="142"/>
      <c r="MAG108" s="142"/>
      <c r="MAH108" s="142"/>
      <c r="MAI108" s="142"/>
      <c r="MAJ108" s="142"/>
      <c r="MAK108" s="142"/>
      <c r="MAL108" s="142"/>
      <c r="MAM108" s="142"/>
      <c r="MAN108" s="142"/>
      <c r="MAO108" s="142"/>
      <c r="MAP108" s="142"/>
      <c r="MAQ108" s="142"/>
      <c r="MAR108" s="142"/>
      <c r="MAS108" s="142"/>
      <c r="MAT108" s="142"/>
      <c r="MAU108" s="142"/>
      <c r="MAV108" s="142"/>
      <c r="MAW108" s="142"/>
      <c r="MAX108" s="142"/>
      <c r="MAY108" s="142"/>
      <c r="MAZ108" s="142"/>
      <c r="MBA108" s="142"/>
      <c r="MBB108" s="142"/>
      <c r="MBC108" s="142"/>
      <c r="MBD108" s="142"/>
      <c r="MBE108" s="142"/>
      <c r="MBF108" s="142"/>
      <c r="MBG108" s="142"/>
      <c r="MBH108" s="142"/>
      <c r="MBI108" s="142"/>
      <c r="MBJ108" s="142"/>
      <c r="MBK108" s="142"/>
      <c r="MBL108" s="142"/>
      <c r="MBM108" s="142"/>
      <c r="MBN108" s="142"/>
      <c r="MBO108" s="142"/>
      <c r="MBP108" s="142"/>
      <c r="MBQ108" s="142"/>
      <c r="MBR108" s="142"/>
      <c r="MBS108" s="142"/>
      <c r="MBT108" s="142"/>
      <c r="MBU108" s="142"/>
      <c r="MBV108" s="142"/>
      <c r="MBW108" s="142"/>
      <c r="MBX108" s="142"/>
      <c r="MBY108" s="142"/>
      <c r="MBZ108" s="142"/>
      <c r="MCA108" s="142"/>
      <c r="MCB108" s="142"/>
      <c r="MCC108" s="142"/>
      <c r="MCD108" s="142"/>
      <c r="MCE108" s="142"/>
      <c r="MCF108" s="142"/>
      <c r="MCG108" s="142"/>
      <c r="MCH108" s="142"/>
      <c r="MCI108" s="142"/>
      <c r="MCJ108" s="142"/>
      <c r="MCK108" s="142"/>
      <c r="MCL108" s="142"/>
      <c r="MCM108" s="142"/>
      <c r="MCN108" s="142"/>
      <c r="MCO108" s="142"/>
      <c r="MCP108" s="142"/>
      <c r="MCQ108" s="142"/>
      <c r="MCR108" s="142"/>
      <c r="MCS108" s="142"/>
      <c r="MCT108" s="142"/>
      <c r="MCU108" s="142"/>
      <c r="MCV108" s="142"/>
      <c r="MCW108" s="142"/>
      <c r="MCX108" s="142"/>
      <c r="MCY108" s="142"/>
      <c r="MCZ108" s="142"/>
      <c r="MDA108" s="142"/>
      <c r="MDB108" s="142"/>
      <c r="MDC108" s="142"/>
      <c r="MDD108" s="142"/>
      <c r="MDE108" s="142"/>
      <c r="MDF108" s="142"/>
      <c r="MDG108" s="142"/>
      <c r="MDH108" s="142"/>
      <c r="MDI108" s="142"/>
      <c r="MDJ108" s="142"/>
      <c r="MDK108" s="142"/>
      <c r="MDL108" s="142"/>
      <c r="MDM108" s="142"/>
      <c r="MDN108" s="142"/>
      <c r="MDO108" s="142"/>
      <c r="MDP108" s="142"/>
      <c r="MDQ108" s="142"/>
      <c r="MDR108" s="142"/>
      <c r="MDS108" s="142"/>
      <c r="MDT108" s="142"/>
      <c r="MDU108" s="142"/>
      <c r="MDV108" s="142"/>
      <c r="MDW108" s="142"/>
      <c r="MDX108" s="142"/>
      <c r="MDY108" s="142"/>
      <c r="MDZ108" s="142"/>
      <c r="MEA108" s="142"/>
      <c r="MEB108" s="142"/>
      <c r="MEC108" s="142"/>
      <c r="MED108" s="142"/>
      <c r="MEE108" s="142"/>
      <c r="MEF108" s="142"/>
      <c r="MEG108" s="142"/>
      <c r="MEH108" s="142"/>
      <c r="MEI108" s="142"/>
      <c r="MEJ108" s="142"/>
      <c r="MEK108" s="142"/>
      <c r="MEL108" s="142"/>
      <c r="MEM108" s="142"/>
      <c r="MEN108" s="142"/>
      <c r="MEO108" s="142"/>
      <c r="MEP108" s="142"/>
      <c r="MEQ108" s="142"/>
      <c r="MER108" s="142"/>
      <c r="MES108" s="142"/>
      <c r="MET108" s="142"/>
      <c r="MEU108" s="142"/>
      <c r="MEV108" s="142"/>
      <c r="MEW108" s="142"/>
      <c r="MEX108" s="142"/>
      <c r="MEY108" s="142"/>
      <c r="MEZ108" s="142"/>
      <c r="MFA108" s="142"/>
      <c r="MFB108" s="142"/>
      <c r="MFC108" s="142"/>
      <c r="MFD108" s="142"/>
      <c r="MFE108" s="142"/>
      <c r="MFF108" s="142"/>
      <c r="MFG108" s="142"/>
      <c r="MFH108" s="142"/>
      <c r="MFI108" s="142"/>
      <c r="MFJ108" s="142"/>
      <c r="MFK108" s="142"/>
      <c r="MFL108" s="142"/>
      <c r="MFM108" s="142"/>
      <c r="MFN108" s="142"/>
      <c r="MFO108" s="142"/>
      <c r="MFP108" s="142"/>
      <c r="MFQ108" s="142"/>
      <c r="MFR108" s="142"/>
      <c r="MFS108" s="142"/>
      <c r="MFT108" s="142"/>
      <c r="MFU108" s="142"/>
      <c r="MFV108" s="142"/>
      <c r="MFW108" s="142"/>
      <c r="MFX108" s="142"/>
      <c r="MFY108" s="142"/>
      <c r="MFZ108" s="142"/>
      <c r="MGA108" s="142"/>
      <c r="MGB108" s="142"/>
      <c r="MGC108" s="142"/>
      <c r="MGD108" s="142"/>
      <c r="MGE108" s="142"/>
      <c r="MGF108" s="142"/>
      <c r="MGG108" s="142"/>
      <c r="MGH108" s="142"/>
      <c r="MGI108" s="142"/>
      <c r="MGJ108" s="142"/>
      <c r="MGK108" s="142"/>
      <c r="MGL108" s="142"/>
      <c r="MGM108" s="142"/>
      <c r="MGN108" s="142"/>
      <c r="MGO108" s="142"/>
      <c r="MGP108" s="142"/>
      <c r="MGQ108" s="142"/>
      <c r="MGR108" s="142"/>
      <c r="MGS108" s="142"/>
      <c r="MGT108" s="142"/>
      <c r="MGU108" s="142"/>
      <c r="MGV108" s="142"/>
      <c r="MGW108" s="142"/>
      <c r="MGX108" s="142"/>
      <c r="MGY108" s="142"/>
      <c r="MGZ108" s="142"/>
      <c r="MHA108" s="142"/>
      <c r="MHB108" s="142"/>
      <c r="MHC108" s="142"/>
      <c r="MHD108" s="142"/>
      <c r="MHE108" s="142"/>
      <c r="MHF108" s="142"/>
      <c r="MHG108" s="142"/>
      <c r="MHH108" s="142"/>
      <c r="MHI108" s="142"/>
      <c r="MHJ108" s="142"/>
      <c r="MHK108" s="142"/>
      <c r="MHL108" s="142"/>
      <c r="MHM108" s="142"/>
      <c r="MHN108" s="142"/>
      <c r="MHO108" s="142"/>
      <c r="MHP108" s="142"/>
      <c r="MHQ108" s="142"/>
      <c r="MHR108" s="142"/>
      <c r="MHS108" s="142"/>
      <c r="MHT108" s="142"/>
      <c r="MHU108" s="142"/>
      <c r="MHV108" s="142"/>
      <c r="MHW108" s="142"/>
      <c r="MHX108" s="142"/>
      <c r="MHY108" s="142"/>
      <c r="MHZ108" s="142"/>
      <c r="MIA108" s="142"/>
      <c r="MIB108" s="142"/>
      <c r="MIC108" s="142"/>
      <c r="MID108" s="142"/>
      <c r="MIE108" s="142"/>
      <c r="MIF108" s="142"/>
      <c r="MIG108" s="142"/>
      <c r="MIH108" s="142"/>
      <c r="MII108" s="142"/>
      <c r="MIJ108" s="142"/>
      <c r="MIK108" s="142"/>
      <c r="MIL108" s="142"/>
      <c r="MIM108" s="142"/>
      <c r="MIN108" s="142"/>
      <c r="MIO108" s="142"/>
      <c r="MIP108" s="142"/>
      <c r="MIQ108" s="142"/>
      <c r="MIR108" s="142"/>
      <c r="MIS108" s="142"/>
      <c r="MIT108" s="142"/>
      <c r="MIU108" s="142"/>
      <c r="MIV108" s="142"/>
      <c r="MIW108" s="142"/>
      <c r="MIX108" s="142"/>
      <c r="MIY108" s="142"/>
      <c r="MIZ108" s="142"/>
      <c r="MJA108" s="142"/>
      <c r="MJB108" s="142"/>
      <c r="MJC108" s="142"/>
      <c r="MJD108" s="142"/>
      <c r="MJE108" s="142"/>
      <c r="MJF108" s="142"/>
      <c r="MJG108" s="142"/>
      <c r="MJH108" s="142"/>
      <c r="MJI108" s="142"/>
      <c r="MJJ108" s="142"/>
      <c r="MJK108" s="142"/>
      <c r="MJL108" s="142"/>
      <c r="MJM108" s="142"/>
      <c r="MJN108" s="142"/>
      <c r="MJO108" s="142"/>
      <c r="MJP108" s="142"/>
      <c r="MJQ108" s="142"/>
      <c r="MJR108" s="142"/>
      <c r="MJS108" s="142"/>
      <c r="MJT108" s="142"/>
      <c r="MJU108" s="142"/>
      <c r="MJV108" s="142"/>
      <c r="MJW108" s="142"/>
      <c r="MJX108" s="142"/>
      <c r="MJY108" s="142"/>
      <c r="MJZ108" s="142"/>
      <c r="MKA108" s="142"/>
      <c r="MKB108" s="142"/>
      <c r="MKC108" s="142"/>
      <c r="MKD108" s="142"/>
      <c r="MKE108" s="142"/>
      <c r="MKF108" s="142"/>
      <c r="MKG108" s="142"/>
      <c r="MKH108" s="142"/>
      <c r="MKI108" s="142"/>
      <c r="MKJ108" s="142"/>
      <c r="MKK108" s="142"/>
      <c r="MKL108" s="142"/>
      <c r="MKM108" s="142"/>
      <c r="MKN108" s="142"/>
      <c r="MKO108" s="142"/>
      <c r="MKP108" s="142"/>
      <c r="MKQ108" s="142"/>
      <c r="MKR108" s="142"/>
      <c r="MKS108" s="142"/>
      <c r="MKT108" s="142"/>
      <c r="MKU108" s="142"/>
      <c r="MKV108" s="142"/>
      <c r="MKW108" s="142"/>
      <c r="MKX108" s="142"/>
      <c r="MKY108" s="142"/>
      <c r="MKZ108" s="142"/>
      <c r="MLA108" s="142"/>
      <c r="MLB108" s="142"/>
      <c r="MLC108" s="142"/>
      <c r="MLD108" s="142"/>
      <c r="MLE108" s="142"/>
      <c r="MLF108" s="142"/>
      <c r="MLG108" s="142"/>
      <c r="MLH108" s="142"/>
      <c r="MLI108" s="142"/>
      <c r="MLJ108" s="142"/>
      <c r="MLK108" s="142"/>
      <c r="MLL108" s="142"/>
      <c r="MLM108" s="142"/>
      <c r="MLN108" s="142"/>
      <c r="MLO108" s="142"/>
      <c r="MLP108" s="142"/>
      <c r="MLQ108" s="142"/>
      <c r="MLR108" s="142"/>
      <c r="MLS108" s="142"/>
      <c r="MLT108" s="142"/>
      <c r="MLU108" s="142"/>
      <c r="MLV108" s="142"/>
      <c r="MLW108" s="142"/>
      <c r="MLX108" s="142"/>
      <c r="MLY108" s="142"/>
      <c r="MLZ108" s="142"/>
      <c r="MMA108" s="142"/>
      <c r="MMB108" s="142"/>
      <c r="MMC108" s="142"/>
      <c r="MMD108" s="142"/>
      <c r="MME108" s="142"/>
      <c r="MMF108" s="142"/>
      <c r="MMG108" s="142"/>
      <c r="MMH108" s="142"/>
      <c r="MMI108" s="142"/>
      <c r="MMJ108" s="142"/>
      <c r="MMK108" s="142"/>
      <c r="MML108" s="142"/>
      <c r="MMM108" s="142"/>
      <c r="MMN108" s="142"/>
      <c r="MMO108" s="142"/>
      <c r="MMP108" s="142"/>
      <c r="MMQ108" s="142"/>
      <c r="MMR108" s="142"/>
      <c r="MMS108" s="142"/>
      <c r="MMT108" s="142"/>
      <c r="MMU108" s="142"/>
      <c r="MMV108" s="142"/>
      <c r="MMW108" s="142"/>
      <c r="MMX108" s="142"/>
      <c r="MMY108" s="142"/>
      <c r="MMZ108" s="142"/>
      <c r="MNA108" s="142"/>
      <c r="MNB108" s="142"/>
      <c r="MNC108" s="142"/>
      <c r="MND108" s="142"/>
      <c r="MNE108" s="142"/>
      <c r="MNF108" s="142"/>
      <c r="MNG108" s="142"/>
      <c r="MNH108" s="142"/>
      <c r="MNI108" s="142"/>
      <c r="MNJ108" s="142"/>
      <c r="MNK108" s="142"/>
      <c r="MNL108" s="142"/>
      <c r="MNM108" s="142"/>
      <c r="MNN108" s="142"/>
      <c r="MNO108" s="142"/>
      <c r="MNP108" s="142"/>
      <c r="MNQ108" s="142"/>
      <c r="MNR108" s="142"/>
      <c r="MNS108" s="142"/>
      <c r="MNT108" s="142"/>
      <c r="MNU108" s="142"/>
      <c r="MNV108" s="142"/>
      <c r="MNW108" s="142"/>
      <c r="MNX108" s="142"/>
      <c r="MNY108" s="142"/>
      <c r="MNZ108" s="142"/>
      <c r="MOA108" s="142"/>
      <c r="MOB108" s="142"/>
      <c r="MOC108" s="142"/>
      <c r="MOD108" s="142"/>
      <c r="MOE108" s="142"/>
      <c r="MOF108" s="142"/>
      <c r="MOG108" s="142"/>
      <c r="MOH108" s="142"/>
      <c r="MOI108" s="142"/>
      <c r="MOJ108" s="142"/>
      <c r="MOK108" s="142"/>
      <c r="MOL108" s="142"/>
      <c r="MOM108" s="142"/>
      <c r="MON108" s="142"/>
      <c r="MOO108" s="142"/>
      <c r="MOP108" s="142"/>
      <c r="MOQ108" s="142"/>
      <c r="MOR108" s="142"/>
      <c r="MOS108" s="142"/>
      <c r="MOT108" s="142"/>
      <c r="MOU108" s="142"/>
      <c r="MOV108" s="142"/>
      <c r="MOW108" s="142"/>
      <c r="MOX108" s="142"/>
      <c r="MOY108" s="142"/>
      <c r="MOZ108" s="142"/>
      <c r="MPA108" s="142"/>
      <c r="MPB108" s="142"/>
      <c r="MPC108" s="142"/>
      <c r="MPD108" s="142"/>
      <c r="MPE108" s="142"/>
      <c r="MPF108" s="142"/>
      <c r="MPG108" s="142"/>
      <c r="MPH108" s="142"/>
      <c r="MPI108" s="142"/>
      <c r="MPJ108" s="142"/>
      <c r="MPK108" s="142"/>
      <c r="MPL108" s="142"/>
      <c r="MPM108" s="142"/>
      <c r="MPN108" s="142"/>
      <c r="MPO108" s="142"/>
      <c r="MPP108" s="142"/>
      <c r="MPQ108" s="142"/>
      <c r="MPR108" s="142"/>
      <c r="MPS108" s="142"/>
      <c r="MPT108" s="142"/>
      <c r="MPU108" s="142"/>
      <c r="MPV108" s="142"/>
      <c r="MPW108" s="142"/>
      <c r="MPX108" s="142"/>
      <c r="MPY108" s="142"/>
      <c r="MPZ108" s="142"/>
      <c r="MQA108" s="142"/>
      <c r="MQB108" s="142"/>
      <c r="MQC108" s="142"/>
      <c r="MQD108" s="142"/>
      <c r="MQE108" s="142"/>
      <c r="MQF108" s="142"/>
      <c r="MQG108" s="142"/>
      <c r="MQH108" s="142"/>
      <c r="MQI108" s="142"/>
      <c r="MQJ108" s="142"/>
      <c r="MQK108" s="142"/>
      <c r="MQL108" s="142"/>
      <c r="MQM108" s="142"/>
      <c r="MQN108" s="142"/>
      <c r="MQO108" s="142"/>
      <c r="MQP108" s="142"/>
      <c r="MQQ108" s="142"/>
      <c r="MQR108" s="142"/>
      <c r="MQS108" s="142"/>
      <c r="MQT108" s="142"/>
      <c r="MQU108" s="142"/>
      <c r="MQV108" s="142"/>
      <c r="MQW108" s="142"/>
      <c r="MQX108" s="142"/>
      <c r="MQY108" s="142"/>
      <c r="MQZ108" s="142"/>
      <c r="MRA108" s="142"/>
      <c r="MRB108" s="142"/>
      <c r="MRC108" s="142"/>
      <c r="MRD108" s="142"/>
      <c r="MRE108" s="142"/>
      <c r="MRF108" s="142"/>
      <c r="MRG108" s="142"/>
      <c r="MRH108" s="142"/>
      <c r="MRI108" s="142"/>
      <c r="MRJ108" s="142"/>
      <c r="MRK108" s="142"/>
      <c r="MRL108" s="142"/>
      <c r="MRM108" s="142"/>
      <c r="MRN108" s="142"/>
      <c r="MRO108" s="142"/>
      <c r="MRP108" s="142"/>
      <c r="MRQ108" s="142"/>
      <c r="MRR108" s="142"/>
      <c r="MRS108" s="142"/>
      <c r="MRT108" s="142"/>
      <c r="MRU108" s="142"/>
      <c r="MRV108" s="142"/>
      <c r="MRW108" s="142"/>
      <c r="MRX108" s="142"/>
      <c r="MRY108" s="142"/>
      <c r="MRZ108" s="142"/>
      <c r="MSA108" s="142"/>
      <c r="MSB108" s="142"/>
      <c r="MSC108" s="142"/>
      <c r="MSD108" s="142"/>
      <c r="MSE108" s="142"/>
      <c r="MSF108" s="142"/>
      <c r="MSG108" s="142"/>
      <c r="MSH108" s="142"/>
      <c r="MSI108" s="142"/>
      <c r="MSJ108" s="142"/>
      <c r="MSK108" s="142"/>
      <c r="MSL108" s="142"/>
      <c r="MSM108" s="142"/>
      <c r="MSN108" s="142"/>
      <c r="MSO108" s="142"/>
      <c r="MSP108" s="142"/>
      <c r="MSQ108" s="142"/>
      <c r="MSR108" s="142"/>
      <c r="MSS108" s="142"/>
      <c r="MST108" s="142"/>
      <c r="MSU108" s="142"/>
      <c r="MSV108" s="142"/>
      <c r="MSW108" s="142"/>
      <c r="MSX108" s="142"/>
      <c r="MSY108" s="142"/>
      <c r="MSZ108" s="142"/>
      <c r="MTA108" s="142"/>
      <c r="MTB108" s="142"/>
      <c r="MTC108" s="142"/>
      <c r="MTD108" s="142"/>
      <c r="MTE108" s="142"/>
      <c r="MTF108" s="142"/>
      <c r="MTG108" s="142"/>
      <c r="MTH108" s="142"/>
      <c r="MTI108" s="142"/>
      <c r="MTJ108" s="142"/>
      <c r="MTK108" s="142"/>
      <c r="MTL108" s="142"/>
      <c r="MTM108" s="142"/>
      <c r="MTN108" s="142"/>
      <c r="MTO108" s="142"/>
      <c r="MTP108" s="142"/>
      <c r="MTQ108" s="142"/>
      <c r="MTR108" s="142"/>
      <c r="MTS108" s="142"/>
      <c r="MTT108" s="142"/>
      <c r="MTU108" s="142"/>
      <c r="MTV108" s="142"/>
      <c r="MTW108" s="142"/>
      <c r="MTX108" s="142"/>
      <c r="MTY108" s="142"/>
      <c r="MTZ108" s="142"/>
      <c r="MUA108" s="142"/>
      <c r="MUB108" s="142"/>
      <c r="MUC108" s="142"/>
      <c r="MUD108" s="142"/>
      <c r="MUE108" s="142"/>
      <c r="MUF108" s="142"/>
      <c r="MUG108" s="142"/>
      <c r="MUH108" s="142"/>
      <c r="MUI108" s="142"/>
      <c r="MUJ108" s="142"/>
      <c r="MUK108" s="142"/>
      <c r="MUL108" s="142"/>
      <c r="MUM108" s="142"/>
      <c r="MUN108" s="142"/>
      <c r="MUO108" s="142"/>
      <c r="MUP108" s="142"/>
      <c r="MUQ108" s="142"/>
      <c r="MUR108" s="142"/>
      <c r="MUS108" s="142"/>
      <c r="MUT108" s="142"/>
      <c r="MUU108" s="142"/>
      <c r="MUV108" s="142"/>
      <c r="MUW108" s="142"/>
      <c r="MUX108" s="142"/>
      <c r="MUY108" s="142"/>
      <c r="MUZ108" s="142"/>
      <c r="MVA108" s="142"/>
      <c r="MVB108" s="142"/>
      <c r="MVC108" s="142"/>
      <c r="MVD108" s="142"/>
      <c r="MVE108" s="142"/>
      <c r="MVF108" s="142"/>
      <c r="MVG108" s="142"/>
      <c r="MVH108" s="142"/>
      <c r="MVI108" s="142"/>
      <c r="MVJ108" s="142"/>
      <c r="MVK108" s="142"/>
      <c r="MVL108" s="142"/>
      <c r="MVM108" s="142"/>
      <c r="MVN108" s="142"/>
      <c r="MVO108" s="142"/>
      <c r="MVP108" s="142"/>
      <c r="MVQ108" s="142"/>
      <c r="MVR108" s="142"/>
      <c r="MVS108" s="142"/>
      <c r="MVT108" s="142"/>
      <c r="MVU108" s="142"/>
      <c r="MVV108" s="142"/>
      <c r="MVW108" s="142"/>
      <c r="MVX108" s="142"/>
      <c r="MVY108" s="142"/>
      <c r="MVZ108" s="142"/>
      <c r="MWA108" s="142"/>
      <c r="MWB108" s="142"/>
      <c r="MWC108" s="142"/>
      <c r="MWD108" s="142"/>
      <c r="MWE108" s="142"/>
      <c r="MWF108" s="142"/>
      <c r="MWG108" s="142"/>
      <c r="MWH108" s="142"/>
      <c r="MWI108" s="142"/>
      <c r="MWJ108" s="142"/>
      <c r="MWK108" s="142"/>
      <c r="MWL108" s="142"/>
      <c r="MWM108" s="142"/>
      <c r="MWN108" s="142"/>
      <c r="MWO108" s="142"/>
      <c r="MWP108" s="142"/>
      <c r="MWQ108" s="142"/>
      <c r="MWR108" s="142"/>
      <c r="MWS108" s="142"/>
      <c r="MWT108" s="142"/>
      <c r="MWU108" s="142"/>
      <c r="MWV108" s="142"/>
      <c r="MWW108" s="142"/>
      <c r="MWX108" s="142"/>
      <c r="MWY108" s="142"/>
      <c r="MWZ108" s="142"/>
      <c r="MXA108" s="142"/>
      <c r="MXB108" s="142"/>
      <c r="MXC108" s="142"/>
      <c r="MXD108" s="142"/>
      <c r="MXE108" s="142"/>
      <c r="MXF108" s="142"/>
      <c r="MXG108" s="142"/>
      <c r="MXH108" s="142"/>
      <c r="MXI108" s="142"/>
      <c r="MXJ108" s="142"/>
      <c r="MXK108" s="142"/>
      <c r="MXL108" s="142"/>
      <c r="MXM108" s="142"/>
      <c r="MXN108" s="142"/>
      <c r="MXO108" s="142"/>
      <c r="MXP108" s="142"/>
      <c r="MXQ108" s="142"/>
      <c r="MXR108" s="142"/>
      <c r="MXS108" s="142"/>
      <c r="MXT108" s="142"/>
      <c r="MXU108" s="142"/>
      <c r="MXV108" s="142"/>
      <c r="MXW108" s="142"/>
      <c r="MXX108" s="142"/>
      <c r="MXY108" s="142"/>
      <c r="MXZ108" s="142"/>
      <c r="MYA108" s="142"/>
      <c r="MYB108" s="142"/>
      <c r="MYC108" s="142"/>
      <c r="MYD108" s="142"/>
      <c r="MYE108" s="142"/>
      <c r="MYF108" s="142"/>
      <c r="MYG108" s="142"/>
      <c r="MYH108" s="142"/>
      <c r="MYI108" s="142"/>
      <c r="MYJ108" s="142"/>
      <c r="MYK108" s="142"/>
      <c r="MYL108" s="142"/>
      <c r="MYM108" s="142"/>
      <c r="MYN108" s="142"/>
      <c r="MYO108" s="142"/>
      <c r="MYP108" s="142"/>
      <c r="MYQ108" s="142"/>
      <c r="MYR108" s="142"/>
      <c r="MYS108" s="142"/>
      <c r="MYT108" s="142"/>
      <c r="MYU108" s="142"/>
      <c r="MYV108" s="142"/>
      <c r="MYW108" s="142"/>
      <c r="MYX108" s="142"/>
      <c r="MYY108" s="142"/>
      <c r="MYZ108" s="142"/>
      <c r="MZA108" s="142"/>
      <c r="MZB108" s="142"/>
      <c r="MZC108" s="142"/>
      <c r="MZD108" s="142"/>
      <c r="MZE108" s="142"/>
      <c r="MZF108" s="142"/>
      <c r="MZG108" s="142"/>
      <c r="MZH108" s="142"/>
      <c r="MZI108" s="142"/>
      <c r="MZJ108" s="142"/>
      <c r="MZK108" s="142"/>
      <c r="MZL108" s="142"/>
      <c r="MZM108" s="142"/>
      <c r="MZN108" s="142"/>
      <c r="MZO108" s="142"/>
      <c r="MZP108" s="142"/>
      <c r="MZQ108" s="142"/>
      <c r="MZR108" s="142"/>
      <c r="MZS108" s="142"/>
      <c r="MZT108" s="142"/>
      <c r="MZU108" s="142"/>
      <c r="MZV108" s="142"/>
      <c r="MZW108" s="142"/>
      <c r="MZX108" s="142"/>
      <c r="MZY108" s="142"/>
      <c r="MZZ108" s="142"/>
      <c r="NAA108" s="142"/>
      <c r="NAB108" s="142"/>
      <c r="NAC108" s="142"/>
      <c r="NAD108" s="142"/>
      <c r="NAE108" s="142"/>
      <c r="NAF108" s="142"/>
      <c r="NAG108" s="142"/>
      <c r="NAH108" s="142"/>
      <c r="NAI108" s="142"/>
      <c r="NAJ108" s="142"/>
      <c r="NAK108" s="142"/>
      <c r="NAL108" s="142"/>
      <c r="NAM108" s="142"/>
      <c r="NAN108" s="142"/>
      <c r="NAO108" s="142"/>
      <c r="NAP108" s="142"/>
      <c r="NAQ108" s="142"/>
      <c r="NAR108" s="142"/>
      <c r="NAS108" s="142"/>
      <c r="NAT108" s="142"/>
      <c r="NAU108" s="142"/>
      <c r="NAV108" s="142"/>
      <c r="NAW108" s="142"/>
      <c r="NAX108" s="142"/>
      <c r="NAY108" s="142"/>
      <c r="NAZ108" s="142"/>
      <c r="NBA108" s="142"/>
      <c r="NBB108" s="142"/>
      <c r="NBC108" s="142"/>
      <c r="NBD108" s="142"/>
      <c r="NBE108" s="142"/>
      <c r="NBF108" s="142"/>
      <c r="NBG108" s="142"/>
      <c r="NBH108" s="142"/>
      <c r="NBI108" s="142"/>
      <c r="NBJ108" s="142"/>
      <c r="NBK108" s="142"/>
      <c r="NBL108" s="142"/>
      <c r="NBM108" s="142"/>
      <c r="NBN108" s="142"/>
      <c r="NBO108" s="142"/>
      <c r="NBP108" s="142"/>
      <c r="NBQ108" s="142"/>
      <c r="NBR108" s="142"/>
      <c r="NBS108" s="142"/>
      <c r="NBT108" s="142"/>
      <c r="NBU108" s="142"/>
      <c r="NBV108" s="142"/>
      <c r="NBW108" s="142"/>
      <c r="NBX108" s="142"/>
      <c r="NBY108" s="142"/>
      <c r="NBZ108" s="142"/>
      <c r="NCA108" s="142"/>
      <c r="NCB108" s="142"/>
      <c r="NCC108" s="142"/>
      <c r="NCD108" s="142"/>
      <c r="NCE108" s="142"/>
      <c r="NCF108" s="142"/>
      <c r="NCG108" s="142"/>
      <c r="NCH108" s="142"/>
      <c r="NCI108" s="142"/>
      <c r="NCJ108" s="142"/>
      <c r="NCK108" s="142"/>
      <c r="NCL108" s="142"/>
      <c r="NCM108" s="142"/>
      <c r="NCN108" s="142"/>
      <c r="NCO108" s="142"/>
      <c r="NCP108" s="142"/>
      <c r="NCQ108" s="142"/>
      <c r="NCR108" s="142"/>
      <c r="NCS108" s="142"/>
      <c r="NCT108" s="142"/>
      <c r="NCU108" s="142"/>
      <c r="NCV108" s="142"/>
      <c r="NCW108" s="142"/>
      <c r="NCX108" s="142"/>
      <c r="NCY108" s="142"/>
      <c r="NCZ108" s="142"/>
      <c r="NDA108" s="142"/>
      <c r="NDB108" s="142"/>
      <c r="NDC108" s="142"/>
      <c r="NDD108" s="142"/>
      <c r="NDE108" s="142"/>
      <c r="NDF108" s="142"/>
      <c r="NDG108" s="142"/>
      <c r="NDH108" s="142"/>
      <c r="NDI108" s="142"/>
      <c r="NDJ108" s="142"/>
      <c r="NDK108" s="142"/>
      <c r="NDL108" s="142"/>
      <c r="NDM108" s="142"/>
      <c r="NDN108" s="142"/>
      <c r="NDO108" s="142"/>
      <c r="NDP108" s="142"/>
      <c r="NDQ108" s="142"/>
      <c r="NDR108" s="142"/>
      <c r="NDS108" s="142"/>
      <c r="NDT108" s="142"/>
      <c r="NDU108" s="142"/>
      <c r="NDV108" s="142"/>
      <c r="NDW108" s="142"/>
      <c r="NDX108" s="142"/>
      <c r="NDY108" s="142"/>
      <c r="NDZ108" s="142"/>
      <c r="NEA108" s="142"/>
      <c r="NEB108" s="142"/>
      <c r="NEC108" s="142"/>
      <c r="NED108" s="142"/>
      <c r="NEE108" s="142"/>
      <c r="NEF108" s="142"/>
      <c r="NEG108" s="142"/>
      <c r="NEH108" s="142"/>
      <c r="NEI108" s="142"/>
      <c r="NEJ108" s="142"/>
      <c r="NEK108" s="142"/>
      <c r="NEL108" s="142"/>
      <c r="NEM108" s="142"/>
      <c r="NEN108" s="142"/>
      <c r="NEO108" s="142"/>
      <c r="NEP108" s="142"/>
      <c r="NEQ108" s="142"/>
      <c r="NER108" s="142"/>
      <c r="NES108" s="142"/>
      <c r="NET108" s="142"/>
      <c r="NEU108" s="142"/>
      <c r="NEV108" s="142"/>
      <c r="NEW108" s="142"/>
      <c r="NEX108" s="142"/>
      <c r="NEY108" s="142"/>
      <c r="NEZ108" s="142"/>
      <c r="NFA108" s="142"/>
      <c r="NFB108" s="142"/>
      <c r="NFC108" s="142"/>
      <c r="NFD108" s="142"/>
      <c r="NFE108" s="142"/>
      <c r="NFF108" s="142"/>
      <c r="NFG108" s="142"/>
      <c r="NFH108" s="142"/>
      <c r="NFI108" s="142"/>
      <c r="NFJ108" s="142"/>
      <c r="NFK108" s="142"/>
      <c r="NFL108" s="142"/>
      <c r="NFM108" s="142"/>
      <c r="NFN108" s="142"/>
      <c r="NFO108" s="142"/>
      <c r="NFP108" s="142"/>
      <c r="NFQ108" s="142"/>
      <c r="NFR108" s="142"/>
      <c r="NFS108" s="142"/>
      <c r="NFT108" s="142"/>
      <c r="NFU108" s="142"/>
      <c r="NFV108" s="142"/>
      <c r="NFW108" s="142"/>
      <c r="NFX108" s="142"/>
      <c r="NFY108" s="142"/>
      <c r="NFZ108" s="142"/>
      <c r="NGA108" s="142"/>
      <c r="NGB108" s="142"/>
      <c r="NGC108" s="142"/>
      <c r="NGD108" s="142"/>
      <c r="NGE108" s="142"/>
      <c r="NGF108" s="142"/>
      <c r="NGG108" s="142"/>
      <c r="NGH108" s="142"/>
      <c r="NGI108" s="142"/>
      <c r="NGJ108" s="142"/>
      <c r="NGK108" s="142"/>
      <c r="NGL108" s="142"/>
      <c r="NGM108" s="142"/>
      <c r="NGN108" s="142"/>
      <c r="NGO108" s="142"/>
      <c r="NGP108" s="142"/>
      <c r="NGQ108" s="142"/>
      <c r="NGR108" s="142"/>
      <c r="NGS108" s="142"/>
      <c r="NGT108" s="142"/>
      <c r="NGU108" s="142"/>
      <c r="NGV108" s="142"/>
      <c r="NGW108" s="142"/>
      <c r="NGX108" s="142"/>
      <c r="NGY108" s="142"/>
      <c r="NGZ108" s="142"/>
      <c r="NHA108" s="142"/>
      <c r="NHB108" s="142"/>
      <c r="NHC108" s="142"/>
      <c r="NHD108" s="142"/>
      <c r="NHE108" s="142"/>
      <c r="NHF108" s="142"/>
      <c r="NHG108" s="142"/>
      <c r="NHH108" s="142"/>
      <c r="NHI108" s="142"/>
      <c r="NHJ108" s="142"/>
      <c r="NHK108" s="142"/>
      <c r="NHL108" s="142"/>
      <c r="NHM108" s="142"/>
      <c r="NHN108" s="142"/>
      <c r="NHO108" s="142"/>
      <c r="NHP108" s="142"/>
      <c r="NHQ108" s="142"/>
      <c r="NHR108" s="142"/>
      <c r="NHS108" s="142"/>
      <c r="NHT108" s="142"/>
      <c r="NHU108" s="142"/>
      <c r="NHV108" s="142"/>
      <c r="NHW108" s="142"/>
      <c r="NHX108" s="142"/>
      <c r="NHY108" s="142"/>
      <c r="NHZ108" s="142"/>
      <c r="NIA108" s="142"/>
      <c r="NIB108" s="142"/>
      <c r="NIC108" s="142"/>
      <c r="NID108" s="142"/>
      <c r="NIE108" s="142"/>
      <c r="NIF108" s="142"/>
      <c r="NIG108" s="142"/>
      <c r="NIH108" s="142"/>
      <c r="NII108" s="142"/>
      <c r="NIJ108" s="142"/>
      <c r="NIK108" s="142"/>
      <c r="NIL108" s="142"/>
      <c r="NIM108" s="142"/>
      <c r="NIN108" s="142"/>
      <c r="NIO108" s="142"/>
      <c r="NIP108" s="142"/>
      <c r="NIQ108" s="142"/>
      <c r="NIR108" s="142"/>
      <c r="NIS108" s="142"/>
      <c r="NIT108" s="142"/>
      <c r="NIU108" s="142"/>
      <c r="NIV108" s="142"/>
      <c r="NIW108" s="142"/>
      <c r="NIX108" s="142"/>
      <c r="NIY108" s="142"/>
      <c r="NIZ108" s="142"/>
      <c r="NJA108" s="142"/>
      <c r="NJB108" s="142"/>
      <c r="NJC108" s="142"/>
      <c r="NJD108" s="142"/>
      <c r="NJE108" s="142"/>
      <c r="NJF108" s="142"/>
      <c r="NJG108" s="142"/>
      <c r="NJH108" s="142"/>
      <c r="NJI108" s="142"/>
      <c r="NJJ108" s="142"/>
      <c r="NJK108" s="142"/>
      <c r="NJL108" s="142"/>
      <c r="NJM108" s="142"/>
      <c r="NJN108" s="142"/>
      <c r="NJO108" s="142"/>
      <c r="NJP108" s="142"/>
      <c r="NJQ108" s="142"/>
      <c r="NJR108" s="142"/>
      <c r="NJS108" s="142"/>
      <c r="NJT108" s="142"/>
      <c r="NJU108" s="142"/>
      <c r="NJV108" s="142"/>
      <c r="NJW108" s="142"/>
      <c r="NJX108" s="142"/>
      <c r="NJY108" s="142"/>
      <c r="NJZ108" s="142"/>
      <c r="NKA108" s="142"/>
      <c r="NKB108" s="142"/>
      <c r="NKC108" s="142"/>
      <c r="NKD108" s="142"/>
      <c r="NKE108" s="142"/>
      <c r="NKF108" s="142"/>
      <c r="NKG108" s="142"/>
      <c r="NKH108" s="142"/>
      <c r="NKI108" s="142"/>
      <c r="NKJ108" s="142"/>
      <c r="NKK108" s="142"/>
      <c r="NKL108" s="142"/>
      <c r="NKM108" s="142"/>
      <c r="NKN108" s="142"/>
      <c r="NKO108" s="142"/>
      <c r="NKP108" s="142"/>
      <c r="NKQ108" s="142"/>
      <c r="NKR108" s="142"/>
      <c r="NKS108" s="142"/>
      <c r="NKT108" s="142"/>
      <c r="NKU108" s="142"/>
      <c r="NKV108" s="142"/>
      <c r="NKW108" s="142"/>
      <c r="NKX108" s="142"/>
      <c r="NKY108" s="142"/>
      <c r="NKZ108" s="142"/>
      <c r="NLA108" s="142"/>
      <c r="NLB108" s="142"/>
      <c r="NLC108" s="142"/>
      <c r="NLD108" s="142"/>
      <c r="NLE108" s="142"/>
      <c r="NLF108" s="142"/>
      <c r="NLG108" s="142"/>
      <c r="NLH108" s="142"/>
      <c r="NLI108" s="142"/>
      <c r="NLJ108" s="142"/>
      <c r="NLK108" s="142"/>
      <c r="NLL108" s="142"/>
      <c r="NLM108" s="142"/>
      <c r="NLN108" s="142"/>
      <c r="NLO108" s="142"/>
      <c r="NLP108" s="142"/>
      <c r="NLQ108" s="142"/>
      <c r="NLR108" s="142"/>
      <c r="NLS108" s="142"/>
      <c r="NLT108" s="142"/>
      <c r="NLU108" s="142"/>
      <c r="NLV108" s="142"/>
      <c r="NLW108" s="142"/>
      <c r="NLX108" s="142"/>
      <c r="NLY108" s="142"/>
      <c r="NLZ108" s="142"/>
      <c r="NMA108" s="142"/>
      <c r="NMB108" s="142"/>
      <c r="NMC108" s="142"/>
      <c r="NMD108" s="142"/>
      <c r="NME108" s="142"/>
      <c r="NMF108" s="142"/>
      <c r="NMG108" s="142"/>
      <c r="NMH108" s="142"/>
      <c r="NMI108" s="142"/>
      <c r="NMJ108" s="142"/>
      <c r="NMK108" s="142"/>
      <c r="NML108" s="142"/>
      <c r="NMM108" s="142"/>
      <c r="NMN108" s="142"/>
      <c r="NMO108" s="142"/>
      <c r="NMP108" s="142"/>
      <c r="NMQ108" s="142"/>
      <c r="NMR108" s="142"/>
      <c r="NMS108" s="142"/>
      <c r="NMT108" s="142"/>
      <c r="NMU108" s="142"/>
      <c r="NMV108" s="142"/>
      <c r="NMW108" s="142"/>
      <c r="NMX108" s="142"/>
      <c r="NMY108" s="142"/>
      <c r="NMZ108" s="142"/>
      <c r="NNA108" s="142"/>
      <c r="NNB108" s="142"/>
      <c r="NNC108" s="142"/>
      <c r="NND108" s="142"/>
      <c r="NNE108" s="142"/>
      <c r="NNF108" s="142"/>
      <c r="NNG108" s="142"/>
      <c r="NNH108" s="142"/>
      <c r="NNI108" s="142"/>
      <c r="NNJ108" s="142"/>
      <c r="NNK108" s="142"/>
      <c r="NNL108" s="142"/>
      <c r="NNM108" s="142"/>
      <c r="NNN108" s="142"/>
      <c r="NNO108" s="142"/>
      <c r="NNP108" s="142"/>
      <c r="NNQ108" s="142"/>
      <c r="NNR108" s="142"/>
      <c r="NNS108" s="142"/>
      <c r="NNT108" s="142"/>
      <c r="NNU108" s="142"/>
      <c r="NNV108" s="142"/>
      <c r="NNW108" s="142"/>
      <c r="NNX108" s="142"/>
      <c r="NNY108" s="142"/>
      <c r="NNZ108" s="142"/>
      <c r="NOA108" s="142"/>
      <c r="NOB108" s="142"/>
      <c r="NOC108" s="142"/>
      <c r="NOD108" s="142"/>
      <c r="NOE108" s="142"/>
      <c r="NOF108" s="142"/>
      <c r="NOG108" s="142"/>
      <c r="NOH108" s="142"/>
      <c r="NOI108" s="142"/>
      <c r="NOJ108" s="142"/>
      <c r="NOK108" s="142"/>
      <c r="NOL108" s="142"/>
      <c r="NOM108" s="142"/>
      <c r="NON108" s="142"/>
      <c r="NOO108" s="142"/>
      <c r="NOP108" s="142"/>
      <c r="NOQ108" s="142"/>
      <c r="NOR108" s="142"/>
      <c r="NOS108" s="142"/>
      <c r="NOT108" s="142"/>
      <c r="NOU108" s="142"/>
      <c r="NOV108" s="142"/>
      <c r="NOW108" s="142"/>
      <c r="NOX108" s="142"/>
      <c r="NOY108" s="142"/>
      <c r="NOZ108" s="142"/>
      <c r="NPA108" s="142"/>
      <c r="NPB108" s="142"/>
      <c r="NPC108" s="142"/>
      <c r="NPD108" s="142"/>
      <c r="NPE108" s="142"/>
      <c r="NPF108" s="142"/>
      <c r="NPG108" s="142"/>
      <c r="NPH108" s="142"/>
      <c r="NPI108" s="142"/>
      <c r="NPJ108" s="142"/>
      <c r="NPK108" s="142"/>
      <c r="NPL108" s="142"/>
      <c r="NPM108" s="142"/>
      <c r="NPN108" s="142"/>
      <c r="NPO108" s="142"/>
      <c r="NPP108" s="142"/>
      <c r="NPQ108" s="142"/>
      <c r="NPR108" s="142"/>
      <c r="NPS108" s="142"/>
      <c r="NPT108" s="142"/>
      <c r="NPU108" s="142"/>
      <c r="NPV108" s="142"/>
      <c r="NPW108" s="142"/>
      <c r="NPX108" s="142"/>
      <c r="NPY108" s="142"/>
      <c r="NPZ108" s="142"/>
      <c r="NQA108" s="142"/>
      <c r="NQB108" s="142"/>
      <c r="NQC108" s="142"/>
      <c r="NQD108" s="142"/>
      <c r="NQE108" s="142"/>
      <c r="NQF108" s="142"/>
      <c r="NQG108" s="142"/>
      <c r="NQH108" s="142"/>
      <c r="NQI108" s="142"/>
      <c r="NQJ108" s="142"/>
      <c r="NQK108" s="142"/>
      <c r="NQL108" s="142"/>
      <c r="NQM108" s="142"/>
      <c r="NQN108" s="142"/>
      <c r="NQO108" s="142"/>
      <c r="NQP108" s="142"/>
      <c r="NQQ108" s="142"/>
      <c r="NQR108" s="142"/>
      <c r="NQS108" s="142"/>
      <c r="NQT108" s="142"/>
      <c r="NQU108" s="142"/>
      <c r="NQV108" s="142"/>
      <c r="NQW108" s="142"/>
      <c r="NQX108" s="142"/>
      <c r="NQY108" s="142"/>
      <c r="NQZ108" s="142"/>
      <c r="NRA108" s="142"/>
      <c r="NRB108" s="142"/>
      <c r="NRC108" s="142"/>
      <c r="NRD108" s="142"/>
      <c r="NRE108" s="142"/>
      <c r="NRF108" s="142"/>
      <c r="NRG108" s="142"/>
      <c r="NRH108" s="142"/>
      <c r="NRI108" s="142"/>
      <c r="NRJ108" s="142"/>
      <c r="NRK108" s="142"/>
      <c r="NRL108" s="142"/>
      <c r="NRM108" s="142"/>
      <c r="NRN108" s="142"/>
      <c r="NRO108" s="142"/>
      <c r="NRP108" s="142"/>
      <c r="NRQ108" s="142"/>
      <c r="NRR108" s="142"/>
      <c r="NRS108" s="142"/>
      <c r="NRT108" s="142"/>
      <c r="NRU108" s="142"/>
      <c r="NRV108" s="142"/>
      <c r="NRW108" s="142"/>
      <c r="NRX108" s="142"/>
      <c r="NRY108" s="142"/>
      <c r="NRZ108" s="142"/>
      <c r="NSA108" s="142"/>
      <c r="NSB108" s="142"/>
      <c r="NSC108" s="142"/>
      <c r="NSD108" s="142"/>
      <c r="NSE108" s="142"/>
      <c r="NSF108" s="142"/>
      <c r="NSG108" s="142"/>
      <c r="NSH108" s="142"/>
      <c r="NSI108" s="142"/>
      <c r="NSJ108" s="142"/>
      <c r="NSK108" s="142"/>
      <c r="NSL108" s="142"/>
      <c r="NSM108" s="142"/>
      <c r="NSN108" s="142"/>
      <c r="NSO108" s="142"/>
      <c r="NSP108" s="142"/>
      <c r="NSQ108" s="142"/>
      <c r="NSR108" s="142"/>
      <c r="NSS108" s="142"/>
      <c r="NST108" s="142"/>
      <c r="NSU108" s="142"/>
      <c r="NSV108" s="142"/>
      <c r="NSW108" s="142"/>
      <c r="NSX108" s="142"/>
      <c r="NSY108" s="142"/>
      <c r="NSZ108" s="142"/>
      <c r="NTA108" s="142"/>
      <c r="NTB108" s="142"/>
      <c r="NTC108" s="142"/>
      <c r="NTD108" s="142"/>
      <c r="NTE108" s="142"/>
      <c r="NTF108" s="142"/>
      <c r="NTG108" s="142"/>
      <c r="NTH108" s="142"/>
      <c r="NTI108" s="142"/>
      <c r="NTJ108" s="142"/>
      <c r="NTK108" s="142"/>
      <c r="NTL108" s="142"/>
      <c r="NTM108" s="142"/>
      <c r="NTN108" s="142"/>
      <c r="NTO108" s="142"/>
      <c r="NTP108" s="142"/>
      <c r="NTQ108" s="142"/>
      <c r="NTR108" s="142"/>
      <c r="NTS108" s="142"/>
      <c r="NTT108" s="142"/>
      <c r="NTU108" s="142"/>
      <c r="NTV108" s="142"/>
      <c r="NTW108" s="142"/>
      <c r="NTX108" s="142"/>
      <c r="NTY108" s="142"/>
      <c r="NTZ108" s="142"/>
      <c r="NUA108" s="142"/>
      <c r="NUB108" s="142"/>
      <c r="NUC108" s="142"/>
      <c r="NUD108" s="142"/>
      <c r="NUE108" s="142"/>
      <c r="NUF108" s="142"/>
      <c r="NUG108" s="142"/>
      <c r="NUH108" s="142"/>
      <c r="NUI108" s="142"/>
      <c r="NUJ108" s="142"/>
      <c r="NUK108" s="142"/>
      <c r="NUL108" s="142"/>
      <c r="NUM108" s="142"/>
      <c r="NUN108" s="142"/>
      <c r="NUO108" s="142"/>
      <c r="NUP108" s="142"/>
      <c r="NUQ108" s="142"/>
      <c r="NUR108" s="142"/>
      <c r="NUS108" s="142"/>
      <c r="NUT108" s="142"/>
      <c r="NUU108" s="142"/>
      <c r="NUV108" s="142"/>
      <c r="NUW108" s="142"/>
      <c r="NUX108" s="142"/>
      <c r="NUY108" s="142"/>
      <c r="NUZ108" s="142"/>
      <c r="NVA108" s="142"/>
      <c r="NVB108" s="142"/>
      <c r="NVC108" s="142"/>
      <c r="NVD108" s="142"/>
      <c r="NVE108" s="142"/>
      <c r="NVF108" s="142"/>
      <c r="NVG108" s="142"/>
      <c r="NVH108" s="142"/>
      <c r="NVI108" s="142"/>
      <c r="NVJ108" s="142"/>
      <c r="NVK108" s="142"/>
      <c r="NVL108" s="142"/>
      <c r="NVM108" s="142"/>
      <c r="NVN108" s="142"/>
      <c r="NVO108" s="142"/>
      <c r="NVP108" s="142"/>
      <c r="NVQ108" s="142"/>
      <c r="NVR108" s="142"/>
      <c r="NVS108" s="142"/>
      <c r="NVT108" s="142"/>
      <c r="NVU108" s="142"/>
      <c r="NVV108" s="142"/>
      <c r="NVW108" s="142"/>
      <c r="NVX108" s="142"/>
      <c r="NVY108" s="142"/>
      <c r="NVZ108" s="142"/>
      <c r="NWA108" s="142"/>
      <c r="NWB108" s="142"/>
      <c r="NWC108" s="142"/>
      <c r="NWD108" s="142"/>
      <c r="NWE108" s="142"/>
      <c r="NWF108" s="142"/>
      <c r="NWG108" s="142"/>
      <c r="NWH108" s="142"/>
      <c r="NWI108" s="142"/>
      <c r="NWJ108" s="142"/>
      <c r="NWK108" s="142"/>
      <c r="NWL108" s="142"/>
      <c r="NWM108" s="142"/>
      <c r="NWN108" s="142"/>
      <c r="NWO108" s="142"/>
      <c r="NWP108" s="142"/>
      <c r="NWQ108" s="142"/>
      <c r="NWR108" s="142"/>
      <c r="NWS108" s="142"/>
      <c r="NWT108" s="142"/>
      <c r="NWU108" s="142"/>
      <c r="NWV108" s="142"/>
      <c r="NWW108" s="142"/>
      <c r="NWX108" s="142"/>
      <c r="NWY108" s="142"/>
      <c r="NWZ108" s="142"/>
      <c r="NXA108" s="142"/>
      <c r="NXB108" s="142"/>
      <c r="NXC108" s="142"/>
      <c r="NXD108" s="142"/>
      <c r="NXE108" s="142"/>
      <c r="NXF108" s="142"/>
      <c r="NXG108" s="142"/>
      <c r="NXH108" s="142"/>
      <c r="NXI108" s="142"/>
      <c r="NXJ108" s="142"/>
      <c r="NXK108" s="142"/>
      <c r="NXL108" s="142"/>
      <c r="NXM108" s="142"/>
      <c r="NXN108" s="142"/>
      <c r="NXO108" s="142"/>
      <c r="NXP108" s="142"/>
      <c r="NXQ108" s="142"/>
      <c r="NXR108" s="142"/>
      <c r="NXS108" s="142"/>
      <c r="NXT108" s="142"/>
      <c r="NXU108" s="142"/>
      <c r="NXV108" s="142"/>
      <c r="NXW108" s="142"/>
      <c r="NXX108" s="142"/>
      <c r="NXY108" s="142"/>
      <c r="NXZ108" s="142"/>
      <c r="NYA108" s="142"/>
      <c r="NYB108" s="142"/>
      <c r="NYC108" s="142"/>
      <c r="NYD108" s="142"/>
      <c r="NYE108" s="142"/>
      <c r="NYF108" s="142"/>
      <c r="NYG108" s="142"/>
      <c r="NYH108" s="142"/>
      <c r="NYI108" s="142"/>
      <c r="NYJ108" s="142"/>
      <c r="NYK108" s="142"/>
      <c r="NYL108" s="142"/>
      <c r="NYM108" s="142"/>
      <c r="NYN108" s="142"/>
      <c r="NYO108" s="142"/>
      <c r="NYP108" s="142"/>
      <c r="NYQ108" s="142"/>
      <c r="NYR108" s="142"/>
      <c r="NYS108" s="142"/>
      <c r="NYT108" s="142"/>
      <c r="NYU108" s="142"/>
      <c r="NYV108" s="142"/>
      <c r="NYW108" s="142"/>
      <c r="NYX108" s="142"/>
      <c r="NYY108" s="142"/>
      <c r="NYZ108" s="142"/>
      <c r="NZA108" s="142"/>
      <c r="NZB108" s="142"/>
      <c r="NZC108" s="142"/>
      <c r="NZD108" s="142"/>
      <c r="NZE108" s="142"/>
      <c r="NZF108" s="142"/>
      <c r="NZG108" s="142"/>
      <c r="NZH108" s="142"/>
      <c r="NZI108" s="142"/>
      <c r="NZJ108" s="142"/>
      <c r="NZK108" s="142"/>
      <c r="NZL108" s="142"/>
      <c r="NZM108" s="142"/>
      <c r="NZN108" s="142"/>
      <c r="NZO108" s="142"/>
      <c r="NZP108" s="142"/>
      <c r="NZQ108" s="142"/>
      <c r="NZR108" s="142"/>
      <c r="NZS108" s="142"/>
      <c r="NZT108" s="142"/>
      <c r="NZU108" s="142"/>
      <c r="NZV108" s="142"/>
      <c r="NZW108" s="142"/>
      <c r="NZX108" s="142"/>
      <c r="NZY108" s="142"/>
      <c r="NZZ108" s="142"/>
      <c r="OAA108" s="142"/>
      <c r="OAB108" s="142"/>
      <c r="OAC108" s="142"/>
      <c r="OAD108" s="142"/>
      <c r="OAE108" s="142"/>
      <c r="OAF108" s="142"/>
      <c r="OAG108" s="142"/>
      <c r="OAH108" s="142"/>
      <c r="OAI108" s="142"/>
      <c r="OAJ108" s="142"/>
      <c r="OAK108" s="142"/>
      <c r="OAL108" s="142"/>
      <c r="OAM108" s="142"/>
      <c r="OAN108" s="142"/>
      <c r="OAO108" s="142"/>
      <c r="OAP108" s="142"/>
      <c r="OAQ108" s="142"/>
      <c r="OAR108" s="142"/>
      <c r="OAS108" s="142"/>
      <c r="OAT108" s="142"/>
      <c r="OAU108" s="142"/>
      <c r="OAV108" s="142"/>
      <c r="OAW108" s="142"/>
      <c r="OAX108" s="142"/>
      <c r="OAY108" s="142"/>
      <c r="OAZ108" s="142"/>
      <c r="OBA108" s="142"/>
      <c r="OBB108" s="142"/>
      <c r="OBC108" s="142"/>
      <c r="OBD108" s="142"/>
      <c r="OBE108" s="142"/>
      <c r="OBF108" s="142"/>
      <c r="OBG108" s="142"/>
      <c r="OBH108" s="142"/>
      <c r="OBI108" s="142"/>
      <c r="OBJ108" s="142"/>
      <c r="OBK108" s="142"/>
      <c r="OBL108" s="142"/>
      <c r="OBM108" s="142"/>
      <c r="OBN108" s="142"/>
      <c r="OBO108" s="142"/>
      <c r="OBP108" s="142"/>
      <c r="OBQ108" s="142"/>
      <c r="OBR108" s="142"/>
      <c r="OBS108" s="142"/>
      <c r="OBT108" s="142"/>
      <c r="OBU108" s="142"/>
      <c r="OBV108" s="142"/>
      <c r="OBW108" s="142"/>
      <c r="OBX108" s="142"/>
      <c r="OBY108" s="142"/>
      <c r="OBZ108" s="142"/>
      <c r="OCA108" s="142"/>
      <c r="OCB108" s="142"/>
      <c r="OCC108" s="142"/>
      <c r="OCD108" s="142"/>
      <c r="OCE108" s="142"/>
      <c r="OCF108" s="142"/>
      <c r="OCG108" s="142"/>
      <c r="OCH108" s="142"/>
      <c r="OCI108" s="142"/>
      <c r="OCJ108" s="142"/>
      <c r="OCK108" s="142"/>
      <c r="OCL108" s="142"/>
      <c r="OCM108" s="142"/>
      <c r="OCN108" s="142"/>
      <c r="OCO108" s="142"/>
      <c r="OCP108" s="142"/>
      <c r="OCQ108" s="142"/>
      <c r="OCR108" s="142"/>
      <c r="OCS108" s="142"/>
      <c r="OCT108" s="142"/>
      <c r="OCU108" s="142"/>
      <c r="OCV108" s="142"/>
      <c r="OCW108" s="142"/>
      <c r="OCX108" s="142"/>
      <c r="OCY108" s="142"/>
      <c r="OCZ108" s="142"/>
      <c r="ODA108" s="142"/>
      <c r="ODB108" s="142"/>
      <c r="ODC108" s="142"/>
      <c r="ODD108" s="142"/>
      <c r="ODE108" s="142"/>
      <c r="ODF108" s="142"/>
      <c r="ODG108" s="142"/>
      <c r="ODH108" s="142"/>
      <c r="ODI108" s="142"/>
      <c r="ODJ108" s="142"/>
      <c r="ODK108" s="142"/>
      <c r="ODL108" s="142"/>
      <c r="ODM108" s="142"/>
      <c r="ODN108" s="142"/>
      <c r="ODO108" s="142"/>
      <c r="ODP108" s="142"/>
      <c r="ODQ108" s="142"/>
      <c r="ODR108" s="142"/>
      <c r="ODS108" s="142"/>
      <c r="ODT108" s="142"/>
      <c r="ODU108" s="142"/>
      <c r="ODV108" s="142"/>
      <c r="ODW108" s="142"/>
      <c r="ODX108" s="142"/>
      <c r="ODY108" s="142"/>
      <c r="ODZ108" s="142"/>
      <c r="OEA108" s="142"/>
      <c r="OEB108" s="142"/>
      <c r="OEC108" s="142"/>
      <c r="OED108" s="142"/>
      <c r="OEE108" s="142"/>
      <c r="OEF108" s="142"/>
      <c r="OEG108" s="142"/>
      <c r="OEH108" s="142"/>
      <c r="OEI108" s="142"/>
      <c r="OEJ108" s="142"/>
      <c r="OEK108" s="142"/>
      <c r="OEL108" s="142"/>
      <c r="OEM108" s="142"/>
      <c r="OEN108" s="142"/>
      <c r="OEO108" s="142"/>
      <c r="OEP108" s="142"/>
      <c r="OEQ108" s="142"/>
      <c r="OER108" s="142"/>
      <c r="OES108" s="142"/>
      <c r="OET108" s="142"/>
      <c r="OEU108" s="142"/>
      <c r="OEV108" s="142"/>
      <c r="OEW108" s="142"/>
      <c r="OEX108" s="142"/>
      <c r="OEY108" s="142"/>
      <c r="OEZ108" s="142"/>
      <c r="OFA108" s="142"/>
      <c r="OFB108" s="142"/>
      <c r="OFC108" s="142"/>
      <c r="OFD108" s="142"/>
      <c r="OFE108" s="142"/>
      <c r="OFF108" s="142"/>
      <c r="OFG108" s="142"/>
      <c r="OFH108" s="142"/>
      <c r="OFI108" s="142"/>
      <c r="OFJ108" s="142"/>
      <c r="OFK108" s="142"/>
      <c r="OFL108" s="142"/>
      <c r="OFM108" s="142"/>
      <c r="OFN108" s="142"/>
      <c r="OFO108" s="142"/>
      <c r="OFP108" s="142"/>
      <c r="OFQ108" s="142"/>
      <c r="OFR108" s="142"/>
      <c r="OFS108" s="142"/>
      <c r="OFT108" s="142"/>
      <c r="OFU108" s="142"/>
      <c r="OFV108" s="142"/>
      <c r="OFW108" s="142"/>
      <c r="OFX108" s="142"/>
      <c r="OFY108" s="142"/>
      <c r="OFZ108" s="142"/>
      <c r="OGA108" s="142"/>
      <c r="OGB108" s="142"/>
      <c r="OGC108" s="142"/>
      <c r="OGD108" s="142"/>
      <c r="OGE108" s="142"/>
      <c r="OGF108" s="142"/>
      <c r="OGG108" s="142"/>
      <c r="OGH108" s="142"/>
      <c r="OGI108" s="142"/>
      <c r="OGJ108" s="142"/>
      <c r="OGK108" s="142"/>
      <c r="OGL108" s="142"/>
      <c r="OGM108" s="142"/>
      <c r="OGN108" s="142"/>
      <c r="OGO108" s="142"/>
      <c r="OGP108" s="142"/>
      <c r="OGQ108" s="142"/>
      <c r="OGR108" s="142"/>
      <c r="OGS108" s="142"/>
      <c r="OGT108" s="142"/>
      <c r="OGU108" s="142"/>
      <c r="OGV108" s="142"/>
      <c r="OGW108" s="142"/>
      <c r="OGX108" s="142"/>
      <c r="OGY108" s="142"/>
      <c r="OGZ108" s="142"/>
      <c r="OHA108" s="142"/>
      <c r="OHB108" s="142"/>
      <c r="OHC108" s="142"/>
      <c r="OHD108" s="142"/>
      <c r="OHE108" s="142"/>
      <c r="OHF108" s="142"/>
      <c r="OHG108" s="142"/>
      <c r="OHH108" s="142"/>
      <c r="OHI108" s="142"/>
      <c r="OHJ108" s="142"/>
      <c r="OHK108" s="142"/>
      <c r="OHL108" s="142"/>
      <c r="OHM108" s="142"/>
      <c r="OHN108" s="142"/>
      <c r="OHO108" s="142"/>
      <c r="OHP108" s="142"/>
      <c r="OHQ108" s="142"/>
      <c r="OHR108" s="142"/>
      <c r="OHS108" s="142"/>
      <c r="OHT108" s="142"/>
      <c r="OHU108" s="142"/>
      <c r="OHV108" s="142"/>
      <c r="OHW108" s="142"/>
      <c r="OHX108" s="142"/>
      <c r="OHY108" s="142"/>
      <c r="OHZ108" s="142"/>
      <c r="OIA108" s="142"/>
      <c r="OIB108" s="142"/>
      <c r="OIC108" s="142"/>
      <c r="OID108" s="142"/>
      <c r="OIE108" s="142"/>
      <c r="OIF108" s="142"/>
      <c r="OIG108" s="142"/>
      <c r="OIH108" s="142"/>
      <c r="OII108" s="142"/>
      <c r="OIJ108" s="142"/>
      <c r="OIK108" s="142"/>
      <c r="OIL108" s="142"/>
      <c r="OIM108" s="142"/>
      <c r="OIN108" s="142"/>
      <c r="OIO108" s="142"/>
      <c r="OIP108" s="142"/>
      <c r="OIQ108" s="142"/>
      <c r="OIR108" s="142"/>
      <c r="OIS108" s="142"/>
      <c r="OIT108" s="142"/>
      <c r="OIU108" s="142"/>
      <c r="OIV108" s="142"/>
      <c r="OIW108" s="142"/>
      <c r="OIX108" s="142"/>
      <c r="OIY108" s="142"/>
      <c r="OIZ108" s="142"/>
      <c r="OJA108" s="142"/>
      <c r="OJB108" s="142"/>
      <c r="OJC108" s="142"/>
      <c r="OJD108" s="142"/>
      <c r="OJE108" s="142"/>
      <c r="OJF108" s="142"/>
      <c r="OJG108" s="142"/>
      <c r="OJH108" s="142"/>
      <c r="OJI108" s="142"/>
      <c r="OJJ108" s="142"/>
      <c r="OJK108" s="142"/>
      <c r="OJL108" s="142"/>
      <c r="OJM108" s="142"/>
      <c r="OJN108" s="142"/>
      <c r="OJO108" s="142"/>
      <c r="OJP108" s="142"/>
      <c r="OJQ108" s="142"/>
      <c r="OJR108" s="142"/>
      <c r="OJS108" s="142"/>
      <c r="OJT108" s="142"/>
      <c r="OJU108" s="142"/>
      <c r="OJV108" s="142"/>
      <c r="OJW108" s="142"/>
      <c r="OJX108" s="142"/>
      <c r="OJY108" s="142"/>
      <c r="OJZ108" s="142"/>
      <c r="OKA108" s="142"/>
      <c r="OKB108" s="142"/>
      <c r="OKC108" s="142"/>
      <c r="OKD108" s="142"/>
      <c r="OKE108" s="142"/>
      <c r="OKF108" s="142"/>
      <c r="OKG108" s="142"/>
      <c r="OKH108" s="142"/>
      <c r="OKI108" s="142"/>
      <c r="OKJ108" s="142"/>
      <c r="OKK108" s="142"/>
      <c r="OKL108" s="142"/>
      <c r="OKM108" s="142"/>
      <c r="OKN108" s="142"/>
      <c r="OKO108" s="142"/>
      <c r="OKP108" s="142"/>
      <c r="OKQ108" s="142"/>
      <c r="OKR108" s="142"/>
      <c r="OKS108" s="142"/>
      <c r="OKT108" s="142"/>
      <c r="OKU108" s="142"/>
      <c r="OKV108" s="142"/>
      <c r="OKW108" s="142"/>
      <c r="OKX108" s="142"/>
      <c r="OKY108" s="142"/>
      <c r="OKZ108" s="142"/>
      <c r="OLA108" s="142"/>
      <c r="OLB108" s="142"/>
      <c r="OLC108" s="142"/>
      <c r="OLD108" s="142"/>
      <c r="OLE108" s="142"/>
      <c r="OLF108" s="142"/>
      <c r="OLG108" s="142"/>
      <c r="OLH108" s="142"/>
      <c r="OLI108" s="142"/>
      <c r="OLJ108" s="142"/>
      <c r="OLK108" s="142"/>
      <c r="OLL108" s="142"/>
      <c r="OLM108" s="142"/>
      <c r="OLN108" s="142"/>
      <c r="OLO108" s="142"/>
      <c r="OLP108" s="142"/>
      <c r="OLQ108" s="142"/>
      <c r="OLR108" s="142"/>
      <c r="OLS108" s="142"/>
      <c r="OLT108" s="142"/>
      <c r="OLU108" s="142"/>
      <c r="OLV108" s="142"/>
      <c r="OLW108" s="142"/>
      <c r="OLX108" s="142"/>
      <c r="OLY108" s="142"/>
      <c r="OLZ108" s="142"/>
      <c r="OMA108" s="142"/>
      <c r="OMB108" s="142"/>
      <c r="OMC108" s="142"/>
      <c r="OMD108" s="142"/>
      <c r="OME108" s="142"/>
      <c r="OMF108" s="142"/>
      <c r="OMG108" s="142"/>
      <c r="OMH108" s="142"/>
      <c r="OMI108" s="142"/>
      <c r="OMJ108" s="142"/>
      <c r="OMK108" s="142"/>
      <c r="OML108" s="142"/>
      <c r="OMM108" s="142"/>
      <c r="OMN108" s="142"/>
      <c r="OMO108" s="142"/>
      <c r="OMP108" s="142"/>
      <c r="OMQ108" s="142"/>
      <c r="OMR108" s="142"/>
      <c r="OMS108" s="142"/>
      <c r="OMT108" s="142"/>
      <c r="OMU108" s="142"/>
      <c r="OMV108" s="142"/>
      <c r="OMW108" s="142"/>
      <c r="OMX108" s="142"/>
      <c r="OMY108" s="142"/>
      <c r="OMZ108" s="142"/>
      <c r="ONA108" s="142"/>
      <c r="ONB108" s="142"/>
      <c r="ONC108" s="142"/>
      <c r="OND108" s="142"/>
      <c r="ONE108" s="142"/>
      <c r="ONF108" s="142"/>
      <c r="ONG108" s="142"/>
      <c r="ONH108" s="142"/>
      <c r="ONI108" s="142"/>
      <c r="ONJ108" s="142"/>
      <c r="ONK108" s="142"/>
      <c r="ONL108" s="142"/>
      <c r="ONM108" s="142"/>
      <c r="ONN108" s="142"/>
      <c r="ONO108" s="142"/>
      <c r="ONP108" s="142"/>
      <c r="ONQ108" s="142"/>
      <c r="ONR108" s="142"/>
      <c r="ONS108" s="142"/>
      <c r="ONT108" s="142"/>
      <c r="ONU108" s="142"/>
      <c r="ONV108" s="142"/>
      <c r="ONW108" s="142"/>
      <c r="ONX108" s="142"/>
      <c r="ONY108" s="142"/>
      <c r="ONZ108" s="142"/>
      <c r="OOA108" s="142"/>
      <c r="OOB108" s="142"/>
      <c r="OOC108" s="142"/>
      <c r="OOD108" s="142"/>
      <c r="OOE108" s="142"/>
      <c r="OOF108" s="142"/>
      <c r="OOG108" s="142"/>
      <c r="OOH108" s="142"/>
      <c r="OOI108" s="142"/>
      <c r="OOJ108" s="142"/>
      <c r="OOK108" s="142"/>
      <c r="OOL108" s="142"/>
      <c r="OOM108" s="142"/>
      <c r="OON108" s="142"/>
      <c r="OOO108" s="142"/>
      <c r="OOP108" s="142"/>
      <c r="OOQ108" s="142"/>
      <c r="OOR108" s="142"/>
      <c r="OOS108" s="142"/>
      <c r="OOT108" s="142"/>
      <c r="OOU108" s="142"/>
      <c r="OOV108" s="142"/>
      <c r="OOW108" s="142"/>
      <c r="OOX108" s="142"/>
      <c r="OOY108" s="142"/>
      <c r="OOZ108" s="142"/>
      <c r="OPA108" s="142"/>
      <c r="OPB108" s="142"/>
      <c r="OPC108" s="142"/>
      <c r="OPD108" s="142"/>
      <c r="OPE108" s="142"/>
      <c r="OPF108" s="142"/>
      <c r="OPG108" s="142"/>
      <c r="OPH108" s="142"/>
      <c r="OPI108" s="142"/>
      <c r="OPJ108" s="142"/>
      <c r="OPK108" s="142"/>
      <c r="OPL108" s="142"/>
      <c r="OPM108" s="142"/>
      <c r="OPN108" s="142"/>
      <c r="OPO108" s="142"/>
      <c r="OPP108" s="142"/>
      <c r="OPQ108" s="142"/>
      <c r="OPR108" s="142"/>
      <c r="OPS108" s="142"/>
      <c r="OPT108" s="142"/>
      <c r="OPU108" s="142"/>
      <c r="OPV108" s="142"/>
      <c r="OPW108" s="142"/>
      <c r="OPX108" s="142"/>
      <c r="OPY108" s="142"/>
      <c r="OPZ108" s="142"/>
      <c r="OQA108" s="142"/>
      <c r="OQB108" s="142"/>
      <c r="OQC108" s="142"/>
      <c r="OQD108" s="142"/>
      <c r="OQE108" s="142"/>
      <c r="OQF108" s="142"/>
      <c r="OQG108" s="142"/>
      <c r="OQH108" s="142"/>
      <c r="OQI108" s="142"/>
      <c r="OQJ108" s="142"/>
      <c r="OQK108" s="142"/>
      <c r="OQL108" s="142"/>
      <c r="OQM108" s="142"/>
      <c r="OQN108" s="142"/>
      <c r="OQO108" s="142"/>
      <c r="OQP108" s="142"/>
      <c r="OQQ108" s="142"/>
      <c r="OQR108" s="142"/>
      <c r="OQS108" s="142"/>
      <c r="OQT108" s="142"/>
      <c r="OQU108" s="142"/>
      <c r="OQV108" s="142"/>
      <c r="OQW108" s="142"/>
      <c r="OQX108" s="142"/>
      <c r="OQY108" s="142"/>
      <c r="OQZ108" s="142"/>
      <c r="ORA108" s="142"/>
      <c r="ORB108" s="142"/>
      <c r="ORC108" s="142"/>
      <c r="ORD108" s="142"/>
      <c r="ORE108" s="142"/>
      <c r="ORF108" s="142"/>
      <c r="ORG108" s="142"/>
      <c r="ORH108" s="142"/>
      <c r="ORI108" s="142"/>
      <c r="ORJ108" s="142"/>
      <c r="ORK108" s="142"/>
      <c r="ORL108" s="142"/>
      <c r="ORM108" s="142"/>
      <c r="ORN108" s="142"/>
      <c r="ORO108" s="142"/>
      <c r="ORP108" s="142"/>
      <c r="ORQ108" s="142"/>
      <c r="ORR108" s="142"/>
      <c r="ORS108" s="142"/>
      <c r="ORT108" s="142"/>
      <c r="ORU108" s="142"/>
      <c r="ORV108" s="142"/>
      <c r="ORW108" s="142"/>
      <c r="ORX108" s="142"/>
      <c r="ORY108" s="142"/>
      <c r="ORZ108" s="142"/>
      <c r="OSA108" s="142"/>
      <c r="OSB108" s="142"/>
      <c r="OSC108" s="142"/>
      <c r="OSD108" s="142"/>
      <c r="OSE108" s="142"/>
      <c r="OSF108" s="142"/>
      <c r="OSG108" s="142"/>
      <c r="OSH108" s="142"/>
      <c r="OSI108" s="142"/>
      <c r="OSJ108" s="142"/>
      <c r="OSK108" s="142"/>
      <c r="OSL108" s="142"/>
      <c r="OSM108" s="142"/>
      <c r="OSN108" s="142"/>
      <c r="OSO108" s="142"/>
      <c r="OSP108" s="142"/>
      <c r="OSQ108" s="142"/>
      <c r="OSR108" s="142"/>
      <c r="OSS108" s="142"/>
      <c r="OST108" s="142"/>
      <c r="OSU108" s="142"/>
      <c r="OSV108" s="142"/>
      <c r="OSW108" s="142"/>
      <c r="OSX108" s="142"/>
      <c r="OSY108" s="142"/>
      <c r="OSZ108" s="142"/>
      <c r="OTA108" s="142"/>
      <c r="OTB108" s="142"/>
      <c r="OTC108" s="142"/>
      <c r="OTD108" s="142"/>
      <c r="OTE108" s="142"/>
      <c r="OTF108" s="142"/>
      <c r="OTG108" s="142"/>
      <c r="OTH108" s="142"/>
      <c r="OTI108" s="142"/>
      <c r="OTJ108" s="142"/>
      <c r="OTK108" s="142"/>
      <c r="OTL108" s="142"/>
      <c r="OTM108" s="142"/>
      <c r="OTN108" s="142"/>
      <c r="OTO108" s="142"/>
      <c r="OTP108" s="142"/>
      <c r="OTQ108" s="142"/>
      <c r="OTR108" s="142"/>
      <c r="OTS108" s="142"/>
      <c r="OTT108" s="142"/>
      <c r="OTU108" s="142"/>
      <c r="OTV108" s="142"/>
      <c r="OTW108" s="142"/>
      <c r="OTX108" s="142"/>
      <c r="OTY108" s="142"/>
      <c r="OTZ108" s="142"/>
      <c r="OUA108" s="142"/>
      <c r="OUB108" s="142"/>
      <c r="OUC108" s="142"/>
      <c r="OUD108" s="142"/>
      <c r="OUE108" s="142"/>
      <c r="OUF108" s="142"/>
      <c r="OUG108" s="142"/>
      <c r="OUH108" s="142"/>
      <c r="OUI108" s="142"/>
      <c r="OUJ108" s="142"/>
      <c r="OUK108" s="142"/>
      <c r="OUL108" s="142"/>
      <c r="OUM108" s="142"/>
      <c r="OUN108" s="142"/>
      <c r="OUO108" s="142"/>
      <c r="OUP108" s="142"/>
      <c r="OUQ108" s="142"/>
      <c r="OUR108" s="142"/>
      <c r="OUS108" s="142"/>
      <c r="OUT108" s="142"/>
      <c r="OUU108" s="142"/>
      <c r="OUV108" s="142"/>
      <c r="OUW108" s="142"/>
      <c r="OUX108" s="142"/>
      <c r="OUY108" s="142"/>
      <c r="OUZ108" s="142"/>
      <c r="OVA108" s="142"/>
      <c r="OVB108" s="142"/>
      <c r="OVC108" s="142"/>
      <c r="OVD108" s="142"/>
      <c r="OVE108" s="142"/>
      <c r="OVF108" s="142"/>
      <c r="OVG108" s="142"/>
      <c r="OVH108" s="142"/>
      <c r="OVI108" s="142"/>
      <c r="OVJ108" s="142"/>
      <c r="OVK108" s="142"/>
      <c r="OVL108" s="142"/>
      <c r="OVM108" s="142"/>
      <c r="OVN108" s="142"/>
      <c r="OVO108" s="142"/>
      <c r="OVP108" s="142"/>
      <c r="OVQ108" s="142"/>
      <c r="OVR108" s="142"/>
      <c r="OVS108" s="142"/>
      <c r="OVT108" s="142"/>
      <c r="OVU108" s="142"/>
      <c r="OVV108" s="142"/>
      <c r="OVW108" s="142"/>
      <c r="OVX108" s="142"/>
      <c r="OVY108" s="142"/>
      <c r="OVZ108" s="142"/>
      <c r="OWA108" s="142"/>
      <c r="OWB108" s="142"/>
      <c r="OWC108" s="142"/>
      <c r="OWD108" s="142"/>
      <c r="OWE108" s="142"/>
      <c r="OWF108" s="142"/>
      <c r="OWG108" s="142"/>
      <c r="OWH108" s="142"/>
      <c r="OWI108" s="142"/>
      <c r="OWJ108" s="142"/>
      <c r="OWK108" s="142"/>
      <c r="OWL108" s="142"/>
      <c r="OWM108" s="142"/>
      <c r="OWN108" s="142"/>
      <c r="OWO108" s="142"/>
      <c r="OWP108" s="142"/>
      <c r="OWQ108" s="142"/>
      <c r="OWR108" s="142"/>
      <c r="OWS108" s="142"/>
      <c r="OWT108" s="142"/>
      <c r="OWU108" s="142"/>
      <c r="OWV108" s="142"/>
      <c r="OWW108" s="142"/>
      <c r="OWX108" s="142"/>
      <c r="OWY108" s="142"/>
      <c r="OWZ108" s="142"/>
      <c r="OXA108" s="142"/>
      <c r="OXB108" s="142"/>
      <c r="OXC108" s="142"/>
      <c r="OXD108" s="142"/>
      <c r="OXE108" s="142"/>
      <c r="OXF108" s="142"/>
      <c r="OXG108" s="142"/>
      <c r="OXH108" s="142"/>
      <c r="OXI108" s="142"/>
      <c r="OXJ108" s="142"/>
      <c r="OXK108" s="142"/>
      <c r="OXL108" s="142"/>
      <c r="OXM108" s="142"/>
      <c r="OXN108" s="142"/>
      <c r="OXO108" s="142"/>
      <c r="OXP108" s="142"/>
      <c r="OXQ108" s="142"/>
      <c r="OXR108" s="142"/>
      <c r="OXS108" s="142"/>
      <c r="OXT108" s="142"/>
      <c r="OXU108" s="142"/>
      <c r="OXV108" s="142"/>
      <c r="OXW108" s="142"/>
      <c r="OXX108" s="142"/>
      <c r="OXY108" s="142"/>
      <c r="OXZ108" s="142"/>
      <c r="OYA108" s="142"/>
      <c r="OYB108" s="142"/>
      <c r="OYC108" s="142"/>
      <c r="OYD108" s="142"/>
      <c r="OYE108" s="142"/>
      <c r="OYF108" s="142"/>
      <c r="OYG108" s="142"/>
      <c r="OYH108" s="142"/>
      <c r="OYI108" s="142"/>
      <c r="OYJ108" s="142"/>
      <c r="OYK108" s="142"/>
      <c r="OYL108" s="142"/>
      <c r="OYM108" s="142"/>
      <c r="OYN108" s="142"/>
      <c r="OYO108" s="142"/>
      <c r="OYP108" s="142"/>
      <c r="OYQ108" s="142"/>
      <c r="OYR108" s="142"/>
      <c r="OYS108" s="142"/>
      <c r="OYT108" s="142"/>
      <c r="OYU108" s="142"/>
      <c r="OYV108" s="142"/>
      <c r="OYW108" s="142"/>
      <c r="OYX108" s="142"/>
      <c r="OYY108" s="142"/>
      <c r="OYZ108" s="142"/>
      <c r="OZA108" s="142"/>
      <c r="OZB108" s="142"/>
      <c r="OZC108" s="142"/>
      <c r="OZD108" s="142"/>
      <c r="OZE108" s="142"/>
      <c r="OZF108" s="142"/>
      <c r="OZG108" s="142"/>
      <c r="OZH108" s="142"/>
      <c r="OZI108" s="142"/>
      <c r="OZJ108" s="142"/>
      <c r="OZK108" s="142"/>
      <c r="OZL108" s="142"/>
      <c r="OZM108" s="142"/>
      <c r="OZN108" s="142"/>
      <c r="OZO108" s="142"/>
      <c r="OZP108" s="142"/>
      <c r="OZQ108" s="142"/>
      <c r="OZR108" s="142"/>
      <c r="OZS108" s="142"/>
      <c r="OZT108" s="142"/>
      <c r="OZU108" s="142"/>
      <c r="OZV108" s="142"/>
      <c r="OZW108" s="142"/>
      <c r="OZX108" s="142"/>
      <c r="OZY108" s="142"/>
      <c r="OZZ108" s="142"/>
      <c r="PAA108" s="142"/>
      <c r="PAB108" s="142"/>
      <c r="PAC108" s="142"/>
      <c r="PAD108" s="142"/>
      <c r="PAE108" s="142"/>
      <c r="PAF108" s="142"/>
      <c r="PAG108" s="142"/>
      <c r="PAH108" s="142"/>
      <c r="PAI108" s="142"/>
      <c r="PAJ108" s="142"/>
      <c r="PAK108" s="142"/>
      <c r="PAL108" s="142"/>
      <c r="PAM108" s="142"/>
      <c r="PAN108" s="142"/>
      <c r="PAO108" s="142"/>
      <c r="PAP108" s="142"/>
      <c r="PAQ108" s="142"/>
      <c r="PAR108" s="142"/>
      <c r="PAS108" s="142"/>
      <c r="PAT108" s="142"/>
      <c r="PAU108" s="142"/>
      <c r="PAV108" s="142"/>
      <c r="PAW108" s="142"/>
      <c r="PAX108" s="142"/>
      <c r="PAY108" s="142"/>
      <c r="PAZ108" s="142"/>
      <c r="PBA108" s="142"/>
      <c r="PBB108" s="142"/>
      <c r="PBC108" s="142"/>
      <c r="PBD108" s="142"/>
      <c r="PBE108" s="142"/>
      <c r="PBF108" s="142"/>
      <c r="PBG108" s="142"/>
      <c r="PBH108" s="142"/>
      <c r="PBI108" s="142"/>
      <c r="PBJ108" s="142"/>
      <c r="PBK108" s="142"/>
      <c r="PBL108" s="142"/>
      <c r="PBM108" s="142"/>
      <c r="PBN108" s="142"/>
      <c r="PBO108" s="142"/>
      <c r="PBP108" s="142"/>
      <c r="PBQ108" s="142"/>
      <c r="PBR108" s="142"/>
      <c r="PBS108" s="142"/>
      <c r="PBT108" s="142"/>
      <c r="PBU108" s="142"/>
      <c r="PBV108" s="142"/>
      <c r="PBW108" s="142"/>
      <c r="PBX108" s="142"/>
      <c r="PBY108" s="142"/>
      <c r="PBZ108" s="142"/>
      <c r="PCA108" s="142"/>
      <c r="PCB108" s="142"/>
      <c r="PCC108" s="142"/>
      <c r="PCD108" s="142"/>
      <c r="PCE108" s="142"/>
      <c r="PCF108" s="142"/>
      <c r="PCG108" s="142"/>
      <c r="PCH108" s="142"/>
      <c r="PCI108" s="142"/>
      <c r="PCJ108" s="142"/>
      <c r="PCK108" s="142"/>
      <c r="PCL108" s="142"/>
      <c r="PCM108" s="142"/>
      <c r="PCN108" s="142"/>
      <c r="PCO108" s="142"/>
      <c r="PCP108" s="142"/>
      <c r="PCQ108" s="142"/>
      <c r="PCR108" s="142"/>
      <c r="PCS108" s="142"/>
      <c r="PCT108" s="142"/>
      <c r="PCU108" s="142"/>
      <c r="PCV108" s="142"/>
      <c r="PCW108" s="142"/>
      <c r="PCX108" s="142"/>
      <c r="PCY108" s="142"/>
      <c r="PCZ108" s="142"/>
      <c r="PDA108" s="142"/>
      <c r="PDB108" s="142"/>
      <c r="PDC108" s="142"/>
      <c r="PDD108" s="142"/>
      <c r="PDE108" s="142"/>
      <c r="PDF108" s="142"/>
      <c r="PDG108" s="142"/>
      <c r="PDH108" s="142"/>
      <c r="PDI108" s="142"/>
      <c r="PDJ108" s="142"/>
      <c r="PDK108" s="142"/>
      <c r="PDL108" s="142"/>
      <c r="PDM108" s="142"/>
      <c r="PDN108" s="142"/>
      <c r="PDO108" s="142"/>
      <c r="PDP108" s="142"/>
      <c r="PDQ108" s="142"/>
      <c r="PDR108" s="142"/>
      <c r="PDS108" s="142"/>
      <c r="PDT108" s="142"/>
      <c r="PDU108" s="142"/>
      <c r="PDV108" s="142"/>
      <c r="PDW108" s="142"/>
      <c r="PDX108" s="142"/>
      <c r="PDY108" s="142"/>
      <c r="PDZ108" s="142"/>
      <c r="PEA108" s="142"/>
      <c r="PEB108" s="142"/>
      <c r="PEC108" s="142"/>
      <c r="PED108" s="142"/>
      <c r="PEE108" s="142"/>
      <c r="PEF108" s="142"/>
      <c r="PEG108" s="142"/>
      <c r="PEH108" s="142"/>
      <c r="PEI108" s="142"/>
      <c r="PEJ108" s="142"/>
      <c r="PEK108" s="142"/>
      <c r="PEL108" s="142"/>
      <c r="PEM108" s="142"/>
      <c r="PEN108" s="142"/>
      <c r="PEO108" s="142"/>
      <c r="PEP108" s="142"/>
      <c r="PEQ108" s="142"/>
      <c r="PER108" s="142"/>
      <c r="PES108" s="142"/>
      <c r="PET108" s="142"/>
      <c r="PEU108" s="142"/>
      <c r="PEV108" s="142"/>
      <c r="PEW108" s="142"/>
      <c r="PEX108" s="142"/>
      <c r="PEY108" s="142"/>
      <c r="PEZ108" s="142"/>
      <c r="PFA108" s="142"/>
      <c r="PFB108" s="142"/>
      <c r="PFC108" s="142"/>
      <c r="PFD108" s="142"/>
      <c r="PFE108" s="142"/>
      <c r="PFF108" s="142"/>
      <c r="PFG108" s="142"/>
      <c r="PFH108" s="142"/>
      <c r="PFI108" s="142"/>
      <c r="PFJ108" s="142"/>
      <c r="PFK108" s="142"/>
      <c r="PFL108" s="142"/>
      <c r="PFM108" s="142"/>
      <c r="PFN108" s="142"/>
      <c r="PFO108" s="142"/>
      <c r="PFP108" s="142"/>
      <c r="PFQ108" s="142"/>
      <c r="PFR108" s="142"/>
      <c r="PFS108" s="142"/>
      <c r="PFT108" s="142"/>
      <c r="PFU108" s="142"/>
      <c r="PFV108" s="142"/>
      <c r="PFW108" s="142"/>
      <c r="PFX108" s="142"/>
      <c r="PFY108" s="142"/>
      <c r="PFZ108" s="142"/>
      <c r="PGA108" s="142"/>
      <c r="PGB108" s="142"/>
      <c r="PGC108" s="142"/>
      <c r="PGD108" s="142"/>
      <c r="PGE108" s="142"/>
      <c r="PGF108" s="142"/>
      <c r="PGG108" s="142"/>
      <c r="PGH108" s="142"/>
      <c r="PGI108" s="142"/>
      <c r="PGJ108" s="142"/>
      <c r="PGK108" s="142"/>
      <c r="PGL108" s="142"/>
      <c r="PGM108" s="142"/>
      <c r="PGN108" s="142"/>
      <c r="PGO108" s="142"/>
      <c r="PGP108" s="142"/>
      <c r="PGQ108" s="142"/>
      <c r="PGR108" s="142"/>
      <c r="PGS108" s="142"/>
      <c r="PGT108" s="142"/>
      <c r="PGU108" s="142"/>
      <c r="PGV108" s="142"/>
      <c r="PGW108" s="142"/>
      <c r="PGX108" s="142"/>
      <c r="PGY108" s="142"/>
      <c r="PGZ108" s="142"/>
      <c r="PHA108" s="142"/>
      <c r="PHB108" s="142"/>
      <c r="PHC108" s="142"/>
      <c r="PHD108" s="142"/>
      <c r="PHE108" s="142"/>
      <c r="PHF108" s="142"/>
      <c r="PHG108" s="142"/>
      <c r="PHH108" s="142"/>
      <c r="PHI108" s="142"/>
      <c r="PHJ108" s="142"/>
      <c r="PHK108" s="142"/>
      <c r="PHL108" s="142"/>
      <c r="PHM108" s="142"/>
      <c r="PHN108" s="142"/>
      <c r="PHO108" s="142"/>
      <c r="PHP108" s="142"/>
      <c r="PHQ108" s="142"/>
      <c r="PHR108" s="142"/>
      <c r="PHS108" s="142"/>
      <c r="PHT108" s="142"/>
      <c r="PHU108" s="142"/>
      <c r="PHV108" s="142"/>
      <c r="PHW108" s="142"/>
      <c r="PHX108" s="142"/>
      <c r="PHY108" s="142"/>
      <c r="PHZ108" s="142"/>
      <c r="PIA108" s="142"/>
      <c r="PIB108" s="142"/>
      <c r="PIC108" s="142"/>
      <c r="PID108" s="142"/>
      <c r="PIE108" s="142"/>
      <c r="PIF108" s="142"/>
      <c r="PIG108" s="142"/>
      <c r="PIH108" s="142"/>
      <c r="PII108" s="142"/>
      <c r="PIJ108" s="142"/>
      <c r="PIK108" s="142"/>
      <c r="PIL108" s="142"/>
      <c r="PIM108" s="142"/>
      <c r="PIN108" s="142"/>
      <c r="PIO108" s="142"/>
      <c r="PIP108" s="142"/>
      <c r="PIQ108" s="142"/>
      <c r="PIR108" s="142"/>
      <c r="PIS108" s="142"/>
      <c r="PIT108" s="142"/>
      <c r="PIU108" s="142"/>
      <c r="PIV108" s="142"/>
      <c r="PIW108" s="142"/>
      <c r="PIX108" s="142"/>
      <c r="PIY108" s="142"/>
      <c r="PIZ108" s="142"/>
      <c r="PJA108" s="142"/>
      <c r="PJB108" s="142"/>
      <c r="PJC108" s="142"/>
      <c r="PJD108" s="142"/>
      <c r="PJE108" s="142"/>
      <c r="PJF108" s="142"/>
      <c r="PJG108" s="142"/>
      <c r="PJH108" s="142"/>
      <c r="PJI108" s="142"/>
      <c r="PJJ108" s="142"/>
      <c r="PJK108" s="142"/>
      <c r="PJL108" s="142"/>
      <c r="PJM108" s="142"/>
      <c r="PJN108" s="142"/>
      <c r="PJO108" s="142"/>
      <c r="PJP108" s="142"/>
      <c r="PJQ108" s="142"/>
      <c r="PJR108" s="142"/>
      <c r="PJS108" s="142"/>
      <c r="PJT108" s="142"/>
      <c r="PJU108" s="142"/>
      <c r="PJV108" s="142"/>
      <c r="PJW108" s="142"/>
      <c r="PJX108" s="142"/>
      <c r="PJY108" s="142"/>
      <c r="PJZ108" s="142"/>
      <c r="PKA108" s="142"/>
      <c r="PKB108" s="142"/>
      <c r="PKC108" s="142"/>
      <c r="PKD108" s="142"/>
      <c r="PKE108" s="142"/>
      <c r="PKF108" s="142"/>
      <c r="PKG108" s="142"/>
      <c r="PKH108" s="142"/>
      <c r="PKI108" s="142"/>
      <c r="PKJ108" s="142"/>
      <c r="PKK108" s="142"/>
      <c r="PKL108" s="142"/>
      <c r="PKM108" s="142"/>
      <c r="PKN108" s="142"/>
      <c r="PKO108" s="142"/>
      <c r="PKP108" s="142"/>
      <c r="PKQ108" s="142"/>
      <c r="PKR108" s="142"/>
      <c r="PKS108" s="142"/>
      <c r="PKT108" s="142"/>
      <c r="PKU108" s="142"/>
      <c r="PKV108" s="142"/>
      <c r="PKW108" s="142"/>
      <c r="PKX108" s="142"/>
      <c r="PKY108" s="142"/>
      <c r="PKZ108" s="142"/>
      <c r="PLA108" s="142"/>
      <c r="PLB108" s="142"/>
      <c r="PLC108" s="142"/>
      <c r="PLD108" s="142"/>
      <c r="PLE108" s="142"/>
      <c r="PLF108" s="142"/>
      <c r="PLG108" s="142"/>
      <c r="PLH108" s="142"/>
      <c r="PLI108" s="142"/>
      <c r="PLJ108" s="142"/>
      <c r="PLK108" s="142"/>
      <c r="PLL108" s="142"/>
      <c r="PLM108" s="142"/>
      <c r="PLN108" s="142"/>
      <c r="PLO108" s="142"/>
      <c r="PLP108" s="142"/>
      <c r="PLQ108" s="142"/>
      <c r="PLR108" s="142"/>
      <c r="PLS108" s="142"/>
      <c r="PLT108" s="142"/>
      <c r="PLU108" s="142"/>
      <c r="PLV108" s="142"/>
      <c r="PLW108" s="142"/>
      <c r="PLX108" s="142"/>
      <c r="PLY108" s="142"/>
      <c r="PLZ108" s="142"/>
      <c r="PMA108" s="142"/>
      <c r="PMB108" s="142"/>
      <c r="PMC108" s="142"/>
      <c r="PMD108" s="142"/>
      <c r="PME108" s="142"/>
      <c r="PMF108" s="142"/>
      <c r="PMG108" s="142"/>
      <c r="PMH108" s="142"/>
      <c r="PMI108" s="142"/>
      <c r="PMJ108" s="142"/>
      <c r="PMK108" s="142"/>
      <c r="PML108" s="142"/>
      <c r="PMM108" s="142"/>
      <c r="PMN108" s="142"/>
      <c r="PMO108" s="142"/>
      <c r="PMP108" s="142"/>
      <c r="PMQ108" s="142"/>
      <c r="PMR108" s="142"/>
      <c r="PMS108" s="142"/>
      <c r="PMT108" s="142"/>
      <c r="PMU108" s="142"/>
      <c r="PMV108" s="142"/>
      <c r="PMW108" s="142"/>
      <c r="PMX108" s="142"/>
      <c r="PMY108" s="142"/>
      <c r="PMZ108" s="142"/>
      <c r="PNA108" s="142"/>
      <c r="PNB108" s="142"/>
      <c r="PNC108" s="142"/>
      <c r="PND108" s="142"/>
      <c r="PNE108" s="142"/>
      <c r="PNF108" s="142"/>
      <c r="PNG108" s="142"/>
      <c r="PNH108" s="142"/>
      <c r="PNI108" s="142"/>
      <c r="PNJ108" s="142"/>
      <c r="PNK108" s="142"/>
      <c r="PNL108" s="142"/>
      <c r="PNM108" s="142"/>
      <c r="PNN108" s="142"/>
      <c r="PNO108" s="142"/>
      <c r="PNP108" s="142"/>
      <c r="PNQ108" s="142"/>
      <c r="PNR108" s="142"/>
      <c r="PNS108" s="142"/>
      <c r="PNT108" s="142"/>
      <c r="PNU108" s="142"/>
      <c r="PNV108" s="142"/>
      <c r="PNW108" s="142"/>
      <c r="PNX108" s="142"/>
      <c r="PNY108" s="142"/>
      <c r="PNZ108" s="142"/>
      <c r="POA108" s="142"/>
      <c r="POB108" s="142"/>
      <c r="POC108" s="142"/>
      <c r="POD108" s="142"/>
      <c r="POE108" s="142"/>
      <c r="POF108" s="142"/>
      <c r="POG108" s="142"/>
      <c r="POH108" s="142"/>
      <c r="POI108" s="142"/>
      <c r="POJ108" s="142"/>
      <c r="POK108" s="142"/>
      <c r="POL108" s="142"/>
      <c r="POM108" s="142"/>
      <c r="PON108" s="142"/>
      <c r="POO108" s="142"/>
      <c r="POP108" s="142"/>
      <c r="POQ108" s="142"/>
      <c r="POR108" s="142"/>
      <c r="POS108" s="142"/>
      <c r="POT108" s="142"/>
      <c r="POU108" s="142"/>
      <c r="POV108" s="142"/>
      <c r="POW108" s="142"/>
      <c r="POX108" s="142"/>
      <c r="POY108" s="142"/>
      <c r="POZ108" s="142"/>
      <c r="PPA108" s="142"/>
      <c r="PPB108" s="142"/>
      <c r="PPC108" s="142"/>
      <c r="PPD108" s="142"/>
      <c r="PPE108" s="142"/>
      <c r="PPF108" s="142"/>
      <c r="PPG108" s="142"/>
      <c r="PPH108" s="142"/>
      <c r="PPI108" s="142"/>
      <c r="PPJ108" s="142"/>
      <c r="PPK108" s="142"/>
      <c r="PPL108" s="142"/>
      <c r="PPM108" s="142"/>
      <c r="PPN108" s="142"/>
      <c r="PPO108" s="142"/>
      <c r="PPP108" s="142"/>
      <c r="PPQ108" s="142"/>
      <c r="PPR108" s="142"/>
      <c r="PPS108" s="142"/>
      <c r="PPT108" s="142"/>
      <c r="PPU108" s="142"/>
      <c r="PPV108" s="142"/>
      <c r="PPW108" s="142"/>
      <c r="PPX108" s="142"/>
      <c r="PPY108" s="142"/>
      <c r="PPZ108" s="142"/>
      <c r="PQA108" s="142"/>
      <c r="PQB108" s="142"/>
      <c r="PQC108" s="142"/>
      <c r="PQD108" s="142"/>
      <c r="PQE108" s="142"/>
      <c r="PQF108" s="142"/>
      <c r="PQG108" s="142"/>
      <c r="PQH108" s="142"/>
      <c r="PQI108" s="142"/>
      <c r="PQJ108" s="142"/>
      <c r="PQK108" s="142"/>
      <c r="PQL108" s="142"/>
      <c r="PQM108" s="142"/>
      <c r="PQN108" s="142"/>
      <c r="PQO108" s="142"/>
      <c r="PQP108" s="142"/>
      <c r="PQQ108" s="142"/>
      <c r="PQR108" s="142"/>
      <c r="PQS108" s="142"/>
      <c r="PQT108" s="142"/>
      <c r="PQU108" s="142"/>
      <c r="PQV108" s="142"/>
      <c r="PQW108" s="142"/>
      <c r="PQX108" s="142"/>
      <c r="PQY108" s="142"/>
      <c r="PQZ108" s="142"/>
      <c r="PRA108" s="142"/>
      <c r="PRB108" s="142"/>
      <c r="PRC108" s="142"/>
      <c r="PRD108" s="142"/>
      <c r="PRE108" s="142"/>
      <c r="PRF108" s="142"/>
      <c r="PRG108" s="142"/>
      <c r="PRH108" s="142"/>
      <c r="PRI108" s="142"/>
      <c r="PRJ108" s="142"/>
      <c r="PRK108" s="142"/>
      <c r="PRL108" s="142"/>
      <c r="PRM108" s="142"/>
      <c r="PRN108" s="142"/>
      <c r="PRO108" s="142"/>
      <c r="PRP108" s="142"/>
      <c r="PRQ108" s="142"/>
      <c r="PRR108" s="142"/>
      <c r="PRS108" s="142"/>
      <c r="PRT108" s="142"/>
      <c r="PRU108" s="142"/>
      <c r="PRV108" s="142"/>
      <c r="PRW108" s="142"/>
      <c r="PRX108" s="142"/>
      <c r="PRY108" s="142"/>
      <c r="PRZ108" s="142"/>
      <c r="PSA108" s="142"/>
      <c r="PSB108" s="142"/>
      <c r="PSC108" s="142"/>
      <c r="PSD108" s="142"/>
      <c r="PSE108" s="142"/>
      <c r="PSF108" s="142"/>
      <c r="PSG108" s="142"/>
      <c r="PSH108" s="142"/>
      <c r="PSI108" s="142"/>
      <c r="PSJ108" s="142"/>
      <c r="PSK108" s="142"/>
      <c r="PSL108" s="142"/>
      <c r="PSM108" s="142"/>
      <c r="PSN108" s="142"/>
      <c r="PSO108" s="142"/>
      <c r="PSP108" s="142"/>
      <c r="PSQ108" s="142"/>
      <c r="PSR108" s="142"/>
      <c r="PSS108" s="142"/>
      <c r="PST108" s="142"/>
      <c r="PSU108" s="142"/>
      <c r="PSV108" s="142"/>
      <c r="PSW108" s="142"/>
      <c r="PSX108" s="142"/>
      <c r="PSY108" s="142"/>
      <c r="PSZ108" s="142"/>
      <c r="PTA108" s="142"/>
      <c r="PTB108" s="142"/>
      <c r="PTC108" s="142"/>
      <c r="PTD108" s="142"/>
      <c r="PTE108" s="142"/>
      <c r="PTF108" s="142"/>
      <c r="PTG108" s="142"/>
      <c r="PTH108" s="142"/>
      <c r="PTI108" s="142"/>
      <c r="PTJ108" s="142"/>
      <c r="PTK108" s="142"/>
      <c r="PTL108" s="142"/>
      <c r="PTM108" s="142"/>
      <c r="PTN108" s="142"/>
      <c r="PTO108" s="142"/>
      <c r="PTP108" s="142"/>
      <c r="PTQ108" s="142"/>
      <c r="PTR108" s="142"/>
      <c r="PTS108" s="142"/>
      <c r="PTT108" s="142"/>
      <c r="PTU108" s="142"/>
      <c r="PTV108" s="142"/>
      <c r="PTW108" s="142"/>
      <c r="PTX108" s="142"/>
      <c r="PTY108" s="142"/>
      <c r="PTZ108" s="142"/>
      <c r="PUA108" s="142"/>
      <c r="PUB108" s="142"/>
      <c r="PUC108" s="142"/>
      <c r="PUD108" s="142"/>
      <c r="PUE108" s="142"/>
      <c r="PUF108" s="142"/>
      <c r="PUG108" s="142"/>
      <c r="PUH108" s="142"/>
      <c r="PUI108" s="142"/>
      <c r="PUJ108" s="142"/>
      <c r="PUK108" s="142"/>
      <c r="PUL108" s="142"/>
      <c r="PUM108" s="142"/>
      <c r="PUN108" s="142"/>
      <c r="PUO108" s="142"/>
      <c r="PUP108" s="142"/>
      <c r="PUQ108" s="142"/>
      <c r="PUR108" s="142"/>
      <c r="PUS108" s="142"/>
      <c r="PUT108" s="142"/>
      <c r="PUU108" s="142"/>
      <c r="PUV108" s="142"/>
      <c r="PUW108" s="142"/>
      <c r="PUX108" s="142"/>
      <c r="PUY108" s="142"/>
      <c r="PUZ108" s="142"/>
      <c r="PVA108" s="142"/>
      <c r="PVB108" s="142"/>
      <c r="PVC108" s="142"/>
      <c r="PVD108" s="142"/>
      <c r="PVE108" s="142"/>
      <c r="PVF108" s="142"/>
      <c r="PVG108" s="142"/>
      <c r="PVH108" s="142"/>
      <c r="PVI108" s="142"/>
      <c r="PVJ108" s="142"/>
      <c r="PVK108" s="142"/>
      <c r="PVL108" s="142"/>
      <c r="PVM108" s="142"/>
      <c r="PVN108" s="142"/>
      <c r="PVO108" s="142"/>
      <c r="PVP108" s="142"/>
      <c r="PVQ108" s="142"/>
      <c r="PVR108" s="142"/>
      <c r="PVS108" s="142"/>
      <c r="PVT108" s="142"/>
      <c r="PVU108" s="142"/>
      <c r="PVV108" s="142"/>
      <c r="PVW108" s="142"/>
      <c r="PVX108" s="142"/>
      <c r="PVY108" s="142"/>
      <c r="PVZ108" s="142"/>
      <c r="PWA108" s="142"/>
      <c r="PWB108" s="142"/>
      <c r="PWC108" s="142"/>
      <c r="PWD108" s="142"/>
      <c r="PWE108" s="142"/>
      <c r="PWF108" s="142"/>
      <c r="PWG108" s="142"/>
      <c r="PWH108" s="142"/>
      <c r="PWI108" s="142"/>
      <c r="PWJ108" s="142"/>
      <c r="PWK108" s="142"/>
      <c r="PWL108" s="142"/>
      <c r="PWM108" s="142"/>
      <c r="PWN108" s="142"/>
      <c r="PWO108" s="142"/>
      <c r="PWP108" s="142"/>
      <c r="PWQ108" s="142"/>
      <c r="PWR108" s="142"/>
      <c r="PWS108" s="142"/>
      <c r="PWT108" s="142"/>
      <c r="PWU108" s="142"/>
      <c r="PWV108" s="142"/>
      <c r="PWW108" s="142"/>
      <c r="PWX108" s="142"/>
      <c r="PWY108" s="142"/>
      <c r="PWZ108" s="142"/>
      <c r="PXA108" s="142"/>
      <c r="PXB108" s="142"/>
      <c r="PXC108" s="142"/>
      <c r="PXD108" s="142"/>
      <c r="PXE108" s="142"/>
      <c r="PXF108" s="142"/>
      <c r="PXG108" s="142"/>
      <c r="PXH108" s="142"/>
      <c r="PXI108" s="142"/>
      <c r="PXJ108" s="142"/>
      <c r="PXK108" s="142"/>
      <c r="PXL108" s="142"/>
      <c r="PXM108" s="142"/>
      <c r="PXN108" s="142"/>
      <c r="PXO108" s="142"/>
      <c r="PXP108" s="142"/>
      <c r="PXQ108" s="142"/>
      <c r="PXR108" s="142"/>
      <c r="PXS108" s="142"/>
      <c r="PXT108" s="142"/>
      <c r="PXU108" s="142"/>
      <c r="PXV108" s="142"/>
      <c r="PXW108" s="142"/>
      <c r="PXX108" s="142"/>
      <c r="PXY108" s="142"/>
      <c r="PXZ108" s="142"/>
      <c r="PYA108" s="142"/>
      <c r="PYB108" s="142"/>
      <c r="PYC108" s="142"/>
      <c r="PYD108" s="142"/>
      <c r="PYE108" s="142"/>
      <c r="PYF108" s="142"/>
      <c r="PYG108" s="142"/>
      <c r="PYH108" s="142"/>
      <c r="PYI108" s="142"/>
      <c r="PYJ108" s="142"/>
      <c r="PYK108" s="142"/>
      <c r="PYL108" s="142"/>
      <c r="PYM108" s="142"/>
      <c r="PYN108" s="142"/>
      <c r="PYO108" s="142"/>
      <c r="PYP108" s="142"/>
      <c r="PYQ108" s="142"/>
      <c r="PYR108" s="142"/>
      <c r="PYS108" s="142"/>
      <c r="PYT108" s="142"/>
      <c r="PYU108" s="142"/>
      <c r="PYV108" s="142"/>
      <c r="PYW108" s="142"/>
      <c r="PYX108" s="142"/>
      <c r="PYY108" s="142"/>
      <c r="PYZ108" s="142"/>
      <c r="PZA108" s="142"/>
      <c r="PZB108" s="142"/>
      <c r="PZC108" s="142"/>
      <c r="PZD108" s="142"/>
      <c r="PZE108" s="142"/>
      <c r="PZF108" s="142"/>
      <c r="PZG108" s="142"/>
      <c r="PZH108" s="142"/>
      <c r="PZI108" s="142"/>
      <c r="PZJ108" s="142"/>
      <c r="PZK108" s="142"/>
      <c r="PZL108" s="142"/>
      <c r="PZM108" s="142"/>
      <c r="PZN108" s="142"/>
      <c r="PZO108" s="142"/>
      <c r="PZP108" s="142"/>
      <c r="PZQ108" s="142"/>
      <c r="PZR108" s="142"/>
      <c r="PZS108" s="142"/>
      <c r="PZT108" s="142"/>
      <c r="PZU108" s="142"/>
      <c r="PZV108" s="142"/>
      <c r="PZW108" s="142"/>
      <c r="PZX108" s="142"/>
      <c r="PZY108" s="142"/>
      <c r="PZZ108" s="142"/>
      <c r="QAA108" s="142"/>
      <c r="QAB108" s="142"/>
      <c r="QAC108" s="142"/>
      <c r="QAD108" s="142"/>
      <c r="QAE108" s="142"/>
      <c r="QAF108" s="142"/>
      <c r="QAG108" s="142"/>
      <c r="QAH108" s="142"/>
      <c r="QAI108" s="142"/>
      <c r="QAJ108" s="142"/>
      <c r="QAK108" s="142"/>
      <c r="QAL108" s="142"/>
      <c r="QAM108" s="142"/>
      <c r="QAN108" s="142"/>
      <c r="QAO108" s="142"/>
      <c r="QAP108" s="142"/>
      <c r="QAQ108" s="142"/>
      <c r="QAR108" s="142"/>
      <c r="QAS108" s="142"/>
      <c r="QAT108" s="142"/>
      <c r="QAU108" s="142"/>
      <c r="QAV108" s="142"/>
      <c r="QAW108" s="142"/>
      <c r="QAX108" s="142"/>
      <c r="QAY108" s="142"/>
      <c r="QAZ108" s="142"/>
      <c r="QBA108" s="142"/>
      <c r="QBB108" s="142"/>
      <c r="QBC108" s="142"/>
      <c r="QBD108" s="142"/>
      <c r="QBE108" s="142"/>
      <c r="QBF108" s="142"/>
      <c r="QBG108" s="142"/>
      <c r="QBH108" s="142"/>
      <c r="QBI108" s="142"/>
      <c r="QBJ108" s="142"/>
      <c r="QBK108" s="142"/>
      <c r="QBL108" s="142"/>
      <c r="QBM108" s="142"/>
      <c r="QBN108" s="142"/>
      <c r="QBO108" s="142"/>
      <c r="QBP108" s="142"/>
      <c r="QBQ108" s="142"/>
      <c r="QBR108" s="142"/>
      <c r="QBS108" s="142"/>
      <c r="QBT108" s="142"/>
      <c r="QBU108" s="142"/>
      <c r="QBV108" s="142"/>
      <c r="QBW108" s="142"/>
      <c r="QBX108" s="142"/>
      <c r="QBY108" s="142"/>
      <c r="QBZ108" s="142"/>
      <c r="QCA108" s="142"/>
      <c r="QCB108" s="142"/>
      <c r="QCC108" s="142"/>
      <c r="QCD108" s="142"/>
      <c r="QCE108" s="142"/>
      <c r="QCF108" s="142"/>
      <c r="QCG108" s="142"/>
      <c r="QCH108" s="142"/>
      <c r="QCI108" s="142"/>
      <c r="QCJ108" s="142"/>
      <c r="QCK108" s="142"/>
      <c r="QCL108" s="142"/>
      <c r="QCM108" s="142"/>
      <c r="QCN108" s="142"/>
      <c r="QCO108" s="142"/>
      <c r="QCP108" s="142"/>
      <c r="QCQ108" s="142"/>
      <c r="QCR108" s="142"/>
      <c r="QCS108" s="142"/>
      <c r="QCT108" s="142"/>
      <c r="QCU108" s="142"/>
      <c r="QCV108" s="142"/>
      <c r="QCW108" s="142"/>
      <c r="QCX108" s="142"/>
      <c r="QCY108" s="142"/>
      <c r="QCZ108" s="142"/>
      <c r="QDA108" s="142"/>
      <c r="QDB108" s="142"/>
      <c r="QDC108" s="142"/>
      <c r="QDD108" s="142"/>
      <c r="QDE108" s="142"/>
      <c r="QDF108" s="142"/>
      <c r="QDG108" s="142"/>
      <c r="QDH108" s="142"/>
      <c r="QDI108" s="142"/>
      <c r="QDJ108" s="142"/>
      <c r="QDK108" s="142"/>
      <c r="QDL108" s="142"/>
      <c r="QDM108" s="142"/>
      <c r="QDN108" s="142"/>
      <c r="QDO108" s="142"/>
      <c r="QDP108" s="142"/>
      <c r="QDQ108" s="142"/>
      <c r="QDR108" s="142"/>
      <c r="QDS108" s="142"/>
      <c r="QDT108" s="142"/>
      <c r="QDU108" s="142"/>
      <c r="QDV108" s="142"/>
      <c r="QDW108" s="142"/>
      <c r="QDX108" s="142"/>
      <c r="QDY108" s="142"/>
      <c r="QDZ108" s="142"/>
      <c r="QEA108" s="142"/>
      <c r="QEB108" s="142"/>
      <c r="QEC108" s="142"/>
      <c r="QED108" s="142"/>
      <c r="QEE108" s="142"/>
      <c r="QEF108" s="142"/>
      <c r="QEG108" s="142"/>
      <c r="QEH108" s="142"/>
      <c r="QEI108" s="142"/>
      <c r="QEJ108" s="142"/>
      <c r="QEK108" s="142"/>
      <c r="QEL108" s="142"/>
      <c r="QEM108" s="142"/>
      <c r="QEN108" s="142"/>
      <c r="QEO108" s="142"/>
      <c r="QEP108" s="142"/>
      <c r="QEQ108" s="142"/>
      <c r="QER108" s="142"/>
      <c r="QES108" s="142"/>
      <c r="QET108" s="142"/>
      <c r="QEU108" s="142"/>
      <c r="QEV108" s="142"/>
      <c r="QEW108" s="142"/>
      <c r="QEX108" s="142"/>
      <c r="QEY108" s="142"/>
      <c r="QEZ108" s="142"/>
      <c r="QFA108" s="142"/>
      <c r="QFB108" s="142"/>
      <c r="QFC108" s="142"/>
      <c r="QFD108" s="142"/>
      <c r="QFE108" s="142"/>
      <c r="QFF108" s="142"/>
      <c r="QFG108" s="142"/>
      <c r="QFH108" s="142"/>
      <c r="QFI108" s="142"/>
      <c r="QFJ108" s="142"/>
      <c r="QFK108" s="142"/>
      <c r="QFL108" s="142"/>
      <c r="QFM108" s="142"/>
      <c r="QFN108" s="142"/>
      <c r="QFO108" s="142"/>
      <c r="QFP108" s="142"/>
      <c r="QFQ108" s="142"/>
      <c r="QFR108" s="142"/>
      <c r="QFS108" s="142"/>
      <c r="QFT108" s="142"/>
      <c r="QFU108" s="142"/>
      <c r="QFV108" s="142"/>
      <c r="QFW108" s="142"/>
      <c r="QFX108" s="142"/>
      <c r="QFY108" s="142"/>
      <c r="QFZ108" s="142"/>
      <c r="QGA108" s="142"/>
      <c r="QGB108" s="142"/>
      <c r="QGC108" s="142"/>
      <c r="QGD108" s="142"/>
      <c r="QGE108" s="142"/>
      <c r="QGF108" s="142"/>
      <c r="QGG108" s="142"/>
      <c r="QGH108" s="142"/>
      <c r="QGI108" s="142"/>
      <c r="QGJ108" s="142"/>
      <c r="QGK108" s="142"/>
      <c r="QGL108" s="142"/>
      <c r="QGM108" s="142"/>
      <c r="QGN108" s="142"/>
      <c r="QGO108" s="142"/>
      <c r="QGP108" s="142"/>
      <c r="QGQ108" s="142"/>
      <c r="QGR108" s="142"/>
      <c r="QGS108" s="142"/>
      <c r="QGT108" s="142"/>
      <c r="QGU108" s="142"/>
      <c r="QGV108" s="142"/>
      <c r="QGW108" s="142"/>
      <c r="QGX108" s="142"/>
      <c r="QGY108" s="142"/>
      <c r="QGZ108" s="142"/>
      <c r="QHA108" s="142"/>
      <c r="QHB108" s="142"/>
      <c r="QHC108" s="142"/>
      <c r="QHD108" s="142"/>
      <c r="QHE108" s="142"/>
      <c r="QHF108" s="142"/>
      <c r="QHG108" s="142"/>
      <c r="QHH108" s="142"/>
      <c r="QHI108" s="142"/>
      <c r="QHJ108" s="142"/>
      <c r="QHK108" s="142"/>
      <c r="QHL108" s="142"/>
      <c r="QHM108" s="142"/>
      <c r="QHN108" s="142"/>
      <c r="QHO108" s="142"/>
      <c r="QHP108" s="142"/>
      <c r="QHQ108" s="142"/>
      <c r="QHR108" s="142"/>
      <c r="QHS108" s="142"/>
      <c r="QHT108" s="142"/>
      <c r="QHU108" s="142"/>
      <c r="QHV108" s="142"/>
      <c r="QHW108" s="142"/>
      <c r="QHX108" s="142"/>
      <c r="QHY108" s="142"/>
      <c r="QHZ108" s="142"/>
      <c r="QIA108" s="142"/>
      <c r="QIB108" s="142"/>
      <c r="QIC108" s="142"/>
      <c r="QID108" s="142"/>
      <c r="QIE108" s="142"/>
      <c r="QIF108" s="142"/>
      <c r="QIG108" s="142"/>
      <c r="QIH108" s="142"/>
      <c r="QII108" s="142"/>
      <c r="QIJ108" s="142"/>
      <c r="QIK108" s="142"/>
      <c r="QIL108" s="142"/>
      <c r="QIM108" s="142"/>
      <c r="QIN108" s="142"/>
      <c r="QIO108" s="142"/>
      <c r="QIP108" s="142"/>
      <c r="QIQ108" s="142"/>
      <c r="QIR108" s="142"/>
      <c r="QIS108" s="142"/>
      <c r="QIT108" s="142"/>
      <c r="QIU108" s="142"/>
      <c r="QIV108" s="142"/>
      <c r="QIW108" s="142"/>
      <c r="QIX108" s="142"/>
      <c r="QIY108" s="142"/>
      <c r="QIZ108" s="142"/>
      <c r="QJA108" s="142"/>
      <c r="QJB108" s="142"/>
      <c r="QJC108" s="142"/>
      <c r="QJD108" s="142"/>
      <c r="QJE108" s="142"/>
      <c r="QJF108" s="142"/>
      <c r="QJG108" s="142"/>
      <c r="QJH108" s="142"/>
      <c r="QJI108" s="142"/>
      <c r="QJJ108" s="142"/>
      <c r="QJK108" s="142"/>
      <c r="QJL108" s="142"/>
      <c r="QJM108" s="142"/>
      <c r="QJN108" s="142"/>
      <c r="QJO108" s="142"/>
      <c r="QJP108" s="142"/>
      <c r="QJQ108" s="142"/>
      <c r="QJR108" s="142"/>
      <c r="QJS108" s="142"/>
      <c r="QJT108" s="142"/>
      <c r="QJU108" s="142"/>
      <c r="QJV108" s="142"/>
      <c r="QJW108" s="142"/>
      <c r="QJX108" s="142"/>
      <c r="QJY108" s="142"/>
      <c r="QJZ108" s="142"/>
      <c r="QKA108" s="142"/>
      <c r="QKB108" s="142"/>
      <c r="QKC108" s="142"/>
      <c r="QKD108" s="142"/>
      <c r="QKE108" s="142"/>
      <c r="QKF108" s="142"/>
      <c r="QKG108" s="142"/>
      <c r="QKH108" s="142"/>
      <c r="QKI108" s="142"/>
      <c r="QKJ108" s="142"/>
      <c r="QKK108" s="142"/>
      <c r="QKL108" s="142"/>
      <c r="QKM108" s="142"/>
      <c r="QKN108" s="142"/>
      <c r="QKO108" s="142"/>
      <c r="QKP108" s="142"/>
      <c r="QKQ108" s="142"/>
      <c r="QKR108" s="142"/>
      <c r="QKS108" s="142"/>
      <c r="QKT108" s="142"/>
      <c r="QKU108" s="142"/>
      <c r="QKV108" s="142"/>
      <c r="QKW108" s="142"/>
      <c r="QKX108" s="142"/>
      <c r="QKY108" s="142"/>
      <c r="QKZ108" s="142"/>
      <c r="QLA108" s="142"/>
      <c r="QLB108" s="142"/>
      <c r="QLC108" s="142"/>
      <c r="QLD108" s="142"/>
      <c r="QLE108" s="142"/>
      <c r="QLF108" s="142"/>
      <c r="QLG108" s="142"/>
      <c r="QLH108" s="142"/>
      <c r="QLI108" s="142"/>
      <c r="QLJ108" s="142"/>
      <c r="QLK108" s="142"/>
      <c r="QLL108" s="142"/>
      <c r="QLM108" s="142"/>
      <c r="QLN108" s="142"/>
      <c r="QLO108" s="142"/>
      <c r="QLP108" s="142"/>
      <c r="QLQ108" s="142"/>
      <c r="QLR108" s="142"/>
      <c r="QLS108" s="142"/>
      <c r="QLT108" s="142"/>
      <c r="QLU108" s="142"/>
      <c r="QLV108" s="142"/>
      <c r="QLW108" s="142"/>
      <c r="QLX108" s="142"/>
      <c r="QLY108" s="142"/>
      <c r="QLZ108" s="142"/>
      <c r="QMA108" s="142"/>
      <c r="QMB108" s="142"/>
      <c r="QMC108" s="142"/>
      <c r="QMD108" s="142"/>
      <c r="QME108" s="142"/>
      <c r="QMF108" s="142"/>
      <c r="QMG108" s="142"/>
      <c r="QMH108" s="142"/>
      <c r="QMI108" s="142"/>
      <c r="QMJ108" s="142"/>
      <c r="QMK108" s="142"/>
      <c r="QML108" s="142"/>
      <c r="QMM108" s="142"/>
      <c r="QMN108" s="142"/>
      <c r="QMO108" s="142"/>
      <c r="QMP108" s="142"/>
      <c r="QMQ108" s="142"/>
      <c r="QMR108" s="142"/>
      <c r="QMS108" s="142"/>
      <c r="QMT108" s="142"/>
      <c r="QMU108" s="142"/>
      <c r="QMV108" s="142"/>
      <c r="QMW108" s="142"/>
      <c r="QMX108" s="142"/>
      <c r="QMY108" s="142"/>
      <c r="QMZ108" s="142"/>
      <c r="QNA108" s="142"/>
      <c r="QNB108" s="142"/>
      <c r="QNC108" s="142"/>
      <c r="QND108" s="142"/>
      <c r="QNE108" s="142"/>
      <c r="QNF108" s="142"/>
      <c r="QNG108" s="142"/>
      <c r="QNH108" s="142"/>
      <c r="QNI108" s="142"/>
      <c r="QNJ108" s="142"/>
      <c r="QNK108" s="142"/>
      <c r="QNL108" s="142"/>
      <c r="QNM108" s="142"/>
      <c r="QNN108" s="142"/>
      <c r="QNO108" s="142"/>
      <c r="QNP108" s="142"/>
      <c r="QNQ108" s="142"/>
      <c r="QNR108" s="142"/>
      <c r="QNS108" s="142"/>
      <c r="QNT108" s="142"/>
      <c r="QNU108" s="142"/>
      <c r="QNV108" s="142"/>
      <c r="QNW108" s="142"/>
      <c r="QNX108" s="142"/>
      <c r="QNY108" s="142"/>
      <c r="QNZ108" s="142"/>
      <c r="QOA108" s="142"/>
      <c r="QOB108" s="142"/>
      <c r="QOC108" s="142"/>
      <c r="QOD108" s="142"/>
      <c r="QOE108" s="142"/>
      <c r="QOF108" s="142"/>
      <c r="QOG108" s="142"/>
      <c r="QOH108" s="142"/>
      <c r="QOI108" s="142"/>
      <c r="QOJ108" s="142"/>
      <c r="QOK108" s="142"/>
      <c r="QOL108" s="142"/>
      <c r="QOM108" s="142"/>
      <c r="QON108" s="142"/>
      <c r="QOO108" s="142"/>
      <c r="QOP108" s="142"/>
      <c r="QOQ108" s="142"/>
      <c r="QOR108" s="142"/>
      <c r="QOS108" s="142"/>
      <c r="QOT108" s="142"/>
      <c r="QOU108" s="142"/>
      <c r="QOV108" s="142"/>
      <c r="QOW108" s="142"/>
      <c r="QOX108" s="142"/>
      <c r="QOY108" s="142"/>
      <c r="QOZ108" s="142"/>
      <c r="QPA108" s="142"/>
      <c r="QPB108" s="142"/>
      <c r="QPC108" s="142"/>
      <c r="QPD108" s="142"/>
      <c r="QPE108" s="142"/>
      <c r="QPF108" s="142"/>
      <c r="QPG108" s="142"/>
      <c r="QPH108" s="142"/>
      <c r="QPI108" s="142"/>
      <c r="QPJ108" s="142"/>
      <c r="QPK108" s="142"/>
      <c r="QPL108" s="142"/>
      <c r="QPM108" s="142"/>
      <c r="QPN108" s="142"/>
      <c r="QPO108" s="142"/>
      <c r="QPP108" s="142"/>
      <c r="QPQ108" s="142"/>
      <c r="QPR108" s="142"/>
      <c r="QPS108" s="142"/>
      <c r="QPT108" s="142"/>
      <c r="QPU108" s="142"/>
      <c r="QPV108" s="142"/>
      <c r="QPW108" s="142"/>
      <c r="QPX108" s="142"/>
      <c r="QPY108" s="142"/>
      <c r="QPZ108" s="142"/>
      <c r="QQA108" s="142"/>
      <c r="QQB108" s="142"/>
      <c r="QQC108" s="142"/>
      <c r="QQD108" s="142"/>
      <c r="QQE108" s="142"/>
      <c r="QQF108" s="142"/>
      <c r="QQG108" s="142"/>
      <c r="QQH108" s="142"/>
      <c r="QQI108" s="142"/>
      <c r="QQJ108" s="142"/>
      <c r="QQK108" s="142"/>
      <c r="QQL108" s="142"/>
      <c r="QQM108" s="142"/>
      <c r="QQN108" s="142"/>
      <c r="QQO108" s="142"/>
      <c r="QQP108" s="142"/>
      <c r="QQQ108" s="142"/>
      <c r="QQR108" s="142"/>
      <c r="QQS108" s="142"/>
      <c r="QQT108" s="142"/>
      <c r="QQU108" s="142"/>
      <c r="QQV108" s="142"/>
      <c r="QQW108" s="142"/>
      <c r="QQX108" s="142"/>
      <c r="QQY108" s="142"/>
      <c r="QQZ108" s="142"/>
      <c r="QRA108" s="142"/>
      <c r="QRB108" s="142"/>
      <c r="QRC108" s="142"/>
      <c r="QRD108" s="142"/>
      <c r="QRE108" s="142"/>
      <c r="QRF108" s="142"/>
      <c r="QRG108" s="142"/>
      <c r="QRH108" s="142"/>
      <c r="QRI108" s="142"/>
      <c r="QRJ108" s="142"/>
      <c r="QRK108" s="142"/>
      <c r="QRL108" s="142"/>
      <c r="QRM108" s="142"/>
      <c r="QRN108" s="142"/>
      <c r="QRO108" s="142"/>
      <c r="QRP108" s="142"/>
      <c r="QRQ108" s="142"/>
      <c r="QRR108" s="142"/>
      <c r="QRS108" s="142"/>
      <c r="QRT108" s="142"/>
      <c r="QRU108" s="142"/>
      <c r="QRV108" s="142"/>
      <c r="QRW108" s="142"/>
      <c r="QRX108" s="142"/>
      <c r="QRY108" s="142"/>
      <c r="QRZ108" s="142"/>
      <c r="QSA108" s="142"/>
      <c r="QSB108" s="142"/>
      <c r="QSC108" s="142"/>
      <c r="QSD108" s="142"/>
      <c r="QSE108" s="142"/>
      <c r="QSF108" s="142"/>
      <c r="QSG108" s="142"/>
      <c r="QSH108" s="142"/>
      <c r="QSI108" s="142"/>
      <c r="QSJ108" s="142"/>
      <c r="QSK108" s="142"/>
      <c r="QSL108" s="142"/>
      <c r="QSM108" s="142"/>
      <c r="QSN108" s="142"/>
      <c r="QSO108" s="142"/>
      <c r="QSP108" s="142"/>
      <c r="QSQ108" s="142"/>
      <c r="QSR108" s="142"/>
      <c r="QSS108" s="142"/>
      <c r="QST108" s="142"/>
      <c r="QSU108" s="142"/>
      <c r="QSV108" s="142"/>
      <c r="QSW108" s="142"/>
      <c r="QSX108" s="142"/>
      <c r="QSY108" s="142"/>
      <c r="QSZ108" s="142"/>
      <c r="QTA108" s="142"/>
      <c r="QTB108" s="142"/>
      <c r="QTC108" s="142"/>
      <c r="QTD108" s="142"/>
      <c r="QTE108" s="142"/>
      <c r="QTF108" s="142"/>
      <c r="QTG108" s="142"/>
      <c r="QTH108" s="142"/>
      <c r="QTI108" s="142"/>
      <c r="QTJ108" s="142"/>
      <c r="QTK108" s="142"/>
      <c r="QTL108" s="142"/>
      <c r="QTM108" s="142"/>
      <c r="QTN108" s="142"/>
      <c r="QTO108" s="142"/>
      <c r="QTP108" s="142"/>
      <c r="QTQ108" s="142"/>
      <c r="QTR108" s="142"/>
      <c r="QTS108" s="142"/>
      <c r="QTT108" s="142"/>
      <c r="QTU108" s="142"/>
      <c r="QTV108" s="142"/>
      <c r="QTW108" s="142"/>
      <c r="QTX108" s="142"/>
      <c r="QTY108" s="142"/>
      <c r="QTZ108" s="142"/>
      <c r="QUA108" s="142"/>
      <c r="QUB108" s="142"/>
      <c r="QUC108" s="142"/>
      <c r="QUD108" s="142"/>
      <c r="QUE108" s="142"/>
      <c r="QUF108" s="142"/>
      <c r="QUG108" s="142"/>
      <c r="QUH108" s="142"/>
      <c r="QUI108" s="142"/>
      <c r="QUJ108" s="142"/>
      <c r="QUK108" s="142"/>
      <c r="QUL108" s="142"/>
      <c r="QUM108" s="142"/>
      <c r="QUN108" s="142"/>
      <c r="QUO108" s="142"/>
      <c r="QUP108" s="142"/>
      <c r="QUQ108" s="142"/>
      <c r="QUR108" s="142"/>
      <c r="QUS108" s="142"/>
      <c r="QUT108" s="142"/>
      <c r="QUU108" s="142"/>
      <c r="QUV108" s="142"/>
      <c r="QUW108" s="142"/>
      <c r="QUX108" s="142"/>
      <c r="QUY108" s="142"/>
      <c r="QUZ108" s="142"/>
      <c r="QVA108" s="142"/>
      <c r="QVB108" s="142"/>
      <c r="QVC108" s="142"/>
      <c r="QVD108" s="142"/>
      <c r="QVE108" s="142"/>
      <c r="QVF108" s="142"/>
      <c r="QVG108" s="142"/>
      <c r="QVH108" s="142"/>
      <c r="QVI108" s="142"/>
      <c r="QVJ108" s="142"/>
      <c r="QVK108" s="142"/>
      <c r="QVL108" s="142"/>
      <c r="QVM108" s="142"/>
      <c r="QVN108" s="142"/>
      <c r="QVO108" s="142"/>
      <c r="QVP108" s="142"/>
      <c r="QVQ108" s="142"/>
      <c r="QVR108" s="142"/>
      <c r="QVS108" s="142"/>
      <c r="QVT108" s="142"/>
      <c r="QVU108" s="142"/>
      <c r="QVV108" s="142"/>
      <c r="QVW108" s="142"/>
      <c r="QVX108" s="142"/>
      <c r="QVY108" s="142"/>
      <c r="QVZ108" s="142"/>
      <c r="QWA108" s="142"/>
      <c r="QWB108" s="142"/>
      <c r="QWC108" s="142"/>
      <c r="QWD108" s="142"/>
      <c r="QWE108" s="142"/>
      <c r="QWF108" s="142"/>
      <c r="QWG108" s="142"/>
      <c r="QWH108" s="142"/>
      <c r="QWI108" s="142"/>
      <c r="QWJ108" s="142"/>
      <c r="QWK108" s="142"/>
      <c r="QWL108" s="142"/>
      <c r="QWM108" s="142"/>
      <c r="QWN108" s="142"/>
      <c r="QWO108" s="142"/>
      <c r="QWP108" s="142"/>
      <c r="QWQ108" s="142"/>
      <c r="QWR108" s="142"/>
      <c r="QWS108" s="142"/>
      <c r="QWT108" s="142"/>
      <c r="QWU108" s="142"/>
      <c r="QWV108" s="142"/>
      <c r="QWW108" s="142"/>
      <c r="QWX108" s="142"/>
      <c r="QWY108" s="142"/>
      <c r="QWZ108" s="142"/>
      <c r="QXA108" s="142"/>
      <c r="QXB108" s="142"/>
      <c r="QXC108" s="142"/>
      <c r="QXD108" s="142"/>
      <c r="QXE108" s="142"/>
      <c r="QXF108" s="142"/>
      <c r="QXG108" s="142"/>
      <c r="QXH108" s="142"/>
      <c r="QXI108" s="142"/>
      <c r="QXJ108" s="142"/>
      <c r="QXK108" s="142"/>
      <c r="QXL108" s="142"/>
      <c r="QXM108" s="142"/>
      <c r="QXN108" s="142"/>
      <c r="QXO108" s="142"/>
      <c r="QXP108" s="142"/>
      <c r="QXQ108" s="142"/>
      <c r="QXR108" s="142"/>
      <c r="QXS108" s="142"/>
      <c r="QXT108" s="142"/>
      <c r="QXU108" s="142"/>
      <c r="QXV108" s="142"/>
      <c r="QXW108" s="142"/>
      <c r="QXX108" s="142"/>
      <c r="QXY108" s="142"/>
      <c r="QXZ108" s="142"/>
      <c r="QYA108" s="142"/>
      <c r="QYB108" s="142"/>
      <c r="QYC108" s="142"/>
      <c r="QYD108" s="142"/>
      <c r="QYE108" s="142"/>
      <c r="QYF108" s="142"/>
      <c r="QYG108" s="142"/>
      <c r="QYH108" s="142"/>
      <c r="QYI108" s="142"/>
      <c r="QYJ108" s="142"/>
      <c r="QYK108" s="142"/>
      <c r="QYL108" s="142"/>
      <c r="QYM108" s="142"/>
      <c r="QYN108" s="142"/>
      <c r="QYO108" s="142"/>
      <c r="QYP108" s="142"/>
      <c r="QYQ108" s="142"/>
      <c r="QYR108" s="142"/>
      <c r="QYS108" s="142"/>
      <c r="QYT108" s="142"/>
      <c r="QYU108" s="142"/>
      <c r="QYV108" s="142"/>
      <c r="QYW108" s="142"/>
      <c r="QYX108" s="142"/>
      <c r="QYY108" s="142"/>
      <c r="QYZ108" s="142"/>
      <c r="QZA108" s="142"/>
      <c r="QZB108" s="142"/>
      <c r="QZC108" s="142"/>
      <c r="QZD108" s="142"/>
      <c r="QZE108" s="142"/>
      <c r="QZF108" s="142"/>
      <c r="QZG108" s="142"/>
      <c r="QZH108" s="142"/>
      <c r="QZI108" s="142"/>
      <c r="QZJ108" s="142"/>
      <c r="QZK108" s="142"/>
      <c r="QZL108" s="142"/>
      <c r="QZM108" s="142"/>
      <c r="QZN108" s="142"/>
      <c r="QZO108" s="142"/>
      <c r="QZP108" s="142"/>
      <c r="QZQ108" s="142"/>
      <c r="QZR108" s="142"/>
      <c r="QZS108" s="142"/>
      <c r="QZT108" s="142"/>
      <c r="QZU108" s="142"/>
      <c r="QZV108" s="142"/>
      <c r="QZW108" s="142"/>
      <c r="QZX108" s="142"/>
      <c r="QZY108" s="142"/>
      <c r="QZZ108" s="142"/>
      <c r="RAA108" s="142"/>
      <c r="RAB108" s="142"/>
      <c r="RAC108" s="142"/>
      <c r="RAD108" s="142"/>
      <c r="RAE108" s="142"/>
      <c r="RAF108" s="142"/>
      <c r="RAG108" s="142"/>
      <c r="RAH108" s="142"/>
      <c r="RAI108" s="142"/>
      <c r="RAJ108" s="142"/>
      <c r="RAK108" s="142"/>
      <c r="RAL108" s="142"/>
      <c r="RAM108" s="142"/>
      <c r="RAN108" s="142"/>
      <c r="RAO108" s="142"/>
      <c r="RAP108" s="142"/>
      <c r="RAQ108" s="142"/>
      <c r="RAR108" s="142"/>
      <c r="RAS108" s="142"/>
      <c r="RAT108" s="142"/>
      <c r="RAU108" s="142"/>
      <c r="RAV108" s="142"/>
      <c r="RAW108" s="142"/>
      <c r="RAX108" s="142"/>
      <c r="RAY108" s="142"/>
      <c r="RAZ108" s="142"/>
      <c r="RBA108" s="142"/>
      <c r="RBB108" s="142"/>
      <c r="RBC108" s="142"/>
      <c r="RBD108" s="142"/>
      <c r="RBE108" s="142"/>
      <c r="RBF108" s="142"/>
      <c r="RBG108" s="142"/>
      <c r="RBH108" s="142"/>
      <c r="RBI108" s="142"/>
      <c r="RBJ108" s="142"/>
      <c r="RBK108" s="142"/>
      <c r="RBL108" s="142"/>
      <c r="RBM108" s="142"/>
      <c r="RBN108" s="142"/>
      <c r="RBO108" s="142"/>
      <c r="RBP108" s="142"/>
      <c r="RBQ108" s="142"/>
      <c r="RBR108" s="142"/>
      <c r="RBS108" s="142"/>
      <c r="RBT108" s="142"/>
      <c r="RBU108" s="142"/>
      <c r="RBV108" s="142"/>
      <c r="RBW108" s="142"/>
      <c r="RBX108" s="142"/>
      <c r="RBY108" s="142"/>
      <c r="RBZ108" s="142"/>
      <c r="RCA108" s="142"/>
      <c r="RCB108" s="142"/>
      <c r="RCC108" s="142"/>
      <c r="RCD108" s="142"/>
      <c r="RCE108" s="142"/>
      <c r="RCF108" s="142"/>
      <c r="RCG108" s="142"/>
      <c r="RCH108" s="142"/>
      <c r="RCI108" s="142"/>
      <c r="RCJ108" s="142"/>
      <c r="RCK108" s="142"/>
      <c r="RCL108" s="142"/>
      <c r="RCM108" s="142"/>
      <c r="RCN108" s="142"/>
      <c r="RCO108" s="142"/>
      <c r="RCP108" s="142"/>
      <c r="RCQ108" s="142"/>
      <c r="RCR108" s="142"/>
      <c r="RCS108" s="142"/>
      <c r="RCT108" s="142"/>
      <c r="RCU108" s="142"/>
      <c r="RCV108" s="142"/>
      <c r="RCW108" s="142"/>
      <c r="RCX108" s="142"/>
      <c r="RCY108" s="142"/>
      <c r="RCZ108" s="142"/>
      <c r="RDA108" s="142"/>
      <c r="RDB108" s="142"/>
      <c r="RDC108" s="142"/>
      <c r="RDD108" s="142"/>
      <c r="RDE108" s="142"/>
      <c r="RDF108" s="142"/>
      <c r="RDG108" s="142"/>
      <c r="RDH108" s="142"/>
      <c r="RDI108" s="142"/>
      <c r="RDJ108" s="142"/>
      <c r="RDK108" s="142"/>
      <c r="RDL108" s="142"/>
      <c r="RDM108" s="142"/>
      <c r="RDN108" s="142"/>
      <c r="RDO108" s="142"/>
      <c r="RDP108" s="142"/>
      <c r="RDQ108" s="142"/>
      <c r="RDR108" s="142"/>
      <c r="RDS108" s="142"/>
      <c r="RDT108" s="142"/>
      <c r="RDU108" s="142"/>
      <c r="RDV108" s="142"/>
      <c r="RDW108" s="142"/>
      <c r="RDX108" s="142"/>
      <c r="RDY108" s="142"/>
      <c r="RDZ108" s="142"/>
      <c r="REA108" s="142"/>
      <c r="REB108" s="142"/>
      <c r="REC108" s="142"/>
      <c r="RED108" s="142"/>
      <c r="REE108" s="142"/>
      <c r="REF108" s="142"/>
      <c r="REG108" s="142"/>
      <c r="REH108" s="142"/>
      <c r="REI108" s="142"/>
      <c r="REJ108" s="142"/>
      <c r="REK108" s="142"/>
      <c r="REL108" s="142"/>
      <c r="REM108" s="142"/>
      <c r="REN108" s="142"/>
      <c r="REO108" s="142"/>
      <c r="REP108" s="142"/>
      <c r="REQ108" s="142"/>
      <c r="RER108" s="142"/>
      <c r="RES108" s="142"/>
      <c r="RET108" s="142"/>
      <c r="REU108" s="142"/>
      <c r="REV108" s="142"/>
      <c r="REW108" s="142"/>
      <c r="REX108" s="142"/>
      <c r="REY108" s="142"/>
      <c r="REZ108" s="142"/>
      <c r="RFA108" s="142"/>
      <c r="RFB108" s="142"/>
      <c r="RFC108" s="142"/>
      <c r="RFD108" s="142"/>
      <c r="RFE108" s="142"/>
      <c r="RFF108" s="142"/>
      <c r="RFG108" s="142"/>
      <c r="RFH108" s="142"/>
      <c r="RFI108" s="142"/>
      <c r="RFJ108" s="142"/>
      <c r="RFK108" s="142"/>
      <c r="RFL108" s="142"/>
      <c r="RFM108" s="142"/>
      <c r="RFN108" s="142"/>
      <c r="RFO108" s="142"/>
      <c r="RFP108" s="142"/>
      <c r="RFQ108" s="142"/>
      <c r="RFR108" s="142"/>
      <c r="RFS108" s="142"/>
      <c r="RFT108" s="142"/>
      <c r="RFU108" s="142"/>
      <c r="RFV108" s="142"/>
      <c r="RFW108" s="142"/>
      <c r="RFX108" s="142"/>
      <c r="RFY108" s="142"/>
      <c r="RFZ108" s="142"/>
      <c r="RGA108" s="142"/>
      <c r="RGB108" s="142"/>
      <c r="RGC108" s="142"/>
      <c r="RGD108" s="142"/>
      <c r="RGE108" s="142"/>
      <c r="RGF108" s="142"/>
      <c r="RGG108" s="142"/>
      <c r="RGH108" s="142"/>
      <c r="RGI108" s="142"/>
      <c r="RGJ108" s="142"/>
      <c r="RGK108" s="142"/>
      <c r="RGL108" s="142"/>
      <c r="RGM108" s="142"/>
      <c r="RGN108" s="142"/>
      <c r="RGO108" s="142"/>
      <c r="RGP108" s="142"/>
      <c r="RGQ108" s="142"/>
      <c r="RGR108" s="142"/>
      <c r="RGS108" s="142"/>
      <c r="RGT108" s="142"/>
      <c r="RGU108" s="142"/>
      <c r="RGV108" s="142"/>
      <c r="RGW108" s="142"/>
      <c r="RGX108" s="142"/>
      <c r="RGY108" s="142"/>
      <c r="RGZ108" s="142"/>
      <c r="RHA108" s="142"/>
      <c r="RHB108" s="142"/>
      <c r="RHC108" s="142"/>
      <c r="RHD108" s="142"/>
      <c r="RHE108" s="142"/>
      <c r="RHF108" s="142"/>
      <c r="RHG108" s="142"/>
      <c r="RHH108" s="142"/>
      <c r="RHI108" s="142"/>
      <c r="RHJ108" s="142"/>
      <c r="RHK108" s="142"/>
      <c r="RHL108" s="142"/>
      <c r="RHM108" s="142"/>
      <c r="RHN108" s="142"/>
      <c r="RHO108" s="142"/>
      <c r="RHP108" s="142"/>
      <c r="RHQ108" s="142"/>
      <c r="RHR108" s="142"/>
      <c r="RHS108" s="142"/>
      <c r="RHT108" s="142"/>
      <c r="RHU108" s="142"/>
      <c r="RHV108" s="142"/>
      <c r="RHW108" s="142"/>
      <c r="RHX108" s="142"/>
      <c r="RHY108" s="142"/>
      <c r="RHZ108" s="142"/>
      <c r="RIA108" s="142"/>
      <c r="RIB108" s="142"/>
      <c r="RIC108" s="142"/>
      <c r="RID108" s="142"/>
      <c r="RIE108" s="142"/>
      <c r="RIF108" s="142"/>
      <c r="RIG108" s="142"/>
      <c r="RIH108" s="142"/>
      <c r="RII108" s="142"/>
      <c r="RIJ108" s="142"/>
      <c r="RIK108" s="142"/>
      <c r="RIL108" s="142"/>
      <c r="RIM108" s="142"/>
      <c r="RIN108" s="142"/>
      <c r="RIO108" s="142"/>
      <c r="RIP108" s="142"/>
      <c r="RIQ108" s="142"/>
      <c r="RIR108" s="142"/>
      <c r="RIS108" s="142"/>
      <c r="RIT108" s="142"/>
      <c r="RIU108" s="142"/>
      <c r="RIV108" s="142"/>
      <c r="RIW108" s="142"/>
      <c r="RIX108" s="142"/>
      <c r="RIY108" s="142"/>
      <c r="RIZ108" s="142"/>
      <c r="RJA108" s="142"/>
      <c r="RJB108" s="142"/>
      <c r="RJC108" s="142"/>
      <c r="RJD108" s="142"/>
      <c r="RJE108" s="142"/>
      <c r="RJF108" s="142"/>
      <c r="RJG108" s="142"/>
      <c r="RJH108" s="142"/>
      <c r="RJI108" s="142"/>
      <c r="RJJ108" s="142"/>
      <c r="RJK108" s="142"/>
      <c r="RJL108" s="142"/>
      <c r="RJM108" s="142"/>
      <c r="RJN108" s="142"/>
      <c r="RJO108" s="142"/>
      <c r="RJP108" s="142"/>
      <c r="RJQ108" s="142"/>
      <c r="RJR108" s="142"/>
      <c r="RJS108" s="142"/>
      <c r="RJT108" s="142"/>
      <c r="RJU108" s="142"/>
      <c r="RJV108" s="142"/>
      <c r="RJW108" s="142"/>
      <c r="RJX108" s="142"/>
      <c r="RJY108" s="142"/>
      <c r="RJZ108" s="142"/>
      <c r="RKA108" s="142"/>
      <c r="RKB108" s="142"/>
      <c r="RKC108" s="142"/>
      <c r="RKD108" s="142"/>
      <c r="RKE108" s="142"/>
      <c r="RKF108" s="142"/>
      <c r="RKG108" s="142"/>
      <c r="RKH108" s="142"/>
      <c r="RKI108" s="142"/>
      <c r="RKJ108" s="142"/>
      <c r="RKK108" s="142"/>
      <c r="RKL108" s="142"/>
      <c r="RKM108" s="142"/>
      <c r="RKN108" s="142"/>
      <c r="RKO108" s="142"/>
      <c r="RKP108" s="142"/>
      <c r="RKQ108" s="142"/>
      <c r="RKR108" s="142"/>
      <c r="RKS108" s="142"/>
      <c r="RKT108" s="142"/>
      <c r="RKU108" s="142"/>
      <c r="RKV108" s="142"/>
      <c r="RKW108" s="142"/>
      <c r="RKX108" s="142"/>
      <c r="RKY108" s="142"/>
      <c r="RKZ108" s="142"/>
      <c r="RLA108" s="142"/>
      <c r="RLB108" s="142"/>
      <c r="RLC108" s="142"/>
      <c r="RLD108" s="142"/>
      <c r="RLE108" s="142"/>
      <c r="RLF108" s="142"/>
      <c r="RLG108" s="142"/>
      <c r="RLH108" s="142"/>
      <c r="RLI108" s="142"/>
      <c r="RLJ108" s="142"/>
      <c r="RLK108" s="142"/>
      <c r="RLL108" s="142"/>
      <c r="RLM108" s="142"/>
      <c r="RLN108" s="142"/>
      <c r="RLO108" s="142"/>
      <c r="RLP108" s="142"/>
      <c r="RLQ108" s="142"/>
      <c r="RLR108" s="142"/>
      <c r="RLS108" s="142"/>
      <c r="RLT108" s="142"/>
      <c r="RLU108" s="142"/>
      <c r="RLV108" s="142"/>
      <c r="RLW108" s="142"/>
      <c r="RLX108" s="142"/>
      <c r="RLY108" s="142"/>
      <c r="RLZ108" s="142"/>
      <c r="RMA108" s="142"/>
      <c r="RMB108" s="142"/>
      <c r="RMC108" s="142"/>
      <c r="RMD108" s="142"/>
      <c r="RME108" s="142"/>
      <c r="RMF108" s="142"/>
      <c r="RMG108" s="142"/>
      <c r="RMH108" s="142"/>
      <c r="RMI108" s="142"/>
      <c r="RMJ108" s="142"/>
      <c r="RMK108" s="142"/>
      <c r="RML108" s="142"/>
      <c r="RMM108" s="142"/>
      <c r="RMN108" s="142"/>
      <c r="RMO108" s="142"/>
      <c r="RMP108" s="142"/>
      <c r="RMQ108" s="142"/>
      <c r="RMR108" s="142"/>
      <c r="RMS108" s="142"/>
      <c r="RMT108" s="142"/>
      <c r="RMU108" s="142"/>
      <c r="RMV108" s="142"/>
      <c r="RMW108" s="142"/>
      <c r="RMX108" s="142"/>
      <c r="RMY108" s="142"/>
      <c r="RMZ108" s="142"/>
      <c r="RNA108" s="142"/>
      <c r="RNB108" s="142"/>
      <c r="RNC108" s="142"/>
      <c r="RND108" s="142"/>
      <c r="RNE108" s="142"/>
      <c r="RNF108" s="142"/>
      <c r="RNG108" s="142"/>
      <c r="RNH108" s="142"/>
      <c r="RNI108" s="142"/>
      <c r="RNJ108" s="142"/>
      <c r="RNK108" s="142"/>
      <c r="RNL108" s="142"/>
      <c r="RNM108" s="142"/>
      <c r="RNN108" s="142"/>
      <c r="RNO108" s="142"/>
      <c r="RNP108" s="142"/>
      <c r="RNQ108" s="142"/>
      <c r="RNR108" s="142"/>
      <c r="RNS108" s="142"/>
      <c r="RNT108" s="142"/>
      <c r="RNU108" s="142"/>
      <c r="RNV108" s="142"/>
      <c r="RNW108" s="142"/>
      <c r="RNX108" s="142"/>
      <c r="RNY108" s="142"/>
      <c r="RNZ108" s="142"/>
      <c r="ROA108" s="142"/>
      <c r="ROB108" s="142"/>
      <c r="ROC108" s="142"/>
      <c r="ROD108" s="142"/>
      <c r="ROE108" s="142"/>
      <c r="ROF108" s="142"/>
      <c r="ROG108" s="142"/>
      <c r="ROH108" s="142"/>
      <c r="ROI108" s="142"/>
      <c r="ROJ108" s="142"/>
      <c r="ROK108" s="142"/>
      <c r="ROL108" s="142"/>
      <c r="ROM108" s="142"/>
      <c r="RON108" s="142"/>
      <c r="ROO108" s="142"/>
      <c r="ROP108" s="142"/>
      <c r="ROQ108" s="142"/>
      <c r="ROR108" s="142"/>
      <c r="ROS108" s="142"/>
      <c r="ROT108" s="142"/>
      <c r="ROU108" s="142"/>
      <c r="ROV108" s="142"/>
      <c r="ROW108" s="142"/>
      <c r="ROX108" s="142"/>
      <c r="ROY108" s="142"/>
      <c r="ROZ108" s="142"/>
      <c r="RPA108" s="142"/>
      <c r="RPB108" s="142"/>
      <c r="RPC108" s="142"/>
      <c r="RPD108" s="142"/>
      <c r="RPE108" s="142"/>
      <c r="RPF108" s="142"/>
      <c r="RPG108" s="142"/>
      <c r="RPH108" s="142"/>
      <c r="RPI108" s="142"/>
      <c r="RPJ108" s="142"/>
      <c r="RPK108" s="142"/>
      <c r="RPL108" s="142"/>
      <c r="RPM108" s="142"/>
      <c r="RPN108" s="142"/>
      <c r="RPO108" s="142"/>
      <c r="RPP108" s="142"/>
      <c r="RPQ108" s="142"/>
      <c r="RPR108" s="142"/>
      <c r="RPS108" s="142"/>
      <c r="RPT108" s="142"/>
      <c r="RPU108" s="142"/>
      <c r="RPV108" s="142"/>
      <c r="RPW108" s="142"/>
      <c r="RPX108" s="142"/>
      <c r="RPY108" s="142"/>
      <c r="RPZ108" s="142"/>
      <c r="RQA108" s="142"/>
      <c r="RQB108" s="142"/>
      <c r="RQC108" s="142"/>
      <c r="RQD108" s="142"/>
      <c r="RQE108" s="142"/>
      <c r="RQF108" s="142"/>
      <c r="RQG108" s="142"/>
      <c r="RQH108" s="142"/>
      <c r="RQI108" s="142"/>
      <c r="RQJ108" s="142"/>
      <c r="RQK108" s="142"/>
      <c r="RQL108" s="142"/>
      <c r="RQM108" s="142"/>
      <c r="RQN108" s="142"/>
      <c r="RQO108" s="142"/>
      <c r="RQP108" s="142"/>
      <c r="RQQ108" s="142"/>
      <c r="RQR108" s="142"/>
      <c r="RQS108" s="142"/>
      <c r="RQT108" s="142"/>
      <c r="RQU108" s="142"/>
      <c r="RQV108" s="142"/>
      <c r="RQW108" s="142"/>
      <c r="RQX108" s="142"/>
      <c r="RQY108" s="142"/>
      <c r="RQZ108" s="142"/>
      <c r="RRA108" s="142"/>
      <c r="RRB108" s="142"/>
      <c r="RRC108" s="142"/>
      <c r="RRD108" s="142"/>
      <c r="RRE108" s="142"/>
      <c r="RRF108" s="142"/>
      <c r="RRG108" s="142"/>
      <c r="RRH108" s="142"/>
      <c r="RRI108" s="142"/>
      <c r="RRJ108" s="142"/>
      <c r="RRK108" s="142"/>
      <c r="RRL108" s="142"/>
      <c r="RRM108" s="142"/>
      <c r="RRN108" s="142"/>
      <c r="RRO108" s="142"/>
      <c r="RRP108" s="142"/>
      <c r="RRQ108" s="142"/>
      <c r="RRR108" s="142"/>
      <c r="RRS108" s="142"/>
      <c r="RRT108" s="142"/>
      <c r="RRU108" s="142"/>
      <c r="RRV108" s="142"/>
      <c r="RRW108" s="142"/>
      <c r="RRX108" s="142"/>
      <c r="RRY108" s="142"/>
      <c r="RRZ108" s="142"/>
      <c r="RSA108" s="142"/>
      <c r="RSB108" s="142"/>
      <c r="RSC108" s="142"/>
      <c r="RSD108" s="142"/>
      <c r="RSE108" s="142"/>
      <c r="RSF108" s="142"/>
      <c r="RSG108" s="142"/>
      <c r="RSH108" s="142"/>
      <c r="RSI108" s="142"/>
      <c r="RSJ108" s="142"/>
      <c r="RSK108" s="142"/>
      <c r="RSL108" s="142"/>
      <c r="RSM108" s="142"/>
      <c r="RSN108" s="142"/>
      <c r="RSO108" s="142"/>
      <c r="RSP108" s="142"/>
      <c r="RSQ108" s="142"/>
      <c r="RSR108" s="142"/>
      <c r="RSS108" s="142"/>
      <c r="RST108" s="142"/>
      <c r="RSU108" s="142"/>
      <c r="RSV108" s="142"/>
      <c r="RSW108" s="142"/>
      <c r="RSX108" s="142"/>
      <c r="RSY108" s="142"/>
      <c r="RSZ108" s="142"/>
      <c r="RTA108" s="142"/>
      <c r="RTB108" s="142"/>
      <c r="RTC108" s="142"/>
      <c r="RTD108" s="142"/>
      <c r="RTE108" s="142"/>
      <c r="RTF108" s="142"/>
      <c r="RTG108" s="142"/>
      <c r="RTH108" s="142"/>
      <c r="RTI108" s="142"/>
      <c r="RTJ108" s="142"/>
      <c r="RTK108" s="142"/>
      <c r="RTL108" s="142"/>
      <c r="RTM108" s="142"/>
      <c r="RTN108" s="142"/>
      <c r="RTO108" s="142"/>
      <c r="RTP108" s="142"/>
      <c r="RTQ108" s="142"/>
      <c r="RTR108" s="142"/>
      <c r="RTS108" s="142"/>
      <c r="RTT108" s="142"/>
      <c r="RTU108" s="142"/>
      <c r="RTV108" s="142"/>
      <c r="RTW108" s="142"/>
      <c r="RTX108" s="142"/>
      <c r="RTY108" s="142"/>
      <c r="RTZ108" s="142"/>
      <c r="RUA108" s="142"/>
      <c r="RUB108" s="142"/>
      <c r="RUC108" s="142"/>
      <c r="RUD108" s="142"/>
      <c r="RUE108" s="142"/>
      <c r="RUF108" s="142"/>
      <c r="RUG108" s="142"/>
      <c r="RUH108" s="142"/>
      <c r="RUI108" s="142"/>
      <c r="RUJ108" s="142"/>
      <c r="RUK108" s="142"/>
      <c r="RUL108" s="142"/>
      <c r="RUM108" s="142"/>
      <c r="RUN108" s="142"/>
      <c r="RUO108" s="142"/>
      <c r="RUP108" s="142"/>
      <c r="RUQ108" s="142"/>
      <c r="RUR108" s="142"/>
      <c r="RUS108" s="142"/>
      <c r="RUT108" s="142"/>
      <c r="RUU108" s="142"/>
      <c r="RUV108" s="142"/>
      <c r="RUW108" s="142"/>
      <c r="RUX108" s="142"/>
      <c r="RUY108" s="142"/>
      <c r="RUZ108" s="142"/>
      <c r="RVA108" s="142"/>
      <c r="RVB108" s="142"/>
      <c r="RVC108" s="142"/>
      <c r="RVD108" s="142"/>
      <c r="RVE108" s="142"/>
      <c r="RVF108" s="142"/>
      <c r="RVG108" s="142"/>
      <c r="RVH108" s="142"/>
      <c r="RVI108" s="142"/>
      <c r="RVJ108" s="142"/>
      <c r="RVK108" s="142"/>
      <c r="RVL108" s="142"/>
      <c r="RVM108" s="142"/>
      <c r="RVN108" s="142"/>
      <c r="RVO108" s="142"/>
      <c r="RVP108" s="142"/>
      <c r="RVQ108" s="142"/>
      <c r="RVR108" s="142"/>
      <c r="RVS108" s="142"/>
      <c r="RVT108" s="142"/>
      <c r="RVU108" s="142"/>
      <c r="RVV108" s="142"/>
      <c r="RVW108" s="142"/>
      <c r="RVX108" s="142"/>
      <c r="RVY108" s="142"/>
      <c r="RVZ108" s="142"/>
      <c r="RWA108" s="142"/>
      <c r="RWB108" s="142"/>
      <c r="RWC108" s="142"/>
      <c r="RWD108" s="142"/>
      <c r="RWE108" s="142"/>
      <c r="RWF108" s="142"/>
      <c r="RWG108" s="142"/>
      <c r="RWH108" s="142"/>
      <c r="RWI108" s="142"/>
      <c r="RWJ108" s="142"/>
      <c r="RWK108" s="142"/>
      <c r="RWL108" s="142"/>
      <c r="RWM108" s="142"/>
      <c r="RWN108" s="142"/>
      <c r="RWO108" s="142"/>
      <c r="RWP108" s="142"/>
      <c r="RWQ108" s="142"/>
      <c r="RWR108" s="142"/>
      <c r="RWS108" s="142"/>
      <c r="RWT108" s="142"/>
      <c r="RWU108" s="142"/>
      <c r="RWV108" s="142"/>
      <c r="RWW108" s="142"/>
      <c r="RWX108" s="142"/>
      <c r="RWY108" s="142"/>
      <c r="RWZ108" s="142"/>
      <c r="RXA108" s="142"/>
      <c r="RXB108" s="142"/>
      <c r="RXC108" s="142"/>
      <c r="RXD108" s="142"/>
      <c r="RXE108" s="142"/>
      <c r="RXF108" s="142"/>
      <c r="RXG108" s="142"/>
      <c r="RXH108" s="142"/>
      <c r="RXI108" s="142"/>
      <c r="RXJ108" s="142"/>
      <c r="RXK108" s="142"/>
      <c r="RXL108" s="142"/>
      <c r="RXM108" s="142"/>
      <c r="RXN108" s="142"/>
      <c r="RXO108" s="142"/>
      <c r="RXP108" s="142"/>
      <c r="RXQ108" s="142"/>
      <c r="RXR108" s="142"/>
      <c r="RXS108" s="142"/>
      <c r="RXT108" s="142"/>
      <c r="RXU108" s="142"/>
      <c r="RXV108" s="142"/>
      <c r="RXW108" s="142"/>
      <c r="RXX108" s="142"/>
      <c r="RXY108" s="142"/>
      <c r="RXZ108" s="142"/>
      <c r="RYA108" s="142"/>
      <c r="RYB108" s="142"/>
      <c r="RYC108" s="142"/>
      <c r="RYD108" s="142"/>
      <c r="RYE108" s="142"/>
      <c r="RYF108" s="142"/>
      <c r="RYG108" s="142"/>
      <c r="RYH108" s="142"/>
      <c r="RYI108" s="142"/>
      <c r="RYJ108" s="142"/>
      <c r="RYK108" s="142"/>
      <c r="RYL108" s="142"/>
      <c r="RYM108" s="142"/>
      <c r="RYN108" s="142"/>
      <c r="RYO108" s="142"/>
      <c r="RYP108" s="142"/>
      <c r="RYQ108" s="142"/>
      <c r="RYR108" s="142"/>
      <c r="RYS108" s="142"/>
      <c r="RYT108" s="142"/>
      <c r="RYU108" s="142"/>
      <c r="RYV108" s="142"/>
      <c r="RYW108" s="142"/>
      <c r="RYX108" s="142"/>
      <c r="RYY108" s="142"/>
      <c r="RYZ108" s="142"/>
      <c r="RZA108" s="142"/>
      <c r="RZB108" s="142"/>
      <c r="RZC108" s="142"/>
      <c r="RZD108" s="142"/>
      <c r="RZE108" s="142"/>
      <c r="RZF108" s="142"/>
      <c r="RZG108" s="142"/>
      <c r="RZH108" s="142"/>
      <c r="RZI108" s="142"/>
      <c r="RZJ108" s="142"/>
      <c r="RZK108" s="142"/>
      <c r="RZL108" s="142"/>
      <c r="RZM108" s="142"/>
      <c r="RZN108" s="142"/>
      <c r="RZO108" s="142"/>
      <c r="RZP108" s="142"/>
      <c r="RZQ108" s="142"/>
      <c r="RZR108" s="142"/>
      <c r="RZS108" s="142"/>
      <c r="RZT108" s="142"/>
      <c r="RZU108" s="142"/>
      <c r="RZV108" s="142"/>
      <c r="RZW108" s="142"/>
      <c r="RZX108" s="142"/>
      <c r="RZY108" s="142"/>
      <c r="RZZ108" s="142"/>
      <c r="SAA108" s="142"/>
      <c r="SAB108" s="142"/>
      <c r="SAC108" s="142"/>
      <c r="SAD108" s="142"/>
      <c r="SAE108" s="142"/>
      <c r="SAF108" s="142"/>
      <c r="SAG108" s="142"/>
      <c r="SAH108" s="142"/>
      <c r="SAI108" s="142"/>
      <c r="SAJ108" s="142"/>
      <c r="SAK108" s="142"/>
      <c r="SAL108" s="142"/>
      <c r="SAM108" s="142"/>
      <c r="SAN108" s="142"/>
      <c r="SAO108" s="142"/>
      <c r="SAP108" s="142"/>
      <c r="SAQ108" s="142"/>
      <c r="SAR108" s="142"/>
      <c r="SAS108" s="142"/>
      <c r="SAT108" s="142"/>
      <c r="SAU108" s="142"/>
      <c r="SAV108" s="142"/>
      <c r="SAW108" s="142"/>
      <c r="SAX108" s="142"/>
      <c r="SAY108" s="142"/>
      <c r="SAZ108" s="142"/>
      <c r="SBA108" s="142"/>
      <c r="SBB108" s="142"/>
      <c r="SBC108" s="142"/>
      <c r="SBD108" s="142"/>
      <c r="SBE108" s="142"/>
      <c r="SBF108" s="142"/>
      <c r="SBG108" s="142"/>
      <c r="SBH108" s="142"/>
      <c r="SBI108" s="142"/>
      <c r="SBJ108" s="142"/>
      <c r="SBK108" s="142"/>
      <c r="SBL108" s="142"/>
      <c r="SBM108" s="142"/>
      <c r="SBN108" s="142"/>
      <c r="SBO108" s="142"/>
      <c r="SBP108" s="142"/>
      <c r="SBQ108" s="142"/>
      <c r="SBR108" s="142"/>
      <c r="SBS108" s="142"/>
      <c r="SBT108" s="142"/>
      <c r="SBU108" s="142"/>
      <c r="SBV108" s="142"/>
      <c r="SBW108" s="142"/>
      <c r="SBX108" s="142"/>
      <c r="SBY108" s="142"/>
      <c r="SBZ108" s="142"/>
      <c r="SCA108" s="142"/>
      <c r="SCB108" s="142"/>
      <c r="SCC108" s="142"/>
      <c r="SCD108" s="142"/>
      <c r="SCE108" s="142"/>
      <c r="SCF108" s="142"/>
      <c r="SCG108" s="142"/>
      <c r="SCH108" s="142"/>
      <c r="SCI108" s="142"/>
      <c r="SCJ108" s="142"/>
      <c r="SCK108" s="142"/>
      <c r="SCL108" s="142"/>
      <c r="SCM108" s="142"/>
      <c r="SCN108" s="142"/>
      <c r="SCO108" s="142"/>
      <c r="SCP108" s="142"/>
      <c r="SCQ108" s="142"/>
      <c r="SCR108" s="142"/>
      <c r="SCS108" s="142"/>
      <c r="SCT108" s="142"/>
      <c r="SCU108" s="142"/>
      <c r="SCV108" s="142"/>
      <c r="SCW108" s="142"/>
      <c r="SCX108" s="142"/>
      <c r="SCY108" s="142"/>
      <c r="SCZ108" s="142"/>
      <c r="SDA108" s="142"/>
      <c r="SDB108" s="142"/>
      <c r="SDC108" s="142"/>
      <c r="SDD108" s="142"/>
      <c r="SDE108" s="142"/>
      <c r="SDF108" s="142"/>
      <c r="SDG108" s="142"/>
      <c r="SDH108" s="142"/>
      <c r="SDI108" s="142"/>
      <c r="SDJ108" s="142"/>
      <c r="SDK108" s="142"/>
      <c r="SDL108" s="142"/>
      <c r="SDM108" s="142"/>
      <c r="SDN108" s="142"/>
      <c r="SDO108" s="142"/>
      <c r="SDP108" s="142"/>
      <c r="SDQ108" s="142"/>
      <c r="SDR108" s="142"/>
      <c r="SDS108" s="142"/>
      <c r="SDT108" s="142"/>
      <c r="SDU108" s="142"/>
      <c r="SDV108" s="142"/>
      <c r="SDW108" s="142"/>
      <c r="SDX108" s="142"/>
      <c r="SDY108" s="142"/>
      <c r="SDZ108" s="142"/>
      <c r="SEA108" s="142"/>
      <c r="SEB108" s="142"/>
      <c r="SEC108" s="142"/>
      <c r="SED108" s="142"/>
      <c r="SEE108" s="142"/>
      <c r="SEF108" s="142"/>
      <c r="SEG108" s="142"/>
      <c r="SEH108" s="142"/>
      <c r="SEI108" s="142"/>
      <c r="SEJ108" s="142"/>
      <c r="SEK108" s="142"/>
      <c r="SEL108" s="142"/>
      <c r="SEM108" s="142"/>
      <c r="SEN108" s="142"/>
      <c r="SEO108" s="142"/>
      <c r="SEP108" s="142"/>
      <c r="SEQ108" s="142"/>
      <c r="SER108" s="142"/>
      <c r="SES108" s="142"/>
      <c r="SET108" s="142"/>
      <c r="SEU108" s="142"/>
      <c r="SEV108" s="142"/>
      <c r="SEW108" s="142"/>
      <c r="SEX108" s="142"/>
      <c r="SEY108" s="142"/>
      <c r="SEZ108" s="142"/>
      <c r="SFA108" s="142"/>
      <c r="SFB108" s="142"/>
      <c r="SFC108" s="142"/>
      <c r="SFD108" s="142"/>
      <c r="SFE108" s="142"/>
      <c r="SFF108" s="142"/>
      <c r="SFG108" s="142"/>
      <c r="SFH108" s="142"/>
      <c r="SFI108" s="142"/>
      <c r="SFJ108" s="142"/>
      <c r="SFK108" s="142"/>
      <c r="SFL108" s="142"/>
      <c r="SFM108" s="142"/>
      <c r="SFN108" s="142"/>
      <c r="SFO108" s="142"/>
      <c r="SFP108" s="142"/>
      <c r="SFQ108" s="142"/>
      <c r="SFR108" s="142"/>
      <c r="SFS108" s="142"/>
      <c r="SFT108" s="142"/>
      <c r="SFU108" s="142"/>
      <c r="SFV108" s="142"/>
      <c r="SFW108" s="142"/>
      <c r="SFX108" s="142"/>
      <c r="SFY108" s="142"/>
      <c r="SFZ108" s="142"/>
      <c r="SGA108" s="142"/>
      <c r="SGB108" s="142"/>
      <c r="SGC108" s="142"/>
      <c r="SGD108" s="142"/>
      <c r="SGE108" s="142"/>
      <c r="SGF108" s="142"/>
      <c r="SGG108" s="142"/>
      <c r="SGH108" s="142"/>
      <c r="SGI108" s="142"/>
      <c r="SGJ108" s="142"/>
      <c r="SGK108" s="142"/>
      <c r="SGL108" s="142"/>
      <c r="SGM108" s="142"/>
      <c r="SGN108" s="142"/>
      <c r="SGO108" s="142"/>
      <c r="SGP108" s="142"/>
      <c r="SGQ108" s="142"/>
      <c r="SGR108" s="142"/>
      <c r="SGS108" s="142"/>
      <c r="SGT108" s="142"/>
      <c r="SGU108" s="142"/>
      <c r="SGV108" s="142"/>
      <c r="SGW108" s="142"/>
      <c r="SGX108" s="142"/>
      <c r="SGY108" s="142"/>
      <c r="SGZ108" s="142"/>
      <c r="SHA108" s="142"/>
      <c r="SHB108" s="142"/>
      <c r="SHC108" s="142"/>
      <c r="SHD108" s="142"/>
      <c r="SHE108" s="142"/>
      <c r="SHF108" s="142"/>
      <c r="SHG108" s="142"/>
      <c r="SHH108" s="142"/>
      <c r="SHI108" s="142"/>
      <c r="SHJ108" s="142"/>
      <c r="SHK108" s="142"/>
      <c r="SHL108" s="142"/>
      <c r="SHM108" s="142"/>
      <c r="SHN108" s="142"/>
      <c r="SHO108" s="142"/>
      <c r="SHP108" s="142"/>
      <c r="SHQ108" s="142"/>
      <c r="SHR108" s="142"/>
      <c r="SHS108" s="142"/>
      <c r="SHT108" s="142"/>
      <c r="SHU108" s="142"/>
      <c r="SHV108" s="142"/>
      <c r="SHW108" s="142"/>
      <c r="SHX108" s="142"/>
      <c r="SHY108" s="142"/>
      <c r="SHZ108" s="142"/>
      <c r="SIA108" s="142"/>
      <c r="SIB108" s="142"/>
      <c r="SIC108" s="142"/>
      <c r="SID108" s="142"/>
      <c r="SIE108" s="142"/>
      <c r="SIF108" s="142"/>
      <c r="SIG108" s="142"/>
      <c r="SIH108" s="142"/>
      <c r="SII108" s="142"/>
      <c r="SIJ108" s="142"/>
      <c r="SIK108" s="142"/>
      <c r="SIL108" s="142"/>
      <c r="SIM108" s="142"/>
      <c r="SIN108" s="142"/>
      <c r="SIO108" s="142"/>
      <c r="SIP108" s="142"/>
      <c r="SIQ108" s="142"/>
      <c r="SIR108" s="142"/>
      <c r="SIS108" s="142"/>
      <c r="SIT108" s="142"/>
      <c r="SIU108" s="142"/>
      <c r="SIV108" s="142"/>
      <c r="SIW108" s="142"/>
      <c r="SIX108" s="142"/>
      <c r="SIY108" s="142"/>
      <c r="SIZ108" s="142"/>
      <c r="SJA108" s="142"/>
      <c r="SJB108" s="142"/>
      <c r="SJC108" s="142"/>
      <c r="SJD108" s="142"/>
      <c r="SJE108" s="142"/>
      <c r="SJF108" s="142"/>
      <c r="SJG108" s="142"/>
      <c r="SJH108" s="142"/>
      <c r="SJI108" s="142"/>
      <c r="SJJ108" s="142"/>
      <c r="SJK108" s="142"/>
      <c r="SJL108" s="142"/>
      <c r="SJM108" s="142"/>
      <c r="SJN108" s="142"/>
      <c r="SJO108" s="142"/>
      <c r="SJP108" s="142"/>
      <c r="SJQ108" s="142"/>
      <c r="SJR108" s="142"/>
      <c r="SJS108" s="142"/>
      <c r="SJT108" s="142"/>
      <c r="SJU108" s="142"/>
      <c r="SJV108" s="142"/>
      <c r="SJW108" s="142"/>
      <c r="SJX108" s="142"/>
      <c r="SJY108" s="142"/>
      <c r="SJZ108" s="142"/>
      <c r="SKA108" s="142"/>
      <c r="SKB108" s="142"/>
      <c r="SKC108" s="142"/>
      <c r="SKD108" s="142"/>
      <c r="SKE108" s="142"/>
      <c r="SKF108" s="142"/>
      <c r="SKG108" s="142"/>
      <c r="SKH108" s="142"/>
      <c r="SKI108" s="142"/>
      <c r="SKJ108" s="142"/>
      <c r="SKK108" s="142"/>
      <c r="SKL108" s="142"/>
      <c r="SKM108" s="142"/>
      <c r="SKN108" s="142"/>
      <c r="SKO108" s="142"/>
      <c r="SKP108" s="142"/>
      <c r="SKQ108" s="142"/>
      <c r="SKR108" s="142"/>
      <c r="SKS108" s="142"/>
      <c r="SKT108" s="142"/>
      <c r="SKU108" s="142"/>
      <c r="SKV108" s="142"/>
      <c r="SKW108" s="142"/>
      <c r="SKX108" s="142"/>
      <c r="SKY108" s="142"/>
      <c r="SKZ108" s="142"/>
      <c r="SLA108" s="142"/>
      <c r="SLB108" s="142"/>
      <c r="SLC108" s="142"/>
      <c r="SLD108" s="142"/>
      <c r="SLE108" s="142"/>
      <c r="SLF108" s="142"/>
      <c r="SLG108" s="142"/>
      <c r="SLH108" s="142"/>
      <c r="SLI108" s="142"/>
      <c r="SLJ108" s="142"/>
      <c r="SLK108" s="142"/>
      <c r="SLL108" s="142"/>
      <c r="SLM108" s="142"/>
      <c r="SLN108" s="142"/>
      <c r="SLO108" s="142"/>
      <c r="SLP108" s="142"/>
      <c r="SLQ108" s="142"/>
      <c r="SLR108" s="142"/>
      <c r="SLS108" s="142"/>
      <c r="SLT108" s="142"/>
      <c r="SLU108" s="142"/>
      <c r="SLV108" s="142"/>
      <c r="SLW108" s="142"/>
      <c r="SLX108" s="142"/>
      <c r="SLY108" s="142"/>
      <c r="SLZ108" s="142"/>
      <c r="SMA108" s="142"/>
      <c r="SMB108" s="142"/>
      <c r="SMC108" s="142"/>
      <c r="SMD108" s="142"/>
      <c r="SME108" s="142"/>
      <c r="SMF108" s="142"/>
      <c r="SMG108" s="142"/>
      <c r="SMH108" s="142"/>
      <c r="SMI108" s="142"/>
      <c r="SMJ108" s="142"/>
      <c r="SMK108" s="142"/>
      <c r="SML108" s="142"/>
      <c r="SMM108" s="142"/>
      <c r="SMN108" s="142"/>
      <c r="SMO108" s="142"/>
      <c r="SMP108" s="142"/>
      <c r="SMQ108" s="142"/>
      <c r="SMR108" s="142"/>
      <c r="SMS108" s="142"/>
      <c r="SMT108" s="142"/>
      <c r="SMU108" s="142"/>
      <c r="SMV108" s="142"/>
      <c r="SMW108" s="142"/>
      <c r="SMX108" s="142"/>
      <c r="SMY108" s="142"/>
      <c r="SMZ108" s="142"/>
      <c r="SNA108" s="142"/>
      <c r="SNB108" s="142"/>
      <c r="SNC108" s="142"/>
      <c r="SND108" s="142"/>
      <c r="SNE108" s="142"/>
      <c r="SNF108" s="142"/>
      <c r="SNG108" s="142"/>
      <c r="SNH108" s="142"/>
      <c r="SNI108" s="142"/>
      <c r="SNJ108" s="142"/>
      <c r="SNK108" s="142"/>
      <c r="SNL108" s="142"/>
      <c r="SNM108" s="142"/>
      <c r="SNN108" s="142"/>
      <c r="SNO108" s="142"/>
      <c r="SNP108" s="142"/>
      <c r="SNQ108" s="142"/>
      <c r="SNR108" s="142"/>
      <c r="SNS108" s="142"/>
      <c r="SNT108" s="142"/>
      <c r="SNU108" s="142"/>
      <c r="SNV108" s="142"/>
      <c r="SNW108" s="142"/>
      <c r="SNX108" s="142"/>
      <c r="SNY108" s="142"/>
      <c r="SNZ108" s="142"/>
      <c r="SOA108" s="142"/>
      <c r="SOB108" s="142"/>
      <c r="SOC108" s="142"/>
      <c r="SOD108" s="142"/>
      <c r="SOE108" s="142"/>
      <c r="SOF108" s="142"/>
      <c r="SOG108" s="142"/>
      <c r="SOH108" s="142"/>
      <c r="SOI108" s="142"/>
      <c r="SOJ108" s="142"/>
      <c r="SOK108" s="142"/>
      <c r="SOL108" s="142"/>
      <c r="SOM108" s="142"/>
      <c r="SON108" s="142"/>
      <c r="SOO108" s="142"/>
      <c r="SOP108" s="142"/>
      <c r="SOQ108" s="142"/>
      <c r="SOR108" s="142"/>
      <c r="SOS108" s="142"/>
      <c r="SOT108" s="142"/>
      <c r="SOU108" s="142"/>
      <c r="SOV108" s="142"/>
      <c r="SOW108" s="142"/>
      <c r="SOX108" s="142"/>
      <c r="SOY108" s="142"/>
      <c r="SOZ108" s="142"/>
      <c r="SPA108" s="142"/>
      <c r="SPB108" s="142"/>
      <c r="SPC108" s="142"/>
      <c r="SPD108" s="142"/>
      <c r="SPE108" s="142"/>
      <c r="SPF108" s="142"/>
      <c r="SPG108" s="142"/>
      <c r="SPH108" s="142"/>
      <c r="SPI108" s="142"/>
      <c r="SPJ108" s="142"/>
      <c r="SPK108" s="142"/>
      <c r="SPL108" s="142"/>
      <c r="SPM108" s="142"/>
      <c r="SPN108" s="142"/>
      <c r="SPO108" s="142"/>
      <c r="SPP108" s="142"/>
      <c r="SPQ108" s="142"/>
      <c r="SPR108" s="142"/>
      <c r="SPS108" s="142"/>
      <c r="SPT108" s="142"/>
      <c r="SPU108" s="142"/>
      <c r="SPV108" s="142"/>
      <c r="SPW108" s="142"/>
      <c r="SPX108" s="142"/>
      <c r="SPY108" s="142"/>
      <c r="SPZ108" s="142"/>
      <c r="SQA108" s="142"/>
      <c r="SQB108" s="142"/>
      <c r="SQC108" s="142"/>
      <c r="SQD108" s="142"/>
      <c r="SQE108" s="142"/>
      <c r="SQF108" s="142"/>
      <c r="SQG108" s="142"/>
      <c r="SQH108" s="142"/>
      <c r="SQI108" s="142"/>
      <c r="SQJ108" s="142"/>
      <c r="SQK108" s="142"/>
      <c r="SQL108" s="142"/>
      <c r="SQM108" s="142"/>
      <c r="SQN108" s="142"/>
      <c r="SQO108" s="142"/>
      <c r="SQP108" s="142"/>
      <c r="SQQ108" s="142"/>
      <c r="SQR108" s="142"/>
      <c r="SQS108" s="142"/>
      <c r="SQT108" s="142"/>
      <c r="SQU108" s="142"/>
      <c r="SQV108" s="142"/>
      <c r="SQW108" s="142"/>
      <c r="SQX108" s="142"/>
      <c r="SQY108" s="142"/>
      <c r="SQZ108" s="142"/>
      <c r="SRA108" s="142"/>
      <c r="SRB108" s="142"/>
      <c r="SRC108" s="142"/>
      <c r="SRD108" s="142"/>
      <c r="SRE108" s="142"/>
      <c r="SRF108" s="142"/>
      <c r="SRG108" s="142"/>
      <c r="SRH108" s="142"/>
      <c r="SRI108" s="142"/>
      <c r="SRJ108" s="142"/>
      <c r="SRK108" s="142"/>
      <c r="SRL108" s="142"/>
      <c r="SRM108" s="142"/>
      <c r="SRN108" s="142"/>
      <c r="SRO108" s="142"/>
      <c r="SRP108" s="142"/>
      <c r="SRQ108" s="142"/>
      <c r="SRR108" s="142"/>
      <c r="SRS108" s="142"/>
      <c r="SRT108" s="142"/>
      <c r="SRU108" s="142"/>
      <c r="SRV108" s="142"/>
      <c r="SRW108" s="142"/>
      <c r="SRX108" s="142"/>
      <c r="SRY108" s="142"/>
      <c r="SRZ108" s="142"/>
      <c r="SSA108" s="142"/>
      <c r="SSB108" s="142"/>
      <c r="SSC108" s="142"/>
      <c r="SSD108" s="142"/>
      <c r="SSE108" s="142"/>
      <c r="SSF108" s="142"/>
      <c r="SSG108" s="142"/>
      <c r="SSH108" s="142"/>
      <c r="SSI108" s="142"/>
      <c r="SSJ108" s="142"/>
      <c r="SSK108" s="142"/>
      <c r="SSL108" s="142"/>
      <c r="SSM108" s="142"/>
      <c r="SSN108" s="142"/>
      <c r="SSO108" s="142"/>
      <c r="SSP108" s="142"/>
      <c r="SSQ108" s="142"/>
      <c r="SSR108" s="142"/>
      <c r="SSS108" s="142"/>
      <c r="SST108" s="142"/>
      <c r="SSU108" s="142"/>
      <c r="SSV108" s="142"/>
      <c r="SSW108" s="142"/>
      <c r="SSX108" s="142"/>
      <c r="SSY108" s="142"/>
      <c r="SSZ108" s="142"/>
      <c r="STA108" s="142"/>
      <c r="STB108" s="142"/>
      <c r="STC108" s="142"/>
      <c r="STD108" s="142"/>
      <c r="STE108" s="142"/>
      <c r="STF108" s="142"/>
      <c r="STG108" s="142"/>
      <c r="STH108" s="142"/>
      <c r="STI108" s="142"/>
      <c r="STJ108" s="142"/>
      <c r="STK108" s="142"/>
      <c r="STL108" s="142"/>
      <c r="STM108" s="142"/>
      <c r="STN108" s="142"/>
      <c r="STO108" s="142"/>
      <c r="STP108" s="142"/>
      <c r="STQ108" s="142"/>
      <c r="STR108" s="142"/>
      <c r="STS108" s="142"/>
      <c r="STT108" s="142"/>
      <c r="STU108" s="142"/>
      <c r="STV108" s="142"/>
      <c r="STW108" s="142"/>
      <c r="STX108" s="142"/>
      <c r="STY108" s="142"/>
      <c r="STZ108" s="142"/>
      <c r="SUA108" s="142"/>
      <c r="SUB108" s="142"/>
      <c r="SUC108" s="142"/>
      <c r="SUD108" s="142"/>
      <c r="SUE108" s="142"/>
      <c r="SUF108" s="142"/>
      <c r="SUG108" s="142"/>
      <c r="SUH108" s="142"/>
      <c r="SUI108" s="142"/>
      <c r="SUJ108" s="142"/>
      <c r="SUK108" s="142"/>
      <c r="SUL108" s="142"/>
      <c r="SUM108" s="142"/>
      <c r="SUN108" s="142"/>
      <c r="SUO108" s="142"/>
      <c r="SUP108" s="142"/>
      <c r="SUQ108" s="142"/>
      <c r="SUR108" s="142"/>
      <c r="SUS108" s="142"/>
      <c r="SUT108" s="142"/>
      <c r="SUU108" s="142"/>
      <c r="SUV108" s="142"/>
      <c r="SUW108" s="142"/>
      <c r="SUX108" s="142"/>
      <c r="SUY108" s="142"/>
      <c r="SUZ108" s="142"/>
      <c r="SVA108" s="142"/>
      <c r="SVB108" s="142"/>
      <c r="SVC108" s="142"/>
      <c r="SVD108" s="142"/>
      <c r="SVE108" s="142"/>
      <c r="SVF108" s="142"/>
      <c r="SVG108" s="142"/>
      <c r="SVH108" s="142"/>
      <c r="SVI108" s="142"/>
      <c r="SVJ108" s="142"/>
      <c r="SVK108" s="142"/>
      <c r="SVL108" s="142"/>
      <c r="SVM108" s="142"/>
      <c r="SVN108" s="142"/>
      <c r="SVO108" s="142"/>
      <c r="SVP108" s="142"/>
      <c r="SVQ108" s="142"/>
      <c r="SVR108" s="142"/>
      <c r="SVS108" s="142"/>
      <c r="SVT108" s="142"/>
      <c r="SVU108" s="142"/>
      <c r="SVV108" s="142"/>
      <c r="SVW108" s="142"/>
      <c r="SVX108" s="142"/>
      <c r="SVY108" s="142"/>
      <c r="SVZ108" s="142"/>
      <c r="SWA108" s="142"/>
      <c r="SWB108" s="142"/>
      <c r="SWC108" s="142"/>
      <c r="SWD108" s="142"/>
      <c r="SWE108" s="142"/>
      <c r="SWF108" s="142"/>
      <c r="SWG108" s="142"/>
      <c r="SWH108" s="142"/>
      <c r="SWI108" s="142"/>
      <c r="SWJ108" s="142"/>
      <c r="SWK108" s="142"/>
      <c r="SWL108" s="142"/>
      <c r="SWM108" s="142"/>
      <c r="SWN108" s="142"/>
      <c r="SWO108" s="142"/>
      <c r="SWP108" s="142"/>
      <c r="SWQ108" s="142"/>
      <c r="SWR108" s="142"/>
      <c r="SWS108" s="142"/>
      <c r="SWT108" s="142"/>
      <c r="SWU108" s="142"/>
      <c r="SWV108" s="142"/>
      <c r="SWW108" s="142"/>
      <c r="SWX108" s="142"/>
      <c r="SWY108" s="142"/>
      <c r="SWZ108" s="142"/>
      <c r="SXA108" s="142"/>
      <c r="SXB108" s="142"/>
      <c r="SXC108" s="142"/>
      <c r="SXD108" s="142"/>
      <c r="SXE108" s="142"/>
      <c r="SXF108" s="142"/>
      <c r="SXG108" s="142"/>
      <c r="SXH108" s="142"/>
      <c r="SXI108" s="142"/>
      <c r="SXJ108" s="142"/>
      <c r="SXK108" s="142"/>
      <c r="SXL108" s="142"/>
      <c r="SXM108" s="142"/>
      <c r="SXN108" s="142"/>
      <c r="SXO108" s="142"/>
      <c r="SXP108" s="142"/>
      <c r="SXQ108" s="142"/>
      <c r="SXR108" s="142"/>
      <c r="SXS108" s="142"/>
      <c r="SXT108" s="142"/>
      <c r="SXU108" s="142"/>
      <c r="SXV108" s="142"/>
      <c r="SXW108" s="142"/>
      <c r="SXX108" s="142"/>
      <c r="SXY108" s="142"/>
      <c r="SXZ108" s="142"/>
      <c r="SYA108" s="142"/>
      <c r="SYB108" s="142"/>
      <c r="SYC108" s="142"/>
      <c r="SYD108" s="142"/>
      <c r="SYE108" s="142"/>
      <c r="SYF108" s="142"/>
      <c r="SYG108" s="142"/>
      <c r="SYH108" s="142"/>
      <c r="SYI108" s="142"/>
      <c r="SYJ108" s="142"/>
      <c r="SYK108" s="142"/>
      <c r="SYL108" s="142"/>
      <c r="SYM108" s="142"/>
      <c r="SYN108" s="142"/>
      <c r="SYO108" s="142"/>
      <c r="SYP108" s="142"/>
      <c r="SYQ108" s="142"/>
      <c r="SYR108" s="142"/>
      <c r="SYS108" s="142"/>
      <c r="SYT108" s="142"/>
      <c r="SYU108" s="142"/>
      <c r="SYV108" s="142"/>
      <c r="SYW108" s="142"/>
      <c r="SYX108" s="142"/>
      <c r="SYY108" s="142"/>
      <c r="SYZ108" s="142"/>
      <c r="SZA108" s="142"/>
      <c r="SZB108" s="142"/>
      <c r="SZC108" s="142"/>
      <c r="SZD108" s="142"/>
      <c r="SZE108" s="142"/>
      <c r="SZF108" s="142"/>
      <c r="SZG108" s="142"/>
      <c r="SZH108" s="142"/>
      <c r="SZI108" s="142"/>
      <c r="SZJ108" s="142"/>
      <c r="SZK108" s="142"/>
      <c r="SZL108" s="142"/>
      <c r="SZM108" s="142"/>
      <c r="SZN108" s="142"/>
      <c r="SZO108" s="142"/>
      <c r="SZP108" s="142"/>
      <c r="SZQ108" s="142"/>
      <c r="SZR108" s="142"/>
      <c r="SZS108" s="142"/>
      <c r="SZT108" s="142"/>
      <c r="SZU108" s="142"/>
      <c r="SZV108" s="142"/>
      <c r="SZW108" s="142"/>
      <c r="SZX108" s="142"/>
      <c r="SZY108" s="142"/>
      <c r="SZZ108" s="142"/>
      <c r="TAA108" s="142"/>
      <c r="TAB108" s="142"/>
      <c r="TAC108" s="142"/>
      <c r="TAD108" s="142"/>
      <c r="TAE108" s="142"/>
      <c r="TAF108" s="142"/>
      <c r="TAG108" s="142"/>
      <c r="TAH108" s="142"/>
      <c r="TAI108" s="142"/>
      <c r="TAJ108" s="142"/>
      <c r="TAK108" s="142"/>
      <c r="TAL108" s="142"/>
      <c r="TAM108" s="142"/>
      <c r="TAN108" s="142"/>
      <c r="TAO108" s="142"/>
      <c r="TAP108" s="142"/>
      <c r="TAQ108" s="142"/>
      <c r="TAR108" s="142"/>
      <c r="TAS108" s="142"/>
      <c r="TAT108" s="142"/>
      <c r="TAU108" s="142"/>
      <c r="TAV108" s="142"/>
      <c r="TAW108" s="142"/>
      <c r="TAX108" s="142"/>
      <c r="TAY108" s="142"/>
      <c r="TAZ108" s="142"/>
      <c r="TBA108" s="142"/>
      <c r="TBB108" s="142"/>
      <c r="TBC108" s="142"/>
      <c r="TBD108" s="142"/>
      <c r="TBE108" s="142"/>
      <c r="TBF108" s="142"/>
      <c r="TBG108" s="142"/>
      <c r="TBH108" s="142"/>
      <c r="TBI108" s="142"/>
      <c r="TBJ108" s="142"/>
      <c r="TBK108" s="142"/>
      <c r="TBL108" s="142"/>
      <c r="TBM108" s="142"/>
      <c r="TBN108" s="142"/>
      <c r="TBO108" s="142"/>
      <c r="TBP108" s="142"/>
      <c r="TBQ108" s="142"/>
      <c r="TBR108" s="142"/>
      <c r="TBS108" s="142"/>
      <c r="TBT108" s="142"/>
      <c r="TBU108" s="142"/>
      <c r="TBV108" s="142"/>
      <c r="TBW108" s="142"/>
      <c r="TBX108" s="142"/>
      <c r="TBY108" s="142"/>
      <c r="TBZ108" s="142"/>
      <c r="TCA108" s="142"/>
      <c r="TCB108" s="142"/>
      <c r="TCC108" s="142"/>
      <c r="TCD108" s="142"/>
      <c r="TCE108" s="142"/>
      <c r="TCF108" s="142"/>
      <c r="TCG108" s="142"/>
      <c r="TCH108" s="142"/>
      <c r="TCI108" s="142"/>
      <c r="TCJ108" s="142"/>
      <c r="TCK108" s="142"/>
      <c r="TCL108" s="142"/>
      <c r="TCM108" s="142"/>
      <c r="TCN108" s="142"/>
      <c r="TCO108" s="142"/>
      <c r="TCP108" s="142"/>
      <c r="TCQ108" s="142"/>
      <c r="TCR108" s="142"/>
      <c r="TCS108" s="142"/>
      <c r="TCT108" s="142"/>
      <c r="TCU108" s="142"/>
      <c r="TCV108" s="142"/>
      <c r="TCW108" s="142"/>
      <c r="TCX108" s="142"/>
      <c r="TCY108" s="142"/>
      <c r="TCZ108" s="142"/>
      <c r="TDA108" s="142"/>
      <c r="TDB108" s="142"/>
      <c r="TDC108" s="142"/>
      <c r="TDD108" s="142"/>
      <c r="TDE108" s="142"/>
      <c r="TDF108" s="142"/>
      <c r="TDG108" s="142"/>
      <c r="TDH108" s="142"/>
      <c r="TDI108" s="142"/>
      <c r="TDJ108" s="142"/>
      <c r="TDK108" s="142"/>
      <c r="TDL108" s="142"/>
      <c r="TDM108" s="142"/>
      <c r="TDN108" s="142"/>
      <c r="TDO108" s="142"/>
      <c r="TDP108" s="142"/>
      <c r="TDQ108" s="142"/>
      <c r="TDR108" s="142"/>
      <c r="TDS108" s="142"/>
      <c r="TDT108" s="142"/>
      <c r="TDU108" s="142"/>
      <c r="TDV108" s="142"/>
      <c r="TDW108" s="142"/>
      <c r="TDX108" s="142"/>
      <c r="TDY108" s="142"/>
      <c r="TDZ108" s="142"/>
      <c r="TEA108" s="142"/>
      <c r="TEB108" s="142"/>
      <c r="TEC108" s="142"/>
      <c r="TED108" s="142"/>
      <c r="TEE108" s="142"/>
      <c r="TEF108" s="142"/>
      <c r="TEG108" s="142"/>
      <c r="TEH108" s="142"/>
      <c r="TEI108" s="142"/>
      <c r="TEJ108" s="142"/>
      <c r="TEK108" s="142"/>
      <c r="TEL108" s="142"/>
      <c r="TEM108" s="142"/>
      <c r="TEN108" s="142"/>
      <c r="TEO108" s="142"/>
      <c r="TEP108" s="142"/>
      <c r="TEQ108" s="142"/>
      <c r="TER108" s="142"/>
      <c r="TES108" s="142"/>
      <c r="TET108" s="142"/>
      <c r="TEU108" s="142"/>
      <c r="TEV108" s="142"/>
      <c r="TEW108" s="142"/>
      <c r="TEX108" s="142"/>
      <c r="TEY108" s="142"/>
      <c r="TEZ108" s="142"/>
      <c r="TFA108" s="142"/>
      <c r="TFB108" s="142"/>
      <c r="TFC108" s="142"/>
      <c r="TFD108" s="142"/>
      <c r="TFE108" s="142"/>
      <c r="TFF108" s="142"/>
      <c r="TFG108" s="142"/>
      <c r="TFH108" s="142"/>
      <c r="TFI108" s="142"/>
      <c r="TFJ108" s="142"/>
      <c r="TFK108" s="142"/>
      <c r="TFL108" s="142"/>
      <c r="TFM108" s="142"/>
      <c r="TFN108" s="142"/>
      <c r="TFO108" s="142"/>
      <c r="TFP108" s="142"/>
      <c r="TFQ108" s="142"/>
      <c r="TFR108" s="142"/>
      <c r="TFS108" s="142"/>
      <c r="TFT108" s="142"/>
      <c r="TFU108" s="142"/>
      <c r="TFV108" s="142"/>
      <c r="TFW108" s="142"/>
      <c r="TFX108" s="142"/>
      <c r="TFY108" s="142"/>
      <c r="TFZ108" s="142"/>
      <c r="TGA108" s="142"/>
      <c r="TGB108" s="142"/>
      <c r="TGC108" s="142"/>
      <c r="TGD108" s="142"/>
      <c r="TGE108" s="142"/>
      <c r="TGF108" s="142"/>
      <c r="TGG108" s="142"/>
      <c r="TGH108" s="142"/>
      <c r="TGI108" s="142"/>
      <c r="TGJ108" s="142"/>
      <c r="TGK108" s="142"/>
      <c r="TGL108" s="142"/>
      <c r="TGM108" s="142"/>
      <c r="TGN108" s="142"/>
      <c r="TGO108" s="142"/>
      <c r="TGP108" s="142"/>
      <c r="TGQ108" s="142"/>
      <c r="TGR108" s="142"/>
      <c r="TGS108" s="142"/>
      <c r="TGT108" s="142"/>
      <c r="TGU108" s="142"/>
      <c r="TGV108" s="142"/>
      <c r="TGW108" s="142"/>
      <c r="TGX108" s="142"/>
      <c r="TGY108" s="142"/>
      <c r="TGZ108" s="142"/>
      <c r="THA108" s="142"/>
      <c r="THB108" s="142"/>
      <c r="THC108" s="142"/>
      <c r="THD108" s="142"/>
      <c r="THE108" s="142"/>
      <c r="THF108" s="142"/>
      <c r="THG108" s="142"/>
      <c r="THH108" s="142"/>
      <c r="THI108" s="142"/>
      <c r="THJ108" s="142"/>
      <c r="THK108" s="142"/>
      <c r="THL108" s="142"/>
      <c r="THM108" s="142"/>
      <c r="THN108" s="142"/>
      <c r="THO108" s="142"/>
      <c r="THP108" s="142"/>
      <c r="THQ108" s="142"/>
      <c r="THR108" s="142"/>
      <c r="THS108" s="142"/>
      <c r="THT108" s="142"/>
      <c r="THU108" s="142"/>
      <c r="THV108" s="142"/>
      <c r="THW108" s="142"/>
      <c r="THX108" s="142"/>
      <c r="THY108" s="142"/>
      <c r="THZ108" s="142"/>
      <c r="TIA108" s="142"/>
      <c r="TIB108" s="142"/>
      <c r="TIC108" s="142"/>
      <c r="TID108" s="142"/>
      <c r="TIE108" s="142"/>
      <c r="TIF108" s="142"/>
      <c r="TIG108" s="142"/>
      <c r="TIH108" s="142"/>
      <c r="TII108" s="142"/>
      <c r="TIJ108" s="142"/>
      <c r="TIK108" s="142"/>
      <c r="TIL108" s="142"/>
      <c r="TIM108" s="142"/>
      <c r="TIN108" s="142"/>
      <c r="TIO108" s="142"/>
      <c r="TIP108" s="142"/>
      <c r="TIQ108" s="142"/>
      <c r="TIR108" s="142"/>
      <c r="TIS108" s="142"/>
      <c r="TIT108" s="142"/>
      <c r="TIU108" s="142"/>
      <c r="TIV108" s="142"/>
      <c r="TIW108" s="142"/>
      <c r="TIX108" s="142"/>
      <c r="TIY108" s="142"/>
      <c r="TIZ108" s="142"/>
      <c r="TJA108" s="142"/>
      <c r="TJB108" s="142"/>
      <c r="TJC108" s="142"/>
      <c r="TJD108" s="142"/>
      <c r="TJE108" s="142"/>
      <c r="TJF108" s="142"/>
      <c r="TJG108" s="142"/>
      <c r="TJH108" s="142"/>
      <c r="TJI108" s="142"/>
      <c r="TJJ108" s="142"/>
      <c r="TJK108" s="142"/>
      <c r="TJL108" s="142"/>
      <c r="TJM108" s="142"/>
      <c r="TJN108" s="142"/>
      <c r="TJO108" s="142"/>
      <c r="TJP108" s="142"/>
      <c r="TJQ108" s="142"/>
      <c r="TJR108" s="142"/>
      <c r="TJS108" s="142"/>
      <c r="TJT108" s="142"/>
      <c r="TJU108" s="142"/>
      <c r="TJV108" s="142"/>
      <c r="TJW108" s="142"/>
      <c r="TJX108" s="142"/>
      <c r="TJY108" s="142"/>
      <c r="TJZ108" s="142"/>
      <c r="TKA108" s="142"/>
      <c r="TKB108" s="142"/>
      <c r="TKC108" s="142"/>
      <c r="TKD108" s="142"/>
      <c r="TKE108" s="142"/>
      <c r="TKF108" s="142"/>
      <c r="TKG108" s="142"/>
      <c r="TKH108" s="142"/>
      <c r="TKI108" s="142"/>
      <c r="TKJ108" s="142"/>
      <c r="TKK108" s="142"/>
      <c r="TKL108" s="142"/>
      <c r="TKM108" s="142"/>
      <c r="TKN108" s="142"/>
      <c r="TKO108" s="142"/>
      <c r="TKP108" s="142"/>
      <c r="TKQ108" s="142"/>
      <c r="TKR108" s="142"/>
      <c r="TKS108" s="142"/>
      <c r="TKT108" s="142"/>
      <c r="TKU108" s="142"/>
      <c r="TKV108" s="142"/>
      <c r="TKW108" s="142"/>
      <c r="TKX108" s="142"/>
      <c r="TKY108" s="142"/>
      <c r="TKZ108" s="142"/>
      <c r="TLA108" s="142"/>
      <c r="TLB108" s="142"/>
      <c r="TLC108" s="142"/>
      <c r="TLD108" s="142"/>
      <c r="TLE108" s="142"/>
      <c r="TLF108" s="142"/>
      <c r="TLG108" s="142"/>
      <c r="TLH108" s="142"/>
      <c r="TLI108" s="142"/>
      <c r="TLJ108" s="142"/>
      <c r="TLK108" s="142"/>
      <c r="TLL108" s="142"/>
      <c r="TLM108" s="142"/>
      <c r="TLN108" s="142"/>
      <c r="TLO108" s="142"/>
      <c r="TLP108" s="142"/>
      <c r="TLQ108" s="142"/>
      <c r="TLR108" s="142"/>
      <c r="TLS108" s="142"/>
      <c r="TLT108" s="142"/>
      <c r="TLU108" s="142"/>
      <c r="TLV108" s="142"/>
      <c r="TLW108" s="142"/>
      <c r="TLX108" s="142"/>
      <c r="TLY108" s="142"/>
      <c r="TLZ108" s="142"/>
      <c r="TMA108" s="142"/>
      <c r="TMB108" s="142"/>
      <c r="TMC108" s="142"/>
      <c r="TMD108" s="142"/>
      <c r="TME108" s="142"/>
      <c r="TMF108" s="142"/>
      <c r="TMG108" s="142"/>
      <c r="TMH108" s="142"/>
      <c r="TMI108" s="142"/>
      <c r="TMJ108" s="142"/>
      <c r="TMK108" s="142"/>
      <c r="TML108" s="142"/>
      <c r="TMM108" s="142"/>
      <c r="TMN108" s="142"/>
      <c r="TMO108" s="142"/>
      <c r="TMP108" s="142"/>
      <c r="TMQ108" s="142"/>
      <c r="TMR108" s="142"/>
      <c r="TMS108" s="142"/>
      <c r="TMT108" s="142"/>
      <c r="TMU108" s="142"/>
      <c r="TMV108" s="142"/>
      <c r="TMW108" s="142"/>
      <c r="TMX108" s="142"/>
      <c r="TMY108" s="142"/>
      <c r="TMZ108" s="142"/>
      <c r="TNA108" s="142"/>
      <c r="TNB108" s="142"/>
      <c r="TNC108" s="142"/>
      <c r="TND108" s="142"/>
      <c r="TNE108" s="142"/>
      <c r="TNF108" s="142"/>
      <c r="TNG108" s="142"/>
      <c r="TNH108" s="142"/>
      <c r="TNI108" s="142"/>
      <c r="TNJ108" s="142"/>
      <c r="TNK108" s="142"/>
      <c r="TNL108" s="142"/>
      <c r="TNM108" s="142"/>
      <c r="TNN108" s="142"/>
      <c r="TNO108" s="142"/>
      <c r="TNP108" s="142"/>
      <c r="TNQ108" s="142"/>
      <c r="TNR108" s="142"/>
      <c r="TNS108" s="142"/>
      <c r="TNT108" s="142"/>
      <c r="TNU108" s="142"/>
      <c r="TNV108" s="142"/>
      <c r="TNW108" s="142"/>
      <c r="TNX108" s="142"/>
      <c r="TNY108" s="142"/>
      <c r="TNZ108" s="142"/>
      <c r="TOA108" s="142"/>
      <c r="TOB108" s="142"/>
      <c r="TOC108" s="142"/>
      <c r="TOD108" s="142"/>
      <c r="TOE108" s="142"/>
      <c r="TOF108" s="142"/>
      <c r="TOG108" s="142"/>
      <c r="TOH108" s="142"/>
      <c r="TOI108" s="142"/>
      <c r="TOJ108" s="142"/>
      <c r="TOK108" s="142"/>
      <c r="TOL108" s="142"/>
      <c r="TOM108" s="142"/>
      <c r="TON108" s="142"/>
      <c r="TOO108" s="142"/>
      <c r="TOP108" s="142"/>
      <c r="TOQ108" s="142"/>
      <c r="TOR108" s="142"/>
      <c r="TOS108" s="142"/>
      <c r="TOT108" s="142"/>
      <c r="TOU108" s="142"/>
      <c r="TOV108" s="142"/>
      <c r="TOW108" s="142"/>
      <c r="TOX108" s="142"/>
      <c r="TOY108" s="142"/>
      <c r="TOZ108" s="142"/>
      <c r="TPA108" s="142"/>
      <c r="TPB108" s="142"/>
      <c r="TPC108" s="142"/>
      <c r="TPD108" s="142"/>
      <c r="TPE108" s="142"/>
      <c r="TPF108" s="142"/>
      <c r="TPG108" s="142"/>
      <c r="TPH108" s="142"/>
      <c r="TPI108" s="142"/>
      <c r="TPJ108" s="142"/>
      <c r="TPK108" s="142"/>
      <c r="TPL108" s="142"/>
      <c r="TPM108" s="142"/>
      <c r="TPN108" s="142"/>
      <c r="TPO108" s="142"/>
      <c r="TPP108" s="142"/>
      <c r="TPQ108" s="142"/>
      <c r="TPR108" s="142"/>
      <c r="TPS108" s="142"/>
      <c r="TPT108" s="142"/>
      <c r="TPU108" s="142"/>
      <c r="TPV108" s="142"/>
      <c r="TPW108" s="142"/>
      <c r="TPX108" s="142"/>
      <c r="TPY108" s="142"/>
      <c r="TPZ108" s="142"/>
      <c r="TQA108" s="142"/>
      <c r="TQB108" s="142"/>
      <c r="TQC108" s="142"/>
      <c r="TQD108" s="142"/>
      <c r="TQE108" s="142"/>
      <c r="TQF108" s="142"/>
      <c r="TQG108" s="142"/>
      <c r="TQH108" s="142"/>
      <c r="TQI108" s="142"/>
      <c r="TQJ108" s="142"/>
      <c r="TQK108" s="142"/>
      <c r="TQL108" s="142"/>
      <c r="TQM108" s="142"/>
      <c r="TQN108" s="142"/>
      <c r="TQO108" s="142"/>
      <c r="TQP108" s="142"/>
      <c r="TQQ108" s="142"/>
      <c r="TQR108" s="142"/>
      <c r="TQS108" s="142"/>
      <c r="TQT108" s="142"/>
      <c r="TQU108" s="142"/>
      <c r="TQV108" s="142"/>
      <c r="TQW108" s="142"/>
      <c r="TQX108" s="142"/>
      <c r="TQY108" s="142"/>
      <c r="TQZ108" s="142"/>
      <c r="TRA108" s="142"/>
      <c r="TRB108" s="142"/>
      <c r="TRC108" s="142"/>
      <c r="TRD108" s="142"/>
      <c r="TRE108" s="142"/>
      <c r="TRF108" s="142"/>
      <c r="TRG108" s="142"/>
      <c r="TRH108" s="142"/>
      <c r="TRI108" s="142"/>
      <c r="TRJ108" s="142"/>
      <c r="TRK108" s="142"/>
      <c r="TRL108" s="142"/>
      <c r="TRM108" s="142"/>
      <c r="TRN108" s="142"/>
      <c r="TRO108" s="142"/>
      <c r="TRP108" s="142"/>
      <c r="TRQ108" s="142"/>
      <c r="TRR108" s="142"/>
      <c r="TRS108" s="142"/>
      <c r="TRT108" s="142"/>
      <c r="TRU108" s="142"/>
      <c r="TRV108" s="142"/>
      <c r="TRW108" s="142"/>
      <c r="TRX108" s="142"/>
      <c r="TRY108" s="142"/>
      <c r="TRZ108" s="142"/>
      <c r="TSA108" s="142"/>
      <c r="TSB108" s="142"/>
      <c r="TSC108" s="142"/>
      <c r="TSD108" s="142"/>
      <c r="TSE108" s="142"/>
      <c r="TSF108" s="142"/>
      <c r="TSG108" s="142"/>
      <c r="TSH108" s="142"/>
      <c r="TSI108" s="142"/>
      <c r="TSJ108" s="142"/>
      <c r="TSK108" s="142"/>
      <c r="TSL108" s="142"/>
      <c r="TSM108" s="142"/>
      <c r="TSN108" s="142"/>
      <c r="TSO108" s="142"/>
      <c r="TSP108" s="142"/>
      <c r="TSQ108" s="142"/>
      <c r="TSR108" s="142"/>
      <c r="TSS108" s="142"/>
      <c r="TST108" s="142"/>
      <c r="TSU108" s="142"/>
      <c r="TSV108" s="142"/>
      <c r="TSW108" s="142"/>
      <c r="TSX108" s="142"/>
      <c r="TSY108" s="142"/>
      <c r="TSZ108" s="142"/>
      <c r="TTA108" s="142"/>
      <c r="TTB108" s="142"/>
      <c r="TTC108" s="142"/>
      <c r="TTD108" s="142"/>
      <c r="TTE108" s="142"/>
      <c r="TTF108" s="142"/>
      <c r="TTG108" s="142"/>
      <c r="TTH108" s="142"/>
      <c r="TTI108" s="142"/>
      <c r="TTJ108" s="142"/>
      <c r="TTK108" s="142"/>
      <c r="TTL108" s="142"/>
      <c r="TTM108" s="142"/>
      <c r="TTN108" s="142"/>
      <c r="TTO108" s="142"/>
      <c r="TTP108" s="142"/>
      <c r="TTQ108" s="142"/>
      <c r="TTR108" s="142"/>
      <c r="TTS108" s="142"/>
      <c r="TTT108" s="142"/>
      <c r="TTU108" s="142"/>
      <c r="TTV108" s="142"/>
      <c r="TTW108" s="142"/>
      <c r="TTX108" s="142"/>
      <c r="TTY108" s="142"/>
      <c r="TTZ108" s="142"/>
      <c r="TUA108" s="142"/>
      <c r="TUB108" s="142"/>
      <c r="TUC108" s="142"/>
      <c r="TUD108" s="142"/>
      <c r="TUE108" s="142"/>
      <c r="TUF108" s="142"/>
      <c r="TUG108" s="142"/>
      <c r="TUH108" s="142"/>
      <c r="TUI108" s="142"/>
      <c r="TUJ108" s="142"/>
      <c r="TUK108" s="142"/>
      <c r="TUL108" s="142"/>
      <c r="TUM108" s="142"/>
      <c r="TUN108" s="142"/>
      <c r="TUO108" s="142"/>
      <c r="TUP108" s="142"/>
      <c r="TUQ108" s="142"/>
      <c r="TUR108" s="142"/>
      <c r="TUS108" s="142"/>
      <c r="TUT108" s="142"/>
      <c r="TUU108" s="142"/>
      <c r="TUV108" s="142"/>
      <c r="TUW108" s="142"/>
      <c r="TUX108" s="142"/>
      <c r="TUY108" s="142"/>
      <c r="TUZ108" s="142"/>
      <c r="TVA108" s="142"/>
      <c r="TVB108" s="142"/>
      <c r="TVC108" s="142"/>
      <c r="TVD108" s="142"/>
      <c r="TVE108" s="142"/>
      <c r="TVF108" s="142"/>
      <c r="TVG108" s="142"/>
      <c r="TVH108" s="142"/>
      <c r="TVI108" s="142"/>
      <c r="TVJ108" s="142"/>
      <c r="TVK108" s="142"/>
      <c r="TVL108" s="142"/>
      <c r="TVM108" s="142"/>
      <c r="TVN108" s="142"/>
      <c r="TVO108" s="142"/>
      <c r="TVP108" s="142"/>
      <c r="TVQ108" s="142"/>
      <c r="TVR108" s="142"/>
      <c r="TVS108" s="142"/>
      <c r="TVT108" s="142"/>
      <c r="TVU108" s="142"/>
      <c r="TVV108" s="142"/>
      <c r="TVW108" s="142"/>
      <c r="TVX108" s="142"/>
      <c r="TVY108" s="142"/>
      <c r="TVZ108" s="142"/>
      <c r="TWA108" s="142"/>
      <c r="TWB108" s="142"/>
      <c r="TWC108" s="142"/>
      <c r="TWD108" s="142"/>
      <c r="TWE108" s="142"/>
      <c r="TWF108" s="142"/>
      <c r="TWG108" s="142"/>
      <c r="TWH108" s="142"/>
      <c r="TWI108" s="142"/>
      <c r="TWJ108" s="142"/>
      <c r="TWK108" s="142"/>
      <c r="TWL108" s="142"/>
      <c r="TWM108" s="142"/>
      <c r="TWN108" s="142"/>
      <c r="TWO108" s="142"/>
      <c r="TWP108" s="142"/>
      <c r="TWQ108" s="142"/>
      <c r="TWR108" s="142"/>
      <c r="TWS108" s="142"/>
      <c r="TWT108" s="142"/>
      <c r="TWU108" s="142"/>
      <c r="TWV108" s="142"/>
      <c r="TWW108" s="142"/>
      <c r="TWX108" s="142"/>
      <c r="TWY108" s="142"/>
      <c r="TWZ108" s="142"/>
      <c r="TXA108" s="142"/>
      <c r="TXB108" s="142"/>
      <c r="TXC108" s="142"/>
      <c r="TXD108" s="142"/>
      <c r="TXE108" s="142"/>
      <c r="TXF108" s="142"/>
      <c r="TXG108" s="142"/>
      <c r="TXH108" s="142"/>
      <c r="TXI108" s="142"/>
      <c r="TXJ108" s="142"/>
      <c r="TXK108" s="142"/>
      <c r="TXL108" s="142"/>
      <c r="TXM108" s="142"/>
      <c r="TXN108" s="142"/>
      <c r="TXO108" s="142"/>
      <c r="TXP108" s="142"/>
      <c r="TXQ108" s="142"/>
      <c r="TXR108" s="142"/>
      <c r="TXS108" s="142"/>
      <c r="TXT108" s="142"/>
      <c r="TXU108" s="142"/>
      <c r="TXV108" s="142"/>
      <c r="TXW108" s="142"/>
      <c r="TXX108" s="142"/>
      <c r="TXY108" s="142"/>
      <c r="TXZ108" s="142"/>
      <c r="TYA108" s="142"/>
      <c r="TYB108" s="142"/>
      <c r="TYC108" s="142"/>
      <c r="TYD108" s="142"/>
      <c r="TYE108" s="142"/>
      <c r="TYF108" s="142"/>
      <c r="TYG108" s="142"/>
      <c r="TYH108" s="142"/>
      <c r="TYI108" s="142"/>
      <c r="TYJ108" s="142"/>
      <c r="TYK108" s="142"/>
      <c r="TYL108" s="142"/>
      <c r="TYM108" s="142"/>
      <c r="TYN108" s="142"/>
      <c r="TYO108" s="142"/>
      <c r="TYP108" s="142"/>
      <c r="TYQ108" s="142"/>
      <c r="TYR108" s="142"/>
      <c r="TYS108" s="142"/>
      <c r="TYT108" s="142"/>
      <c r="TYU108" s="142"/>
      <c r="TYV108" s="142"/>
      <c r="TYW108" s="142"/>
      <c r="TYX108" s="142"/>
      <c r="TYY108" s="142"/>
      <c r="TYZ108" s="142"/>
      <c r="TZA108" s="142"/>
      <c r="TZB108" s="142"/>
      <c r="TZC108" s="142"/>
      <c r="TZD108" s="142"/>
      <c r="TZE108" s="142"/>
      <c r="TZF108" s="142"/>
      <c r="TZG108" s="142"/>
      <c r="TZH108" s="142"/>
      <c r="TZI108" s="142"/>
      <c r="TZJ108" s="142"/>
      <c r="TZK108" s="142"/>
      <c r="TZL108" s="142"/>
      <c r="TZM108" s="142"/>
      <c r="TZN108" s="142"/>
      <c r="TZO108" s="142"/>
      <c r="TZP108" s="142"/>
      <c r="TZQ108" s="142"/>
      <c r="TZR108" s="142"/>
      <c r="TZS108" s="142"/>
      <c r="TZT108" s="142"/>
      <c r="TZU108" s="142"/>
      <c r="TZV108" s="142"/>
      <c r="TZW108" s="142"/>
      <c r="TZX108" s="142"/>
      <c r="TZY108" s="142"/>
      <c r="TZZ108" s="142"/>
      <c r="UAA108" s="142"/>
      <c r="UAB108" s="142"/>
      <c r="UAC108" s="142"/>
      <c r="UAD108" s="142"/>
      <c r="UAE108" s="142"/>
      <c r="UAF108" s="142"/>
      <c r="UAG108" s="142"/>
      <c r="UAH108" s="142"/>
      <c r="UAI108" s="142"/>
      <c r="UAJ108" s="142"/>
      <c r="UAK108" s="142"/>
      <c r="UAL108" s="142"/>
      <c r="UAM108" s="142"/>
      <c r="UAN108" s="142"/>
      <c r="UAO108" s="142"/>
      <c r="UAP108" s="142"/>
      <c r="UAQ108" s="142"/>
      <c r="UAR108" s="142"/>
      <c r="UAS108" s="142"/>
      <c r="UAT108" s="142"/>
      <c r="UAU108" s="142"/>
      <c r="UAV108" s="142"/>
      <c r="UAW108" s="142"/>
      <c r="UAX108" s="142"/>
      <c r="UAY108" s="142"/>
      <c r="UAZ108" s="142"/>
      <c r="UBA108" s="142"/>
      <c r="UBB108" s="142"/>
      <c r="UBC108" s="142"/>
      <c r="UBD108" s="142"/>
      <c r="UBE108" s="142"/>
      <c r="UBF108" s="142"/>
      <c r="UBG108" s="142"/>
      <c r="UBH108" s="142"/>
      <c r="UBI108" s="142"/>
      <c r="UBJ108" s="142"/>
      <c r="UBK108" s="142"/>
      <c r="UBL108" s="142"/>
      <c r="UBM108" s="142"/>
      <c r="UBN108" s="142"/>
      <c r="UBO108" s="142"/>
      <c r="UBP108" s="142"/>
      <c r="UBQ108" s="142"/>
      <c r="UBR108" s="142"/>
      <c r="UBS108" s="142"/>
      <c r="UBT108" s="142"/>
      <c r="UBU108" s="142"/>
      <c r="UBV108" s="142"/>
      <c r="UBW108" s="142"/>
      <c r="UBX108" s="142"/>
      <c r="UBY108" s="142"/>
      <c r="UBZ108" s="142"/>
      <c r="UCA108" s="142"/>
      <c r="UCB108" s="142"/>
      <c r="UCC108" s="142"/>
      <c r="UCD108" s="142"/>
      <c r="UCE108" s="142"/>
      <c r="UCF108" s="142"/>
      <c r="UCG108" s="142"/>
      <c r="UCH108" s="142"/>
      <c r="UCI108" s="142"/>
      <c r="UCJ108" s="142"/>
      <c r="UCK108" s="142"/>
      <c r="UCL108" s="142"/>
      <c r="UCM108" s="142"/>
      <c r="UCN108" s="142"/>
      <c r="UCO108" s="142"/>
      <c r="UCP108" s="142"/>
      <c r="UCQ108" s="142"/>
      <c r="UCR108" s="142"/>
      <c r="UCS108" s="142"/>
      <c r="UCT108" s="142"/>
      <c r="UCU108" s="142"/>
      <c r="UCV108" s="142"/>
      <c r="UCW108" s="142"/>
      <c r="UCX108" s="142"/>
      <c r="UCY108" s="142"/>
      <c r="UCZ108" s="142"/>
      <c r="UDA108" s="142"/>
      <c r="UDB108" s="142"/>
      <c r="UDC108" s="142"/>
      <c r="UDD108" s="142"/>
      <c r="UDE108" s="142"/>
      <c r="UDF108" s="142"/>
      <c r="UDG108" s="142"/>
      <c r="UDH108" s="142"/>
      <c r="UDI108" s="142"/>
      <c r="UDJ108" s="142"/>
      <c r="UDK108" s="142"/>
      <c r="UDL108" s="142"/>
      <c r="UDM108" s="142"/>
      <c r="UDN108" s="142"/>
      <c r="UDO108" s="142"/>
      <c r="UDP108" s="142"/>
      <c r="UDQ108" s="142"/>
      <c r="UDR108" s="142"/>
      <c r="UDS108" s="142"/>
      <c r="UDT108" s="142"/>
      <c r="UDU108" s="142"/>
      <c r="UDV108" s="142"/>
      <c r="UDW108" s="142"/>
      <c r="UDX108" s="142"/>
      <c r="UDY108" s="142"/>
      <c r="UDZ108" s="142"/>
      <c r="UEA108" s="142"/>
      <c r="UEB108" s="142"/>
      <c r="UEC108" s="142"/>
      <c r="UED108" s="142"/>
      <c r="UEE108" s="142"/>
      <c r="UEF108" s="142"/>
      <c r="UEG108" s="142"/>
      <c r="UEH108" s="142"/>
      <c r="UEI108" s="142"/>
      <c r="UEJ108" s="142"/>
      <c r="UEK108" s="142"/>
      <c r="UEL108" s="142"/>
      <c r="UEM108" s="142"/>
      <c r="UEN108" s="142"/>
      <c r="UEO108" s="142"/>
      <c r="UEP108" s="142"/>
      <c r="UEQ108" s="142"/>
      <c r="UER108" s="142"/>
      <c r="UES108" s="142"/>
      <c r="UET108" s="142"/>
      <c r="UEU108" s="142"/>
      <c r="UEV108" s="142"/>
      <c r="UEW108" s="142"/>
      <c r="UEX108" s="142"/>
      <c r="UEY108" s="142"/>
      <c r="UEZ108" s="142"/>
      <c r="UFA108" s="142"/>
      <c r="UFB108" s="142"/>
      <c r="UFC108" s="142"/>
      <c r="UFD108" s="142"/>
      <c r="UFE108" s="142"/>
      <c r="UFF108" s="142"/>
      <c r="UFG108" s="142"/>
      <c r="UFH108" s="142"/>
      <c r="UFI108" s="142"/>
      <c r="UFJ108" s="142"/>
      <c r="UFK108" s="142"/>
      <c r="UFL108" s="142"/>
      <c r="UFM108" s="142"/>
      <c r="UFN108" s="142"/>
      <c r="UFO108" s="142"/>
      <c r="UFP108" s="142"/>
      <c r="UFQ108" s="142"/>
      <c r="UFR108" s="142"/>
      <c r="UFS108" s="142"/>
      <c r="UFT108" s="142"/>
      <c r="UFU108" s="142"/>
      <c r="UFV108" s="142"/>
      <c r="UFW108" s="142"/>
      <c r="UFX108" s="142"/>
      <c r="UFY108" s="142"/>
      <c r="UFZ108" s="142"/>
      <c r="UGA108" s="142"/>
      <c r="UGB108" s="142"/>
      <c r="UGC108" s="142"/>
      <c r="UGD108" s="142"/>
      <c r="UGE108" s="142"/>
      <c r="UGF108" s="142"/>
      <c r="UGG108" s="142"/>
      <c r="UGH108" s="142"/>
      <c r="UGI108" s="142"/>
      <c r="UGJ108" s="142"/>
      <c r="UGK108" s="142"/>
      <c r="UGL108" s="142"/>
      <c r="UGM108" s="142"/>
      <c r="UGN108" s="142"/>
      <c r="UGO108" s="142"/>
      <c r="UGP108" s="142"/>
      <c r="UGQ108" s="142"/>
      <c r="UGR108" s="142"/>
      <c r="UGS108" s="142"/>
      <c r="UGT108" s="142"/>
      <c r="UGU108" s="142"/>
      <c r="UGV108" s="142"/>
      <c r="UGW108" s="142"/>
      <c r="UGX108" s="142"/>
      <c r="UGY108" s="142"/>
      <c r="UGZ108" s="142"/>
      <c r="UHA108" s="142"/>
      <c r="UHB108" s="142"/>
      <c r="UHC108" s="142"/>
      <c r="UHD108" s="142"/>
      <c r="UHE108" s="142"/>
      <c r="UHF108" s="142"/>
      <c r="UHG108" s="142"/>
      <c r="UHH108" s="142"/>
      <c r="UHI108" s="142"/>
      <c r="UHJ108" s="142"/>
      <c r="UHK108" s="142"/>
      <c r="UHL108" s="142"/>
      <c r="UHM108" s="142"/>
      <c r="UHN108" s="142"/>
      <c r="UHO108" s="142"/>
      <c r="UHP108" s="142"/>
      <c r="UHQ108" s="142"/>
      <c r="UHR108" s="142"/>
      <c r="UHS108" s="142"/>
      <c r="UHT108" s="142"/>
      <c r="UHU108" s="142"/>
      <c r="UHV108" s="142"/>
      <c r="UHW108" s="142"/>
      <c r="UHX108" s="142"/>
      <c r="UHY108" s="142"/>
      <c r="UHZ108" s="142"/>
      <c r="UIA108" s="142"/>
      <c r="UIB108" s="142"/>
      <c r="UIC108" s="142"/>
      <c r="UID108" s="142"/>
      <c r="UIE108" s="142"/>
      <c r="UIF108" s="142"/>
      <c r="UIG108" s="142"/>
      <c r="UIH108" s="142"/>
      <c r="UII108" s="142"/>
      <c r="UIJ108" s="142"/>
      <c r="UIK108" s="142"/>
      <c r="UIL108" s="142"/>
      <c r="UIM108" s="142"/>
      <c r="UIN108" s="142"/>
      <c r="UIO108" s="142"/>
      <c r="UIP108" s="142"/>
      <c r="UIQ108" s="142"/>
      <c r="UIR108" s="142"/>
      <c r="UIS108" s="142"/>
      <c r="UIT108" s="142"/>
      <c r="UIU108" s="142"/>
      <c r="UIV108" s="142"/>
      <c r="UIW108" s="142"/>
      <c r="UIX108" s="142"/>
      <c r="UIY108" s="142"/>
      <c r="UIZ108" s="142"/>
      <c r="UJA108" s="142"/>
      <c r="UJB108" s="142"/>
      <c r="UJC108" s="142"/>
      <c r="UJD108" s="142"/>
      <c r="UJE108" s="142"/>
      <c r="UJF108" s="142"/>
      <c r="UJG108" s="142"/>
      <c r="UJH108" s="142"/>
      <c r="UJI108" s="142"/>
      <c r="UJJ108" s="142"/>
      <c r="UJK108" s="142"/>
      <c r="UJL108" s="142"/>
      <c r="UJM108" s="142"/>
      <c r="UJN108" s="142"/>
      <c r="UJO108" s="142"/>
      <c r="UJP108" s="142"/>
      <c r="UJQ108" s="142"/>
      <c r="UJR108" s="142"/>
      <c r="UJS108" s="142"/>
      <c r="UJT108" s="142"/>
      <c r="UJU108" s="142"/>
      <c r="UJV108" s="142"/>
      <c r="UJW108" s="142"/>
      <c r="UJX108" s="142"/>
      <c r="UJY108" s="142"/>
      <c r="UJZ108" s="142"/>
      <c r="UKA108" s="142"/>
      <c r="UKB108" s="142"/>
      <c r="UKC108" s="142"/>
      <c r="UKD108" s="142"/>
      <c r="UKE108" s="142"/>
      <c r="UKF108" s="142"/>
      <c r="UKG108" s="142"/>
      <c r="UKH108" s="142"/>
      <c r="UKI108" s="142"/>
      <c r="UKJ108" s="142"/>
      <c r="UKK108" s="142"/>
      <c r="UKL108" s="142"/>
      <c r="UKM108" s="142"/>
      <c r="UKN108" s="142"/>
      <c r="UKO108" s="142"/>
      <c r="UKP108" s="142"/>
      <c r="UKQ108" s="142"/>
      <c r="UKR108" s="142"/>
      <c r="UKS108" s="142"/>
      <c r="UKT108" s="142"/>
      <c r="UKU108" s="142"/>
      <c r="UKV108" s="142"/>
      <c r="UKW108" s="142"/>
      <c r="UKX108" s="142"/>
      <c r="UKY108" s="142"/>
      <c r="UKZ108" s="142"/>
      <c r="ULA108" s="142"/>
      <c r="ULB108" s="142"/>
      <c r="ULC108" s="142"/>
      <c r="ULD108" s="142"/>
      <c r="ULE108" s="142"/>
      <c r="ULF108" s="142"/>
      <c r="ULG108" s="142"/>
      <c r="ULH108" s="142"/>
      <c r="ULI108" s="142"/>
      <c r="ULJ108" s="142"/>
      <c r="ULK108" s="142"/>
      <c r="ULL108" s="142"/>
      <c r="ULM108" s="142"/>
      <c r="ULN108" s="142"/>
      <c r="ULO108" s="142"/>
      <c r="ULP108" s="142"/>
      <c r="ULQ108" s="142"/>
      <c r="ULR108" s="142"/>
      <c r="ULS108" s="142"/>
      <c r="ULT108" s="142"/>
      <c r="ULU108" s="142"/>
      <c r="ULV108" s="142"/>
      <c r="ULW108" s="142"/>
      <c r="ULX108" s="142"/>
      <c r="ULY108" s="142"/>
      <c r="ULZ108" s="142"/>
      <c r="UMA108" s="142"/>
      <c r="UMB108" s="142"/>
      <c r="UMC108" s="142"/>
      <c r="UMD108" s="142"/>
      <c r="UME108" s="142"/>
      <c r="UMF108" s="142"/>
      <c r="UMG108" s="142"/>
      <c r="UMH108" s="142"/>
      <c r="UMI108" s="142"/>
      <c r="UMJ108" s="142"/>
      <c r="UMK108" s="142"/>
      <c r="UML108" s="142"/>
      <c r="UMM108" s="142"/>
      <c r="UMN108" s="142"/>
      <c r="UMO108" s="142"/>
      <c r="UMP108" s="142"/>
      <c r="UMQ108" s="142"/>
      <c r="UMR108" s="142"/>
      <c r="UMS108" s="142"/>
      <c r="UMT108" s="142"/>
      <c r="UMU108" s="142"/>
      <c r="UMV108" s="142"/>
      <c r="UMW108" s="142"/>
      <c r="UMX108" s="142"/>
      <c r="UMY108" s="142"/>
      <c r="UMZ108" s="142"/>
      <c r="UNA108" s="142"/>
      <c r="UNB108" s="142"/>
      <c r="UNC108" s="142"/>
      <c r="UND108" s="142"/>
      <c r="UNE108" s="142"/>
      <c r="UNF108" s="142"/>
      <c r="UNG108" s="142"/>
      <c r="UNH108" s="142"/>
      <c r="UNI108" s="142"/>
      <c r="UNJ108" s="142"/>
      <c r="UNK108" s="142"/>
      <c r="UNL108" s="142"/>
      <c r="UNM108" s="142"/>
      <c r="UNN108" s="142"/>
      <c r="UNO108" s="142"/>
      <c r="UNP108" s="142"/>
      <c r="UNQ108" s="142"/>
      <c r="UNR108" s="142"/>
      <c r="UNS108" s="142"/>
      <c r="UNT108" s="142"/>
      <c r="UNU108" s="142"/>
      <c r="UNV108" s="142"/>
      <c r="UNW108" s="142"/>
      <c r="UNX108" s="142"/>
      <c r="UNY108" s="142"/>
      <c r="UNZ108" s="142"/>
      <c r="UOA108" s="142"/>
      <c r="UOB108" s="142"/>
      <c r="UOC108" s="142"/>
      <c r="UOD108" s="142"/>
      <c r="UOE108" s="142"/>
      <c r="UOF108" s="142"/>
      <c r="UOG108" s="142"/>
      <c r="UOH108" s="142"/>
      <c r="UOI108" s="142"/>
      <c r="UOJ108" s="142"/>
      <c r="UOK108" s="142"/>
      <c r="UOL108" s="142"/>
      <c r="UOM108" s="142"/>
      <c r="UON108" s="142"/>
      <c r="UOO108" s="142"/>
      <c r="UOP108" s="142"/>
      <c r="UOQ108" s="142"/>
      <c r="UOR108" s="142"/>
      <c r="UOS108" s="142"/>
      <c r="UOT108" s="142"/>
      <c r="UOU108" s="142"/>
      <c r="UOV108" s="142"/>
      <c r="UOW108" s="142"/>
      <c r="UOX108" s="142"/>
      <c r="UOY108" s="142"/>
      <c r="UOZ108" s="142"/>
      <c r="UPA108" s="142"/>
      <c r="UPB108" s="142"/>
      <c r="UPC108" s="142"/>
      <c r="UPD108" s="142"/>
      <c r="UPE108" s="142"/>
      <c r="UPF108" s="142"/>
      <c r="UPG108" s="142"/>
      <c r="UPH108" s="142"/>
      <c r="UPI108" s="142"/>
      <c r="UPJ108" s="142"/>
      <c r="UPK108" s="142"/>
      <c r="UPL108" s="142"/>
      <c r="UPM108" s="142"/>
      <c r="UPN108" s="142"/>
      <c r="UPO108" s="142"/>
      <c r="UPP108" s="142"/>
      <c r="UPQ108" s="142"/>
      <c r="UPR108" s="142"/>
      <c r="UPS108" s="142"/>
      <c r="UPT108" s="142"/>
      <c r="UPU108" s="142"/>
      <c r="UPV108" s="142"/>
      <c r="UPW108" s="142"/>
      <c r="UPX108" s="142"/>
      <c r="UPY108" s="142"/>
      <c r="UPZ108" s="142"/>
      <c r="UQA108" s="142"/>
      <c r="UQB108" s="142"/>
      <c r="UQC108" s="142"/>
      <c r="UQD108" s="142"/>
      <c r="UQE108" s="142"/>
      <c r="UQF108" s="142"/>
      <c r="UQG108" s="142"/>
      <c r="UQH108" s="142"/>
      <c r="UQI108" s="142"/>
      <c r="UQJ108" s="142"/>
      <c r="UQK108" s="142"/>
      <c r="UQL108" s="142"/>
      <c r="UQM108" s="142"/>
      <c r="UQN108" s="142"/>
      <c r="UQO108" s="142"/>
      <c r="UQP108" s="142"/>
      <c r="UQQ108" s="142"/>
      <c r="UQR108" s="142"/>
      <c r="UQS108" s="142"/>
      <c r="UQT108" s="142"/>
      <c r="UQU108" s="142"/>
      <c r="UQV108" s="142"/>
      <c r="UQW108" s="142"/>
      <c r="UQX108" s="142"/>
      <c r="UQY108" s="142"/>
      <c r="UQZ108" s="142"/>
      <c r="URA108" s="142"/>
      <c r="URB108" s="142"/>
      <c r="URC108" s="142"/>
      <c r="URD108" s="142"/>
      <c r="URE108" s="142"/>
      <c r="URF108" s="142"/>
      <c r="URG108" s="142"/>
      <c r="URH108" s="142"/>
      <c r="URI108" s="142"/>
      <c r="URJ108" s="142"/>
      <c r="URK108" s="142"/>
      <c r="URL108" s="142"/>
      <c r="URM108" s="142"/>
      <c r="URN108" s="142"/>
      <c r="URO108" s="142"/>
      <c r="URP108" s="142"/>
      <c r="URQ108" s="142"/>
      <c r="URR108" s="142"/>
      <c r="URS108" s="142"/>
      <c r="URT108" s="142"/>
      <c r="URU108" s="142"/>
      <c r="URV108" s="142"/>
      <c r="URW108" s="142"/>
      <c r="URX108" s="142"/>
      <c r="URY108" s="142"/>
      <c r="URZ108" s="142"/>
      <c r="USA108" s="142"/>
      <c r="USB108" s="142"/>
      <c r="USC108" s="142"/>
      <c r="USD108" s="142"/>
      <c r="USE108" s="142"/>
      <c r="USF108" s="142"/>
      <c r="USG108" s="142"/>
      <c r="USH108" s="142"/>
      <c r="USI108" s="142"/>
      <c r="USJ108" s="142"/>
      <c r="USK108" s="142"/>
      <c r="USL108" s="142"/>
      <c r="USM108" s="142"/>
      <c r="USN108" s="142"/>
      <c r="USO108" s="142"/>
      <c r="USP108" s="142"/>
      <c r="USQ108" s="142"/>
      <c r="USR108" s="142"/>
      <c r="USS108" s="142"/>
      <c r="UST108" s="142"/>
      <c r="USU108" s="142"/>
      <c r="USV108" s="142"/>
      <c r="USW108" s="142"/>
      <c r="USX108" s="142"/>
      <c r="USY108" s="142"/>
      <c r="USZ108" s="142"/>
      <c r="UTA108" s="142"/>
      <c r="UTB108" s="142"/>
      <c r="UTC108" s="142"/>
      <c r="UTD108" s="142"/>
      <c r="UTE108" s="142"/>
      <c r="UTF108" s="142"/>
      <c r="UTG108" s="142"/>
      <c r="UTH108" s="142"/>
      <c r="UTI108" s="142"/>
      <c r="UTJ108" s="142"/>
      <c r="UTK108" s="142"/>
      <c r="UTL108" s="142"/>
      <c r="UTM108" s="142"/>
      <c r="UTN108" s="142"/>
      <c r="UTO108" s="142"/>
      <c r="UTP108" s="142"/>
      <c r="UTQ108" s="142"/>
      <c r="UTR108" s="142"/>
      <c r="UTS108" s="142"/>
      <c r="UTT108" s="142"/>
      <c r="UTU108" s="142"/>
      <c r="UTV108" s="142"/>
      <c r="UTW108" s="142"/>
      <c r="UTX108" s="142"/>
      <c r="UTY108" s="142"/>
      <c r="UTZ108" s="142"/>
      <c r="UUA108" s="142"/>
      <c r="UUB108" s="142"/>
      <c r="UUC108" s="142"/>
      <c r="UUD108" s="142"/>
      <c r="UUE108" s="142"/>
      <c r="UUF108" s="142"/>
      <c r="UUG108" s="142"/>
      <c r="UUH108" s="142"/>
      <c r="UUI108" s="142"/>
      <c r="UUJ108" s="142"/>
      <c r="UUK108" s="142"/>
      <c r="UUL108" s="142"/>
      <c r="UUM108" s="142"/>
      <c r="UUN108" s="142"/>
      <c r="UUO108" s="142"/>
      <c r="UUP108" s="142"/>
      <c r="UUQ108" s="142"/>
      <c r="UUR108" s="142"/>
      <c r="UUS108" s="142"/>
      <c r="UUT108" s="142"/>
      <c r="UUU108" s="142"/>
      <c r="UUV108" s="142"/>
      <c r="UUW108" s="142"/>
      <c r="UUX108" s="142"/>
      <c r="UUY108" s="142"/>
      <c r="UUZ108" s="142"/>
      <c r="UVA108" s="142"/>
      <c r="UVB108" s="142"/>
      <c r="UVC108" s="142"/>
      <c r="UVD108" s="142"/>
      <c r="UVE108" s="142"/>
      <c r="UVF108" s="142"/>
      <c r="UVG108" s="142"/>
      <c r="UVH108" s="142"/>
      <c r="UVI108" s="142"/>
      <c r="UVJ108" s="142"/>
      <c r="UVK108" s="142"/>
      <c r="UVL108" s="142"/>
      <c r="UVM108" s="142"/>
      <c r="UVN108" s="142"/>
      <c r="UVO108" s="142"/>
      <c r="UVP108" s="142"/>
      <c r="UVQ108" s="142"/>
      <c r="UVR108" s="142"/>
      <c r="UVS108" s="142"/>
      <c r="UVT108" s="142"/>
      <c r="UVU108" s="142"/>
      <c r="UVV108" s="142"/>
      <c r="UVW108" s="142"/>
      <c r="UVX108" s="142"/>
      <c r="UVY108" s="142"/>
      <c r="UVZ108" s="142"/>
      <c r="UWA108" s="142"/>
      <c r="UWB108" s="142"/>
      <c r="UWC108" s="142"/>
      <c r="UWD108" s="142"/>
      <c r="UWE108" s="142"/>
      <c r="UWF108" s="142"/>
      <c r="UWG108" s="142"/>
      <c r="UWH108" s="142"/>
      <c r="UWI108" s="142"/>
      <c r="UWJ108" s="142"/>
      <c r="UWK108" s="142"/>
      <c r="UWL108" s="142"/>
      <c r="UWM108" s="142"/>
      <c r="UWN108" s="142"/>
      <c r="UWO108" s="142"/>
      <c r="UWP108" s="142"/>
      <c r="UWQ108" s="142"/>
      <c r="UWR108" s="142"/>
      <c r="UWS108" s="142"/>
      <c r="UWT108" s="142"/>
      <c r="UWU108" s="142"/>
      <c r="UWV108" s="142"/>
      <c r="UWW108" s="142"/>
      <c r="UWX108" s="142"/>
      <c r="UWY108" s="142"/>
      <c r="UWZ108" s="142"/>
      <c r="UXA108" s="142"/>
      <c r="UXB108" s="142"/>
      <c r="UXC108" s="142"/>
      <c r="UXD108" s="142"/>
      <c r="UXE108" s="142"/>
      <c r="UXF108" s="142"/>
      <c r="UXG108" s="142"/>
      <c r="UXH108" s="142"/>
      <c r="UXI108" s="142"/>
      <c r="UXJ108" s="142"/>
      <c r="UXK108" s="142"/>
      <c r="UXL108" s="142"/>
      <c r="UXM108" s="142"/>
      <c r="UXN108" s="142"/>
      <c r="UXO108" s="142"/>
      <c r="UXP108" s="142"/>
      <c r="UXQ108" s="142"/>
      <c r="UXR108" s="142"/>
      <c r="UXS108" s="142"/>
      <c r="UXT108" s="142"/>
      <c r="UXU108" s="142"/>
      <c r="UXV108" s="142"/>
      <c r="UXW108" s="142"/>
      <c r="UXX108" s="142"/>
      <c r="UXY108" s="142"/>
      <c r="UXZ108" s="142"/>
      <c r="UYA108" s="142"/>
      <c r="UYB108" s="142"/>
      <c r="UYC108" s="142"/>
      <c r="UYD108" s="142"/>
      <c r="UYE108" s="142"/>
      <c r="UYF108" s="142"/>
      <c r="UYG108" s="142"/>
      <c r="UYH108" s="142"/>
      <c r="UYI108" s="142"/>
      <c r="UYJ108" s="142"/>
      <c r="UYK108" s="142"/>
      <c r="UYL108" s="142"/>
      <c r="UYM108" s="142"/>
      <c r="UYN108" s="142"/>
      <c r="UYO108" s="142"/>
      <c r="UYP108" s="142"/>
      <c r="UYQ108" s="142"/>
      <c r="UYR108" s="142"/>
      <c r="UYS108" s="142"/>
      <c r="UYT108" s="142"/>
      <c r="UYU108" s="142"/>
      <c r="UYV108" s="142"/>
      <c r="UYW108" s="142"/>
      <c r="UYX108" s="142"/>
      <c r="UYY108" s="142"/>
      <c r="UYZ108" s="142"/>
      <c r="UZA108" s="142"/>
      <c r="UZB108" s="142"/>
      <c r="UZC108" s="142"/>
      <c r="UZD108" s="142"/>
      <c r="UZE108" s="142"/>
      <c r="UZF108" s="142"/>
      <c r="UZG108" s="142"/>
      <c r="UZH108" s="142"/>
      <c r="UZI108" s="142"/>
      <c r="UZJ108" s="142"/>
      <c r="UZK108" s="142"/>
      <c r="UZL108" s="142"/>
      <c r="UZM108" s="142"/>
      <c r="UZN108" s="142"/>
      <c r="UZO108" s="142"/>
      <c r="UZP108" s="142"/>
      <c r="UZQ108" s="142"/>
      <c r="UZR108" s="142"/>
      <c r="UZS108" s="142"/>
      <c r="UZT108" s="142"/>
      <c r="UZU108" s="142"/>
      <c r="UZV108" s="142"/>
      <c r="UZW108" s="142"/>
      <c r="UZX108" s="142"/>
      <c r="UZY108" s="142"/>
      <c r="UZZ108" s="142"/>
      <c r="VAA108" s="142"/>
      <c r="VAB108" s="142"/>
      <c r="VAC108" s="142"/>
      <c r="VAD108" s="142"/>
      <c r="VAE108" s="142"/>
      <c r="VAF108" s="142"/>
      <c r="VAG108" s="142"/>
      <c r="VAH108" s="142"/>
      <c r="VAI108" s="142"/>
      <c r="VAJ108" s="142"/>
      <c r="VAK108" s="142"/>
      <c r="VAL108" s="142"/>
      <c r="VAM108" s="142"/>
      <c r="VAN108" s="142"/>
      <c r="VAO108" s="142"/>
      <c r="VAP108" s="142"/>
      <c r="VAQ108" s="142"/>
      <c r="VAR108" s="142"/>
      <c r="VAS108" s="142"/>
      <c r="VAT108" s="142"/>
      <c r="VAU108" s="142"/>
      <c r="VAV108" s="142"/>
      <c r="VAW108" s="142"/>
      <c r="VAX108" s="142"/>
      <c r="VAY108" s="142"/>
      <c r="VAZ108" s="142"/>
      <c r="VBA108" s="142"/>
      <c r="VBB108" s="142"/>
      <c r="VBC108" s="142"/>
      <c r="VBD108" s="142"/>
      <c r="VBE108" s="142"/>
      <c r="VBF108" s="142"/>
      <c r="VBG108" s="142"/>
      <c r="VBH108" s="142"/>
      <c r="VBI108" s="142"/>
      <c r="VBJ108" s="142"/>
      <c r="VBK108" s="142"/>
      <c r="VBL108" s="142"/>
      <c r="VBM108" s="142"/>
      <c r="VBN108" s="142"/>
      <c r="VBO108" s="142"/>
      <c r="VBP108" s="142"/>
      <c r="VBQ108" s="142"/>
      <c r="VBR108" s="142"/>
      <c r="VBS108" s="142"/>
      <c r="VBT108" s="142"/>
      <c r="VBU108" s="142"/>
      <c r="VBV108" s="142"/>
      <c r="VBW108" s="142"/>
      <c r="VBX108" s="142"/>
      <c r="VBY108" s="142"/>
      <c r="VBZ108" s="142"/>
      <c r="VCA108" s="142"/>
      <c r="VCB108" s="142"/>
      <c r="VCC108" s="142"/>
      <c r="VCD108" s="142"/>
      <c r="VCE108" s="142"/>
      <c r="VCF108" s="142"/>
      <c r="VCG108" s="142"/>
      <c r="VCH108" s="142"/>
      <c r="VCI108" s="142"/>
      <c r="VCJ108" s="142"/>
      <c r="VCK108" s="142"/>
      <c r="VCL108" s="142"/>
      <c r="VCM108" s="142"/>
      <c r="VCN108" s="142"/>
      <c r="VCO108" s="142"/>
      <c r="VCP108" s="142"/>
      <c r="VCQ108" s="142"/>
      <c r="VCR108" s="142"/>
      <c r="VCS108" s="142"/>
      <c r="VCT108" s="142"/>
      <c r="VCU108" s="142"/>
      <c r="VCV108" s="142"/>
      <c r="VCW108" s="142"/>
      <c r="VCX108" s="142"/>
      <c r="VCY108" s="142"/>
      <c r="VCZ108" s="142"/>
      <c r="VDA108" s="142"/>
      <c r="VDB108" s="142"/>
      <c r="VDC108" s="142"/>
      <c r="VDD108" s="142"/>
      <c r="VDE108" s="142"/>
      <c r="VDF108" s="142"/>
      <c r="VDG108" s="142"/>
      <c r="VDH108" s="142"/>
      <c r="VDI108" s="142"/>
      <c r="VDJ108" s="142"/>
      <c r="VDK108" s="142"/>
      <c r="VDL108" s="142"/>
      <c r="VDM108" s="142"/>
      <c r="VDN108" s="142"/>
      <c r="VDO108" s="142"/>
      <c r="VDP108" s="142"/>
      <c r="VDQ108" s="142"/>
      <c r="VDR108" s="142"/>
      <c r="VDS108" s="142"/>
      <c r="VDT108" s="142"/>
      <c r="VDU108" s="142"/>
      <c r="VDV108" s="142"/>
      <c r="VDW108" s="142"/>
      <c r="VDX108" s="142"/>
      <c r="VDY108" s="142"/>
      <c r="VDZ108" s="142"/>
      <c r="VEA108" s="142"/>
      <c r="VEB108" s="142"/>
      <c r="VEC108" s="142"/>
      <c r="VED108" s="142"/>
      <c r="VEE108" s="142"/>
      <c r="VEF108" s="142"/>
      <c r="VEG108" s="142"/>
      <c r="VEH108" s="142"/>
      <c r="VEI108" s="142"/>
      <c r="VEJ108" s="142"/>
      <c r="VEK108" s="142"/>
      <c r="VEL108" s="142"/>
      <c r="VEM108" s="142"/>
      <c r="VEN108" s="142"/>
      <c r="VEO108" s="142"/>
      <c r="VEP108" s="142"/>
      <c r="VEQ108" s="142"/>
      <c r="VER108" s="142"/>
      <c r="VES108" s="142"/>
      <c r="VET108" s="142"/>
      <c r="VEU108" s="142"/>
      <c r="VEV108" s="142"/>
      <c r="VEW108" s="142"/>
      <c r="VEX108" s="142"/>
      <c r="VEY108" s="142"/>
      <c r="VEZ108" s="142"/>
      <c r="VFA108" s="142"/>
      <c r="VFB108" s="142"/>
      <c r="VFC108" s="142"/>
      <c r="VFD108" s="142"/>
      <c r="VFE108" s="142"/>
      <c r="VFF108" s="142"/>
      <c r="VFG108" s="142"/>
      <c r="VFH108" s="142"/>
      <c r="VFI108" s="142"/>
      <c r="VFJ108" s="142"/>
      <c r="VFK108" s="142"/>
      <c r="VFL108" s="142"/>
      <c r="VFM108" s="142"/>
      <c r="VFN108" s="142"/>
      <c r="VFO108" s="142"/>
      <c r="VFP108" s="142"/>
      <c r="VFQ108" s="142"/>
      <c r="VFR108" s="142"/>
      <c r="VFS108" s="142"/>
      <c r="VFT108" s="142"/>
      <c r="VFU108" s="142"/>
      <c r="VFV108" s="142"/>
      <c r="VFW108" s="142"/>
      <c r="VFX108" s="142"/>
      <c r="VFY108" s="142"/>
      <c r="VFZ108" s="142"/>
      <c r="VGA108" s="142"/>
      <c r="VGB108" s="142"/>
      <c r="VGC108" s="142"/>
      <c r="VGD108" s="142"/>
      <c r="VGE108" s="142"/>
      <c r="VGF108" s="142"/>
      <c r="VGG108" s="142"/>
      <c r="VGH108" s="142"/>
      <c r="VGI108" s="142"/>
      <c r="VGJ108" s="142"/>
      <c r="VGK108" s="142"/>
      <c r="VGL108" s="142"/>
      <c r="VGM108" s="142"/>
      <c r="VGN108" s="142"/>
      <c r="VGO108" s="142"/>
      <c r="VGP108" s="142"/>
      <c r="VGQ108" s="142"/>
      <c r="VGR108" s="142"/>
      <c r="VGS108" s="142"/>
      <c r="VGT108" s="142"/>
      <c r="VGU108" s="142"/>
      <c r="VGV108" s="142"/>
      <c r="VGW108" s="142"/>
      <c r="VGX108" s="142"/>
      <c r="VGY108" s="142"/>
      <c r="VGZ108" s="142"/>
      <c r="VHA108" s="142"/>
      <c r="VHB108" s="142"/>
      <c r="VHC108" s="142"/>
      <c r="VHD108" s="142"/>
      <c r="VHE108" s="142"/>
      <c r="VHF108" s="142"/>
      <c r="VHG108" s="142"/>
      <c r="VHH108" s="142"/>
      <c r="VHI108" s="142"/>
      <c r="VHJ108" s="142"/>
      <c r="VHK108" s="142"/>
      <c r="VHL108" s="142"/>
      <c r="VHM108" s="142"/>
      <c r="VHN108" s="142"/>
      <c r="VHO108" s="142"/>
      <c r="VHP108" s="142"/>
      <c r="VHQ108" s="142"/>
      <c r="VHR108" s="142"/>
      <c r="VHS108" s="142"/>
      <c r="VHT108" s="142"/>
      <c r="VHU108" s="142"/>
      <c r="VHV108" s="142"/>
      <c r="VHW108" s="142"/>
      <c r="VHX108" s="142"/>
      <c r="VHY108" s="142"/>
      <c r="VHZ108" s="142"/>
      <c r="VIA108" s="142"/>
      <c r="VIB108" s="142"/>
      <c r="VIC108" s="142"/>
      <c r="VID108" s="142"/>
      <c r="VIE108" s="142"/>
      <c r="VIF108" s="142"/>
      <c r="VIG108" s="142"/>
      <c r="VIH108" s="142"/>
      <c r="VII108" s="142"/>
      <c r="VIJ108" s="142"/>
      <c r="VIK108" s="142"/>
      <c r="VIL108" s="142"/>
      <c r="VIM108" s="142"/>
      <c r="VIN108" s="142"/>
      <c r="VIO108" s="142"/>
      <c r="VIP108" s="142"/>
      <c r="VIQ108" s="142"/>
      <c r="VIR108" s="142"/>
      <c r="VIS108" s="142"/>
      <c r="VIT108" s="142"/>
      <c r="VIU108" s="142"/>
      <c r="VIV108" s="142"/>
      <c r="VIW108" s="142"/>
      <c r="VIX108" s="142"/>
      <c r="VIY108" s="142"/>
      <c r="VIZ108" s="142"/>
      <c r="VJA108" s="142"/>
      <c r="VJB108" s="142"/>
      <c r="VJC108" s="142"/>
      <c r="VJD108" s="142"/>
      <c r="VJE108" s="142"/>
      <c r="VJF108" s="142"/>
      <c r="VJG108" s="142"/>
      <c r="VJH108" s="142"/>
      <c r="VJI108" s="142"/>
      <c r="VJJ108" s="142"/>
      <c r="VJK108" s="142"/>
      <c r="VJL108" s="142"/>
      <c r="VJM108" s="142"/>
      <c r="VJN108" s="142"/>
      <c r="VJO108" s="142"/>
      <c r="VJP108" s="142"/>
      <c r="VJQ108" s="142"/>
      <c r="VJR108" s="142"/>
      <c r="VJS108" s="142"/>
      <c r="VJT108" s="142"/>
      <c r="VJU108" s="142"/>
      <c r="VJV108" s="142"/>
      <c r="VJW108" s="142"/>
      <c r="VJX108" s="142"/>
      <c r="VJY108" s="142"/>
      <c r="VJZ108" s="142"/>
      <c r="VKA108" s="142"/>
      <c r="VKB108" s="142"/>
      <c r="VKC108" s="142"/>
      <c r="VKD108" s="142"/>
      <c r="VKE108" s="142"/>
      <c r="VKF108" s="142"/>
      <c r="VKG108" s="142"/>
      <c r="VKH108" s="142"/>
      <c r="VKI108" s="142"/>
      <c r="VKJ108" s="142"/>
      <c r="VKK108" s="142"/>
      <c r="VKL108" s="142"/>
      <c r="VKM108" s="142"/>
      <c r="VKN108" s="142"/>
      <c r="VKO108" s="142"/>
      <c r="VKP108" s="142"/>
      <c r="VKQ108" s="142"/>
      <c r="VKR108" s="142"/>
      <c r="VKS108" s="142"/>
      <c r="VKT108" s="142"/>
      <c r="VKU108" s="142"/>
      <c r="VKV108" s="142"/>
      <c r="VKW108" s="142"/>
      <c r="VKX108" s="142"/>
      <c r="VKY108" s="142"/>
      <c r="VKZ108" s="142"/>
      <c r="VLA108" s="142"/>
      <c r="VLB108" s="142"/>
      <c r="VLC108" s="142"/>
      <c r="VLD108" s="142"/>
      <c r="VLE108" s="142"/>
      <c r="VLF108" s="142"/>
      <c r="VLG108" s="142"/>
      <c r="VLH108" s="142"/>
      <c r="VLI108" s="142"/>
      <c r="VLJ108" s="142"/>
      <c r="VLK108" s="142"/>
      <c r="VLL108" s="142"/>
      <c r="VLM108" s="142"/>
      <c r="VLN108" s="142"/>
      <c r="VLO108" s="142"/>
      <c r="VLP108" s="142"/>
      <c r="VLQ108" s="142"/>
      <c r="VLR108" s="142"/>
      <c r="VLS108" s="142"/>
      <c r="VLT108" s="142"/>
      <c r="VLU108" s="142"/>
      <c r="VLV108" s="142"/>
      <c r="VLW108" s="142"/>
      <c r="VLX108" s="142"/>
      <c r="VLY108" s="142"/>
      <c r="VLZ108" s="142"/>
      <c r="VMA108" s="142"/>
      <c r="VMB108" s="142"/>
      <c r="VMC108" s="142"/>
      <c r="VMD108" s="142"/>
      <c r="VME108" s="142"/>
      <c r="VMF108" s="142"/>
      <c r="VMG108" s="142"/>
      <c r="VMH108" s="142"/>
      <c r="VMI108" s="142"/>
      <c r="VMJ108" s="142"/>
      <c r="VMK108" s="142"/>
      <c r="VML108" s="142"/>
      <c r="VMM108" s="142"/>
      <c r="VMN108" s="142"/>
      <c r="VMO108" s="142"/>
      <c r="VMP108" s="142"/>
      <c r="VMQ108" s="142"/>
      <c r="VMR108" s="142"/>
      <c r="VMS108" s="142"/>
      <c r="VMT108" s="142"/>
      <c r="VMU108" s="142"/>
      <c r="VMV108" s="142"/>
      <c r="VMW108" s="142"/>
      <c r="VMX108" s="142"/>
      <c r="VMY108" s="142"/>
      <c r="VMZ108" s="142"/>
      <c r="VNA108" s="142"/>
      <c r="VNB108" s="142"/>
      <c r="VNC108" s="142"/>
      <c r="VND108" s="142"/>
      <c r="VNE108" s="142"/>
      <c r="VNF108" s="142"/>
      <c r="VNG108" s="142"/>
      <c r="VNH108" s="142"/>
      <c r="VNI108" s="142"/>
      <c r="VNJ108" s="142"/>
      <c r="VNK108" s="142"/>
      <c r="VNL108" s="142"/>
      <c r="VNM108" s="142"/>
      <c r="VNN108" s="142"/>
      <c r="VNO108" s="142"/>
      <c r="VNP108" s="142"/>
      <c r="VNQ108" s="142"/>
      <c r="VNR108" s="142"/>
      <c r="VNS108" s="142"/>
      <c r="VNT108" s="142"/>
      <c r="VNU108" s="142"/>
      <c r="VNV108" s="142"/>
      <c r="VNW108" s="142"/>
      <c r="VNX108" s="142"/>
      <c r="VNY108" s="142"/>
      <c r="VNZ108" s="142"/>
      <c r="VOA108" s="142"/>
      <c r="VOB108" s="142"/>
      <c r="VOC108" s="142"/>
      <c r="VOD108" s="142"/>
      <c r="VOE108" s="142"/>
      <c r="VOF108" s="142"/>
      <c r="VOG108" s="142"/>
      <c r="VOH108" s="142"/>
      <c r="VOI108" s="142"/>
      <c r="VOJ108" s="142"/>
      <c r="VOK108" s="142"/>
      <c r="VOL108" s="142"/>
      <c r="VOM108" s="142"/>
      <c r="VON108" s="142"/>
      <c r="VOO108" s="142"/>
      <c r="VOP108" s="142"/>
      <c r="VOQ108" s="142"/>
      <c r="VOR108" s="142"/>
      <c r="VOS108" s="142"/>
      <c r="VOT108" s="142"/>
      <c r="VOU108" s="142"/>
      <c r="VOV108" s="142"/>
      <c r="VOW108" s="142"/>
      <c r="VOX108" s="142"/>
      <c r="VOY108" s="142"/>
      <c r="VOZ108" s="142"/>
      <c r="VPA108" s="142"/>
      <c r="VPB108" s="142"/>
      <c r="VPC108" s="142"/>
      <c r="VPD108" s="142"/>
      <c r="VPE108" s="142"/>
      <c r="VPF108" s="142"/>
      <c r="VPG108" s="142"/>
      <c r="VPH108" s="142"/>
      <c r="VPI108" s="142"/>
      <c r="VPJ108" s="142"/>
      <c r="VPK108" s="142"/>
      <c r="VPL108" s="142"/>
      <c r="VPM108" s="142"/>
      <c r="VPN108" s="142"/>
      <c r="VPO108" s="142"/>
      <c r="VPP108" s="142"/>
      <c r="VPQ108" s="142"/>
      <c r="VPR108" s="142"/>
      <c r="VPS108" s="142"/>
      <c r="VPT108" s="142"/>
      <c r="VPU108" s="142"/>
      <c r="VPV108" s="142"/>
      <c r="VPW108" s="142"/>
      <c r="VPX108" s="142"/>
      <c r="VPY108" s="142"/>
      <c r="VPZ108" s="142"/>
      <c r="VQA108" s="142"/>
      <c r="VQB108" s="142"/>
      <c r="VQC108" s="142"/>
      <c r="VQD108" s="142"/>
      <c r="VQE108" s="142"/>
      <c r="VQF108" s="142"/>
      <c r="VQG108" s="142"/>
      <c r="VQH108" s="142"/>
      <c r="VQI108" s="142"/>
      <c r="VQJ108" s="142"/>
      <c r="VQK108" s="142"/>
      <c r="VQL108" s="142"/>
      <c r="VQM108" s="142"/>
      <c r="VQN108" s="142"/>
      <c r="VQO108" s="142"/>
      <c r="VQP108" s="142"/>
      <c r="VQQ108" s="142"/>
      <c r="VQR108" s="142"/>
      <c r="VQS108" s="142"/>
      <c r="VQT108" s="142"/>
      <c r="VQU108" s="142"/>
      <c r="VQV108" s="142"/>
      <c r="VQW108" s="142"/>
      <c r="VQX108" s="142"/>
      <c r="VQY108" s="142"/>
      <c r="VQZ108" s="142"/>
      <c r="VRA108" s="142"/>
      <c r="VRB108" s="142"/>
      <c r="VRC108" s="142"/>
      <c r="VRD108" s="142"/>
      <c r="VRE108" s="142"/>
      <c r="VRF108" s="142"/>
      <c r="VRG108" s="142"/>
      <c r="VRH108" s="142"/>
      <c r="VRI108" s="142"/>
      <c r="VRJ108" s="142"/>
      <c r="VRK108" s="142"/>
      <c r="VRL108" s="142"/>
      <c r="VRM108" s="142"/>
      <c r="VRN108" s="142"/>
      <c r="VRO108" s="142"/>
      <c r="VRP108" s="142"/>
      <c r="VRQ108" s="142"/>
      <c r="VRR108" s="142"/>
      <c r="VRS108" s="142"/>
      <c r="VRT108" s="142"/>
      <c r="VRU108" s="142"/>
      <c r="VRV108" s="142"/>
      <c r="VRW108" s="142"/>
      <c r="VRX108" s="142"/>
      <c r="VRY108" s="142"/>
      <c r="VRZ108" s="142"/>
      <c r="VSA108" s="142"/>
      <c r="VSB108" s="142"/>
      <c r="VSC108" s="142"/>
      <c r="VSD108" s="142"/>
      <c r="VSE108" s="142"/>
      <c r="VSF108" s="142"/>
      <c r="VSG108" s="142"/>
      <c r="VSH108" s="142"/>
      <c r="VSI108" s="142"/>
      <c r="VSJ108" s="142"/>
      <c r="VSK108" s="142"/>
      <c r="VSL108" s="142"/>
      <c r="VSM108" s="142"/>
      <c r="VSN108" s="142"/>
      <c r="VSO108" s="142"/>
      <c r="VSP108" s="142"/>
      <c r="VSQ108" s="142"/>
      <c r="VSR108" s="142"/>
      <c r="VSS108" s="142"/>
      <c r="VST108" s="142"/>
      <c r="VSU108" s="142"/>
      <c r="VSV108" s="142"/>
      <c r="VSW108" s="142"/>
      <c r="VSX108" s="142"/>
      <c r="VSY108" s="142"/>
      <c r="VSZ108" s="142"/>
      <c r="VTA108" s="142"/>
      <c r="VTB108" s="142"/>
      <c r="VTC108" s="142"/>
      <c r="VTD108" s="142"/>
      <c r="VTE108" s="142"/>
      <c r="VTF108" s="142"/>
      <c r="VTG108" s="142"/>
      <c r="VTH108" s="142"/>
      <c r="VTI108" s="142"/>
      <c r="VTJ108" s="142"/>
      <c r="VTK108" s="142"/>
      <c r="VTL108" s="142"/>
      <c r="VTM108" s="142"/>
      <c r="VTN108" s="142"/>
      <c r="VTO108" s="142"/>
      <c r="VTP108" s="142"/>
      <c r="VTQ108" s="142"/>
      <c r="VTR108" s="142"/>
      <c r="VTS108" s="142"/>
      <c r="VTT108" s="142"/>
      <c r="VTU108" s="142"/>
      <c r="VTV108" s="142"/>
      <c r="VTW108" s="142"/>
      <c r="VTX108" s="142"/>
      <c r="VTY108" s="142"/>
      <c r="VTZ108" s="142"/>
      <c r="VUA108" s="142"/>
      <c r="VUB108" s="142"/>
      <c r="VUC108" s="142"/>
      <c r="VUD108" s="142"/>
      <c r="VUE108" s="142"/>
      <c r="VUF108" s="142"/>
      <c r="VUG108" s="142"/>
      <c r="VUH108" s="142"/>
      <c r="VUI108" s="142"/>
      <c r="VUJ108" s="142"/>
      <c r="VUK108" s="142"/>
      <c r="VUL108" s="142"/>
      <c r="VUM108" s="142"/>
      <c r="VUN108" s="142"/>
      <c r="VUO108" s="142"/>
      <c r="VUP108" s="142"/>
      <c r="VUQ108" s="142"/>
      <c r="VUR108" s="142"/>
      <c r="VUS108" s="142"/>
      <c r="VUT108" s="142"/>
      <c r="VUU108" s="142"/>
      <c r="VUV108" s="142"/>
      <c r="VUW108" s="142"/>
      <c r="VUX108" s="142"/>
      <c r="VUY108" s="142"/>
      <c r="VUZ108" s="142"/>
      <c r="VVA108" s="142"/>
      <c r="VVB108" s="142"/>
      <c r="VVC108" s="142"/>
      <c r="VVD108" s="142"/>
      <c r="VVE108" s="142"/>
      <c r="VVF108" s="142"/>
      <c r="VVG108" s="142"/>
      <c r="VVH108" s="142"/>
      <c r="VVI108" s="142"/>
      <c r="VVJ108" s="142"/>
      <c r="VVK108" s="142"/>
      <c r="VVL108" s="142"/>
      <c r="VVM108" s="142"/>
      <c r="VVN108" s="142"/>
      <c r="VVO108" s="142"/>
      <c r="VVP108" s="142"/>
      <c r="VVQ108" s="142"/>
      <c r="VVR108" s="142"/>
      <c r="VVS108" s="142"/>
      <c r="VVT108" s="142"/>
      <c r="VVU108" s="142"/>
      <c r="VVV108" s="142"/>
      <c r="VVW108" s="142"/>
      <c r="VVX108" s="142"/>
      <c r="VVY108" s="142"/>
      <c r="VVZ108" s="142"/>
      <c r="VWA108" s="142"/>
      <c r="VWB108" s="142"/>
      <c r="VWC108" s="142"/>
      <c r="VWD108" s="142"/>
      <c r="VWE108" s="142"/>
      <c r="VWF108" s="142"/>
      <c r="VWG108" s="142"/>
      <c r="VWH108" s="142"/>
      <c r="VWI108" s="142"/>
      <c r="VWJ108" s="142"/>
      <c r="VWK108" s="142"/>
      <c r="VWL108" s="142"/>
      <c r="VWM108" s="142"/>
      <c r="VWN108" s="142"/>
      <c r="VWO108" s="142"/>
      <c r="VWP108" s="142"/>
      <c r="VWQ108" s="142"/>
      <c r="VWR108" s="142"/>
      <c r="VWS108" s="142"/>
      <c r="VWT108" s="142"/>
      <c r="VWU108" s="142"/>
      <c r="VWV108" s="142"/>
      <c r="VWW108" s="142"/>
      <c r="VWX108" s="142"/>
      <c r="VWY108" s="142"/>
      <c r="VWZ108" s="142"/>
      <c r="VXA108" s="142"/>
      <c r="VXB108" s="142"/>
      <c r="VXC108" s="142"/>
      <c r="VXD108" s="142"/>
      <c r="VXE108" s="142"/>
      <c r="VXF108" s="142"/>
      <c r="VXG108" s="142"/>
      <c r="VXH108" s="142"/>
      <c r="VXI108" s="142"/>
      <c r="VXJ108" s="142"/>
      <c r="VXK108" s="142"/>
      <c r="VXL108" s="142"/>
      <c r="VXM108" s="142"/>
      <c r="VXN108" s="142"/>
      <c r="VXO108" s="142"/>
      <c r="VXP108" s="142"/>
      <c r="VXQ108" s="142"/>
      <c r="VXR108" s="142"/>
      <c r="VXS108" s="142"/>
      <c r="VXT108" s="142"/>
      <c r="VXU108" s="142"/>
      <c r="VXV108" s="142"/>
      <c r="VXW108" s="142"/>
      <c r="VXX108" s="142"/>
      <c r="VXY108" s="142"/>
      <c r="VXZ108" s="142"/>
      <c r="VYA108" s="142"/>
      <c r="VYB108" s="142"/>
      <c r="VYC108" s="142"/>
      <c r="VYD108" s="142"/>
      <c r="VYE108" s="142"/>
      <c r="VYF108" s="142"/>
      <c r="VYG108" s="142"/>
      <c r="VYH108" s="142"/>
      <c r="VYI108" s="142"/>
      <c r="VYJ108" s="142"/>
      <c r="VYK108" s="142"/>
      <c r="VYL108" s="142"/>
      <c r="VYM108" s="142"/>
      <c r="VYN108" s="142"/>
      <c r="VYO108" s="142"/>
      <c r="VYP108" s="142"/>
      <c r="VYQ108" s="142"/>
      <c r="VYR108" s="142"/>
      <c r="VYS108" s="142"/>
      <c r="VYT108" s="142"/>
      <c r="VYU108" s="142"/>
      <c r="VYV108" s="142"/>
      <c r="VYW108" s="142"/>
      <c r="VYX108" s="142"/>
      <c r="VYY108" s="142"/>
      <c r="VYZ108" s="142"/>
      <c r="VZA108" s="142"/>
      <c r="VZB108" s="142"/>
      <c r="VZC108" s="142"/>
      <c r="VZD108" s="142"/>
      <c r="VZE108" s="142"/>
      <c r="VZF108" s="142"/>
      <c r="VZG108" s="142"/>
      <c r="VZH108" s="142"/>
      <c r="VZI108" s="142"/>
      <c r="VZJ108" s="142"/>
      <c r="VZK108" s="142"/>
      <c r="VZL108" s="142"/>
      <c r="VZM108" s="142"/>
      <c r="VZN108" s="142"/>
      <c r="VZO108" s="142"/>
      <c r="VZP108" s="142"/>
      <c r="VZQ108" s="142"/>
      <c r="VZR108" s="142"/>
      <c r="VZS108" s="142"/>
      <c r="VZT108" s="142"/>
      <c r="VZU108" s="142"/>
      <c r="VZV108" s="142"/>
      <c r="VZW108" s="142"/>
      <c r="VZX108" s="142"/>
      <c r="VZY108" s="142"/>
      <c r="VZZ108" s="142"/>
      <c r="WAA108" s="142"/>
      <c r="WAB108" s="142"/>
      <c r="WAC108" s="142"/>
      <c r="WAD108" s="142"/>
      <c r="WAE108" s="142"/>
      <c r="WAF108" s="142"/>
      <c r="WAG108" s="142"/>
      <c r="WAH108" s="142"/>
      <c r="WAI108" s="142"/>
      <c r="WAJ108" s="142"/>
      <c r="WAK108" s="142"/>
      <c r="WAL108" s="142"/>
      <c r="WAM108" s="142"/>
      <c r="WAN108" s="142"/>
      <c r="WAO108" s="142"/>
      <c r="WAP108" s="142"/>
      <c r="WAQ108" s="142"/>
      <c r="WAR108" s="142"/>
      <c r="WAS108" s="142"/>
      <c r="WAT108" s="142"/>
      <c r="WAU108" s="142"/>
      <c r="WAV108" s="142"/>
      <c r="WAW108" s="142"/>
      <c r="WAX108" s="142"/>
      <c r="WAY108" s="142"/>
      <c r="WAZ108" s="142"/>
      <c r="WBA108" s="142"/>
      <c r="WBB108" s="142"/>
      <c r="WBC108" s="142"/>
      <c r="WBD108" s="142"/>
      <c r="WBE108" s="142"/>
      <c r="WBF108" s="142"/>
      <c r="WBG108" s="142"/>
      <c r="WBH108" s="142"/>
      <c r="WBI108" s="142"/>
      <c r="WBJ108" s="142"/>
      <c r="WBK108" s="142"/>
      <c r="WBL108" s="142"/>
      <c r="WBM108" s="142"/>
      <c r="WBN108" s="142"/>
      <c r="WBO108" s="142"/>
      <c r="WBP108" s="142"/>
      <c r="WBQ108" s="142"/>
      <c r="WBR108" s="142"/>
      <c r="WBS108" s="142"/>
      <c r="WBT108" s="142"/>
      <c r="WBU108" s="142"/>
      <c r="WBV108" s="142"/>
      <c r="WBW108" s="142"/>
      <c r="WBX108" s="142"/>
      <c r="WBY108" s="142"/>
      <c r="WBZ108" s="142"/>
      <c r="WCA108" s="142"/>
      <c r="WCB108" s="142"/>
      <c r="WCC108" s="142"/>
      <c r="WCD108" s="142"/>
      <c r="WCE108" s="142"/>
      <c r="WCF108" s="142"/>
      <c r="WCG108" s="142"/>
      <c r="WCH108" s="142"/>
      <c r="WCI108" s="142"/>
      <c r="WCJ108" s="142"/>
      <c r="WCK108" s="142"/>
      <c r="WCL108" s="142"/>
      <c r="WCM108" s="142"/>
      <c r="WCN108" s="142"/>
      <c r="WCO108" s="142"/>
      <c r="WCP108" s="142"/>
      <c r="WCQ108" s="142"/>
      <c r="WCR108" s="142"/>
      <c r="WCS108" s="142"/>
      <c r="WCT108" s="142"/>
      <c r="WCU108" s="142"/>
      <c r="WCV108" s="142"/>
      <c r="WCW108" s="142"/>
      <c r="WCX108" s="142"/>
      <c r="WCY108" s="142"/>
      <c r="WCZ108" s="142"/>
      <c r="WDA108" s="142"/>
      <c r="WDB108" s="142"/>
      <c r="WDC108" s="142"/>
      <c r="WDD108" s="142"/>
      <c r="WDE108" s="142"/>
      <c r="WDF108" s="142"/>
      <c r="WDG108" s="142"/>
      <c r="WDH108" s="142"/>
      <c r="WDI108" s="142"/>
      <c r="WDJ108" s="142"/>
      <c r="WDK108" s="142"/>
      <c r="WDL108" s="142"/>
      <c r="WDM108" s="142"/>
      <c r="WDN108" s="142"/>
      <c r="WDO108" s="142"/>
      <c r="WDP108" s="142"/>
      <c r="WDQ108" s="142"/>
      <c r="WDR108" s="142"/>
      <c r="WDS108" s="142"/>
      <c r="WDT108" s="142"/>
      <c r="WDU108" s="142"/>
      <c r="WDV108" s="142"/>
      <c r="WDW108" s="142"/>
      <c r="WDX108" s="142"/>
      <c r="WDY108" s="142"/>
      <c r="WDZ108" s="142"/>
      <c r="WEA108" s="142"/>
      <c r="WEB108" s="142"/>
      <c r="WEC108" s="142"/>
      <c r="WED108" s="142"/>
      <c r="WEE108" s="142"/>
      <c r="WEF108" s="142"/>
      <c r="WEG108" s="142"/>
      <c r="WEH108" s="142"/>
      <c r="WEI108" s="142"/>
      <c r="WEJ108" s="142"/>
      <c r="WEK108" s="142"/>
      <c r="WEL108" s="142"/>
      <c r="WEM108" s="142"/>
      <c r="WEN108" s="142"/>
      <c r="WEO108" s="142"/>
      <c r="WEP108" s="142"/>
      <c r="WEQ108" s="142"/>
      <c r="WER108" s="142"/>
      <c r="WES108" s="142"/>
      <c r="WET108" s="142"/>
      <c r="WEU108" s="142"/>
      <c r="WEV108" s="142"/>
      <c r="WEW108" s="142"/>
      <c r="WEX108" s="142"/>
      <c r="WEY108" s="142"/>
      <c r="WEZ108" s="142"/>
      <c r="WFA108" s="142"/>
      <c r="WFB108" s="142"/>
      <c r="WFC108" s="142"/>
      <c r="WFD108" s="142"/>
      <c r="WFE108" s="142"/>
      <c r="WFF108" s="142"/>
      <c r="WFG108" s="142"/>
      <c r="WFH108" s="142"/>
      <c r="WFI108" s="142"/>
      <c r="WFJ108" s="142"/>
      <c r="WFK108" s="142"/>
      <c r="WFL108" s="142"/>
      <c r="WFM108" s="142"/>
      <c r="WFN108" s="142"/>
      <c r="WFO108" s="142"/>
      <c r="WFP108" s="142"/>
      <c r="WFQ108" s="142"/>
      <c r="WFR108" s="142"/>
      <c r="WFS108" s="142"/>
      <c r="WFT108" s="142"/>
      <c r="WFU108" s="142"/>
      <c r="WFV108" s="142"/>
      <c r="WFW108" s="142"/>
      <c r="WFX108" s="142"/>
      <c r="WFY108" s="142"/>
      <c r="WFZ108" s="142"/>
      <c r="WGA108" s="142"/>
      <c r="WGB108" s="142"/>
      <c r="WGC108" s="142"/>
      <c r="WGD108" s="142"/>
      <c r="WGE108" s="142"/>
      <c r="WGF108" s="142"/>
      <c r="WGG108" s="142"/>
      <c r="WGH108" s="142"/>
      <c r="WGI108" s="142"/>
      <c r="WGJ108" s="142"/>
      <c r="WGK108" s="142"/>
      <c r="WGL108" s="142"/>
      <c r="WGM108" s="142"/>
      <c r="WGN108" s="142"/>
      <c r="WGO108" s="142"/>
      <c r="WGP108" s="142"/>
      <c r="WGQ108" s="142"/>
      <c r="WGR108" s="142"/>
      <c r="WGS108" s="142"/>
      <c r="WGT108" s="142"/>
      <c r="WGU108" s="142"/>
      <c r="WGV108" s="142"/>
      <c r="WGW108" s="142"/>
      <c r="WGX108" s="142"/>
      <c r="WGY108" s="142"/>
      <c r="WGZ108" s="142"/>
      <c r="WHA108" s="142"/>
      <c r="WHB108" s="142"/>
      <c r="WHC108" s="142"/>
      <c r="WHD108" s="142"/>
      <c r="WHE108" s="142"/>
      <c r="WHF108" s="142"/>
      <c r="WHG108" s="142"/>
      <c r="WHH108" s="142"/>
      <c r="WHI108" s="142"/>
      <c r="WHJ108" s="142"/>
      <c r="WHK108" s="142"/>
      <c r="WHL108" s="142"/>
      <c r="WHM108" s="142"/>
      <c r="WHN108" s="142"/>
      <c r="WHO108" s="142"/>
      <c r="WHP108" s="142"/>
      <c r="WHQ108" s="142"/>
      <c r="WHR108" s="142"/>
      <c r="WHS108" s="142"/>
      <c r="WHT108" s="142"/>
      <c r="WHU108" s="142"/>
      <c r="WHV108" s="142"/>
      <c r="WHW108" s="142"/>
      <c r="WHX108" s="142"/>
      <c r="WHY108" s="142"/>
      <c r="WHZ108" s="142"/>
      <c r="WIA108" s="142"/>
      <c r="WIB108" s="142"/>
      <c r="WIC108" s="142"/>
      <c r="WID108" s="142"/>
      <c r="WIE108" s="142"/>
      <c r="WIF108" s="142"/>
      <c r="WIG108" s="142"/>
      <c r="WIH108" s="142"/>
      <c r="WII108" s="142"/>
      <c r="WIJ108" s="142"/>
      <c r="WIK108" s="142"/>
      <c r="WIL108" s="142"/>
      <c r="WIM108" s="142"/>
      <c r="WIN108" s="142"/>
      <c r="WIO108" s="142"/>
      <c r="WIP108" s="142"/>
      <c r="WIQ108" s="142"/>
      <c r="WIR108" s="142"/>
      <c r="WIS108" s="142"/>
      <c r="WIT108" s="142"/>
      <c r="WIU108" s="142"/>
      <c r="WIV108" s="142"/>
      <c r="WIW108" s="142"/>
      <c r="WIX108" s="142"/>
      <c r="WIY108" s="142"/>
      <c r="WIZ108" s="142"/>
      <c r="WJA108" s="142"/>
      <c r="WJB108" s="142"/>
      <c r="WJC108" s="142"/>
      <c r="WJD108" s="142"/>
      <c r="WJE108" s="142"/>
      <c r="WJF108" s="142"/>
      <c r="WJG108" s="142"/>
      <c r="WJH108" s="142"/>
      <c r="WJI108" s="142"/>
      <c r="WJJ108" s="142"/>
      <c r="WJK108" s="142"/>
      <c r="WJL108" s="142"/>
      <c r="WJM108" s="142"/>
      <c r="WJN108" s="142"/>
      <c r="WJO108" s="142"/>
      <c r="WJP108" s="142"/>
      <c r="WJQ108" s="142"/>
      <c r="WJR108" s="142"/>
      <c r="WJS108" s="142"/>
      <c r="WJT108" s="142"/>
      <c r="WJU108" s="142"/>
      <c r="WJV108" s="142"/>
      <c r="WJW108" s="142"/>
      <c r="WJX108" s="142"/>
      <c r="WJY108" s="142"/>
      <c r="WJZ108" s="142"/>
      <c r="WKA108" s="142"/>
      <c r="WKB108" s="142"/>
      <c r="WKC108" s="142"/>
      <c r="WKD108" s="142"/>
      <c r="WKE108" s="142"/>
      <c r="WKF108" s="142"/>
      <c r="WKG108" s="142"/>
      <c r="WKH108" s="142"/>
      <c r="WKI108" s="142"/>
      <c r="WKJ108" s="142"/>
      <c r="WKK108" s="142"/>
      <c r="WKL108" s="142"/>
      <c r="WKM108" s="142"/>
      <c r="WKN108" s="142"/>
      <c r="WKO108" s="142"/>
      <c r="WKP108" s="142"/>
      <c r="WKQ108" s="142"/>
      <c r="WKR108" s="142"/>
      <c r="WKS108" s="142"/>
      <c r="WKT108" s="142"/>
      <c r="WKU108" s="142"/>
      <c r="WKV108" s="142"/>
      <c r="WKW108" s="142"/>
      <c r="WKX108" s="142"/>
      <c r="WKY108" s="142"/>
      <c r="WKZ108" s="142"/>
      <c r="WLA108" s="142"/>
      <c r="WLB108" s="142"/>
      <c r="WLC108" s="142"/>
      <c r="WLD108" s="142"/>
      <c r="WLE108" s="142"/>
      <c r="WLF108" s="142"/>
      <c r="WLG108" s="142"/>
      <c r="WLH108" s="142"/>
      <c r="WLI108" s="142"/>
      <c r="WLJ108" s="142"/>
      <c r="WLK108" s="142"/>
      <c r="WLL108" s="142"/>
      <c r="WLM108" s="142"/>
      <c r="WLN108" s="142"/>
      <c r="WLO108" s="142"/>
      <c r="WLP108" s="142"/>
      <c r="WLQ108" s="142"/>
      <c r="WLR108" s="142"/>
      <c r="WLS108" s="142"/>
      <c r="WLT108" s="142"/>
      <c r="WLU108" s="142"/>
      <c r="WLV108" s="142"/>
      <c r="WLW108" s="142"/>
      <c r="WLX108" s="142"/>
      <c r="WLY108" s="142"/>
      <c r="WLZ108" s="142"/>
      <c r="WMA108" s="142"/>
      <c r="WMB108" s="142"/>
      <c r="WMC108" s="142"/>
      <c r="WMD108" s="142"/>
      <c r="WME108" s="142"/>
      <c r="WMF108" s="142"/>
      <c r="WMG108" s="142"/>
      <c r="WMH108" s="142"/>
      <c r="WMI108" s="142"/>
      <c r="WMJ108" s="142"/>
      <c r="WMK108" s="142"/>
      <c r="WML108" s="142"/>
      <c r="WMM108" s="142"/>
      <c r="WMN108" s="142"/>
      <c r="WMO108" s="142"/>
      <c r="WMP108" s="142"/>
      <c r="WMQ108" s="142"/>
      <c r="WMR108" s="142"/>
      <c r="WMS108" s="142"/>
      <c r="WMT108" s="142"/>
      <c r="WMU108" s="142"/>
      <c r="WMV108" s="142"/>
      <c r="WMW108" s="142"/>
      <c r="WMX108" s="142"/>
      <c r="WMY108" s="142"/>
      <c r="WMZ108" s="142"/>
      <c r="WNA108" s="142"/>
      <c r="WNB108" s="142"/>
      <c r="WNC108" s="142"/>
      <c r="WND108" s="142"/>
      <c r="WNE108" s="142"/>
      <c r="WNF108" s="142"/>
      <c r="WNG108" s="142"/>
      <c r="WNH108" s="142"/>
      <c r="WNI108" s="142"/>
      <c r="WNJ108" s="142"/>
      <c r="WNK108" s="142"/>
      <c r="WNL108" s="142"/>
      <c r="WNM108" s="142"/>
      <c r="WNN108" s="142"/>
      <c r="WNO108" s="142"/>
      <c r="WNP108" s="142"/>
      <c r="WNQ108" s="142"/>
      <c r="WNR108" s="142"/>
      <c r="WNS108" s="142"/>
      <c r="WNT108" s="142"/>
      <c r="WNU108" s="142"/>
      <c r="WNV108" s="142"/>
      <c r="WNW108" s="142"/>
      <c r="WNX108" s="142"/>
      <c r="WNY108" s="142"/>
      <c r="WNZ108" s="142"/>
      <c r="WOA108" s="142"/>
      <c r="WOB108" s="142"/>
      <c r="WOC108" s="142"/>
      <c r="WOD108" s="142"/>
      <c r="WOE108" s="142"/>
      <c r="WOF108" s="142"/>
      <c r="WOG108" s="142"/>
      <c r="WOH108" s="142"/>
      <c r="WOI108" s="142"/>
      <c r="WOJ108" s="142"/>
      <c r="WOK108" s="142"/>
      <c r="WOL108" s="142"/>
      <c r="WOM108" s="142"/>
      <c r="WON108" s="142"/>
      <c r="WOO108" s="142"/>
      <c r="WOP108" s="142"/>
      <c r="WOQ108" s="142"/>
      <c r="WOR108" s="142"/>
      <c r="WOS108" s="142"/>
      <c r="WOT108" s="142"/>
      <c r="WOU108" s="142"/>
      <c r="WOV108" s="142"/>
      <c r="WOW108" s="142"/>
      <c r="WOX108" s="142"/>
      <c r="WOY108" s="142"/>
      <c r="WOZ108" s="142"/>
      <c r="WPA108" s="142"/>
      <c r="WPB108" s="142"/>
      <c r="WPC108" s="142"/>
      <c r="WPD108" s="142"/>
      <c r="WPE108" s="142"/>
      <c r="WPF108" s="142"/>
      <c r="WPG108" s="142"/>
      <c r="WPH108" s="142"/>
      <c r="WPI108" s="142"/>
      <c r="WPJ108" s="142"/>
      <c r="WPK108" s="142"/>
      <c r="WPL108" s="142"/>
      <c r="WPM108" s="142"/>
      <c r="WPN108" s="142"/>
      <c r="WPO108" s="142"/>
      <c r="WPP108" s="142"/>
      <c r="WPQ108" s="142"/>
      <c r="WPR108" s="142"/>
      <c r="WPS108" s="142"/>
      <c r="WPT108" s="142"/>
      <c r="WPU108" s="142"/>
      <c r="WPV108" s="142"/>
      <c r="WPW108" s="142"/>
      <c r="WPX108" s="142"/>
      <c r="WPY108" s="142"/>
      <c r="WPZ108" s="142"/>
      <c r="WQA108" s="142"/>
      <c r="WQB108" s="142"/>
      <c r="WQC108" s="142"/>
      <c r="WQD108" s="142"/>
      <c r="WQE108" s="142"/>
      <c r="WQF108" s="142"/>
      <c r="WQG108" s="142"/>
      <c r="WQH108" s="142"/>
      <c r="WQI108" s="142"/>
      <c r="WQJ108" s="142"/>
      <c r="WQK108" s="142"/>
      <c r="WQL108" s="142"/>
      <c r="WQM108" s="142"/>
      <c r="WQN108" s="142"/>
      <c r="WQO108" s="142"/>
      <c r="WQP108" s="142"/>
      <c r="WQQ108" s="142"/>
      <c r="WQR108" s="142"/>
      <c r="WQS108" s="142"/>
      <c r="WQT108" s="142"/>
      <c r="WQU108" s="142"/>
      <c r="WQV108" s="142"/>
      <c r="WQW108" s="142"/>
      <c r="WQX108" s="142"/>
      <c r="WQY108" s="142"/>
      <c r="WQZ108" s="142"/>
      <c r="WRA108" s="142"/>
      <c r="WRB108" s="142"/>
      <c r="WRC108" s="142"/>
      <c r="WRD108" s="142"/>
      <c r="WRE108" s="142"/>
      <c r="WRF108" s="142"/>
      <c r="WRG108" s="142"/>
      <c r="WRH108" s="142"/>
      <c r="WRI108" s="142"/>
      <c r="WRJ108" s="142"/>
      <c r="WRK108" s="142"/>
      <c r="WRL108" s="142"/>
      <c r="WRM108" s="142"/>
      <c r="WRN108" s="142"/>
      <c r="WRO108" s="142"/>
      <c r="WRP108" s="142"/>
      <c r="WRQ108" s="142"/>
      <c r="WRR108" s="142"/>
      <c r="WRS108" s="142"/>
      <c r="WRT108" s="142"/>
      <c r="WRU108" s="142"/>
      <c r="WRV108" s="142"/>
      <c r="WRW108" s="142"/>
      <c r="WRX108" s="142"/>
      <c r="WRY108" s="142"/>
      <c r="WRZ108" s="142"/>
      <c r="WSA108" s="142"/>
      <c r="WSB108" s="142"/>
      <c r="WSC108" s="142"/>
      <c r="WSD108" s="142"/>
      <c r="WSE108" s="142"/>
      <c r="WSF108" s="142"/>
      <c r="WSG108" s="142"/>
      <c r="WSH108" s="142"/>
      <c r="WSI108" s="142"/>
      <c r="WSJ108" s="142"/>
      <c r="WSK108" s="142"/>
      <c r="WSL108" s="142"/>
      <c r="WSM108" s="142"/>
      <c r="WSN108" s="142"/>
      <c r="WSO108" s="142"/>
      <c r="WSP108" s="142"/>
      <c r="WSQ108" s="142"/>
      <c r="WSR108" s="142"/>
      <c r="WSS108" s="142"/>
      <c r="WST108" s="142"/>
      <c r="WSU108" s="142"/>
      <c r="WSV108" s="142"/>
      <c r="WSW108" s="142"/>
      <c r="WSX108" s="142"/>
      <c r="WSY108" s="142"/>
      <c r="WSZ108" s="142"/>
      <c r="WTA108" s="142"/>
      <c r="WTB108" s="142"/>
      <c r="WTC108" s="142"/>
      <c r="WTD108" s="142"/>
      <c r="WTE108" s="142"/>
      <c r="WTF108" s="142"/>
      <c r="WTG108" s="142"/>
      <c r="WTH108" s="142"/>
      <c r="WTI108" s="142"/>
      <c r="WTJ108" s="142"/>
      <c r="WTK108" s="142"/>
      <c r="WTL108" s="142"/>
      <c r="WTM108" s="142"/>
      <c r="WTN108" s="142"/>
      <c r="WTO108" s="142"/>
      <c r="WTP108" s="142"/>
      <c r="WTQ108" s="142"/>
      <c r="WTR108" s="142"/>
      <c r="WTS108" s="142"/>
      <c r="WTT108" s="142"/>
      <c r="WTU108" s="142"/>
      <c r="WTV108" s="142"/>
      <c r="WTW108" s="142"/>
      <c r="WTX108" s="142"/>
      <c r="WTY108" s="142"/>
      <c r="WTZ108" s="142"/>
      <c r="WUA108" s="142"/>
      <c r="WUB108" s="142"/>
      <c r="WUC108" s="142"/>
      <c r="WUD108" s="142"/>
      <c r="WUE108" s="142"/>
      <c r="WUF108" s="142"/>
      <c r="WUG108" s="142"/>
      <c r="WUH108" s="142"/>
      <c r="WUI108" s="142"/>
      <c r="WUJ108" s="142"/>
      <c r="WUK108" s="142"/>
      <c r="WUL108" s="142"/>
      <c r="WUM108" s="142"/>
      <c r="WUN108" s="142"/>
      <c r="WUO108" s="142"/>
      <c r="WUP108" s="142"/>
      <c r="WUQ108" s="142"/>
      <c r="WUR108" s="142"/>
      <c r="WUS108" s="142"/>
      <c r="WUT108" s="142"/>
      <c r="WUU108" s="142"/>
      <c r="WUV108" s="142"/>
      <c r="WUW108" s="142"/>
      <c r="WUX108" s="142"/>
      <c r="WUY108" s="142"/>
      <c r="WUZ108" s="142"/>
      <c r="WVA108" s="142"/>
      <c r="WVB108" s="142"/>
      <c r="WVC108" s="142"/>
      <c r="WVD108" s="142"/>
      <c r="WVE108" s="142"/>
      <c r="WVF108" s="142"/>
      <c r="WVG108" s="142"/>
      <c r="WVH108" s="142"/>
      <c r="WVI108" s="142"/>
      <c r="WVJ108" s="142"/>
      <c r="WVK108" s="142"/>
      <c r="WVL108" s="142"/>
      <c r="WVM108" s="142"/>
      <c r="WVN108" s="142"/>
      <c r="WVO108" s="142"/>
      <c r="WVP108" s="142"/>
      <c r="WVQ108" s="142"/>
      <c r="WVR108" s="142"/>
      <c r="WVS108" s="142"/>
      <c r="WVT108" s="142"/>
      <c r="WVU108" s="142"/>
      <c r="WVV108" s="142"/>
      <c r="WVW108" s="142"/>
      <c r="WVX108" s="142"/>
      <c r="WVY108" s="142"/>
      <c r="WVZ108" s="142"/>
      <c r="WWA108" s="142"/>
      <c r="WWB108" s="142"/>
      <c r="WWC108" s="142"/>
      <c r="WWD108" s="142"/>
      <c r="WWE108" s="142"/>
      <c r="WWF108" s="142"/>
      <c r="WWG108" s="142"/>
      <c r="WWH108" s="142"/>
      <c r="WWI108" s="142"/>
      <c r="WWJ108" s="142"/>
      <c r="WWK108" s="142"/>
      <c r="WWL108" s="142"/>
      <c r="WWM108" s="142"/>
      <c r="WWN108" s="142"/>
      <c r="WWO108" s="142"/>
      <c r="WWP108" s="142"/>
      <c r="WWQ108" s="142"/>
      <c r="WWR108" s="142"/>
      <c r="WWS108" s="142"/>
      <c r="WWT108" s="142"/>
      <c r="WWU108" s="142"/>
      <c r="WWV108" s="142"/>
      <c r="WWW108" s="142"/>
      <c r="WWX108" s="142"/>
      <c r="WWY108" s="142"/>
      <c r="WWZ108" s="142"/>
      <c r="WXA108" s="142"/>
      <c r="WXB108" s="142"/>
      <c r="WXC108" s="142"/>
      <c r="WXD108" s="142"/>
      <c r="WXE108" s="142"/>
      <c r="WXF108" s="142"/>
      <c r="WXG108" s="142"/>
      <c r="WXH108" s="142"/>
      <c r="WXI108" s="142"/>
      <c r="WXJ108" s="142"/>
      <c r="WXK108" s="142"/>
      <c r="WXL108" s="142"/>
      <c r="WXM108" s="142"/>
      <c r="WXN108" s="142"/>
      <c r="WXO108" s="142"/>
      <c r="WXP108" s="142"/>
      <c r="WXQ108" s="142"/>
      <c r="WXR108" s="142"/>
      <c r="WXS108" s="142"/>
      <c r="WXT108" s="142"/>
      <c r="WXU108" s="142"/>
      <c r="WXV108" s="142"/>
      <c r="WXW108" s="142"/>
      <c r="WXX108" s="142"/>
      <c r="WXY108" s="142"/>
      <c r="WXZ108" s="142"/>
      <c r="WYA108" s="142"/>
      <c r="WYB108" s="142"/>
      <c r="WYC108" s="142"/>
      <c r="WYD108" s="142"/>
      <c r="WYE108" s="142"/>
      <c r="WYF108" s="142"/>
      <c r="WYG108" s="142"/>
      <c r="WYH108" s="142"/>
      <c r="WYI108" s="142"/>
      <c r="WYJ108" s="142"/>
      <c r="WYK108" s="142"/>
      <c r="WYL108" s="142"/>
      <c r="WYM108" s="142"/>
      <c r="WYN108" s="142"/>
      <c r="WYO108" s="142"/>
      <c r="WYP108" s="142"/>
      <c r="WYQ108" s="142"/>
      <c r="WYR108" s="142"/>
      <c r="WYS108" s="142"/>
      <c r="WYT108" s="142"/>
      <c r="WYU108" s="142"/>
      <c r="WYV108" s="142"/>
      <c r="WYW108" s="142"/>
      <c r="WYX108" s="142"/>
      <c r="WYY108" s="142"/>
      <c r="WYZ108" s="142"/>
      <c r="WZA108" s="142"/>
      <c r="WZB108" s="142"/>
      <c r="WZC108" s="142"/>
      <c r="WZD108" s="142"/>
      <c r="WZE108" s="142"/>
      <c r="WZF108" s="142"/>
      <c r="WZG108" s="142"/>
      <c r="WZH108" s="142"/>
      <c r="WZI108" s="142"/>
      <c r="WZJ108" s="142"/>
      <c r="WZK108" s="142"/>
      <c r="WZL108" s="142"/>
      <c r="WZM108" s="142"/>
      <c r="WZN108" s="142"/>
      <c r="WZO108" s="142"/>
      <c r="WZP108" s="142"/>
      <c r="WZQ108" s="142"/>
      <c r="WZR108" s="142"/>
      <c r="WZS108" s="142"/>
      <c r="WZT108" s="142"/>
      <c r="WZU108" s="142"/>
      <c r="WZV108" s="142"/>
      <c r="WZW108" s="142"/>
      <c r="WZX108" s="142"/>
      <c r="WZY108" s="142"/>
      <c r="WZZ108" s="142"/>
      <c r="XAA108" s="142"/>
      <c r="XAB108" s="142"/>
      <c r="XAC108" s="142"/>
      <c r="XAD108" s="142"/>
      <c r="XAE108" s="142"/>
      <c r="XAF108" s="142"/>
      <c r="XAG108" s="142"/>
      <c r="XAH108" s="142"/>
      <c r="XAI108" s="142"/>
      <c r="XAJ108" s="142"/>
      <c r="XAK108" s="142"/>
      <c r="XAL108" s="142"/>
      <c r="XAM108" s="142"/>
      <c r="XAN108" s="142"/>
      <c r="XAO108" s="142"/>
      <c r="XAP108" s="142"/>
      <c r="XAQ108" s="142"/>
      <c r="XAR108" s="142"/>
      <c r="XAS108" s="142"/>
      <c r="XAT108" s="142"/>
      <c r="XAU108" s="142"/>
      <c r="XAV108" s="142"/>
      <c r="XAW108" s="142"/>
      <c r="XAX108" s="142"/>
      <c r="XAY108" s="142"/>
      <c r="XAZ108" s="142"/>
      <c r="XBA108" s="142"/>
      <c r="XBB108" s="142"/>
      <c r="XBC108" s="142"/>
      <c r="XBD108" s="142"/>
      <c r="XBE108" s="142"/>
      <c r="XBF108" s="142"/>
      <c r="XBG108" s="142"/>
      <c r="XBH108" s="142"/>
      <c r="XBI108" s="142"/>
      <c r="XBJ108" s="142"/>
      <c r="XBK108" s="142"/>
      <c r="XBL108" s="142"/>
      <c r="XBM108" s="142"/>
      <c r="XBN108" s="142"/>
      <c r="XBO108" s="142"/>
      <c r="XBP108" s="142"/>
      <c r="XBQ108" s="142"/>
      <c r="XBR108" s="142"/>
      <c r="XBS108" s="142"/>
      <c r="XBT108" s="142"/>
      <c r="XBU108" s="142"/>
      <c r="XBV108" s="142"/>
      <c r="XBW108" s="142"/>
      <c r="XBX108" s="142"/>
      <c r="XBY108" s="142"/>
      <c r="XBZ108" s="142"/>
      <c r="XCA108" s="142"/>
      <c r="XCB108" s="142"/>
      <c r="XCC108" s="142"/>
      <c r="XCD108" s="142"/>
      <c r="XCE108" s="142"/>
      <c r="XCF108" s="142"/>
      <c r="XCG108" s="142"/>
      <c r="XCH108" s="142"/>
      <c r="XCI108" s="142"/>
      <c r="XCJ108" s="142"/>
      <c r="XCK108" s="142"/>
      <c r="XCL108" s="142"/>
      <c r="XCM108" s="142"/>
      <c r="XCN108" s="142"/>
      <c r="XCO108" s="142"/>
      <c r="XCP108" s="142"/>
      <c r="XCQ108" s="142"/>
      <c r="XCR108" s="142"/>
      <c r="XCS108" s="142"/>
      <c r="XCT108" s="142"/>
      <c r="XCU108" s="142"/>
      <c r="XCV108" s="142"/>
      <c r="XCW108" s="142"/>
      <c r="XCX108" s="142"/>
      <c r="XCY108" s="142"/>
      <c r="XCZ108" s="142"/>
      <c r="XDA108" s="142"/>
      <c r="XDB108" s="142"/>
      <c r="XDC108" s="142"/>
      <c r="XDD108" s="142"/>
      <c r="XDE108" s="142"/>
      <c r="XDF108" s="142"/>
      <c r="XDG108" s="142"/>
      <c r="XDH108" s="142"/>
      <c r="XDI108" s="142"/>
      <c r="XDJ108" s="142"/>
      <c r="XDK108" s="142"/>
      <c r="XDL108" s="142"/>
      <c r="XDM108" s="142"/>
      <c r="XDN108" s="142"/>
      <c r="XDO108" s="142"/>
      <c r="XDP108" s="142"/>
      <c r="XDQ108" s="142"/>
      <c r="XDR108" s="142"/>
      <c r="XDS108" s="142"/>
      <c r="XDT108" s="142"/>
      <c r="XDU108" s="142"/>
      <c r="XDV108" s="142"/>
      <c r="XDW108" s="142"/>
      <c r="XDX108" s="142"/>
      <c r="XDY108" s="142"/>
      <c r="XDZ108" s="142"/>
      <c r="XEA108" s="142"/>
      <c r="XEB108" s="142"/>
      <c r="XEC108" s="142"/>
      <c r="XED108" s="142"/>
      <c r="XEE108" s="142"/>
      <c r="XEF108" s="142"/>
      <c r="XEG108" s="142"/>
      <c r="XEH108" s="142"/>
      <c r="XEI108" s="142"/>
      <c r="XEJ108" s="142"/>
      <c r="XEK108" s="142"/>
      <c r="XEL108" s="142"/>
      <c r="XEM108" s="142"/>
      <c r="XEN108" s="142"/>
      <c r="XEO108" s="142"/>
      <c r="XEP108" s="142"/>
      <c r="XEQ108" s="142"/>
      <c r="XER108" s="142"/>
      <c r="XES108" s="142"/>
      <c r="XET108" s="142"/>
      <c r="XEU108" s="142"/>
      <c r="XEV108" s="142"/>
      <c r="XEW108" s="142"/>
      <c r="XEX108" s="142"/>
    </row>
    <row r="109" spans="1:16378" ht="35.25" hidden="1" customHeight="1" x14ac:dyDescent="0.25">
      <c r="A109" s="472">
        <v>2026</v>
      </c>
      <c r="B109" s="472">
        <v>479</v>
      </c>
      <c r="C109" s="472" t="s">
        <v>64</v>
      </c>
      <c r="D109" s="472" t="s">
        <v>65</v>
      </c>
      <c r="E109" s="472">
        <v>125</v>
      </c>
      <c r="F109" s="472">
        <v>3000654</v>
      </c>
      <c r="G109" s="472">
        <v>5005023</v>
      </c>
      <c r="H109" s="472">
        <v>3</v>
      </c>
      <c r="I109" s="472">
        <v>12</v>
      </c>
      <c r="J109" s="472">
        <v>24</v>
      </c>
      <c r="K109" s="472">
        <v>135560</v>
      </c>
      <c r="L109" s="472" t="s">
        <v>66</v>
      </c>
      <c r="M109" s="124" t="s">
        <v>67</v>
      </c>
      <c r="N109" s="472">
        <v>95</v>
      </c>
      <c r="O109" s="474"/>
      <c r="P109" s="474" t="s">
        <v>4</v>
      </c>
      <c r="Q109" s="472" t="s">
        <v>68</v>
      </c>
      <c r="R109" s="475" t="s">
        <v>69</v>
      </c>
      <c r="S109" s="475" t="s">
        <v>137</v>
      </c>
      <c r="T109" s="475"/>
      <c r="U109" s="124" t="s">
        <v>188</v>
      </c>
      <c r="V109" s="475" t="s">
        <v>3</v>
      </c>
      <c r="W109" s="121">
        <v>1</v>
      </c>
      <c r="X109" s="476">
        <v>7000</v>
      </c>
      <c r="Y109" s="474"/>
      <c r="Z109" s="474"/>
      <c r="AA109" s="474"/>
      <c r="AB109" s="474"/>
      <c r="AC109" s="475">
        <v>30</v>
      </c>
      <c r="AD109" s="475">
        <v>30</v>
      </c>
      <c r="AE109" s="474"/>
      <c r="AF109" s="474"/>
      <c r="AG109" s="474"/>
      <c r="AH109" s="474"/>
      <c r="AI109" s="474"/>
      <c r="AJ109" s="474"/>
      <c r="AK109" s="477">
        <v>14000</v>
      </c>
      <c r="AL109" s="472"/>
      <c r="AM109" s="472"/>
      <c r="AN109" s="472"/>
      <c r="AO109" s="472"/>
      <c r="AP109" s="478">
        <v>7000</v>
      </c>
      <c r="AQ109" s="478">
        <v>7000</v>
      </c>
      <c r="AR109" s="472" t="s">
        <v>73</v>
      </c>
      <c r="AS109" s="472" t="s">
        <v>73</v>
      </c>
      <c r="AT109" s="472" t="s">
        <v>73</v>
      </c>
      <c r="AU109" s="472" t="s">
        <v>73</v>
      </c>
      <c r="AV109" s="472" t="s">
        <v>73</v>
      </c>
      <c r="AW109" s="472" t="s">
        <v>73</v>
      </c>
      <c r="AX109" s="30">
        <v>14000</v>
      </c>
      <c r="AY109" s="479" t="s">
        <v>7</v>
      </c>
      <c r="AZ109" s="474" t="s">
        <v>74</v>
      </c>
      <c r="BA109" s="474"/>
      <c r="BB109" s="480"/>
      <c r="BC109" s="480"/>
      <c r="BE109" t="s">
        <v>1168</v>
      </c>
      <c r="BK109" s="481" t="s">
        <v>790</v>
      </c>
      <c r="BL109" s="481" t="s">
        <v>791</v>
      </c>
      <c r="BM109" s="284" t="s">
        <v>792</v>
      </c>
      <c r="BN109" s="414" t="s">
        <v>793</v>
      </c>
      <c r="BO109" s="284" t="s">
        <v>794</v>
      </c>
      <c r="BP109" s="285">
        <v>46134</v>
      </c>
      <c r="BQ109" s="482"/>
      <c r="BR109" s="963" t="s">
        <v>1169</v>
      </c>
      <c r="BS109" s="482"/>
      <c r="BT109" s="286" t="s">
        <v>796</v>
      </c>
      <c r="BU109" s="482" t="s">
        <v>797</v>
      </c>
      <c r="BV109" s="414" t="s">
        <v>830</v>
      </c>
      <c r="BW109" s="284" t="s">
        <v>1170</v>
      </c>
      <c r="BX109" s="284" t="s">
        <v>1171</v>
      </c>
      <c r="BY109" s="284">
        <v>45220402</v>
      </c>
      <c r="BZ109" s="284"/>
      <c r="CA109" s="288">
        <v>7000</v>
      </c>
      <c r="CB109" s="483">
        <v>46143</v>
      </c>
      <c r="CC109" s="483">
        <v>46203</v>
      </c>
      <c r="CD109" s="759"/>
      <c r="CE109" s="485">
        <f t="shared" ref="CE109" si="314">AC109</f>
        <v>30</v>
      </c>
      <c r="CF109" s="484">
        <f t="shared" ref="CF109" si="315">AP109</f>
        <v>7000</v>
      </c>
      <c r="CG109" s="485">
        <v>30</v>
      </c>
      <c r="CH109" s="485">
        <f t="shared" ref="CH109" si="316">(X109/30)*CG109</f>
        <v>7000</v>
      </c>
      <c r="CI109" s="485">
        <v>30</v>
      </c>
      <c r="CJ109" s="485">
        <f t="shared" ref="CJ109" si="317">(X109/30)*CI109</f>
        <v>7000</v>
      </c>
      <c r="CK109" s="484">
        <f t="shared" ref="CK109" si="318">CF109-CH109</f>
        <v>0</v>
      </c>
      <c r="CL109" s="484">
        <f t="shared" ref="CL109" si="319">CF109-CJ109</f>
        <v>0</v>
      </c>
      <c r="CM109" s="1006"/>
      <c r="CN109" s="485">
        <f t="shared" ref="CN109" si="320">AD109</f>
        <v>30</v>
      </c>
      <c r="CO109" s="484">
        <f t="shared" ref="CO109" si="321">AQ109</f>
        <v>7000</v>
      </c>
      <c r="CP109" s="485">
        <v>30</v>
      </c>
      <c r="CQ109" s="485">
        <f t="shared" ref="CQ109" si="322">(X109/30)*CP109</f>
        <v>7000</v>
      </c>
      <c r="CR109" s="485">
        <v>30</v>
      </c>
      <c r="CS109" s="485">
        <f t="shared" ref="CS109" si="323">(X109/30)*CR109</f>
        <v>7000</v>
      </c>
      <c r="CT109" s="484">
        <f t="shared" ref="CT109" si="324">CO109-CQ109</f>
        <v>0</v>
      </c>
      <c r="CU109" s="484">
        <f t="shared" ref="CU109" si="325">CO109-CS109</f>
        <v>0</v>
      </c>
      <c r="CV109" s="1006"/>
      <c r="CW109" s="1007">
        <f t="shared" si="225"/>
        <v>14000</v>
      </c>
      <c r="CX109" s="486">
        <f t="shared" si="226"/>
        <v>14000</v>
      </c>
      <c r="CY109" s="486">
        <f t="shared" si="227"/>
        <v>14000</v>
      </c>
      <c r="CZ109" s="1007">
        <f t="shared" si="228"/>
        <v>0</v>
      </c>
      <c r="DA109" s="1007">
        <f t="shared" si="229"/>
        <v>0</v>
      </c>
    </row>
    <row r="110" spans="1:16378" ht="51" hidden="1" x14ac:dyDescent="0.25">
      <c r="A110" s="472">
        <v>2026</v>
      </c>
      <c r="B110" s="472">
        <v>479</v>
      </c>
      <c r="C110" s="472" t="s">
        <v>64</v>
      </c>
      <c r="D110" s="472" t="s">
        <v>65</v>
      </c>
      <c r="E110" s="472">
        <v>125</v>
      </c>
      <c r="F110" s="472">
        <v>3000654</v>
      </c>
      <c r="G110" s="472">
        <v>5005023</v>
      </c>
      <c r="H110" s="472">
        <v>3</v>
      </c>
      <c r="I110" s="472">
        <v>12</v>
      </c>
      <c r="J110" s="472">
        <v>24</v>
      </c>
      <c r="K110" s="472">
        <v>135560</v>
      </c>
      <c r="L110" s="472" t="s">
        <v>66</v>
      </c>
      <c r="M110" s="124" t="s">
        <v>67</v>
      </c>
      <c r="N110" s="472">
        <v>95</v>
      </c>
      <c r="O110" s="474"/>
      <c r="P110" s="474" t="s">
        <v>4</v>
      </c>
      <c r="Q110" s="472" t="s">
        <v>68</v>
      </c>
      <c r="R110" s="475" t="s">
        <v>69</v>
      </c>
      <c r="S110" s="475" t="s">
        <v>137</v>
      </c>
      <c r="T110" s="475"/>
      <c r="U110" s="124" t="s">
        <v>188</v>
      </c>
      <c r="V110" s="475" t="s">
        <v>3</v>
      </c>
      <c r="W110" s="121">
        <v>2</v>
      </c>
      <c r="X110" s="476">
        <v>7000</v>
      </c>
      <c r="Y110" s="488"/>
      <c r="Z110" s="488"/>
      <c r="AA110" s="488"/>
      <c r="AB110" s="488"/>
      <c r="AC110" s="475">
        <v>30</v>
      </c>
      <c r="AD110" s="475">
        <v>30</v>
      </c>
      <c r="AE110" s="488"/>
      <c r="AF110" s="488"/>
      <c r="AG110" s="488"/>
      <c r="AH110" s="488"/>
      <c r="AI110" s="488"/>
      <c r="AJ110" s="488"/>
      <c r="AK110" s="477">
        <v>28000</v>
      </c>
      <c r="AL110" s="472" t="s">
        <v>73</v>
      </c>
      <c r="AM110" s="472" t="s">
        <v>73</v>
      </c>
      <c r="AN110" s="472" t="s">
        <v>73</v>
      </c>
      <c r="AO110" s="472" t="s">
        <v>73</v>
      </c>
      <c r="AP110" s="478">
        <v>14000</v>
      </c>
      <c r="AQ110" s="478">
        <v>14000</v>
      </c>
      <c r="AR110" s="472" t="s">
        <v>73</v>
      </c>
      <c r="AS110" s="472" t="s">
        <v>73</v>
      </c>
      <c r="AT110" s="472" t="s">
        <v>73</v>
      </c>
      <c r="AU110" s="472" t="s">
        <v>73</v>
      </c>
      <c r="AV110" s="472" t="s">
        <v>73</v>
      </c>
      <c r="AW110" s="472" t="s">
        <v>73</v>
      </c>
      <c r="AX110" s="30">
        <v>28000</v>
      </c>
      <c r="AY110" s="479" t="s">
        <v>7</v>
      </c>
      <c r="AZ110" s="474" t="s">
        <v>74</v>
      </c>
      <c r="BA110" s="474"/>
      <c r="BB110" s="480"/>
      <c r="BC110" s="480"/>
      <c r="BK110" s="481" t="s">
        <v>802</v>
      </c>
      <c r="BL110" s="481" t="s">
        <v>803</v>
      </c>
      <c r="BM110" s="284"/>
      <c r="BN110" s="414"/>
      <c r="BO110" s="284"/>
      <c r="BP110" s="285"/>
      <c r="BQ110" s="482"/>
      <c r="BR110" s="482"/>
      <c r="BS110" s="482"/>
      <c r="BT110" s="482"/>
      <c r="BU110" s="482"/>
      <c r="BV110" s="284"/>
      <c r="BW110" s="284"/>
      <c r="BX110" s="284"/>
      <c r="BY110" s="487"/>
      <c r="BZ110" s="284"/>
      <c r="CA110" s="288"/>
      <c r="CB110" s="483"/>
      <c r="CC110" s="483"/>
      <c r="CD110" s="759"/>
      <c r="CE110" s="485">
        <f t="shared" si="29"/>
        <v>30</v>
      </c>
      <c r="CF110" s="484">
        <f t="shared" si="30"/>
        <v>14000</v>
      </c>
      <c r="CG110" s="485">
        <v>0</v>
      </c>
      <c r="CH110" s="485">
        <f t="shared" si="31"/>
        <v>0</v>
      </c>
      <c r="CI110" s="485">
        <v>0</v>
      </c>
      <c r="CJ110" s="485">
        <f t="shared" si="32"/>
        <v>0</v>
      </c>
      <c r="CK110" s="484">
        <f t="shared" si="33"/>
        <v>14000</v>
      </c>
      <c r="CL110" s="484">
        <f t="shared" si="34"/>
        <v>14000</v>
      </c>
      <c r="CM110" s="1006"/>
      <c r="CN110" s="485">
        <f t="shared" si="35"/>
        <v>30</v>
      </c>
      <c r="CO110" s="484">
        <f t="shared" si="36"/>
        <v>14000</v>
      </c>
      <c r="CP110" s="485"/>
      <c r="CQ110" s="485">
        <f t="shared" si="37"/>
        <v>0</v>
      </c>
      <c r="CR110" s="485"/>
      <c r="CS110" s="485">
        <f t="shared" si="38"/>
        <v>0</v>
      </c>
      <c r="CT110" s="484">
        <f t="shared" si="39"/>
        <v>14000</v>
      </c>
      <c r="CU110" s="484">
        <f t="shared" si="40"/>
        <v>14000</v>
      </c>
      <c r="CV110" s="1006"/>
      <c r="CW110" s="1007">
        <f t="shared" si="225"/>
        <v>28000</v>
      </c>
      <c r="CX110" s="486">
        <f t="shared" si="226"/>
        <v>0</v>
      </c>
      <c r="CY110" s="486">
        <f t="shared" si="227"/>
        <v>0</v>
      </c>
      <c r="CZ110" s="1007">
        <f t="shared" si="228"/>
        <v>28000</v>
      </c>
      <c r="DA110" s="1007">
        <f t="shared" si="229"/>
        <v>28000</v>
      </c>
      <c r="DB110" s="142"/>
      <c r="DC110" s="142"/>
      <c r="DD110" s="142"/>
      <c r="DE110" s="142"/>
      <c r="DF110" s="142"/>
      <c r="DG110" s="142"/>
      <c r="DH110" s="142"/>
      <c r="DI110" s="142"/>
      <c r="DJ110" s="142"/>
      <c r="DK110" s="142"/>
      <c r="DL110" s="142"/>
      <c r="DM110" s="142"/>
      <c r="DN110" s="142"/>
      <c r="DO110" s="142"/>
      <c r="DP110" s="142"/>
      <c r="DQ110" s="142"/>
      <c r="DR110" s="142"/>
      <c r="DS110" s="142"/>
      <c r="DT110" s="142"/>
      <c r="DU110" s="142"/>
      <c r="DV110" s="142"/>
      <c r="DW110" s="142"/>
      <c r="DX110" s="142"/>
      <c r="DY110" s="142"/>
      <c r="DZ110" s="142"/>
      <c r="EA110" s="142"/>
      <c r="EB110" s="142"/>
      <c r="EC110" s="142"/>
      <c r="ED110" s="142"/>
      <c r="EE110" s="142"/>
      <c r="EF110" s="142"/>
      <c r="EG110" s="142"/>
      <c r="EH110" s="142"/>
      <c r="EI110" s="142"/>
      <c r="EJ110" s="142"/>
      <c r="EK110" s="142"/>
      <c r="EL110" s="142"/>
      <c r="EM110" s="142"/>
      <c r="EN110" s="142"/>
      <c r="EO110" s="142"/>
      <c r="EP110" s="142"/>
      <c r="EQ110" s="142"/>
      <c r="ER110" s="142"/>
      <c r="ES110" s="142"/>
      <c r="ET110" s="142"/>
      <c r="EU110" s="142"/>
      <c r="EV110" s="142"/>
      <c r="EW110" s="142"/>
      <c r="EX110" s="142"/>
      <c r="EY110" s="142"/>
      <c r="EZ110" s="142"/>
      <c r="FA110" s="142"/>
      <c r="FB110" s="142"/>
      <c r="FC110" s="142"/>
      <c r="FD110" s="142"/>
      <c r="FE110" s="142"/>
      <c r="FF110" s="142"/>
      <c r="FG110" s="142"/>
      <c r="FH110" s="142"/>
      <c r="FI110" s="142"/>
      <c r="FJ110" s="142"/>
      <c r="FK110" s="142"/>
      <c r="FL110" s="142"/>
      <c r="FM110" s="142"/>
      <c r="FN110" s="142"/>
      <c r="FO110" s="142"/>
      <c r="FP110" s="142"/>
      <c r="FQ110" s="142"/>
      <c r="FR110" s="142"/>
      <c r="FS110" s="142"/>
      <c r="FT110" s="142"/>
      <c r="FU110" s="142"/>
      <c r="FV110" s="142"/>
      <c r="FW110" s="142"/>
      <c r="FX110" s="142"/>
      <c r="FY110" s="142"/>
      <c r="FZ110" s="142"/>
      <c r="GA110" s="142"/>
      <c r="GB110" s="142"/>
      <c r="GC110" s="142"/>
      <c r="GD110" s="142"/>
      <c r="GE110" s="142"/>
      <c r="GF110" s="142"/>
      <c r="GG110" s="142"/>
      <c r="GH110" s="142"/>
      <c r="GI110" s="142"/>
      <c r="GJ110" s="142"/>
      <c r="GK110" s="142"/>
      <c r="GL110" s="142"/>
      <c r="GM110" s="142"/>
      <c r="GN110" s="142"/>
      <c r="GO110" s="142"/>
      <c r="GP110" s="142"/>
      <c r="GQ110" s="142"/>
      <c r="GR110" s="142"/>
      <c r="GS110" s="142"/>
      <c r="GT110" s="142"/>
      <c r="GU110" s="142"/>
      <c r="GV110" s="142"/>
      <c r="GW110" s="142"/>
      <c r="GX110" s="142"/>
      <c r="GY110" s="142"/>
      <c r="GZ110" s="142"/>
      <c r="HA110" s="142"/>
      <c r="HB110" s="142"/>
      <c r="HC110" s="142"/>
      <c r="HD110" s="142"/>
      <c r="HE110" s="142"/>
      <c r="HF110" s="142"/>
      <c r="HG110" s="142"/>
      <c r="HH110" s="142"/>
      <c r="HI110" s="142"/>
      <c r="HJ110" s="142"/>
      <c r="HK110" s="142"/>
      <c r="HL110" s="142"/>
      <c r="HM110" s="142"/>
      <c r="HN110" s="142"/>
      <c r="HO110" s="142"/>
      <c r="HP110" s="142"/>
      <c r="HQ110" s="142"/>
      <c r="HR110" s="142"/>
      <c r="HS110" s="142"/>
      <c r="HT110" s="142"/>
      <c r="HU110" s="142"/>
      <c r="HV110" s="142"/>
      <c r="HW110" s="142"/>
      <c r="HX110" s="142"/>
      <c r="HY110" s="142"/>
      <c r="HZ110" s="142"/>
      <c r="IA110" s="142"/>
      <c r="IB110" s="142"/>
      <c r="IC110" s="142"/>
      <c r="ID110" s="142"/>
      <c r="IE110" s="142"/>
      <c r="IF110" s="142"/>
      <c r="IG110" s="142"/>
      <c r="IH110" s="142"/>
      <c r="II110" s="142"/>
      <c r="IJ110" s="142"/>
      <c r="IK110" s="142"/>
      <c r="IL110" s="142"/>
      <c r="IM110" s="142"/>
      <c r="IN110" s="142"/>
      <c r="IO110" s="142"/>
      <c r="IP110" s="142"/>
      <c r="IQ110" s="142"/>
      <c r="IR110" s="142"/>
      <c r="IS110" s="142"/>
      <c r="IT110" s="142"/>
      <c r="IU110" s="142"/>
      <c r="IV110" s="142"/>
      <c r="IW110" s="142"/>
      <c r="IX110" s="142"/>
      <c r="IY110" s="142"/>
      <c r="IZ110" s="142"/>
      <c r="JA110" s="142"/>
      <c r="JB110" s="142"/>
      <c r="JC110" s="142"/>
      <c r="JD110" s="142"/>
      <c r="JE110" s="142"/>
      <c r="JF110" s="142"/>
      <c r="JG110" s="142"/>
      <c r="JH110" s="142"/>
      <c r="JI110" s="142"/>
      <c r="JJ110" s="142"/>
      <c r="JK110" s="142"/>
      <c r="JL110" s="142"/>
      <c r="JM110" s="142"/>
      <c r="JN110" s="142"/>
      <c r="JO110" s="142"/>
      <c r="JP110" s="142"/>
      <c r="JQ110" s="142"/>
      <c r="JR110" s="142"/>
      <c r="JS110" s="142"/>
      <c r="JT110" s="142"/>
      <c r="JU110" s="142"/>
      <c r="JV110" s="142"/>
      <c r="JW110" s="142"/>
      <c r="JX110" s="142"/>
      <c r="JY110" s="142"/>
      <c r="JZ110" s="142"/>
      <c r="KA110" s="142"/>
      <c r="KB110" s="142"/>
      <c r="KC110" s="142"/>
      <c r="KD110" s="142"/>
      <c r="KE110" s="142"/>
      <c r="KF110" s="142"/>
      <c r="KG110" s="142"/>
      <c r="KH110" s="142"/>
      <c r="KI110" s="142"/>
      <c r="KJ110" s="142"/>
      <c r="KK110" s="142"/>
      <c r="KL110" s="142"/>
      <c r="KM110" s="142"/>
      <c r="KN110" s="142"/>
      <c r="KO110" s="142"/>
      <c r="KP110" s="142"/>
      <c r="KQ110" s="142"/>
      <c r="KR110" s="142"/>
      <c r="KS110" s="142"/>
      <c r="KT110" s="142"/>
      <c r="KU110" s="142"/>
      <c r="KV110" s="142"/>
      <c r="KW110" s="142"/>
      <c r="KX110" s="142"/>
      <c r="KY110" s="142"/>
      <c r="KZ110" s="142"/>
      <c r="LA110" s="142"/>
      <c r="LB110" s="142"/>
      <c r="LC110" s="142"/>
      <c r="LD110" s="142"/>
      <c r="LE110" s="142"/>
      <c r="LF110" s="142"/>
      <c r="LG110" s="142"/>
      <c r="LH110" s="142"/>
      <c r="LI110" s="142"/>
      <c r="LJ110" s="142"/>
      <c r="LK110" s="142"/>
      <c r="LL110" s="142"/>
      <c r="LM110" s="142"/>
      <c r="LN110" s="142"/>
      <c r="LO110" s="142"/>
      <c r="LP110" s="142"/>
      <c r="LQ110" s="142"/>
      <c r="LR110" s="142"/>
      <c r="LS110" s="142"/>
      <c r="LT110" s="142"/>
      <c r="LU110" s="142"/>
      <c r="LV110" s="142"/>
      <c r="LW110" s="142"/>
      <c r="LX110" s="142"/>
      <c r="LY110" s="142"/>
      <c r="LZ110" s="142"/>
      <c r="MA110" s="142"/>
      <c r="MB110" s="142"/>
      <c r="MC110" s="142"/>
      <c r="MD110" s="142"/>
      <c r="ME110" s="142"/>
      <c r="MF110" s="142"/>
      <c r="MG110" s="142"/>
      <c r="MH110" s="142"/>
      <c r="MI110" s="142"/>
      <c r="MJ110" s="142"/>
      <c r="MK110" s="142"/>
      <c r="ML110" s="142"/>
      <c r="MM110" s="142"/>
      <c r="MN110" s="142"/>
      <c r="MO110" s="142"/>
      <c r="MP110" s="142"/>
      <c r="MQ110" s="142"/>
      <c r="MR110" s="142"/>
      <c r="MS110" s="142"/>
      <c r="MT110" s="142"/>
      <c r="MU110" s="142"/>
      <c r="MV110" s="142"/>
      <c r="MW110" s="142"/>
      <c r="MX110" s="142"/>
      <c r="MY110" s="142"/>
      <c r="MZ110" s="142"/>
      <c r="NA110" s="142"/>
      <c r="NB110" s="142"/>
      <c r="NC110" s="142"/>
      <c r="ND110" s="142"/>
      <c r="NE110" s="142"/>
      <c r="NF110" s="142"/>
      <c r="NG110" s="142"/>
      <c r="NH110" s="142"/>
      <c r="NI110" s="142"/>
      <c r="NJ110" s="142"/>
      <c r="NK110" s="142"/>
      <c r="NL110" s="142"/>
      <c r="NM110" s="142"/>
      <c r="NN110" s="142"/>
      <c r="NO110" s="142"/>
      <c r="NP110" s="142"/>
      <c r="NQ110" s="142"/>
      <c r="NR110" s="142"/>
      <c r="NS110" s="142"/>
      <c r="NT110" s="142"/>
      <c r="NU110" s="142"/>
      <c r="NV110" s="142"/>
      <c r="NW110" s="142"/>
      <c r="NX110" s="142"/>
      <c r="NY110" s="142"/>
      <c r="NZ110" s="142"/>
      <c r="OA110" s="142"/>
      <c r="OB110" s="142"/>
      <c r="OC110" s="142"/>
      <c r="OD110" s="142"/>
      <c r="OE110" s="142"/>
      <c r="OF110" s="142"/>
      <c r="OG110" s="142"/>
      <c r="OH110" s="142"/>
      <c r="OI110" s="142"/>
      <c r="OJ110" s="142"/>
      <c r="OK110" s="142"/>
      <c r="OL110" s="142"/>
      <c r="OM110" s="142"/>
      <c r="ON110" s="142"/>
      <c r="OO110" s="142"/>
      <c r="OP110" s="142"/>
      <c r="OQ110" s="142"/>
      <c r="OR110" s="142"/>
      <c r="OS110" s="142"/>
      <c r="OT110" s="142"/>
      <c r="OU110" s="142"/>
      <c r="OV110" s="142"/>
      <c r="OW110" s="142"/>
      <c r="OX110" s="142"/>
      <c r="OY110" s="142"/>
      <c r="OZ110" s="142"/>
      <c r="PA110" s="142"/>
      <c r="PB110" s="142"/>
      <c r="PC110" s="142"/>
      <c r="PD110" s="142"/>
      <c r="PE110" s="142"/>
      <c r="PF110" s="142"/>
      <c r="PG110" s="142"/>
      <c r="PH110" s="142"/>
      <c r="PI110" s="142"/>
      <c r="PJ110" s="142"/>
      <c r="PK110" s="142"/>
      <c r="PL110" s="142"/>
      <c r="PM110" s="142"/>
      <c r="PN110" s="142"/>
      <c r="PO110" s="142"/>
      <c r="PP110" s="142"/>
      <c r="PQ110" s="142"/>
      <c r="PR110" s="142"/>
      <c r="PS110" s="142"/>
      <c r="PT110" s="142"/>
      <c r="PU110" s="142"/>
      <c r="PV110" s="142"/>
      <c r="PW110" s="142"/>
      <c r="PX110" s="142"/>
      <c r="PY110" s="142"/>
      <c r="PZ110" s="142"/>
      <c r="QA110" s="142"/>
      <c r="QB110" s="142"/>
      <c r="QC110" s="142"/>
      <c r="QD110" s="142"/>
      <c r="QE110" s="142"/>
      <c r="QF110" s="142"/>
      <c r="QG110" s="142"/>
      <c r="QH110" s="142"/>
      <c r="QI110" s="142"/>
      <c r="QJ110" s="142"/>
      <c r="QK110" s="142"/>
      <c r="QL110" s="142"/>
      <c r="QM110" s="142"/>
      <c r="QN110" s="142"/>
      <c r="QO110" s="142"/>
      <c r="QP110" s="142"/>
      <c r="QQ110" s="142"/>
      <c r="QR110" s="142"/>
      <c r="QS110" s="142"/>
      <c r="QT110" s="142"/>
      <c r="QU110" s="142"/>
      <c r="QV110" s="142"/>
      <c r="QW110" s="142"/>
      <c r="QX110" s="142"/>
      <c r="QY110" s="142"/>
      <c r="QZ110" s="142"/>
      <c r="RA110" s="142"/>
      <c r="RB110" s="142"/>
      <c r="RC110" s="142"/>
      <c r="RD110" s="142"/>
      <c r="RE110" s="142"/>
      <c r="RF110" s="142"/>
      <c r="RG110" s="142"/>
      <c r="RH110" s="142"/>
      <c r="RI110" s="142"/>
      <c r="RJ110" s="142"/>
      <c r="RK110" s="142"/>
      <c r="RL110" s="142"/>
      <c r="RM110" s="142"/>
      <c r="RN110" s="142"/>
      <c r="RO110" s="142"/>
      <c r="RP110" s="142"/>
      <c r="RQ110" s="142"/>
      <c r="RR110" s="142"/>
      <c r="RS110" s="142"/>
      <c r="RT110" s="142"/>
      <c r="RU110" s="142"/>
      <c r="RV110" s="142"/>
      <c r="RW110" s="142"/>
      <c r="RX110" s="142"/>
      <c r="RY110" s="142"/>
      <c r="RZ110" s="142"/>
      <c r="SA110" s="142"/>
      <c r="SB110" s="142"/>
      <c r="SC110" s="142"/>
      <c r="SD110" s="142"/>
      <c r="SE110" s="142"/>
      <c r="SF110" s="142"/>
      <c r="SG110" s="142"/>
      <c r="SH110" s="142"/>
      <c r="SI110" s="142"/>
      <c r="SJ110" s="142"/>
      <c r="SK110" s="142"/>
      <c r="SL110" s="142"/>
      <c r="SM110" s="142"/>
      <c r="SN110" s="142"/>
      <c r="SO110" s="142"/>
      <c r="SP110" s="142"/>
      <c r="SQ110" s="142"/>
      <c r="SR110" s="142"/>
      <c r="SS110" s="142"/>
      <c r="ST110" s="142"/>
      <c r="SU110" s="142"/>
      <c r="SV110" s="142"/>
      <c r="SW110" s="142"/>
      <c r="SX110" s="142"/>
      <c r="SY110" s="142"/>
      <c r="SZ110" s="142"/>
      <c r="TA110" s="142"/>
      <c r="TB110" s="142"/>
      <c r="TC110" s="142"/>
      <c r="TD110" s="142"/>
      <c r="TE110" s="142"/>
      <c r="TF110" s="142"/>
      <c r="TG110" s="142"/>
      <c r="TH110" s="142"/>
      <c r="TI110" s="142"/>
      <c r="TJ110" s="142"/>
      <c r="TK110" s="142"/>
      <c r="TL110" s="142"/>
      <c r="TM110" s="142"/>
      <c r="TN110" s="142"/>
      <c r="TO110" s="142"/>
      <c r="TP110" s="142"/>
      <c r="TQ110" s="142"/>
      <c r="TR110" s="142"/>
      <c r="TS110" s="142"/>
      <c r="TT110" s="142"/>
      <c r="TU110" s="142"/>
      <c r="TV110" s="142"/>
      <c r="TW110" s="142"/>
      <c r="TX110" s="142"/>
      <c r="TY110" s="142"/>
      <c r="TZ110" s="142"/>
      <c r="UA110" s="142"/>
      <c r="UB110" s="142"/>
      <c r="UC110" s="142"/>
      <c r="UD110" s="142"/>
      <c r="UE110" s="142"/>
      <c r="UF110" s="142"/>
      <c r="UG110" s="142"/>
      <c r="UH110" s="142"/>
      <c r="UI110" s="142"/>
      <c r="UJ110" s="142"/>
      <c r="UK110" s="142"/>
      <c r="UL110" s="142"/>
      <c r="UM110" s="142"/>
      <c r="UN110" s="142"/>
      <c r="UO110" s="142"/>
      <c r="UP110" s="142"/>
      <c r="UQ110" s="142"/>
      <c r="UR110" s="142"/>
      <c r="US110" s="142"/>
      <c r="UT110" s="142"/>
      <c r="UU110" s="142"/>
      <c r="UV110" s="142"/>
      <c r="UW110" s="142"/>
      <c r="UX110" s="142"/>
      <c r="UY110" s="142"/>
      <c r="UZ110" s="142"/>
      <c r="VA110" s="142"/>
      <c r="VB110" s="142"/>
      <c r="VC110" s="142"/>
      <c r="VD110" s="142"/>
      <c r="VE110" s="142"/>
      <c r="VF110" s="142"/>
      <c r="VG110" s="142"/>
      <c r="VH110" s="142"/>
      <c r="VI110" s="142"/>
      <c r="VJ110" s="142"/>
      <c r="VK110" s="142"/>
      <c r="VL110" s="142"/>
      <c r="VM110" s="142"/>
      <c r="VN110" s="142"/>
      <c r="VO110" s="142"/>
      <c r="VP110" s="142"/>
      <c r="VQ110" s="142"/>
      <c r="VR110" s="142"/>
      <c r="VS110" s="142"/>
      <c r="VT110" s="142"/>
      <c r="VU110" s="142"/>
      <c r="VV110" s="142"/>
      <c r="VW110" s="142"/>
      <c r="VX110" s="142"/>
      <c r="VY110" s="142"/>
      <c r="VZ110" s="142"/>
      <c r="WA110" s="142"/>
      <c r="WB110" s="142"/>
      <c r="WC110" s="142"/>
      <c r="WD110" s="142"/>
      <c r="WE110" s="142"/>
      <c r="WF110" s="142"/>
      <c r="WG110" s="142"/>
      <c r="WH110" s="142"/>
      <c r="WI110" s="142"/>
      <c r="WJ110" s="142"/>
      <c r="WK110" s="142"/>
      <c r="WL110" s="142"/>
      <c r="WM110" s="142"/>
      <c r="WN110" s="142"/>
      <c r="WO110" s="142"/>
      <c r="WP110" s="142"/>
      <c r="WQ110" s="142"/>
      <c r="WR110" s="142"/>
      <c r="WS110" s="142"/>
      <c r="WT110" s="142"/>
      <c r="WU110" s="142"/>
      <c r="WV110" s="142"/>
      <c r="WW110" s="142"/>
      <c r="WX110" s="142"/>
      <c r="WY110" s="142"/>
      <c r="WZ110" s="142"/>
      <c r="XA110" s="142"/>
      <c r="XB110" s="142"/>
      <c r="XC110" s="142"/>
      <c r="XD110" s="142"/>
      <c r="XE110" s="142"/>
      <c r="XF110" s="142"/>
      <c r="XG110" s="142"/>
      <c r="XH110" s="142"/>
      <c r="XI110" s="142"/>
      <c r="XJ110" s="142"/>
      <c r="XK110" s="142"/>
      <c r="XL110" s="142"/>
      <c r="XM110" s="142"/>
      <c r="XN110" s="142"/>
      <c r="XO110" s="142"/>
      <c r="XP110" s="142"/>
      <c r="XQ110" s="142"/>
      <c r="XR110" s="142"/>
      <c r="XS110" s="142"/>
      <c r="XT110" s="142"/>
      <c r="XU110" s="142"/>
      <c r="XV110" s="142"/>
      <c r="XW110" s="142"/>
      <c r="XX110" s="142"/>
      <c r="XY110" s="142"/>
      <c r="XZ110" s="142"/>
      <c r="YA110" s="142"/>
      <c r="YB110" s="142"/>
      <c r="YC110" s="142"/>
      <c r="YD110" s="142"/>
      <c r="YE110" s="142"/>
      <c r="YF110" s="142"/>
      <c r="YG110" s="142"/>
      <c r="YH110" s="142"/>
      <c r="YI110" s="142"/>
      <c r="YJ110" s="142"/>
      <c r="YK110" s="142"/>
      <c r="YL110" s="142"/>
      <c r="YM110" s="142"/>
      <c r="YN110" s="142"/>
      <c r="YO110" s="142"/>
      <c r="YP110" s="142"/>
      <c r="YQ110" s="142"/>
      <c r="YR110" s="142"/>
      <c r="YS110" s="142"/>
      <c r="YT110" s="142"/>
      <c r="YU110" s="142"/>
      <c r="YV110" s="142"/>
      <c r="YW110" s="142"/>
      <c r="YX110" s="142"/>
      <c r="YY110" s="142"/>
      <c r="YZ110" s="142"/>
      <c r="ZA110" s="142"/>
      <c r="ZB110" s="142"/>
      <c r="ZC110" s="142"/>
      <c r="ZD110" s="142"/>
      <c r="ZE110" s="142"/>
      <c r="ZF110" s="142"/>
      <c r="ZG110" s="142"/>
      <c r="ZH110" s="142"/>
      <c r="ZI110" s="142"/>
      <c r="ZJ110" s="142"/>
      <c r="ZK110" s="142"/>
      <c r="ZL110" s="142"/>
      <c r="ZM110" s="142"/>
      <c r="ZN110" s="142"/>
      <c r="ZO110" s="142"/>
      <c r="ZP110" s="142"/>
      <c r="ZQ110" s="142"/>
      <c r="ZR110" s="142"/>
      <c r="ZS110" s="142"/>
      <c r="ZT110" s="142"/>
      <c r="ZU110" s="142"/>
      <c r="ZV110" s="142"/>
      <c r="ZW110" s="142"/>
      <c r="ZX110" s="142"/>
      <c r="ZY110" s="142"/>
      <c r="ZZ110" s="142"/>
      <c r="AAA110" s="142"/>
      <c r="AAB110" s="142"/>
      <c r="AAC110" s="142"/>
      <c r="AAD110" s="142"/>
      <c r="AAE110" s="142"/>
      <c r="AAF110" s="142"/>
      <c r="AAG110" s="142"/>
      <c r="AAH110" s="142"/>
      <c r="AAI110" s="142"/>
      <c r="AAJ110" s="142"/>
      <c r="AAK110" s="142"/>
      <c r="AAL110" s="142"/>
      <c r="AAM110" s="142"/>
      <c r="AAN110" s="142"/>
      <c r="AAO110" s="142"/>
      <c r="AAP110" s="142"/>
      <c r="AAQ110" s="142"/>
      <c r="AAR110" s="142"/>
      <c r="AAS110" s="142"/>
      <c r="AAT110" s="142"/>
      <c r="AAU110" s="142"/>
      <c r="AAV110" s="142"/>
      <c r="AAW110" s="142"/>
      <c r="AAX110" s="142"/>
      <c r="AAY110" s="142"/>
      <c r="AAZ110" s="142"/>
      <c r="ABA110" s="142"/>
      <c r="ABB110" s="142"/>
      <c r="ABC110" s="142"/>
      <c r="ABD110" s="142"/>
      <c r="ABE110" s="142"/>
      <c r="ABF110" s="142"/>
      <c r="ABG110" s="142"/>
      <c r="ABH110" s="142"/>
      <c r="ABI110" s="142"/>
      <c r="ABJ110" s="142"/>
      <c r="ABK110" s="142"/>
      <c r="ABL110" s="142"/>
      <c r="ABM110" s="142"/>
      <c r="ABN110" s="142"/>
      <c r="ABO110" s="142"/>
      <c r="ABP110" s="142"/>
      <c r="ABQ110" s="142"/>
      <c r="ABR110" s="142"/>
      <c r="ABS110" s="142"/>
      <c r="ABT110" s="142"/>
      <c r="ABU110" s="142"/>
      <c r="ABV110" s="142"/>
      <c r="ABW110" s="142"/>
      <c r="ABX110" s="142"/>
      <c r="ABY110" s="142"/>
      <c r="ABZ110" s="142"/>
      <c r="ACA110" s="142"/>
      <c r="ACB110" s="142"/>
      <c r="ACC110" s="142"/>
      <c r="ACD110" s="142"/>
      <c r="ACE110" s="142"/>
      <c r="ACF110" s="142"/>
      <c r="ACG110" s="142"/>
      <c r="ACH110" s="142"/>
      <c r="ACI110" s="142"/>
      <c r="ACJ110" s="142"/>
      <c r="ACK110" s="142"/>
      <c r="ACL110" s="142"/>
      <c r="ACM110" s="142"/>
      <c r="ACN110" s="142"/>
      <c r="ACO110" s="142"/>
      <c r="ACP110" s="142"/>
      <c r="ACQ110" s="142"/>
      <c r="ACR110" s="142"/>
      <c r="ACS110" s="142"/>
      <c r="ACT110" s="142"/>
      <c r="ACU110" s="142"/>
      <c r="ACV110" s="142"/>
      <c r="ACW110" s="142"/>
      <c r="ACX110" s="142"/>
      <c r="ACY110" s="142"/>
      <c r="ACZ110" s="142"/>
      <c r="ADA110" s="142"/>
      <c r="ADB110" s="142"/>
      <c r="ADC110" s="142"/>
      <c r="ADD110" s="142"/>
      <c r="ADE110" s="142"/>
      <c r="ADF110" s="142"/>
      <c r="ADG110" s="142"/>
      <c r="ADH110" s="142"/>
      <c r="ADI110" s="142"/>
      <c r="ADJ110" s="142"/>
      <c r="ADK110" s="142"/>
      <c r="ADL110" s="142"/>
      <c r="ADM110" s="142"/>
      <c r="ADN110" s="142"/>
      <c r="ADO110" s="142"/>
      <c r="ADP110" s="142"/>
      <c r="ADQ110" s="142"/>
      <c r="ADR110" s="142"/>
      <c r="ADS110" s="142"/>
      <c r="ADT110" s="142"/>
      <c r="ADU110" s="142"/>
      <c r="ADV110" s="142"/>
      <c r="ADW110" s="142"/>
      <c r="ADX110" s="142"/>
      <c r="ADY110" s="142"/>
      <c r="ADZ110" s="142"/>
      <c r="AEA110" s="142"/>
      <c r="AEB110" s="142"/>
      <c r="AEC110" s="142"/>
      <c r="AED110" s="142"/>
      <c r="AEE110" s="142"/>
      <c r="AEF110" s="142"/>
      <c r="AEG110" s="142"/>
      <c r="AEH110" s="142"/>
      <c r="AEI110" s="142"/>
      <c r="AEJ110" s="142"/>
      <c r="AEK110" s="142"/>
      <c r="AEL110" s="142"/>
      <c r="AEM110" s="142"/>
      <c r="AEN110" s="142"/>
      <c r="AEO110" s="142"/>
      <c r="AEP110" s="142"/>
      <c r="AEQ110" s="142"/>
      <c r="AER110" s="142"/>
      <c r="AES110" s="142"/>
      <c r="AET110" s="142"/>
      <c r="AEU110" s="142"/>
      <c r="AEV110" s="142"/>
      <c r="AEW110" s="142"/>
      <c r="AEX110" s="142"/>
      <c r="AEY110" s="142"/>
      <c r="AEZ110" s="142"/>
      <c r="AFA110" s="142"/>
      <c r="AFB110" s="142"/>
      <c r="AFC110" s="142"/>
      <c r="AFD110" s="142"/>
      <c r="AFE110" s="142"/>
      <c r="AFF110" s="142"/>
      <c r="AFG110" s="142"/>
      <c r="AFH110" s="142"/>
      <c r="AFI110" s="142"/>
      <c r="AFJ110" s="142"/>
      <c r="AFK110" s="142"/>
      <c r="AFL110" s="142"/>
      <c r="AFM110" s="142"/>
      <c r="AFN110" s="142"/>
      <c r="AFO110" s="142"/>
      <c r="AFP110" s="142"/>
      <c r="AFQ110" s="142"/>
      <c r="AFR110" s="142"/>
      <c r="AFS110" s="142"/>
      <c r="AFT110" s="142"/>
      <c r="AFU110" s="142"/>
      <c r="AFV110" s="142"/>
      <c r="AFW110" s="142"/>
      <c r="AFX110" s="142"/>
      <c r="AFY110" s="142"/>
      <c r="AFZ110" s="142"/>
      <c r="AGA110" s="142"/>
      <c r="AGB110" s="142"/>
      <c r="AGC110" s="142"/>
      <c r="AGD110" s="142"/>
      <c r="AGE110" s="142"/>
      <c r="AGF110" s="142"/>
      <c r="AGG110" s="142"/>
      <c r="AGH110" s="142"/>
      <c r="AGI110" s="142"/>
      <c r="AGJ110" s="142"/>
      <c r="AGK110" s="142"/>
      <c r="AGL110" s="142"/>
      <c r="AGM110" s="142"/>
      <c r="AGN110" s="142"/>
      <c r="AGO110" s="142"/>
      <c r="AGP110" s="142"/>
      <c r="AGQ110" s="142"/>
      <c r="AGR110" s="142"/>
      <c r="AGS110" s="142"/>
      <c r="AGT110" s="142"/>
      <c r="AGU110" s="142"/>
      <c r="AGV110" s="142"/>
      <c r="AGW110" s="142"/>
      <c r="AGX110" s="142"/>
      <c r="AGY110" s="142"/>
      <c r="AGZ110" s="142"/>
      <c r="AHA110" s="142"/>
      <c r="AHB110" s="142"/>
      <c r="AHC110" s="142"/>
      <c r="AHD110" s="142"/>
      <c r="AHE110" s="142"/>
      <c r="AHF110" s="142"/>
      <c r="AHG110" s="142"/>
      <c r="AHH110" s="142"/>
      <c r="AHI110" s="142"/>
      <c r="AHJ110" s="142"/>
      <c r="AHK110" s="142"/>
      <c r="AHL110" s="142"/>
      <c r="AHM110" s="142"/>
      <c r="AHN110" s="142"/>
      <c r="AHO110" s="142"/>
      <c r="AHP110" s="142"/>
      <c r="AHQ110" s="142"/>
      <c r="AHR110" s="142"/>
      <c r="AHS110" s="142"/>
      <c r="AHT110" s="142"/>
      <c r="AHU110" s="142"/>
      <c r="AHV110" s="142"/>
      <c r="AHW110" s="142"/>
      <c r="AHX110" s="142"/>
      <c r="AHY110" s="142"/>
      <c r="AHZ110" s="142"/>
      <c r="AIA110" s="142"/>
      <c r="AIB110" s="142"/>
      <c r="AIC110" s="142"/>
      <c r="AID110" s="142"/>
      <c r="AIE110" s="142"/>
      <c r="AIF110" s="142"/>
      <c r="AIG110" s="142"/>
      <c r="AIH110" s="142"/>
      <c r="AII110" s="142"/>
      <c r="AIJ110" s="142"/>
      <c r="AIK110" s="142"/>
      <c r="AIL110" s="142"/>
      <c r="AIM110" s="142"/>
      <c r="AIN110" s="142"/>
      <c r="AIO110" s="142"/>
      <c r="AIP110" s="142"/>
      <c r="AIQ110" s="142"/>
      <c r="AIR110" s="142"/>
      <c r="AIS110" s="142"/>
      <c r="AIT110" s="142"/>
      <c r="AIU110" s="142"/>
      <c r="AIV110" s="142"/>
      <c r="AIW110" s="142"/>
      <c r="AIX110" s="142"/>
      <c r="AIY110" s="142"/>
      <c r="AIZ110" s="142"/>
      <c r="AJA110" s="142"/>
      <c r="AJB110" s="142"/>
      <c r="AJC110" s="142"/>
      <c r="AJD110" s="142"/>
      <c r="AJE110" s="142"/>
      <c r="AJF110" s="142"/>
      <c r="AJG110" s="142"/>
      <c r="AJH110" s="142"/>
      <c r="AJI110" s="142"/>
      <c r="AJJ110" s="142"/>
      <c r="AJK110" s="142"/>
      <c r="AJL110" s="142"/>
      <c r="AJM110" s="142"/>
      <c r="AJN110" s="142"/>
      <c r="AJO110" s="142"/>
      <c r="AJP110" s="142"/>
      <c r="AJQ110" s="142"/>
      <c r="AJR110" s="142"/>
      <c r="AJS110" s="142"/>
      <c r="AJT110" s="142"/>
      <c r="AJU110" s="142"/>
      <c r="AJV110" s="142"/>
      <c r="AJW110" s="142"/>
      <c r="AJX110" s="142"/>
      <c r="AJY110" s="142"/>
      <c r="AJZ110" s="142"/>
      <c r="AKA110" s="142"/>
      <c r="AKB110" s="142"/>
      <c r="AKC110" s="142"/>
      <c r="AKD110" s="142"/>
      <c r="AKE110" s="142"/>
      <c r="AKF110" s="142"/>
      <c r="AKG110" s="142"/>
      <c r="AKH110" s="142"/>
      <c r="AKI110" s="142"/>
      <c r="AKJ110" s="142"/>
      <c r="AKK110" s="142"/>
      <c r="AKL110" s="142"/>
      <c r="AKM110" s="142"/>
      <c r="AKN110" s="142"/>
      <c r="AKO110" s="142"/>
      <c r="AKP110" s="142"/>
      <c r="AKQ110" s="142"/>
      <c r="AKR110" s="142"/>
      <c r="AKS110" s="142"/>
      <c r="AKT110" s="142"/>
      <c r="AKU110" s="142"/>
      <c r="AKV110" s="142"/>
      <c r="AKW110" s="142"/>
      <c r="AKX110" s="142"/>
      <c r="AKY110" s="142"/>
      <c r="AKZ110" s="142"/>
      <c r="ALA110" s="142"/>
      <c r="ALB110" s="142"/>
      <c r="ALC110" s="142"/>
      <c r="ALD110" s="142"/>
      <c r="ALE110" s="142"/>
      <c r="ALF110" s="142"/>
      <c r="ALG110" s="142"/>
      <c r="ALH110" s="142"/>
      <c r="ALI110" s="142"/>
      <c r="ALJ110" s="142"/>
      <c r="ALK110" s="142"/>
      <c r="ALL110" s="142"/>
      <c r="ALM110" s="142"/>
      <c r="ALN110" s="142"/>
      <c r="ALO110" s="142"/>
      <c r="ALP110" s="142"/>
      <c r="ALQ110" s="142"/>
      <c r="ALR110" s="142"/>
      <c r="ALS110" s="142"/>
      <c r="ALT110" s="142"/>
      <c r="ALU110" s="142"/>
      <c r="ALV110" s="142"/>
      <c r="ALW110" s="142"/>
      <c r="ALX110" s="142"/>
      <c r="ALY110" s="142"/>
      <c r="ALZ110" s="142"/>
      <c r="AMA110" s="142"/>
      <c r="AMB110" s="142"/>
      <c r="AMC110" s="142"/>
      <c r="AMD110" s="142"/>
      <c r="AME110" s="142"/>
      <c r="AMF110" s="142"/>
      <c r="AMG110" s="142"/>
      <c r="AMH110" s="142"/>
      <c r="AMI110" s="142"/>
      <c r="AMJ110" s="142"/>
      <c r="AMK110" s="142"/>
      <c r="AML110" s="142"/>
      <c r="AMM110" s="142"/>
      <c r="AMN110" s="142"/>
      <c r="AMO110" s="142"/>
      <c r="AMP110" s="142"/>
      <c r="AMQ110" s="142"/>
      <c r="AMR110" s="142"/>
      <c r="AMS110" s="142"/>
      <c r="AMT110" s="142"/>
      <c r="AMU110" s="142"/>
      <c r="AMV110" s="142"/>
      <c r="AMW110" s="142"/>
      <c r="AMX110" s="142"/>
      <c r="AMY110" s="142"/>
      <c r="AMZ110" s="142"/>
      <c r="ANA110" s="142"/>
      <c r="ANB110" s="142"/>
      <c r="ANC110" s="142"/>
      <c r="AND110" s="142"/>
      <c r="ANE110" s="142"/>
      <c r="ANF110" s="142"/>
      <c r="ANG110" s="142"/>
      <c r="ANH110" s="142"/>
      <c r="ANI110" s="142"/>
      <c r="ANJ110" s="142"/>
      <c r="ANK110" s="142"/>
      <c r="ANL110" s="142"/>
      <c r="ANM110" s="142"/>
      <c r="ANN110" s="142"/>
      <c r="ANO110" s="142"/>
      <c r="ANP110" s="142"/>
      <c r="ANQ110" s="142"/>
      <c r="ANR110" s="142"/>
      <c r="ANS110" s="142"/>
      <c r="ANT110" s="142"/>
      <c r="ANU110" s="142"/>
      <c r="ANV110" s="142"/>
      <c r="ANW110" s="142"/>
      <c r="ANX110" s="142"/>
      <c r="ANY110" s="142"/>
      <c r="ANZ110" s="142"/>
      <c r="AOA110" s="142"/>
      <c r="AOB110" s="142"/>
      <c r="AOC110" s="142"/>
      <c r="AOD110" s="142"/>
      <c r="AOE110" s="142"/>
      <c r="AOF110" s="142"/>
      <c r="AOG110" s="142"/>
      <c r="AOH110" s="142"/>
      <c r="AOI110" s="142"/>
      <c r="AOJ110" s="142"/>
      <c r="AOK110" s="142"/>
      <c r="AOL110" s="142"/>
      <c r="AOM110" s="142"/>
      <c r="AON110" s="142"/>
      <c r="AOO110" s="142"/>
      <c r="AOP110" s="142"/>
      <c r="AOQ110" s="142"/>
      <c r="AOR110" s="142"/>
      <c r="AOS110" s="142"/>
      <c r="AOT110" s="142"/>
      <c r="AOU110" s="142"/>
      <c r="AOV110" s="142"/>
      <c r="AOW110" s="142"/>
      <c r="AOX110" s="142"/>
      <c r="AOY110" s="142"/>
      <c r="AOZ110" s="142"/>
      <c r="APA110" s="142"/>
      <c r="APB110" s="142"/>
      <c r="APC110" s="142"/>
      <c r="APD110" s="142"/>
      <c r="APE110" s="142"/>
      <c r="APF110" s="142"/>
      <c r="APG110" s="142"/>
      <c r="APH110" s="142"/>
      <c r="API110" s="142"/>
      <c r="APJ110" s="142"/>
      <c r="APK110" s="142"/>
      <c r="APL110" s="142"/>
      <c r="APM110" s="142"/>
      <c r="APN110" s="142"/>
      <c r="APO110" s="142"/>
      <c r="APP110" s="142"/>
      <c r="APQ110" s="142"/>
      <c r="APR110" s="142"/>
      <c r="APS110" s="142"/>
      <c r="APT110" s="142"/>
      <c r="APU110" s="142"/>
      <c r="APV110" s="142"/>
      <c r="APW110" s="142"/>
      <c r="APX110" s="142"/>
      <c r="APY110" s="142"/>
      <c r="APZ110" s="142"/>
      <c r="AQA110" s="142"/>
      <c r="AQB110" s="142"/>
      <c r="AQC110" s="142"/>
      <c r="AQD110" s="142"/>
      <c r="AQE110" s="142"/>
      <c r="AQF110" s="142"/>
      <c r="AQG110" s="142"/>
      <c r="AQH110" s="142"/>
      <c r="AQI110" s="142"/>
      <c r="AQJ110" s="142"/>
      <c r="AQK110" s="142"/>
      <c r="AQL110" s="142"/>
      <c r="AQM110" s="142"/>
      <c r="AQN110" s="142"/>
      <c r="AQO110" s="142"/>
      <c r="AQP110" s="142"/>
      <c r="AQQ110" s="142"/>
      <c r="AQR110" s="142"/>
      <c r="AQS110" s="142"/>
      <c r="AQT110" s="142"/>
      <c r="AQU110" s="142"/>
      <c r="AQV110" s="142"/>
      <c r="AQW110" s="142"/>
      <c r="AQX110" s="142"/>
      <c r="AQY110" s="142"/>
      <c r="AQZ110" s="142"/>
      <c r="ARA110" s="142"/>
      <c r="ARB110" s="142"/>
      <c r="ARC110" s="142"/>
      <c r="ARD110" s="142"/>
      <c r="ARE110" s="142"/>
      <c r="ARF110" s="142"/>
      <c r="ARG110" s="142"/>
      <c r="ARH110" s="142"/>
      <c r="ARI110" s="142"/>
      <c r="ARJ110" s="142"/>
      <c r="ARK110" s="142"/>
      <c r="ARL110" s="142"/>
      <c r="ARM110" s="142"/>
      <c r="ARN110" s="142"/>
      <c r="ARO110" s="142"/>
      <c r="ARP110" s="142"/>
      <c r="ARQ110" s="142"/>
      <c r="ARR110" s="142"/>
      <c r="ARS110" s="142"/>
      <c r="ART110" s="142"/>
      <c r="ARU110" s="142"/>
      <c r="ARV110" s="142"/>
      <c r="ARW110" s="142"/>
      <c r="ARX110" s="142"/>
      <c r="ARY110" s="142"/>
      <c r="ARZ110" s="142"/>
      <c r="ASA110" s="142"/>
      <c r="ASB110" s="142"/>
      <c r="ASC110" s="142"/>
      <c r="ASD110" s="142"/>
      <c r="ASE110" s="142"/>
      <c r="ASF110" s="142"/>
      <c r="ASG110" s="142"/>
      <c r="ASH110" s="142"/>
      <c r="ASI110" s="142"/>
      <c r="ASJ110" s="142"/>
      <c r="ASK110" s="142"/>
      <c r="ASL110" s="142"/>
      <c r="ASM110" s="142"/>
      <c r="ASN110" s="142"/>
      <c r="ASO110" s="142"/>
      <c r="ASP110" s="142"/>
      <c r="ASQ110" s="142"/>
      <c r="ASR110" s="142"/>
      <c r="ASS110" s="142"/>
      <c r="AST110" s="142"/>
      <c r="ASU110" s="142"/>
      <c r="ASV110" s="142"/>
      <c r="ASW110" s="142"/>
      <c r="ASX110" s="142"/>
      <c r="ASY110" s="142"/>
      <c r="ASZ110" s="142"/>
      <c r="ATA110" s="142"/>
      <c r="ATB110" s="142"/>
      <c r="ATC110" s="142"/>
      <c r="ATD110" s="142"/>
      <c r="ATE110" s="142"/>
      <c r="ATF110" s="142"/>
      <c r="ATG110" s="142"/>
      <c r="ATH110" s="142"/>
      <c r="ATI110" s="142"/>
      <c r="ATJ110" s="142"/>
      <c r="ATK110" s="142"/>
      <c r="ATL110" s="142"/>
      <c r="ATM110" s="142"/>
      <c r="ATN110" s="142"/>
      <c r="ATO110" s="142"/>
      <c r="ATP110" s="142"/>
      <c r="ATQ110" s="142"/>
      <c r="ATR110" s="142"/>
      <c r="ATS110" s="142"/>
      <c r="ATT110" s="142"/>
      <c r="ATU110" s="142"/>
      <c r="ATV110" s="142"/>
      <c r="ATW110" s="142"/>
      <c r="ATX110" s="142"/>
      <c r="ATY110" s="142"/>
      <c r="ATZ110" s="142"/>
      <c r="AUA110" s="142"/>
      <c r="AUB110" s="142"/>
      <c r="AUC110" s="142"/>
      <c r="AUD110" s="142"/>
      <c r="AUE110" s="142"/>
      <c r="AUF110" s="142"/>
      <c r="AUG110" s="142"/>
      <c r="AUH110" s="142"/>
      <c r="AUI110" s="142"/>
      <c r="AUJ110" s="142"/>
      <c r="AUK110" s="142"/>
      <c r="AUL110" s="142"/>
      <c r="AUM110" s="142"/>
      <c r="AUN110" s="142"/>
      <c r="AUO110" s="142"/>
      <c r="AUP110" s="142"/>
      <c r="AUQ110" s="142"/>
      <c r="AUR110" s="142"/>
      <c r="AUS110" s="142"/>
      <c r="AUT110" s="142"/>
      <c r="AUU110" s="142"/>
      <c r="AUV110" s="142"/>
      <c r="AUW110" s="142"/>
      <c r="AUX110" s="142"/>
      <c r="AUY110" s="142"/>
      <c r="AUZ110" s="142"/>
      <c r="AVA110" s="142"/>
      <c r="AVB110" s="142"/>
      <c r="AVC110" s="142"/>
      <c r="AVD110" s="142"/>
      <c r="AVE110" s="142"/>
      <c r="AVF110" s="142"/>
      <c r="AVG110" s="142"/>
      <c r="AVH110" s="142"/>
      <c r="AVI110" s="142"/>
      <c r="AVJ110" s="142"/>
      <c r="AVK110" s="142"/>
      <c r="AVL110" s="142"/>
      <c r="AVM110" s="142"/>
      <c r="AVN110" s="142"/>
      <c r="AVO110" s="142"/>
      <c r="AVP110" s="142"/>
      <c r="AVQ110" s="142"/>
      <c r="AVR110" s="142"/>
      <c r="AVS110" s="142"/>
      <c r="AVT110" s="142"/>
      <c r="AVU110" s="142"/>
      <c r="AVV110" s="142"/>
      <c r="AVW110" s="142"/>
      <c r="AVX110" s="142"/>
      <c r="AVY110" s="142"/>
      <c r="AVZ110" s="142"/>
      <c r="AWA110" s="142"/>
      <c r="AWB110" s="142"/>
      <c r="AWC110" s="142"/>
      <c r="AWD110" s="142"/>
      <c r="AWE110" s="142"/>
      <c r="AWF110" s="142"/>
      <c r="AWG110" s="142"/>
      <c r="AWH110" s="142"/>
      <c r="AWI110" s="142"/>
      <c r="AWJ110" s="142"/>
      <c r="AWK110" s="142"/>
      <c r="AWL110" s="142"/>
      <c r="AWM110" s="142"/>
      <c r="AWN110" s="142"/>
      <c r="AWO110" s="142"/>
      <c r="AWP110" s="142"/>
      <c r="AWQ110" s="142"/>
      <c r="AWR110" s="142"/>
      <c r="AWS110" s="142"/>
      <c r="AWT110" s="142"/>
      <c r="AWU110" s="142"/>
      <c r="AWV110" s="142"/>
      <c r="AWW110" s="142"/>
      <c r="AWX110" s="142"/>
      <c r="AWY110" s="142"/>
      <c r="AWZ110" s="142"/>
      <c r="AXA110" s="142"/>
      <c r="AXB110" s="142"/>
      <c r="AXC110" s="142"/>
      <c r="AXD110" s="142"/>
      <c r="AXE110" s="142"/>
      <c r="AXF110" s="142"/>
      <c r="AXG110" s="142"/>
      <c r="AXH110" s="142"/>
      <c r="AXI110" s="142"/>
      <c r="AXJ110" s="142"/>
      <c r="AXK110" s="142"/>
      <c r="AXL110" s="142"/>
      <c r="AXM110" s="142"/>
      <c r="AXN110" s="142"/>
      <c r="AXO110" s="142"/>
      <c r="AXP110" s="142"/>
      <c r="AXQ110" s="142"/>
      <c r="AXR110" s="142"/>
      <c r="AXS110" s="142"/>
      <c r="AXT110" s="142"/>
      <c r="AXU110" s="142"/>
      <c r="AXV110" s="142"/>
      <c r="AXW110" s="142"/>
      <c r="AXX110" s="142"/>
      <c r="AXY110" s="142"/>
      <c r="AXZ110" s="142"/>
      <c r="AYA110" s="142"/>
      <c r="AYB110" s="142"/>
      <c r="AYC110" s="142"/>
      <c r="AYD110" s="142"/>
      <c r="AYE110" s="142"/>
      <c r="AYF110" s="142"/>
      <c r="AYG110" s="142"/>
      <c r="AYH110" s="142"/>
      <c r="AYI110" s="142"/>
      <c r="AYJ110" s="142"/>
      <c r="AYK110" s="142"/>
      <c r="AYL110" s="142"/>
      <c r="AYM110" s="142"/>
      <c r="AYN110" s="142"/>
      <c r="AYO110" s="142"/>
      <c r="AYP110" s="142"/>
      <c r="AYQ110" s="142"/>
      <c r="AYR110" s="142"/>
      <c r="AYS110" s="142"/>
      <c r="AYT110" s="142"/>
      <c r="AYU110" s="142"/>
      <c r="AYV110" s="142"/>
      <c r="AYW110" s="142"/>
      <c r="AYX110" s="142"/>
      <c r="AYY110" s="142"/>
      <c r="AYZ110" s="142"/>
      <c r="AZA110" s="142"/>
      <c r="AZB110" s="142"/>
      <c r="AZC110" s="142"/>
      <c r="AZD110" s="142"/>
      <c r="AZE110" s="142"/>
      <c r="AZF110" s="142"/>
      <c r="AZG110" s="142"/>
      <c r="AZH110" s="142"/>
      <c r="AZI110" s="142"/>
      <c r="AZJ110" s="142"/>
      <c r="AZK110" s="142"/>
      <c r="AZL110" s="142"/>
      <c r="AZM110" s="142"/>
      <c r="AZN110" s="142"/>
      <c r="AZO110" s="142"/>
      <c r="AZP110" s="142"/>
      <c r="AZQ110" s="142"/>
      <c r="AZR110" s="142"/>
      <c r="AZS110" s="142"/>
      <c r="AZT110" s="142"/>
      <c r="AZU110" s="142"/>
      <c r="AZV110" s="142"/>
      <c r="AZW110" s="142"/>
      <c r="AZX110" s="142"/>
      <c r="AZY110" s="142"/>
      <c r="AZZ110" s="142"/>
      <c r="BAA110" s="142"/>
      <c r="BAB110" s="142"/>
      <c r="BAC110" s="142"/>
      <c r="BAD110" s="142"/>
      <c r="BAE110" s="142"/>
      <c r="BAF110" s="142"/>
      <c r="BAG110" s="142"/>
      <c r="BAH110" s="142"/>
      <c r="BAI110" s="142"/>
      <c r="BAJ110" s="142"/>
      <c r="BAK110" s="142"/>
      <c r="BAL110" s="142"/>
      <c r="BAM110" s="142"/>
      <c r="BAN110" s="142"/>
      <c r="BAO110" s="142"/>
      <c r="BAP110" s="142"/>
      <c r="BAQ110" s="142"/>
      <c r="BAR110" s="142"/>
      <c r="BAS110" s="142"/>
      <c r="BAT110" s="142"/>
      <c r="BAU110" s="142"/>
      <c r="BAV110" s="142"/>
      <c r="BAW110" s="142"/>
      <c r="BAX110" s="142"/>
      <c r="BAY110" s="142"/>
      <c r="BAZ110" s="142"/>
      <c r="BBA110" s="142"/>
      <c r="BBB110" s="142"/>
      <c r="BBC110" s="142"/>
      <c r="BBD110" s="142"/>
      <c r="BBE110" s="142"/>
      <c r="BBF110" s="142"/>
      <c r="BBG110" s="142"/>
      <c r="BBH110" s="142"/>
      <c r="BBI110" s="142"/>
      <c r="BBJ110" s="142"/>
      <c r="BBK110" s="142"/>
      <c r="BBL110" s="142"/>
      <c r="BBM110" s="142"/>
      <c r="BBN110" s="142"/>
      <c r="BBO110" s="142"/>
      <c r="BBP110" s="142"/>
      <c r="BBQ110" s="142"/>
      <c r="BBR110" s="142"/>
      <c r="BBS110" s="142"/>
      <c r="BBT110" s="142"/>
      <c r="BBU110" s="142"/>
      <c r="BBV110" s="142"/>
      <c r="BBW110" s="142"/>
      <c r="BBX110" s="142"/>
      <c r="BBY110" s="142"/>
      <c r="BBZ110" s="142"/>
      <c r="BCA110" s="142"/>
      <c r="BCB110" s="142"/>
      <c r="BCC110" s="142"/>
      <c r="BCD110" s="142"/>
      <c r="BCE110" s="142"/>
      <c r="BCF110" s="142"/>
      <c r="BCG110" s="142"/>
      <c r="BCH110" s="142"/>
      <c r="BCI110" s="142"/>
      <c r="BCJ110" s="142"/>
      <c r="BCK110" s="142"/>
      <c r="BCL110" s="142"/>
      <c r="BCM110" s="142"/>
      <c r="BCN110" s="142"/>
      <c r="BCO110" s="142"/>
      <c r="BCP110" s="142"/>
      <c r="BCQ110" s="142"/>
      <c r="BCR110" s="142"/>
      <c r="BCS110" s="142"/>
      <c r="BCT110" s="142"/>
      <c r="BCU110" s="142"/>
      <c r="BCV110" s="142"/>
      <c r="BCW110" s="142"/>
      <c r="BCX110" s="142"/>
      <c r="BCY110" s="142"/>
      <c r="BCZ110" s="142"/>
      <c r="BDA110" s="142"/>
      <c r="BDB110" s="142"/>
      <c r="BDC110" s="142"/>
      <c r="BDD110" s="142"/>
      <c r="BDE110" s="142"/>
      <c r="BDF110" s="142"/>
      <c r="BDG110" s="142"/>
      <c r="BDH110" s="142"/>
      <c r="BDI110" s="142"/>
      <c r="BDJ110" s="142"/>
      <c r="BDK110" s="142"/>
      <c r="BDL110" s="142"/>
      <c r="BDM110" s="142"/>
      <c r="BDN110" s="142"/>
      <c r="BDO110" s="142"/>
      <c r="BDP110" s="142"/>
      <c r="BDQ110" s="142"/>
      <c r="BDR110" s="142"/>
      <c r="BDS110" s="142"/>
      <c r="BDT110" s="142"/>
      <c r="BDU110" s="142"/>
      <c r="BDV110" s="142"/>
      <c r="BDW110" s="142"/>
      <c r="BDX110" s="142"/>
      <c r="BDY110" s="142"/>
      <c r="BDZ110" s="142"/>
      <c r="BEA110" s="142"/>
      <c r="BEB110" s="142"/>
      <c r="BEC110" s="142"/>
      <c r="BED110" s="142"/>
      <c r="BEE110" s="142"/>
      <c r="BEF110" s="142"/>
      <c r="BEG110" s="142"/>
      <c r="BEH110" s="142"/>
      <c r="BEI110" s="142"/>
      <c r="BEJ110" s="142"/>
      <c r="BEK110" s="142"/>
      <c r="BEL110" s="142"/>
      <c r="BEM110" s="142"/>
      <c r="BEN110" s="142"/>
      <c r="BEO110" s="142"/>
      <c r="BEP110" s="142"/>
      <c r="BEQ110" s="142"/>
      <c r="BER110" s="142"/>
      <c r="BES110" s="142"/>
      <c r="BET110" s="142"/>
      <c r="BEU110" s="142"/>
      <c r="BEV110" s="142"/>
      <c r="BEW110" s="142"/>
      <c r="BEX110" s="142"/>
      <c r="BEY110" s="142"/>
      <c r="BEZ110" s="142"/>
      <c r="BFA110" s="142"/>
      <c r="BFB110" s="142"/>
      <c r="BFC110" s="142"/>
      <c r="BFD110" s="142"/>
      <c r="BFE110" s="142"/>
      <c r="BFF110" s="142"/>
      <c r="BFG110" s="142"/>
      <c r="BFH110" s="142"/>
      <c r="BFI110" s="142"/>
      <c r="BFJ110" s="142"/>
      <c r="BFK110" s="142"/>
      <c r="BFL110" s="142"/>
      <c r="BFM110" s="142"/>
      <c r="BFN110" s="142"/>
      <c r="BFO110" s="142"/>
      <c r="BFP110" s="142"/>
      <c r="BFQ110" s="142"/>
      <c r="BFR110" s="142"/>
      <c r="BFS110" s="142"/>
      <c r="BFT110" s="142"/>
      <c r="BFU110" s="142"/>
      <c r="BFV110" s="142"/>
      <c r="BFW110" s="142"/>
      <c r="BFX110" s="142"/>
      <c r="BFY110" s="142"/>
      <c r="BFZ110" s="142"/>
      <c r="BGA110" s="142"/>
      <c r="BGB110" s="142"/>
      <c r="BGC110" s="142"/>
      <c r="BGD110" s="142"/>
      <c r="BGE110" s="142"/>
      <c r="BGF110" s="142"/>
      <c r="BGG110" s="142"/>
      <c r="BGH110" s="142"/>
      <c r="BGI110" s="142"/>
      <c r="BGJ110" s="142"/>
      <c r="BGK110" s="142"/>
      <c r="BGL110" s="142"/>
      <c r="BGM110" s="142"/>
      <c r="BGN110" s="142"/>
      <c r="BGO110" s="142"/>
      <c r="BGP110" s="142"/>
      <c r="BGQ110" s="142"/>
      <c r="BGR110" s="142"/>
      <c r="BGS110" s="142"/>
      <c r="BGT110" s="142"/>
      <c r="BGU110" s="142"/>
      <c r="BGV110" s="142"/>
      <c r="BGW110" s="142"/>
      <c r="BGX110" s="142"/>
      <c r="BGY110" s="142"/>
      <c r="BGZ110" s="142"/>
      <c r="BHA110" s="142"/>
      <c r="BHB110" s="142"/>
      <c r="BHC110" s="142"/>
      <c r="BHD110" s="142"/>
      <c r="BHE110" s="142"/>
      <c r="BHF110" s="142"/>
      <c r="BHG110" s="142"/>
      <c r="BHH110" s="142"/>
      <c r="BHI110" s="142"/>
      <c r="BHJ110" s="142"/>
      <c r="BHK110" s="142"/>
      <c r="BHL110" s="142"/>
      <c r="BHM110" s="142"/>
      <c r="BHN110" s="142"/>
      <c r="BHO110" s="142"/>
      <c r="BHP110" s="142"/>
      <c r="BHQ110" s="142"/>
      <c r="BHR110" s="142"/>
      <c r="BHS110" s="142"/>
      <c r="BHT110" s="142"/>
      <c r="BHU110" s="142"/>
      <c r="BHV110" s="142"/>
      <c r="BHW110" s="142"/>
      <c r="BHX110" s="142"/>
      <c r="BHY110" s="142"/>
      <c r="BHZ110" s="142"/>
      <c r="BIA110" s="142"/>
      <c r="BIB110" s="142"/>
      <c r="BIC110" s="142"/>
      <c r="BID110" s="142"/>
      <c r="BIE110" s="142"/>
      <c r="BIF110" s="142"/>
      <c r="BIG110" s="142"/>
      <c r="BIH110" s="142"/>
      <c r="BII110" s="142"/>
      <c r="BIJ110" s="142"/>
      <c r="BIK110" s="142"/>
      <c r="BIL110" s="142"/>
      <c r="BIM110" s="142"/>
      <c r="BIN110" s="142"/>
      <c r="BIO110" s="142"/>
      <c r="BIP110" s="142"/>
      <c r="BIQ110" s="142"/>
      <c r="BIR110" s="142"/>
      <c r="BIS110" s="142"/>
      <c r="BIT110" s="142"/>
      <c r="BIU110" s="142"/>
      <c r="BIV110" s="142"/>
      <c r="BIW110" s="142"/>
      <c r="BIX110" s="142"/>
      <c r="BIY110" s="142"/>
      <c r="BIZ110" s="142"/>
      <c r="BJA110" s="142"/>
      <c r="BJB110" s="142"/>
      <c r="BJC110" s="142"/>
      <c r="BJD110" s="142"/>
      <c r="BJE110" s="142"/>
      <c r="BJF110" s="142"/>
      <c r="BJG110" s="142"/>
      <c r="BJH110" s="142"/>
      <c r="BJI110" s="142"/>
      <c r="BJJ110" s="142"/>
      <c r="BJK110" s="142"/>
      <c r="BJL110" s="142"/>
      <c r="BJM110" s="142"/>
      <c r="BJN110" s="142"/>
      <c r="BJO110" s="142"/>
      <c r="BJP110" s="142"/>
      <c r="BJQ110" s="142"/>
      <c r="BJR110" s="142"/>
      <c r="BJS110" s="142"/>
      <c r="BJT110" s="142"/>
      <c r="BJU110" s="142"/>
      <c r="BJV110" s="142"/>
      <c r="BJW110" s="142"/>
      <c r="BJX110" s="142"/>
      <c r="BJY110" s="142"/>
      <c r="BJZ110" s="142"/>
      <c r="BKA110" s="142"/>
      <c r="BKB110" s="142"/>
      <c r="BKC110" s="142"/>
      <c r="BKD110" s="142"/>
      <c r="BKE110" s="142"/>
      <c r="BKF110" s="142"/>
      <c r="BKG110" s="142"/>
      <c r="BKH110" s="142"/>
      <c r="BKI110" s="142"/>
      <c r="BKJ110" s="142"/>
      <c r="BKK110" s="142"/>
      <c r="BKL110" s="142"/>
      <c r="BKM110" s="142"/>
      <c r="BKN110" s="142"/>
      <c r="BKO110" s="142"/>
      <c r="BKP110" s="142"/>
      <c r="BKQ110" s="142"/>
      <c r="BKR110" s="142"/>
      <c r="BKS110" s="142"/>
      <c r="BKT110" s="142"/>
      <c r="BKU110" s="142"/>
      <c r="BKV110" s="142"/>
      <c r="BKW110" s="142"/>
      <c r="BKX110" s="142"/>
      <c r="BKY110" s="142"/>
      <c r="BKZ110" s="142"/>
      <c r="BLA110" s="142"/>
      <c r="BLB110" s="142"/>
      <c r="BLC110" s="142"/>
      <c r="BLD110" s="142"/>
      <c r="BLE110" s="142"/>
      <c r="BLF110" s="142"/>
      <c r="BLG110" s="142"/>
      <c r="BLH110" s="142"/>
      <c r="BLI110" s="142"/>
      <c r="BLJ110" s="142"/>
      <c r="BLK110" s="142"/>
      <c r="BLL110" s="142"/>
      <c r="BLM110" s="142"/>
      <c r="BLN110" s="142"/>
      <c r="BLO110" s="142"/>
      <c r="BLP110" s="142"/>
      <c r="BLQ110" s="142"/>
      <c r="BLR110" s="142"/>
      <c r="BLS110" s="142"/>
      <c r="BLT110" s="142"/>
      <c r="BLU110" s="142"/>
      <c r="BLV110" s="142"/>
      <c r="BLW110" s="142"/>
      <c r="BLX110" s="142"/>
      <c r="BLY110" s="142"/>
      <c r="BLZ110" s="142"/>
      <c r="BMA110" s="142"/>
      <c r="BMB110" s="142"/>
      <c r="BMC110" s="142"/>
      <c r="BMD110" s="142"/>
      <c r="BME110" s="142"/>
      <c r="BMF110" s="142"/>
      <c r="BMG110" s="142"/>
      <c r="BMH110" s="142"/>
      <c r="BMI110" s="142"/>
      <c r="BMJ110" s="142"/>
      <c r="BMK110" s="142"/>
      <c r="BML110" s="142"/>
      <c r="BMM110" s="142"/>
      <c r="BMN110" s="142"/>
      <c r="BMO110" s="142"/>
      <c r="BMP110" s="142"/>
      <c r="BMQ110" s="142"/>
      <c r="BMR110" s="142"/>
      <c r="BMS110" s="142"/>
      <c r="BMT110" s="142"/>
      <c r="BMU110" s="142"/>
      <c r="BMV110" s="142"/>
      <c r="BMW110" s="142"/>
      <c r="BMX110" s="142"/>
      <c r="BMY110" s="142"/>
      <c r="BMZ110" s="142"/>
      <c r="BNA110" s="142"/>
      <c r="BNB110" s="142"/>
      <c r="BNC110" s="142"/>
      <c r="BND110" s="142"/>
      <c r="BNE110" s="142"/>
      <c r="BNF110" s="142"/>
      <c r="BNG110" s="142"/>
      <c r="BNH110" s="142"/>
      <c r="BNI110" s="142"/>
      <c r="BNJ110" s="142"/>
      <c r="BNK110" s="142"/>
      <c r="BNL110" s="142"/>
      <c r="BNM110" s="142"/>
      <c r="BNN110" s="142"/>
      <c r="BNO110" s="142"/>
      <c r="BNP110" s="142"/>
      <c r="BNQ110" s="142"/>
      <c r="BNR110" s="142"/>
      <c r="BNS110" s="142"/>
      <c r="BNT110" s="142"/>
      <c r="BNU110" s="142"/>
      <c r="BNV110" s="142"/>
      <c r="BNW110" s="142"/>
      <c r="BNX110" s="142"/>
      <c r="BNY110" s="142"/>
      <c r="BNZ110" s="142"/>
      <c r="BOA110" s="142"/>
      <c r="BOB110" s="142"/>
      <c r="BOC110" s="142"/>
      <c r="BOD110" s="142"/>
      <c r="BOE110" s="142"/>
      <c r="BOF110" s="142"/>
      <c r="BOG110" s="142"/>
      <c r="BOH110" s="142"/>
      <c r="BOI110" s="142"/>
      <c r="BOJ110" s="142"/>
      <c r="BOK110" s="142"/>
      <c r="BOL110" s="142"/>
      <c r="BOM110" s="142"/>
      <c r="BON110" s="142"/>
      <c r="BOO110" s="142"/>
      <c r="BOP110" s="142"/>
      <c r="BOQ110" s="142"/>
      <c r="BOR110" s="142"/>
      <c r="BOS110" s="142"/>
      <c r="BOT110" s="142"/>
      <c r="BOU110" s="142"/>
      <c r="BOV110" s="142"/>
      <c r="BOW110" s="142"/>
      <c r="BOX110" s="142"/>
      <c r="BOY110" s="142"/>
      <c r="BOZ110" s="142"/>
      <c r="BPA110" s="142"/>
      <c r="BPB110" s="142"/>
      <c r="BPC110" s="142"/>
      <c r="BPD110" s="142"/>
      <c r="BPE110" s="142"/>
      <c r="BPF110" s="142"/>
      <c r="BPG110" s="142"/>
      <c r="BPH110" s="142"/>
      <c r="BPI110" s="142"/>
      <c r="BPJ110" s="142"/>
      <c r="BPK110" s="142"/>
      <c r="BPL110" s="142"/>
      <c r="BPM110" s="142"/>
      <c r="BPN110" s="142"/>
      <c r="BPO110" s="142"/>
      <c r="BPP110" s="142"/>
      <c r="BPQ110" s="142"/>
      <c r="BPR110" s="142"/>
      <c r="BPS110" s="142"/>
      <c r="BPT110" s="142"/>
      <c r="BPU110" s="142"/>
      <c r="BPV110" s="142"/>
      <c r="BPW110" s="142"/>
      <c r="BPX110" s="142"/>
      <c r="BPY110" s="142"/>
      <c r="BPZ110" s="142"/>
      <c r="BQA110" s="142"/>
      <c r="BQB110" s="142"/>
      <c r="BQC110" s="142"/>
      <c r="BQD110" s="142"/>
      <c r="BQE110" s="142"/>
      <c r="BQF110" s="142"/>
      <c r="BQG110" s="142"/>
      <c r="BQH110" s="142"/>
      <c r="BQI110" s="142"/>
      <c r="BQJ110" s="142"/>
      <c r="BQK110" s="142"/>
      <c r="BQL110" s="142"/>
      <c r="BQM110" s="142"/>
      <c r="BQN110" s="142"/>
      <c r="BQO110" s="142"/>
      <c r="BQP110" s="142"/>
      <c r="BQQ110" s="142"/>
      <c r="BQR110" s="142"/>
      <c r="BQS110" s="142"/>
      <c r="BQT110" s="142"/>
      <c r="BQU110" s="142"/>
      <c r="BQV110" s="142"/>
      <c r="BQW110" s="142"/>
      <c r="BQX110" s="142"/>
      <c r="BQY110" s="142"/>
      <c r="BQZ110" s="142"/>
      <c r="BRA110" s="142"/>
      <c r="BRB110" s="142"/>
      <c r="BRC110" s="142"/>
      <c r="BRD110" s="142"/>
      <c r="BRE110" s="142"/>
      <c r="BRF110" s="142"/>
      <c r="BRG110" s="142"/>
      <c r="BRH110" s="142"/>
      <c r="BRI110" s="142"/>
      <c r="BRJ110" s="142"/>
      <c r="BRK110" s="142"/>
      <c r="BRL110" s="142"/>
      <c r="BRM110" s="142"/>
      <c r="BRN110" s="142"/>
      <c r="BRO110" s="142"/>
      <c r="BRP110" s="142"/>
      <c r="BRQ110" s="142"/>
      <c r="BRR110" s="142"/>
      <c r="BRS110" s="142"/>
      <c r="BRT110" s="142"/>
      <c r="BRU110" s="142"/>
      <c r="BRV110" s="142"/>
      <c r="BRW110" s="142"/>
      <c r="BRX110" s="142"/>
      <c r="BRY110" s="142"/>
      <c r="BRZ110" s="142"/>
      <c r="BSA110" s="142"/>
      <c r="BSB110" s="142"/>
      <c r="BSC110" s="142"/>
      <c r="BSD110" s="142"/>
      <c r="BSE110" s="142"/>
      <c r="BSF110" s="142"/>
      <c r="BSG110" s="142"/>
      <c r="BSH110" s="142"/>
      <c r="BSI110" s="142"/>
      <c r="BSJ110" s="142"/>
      <c r="BSK110" s="142"/>
      <c r="BSL110" s="142"/>
      <c r="BSM110" s="142"/>
      <c r="BSN110" s="142"/>
      <c r="BSO110" s="142"/>
      <c r="BSP110" s="142"/>
      <c r="BSQ110" s="142"/>
      <c r="BSR110" s="142"/>
      <c r="BSS110" s="142"/>
      <c r="BST110" s="142"/>
      <c r="BSU110" s="142"/>
      <c r="BSV110" s="142"/>
      <c r="BSW110" s="142"/>
      <c r="BSX110" s="142"/>
      <c r="BSY110" s="142"/>
      <c r="BSZ110" s="142"/>
      <c r="BTA110" s="142"/>
      <c r="BTB110" s="142"/>
      <c r="BTC110" s="142"/>
      <c r="BTD110" s="142"/>
      <c r="BTE110" s="142"/>
      <c r="BTF110" s="142"/>
      <c r="BTG110" s="142"/>
      <c r="BTH110" s="142"/>
      <c r="BTI110" s="142"/>
      <c r="BTJ110" s="142"/>
      <c r="BTK110" s="142"/>
      <c r="BTL110" s="142"/>
      <c r="BTM110" s="142"/>
      <c r="BTN110" s="142"/>
      <c r="BTO110" s="142"/>
      <c r="BTP110" s="142"/>
      <c r="BTQ110" s="142"/>
      <c r="BTR110" s="142"/>
      <c r="BTS110" s="142"/>
      <c r="BTT110" s="142"/>
      <c r="BTU110" s="142"/>
      <c r="BTV110" s="142"/>
      <c r="BTW110" s="142"/>
      <c r="BTX110" s="142"/>
      <c r="BTY110" s="142"/>
      <c r="BTZ110" s="142"/>
      <c r="BUA110" s="142"/>
      <c r="BUB110" s="142"/>
      <c r="BUC110" s="142"/>
      <c r="BUD110" s="142"/>
      <c r="BUE110" s="142"/>
      <c r="BUF110" s="142"/>
      <c r="BUG110" s="142"/>
      <c r="BUH110" s="142"/>
      <c r="BUI110" s="142"/>
      <c r="BUJ110" s="142"/>
      <c r="BUK110" s="142"/>
      <c r="BUL110" s="142"/>
      <c r="BUM110" s="142"/>
      <c r="BUN110" s="142"/>
      <c r="BUO110" s="142"/>
      <c r="BUP110" s="142"/>
      <c r="BUQ110" s="142"/>
      <c r="BUR110" s="142"/>
      <c r="BUS110" s="142"/>
      <c r="BUT110" s="142"/>
      <c r="BUU110" s="142"/>
      <c r="BUV110" s="142"/>
      <c r="BUW110" s="142"/>
      <c r="BUX110" s="142"/>
      <c r="BUY110" s="142"/>
      <c r="BUZ110" s="142"/>
      <c r="BVA110" s="142"/>
      <c r="BVB110" s="142"/>
      <c r="BVC110" s="142"/>
      <c r="BVD110" s="142"/>
      <c r="BVE110" s="142"/>
      <c r="BVF110" s="142"/>
      <c r="BVG110" s="142"/>
      <c r="BVH110" s="142"/>
      <c r="BVI110" s="142"/>
      <c r="BVJ110" s="142"/>
      <c r="BVK110" s="142"/>
      <c r="BVL110" s="142"/>
      <c r="BVM110" s="142"/>
      <c r="BVN110" s="142"/>
      <c r="BVO110" s="142"/>
      <c r="BVP110" s="142"/>
      <c r="BVQ110" s="142"/>
      <c r="BVR110" s="142"/>
      <c r="BVS110" s="142"/>
      <c r="BVT110" s="142"/>
      <c r="BVU110" s="142"/>
      <c r="BVV110" s="142"/>
      <c r="BVW110" s="142"/>
      <c r="BVX110" s="142"/>
      <c r="BVY110" s="142"/>
      <c r="BVZ110" s="142"/>
      <c r="BWA110" s="142"/>
      <c r="BWB110" s="142"/>
      <c r="BWC110" s="142"/>
      <c r="BWD110" s="142"/>
      <c r="BWE110" s="142"/>
      <c r="BWF110" s="142"/>
      <c r="BWG110" s="142"/>
      <c r="BWH110" s="142"/>
      <c r="BWI110" s="142"/>
      <c r="BWJ110" s="142"/>
      <c r="BWK110" s="142"/>
      <c r="BWL110" s="142"/>
      <c r="BWM110" s="142"/>
      <c r="BWN110" s="142"/>
      <c r="BWO110" s="142"/>
      <c r="BWP110" s="142"/>
      <c r="BWQ110" s="142"/>
      <c r="BWR110" s="142"/>
      <c r="BWS110" s="142"/>
      <c r="BWT110" s="142"/>
      <c r="BWU110" s="142"/>
      <c r="BWV110" s="142"/>
      <c r="BWW110" s="142"/>
      <c r="BWX110" s="142"/>
      <c r="BWY110" s="142"/>
      <c r="BWZ110" s="142"/>
      <c r="BXA110" s="142"/>
      <c r="BXB110" s="142"/>
      <c r="BXC110" s="142"/>
      <c r="BXD110" s="142"/>
      <c r="BXE110" s="142"/>
      <c r="BXF110" s="142"/>
      <c r="BXG110" s="142"/>
      <c r="BXH110" s="142"/>
      <c r="BXI110" s="142"/>
      <c r="BXJ110" s="142"/>
      <c r="BXK110" s="142"/>
      <c r="BXL110" s="142"/>
      <c r="BXM110" s="142"/>
      <c r="BXN110" s="142"/>
      <c r="BXO110" s="142"/>
      <c r="BXP110" s="142"/>
      <c r="BXQ110" s="142"/>
      <c r="BXR110" s="142"/>
      <c r="BXS110" s="142"/>
      <c r="BXT110" s="142"/>
      <c r="BXU110" s="142"/>
      <c r="BXV110" s="142"/>
      <c r="BXW110" s="142"/>
      <c r="BXX110" s="142"/>
      <c r="BXY110" s="142"/>
      <c r="BXZ110" s="142"/>
      <c r="BYA110" s="142"/>
      <c r="BYB110" s="142"/>
      <c r="BYC110" s="142"/>
      <c r="BYD110" s="142"/>
      <c r="BYE110" s="142"/>
      <c r="BYF110" s="142"/>
      <c r="BYG110" s="142"/>
      <c r="BYH110" s="142"/>
      <c r="BYI110" s="142"/>
      <c r="BYJ110" s="142"/>
      <c r="BYK110" s="142"/>
      <c r="BYL110" s="142"/>
      <c r="BYM110" s="142"/>
      <c r="BYN110" s="142"/>
      <c r="BYO110" s="142"/>
      <c r="BYP110" s="142"/>
      <c r="BYQ110" s="142"/>
      <c r="BYR110" s="142"/>
      <c r="BYS110" s="142"/>
      <c r="BYT110" s="142"/>
      <c r="BYU110" s="142"/>
      <c r="BYV110" s="142"/>
      <c r="BYW110" s="142"/>
      <c r="BYX110" s="142"/>
      <c r="BYY110" s="142"/>
      <c r="BYZ110" s="142"/>
      <c r="BZA110" s="142"/>
      <c r="BZB110" s="142"/>
      <c r="BZC110" s="142"/>
      <c r="BZD110" s="142"/>
      <c r="BZE110" s="142"/>
      <c r="BZF110" s="142"/>
      <c r="BZG110" s="142"/>
      <c r="BZH110" s="142"/>
      <c r="BZI110" s="142"/>
      <c r="BZJ110" s="142"/>
      <c r="BZK110" s="142"/>
      <c r="BZL110" s="142"/>
      <c r="BZM110" s="142"/>
      <c r="BZN110" s="142"/>
      <c r="BZO110" s="142"/>
      <c r="BZP110" s="142"/>
      <c r="BZQ110" s="142"/>
      <c r="BZR110" s="142"/>
      <c r="BZS110" s="142"/>
      <c r="BZT110" s="142"/>
      <c r="BZU110" s="142"/>
      <c r="BZV110" s="142"/>
      <c r="BZW110" s="142"/>
      <c r="BZX110" s="142"/>
      <c r="BZY110" s="142"/>
      <c r="BZZ110" s="142"/>
      <c r="CAA110" s="142"/>
      <c r="CAB110" s="142"/>
      <c r="CAC110" s="142"/>
      <c r="CAD110" s="142"/>
      <c r="CAE110" s="142"/>
      <c r="CAF110" s="142"/>
      <c r="CAG110" s="142"/>
      <c r="CAH110" s="142"/>
      <c r="CAI110" s="142"/>
      <c r="CAJ110" s="142"/>
      <c r="CAK110" s="142"/>
      <c r="CAL110" s="142"/>
      <c r="CAM110" s="142"/>
      <c r="CAN110" s="142"/>
      <c r="CAO110" s="142"/>
      <c r="CAP110" s="142"/>
      <c r="CAQ110" s="142"/>
      <c r="CAR110" s="142"/>
      <c r="CAS110" s="142"/>
      <c r="CAT110" s="142"/>
      <c r="CAU110" s="142"/>
      <c r="CAV110" s="142"/>
      <c r="CAW110" s="142"/>
      <c r="CAX110" s="142"/>
      <c r="CAY110" s="142"/>
      <c r="CAZ110" s="142"/>
      <c r="CBA110" s="142"/>
      <c r="CBB110" s="142"/>
      <c r="CBC110" s="142"/>
      <c r="CBD110" s="142"/>
      <c r="CBE110" s="142"/>
      <c r="CBF110" s="142"/>
      <c r="CBG110" s="142"/>
      <c r="CBH110" s="142"/>
      <c r="CBI110" s="142"/>
      <c r="CBJ110" s="142"/>
      <c r="CBK110" s="142"/>
      <c r="CBL110" s="142"/>
      <c r="CBM110" s="142"/>
      <c r="CBN110" s="142"/>
      <c r="CBO110" s="142"/>
      <c r="CBP110" s="142"/>
      <c r="CBQ110" s="142"/>
      <c r="CBR110" s="142"/>
      <c r="CBS110" s="142"/>
      <c r="CBT110" s="142"/>
      <c r="CBU110" s="142"/>
      <c r="CBV110" s="142"/>
      <c r="CBW110" s="142"/>
      <c r="CBX110" s="142"/>
      <c r="CBY110" s="142"/>
      <c r="CBZ110" s="142"/>
      <c r="CCA110" s="142"/>
      <c r="CCB110" s="142"/>
      <c r="CCC110" s="142"/>
      <c r="CCD110" s="142"/>
      <c r="CCE110" s="142"/>
      <c r="CCF110" s="142"/>
      <c r="CCG110" s="142"/>
      <c r="CCH110" s="142"/>
      <c r="CCI110" s="142"/>
      <c r="CCJ110" s="142"/>
      <c r="CCK110" s="142"/>
      <c r="CCL110" s="142"/>
      <c r="CCM110" s="142"/>
      <c r="CCN110" s="142"/>
      <c r="CCO110" s="142"/>
      <c r="CCP110" s="142"/>
      <c r="CCQ110" s="142"/>
      <c r="CCR110" s="142"/>
      <c r="CCS110" s="142"/>
      <c r="CCT110" s="142"/>
      <c r="CCU110" s="142"/>
      <c r="CCV110" s="142"/>
      <c r="CCW110" s="142"/>
      <c r="CCX110" s="142"/>
      <c r="CCY110" s="142"/>
      <c r="CCZ110" s="142"/>
      <c r="CDA110" s="142"/>
      <c r="CDB110" s="142"/>
      <c r="CDC110" s="142"/>
      <c r="CDD110" s="142"/>
      <c r="CDE110" s="142"/>
      <c r="CDF110" s="142"/>
      <c r="CDG110" s="142"/>
      <c r="CDH110" s="142"/>
      <c r="CDI110" s="142"/>
      <c r="CDJ110" s="142"/>
      <c r="CDK110" s="142"/>
      <c r="CDL110" s="142"/>
      <c r="CDM110" s="142"/>
      <c r="CDN110" s="142"/>
      <c r="CDO110" s="142"/>
      <c r="CDP110" s="142"/>
      <c r="CDQ110" s="142"/>
      <c r="CDR110" s="142"/>
      <c r="CDS110" s="142"/>
      <c r="CDT110" s="142"/>
      <c r="CDU110" s="142"/>
      <c r="CDV110" s="142"/>
      <c r="CDW110" s="142"/>
      <c r="CDX110" s="142"/>
      <c r="CDY110" s="142"/>
      <c r="CDZ110" s="142"/>
      <c r="CEA110" s="142"/>
      <c r="CEB110" s="142"/>
      <c r="CEC110" s="142"/>
      <c r="CED110" s="142"/>
      <c r="CEE110" s="142"/>
      <c r="CEF110" s="142"/>
      <c r="CEG110" s="142"/>
      <c r="CEH110" s="142"/>
      <c r="CEI110" s="142"/>
      <c r="CEJ110" s="142"/>
      <c r="CEK110" s="142"/>
      <c r="CEL110" s="142"/>
      <c r="CEM110" s="142"/>
      <c r="CEN110" s="142"/>
      <c r="CEO110" s="142"/>
      <c r="CEP110" s="142"/>
      <c r="CEQ110" s="142"/>
      <c r="CER110" s="142"/>
      <c r="CES110" s="142"/>
      <c r="CET110" s="142"/>
      <c r="CEU110" s="142"/>
      <c r="CEV110" s="142"/>
      <c r="CEW110" s="142"/>
      <c r="CEX110" s="142"/>
      <c r="CEY110" s="142"/>
      <c r="CEZ110" s="142"/>
      <c r="CFA110" s="142"/>
      <c r="CFB110" s="142"/>
      <c r="CFC110" s="142"/>
      <c r="CFD110" s="142"/>
      <c r="CFE110" s="142"/>
      <c r="CFF110" s="142"/>
      <c r="CFG110" s="142"/>
      <c r="CFH110" s="142"/>
      <c r="CFI110" s="142"/>
      <c r="CFJ110" s="142"/>
      <c r="CFK110" s="142"/>
      <c r="CFL110" s="142"/>
      <c r="CFM110" s="142"/>
      <c r="CFN110" s="142"/>
      <c r="CFO110" s="142"/>
      <c r="CFP110" s="142"/>
      <c r="CFQ110" s="142"/>
      <c r="CFR110" s="142"/>
      <c r="CFS110" s="142"/>
      <c r="CFT110" s="142"/>
      <c r="CFU110" s="142"/>
      <c r="CFV110" s="142"/>
      <c r="CFW110" s="142"/>
      <c r="CFX110" s="142"/>
      <c r="CFY110" s="142"/>
      <c r="CFZ110" s="142"/>
      <c r="CGA110" s="142"/>
      <c r="CGB110" s="142"/>
      <c r="CGC110" s="142"/>
      <c r="CGD110" s="142"/>
      <c r="CGE110" s="142"/>
      <c r="CGF110" s="142"/>
      <c r="CGG110" s="142"/>
      <c r="CGH110" s="142"/>
      <c r="CGI110" s="142"/>
      <c r="CGJ110" s="142"/>
      <c r="CGK110" s="142"/>
      <c r="CGL110" s="142"/>
      <c r="CGM110" s="142"/>
      <c r="CGN110" s="142"/>
      <c r="CGO110" s="142"/>
      <c r="CGP110" s="142"/>
      <c r="CGQ110" s="142"/>
      <c r="CGR110" s="142"/>
      <c r="CGS110" s="142"/>
      <c r="CGT110" s="142"/>
      <c r="CGU110" s="142"/>
      <c r="CGV110" s="142"/>
      <c r="CGW110" s="142"/>
      <c r="CGX110" s="142"/>
      <c r="CGY110" s="142"/>
      <c r="CGZ110" s="142"/>
      <c r="CHA110" s="142"/>
      <c r="CHB110" s="142"/>
      <c r="CHC110" s="142"/>
      <c r="CHD110" s="142"/>
      <c r="CHE110" s="142"/>
      <c r="CHF110" s="142"/>
      <c r="CHG110" s="142"/>
      <c r="CHH110" s="142"/>
      <c r="CHI110" s="142"/>
      <c r="CHJ110" s="142"/>
      <c r="CHK110" s="142"/>
      <c r="CHL110" s="142"/>
      <c r="CHM110" s="142"/>
      <c r="CHN110" s="142"/>
      <c r="CHO110" s="142"/>
      <c r="CHP110" s="142"/>
      <c r="CHQ110" s="142"/>
      <c r="CHR110" s="142"/>
      <c r="CHS110" s="142"/>
      <c r="CHT110" s="142"/>
      <c r="CHU110" s="142"/>
      <c r="CHV110" s="142"/>
      <c r="CHW110" s="142"/>
      <c r="CHX110" s="142"/>
      <c r="CHY110" s="142"/>
      <c r="CHZ110" s="142"/>
      <c r="CIA110" s="142"/>
      <c r="CIB110" s="142"/>
      <c r="CIC110" s="142"/>
      <c r="CID110" s="142"/>
      <c r="CIE110" s="142"/>
      <c r="CIF110" s="142"/>
      <c r="CIG110" s="142"/>
      <c r="CIH110" s="142"/>
      <c r="CII110" s="142"/>
      <c r="CIJ110" s="142"/>
      <c r="CIK110" s="142"/>
      <c r="CIL110" s="142"/>
      <c r="CIM110" s="142"/>
      <c r="CIN110" s="142"/>
      <c r="CIO110" s="142"/>
      <c r="CIP110" s="142"/>
      <c r="CIQ110" s="142"/>
      <c r="CIR110" s="142"/>
      <c r="CIS110" s="142"/>
      <c r="CIT110" s="142"/>
      <c r="CIU110" s="142"/>
      <c r="CIV110" s="142"/>
      <c r="CIW110" s="142"/>
      <c r="CIX110" s="142"/>
      <c r="CIY110" s="142"/>
      <c r="CIZ110" s="142"/>
      <c r="CJA110" s="142"/>
      <c r="CJB110" s="142"/>
      <c r="CJC110" s="142"/>
      <c r="CJD110" s="142"/>
      <c r="CJE110" s="142"/>
      <c r="CJF110" s="142"/>
      <c r="CJG110" s="142"/>
      <c r="CJH110" s="142"/>
      <c r="CJI110" s="142"/>
      <c r="CJJ110" s="142"/>
      <c r="CJK110" s="142"/>
      <c r="CJL110" s="142"/>
      <c r="CJM110" s="142"/>
      <c r="CJN110" s="142"/>
      <c r="CJO110" s="142"/>
      <c r="CJP110" s="142"/>
      <c r="CJQ110" s="142"/>
      <c r="CJR110" s="142"/>
      <c r="CJS110" s="142"/>
      <c r="CJT110" s="142"/>
      <c r="CJU110" s="142"/>
      <c r="CJV110" s="142"/>
      <c r="CJW110" s="142"/>
      <c r="CJX110" s="142"/>
      <c r="CJY110" s="142"/>
      <c r="CJZ110" s="142"/>
      <c r="CKA110" s="142"/>
      <c r="CKB110" s="142"/>
      <c r="CKC110" s="142"/>
      <c r="CKD110" s="142"/>
      <c r="CKE110" s="142"/>
      <c r="CKF110" s="142"/>
      <c r="CKG110" s="142"/>
      <c r="CKH110" s="142"/>
      <c r="CKI110" s="142"/>
      <c r="CKJ110" s="142"/>
      <c r="CKK110" s="142"/>
      <c r="CKL110" s="142"/>
      <c r="CKM110" s="142"/>
      <c r="CKN110" s="142"/>
      <c r="CKO110" s="142"/>
      <c r="CKP110" s="142"/>
      <c r="CKQ110" s="142"/>
      <c r="CKR110" s="142"/>
      <c r="CKS110" s="142"/>
      <c r="CKT110" s="142"/>
      <c r="CKU110" s="142"/>
      <c r="CKV110" s="142"/>
      <c r="CKW110" s="142"/>
      <c r="CKX110" s="142"/>
      <c r="CKY110" s="142"/>
      <c r="CKZ110" s="142"/>
      <c r="CLA110" s="142"/>
      <c r="CLB110" s="142"/>
      <c r="CLC110" s="142"/>
      <c r="CLD110" s="142"/>
      <c r="CLE110" s="142"/>
      <c r="CLF110" s="142"/>
      <c r="CLG110" s="142"/>
      <c r="CLH110" s="142"/>
      <c r="CLI110" s="142"/>
      <c r="CLJ110" s="142"/>
      <c r="CLK110" s="142"/>
      <c r="CLL110" s="142"/>
      <c r="CLM110" s="142"/>
      <c r="CLN110" s="142"/>
      <c r="CLO110" s="142"/>
      <c r="CLP110" s="142"/>
      <c r="CLQ110" s="142"/>
      <c r="CLR110" s="142"/>
      <c r="CLS110" s="142"/>
      <c r="CLT110" s="142"/>
      <c r="CLU110" s="142"/>
      <c r="CLV110" s="142"/>
      <c r="CLW110" s="142"/>
      <c r="CLX110" s="142"/>
      <c r="CLY110" s="142"/>
      <c r="CLZ110" s="142"/>
      <c r="CMA110" s="142"/>
      <c r="CMB110" s="142"/>
      <c r="CMC110" s="142"/>
      <c r="CMD110" s="142"/>
      <c r="CME110" s="142"/>
      <c r="CMF110" s="142"/>
      <c r="CMG110" s="142"/>
      <c r="CMH110" s="142"/>
      <c r="CMI110" s="142"/>
      <c r="CMJ110" s="142"/>
      <c r="CMK110" s="142"/>
      <c r="CML110" s="142"/>
      <c r="CMM110" s="142"/>
      <c r="CMN110" s="142"/>
      <c r="CMO110" s="142"/>
      <c r="CMP110" s="142"/>
      <c r="CMQ110" s="142"/>
      <c r="CMR110" s="142"/>
      <c r="CMS110" s="142"/>
      <c r="CMT110" s="142"/>
      <c r="CMU110" s="142"/>
      <c r="CMV110" s="142"/>
      <c r="CMW110" s="142"/>
      <c r="CMX110" s="142"/>
      <c r="CMY110" s="142"/>
      <c r="CMZ110" s="142"/>
      <c r="CNA110" s="142"/>
      <c r="CNB110" s="142"/>
      <c r="CNC110" s="142"/>
      <c r="CND110" s="142"/>
      <c r="CNE110" s="142"/>
      <c r="CNF110" s="142"/>
      <c r="CNG110" s="142"/>
      <c r="CNH110" s="142"/>
      <c r="CNI110" s="142"/>
      <c r="CNJ110" s="142"/>
      <c r="CNK110" s="142"/>
      <c r="CNL110" s="142"/>
      <c r="CNM110" s="142"/>
      <c r="CNN110" s="142"/>
      <c r="CNO110" s="142"/>
      <c r="CNP110" s="142"/>
      <c r="CNQ110" s="142"/>
      <c r="CNR110" s="142"/>
      <c r="CNS110" s="142"/>
      <c r="CNT110" s="142"/>
      <c r="CNU110" s="142"/>
      <c r="CNV110" s="142"/>
      <c r="CNW110" s="142"/>
      <c r="CNX110" s="142"/>
      <c r="CNY110" s="142"/>
      <c r="CNZ110" s="142"/>
      <c r="COA110" s="142"/>
      <c r="COB110" s="142"/>
      <c r="COC110" s="142"/>
      <c r="COD110" s="142"/>
      <c r="COE110" s="142"/>
      <c r="COF110" s="142"/>
      <c r="COG110" s="142"/>
      <c r="COH110" s="142"/>
      <c r="COI110" s="142"/>
      <c r="COJ110" s="142"/>
      <c r="COK110" s="142"/>
      <c r="COL110" s="142"/>
      <c r="COM110" s="142"/>
      <c r="CON110" s="142"/>
      <c r="COO110" s="142"/>
      <c r="COP110" s="142"/>
      <c r="COQ110" s="142"/>
      <c r="COR110" s="142"/>
      <c r="COS110" s="142"/>
      <c r="COT110" s="142"/>
      <c r="COU110" s="142"/>
      <c r="COV110" s="142"/>
      <c r="COW110" s="142"/>
      <c r="COX110" s="142"/>
      <c r="COY110" s="142"/>
      <c r="COZ110" s="142"/>
      <c r="CPA110" s="142"/>
      <c r="CPB110" s="142"/>
      <c r="CPC110" s="142"/>
      <c r="CPD110" s="142"/>
      <c r="CPE110" s="142"/>
      <c r="CPF110" s="142"/>
      <c r="CPG110" s="142"/>
      <c r="CPH110" s="142"/>
      <c r="CPI110" s="142"/>
      <c r="CPJ110" s="142"/>
      <c r="CPK110" s="142"/>
      <c r="CPL110" s="142"/>
      <c r="CPM110" s="142"/>
      <c r="CPN110" s="142"/>
      <c r="CPO110" s="142"/>
      <c r="CPP110" s="142"/>
      <c r="CPQ110" s="142"/>
      <c r="CPR110" s="142"/>
      <c r="CPS110" s="142"/>
      <c r="CPT110" s="142"/>
      <c r="CPU110" s="142"/>
      <c r="CPV110" s="142"/>
      <c r="CPW110" s="142"/>
      <c r="CPX110" s="142"/>
      <c r="CPY110" s="142"/>
      <c r="CPZ110" s="142"/>
      <c r="CQA110" s="142"/>
      <c r="CQB110" s="142"/>
      <c r="CQC110" s="142"/>
      <c r="CQD110" s="142"/>
      <c r="CQE110" s="142"/>
      <c r="CQF110" s="142"/>
      <c r="CQG110" s="142"/>
      <c r="CQH110" s="142"/>
      <c r="CQI110" s="142"/>
      <c r="CQJ110" s="142"/>
      <c r="CQK110" s="142"/>
      <c r="CQL110" s="142"/>
      <c r="CQM110" s="142"/>
      <c r="CQN110" s="142"/>
      <c r="CQO110" s="142"/>
      <c r="CQP110" s="142"/>
      <c r="CQQ110" s="142"/>
      <c r="CQR110" s="142"/>
      <c r="CQS110" s="142"/>
      <c r="CQT110" s="142"/>
      <c r="CQU110" s="142"/>
      <c r="CQV110" s="142"/>
      <c r="CQW110" s="142"/>
      <c r="CQX110" s="142"/>
      <c r="CQY110" s="142"/>
      <c r="CQZ110" s="142"/>
      <c r="CRA110" s="142"/>
      <c r="CRB110" s="142"/>
      <c r="CRC110" s="142"/>
      <c r="CRD110" s="142"/>
      <c r="CRE110" s="142"/>
      <c r="CRF110" s="142"/>
      <c r="CRG110" s="142"/>
      <c r="CRH110" s="142"/>
      <c r="CRI110" s="142"/>
      <c r="CRJ110" s="142"/>
      <c r="CRK110" s="142"/>
      <c r="CRL110" s="142"/>
      <c r="CRM110" s="142"/>
      <c r="CRN110" s="142"/>
      <c r="CRO110" s="142"/>
      <c r="CRP110" s="142"/>
      <c r="CRQ110" s="142"/>
      <c r="CRR110" s="142"/>
      <c r="CRS110" s="142"/>
      <c r="CRT110" s="142"/>
      <c r="CRU110" s="142"/>
      <c r="CRV110" s="142"/>
      <c r="CRW110" s="142"/>
      <c r="CRX110" s="142"/>
      <c r="CRY110" s="142"/>
      <c r="CRZ110" s="142"/>
      <c r="CSA110" s="142"/>
      <c r="CSB110" s="142"/>
      <c r="CSC110" s="142"/>
      <c r="CSD110" s="142"/>
      <c r="CSE110" s="142"/>
      <c r="CSF110" s="142"/>
      <c r="CSG110" s="142"/>
      <c r="CSH110" s="142"/>
      <c r="CSI110" s="142"/>
      <c r="CSJ110" s="142"/>
      <c r="CSK110" s="142"/>
      <c r="CSL110" s="142"/>
      <c r="CSM110" s="142"/>
      <c r="CSN110" s="142"/>
      <c r="CSO110" s="142"/>
      <c r="CSP110" s="142"/>
      <c r="CSQ110" s="142"/>
      <c r="CSR110" s="142"/>
      <c r="CSS110" s="142"/>
      <c r="CST110" s="142"/>
      <c r="CSU110" s="142"/>
      <c r="CSV110" s="142"/>
      <c r="CSW110" s="142"/>
      <c r="CSX110" s="142"/>
      <c r="CSY110" s="142"/>
      <c r="CSZ110" s="142"/>
      <c r="CTA110" s="142"/>
      <c r="CTB110" s="142"/>
      <c r="CTC110" s="142"/>
      <c r="CTD110" s="142"/>
      <c r="CTE110" s="142"/>
      <c r="CTF110" s="142"/>
      <c r="CTG110" s="142"/>
      <c r="CTH110" s="142"/>
      <c r="CTI110" s="142"/>
      <c r="CTJ110" s="142"/>
      <c r="CTK110" s="142"/>
      <c r="CTL110" s="142"/>
      <c r="CTM110" s="142"/>
      <c r="CTN110" s="142"/>
      <c r="CTO110" s="142"/>
      <c r="CTP110" s="142"/>
      <c r="CTQ110" s="142"/>
      <c r="CTR110" s="142"/>
      <c r="CTS110" s="142"/>
      <c r="CTT110" s="142"/>
      <c r="CTU110" s="142"/>
      <c r="CTV110" s="142"/>
      <c r="CTW110" s="142"/>
      <c r="CTX110" s="142"/>
      <c r="CTY110" s="142"/>
      <c r="CTZ110" s="142"/>
      <c r="CUA110" s="142"/>
      <c r="CUB110" s="142"/>
      <c r="CUC110" s="142"/>
      <c r="CUD110" s="142"/>
      <c r="CUE110" s="142"/>
      <c r="CUF110" s="142"/>
      <c r="CUG110" s="142"/>
      <c r="CUH110" s="142"/>
      <c r="CUI110" s="142"/>
      <c r="CUJ110" s="142"/>
      <c r="CUK110" s="142"/>
      <c r="CUL110" s="142"/>
      <c r="CUM110" s="142"/>
      <c r="CUN110" s="142"/>
      <c r="CUO110" s="142"/>
      <c r="CUP110" s="142"/>
      <c r="CUQ110" s="142"/>
      <c r="CUR110" s="142"/>
      <c r="CUS110" s="142"/>
      <c r="CUT110" s="142"/>
      <c r="CUU110" s="142"/>
      <c r="CUV110" s="142"/>
      <c r="CUW110" s="142"/>
      <c r="CUX110" s="142"/>
      <c r="CUY110" s="142"/>
      <c r="CUZ110" s="142"/>
      <c r="CVA110" s="142"/>
      <c r="CVB110" s="142"/>
      <c r="CVC110" s="142"/>
      <c r="CVD110" s="142"/>
      <c r="CVE110" s="142"/>
      <c r="CVF110" s="142"/>
      <c r="CVG110" s="142"/>
      <c r="CVH110" s="142"/>
      <c r="CVI110" s="142"/>
      <c r="CVJ110" s="142"/>
      <c r="CVK110" s="142"/>
      <c r="CVL110" s="142"/>
      <c r="CVM110" s="142"/>
      <c r="CVN110" s="142"/>
      <c r="CVO110" s="142"/>
      <c r="CVP110" s="142"/>
      <c r="CVQ110" s="142"/>
      <c r="CVR110" s="142"/>
      <c r="CVS110" s="142"/>
      <c r="CVT110" s="142"/>
      <c r="CVU110" s="142"/>
      <c r="CVV110" s="142"/>
      <c r="CVW110" s="142"/>
      <c r="CVX110" s="142"/>
      <c r="CVY110" s="142"/>
      <c r="CVZ110" s="142"/>
      <c r="CWA110" s="142"/>
      <c r="CWB110" s="142"/>
      <c r="CWC110" s="142"/>
      <c r="CWD110" s="142"/>
      <c r="CWE110" s="142"/>
      <c r="CWF110" s="142"/>
      <c r="CWG110" s="142"/>
      <c r="CWH110" s="142"/>
      <c r="CWI110" s="142"/>
      <c r="CWJ110" s="142"/>
      <c r="CWK110" s="142"/>
      <c r="CWL110" s="142"/>
      <c r="CWM110" s="142"/>
      <c r="CWN110" s="142"/>
      <c r="CWO110" s="142"/>
      <c r="CWP110" s="142"/>
      <c r="CWQ110" s="142"/>
      <c r="CWR110" s="142"/>
      <c r="CWS110" s="142"/>
      <c r="CWT110" s="142"/>
      <c r="CWU110" s="142"/>
      <c r="CWV110" s="142"/>
      <c r="CWW110" s="142"/>
      <c r="CWX110" s="142"/>
      <c r="CWY110" s="142"/>
      <c r="CWZ110" s="142"/>
      <c r="CXA110" s="142"/>
      <c r="CXB110" s="142"/>
      <c r="CXC110" s="142"/>
      <c r="CXD110" s="142"/>
      <c r="CXE110" s="142"/>
      <c r="CXF110" s="142"/>
      <c r="CXG110" s="142"/>
      <c r="CXH110" s="142"/>
      <c r="CXI110" s="142"/>
      <c r="CXJ110" s="142"/>
      <c r="CXK110" s="142"/>
      <c r="CXL110" s="142"/>
      <c r="CXM110" s="142"/>
      <c r="CXN110" s="142"/>
      <c r="CXO110" s="142"/>
      <c r="CXP110" s="142"/>
      <c r="CXQ110" s="142"/>
      <c r="CXR110" s="142"/>
      <c r="CXS110" s="142"/>
      <c r="CXT110" s="142"/>
      <c r="CXU110" s="142"/>
      <c r="CXV110" s="142"/>
      <c r="CXW110" s="142"/>
      <c r="CXX110" s="142"/>
      <c r="CXY110" s="142"/>
      <c r="CXZ110" s="142"/>
      <c r="CYA110" s="142"/>
      <c r="CYB110" s="142"/>
      <c r="CYC110" s="142"/>
      <c r="CYD110" s="142"/>
      <c r="CYE110" s="142"/>
      <c r="CYF110" s="142"/>
      <c r="CYG110" s="142"/>
      <c r="CYH110" s="142"/>
      <c r="CYI110" s="142"/>
      <c r="CYJ110" s="142"/>
      <c r="CYK110" s="142"/>
      <c r="CYL110" s="142"/>
      <c r="CYM110" s="142"/>
      <c r="CYN110" s="142"/>
      <c r="CYO110" s="142"/>
      <c r="CYP110" s="142"/>
      <c r="CYQ110" s="142"/>
      <c r="CYR110" s="142"/>
      <c r="CYS110" s="142"/>
      <c r="CYT110" s="142"/>
      <c r="CYU110" s="142"/>
      <c r="CYV110" s="142"/>
      <c r="CYW110" s="142"/>
      <c r="CYX110" s="142"/>
      <c r="CYY110" s="142"/>
      <c r="CYZ110" s="142"/>
      <c r="CZA110" s="142"/>
      <c r="CZB110" s="142"/>
      <c r="CZC110" s="142"/>
      <c r="CZD110" s="142"/>
      <c r="CZE110" s="142"/>
      <c r="CZF110" s="142"/>
      <c r="CZG110" s="142"/>
      <c r="CZH110" s="142"/>
      <c r="CZI110" s="142"/>
      <c r="CZJ110" s="142"/>
      <c r="CZK110" s="142"/>
      <c r="CZL110" s="142"/>
      <c r="CZM110" s="142"/>
      <c r="CZN110" s="142"/>
      <c r="CZO110" s="142"/>
      <c r="CZP110" s="142"/>
      <c r="CZQ110" s="142"/>
      <c r="CZR110" s="142"/>
      <c r="CZS110" s="142"/>
      <c r="CZT110" s="142"/>
      <c r="CZU110" s="142"/>
      <c r="CZV110" s="142"/>
      <c r="CZW110" s="142"/>
      <c r="CZX110" s="142"/>
      <c r="CZY110" s="142"/>
      <c r="CZZ110" s="142"/>
      <c r="DAA110" s="142"/>
      <c r="DAB110" s="142"/>
      <c r="DAC110" s="142"/>
      <c r="DAD110" s="142"/>
      <c r="DAE110" s="142"/>
      <c r="DAF110" s="142"/>
      <c r="DAG110" s="142"/>
      <c r="DAH110" s="142"/>
      <c r="DAI110" s="142"/>
      <c r="DAJ110" s="142"/>
      <c r="DAK110" s="142"/>
      <c r="DAL110" s="142"/>
      <c r="DAM110" s="142"/>
      <c r="DAN110" s="142"/>
      <c r="DAO110" s="142"/>
      <c r="DAP110" s="142"/>
      <c r="DAQ110" s="142"/>
      <c r="DAR110" s="142"/>
      <c r="DAS110" s="142"/>
      <c r="DAT110" s="142"/>
      <c r="DAU110" s="142"/>
      <c r="DAV110" s="142"/>
      <c r="DAW110" s="142"/>
      <c r="DAX110" s="142"/>
      <c r="DAY110" s="142"/>
      <c r="DAZ110" s="142"/>
      <c r="DBA110" s="142"/>
      <c r="DBB110" s="142"/>
      <c r="DBC110" s="142"/>
      <c r="DBD110" s="142"/>
      <c r="DBE110" s="142"/>
      <c r="DBF110" s="142"/>
      <c r="DBG110" s="142"/>
      <c r="DBH110" s="142"/>
      <c r="DBI110" s="142"/>
      <c r="DBJ110" s="142"/>
      <c r="DBK110" s="142"/>
      <c r="DBL110" s="142"/>
      <c r="DBM110" s="142"/>
      <c r="DBN110" s="142"/>
      <c r="DBO110" s="142"/>
      <c r="DBP110" s="142"/>
      <c r="DBQ110" s="142"/>
      <c r="DBR110" s="142"/>
      <c r="DBS110" s="142"/>
      <c r="DBT110" s="142"/>
      <c r="DBU110" s="142"/>
      <c r="DBV110" s="142"/>
      <c r="DBW110" s="142"/>
      <c r="DBX110" s="142"/>
      <c r="DBY110" s="142"/>
      <c r="DBZ110" s="142"/>
      <c r="DCA110" s="142"/>
      <c r="DCB110" s="142"/>
      <c r="DCC110" s="142"/>
      <c r="DCD110" s="142"/>
      <c r="DCE110" s="142"/>
      <c r="DCF110" s="142"/>
      <c r="DCG110" s="142"/>
      <c r="DCH110" s="142"/>
      <c r="DCI110" s="142"/>
      <c r="DCJ110" s="142"/>
      <c r="DCK110" s="142"/>
      <c r="DCL110" s="142"/>
      <c r="DCM110" s="142"/>
      <c r="DCN110" s="142"/>
      <c r="DCO110" s="142"/>
      <c r="DCP110" s="142"/>
      <c r="DCQ110" s="142"/>
      <c r="DCR110" s="142"/>
      <c r="DCS110" s="142"/>
      <c r="DCT110" s="142"/>
      <c r="DCU110" s="142"/>
      <c r="DCV110" s="142"/>
      <c r="DCW110" s="142"/>
      <c r="DCX110" s="142"/>
      <c r="DCY110" s="142"/>
      <c r="DCZ110" s="142"/>
      <c r="DDA110" s="142"/>
      <c r="DDB110" s="142"/>
      <c r="DDC110" s="142"/>
      <c r="DDD110" s="142"/>
      <c r="DDE110" s="142"/>
      <c r="DDF110" s="142"/>
      <c r="DDG110" s="142"/>
      <c r="DDH110" s="142"/>
      <c r="DDI110" s="142"/>
      <c r="DDJ110" s="142"/>
      <c r="DDK110" s="142"/>
      <c r="DDL110" s="142"/>
      <c r="DDM110" s="142"/>
      <c r="DDN110" s="142"/>
      <c r="DDO110" s="142"/>
      <c r="DDP110" s="142"/>
      <c r="DDQ110" s="142"/>
      <c r="DDR110" s="142"/>
      <c r="DDS110" s="142"/>
      <c r="DDT110" s="142"/>
      <c r="DDU110" s="142"/>
      <c r="DDV110" s="142"/>
      <c r="DDW110" s="142"/>
      <c r="DDX110" s="142"/>
      <c r="DDY110" s="142"/>
      <c r="DDZ110" s="142"/>
      <c r="DEA110" s="142"/>
      <c r="DEB110" s="142"/>
      <c r="DEC110" s="142"/>
      <c r="DED110" s="142"/>
      <c r="DEE110" s="142"/>
      <c r="DEF110" s="142"/>
      <c r="DEG110" s="142"/>
      <c r="DEH110" s="142"/>
      <c r="DEI110" s="142"/>
      <c r="DEJ110" s="142"/>
      <c r="DEK110" s="142"/>
      <c r="DEL110" s="142"/>
      <c r="DEM110" s="142"/>
      <c r="DEN110" s="142"/>
      <c r="DEO110" s="142"/>
      <c r="DEP110" s="142"/>
      <c r="DEQ110" s="142"/>
      <c r="DER110" s="142"/>
      <c r="DES110" s="142"/>
      <c r="DET110" s="142"/>
      <c r="DEU110" s="142"/>
      <c r="DEV110" s="142"/>
      <c r="DEW110" s="142"/>
      <c r="DEX110" s="142"/>
      <c r="DEY110" s="142"/>
      <c r="DEZ110" s="142"/>
      <c r="DFA110" s="142"/>
      <c r="DFB110" s="142"/>
      <c r="DFC110" s="142"/>
      <c r="DFD110" s="142"/>
      <c r="DFE110" s="142"/>
      <c r="DFF110" s="142"/>
      <c r="DFG110" s="142"/>
      <c r="DFH110" s="142"/>
      <c r="DFI110" s="142"/>
      <c r="DFJ110" s="142"/>
      <c r="DFK110" s="142"/>
      <c r="DFL110" s="142"/>
      <c r="DFM110" s="142"/>
      <c r="DFN110" s="142"/>
      <c r="DFO110" s="142"/>
      <c r="DFP110" s="142"/>
      <c r="DFQ110" s="142"/>
      <c r="DFR110" s="142"/>
      <c r="DFS110" s="142"/>
      <c r="DFT110" s="142"/>
      <c r="DFU110" s="142"/>
      <c r="DFV110" s="142"/>
      <c r="DFW110" s="142"/>
      <c r="DFX110" s="142"/>
      <c r="DFY110" s="142"/>
      <c r="DFZ110" s="142"/>
      <c r="DGA110" s="142"/>
      <c r="DGB110" s="142"/>
      <c r="DGC110" s="142"/>
      <c r="DGD110" s="142"/>
      <c r="DGE110" s="142"/>
      <c r="DGF110" s="142"/>
      <c r="DGG110" s="142"/>
      <c r="DGH110" s="142"/>
      <c r="DGI110" s="142"/>
      <c r="DGJ110" s="142"/>
      <c r="DGK110" s="142"/>
      <c r="DGL110" s="142"/>
      <c r="DGM110" s="142"/>
      <c r="DGN110" s="142"/>
      <c r="DGO110" s="142"/>
      <c r="DGP110" s="142"/>
      <c r="DGQ110" s="142"/>
      <c r="DGR110" s="142"/>
      <c r="DGS110" s="142"/>
      <c r="DGT110" s="142"/>
      <c r="DGU110" s="142"/>
      <c r="DGV110" s="142"/>
      <c r="DGW110" s="142"/>
      <c r="DGX110" s="142"/>
      <c r="DGY110" s="142"/>
      <c r="DGZ110" s="142"/>
      <c r="DHA110" s="142"/>
      <c r="DHB110" s="142"/>
      <c r="DHC110" s="142"/>
      <c r="DHD110" s="142"/>
      <c r="DHE110" s="142"/>
      <c r="DHF110" s="142"/>
      <c r="DHG110" s="142"/>
      <c r="DHH110" s="142"/>
      <c r="DHI110" s="142"/>
      <c r="DHJ110" s="142"/>
      <c r="DHK110" s="142"/>
      <c r="DHL110" s="142"/>
      <c r="DHM110" s="142"/>
      <c r="DHN110" s="142"/>
      <c r="DHO110" s="142"/>
      <c r="DHP110" s="142"/>
      <c r="DHQ110" s="142"/>
      <c r="DHR110" s="142"/>
      <c r="DHS110" s="142"/>
      <c r="DHT110" s="142"/>
      <c r="DHU110" s="142"/>
      <c r="DHV110" s="142"/>
      <c r="DHW110" s="142"/>
      <c r="DHX110" s="142"/>
      <c r="DHY110" s="142"/>
      <c r="DHZ110" s="142"/>
      <c r="DIA110" s="142"/>
      <c r="DIB110" s="142"/>
      <c r="DIC110" s="142"/>
      <c r="DID110" s="142"/>
      <c r="DIE110" s="142"/>
      <c r="DIF110" s="142"/>
      <c r="DIG110" s="142"/>
      <c r="DIH110" s="142"/>
      <c r="DII110" s="142"/>
      <c r="DIJ110" s="142"/>
      <c r="DIK110" s="142"/>
      <c r="DIL110" s="142"/>
      <c r="DIM110" s="142"/>
      <c r="DIN110" s="142"/>
      <c r="DIO110" s="142"/>
      <c r="DIP110" s="142"/>
      <c r="DIQ110" s="142"/>
      <c r="DIR110" s="142"/>
      <c r="DIS110" s="142"/>
      <c r="DIT110" s="142"/>
      <c r="DIU110" s="142"/>
      <c r="DIV110" s="142"/>
      <c r="DIW110" s="142"/>
      <c r="DIX110" s="142"/>
      <c r="DIY110" s="142"/>
      <c r="DIZ110" s="142"/>
      <c r="DJA110" s="142"/>
      <c r="DJB110" s="142"/>
      <c r="DJC110" s="142"/>
      <c r="DJD110" s="142"/>
      <c r="DJE110" s="142"/>
      <c r="DJF110" s="142"/>
      <c r="DJG110" s="142"/>
      <c r="DJH110" s="142"/>
      <c r="DJI110" s="142"/>
      <c r="DJJ110" s="142"/>
      <c r="DJK110" s="142"/>
      <c r="DJL110" s="142"/>
      <c r="DJM110" s="142"/>
      <c r="DJN110" s="142"/>
      <c r="DJO110" s="142"/>
      <c r="DJP110" s="142"/>
      <c r="DJQ110" s="142"/>
      <c r="DJR110" s="142"/>
      <c r="DJS110" s="142"/>
      <c r="DJT110" s="142"/>
      <c r="DJU110" s="142"/>
      <c r="DJV110" s="142"/>
      <c r="DJW110" s="142"/>
      <c r="DJX110" s="142"/>
      <c r="DJY110" s="142"/>
      <c r="DJZ110" s="142"/>
      <c r="DKA110" s="142"/>
      <c r="DKB110" s="142"/>
      <c r="DKC110" s="142"/>
      <c r="DKD110" s="142"/>
      <c r="DKE110" s="142"/>
      <c r="DKF110" s="142"/>
      <c r="DKG110" s="142"/>
      <c r="DKH110" s="142"/>
      <c r="DKI110" s="142"/>
      <c r="DKJ110" s="142"/>
      <c r="DKK110" s="142"/>
      <c r="DKL110" s="142"/>
      <c r="DKM110" s="142"/>
      <c r="DKN110" s="142"/>
      <c r="DKO110" s="142"/>
      <c r="DKP110" s="142"/>
      <c r="DKQ110" s="142"/>
      <c r="DKR110" s="142"/>
      <c r="DKS110" s="142"/>
      <c r="DKT110" s="142"/>
      <c r="DKU110" s="142"/>
      <c r="DKV110" s="142"/>
      <c r="DKW110" s="142"/>
      <c r="DKX110" s="142"/>
      <c r="DKY110" s="142"/>
      <c r="DKZ110" s="142"/>
      <c r="DLA110" s="142"/>
      <c r="DLB110" s="142"/>
      <c r="DLC110" s="142"/>
      <c r="DLD110" s="142"/>
      <c r="DLE110" s="142"/>
      <c r="DLF110" s="142"/>
      <c r="DLG110" s="142"/>
      <c r="DLH110" s="142"/>
      <c r="DLI110" s="142"/>
      <c r="DLJ110" s="142"/>
      <c r="DLK110" s="142"/>
      <c r="DLL110" s="142"/>
      <c r="DLM110" s="142"/>
      <c r="DLN110" s="142"/>
      <c r="DLO110" s="142"/>
      <c r="DLP110" s="142"/>
      <c r="DLQ110" s="142"/>
      <c r="DLR110" s="142"/>
      <c r="DLS110" s="142"/>
      <c r="DLT110" s="142"/>
      <c r="DLU110" s="142"/>
      <c r="DLV110" s="142"/>
      <c r="DLW110" s="142"/>
      <c r="DLX110" s="142"/>
      <c r="DLY110" s="142"/>
      <c r="DLZ110" s="142"/>
      <c r="DMA110" s="142"/>
      <c r="DMB110" s="142"/>
      <c r="DMC110" s="142"/>
      <c r="DMD110" s="142"/>
      <c r="DME110" s="142"/>
      <c r="DMF110" s="142"/>
      <c r="DMG110" s="142"/>
      <c r="DMH110" s="142"/>
      <c r="DMI110" s="142"/>
      <c r="DMJ110" s="142"/>
      <c r="DMK110" s="142"/>
      <c r="DML110" s="142"/>
      <c r="DMM110" s="142"/>
      <c r="DMN110" s="142"/>
      <c r="DMO110" s="142"/>
      <c r="DMP110" s="142"/>
      <c r="DMQ110" s="142"/>
      <c r="DMR110" s="142"/>
      <c r="DMS110" s="142"/>
      <c r="DMT110" s="142"/>
      <c r="DMU110" s="142"/>
      <c r="DMV110" s="142"/>
      <c r="DMW110" s="142"/>
      <c r="DMX110" s="142"/>
      <c r="DMY110" s="142"/>
      <c r="DMZ110" s="142"/>
      <c r="DNA110" s="142"/>
      <c r="DNB110" s="142"/>
      <c r="DNC110" s="142"/>
      <c r="DND110" s="142"/>
      <c r="DNE110" s="142"/>
      <c r="DNF110" s="142"/>
      <c r="DNG110" s="142"/>
      <c r="DNH110" s="142"/>
      <c r="DNI110" s="142"/>
      <c r="DNJ110" s="142"/>
      <c r="DNK110" s="142"/>
      <c r="DNL110" s="142"/>
      <c r="DNM110" s="142"/>
      <c r="DNN110" s="142"/>
      <c r="DNO110" s="142"/>
      <c r="DNP110" s="142"/>
      <c r="DNQ110" s="142"/>
      <c r="DNR110" s="142"/>
      <c r="DNS110" s="142"/>
      <c r="DNT110" s="142"/>
      <c r="DNU110" s="142"/>
      <c r="DNV110" s="142"/>
      <c r="DNW110" s="142"/>
      <c r="DNX110" s="142"/>
      <c r="DNY110" s="142"/>
      <c r="DNZ110" s="142"/>
      <c r="DOA110" s="142"/>
      <c r="DOB110" s="142"/>
      <c r="DOC110" s="142"/>
      <c r="DOD110" s="142"/>
      <c r="DOE110" s="142"/>
      <c r="DOF110" s="142"/>
      <c r="DOG110" s="142"/>
      <c r="DOH110" s="142"/>
      <c r="DOI110" s="142"/>
      <c r="DOJ110" s="142"/>
      <c r="DOK110" s="142"/>
      <c r="DOL110" s="142"/>
      <c r="DOM110" s="142"/>
      <c r="DON110" s="142"/>
      <c r="DOO110" s="142"/>
      <c r="DOP110" s="142"/>
      <c r="DOQ110" s="142"/>
      <c r="DOR110" s="142"/>
      <c r="DOS110" s="142"/>
      <c r="DOT110" s="142"/>
      <c r="DOU110" s="142"/>
      <c r="DOV110" s="142"/>
      <c r="DOW110" s="142"/>
      <c r="DOX110" s="142"/>
      <c r="DOY110" s="142"/>
      <c r="DOZ110" s="142"/>
      <c r="DPA110" s="142"/>
      <c r="DPB110" s="142"/>
      <c r="DPC110" s="142"/>
      <c r="DPD110" s="142"/>
      <c r="DPE110" s="142"/>
      <c r="DPF110" s="142"/>
      <c r="DPG110" s="142"/>
      <c r="DPH110" s="142"/>
      <c r="DPI110" s="142"/>
      <c r="DPJ110" s="142"/>
      <c r="DPK110" s="142"/>
      <c r="DPL110" s="142"/>
      <c r="DPM110" s="142"/>
      <c r="DPN110" s="142"/>
      <c r="DPO110" s="142"/>
      <c r="DPP110" s="142"/>
      <c r="DPQ110" s="142"/>
      <c r="DPR110" s="142"/>
      <c r="DPS110" s="142"/>
      <c r="DPT110" s="142"/>
      <c r="DPU110" s="142"/>
      <c r="DPV110" s="142"/>
      <c r="DPW110" s="142"/>
      <c r="DPX110" s="142"/>
      <c r="DPY110" s="142"/>
      <c r="DPZ110" s="142"/>
      <c r="DQA110" s="142"/>
      <c r="DQB110" s="142"/>
      <c r="DQC110" s="142"/>
      <c r="DQD110" s="142"/>
      <c r="DQE110" s="142"/>
      <c r="DQF110" s="142"/>
      <c r="DQG110" s="142"/>
      <c r="DQH110" s="142"/>
      <c r="DQI110" s="142"/>
      <c r="DQJ110" s="142"/>
      <c r="DQK110" s="142"/>
      <c r="DQL110" s="142"/>
      <c r="DQM110" s="142"/>
      <c r="DQN110" s="142"/>
      <c r="DQO110" s="142"/>
      <c r="DQP110" s="142"/>
      <c r="DQQ110" s="142"/>
      <c r="DQR110" s="142"/>
      <c r="DQS110" s="142"/>
      <c r="DQT110" s="142"/>
      <c r="DQU110" s="142"/>
      <c r="DQV110" s="142"/>
      <c r="DQW110" s="142"/>
      <c r="DQX110" s="142"/>
      <c r="DQY110" s="142"/>
      <c r="DQZ110" s="142"/>
      <c r="DRA110" s="142"/>
      <c r="DRB110" s="142"/>
      <c r="DRC110" s="142"/>
      <c r="DRD110" s="142"/>
      <c r="DRE110" s="142"/>
      <c r="DRF110" s="142"/>
      <c r="DRG110" s="142"/>
      <c r="DRH110" s="142"/>
      <c r="DRI110" s="142"/>
      <c r="DRJ110" s="142"/>
      <c r="DRK110" s="142"/>
      <c r="DRL110" s="142"/>
      <c r="DRM110" s="142"/>
      <c r="DRN110" s="142"/>
      <c r="DRO110" s="142"/>
      <c r="DRP110" s="142"/>
      <c r="DRQ110" s="142"/>
      <c r="DRR110" s="142"/>
      <c r="DRS110" s="142"/>
      <c r="DRT110" s="142"/>
      <c r="DRU110" s="142"/>
      <c r="DRV110" s="142"/>
      <c r="DRW110" s="142"/>
      <c r="DRX110" s="142"/>
      <c r="DRY110" s="142"/>
      <c r="DRZ110" s="142"/>
      <c r="DSA110" s="142"/>
      <c r="DSB110" s="142"/>
      <c r="DSC110" s="142"/>
      <c r="DSD110" s="142"/>
      <c r="DSE110" s="142"/>
      <c r="DSF110" s="142"/>
      <c r="DSG110" s="142"/>
      <c r="DSH110" s="142"/>
      <c r="DSI110" s="142"/>
      <c r="DSJ110" s="142"/>
      <c r="DSK110" s="142"/>
      <c r="DSL110" s="142"/>
      <c r="DSM110" s="142"/>
      <c r="DSN110" s="142"/>
      <c r="DSO110" s="142"/>
      <c r="DSP110" s="142"/>
      <c r="DSQ110" s="142"/>
      <c r="DSR110" s="142"/>
      <c r="DSS110" s="142"/>
      <c r="DST110" s="142"/>
      <c r="DSU110" s="142"/>
      <c r="DSV110" s="142"/>
      <c r="DSW110" s="142"/>
      <c r="DSX110" s="142"/>
      <c r="DSY110" s="142"/>
      <c r="DSZ110" s="142"/>
      <c r="DTA110" s="142"/>
      <c r="DTB110" s="142"/>
      <c r="DTC110" s="142"/>
      <c r="DTD110" s="142"/>
      <c r="DTE110" s="142"/>
      <c r="DTF110" s="142"/>
      <c r="DTG110" s="142"/>
      <c r="DTH110" s="142"/>
      <c r="DTI110" s="142"/>
      <c r="DTJ110" s="142"/>
      <c r="DTK110" s="142"/>
      <c r="DTL110" s="142"/>
      <c r="DTM110" s="142"/>
      <c r="DTN110" s="142"/>
      <c r="DTO110" s="142"/>
      <c r="DTP110" s="142"/>
      <c r="DTQ110" s="142"/>
      <c r="DTR110" s="142"/>
      <c r="DTS110" s="142"/>
      <c r="DTT110" s="142"/>
      <c r="DTU110" s="142"/>
      <c r="DTV110" s="142"/>
      <c r="DTW110" s="142"/>
      <c r="DTX110" s="142"/>
      <c r="DTY110" s="142"/>
      <c r="DTZ110" s="142"/>
      <c r="DUA110" s="142"/>
      <c r="DUB110" s="142"/>
      <c r="DUC110" s="142"/>
      <c r="DUD110" s="142"/>
      <c r="DUE110" s="142"/>
      <c r="DUF110" s="142"/>
      <c r="DUG110" s="142"/>
      <c r="DUH110" s="142"/>
      <c r="DUI110" s="142"/>
      <c r="DUJ110" s="142"/>
      <c r="DUK110" s="142"/>
      <c r="DUL110" s="142"/>
      <c r="DUM110" s="142"/>
      <c r="DUN110" s="142"/>
      <c r="DUO110" s="142"/>
      <c r="DUP110" s="142"/>
      <c r="DUQ110" s="142"/>
      <c r="DUR110" s="142"/>
      <c r="DUS110" s="142"/>
      <c r="DUT110" s="142"/>
      <c r="DUU110" s="142"/>
      <c r="DUV110" s="142"/>
      <c r="DUW110" s="142"/>
      <c r="DUX110" s="142"/>
      <c r="DUY110" s="142"/>
      <c r="DUZ110" s="142"/>
      <c r="DVA110" s="142"/>
      <c r="DVB110" s="142"/>
      <c r="DVC110" s="142"/>
      <c r="DVD110" s="142"/>
      <c r="DVE110" s="142"/>
      <c r="DVF110" s="142"/>
      <c r="DVG110" s="142"/>
      <c r="DVH110" s="142"/>
      <c r="DVI110" s="142"/>
      <c r="DVJ110" s="142"/>
      <c r="DVK110" s="142"/>
      <c r="DVL110" s="142"/>
      <c r="DVM110" s="142"/>
      <c r="DVN110" s="142"/>
      <c r="DVO110" s="142"/>
      <c r="DVP110" s="142"/>
      <c r="DVQ110" s="142"/>
      <c r="DVR110" s="142"/>
      <c r="DVS110" s="142"/>
      <c r="DVT110" s="142"/>
      <c r="DVU110" s="142"/>
      <c r="DVV110" s="142"/>
      <c r="DVW110" s="142"/>
      <c r="DVX110" s="142"/>
      <c r="DVY110" s="142"/>
      <c r="DVZ110" s="142"/>
      <c r="DWA110" s="142"/>
      <c r="DWB110" s="142"/>
      <c r="DWC110" s="142"/>
      <c r="DWD110" s="142"/>
      <c r="DWE110" s="142"/>
      <c r="DWF110" s="142"/>
      <c r="DWG110" s="142"/>
      <c r="DWH110" s="142"/>
      <c r="DWI110" s="142"/>
      <c r="DWJ110" s="142"/>
      <c r="DWK110" s="142"/>
      <c r="DWL110" s="142"/>
      <c r="DWM110" s="142"/>
      <c r="DWN110" s="142"/>
      <c r="DWO110" s="142"/>
      <c r="DWP110" s="142"/>
      <c r="DWQ110" s="142"/>
      <c r="DWR110" s="142"/>
      <c r="DWS110" s="142"/>
      <c r="DWT110" s="142"/>
      <c r="DWU110" s="142"/>
      <c r="DWV110" s="142"/>
      <c r="DWW110" s="142"/>
      <c r="DWX110" s="142"/>
      <c r="DWY110" s="142"/>
      <c r="DWZ110" s="142"/>
      <c r="DXA110" s="142"/>
      <c r="DXB110" s="142"/>
      <c r="DXC110" s="142"/>
      <c r="DXD110" s="142"/>
      <c r="DXE110" s="142"/>
      <c r="DXF110" s="142"/>
      <c r="DXG110" s="142"/>
      <c r="DXH110" s="142"/>
      <c r="DXI110" s="142"/>
      <c r="DXJ110" s="142"/>
      <c r="DXK110" s="142"/>
      <c r="DXL110" s="142"/>
      <c r="DXM110" s="142"/>
      <c r="DXN110" s="142"/>
      <c r="DXO110" s="142"/>
      <c r="DXP110" s="142"/>
      <c r="DXQ110" s="142"/>
      <c r="DXR110" s="142"/>
      <c r="DXS110" s="142"/>
      <c r="DXT110" s="142"/>
      <c r="DXU110" s="142"/>
      <c r="DXV110" s="142"/>
      <c r="DXW110" s="142"/>
      <c r="DXX110" s="142"/>
      <c r="DXY110" s="142"/>
      <c r="DXZ110" s="142"/>
      <c r="DYA110" s="142"/>
      <c r="DYB110" s="142"/>
      <c r="DYC110" s="142"/>
      <c r="DYD110" s="142"/>
      <c r="DYE110" s="142"/>
      <c r="DYF110" s="142"/>
      <c r="DYG110" s="142"/>
      <c r="DYH110" s="142"/>
      <c r="DYI110" s="142"/>
      <c r="DYJ110" s="142"/>
      <c r="DYK110" s="142"/>
      <c r="DYL110" s="142"/>
      <c r="DYM110" s="142"/>
      <c r="DYN110" s="142"/>
      <c r="DYO110" s="142"/>
      <c r="DYP110" s="142"/>
      <c r="DYQ110" s="142"/>
      <c r="DYR110" s="142"/>
      <c r="DYS110" s="142"/>
      <c r="DYT110" s="142"/>
      <c r="DYU110" s="142"/>
      <c r="DYV110" s="142"/>
      <c r="DYW110" s="142"/>
      <c r="DYX110" s="142"/>
      <c r="DYY110" s="142"/>
      <c r="DYZ110" s="142"/>
      <c r="DZA110" s="142"/>
      <c r="DZB110" s="142"/>
      <c r="DZC110" s="142"/>
      <c r="DZD110" s="142"/>
      <c r="DZE110" s="142"/>
      <c r="DZF110" s="142"/>
      <c r="DZG110" s="142"/>
      <c r="DZH110" s="142"/>
      <c r="DZI110" s="142"/>
      <c r="DZJ110" s="142"/>
      <c r="DZK110" s="142"/>
      <c r="DZL110" s="142"/>
      <c r="DZM110" s="142"/>
      <c r="DZN110" s="142"/>
      <c r="DZO110" s="142"/>
      <c r="DZP110" s="142"/>
      <c r="DZQ110" s="142"/>
      <c r="DZR110" s="142"/>
      <c r="DZS110" s="142"/>
      <c r="DZT110" s="142"/>
      <c r="DZU110" s="142"/>
      <c r="DZV110" s="142"/>
      <c r="DZW110" s="142"/>
      <c r="DZX110" s="142"/>
      <c r="DZY110" s="142"/>
      <c r="DZZ110" s="142"/>
      <c r="EAA110" s="142"/>
      <c r="EAB110" s="142"/>
      <c r="EAC110" s="142"/>
      <c r="EAD110" s="142"/>
      <c r="EAE110" s="142"/>
      <c r="EAF110" s="142"/>
      <c r="EAG110" s="142"/>
      <c r="EAH110" s="142"/>
      <c r="EAI110" s="142"/>
      <c r="EAJ110" s="142"/>
      <c r="EAK110" s="142"/>
      <c r="EAL110" s="142"/>
      <c r="EAM110" s="142"/>
      <c r="EAN110" s="142"/>
      <c r="EAO110" s="142"/>
      <c r="EAP110" s="142"/>
      <c r="EAQ110" s="142"/>
      <c r="EAR110" s="142"/>
      <c r="EAS110" s="142"/>
      <c r="EAT110" s="142"/>
      <c r="EAU110" s="142"/>
      <c r="EAV110" s="142"/>
      <c r="EAW110" s="142"/>
      <c r="EAX110" s="142"/>
      <c r="EAY110" s="142"/>
      <c r="EAZ110" s="142"/>
      <c r="EBA110" s="142"/>
      <c r="EBB110" s="142"/>
      <c r="EBC110" s="142"/>
      <c r="EBD110" s="142"/>
      <c r="EBE110" s="142"/>
      <c r="EBF110" s="142"/>
      <c r="EBG110" s="142"/>
      <c r="EBH110" s="142"/>
      <c r="EBI110" s="142"/>
      <c r="EBJ110" s="142"/>
      <c r="EBK110" s="142"/>
      <c r="EBL110" s="142"/>
      <c r="EBM110" s="142"/>
      <c r="EBN110" s="142"/>
      <c r="EBO110" s="142"/>
      <c r="EBP110" s="142"/>
      <c r="EBQ110" s="142"/>
      <c r="EBR110" s="142"/>
      <c r="EBS110" s="142"/>
      <c r="EBT110" s="142"/>
      <c r="EBU110" s="142"/>
      <c r="EBV110" s="142"/>
      <c r="EBW110" s="142"/>
      <c r="EBX110" s="142"/>
      <c r="EBY110" s="142"/>
      <c r="EBZ110" s="142"/>
      <c r="ECA110" s="142"/>
      <c r="ECB110" s="142"/>
      <c r="ECC110" s="142"/>
      <c r="ECD110" s="142"/>
      <c r="ECE110" s="142"/>
      <c r="ECF110" s="142"/>
      <c r="ECG110" s="142"/>
      <c r="ECH110" s="142"/>
      <c r="ECI110" s="142"/>
      <c r="ECJ110" s="142"/>
      <c r="ECK110" s="142"/>
      <c r="ECL110" s="142"/>
      <c r="ECM110" s="142"/>
      <c r="ECN110" s="142"/>
      <c r="ECO110" s="142"/>
      <c r="ECP110" s="142"/>
      <c r="ECQ110" s="142"/>
      <c r="ECR110" s="142"/>
      <c r="ECS110" s="142"/>
      <c r="ECT110" s="142"/>
      <c r="ECU110" s="142"/>
      <c r="ECV110" s="142"/>
      <c r="ECW110" s="142"/>
      <c r="ECX110" s="142"/>
      <c r="ECY110" s="142"/>
      <c r="ECZ110" s="142"/>
      <c r="EDA110" s="142"/>
      <c r="EDB110" s="142"/>
      <c r="EDC110" s="142"/>
      <c r="EDD110" s="142"/>
      <c r="EDE110" s="142"/>
      <c r="EDF110" s="142"/>
      <c r="EDG110" s="142"/>
      <c r="EDH110" s="142"/>
      <c r="EDI110" s="142"/>
      <c r="EDJ110" s="142"/>
      <c r="EDK110" s="142"/>
      <c r="EDL110" s="142"/>
      <c r="EDM110" s="142"/>
      <c r="EDN110" s="142"/>
      <c r="EDO110" s="142"/>
      <c r="EDP110" s="142"/>
      <c r="EDQ110" s="142"/>
      <c r="EDR110" s="142"/>
      <c r="EDS110" s="142"/>
      <c r="EDT110" s="142"/>
      <c r="EDU110" s="142"/>
      <c r="EDV110" s="142"/>
      <c r="EDW110" s="142"/>
      <c r="EDX110" s="142"/>
      <c r="EDY110" s="142"/>
      <c r="EDZ110" s="142"/>
      <c r="EEA110" s="142"/>
      <c r="EEB110" s="142"/>
      <c r="EEC110" s="142"/>
      <c r="EED110" s="142"/>
      <c r="EEE110" s="142"/>
      <c r="EEF110" s="142"/>
      <c r="EEG110" s="142"/>
      <c r="EEH110" s="142"/>
      <c r="EEI110" s="142"/>
      <c r="EEJ110" s="142"/>
      <c r="EEK110" s="142"/>
      <c r="EEL110" s="142"/>
      <c r="EEM110" s="142"/>
      <c r="EEN110" s="142"/>
      <c r="EEO110" s="142"/>
      <c r="EEP110" s="142"/>
      <c r="EEQ110" s="142"/>
      <c r="EER110" s="142"/>
      <c r="EES110" s="142"/>
      <c r="EET110" s="142"/>
      <c r="EEU110" s="142"/>
      <c r="EEV110" s="142"/>
      <c r="EEW110" s="142"/>
      <c r="EEX110" s="142"/>
      <c r="EEY110" s="142"/>
      <c r="EEZ110" s="142"/>
      <c r="EFA110" s="142"/>
      <c r="EFB110" s="142"/>
      <c r="EFC110" s="142"/>
      <c r="EFD110" s="142"/>
      <c r="EFE110" s="142"/>
      <c r="EFF110" s="142"/>
      <c r="EFG110" s="142"/>
      <c r="EFH110" s="142"/>
      <c r="EFI110" s="142"/>
      <c r="EFJ110" s="142"/>
      <c r="EFK110" s="142"/>
      <c r="EFL110" s="142"/>
      <c r="EFM110" s="142"/>
      <c r="EFN110" s="142"/>
      <c r="EFO110" s="142"/>
      <c r="EFP110" s="142"/>
      <c r="EFQ110" s="142"/>
      <c r="EFR110" s="142"/>
      <c r="EFS110" s="142"/>
      <c r="EFT110" s="142"/>
      <c r="EFU110" s="142"/>
      <c r="EFV110" s="142"/>
      <c r="EFW110" s="142"/>
      <c r="EFX110" s="142"/>
      <c r="EFY110" s="142"/>
      <c r="EFZ110" s="142"/>
      <c r="EGA110" s="142"/>
      <c r="EGB110" s="142"/>
      <c r="EGC110" s="142"/>
      <c r="EGD110" s="142"/>
      <c r="EGE110" s="142"/>
      <c r="EGF110" s="142"/>
      <c r="EGG110" s="142"/>
      <c r="EGH110" s="142"/>
      <c r="EGI110" s="142"/>
      <c r="EGJ110" s="142"/>
      <c r="EGK110" s="142"/>
      <c r="EGL110" s="142"/>
      <c r="EGM110" s="142"/>
      <c r="EGN110" s="142"/>
      <c r="EGO110" s="142"/>
      <c r="EGP110" s="142"/>
      <c r="EGQ110" s="142"/>
      <c r="EGR110" s="142"/>
      <c r="EGS110" s="142"/>
      <c r="EGT110" s="142"/>
      <c r="EGU110" s="142"/>
      <c r="EGV110" s="142"/>
      <c r="EGW110" s="142"/>
      <c r="EGX110" s="142"/>
      <c r="EGY110" s="142"/>
      <c r="EGZ110" s="142"/>
      <c r="EHA110" s="142"/>
      <c r="EHB110" s="142"/>
      <c r="EHC110" s="142"/>
      <c r="EHD110" s="142"/>
      <c r="EHE110" s="142"/>
      <c r="EHF110" s="142"/>
      <c r="EHG110" s="142"/>
      <c r="EHH110" s="142"/>
      <c r="EHI110" s="142"/>
      <c r="EHJ110" s="142"/>
      <c r="EHK110" s="142"/>
      <c r="EHL110" s="142"/>
      <c r="EHM110" s="142"/>
      <c r="EHN110" s="142"/>
      <c r="EHO110" s="142"/>
      <c r="EHP110" s="142"/>
      <c r="EHQ110" s="142"/>
      <c r="EHR110" s="142"/>
      <c r="EHS110" s="142"/>
      <c r="EHT110" s="142"/>
      <c r="EHU110" s="142"/>
      <c r="EHV110" s="142"/>
      <c r="EHW110" s="142"/>
      <c r="EHX110" s="142"/>
      <c r="EHY110" s="142"/>
      <c r="EHZ110" s="142"/>
      <c r="EIA110" s="142"/>
      <c r="EIB110" s="142"/>
      <c r="EIC110" s="142"/>
      <c r="EID110" s="142"/>
      <c r="EIE110" s="142"/>
      <c r="EIF110" s="142"/>
      <c r="EIG110" s="142"/>
      <c r="EIH110" s="142"/>
      <c r="EII110" s="142"/>
      <c r="EIJ110" s="142"/>
      <c r="EIK110" s="142"/>
      <c r="EIL110" s="142"/>
      <c r="EIM110" s="142"/>
      <c r="EIN110" s="142"/>
      <c r="EIO110" s="142"/>
      <c r="EIP110" s="142"/>
      <c r="EIQ110" s="142"/>
      <c r="EIR110" s="142"/>
      <c r="EIS110" s="142"/>
      <c r="EIT110" s="142"/>
      <c r="EIU110" s="142"/>
      <c r="EIV110" s="142"/>
      <c r="EIW110" s="142"/>
      <c r="EIX110" s="142"/>
      <c r="EIY110" s="142"/>
      <c r="EIZ110" s="142"/>
      <c r="EJA110" s="142"/>
      <c r="EJB110" s="142"/>
      <c r="EJC110" s="142"/>
      <c r="EJD110" s="142"/>
      <c r="EJE110" s="142"/>
      <c r="EJF110" s="142"/>
      <c r="EJG110" s="142"/>
      <c r="EJH110" s="142"/>
      <c r="EJI110" s="142"/>
      <c r="EJJ110" s="142"/>
      <c r="EJK110" s="142"/>
      <c r="EJL110" s="142"/>
      <c r="EJM110" s="142"/>
      <c r="EJN110" s="142"/>
      <c r="EJO110" s="142"/>
      <c r="EJP110" s="142"/>
      <c r="EJQ110" s="142"/>
      <c r="EJR110" s="142"/>
      <c r="EJS110" s="142"/>
      <c r="EJT110" s="142"/>
      <c r="EJU110" s="142"/>
      <c r="EJV110" s="142"/>
      <c r="EJW110" s="142"/>
      <c r="EJX110" s="142"/>
      <c r="EJY110" s="142"/>
      <c r="EJZ110" s="142"/>
      <c r="EKA110" s="142"/>
      <c r="EKB110" s="142"/>
      <c r="EKC110" s="142"/>
      <c r="EKD110" s="142"/>
      <c r="EKE110" s="142"/>
      <c r="EKF110" s="142"/>
      <c r="EKG110" s="142"/>
      <c r="EKH110" s="142"/>
      <c r="EKI110" s="142"/>
      <c r="EKJ110" s="142"/>
      <c r="EKK110" s="142"/>
      <c r="EKL110" s="142"/>
      <c r="EKM110" s="142"/>
      <c r="EKN110" s="142"/>
      <c r="EKO110" s="142"/>
      <c r="EKP110" s="142"/>
      <c r="EKQ110" s="142"/>
      <c r="EKR110" s="142"/>
      <c r="EKS110" s="142"/>
      <c r="EKT110" s="142"/>
      <c r="EKU110" s="142"/>
      <c r="EKV110" s="142"/>
      <c r="EKW110" s="142"/>
      <c r="EKX110" s="142"/>
      <c r="EKY110" s="142"/>
      <c r="EKZ110" s="142"/>
      <c r="ELA110" s="142"/>
      <c r="ELB110" s="142"/>
      <c r="ELC110" s="142"/>
      <c r="ELD110" s="142"/>
      <c r="ELE110" s="142"/>
      <c r="ELF110" s="142"/>
      <c r="ELG110" s="142"/>
      <c r="ELH110" s="142"/>
      <c r="ELI110" s="142"/>
      <c r="ELJ110" s="142"/>
      <c r="ELK110" s="142"/>
      <c r="ELL110" s="142"/>
      <c r="ELM110" s="142"/>
      <c r="ELN110" s="142"/>
      <c r="ELO110" s="142"/>
      <c r="ELP110" s="142"/>
      <c r="ELQ110" s="142"/>
      <c r="ELR110" s="142"/>
      <c r="ELS110" s="142"/>
      <c r="ELT110" s="142"/>
      <c r="ELU110" s="142"/>
      <c r="ELV110" s="142"/>
      <c r="ELW110" s="142"/>
      <c r="ELX110" s="142"/>
      <c r="ELY110" s="142"/>
      <c r="ELZ110" s="142"/>
      <c r="EMA110" s="142"/>
      <c r="EMB110" s="142"/>
      <c r="EMC110" s="142"/>
      <c r="EMD110" s="142"/>
      <c r="EME110" s="142"/>
      <c r="EMF110" s="142"/>
      <c r="EMG110" s="142"/>
      <c r="EMH110" s="142"/>
      <c r="EMI110" s="142"/>
      <c r="EMJ110" s="142"/>
      <c r="EMK110" s="142"/>
      <c r="EML110" s="142"/>
      <c r="EMM110" s="142"/>
      <c r="EMN110" s="142"/>
      <c r="EMO110" s="142"/>
      <c r="EMP110" s="142"/>
      <c r="EMQ110" s="142"/>
      <c r="EMR110" s="142"/>
      <c r="EMS110" s="142"/>
      <c r="EMT110" s="142"/>
      <c r="EMU110" s="142"/>
      <c r="EMV110" s="142"/>
      <c r="EMW110" s="142"/>
      <c r="EMX110" s="142"/>
      <c r="EMY110" s="142"/>
      <c r="EMZ110" s="142"/>
      <c r="ENA110" s="142"/>
      <c r="ENB110" s="142"/>
      <c r="ENC110" s="142"/>
      <c r="END110" s="142"/>
      <c r="ENE110" s="142"/>
      <c r="ENF110" s="142"/>
      <c r="ENG110" s="142"/>
      <c r="ENH110" s="142"/>
      <c r="ENI110" s="142"/>
      <c r="ENJ110" s="142"/>
      <c r="ENK110" s="142"/>
      <c r="ENL110" s="142"/>
      <c r="ENM110" s="142"/>
      <c r="ENN110" s="142"/>
      <c r="ENO110" s="142"/>
      <c r="ENP110" s="142"/>
      <c r="ENQ110" s="142"/>
      <c r="ENR110" s="142"/>
      <c r="ENS110" s="142"/>
      <c r="ENT110" s="142"/>
      <c r="ENU110" s="142"/>
      <c r="ENV110" s="142"/>
      <c r="ENW110" s="142"/>
      <c r="ENX110" s="142"/>
      <c r="ENY110" s="142"/>
      <c r="ENZ110" s="142"/>
      <c r="EOA110" s="142"/>
      <c r="EOB110" s="142"/>
      <c r="EOC110" s="142"/>
      <c r="EOD110" s="142"/>
      <c r="EOE110" s="142"/>
      <c r="EOF110" s="142"/>
      <c r="EOG110" s="142"/>
      <c r="EOH110" s="142"/>
      <c r="EOI110" s="142"/>
      <c r="EOJ110" s="142"/>
      <c r="EOK110" s="142"/>
      <c r="EOL110" s="142"/>
      <c r="EOM110" s="142"/>
      <c r="EON110" s="142"/>
      <c r="EOO110" s="142"/>
      <c r="EOP110" s="142"/>
      <c r="EOQ110" s="142"/>
      <c r="EOR110" s="142"/>
      <c r="EOS110" s="142"/>
      <c r="EOT110" s="142"/>
      <c r="EOU110" s="142"/>
      <c r="EOV110" s="142"/>
      <c r="EOW110" s="142"/>
      <c r="EOX110" s="142"/>
      <c r="EOY110" s="142"/>
      <c r="EOZ110" s="142"/>
      <c r="EPA110" s="142"/>
      <c r="EPB110" s="142"/>
      <c r="EPC110" s="142"/>
      <c r="EPD110" s="142"/>
      <c r="EPE110" s="142"/>
      <c r="EPF110" s="142"/>
      <c r="EPG110" s="142"/>
      <c r="EPH110" s="142"/>
      <c r="EPI110" s="142"/>
      <c r="EPJ110" s="142"/>
      <c r="EPK110" s="142"/>
      <c r="EPL110" s="142"/>
      <c r="EPM110" s="142"/>
      <c r="EPN110" s="142"/>
      <c r="EPO110" s="142"/>
      <c r="EPP110" s="142"/>
      <c r="EPQ110" s="142"/>
      <c r="EPR110" s="142"/>
      <c r="EPS110" s="142"/>
      <c r="EPT110" s="142"/>
      <c r="EPU110" s="142"/>
      <c r="EPV110" s="142"/>
      <c r="EPW110" s="142"/>
      <c r="EPX110" s="142"/>
      <c r="EPY110" s="142"/>
      <c r="EPZ110" s="142"/>
      <c r="EQA110" s="142"/>
      <c r="EQB110" s="142"/>
      <c r="EQC110" s="142"/>
      <c r="EQD110" s="142"/>
      <c r="EQE110" s="142"/>
      <c r="EQF110" s="142"/>
      <c r="EQG110" s="142"/>
      <c r="EQH110" s="142"/>
      <c r="EQI110" s="142"/>
      <c r="EQJ110" s="142"/>
      <c r="EQK110" s="142"/>
      <c r="EQL110" s="142"/>
      <c r="EQM110" s="142"/>
      <c r="EQN110" s="142"/>
      <c r="EQO110" s="142"/>
      <c r="EQP110" s="142"/>
      <c r="EQQ110" s="142"/>
      <c r="EQR110" s="142"/>
      <c r="EQS110" s="142"/>
      <c r="EQT110" s="142"/>
      <c r="EQU110" s="142"/>
      <c r="EQV110" s="142"/>
      <c r="EQW110" s="142"/>
      <c r="EQX110" s="142"/>
      <c r="EQY110" s="142"/>
      <c r="EQZ110" s="142"/>
      <c r="ERA110" s="142"/>
      <c r="ERB110" s="142"/>
      <c r="ERC110" s="142"/>
      <c r="ERD110" s="142"/>
      <c r="ERE110" s="142"/>
      <c r="ERF110" s="142"/>
      <c r="ERG110" s="142"/>
      <c r="ERH110" s="142"/>
      <c r="ERI110" s="142"/>
      <c r="ERJ110" s="142"/>
      <c r="ERK110" s="142"/>
      <c r="ERL110" s="142"/>
      <c r="ERM110" s="142"/>
      <c r="ERN110" s="142"/>
      <c r="ERO110" s="142"/>
      <c r="ERP110" s="142"/>
      <c r="ERQ110" s="142"/>
      <c r="ERR110" s="142"/>
      <c r="ERS110" s="142"/>
      <c r="ERT110" s="142"/>
      <c r="ERU110" s="142"/>
      <c r="ERV110" s="142"/>
      <c r="ERW110" s="142"/>
      <c r="ERX110" s="142"/>
      <c r="ERY110" s="142"/>
      <c r="ERZ110" s="142"/>
      <c r="ESA110" s="142"/>
      <c r="ESB110" s="142"/>
      <c r="ESC110" s="142"/>
      <c r="ESD110" s="142"/>
      <c r="ESE110" s="142"/>
      <c r="ESF110" s="142"/>
      <c r="ESG110" s="142"/>
      <c r="ESH110" s="142"/>
      <c r="ESI110" s="142"/>
      <c r="ESJ110" s="142"/>
      <c r="ESK110" s="142"/>
      <c r="ESL110" s="142"/>
      <c r="ESM110" s="142"/>
      <c r="ESN110" s="142"/>
      <c r="ESO110" s="142"/>
      <c r="ESP110" s="142"/>
      <c r="ESQ110" s="142"/>
      <c r="ESR110" s="142"/>
      <c r="ESS110" s="142"/>
      <c r="EST110" s="142"/>
      <c r="ESU110" s="142"/>
      <c r="ESV110" s="142"/>
      <c r="ESW110" s="142"/>
      <c r="ESX110" s="142"/>
      <c r="ESY110" s="142"/>
      <c r="ESZ110" s="142"/>
      <c r="ETA110" s="142"/>
      <c r="ETB110" s="142"/>
      <c r="ETC110" s="142"/>
      <c r="ETD110" s="142"/>
      <c r="ETE110" s="142"/>
      <c r="ETF110" s="142"/>
      <c r="ETG110" s="142"/>
      <c r="ETH110" s="142"/>
      <c r="ETI110" s="142"/>
      <c r="ETJ110" s="142"/>
      <c r="ETK110" s="142"/>
      <c r="ETL110" s="142"/>
      <c r="ETM110" s="142"/>
      <c r="ETN110" s="142"/>
      <c r="ETO110" s="142"/>
      <c r="ETP110" s="142"/>
      <c r="ETQ110" s="142"/>
      <c r="ETR110" s="142"/>
      <c r="ETS110" s="142"/>
      <c r="ETT110" s="142"/>
      <c r="ETU110" s="142"/>
      <c r="ETV110" s="142"/>
      <c r="ETW110" s="142"/>
      <c r="ETX110" s="142"/>
      <c r="ETY110" s="142"/>
      <c r="ETZ110" s="142"/>
      <c r="EUA110" s="142"/>
      <c r="EUB110" s="142"/>
      <c r="EUC110" s="142"/>
      <c r="EUD110" s="142"/>
      <c r="EUE110" s="142"/>
      <c r="EUF110" s="142"/>
      <c r="EUG110" s="142"/>
      <c r="EUH110" s="142"/>
      <c r="EUI110" s="142"/>
      <c r="EUJ110" s="142"/>
      <c r="EUK110" s="142"/>
      <c r="EUL110" s="142"/>
      <c r="EUM110" s="142"/>
      <c r="EUN110" s="142"/>
      <c r="EUO110" s="142"/>
      <c r="EUP110" s="142"/>
      <c r="EUQ110" s="142"/>
      <c r="EUR110" s="142"/>
      <c r="EUS110" s="142"/>
      <c r="EUT110" s="142"/>
      <c r="EUU110" s="142"/>
      <c r="EUV110" s="142"/>
      <c r="EUW110" s="142"/>
      <c r="EUX110" s="142"/>
      <c r="EUY110" s="142"/>
      <c r="EUZ110" s="142"/>
      <c r="EVA110" s="142"/>
      <c r="EVB110" s="142"/>
      <c r="EVC110" s="142"/>
      <c r="EVD110" s="142"/>
      <c r="EVE110" s="142"/>
      <c r="EVF110" s="142"/>
      <c r="EVG110" s="142"/>
      <c r="EVH110" s="142"/>
      <c r="EVI110" s="142"/>
      <c r="EVJ110" s="142"/>
      <c r="EVK110" s="142"/>
      <c r="EVL110" s="142"/>
      <c r="EVM110" s="142"/>
      <c r="EVN110" s="142"/>
      <c r="EVO110" s="142"/>
      <c r="EVP110" s="142"/>
      <c r="EVQ110" s="142"/>
      <c r="EVR110" s="142"/>
      <c r="EVS110" s="142"/>
      <c r="EVT110" s="142"/>
      <c r="EVU110" s="142"/>
      <c r="EVV110" s="142"/>
      <c r="EVW110" s="142"/>
      <c r="EVX110" s="142"/>
      <c r="EVY110" s="142"/>
      <c r="EVZ110" s="142"/>
      <c r="EWA110" s="142"/>
      <c r="EWB110" s="142"/>
      <c r="EWC110" s="142"/>
      <c r="EWD110" s="142"/>
      <c r="EWE110" s="142"/>
      <c r="EWF110" s="142"/>
      <c r="EWG110" s="142"/>
      <c r="EWH110" s="142"/>
      <c r="EWI110" s="142"/>
      <c r="EWJ110" s="142"/>
      <c r="EWK110" s="142"/>
      <c r="EWL110" s="142"/>
      <c r="EWM110" s="142"/>
      <c r="EWN110" s="142"/>
      <c r="EWO110" s="142"/>
      <c r="EWP110" s="142"/>
      <c r="EWQ110" s="142"/>
      <c r="EWR110" s="142"/>
      <c r="EWS110" s="142"/>
      <c r="EWT110" s="142"/>
      <c r="EWU110" s="142"/>
      <c r="EWV110" s="142"/>
      <c r="EWW110" s="142"/>
      <c r="EWX110" s="142"/>
      <c r="EWY110" s="142"/>
      <c r="EWZ110" s="142"/>
      <c r="EXA110" s="142"/>
      <c r="EXB110" s="142"/>
      <c r="EXC110" s="142"/>
      <c r="EXD110" s="142"/>
      <c r="EXE110" s="142"/>
      <c r="EXF110" s="142"/>
      <c r="EXG110" s="142"/>
      <c r="EXH110" s="142"/>
      <c r="EXI110" s="142"/>
      <c r="EXJ110" s="142"/>
      <c r="EXK110" s="142"/>
      <c r="EXL110" s="142"/>
      <c r="EXM110" s="142"/>
      <c r="EXN110" s="142"/>
      <c r="EXO110" s="142"/>
      <c r="EXP110" s="142"/>
      <c r="EXQ110" s="142"/>
      <c r="EXR110" s="142"/>
      <c r="EXS110" s="142"/>
      <c r="EXT110" s="142"/>
      <c r="EXU110" s="142"/>
      <c r="EXV110" s="142"/>
      <c r="EXW110" s="142"/>
      <c r="EXX110" s="142"/>
      <c r="EXY110" s="142"/>
      <c r="EXZ110" s="142"/>
      <c r="EYA110" s="142"/>
      <c r="EYB110" s="142"/>
      <c r="EYC110" s="142"/>
      <c r="EYD110" s="142"/>
      <c r="EYE110" s="142"/>
      <c r="EYF110" s="142"/>
      <c r="EYG110" s="142"/>
      <c r="EYH110" s="142"/>
      <c r="EYI110" s="142"/>
      <c r="EYJ110" s="142"/>
      <c r="EYK110" s="142"/>
      <c r="EYL110" s="142"/>
      <c r="EYM110" s="142"/>
      <c r="EYN110" s="142"/>
      <c r="EYO110" s="142"/>
      <c r="EYP110" s="142"/>
      <c r="EYQ110" s="142"/>
      <c r="EYR110" s="142"/>
      <c r="EYS110" s="142"/>
      <c r="EYT110" s="142"/>
      <c r="EYU110" s="142"/>
      <c r="EYV110" s="142"/>
      <c r="EYW110" s="142"/>
      <c r="EYX110" s="142"/>
      <c r="EYY110" s="142"/>
      <c r="EYZ110" s="142"/>
      <c r="EZA110" s="142"/>
      <c r="EZB110" s="142"/>
      <c r="EZC110" s="142"/>
      <c r="EZD110" s="142"/>
      <c r="EZE110" s="142"/>
      <c r="EZF110" s="142"/>
      <c r="EZG110" s="142"/>
      <c r="EZH110" s="142"/>
      <c r="EZI110" s="142"/>
      <c r="EZJ110" s="142"/>
      <c r="EZK110" s="142"/>
      <c r="EZL110" s="142"/>
      <c r="EZM110" s="142"/>
      <c r="EZN110" s="142"/>
      <c r="EZO110" s="142"/>
      <c r="EZP110" s="142"/>
      <c r="EZQ110" s="142"/>
      <c r="EZR110" s="142"/>
      <c r="EZS110" s="142"/>
      <c r="EZT110" s="142"/>
      <c r="EZU110" s="142"/>
      <c r="EZV110" s="142"/>
      <c r="EZW110" s="142"/>
      <c r="EZX110" s="142"/>
      <c r="EZY110" s="142"/>
      <c r="EZZ110" s="142"/>
      <c r="FAA110" s="142"/>
      <c r="FAB110" s="142"/>
      <c r="FAC110" s="142"/>
      <c r="FAD110" s="142"/>
      <c r="FAE110" s="142"/>
      <c r="FAF110" s="142"/>
      <c r="FAG110" s="142"/>
      <c r="FAH110" s="142"/>
      <c r="FAI110" s="142"/>
      <c r="FAJ110" s="142"/>
      <c r="FAK110" s="142"/>
      <c r="FAL110" s="142"/>
      <c r="FAM110" s="142"/>
      <c r="FAN110" s="142"/>
      <c r="FAO110" s="142"/>
      <c r="FAP110" s="142"/>
      <c r="FAQ110" s="142"/>
      <c r="FAR110" s="142"/>
      <c r="FAS110" s="142"/>
      <c r="FAT110" s="142"/>
      <c r="FAU110" s="142"/>
      <c r="FAV110" s="142"/>
      <c r="FAW110" s="142"/>
      <c r="FAX110" s="142"/>
      <c r="FAY110" s="142"/>
      <c r="FAZ110" s="142"/>
      <c r="FBA110" s="142"/>
      <c r="FBB110" s="142"/>
      <c r="FBC110" s="142"/>
      <c r="FBD110" s="142"/>
      <c r="FBE110" s="142"/>
      <c r="FBF110" s="142"/>
      <c r="FBG110" s="142"/>
      <c r="FBH110" s="142"/>
      <c r="FBI110" s="142"/>
      <c r="FBJ110" s="142"/>
      <c r="FBK110" s="142"/>
      <c r="FBL110" s="142"/>
      <c r="FBM110" s="142"/>
      <c r="FBN110" s="142"/>
      <c r="FBO110" s="142"/>
      <c r="FBP110" s="142"/>
      <c r="FBQ110" s="142"/>
      <c r="FBR110" s="142"/>
      <c r="FBS110" s="142"/>
      <c r="FBT110" s="142"/>
      <c r="FBU110" s="142"/>
      <c r="FBV110" s="142"/>
      <c r="FBW110" s="142"/>
      <c r="FBX110" s="142"/>
      <c r="FBY110" s="142"/>
      <c r="FBZ110" s="142"/>
      <c r="FCA110" s="142"/>
      <c r="FCB110" s="142"/>
      <c r="FCC110" s="142"/>
      <c r="FCD110" s="142"/>
      <c r="FCE110" s="142"/>
      <c r="FCF110" s="142"/>
      <c r="FCG110" s="142"/>
      <c r="FCH110" s="142"/>
      <c r="FCI110" s="142"/>
      <c r="FCJ110" s="142"/>
      <c r="FCK110" s="142"/>
      <c r="FCL110" s="142"/>
      <c r="FCM110" s="142"/>
      <c r="FCN110" s="142"/>
      <c r="FCO110" s="142"/>
      <c r="FCP110" s="142"/>
      <c r="FCQ110" s="142"/>
      <c r="FCR110" s="142"/>
      <c r="FCS110" s="142"/>
      <c r="FCT110" s="142"/>
      <c r="FCU110" s="142"/>
      <c r="FCV110" s="142"/>
      <c r="FCW110" s="142"/>
      <c r="FCX110" s="142"/>
      <c r="FCY110" s="142"/>
      <c r="FCZ110" s="142"/>
      <c r="FDA110" s="142"/>
      <c r="FDB110" s="142"/>
      <c r="FDC110" s="142"/>
      <c r="FDD110" s="142"/>
      <c r="FDE110" s="142"/>
      <c r="FDF110" s="142"/>
      <c r="FDG110" s="142"/>
      <c r="FDH110" s="142"/>
      <c r="FDI110" s="142"/>
      <c r="FDJ110" s="142"/>
      <c r="FDK110" s="142"/>
      <c r="FDL110" s="142"/>
      <c r="FDM110" s="142"/>
      <c r="FDN110" s="142"/>
      <c r="FDO110" s="142"/>
      <c r="FDP110" s="142"/>
      <c r="FDQ110" s="142"/>
      <c r="FDR110" s="142"/>
      <c r="FDS110" s="142"/>
      <c r="FDT110" s="142"/>
      <c r="FDU110" s="142"/>
      <c r="FDV110" s="142"/>
      <c r="FDW110" s="142"/>
      <c r="FDX110" s="142"/>
      <c r="FDY110" s="142"/>
      <c r="FDZ110" s="142"/>
      <c r="FEA110" s="142"/>
      <c r="FEB110" s="142"/>
      <c r="FEC110" s="142"/>
      <c r="FED110" s="142"/>
      <c r="FEE110" s="142"/>
      <c r="FEF110" s="142"/>
      <c r="FEG110" s="142"/>
      <c r="FEH110" s="142"/>
      <c r="FEI110" s="142"/>
      <c r="FEJ110" s="142"/>
      <c r="FEK110" s="142"/>
      <c r="FEL110" s="142"/>
      <c r="FEM110" s="142"/>
      <c r="FEN110" s="142"/>
      <c r="FEO110" s="142"/>
      <c r="FEP110" s="142"/>
      <c r="FEQ110" s="142"/>
      <c r="FER110" s="142"/>
      <c r="FES110" s="142"/>
      <c r="FET110" s="142"/>
      <c r="FEU110" s="142"/>
      <c r="FEV110" s="142"/>
      <c r="FEW110" s="142"/>
      <c r="FEX110" s="142"/>
      <c r="FEY110" s="142"/>
      <c r="FEZ110" s="142"/>
      <c r="FFA110" s="142"/>
      <c r="FFB110" s="142"/>
      <c r="FFC110" s="142"/>
      <c r="FFD110" s="142"/>
      <c r="FFE110" s="142"/>
      <c r="FFF110" s="142"/>
      <c r="FFG110" s="142"/>
      <c r="FFH110" s="142"/>
      <c r="FFI110" s="142"/>
      <c r="FFJ110" s="142"/>
      <c r="FFK110" s="142"/>
      <c r="FFL110" s="142"/>
      <c r="FFM110" s="142"/>
      <c r="FFN110" s="142"/>
      <c r="FFO110" s="142"/>
      <c r="FFP110" s="142"/>
      <c r="FFQ110" s="142"/>
      <c r="FFR110" s="142"/>
      <c r="FFS110" s="142"/>
      <c r="FFT110" s="142"/>
      <c r="FFU110" s="142"/>
      <c r="FFV110" s="142"/>
      <c r="FFW110" s="142"/>
      <c r="FFX110" s="142"/>
      <c r="FFY110" s="142"/>
      <c r="FFZ110" s="142"/>
      <c r="FGA110" s="142"/>
      <c r="FGB110" s="142"/>
      <c r="FGC110" s="142"/>
      <c r="FGD110" s="142"/>
      <c r="FGE110" s="142"/>
      <c r="FGF110" s="142"/>
      <c r="FGG110" s="142"/>
      <c r="FGH110" s="142"/>
      <c r="FGI110" s="142"/>
      <c r="FGJ110" s="142"/>
      <c r="FGK110" s="142"/>
      <c r="FGL110" s="142"/>
      <c r="FGM110" s="142"/>
      <c r="FGN110" s="142"/>
      <c r="FGO110" s="142"/>
      <c r="FGP110" s="142"/>
      <c r="FGQ110" s="142"/>
      <c r="FGR110" s="142"/>
      <c r="FGS110" s="142"/>
      <c r="FGT110" s="142"/>
      <c r="FGU110" s="142"/>
      <c r="FGV110" s="142"/>
      <c r="FGW110" s="142"/>
      <c r="FGX110" s="142"/>
      <c r="FGY110" s="142"/>
      <c r="FGZ110" s="142"/>
      <c r="FHA110" s="142"/>
      <c r="FHB110" s="142"/>
      <c r="FHC110" s="142"/>
      <c r="FHD110" s="142"/>
      <c r="FHE110" s="142"/>
      <c r="FHF110" s="142"/>
      <c r="FHG110" s="142"/>
      <c r="FHH110" s="142"/>
      <c r="FHI110" s="142"/>
      <c r="FHJ110" s="142"/>
      <c r="FHK110" s="142"/>
      <c r="FHL110" s="142"/>
      <c r="FHM110" s="142"/>
      <c r="FHN110" s="142"/>
      <c r="FHO110" s="142"/>
      <c r="FHP110" s="142"/>
      <c r="FHQ110" s="142"/>
      <c r="FHR110" s="142"/>
      <c r="FHS110" s="142"/>
      <c r="FHT110" s="142"/>
      <c r="FHU110" s="142"/>
      <c r="FHV110" s="142"/>
      <c r="FHW110" s="142"/>
      <c r="FHX110" s="142"/>
      <c r="FHY110" s="142"/>
      <c r="FHZ110" s="142"/>
      <c r="FIA110" s="142"/>
      <c r="FIB110" s="142"/>
      <c r="FIC110" s="142"/>
      <c r="FID110" s="142"/>
      <c r="FIE110" s="142"/>
      <c r="FIF110" s="142"/>
      <c r="FIG110" s="142"/>
      <c r="FIH110" s="142"/>
      <c r="FII110" s="142"/>
      <c r="FIJ110" s="142"/>
      <c r="FIK110" s="142"/>
      <c r="FIL110" s="142"/>
      <c r="FIM110" s="142"/>
      <c r="FIN110" s="142"/>
      <c r="FIO110" s="142"/>
      <c r="FIP110" s="142"/>
      <c r="FIQ110" s="142"/>
      <c r="FIR110" s="142"/>
      <c r="FIS110" s="142"/>
      <c r="FIT110" s="142"/>
      <c r="FIU110" s="142"/>
      <c r="FIV110" s="142"/>
      <c r="FIW110" s="142"/>
      <c r="FIX110" s="142"/>
      <c r="FIY110" s="142"/>
      <c r="FIZ110" s="142"/>
      <c r="FJA110" s="142"/>
      <c r="FJB110" s="142"/>
      <c r="FJC110" s="142"/>
      <c r="FJD110" s="142"/>
      <c r="FJE110" s="142"/>
      <c r="FJF110" s="142"/>
      <c r="FJG110" s="142"/>
      <c r="FJH110" s="142"/>
      <c r="FJI110" s="142"/>
      <c r="FJJ110" s="142"/>
      <c r="FJK110" s="142"/>
      <c r="FJL110" s="142"/>
      <c r="FJM110" s="142"/>
      <c r="FJN110" s="142"/>
      <c r="FJO110" s="142"/>
      <c r="FJP110" s="142"/>
      <c r="FJQ110" s="142"/>
      <c r="FJR110" s="142"/>
      <c r="FJS110" s="142"/>
      <c r="FJT110" s="142"/>
      <c r="FJU110" s="142"/>
      <c r="FJV110" s="142"/>
      <c r="FJW110" s="142"/>
      <c r="FJX110" s="142"/>
      <c r="FJY110" s="142"/>
      <c r="FJZ110" s="142"/>
      <c r="FKA110" s="142"/>
      <c r="FKB110" s="142"/>
      <c r="FKC110" s="142"/>
      <c r="FKD110" s="142"/>
      <c r="FKE110" s="142"/>
      <c r="FKF110" s="142"/>
      <c r="FKG110" s="142"/>
      <c r="FKH110" s="142"/>
      <c r="FKI110" s="142"/>
      <c r="FKJ110" s="142"/>
      <c r="FKK110" s="142"/>
      <c r="FKL110" s="142"/>
      <c r="FKM110" s="142"/>
      <c r="FKN110" s="142"/>
      <c r="FKO110" s="142"/>
      <c r="FKP110" s="142"/>
      <c r="FKQ110" s="142"/>
      <c r="FKR110" s="142"/>
      <c r="FKS110" s="142"/>
      <c r="FKT110" s="142"/>
      <c r="FKU110" s="142"/>
      <c r="FKV110" s="142"/>
      <c r="FKW110" s="142"/>
      <c r="FKX110" s="142"/>
      <c r="FKY110" s="142"/>
      <c r="FKZ110" s="142"/>
      <c r="FLA110" s="142"/>
      <c r="FLB110" s="142"/>
      <c r="FLC110" s="142"/>
      <c r="FLD110" s="142"/>
      <c r="FLE110" s="142"/>
      <c r="FLF110" s="142"/>
      <c r="FLG110" s="142"/>
      <c r="FLH110" s="142"/>
      <c r="FLI110" s="142"/>
      <c r="FLJ110" s="142"/>
      <c r="FLK110" s="142"/>
      <c r="FLL110" s="142"/>
      <c r="FLM110" s="142"/>
      <c r="FLN110" s="142"/>
      <c r="FLO110" s="142"/>
      <c r="FLP110" s="142"/>
      <c r="FLQ110" s="142"/>
      <c r="FLR110" s="142"/>
      <c r="FLS110" s="142"/>
      <c r="FLT110" s="142"/>
      <c r="FLU110" s="142"/>
      <c r="FLV110" s="142"/>
      <c r="FLW110" s="142"/>
      <c r="FLX110" s="142"/>
      <c r="FLY110" s="142"/>
      <c r="FLZ110" s="142"/>
      <c r="FMA110" s="142"/>
      <c r="FMB110" s="142"/>
      <c r="FMC110" s="142"/>
      <c r="FMD110" s="142"/>
      <c r="FME110" s="142"/>
      <c r="FMF110" s="142"/>
      <c r="FMG110" s="142"/>
      <c r="FMH110" s="142"/>
      <c r="FMI110" s="142"/>
      <c r="FMJ110" s="142"/>
      <c r="FMK110" s="142"/>
      <c r="FML110" s="142"/>
      <c r="FMM110" s="142"/>
      <c r="FMN110" s="142"/>
      <c r="FMO110" s="142"/>
      <c r="FMP110" s="142"/>
      <c r="FMQ110" s="142"/>
      <c r="FMR110" s="142"/>
      <c r="FMS110" s="142"/>
      <c r="FMT110" s="142"/>
      <c r="FMU110" s="142"/>
      <c r="FMV110" s="142"/>
      <c r="FMW110" s="142"/>
      <c r="FMX110" s="142"/>
      <c r="FMY110" s="142"/>
      <c r="FMZ110" s="142"/>
      <c r="FNA110" s="142"/>
      <c r="FNB110" s="142"/>
      <c r="FNC110" s="142"/>
      <c r="FND110" s="142"/>
      <c r="FNE110" s="142"/>
      <c r="FNF110" s="142"/>
      <c r="FNG110" s="142"/>
      <c r="FNH110" s="142"/>
      <c r="FNI110" s="142"/>
      <c r="FNJ110" s="142"/>
      <c r="FNK110" s="142"/>
      <c r="FNL110" s="142"/>
      <c r="FNM110" s="142"/>
      <c r="FNN110" s="142"/>
      <c r="FNO110" s="142"/>
      <c r="FNP110" s="142"/>
      <c r="FNQ110" s="142"/>
      <c r="FNR110" s="142"/>
      <c r="FNS110" s="142"/>
      <c r="FNT110" s="142"/>
      <c r="FNU110" s="142"/>
      <c r="FNV110" s="142"/>
      <c r="FNW110" s="142"/>
      <c r="FNX110" s="142"/>
      <c r="FNY110" s="142"/>
      <c r="FNZ110" s="142"/>
      <c r="FOA110" s="142"/>
      <c r="FOB110" s="142"/>
      <c r="FOC110" s="142"/>
      <c r="FOD110" s="142"/>
      <c r="FOE110" s="142"/>
      <c r="FOF110" s="142"/>
      <c r="FOG110" s="142"/>
      <c r="FOH110" s="142"/>
      <c r="FOI110" s="142"/>
      <c r="FOJ110" s="142"/>
      <c r="FOK110" s="142"/>
      <c r="FOL110" s="142"/>
      <c r="FOM110" s="142"/>
      <c r="FON110" s="142"/>
      <c r="FOO110" s="142"/>
      <c r="FOP110" s="142"/>
      <c r="FOQ110" s="142"/>
      <c r="FOR110" s="142"/>
      <c r="FOS110" s="142"/>
      <c r="FOT110" s="142"/>
      <c r="FOU110" s="142"/>
      <c r="FOV110" s="142"/>
      <c r="FOW110" s="142"/>
      <c r="FOX110" s="142"/>
      <c r="FOY110" s="142"/>
      <c r="FOZ110" s="142"/>
      <c r="FPA110" s="142"/>
      <c r="FPB110" s="142"/>
      <c r="FPC110" s="142"/>
      <c r="FPD110" s="142"/>
      <c r="FPE110" s="142"/>
      <c r="FPF110" s="142"/>
      <c r="FPG110" s="142"/>
      <c r="FPH110" s="142"/>
      <c r="FPI110" s="142"/>
      <c r="FPJ110" s="142"/>
      <c r="FPK110" s="142"/>
      <c r="FPL110" s="142"/>
      <c r="FPM110" s="142"/>
      <c r="FPN110" s="142"/>
      <c r="FPO110" s="142"/>
      <c r="FPP110" s="142"/>
      <c r="FPQ110" s="142"/>
      <c r="FPR110" s="142"/>
      <c r="FPS110" s="142"/>
      <c r="FPT110" s="142"/>
      <c r="FPU110" s="142"/>
      <c r="FPV110" s="142"/>
      <c r="FPW110" s="142"/>
      <c r="FPX110" s="142"/>
      <c r="FPY110" s="142"/>
      <c r="FPZ110" s="142"/>
      <c r="FQA110" s="142"/>
      <c r="FQB110" s="142"/>
      <c r="FQC110" s="142"/>
      <c r="FQD110" s="142"/>
      <c r="FQE110" s="142"/>
      <c r="FQF110" s="142"/>
      <c r="FQG110" s="142"/>
      <c r="FQH110" s="142"/>
      <c r="FQI110" s="142"/>
      <c r="FQJ110" s="142"/>
      <c r="FQK110" s="142"/>
      <c r="FQL110" s="142"/>
      <c r="FQM110" s="142"/>
      <c r="FQN110" s="142"/>
      <c r="FQO110" s="142"/>
      <c r="FQP110" s="142"/>
      <c r="FQQ110" s="142"/>
      <c r="FQR110" s="142"/>
      <c r="FQS110" s="142"/>
      <c r="FQT110" s="142"/>
      <c r="FQU110" s="142"/>
      <c r="FQV110" s="142"/>
      <c r="FQW110" s="142"/>
      <c r="FQX110" s="142"/>
      <c r="FQY110" s="142"/>
      <c r="FQZ110" s="142"/>
      <c r="FRA110" s="142"/>
      <c r="FRB110" s="142"/>
      <c r="FRC110" s="142"/>
      <c r="FRD110" s="142"/>
      <c r="FRE110" s="142"/>
      <c r="FRF110" s="142"/>
      <c r="FRG110" s="142"/>
      <c r="FRH110" s="142"/>
      <c r="FRI110" s="142"/>
      <c r="FRJ110" s="142"/>
      <c r="FRK110" s="142"/>
      <c r="FRL110" s="142"/>
      <c r="FRM110" s="142"/>
      <c r="FRN110" s="142"/>
      <c r="FRO110" s="142"/>
      <c r="FRP110" s="142"/>
      <c r="FRQ110" s="142"/>
      <c r="FRR110" s="142"/>
      <c r="FRS110" s="142"/>
      <c r="FRT110" s="142"/>
      <c r="FRU110" s="142"/>
      <c r="FRV110" s="142"/>
      <c r="FRW110" s="142"/>
      <c r="FRX110" s="142"/>
      <c r="FRY110" s="142"/>
      <c r="FRZ110" s="142"/>
      <c r="FSA110" s="142"/>
      <c r="FSB110" s="142"/>
      <c r="FSC110" s="142"/>
      <c r="FSD110" s="142"/>
      <c r="FSE110" s="142"/>
      <c r="FSF110" s="142"/>
      <c r="FSG110" s="142"/>
      <c r="FSH110" s="142"/>
      <c r="FSI110" s="142"/>
      <c r="FSJ110" s="142"/>
      <c r="FSK110" s="142"/>
      <c r="FSL110" s="142"/>
      <c r="FSM110" s="142"/>
      <c r="FSN110" s="142"/>
      <c r="FSO110" s="142"/>
      <c r="FSP110" s="142"/>
      <c r="FSQ110" s="142"/>
      <c r="FSR110" s="142"/>
      <c r="FSS110" s="142"/>
      <c r="FST110" s="142"/>
      <c r="FSU110" s="142"/>
      <c r="FSV110" s="142"/>
      <c r="FSW110" s="142"/>
      <c r="FSX110" s="142"/>
      <c r="FSY110" s="142"/>
      <c r="FSZ110" s="142"/>
      <c r="FTA110" s="142"/>
      <c r="FTB110" s="142"/>
      <c r="FTC110" s="142"/>
      <c r="FTD110" s="142"/>
      <c r="FTE110" s="142"/>
      <c r="FTF110" s="142"/>
      <c r="FTG110" s="142"/>
      <c r="FTH110" s="142"/>
      <c r="FTI110" s="142"/>
      <c r="FTJ110" s="142"/>
      <c r="FTK110" s="142"/>
      <c r="FTL110" s="142"/>
      <c r="FTM110" s="142"/>
      <c r="FTN110" s="142"/>
      <c r="FTO110" s="142"/>
      <c r="FTP110" s="142"/>
      <c r="FTQ110" s="142"/>
      <c r="FTR110" s="142"/>
      <c r="FTS110" s="142"/>
      <c r="FTT110" s="142"/>
      <c r="FTU110" s="142"/>
      <c r="FTV110" s="142"/>
      <c r="FTW110" s="142"/>
      <c r="FTX110" s="142"/>
      <c r="FTY110" s="142"/>
      <c r="FTZ110" s="142"/>
      <c r="FUA110" s="142"/>
      <c r="FUB110" s="142"/>
      <c r="FUC110" s="142"/>
      <c r="FUD110" s="142"/>
      <c r="FUE110" s="142"/>
      <c r="FUF110" s="142"/>
      <c r="FUG110" s="142"/>
      <c r="FUH110" s="142"/>
      <c r="FUI110" s="142"/>
      <c r="FUJ110" s="142"/>
      <c r="FUK110" s="142"/>
      <c r="FUL110" s="142"/>
      <c r="FUM110" s="142"/>
      <c r="FUN110" s="142"/>
      <c r="FUO110" s="142"/>
      <c r="FUP110" s="142"/>
      <c r="FUQ110" s="142"/>
      <c r="FUR110" s="142"/>
      <c r="FUS110" s="142"/>
      <c r="FUT110" s="142"/>
      <c r="FUU110" s="142"/>
      <c r="FUV110" s="142"/>
      <c r="FUW110" s="142"/>
      <c r="FUX110" s="142"/>
      <c r="FUY110" s="142"/>
      <c r="FUZ110" s="142"/>
      <c r="FVA110" s="142"/>
      <c r="FVB110" s="142"/>
      <c r="FVC110" s="142"/>
      <c r="FVD110" s="142"/>
      <c r="FVE110" s="142"/>
      <c r="FVF110" s="142"/>
      <c r="FVG110" s="142"/>
      <c r="FVH110" s="142"/>
      <c r="FVI110" s="142"/>
      <c r="FVJ110" s="142"/>
      <c r="FVK110" s="142"/>
      <c r="FVL110" s="142"/>
      <c r="FVM110" s="142"/>
      <c r="FVN110" s="142"/>
      <c r="FVO110" s="142"/>
      <c r="FVP110" s="142"/>
      <c r="FVQ110" s="142"/>
      <c r="FVR110" s="142"/>
      <c r="FVS110" s="142"/>
      <c r="FVT110" s="142"/>
      <c r="FVU110" s="142"/>
      <c r="FVV110" s="142"/>
      <c r="FVW110" s="142"/>
      <c r="FVX110" s="142"/>
      <c r="FVY110" s="142"/>
      <c r="FVZ110" s="142"/>
      <c r="FWA110" s="142"/>
      <c r="FWB110" s="142"/>
      <c r="FWC110" s="142"/>
      <c r="FWD110" s="142"/>
      <c r="FWE110" s="142"/>
      <c r="FWF110" s="142"/>
      <c r="FWG110" s="142"/>
      <c r="FWH110" s="142"/>
      <c r="FWI110" s="142"/>
      <c r="FWJ110" s="142"/>
      <c r="FWK110" s="142"/>
      <c r="FWL110" s="142"/>
      <c r="FWM110" s="142"/>
      <c r="FWN110" s="142"/>
      <c r="FWO110" s="142"/>
      <c r="FWP110" s="142"/>
      <c r="FWQ110" s="142"/>
      <c r="FWR110" s="142"/>
      <c r="FWS110" s="142"/>
      <c r="FWT110" s="142"/>
      <c r="FWU110" s="142"/>
      <c r="FWV110" s="142"/>
      <c r="FWW110" s="142"/>
      <c r="FWX110" s="142"/>
      <c r="FWY110" s="142"/>
      <c r="FWZ110" s="142"/>
      <c r="FXA110" s="142"/>
      <c r="FXB110" s="142"/>
      <c r="FXC110" s="142"/>
      <c r="FXD110" s="142"/>
      <c r="FXE110" s="142"/>
      <c r="FXF110" s="142"/>
      <c r="FXG110" s="142"/>
      <c r="FXH110" s="142"/>
      <c r="FXI110" s="142"/>
      <c r="FXJ110" s="142"/>
      <c r="FXK110" s="142"/>
      <c r="FXL110" s="142"/>
      <c r="FXM110" s="142"/>
      <c r="FXN110" s="142"/>
      <c r="FXO110" s="142"/>
      <c r="FXP110" s="142"/>
      <c r="FXQ110" s="142"/>
      <c r="FXR110" s="142"/>
      <c r="FXS110" s="142"/>
      <c r="FXT110" s="142"/>
      <c r="FXU110" s="142"/>
      <c r="FXV110" s="142"/>
      <c r="FXW110" s="142"/>
      <c r="FXX110" s="142"/>
      <c r="FXY110" s="142"/>
      <c r="FXZ110" s="142"/>
      <c r="FYA110" s="142"/>
      <c r="FYB110" s="142"/>
      <c r="FYC110" s="142"/>
      <c r="FYD110" s="142"/>
      <c r="FYE110" s="142"/>
      <c r="FYF110" s="142"/>
      <c r="FYG110" s="142"/>
      <c r="FYH110" s="142"/>
      <c r="FYI110" s="142"/>
      <c r="FYJ110" s="142"/>
      <c r="FYK110" s="142"/>
      <c r="FYL110" s="142"/>
      <c r="FYM110" s="142"/>
      <c r="FYN110" s="142"/>
      <c r="FYO110" s="142"/>
      <c r="FYP110" s="142"/>
      <c r="FYQ110" s="142"/>
      <c r="FYR110" s="142"/>
      <c r="FYS110" s="142"/>
      <c r="FYT110" s="142"/>
      <c r="FYU110" s="142"/>
      <c r="FYV110" s="142"/>
      <c r="FYW110" s="142"/>
      <c r="FYX110" s="142"/>
      <c r="FYY110" s="142"/>
      <c r="FYZ110" s="142"/>
      <c r="FZA110" s="142"/>
      <c r="FZB110" s="142"/>
      <c r="FZC110" s="142"/>
      <c r="FZD110" s="142"/>
      <c r="FZE110" s="142"/>
      <c r="FZF110" s="142"/>
      <c r="FZG110" s="142"/>
      <c r="FZH110" s="142"/>
      <c r="FZI110" s="142"/>
      <c r="FZJ110" s="142"/>
      <c r="FZK110" s="142"/>
      <c r="FZL110" s="142"/>
      <c r="FZM110" s="142"/>
      <c r="FZN110" s="142"/>
      <c r="FZO110" s="142"/>
      <c r="FZP110" s="142"/>
      <c r="FZQ110" s="142"/>
      <c r="FZR110" s="142"/>
      <c r="FZS110" s="142"/>
      <c r="FZT110" s="142"/>
      <c r="FZU110" s="142"/>
      <c r="FZV110" s="142"/>
      <c r="FZW110" s="142"/>
      <c r="FZX110" s="142"/>
      <c r="FZY110" s="142"/>
      <c r="FZZ110" s="142"/>
      <c r="GAA110" s="142"/>
      <c r="GAB110" s="142"/>
      <c r="GAC110" s="142"/>
      <c r="GAD110" s="142"/>
      <c r="GAE110" s="142"/>
      <c r="GAF110" s="142"/>
      <c r="GAG110" s="142"/>
      <c r="GAH110" s="142"/>
      <c r="GAI110" s="142"/>
      <c r="GAJ110" s="142"/>
      <c r="GAK110" s="142"/>
      <c r="GAL110" s="142"/>
      <c r="GAM110" s="142"/>
      <c r="GAN110" s="142"/>
      <c r="GAO110" s="142"/>
      <c r="GAP110" s="142"/>
      <c r="GAQ110" s="142"/>
      <c r="GAR110" s="142"/>
      <c r="GAS110" s="142"/>
      <c r="GAT110" s="142"/>
      <c r="GAU110" s="142"/>
      <c r="GAV110" s="142"/>
      <c r="GAW110" s="142"/>
      <c r="GAX110" s="142"/>
      <c r="GAY110" s="142"/>
      <c r="GAZ110" s="142"/>
      <c r="GBA110" s="142"/>
      <c r="GBB110" s="142"/>
      <c r="GBC110" s="142"/>
      <c r="GBD110" s="142"/>
      <c r="GBE110" s="142"/>
      <c r="GBF110" s="142"/>
      <c r="GBG110" s="142"/>
      <c r="GBH110" s="142"/>
      <c r="GBI110" s="142"/>
      <c r="GBJ110" s="142"/>
      <c r="GBK110" s="142"/>
      <c r="GBL110" s="142"/>
      <c r="GBM110" s="142"/>
      <c r="GBN110" s="142"/>
      <c r="GBO110" s="142"/>
      <c r="GBP110" s="142"/>
      <c r="GBQ110" s="142"/>
      <c r="GBR110" s="142"/>
      <c r="GBS110" s="142"/>
      <c r="GBT110" s="142"/>
      <c r="GBU110" s="142"/>
      <c r="GBV110" s="142"/>
      <c r="GBW110" s="142"/>
      <c r="GBX110" s="142"/>
      <c r="GBY110" s="142"/>
      <c r="GBZ110" s="142"/>
      <c r="GCA110" s="142"/>
      <c r="GCB110" s="142"/>
      <c r="GCC110" s="142"/>
      <c r="GCD110" s="142"/>
      <c r="GCE110" s="142"/>
      <c r="GCF110" s="142"/>
      <c r="GCG110" s="142"/>
      <c r="GCH110" s="142"/>
      <c r="GCI110" s="142"/>
      <c r="GCJ110" s="142"/>
      <c r="GCK110" s="142"/>
      <c r="GCL110" s="142"/>
      <c r="GCM110" s="142"/>
      <c r="GCN110" s="142"/>
      <c r="GCO110" s="142"/>
      <c r="GCP110" s="142"/>
      <c r="GCQ110" s="142"/>
      <c r="GCR110" s="142"/>
      <c r="GCS110" s="142"/>
      <c r="GCT110" s="142"/>
      <c r="GCU110" s="142"/>
      <c r="GCV110" s="142"/>
      <c r="GCW110" s="142"/>
      <c r="GCX110" s="142"/>
      <c r="GCY110" s="142"/>
      <c r="GCZ110" s="142"/>
      <c r="GDA110" s="142"/>
      <c r="GDB110" s="142"/>
      <c r="GDC110" s="142"/>
      <c r="GDD110" s="142"/>
      <c r="GDE110" s="142"/>
      <c r="GDF110" s="142"/>
      <c r="GDG110" s="142"/>
      <c r="GDH110" s="142"/>
      <c r="GDI110" s="142"/>
      <c r="GDJ110" s="142"/>
      <c r="GDK110" s="142"/>
      <c r="GDL110" s="142"/>
      <c r="GDM110" s="142"/>
      <c r="GDN110" s="142"/>
      <c r="GDO110" s="142"/>
      <c r="GDP110" s="142"/>
      <c r="GDQ110" s="142"/>
      <c r="GDR110" s="142"/>
      <c r="GDS110" s="142"/>
      <c r="GDT110" s="142"/>
      <c r="GDU110" s="142"/>
      <c r="GDV110" s="142"/>
      <c r="GDW110" s="142"/>
      <c r="GDX110" s="142"/>
      <c r="GDY110" s="142"/>
      <c r="GDZ110" s="142"/>
      <c r="GEA110" s="142"/>
      <c r="GEB110" s="142"/>
      <c r="GEC110" s="142"/>
      <c r="GED110" s="142"/>
      <c r="GEE110" s="142"/>
      <c r="GEF110" s="142"/>
      <c r="GEG110" s="142"/>
      <c r="GEH110" s="142"/>
      <c r="GEI110" s="142"/>
      <c r="GEJ110" s="142"/>
      <c r="GEK110" s="142"/>
      <c r="GEL110" s="142"/>
      <c r="GEM110" s="142"/>
      <c r="GEN110" s="142"/>
      <c r="GEO110" s="142"/>
      <c r="GEP110" s="142"/>
      <c r="GEQ110" s="142"/>
      <c r="GER110" s="142"/>
      <c r="GES110" s="142"/>
      <c r="GET110" s="142"/>
      <c r="GEU110" s="142"/>
      <c r="GEV110" s="142"/>
      <c r="GEW110" s="142"/>
      <c r="GEX110" s="142"/>
      <c r="GEY110" s="142"/>
      <c r="GEZ110" s="142"/>
      <c r="GFA110" s="142"/>
      <c r="GFB110" s="142"/>
      <c r="GFC110" s="142"/>
      <c r="GFD110" s="142"/>
      <c r="GFE110" s="142"/>
      <c r="GFF110" s="142"/>
      <c r="GFG110" s="142"/>
      <c r="GFH110" s="142"/>
      <c r="GFI110" s="142"/>
      <c r="GFJ110" s="142"/>
      <c r="GFK110" s="142"/>
      <c r="GFL110" s="142"/>
      <c r="GFM110" s="142"/>
      <c r="GFN110" s="142"/>
      <c r="GFO110" s="142"/>
      <c r="GFP110" s="142"/>
      <c r="GFQ110" s="142"/>
      <c r="GFR110" s="142"/>
      <c r="GFS110" s="142"/>
      <c r="GFT110" s="142"/>
      <c r="GFU110" s="142"/>
      <c r="GFV110" s="142"/>
      <c r="GFW110" s="142"/>
      <c r="GFX110" s="142"/>
      <c r="GFY110" s="142"/>
      <c r="GFZ110" s="142"/>
      <c r="GGA110" s="142"/>
      <c r="GGB110" s="142"/>
      <c r="GGC110" s="142"/>
      <c r="GGD110" s="142"/>
      <c r="GGE110" s="142"/>
      <c r="GGF110" s="142"/>
      <c r="GGG110" s="142"/>
      <c r="GGH110" s="142"/>
      <c r="GGI110" s="142"/>
      <c r="GGJ110" s="142"/>
      <c r="GGK110" s="142"/>
      <c r="GGL110" s="142"/>
      <c r="GGM110" s="142"/>
      <c r="GGN110" s="142"/>
      <c r="GGO110" s="142"/>
      <c r="GGP110" s="142"/>
      <c r="GGQ110" s="142"/>
      <c r="GGR110" s="142"/>
      <c r="GGS110" s="142"/>
      <c r="GGT110" s="142"/>
      <c r="GGU110" s="142"/>
      <c r="GGV110" s="142"/>
      <c r="GGW110" s="142"/>
      <c r="GGX110" s="142"/>
      <c r="GGY110" s="142"/>
      <c r="GGZ110" s="142"/>
      <c r="GHA110" s="142"/>
      <c r="GHB110" s="142"/>
      <c r="GHC110" s="142"/>
      <c r="GHD110" s="142"/>
      <c r="GHE110" s="142"/>
      <c r="GHF110" s="142"/>
      <c r="GHG110" s="142"/>
      <c r="GHH110" s="142"/>
      <c r="GHI110" s="142"/>
      <c r="GHJ110" s="142"/>
      <c r="GHK110" s="142"/>
      <c r="GHL110" s="142"/>
      <c r="GHM110" s="142"/>
      <c r="GHN110" s="142"/>
      <c r="GHO110" s="142"/>
      <c r="GHP110" s="142"/>
      <c r="GHQ110" s="142"/>
      <c r="GHR110" s="142"/>
      <c r="GHS110" s="142"/>
      <c r="GHT110" s="142"/>
      <c r="GHU110" s="142"/>
      <c r="GHV110" s="142"/>
      <c r="GHW110" s="142"/>
      <c r="GHX110" s="142"/>
      <c r="GHY110" s="142"/>
      <c r="GHZ110" s="142"/>
      <c r="GIA110" s="142"/>
      <c r="GIB110" s="142"/>
      <c r="GIC110" s="142"/>
      <c r="GID110" s="142"/>
      <c r="GIE110" s="142"/>
      <c r="GIF110" s="142"/>
      <c r="GIG110" s="142"/>
      <c r="GIH110" s="142"/>
      <c r="GII110" s="142"/>
      <c r="GIJ110" s="142"/>
      <c r="GIK110" s="142"/>
      <c r="GIL110" s="142"/>
      <c r="GIM110" s="142"/>
      <c r="GIN110" s="142"/>
      <c r="GIO110" s="142"/>
      <c r="GIP110" s="142"/>
      <c r="GIQ110" s="142"/>
      <c r="GIR110" s="142"/>
      <c r="GIS110" s="142"/>
      <c r="GIT110" s="142"/>
      <c r="GIU110" s="142"/>
      <c r="GIV110" s="142"/>
      <c r="GIW110" s="142"/>
      <c r="GIX110" s="142"/>
      <c r="GIY110" s="142"/>
      <c r="GIZ110" s="142"/>
      <c r="GJA110" s="142"/>
      <c r="GJB110" s="142"/>
      <c r="GJC110" s="142"/>
      <c r="GJD110" s="142"/>
      <c r="GJE110" s="142"/>
      <c r="GJF110" s="142"/>
      <c r="GJG110" s="142"/>
      <c r="GJH110" s="142"/>
      <c r="GJI110" s="142"/>
      <c r="GJJ110" s="142"/>
      <c r="GJK110" s="142"/>
      <c r="GJL110" s="142"/>
      <c r="GJM110" s="142"/>
      <c r="GJN110" s="142"/>
      <c r="GJO110" s="142"/>
      <c r="GJP110" s="142"/>
      <c r="GJQ110" s="142"/>
      <c r="GJR110" s="142"/>
      <c r="GJS110" s="142"/>
      <c r="GJT110" s="142"/>
      <c r="GJU110" s="142"/>
      <c r="GJV110" s="142"/>
      <c r="GJW110" s="142"/>
      <c r="GJX110" s="142"/>
      <c r="GJY110" s="142"/>
      <c r="GJZ110" s="142"/>
      <c r="GKA110" s="142"/>
      <c r="GKB110" s="142"/>
      <c r="GKC110" s="142"/>
      <c r="GKD110" s="142"/>
      <c r="GKE110" s="142"/>
      <c r="GKF110" s="142"/>
      <c r="GKG110" s="142"/>
      <c r="GKH110" s="142"/>
      <c r="GKI110" s="142"/>
      <c r="GKJ110" s="142"/>
      <c r="GKK110" s="142"/>
      <c r="GKL110" s="142"/>
      <c r="GKM110" s="142"/>
      <c r="GKN110" s="142"/>
      <c r="GKO110" s="142"/>
      <c r="GKP110" s="142"/>
      <c r="GKQ110" s="142"/>
      <c r="GKR110" s="142"/>
      <c r="GKS110" s="142"/>
      <c r="GKT110" s="142"/>
      <c r="GKU110" s="142"/>
      <c r="GKV110" s="142"/>
      <c r="GKW110" s="142"/>
      <c r="GKX110" s="142"/>
      <c r="GKY110" s="142"/>
      <c r="GKZ110" s="142"/>
      <c r="GLA110" s="142"/>
      <c r="GLB110" s="142"/>
      <c r="GLC110" s="142"/>
      <c r="GLD110" s="142"/>
      <c r="GLE110" s="142"/>
      <c r="GLF110" s="142"/>
      <c r="GLG110" s="142"/>
      <c r="GLH110" s="142"/>
      <c r="GLI110" s="142"/>
      <c r="GLJ110" s="142"/>
      <c r="GLK110" s="142"/>
      <c r="GLL110" s="142"/>
      <c r="GLM110" s="142"/>
      <c r="GLN110" s="142"/>
      <c r="GLO110" s="142"/>
      <c r="GLP110" s="142"/>
      <c r="GLQ110" s="142"/>
      <c r="GLR110" s="142"/>
      <c r="GLS110" s="142"/>
      <c r="GLT110" s="142"/>
      <c r="GLU110" s="142"/>
      <c r="GLV110" s="142"/>
      <c r="GLW110" s="142"/>
      <c r="GLX110" s="142"/>
      <c r="GLY110" s="142"/>
      <c r="GLZ110" s="142"/>
      <c r="GMA110" s="142"/>
      <c r="GMB110" s="142"/>
      <c r="GMC110" s="142"/>
      <c r="GMD110" s="142"/>
      <c r="GME110" s="142"/>
      <c r="GMF110" s="142"/>
      <c r="GMG110" s="142"/>
      <c r="GMH110" s="142"/>
      <c r="GMI110" s="142"/>
      <c r="GMJ110" s="142"/>
      <c r="GMK110" s="142"/>
      <c r="GML110" s="142"/>
      <c r="GMM110" s="142"/>
      <c r="GMN110" s="142"/>
      <c r="GMO110" s="142"/>
      <c r="GMP110" s="142"/>
      <c r="GMQ110" s="142"/>
      <c r="GMR110" s="142"/>
      <c r="GMS110" s="142"/>
      <c r="GMT110" s="142"/>
      <c r="GMU110" s="142"/>
      <c r="GMV110" s="142"/>
      <c r="GMW110" s="142"/>
      <c r="GMX110" s="142"/>
      <c r="GMY110" s="142"/>
      <c r="GMZ110" s="142"/>
      <c r="GNA110" s="142"/>
      <c r="GNB110" s="142"/>
      <c r="GNC110" s="142"/>
      <c r="GND110" s="142"/>
      <c r="GNE110" s="142"/>
      <c r="GNF110" s="142"/>
      <c r="GNG110" s="142"/>
      <c r="GNH110" s="142"/>
      <c r="GNI110" s="142"/>
      <c r="GNJ110" s="142"/>
      <c r="GNK110" s="142"/>
      <c r="GNL110" s="142"/>
      <c r="GNM110" s="142"/>
      <c r="GNN110" s="142"/>
      <c r="GNO110" s="142"/>
      <c r="GNP110" s="142"/>
      <c r="GNQ110" s="142"/>
      <c r="GNR110" s="142"/>
      <c r="GNS110" s="142"/>
      <c r="GNT110" s="142"/>
      <c r="GNU110" s="142"/>
      <c r="GNV110" s="142"/>
      <c r="GNW110" s="142"/>
      <c r="GNX110" s="142"/>
      <c r="GNY110" s="142"/>
      <c r="GNZ110" s="142"/>
      <c r="GOA110" s="142"/>
      <c r="GOB110" s="142"/>
      <c r="GOC110" s="142"/>
      <c r="GOD110" s="142"/>
      <c r="GOE110" s="142"/>
      <c r="GOF110" s="142"/>
      <c r="GOG110" s="142"/>
      <c r="GOH110" s="142"/>
      <c r="GOI110" s="142"/>
      <c r="GOJ110" s="142"/>
      <c r="GOK110" s="142"/>
      <c r="GOL110" s="142"/>
      <c r="GOM110" s="142"/>
      <c r="GON110" s="142"/>
      <c r="GOO110" s="142"/>
      <c r="GOP110" s="142"/>
      <c r="GOQ110" s="142"/>
      <c r="GOR110" s="142"/>
      <c r="GOS110" s="142"/>
      <c r="GOT110" s="142"/>
      <c r="GOU110" s="142"/>
      <c r="GOV110" s="142"/>
      <c r="GOW110" s="142"/>
      <c r="GOX110" s="142"/>
      <c r="GOY110" s="142"/>
      <c r="GOZ110" s="142"/>
      <c r="GPA110" s="142"/>
      <c r="GPB110" s="142"/>
      <c r="GPC110" s="142"/>
      <c r="GPD110" s="142"/>
      <c r="GPE110" s="142"/>
      <c r="GPF110" s="142"/>
      <c r="GPG110" s="142"/>
      <c r="GPH110" s="142"/>
      <c r="GPI110" s="142"/>
      <c r="GPJ110" s="142"/>
      <c r="GPK110" s="142"/>
      <c r="GPL110" s="142"/>
      <c r="GPM110" s="142"/>
      <c r="GPN110" s="142"/>
      <c r="GPO110" s="142"/>
      <c r="GPP110" s="142"/>
      <c r="GPQ110" s="142"/>
      <c r="GPR110" s="142"/>
      <c r="GPS110" s="142"/>
      <c r="GPT110" s="142"/>
      <c r="GPU110" s="142"/>
      <c r="GPV110" s="142"/>
      <c r="GPW110" s="142"/>
      <c r="GPX110" s="142"/>
      <c r="GPY110" s="142"/>
      <c r="GPZ110" s="142"/>
      <c r="GQA110" s="142"/>
      <c r="GQB110" s="142"/>
      <c r="GQC110" s="142"/>
      <c r="GQD110" s="142"/>
      <c r="GQE110" s="142"/>
      <c r="GQF110" s="142"/>
      <c r="GQG110" s="142"/>
      <c r="GQH110" s="142"/>
      <c r="GQI110" s="142"/>
      <c r="GQJ110" s="142"/>
      <c r="GQK110" s="142"/>
      <c r="GQL110" s="142"/>
      <c r="GQM110" s="142"/>
      <c r="GQN110" s="142"/>
      <c r="GQO110" s="142"/>
      <c r="GQP110" s="142"/>
      <c r="GQQ110" s="142"/>
      <c r="GQR110" s="142"/>
      <c r="GQS110" s="142"/>
      <c r="GQT110" s="142"/>
      <c r="GQU110" s="142"/>
      <c r="GQV110" s="142"/>
      <c r="GQW110" s="142"/>
      <c r="GQX110" s="142"/>
      <c r="GQY110" s="142"/>
      <c r="GQZ110" s="142"/>
      <c r="GRA110" s="142"/>
      <c r="GRB110" s="142"/>
      <c r="GRC110" s="142"/>
      <c r="GRD110" s="142"/>
      <c r="GRE110" s="142"/>
      <c r="GRF110" s="142"/>
      <c r="GRG110" s="142"/>
      <c r="GRH110" s="142"/>
      <c r="GRI110" s="142"/>
      <c r="GRJ110" s="142"/>
      <c r="GRK110" s="142"/>
      <c r="GRL110" s="142"/>
      <c r="GRM110" s="142"/>
      <c r="GRN110" s="142"/>
      <c r="GRO110" s="142"/>
      <c r="GRP110" s="142"/>
      <c r="GRQ110" s="142"/>
      <c r="GRR110" s="142"/>
      <c r="GRS110" s="142"/>
      <c r="GRT110" s="142"/>
      <c r="GRU110" s="142"/>
      <c r="GRV110" s="142"/>
      <c r="GRW110" s="142"/>
      <c r="GRX110" s="142"/>
      <c r="GRY110" s="142"/>
      <c r="GRZ110" s="142"/>
      <c r="GSA110" s="142"/>
      <c r="GSB110" s="142"/>
      <c r="GSC110" s="142"/>
      <c r="GSD110" s="142"/>
      <c r="GSE110" s="142"/>
      <c r="GSF110" s="142"/>
      <c r="GSG110" s="142"/>
      <c r="GSH110" s="142"/>
      <c r="GSI110" s="142"/>
      <c r="GSJ110" s="142"/>
      <c r="GSK110" s="142"/>
      <c r="GSL110" s="142"/>
      <c r="GSM110" s="142"/>
      <c r="GSN110" s="142"/>
      <c r="GSO110" s="142"/>
      <c r="GSP110" s="142"/>
      <c r="GSQ110" s="142"/>
      <c r="GSR110" s="142"/>
      <c r="GSS110" s="142"/>
      <c r="GST110" s="142"/>
      <c r="GSU110" s="142"/>
      <c r="GSV110" s="142"/>
      <c r="GSW110" s="142"/>
      <c r="GSX110" s="142"/>
      <c r="GSY110" s="142"/>
      <c r="GSZ110" s="142"/>
      <c r="GTA110" s="142"/>
      <c r="GTB110" s="142"/>
      <c r="GTC110" s="142"/>
      <c r="GTD110" s="142"/>
      <c r="GTE110" s="142"/>
      <c r="GTF110" s="142"/>
      <c r="GTG110" s="142"/>
      <c r="GTH110" s="142"/>
      <c r="GTI110" s="142"/>
      <c r="GTJ110" s="142"/>
      <c r="GTK110" s="142"/>
      <c r="GTL110" s="142"/>
      <c r="GTM110" s="142"/>
      <c r="GTN110" s="142"/>
      <c r="GTO110" s="142"/>
      <c r="GTP110" s="142"/>
      <c r="GTQ110" s="142"/>
      <c r="GTR110" s="142"/>
      <c r="GTS110" s="142"/>
      <c r="GTT110" s="142"/>
      <c r="GTU110" s="142"/>
      <c r="GTV110" s="142"/>
      <c r="GTW110" s="142"/>
      <c r="GTX110" s="142"/>
      <c r="GTY110" s="142"/>
      <c r="GTZ110" s="142"/>
      <c r="GUA110" s="142"/>
      <c r="GUB110" s="142"/>
      <c r="GUC110" s="142"/>
      <c r="GUD110" s="142"/>
      <c r="GUE110" s="142"/>
      <c r="GUF110" s="142"/>
      <c r="GUG110" s="142"/>
      <c r="GUH110" s="142"/>
      <c r="GUI110" s="142"/>
      <c r="GUJ110" s="142"/>
      <c r="GUK110" s="142"/>
      <c r="GUL110" s="142"/>
      <c r="GUM110" s="142"/>
      <c r="GUN110" s="142"/>
      <c r="GUO110" s="142"/>
      <c r="GUP110" s="142"/>
      <c r="GUQ110" s="142"/>
      <c r="GUR110" s="142"/>
      <c r="GUS110" s="142"/>
      <c r="GUT110" s="142"/>
      <c r="GUU110" s="142"/>
      <c r="GUV110" s="142"/>
      <c r="GUW110" s="142"/>
      <c r="GUX110" s="142"/>
      <c r="GUY110" s="142"/>
      <c r="GUZ110" s="142"/>
      <c r="GVA110" s="142"/>
      <c r="GVB110" s="142"/>
      <c r="GVC110" s="142"/>
      <c r="GVD110" s="142"/>
      <c r="GVE110" s="142"/>
      <c r="GVF110" s="142"/>
      <c r="GVG110" s="142"/>
      <c r="GVH110" s="142"/>
      <c r="GVI110" s="142"/>
      <c r="GVJ110" s="142"/>
      <c r="GVK110" s="142"/>
      <c r="GVL110" s="142"/>
      <c r="GVM110" s="142"/>
      <c r="GVN110" s="142"/>
      <c r="GVO110" s="142"/>
      <c r="GVP110" s="142"/>
      <c r="GVQ110" s="142"/>
      <c r="GVR110" s="142"/>
      <c r="GVS110" s="142"/>
      <c r="GVT110" s="142"/>
      <c r="GVU110" s="142"/>
      <c r="GVV110" s="142"/>
      <c r="GVW110" s="142"/>
      <c r="GVX110" s="142"/>
      <c r="GVY110" s="142"/>
      <c r="GVZ110" s="142"/>
      <c r="GWA110" s="142"/>
      <c r="GWB110" s="142"/>
      <c r="GWC110" s="142"/>
      <c r="GWD110" s="142"/>
      <c r="GWE110" s="142"/>
      <c r="GWF110" s="142"/>
      <c r="GWG110" s="142"/>
      <c r="GWH110" s="142"/>
      <c r="GWI110" s="142"/>
      <c r="GWJ110" s="142"/>
      <c r="GWK110" s="142"/>
      <c r="GWL110" s="142"/>
      <c r="GWM110" s="142"/>
      <c r="GWN110" s="142"/>
      <c r="GWO110" s="142"/>
      <c r="GWP110" s="142"/>
      <c r="GWQ110" s="142"/>
      <c r="GWR110" s="142"/>
      <c r="GWS110" s="142"/>
      <c r="GWT110" s="142"/>
      <c r="GWU110" s="142"/>
      <c r="GWV110" s="142"/>
      <c r="GWW110" s="142"/>
      <c r="GWX110" s="142"/>
      <c r="GWY110" s="142"/>
      <c r="GWZ110" s="142"/>
      <c r="GXA110" s="142"/>
      <c r="GXB110" s="142"/>
      <c r="GXC110" s="142"/>
      <c r="GXD110" s="142"/>
      <c r="GXE110" s="142"/>
      <c r="GXF110" s="142"/>
      <c r="GXG110" s="142"/>
      <c r="GXH110" s="142"/>
      <c r="GXI110" s="142"/>
      <c r="GXJ110" s="142"/>
      <c r="GXK110" s="142"/>
      <c r="GXL110" s="142"/>
      <c r="GXM110" s="142"/>
      <c r="GXN110" s="142"/>
      <c r="GXO110" s="142"/>
      <c r="GXP110" s="142"/>
      <c r="GXQ110" s="142"/>
      <c r="GXR110" s="142"/>
      <c r="GXS110" s="142"/>
      <c r="GXT110" s="142"/>
      <c r="GXU110" s="142"/>
      <c r="GXV110" s="142"/>
      <c r="GXW110" s="142"/>
      <c r="GXX110" s="142"/>
      <c r="GXY110" s="142"/>
      <c r="GXZ110" s="142"/>
      <c r="GYA110" s="142"/>
      <c r="GYB110" s="142"/>
      <c r="GYC110" s="142"/>
      <c r="GYD110" s="142"/>
      <c r="GYE110" s="142"/>
      <c r="GYF110" s="142"/>
      <c r="GYG110" s="142"/>
      <c r="GYH110" s="142"/>
      <c r="GYI110" s="142"/>
      <c r="GYJ110" s="142"/>
      <c r="GYK110" s="142"/>
      <c r="GYL110" s="142"/>
      <c r="GYM110" s="142"/>
      <c r="GYN110" s="142"/>
      <c r="GYO110" s="142"/>
      <c r="GYP110" s="142"/>
      <c r="GYQ110" s="142"/>
      <c r="GYR110" s="142"/>
      <c r="GYS110" s="142"/>
      <c r="GYT110" s="142"/>
      <c r="GYU110" s="142"/>
      <c r="GYV110" s="142"/>
      <c r="GYW110" s="142"/>
      <c r="GYX110" s="142"/>
      <c r="GYY110" s="142"/>
      <c r="GYZ110" s="142"/>
      <c r="GZA110" s="142"/>
      <c r="GZB110" s="142"/>
      <c r="GZC110" s="142"/>
      <c r="GZD110" s="142"/>
      <c r="GZE110" s="142"/>
      <c r="GZF110" s="142"/>
      <c r="GZG110" s="142"/>
      <c r="GZH110" s="142"/>
      <c r="GZI110" s="142"/>
      <c r="GZJ110" s="142"/>
      <c r="GZK110" s="142"/>
      <c r="GZL110" s="142"/>
      <c r="GZM110" s="142"/>
      <c r="GZN110" s="142"/>
      <c r="GZO110" s="142"/>
      <c r="GZP110" s="142"/>
      <c r="GZQ110" s="142"/>
      <c r="GZR110" s="142"/>
      <c r="GZS110" s="142"/>
      <c r="GZT110" s="142"/>
      <c r="GZU110" s="142"/>
      <c r="GZV110" s="142"/>
      <c r="GZW110" s="142"/>
      <c r="GZX110" s="142"/>
      <c r="GZY110" s="142"/>
      <c r="GZZ110" s="142"/>
      <c r="HAA110" s="142"/>
      <c r="HAB110" s="142"/>
      <c r="HAC110" s="142"/>
      <c r="HAD110" s="142"/>
      <c r="HAE110" s="142"/>
      <c r="HAF110" s="142"/>
      <c r="HAG110" s="142"/>
      <c r="HAH110" s="142"/>
      <c r="HAI110" s="142"/>
      <c r="HAJ110" s="142"/>
      <c r="HAK110" s="142"/>
      <c r="HAL110" s="142"/>
      <c r="HAM110" s="142"/>
      <c r="HAN110" s="142"/>
      <c r="HAO110" s="142"/>
      <c r="HAP110" s="142"/>
      <c r="HAQ110" s="142"/>
      <c r="HAR110" s="142"/>
      <c r="HAS110" s="142"/>
      <c r="HAT110" s="142"/>
      <c r="HAU110" s="142"/>
      <c r="HAV110" s="142"/>
      <c r="HAW110" s="142"/>
      <c r="HAX110" s="142"/>
      <c r="HAY110" s="142"/>
      <c r="HAZ110" s="142"/>
      <c r="HBA110" s="142"/>
      <c r="HBB110" s="142"/>
      <c r="HBC110" s="142"/>
      <c r="HBD110" s="142"/>
      <c r="HBE110" s="142"/>
      <c r="HBF110" s="142"/>
      <c r="HBG110" s="142"/>
      <c r="HBH110" s="142"/>
      <c r="HBI110" s="142"/>
      <c r="HBJ110" s="142"/>
      <c r="HBK110" s="142"/>
      <c r="HBL110" s="142"/>
      <c r="HBM110" s="142"/>
      <c r="HBN110" s="142"/>
      <c r="HBO110" s="142"/>
      <c r="HBP110" s="142"/>
      <c r="HBQ110" s="142"/>
      <c r="HBR110" s="142"/>
      <c r="HBS110" s="142"/>
      <c r="HBT110" s="142"/>
      <c r="HBU110" s="142"/>
      <c r="HBV110" s="142"/>
      <c r="HBW110" s="142"/>
      <c r="HBX110" s="142"/>
      <c r="HBY110" s="142"/>
      <c r="HBZ110" s="142"/>
      <c r="HCA110" s="142"/>
      <c r="HCB110" s="142"/>
      <c r="HCC110" s="142"/>
      <c r="HCD110" s="142"/>
      <c r="HCE110" s="142"/>
      <c r="HCF110" s="142"/>
      <c r="HCG110" s="142"/>
      <c r="HCH110" s="142"/>
      <c r="HCI110" s="142"/>
      <c r="HCJ110" s="142"/>
      <c r="HCK110" s="142"/>
      <c r="HCL110" s="142"/>
      <c r="HCM110" s="142"/>
      <c r="HCN110" s="142"/>
      <c r="HCO110" s="142"/>
      <c r="HCP110" s="142"/>
      <c r="HCQ110" s="142"/>
      <c r="HCR110" s="142"/>
      <c r="HCS110" s="142"/>
      <c r="HCT110" s="142"/>
      <c r="HCU110" s="142"/>
      <c r="HCV110" s="142"/>
      <c r="HCW110" s="142"/>
      <c r="HCX110" s="142"/>
      <c r="HCY110" s="142"/>
      <c r="HCZ110" s="142"/>
      <c r="HDA110" s="142"/>
      <c r="HDB110" s="142"/>
      <c r="HDC110" s="142"/>
      <c r="HDD110" s="142"/>
      <c r="HDE110" s="142"/>
      <c r="HDF110" s="142"/>
      <c r="HDG110" s="142"/>
      <c r="HDH110" s="142"/>
      <c r="HDI110" s="142"/>
      <c r="HDJ110" s="142"/>
      <c r="HDK110" s="142"/>
      <c r="HDL110" s="142"/>
      <c r="HDM110" s="142"/>
      <c r="HDN110" s="142"/>
      <c r="HDO110" s="142"/>
      <c r="HDP110" s="142"/>
      <c r="HDQ110" s="142"/>
      <c r="HDR110" s="142"/>
      <c r="HDS110" s="142"/>
      <c r="HDT110" s="142"/>
      <c r="HDU110" s="142"/>
      <c r="HDV110" s="142"/>
      <c r="HDW110" s="142"/>
      <c r="HDX110" s="142"/>
      <c r="HDY110" s="142"/>
      <c r="HDZ110" s="142"/>
      <c r="HEA110" s="142"/>
      <c r="HEB110" s="142"/>
      <c r="HEC110" s="142"/>
      <c r="HED110" s="142"/>
      <c r="HEE110" s="142"/>
      <c r="HEF110" s="142"/>
      <c r="HEG110" s="142"/>
      <c r="HEH110" s="142"/>
      <c r="HEI110" s="142"/>
      <c r="HEJ110" s="142"/>
      <c r="HEK110" s="142"/>
      <c r="HEL110" s="142"/>
      <c r="HEM110" s="142"/>
      <c r="HEN110" s="142"/>
      <c r="HEO110" s="142"/>
      <c r="HEP110" s="142"/>
      <c r="HEQ110" s="142"/>
      <c r="HER110" s="142"/>
      <c r="HES110" s="142"/>
      <c r="HET110" s="142"/>
      <c r="HEU110" s="142"/>
      <c r="HEV110" s="142"/>
      <c r="HEW110" s="142"/>
      <c r="HEX110" s="142"/>
      <c r="HEY110" s="142"/>
      <c r="HEZ110" s="142"/>
      <c r="HFA110" s="142"/>
      <c r="HFB110" s="142"/>
      <c r="HFC110" s="142"/>
      <c r="HFD110" s="142"/>
      <c r="HFE110" s="142"/>
      <c r="HFF110" s="142"/>
      <c r="HFG110" s="142"/>
      <c r="HFH110" s="142"/>
      <c r="HFI110" s="142"/>
      <c r="HFJ110" s="142"/>
      <c r="HFK110" s="142"/>
      <c r="HFL110" s="142"/>
      <c r="HFM110" s="142"/>
      <c r="HFN110" s="142"/>
      <c r="HFO110" s="142"/>
      <c r="HFP110" s="142"/>
      <c r="HFQ110" s="142"/>
      <c r="HFR110" s="142"/>
      <c r="HFS110" s="142"/>
      <c r="HFT110" s="142"/>
      <c r="HFU110" s="142"/>
      <c r="HFV110" s="142"/>
      <c r="HFW110" s="142"/>
      <c r="HFX110" s="142"/>
      <c r="HFY110" s="142"/>
      <c r="HFZ110" s="142"/>
      <c r="HGA110" s="142"/>
      <c r="HGB110" s="142"/>
      <c r="HGC110" s="142"/>
      <c r="HGD110" s="142"/>
      <c r="HGE110" s="142"/>
      <c r="HGF110" s="142"/>
      <c r="HGG110" s="142"/>
      <c r="HGH110" s="142"/>
      <c r="HGI110" s="142"/>
      <c r="HGJ110" s="142"/>
      <c r="HGK110" s="142"/>
      <c r="HGL110" s="142"/>
      <c r="HGM110" s="142"/>
      <c r="HGN110" s="142"/>
      <c r="HGO110" s="142"/>
      <c r="HGP110" s="142"/>
      <c r="HGQ110" s="142"/>
      <c r="HGR110" s="142"/>
      <c r="HGS110" s="142"/>
      <c r="HGT110" s="142"/>
      <c r="HGU110" s="142"/>
      <c r="HGV110" s="142"/>
      <c r="HGW110" s="142"/>
      <c r="HGX110" s="142"/>
      <c r="HGY110" s="142"/>
      <c r="HGZ110" s="142"/>
      <c r="HHA110" s="142"/>
      <c r="HHB110" s="142"/>
      <c r="HHC110" s="142"/>
      <c r="HHD110" s="142"/>
      <c r="HHE110" s="142"/>
      <c r="HHF110" s="142"/>
      <c r="HHG110" s="142"/>
      <c r="HHH110" s="142"/>
      <c r="HHI110" s="142"/>
      <c r="HHJ110" s="142"/>
      <c r="HHK110" s="142"/>
      <c r="HHL110" s="142"/>
      <c r="HHM110" s="142"/>
      <c r="HHN110" s="142"/>
      <c r="HHO110" s="142"/>
      <c r="HHP110" s="142"/>
      <c r="HHQ110" s="142"/>
      <c r="HHR110" s="142"/>
      <c r="HHS110" s="142"/>
      <c r="HHT110" s="142"/>
      <c r="HHU110" s="142"/>
      <c r="HHV110" s="142"/>
      <c r="HHW110" s="142"/>
      <c r="HHX110" s="142"/>
      <c r="HHY110" s="142"/>
      <c r="HHZ110" s="142"/>
      <c r="HIA110" s="142"/>
      <c r="HIB110" s="142"/>
      <c r="HIC110" s="142"/>
      <c r="HID110" s="142"/>
      <c r="HIE110" s="142"/>
      <c r="HIF110" s="142"/>
      <c r="HIG110" s="142"/>
      <c r="HIH110" s="142"/>
      <c r="HII110" s="142"/>
      <c r="HIJ110" s="142"/>
      <c r="HIK110" s="142"/>
      <c r="HIL110" s="142"/>
      <c r="HIM110" s="142"/>
      <c r="HIN110" s="142"/>
      <c r="HIO110" s="142"/>
      <c r="HIP110" s="142"/>
      <c r="HIQ110" s="142"/>
      <c r="HIR110" s="142"/>
      <c r="HIS110" s="142"/>
      <c r="HIT110" s="142"/>
      <c r="HIU110" s="142"/>
      <c r="HIV110" s="142"/>
      <c r="HIW110" s="142"/>
      <c r="HIX110" s="142"/>
      <c r="HIY110" s="142"/>
      <c r="HIZ110" s="142"/>
      <c r="HJA110" s="142"/>
      <c r="HJB110" s="142"/>
      <c r="HJC110" s="142"/>
      <c r="HJD110" s="142"/>
      <c r="HJE110" s="142"/>
      <c r="HJF110" s="142"/>
      <c r="HJG110" s="142"/>
      <c r="HJH110" s="142"/>
      <c r="HJI110" s="142"/>
      <c r="HJJ110" s="142"/>
      <c r="HJK110" s="142"/>
      <c r="HJL110" s="142"/>
      <c r="HJM110" s="142"/>
      <c r="HJN110" s="142"/>
      <c r="HJO110" s="142"/>
      <c r="HJP110" s="142"/>
      <c r="HJQ110" s="142"/>
      <c r="HJR110" s="142"/>
      <c r="HJS110" s="142"/>
      <c r="HJT110" s="142"/>
      <c r="HJU110" s="142"/>
      <c r="HJV110" s="142"/>
      <c r="HJW110" s="142"/>
      <c r="HJX110" s="142"/>
      <c r="HJY110" s="142"/>
      <c r="HJZ110" s="142"/>
      <c r="HKA110" s="142"/>
      <c r="HKB110" s="142"/>
      <c r="HKC110" s="142"/>
      <c r="HKD110" s="142"/>
      <c r="HKE110" s="142"/>
      <c r="HKF110" s="142"/>
      <c r="HKG110" s="142"/>
      <c r="HKH110" s="142"/>
      <c r="HKI110" s="142"/>
      <c r="HKJ110" s="142"/>
      <c r="HKK110" s="142"/>
      <c r="HKL110" s="142"/>
      <c r="HKM110" s="142"/>
      <c r="HKN110" s="142"/>
      <c r="HKO110" s="142"/>
      <c r="HKP110" s="142"/>
      <c r="HKQ110" s="142"/>
      <c r="HKR110" s="142"/>
      <c r="HKS110" s="142"/>
      <c r="HKT110" s="142"/>
      <c r="HKU110" s="142"/>
      <c r="HKV110" s="142"/>
      <c r="HKW110" s="142"/>
      <c r="HKX110" s="142"/>
      <c r="HKY110" s="142"/>
      <c r="HKZ110" s="142"/>
      <c r="HLA110" s="142"/>
      <c r="HLB110" s="142"/>
      <c r="HLC110" s="142"/>
      <c r="HLD110" s="142"/>
      <c r="HLE110" s="142"/>
      <c r="HLF110" s="142"/>
      <c r="HLG110" s="142"/>
      <c r="HLH110" s="142"/>
      <c r="HLI110" s="142"/>
      <c r="HLJ110" s="142"/>
      <c r="HLK110" s="142"/>
      <c r="HLL110" s="142"/>
      <c r="HLM110" s="142"/>
      <c r="HLN110" s="142"/>
      <c r="HLO110" s="142"/>
      <c r="HLP110" s="142"/>
      <c r="HLQ110" s="142"/>
      <c r="HLR110" s="142"/>
      <c r="HLS110" s="142"/>
      <c r="HLT110" s="142"/>
      <c r="HLU110" s="142"/>
      <c r="HLV110" s="142"/>
      <c r="HLW110" s="142"/>
      <c r="HLX110" s="142"/>
      <c r="HLY110" s="142"/>
      <c r="HLZ110" s="142"/>
      <c r="HMA110" s="142"/>
      <c r="HMB110" s="142"/>
      <c r="HMC110" s="142"/>
      <c r="HMD110" s="142"/>
      <c r="HME110" s="142"/>
      <c r="HMF110" s="142"/>
      <c r="HMG110" s="142"/>
      <c r="HMH110" s="142"/>
      <c r="HMI110" s="142"/>
      <c r="HMJ110" s="142"/>
      <c r="HMK110" s="142"/>
      <c r="HML110" s="142"/>
      <c r="HMM110" s="142"/>
      <c r="HMN110" s="142"/>
      <c r="HMO110" s="142"/>
      <c r="HMP110" s="142"/>
      <c r="HMQ110" s="142"/>
      <c r="HMR110" s="142"/>
      <c r="HMS110" s="142"/>
      <c r="HMT110" s="142"/>
      <c r="HMU110" s="142"/>
      <c r="HMV110" s="142"/>
      <c r="HMW110" s="142"/>
      <c r="HMX110" s="142"/>
      <c r="HMY110" s="142"/>
      <c r="HMZ110" s="142"/>
      <c r="HNA110" s="142"/>
      <c r="HNB110" s="142"/>
      <c r="HNC110" s="142"/>
      <c r="HND110" s="142"/>
      <c r="HNE110" s="142"/>
      <c r="HNF110" s="142"/>
      <c r="HNG110" s="142"/>
      <c r="HNH110" s="142"/>
      <c r="HNI110" s="142"/>
      <c r="HNJ110" s="142"/>
      <c r="HNK110" s="142"/>
      <c r="HNL110" s="142"/>
      <c r="HNM110" s="142"/>
      <c r="HNN110" s="142"/>
      <c r="HNO110" s="142"/>
      <c r="HNP110" s="142"/>
      <c r="HNQ110" s="142"/>
      <c r="HNR110" s="142"/>
      <c r="HNS110" s="142"/>
      <c r="HNT110" s="142"/>
      <c r="HNU110" s="142"/>
      <c r="HNV110" s="142"/>
      <c r="HNW110" s="142"/>
      <c r="HNX110" s="142"/>
      <c r="HNY110" s="142"/>
      <c r="HNZ110" s="142"/>
      <c r="HOA110" s="142"/>
      <c r="HOB110" s="142"/>
      <c r="HOC110" s="142"/>
      <c r="HOD110" s="142"/>
      <c r="HOE110" s="142"/>
      <c r="HOF110" s="142"/>
      <c r="HOG110" s="142"/>
      <c r="HOH110" s="142"/>
      <c r="HOI110" s="142"/>
      <c r="HOJ110" s="142"/>
      <c r="HOK110" s="142"/>
      <c r="HOL110" s="142"/>
      <c r="HOM110" s="142"/>
      <c r="HON110" s="142"/>
      <c r="HOO110" s="142"/>
      <c r="HOP110" s="142"/>
      <c r="HOQ110" s="142"/>
      <c r="HOR110" s="142"/>
      <c r="HOS110" s="142"/>
      <c r="HOT110" s="142"/>
      <c r="HOU110" s="142"/>
      <c r="HOV110" s="142"/>
      <c r="HOW110" s="142"/>
      <c r="HOX110" s="142"/>
      <c r="HOY110" s="142"/>
      <c r="HOZ110" s="142"/>
      <c r="HPA110" s="142"/>
      <c r="HPB110" s="142"/>
      <c r="HPC110" s="142"/>
      <c r="HPD110" s="142"/>
      <c r="HPE110" s="142"/>
      <c r="HPF110" s="142"/>
      <c r="HPG110" s="142"/>
      <c r="HPH110" s="142"/>
      <c r="HPI110" s="142"/>
      <c r="HPJ110" s="142"/>
      <c r="HPK110" s="142"/>
      <c r="HPL110" s="142"/>
      <c r="HPM110" s="142"/>
      <c r="HPN110" s="142"/>
      <c r="HPO110" s="142"/>
      <c r="HPP110" s="142"/>
      <c r="HPQ110" s="142"/>
      <c r="HPR110" s="142"/>
      <c r="HPS110" s="142"/>
      <c r="HPT110" s="142"/>
      <c r="HPU110" s="142"/>
      <c r="HPV110" s="142"/>
      <c r="HPW110" s="142"/>
      <c r="HPX110" s="142"/>
      <c r="HPY110" s="142"/>
      <c r="HPZ110" s="142"/>
      <c r="HQA110" s="142"/>
      <c r="HQB110" s="142"/>
      <c r="HQC110" s="142"/>
      <c r="HQD110" s="142"/>
      <c r="HQE110" s="142"/>
      <c r="HQF110" s="142"/>
      <c r="HQG110" s="142"/>
      <c r="HQH110" s="142"/>
      <c r="HQI110" s="142"/>
      <c r="HQJ110" s="142"/>
      <c r="HQK110" s="142"/>
      <c r="HQL110" s="142"/>
      <c r="HQM110" s="142"/>
      <c r="HQN110" s="142"/>
      <c r="HQO110" s="142"/>
      <c r="HQP110" s="142"/>
      <c r="HQQ110" s="142"/>
      <c r="HQR110" s="142"/>
      <c r="HQS110" s="142"/>
      <c r="HQT110" s="142"/>
      <c r="HQU110" s="142"/>
      <c r="HQV110" s="142"/>
      <c r="HQW110" s="142"/>
      <c r="HQX110" s="142"/>
      <c r="HQY110" s="142"/>
      <c r="HQZ110" s="142"/>
      <c r="HRA110" s="142"/>
      <c r="HRB110" s="142"/>
      <c r="HRC110" s="142"/>
      <c r="HRD110" s="142"/>
      <c r="HRE110" s="142"/>
      <c r="HRF110" s="142"/>
      <c r="HRG110" s="142"/>
      <c r="HRH110" s="142"/>
      <c r="HRI110" s="142"/>
      <c r="HRJ110" s="142"/>
      <c r="HRK110" s="142"/>
      <c r="HRL110" s="142"/>
      <c r="HRM110" s="142"/>
      <c r="HRN110" s="142"/>
      <c r="HRO110" s="142"/>
      <c r="HRP110" s="142"/>
      <c r="HRQ110" s="142"/>
      <c r="HRR110" s="142"/>
      <c r="HRS110" s="142"/>
      <c r="HRT110" s="142"/>
      <c r="HRU110" s="142"/>
      <c r="HRV110" s="142"/>
      <c r="HRW110" s="142"/>
      <c r="HRX110" s="142"/>
      <c r="HRY110" s="142"/>
      <c r="HRZ110" s="142"/>
      <c r="HSA110" s="142"/>
      <c r="HSB110" s="142"/>
      <c r="HSC110" s="142"/>
      <c r="HSD110" s="142"/>
      <c r="HSE110" s="142"/>
      <c r="HSF110" s="142"/>
      <c r="HSG110" s="142"/>
      <c r="HSH110" s="142"/>
      <c r="HSI110" s="142"/>
      <c r="HSJ110" s="142"/>
      <c r="HSK110" s="142"/>
      <c r="HSL110" s="142"/>
      <c r="HSM110" s="142"/>
      <c r="HSN110" s="142"/>
      <c r="HSO110" s="142"/>
      <c r="HSP110" s="142"/>
      <c r="HSQ110" s="142"/>
      <c r="HSR110" s="142"/>
      <c r="HSS110" s="142"/>
      <c r="HST110" s="142"/>
      <c r="HSU110" s="142"/>
      <c r="HSV110" s="142"/>
      <c r="HSW110" s="142"/>
      <c r="HSX110" s="142"/>
      <c r="HSY110" s="142"/>
      <c r="HSZ110" s="142"/>
      <c r="HTA110" s="142"/>
      <c r="HTB110" s="142"/>
      <c r="HTC110" s="142"/>
      <c r="HTD110" s="142"/>
      <c r="HTE110" s="142"/>
      <c r="HTF110" s="142"/>
      <c r="HTG110" s="142"/>
      <c r="HTH110" s="142"/>
      <c r="HTI110" s="142"/>
      <c r="HTJ110" s="142"/>
      <c r="HTK110" s="142"/>
      <c r="HTL110" s="142"/>
      <c r="HTM110" s="142"/>
      <c r="HTN110" s="142"/>
      <c r="HTO110" s="142"/>
      <c r="HTP110" s="142"/>
      <c r="HTQ110" s="142"/>
      <c r="HTR110" s="142"/>
      <c r="HTS110" s="142"/>
      <c r="HTT110" s="142"/>
      <c r="HTU110" s="142"/>
      <c r="HTV110" s="142"/>
      <c r="HTW110" s="142"/>
      <c r="HTX110" s="142"/>
      <c r="HTY110" s="142"/>
      <c r="HTZ110" s="142"/>
      <c r="HUA110" s="142"/>
      <c r="HUB110" s="142"/>
      <c r="HUC110" s="142"/>
      <c r="HUD110" s="142"/>
      <c r="HUE110" s="142"/>
      <c r="HUF110" s="142"/>
      <c r="HUG110" s="142"/>
      <c r="HUH110" s="142"/>
      <c r="HUI110" s="142"/>
      <c r="HUJ110" s="142"/>
      <c r="HUK110" s="142"/>
      <c r="HUL110" s="142"/>
      <c r="HUM110" s="142"/>
      <c r="HUN110" s="142"/>
      <c r="HUO110" s="142"/>
      <c r="HUP110" s="142"/>
      <c r="HUQ110" s="142"/>
      <c r="HUR110" s="142"/>
      <c r="HUS110" s="142"/>
      <c r="HUT110" s="142"/>
      <c r="HUU110" s="142"/>
      <c r="HUV110" s="142"/>
      <c r="HUW110" s="142"/>
      <c r="HUX110" s="142"/>
      <c r="HUY110" s="142"/>
      <c r="HUZ110" s="142"/>
      <c r="HVA110" s="142"/>
      <c r="HVB110" s="142"/>
      <c r="HVC110" s="142"/>
      <c r="HVD110" s="142"/>
      <c r="HVE110" s="142"/>
      <c r="HVF110" s="142"/>
      <c r="HVG110" s="142"/>
      <c r="HVH110" s="142"/>
      <c r="HVI110" s="142"/>
      <c r="HVJ110" s="142"/>
      <c r="HVK110" s="142"/>
      <c r="HVL110" s="142"/>
      <c r="HVM110" s="142"/>
      <c r="HVN110" s="142"/>
      <c r="HVO110" s="142"/>
      <c r="HVP110" s="142"/>
      <c r="HVQ110" s="142"/>
      <c r="HVR110" s="142"/>
      <c r="HVS110" s="142"/>
      <c r="HVT110" s="142"/>
      <c r="HVU110" s="142"/>
      <c r="HVV110" s="142"/>
      <c r="HVW110" s="142"/>
      <c r="HVX110" s="142"/>
      <c r="HVY110" s="142"/>
      <c r="HVZ110" s="142"/>
      <c r="HWA110" s="142"/>
      <c r="HWB110" s="142"/>
      <c r="HWC110" s="142"/>
      <c r="HWD110" s="142"/>
      <c r="HWE110" s="142"/>
      <c r="HWF110" s="142"/>
      <c r="HWG110" s="142"/>
      <c r="HWH110" s="142"/>
      <c r="HWI110" s="142"/>
      <c r="HWJ110" s="142"/>
      <c r="HWK110" s="142"/>
      <c r="HWL110" s="142"/>
      <c r="HWM110" s="142"/>
      <c r="HWN110" s="142"/>
      <c r="HWO110" s="142"/>
      <c r="HWP110" s="142"/>
      <c r="HWQ110" s="142"/>
      <c r="HWR110" s="142"/>
      <c r="HWS110" s="142"/>
      <c r="HWT110" s="142"/>
      <c r="HWU110" s="142"/>
      <c r="HWV110" s="142"/>
      <c r="HWW110" s="142"/>
      <c r="HWX110" s="142"/>
      <c r="HWY110" s="142"/>
      <c r="HWZ110" s="142"/>
      <c r="HXA110" s="142"/>
      <c r="HXB110" s="142"/>
      <c r="HXC110" s="142"/>
      <c r="HXD110" s="142"/>
      <c r="HXE110" s="142"/>
      <c r="HXF110" s="142"/>
      <c r="HXG110" s="142"/>
      <c r="HXH110" s="142"/>
      <c r="HXI110" s="142"/>
      <c r="HXJ110" s="142"/>
      <c r="HXK110" s="142"/>
      <c r="HXL110" s="142"/>
      <c r="HXM110" s="142"/>
      <c r="HXN110" s="142"/>
      <c r="HXO110" s="142"/>
      <c r="HXP110" s="142"/>
      <c r="HXQ110" s="142"/>
      <c r="HXR110" s="142"/>
      <c r="HXS110" s="142"/>
      <c r="HXT110" s="142"/>
      <c r="HXU110" s="142"/>
      <c r="HXV110" s="142"/>
      <c r="HXW110" s="142"/>
      <c r="HXX110" s="142"/>
      <c r="HXY110" s="142"/>
      <c r="HXZ110" s="142"/>
      <c r="HYA110" s="142"/>
      <c r="HYB110" s="142"/>
      <c r="HYC110" s="142"/>
      <c r="HYD110" s="142"/>
      <c r="HYE110" s="142"/>
      <c r="HYF110" s="142"/>
      <c r="HYG110" s="142"/>
      <c r="HYH110" s="142"/>
      <c r="HYI110" s="142"/>
      <c r="HYJ110" s="142"/>
      <c r="HYK110" s="142"/>
      <c r="HYL110" s="142"/>
      <c r="HYM110" s="142"/>
      <c r="HYN110" s="142"/>
      <c r="HYO110" s="142"/>
      <c r="HYP110" s="142"/>
      <c r="HYQ110" s="142"/>
      <c r="HYR110" s="142"/>
      <c r="HYS110" s="142"/>
      <c r="HYT110" s="142"/>
      <c r="HYU110" s="142"/>
      <c r="HYV110" s="142"/>
      <c r="HYW110" s="142"/>
      <c r="HYX110" s="142"/>
      <c r="HYY110" s="142"/>
      <c r="HYZ110" s="142"/>
      <c r="HZA110" s="142"/>
      <c r="HZB110" s="142"/>
      <c r="HZC110" s="142"/>
      <c r="HZD110" s="142"/>
      <c r="HZE110" s="142"/>
      <c r="HZF110" s="142"/>
      <c r="HZG110" s="142"/>
      <c r="HZH110" s="142"/>
      <c r="HZI110" s="142"/>
      <c r="HZJ110" s="142"/>
      <c r="HZK110" s="142"/>
      <c r="HZL110" s="142"/>
      <c r="HZM110" s="142"/>
      <c r="HZN110" s="142"/>
      <c r="HZO110" s="142"/>
      <c r="HZP110" s="142"/>
      <c r="HZQ110" s="142"/>
      <c r="HZR110" s="142"/>
      <c r="HZS110" s="142"/>
      <c r="HZT110" s="142"/>
      <c r="HZU110" s="142"/>
      <c r="HZV110" s="142"/>
      <c r="HZW110" s="142"/>
      <c r="HZX110" s="142"/>
      <c r="HZY110" s="142"/>
      <c r="HZZ110" s="142"/>
      <c r="IAA110" s="142"/>
      <c r="IAB110" s="142"/>
      <c r="IAC110" s="142"/>
      <c r="IAD110" s="142"/>
      <c r="IAE110" s="142"/>
      <c r="IAF110" s="142"/>
      <c r="IAG110" s="142"/>
      <c r="IAH110" s="142"/>
      <c r="IAI110" s="142"/>
      <c r="IAJ110" s="142"/>
      <c r="IAK110" s="142"/>
      <c r="IAL110" s="142"/>
      <c r="IAM110" s="142"/>
      <c r="IAN110" s="142"/>
      <c r="IAO110" s="142"/>
      <c r="IAP110" s="142"/>
      <c r="IAQ110" s="142"/>
      <c r="IAR110" s="142"/>
      <c r="IAS110" s="142"/>
      <c r="IAT110" s="142"/>
      <c r="IAU110" s="142"/>
      <c r="IAV110" s="142"/>
      <c r="IAW110" s="142"/>
      <c r="IAX110" s="142"/>
      <c r="IAY110" s="142"/>
      <c r="IAZ110" s="142"/>
      <c r="IBA110" s="142"/>
      <c r="IBB110" s="142"/>
      <c r="IBC110" s="142"/>
      <c r="IBD110" s="142"/>
      <c r="IBE110" s="142"/>
      <c r="IBF110" s="142"/>
      <c r="IBG110" s="142"/>
      <c r="IBH110" s="142"/>
      <c r="IBI110" s="142"/>
      <c r="IBJ110" s="142"/>
      <c r="IBK110" s="142"/>
      <c r="IBL110" s="142"/>
      <c r="IBM110" s="142"/>
      <c r="IBN110" s="142"/>
      <c r="IBO110" s="142"/>
      <c r="IBP110" s="142"/>
      <c r="IBQ110" s="142"/>
      <c r="IBR110" s="142"/>
      <c r="IBS110" s="142"/>
      <c r="IBT110" s="142"/>
      <c r="IBU110" s="142"/>
      <c r="IBV110" s="142"/>
      <c r="IBW110" s="142"/>
      <c r="IBX110" s="142"/>
      <c r="IBY110" s="142"/>
      <c r="IBZ110" s="142"/>
      <c r="ICA110" s="142"/>
      <c r="ICB110" s="142"/>
      <c r="ICC110" s="142"/>
      <c r="ICD110" s="142"/>
      <c r="ICE110" s="142"/>
      <c r="ICF110" s="142"/>
      <c r="ICG110" s="142"/>
      <c r="ICH110" s="142"/>
      <c r="ICI110" s="142"/>
      <c r="ICJ110" s="142"/>
      <c r="ICK110" s="142"/>
      <c r="ICL110" s="142"/>
      <c r="ICM110" s="142"/>
      <c r="ICN110" s="142"/>
      <c r="ICO110" s="142"/>
      <c r="ICP110" s="142"/>
      <c r="ICQ110" s="142"/>
      <c r="ICR110" s="142"/>
      <c r="ICS110" s="142"/>
      <c r="ICT110" s="142"/>
      <c r="ICU110" s="142"/>
      <c r="ICV110" s="142"/>
      <c r="ICW110" s="142"/>
      <c r="ICX110" s="142"/>
      <c r="ICY110" s="142"/>
      <c r="ICZ110" s="142"/>
      <c r="IDA110" s="142"/>
      <c r="IDB110" s="142"/>
      <c r="IDC110" s="142"/>
      <c r="IDD110" s="142"/>
      <c r="IDE110" s="142"/>
      <c r="IDF110" s="142"/>
      <c r="IDG110" s="142"/>
      <c r="IDH110" s="142"/>
      <c r="IDI110" s="142"/>
      <c r="IDJ110" s="142"/>
      <c r="IDK110" s="142"/>
      <c r="IDL110" s="142"/>
      <c r="IDM110" s="142"/>
      <c r="IDN110" s="142"/>
      <c r="IDO110" s="142"/>
      <c r="IDP110" s="142"/>
      <c r="IDQ110" s="142"/>
      <c r="IDR110" s="142"/>
      <c r="IDS110" s="142"/>
      <c r="IDT110" s="142"/>
      <c r="IDU110" s="142"/>
      <c r="IDV110" s="142"/>
      <c r="IDW110" s="142"/>
      <c r="IDX110" s="142"/>
      <c r="IDY110" s="142"/>
      <c r="IDZ110" s="142"/>
      <c r="IEA110" s="142"/>
      <c r="IEB110" s="142"/>
      <c r="IEC110" s="142"/>
      <c r="IED110" s="142"/>
      <c r="IEE110" s="142"/>
      <c r="IEF110" s="142"/>
      <c r="IEG110" s="142"/>
      <c r="IEH110" s="142"/>
      <c r="IEI110" s="142"/>
      <c r="IEJ110" s="142"/>
      <c r="IEK110" s="142"/>
      <c r="IEL110" s="142"/>
      <c r="IEM110" s="142"/>
      <c r="IEN110" s="142"/>
      <c r="IEO110" s="142"/>
      <c r="IEP110" s="142"/>
      <c r="IEQ110" s="142"/>
      <c r="IER110" s="142"/>
      <c r="IES110" s="142"/>
      <c r="IET110" s="142"/>
      <c r="IEU110" s="142"/>
      <c r="IEV110" s="142"/>
      <c r="IEW110" s="142"/>
      <c r="IEX110" s="142"/>
      <c r="IEY110" s="142"/>
      <c r="IEZ110" s="142"/>
      <c r="IFA110" s="142"/>
      <c r="IFB110" s="142"/>
      <c r="IFC110" s="142"/>
      <c r="IFD110" s="142"/>
      <c r="IFE110" s="142"/>
      <c r="IFF110" s="142"/>
      <c r="IFG110" s="142"/>
      <c r="IFH110" s="142"/>
      <c r="IFI110" s="142"/>
      <c r="IFJ110" s="142"/>
      <c r="IFK110" s="142"/>
      <c r="IFL110" s="142"/>
      <c r="IFM110" s="142"/>
      <c r="IFN110" s="142"/>
      <c r="IFO110" s="142"/>
      <c r="IFP110" s="142"/>
      <c r="IFQ110" s="142"/>
      <c r="IFR110" s="142"/>
      <c r="IFS110" s="142"/>
      <c r="IFT110" s="142"/>
      <c r="IFU110" s="142"/>
      <c r="IFV110" s="142"/>
      <c r="IFW110" s="142"/>
      <c r="IFX110" s="142"/>
      <c r="IFY110" s="142"/>
      <c r="IFZ110" s="142"/>
      <c r="IGA110" s="142"/>
      <c r="IGB110" s="142"/>
      <c r="IGC110" s="142"/>
      <c r="IGD110" s="142"/>
      <c r="IGE110" s="142"/>
      <c r="IGF110" s="142"/>
      <c r="IGG110" s="142"/>
      <c r="IGH110" s="142"/>
      <c r="IGI110" s="142"/>
      <c r="IGJ110" s="142"/>
      <c r="IGK110" s="142"/>
      <c r="IGL110" s="142"/>
      <c r="IGM110" s="142"/>
      <c r="IGN110" s="142"/>
      <c r="IGO110" s="142"/>
      <c r="IGP110" s="142"/>
      <c r="IGQ110" s="142"/>
      <c r="IGR110" s="142"/>
      <c r="IGS110" s="142"/>
      <c r="IGT110" s="142"/>
      <c r="IGU110" s="142"/>
      <c r="IGV110" s="142"/>
      <c r="IGW110" s="142"/>
      <c r="IGX110" s="142"/>
      <c r="IGY110" s="142"/>
      <c r="IGZ110" s="142"/>
      <c r="IHA110" s="142"/>
      <c r="IHB110" s="142"/>
      <c r="IHC110" s="142"/>
      <c r="IHD110" s="142"/>
      <c r="IHE110" s="142"/>
      <c r="IHF110" s="142"/>
      <c r="IHG110" s="142"/>
      <c r="IHH110" s="142"/>
      <c r="IHI110" s="142"/>
      <c r="IHJ110" s="142"/>
      <c r="IHK110" s="142"/>
      <c r="IHL110" s="142"/>
      <c r="IHM110" s="142"/>
      <c r="IHN110" s="142"/>
      <c r="IHO110" s="142"/>
      <c r="IHP110" s="142"/>
      <c r="IHQ110" s="142"/>
      <c r="IHR110" s="142"/>
      <c r="IHS110" s="142"/>
      <c r="IHT110" s="142"/>
      <c r="IHU110" s="142"/>
      <c r="IHV110" s="142"/>
      <c r="IHW110" s="142"/>
      <c r="IHX110" s="142"/>
      <c r="IHY110" s="142"/>
      <c r="IHZ110" s="142"/>
      <c r="IIA110" s="142"/>
      <c r="IIB110" s="142"/>
      <c r="IIC110" s="142"/>
      <c r="IID110" s="142"/>
      <c r="IIE110" s="142"/>
      <c r="IIF110" s="142"/>
      <c r="IIG110" s="142"/>
      <c r="IIH110" s="142"/>
      <c r="III110" s="142"/>
      <c r="IIJ110" s="142"/>
      <c r="IIK110" s="142"/>
      <c r="IIL110" s="142"/>
      <c r="IIM110" s="142"/>
      <c r="IIN110" s="142"/>
      <c r="IIO110" s="142"/>
      <c r="IIP110" s="142"/>
      <c r="IIQ110" s="142"/>
      <c r="IIR110" s="142"/>
      <c r="IIS110" s="142"/>
      <c r="IIT110" s="142"/>
      <c r="IIU110" s="142"/>
      <c r="IIV110" s="142"/>
      <c r="IIW110" s="142"/>
      <c r="IIX110" s="142"/>
      <c r="IIY110" s="142"/>
      <c r="IIZ110" s="142"/>
      <c r="IJA110" s="142"/>
      <c r="IJB110" s="142"/>
      <c r="IJC110" s="142"/>
      <c r="IJD110" s="142"/>
      <c r="IJE110" s="142"/>
      <c r="IJF110" s="142"/>
      <c r="IJG110" s="142"/>
      <c r="IJH110" s="142"/>
      <c r="IJI110" s="142"/>
      <c r="IJJ110" s="142"/>
      <c r="IJK110" s="142"/>
      <c r="IJL110" s="142"/>
      <c r="IJM110" s="142"/>
      <c r="IJN110" s="142"/>
      <c r="IJO110" s="142"/>
      <c r="IJP110" s="142"/>
      <c r="IJQ110" s="142"/>
      <c r="IJR110" s="142"/>
      <c r="IJS110" s="142"/>
      <c r="IJT110" s="142"/>
      <c r="IJU110" s="142"/>
      <c r="IJV110" s="142"/>
      <c r="IJW110" s="142"/>
      <c r="IJX110" s="142"/>
      <c r="IJY110" s="142"/>
      <c r="IJZ110" s="142"/>
      <c r="IKA110" s="142"/>
      <c r="IKB110" s="142"/>
      <c r="IKC110" s="142"/>
      <c r="IKD110" s="142"/>
      <c r="IKE110" s="142"/>
      <c r="IKF110" s="142"/>
      <c r="IKG110" s="142"/>
      <c r="IKH110" s="142"/>
      <c r="IKI110" s="142"/>
      <c r="IKJ110" s="142"/>
      <c r="IKK110" s="142"/>
      <c r="IKL110" s="142"/>
      <c r="IKM110" s="142"/>
      <c r="IKN110" s="142"/>
      <c r="IKO110" s="142"/>
      <c r="IKP110" s="142"/>
      <c r="IKQ110" s="142"/>
      <c r="IKR110" s="142"/>
      <c r="IKS110" s="142"/>
      <c r="IKT110" s="142"/>
      <c r="IKU110" s="142"/>
      <c r="IKV110" s="142"/>
      <c r="IKW110" s="142"/>
      <c r="IKX110" s="142"/>
      <c r="IKY110" s="142"/>
      <c r="IKZ110" s="142"/>
      <c r="ILA110" s="142"/>
      <c r="ILB110" s="142"/>
      <c r="ILC110" s="142"/>
      <c r="ILD110" s="142"/>
      <c r="ILE110" s="142"/>
      <c r="ILF110" s="142"/>
      <c r="ILG110" s="142"/>
      <c r="ILH110" s="142"/>
      <c r="ILI110" s="142"/>
      <c r="ILJ110" s="142"/>
      <c r="ILK110" s="142"/>
      <c r="ILL110" s="142"/>
      <c r="ILM110" s="142"/>
      <c r="ILN110" s="142"/>
      <c r="ILO110" s="142"/>
      <c r="ILP110" s="142"/>
      <c r="ILQ110" s="142"/>
      <c r="ILR110" s="142"/>
      <c r="ILS110" s="142"/>
      <c r="ILT110" s="142"/>
      <c r="ILU110" s="142"/>
      <c r="ILV110" s="142"/>
      <c r="ILW110" s="142"/>
      <c r="ILX110" s="142"/>
      <c r="ILY110" s="142"/>
      <c r="ILZ110" s="142"/>
      <c r="IMA110" s="142"/>
      <c r="IMB110" s="142"/>
      <c r="IMC110" s="142"/>
      <c r="IMD110" s="142"/>
      <c r="IME110" s="142"/>
      <c r="IMF110" s="142"/>
      <c r="IMG110" s="142"/>
      <c r="IMH110" s="142"/>
      <c r="IMI110" s="142"/>
      <c r="IMJ110" s="142"/>
      <c r="IMK110" s="142"/>
      <c r="IML110" s="142"/>
      <c r="IMM110" s="142"/>
      <c r="IMN110" s="142"/>
      <c r="IMO110" s="142"/>
      <c r="IMP110" s="142"/>
      <c r="IMQ110" s="142"/>
      <c r="IMR110" s="142"/>
      <c r="IMS110" s="142"/>
      <c r="IMT110" s="142"/>
      <c r="IMU110" s="142"/>
      <c r="IMV110" s="142"/>
      <c r="IMW110" s="142"/>
      <c r="IMX110" s="142"/>
      <c r="IMY110" s="142"/>
      <c r="IMZ110" s="142"/>
      <c r="INA110" s="142"/>
      <c r="INB110" s="142"/>
      <c r="INC110" s="142"/>
      <c r="IND110" s="142"/>
      <c r="INE110" s="142"/>
      <c r="INF110" s="142"/>
      <c r="ING110" s="142"/>
      <c r="INH110" s="142"/>
      <c r="INI110" s="142"/>
      <c r="INJ110" s="142"/>
      <c r="INK110" s="142"/>
      <c r="INL110" s="142"/>
      <c r="INM110" s="142"/>
      <c r="INN110" s="142"/>
      <c r="INO110" s="142"/>
      <c r="INP110" s="142"/>
      <c r="INQ110" s="142"/>
      <c r="INR110" s="142"/>
      <c r="INS110" s="142"/>
      <c r="INT110" s="142"/>
      <c r="INU110" s="142"/>
      <c r="INV110" s="142"/>
      <c r="INW110" s="142"/>
      <c r="INX110" s="142"/>
      <c r="INY110" s="142"/>
      <c r="INZ110" s="142"/>
      <c r="IOA110" s="142"/>
      <c r="IOB110" s="142"/>
      <c r="IOC110" s="142"/>
      <c r="IOD110" s="142"/>
      <c r="IOE110" s="142"/>
      <c r="IOF110" s="142"/>
      <c r="IOG110" s="142"/>
      <c r="IOH110" s="142"/>
      <c r="IOI110" s="142"/>
      <c r="IOJ110" s="142"/>
      <c r="IOK110" s="142"/>
      <c r="IOL110" s="142"/>
      <c r="IOM110" s="142"/>
      <c r="ION110" s="142"/>
      <c r="IOO110" s="142"/>
      <c r="IOP110" s="142"/>
      <c r="IOQ110" s="142"/>
      <c r="IOR110" s="142"/>
      <c r="IOS110" s="142"/>
      <c r="IOT110" s="142"/>
      <c r="IOU110" s="142"/>
      <c r="IOV110" s="142"/>
      <c r="IOW110" s="142"/>
      <c r="IOX110" s="142"/>
      <c r="IOY110" s="142"/>
      <c r="IOZ110" s="142"/>
      <c r="IPA110" s="142"/>
      <c r="IPB110" s="142"/>
      <c r="IPC110" s="142"/>
      <c r="IPD110" s="142"/>
      <c r="IPE110" s="142"/>
      <c r="IPF110" s="142"/>
      <c r="IPG110" s="142"/>
      <c r="IPH110" s="142"/>
      <c r="IPI110" s="142"/>
      <c r="IPJ110" s="142"/>
      <c r="IPK110" s="142"/>
      <c r="IPL110" s="142"/>
      <c r="IPM110" s="142"/>
      <c r="IPN110" s="142"/>
      <c r="IPO110" s="142"/>
      <c r="IPP110" s="142"/>
      <c r="IPQ110" s="142"/>
      <c r="IPR110" s="142"/>
      <c r="IPS110" s="142"/>
      <c r="IPT110" s="142"/>
      <c r="IPU110" s="142"/>
      <c r="IPV110" s="142"/>
      <c r="IPW110" s="142"/>
      <c r="IPX110" s="142"/>
      <c r="IPY110" s="142"/>
      <c r="IPZ110" s="142"/>
      <c r="IQA110" s="142"/>
      <c r="IQB110" s="142"/>
      <c r="IQC110" s="142"/>
      <c r="IQD110" s="142"/>
      <c r="IQE110" s="142"/>
      <c r="IQF110" s="142"/>
      <c r="IQG110" s="142"/>
      <c r="IQH110" s="142"/>
      <c r="IQI110" s="142"/>
      <c r="IQJ110" s="142"/>
      <c r="IQK110" s="142"/>
      <c r="IQL110" s="142"/>
      <c r="IQM110" s="142"/>
      <c r="IQN110" s="142"/>
      <c r="IQO110" s="142"/>
      <c r="IQP110" s="142"/>
      <c r="IQQ110" s="142"/>
      <c r="IQR110" s="142"/>
      <c r="IQS110" s="142"/>
      <c r="IQT110" s="142"/>
      <c r="IQU110" s="142"/>
      <c r="IQV110" s="142"/>
      <c r="IQW110" s="142"/>
      <c r="IQX110" s="142"/>
      <c r="IQY110" s="142"/>
      <c r="IQZ110" s="142"/>
      <c r="IRA110" s="142"/>
      <c r="IRB110" s="142"/>
      <c r="IRC110" s="142"/>
      <c r="IRD110" s="142"/>
      <c r="IRE110" s="142"/>
      <c r="IRF110" s="142"/>
      <c r="IRG110" s="142"/>
      <c r="IRH110" s="142"/>
      <c r="IRI110" s="142"/>
      <c r="IRJ110" s="142"/>
      <c r="IRK110" s="142"/>
      <c r="IRL110" s="142"/>
      <c r="IRM110" s="142"/>
      <c r="IRN110" s="142"/>
      <c r="IRO110" s="142"/>
      <c r="IRP110" s="142"/>
      <c r="IRQ110" s="142"/>
      <c r="IRR110" s="142"/>
      <c r="IRS110" s="142"/>
      <c r="IRT110" s="142"/>
      <c r="IRU110" s="142"/>
      <c r="IRV110" s="142"/>
      <c r="IRW110" s="142"/>
      <c r="IRX110" s="142"/>
      <c r="IRY110" s="142"/>
      <c r="IRZ110" s="142"/>
      <c r="ISA110" s="142"/>
      <c r="ISB110" s="142"/>
      <c r="ISC110" s="142"/>
      <c r="ISD110" s="142"/>
      <c r="ISE110" s="142"/>
      <c r="ISF110" s="142"/>
      <c r="ISG110" s="142"/>
      <c r="ISH110" s="142"/>
      <c r="ISI110" s="142"/>
      <c r="ISJ110" s="142"/>
      <c r="ISK110" s="142"/>
      <c r="ISL110" s="142"/>
      <c r="ISM110" s="142"/>
      <c r="ISN110" s="142"/>
      <c r="ISO110" s="142"/>
      <c r="ISP110" s="142"/>
      <c r="ISQ110" s="142"/>
      <c r="ISR110" s="142"/>
      <c r="ISS110" s="142"/>
      <c r="IST110" s="142"/>
      <c r="ISU110" s="142"/>
      <c r="ISV110" s="142"/>
      <c r="ISW110" s="142"/>
      <c r="ISX110" s="142"/>
      <c r="ISY110" s="142"/>
      <c r="ISZ110" s="142"/>
      <c r="ITA110" s="142"/>
      <c r="ITB110" s="142"/>
      <c r="ITC110" s="142"/>
      <c r="ITD110" s="142"/>
      <c r="ITE110" s="142"/>
      <c r="ITF110" s="142"/>
      <c r="ITG110" s="142"/>
      <c r="ITH110" s="142"/>
      <c r="ITI110" s="142"/>
      <c r="ITJ110" s="142"/>
      <c r="ITK110" s="142"/>
      <c r="ITL110" s="142"/>
      <c r="ITM110" s="142"/>
      <c r="ITN110" s="142"/>
      <c r="ITO110" s="142"/>
      <c r="ITP110" s="142"/>
      <c r="ITQ110" s="142"/>
      <c r="ITR110" s="142"/>
      <c r="ITS110" s="142"/>
      <c r="ITT110" s="142"/>
      <c r="ITU110" s="142"/>
      <c r="ITV110" s="142"/>
      <c r="ITW110" s="142"/>
      <c r="ITX110" s="142"/>
      <c r="ITY110" s="142"/>
      <c r="ITZ110" s="142"/>
      <c r="IUA110" s="142"/>
      <c r="IUB110" s="142"/>
      <c r="IUC110" s="142"/>
      <c r="IUD110" s="142"/>
      <c r="IUE110" s="142"/>
      <c r="IUF110" s="142"/>
      <c r="IUG110" s="142"/>
      <c r="IUH110" s="142"/>
      <c r="IUI110" s="142"/>
      <c r="IUJ110" s="142"/>
      <c r="IUK110" s="142"/>
      <c r="IUL110" s="142"/>
      <c r="IUM110" s="142"/>
      <c r="IUN110" s="142"/>
      <c r="IUO110" s="142"/>
      <c r="IUP110" s="142"/>
      <c r="IUQ110" s="142"/>
      <c r="IUR110" s="142"/>
      <c r="IUS110" s="142"/>
      <c r="IUT110" s="142"/>
      <c r="IUU110" s="142"/>
      <c r="IUV110" s="142"/>
      <c r="IUW110" s="142"/>
      <c r="IUX110" s="142"/>
      <c r="IUY110" s="142"/>
      <c r="IUZ110" s="142"/>
      <c r="IVA110" s="142"/>
      <c r="IVB110" s="142"/>
      <c r="IVC110" s="142"/>
      <c r="IVD110" s="142"/>
      <c r="IVE110" s="142"/>
      <c r="IVF110" s="142"/>
      <c r="IVG110" s="142"/>
      <c r="IVH110" s="142"/>
      <c r="IVI110" s="142"/>
      <c r="IVJ110" s="142"/>
      <c r="IVK110" s="142"/>
      <c r="IVL110" s="142"/>
      <c r="IVM110" s="142"/>
      <c r="IVN110" s="142"/>
      <c r="IVO110" s="142"/>
      <c r="IVP110" s="142"/>
      <c r="IVQ110" s="142"/>
      <c r="IVR110" s="142"/>
      <c r="IVS110" s="142"/>
      <c r="IVT110" s="142"/>
      <c r="IVU110" s="142"/>
      <c r="IVV110" s="142"/>
      <c r="IVW110" s="142"/>
      <c r="IVX110" s="142"/>
      <c r="IVY110" s="142"/>
      <c r="IVZ110" s="142"/>
      <c r="IWA110" s="142"/>
      <c r="IWB110" s="142"/>
      <c r="IWC110" s="142"/>
      <c r="IWD110" s="142"/>
      <c r="IWE110" s="142"/>
      <c r="IWF110" s="142"/>
      <c r="IWG110" s="142"/>
      <c r="IWH110" s="142"/>
      <c r="IWI110" s="142"/>
      <c r="IWJ110" s="142"/>
      <c r="IWK110" s="142"/>
      <c r="IWL110" s="142"/>
      <c r="IWM110" s="142"/>
      <c r="IWN110" s="142"/>
      <c r="IWO110" s="142"/>
      <c r="IWP110" s="142"/>
      <c r="IWQ110" s="142"/>
      <c r="IWR110" s="142"/>
      <c r="IWS110" s="142"/>
      <c r="IWT110" s="142"/>
      <c r="IWU110" s="142"/>
      <c r="IWV110" s="142"/>
      <c r="IWW110" s="142"/>
      <c r="IWX110" s="142"/>
      <c r="IWY110" s="142"/>
      <c r="IWZ110" s="142"/>
      <c r="IXA110" s="142"/>
      <c r="IXB110" s="142"/>
      <c r="IXC110" s="142"/>
      <c r="IXD110" s="142"/>
      <c r="IXE110" s="142"/>
      <c r="IXF110" s="142"/>
      <c r="IXG110" s="142"/>
      <c r="IXH110" s="142"/>
      <c r="IXI110" s="142"/>
      <c r="IXJ110" s="142"/>
      <c r="IXK110" s="142"/>
      <c r="IXL110" s="142"/>
      <c r="IXM110" s="142"/>
      <c r="IXN110" s="142"/>
      <c r="IXO110" s="142"/>
      <c r="IXP110" s="142"/>
      <c r="IXQ110" s="142"/>
      <c r="IXR110" s="142"/>
      <c r="IXS110" s="142"/>
      <c r="IXT110" s="142"/>
      <c r="IXU110" s="142"/>
      <c r="IXV110" s="142"/>
      <c r="IXW110" s="142"/>
      <c r="IXX110" s="142"/>
      <c r="IXY110" s="142"/>
      <c r="IXZ110" s="142"/>
      <c r="IYA110" s="142"/>
      <c r="IYB110" s="142"/>
      <c r="IYC110" s="142"/>
      <c r="IYD110" s="142"/>
      <c r="IYE110" s="142"/>
      <c r="IYF110" s="142"/>
      <c r="IYG110" s="142"/>
      <c r="IYH110" s="142"/>
      <c r="IYI110" s="142"/>
      <c r="IYJ110" s="142"/>
      <c r="IYK110" s="142"/>
      <c r="IYL110" s="142"/>
      <c r="IYM110" s="142"/>
      <c r="IYN110" s="142"/>
      <c r="IYO110" s="142"/>
      <c r="IYP110" s="142"/>
      <c r="IYQ110" s="142"/>
      <c r="IYR110" s="142"/>
      <c r="IYS110" s="142"/>
      <c r="IYT110" s="142"/>
      <c r="IYU110" s="142"/>
      <c r="IYV110" s="142"/>
      <c r="IYW110" s="142"/>
      <c r="IYX110" s="142"/>
      <c r="IYY110" s="142"/>
      <c r="IYZ110" s="142"/>
      <c r="IZA110" s="142"/>
      <c r="IZB110" s="142"/>
      <c r="IZC110" s="142"/>
      <c r="IZD110" s="142"/>
      <c r="IZE110" s="142"/>
      <c r="IZF110" s="142"/>
      <c r="IZG110" s="142"/>
      <c r="IZH110" s="142"/>
      <c r="IZI110" s="142"/>
      <c r="IZJ110" s="142"/>
      <c r="IZK110" s="142"/>
      <c r="IZL110" s="142"/>
      <c r="IZM110" s="142"/>
      <c r="IZN110" s="142"/>
      <c r="IZO110" s="142"/>
      <c r="IZP110" s="142"/>
      <c r="IZQ110" s="142"/>
      <c r="IZR110" s="142"/>
      <c r="IZS110" s="142"/>
      <c r="IZT110" s="142"/>
      <c r="IZU110" s="142"/>
      <c r="IZV110" s="142"/>
      <c r="IZW110" s="142"/>
      <c r="IZX110" s="142"/>
      <c r="IZY110" s="142"/>
      <c r="IZZ110" s="142"/>
      <c r="JAA110" s="142"/>
      <c r="JAB110" s="142"/>
      <c r="JAC110" s="142"/>
      <c r="JAD110" s="142"/>
      <c r="JAE110" s="142"/>
      <c r="JAF110" s="142"/>
      <c r="JAG110" s="142"/>
      <c r="JAH110" s="142"/>
      <c r="JAI110" s="142"/>
      <c r="JAJ110" s="142"/>
      <c r="JAK110" s="142"/>
      <c r="JAL110" s="142"/>
      <c r="JAM110" s="142"/>
      <c r="JAN110" s="142"/>
      <c r="JAO110" s="142"/>
      <c r="JAP110" s="142"/>
      <c r="JAQ110" s="142"/>
      <c r="JAR110" s="142"/>
      <c r="JAS110" s="142"/>
      <c r="JAT110" s="142"/>
      <c r="JAU110" s="142"/>
      <c r="JAV110" s="142"/>
      <c r="JAW110" s="142"/>
      <c r="JAX110" s="142"/>
      <c r="JAY110" s="142"/>
      <c r="JAZ110" s="142"/>
      <c r="JBA110" s="142"/>
      <c r="JBB110" s="142"/>
      <c r="JBC110" s="142"/>
      <c r="JBD110" s="142"/>
      <c r="JBE110" s="142"/>
      <c r="JBF110" s="142"/>
      <c r="JBG110" s="142"/>
      <c r="JBH110" s="142"/>
      <c r="JBI110" s="142"/>
      <c r="JBJ110" s="142"/>
      <c r="JBK110" s="142"/>
      <c r="JBL110" s="142"/>
      <c r="JBM110" s="142"/>
      <c r="JBN110" s="142"/>
      <c r="JBO110" s="142"/>
      <c r="JBP110" s="142"/>
      <c r="JBQ110" s="142"/>
      <c r="JBR110" s="142"/>
      <c r="JBS110" s="142"/>
      <c r="JBT110" s="142"/>
      <c r="JBU110" s="142"/>
      <c r="JBV110" s="142"/>
      <c r="JBW110" s="142"/>
      <c r="JBX110" s="142"/>
      <c r="JBY110" s="142"/>
      <c r="JBZ110" s="142"/>
      <c r="JCA110" s="142"/>
      <c r="JCB110" s="142"/>
      <c r="JCC110" s="142"/>
      <c r="JCD110" s="142"/>
      <c r="JCE110" s="142"/>
      <c r="JCF110" s="142"/>
      <c r="JCG110" s="142"/>
      <c r="JCH110" s="142"/>
      <c r="JCI110" s="142"/>
      <c r="JCJ110" s="142"/>
      <c r="JCK110" s="142"/>
      <c r="JCL110" s="142"/>
      <c r="JCM110" s="142"/>
      <c r="JCN110" s="142"/>
      <c r="JCO110" s="142"/>
      <c r="JCP110" s="142"/>
      <c r="JCQ110" s="142"/>
      <c r="JCR110" s="142"/>
      <c r="JCS110" s="142"/>
      <c r="JCT110" s="142"/>
      <c r="JCU110" s="142"/>
      <c r="JCV110" s="142"/>
      <c r="JCW110" s="142"/>
      <c r="JCX110" s="142"/>
      <c r="JCY110" s="142"/>
      <c r="JCZ110" s="142"/>
      <c r="JDA110" s="142"/>
      <c r="JDB110" s="142"/>
      <c r="JDC110" s="142"/>
      <c r="JDD110" s="142"/>
      <c r="JDE110" s="142"/>
      <c r="JDF110" s="142"/>
      <c r="JDG110" s="142"/>
      <c r="JDH110" s="142"/>
      <c r="JDI110" s="142"/>
      <c r="JDJ110" s="142"/>
      <c r="JDK110" s="142"/>
      <c r="JDL110" s="142"/>
      <c r="JDM110" s="142"/>
      <c r="JDN110" s="142"/>
      <c r="JDO110" s="142"/>
      <c r="JDP110" s="142"/>
      <c r="JDQ110" s="142"/>
      <c r="JDR110" s="142"/>
      <c r="JDS110" s="142"/>
      <c r="JDT110" s="142"/>
      <c r="JDU110" s="142"/>
      <c r="JDV110" s="142"/>
      <c r="JDW110" s="142"/>
      <c r="JDX110" s="142"/>
      <c r="JDY110" s="142"/>
      <c r="JDZ110" s="142"/>
      <c r="JEA110" s="142"/>
      <c r="JEB110" s="142"/>
      <c r="JEC110" s="142"/>
      <c r="JED110" s="142"/>
      <c r="JEE110" s="142"/>
      <c r="JEF110" s="142"/>
      <c r="JEG110" s="142"/>
      <c r="JEH110" s="142"/>
      <c r="JEI110" s="142"/>
      <c r="JEJ110" s="142"/>
      <c r="JEK110" s="142"/>
      <c r="JEL110" s="142"/>
      <c r="JEM110" s="142"/>
      <c r="JEN110" s="142"/>
      <c r="JEO110" s="142"/>
      <c r="JEP110" s="142"/>
      <c r="JEQ110" s="142"/>
      <c r="JER110" s="142"/>
      <c r="JES110" s="142"/>
      <c r="JET110" s="142"/>
      <c r="JEU110" s="142"/>
      <c r="JEV110" s="142"/>
      <c r="JEW110" s="142"/>
      <c r="JEX110" s="142"/>
      <c r="JEY110" s="142"/>
      <c r="JEZ110" s="142"/>
      <c r="JFA110" s="142"/>
      <c r="JFB110" s="142"/>
      <c r="JFC110" s="142"/>
      <c r="JFD110" s="142"/>
      <c r="JFE110" s="142"/>
      <c r="JFF110" s="142"/>
      <c r="JFG110" s="142"/>
      <c r="JFH110" s="142"/>
      <c r="JFI110" s="142"/>
      <c r="JFJ110" s="142"/>
      <c r="JFK110" s="142"/>
      <c r="JFL110" s="142"/>
      <c r="JFM110" s="142"/>
      <c r="JFN110" s="142"/>
      <c r="JFO110" s="142"/>
      <c r="JFP110" s="142"/>
      <c r="JFQ110" s="142"/>
      <c r="JFR110" s="142"/>
      <c r="JFS110" s="142"/>
      <c r="JFT110" s="142"/>
      <c r="JFU110" s="142"/>
      <c r="JFV110" s="142"/>
      <c r="JFW110" s="142"/>
      <c r="JFX110" s="142"/>
      <c r="JFY110" s="142"/>
      <c r="JFZ110" s="142"/>
      <c r="JGA110" s="142"/>
      <c r="JGB110" s="142"/>
      <c r="JGC110" s="142"/>
      <c r="JGD110" s="142"/>
      <c r="JGE110" s="142"/>
      <c r="JGF110" s="142"/>
      <c r="JGG110" s="142"/>
      <c r="JGH110" s="142"/>
      <c r="JGI110" s="142"/>
      <c r="JGJ110" s="142"/>
      <c r="JGK110" s="142"/>
      <c r="JGL110" s="142"/>
      <c r="JGM110" s="142"/>
      <c r="JGN110" s="142"/>
      <c r="JGO110" s="142"/>
      <c r="JGP110" s="142"/>
      <c r="JGQ110" s="142"/>
      <c r="JGR110" s="142"/>
      <c r="JGS110" s="142"/>
      <c r="JGT110" s="142"/>
      <c r="JGU110" s="142"/>
      <c r="JGV110" s="142"/>
      <c r="JGW110" s="142"/>
      <c r="JGX110" s="142"/>
      <c r="JGY110" s="142"/>
      <c r="JGZ110" s="142"/>
      <c r="JHA110" s="142"/>
      <c r="JHB110" s="142"/>
      <c r="JHC110" s="142"/>
      <c r="JHD110" s="142"/>
      <c r="JHE110" s="142"/>
      <c r="JHF110" s="142"/>
      <c r="JHG110" s="142"/>
      <c r="JHH110" s="142"/>
      <c r="JHI110" s="142"/>
      <c r="JHJ110" s="142"/>
      <c r="JHK110" s="142"/>
      <c r="JHL110" s="142"/>
      <c r="JHM110" s="142"/>
      <c r="JHN110" s="142"/>
      <c r="JHO110" s="142"/>
      <c r="JHP110" s="142"/>
      <c r="JHQ110" s="142"/>
      <c r="JHR110" s="142"/>
      <c r="JHS110" s="142"/>
      <c r="JHT110" s="142"/>
      <c r="JHU110" s="142"/>
      <c r="JHV110" s="142"/>
      <c r="JHW110" s="142"/>
      <c r="JHX110" s="142"/>
      <c r="JHY110" s="142"/>
      <c r="JHZ110" s="142"/>
      <c r="JIA110" s="142"/>
      <c r="JIB110" s="142"/>
      <c r="JIC110" s="142"/>
      <c r="JID110" s="142"/>
      <c r="JIE110" s="142"/>
      <c r="JIF110" s="142"/>
      <c r="JIG110" s="142"/>
      <c r="JIH110" s="142"/>
      <c r="JII110" s="142"/>
      <c r="JIJ110" s="142"/>
      <c r="JIK110" s="142"/>
      <c r="JIL110" s="142"/>
      <c r="JIM110" s="142"/>
      <c r="JIN110" s="142"/>
      <c r="JIO110" s="142"/>
      <c r="JIP110" s="142"/>
      <c r="JIQ110" s="142"/>
      <c r="JIR110" s="142"/>
      <c r="JIS110" s="142"/>
      <c r="JIT110" s="142"/>
      <c r="JIU110" s="142"/>
      <c r="JIV110" s="142"/>
      <c r="JIW110" s="142"/>
      <c r="JIX110" s="142"/>
      <c r="JIY110" s="142"/>
      <c r="JIZ110" s="142"/>
      <c r="JJA110" s="142"/>
      <c r="JJB110" s="142"/>
      <c r="JJC110" s="142"/>
      <c r="JJD110" s="142"/>
      <c r="JJE110" s="142"/>
      <c r="JJF110" s="142"/>
      <c r="JJG110" s="142"/>
      <c r="JJH110" s="142"/>
      <c r="JJI110" s="142"/>
      <c r="JJJ110" s="142"/>
      <c r="JJK110" s="142"/>
      <c r="JJL110" s="142"/>
      <c r="JJM110" s="142"/>
      <c r="JJN110" s="142"/>
      <c r="JJO110" s="142"/>
      <c r="JJP110" s="142"/>
      <c r="JJQ110" s="142"/>
      <c r="JJR110" s="142"/>
      <c r="JJS110" s="142"/>
      <c r="JJT110" s="142"/>
      <c r="JJU110" s="142"/>
      <c r="JJV110" s="142"/>
      <c r="JJW110" s="142"/>
      <c r="JJX110" s="142"/>
      <c r="JJY110" s="142"/>
      <c r="JJZ110" s="142"/>
      <c r="JKA110" s="142"/>
      <c r="JKB110" s="142"/>
      <c r="JKC110" s="142"/>
      <c r="JKD110" s="142"/>
      <c r="JKE110" s="142"/>
      <c r="JKF110" s="142"/>
      <c r="JKG110" s="142"/>
      <c r="JKH110" s="142"/>
      <c r="JKI110" s="142"/>
      <c r="JKJ110" s="142"/>
      <c r="JKK110" s="142"/>
      <c r="JKL110" s="142"/>
      <c r="JKM110" s="142"/>
      <c r="JKN110" s="142"/>
      <c r="JKO110" s="142"/>
      <c r="JKP110" s="142"/>
      <c r="JKQ110" s="142"/>
      <c r="JKR110" s="142"/>
      <c r="JKS110" s="142"/>
      <c r="JKT110" s="142"/>
      <c r="JKU110" s="142"/>
      <c r="JKV110" s="142"/>
      <c r="JKW110" s="142"/>
      <c r="JKX110" s="142"/>
      <c r="JKY110" s="142"/>
      <c r="JKZ110" s="142"/>
      <c r="JLA110" s="142"/>
      <c r="JLB110" s="142"/>
      <c r="JLC110" s="142"/>
      <c r="JLD110" s="142"/>
      <c r="JLE110" s="142"/>
      <c r="JLF110" s="142"/>
      <c r="JLG110" s="142"/>
      <c r="JLH110" s="142"/>
      <c r="JLI110" s="142"/>
      <c r="JLJ110" s="142"/>
      <c r="JLK110" s="142"/>
      <c r="JLL110" s="142"/>
      <c r="JLM110" s="142"/>
      <c r="JLN110" s="142"/>
      <c r="JLO110" s="142"/>
      <c r="JLP110" s="142"/>
      <c r="JLQ110" s="142"/>
      <c r="JLR110" s="142"/>
      <c r="JLS110" s="142"/>
      <c r="JLT110" s="142"/>
      <c r="JLU110" s="142"/>
      <c r="JLV110" s="142"/>
      <c r="JLW110" s="142"/>
      <c r="JLX110" s="142"/>
      <c r="JLY110" s="142"/>
      <c r="JLZ110" s="142"/>
      <c r="JMA110" s="142"/>
      <c r="JMB110" s="142"/>
      <c r="JMC110" s="142"/>
      <c r="JMD110" s="142"/>
      <c r="JME110" s="142"/>
      <c r="JMF110" s="142"/>
      <c r="JMG110" s="142"/>
      <c r="JMH110" s="142"/>
      <c r="JMI110" s="142"/>
      <c r="JMJ110" s="142"/>
      <c r="JMK110" s="142"/>
      <c r="JML110" s="142"/>
      <c r="JMM110" s="142"/>
      <c r="JMN110" s="142"/>
      <c r="JMO110" s="142"/>
      <c r="JMP110" s="142"/>
      <c r="JMQ110" s="142"/>
      <c r="JMR110" s="142"/>
      <c r="JMS110" s="142"/>
      <c r="JMT110" s="142"/>
      <c r="JMU110" s="142"/>
      <c r="JMV110" s="142"/>
      <c r="JMW110" s="142"/>
      <c r="JMX110" s="142"/>
      <c r="JMY110" s="142"/>
      <c r="JMZ110" s="142"/>
      <c r="JNA110" s="142"/>
      <c r="JNB110" s="142"/>
      <c r="JNC110" s="142"/>
      <c r="JND110" s="142"/>
      <c r="JNE110" s="142"/>
      <c r="JNF110" s="142"/>
      <c r="JNG110" s="142"/>
      <c r="JNH110" s="142"/>
      <c r="JNI110" s="142"/>
      <c r="JNJ110" s="142"/>
      <c r="JNK110" s="142"/>
      <c r="JNL110" s="142"/>
      <c r="JNM110" s="142"/>
      <c r="JNN110" s="142"/>
      <c r="JNO110" s="142"/>
      <c r="JNP110" s="142"/>
      <c r="JNQ110" s="142"/>
      <c r="JNR110" s="142"/>
      <c r="JNS110" s="142"/>
      <c r="JNT110" s="142"/>
      <c r="JNU110" s="142"/>
      <c r="JNV110" s="142"/>
      <c r="JNW110" s="142"/>
      <c r="JNX110" s="142"/>
      <c r="JNY110" s="142"/>
      <c r="JNZ110" s="142"/>
      <c r="JOA110" s="142"/>
      <c r="JOB110" s="142"/>
      <c r="JOC110" s="142"/>
      <c r="JOD110" s="142"/>
      <c r="JOE110" s="142"/>
      <c r="JOF110" s="142"/>
      <c r="JOG110" s="142"/>
      <c r="JOH110" s="142"/>
      <c r="JOI110" s="142"/>
      <c r="JOJ110" s="142"/>
      <c r="JOK110" s="142"/>
      <c r="JOL110" s="142"/>
      <c r="JOM110" s="142"/>
      <c r="JON110" s="142"/>
      <c r="JOO110" s="142"/>
      <c r="JOP110" s="142"/>
      <c r="JOQ110" s="142"/>
      <c r="JOR110" s="142"/>
      <c r="JOS110" s="142"/>
      <c r="JOT110" s="142"/>
      <c r="JOU110" s="142"/>
      <c r="JOV110" s="142"/>
      <c r="JOW110" s="142"/>
      <c r="JOX110" s="142"/>
      <c r="JOY110" s="142"/>
      <c r="JOZ110" s="142"/>
      <c r="JPA110" s="142"/>
      <c r="JPB110" s="142"/>
      <c r="JPC110" s="142"/>
      <c r="JPD110" s="142"/>
      <c r="JPE110" s="142"/>
      <c r="JPF110" s="142"/>
      <c r="JPG110" s="142"/>
      <c r="JPH110" s="142"/>
      <c r="JPI110" s="142"/>
      <c r="JPJ110" s="142"/>
      <c r="JPK110" s="142"/>
      <c r="JPL110" s="142"/>
      <c r="JPM110" s="142"/>
      <c r="JPN110" s="142"/>
      <c r="JPO110" s="142"/>
      <c r="JPP110" s="142"/>
      <c r="JPQ110" s="142"/>
      <c r="JPR110" s="142"/>
      <c r="JPS110" s="142"/>
      <c r="JPT110" s="142"/>
      <c r="JPU110" s="142"/>
      <c r="JPV110" s="142"/>
      <c r="JPW110" s="142"/>
      <c r="JPX110" s="142"/>
      <c r="JPY110" s="142"/>
      <c r="JPZ110" s="142"/>
      <c r="JQA110" s="142"/>
      <c r="JQB110" s="142"/>
      <c r="JQC110" s="142"/>
      <c r="JQD110" s="142"/>
      <c r="JQE110" s="142"/>
      <c r="JQF110" s="142"/>
      <c r="JQG110" s="142"/>
      <c r="JQH110" s="142"/>
      <c r="JQI110" s="142"/>
      <c r="JQJ110" s="142"/>
      <c r="JQK110" s="142"/>
      <c r="JQL110" s="142"/>
      <c r="JQM110" s="142"/>
      <c r="JQN110" s="142"/>
      <c r="JQO110" s="142"/>
      <c r="JQP110" s="142"/>
      <c r="JQQ110" s="142"/>
      <c r="JQR110" s="142"/>
      <c r="JQS110" s="142"/>
      <c r="JQT110" s="142"/>
      <c r="JQU110" s="142"/>
      <c r="JQV110" s="142"/>
      <c r="JQW110" s="142"/>
      <c r="JQX110" s="142"/>
      <c r="JQY110" s="142"/>
      <c r="JQZ110" s="142"/>
      <c r="JRA110" s="142"/>
      <c r="JRB110" s="142"/>
      <c r="JRC110" s="142"/>
      <c r="JRD110" s="142"/>
      <c r="JRE110" s="142"/>
      <c r="JRF110" s="142"/>
      <c r="JRG110" s="142"/>
      <c r="JRH110" s="142"/>
      <c r="JRI110" s="142"/>
      <c r="JRJ110" s="142"/>
      <c r="JRK110" s="142"/>
      <c r="JRL110" s="142"/>
      <c r="JRM110" s="142"/>
      <c r="JRN110" s="142"/>
      <c r="JRO110" s="142"/>
      <c r="JRP110" s="142"/>
      <c r="JRQ110" s="142"/>
      <c r="JRR110" s="142"/>
      <c r="JRS110" s="142"/>
      <c r="JRT110" s="142"/>
      <c r="JRU110" s="142"/>
      <c r="JRV110" s="142"/>
      <c r="JRW110" s="142"/>
      <c r="JRX110" s="142"/>
      <c r="JRY110" s="142"/>
      <c r="JRZ110" s="142"/>
      <c r="JSA110" s="142"/>
      <c r="JSB110" s="142"/>
      <c r="JSC110" s="142"/>
      <c r="JSD110" s="142"/>
      <c r="JSE110" s="142"/>
      <c r="JSF110" s="142"/>
      <c r="JSG110" s="142"/>
      <c r="JSH110" s="142"/>
      <c r="JSI110" s="142"/>
      <c r="JSJ110" s="142"/>
      <c r="JSK110" s="142"/>
      <c r="JSL110" s="142"/>
      <c r="JSM110" s="142"/>
      <c r="JSN110" s="142"/>
      <c r="JSO110" s="142"/>
      <c r="JSP110" s="142"/>
      <c r="JSQ110" s="142"/>
      <c r="JSR110" s="142"/>
      <c r="JSS110" s="142"/>
      <c r="JST110" s="142"/>
      <c r="JSU110" s="142"/>
      <c r="JSV110" s="142"/>
      <c r="JSW110" s="142"/>
      <c r="JSX110" s="142"/>
      <c r="JSY110" s="142"/>
      <c r="JSZ110" s="142"/>
      <c r="JTA110" s="142"/>
      <c r="JTB110" s="142"/>
      <c r="JTC110" s="142"/>
      <c r="JTD110" s="142"/>
      <c r="JTE110" s="142"/>
      <c r="JTF110" s="142"/>
      <c r="JTG110" s="142"/>
      <c r="JTH110" s="142"/>
      <c r="JTI110" s="142"/>
      <c r="JTJ110" s="142"/>
      <c r="JTK110" s="142"/>
      <c r="JTL110" s="142"/>
      <c r="JTM110" s="142"/>
      <c r="JTN110" s="142"/>
      <c r="JTO110" s="142"/>
      <c r="JTP110" s="142"/>
      <c r="JTQ110" s="142"/>
      <c r="JTR110" s="142"/>
      <c r="JTS110" s="142"/>
      <c r="JTT110" s="142"/>
      <c r="JTU110" s="142"/>
      <c r="JTV110" s="142"/>
      <c r="JTW110" s="142"/>
      <c r="JTX110" s="142"/>
      <c r="JTY110" s="142"/>
      <c r="JTZ110" s="142"/>
      <c r="JUA110" s="142"/>
      <c r="JUB110" s="142"/>
      <c r="JUC110" s="142"/>
      <c r="JUD110" s="142"/>
      <c r="JUE110" s="142"/>
      <c r="JUF110" s="142"/>
      <c r="JUG110" s="142"/>
      <c r="JUH110" s="142"/>
      <c r="JUI110" s="142"/>
      <c r="JUJ110" s="142"/>
      <c r="JUK110" s="142"/>
      <c r="JUL110" s="142"/>
      <c r="JUM110" s="142"/>
      <c r="JUN110" s="142"/>
      <c r="JUO110" s="142"/>
      <c r="JUP110" s="142"/>
      <c r="JUQ110" s="142"/>
      <c r="JUR110" s="142"/>
      <c r="JUS110" s="142"/>
      <c r="JUT110" s="142"/>
      <c r="JUU110" s="142"/>
      <c r="JUV110" s="142"/>
      <c r="JUW110" s="142"/>
      <c r="JUX110" s="142"/>
      <c r="JUY110" s="142"/>
      <c r="JUZ110" s="142"/>
      <c r="JVA110" s="142"/>
      <c r="JVB110" s="142"/>
      <c r="JVC110" s="142"/>
      <c r="JVD110" s="142"/>
      <c r="JVE110" s="142"/>
      <c r="JVF110" s="142"/>
      <c r="JVG110" s="142"/>
      <c r="JVH110" s="142"/>
      <c r="JVI110" s="142"/>
      <c r="JVJ110" s="142"/>
      <c r="JVK110" s="142"/>
      <c r="JVL110" s="142"/>
      <c r="JVM110" s="142"/>
      <c r="JVN110" s="142"/>
      <c r="JVO110" s="142"/>
      <c r="JVP110" s="142"/>
      <c r="JVQ110" s="142"/>
      <c r="JVR110" s="142"/>
      <c r="JVS110" s="142"/>
      <c r="JVT110" s="142"/>
      <c r="JVU110" s="142"/>
      <c r="JVV110" s="142"/>
      <c r="JVW110" s="142"/>
      <c r="JVX110" s="142"/>
      <c r="JVY110" s="142"/>
      <c r="JVZ110" s="142"/>
      <c r="JWA110" s="142"/>
      <c r="JWB110" s="142"/>
      <c r="JWC110" s="142"/>
      <c r="JWD110" s="142"/>
      <c r="JWE110" s="142"/>
      <c r="JWF110" s="142"/>
      <c r="JWG110" s="142"/>
      <c r="JWH110" s="142"/>
      <c r="JWI110" s="142"/>
      <c r="JWJ110" s="142"/>
      <c r="JWK110" s="142"/>
      <c r="JWL110" s="142"/>
      <c r="JWM110" s="142"/>
      <c r="JWN110" s="142"/>
      <c r="JWO110" s="142"/>
      <c r="JWP110" s="142"/>
      <c r="JWQ110" s="142"/>
      <c r="JWR110" s="142"/>
      <c r="JWS110" s="142"/>
      <c r="JWT110" s="142"/>
      <c r="JWU110" s="142"/>
      <c r="JWV110" s="142"/>
      <c r="JWW110" s="142"/>
      <c r="JWX110" s="142"/>
      <c r="JWY110" s="142"/>
      <c r="JWZ110" s="142"/>
      <c r="JXA110" s="142"/>
      <c r="JXB110" s="142"/>
      <c r="JXC110" s="142"/>
      <c r="JXD110" s="142"/>
      <c r="JXE110" s="142"/>
      <c r="JXF110" s="142"/>
      <c r="JXG110" s="142"/>
      <c r="JXH110" s="142"/>
      <c r="JXI110" s="142"/>
      <c r="JXJ110" s="142"/>
      <c r="JXK110" s="142"/>
      <c r="JXL110" s="142"/>
      <c r="JXM110" s="142"/>
      <c r="JXN110" s="142"/>
      <c r="JXO110" s="142"/>
      <c r="JXP110" s="142"/>
      <c r="JXQ110" s="142"/>
      <c r="JXR110" s="142"/>
      <c r="JXS110" s="142"/>
      <c r="JXT110" s="142"/>
      <c r="JXU110" s="142"/>
      <c r="JXV110" s="142"/>
      <c r="JXW110" s="142"/>
      <c r="JXX110" s="142"/>
      <c r="JXY110" s="142"/>
      <c r="JXZ110" s="142"/>
      <c r="JYA110" s="142"/>
      <c r="JYB110" s="142"/>
      <c r="JYC110" s="142"/>
      <c r="JYD110" s="142"/>
      <c r="JYE110" s="142"/>
      <c r="JYF110" s="142"/>
      <c r="JYG110" s="142"/>
      <c r="JYH110" s="142"/>
      <c r="JYI110" s="142"/>
      <c r="JYJ110" s="142"/>
      <c r="JYK110" s="142"/>
      <c r="JYL110" s="142"/>
      <c r="JYM110" s="142"/>
      <c r="JYN110" s="142"/>
      <c r="JYO110" s="142"/>
      <c r="JYP110" s="142"/>
      <c r="JYQ110" s="142"/>
      <c r="JYR110" s="142"/>
      <c r="JYS110" s="142"/>
      <c r="JYT110" s="142"/>
      <c r="JYU110" s="142"/>
      <c r="JYV110" s="142"/>
      <c r="JYW110" s="142"/>
      <c r="JYX110" s="142"/>
      <c r="JYY110" s="142"/>
      <c r="JYZ110" s="142"/>
      <c r="JZA110" s="142"/>
      <c r="JZB110" s="142"/>
      <c r="JZC110" s="142"/>
      <c r="JZD110" s="142"/>
      <c r="JZE110" s="142"/>
      <c r="JZF110" s="142"/>
      <c r="JZG110" s="142"/>
      <c r="JZH110" s="142"/>
      <c r="JZI110" s="142"/>
      <c r="JZJ110" s="142"/>
      <c r="JZK110" s="142"/>
      <c r="JZL110" s="142"/>
      <c r="JZM110" s="142"/>
      <c r="JZN110" s="142"/>
      <c r="JZO110" s="142"/>
      <c r="JZP110" s="142"/>
      <c r="JZQ110" s="142"/>
      <c r="JZR110" s="142"/>
      <c r="JZS110" s="142"/>
      <c r="JZT110" s="142"/>
      <c r="JZU110" s="142"/>
      <c r="JZV110" s="142"/>
      <c r="JZW110" s="142"/>
      <c r="JZX110" s="142"/>
      <c r="JZY110" s="142"/>
      <c r="JZZ110" s="142"/>
      <c r="KAA110" s="142"/>
      <c r="KAB110" s="142"/>
      <c r="KAC110" s="142"/>
      <c r="KAD110" s="142"/>
      <c r="KAE110" s="142"/>
      <c r="KAF110" s="142"/>
      <c r="KAG110" s="142"/>
      <c r="KAH110" s="142"/>
      <c r="KAI110" s="142"/>
      <c r="KAJ110" s="142"/>
      <c r="KAK110" s="142"/>
      <c r="KAL110" s="142"/>
      <c r="KAM110" s="142"/>
      <c r="KAN110" s="142"/>
      <c r="KAO110" s="142"/>
      <c r="KAP110" s="142"/>
      <c r="KAQ110" s="142"/>
      <c r="KAR110" s="142"/>
      <c r="KAS110" s="142"/>
      <c r="KAT110" s="142"/>
      <c r="KAU110" s="142"/>
      <c r="KAV110" s="142"/>
      <c r="KAW110" s="142"/>
      <c r="KAX110" s="142"/>
      <c r="KAY110" s="142"/>
      <c r="KAZ110" s="142"/>
      <c r="KBA110" s="142"/>
      <c r="KBB110" s="142"/>
      <c r="KBC110" s="142"/>
      <c r="KBD110" s="142"/>
      <c r="KBE110" s="142"/>
      <c r="KBF110" s="142"/>
      <c r="KBG110" s="142"/>
      <c r="KBH110" s="142"/>
      <c r="KBI110" s="142"/>
      <c r="KBJ110" s="142"/>
      <c r="KBK110" s="142"/>
      <c r="KBL110" s="142"/>
      <c r="KBM110" s="142"/>
      <c r="KBN110" s="142"/>
      <c r="KBO110" s="142"/>
      <c r="KBP110" s="142"/>
      <c r="KBQ110" s="142"/>
      <c r="KBR110" s="142"/>
      <c r="KBS110" s="142"/>
      <c r="KBT110" s="142"/>
      <c r="KBU110" s="142"/>
      <c r="KBV110" s="142"/>
      <c r="KBW110" s="142"/>
      <c r="KBX110" s="142"/>
      <c r="KBY110" s="142"/>
      <c r="KBZ110" s="142"/>
      <c r="KCA110" s="142"/>
      <c r="KCB110" s="142"/>
      <c r="KCC110" s="142"/>
      <c r="KCD110" s="142"/>
      <c r="KCE110" s="142"/>
      <c r="KCF110" s="142"/>
      <c r="KCG110" s="142"/>
      <c r="KCH110" s="142"/>
      <c r="KCI110" s="142"/>
      <c r="KCJ110" s="142"/>
      <c r="KCK110" s="142"/>
      <c r="KCL110" s="142"/>
      <c r="KCM110" s="142"/>
      <c r="KCN110" s="142"/>
      <c r="KCO110" s="142"/>
      <c r="KCP110" s="142"/>
      <c r="KCQ110" s="142"/>
      <c r="KCR110" s="142"/>
      <c r="KCS110" s="142"/>
      <c r="KCT110" s="142"/>
      <c r="KCU110" s="142"/>
      <c r="KCV110" s="142"/>
      <c r="KCW110" s="142"/>
      <c r="KCX110" s="142"/>
      <c r="KCY110" s="142"/>
      <c r="KCZ110" s="142"/>
      <c r="KDA110" s="142"/>
      <c r="KDB110" s="142"/>
      <c r="KDC110" s="142"/>
      <c r="KDD110" s="142"/>
      <c r="KDE110" s="142"/>
      <c r="KDF110" s="142"/>
      <c r="KDG110" s="142"/>
      <c r="KDH110" s="142"/>
      <c r="KDI110" s="142"/>
      <c r="KDJ110" s="142"/>
      <c r="KDK110" s="142"/>
      <c r="KDL110" s="142"/>
      <c r="KDM110" s="142"/>
      <c r="KDN110" s="142"/>
      <c r="KDO110" s="142"/>
      <c r="KDP110" s="142"/>
      <c r="KDQ110" s="142"/>
      <c r="KDR110" s="142"/>
      <c r="KDS110" s="142"/>
      <c r="KDT110" s="142"/>
      <c r="KDU110" s="142"/>
      <c r="KDV110" s="142"/>
      <c r="KDW110" s="142"/>
      <c r="KDX110" s="142"/>
      <c r="KDY110" s="142"/>
      <c r="KDZ110" s="142"/>
      <c r="KEA110" s="142"/>
      <c r="KEB110" s="142"/>
      <c r="KEC110" s="142"/>
      <c r="KED110" s="142"/>
      <c r="KEE110" s="142"/>
      <c r="KEF110" s="142"/>
      <c r="KEG110" s="142"/>
      <c r="KEH110" s="142"/>
      <c r="KEI110" s="142"/>
      <c r="KEJ110" s="142"/>
      <c r="KEK110" s="142"/>
      <c r="KEL110" s="142"/>
      <c r="KEM110" s="142"/>
      <c r="KEN110" s="142"/>
      <c r="KEO110" s="142"/>
      <c r="KEP110" s="142"/>
      <c r="KEQ110" s="142"/>
      <c r="KER110" s="142"/>
      <c r="KES110" s="142"/>
      <c r="KET110" s="142"/>
      <c r="KEU110" s="142"/>
      <c r="KEV110" s="142"/>
      <c r="KEW110" s="142"/>
      <c r="KEX110" s="142"/>
      <c r="KEY110" s="142"/>
      <c r="KEZ110" s="142"/>
      <c r="KFA110" s="142"/>
      <c r="KFB110" s="142"/>
      <c r="KFC110" s="142"/>
      <c r="KFD110" s="142"/>
      <c r="KFE110" s="142"/>
      <c r="KFF110" s="142"/>
      <c r="KFG110" s="142"/>
      <c r="KFH110" s="142"/>
      <c r="KFI110" s="142"/>
      <c r="KFJ110" s="142"/>
      <c r="KFK110" s="142"/>
      <c r="KFL110" s="142"/>
      <c r="KFM110" s="142"/>
      <c r="KFN110" s="142"/>
      <c r="KFO110" s="142"/>
      <c r="KFP110" s="142"/>
      <c r="KFQ110" s="142"/>
      <c r="KFR110" s="142"/>
      <c r="KFS110" s="142"/>
      <c r="KFT110" s="142"/>
      <c r="KFU110" s="142"/>
      <c r="KFV110" s="142"/>
      <c r="KFW110" s="142"/>
      <c r="KFX110" s="142"/>
      <c r="KFY110" s="142"/>
      <c r="KFZ110" s="142"/>
      <c r="KGA110" s="142"/>
      <c r="KGB110" s="142"/>
      <c r="KGC110" s="142"/>
      <c r="KGD110" s="142"/>
      <c r="KGE110" s="142"/>
      <c r="KGF110" s="142"/>
      <c r="KGG110" s="142"/>
      <c r="KGH110" s="142"/>
      <c r="KGI110" s="142"/>
      <c r="KGJ110" s="142"/>
      <c r="KGK110" s="142"/>
      <c r="KGL110" s="142"/>
      <c r="KGM110" s="142"/>
      <c r="KGN110" s="142"/>
      <c r="KGO110" s="142"/>
      <c r="KGP110" s="142"/>
      <c r="KGQ110" s="142"/>
      <c r="KGR110" s="142"/>
      <c r="KGS110" s="142"/>
      <c r="KGT110" s="142"/>
      <c r="KGU110" s="142"/>
      <c r="KGV110" s="142"/>
      <c r="KGW110" s="142"/>
      <c r="KGX110" s="142"/>
      <c r="KGY110" s="142"/>
      <c r="KGZ110" s="142"/>
      <c r="KHA110" s="142"/>
      <c r="KHB110" s="142"/>
      <c r="KHC110" s="142"/>
      <c r="KHD110" s="142"/>
      <c r="KHE110" s="142"/>
      <c r="KHF110" s="142"/>
      <c r="KHG110" s="142"/>
      <c r="KHH110" s="142"/>
      <c r="KHI110" s="142"/>
      <c r="KHJ110" s="142"/>
      <c r="KHK110" s="142"/>
      <c r="KHL110" s="142"/>
      <c r="KHM110" s="142"/>
      <c r="KHN110" s="142"/>
      <c r="KHO110" s="142"/>
      <c r="KHP110" s="142"/>
      <c r="KHQ110" s="142"/>
      <c r="KHR110" s="142"/>
      <c r="KHS110" s="142"/>
      <c r="KHT110" s="142"/>
      <c r="KHU110" s="142"/>
      <c r="KHV110" s="142"/>
      <c r="KHW110" s="142"/>
      <c r="KHX110" s="142"/>
      <c r="KHY110" s="142"/>
      <c r="KHZ110" s="142"/>
      <c r="KIA110" s="142"/>
      <c r="KIB110" s="142"/>
      <c r="KIC110" s="142"/>
      <c r="KID110" s="142"/>
      <c r="KIE110" s="142"/>
      <c r="KIF110" s="142"/>
      <c r="KIG110" s="142"/>
      <c r="KIH110" s="142"/>
      <c r="KII110" s="142"/>
      <c r="KIJ110" s="142"/>
      <c r="KIK110" s="142"/>
      <c r="KIL110" s="142"/>
      <c r="KIM110" s="142"/>
      <c r="KIN110" s="142"/>
      <c r="KIO110" s="142"/>
      <c r="KIP110" s="142"/>
      <c r="KIQ110" s="142"/>
      <c r="KIR110" s="142"/>
      <c r="KIS110" s="142"/>
      <c r="KIT110" s="142"/>
      <c r="KIU110" s="142"/>
      <c r="KIV110" s="142"/>
      <c r="KIW110" s="142"/>
      <c r="KIX110" s="142"/>
      <c r="KIY110" s="142"/>
      <c r="KIZ110" s="142"/>
      <c r="KJA110" s="142"/>
      <c r="KJB110" s="142"/>
      <c r="KJC110" s="142"/>
      <c r="KJD110" s="142"/>
      <c r="KJE110" s="142"/>
      <c r="KJF110" s="142"/>
      <c r="KJG110" s="142"/>
      <c r="KJH110" s="142"/>
      <c r="KJI110" s="142"/>
      <c r="KJJ110" s="142"/>
      <c r="KJK110" s="142"/>
      <c r="KJL110" s="142"/>
      <c r="KJM110" s="142"/>
      <c r="KJN110" s="142"/>
      <c r="KJO110" s="142"/>
      <c r="KJP110" s="142"/>
      <c r="KJQ110" s="142"/>
      <c r="KJR110" s="142"/>
      <c r="KJS110" s="142"/>
      <c r="KJT110" s="142"/>
      <c r="KJU110" s="142"/>
      <c r="KJV110" s="142"/>
      <c r="KJW110" s="142"/>
      <c r="KJX110" s="142"/>
      <c r="KJY110" s="142"/>
      <c r="KJZ110" s="142"/>
      <c r="KKA110" s="142"/>
      <c r="KKB110" s="142"/>
      <c r="KKC110" s="142"/>
      <c r="KKD110" s="142"/>
      <c r="KKE110" s="142"/>
      <c r="KKF110" s="142"/>
      <c r="KKG110" s="142"/>
      <c r="KKH110" s="142"/>
      <c r="KKI110" s="142"/>
      <c r="KKJ110" s="142"/>
      <c r="KKK110" s="142"/>
      <c r="KKL110" s="142"/>
      <c r="KKM110" s="142"/>
      <c r="KKN110" s="142"/>
      <c r="KKO110" s="142"/>
      <c r="KKP110" s="142"/>
      <c r="KKQ110" s="142"/>
      <c r="KKR110" s="142"/>
      <c r="KKS110" s="142"/>
      <c r="KKT110" s="142"/>
      <c r="KKU110" s="142"/>
      <c r="KKV110" s="142"/>
      <c r="KKW110" s="142"/>
      <c r="KKX110" s="142"/>
      <c r="KKY110" s="142"/>
      <c r="KKZ110" s="142"/>
      <c r="KLA110" s="142"/>
      <c r="KLB110" s="142"/>
      <c r="KLC110" s="142"/>
      <c r="KLD110" s="142"/>
      <c r="KLE110" s="142"/>
      <c r="KLF110" s="142"/>
      <c r="KLG110" s="142"/>
      <c r="KLH110" s="142"/>
      <c r="KLI110" s="142"/>
      <c r="KLJ110" s="142"/>
      <c r="KLK110" s="142"/>
      <c r="KLL110" s="142"/>
      <c r="KLM110" s="142"/>
      <c r="KLN110" s="142"/>
      <c r="KLO110" s="142"/>
      <c r="KLP110" s="142"/>
      <c r="KLQ110" s="142"/>
      <c r="KLR110" s="142"/>
      <c r="KLS110" s="142"/>
      <c r="KLT110" s="142"/>
      <c r="KLU110" s="142"/>
      <c r="KLV110" s="142"/>
      <c r="KLW110" s="142"/>
      <c r="KLX110" s="142"/>
      <c r="KLY110" s="142"/>
      <c r="KLZ110" s="142"/>
      <c r="KMA110" s="142"/>
      <c r="KMB110" s="142"/>
      <c r="KMC110" s="142"/>
      <c r="KMD110" s="142"/>
      <c r="KME110" s="142"/>
      <c r="KMF110" s="142"/>
      <c r="KMG110" s="142"/>
      <c r="KMH110" s="142"/>
      <c r="KMI110" s="142"/>
      <c r="KMJ110" s="142"/>
      <c r="KMK110" s="142"/>
      <c r="KML110" s="142"/>
      <c r="KMM110" s="142"/>
      <c r="KMN110" s="142"/>
      <c r="KMO110" s="142"/>
      <c r="KMP110" s="142"/>
      <c r="KMQ110" s="142"/>
      <c r="KMR110" s="142"/>
      <c r="KMS110" s="142"/>
      <c r="KMT110" s="142"/>
      <c r="KMU110" s="142"/>
      <c r="KMV110" s="142"/>
      <c r="KMW110" s="142"/>
      <c r="KMX110" s="142"/>
      <c r="KMY110" s="142"/>
      <c r="KMZ110" s="142"/>
      <c r="KNA110" s="142"/>
      <c r="KNB110" s="142"/>
      <c r="KNC110" s="142"/>
      <c r="KND110" s="142"/>
      <c r="KNE110" s="142"/>
      <c r="KNF110" s="142"/>
      <c r="KNG110" s="142"/>
      <c r="KNH110" s="142"/>
      <c r="KNI110" s="142"/>
      <c r="KNJ110" s="142"/>
      <c r="KNK110" s="142"/>
      <c r="KNL110" s="142"/>
      <c r="KNM110" s="142"/>
      <c r="KNN110" s="142"/>
      <c r="KNO110" s="142"/>
      <c r="KNP110" s="142"/>
      <c r="KNQ110" s="142"/>
      <c r="KNR110" s="142"/>
      <c r="KNS110" s="142"/>
      <c r="KNT110" s="142"/>
      <c r="KNU110" s="142"/>
      <c r="KNV110" s="142"/>
      <c r="KNW110" s="142"/>
      <c r="KNX110" s="142"/>
      <c r="KNY110" s="142"/>
      <c r="KNZ110" s="142"/>
      <c r="KOA110" s="142"/>
      <c r="KOB110" s="142"/>
      <c r="KOC110" s="142"/>
      <c r="KOD110" s="142"/>
      <c r="KOE110" s="142"/>
      <c r="KOF110" s="142"/>
      <c r="KOG110" s="142"/>
      <c r="KOH110" s="142"/>
      <c r="KOI110" s="142"/>
      <c r="KOJ110" s="142"/>
      <c r="KOK110" s="142"/>
      <c r="KOL110" s="142"/>
      <c r="KOM110" s="142"/>
      <c r="KON110" s="142"/>
      <c r="KOO110" s="142"/>
      <c r="KOP110" s="142"/>
      <c r="KOQ110" s="142"/>
      <c r="KOR110" s="142"/>
      <c r="KOS110" s="142"/>
      <c r="KOT110" s="142"/>
      <c r="KOU110" s="142"/>
      <c r="KOV110" s="142"/>
      <c r="KOW110" s="142"/>
      <c r="KOX110" s="142"/>
      <c r="KOY110" s="142"/>
      <c r="KOZ110" s="142"/>
      <c r="KPA110" s="142"/>
      <c r="KPB110" s="142"/>
      <c r="KPC110" s="142"/>
      <c r="KPD110" s="142"/>
      <c r="KPE110" s="142"/>
      <c r="KPF110" s="142"/>
      <c r="KPG110" s="142"/>
      <c r="KPH110" s="142"/>
      <c r="KPI110" s="142"/>
      <c r="KPJ110" s="142"/>
      <c r="KPK110" s="142"/>
      <c r="KPL110" s="142"/>
      <c r="KPM110" s="142"/>
      <c r="KPN110" s="142"/>
      <c r="KPO110" s="142"/>
      <c r="KPP110" s="142"/>
      <c r="KPQ110" s="142"/>
      <c r="KPR110" s="142"/>
      <c r="KPS110" s="142"/>
      <c r="KPT110" s="142"/>
      <c r="KPU110" s="142"/>
      <c r="KPV110" s="142"/>
      <c r="KPW110" s="142"/>
      <c r="KPX110" s="142"/>
      <c r="KPY110" s="142"/>
      <c r="KPZ110" s="142"/>
      <c r="KQA110" s="142"/>
      <c r="KQB110" s="142"/>
      <c r="KQC110" s="142"/>
      <c r="KQD110" s="142"/>
      <c r="KQE110" s="142"/>
      <c r="KQF110" s="142"/>
      <c r="KQG110" s="142"/>
      <c r="KQH110" s="142"/>
      <c r="KQI110" s="142"/>
      <c r="KQJ110" s="142"/>
      <c r="KQK110" s="142"/>
      <c r="KQL110" s="142"/>
      <c r="KQM110" s="142"/>
      <c r="KQN110" s="142"/>
      <c r="KQO110" s="142"/>
      <c r="KQP110" s="142"/>
      <c r="KQQ110" s="142"/>
      <c r="KQR110" s="142"/>
      <c r="KQS110" s="142"/>
      <c r="KQT110" s="142"/>
      <c r="KQU110" s="142"/>
      <c r="KQV110" s="142"/>
      <c r="KQW110" s="142"/>
      <c r="KQX110" s="142"/>
      <c r="KQY110" s="142"/>
      <c r="KQZ110" s="142"/>
      <c r="KRA110" s="142"/>
      <c r="KRB110" s="142"/>
      <c r="KRC110" s="142"/>
      <c r="KRD110" s="142"/>
      <c r="KRE110" s="142"/>
      <c r="KRF110" s="142"/>
      <c r="KRG110" s="142"/>
      <c r="KRH110" s="142"/>
      <c r="KRI110" s="142"/>
      <c r="KRJ110" s="142"/>
      <c r="KRK110" s="142"/>
      <c r="KRL110" s="142"/>
      <c r="KRM110" s="142"/>
      <c r="KRN110" s="142"/>
      <c r="KRO110" s="142"/>
      <c r="KRP110" s="142"/>
      <c r="KRQ110" s="142"/>
      <c r="KRR110" s="142"/>
      <c r="KRS110" s="142"/>
      <c r="KRT110" s="142"/>
      <c r="KRU110" s="142"/>
      <c r="KRV110" s="142"/>
      <c r="KRW110" s="142"/>
      <c r="KRX110" s="142"/>
      <c r="KRY110" s="142"/>
      <c r="KRZ110" s="142"/>
      <c r="KSA110" s="142"/>
      <c r="KSB110" s="142"/>
      <c r="KSC110" s="142"/>
      <c r="KSD110" s="142"/>
      <c r="KSE110" s="142"/>
      <c r="KSF110" s="142"/>
      <c r="KSG110" s="142"/>
      <c r="KSH110" s="142"/>
      <c r="KSI110" s="142"/>
      <c r="KSJ110" s="142"/>
      <c r="KSK110" s="142"/>
      <c r="KSL110" s="142"/>
      <c r="KSM110" s="142"/>
      <c r="KSN110" s="142"/>
      <c r="KSO110" s="142"/>
      <c r="KSP110" s="142"/>
      <c r="KSQ110" s="142"/>
      <c r="KSR110" s="142"/>
      <c r="KSS110" s="142"/>
      <c r="KST110" s="142"/>
      <c r="KSU110" s="142"/>
      <c r="KSV110" s="142"/>
      <c r="KSW110" s="142"/>
      <c r="KSX110" s="142"/>
      <c r="KSY110" s="142"/>
      <c r="KSZ110" s="142"/>
      <c r="KTA110" s="142"/>
      <c r="KTB110" s="142"/>
      <c r="KTC110" s="142"/>
      <c r="KTD110" s="142"/>
      <c r="KTE110" s="142"/>
      <c r="KTF110" s="142"/>
      <c r="KTG110" s="142"/>
      <c r="KTH110" s="142"/>
      <c r="KTI110" s="142"/>
      <c r="KTJ110" s="142"/>
      <c r="KTK110" s="142"/>
      <c r="KTL110" s="142"/>
      <c r="KTM110" s="142"/>
      <c r="KTN110" s="142"/>
      <c r="KTO110" s="142"/>
      <c r="KTP110" s="142"/>
      <c r="KTQ110" s="142"/>
      <c r="KTR110" s="142"/>
      <c r="KTS110" s="142"/>
      <c r="KTT110" s="142"/>
      <c r="KTU110" s="142"/>
      <c r="KTV110" s="142"/>
      <c r="KTW110" s="142"/>
      <c r="KTX110" s="142"/>
      <c r="KTY110" s="142"/>
      <c r="KTZ110" s="142"/>
      <c r="KUA110" s="142"/>
      <c r="KUB110" s="142"/>
      <c r="KUC110" s="142"/>
      <c r="KUD110" s="142"/>
      <c r="KUE110" s="142"/>
      <c r="KUF110" s="142"/>
      <c r="KUG110" s="142"/>
      <c r="KUH110" s="142"/>
      <c r="KUI110" s="142"/>
      <c r="KUJ110" s="142"/>
      <c r="KUK110" s="142"/>
      <c r="KUL110" s="142"/>
      <c r="KUM110" s="142"/>
      <c r="KUN110" s="142"/>
      <c r="KUO110" s="142"/>
      <c r="KUP110" s="142"/>
      <c r="KUQ110" s="142"/>
      <c r="KUR110" s="142"/>
      <c r="KUS110" s="142"/>
      <c r="KUT110" s="142"/>
      <c r="KUU110" s="142"/>
      <c r="KUV110" s="142"/>
      <c r="KUW110" s="142"/>
      <c r="KUX110" s="142"/>
      <c r="KUY110" s="142"/>
      <c r="KUZ110" s="142"/>
      <c r="KVA110" s="142"/>
      <c r="KVB110" s="142"/>
      <c r="KVC110" s="142"/>
      <c r="KVD110" s="142"/>
      <c r="KVE110" s="142"/>
      <c r="KVF110" s="142"/>
      <c r="KVG110" s="142"/>
      <c r="KVH110" s="142"/>
      <c r="KVI110" s="142"/>
      <c r="KVJ110" s="142"/>
      <c r="KVK110" s="142"/>
      <c r="KVL110" s="142"/>
      <c r="KVM110" s="142"/>
      <c r="KVN110" s="142"/>
      <c r="KVO110" s="142"/>
      <c r="KVP110" s="142"/>
      <c r="KVQ110" s="142"/>
      <c r="KVR110" s="142"/>
      <c r="KVS110" s="142"/>
      <c r="KVT110" s="142"/>
      <c r="KVU110" s="142"/>
      <c r="KVV110" s="142"/>
      <c r="KVW110" s="142"/>
      <c r="KVX110" s="142"/>
      <c r="KVY110" s="142"/>
      <c r="KVZ110" s="142"/>
      <c r="KWA110" s="142"/>
      <c r="KWB110" s="142"/>
      <c r="KWC110" s="142"/>
      <c r="KWD110" s="142"/>
      <c r="KWE110" s="142"/>
      <c r="KWF110" s="142"/>
      <c r="KWG110" s="142"/>
      <c r="KWH110" s="142"/>
      <c r="KWI110" s="142"/>
      <c r="KWJ110" s="142"/>
      <c r="KWK110" s="142"/>
      <c r="KWL110" s="142"/>
      <c r="KWM110" s="142"/>
      <c r="KWN110" s="142"/>
      <c r="KWO110" s="142"/>
      <c r="KWP110" s="142"/>
      <c r="KWQ110" s="142"/>
      <c r="KWR110" s="142"/>
      <c r="KWS110" s="142"/>
      <c r="KWT110" s="142"/>
      <c r="KWU110" s="142"/>
      <c r="KWV110" s="142"/>
      <c r="KWW110" s="142"/>
      <c r="KWX110" s="142"/>
      <c r="KWY110" s="142"/>
      <c r="KWZ110" s="142"/>
      <c r="KXA110" s="142"/>
      <c r="KXB110" s="142"/>
      <c r="KXC110" s="142"/>
      <c r="KXD110" s="142"/>
      <c r="KXE110" s="142"/>
      <c r="KXF110" s="142"/>
      <c r="KXG110" s="142"/>
      <c r="KXH110" s="142"/>
      <c r="KXI110" s="142"/>
      <c r="KXJ110" s="142"/>
      <c r="KXK110" s="142"/>
      <c r="KXL110" s="142"/>
      <c r="KXM110" s="142"/>
      <c r="KXN110" s="142"/>
      <c r="KXO110" s="142"/>
      <c r="KXP110" s="142"/>
      <c r="KXQ110" s="142"/>
      <c r="KXR110" s="142"/>
      <c r="KXS110" s="142"/>
      <c r="KXT110" s="142"/>
      <c r="KXU110" s="142"/>
      <c r="KXV110" s="142"/>
      <c r="KXW110" s="142"/>
      <c r="KXX110" s="142"/>
      <c r="KXY110" s="142"/>
      <c r="KXZ110" s="142"/>
      <c r="KYA110" s="142"/>
      <c r="KYB110" s="142"/>
      <c r="KYC110" s="142"/>
      <c r="KYD110" s="142"/>
      <c r="KYE110" s="142"/>
      <c r="KYF110" s="142"/>
      <c r="KYG110" s="142"/>
      <c r="KYH110" s="142"/>
      <c r="KYI110" s="142"/>
      <c r="KYJ110" s="142"/>
      <c r="KYK110" s="142"/>
      <c r="KYL110" s="142"/>
      <c r="KYM110" s="142"/>
      <c r="KYN110" s="142"/>
      <c r="KYO110" s="142"/>
      <c r="KYP110" s="142"/>
      <c r="KYQ110" s="142"/>
      <c r="KYR110" s="142"/>
      <c r="KYS110" s="142"/>
      <c r="KYT110" s="142"/>
      <c r="KYU110" s="142"/>
      <c r="KYV110" s="142"/>
      <c r="KYW110" s="142"/>
      <c r="KYX110" s="142"/>
      <c r="KYY110" s="142"/>
      <c r="KYZ110" s="142"/>
      <c r="KZA110" s="142"/>
      <c r="KZB110" s="142"/>
      <c r="KZC110" s="142"/>
      <c r="KZD110" s="142"/>
      <c r="KZE110" s="142"/>
      <c r="KZF110" s="142"/>
      <c r="KZG110" s="142"/>
      <c r="KZH110" s="142"/>
      <c r="KZI110" s="142"/>
      <c r="KZJ110" s="142"/>
      <c r="KZK110" s="142"/>
      <c r="KZL110" s="142"/>
      <c r="KZM110" s="142"/>
      <c r="KZN110" s="142"/>
      <c r="KZO110" s="142"/>
      <c r="KZP110" s="142"/>
      <c r="KZQ110" s="142"/>
      <c r="KZR110" s="142"/>
      <c r="KZS110" s="142"/>
      <c r="KZT110" s="142"/>
      <c r="KZU110" s="142"/>
      <c r="KZV110" s="142"/>
      <c r="KZW110" s="142"/>
      <c r="KZX110" s="142"/>
      <c r="KZY110" s="142"/>
      <c r="KZZ110" s="142"/>
      <c r="LAA110" s="142"/>
      <c r="LAB110" s="142"/>
      <c r="LAC110" s="142"/>
      <c r="LAD110" s="142"/>
      <c r="LAE110" s="142"/>
      <c r="LAF110" s="142"/>
      <c r="LAG110" s="142"/>
      <c r="LAH110" s="142"/>
      <c r="LAI110" s="142"/>
      <c r="LAJ110" s="142"/>
      <c r="LAK110" s="142"/>
      <c r="LAL110" s="142"/>
      <c r="LAM110" s="142"/>
      <c r="LAN110" s="142"/>
      <c r="LAO110" s="142"/>
      <c r="LAP110" s="142"/>
      <c r="LAQ110" s="142"/>
      <c r="LAR110" s="142"/>
      <c r="LAS110" s="142"/>
      <c r="LAT110" s="142"/>
      <c r="LAU110" s="142"/>
      <c r="LAV110" s="142"/>
      <c r="LAW110" s="142"/>
      <c r="LAX110" s="142"/>
      <c r="LAY110" s="142"/>
      <c r="LAZ110" s="142"/>
      <c r="LBA110" s="142"/>
      <c r="LBB110" s="142"/>
      <c r="LBC110" s="142"/>
      <c r="LBD110" s="142"/>
      <c r="LBE110" s="142"/>
      <c r="LBF110" s="142"/>
      <c r="LBG110" s="142"/>
      <c r="LBH110" s="142"/>
      <c r="LBI110" s="142"/>
      <c r="LBJ110" s="142"/>
      <c r="LBK110" s="142"/>
      <c r="LBL110" s="142"/>
      <c r="LBM110" s="142"/>
      <c r="LBN110" s="142"/>
      <c r="LBO110" s="142"/>
      <c r="LBP110" s="142"/>
      <c r="LBQ110" s="142"/>
      <c r="LBR110" s="142"/>
      <c r="LBS110" s="142"/>
      <c r="LBT110" s="142"/>
      <c r="LBU110" s="142"/>
      <c r="LBV110" s="142"/>
      <c r="LBW110" s="142"/>
      <c r="LBX110" s="142"/>
      <c r="LBY110" s="142"/>
      <c r="LBZ110" s="142"/>
      <c r="LCA110" s="142"/>
      <c r="LCB110" s="142"/>
      <c r="LCC110" s="142"/>
      <c r="LCD110" s="142"/>
      <c r="LCE110" s="142"/>
      <c r="LCF110" s="142"/>
      <c r="LCG110" s="142"/>
      <c r="LCH110" s="142"/>
      <c r="LCI110" s="142"/>
      <c r="LCJ110" s="142"/>
      <c r="LCK110" s="142"/>
      <c r="LCL110" s="142"/>
      <c r="LCM110" s="142"/>
      <c r="LCN110" s="142"/>
      <c r="LCO110" s="142"/>
      <c r="LCP110" s="142"/>
      <c r="LCQ110" s="142"/>
      <c r="LCR110" s="142"/>
      <c r="LCS110" s="142"/>
      <c r="LCT110" s="142"/>
      <c r="LCU110" s="142"/>
      <c r="LCV110" s="142"/>
      <c r="LCW110" s="142"/>
      <c r="LCX110" s="142"/>
      <c r="LCY110" s="142"/>
      <c r="LCZ110" s="142"/>
      <c r="LDA110" s="142"/>
      <c r="LDB110" s="142"/>
      <c r="LDC110" s="142"/>
      <c r="LDD110" s="142"/>
      <c r="LDE110" s="142"/>
      <c r="LDF110" s="142"/>
      <c r="LDG110" s="142"/>
      <c r="LDH110" s="142"/>
      <c r="LDI110" s="142"/>
      <c r="LDJ110" s="142"/>
      <c r="LDK110" s="142"/>
      <c r="LDL110" s="142"/>
      <c r="LDM110" s="142"/>
      <c r="LDN110" s="142"/>
      <c r="LDO110" s="142"/>
      <c r="LDP110" s="142"/>
      <c r="LDQ110" s="142"/>
      <c r="LDR110" s="142"/>
      <c r="LDS110" s="142"/>
      <c r="LDT110" s="142"/>
      <c r="LDU110" s="142"/>
      <c r="LDV110" s="142"/>
      <c r="LDW110" s="142"/>
      <c r="LDX110" s="142"/>
      <c r="LDY110" s="142"/>
      <c r="LDZ110" s="142"/>
      <c r="LEA110" s="142"/>
      <c r="LEB110" s="142"/>
      <c r="LEC110" s="142"/>
      <c r="LED110" s="142"/>
      <c r="LEE110" s="142"/>
      <c r="LEF110" s="142"/>
      <c r="LEG110" s="142"/>
      <c r="LEH110" s="142"/>
      <c r="LEI110" s="142"/>
      <c r="LEJ110" s="142"/>
      <c r="LEK110" s="142"/>
      <c r="LEL110" s="142"/>
      <c r="LEM110" s="142"/>
      <c r="LEN110" s="142"/>
      <c r="LEO110" s="142"/>
      <c r="LEP110" s="142"/>
      <c r="LEQ110" s="142"/>
      <c r="LER110" s="142"/>
      <c r="LES110" s="142"/>
      <c r="LET110" s="142"/>
      <c r="LEU110" s="142"/>
      <c r="LEV110" s="142"/>
      <c r="LEW110" s="142"/>
      <c r="LEX110" s="142"/>
      <c r="LEY110" s="142"/>
      <c r="LEZ110" s="142"/>
      <c r="LFA110" s="142"/>
      <c r="LFB110" s="142"/>
      <c r="LFC110" s="142"/>
      <c r="LFD110" s="142"/>
      <c r="LFE110" s="142"/>
      <c r="LFF110" s="142"/>
      <c r="LFG110" s="142"/>
      <c r="LFH110" s="142"/>
      <c r="LFI110" s="142"/>
      <c r="LFJ110" s="142"/>
      <c r="LFK110" s="142"/>
      <c r="LFL110" s="142"/>
      <c r="LFM110" s="142"/>
      <c r="LFN110" s="142"/>
      <c r="LFO110" s="142"/>
      <c r="LFP110" s="142"/>
      <c r="LFQ110" s="142"/>
      <c r="LFR110" s="142"/>
      <c r="LFS110" s="142"/>
      <c r="LFT110" s="142"/>
      <c r="LFU110" s="142"/>
      <c r="LFV110" s="142"/>
      <c r="LFW110" s="142"/>
      <c r="LFX110" s="142"/>
      <c r="LFY110" s="142"/>
      <c r="LFZ110" s="142"/>
      <c r="LGA110" s="142"/>
      <c r="LGB110" s="142"/>
      <c r="LGC110" s="142"/>
      <c r="LGD110" s="142"/>
      <c r="LGE110" s="142"/>
      <c r="LGF110" s="142"/>
      <c r="LGG110" s="142"/>
      <c r="LGH110" s="142"/>
      <c r="LGI110" s="142"/>
      <c r="LGJ110" s="142"/>
      <c r="LGK110" s="142"/>
      <c r="LGL110" s="142"/>
      <c r="LGM110" s="142"/>
      <c r="LGN110" s="142"/>
      <c r="LGO110" s="142"/>
      <c r="LGP110" s="142"/>
      <c r="LGQ110" s="142"/>
      <c r="LGR110" s="142"/>
      <c r="LGS110" s="142"/>
      <c r="LGT110" s="142"/>
      <c r="LGU110" s="142"/>
      <c r="LGV110" s="142"/>
      <c r="LGW110" s="142"/>
      <c r="LGX110" s="142"/>
      <c r="LGY110" s="142"/>
      <c r="LGZ110" s="142"/>
      <c r="LHA110" s="142"/>
      <c r="LHB110" s="142"/>
      <c r="LHC110" s="142"/>
      <c r="LHD110" s="142"/>
      <c r="LHE110" s="142"/>
      <c r="LHF110" s="142"/>
      <c r="LHG110" s="142"/>
      <c r="LHH110" s="142"/>
      <c r="LHI110" s="142"/>
      <c r="LHJ110" s="142"/>
      <c r="LHK110" s="142"/>
      <c r="LHL110" s="142"/>
      <c r="LHM110" s="142"/>
      <c r="LHN110" s="142"/>
      <c r="LHO110" s="142"/>
      <c r="LHP110" s="142"/>
      <c r="LHQ110" s="142"/>
      <c r="LHR110" s="142"/>
      <c r="LHS110" s="142"/>
      <c r="LHT110" s="142"/>
      <c r="LHU110" s="142"/>
      <c r="LHV110" s="142"/>
      <c r="LHW110" s="142"/>
      <c r="LHX110" s="142"/>
      <c r="LHY110" s="142"/>
      <c r="LHZ110" s="142"/>
      <c r="LIA110" s="142"/>
      <c r="LIB110" s="142"/>
      <c r="LIC110" s="142"/>
      <c r="LID110" s="142"/>
      <c r="LIE110" s="142"/>
      <c r="LIF110" s="142"/>
      <c r="LIG110" s="142"/>
      <c r="LIH110" s="142"/>
      <c r="LII110" s="142"/>
      <c r="LIJ110" s="142"/>
      <c r="LIK110" s="142"/>
      <c r="LIL110" s="142"/>
      <c r="LIM110" s="142"/>
      <c r="LIN110" s="142"/>
      <c r="LIO110" s="142"/>
      <c r="LIP110" s="142"/>
      <c r="LIQ110" s="142"/>
      <c r="LIR110" s="142"/>
      <c r="LIS110" s="142"/>
      <c r="LIT110" s="142"/>
      <c r="LIU110" s="142"/>
      <c r="LIV110" s="142"/>
      <c r="LIW110" s="142"/>
      <c r="LIX110" s="142"/>
      <c r="LIY110" s="142"/>
      <c r="LIZ110" s="142"/>
      <c r="LJA110" s="142"/>
      <c r="LJB110" s="142"/>
      <c r="LJC110" s="142"/>
      <c r="LJD110" s="142"/>
      <c r="LJE110" s="142"/>
      <c r="LJF110" s="142"/>
      <c r="LJG110" s="142"/>
      <c r="LJH110" s="142"/>
      <c r="LJI110" s="142"/>
      <c r="LJJ110" s="142"/>
      <c r="LJK110" s="142"/>
      <c r="LJL110" s="142"/>
      <c r="LJM110" s="142"/>
      <c r="LJN110" s="142"/>
      <c r="LJO110" s="142"/>
      <c r="LJP110" s="142"/>
      <c r="LJQ110" s="142"/>
      <c r="LJR110" s="142"/>
      <c r="LJS110" s="142"/>
      <c r="LJT110" s="142"/>
      <c r="LJU110" s="142"/>
      <c r="LJV110" s="142"/>
      <c r="LJW110" s="142"/>
      <c r="LJX110" s="142"/>
      <c r="LJY110" s="142"/>
      <c r="LJZ110" s="142"/>
      <c r="LKA110" s="142"/>
      <c r="LKB110" s="142"/>
      <c r="LKC110" s="142"/>
      <c r="LKD110" s="142"/>
      <c r="LKE110" s="142"/>
      <c r="LKF110" s="142"/>
      <c r="LKG110" s="142"/>
      <c r="LKH110" s="142"/>
      <c r="LKI110" s="142"/>
      <c r="LKJ110" s="142"/>
      <c r="LKK110" s="142"/>
      <c r="LKL110" s="142"/>
      <c r="LKM110" s="142"/>
      <c r="LKN110" s="142"/>
      <c r="LKO110" s="142"/>
      <c r="LKP110" s="142"/>
      <c r="LKQ110" s="142"/>
      <c r="LKR110" s="142"/>
      <c r="LKS110" s="142"/>
      <c r="LKT110" s="142"/>
      <c r="LKU110" s="142"/>
      <c r="LKV110" s="142"/>
      <c r="LKW110" s="142"/>
      <c r="LKX110" s="142"/>
      <c r="LKY110" s="142"/>
      <c r="LKZ110" s="142"/>
      <c r="LLA110" s="142"/>
      <c r="LLB110" s="142"/>
      <c r="LLC110" s="142"/>
      <c r="LLD110" s="142"/>
      <c r="LLE110" s="142"/>
      <c r="LLF110" s="142"/>
      <c r="LLG110" s="142"/>
      <c r="LLH110" s="142"/>
      <c r="LLI110" s="142"/>
      <c r="LLJ110" s="142"/>
      <c r="LLK110" s="142"/>
      <c r="LLL110" s="142"/>
      <c r="LLM110" s="142"/>
      <c r="LLN110" s="142"/>
      <c r="LLO110" s="142"/>
      <c r="LLP110" s="142"/>
      <c r="LLQ110" s="142"/>
      <c r="LLR110" s="142"/>
      <c r="LLS110" s="142"/>
      <c r="LLT110" s="142"/>
      <c r="LLU110" s="142"/>
      <c r="LLV110" s="142"/>
      <c r="LLW110" s="142"/>
      <c r="LLX110" s="142"/>
      <c r="LLY110" s="142"/>
      <c r="LLZ110" s="142"/>
      <c r="LMA110" s="142"/>
      <c r="LMB110" s="142"/>
      <c r="LMC110" s="142"/>
      <c r="LMD110" s="142"/>
      <c r="LME110" s="142"/>
      <c r="LMF110" s="142"/>
      <c r="LMG110" s="142"/>
      <c r="LMH110" s="142"/>
      <c r="LMI110" s="142"/>
      <c r="LMJ110" s="142"/>
      <c r="LMK110" s="142"/>
      <c r="LML110" s="142"/>
      <c r="LMM110" s="142"/>
      <c r="LMN110" s="142"/>
      <c r="LMO110" s="142"/>
      <c r="LMP110" s="142"/>
      <c r="LMQ110" s="142"/>
      <c r="LMR110" s="142"/>
      <c r="LMS110" s="142"/>
      <c r="LMT110" s="142"/>
      <c r="LMU110" s="142"/>
      <c r="LMV110" s="142"/>
      <c r="LMW110" s="142"/>
      <c r="LMX110" s="142"/>
      <c r="LMY110" s="142"/>
      <c r="LMZ110" s="142"/>
      <c r="LNA110" s="142"/>
      <c r="LNB110" s="142"/>
      <c r="LNC110" s="142"/>
      <c r="LND110" s="142"/>
      <c r="LNE110" s="142"/>
      <c r="LNF110" s="142"/>
      <c r="LNG110" s="142"/>
      <c r="LNH110" s="142"/>
      <c r="LNI110" s="142"/>
      <c r="LNJ110" s="142"/>
      <c r="LNK110" s="142"/>
      <c r="LNL110" s="142"/>
      <c r="LNM110" s="142"/>
      <c r="LNN110" s="142"/>
      <c r="LNO110" s="142"/>
      <c r="LNP110" s="142"/>
      <c r="LNQ110" s="142"/>
      <c r="LNR110" s="142"/>
      <c r="LNS110" s="142"/>
      <c r="LNT110" s="142"/>
      <c r="LNU110" s="142"/>
      <c r="LNV110" s="142"/>
      <c r="LNW110" s="142"/>
      <c r="LNX110" s="142"/>
      <c r="LNY110" s="142"/>
      <c r="LNZ110" s="142"/>
      <c r="LOA110" s="142"/>
      <c r="LOB110" s="142"/>
      <c r="LOC110" s="142"/>
      <c r="LOD110" s="142"/>
      <c r="LOE110" s="142"/>
      <c r="LOF110" s="142"/>
      <c r="LOG110" s="142"/>
      <c r="LOH110" s="142"/>
      <c r="LOI110" s="142"/>
      <c r="LOJ110" s="142"/>
      <c r="LOK110" s="142"/>
      <c r="LOL110" s="142"/>
      <c r="LOM110" s="142"/>
      <c r="LON110" s="142"/>
      <c r="LOO110" s="142"/>
      <c r="LOP110" s="142"/>
      <c r="LOQ110" s="142"/>
      <c r="LOR110" s="142"/>
      <c r="LOS110" s="142"/>
      <c r="LOT110" s="142"/>
      <c r="LOU110" s="142"/>
      <c r="LOV110" s="142"/>
      <c r="LOW110" s="142"/>
      <c r="LOX110" s="142"/>
      <c r="LOY110" s="142"/>
      <c r="LOZ110" s="142"/>
      <c r="LPA110" s="142"/>
      <c r="LPB110" s="142"/>
      <c r="LPC110" s="142"/>
      <c r="LPD110" s="142"/>
      <c r="LPE110" s="142"/>
      <c r="LPF110" s="142"/>
      <c r="LPG110" s="142"/>
      <c r="LPH110" s="142"/>
      <c r="LPI110" s="142"/>
      <c r="LPJ110" s="142"/>
      <c r="LPK110" s="142"/>
      <c r="LPL110" s="142"/>
      <c r="LPM110" s="142"/>
      <c r="LPN110" s="142"/>
      <c r="LPO110" s="142"/>
      <c r="LPP110" s="142"/>
      <c r="LPQ110" s="142"/>
      <c r="LPR110" s="142"/>
      <c r="LPS110" s="142"/>
      <c r="LPT110" s="142"/>
      <c r="LPU110" s="142"/>
      <c r="LPV110" s="142"/>
      <c r="LPW110" s="142"/>
      <c r="LPX110" s="142"/>
      <c r="LPY110" s="142"/>
      <c r="LPZ110" s="142"/>
      <c r="LQA110" s="142"/>
      <c r="LQB110" s="142"/>
      <c r="LQC110" s="142"/>
      <c r="LQD110" s="142"/>
      <c r="LQE110" s="142"/>
      <c r="LQF110" s="142"/>
      <c r="LQG110" s="142"/>
      <c r="LQH110" s="142"/>
      <c r="LQI110" s="142"/>
      <c r="LQJ110" s="142"/>
      <c r="LQK110" s="142"/>
      <c r="LQL110" s="142"/>
      <c r="LQM110" s="142"/>
      <c r="LQN110" s="142"/>
      <c r="LQO110" s="142"/>
      <c r="LQP110" s="142"/>
      <c r="LQQ110" s="142"/>
      <c r="LQR110" s="142"/>
      <c r="LQS110" s="142"/>
      <c r="LQT110" s="142"/>
      <c r="LQU110" s="142"/>
      <c r="LQV110" s="142"/>
      <c r="LQW110" s="142"/>
      <c r="LQX110" s="142"/>
      <c r="LQY110" s="142"/>
      <c r="LQZ110" s="142"/>
      <c r="LRA110" s="142"/>
      <c r="LRB110" s="142"/>
      <c r="LRC110" s="142"/>
      <c r="LRD110" s="142"/>
      <c r="LRE110" s="142"/>
      <c r="LRF110" s="142"/>
      <c r="LRG110" s="142"/>
      <c r="LRH110" s="142"/>
      <c r="LRI110" s="142"/>
      <c r="LRJ110" s="142"/>
      <c r="LRK110" s="142"/>
      <c r="LRL110" s="142"/>
      <c r="LRM110" s="142"/>
      <c r="LRN110" s="142"/>
      <c r="LRO110" s="142"/>
      <c r="LRP110" s="142"/>
      <c r="LRQ110" s="142"/>
      <c r="LRR110" s="142"/>
      <c r="LRS110" s="142"/>
      <c r="LRT110" s="142"/>
      <c r="LRU110" s="142"/>
      <c r="LRV110" s="142"/>
      <c r="LRW110" s="142"/>
      <c r="LRX110" s="142"/>
      <c r="LRY110" s="142"/>
      <c r="LRZ110" s="142"/>
      <c r="LSA110" s="142"/>
      <c r="LSB110" s="142"/>
      <c r="LSC110" s="142"/>
      <c r="LSD110" s="142"/>
      <c r="LSE110" s="142"/>
      <c r="LSF110" s="142"/>
      <c r="LSG110" s="142"/>
      <c r="LSH110" s="142"/>
      <c r="LSI110" s="142"/>
      <c r="LSJ110" s="142"/>
      <c r="LSK110" s="142"/>
      <c r="LSL110" s="142"/>
      <c r="LSM110" s="142"/>
      <c r="LSN110" s="142"/>
      <c r="LSO110" s="142"/>
      <c r="LSP110" s="142"/>
      <c r="LSQ110" s="142"/>
      <c r="LSR110" s="142"/>
      <c r="LSS110" s="142"/>
      <c r="LST110" s="142"/>
      <c r="LSU110" s="142"/>
      <c r="LSV110" s="142"/>
      <c r="LSW110" s="142"/>
      <c r="LSX110" s="142"/>
      <c r="LSY110" s="142"/>
      <c r="LSZ110" s="142"/>
      <c r="LTA110" s="142"/>
      <c r="LTB110" s="142"/>
      <c r="LTC110" s="142"/>
      <c r="LTD110" s="142"/>
      <c r="LTE110" s="142"/>
      <c r="LTF110" s="142"/>
      <c r="LTG110" s="142"/>
      <c r="LTH110" s="142"/>
      <c r="LTI110" s="142"/>
      <c r="LTJ110" s="142"/>
      <c r="LTK110" s="142"/>
      <c r="LTL110" s="142"/>
      <c r="LTM110" s="142"/>
      <c r="LTN110" s="142"/>
      <c r="LTO110" s="142"/>
      <c r="LTP110" s="142"/>
      <c r="LTQ110" s="142"/>
      <c r="LTR110" s="142"/>
      <c r="LTS110" s="142"/>
      <c r="LTT110" s="142"/>
      <c r="LTU110" s="142"/>
      <c r="LTV110" s="142"/>
      <c r="LTW110" s="142"/>
      <c r="LTX110" s="142"/>
      <c r="LTY110" s="142"/>
      <c r="LTZ110" s="142"/>
      <c r="LUA110" s="142"/>
      <c r="LUB110" s="142"/>
      <c r="LUC110" s="142"/>
      <c r="LUD110" s="142"/>
      <c r="LUE110" s="142"/>
      <c r="LUF110" s="142"/>
      <c r="LUG110" s="142"/>
      <c r="LUH110" s="142"/>
      <c r="LUI110" s="142"/>
      <c r="LUJ110" s="142"/>
      <c r="LUK110" s="142"/>
      <c r="LUL110" s="142"/>
      <c r="LUM110" s="142"/>
      <c r="LUN110" s="142"/>
      <c r="LUO110" s="142"/>
      <c r="LUP110" s="142"/>
      <c r="LUQ110" s="142"/>
      <c r="LUR110" s="142"/>
      <c r="LUS110" s="142"/>
      <c r="LUT110" s="142"/>
      <c r="LUU110" s="142"/>
      <c r="LUV110" s="142"/>
      <c r="LUW110" s="142"/>
      <c r="LUX110" s="142"/>
      <c r="LUY110" s="142"/>
      <c r="LUZ110" s="142"/>
      <c r="LVA110" s="142"/>
      <c r="LVB110" s="142"/>
      <c r="LVC110" s="142"/>
      <c r="LVD110" s="142"/>
      <c r="LVE110" s="142"/>
      <c r="LVF110" s="142"/>
      <c r="LVG110" s="142"/>
      <c r="LVH110" s="142"/>
      <c r="LVI110" s="142"/>
      <c r="LVJ110" s="142"/>
      <c r="LVK110" s="142"/>
      <c r="LVL110" s="142"/>
      <c r="LVM110" s="142"/>
      <c r="LVN110" s="142"/>
      <c r="LVO110" s="142"/>
      <c r="LVP110" s="142"/>
      <c r="LVQ110" s="142"/>
      <c r="LVR110" s="142"/>
      <c r="LVS110" s="142"/>
      <c r="LVT110" s="142"/>
      <c r="LVU110" s="142"/>
      <c r="LVV110" s="142"/>
      <c r="LVW110" s="142"/>
      <c r="LVX110" s="142"/>
      <c r="LVY110" s="142"/>
      <c r="LVZ110" s="142"/>
      <c r="LWA110" s="142"/>
      <c r="LWB110" s="142"/>
      <c r="LWC110" s="142"/>
      <c r="LWD110" s="142"/>
      <c r="LWE110" s="142"/>
      <c r="LWF110" s="142"/>
      <c r="LWG110" s="142"/>
      <c r="LWH110" s="142"/>
      <c r="LWI110" s="142"/>
      <c r="LWJ110" s="142"/>
      <c r="LWK110" s="142"/>
      <c r="LWL110" s="142"/>
      <c r="LWM110" s="142"/>
      <c r="LWN110" s="142"/>
      <c r="LWO110" s="142"/>
      <c r="LWP110" s="142"/>
      <c r="LWQ110" s="142"/>
      <c r="LWR110" s="142"/>
      <c r="LWS110" s="142"/>
      <c r="LWT110" s="142"/>
      <c r="LWU110" s="142"/>
      <c r="LWV110" s="142"/>
      <c r="LWW110" s="142"/>
      <c r="LWX110" s="142"/>
      <c r="LWY110" s="142"/>
      <c r="LWZ110" s="142"/>
      <c r="LXA110" s="142"/>
      <c r="LXB110" s="142"/>
      <c r="LXC110" s="142"/>
      <c r="LXD110" s="142"/>
      <c r="LXE110" s="142"/>
      <c r="LXF110" s="142"/>
      <c r="LXG110" s="142"/>
      <c r="LXH110" s="142"/>
      <c r="LXI110" s="142"/>
      <c r="LXJ110" s="142"/>
      <c r="LXK110" s="142"/>
      <c r="LXL110" s="142"/>
      <c r="LXM110" s="142"/>
      <c r="LXN110" s="142"/>
      <c r="LXO110" s="142"/>
      <c r="LXP110" s="142"/>
      <c r="LXQ110" s="142"/>
      <c r="LXR110" s="142"/>
      <c r="LXS110" s="142"/>
      <c r="LXT110" s="142"/>
      <c r="LXU110" s="142"/>
      <c r="LXV110" s="142"/>
      <c r="LXW110" s="142"/>
      <c r="LXX110" s="142"/>
      <c r="LXY110" s="142"/>
      <c r="LXZ110" s="142"/>
      <c r="LYA110" s="142"/>
      <c r="LYB110" s="142"/>
      <c r="LYC110" s="142"/>
      <c r="LYD110" s="142"/>
      <c r="LYE110" s="142"/>
      <c r="LYF110" s="142"/>
      <c r="LYG110" s="142"/>
      <c r="LYH110" s="142"/>
      <c r="LYI110" s="142"/>
      <c r="LYJ110" s="142"/>
      <c r="LYK110" s="142"/>
      <c r="LYL110" s="142"/>
      <c r="LYM110" s="142"/>
      <c r="LYN110" s="142"/>
      <c r="LYO110" s="142"/>
      <c r="LYP110" s="142"/>
      <c r="LYQ110" s="142"/>
      <c r="LYR110" s="142"/>
      <c r="LYS110" s="142"/>
      <c r="LYT110" s="142"/>
      <c r="LYU110" s="142"/>
      <c r="LYV110" s="142"/>
      <c r="LYW110" s="142"/>
      <c r="LYX110" s="142"/>
      <c r="LYY110" s="142"/>
      <c r="LYZ110" s="142"/>
      <c r="LZA110" s="142"/>
      <c r="LZB110" s="142"/>
      <c r="LZC110" s="142"/>
      <c r="LZD110" s="142"/>
      <c r="LZE110" s="142"/>
      <c r="LZF110" s="142"/>
      <c r="LZG110" s="142"/>
      <c r="LZH110" s="142"/>
      <c r="LZI110" s="142"/>
      <c r="LZJ110" s="142"/>
      <c r="LZK110" s="142"/>
      <c r="LZL110" s="142"/>
      <c r="LZM110" s="142"/>
      <c r="LZN110" s="142"/>
      <c r="LZO110" s="142"/>
      <c r="LZP110" s="142"/>
      <c r="LZQ110" s="142"/>
      <c r="LZR110" s="142"/>
      <c r="LZS110" s="142"/>
      <c r="LZT110" s="142"/>
      <c r="LZU110" s="142"/>
      <c r="LZV110" s="142"/>
      <c r="LZW110" s="142"/>
      <c r="LZX110" s="142"/>
      <c r="LZY110" s="142"/>
      <c r="LZZ110" s="142"/>
      <c r="MAA110" s="142"/>
      <c r="MAB110" s="142"/>
      <c r="MAC110" s="142"/>
      <c r="MAD110" s="142"/>
      <c r="MAE110" s="142"/>
      <c r="MAF110" s="142"/>
      <c r="MAG110" s="142"/>
      <c r="MAH110" s="142"/>
      <c r="MAI110" s="142"/>
      <c r="MAJ110" s="142"/>
      <c r="MAK110" s="142"/>
      <c r="MAL110" s="142"/>
      <c r="MAM110" s="142"/>
      <c r="MAN110" s="142"/>
      <c r="MAO110" s="142"/>
      <c r="MAP110" s="142"/>
      <c r="MAQ110" s="142"/>
      <c r="MAR110" s="142"/>
      <c r="MAS110" s="142"/>
      <c r="MAT110" s="142"/>
      <c r="MAU110" s="142"/>
      <c r="MAV110" s="142"/>
      <c r="MAW110" s="142"/>
      <c r="MAX110" s="142"/>
      <c r="MAY110" s="142"/>
      <c r="MAZ110" s="142"/>
      <c r="MBA110" s="142"/>
      <c r="MBB110" s="142"/>
      <c r="MBC110" s="142"/>
      <c r="MBD110" s="142"/>
      <c r="MBE110" s="142"/>
      <c r="MBF110" s="142"/>
      <c r="MBG110" s="142"/>
      <c r="MBH110" s="142"/>
      <c r="MBI110" s="142"/>
      <c r="MBJ110" s="142"/>
      <c r="MBK110" s="142"/>
      <c r="MBL110" s="142"/>
      <c r="MBM110" s="142"/>
      <c r="MBN110" s="142"/>
      <c r="MBO110" s="142"/>
      <c r="MBP110" s="142"/>
      <c r="MBQ110" s="142"/>
      <c r="MBR110" s="142"/>
      <c r="MBS110" s="142"/>
      <c r="MBT110" s="142"/>
      <c r="MBU110" s="142"/>
      <c r="MBV110" s="142"/>
      <c r="MBW110" s="142"/>
      <c r="MBX110" s="142"/>
      <c r="MBY110" s="142"/>
      <c r="MBZ110" s="142"/>
      <c r="MCA110" s="142"/>
      <c r="MCB110" s="142"/>
      <c r="MCC110" s="142"/>
      <c r="MCD110" s="142"/>
      <c r="MCE110" s="142"/>
      <c r="MCF110" s="142"/>
      <c r="MCG110" s="142"/>
      <c r="MCH110" s="142"/>
      <c r="MCI110" s="142"/>
      <c r="MCJ110" s="142"/>
      <c r="MCK110" s="142"/>
      <c r="MCL110" s="142"/>
      <c r="MCM110" s="142"/>
      <c r="MCN110" s="142"/>
      <c r="MCO110" s="142"/>
      <c r="MCP110" s="142"/>
      <c r="MCQ110" s="142"/>
      <c r="MCR110" s="142"/>
      <c r="MCS110" s="142"/>
      <c r="MCT110" s="142"/>
      <c r="MCU110" s="142"/>
      <c r="MCV110" s="142"/>
      <c r="MCW110" s="142"/>
      <c r="MCX110" s="142"/>
      <c r="MCY110" s="142"/>
      <c r="MCZ110" s="142"/>
      <c r="MDA110" s="142"/>
      <c r="MDB110" s="142"/>
      <c r="MDC110" s="142"/>
      <c r="MDD110" s="142"/>
      <c r="MDE110" s="142"/>
      <c r="MDF110" s="142"/>
      <c r="MDG110" s="142"/>
      <c r="MDH110" s="142"/>
      <c r="MDI110" s="142"/>
      <c r="MDJ110" s="142"/>
      <c r="MDK110" s="142"/>
      <c r="MDL110" s="142"/>
      <c r="MDM110" s="142"/>
      <c r="MDN110" s="142"/>
      <c r="MDO110" s="142"/>
      <c r="MDP110" s="142"/>
      <c r="MDQ110" s="142"/>
      <c r="MDR110" s="142"/>
      <c r="MDS110" s="142"/>
      <c r="MDT110" s="142"/>
      <c r="MDU110" s="142"/>
      <c r="MDV110" s="142"/>
      <c r="MDW110" s="142"/>
      <c r="MDX110" s="142"/>
      <c r="MDY110" s="142"/>
      <c r="MDZ110" s="142"/>
      <c r="MEA110" s="142"/>
      <c r="MEB110" s="142"/>
      <c r="MEC110" s="142"/>
      <c r="MED110" s="142"/>
      <c r="MEE110" s="142"/>
      <c r="MEF110" s="142"/>
      <c r="MEG110" s="142"/>
      <c r="MEH110" s="142"/>
      <c r="MEI110" s="142"/>
      <c r="MEJ110" s="142"/>
      <c r="MEK110" s="142"/>
      <c r="MEL110" s="142"/>
      <c r="MEM110" s="142"/>
      <c r="MEN110" s="142"/>
      <c r="MEO110" s="142"/>
      <c r="MEP110" s="142"/>
      <c r="MEQ110" s="142"/>
      <c r="MER110" s="142"/>
      <c r="MES110" s="142"/>
      <c r="MET110" s="142"/>
      <c r="MEU110" s="142"/>
      <c r="MEV110" s="142"/>
      <c r="MEW110" s="142"/>
      <c r="MEX110" s="142"/>
      <c r="MEY110" s="142"/>
      <c r="MEZ110" s="142"/>
      <c r="MFA110" s="142"/>
      <c r="MFB110" s="142"/>
      <c r="MFC110" s="142"/>
      <c r="MFD110" s="142"/>
      <c r="MFE110" s="142"/>
      <c r="MFF110" s="142"/>
      <c r="MFG110" s="142"/>
      <c r="MFH110" s="142"/>
      <c r="MFI110" s="142"/>
      <c r="MFJ110" s="142"/>
      <c r="MFK110" s="142"/>
      <c r="MFL110" s="142"/>
      <c r="MFM110" s="142"/>
      <c r="MFN110" s="142"/>
      <c r="MFO110" s="142"/>
      <c r="MFP110" s="142"/>
      <c r="MFQ110" s="142"/>
      <c r="MFR110" s="142"/>
      <c r="MFS110" s="142"/>
      <c r="MFT110" s="142"/>
      <c r="MFU110" s="142"/>
      <c r="MFV110" s="142"/>
      <c r="MFW110" s="142"/>
      <c r="MFX110" s="142"/>
      <c r="MFY110" s="142"/>
      <c r="MFZ110" s="142"/>
      <c r="MGA110" s="142"/>
      <c r="MGB110" s="142"/>
      <c r="MGC110" s="142"/>
      <c r="MGD110" s="142"/>
      <c r="MGE110" s="142"/>
      <c r="MGF110" s="142"/>
      <c r="MGG110" s="142"/>
      <c r="MGH110" s="142"/>
      <c r="MGI110" s="142"/>
      <c r="MGJ110" s="142"/>
      <c r="MGK110" s="142"/>
      <c r="MGL110" s="142"/>
      <c r="MGM110" s="142"/>
      <c r="MGN110" s="142"/>
      <c r="MGO110" s="142"/>
      <c r="MGP110" s="142"/>
      <c r="MGQ110" s="142"/>
      <c r="MGR110" s="142"/>
      <c r="MGS110" s="142"/>
      <c r="MGT110" s="142"/>
      <c r="MGU110" s="142"/>
      <c r="MGV110" s="142"/>
      <c r="MGW110" s="142"/>
      <c r="MGX110" s="142"/>
      <c r="MGY110" s="142"/>
      <c r="MGZ110" s="142"/>
      <c r="MHA110" s="142"/>
      <c r="MHB110" s="142"/>
      <c r="MHC110" s="142"/>
      <c r="MHD110" s="142"/>
      <c r="MHE110" s="142"/>
      <c r="MHF110" s="142"/>
      <c r="MHG110" s="142"/>
      <c r="MHH110" s="142"/>
      <c r="MHI110" s="142"/>
      <c r="MHJ110" s="142"/>
      <c r="MHK110" s="142"/>
      <c r="MHL110" s="142"/>
      <c r="MHM110" s="142"/>
      <c r="MHN110" s="142"/>
      <c r="MHO110" s="142"/>
      <c r="MHP110" s="142"/>
      <c r="MHQ110" s="142"/>
      <c r="MHR110" s="142"/>
      <c r="MHS110" s="142"/>
      <c r="MHT110" s="142"/>
      <c r="MHU110" s="142"/>
      <c r="MHV110" s="142"/>
      <c r="MHW110" s="142"/>
      <c r="MHX110" s="142"/>
      <c r="MHY110" s="142"/>
      <c r="MHZ110" s="142"/>
      <c r="MIA110" s="142"/>
      <c r="MIB110" s="142"/>
      <c r="MIC110" s="142"/>
      <c r="MID110" s="142"/>
      <c r="MIE110" s="142"/>
      <c r="MIF110" s="142"/>
      <c r="MIG110" s="142"/>
      <c r="MIH110" s="142"/>
      <c r="MII110" s="142"/>
      <c r="MIJ110" s="142"/>
      <c r="MIK110" s="142"/>
      <c r="MIL110" s="142"/>
      <c r="MIM110" s="142"/>
      <c r="MIN110" s="142"/>
      <c r="MIO110" s="142"/>
      <c r="MIP110" s="142"/>
      <c r="MIQ110" s="142"/>
      <c r="MIR110" s="142"/>
      <c r="MIS110" s="142"/>
      <c r="MIT110" s="142"/>
      <c r="MIU110" s="142"/>
      <c r="MIV110" s="142"/>
      <c r="MIW110" s="142"/>
      <c r="MIX110" s="142"/>
      <c r="MIY110" s="142"/>
      <c r="MIZ110" s="142"/>
      <c r="MJA110" s="142"/>
      <c r="MJB110" s="142"/>
      <c r="MJC110" s="142"/>
      <c r="MJD110" s="142"/>
      <c r="MJE110" s="142"/>
      <c r="MJF110" s="142"/>
      <c r="MJG110" s="142"/>
      <c r="MJH110" s="142"/>
      <c r="MJI110" s="142"/>
      <c r="MJJ110" s="142"/>
      <c r="MJK110" s="142"/>
      <c r="MJL110" s="142"/>
      <c r="MJM110" s="142"/>
      <c r="MJN110" s="142"/>
      <c r="MJO110" s="142"/>
      <c r="MJP110" s="142"/>
      <c r="MJQ110" s="142"/>
      <c r="MJR110" s="142"/>
      <c r="MJS110" s="142"/>
      <c r="MJT110" s="142"/>
      <c r="MJU110" s="142"/>
      <c r="MJV110" s="142"/>
      <c r="MJW110" s="142"/>
      <c r="MJX110" s="142"/>
      <c r="MJY110" s="142"/>
      <c r="MJZ110" s="142"/>
      <c r="MKA110" s="142"/>
      <c r="MKB110" s="142"/>
      <c r="MKC110" s="142"/>
      <c r="MKD110" s="142"/>
      <c r="MKE110" s="142"/>
      <c r="MKF110" s="142"/>
      <c r="MKG110" s="142"/>
      <c r="MKH110" s="142"/>
      <c r="MKI110" s="142"/>
      <c r="MKJ110" s="142"/>
      <c r="MKK110" s="142"/>
      <c r="MKL110" s="142"/>
      <c r="MKM110" s="142"/>
      <c r="MKN110" s="142"/>
      <c r="MKO110" s="142"/>
      <c r="MKP110" s="142"/>
      <c r="MKQ110" s="142"/>
      <c r="MKR110" s="142"/>
      <c r="MKS110" s="142"/>
      <c r="MKT110" s="142"/>
      <c r="MKU110" s="142"/>
      <c r="MKV110" s="142"/>
      <c r="MKW110" s="142"/>
      <c r="MKX110" s="142"/>
      <c r="MKY110" s="142"/>
      <c r="MKZ110" s="142"/>
      <c r="MLA110" s="142"/>
      <c r="MLB110" s="142"/>
      <c r="MLC110" s="142"/>
      <c r="MLD110" s="142"/>
      <c r="MLE110" s="142"/>
      <c r="MLF110" s="142"/>
      <c r="MLG110" s="142"/>
      <c r="MLH110" s="142"/>
      <c r="MLI110" s="142"/>
      <c r="MLJ110" s="142"/>
      <c r="MLK110" s="142"/>
      <c r="MLL110" s="142"/>
      <c r="MLM110" s="142"/>
      <c r="MLN110" s="142"/>
      <c r="MLO110" s="142"/>
      <c r="MLP110" s="142"/>
      <c r="MLQ110" s="142"/>
      <c r="MLR110" s="142"/>
      <c r="MLS110" s="142"/>
      <c r="MLT110" s="142"/>
      <c r="MLU110" s="142"/>
      <c r="MLV110" s="142"/>
      <c r="MLW110" s="142"/>
      <c r="MLX110" s="142"/>
      <c r="MLY110" s="142"/>
      <c r="MLZ110" s="142"/>
      <c r="MMA110" s="142"/>
      <c r="MMB110" s="142"/>
      <c r="MMC110" s="142"/>
      <c r="MMD110" s="142"/>
      <c r="MME110" s="142"/>
      <c r="MMF110" s="142"/>
      <c r="MMG110" s="142"/>
      <c r="MMH110" s="142"/>
      <c r="MMI110" s="142"/>
      <c r="MMJ110" s="142"/>
      <c r="MMK110" s="142"/>
      <c r="MML110" s="142"/>
      <c r="MMM110" s="142"/>
      <c r="MMN110" s="142"/>
      <c r="MMO110" s="142"/>
      <c r="MMP110" s="142"/>
      <c r="MMQ110" s="142"/>
      <c r="MMR110" s="142"/>
      <c r="MMS110" s="142"/>
      <c r="MMT110" s="142"/>
      <c r="MMU110" s="142"/>
      <c r="MMV110" s="142"/>
      <c r="MMW110" s="142"/>
      <c r="MMX110" s="142"/>
      <c r="MMY110" s="142"/>
      <c r="MMZ110" s="142"/>
      <c r="MNA110" s="142"/>
      <c r="MNB110" s="142"/>
      <c r="MNC110" s="142"/>
      <c r="MND110" s="142"/>
      <c r="MNE110" s="142"/>
      <c r="MNF110" s="142"/>
      <c r="MNG110" s="142"/>
      <c r="MNH110" s="142"/>
      <c r="MNI110" s="142"/>
      <c r="MNJ110" s="142"/>
      <c r="MNK110" s="142"/>
      <c r="MNL110" s="142"/>
      <c r="MNM110" s="142"/>
      <c r="MNN110" s="142"/>
      <c r="MNO110" s="142"/>
      <c r="MNP110" s="142"/>
      <c r="MNQ110" s="142"/>
      <c r="MNR110" s="142"/>
      <c r="MNS110" s="142"/>
      <c r="MNT110" s="142"/>
      <c r="MNU110" s="142"/>
      <c r="MNV110" s="142"/>
      <c r="MNW110" s="142"/>
      <c r="MNX110" s="142"/>
      <c r="MNY110" s="142"/>
      <c r="MNZ110" s="142"/>
      <c r="MOA110" s="142"/>
      <c r="MOB110" s="142"/>
      <c r="MOC110" s="142"/>
      <c r="MOD110" s="142"/>
      <c r="MOE110" s="142"/>
      <c r="MOF110" s="142"/>
      <c r="MOG110" s="142"/>
      <c r="MOH110" s="142"/>
      <c r="MOI110" s="142"/>
      <c r="MOJ110" s="142"/>
      <c r="MOK110" s="142"/>
      <c r="MOL110" s="142"/>
      <c r="MOM110" s="142"/>
      <c r="MON110" s="142"/>
      <c r="MOO110" s="142"/>
      <c r="MOP110" s="142"/>
      <c r="MOQ110" s="142"/>
      <c r="MOR110" s="142"/>
      <c r="MOS110" s="142"/>
      <c r="MOT110" s="142"/>
      <c r="MOU110" s="142"/>
      <c r="MOV110" s="142"/>
      <c r="MOW110" s="142"/>
      <c r="MOX110" s="142"/>
      <c r="MOY110" s="142"/>
      <c r="MOZ110" s="142"/>
      <c r="MPA110" s="142"/>
      <c r="MPB110" s="142"/>
      <c r="MPC110" s="142"/>
      <c r="MPD110" s="142"/>
      <c r="MPE110" s="142"/>
      <c r="MPF110" s="142"/>
      <c r="MPG110" s="142"/>
      <c r="MPH110" s="142"/>
      <c r="MPI110" s="142"/>
      <c r="MPJ110" s="142"/>
      <c r="MPK110" s="142"/>
      <c r="MPL110" s="142"/>
      <c r="MPM110" s="142"/>
      <c r="MPN110" s="142"/>
      <c r="MPO110" s="142"/>
      <c r="MPP110" s="142"/>
      <c r="MPQ110" s="142"/>
      <c r="MPR110" s="142"/>
      <c r="MPS110" s="142"/>
      <c r="MPT110" s="142"/>
      <c r="MPU110" s="142"/>
      <c r="MPV110" s="142"/>
      <c r="MPW110" s="142"/>
      <c r="MPX110" s="142"/>
      <c r="MPY110" s="142"/>
      <c r="MPZ110" s="142"/>
      <c r="MQA110" s="142"/>
      <c r="MQB110" s="142"/>
      <c r="MQC110" s="142"/>
      <c r="MQD110" s="142"/>
      <c r="MQE110" s="142"/>
      <c r="MQF110" s="142"/>
      <c r="MQG110" s="142"/>
      <c r="MQH110" s="142"/>
      <c r="MQI110" s="142"/>
      <c r="MQJ110" s="142"/>
      <c r="MQK110" s="142"/>
      <c r="MQL110" s="142"/>
      <c r="MQM110" s="142"/>
      <c r="MQN110" s="142"/>
      <c r="MQO110" s="142"/>
      <c r="MQP110" s="142"/>
      <c r="MQQ110" s="142"/>
      <c r="MQR110" s="142"/>
      <c r="MQS110" s="142"/>
      <c r="MQT110" s="142"/>
      <c r="MQU110" s="142"/>
      <c r="MQV110" s="142"/>
      <c r="MQW110" s="142"/>
      <c r="MQX110" s="142"/>
      <c r="MQY110" s="142"/>
      <c r="MQZ110" s="142"/>
      <c r="MRA110" s="142"/>
      <c r="MRB110" s="142"/>
      <c r="MRC110" s="142"/>
      <c r="MRD110" s="142"/>
      <c r="MRE110" s="142"/>
      <c r="MRF110" s="142"/>
      <c r="MRG110" s="142"/>
      <c r="MRH110" s="142"/>
      <c r="MRI110" s="142"/>
      <c r="MRJ110" s="142"/>
      <c r="MRK110" s="142"/>
      <c r="MRL110" s="142"/>
      <c r="MRM110" s="142"/>
      <c r="MRN110" s="142"/>
      <c r="MRO110" s="142"/>
      <c r="MRP110" s="142"/>
      <c r="MRQ110" s="142"/>
      <c r="MRR110" s="142"/>
      <c r="MRS110" s="142"/>
      <c r="MRT110" s="142"/>
      <c r="MRU110" s="142"/>
      <c r="MRV110" s="142"/>
      <c r="MRW110" s="142"/>
      <c r="MRX110" s="142"/>
      <c r="MRY110" s="142"/>
      <c r="MRZ110" s="142"/>
      <c r="MSA110" s="142"/>
      <c r="MSB110" s="142"/>
      <c r="MSC110" s="142"/>
      <c r="MSD110" s="142"/>
      <c r="MSE110" s="142"/>
      <c r="MSF110" s="142"/>
      <c r="MSG110" s="142"/>
      <c r="MSH110" s="142"/>
      <c r="MSI110" s="142"/>
      <c r="MSJ110" s="142"/>
      <c r="MSK110" s="142"/>
      <c r="MSL110" s="142"/>
      <c r="MSM110" s="142"/>
      <c r="MSN110" s="142"/>
      <c r="MSO110" s="142"/>
      <c r="MSP110" s="142"/>
      <c r="MSQ110" s="142"/>
      <c r="MSR110" s="142"/>
      <c r="MSS110" s="142"/>
      <c r="MST110" s="142"/>
      <c r="MSU110" s="142"/>
      <c r="MSV110" s="142"/>
      <c r="MSW110" s="142"/>
      <c r="MSX110" s="142"/>
      <c r="MSY110" s="142"/>
      <c r="MSZ110" s="142"/>
      <c r="MTA110" s="142"/>
      <c r="MTB110" s="142"/>
      <c r="MTC110" s="142"/>
      <c r="MTD110" s="142"/>
      <c r="MTE110" s="142"/>
      <c r="MTF110" s="142"/>
      <c r="MTG110" s="142"/>
      <c r="MTH110" s="142"/>
      <c r="MTI110" s="142"/>
      <c r="MTJ110" s="142"/>
      <c r="MTK110" s="142"/>
      <c r="MTL110" s="142"/>
      <c r="MTM110" s="142"/>
      <c r="MTN110" s="142"/>
      <c r="MTO110" s="142"/>
      <c r="MTP110" s="142"/>
      <c r="MTQ110" s="142"/>
      <c r="MTR110" s="142"/>
      <c r="MTS110" s="142"/>
      <c r="MTT110" s="142"/>
      <c r="MTU110" s="142"/>
      <c r="MTV110" s="142"/>
      <c r="MTW110" s="142"/>
      <c r="MTX110" s="142"/>
      <c r="MTY110" s="142"/>
      <c r="MTZ110" s="142"/>
      <c r="MUA110" s="142"/>
      <c r="MUB110" s="142"/>
      <c r="MUC110" s="142"/>
      <c r="MUD110" s="142"/>
      <c r="MUE110" s="142"/>
      <c r="MUF110" s="142"/>
      <c r="MUG110" s="142"/>
      <c r="MUH110" s="142"/>
      <c r="MUI110" s="142"/>
      <c r="MUJ110" s="142"/>
      <c r="MUK110" s="142"/>
      <c r="MUL110" s="142"/>
      <c r="MUM110" s="142"/>
      <c r="MUN110" s="142"/>
      <c r="MUO110" s="142"/>
      <c r="MUP110" s="142"/>
      <c r="MUQ110" s="142"/>
      <c r="MUR110" s="142"/>
      <c r="MUS110" s="142"/>
      <c r="MUT110" s="142"/>
      <c r="MUU110" s="142"/>
      <c r="MUV110" s="142"/>
      <c r="MUW110" s="142"/>
      <c r="MUX110" s="142"/>
      <c r="MUY110" s="142"/>
      <c r="MUZ110" s="142"/>
      <c r="MVA110" s="142"/>
      <c r="MVB110" s="142"/>
      <c r="MVC110" s="142"/>
      <c r="MVD110" s="142"/>
      <c r="MVE110" s="142"/>
      <c r="MVF110" s="142"/>
      <c r="MVG110" s="142"/>
      <c r="MVH110" s="142"/>
      <c r="MVI110" s="142"/>
      <c r="MVJ110" s="142"/>
      <c r="MVK110" s="142"/>
      <c r="MVL110" s="142"/>
      <c r="MVM110" s="142"/>
      <c r="MVN110" s="142"/>
      <c r="MVO110" s="142"/>
      <c r="MVP110" s="142"/>
      <c r="MVQ110" s="142"/>
      <c r="MVR110" s="142"/>
      <c r="MVS110" s="142"/>
      <c r="MVT110" s="142"/>
      <c r="MVU110" s="142"/>
      <c r="MVV110" s="142"/>
      <c r="MVW110" s="142"/>
      <c r="MVX110" s="142"/>
      <c r="MVY110" s="142"/>
      <c r="MVZ110" s="142"/>
      <c r="MWA110" s="142"/>
      <c r="MWB110" s="142"/>
      <c r="MWC110" s="142"/>
      <c r="MWD110" s="142"/>
      <c r="MWE110" s="142"/>
      <c r="MWF110" s="142"/>
      <c r="MWG110" s="142"/>
      <c r="MWH110" s="142"/>
      <c r="MWI110" s="142"/>
      <c r="MWJ110" s="142"/>
      <c r="MWK110" s="142"/>
      <c r="MWL110" s="142"/>
      <c r="MWM110" s="142"/>
      <c r="MWN110" s="142"/>
      <c r="MWO110" s="142"/>
      <c r="MWP110" s="142"/>
      <c r="MWQ110" s="142"/>
      <c r="MWR110" s="142"/>
      <c r="MWS110" s="142"/>
      <c r="MWT110" s="142"/>
      <c r="MWU110" s="142"/>
      <c r="MWV110" s="142"/>
      <c r="MWW110" s="142"/>
      <c r="MWX110" s="142"/>
      <c r="MWY110" s="142"/>
      <c r="MWZ110" s="142"/>
      <c r="MXA110" s="142"/>
      <c r="MXB110" s="142"/>
      <c r="MXC110" s="142"/>
      <c r="MXD110" s="142"/>
      <c r="MXE110" s="142"/>
      <c r="MXF110" s="142"/>
      <c r="MXG110" s="142"/>
      <c r="MXH110" s="142"/>
      <c r="MXI110" s="142"/>
      <c r="MXJ110" s="142"/>
      <c r="MXK110" s="142"/>
      <c r="MXL110" s="142"/>
      <c r="MXM110" s="142"/>
      <c r="MXN110" s="142"/>
      <c r="MXO110" s="142"/>
      <c r="MXP110" s="142"/>
      <c r="MXQ110" s="142"/>
      <c r="MXR110" s="142"/>
      <c r="MXS110" s="142"/>
      <c r="MXT110" s="142"/>
      <c r="MXU110" s="142"/>
      <c r="MXV110" s="142"/>
      <c r="MXW110" s="142"/>
      <c r="MXX110" s="142"/>
      <c r="MXY110" s="142"/>
      <c r="MXZ110" s="142"/>
      <c r="MYA110" s="142"/>
      <c r="MYB110" s="142"/>
      <c r="MYC110" s="142"/>
      <c r="MYD110" s="142"/>
      <c r="MYE110" s="142"/>
      <c r="MYF110" s="142"/>
      <c r="MYG110" s="142"/>
      <c r="MYH110" s="142"/>
      <c r="MYI110" s="142"/>
      <c r="MYJ110" s="142"/>
      <c r="MYK110" s="142"/>
      <c r="MYL110" s="142"/>
      <c r="MYM110" s="142"/>
      <c r="MYN110" s="142"/>
      <c r="MYO110" s="142"/>
      <c r="MYP110" s="142"/>
      <c r="MYQ110" s="142"/>
      <c r="MYR110" s="142"/>
      <c r="MYS110" s="142"/>
      <c r="MYT110" s="142"/>
      <c r="MYU110" s="142"/>
      <c r="MYV110" s="142"/>
      <c r="MYW110" s="142"/>
      <c r="MYX110" s="142"/>
      <c r="MYY110" s="142"/>
      <c r="MYZ110" s="142"/>
      <c r="MZA110" s="142"/>
      <c r="MZB110" s="142"/>
      <c r="MZC110" s="142"/>
      <c r="MZD110" s="142"/>
      <c r="MZE110" s="142"/>
      <c r="MZF110" s="142"/>
      <c r="MZG110" s="142"/>
      <c r="MZH110" s="142"/>
      <c r="MZI110" s="142"/>
      <c r="MZJ110" s="142"/>
      <c r="MZK110" s="142"/>
      <c r="MZL110" s="142"/>
      <c r="MZM110" s="142"/>
      <c r="MZN110" s="142"/>
      <c r="MZO110" s="142"/>
      <c r="MZP110" s="142"/>
      <c r="MZQ110" s="142"/>
      <c r="MZR110" s="142"/>
      <c r="MZS110" s="142"/>
      <c r="MZT110" s="142"/>
      <c r="MZU110" s="142"/>
      <c r="MZV110" s="142"/>
      <c r="MZW110" s="142"/>
      <c r="MZX110" s="142"/>
      <c r="MZY110" s="142"/>
      <c r="MZZ110" s="142"/>
      <c r="NAA110" s="142"/>
      <c r="NAB110" s="142"/>
      <c r="NAC110" s="142"/>
      <c r="NAD110" s="142"/>
      <c r="NAE110" s="142"/>
      <c r="NAF110" s="142"/>
      <c r="NAG110" s="142"/>
      <c r="NAH110" s="142"/>
      <c r="NAI110" s="142"/>
      <c r="NAJ110" s="142"/>
      <c r="NAK110" s="142"/>
      <c r="NAL110" s="142"/>
      <c r="NAM110" s="142"/>
      <c r="NAN110" s="142"/>
      <c r="NAO110" s="142"/>
      <c r="NAP110" s="142"/>
      <c r="NAQ110" s="142"/>
      <c r="NAR110" s="142"/>
      <c r="NAS110" s="142"/>
      <c r="NAT110" s="142"/>
      <c r="NAU110" s="142"/>
      <c r="NAV110" s="142"/>
      <c r="NAW110" s="142"/>
      <c r="NAX110" s="142"/>
      <c r="NAY110" s="142"/>
      <c r="NAZ110" s="142"/>
      <c r="NBA110" s="142"/>
      <c r="NBB110" s="142"/>
      <c r="NBC110" s="142"/>
      <c r="NBD110" s="142"/>
      <c r="NBE110" s="142"/>
      <c r="NBF110" s="142"/>
      <c r="NBG110" s="142"/>
      <c r="NBH110" s="142"/>
      <c r="NBI110" s="142"/>
      <c r="NBJ110" s="142"/>
      <c r="NBK110" s="142"/>
      <c r="NBL110" s="142"/>
      <c r="NBM110" s="142"/>
      <c r="NBN110" s="142"/>
      <c r="NBO110" s="142"/>
      <c r="NBP110" s="142"/>
      <c r="NBQ110" s="142"/>
      <c r="NBR110" s="142"/>
      <c r="NBS110" s="142"/>
      <c r="NBT110" s="142"/>
      <c r="NBU110" s="142"/>
      <c r="NBV110" s="142"/>
      <c r="NBW110" s="142"/>
      <c r="NBX110" s="142"/>
      <c r="NBY110" s="142"/>
      <c r="NBZ110" s="142"/>
      <c r="NCA110" s="142"/>
      <c r="NCB110" s="142"/>
      <c r="NCC110" s="142"/>
      <c r="NCD110" s="142"/>
      <c r="NCE110" s="142"/>
      <c r="NCF110" s="142"/>
      <c r="NCG110" s="142"/>
      <c r="NCH110" s="142"/>
      <c r="NCI110" s="142"/>
      <c r="NCJ110" s="142"/>
      <c r="NCK110" s="142"/>
      <c r="NCL110" s="142"/>
      <c r="NCM110" s="142"/>
      <c r="NCN110" s="142"/>
      <c r="NCO110" s="142"/>
      <c r="NCP110" s="142"/>
      <c r="NCQ110" s="142"/>
      <c r="NCR110" s="142"/>
      <c r="NCS110" s="142"/>
      <c r="NCT110" s="142"/>
      <c r="NCU110" s="142"/>
      <c r="NCV110" s="142"/>
      <c r="NCW110" s="142"/>
      <c r="NCX110" s="142"/>
      <c r="NCY110" s="142"/>
      <c r="NCZ110" s="142"/>
      <c r="NDA110" s="142"/>
      <c r="NDB110" s="142"/>
      <c r="NDC110" s="142"/>
      <c r="NDD110" s="142"/>
      <c r="NDE110" s="142"/>
      <c r="NDF110" s="142"/>
      <c r="NDG110" s="142"/>
      <c r="NDH110" s="142"/>
      <c r="NDI110" s="142"/>
      <c r="NDJ110" s="142"/>
      <c r="NDK110" s="142"/>
      <c r="NDL110" s="142"/>
      <c r="NDM110" s="142"/>
      <c r="NDN110" s="142"/>
      <c r="NDO110" s="142"/>
      <c r="NDP110" s="142"/>
      <c r="NDQ110" s="142"/>
      <c r="NDR110" s="142"/>
      <c r="NDS110" s="142"/>
      <c r="NDT110" s="142"/>
      <c r="NDU110" s="142"/>
      <c r="NDV110" s="142"/>
      <c r="NDW110" s="142"/>
      <c r="NDX110" s="142"/>
      <c r="NDY110" s="142"/>
      <c r="NDZ110" s="142"/>
      <c r="NEA110" s="142"/>
      <c r="NEB110" s="142"/>
      <c r="NEC110" s="142"/>
      <c r="NED110" s="142"/>
      <c r="NEE110" s="142"/>
      <c r="NEF110" s="142"/>
      <c r="NEG110" s="142"/>
      <c r="NEH110" s="142"/>
      <c r="NEI110" s="142"/>
      <c r="NEJ110" s="142"/>
      <c r="NEK110" s="142"/>
      <c r="NEL110" s="142"/>
      <c r="NEM110" s="142"/>
      <c r="NEN110" s="142"/>
      <c r="NEO110" s="142"/>
      <c r="NEP110" s="142"/>
      <c r="NEQ110" s="142"/>
      <c r="NER110" s="142"/>
      <c r="NES110" s="142"/>
      <c r="NET110" s="142"/>
      <c r="NEU110" s="142"/>
      <c r="NEV110" s="142"/>
      <c r="NEW110" s="142"/>
      <c r="NEX110" s="142"/>
      <c r="NEY110" s="142"/>
      <c r="NEZ110" s="142"/>
      <c r="NFA110" s="142"/>
      <c r="NFB110" s="142"/>
      <c r="NFC110" s="142"/>
      <c r="NFD110" s="142"/>
      <c r="NFE110" s="142"/>
      <c r="NFF110" s="142"/>
      <c r="NFG110" s="142"/>
      <c r="NFH110" s="142"/>
      <c r="NFI110" s="142"/>
      <c r="NFJ110" s="142"/>
      <c r="NFK110" s="142"/>
      <c r="NFL110" s="142"/>
      <c r="NFM110" s="142"/>
      <c r="NFN110" s="142"/>
      <c r="NFO110" s="142"/>
      <c r="NFP110" s="142"/>
      <c r="NFQ110" s="142"/>
      <c r="NFR110" s="142"/>
      <c r="NFS110" s="142"/>
      <c r="NFT110" s="142"/>
      <c r="NFU110" s="142"/>
      <c r="NFV110" s="142"/>
      <c r="NFW110" s="142"/>
      <c r="NFX110" s="142"/>
      <c r="NFY110" s="142"/>
      <c r="NFZ110" s="142"/>
      <c r="NGA110" s="142"/>
      <c r="NGB110" s="142"/>
      <c r="NGC110" s="142"/>
      <c r="NGD110" s="142"/>
      <c r="NGE110" s="142"/>
      <c r="NGF110" s="142"/>
      <c r="NGG110" s="142"/>
      <c r="NGH110" s="142"/>
      <c r="NGI110" s="142"/>
      <c r="NGJ110" s="142"/>
      <c r="NGK110" s="142"/>
      <c r="NGL110" s="142"/>
      <c r="NGM110" s="142"/>
      <c r="NGN110" s="142"/>
      <c r="NGO110" s="142"/>
      <c r="NGP110" s="142"/>
      <c r="NGQ110" s="142"/>
      <c r="NGR110" s="142"/>
      <c r="NGS110" s="142"/>
      <c r="NGT110" s="142"/>
      <c r="NGU110" s="142"/>
      <c r="NGV110" s="142"/>
      <c r="NGW110" s="142"/>
      <c r="NGX110" s="142"/>
      <c r="NGY110" s="142"/>
      <c r="NGZ110" s="142"/>
      <c r="NHA110" s="142"/>
      <c r="NHB110" s="142"/>
      <c r="NHC110" s="142"/>
      <c r="NHD110" s="142"/>
      <c r="NHE110" s="142"/>
      <c r="NHF110" s="142"/>
      <c r="NHG110" s="142"/>
      <c r="NHH110" s="142"/>
      <c r="NHI110" s="142"/>
      <c r="NHJ110" s="142"/>
      <c r="NHK110" s="142"/>
      <c r="NHL110" s="142"/>
      <c r="NHM110" s="142"/>
      <c r="NHN110" s="142"/>
      <c r="NHO110" s="142"/>
      <c r="NHP110" s="142"/>
      <c r="NHQ110" s="142"/>
      <c r="NHR110" s="142"/>
      <c r="NHS110" s="142"/>
      <c r="NHT110" s="142"/>
      <c r="NHU110" s="142"/>
      <c r="NHV110" s="142"/>
      <c r="NHW110" s="142"/>
      <c r="NHX110" s="142"/>
      <c r="NHY110" s="142"/>
      <c r="NHZ110" s="142"/>
      <c r="NIA110" s="142"/>
      <c r="NIB110" s="142"/>
      <c r="NIC110" s="142"/>
      <c r="NID110" s="142"/>
      <c r="NIE110" s="142"/>
      <c r="NIF110" s="142"/>
      <c r="NIG110" s="142"/>
      <c r="NIH110" s="142"/>
      <c r="NII110" s="142"/>
      <c r="NIJ110" s="142"/>
      <c r="NIK110" s="142"/>
      <c r="NIL110" s="142"/>
      <c r="NIM110" s="142"/>
      <c r="NIN110" s="142"/>
      <c r="NIO110" s="142"/>
      <c r="NIP110" s="142"/>
      <c r="NIQ110" s="142"/>
      <c r="NIR110" s="142"/>
      <c r="NIS110" s="142"/>
      <c r="NIT110" s="142"/>
      <c r="NIU110" s="142"/>
      <c r="NIV110" s="142"/>
      <c r="NIW110" s="142"/>
      <c r="NIX110" s="142"/>
      <c r="NIY110" s="142"/>
      <c r="NIZ110" s="142"/>
      <c r="NJA110" s="142"/>
      <c r="NJB110" s="142"/>
      <c r="NJC110" s="142"/>
      <c r="NJD110" s="142"/>
      <c r="NJE110" s="142"/>
      <c r="NJF110" s="142"/>
      <c r="NJG110" s="142"/>
      <c r="NJH110" s="142"/>
      <c r="NJI110" s="142"/>
      <c r="NJJ110" s="142"/>
      <c r="NJK110" s="142"/>
      <c r="NJL110" s="142"/>
      <c r="NJM110" s="142"/>
      <c r="NJN110" s="142"/>
      <c r="NJO110" s="142"/>
      <c r="NJP110" s="142"/>
      <c r="NJQ110" s="142"/>
      <c r="NJR110" s="142"/>
      <c r="NJS110" s="142"/>
      <c r="NJT110" s="142"/>
      <c r="NJU110" s="142"/>
      <c r="NJV110" s="142"/>
      <c r="NJW110" s="142"/>
      <c r="NJX110" s="142"/>
      <c r="NJY110" s="142"/>
      <c r="NJZ110" s="142"/>
      <c r="NKA110" s="142"/>
      <c r="NKB110" s="142"/>
      <c r="NKC110" s="142"/>
      <c r="NKD110" s="142"/>
      <c r="NKE110" s="142"/>
      <c r="NKF110" s="142"/>
      <c r="NKG110" s="142"/>
      <c r="NKH110" s="142"/>
      <c r="NKI110" s="142"/>
      <c r="NKJ110" s="142"/>
      <c r="NKK110" s="142"/>
      <c r="NKL110" s="142"/>
      <c r="NKM110" s="142"/>
      <c r="NKN110" s="142"/>
      <c r="NKO110" s="142"/>
      <c r="NKP110" s="142"/>
      <c r="NKQ110" s="142"/>
      <c r="NKR110" s="142"/>
      <c r="NKS110" s="142"/>
      <c r="NKT110" s="142"/>
      <c r="NKU110" s="142"/>
      <c r="NKV110" s="142"/>
      <c r="NKW110" s="142"/>
      <c r="NKX110" s="142"/>
      <c r="NKY110" s="142"/>
      <c r="NKZ110" s="142"/>
      <c r="NLA110" s="142"/>
      <c r="NLB110" s="142"/>
      <c r="NLC110" s="142"/>
      <c r="NLD110" s="142"/>
      <c r="NLE110" s="142"/>
      <c r="NLF110" s="142"/>
      <c r="NLG110" s="142"/>
      <c r="NLH110" s="142"/>
      <c r="NLI110" s="142"/>
      <c r="NLJ110" s="142"/>
      <c r="NLK110" s="142"/>
      <c r="NLL110" s="142"/>
      <c r="NLM110" s="142"/>
      <c r="NLN110" s="142"/>
      <c r="NLO110" s="142"/>
      <c r="NLP110" s="142"/>
      <c r="NLQ110" s="142"/>
      <c r="NLR110" s="142"/>
      <c r="NLS110" s="142"/>
      <c r="NLT110" s="142"/>
      <c r="NLU110" s="142"/>
      <c r="NLV110" s="142"/>
      <c r="NLW110" s="142"/>
      <c r="NLX110" s="142"/>
      <c r="NLY110" s="142"/>
      <c r="NLZ110" s="142"/>
      <c r="NMA110" s="142"/>
      <c r="NMB110" s="142"/>
      <c r="NMC110" s="142"/>
      <c r="NMD110" s="142"/>
      <c r="NME110" s="142"/>
      <c r="NMF110" s="142"/>
      <c r="NMG110" s="142"/>
      <c r="NMH110" s="142"/>
      <c r="NMI110" s="142"/>
      <c r="NMJ110" s="142"/>
      <c r="NMK110" s="142"/>
      <c r="NML110" s="142"/>
      <c r="NMM110" s="142"/>
      <c r="NMN110" s="142"/>
      <c r="NMO110" s="142"/>
      <c r="NMP110" s="142"/>
      <c r="NMQ110" s="142"/>
      <c r="NMR110" s="142"/>
      <c r="NMS110" s="142"/>
      <c r="NMT110" s="142"/>
      <c r="NMU110" s="142"/>
      <c r="NMV110" s="142"/>
      <c r="NMW110" s="142"/>
      <c r="NMX110" s="142"/>
      <c r="NMY110" s="142"/>
      <c r="NMZ110" s="142"/>
      <c r="NNA110" s="142"/>
      <c r="NNB110" s="142"/>
      <c r="NNC110" s="142"/>
      <c r="NND110" s="142"/>
      <c r="NNE110" s="142"/>
      <c r="NNF110" s="142"/>
      <c r="NNG110" s="142"/>
      <c r="NNH110" s="142"/>
      <c r="NNI110" s="142"/>
      <c r="NNJ110" s="142"/>
      <c r="NNK110" s="142"/>
      <c r="NNL110" s="142"/>
      <c r="NNM110" s="142"/>
      <c r="NNN110" s="142"/>
      <c r="NNO110" s="142"/>
      <c r="NNP110" s="142"/>
      <c r="NNQ110" s="142"/>
      <c r="NNR110" s="142"/>
      <c r="NNS110" s="142"/>
      <c r="NNT110" s="142"/>
      <c r="NNU110" s="142"/>
      <c r="NNV110" s="142"/>
      <c r="NNW110" s="142"/>
      <c r="NNX110" s="142"/>
      <c r="NNY110" s="142"/>
      <c r="NNZ110" s="142"/>
      <c r="NOA110" s="142"/>
      <c r="NOB110" s="142"/>
      <c r="NOC110" s="142"/>
      <c r="NOD110" s="142"/>
      <c r="NOE110" s="142"/>
      <c r="NOF110" s="142"/>
      <c r="NOG110" s="142"/>
      <c r="NOH110" s="142"/>
      <c r="NOI110" s="142"/>
      <c r="NOJ110" s="142"/>
      <c r="NOK110" s="142"/>
      <c r="NOL110" s="142"/>
      <c r="NOM110" s="142"/>
      <c r="NON110" s="142"/>
      <c r="NOO110" s="142"/>
      <c r="NOP110" s="142"/>
      <c r="NOQ110" s="142"/>
      <c r="NOR110" s="142"/>
      <c r="NOS110" s="142"/>
      <c r="NOT110" s="142"/>
      <c r="NOU110" s="142"/>
      <c r="NOV110" s="142"/>
      <c r="NOW110" s="142"/>
      <c r="NOX110" s="142"/>
      <c r="NOY110" s="142"/>
      <c r="NOZ110" s="142"/>
      <c r="NPA110" s="142"/>
      <c r="NPB110" s="142"/>
      <c r="NPC110" s="142"/>
      <c r="NPD110" s="142"/>
      <c r="NPE110" s="142"/>
      <c r="NPF110" s="142"/>
      <c r="NPG110" s="142"/>
      <c r="NPH110" s="142"/>
      <c r="NPI110" s="142"/>
      <c r="NPJ110" s="142"/>
      <c r="NPK110" s="142"/>
      <c r="NPL110" s="142"/>
      <c r="NPM110" s="142"/>
      <c r="NPN110" s="142"/>
      <c r="NPO110" s="142"/>
      <c r="NPP110" s="142"/>
      <c r="NPQ110" s="142"/>
      <c r="NPR110" s="142"/>
      <c r="NPS110" s="142"/>
      <c r="NPT110" s="142"/>
      <c r="NPU110" s="142"/>
      <c r="NPV110" s="142"/>
      <c r="NPW110" s="142"/>
      <c r="NPX110" s="142"/>
      <c r="NPY110" s="142"/>
      <c r="NPZ110" s="142"/>
      <c r="NQA110" s="142"/>
      <c r="NQB110" s="142"/>
      <c r="NQC110" s="142"/>
      <c r="NQD110" s="142"/>
      <c r="NQE110" s="142"/>
      <c r="NQF110" s="142"/>
      <c r="NQG110" s="142"/>
      <c r="NQH110" s="142"/>
      <c r="NQI110" s="142"/>
      <c r="NQJ110" s="142"/>
      <c r="NQK110" s="142"/>
      <c r="NQL110" s="142"/>
      <c r="NQM110" s="142"/>
      <c r="NQN110" s="142"/>
      <c r="NQO110" s="142"/>
      <c r="NQP110" s="142"/>
      <c r="NQQ110" s="142"/>
      <c r="NQR110" s="142"/>
      <c r="NQS110" s="142"/>
      <c r="NQT110" s="142"/>
      <c r="NQU110" s="142"/>
      <c r="NQV110" s="142"/>
      <c r="NQW110" s="142"/>
      <c r="NQX110" s="142"/>
      <c r="NQY110" s="142"/>
      <c r="NQZ110" s="142"/>
      <c r="NRA110" s="142"/>
      <c r="NRB110" s="142"/>
      <c r="NRC110" s="142"/>
      <c r="NRD110" s="142"/>
      <c r="NRE110" s="142"/>
      <c r="NRF110" s="142"/>
      <c r="NRG110" s="142"/>
      <c r="NRH110" s="142"/>
      <c r="NRI110" s="142"/>
      <c r="NRJ110" s="142"/>
      <c r="NRK110" s="142"/>
      <c r="NRL110" s="142"/>
      <c r="NRM110" s="142"/>
      <c r="NRN110" s="142"/>
      <c r="NRO110" s="142"/>
      <c r="NRP110" s="142"/>
      <c r="NRQ110" s="142"/>
      <c r="NRR110" s="142"/>
      <c r="NRS110" s="142"/>
      <c r="NRT110" s="142"/>
      <c r="NRU110" s="142"/>
      <c r="NRV110" s="142"/>
      <c r="NRW110" s="142"/>
      <c r="NRX110" s="142"/>
      <c r="NRY110" s="142"/>
      <c r="NRZ110" s="142"/>
      <c r="NSA110" s="142"/>
      <c r="NSB110" s="142"/>
      <c r="NSC110" s="142"/>
      <c r="NSD110" s="142"/>
      <c r="NSE110" s="142"/>
      <c r="NSF110" s="142"/>
      <c r="NSG110" s="142"/>
      <c r="NSH110" s="142"/>
      <c r="NSI110" s="142"/>
      <c r="NSJ110" s="142"/>
      <c r="NSK110" s="142"/>
      <c r="NSL110" s="142"/>
      <c r="NSM110" s="142"/>
      <c r="NSN110" s="142"/>
      <c r="NSO110" s="142"/>
      <c r="NSP110" s="142"/>
      <c r="NSQ110" s="142"/>
      <c r="NSR110" s="142"/>
      <c r="NSS110" s="142"/>
      <c r="NST110" s="142"/>
      <c r="NSU110" s="142"/>
      <c r="NSV110" s="142"/>
      <c r="NSW110" s="142"/>
      <c r="NSX110" s="142"/>
      <c r="NSY110" s="142"/>
      <c r="NSZ110" s="142"/>
      <c r="NTA110" s="142"/>
      <c r="NTB110" s="142"/>
      <c r="NTC110" s="142"/>
      <c r="NTD110" s="142"/>
      <c r="NTE110" s="142"/>
      <c r="NTF110" s="142"/>
      <c r="NTG110" s="142"/>
      <c r="NTH110" s="142"/>
      <c r="NTI110" s="142"/>
      <c r="NTJ110" s="142"/>
      <c r="NTK110" s="142"/>
      <c r="NTL110" s="142"/>
      <c r="NTM110" s="142"/>
      <c r="NTN110" s="142"/>
      <c r="NTO110" s="142"/>
      <c r="NTP110" s="142"/>
      <c r="NTQ110" s="142"/>
      <c r="NTR110" s="142"/>
      <c r="NTS110" s="142"/>
      <c r="NTT110" s="142"/>
      <c r="NTU110" s="142"/>
      <c r="NTV110" s="142"/>
      <c r="NTW110" s="142"/>
      <c r="NTX110" s="142"/>
      <c r="NTY110" s="142"/>
      <c r="NTZ110" s="142"/>
      <c r="NUA110" s="142"/>
      <c r="NUB110" s="142"/>
      <c r="NUC110" s="142"/>
      <c r="NUD110" s="142"/>
      <c r="NUE110" s="142"/>
      <c r="NUF110" s="142"/>
      <c r="NUG110" s="142"/>
      <c r="NUH110" s="142"/>
      <c r="NUI110" s="142"/>
      <c r="NUJ110" s="142"/>
      <c r="NUK110" s="142"/>
      <c r="NUL110" s="142"/>
      <c r="NUM110" s="142"/>
      <c r="NUN110" s="142"/>
      <c r="NUO110" s="142"/>
      <c r="NUP110" s="142"/>
      <c r="NUQ110" s="142"/>
      <c r="NUR110" s="142"/>
      <c r="NUS110" s="142"/>
      <c r="NUT110" s="142"/>
      <c r="NUU110" s="142"/>
      <c r="NUV110" s="142"/>
      <c r="NUW110" s="142"/>
      <c r="NUX110" s="142"/>
      <c r="NUY110" s="142"/>
      <c r="NUZ110" s="142"/>
      <c r="NVA110" s="142"/>
      <c r="NVB110" s="142"/>
      <c r="NVC110" s="142"/>
      <c r="NVD110" s="142"/>
      <c r="NVE110" s="142"/>
      <c r="NVF110" s="142"/>
      <c r="NVG110" s="142"/>
      <c r="NVH110" s="142"/>
      <c r="NVI110" s="142"/>
      <c r="NVJ110" s="142"/>
      <c r="NVK110" s="142"/>
      <c r="NVL110" s="142"/>
      <c r="NVM110" s="142"/>
      <c r="NVN110" s="142"/>
      <c r="NVO110" s="142"/>
      <c r="NVP110" s="142"/>
      <c r="NVQ110" s="142"/>
      <c r="NVR110" s="142"/>
      <c r="NVS110" s="142"/>
      <c r="NVT110" s="142"/>
      <c r="NVU110" s="142"/>
      <c r="NVV110" s="142"/>
      <c r="NVW110" s="142"/>
      <c r="NVX110" s="142"/>
      <c r="NVY110" s="142"/>
      <c r="NVZ110" s="142"/>
      <c r="NWA110" s="142"/>
      <c r="NWB110" s="142"/>
      <c r="NWC110" s="142"/>
      <c r="NWD110" s="142"/>
      <c r="NWE110" s="142"/>
      <c r="NWF110" s="142"/>
      <c r="NWG110" s="142"/>
      <c r="NWH110" s="142"/>
      <c r="NWI110" s="142"/>
      <c r="NWJ110" s="142"/>
      <c r="NWK110" s="142"/>
      <c r="NWL110" s="142"/>
      <c r="NWM110" s="142"/>
      <c r="NWN110" s="142"/>
      <c r="NWO110" s="142"/>
      <c r="NWP110" s="142"/>
      <c r="NWQ110" s="142"/>
      <c r="NWR110" s="142"/>
      <c r="NWS110" s="142"/>
      <c r="NWT110" s="142"/>
      <c r="NWU110" s="142"/>
      <c r="NWV110" s="142"/>
      <c r="NWW110" s="142"/>
      <c r="NWX110" s="142"/>
      <c r="NWY110" s="142"/>
      <c r="NWZ110" s="142"/>
      <c r="NXA110" s="142"/>
      <c r="NXB110" s="142"/>
      <c r="NXC110" s="142"/>
      <c r="NXD110" s="142"/>
      <c r="NXE110" s="142"/>
      <c r="NXF110" s="142"/>
      <c r="NXG110" s="142"/>
      <c r="NXH110" s="142"/>
      <c r="NXI110" s="142"/>
      <c r="NXJ110" s="142"/>
      <c r="NXK110" s="142"/>
      <c r="NXL110" s="142"/>
      <c r="NXM110" s="142"/>
      <c r="NXN110" s="142"/>
      <c r="NXO110" s="142"/>
      <c r="NXP110" s="142"/>
      <c r="NXQ110" s="142"/>
      <c r="NXR110" s="142"/>
      <c r="NXS110" s="142"/>
      <c r="NXT110" s="142"/>
      <c r="NXU110" s="142"/>
      <c r="NXV110" s="142"/>
      <c r="NXW110" s="142"/>
      <c r="NXX110" s="142"/>
      <c r="NXY110" s="142"/>
      <c r="NXZ110" s="142"/>
      <c r="NYA110" s="142"/>
      <c r="NYB110" s="142"/>
      <c r="NYC110" s="142"/>
      <c r="NYD110" s="142"/>
      <c r="NYE110" s="142"/>
      <c r="NYF110" s="142"/>
      <c r="NYG110" s="142"/>
      <c r="NYH110" s="142"/>
      <c r="NYI110" s="142"/>
      <c r="NYJ110" s="142"/>
      <c r="NYK110" s="142"/>
      <c r="NYL110" s="142"/>
      <c r="NYM110" s="142"/>
      <c r="NYN110" s="142"/>
      <c r="NYO110" s="142"/>
      <c r="NYP110" s="142"/>
      <c r="NYQ110" s="142"/>
      <c r="NYR110" s="142"/>
      <c r="NYS110" s="142"/>
      <c r="NYT110" s="142"/>
      <c r="NYU110" s="142"/>
      <c r="NYV110" s="142"/>
      <c r="NYW110" s="142"/>
      <c r="NYX110" s="142"/>
      <c r="NYY110" s="142"/>
      <c r="NYZ110" s="142"/>
      <c r="NZA110" s="142"/>
      <c r="NZB110" s="142"/>
      <c r="NZC110" s="142"/>
      <c r="NZD110" s="142"/>
      <c r="NZE110" s="142"/>
      <c r="NZF110" s="142"/>
      <c r="NZG110" s="142"/>
      <c r="NZH110" s="142"/>
      <c r="NZI110" s="142"/>
      <c r="NZJ110" s="142"/>
      <c r="NZK110" s="142"/>
      <c r="NZL110" s="142"/>
      <c r="NZM110" s="142"/>
      <c r="NZN110" s="142"/>
      <c r="NZO110" s="142"/>
      <c r="NZP110" s="142"/>
      <c r="NZQ110" s="142"/>
      <c r="NZR110" s="142"/>
      <c r="NZS110" s="142"/>
      <c r="NZT110" s="142"/>
      <c r="NZU110" s="142"/>
      <c r="NZV110" s="142"/>
      <c r="NZW110" s="142"/>
      <c r="NZX110" s="142"/>
      <c r="NZY110" s="142"/>
      <c r="NZZ110" s="142"/>
      <c r="OAA110" s="142"/>
      <c r="OAB110" s="142"/>
      <c r="OAC110" s="142"/>
      <c r="OAD110" s="142"/>
      <c r="OAE110" s="142"/>
      <c r="OAF110" s="142"/>
      <c r="OAG110" s="142"/>
      <c r="OAH110" s="142"/>
      <c r="OAI110" s="142"/>
      <c r="OAJ110" s="142"/>
      <c r="OAK110" s="142"/>
      <c r="OAL110" s="142"/>
      <c r="OAM110" s="142"/>
      <c r="OAN110" s="142"/>
      <c r="OAO110" s="142"/>
      <c r="OAP110" s="142"/>
      <c r="OAQ110" s="142"/>
      <c r="OAR110" s="142"/>
      <c r="OAS110" s="142"/>
      <c r="OAT110" s="142"/>
      <c r="OAU110" s="142"/>
      <c r="OAV110" s="142"/>
      <c r="OAW110" s="142"/>
      <c r="OAX110" s="142"/>
      <c r="OAY110" s="142"/>
      <c r="OAZ110" s="142"/>
      <c r="OBA110" s="142"/>
      <c r="OBB110" s="142"/>
      <c r="OBC110" s="142"/>
      <c r="OBD110" s="142"/>
      <c r="OBE110" s="142"/>
      <c r="OBF110" s="142"/>
      <c r="OBG110" s="142"/>
      <c r="OBH110" s="142"/>
      <c r="OBI110" s="142"/>
      <c r="OBJ110" s="142"/>
      <c r="OBK110" s="142"/>
      <c r="OBL110" s="142"/>
      <c r="OBM110" s="142"/>
      <c r="OBN110" s="142"/>
      <c r="OBO110" s="142"/>
      <c r="OBP110" s="142"/>
      <c r="OBQ110" s="142"/>
      <c r="OBR110" s="142"/>
      <c r="OBS110" s="142"/>
      <c r="OBT110" s="142"/>
      <c r="OBU110" s="142"/>
      <c r="OBV110" s="142"/>
      <c r="OBW110" s="142"/>
      <c r="OBX110" s="142"/>
      <c r="OBY110" s="142"/>
      <c r="OBZ110" s="142"/>
      <c r="OCA110" s="142"/>
      <c r="OCB110" s="142"/>
      <c r="OCC110" s="142"/>
      <c r="OCD110" s="142"/>
      <c r="OCE110" s="142"/>
      <c r="OCF110" s="142"/>
      <c r="OCG110" s="142"/>
      <c r="OCH110" s="142"/>
      <c r="OCI110" s="142"/>
      <c r="OCJ110" s="142"/>
      <c r="OCK110" s="142"/>
      <c r="OCL110" s="142"/>
      <c r="OCM110" s="142"/>
      <c r="OCN110" s="142"/>
      <c r="OCO110" s="142"/>
      <c r="OCP110" s="142"/>
      <c r="OCQ110" s="142"/>
      <c r="OCR110" s="142"/>
      <c r="OCS110" s="142"/>
      <c r="OCT110" s="142"/>
      <c r="OCU110" s="142"/>
      <c r="OCV110" s="142"/>
      <c r="OCW110" s="142"/>
      <c r="OCX110" s="142"/>
      <c r="OCY110" s="142"/>
      <c r="OCZ110" s="142"/>
      <c r="ODA110" s="142"/>
      <c r="ODB110" s="142"/>
      <c r="ODC110" s="142"/>
      <c r="ODD110" s="142"/>
      <c r="ODE110" s="142"/>
      <c r="ODF110" s="142"/>
      <c r="ODG110" s="142"/>
      <c r="ODH110" s="142"/>
      <c r="ODI110" s="142"/>
      <c r="ODJ110" s="142"/>
      <c r="ODK110" s="142"/>
      <c r="ODL110" s="142"/>
      <c r="ODM110" s="142"/>
      <c r="ODN110" s="142"/>
      <c r="ODO110" s="142"/>
      <c r="ODP110" s="142"/>
      <c r="ODQ110" s="142"/>
      <c r="ODR110" s="142"/>
      <c r="ODS110" s="142"/>
      <c r="ODT110" s="142"/>
      <c r="ODU110" s="142"/>
      <c r="ODV110" s="142"/>
      <c r="ODW110" s="142"/>
      <c r="ODX110" s="142"/>
      <c r="ODY110" s="142"/>
      <c r="ODZ110" s="142"/>
      <c r="OEA110" s="142"/>
      <c r="OEB110" s="142"/>
      <c r="OEC110" s="142"/>
      <c r="OED110" s="142"/>
      <c r="OEE110" s="142"/>
      <c r="OEF110" s="142"/>
      <c r="OEG110" s="142"/>
      <c r="OEH110" s="142"/>
      <c r="OEI110" s="142"/>
      <c r="OEJ110" s="142"/>
      <c r="OEK110" s="142"/>
      <c r="OEL110" s="142"/>
      <c r="OEM110" s="142"/>
      <c r="OEN110" s="142"/>
      <c r="OEO110" s="142"/>
      <c r="OEP110" s="142"/>
      <c r="OEQ110" s="142"/>
      <c r="OER110" s="142"/>
      <c r="OES110" s="142"/>
      <c r="OET110" s="142"/>
      <c r="OEU110" s="142"/>
      <c r="OEV110" s="142"/>
      <c r="OEW110" s="142"/>
      <c r="OEX110" s="142"/>
      <c r="OEY110" s="142"/>
      <c r="OEZ110" s="142"/>
      <c r="OFA110" s="142"/>
      <c r="OFB110" s="142"/>
      <c r="OFC110" s="142"/>
      <c r="OFD110" s="142"/>
      <c r="OFE110" s="142"/>
      <c r="OFF110" s="142"/>
      <c r="OFG110" s="142"/>
      <c r="OFH110" s="142"/>
      <c r="OFI110" s="142"/>
      <c r="OFJ110" s="142"/>
      <c r="OFK110" s="142"/>
      <c r="OFL110" s="142"/>
      <c r="OFM110" s="142"/>
      <c r="OFN110" s="142"/>
      <c r="OFO110" s="142"/>
      <c r="OFP110" s="142"/>
      <c r="OFQ110" s="142"/>
      <c r="OFR110" s="142"/>
      <c r="OFS110" s="142"/>
      <c r="OFT110" s="142"/>
      <c r="OFU110" s="142"/>
      <c r="OFV110" s="142"/>
      <c r="OFW110" s="142"/>
      <c r="OFX110" s="142"/>
      <c r="OFY110" s="142"/>
      <c r="OFZ110" s="142"/>
      <c r="OGA110" s="142"/>
      <c r="OGB110" s="142"/>
      <c r="OGC110" s="142"/>
      <c r="OGD110" s="142"/>
      <c r="OGE110" s="142"/>
      <c r="OGF110" s="142"/>
      <c r="OGG110" s="142"/>
      <c r="OGH110" s="142"/>
      <c r="OGI110" s="142"/>
      <c r="OGJ110" s="142"/>
      <c r="OGK110" s="142"/>
      <c r="OGL110" s="142"/>
      <c r="OGM110" s="142"/>
      <c r="OGN110" s="142"/>
      <c r="OGO110" s="142"/>
      <c r="OGP110" s="142"/>
      <c r="OGQ110" s="142"/>
      <c r="OGR110" s="142"/>
      <c r="OGS110" s="142"/>
      <c r="OGT110" s="142"/>
      <c r="OGU110" s="142"/>
      <c r="OGV110" s="142"/>
      <c r="OGW110" s="142"/>
      <c r="OGX110" s="142"/>
      <c r="OGY110" s="142"/>
      <c r="OGZ110" s="142"/>
      <c r="OHA110" s="142"/>
      <c r="OHB110" s="142"/>
      <c r="OHC110" s="142"/>
      <c r="OHD110" s="142"/>
      <c r="OHE110" s="142"/>
      <c r="OHF110" s="142"/>
      <c r="OHG110" s="142"/>
      <c r="OHH110" s="142"/>
      <c r="OHI110" s="142"/>
      <c r="OHJ110" s="142"/>
      <c r="OHK110" s="142"/>
      <c r="OHL110" s="142"/>
      <c r="OHM110" s="142"/>
      <c r="OHN110" s="142"/>
      <c r="OHO110" s="142"/>
      <c r="OHP110" s="142"/>
      <c r="OHQ110" s="142"/>
      <c r="OHR110" s="142"/>
      <c r="OHS110" s="142"/>
      <c r="OHT110" s="142"/>
      <c r="OHU110" s="142"/>
      <c r="OHV110" s="142"/>
      <c r="OHW110" s="142"/>
      <c r="OHX110" s="142"/>
      <c r="OHY110" s="142"/>
      <c r="OHZ110" s="142"/>
      <c r="OIA110" s="142"/>
      <c r="OIB110" s="142"/>
      <c r="OIC110" s="142"/>
      <c r="OID110" s="142"/>
      <c r="OIE110" s="142"/>
      <c r="OIF110" s="142"/>
      <c r="OIG110" s="142"/>
      <c r="OIH110" s="142"/>
      <c r="OII110" s="142"/>
      <c r="OIJ110" s="142"/>
      <c r="OIK110" s="142"/>
      <c r="OIL110" s="142"/>
      <c r="OIM110" s="142"/>
      <c r="OIN110" s="142"/>
      <c r="OIO110" s="142"/>
      <c r="OIP110" s="142"/>
      <c r="OIQ110" s="142"/>
      <c r="OIR110" s="142"/>
      <c r="OIS110" s="142"/>
      <c r="OIT110" s="142"/>
      <c r="OIU110" s="142"/>
      <c r="OIV110" s="142"/>
      <c r="OIW110" s="142"/>
      <c r="OIX110" s="142"/>
      <c r="OIY110" s="142"/>
      <c r="OIZ110" s="142"/>
      <c r="OJA110" s="142"/>
      <c r="OJB110" s="142"/>
      <c r="OJC110" s="142"/>
      <c r="OJD110" s="142"/>
      <c r="OJE110" s="142"/>
      <c r="OJF110" s="142"/>
      <c r="OJG110" s="142"/>
      <c r="OJH110" s="142"/>
      <c r="OJI110" s="142"/>
      <c r="OJJ110" s="142"/>
      <c r="OJK110" s="142"/>
      <c r="OJL110" s="142"/>
      <c r="OJM110" s="142"/>
      <c r="OJN110" s="142"/>
      <c r="OJO110" s="142"/>
      <c r="OJP110" s="142"/>
      <c r="OJQ110" s="142"/>
      <c r="OJR110" s="142"/>
      <c r="OJS110" s="142"/>
      <c r="OJT110" s="142"/>
      <c r="OJU110" s="142"/>
      <c r="OJV110" s="142"/>
      <c r="OJW110" s="142"/>
      <c r="OJX110" s="142"/>
      <c r="OJY110" s="142"/>
      <c r="OJZ110" s="142"/>
      <c r="OKA110" s="142"/>
      <c r="OKB110" s="142"/>
      <c r="OKC110" s="142"/>
      <c r="OKD110" s="142"/>
      <c r="OKE110" s="142"/>
      <c r="OKF110" s="142"/>
      <c r="OKG110" s="142"/>
      <c r="OKH110" s="142"/>
      <c r="OKI110" s="142"/>
      <c r="OKJ110" s="142"/>
      <c r="OKK110" s="142"/>
      <c r="OKL110" s="142"/>
      <c r="OKM110" s="142"/>
      <c r="OKN110" s="142"/>
      <c r="OKO110" s="142"/>
      <c r="OKP110" s="142"/>
      <c r="OKQ110" s="142"/>
      <c r="OKR110" s="142"/>
      <c r="OKS110" s="142"/>
      <c r="OKT110" s="142"/>
      <c r="OKU110" s="142"/>
      <c r="OKV110" s="142"/>
      <c r="OKW110" s="142"/>
      <c r="OKX110" s="142"/>
      <c r="OKY110" s="142"/>
      <c r="OKZ110" s="142"/>
      <c r="OLA110" s="142"/>
      <c r="OLB110" s="142"/>
      <c r="OLC110" s="142"/>
      <c r="OLD110" s="142"/>
      <c r="OLE110" s="142"/>
      <c r="OLF110" s="142"/>
      <c r="OLG110" s="142"/>
      <c r="OLH110" s="142"/>
      <c r="OLI110" s="142"/>
      <c r="OLJ110" s="142"/>
      <c r="OLK110" s="142"/>
      <c r="OLL110" s="142"/>
      <c r="OLM110" s="142"/>
      <c r="OLN110" s="142"/>
      <c r="OLO110" s="142"/>
      <c r="OLP110" s="142"/>
      <c r="OLQ110" s="142"/>
      <c r="OLR110" s="142"/>
      <c r="OLS110" s="142"/>
      <c r="OLT110" s="142"/>
      <c r="OLU110" s="142"/>
      <c r="OLV110" s="142"/>
      <c r="OLW110" s="142"/>
      <c r="OLX110" s="142"/>
      <c r="OLY110" s="142"/>
      <c r="OLZ110" s="142"/>
      <c r="OMA110" s="142"/>
      <c r="OMB110" s="142"/>
      <c r="OMC110" s="142"/>
      <c r="OMD110" s="142"/>
      <c r="OME110" s="142"/>
      <c r="OMF110" s="142"/>
      <c r="OMG110" s="142"/>
      <c r="OMH110" s="142"/>
      <c r="OMI110" s="142"/>
      <c r="OMJ110" s="142"/>
      <c r="OMK110" s="142"/>
      <c r="OML110" s="142"/>
      <c r="OMM110" s="142"/>
      <c r="OMN110" s="142"/>
      <c r="OMO110" s="142"/>
      <c r="OMP110" s="142"/>
      <c r="OMQ110" s="142"/>
      <c r="OMR110" s="142"/>
      <c r="OMS110" s="142"/>
      <c r="OMT110" s="142"/>
      <c r="OMU110" s="142"/>
      <c r="OMV110" s="142"/>
      <c r="OMW110" s="142"/>
      <c r="OMX110" s="142"/>
      <c r="OMY110" s="142"/>
      <c r="OMZ110" s="142"/>
      <c r="ONA110" s="142"/>
      <c r="ONB110" s="142"/>
      <c r="ONC110" s="142"/>
      <c r="OND110" s="142"/>
      <c r="ONE110" s="142"/>
      <c r="ONF110" s="142"/>
      <c r="ONG110" s="142"/>
      <c r="ONH110" s="142"/>
      <c r="ONI110" s="142"/>
      <c r="ONJ110" s="142"/>
      <c r="ONK110" s="142"/>
      <c r="ONL110" s="142"/>
      <c r="ONM110" s="142"/>
      <c r="ONN110" s="142"/>
      <c r="ONO110" s="142"/>
      <c r="ONP110" s="142"/>
      <c r="ONQ110" s="142"/>
      <c r="ONR110" s="142"/>
      <c r="ONS110" s="142"/>
      <c r="ONT110" s="142"/>
      <c r="ONU110" s="142"/>
      <c r="ONV110" s="142"/>
      <c r="ONW110" s="142"/>
      <c r="ONX110" s="142"/>
      <c r="ONY110" s="142"/>
      <c r="ONZ110" s="142"/>
      <c r="OOA110" s="142"/>
      <c r="OOB110" s="142"/>
      <c r="OOC110" s="142"/>
      <c r="OOD110" s="142"/>
      <c r="OOE110" s="142"/>
      <c r="OOF110" s="142"/>
      <c r="OOG110" s="142"/>
      <c r="OOH110" s="142"/>
      <c r="OOI110" s="142"/>
      <c r="OOJ110" s="142"/>
      <c r="OOK110" s="142"/>
      <c r="OOL110" s="142"/>
      <c r="OOM110" s="142"/>
      <c r="OON110" s="142"/>
      <c r="OOO110" s="142"/>
      <c r="OOP110" s="142"/>
      <c r="OOQ110" s="142"/>
      <c r="OOR110" s="142"/>
      <c r="OOS110" s="142"/>
      <c r="OOT110" s="142"/>
      <c r="OOU110" s="142"/>
      <c r="OOV110" s="142"/>
      <c r="OOW110" s="142"/>
      <c r="OOX110" s="142"/>
      <c r="OOY110" s="142"/>
      <c r="OOZ110" s="142"/>
      <c r="OPA110" s="142"/>
      <c r="OPB110" s="142"/>
      <c r="OPC110" s="142"/>
      <c r="OPD110" s="142"/>
      <c r="OPE110" s="142"/>
      <c r="OPF110" s="142"/>
      <c r="OPG110" s="142"/>
      <c r="OPH110" s="142"/>
      <c r="OPI110" s="142"/>
      <c r="OPJ110" s="142"/>
      <c r="OPK110" s="142"/>
      <c r="OPL110" s="142"/>
      <c r="OPM110" s="142"/>
      <c r="OPN110" s="142"/>
      <c r="OPO110" s="142"/>
      <c r="OPP110" s="142"/>
      <c r="OPQ110" s="142"/>
      <c r="OPR110" s="142"/>
      <c r="OPS110" s="142"/>
      <c r="OPT110" s="142"/>
      <c r="OPU110" s="142"/>
      <c r="OPV110" s="142"/>
      <c r="OPW110" s="142"/>
      <c r="OPX110" s="142"/>
      <c r="OPY110" s="142"/>
      <c r="OPZ110" s="142"/>
      <c r="OQA110" s="142"/>
      <c r="OQB110" s="142"/>
      <c r="OQC110" s="142"/>
      <c r="OQD110" s="142"/>
      <c r="OQE110" s="142"/>
      <c r="OQF110" s="142"/>
      <c r="OQG110" s="142"/>
      <c r="OQH110" s="142"/>
      <c r="OQI110" s="142"/>
      <c r="OQJ110" s="142"/>
      <c r="OQK110" s="142"/>
      <c r="OQL110" s="142"/>
      <c r="OQM110" s="142"/>
      <c r="OQN110" s="142"/>
      <c r="OQO110" s="142"/>
      <c r="OQP110" s="142"/>
      <c r="OQQ110" s="142"/>
      <c r="OQR110" s="142"/>
      <c r="OQS110" s="142"/>
      <c r="OQT110" s="142"/>
      <c r="OQU110" s="142"/>
      <c r="OQV110" s="142"/>
      <c r="OQW110" s="142"/>
      <c r="OQX110" s="142"/>
      <c r="OQY110" s="142"/>
      <c r="OQZ110" s="142"/>
      <c r="ORA110" s="142"/>
      <c r="ORB110" s="142"/>
      <c r="ORC110" s="142"/>
      <c r="ORD110" s="142"/>
      <c r="ORE110" s="142"/>
      <c r="ORF110" s="142"/>
      <c r="ORG110" s="142"/>
      <c r="ORH110" s="142"/>
      <c r="ORI110" s="142"/>
      <c r="ORJ110" s="142"/>
      <c r="ORK110" s="142"/>
      <c r="ORL110" s="142"/>
      <c r="ORM110" s="142"/>
      <c r="ORN110" s="142"/>
      <c r="ORO110" s="142"/>
      <c r="ORP110" s="142"/>
      <c r="ORQ110" s="142"/>
      <c r="ORR110" s="142"/>
      <c r="ORS110" s="142"/>
      <c r="ORT110" s="142"/>
      <c r="ORU110" s="142"/>
      <c r="ORV110" s="142"/>
      <c r="ORW110" s="142"/>
      <c r="ORX110" s="142"/>
      <c r="ORY110" s="142"/>
      <c r="ORZ110" s="142"/>
      <c r="OSA110" s="142"/>
      <c r="OSB110" s="142"/>
      <c r="OSC110" s="142"/>
      <c r="OSD110" s="142"/>
      <c r="OSE110" s="142"/>
      <c r="OSF110" s="142"/>
      <c r="OSG110" s="142"/>
      <c r="OSH110" s="142"/>
      <c r="OSI110" s="142"/>
      <c r="OSJ110" s="142"/>
      <c r="OSK110" s="142"/>
      <c r="OSL110" s="142"/>
      <c r="OSM110" s="142"/>
      <c r="OSN110" s="142"/>
      <c r="OSO110" s="142"/>
      <c r="OSP110" s="142"/>
      <c r="OSQ110" s="142"/>
      <c r="OSR110" s="142"/>
      <c r="OSS110" s="142"/>
      <c r="OST110" s="142"/>
      <c r="OSU110" s="142"/>
      <c r="OSV110" s="142"/>
      <c r="OSW110" s="142"/>
      <c r="OSX110" s="142"/>
      <c r="OSY110" s="142"/>
      <c r="OSZ110" s="142"/>
      <c r="OTA110" s="142"/>
      <c r="OTB110" s="142"/>
      <c r="OTC110" s="142"/>
      <c r="OTD110" s="142"/>
      <c r="OTE110" s="142"/>
      <c r="OTF110" s="142"/>
      <c r="OTG110" s="142"/>
      <c r="OTH110" s="142"/>
      <c r="OTI110" s="142"/>
      <c r="OTJ110" s="142"/>
      <c r="OTK110" s="142"/>
      <c r="OTL110" s="142"/>
      <c r="OTM110" s="142"/>
      <c r="OTN110" s="142"/>
      <c r="OTO110" s="142"/>
      <c r="OTP110" s="142"/>
      <c r="OTQ110" s="142"/>
      <c r="OTR110" s="142"/>
      <c r="OTS110" s="142"/>
      <c r="OTT110" s="142"/>
      <c r="OTU110" s="142"/>
      <c r="OTV110" s="142"/>
      <c r="OTW110" s="142"/>
      <c r="OTX110" s="142"/>
      <c r="OTY110" s="142"/>
      <c r="OTZ110" s="142"/>
      <c r="OUA110" s="142"/>
      <c r="OUB110" s="142"/>
      <c r="OUC110" s="142"/>
      <c r="OUD110" s="142"/>
      <c r="OUE110" s="142"/>
      <c r="OUF110" s="142"/>
      <c r="OUG110" s="142"/>
      <c r="OUH110" s="142"/>
      <c r="OUI110" s="142"/>
      <c r="OUJ110" s="142"/>
      <c r="OUK110" s="142"/>
      <c r="OUL110" s="142"/>
      <c r="OUM110" s="142"/>
      <c r="OUN110" s="142"/>
      <c r="OUO110" s="142"/>
      <c r="OUP110" s="142"/>
      <c r="OUQ110" s="142"/>
      <c r="OUR110" s="142"/>
      <c r="OUS110" s="142"/>
      <c r="OUT110" s="142"/>
      <c r="OUU110" s="142"/>
      <c r="OUV110" s="142"/>
      <c r="OUW110" s="142"/>
      <c r="OUX110" s="142"/>
      <c r="OUY110" s="142"/>
      <c r="OUZ110" s="142"/>
      <c r="OVA110" s="142"/>
      <c r="OVB110" s="142"/>
      <c r="OVC110" s="142"/>
      <c r="OVD110" s="142"/>
      <c r="OVE110" s="142"/>
      <c r="OVF110" s="142"/>
      <c r="OVG110" s="142"/>
      <c r="OVH110" s="142"/>
      <c r="OVI110" s="142"/>
      <c r="OVJ110" s="142"/>
      <c r="OVK110" s="142"/>
      <c r="OVL110" s="142"/>
      <c r="OVM110" s="142"/>
      <c r="OVN110" s="142"/>
      <c r="OVO110" s="142"/>
      <c r="OVP110" s="142"/>
      <c r="OVQ110" s="142"/>
      <c r="OVR110" s="142"/>
      <c r="OVS110" s="142"/>
      <c r="OVT110" s="142"/>
      <c r="OVU110" s="142"/>
      <c r="OVV110" s="142"/>
      <c r="OVW110" s="142"/>
      <c r="OVX110" s="142"/>
      <c r="OVY110" s="142"/>
      <c r="OVZ110" s="142"/>
      <c r="OWA110" s="142"/>
      <c r="OWB110" s="142"/>
      <c r="OWC110" s="142"/>
      <c r="OWD110" s="142"/>
      <c r="OWE110" s="142"/>
      <c r="OWF110" s="142"/>
      <c r="OWG110" s="142"/>
      <c r="OWH110" s="142"/>
      <c r="OWI110" s="142"/>
      <c r="OWJ110" s="142"/>
      <c r="OWK110" s="142"/>
      <c r="OWL110" s="142"/>
      <c r="OWM110" s="142"/>
      <c r="OWN110" s="142"/>
      <c r="OWO110" s="142"/>
      <c r="OWP110" s="142"/>
      <c r="OWQ110" s="142"/>
      <c r="OWR110" s="142"/>
      <c r="OWS110" s="142"/>
      <c r="OWT110" s="142"/>
      <c r="OWU110" s="142"/>
      <c r="OWV110" s="142"/>
      <c r="OWW110" s="142"/>
      <c r="OWX110" s="142"/>
      <c r="OWY110" s="142"/>
      <c r="OWZ110" s="142"/>
      <c r="OXA110" s="142"/>
      <c r="OXB110" s="142"/>
      <c r="OXC110" s="142"/>
      <c r="OXD110" s="142"/>
      <c r="OXE110" s="142"/>
      <c r="OXF110" s="142"/>
      <c r="OXG110" s="142"/>
      <c r="OXH110" s="142"/>
      <c r="OXI110" s="142"/>
      <c r="OXJ110" s="142"/>
      <c r="OXK110" s="142"/>
      <c r="OXL110" s="142"/>
      <c r="OXM110" s="142"/>
      <c r="OXN110" s="142"/>
      <c r="OXO110" s="142"/>
      <c r="OXP110" s="142"/>
      <c r="OXQ110" s="142"/>
      <c r="OXR110" s="142"/>
      <c r="OXS110" s="142"/>
      <c r="OXT110" s="142"/>
      <c r="OXU110" s="142"/>
      <c r="OXV110" s="142"/>
      <c r="OXW110" s="142"/>
      <c r="OXX110" s="142"/>
      <c r="OXY110" s="142"/>
      <c r="OXZ110" s="142"/>
      <c r="OYA110" s="142"/>
      <c r="OYB110" s="142"/>
      <c r="OYC110" s="142"/>
      <c r="OYD110" s="142"/>
      <c r="OYE110" s="142"/>
      <c r="OYF110" s="142"/>
      <c r="OYG110" s="142"/>
      <c r="OYH110" s="142"/>
      <c r="OYI110" s="142"/>
      <c r="OYJ110" s="142"/>
      <c r="OYK110" s="142"/>
      <c r="OYL110" s="142"/>
      <c r="OYM110" s="142"/>
      <c r="OYN110" s="142"/>
      <c r="OYO110" s="142"/>
      <c r="OYP110" s="142"/>
      <c r="OYQ110" s="142"/>
      <c r="OYR110" s="142"/>
      <c r="OYS110" s="142"/>
      <c r="OYT110" s="142"/>
      <c r="OYU110" s="142"/>
      <c r="OYV110" s="142"/>
      <c r="OYW110" s="142"/>
      <c r="OYX110" s="142"/>
      <c r="OYY110" s="142"/>
      <c r="OYZ110" s="142"/>
      <c r="OZA110" s="142"/>
      <c r="OZB110" s="142"/>
      <c r="OZC110" s="142"/>
      <c r="OZD110" s="142"/>
      <c r="OZE110" s="142"/>
      <c r="OZF110" s="142"/>
      <c r="OZG110" s="142"/>
      <c r="OZH110" s="142"/>
      <c r="OZI110" s="142"/>
      <c r="OZJ110" s="142"/>
      <c r="OZK110" s="142"/>
      <c r="OZL110" s="142"/>
      <c r="OZM110" s="142"/>
      <c r="OZN110" s="142"/>
      <c r="OZO110" s="142"/>
      <c r="OZP110" s="142"/>
      <c r="OZQ110" s="142"/>
      <c r="OZR110" s="142"/>
      <c r="OZS110" s="142"/>
      <c r="OZT110" s="142"/>
      <c r="OZU110" s="142"/>
      <c r="OZV110" s="142"/>
      <c r="OZW110" s="142"/>
      <c r="OZX110" s="142"/>
      <c r="OZY110" s="142"/>
      <c r="OZZ110" s="142"/>
      <c r="PAA110" s="142"/>
      <c r="PAB110" s="142"/>
      <c r="PAC110" s="142"/>
      <c r="PAD110" s="142"/>
      <c r="PAE110" s="142"/>
      <c r="PAF110" s="142"/>
      <c r="PAG110" s="142"/>
      <c r="PAH110" s="142"/>
      <c r="PAI110" s="142"/>
      <c r="PAJ110" s="142"/>
      <c r="PAK110" s="142"/>
      <c r="PAL110" s="142"/>
      <c r="PAM110" s="142"/>
      <c r="PAN110" s="142"/>
      <c r="PAO110" s="142"/>
      <c r="PAP110" s="142"/>
      <c r="PAQ110" s="142"/>
      <c r="PAR110" s="142"/>
      <c r="PAS110" s="142"/>
      <c r="PAT110" s="142"/>
      <c r="PAU110" s="142"/>
      <c r="PAV110" s="142"/>
      <c r="PAW110" s="142"/>
      <c r="PAX110" s="142"/>
      <c r="PAY110" s="142"/>
      <c r="PAZ110" s="142"/>
      <c r="PBA110" s="142"/>
      <c r="PBB110" s="142"/>
      <c r="PBC110" s="142"/>
      <c r="PBD110" s="142"/>
      <c r="PBE110" s="142"/>
      <c r="PBF110" s="142"/>
      <c r="PBG110" s="142"/>
      <c r="PBH110" s="142"/>
      <c r="PBI110" s="142"/>
      <c r="PBJ110" s="142"/>
      <c r="PBK110" s="142"/>
      <c r="PBL110" s="142"/>
      <c r="PBM110" s="142"/>
      <c r="PBN110" s="142"/>
      <c r="PBO110" s="142"/>
      <c r="PBP110" s="142"/>
      <c r="PBQ110" s="142"/>
      <c r="PBR110" s="142"/>
      <c r="PBS110" s="142"/>
      <c r="PBT110" s="142"/>
      <c r="PBU110" s="142"/>
      <c r="PBV110" s="142"/>
      <c r="PBW110" s="142"/>
      <c r="PBX110" s="142"/>
      <c r="PBY110" s="142"/>
      <c r="PBZ110" s="142"/>
      <c r="PCA110" s="142"/>
      <c r="PCB110" s="142"/>
      <c r="PCC110" s="142"/>
      <c r="PCD110" s="142"/>
      <c r="PCE110" s="142"/>
      <c r="PCF110" s="142"/>
      <c r="PCG110" s="142"/>
      <c r="PCH110" s="142"/>
      <c r="PCI110" s="142"/>
      <c r="PCJ110" s="142"/>
      <c r="PCK110" s="142"/>
      <c r="PCL110" s="142"/>
      <c r="PCM110" s="142"/>
      <c r="PCN110" s="142"/>
      <c r="PCO110" s="142"/>
      <c r="PCP110" s="142"/>
      <c r="PCQ110" s="142"/>
      <c r="PCR110" s="142"/>
      <c r="PCS110" s="142"/>
      <c r="PCT110" s="142"/>
      <c r="PCU110" s="142"/>
      <c r="PCV110" s="142"/>
      <c r="PCW110" s="142"/>
      <c r="PCX110" s="142"/>
      <c r="PCY110" s="142"/>
      <c r="PCZ110" s="142"/>
      <c r="PDA110" s="142"/>
      <c r="PDB110" s="142"/>
      <c r="PDC110" s="142"/>
      <c r="PDD110" s="142"/>
      <c r="PDE110" s="142"/>
      <c r="PDF110" s="142"/>
      <c r="PDG110" s="142"/>
      <c r="PDH110" s="142"/>
      <c r="PDI110" s="142"/>
      <c r="PDJ110" s="142"/>
      <c r="PDK110" s="142"/>
      <c r="PDL110" s="142"/>
      <c r="PDM110" s="142"/>
      <c r="PDN110" s="142"/>
      <c r="PDO110" s="142"/>
      <c r="PDP110" s="142"/>
      <c r="PDQ110" s="142"/>
      <c r="PDR110" s="142"/>
      <c r="PDS110" s="142"/>
      <c r="PDT110" s="142"/>
      <c r="PDU110" s="142"/>
      <c r="PDV110" s="142"/>
      <c r="PDW110" s="142"/>
      <c r="PDX110" s="142"/>
      <c r="PDY110" s="142"/>
      <c r="PDZ110" s="142"/>
      <c r="PEA110" s="142"/>
      <c r="PEB110" s="142"/>
      <c r="PEC110" s="142"/>
      <c r="PED110" s="142"/>
      <c r="PEE110" s="142"/>
      <c r="PEF110" s="142"/>
      <c r="PEG110" s="142"/>
      <c r="PEH110" s="142"/>
      <c r="PEI110" s="142"/>
      <c r="PEJ110" s="142"/>
      <c r="PEK110" s="142"/>
      <c r="PEL110" s="142"/>
      <c r="PEM110" s="142"/>
      <c r="PEN110" s="142"/>
      <c r="PEO110" s="142"/>
      <c r="PEP110" s="142"/>
      <c r="PEQ110" s="142"/>
      <c r="PER110" s="142"/>
      <c r="PES110" s="142"/>
      <c r="PET110" s="142"/>
      <c r="PEU110" s="142"/>
      <c r="PEV110" s="142"/>
      <c r="PEW110" s="142"/>
      <c r="PEX110" s="142"/>
      <c r="PEY110" s="142"/>
      <c r="PEZ110" s="142"/>
      <c r="PFA110" s="142"/>
      <c r="PFB110" s="142"/>
      <c r="PFC110" s="142"/>
      <c r="PFD110" s="142"/>
      <c r="PFE110" s="142"/>
      <c r="PFF110" s="142"/>
      <c r="PFG110" s="142"/>
      <c r="PFH110" s="142"/>
      <c r="PFI110" s="142"/>
      <c r="PFJ110" s="142"/>
      <c r="PFK110" s="142"/>
      <c r="PFL110" s="142"/>
      <c r="PFM110" s="142"/>
      <c r="PFN110" s="142"/>
      <c r="PFO110" s="142"/>
      <c r="PFP110" s="142"/>
      <c r="PFQ110" s="142"/>
      <c r="PFR110" s="142"/>
      <c r="PFS110" s="142"/>
      <c r="PFT110" s="142"/>
      <c r="PFU110" s="142"/>
      <c r="PFV110" s="142"/>
      <c r="PFW110" s="142"/>
      <c r="PFX110" s="142"/>
      <c r="PFY110" s="142"/>
      <c r="PFZ110" s="142"/>
      <c r="PGA110" s="142"/>
      <c r="PGB110" s="142"/>
      <c r="PGC110" s="142"/>
      <c r="PGD110" s="142"/>
      <c r="PGE110" s="142"/>
      <c r="PGF110" s="142"/>
      <c r="PGG110" s="142"/>
      <c r="PGH110" s="142"/>
      <c r="PGI110" s="142"/>
      <c r="PGJ110" s="142"/>
      <c r="PGK110" s="142"/>
      <c r="PGL110" s="142"/>
      <c r="PGM110" s="142"/>
      <c r="PGN110" s="142"/>
      <c r="PGO110" s="142"/>
      <c r="PGP110" s="142"/>
      <c r="PGQ110" s="142"/>
      <c r="PGR110" s="142"/>
      <c r="PGS110" s="142"/>
      <c r="PGT110" s="142"/>
      <c r="PGU110" s="142"/>
      <c r="PGV110" s="142"/>
      <c r="PGW110" s="142"/>
      <c r="PGX110" s="142"/>
      <c r="PGY110" s="142"/>
      <c r="PGZ110" s="142"/>
      <c r="PHA110" s="142"/>
      <c r="PHB110" s="142"/>
      <c r="PHC110" s="142"/>
      <c r="PHD110" s="142"/>
      <c r="PHE110" s="142"/>
      <c r="PHF110" s="142"/>
      <c r="PHG110" s="142"/>
      <c r="PHH110" s="142"/>
      <c r="PHI110" s="142"/>
      <c r="PHJ110" s="142"/>
      <c r="PHK110" s="142"/>
      <c r="PHL110" s="142"/>
      <c r="PHM110" s="142"/>
      <c r="PHN110" s="142"/>
      <c r="PHO110" s="142"/>
      <c r="PHP110" s="142"/>
      <c r="PHQ110" s="142"/>
      <c r="PHR110" s="142"/>
      <c r="PHS110" s="142"/>
      <c r="PHT110" s="142"/>
      <c r="PHU110" s="142"/>
      <c r="PHV110" s="142"/>
      <c r="PHW110" s="142"/>
      <c r="PHX110" s="142"/>
      <c r="PHY110" s="142"/>
      <c r="PHZ110" s="142"/>
      <c r="PIA110" s="142"/>
      <c r="PIB110" s="142"/>
      <c r="PIC110" s="142"/>
      <c r="PID110" s="142"/>
      <c r="PIE110" s="142"/>
      <c r="PIF110" s="142"/>
      <c r="PIG110" s="142"/>
      <c r="PIH110" s="142"/>
      <c r="PII110" s="142"/>
      <c r="PIJ110" s="142"/>
      <c r="PIK110" s="142"/>
      <c r="PIL110" s="142"/>
      <c r="PIM110" s="142"/>
      <c r="PIN110" s="142"/>
      <c r="PIO110" s="142"/>
      <c r="PIP110" s="142"/>
      <c r="PIQ110" s="142"/>
      <c r="PIR110" s="142"/>
      <c r="PIS110" s="142"/>
      <c r="PIT110" s="142"/>
      <c r="PIU110" s="142"/>
      <c r="PIV110" s="142"/>
      <c r="PIW110" s="142"/>
      <c r="PIX110" s="142"/>
      <c r="PIY110" s="142"/>
      <c r="PIZ110" s="142"/>
      <c r="PJA110" s="142"/>
      <c r="PJB110" s="142"/>
      <c r="PJC110" s="142"/>
      <c r="PJD110" s="142"/>
      <c r="PJE110" s="142"/>
      <c r="PJF110" s="142"/>
      <c r="PJG110" s="142"/>
      <c r="PJH110" s="142"/>
      <c r="PJI110" s="142"/>
      <c r="PJJ110" s="142"/>
      <c r="PJK110" s="142"/>
      <c r="PJL110" s="142"/>
      <c r="PJM110" s="142"/>
      <c r="PJN110" s="142"/>
      <c r="PJO110" s="142"/>
      <c r="PJP110" s="142"/>
      <c r="PJQ110" s="142"/>
      <c r="PJR110" s="142"/>
      <c r="PJS110" s="142"/>
      <c r="PJT110" s="142"/>
      <c r="PJU110" s="142"/>
      <c r="PJV110" s="142"/>
      <c r="PJW110" s="142"/>
      <c r="PJX110" s="142"/>
      <c r="PJY110" s="142"/>
      <c r="PJZ110" s="142"/>
      <c r="PKA110" s="142"/>
      <c r="PKB110" s="142"/>
      <c r="PKC110" s="142"/>
      <c r="PKD110" s="142"/>
      <c r="PKE110" s="142"/>
      <c r="PKF110" s="142"/>
      <c r="PKG110" s="142"/>
      <c r="PKH110" s="142"/>
      <c r="PKI110" s="142"/>
      <c r="PKJ110" s="142"/>
      <c r="PKK110" s="142"/>
      <c r="PKL110" s="142"/>
      <c r="PKM110" s="142"/>
      <c r="PKN110" s="142"/>
      <c r="PKO110" s="142"/>
      <c r="PKP110" s="142"/>
      <c r="PKQ110" s="142"/>
      <c r="PKR110" s="142"/>
      <c r="PKS110" s="142"/>
      <c r="PKT110" s="142"/>
      <c r="PKU110" s="142"/>
      <c r="PKV110" s="142"/>
      <c r="PKW110" s="142"/>
      <c r="PKX110" s="142"/>
      <c r="PKY110" s="142"/>
      <c r="PKZ110" s="142"/>
      <c r="PLA110" s="142"/>
      <c r="PLB110" s="142"/>
      <c r="PLC110" s="142"/>
      <c r="PLD110" s="142"/>
      <c r="PLE110" s="142"/>
      <c r="PLF110" s="142"/>
      <c r="PLG110" s="142"/>
      <c r="PLH110" s="142"/>
      <c r="PLI110" s="142"/>
      <c r="PLJ110" s="142"/>
      <c r="PLK110" s="142"/>
      <c r="PLL110" s="142"/>
      <c r="PLM110" s="142"/>
      <c r="PLN110" s="142"/>
      <c r="PLO110" s="142"/>
      <c r="PLP110" s="142"/>
      <c r="PLQ110" s="142"/>
      <c r="PLR110" s="142"/>
      <c r="PLS110" s="142"/>
      <c r="PLT110" s="142"/>
      <c r="PLU110" s="142"/>
      <c r="PLV110" s="142"/>
      <c r="PLW110" s="142"/>
      <c r="PLX110" s="142"/>
      <c r="PLY110" s="142"/>
      <c r="PLZ110" s="142"/>
      <c r="PMA110" s="142"/>
      <c r="PMB110" s="142"/>
      <c r="PMC110" s="142"/>
      <c r="PMD110" s="142"/>
      <c r="PME110" s="142"/>
      <c r="PMF110" s="142"/>
      <c r="PMG110" s="142"/>
      <c r="PMH110" s="142"/>
      <c r="PMI110" s="142"/>
      <c r="PMJ110" s="142"/>
      <c r="PMK110" s="142"/>
      <c r="PML110" s="142"/>
      <c r="PMM110" s="142"/>
      <c r="PMN110" s="142"/>
      <c r="PMO110" s="142"/>
      <c r="PMP110" s="142"/>
      <c r="PMQ110" s="142"/>
      <c r="PMR110" s="142"/>
      <c r="PMS110" s="142"/>
      <c r="PMT110" s="142"/>
      <c r="PMU110" s="142"/>
      <c r="PMV110" s="142"/>
      <c r="PMW110" s="142"/>
      <c r="PMX110" s="142"/>
      <c r="PMY110" s="142"/>
      <c r="PMZ110" s="142"/>
      <c r="PNA110" s="142"/>
      <c r="PNB110" s="142"/>
      <c r="PNC110" s="142"/>
      <c r="PND110" s="142"/>
      <c r="PNE110" s="142"/>
      <c r="PNF110" s="142"/>
      <c r="PNG110" s="142"/>
      <c r="PNH110" s="142"/>
      <c r="PNI110" s="142"/>
      <c r="PNJ110" s="142"/>
      <c r="PNK110" s="142"/>
      <c r="PNL110" s="142"/>
      <c r="PNM110" s="142"/>
      <c r="PNN110" s="142"/>
      <c r="PNO110" s="142"/>
      <c r="PNP110" s="142"/>
      <c r="PNQ110" s="142"/>
      <c r="PNR110" s="142"/>
      <c r="PNS110" s="142"/>
      <c r="PNT110" s="142"/>
      <c r="PNU110" s="142"/>
      <c r="PNV110" s="142"/>
      <c r="PNW110" s="142"/>
      <c r="PNX110" s="142"/>
      <c r="PNY110" s="142"/>
      <c r="PNZ110" s="142"/>
      <c r="POA110" s="142"/>
      <c r="POB110" s="142"/>
      <c r="POC110" s="142"/>
      <c r="POD110" s="142"/>
      <c r="POE110" s="142"/>
      <c r="POF110" s="142"/>
      <c r="POG110" s="142"/>
      <c r="POH110" s="142"/>
      <c r="POI110" s="142"/>
      <c r="POJ110" s="142"/>
      <c r="POK110" s="142"/>
      <c r="POL110" s="142"/>
      <c r="POM110" s="142"/>
      <c r="PON110" s="142"/>
      <c r="POO110" s="142"/>
      <c r="POP110" s="142"/>
      <c r="POQ110" s="142"/>
      <c r="POR110" s="142"/>
      <c r="POS110" s="142"/>
      <c r="POT110" s="142"/>
      <c r="POU110" s="142"/>
      <c r="POV110" s="142"/>
      <c r="POW110" s="142"/>
      <c r="POX110" s="142"/>
      <c r="POY110" s="142"/>
      <c r="POZ110" s="142"/>
      <c r="PPA110" s="142"/>
      <c r="PPB110" s="142"/>
      <c r="PPC110" s="142"/>
      <c r="PPD110" s="142"/>
      <c r="PPE110" s="142"/>
      <c r="PPF110" s="142"/>
      <c r="PPG110" s="142"/>
      <c r="PPH110" s="142"/>
      <c r="PPI110" s="142"/>
      <c r="PPJ110" s="142"/>
      <c r="PPK110" s="142"/>
      <c r="PPL110" s="142"/>
      <c r="PPM110" s="142"/>
      <c r="PPN110" s="142"/>
      <c r="PPO110" s="142"/>
      <c r="PPP110" s="142"/>
      <c r="PPQ110" s="142"/>
      <c r="PPR110" s="142"/>
      <c r="PPS110" s="142"/>
      <c r="PPT110" s="142"/>
      <c r="PPU110" s="142"/>
      <c r="PPV110" s="142"/>
      <c r="PPW110" s="142"/>
      <c r="PPX110" s="142"/>
      <c r="PPY110" s="142"/>
      <c r="PPZ110" s="142"/>
      <c r="PQA110" s="142"/>
      <c r="PQB110" s="142"/>
      <c r="PQC110" s="142"/>
      <c r="PQD110" s="142"/>
      <c r="PQE110" s="142"/>
      <c r="PQF110" s="142"/>
      <c r="PQG110" s="142"/>
      <c r="PQH110" s="142"/>
      <c r="PQI110" s="142"/>
      <c r="PQJ110" s="142"/>
      <c r="PQK110" s="142"/>
      <c r="PQL110" s="142"/>
      <c r="PQM110" s="142"/>
      <c r="PQN110" s="142"/>
      <c r="PQO110" s="142"/>
      <c r="PQP110" s="142"/>
      <c r="PQQ110" s="142"/>
      <c r="PQR110" s="142"/>
      <c r="PQS110" s="142"/>
      <c r="PQT110" s="142"/>
      <c r="PQU110" s="142"/>
      <c r="PQV110" s="142"/>
      <c r="PQW110" s="142"/>
      <c r="PQX110" s="142"/>
      <c r="PQY110" s="142"/>
      <c r="PQZ110" s="142"/>
      <c r="PRA110" s="142"/>
      <c r="PRB110" s="142"/>
      <c r="PRC110" s="142"/>
      <c r="PRD110" s="142"/>
      <c r="PRE110" s="142"/>
      <c r="PRF110" s="142"/>
      <c r="PRG110" s="142"/>
      <c r="PRH110" s="142"/>
      <c r="PRI110" s="142"/>
      <c r="PRJ110" s="142"/>
      <c r="PRK110" s="142"/>
      <c r="PRL110" s="142"/>
      <c r="PRM110" s="142"/>
      <c r="PRN110" s="142"/>
      <c r="PRO110" s="142"/>
      <c r="PRP110" s="142"/>
      <c r="PRQ110" s="142"/>
      <c r="PRR110" s="142"/>
      <c r="PRS110" s="142"/>
      <c r="PRT110" s="142"/>
      <c r="PRU110" s="142"/>
      <c r="PRV110" s="142"/>
      <c r="PRW110" s="142"/>
      <c r="PRX110" s="142"/>
      <c r="PRY110" s="142"/>
      <c r="PRZ110" s="142"/>
      <c r="PSA110" s="142"/>
      <c r="PSB110" s="142"/>
      <c r="PSC110" s="142"/>
      <c r="PSD110" s="142"/>
      <c r="PSE110" s="142"/>
      <c r="PSF110" s="142"/>
      <c r="PSG110" s="142"/>
      <c r="PSH110" s="142"/>
      <c r="PSI110" s="142"/>
      <c r="PSJ110" s="142"/>
      <c r="PSK110" s="142"/>
      <c r="PSL110" s="142"/>
      <c r="PSM110" s="142"/>
      <c r="PSN110" s="142"/>
      <c r="PSO110" s="142"/>
      <c r="PSP110" s="142"/>
      <c r="PSQ110" s="142"/>
      <c r="PSR110" s="142"/>
      <c r="PSS110" s="142"/>
      <c r="PST110" s="142"/>
      <c r="PSU110" s="142"/>
      <c r="PSV110" s="142"/>
      <c r="PSW110" s="142"/>
      <c r="PSX110" s="142"/>
      <c r="PSY110" s="142"/>
      <c r="PSZ110" s="142"/>
      <c r="PTA110" s="142"/>
      <c r="PTB110" s="142"/>
      <c r="PTC110" s="142"/>
      <c r="PTD110" s="142"/>
      <c r="PTE110" s="142"/>
      <c r="PTF110" s="142"/>
      <c r="PTG110" s="142"/>
      <c r="PTH110" s="142"/>
      <c r="PTI110" s="142"/>
      <c r="PTJ110" s="142"/>
      <c r="PTK110" s="142"/>
      <c r="PTL110" s="142"/>
      <c r="PTM110" s="142"/>
      <c r="PTN110" s="142"/>
      <c r="PTO110" s="142"/>
      <c r="PTP110" s="142"/>
      <c r="PTQ110" s="142"/>
      <c r="PTR110" s="142"/>
      <c r="PTS110" s="142"/>
      <c r="PTT110" s="142"/>
      <c r="PTU110" s="142"/>
      <c r="PTV110" s="142"/>
      <c r="PTW110" s="142"/>
      <c r="PTX110" s="142"/>
      <c r="PTY110" s="142"/>
      <c r="PTZ110" s="142"/>
      <c r="PUA110" s="142"/>
      <c r="PUB110" s="142"/>
      <c r="PUC110" s="142"/>
      <c r="PUD110" s="142"/>
      <c r="PUE110" s="142"/>
      <c r="PUF110" s="142"/>
      <c r="PUG110" s="142"/>
      <c r="PUH110" s="142"/>
      <c r="PUI110" s="142"/>
      <c r="PUJ110" s="142"/>
      <c r="PUK110" s="142"/>
      <c r="PUL110" s="142"/>
      <c r="PUM110" s="142"/>
      <c r="PUN110" s="142"/>
      <c r="PUO110" s="142"/>
      <c r="PUP110" s="142"/>
      <c r="PUQ110" s="142"/>
      <c r="PUR110" s="142"/>
      <c r="PUS110" s="142"/>
      <c r="PUT110" s="142"/>
      <c r="PUU110" s="142"/>
      <c r="PUV110" s="142"/>
      <c r="PUW110" s="142"/>
      <c r="PUX110" s="142"/>
      <c r="PUY110" s="142"/>
      <c r="PUZ110" s="142"/>
      <c r="PVA110" s="142"/>
      <c r="PVB110" s="142"/>
      <c r="PVC110" s="142"/>
      <c r="PVD110" s="142"/>
      <c r="PVE110" s="142"/>
      <c r="PVF110" s="142"/>
      <c r="PVG110" s="142"/>
      <c r="PVH110" s="142"/>
      <c r="PVI110" s="142"/>
      <c r="PVJ110" s="142"/>
      <c r="PVK110" s="142"/>
      <c r="PVL110" s="142"/>
      <c r="PVM110" s="142"/>
      <c r="PVN110" s="142"/>
      <c r="PVO110" s="142"/>
      <c r="PVP110" s="142"/>
      <c r="PVQ110" s="142"/>
      <c r="PVR110" s="142"/>
      <c r="PVS110" s="142"/>
      <c r="PVT110" s="142"/>
      <c r="PVU110" s="142"/>
      <c r="PVV110" s="142"/>
      <c r="PVW110" s="142"/>
      <c r="PVX110" s="142"/>
      <c r="PVY110" s="142"/>
      <c r="PVZ110" s="142"/>
      <c r="PWA110" s="142"/>
      <c r="PWB110" s="142"/>
      <c r="PWC110" s="142"/>
      <c r="PWD110" s="142"/>
      <c r="PWE110" s="142"/>
      <c r="PWF110" s="142"/>
      <c r="PWG110" s="142"/>
      <c r="PWH110" s="142"/>
      <c r="PWI110" s="142"/>
      <c r="PWJ110" s="142"/>
      <c r="PWK110" s="142"/>
      <c r="PWL110" s="142"/>
      <c r="PWM110" s="142"/>
      <c r="PWN110" s="142"/>
      <c r="PWO110" s="142"/>
      <c r="PWP110" s="142"/>
      <c r="PWQ110" s="142"/>
      <c r="PWR110" s="142"/>
      <c r="PWS110" s="142"/>
      <c r="PWT110" s="142"/>
      <c r="PWU110" s="142"/>
      <c r="PWV110" s="142"/>
      <c r="PWW110" s="142"/>
      <c r="PWX110" s="142"/>
      <c r="PWY110" s="142"/>
      <c r="PWZ110" s="142"/>
      <c r="PXA110" s="142"/>
      <c r="PXB110" s="142"/>
      <c r="PXC110" s="142"/>
      <c r="PXD110" s="142"/>
      <c r="PXE110" s="142"/>
      <c r="PXF110" s="142"/>
      <c r="PXG110" s="142"/>
      <c r="PXH110" s="142"/>
      <c r="PXI110" s="142"/>
      <c r="PXJ110" s="142"/>
      <c r="PXK110" s="142"/>
      <c r="PXL110" s="142"/>
      <c r="PXM110" s="142"/>
      <c r="PXN110" s="142"/>
      <c r="PXO110" s="142"/>
      <c r="PXP110" s="142"/>
      <c r="PXQ110" s="142"/>
      <c r="PXR110" s="142"/>
      <c r="PXS110" s="142"/>
      <c r="PXT110" s="142"/>
      <c r="PXU110" s="142"/>
      <c r="PXV110" s="142"/>
      <c r="PXW110" s="142"/>
      <c r="PXX110" s="142"/>
      <c r="PXY110" s="142"/>
      <c r="PXZ110" s="142"/>
      <c r="PYA110" s="142"/>
      <c r="PYB110" s="142"/>
      <c r="PYC110" s="142"/>
      <c r="PYD110" s="142"/>
      <c r="PYE110" s="142"/>
      <c r="PYF110" s="142"/>
      <c r="PYG110" s="142"/>
      <c r="PYH110" s="142"/>
      <c r="PYI110" s="142"/>
      <c r="PYJ110" s="142"/>
      <c r="PYK110" s="142"/>
      <c r="PYL110" s="142"/>
      <c r="PYM110" s="142"/>
      <c r="PYN110" s="142"/>
      <c r="PYO110" s="142"/>
      <c r="PYP110" s="142"/>
      <c r="PYQ110" s="142"/>
      <c r="PYR110" s="142"/>
      <c r="PYS110" s="142"/>
      <c r="PYT110" s="142"/>
      <c r="PYU110" s="142"/>
      <c r="PYV110" s="142"/>
      <c r="PYW110" s="142"/>
      <c r="PYX110" s="142"/>
      <c r="PYY110" s="142"/>
      <c r="PYZ110" s="142"/>
      <c r="PZA110" s="142"/>
      <c r="PZB110" s="142"/>
      <c r="PZC110" s="142"/>
      <c r="PZD110" s="142"/>
      <c r="PZE110" s="142"/>
      <c r="PZF110" s="142"/>
      <c r="PZG110" s="142"/>
      <c r="PZH110" s="142"/>
      <c r="PZI110" s="142"/>
      <c r="PZJ110" s="142"/>
      <c r="PZK110" s="142"/>
      <c r="PZL110" s="142"/>
      <c r="PZM110" s="142"/>
      <c r="PZN110" s="142"/>
      <c r="PZO110" s="142"/>
      <c r="PZP110" s="142"/>
      <c r="PZQ110" s="142"/>
      <c r="PZR110" s="142"/>
      <c r="PZS110" s="142"/>
      <c r="PZT110" s="142"/>
      <c r="PZU110" s="142"/>
      <c r="PZV110" s="142"/>
      <c r="PZW110" s="142"/>
      <c r="PZX110" s="142"/>
      <c r="PZY110" s="142"/>
      <c r="PZZ110" s="142"/>
      <c r="QAA110" s="142"/>
      <c r="QAB110" s="142"/>
      <c r="QAC110" s="142"/>
      <c r="QAD110" s="142"/>
      <c r="QAE110" s="142"/>
      <c r="QAF110" s="142"/>
      <c r="QAG110" s="142"/>
      <c r="QAH110" s="142"/>
      <c r="QAI110" s="142"/>
      <c r="QAJ110" s="142"/>
      <c r="QAK110" s="142"/>
      <c r="QAL110" s="142"/>
      <c r="QAM110" s="142"/>
      <c r="QAN110" s="142"/>
      <c r="QAO110" s="142"/>
      <c r="QAP110" s="142"/>
      <c r="QAQ110" s="142"/>
      <c r="QAR110" s="142"/>
      <c r="QAS110" s="142"/>
      <c r="QAT110" s="142"/>
      <c r="QAU110" s="142"/>
      <c r="QAV110" s="142"/>
      <c r="QAW110" s="142"/>
      <c r="QAX110" s="142"/>
      <c r="QAY110" s="142"/>
      <c r="QAZ110" s="142"/>
      <c r="QBA110" s="142"/>
      <c r="QBB110" s="142"/>
      <c r="QBC110" s="142"/>
      <c r="QBD110" s="142"/>
      <c r="QBE110" s="142"/>
      <c r="QBF110" s="142"/>
      <c r="QBG110" s="142"/>
      <c r="QBH110" s="142"/>
      <c r="QBI110" s="142"/>
      <c r="QBJ110" s="142"/>
      <c r="QBK110" s="142"/>
      <c r="QBL110" s="142"/>
      <c r="QBM110" s="142"/>
      <c r="QBN110" s="142"/>
      <c r="QBO110" s="142"/>
      <c r="QBP110" s="142"/>
      <c r="QBQ110" s="142"/>
      <c r="QBR110" s="142"/>
      <c r="QBS110" s="142"/>
      <c r="QBT110" s="142"/>
      <c r="QBU110" s="142"/>
      <c r="QBV110" s="142"/>
      <c r="QBW110" s="142"/>
      <c r="QBX110" s="142"/>
      <c r="QBY110" s="142"/>
      <c r="QBZ110" s="142"/>
      <c r="QCA110" s="142"/>
      <c r="QCB110" s="142"/>
      <c r="QCC110" s="142"/>
      <c r="QCD110" s="142"/>
      <c r="QCE110" s="142"/>
      <c r="QCF110" s="142"/>
      <c r="QCG110" s="142"/>
      <c r="QCH110" s="142"/>
      <c r="QCI110" s="142"/>
      <c r="QCJ110" s="142"/>
      <c r="QCK110" s="142"/>
      <c r="QCL110" s="142"/>
      <c r="QCM110" s="142"/>
      <c r="QCN110" s="142"/>
      <c r="QCO110" s="142"/>
      <c r="QCP110" s="142"/>
      <c r="QCQ110" s="142"/>
      <c r="QCR110" s="142"/>
      <c r="QCS110" s="142"/>
      <c r="QCT110" s="142"/>
      <c r="QCU110" s="142"/>
      <c r="QCV110" s="142"/>
      <c r="QCW110" s="142"/>
      <c r="QCX110" s="142"/>
      <c r="QCY110" s="142"/>
      <c r="QCZ110" s="142"/>
      <c r="QDA110" s="142"/>
      <c r="QDB110" s="142"/>
      <c r="QDC110" s="142"/>
      <c r="QDD110" s="142"/>
      <c r="QDE110" s="142"/>
      <c r="QDF110" s="142"/>
      <c r="QDG110" s="142"/>
      <c r="QDH110" s="142"/>
      <c r="QDI110" s="142"/>
      <c r="QDJ110" s="142"/>
      <c r="QDK110" s="142"/>
      <c r="QDL110" s="142"/>
      <c r="QDM110" s="142"/>
      <c r="QDN110" s="142"/>
      <c r="QDO110" s="142"/>
      <c r="QDP110" s="142"/>
      <c r="QDQ110" s="142"/>
      <c r="QDR110" s="142"/>
      <c r="QDS110" s="142"/>
      <c r="QDT110" s="142"/>
      <c r="QDU110" s="142"/>
      <c r="QDV110" s="142"/>
      <c r="QDW110" s="142"/>
      <c r="QDX110" s="142"/>
      <c r="QDY110" s="142"/>
      <c r="QDZ110" s="142"/>
      <c r="QEA110" s="142"/>
      <c r="QEB110" s="142"/>
      <c r="QEC110" s="142"/>
      <c r="QED110" s="142"/>
      <c r="QEE110" s="142"/>
      <c r="QEF110" s="142"/>
      <c r="QEG110" s="142"/>
      <c r="QEH110" s="142"/>
      <c r="QEI110" s="142"/>
      <c r="QEJ110" s="142"/>
      <c r="QEK110" s="142"/>
      <c r="QEL110" s="142"/>
      <c r="QEM110" s="142"/>
      <c r="QEN110" s="142"/>
      <c r="QEO110" s="142"/>
      <c r="QEP110" s="142"/>
      <c r="QEQ110" s="142"/>
      <c r="QER110" s="142"/>
      <c r="QES110" s="142"/>
      <c r="QET110" s="142"/>
      <c r="QEU110" s="142"/>
      <c r="QEV110" s="142"/>
      <c r="QEW110" s="142"/>
      <c r="QEX110" s="142"/>
      <c r="QEY110" s="142"/>
      <c r="QEZ110" s="142"/>
      <c r="QFA110" s="142"/>
      <c r="QFB110" s="142"/>
      <c r="QFC110" s="142"/>
      <c r="QFD110" s="142"/>
      <c r="QFE110" s="142"/>
      <c r="QFF110" s="142"/>
      <c r="QFG110" s="142"/>
      <c r="QFH110" s="142"/>
      <c r="QFI110" s="142"/>
      <c r="QFJ110" s="142"/>
      <c r="QFK110" s="142"/>
      <c r="QFL110" s="142"/>
      <c r="QFM110" s="142"/>
      <c r="QFN110" s="142"/>
      <c r="QFO110" s="142"/>
      <c r="QFP110" s="142"/>
      <c r="QFQ110" s="142"/>
      <c r="QFR110" s="142"/>
      <c r="QFS110" s="142"/>
      <c r="QFT110" s="142"/>
      <c r="QFU110" s="142"/>
      <c r="QFV110" s="142"/>
      <c r="QFW110" s="142"/>
      <c r="QFX110" s="142"/>
      <c r="QFY110" s="142"/>
      <c r="QFZ110" s="142"/>
      <c r="QGA110" s="142"/>
      <c r="QGB110" s="142"/>
      <c r="QGC110" s="142"/>
      <c r="QGD110" s="142"/>
      <c r="QGE110" s="142"/>
      <c r="QGF110" s="142"/>
      <c r="QGG110" s="142"/>
      <c r="QGH110" s="142"/>
      <c r="QGI110" s="142"/>
      <c r="QGJ110" s="142"/>
      <c r="QGK110" s="142"/>
      <c r="QGL110" s="142"/>
      <c r="QGM110" s="142"/>
      <c r="QGN110" s="142"/>
      <c r="QGO110" s="142"/>
      <c r="QGP110" s="142"/>
      <c r="QGQ110" s="142"/>
      <c r="QGR110" s="142"/>
      <c r="QGS110" s="142"/>
      <c r="QGT110" s="142"/>
      <c r="QGU110" s="142"/>
      <c r="QGV110" s="142"/>
      <c r="QGW110" s="142"/>
      <c r="QGX110" s="142"/>
      <c r="QGY110" s="142"/>
      <c r="QGZ110" s="142"/>
      <c r="QHA110" s="142"/>
      <c r="QHB110" s="142"/>
      <c r="QHC110" s="142"/>
      <c r="QHD110" s="142"/>
      <c r="QHE110" s="142"/>
      <c r="QHF110" s="142"/>
      <c r="QHG110" s="142"/>
      <c r="QHH110" s="142"/>
      <c r="QHI110" s="142"/>
      <c r="QHJ110" s="142"/>
      <c r="QHK110" s="142"/>
      <c r="QHL110" s="142"/>
      <c r="QHM110" s="142"/>
      <c r="QHN110" s="142"/>
      <c r="QHO110" s="142"/>
      <c r="QHP110" s="142"/>
      <c r="QHQ110" s="142"/>
      <c r="QHR110" s="142"/>
      <c r="QHS110" s="142"/>
      <c r="QHT110" s="142"/>
      <c r="QHU110" s="142"/>
      <c r="QHV110" s="142"/>
      <c r="QHW110" s="142"/>
      <c r="QHX110" s="142"/>
      <c r="QHY110" s="142"/>
      <c r="QHZ110" s="142"/>
      <c r="QIA110" s="142"/>
      <c r="QIB110" s="142"/>
      <c r="QIC110" s="142"/>
      <c r="QID110" s="142"/>
      <c r="QIE110" s="142"/>
      <c r="QIF110" s="142"/>
      <c r="QIG110" s="142"/>
      <c r="QIH110" s="142"/>
      <c r="QII110" s="142"/>
      <c r="QIJ110" s="142"/>
      <c r="QIK110" s="142"/>
      <c r="QIL110" s="142"/>
      <c r="QIM110" s="142"/>
      <c r="QIN110" s="142"/>
      <c r="QIO110" s="142"/>
      <c r="QIP110" s="142"/>
      <c r="QIQ110" s="142"/>
      <c r="QIR110" s="142"/>
      <c r="QIS110" s="142"/>
      <c r="QIT110" s="142"/>
      <c r="QIU110" s="142"/>
      <c r="QIV110" s="142"/>
      <c r="QIW110" s="142"/>
      <c r="QIX110" s="142"/>
      <c r="QIY110" s="142"/>
      <c r="QIZ110" s="142"/>
      <c r="QJA110" s="142"/>
      <c r="QJB110" s="142"/>
      <c r="QJC110" s="142"/>
      <c r="QJD110" s="142"/>
      <c r="QJE110" s="142"/>
      <c r="QJF110" s="142"/>
      <c r="QJG110" s="142"/>
      <c r="QJH110" s="142"/>
      <c r="QJI110" s="142"/>
      <c r="QJJ110" s="142"/>
      <c r="QJK110" s="142"/>
      <c r="QJL110" s="142"/>
      <c r="QJM110" s="142"/>
      <c r="QJN110" s="142"/>
      <c r="QJO110" s="142"/>
      <c r="QJP110" s="142"/>
      <c r="QJQ110" s="142"/>
      <c r="QJR110" s="142"/>
      <c r="QJS110" s="142"/>
      <c r="QJT110" s="142"/>
      <c r="QJU110" s="142"/>
      <c r="QJV110" s="142"/>
      <c r="QJW110" s="142"/>
      <c r="QJX110" s="142"/>
      <c r="QJY110" s="142"/>
      <c r="QJZ110" s="142"/>
      <c r="QKA110" s="142"/>
      <c r="QKB110" s="142"/>
      <c r="QKC110" s="142"/>
      <c r="QKD110" s="142"/>
      <c r="QKE110" s="142"/>
      <c r="QKF110" s="142"/>
      <c r="QKG110" s="142"/>
      <c r="QKH110" s="142"/>
      <c r="QKI110" s="142"/>
      <c r="QKJ110" s="142"/>
      <c r="QKK110" s="142"/>
      <c r="QKL110" s="142"/>
      <c r="QKM110" s="142"/>
      <c r="QKN110" s="142"/>
      <c r="QKO110" s="142"/>
      <c r="QKP110" s="142"/>
      <c r="QKQ110" s="142"/>
      <c r="QKR110" s="142"/>
      <c r="QKS110" s="142"/>
      <c r="QKT110" s="142"/>
      <c r="QKU110" s="142"/>
      <c r="QKV110" s="142"/>
      <c r="QKW110" s="142"/>
      <c r="QKX110" s="142"/>
      <c r="QKY110" s="142"/>
      <c r="QKZ110" s="142"/>
      <c r="QLA110" s="142"/>
      <c r="QLB110" s="142"/>
      <c r="QLC110" s="142"/>
      <c r="QLD110" s="142"/>
      <c r="QLE110" s="142"/>
      <c r="QLF110" s="142"/>
      <c r="QLG110" s="142"/>
      <c r="QLH110" s="142"/>
      <c r="QLI110" s="142"/>
      <c r="QLJ110" s="142"/>
      <c r="QLK110" s="142"/>
      <c r="QLL110" s="142"/>
      <c r="QLM110" s="142"/>
      <c r="QLN110" s="142"/>
      <c r="QLO110" s="142"/>
      <c r="QLP110" s="142"/>
      <c r="QLQ110" s="142"/>
      <c r="QLR110" s="142"/>
      <c r="QLS110" s="142"/>
      <c r="QLT110" s="142"/>
      <c r="QLU110" s="142"/>
      <c r="QLV110" s="142"/>
      <c r="QLW110" s="142"/>
      <c r="QLX110" s="142"/>
      <c r="QLY110" s="142"/>
      <c r="QLZ110" s="142"/>
      <c r="QMA110" s="142"/>
      <c r="QMB110" s="142"/>
      <c r="QMC110" s="142"/>
      <c r="QMD110" s="142"/>
      <c r="QME110" s="142"/>
      <c r="QMF110" s="142"/>
      <c r="QMG110" s="142"/>
      <c r="QMH110" s="142"/>
      <c r="QMI110" s="142"/>
      <c r="QMJ110" s="142"/>
      <c r="QMK110" s="142"/>
      <c r="QML110" s="142"/>
      <c r="QMM110" s="142"/>
      <c r="QMN110" s="142"/>
      <c r="QMO110" s="142"/>
      <c r="QMP110" s="142"/>
      <c r="QMQ110" s="142"/>
      <c r="QMR110" s="142"/>
      <c r="QMS110" s="142"/>
      <c r="QMT110" s="142"/>
      <c r="QMU110" s="142"/>
      <c r="QMV110" s="142"/>
      <c r="QMW110" s="142"/>
      <c r="QMX110" s="142"/>
      <c r="QMY110" s="142"/>
      <c r="QMZ110" s="142"/>
      <c r="QNA110" s="142"/>
      <c r="QNB110" s="142"/>
      <c r="QNC110" s="142"/>
      <c r="QND110" s="142"/>
      <c r="QNE110" s="142"/>
      <c r="QNF110" s="142"/>
      <c r="QNG110" s="142"/>
      <c r="QNH110" s="142"/>
      <c r="QNI110" s="142"/>
      <c r="QNJ110" s="142"/>
      <c r="QNK110" s="142"/>
      <c r="QNL110" s="142"/>
      <c r="QNM110" s="142"/>
      <c r="QNN110" s="142"/>
      <c r="QNO110" s="142"/>
      <c r="QNP110" s="142"/>
      <c r="QNQ110" s="142"/>
      <c r="QNR110" s="142"/>
      <c r="QNS110" s="142"/>
      <c r="QNT110" s="142"/>
      <c r="QNU110" s="142"/>
      <c r="QNV110" s="142"/>
      <c r="QNW110" s="142"/>
      <c r="QNX110" s="142"/>
      <c r="QNY110" s="142"/>
      <c r="QNZ110" s="142"/>
      <c r="QOA110" s="142"/>
      <c r="QOB110" s="142"/>
      <c r="QOC110" s="142"/>
      <c r="QOD110" s="142"/>
      <c r="QOE110" s="142"/>
      <c r="QOF110" s="142"/>
      <c r="QOG110" s="142"/>
      <c r="QOH110" s="142"/>
      <c r="QOI110" s="142"/>
      <c r="QOJ110" s="142"/>
      <c r="QOK110" s="142"/>
      <c r="QOL110" s="142"/>
      <c r="QOM110" s="142"/>
      <c r="QON110" s="142"/>
      <c r="QOO110" s="142"/>
      <c r="QOP110" s="142"/>
      <c r="QOQ110" s="142"/>
      <c r="QOR110" s="142"/>
      <c r="QOS110" s="142"/>
      <c r="QOT110" s="142"/>
      <c r="QOU110" s="142"/>
      <c r="QOV110" s="142"/>
      <c r="QOW110" s="142"/>
      <c r="QOX110" s="142"/>
      <c r="QOY110" s="142"/>
      <c r="QOZ110" s="142"/>
      <c r="QPA110" s="142"/>
      <c r="QPB110" s="142"/>
      <c r="QPC110" s="142"/>
      <c r="QPD110" s="142"/>
      <c r="QPE110" s="142"/>
      <c r="QPF110" s="142"/>
      <c r="QPG110" s="142"/>
      <c r="QPH110" s="142"/>
      <c r="QPI110" s="142"/>
      <c r="QPJ110" s="142"/>
      <c r="QPK110" s="142"/>
      <c r="QPL110" s="142"/>
      <c r="QPM110" s="142"/>
      <c r="QPN110" s="142"/>
      <c r="QPO110" s="142"/>
      <c r="QPP110" s="142"/>
      <c r="QPQ110" s="142"/>
      <c r="QPR110" s="142"/>
      <c r="QPS110" s="142"/>
      <c r="QPT110" s="142"/>
      <c r="QPU110" s="142"/>
      <c r="QPV110" s="142"/>
      <c r="QPW110" s="142"/>
      <c r="QPX110" s="142"/>
      <c r="QPY110" s="142"/>
      <c r="QPZ110" s="142"/>
      <c r="QQA110" s="142"/>
      <c r="QQB110" s="142"/>
      <c r="QQC110" s="142"/>
      <c r="QQD110" s="142"/>
      <c r="QQE110" s="142"/>
      <c r="QQF110" s="142"/>
      <c r="QQG110" s="142"/>
      <c r="QQH110" s="142"/>
      <c r="QQI110" s="142"/>
      <c r="QQJ110" s="142"/>
      <c r="QQK110" s="142"/>
      <c r="QQL110" s="142"/>
      <c r="QQM110" s="142"/>
      <c r="QQN110" s="142"/>
      <c r="QQO110" s="142"/>
      <c r="QQP110" s="142"/>
      <c r="QQQ110" s="142"/>
      <c r="QQR110" s="142"/>
      <c r="QQS110" s="142"/>
      <c r="QQT110" s="142"/>
      <c r="QQU110" s="142"/>
      <c r="QQV110" s="142"/>
      <c r="QQW110" s="142"/>
      <c r="QQX110" s="142"/>
      <c r="QQY110" s="142"/>
      <c r="QQZ110" s="142"/>
      <c r="QRA110" s="142"/>
      <c r="QRB110" s="142"/>
      <c r="QRC110" s="142"/>
      <c r="QRD110" s="142"/>
      <c r="QRE110" s="142"/>
      <c r="QRF110" s="142"/>
      <c r="QRG110" s="142"/>
      <c r="QRH110" s="142"/>
      <c r="QRI110" s="142"/>
      <c r="QRJ110" s="142"/>
      <c r="QRK110" s="142"/>
      <c r="QRL110" s="142"/>
      <c r="QRM110" s="142"/>
      <c r="QRN110" s="142"/>
      <c r="QRO110" s="142"/>
      <c r="QRP110" s="142"/>
      <c r="QRQ110" s="142"/>
      <c r="QRR110" s="142"/>
      <c r="QRS110" s="142"/>
      <c r="QRT110" s="142"/>
      <c r="QRU110" s="142"/>
      <c r="QRV110" s="142"/>
      <c r="QRW110" s="142"/>
      <c r="QRX110" s="142"/>
      <c r="QRY110" s="142"/>
      <c r="QRZ110" s="142"/>
      <c r="QSA110" s="142"/>
      <c r="QSB110" s="142"/>
      <c r="QSC110" s="142"/>
      <c r="QSD110" s="142"/>
      <c r="QSE110" s="142"/>
      <c r="QSF110" s="142"/>
      <c r="QSG110" s="142"/>
      <c r="QSH110" s="142"/>
      <c r="QSI110" s="142"/>
      <c r="QSJ110" s="142"/>
      <c r="QSK110" s="142"/>
      <c r="QSL110" s="142"/>
      <c r="QSM110" s="142"/>
      <c r="QSN110" s="142"/>
      <c r="QSO110" s="142"/>
      <c r="QSP110" s="142"/>
      <c r="QSQ110" s="142"/>
      <c r="QSR110" s="142"/>
      <c r="QSS110" s="142"/>
      <c r="QST110" s="142"/>
      <c r="QSU110" s="142"/>
      <c r="QSV110" s="142"/>
      <c r="QSW110" s="142"/>
      <c r="QSX110" s="142"/>
      <c r="QSY110" s="142"/>
      <c r="QSZ110" s="142"/>
      <c r="QTA110" s="142"/>
      <c r="QTB110" s="142"/>
      <c r="QTC110" s="142"/>
      <c r="QTD110" s="142"/>
      <c r="QTE110" s="142"/>
      <c r="QTF110" s="142"/>
      <c r="QTG110" s="142"/>
      <c r="QTH110" s="142"/>
      <c r="QTI110" s="142"/>
      <c r="QTJ110" s="142"/>
      <c r="QTK110" s="142"/>
      <c r="QTL110" s="142"/>
      <c r="QTM110" s="142"/>
      <c r="QTN110" s="142"/>
      <c r="QTO110" s="142"/>
      <c r="QTP110" s="142"/>
      <c r="QTQ110" s="142"/>
      <c r="QTR110" s="142"/>
      <c r="QTS110" s="142"/>
      <c r="QTT110" s="142"/>
      <c r="QTU110" s="142"/>
      <c r="QTV110" s="142"/>
      <c r="QTW110" s="142"/>
      <c r="QTX110" s="142"/>
      <c r="QTY110" s="142"/>
      <c r="QTZ110" s="142"/>
      <c r="QUA110" s="142"/>
      <c r="QUB110" s="142"/>
      <c r="QUC110" s="142"/>
      <c r="QUD110" s="142"/>
      <c r="QUE110" s="142"/>
      <c r="QUF110" s="142"/>
      <c r="QUG110" s="142"/>
      <c r="QUH110" s="142"/>
      <c r="QUI110" s="142"/>
      <c r="QUJ110" s="142"/>
      <c r="QUK110" s="142"/>
      <c r="QUL110" s="142"/>
      <c r="QUM110" s="142"/>
      <c r="QUN110" s="142"/>
      <c r="QUO110" s="142"/>
      <c r="QUP110" s="142"/>
      <c r="QUQ110" s="142"/>
      <c r="QUR110" s="142"/>
      <c r="QUS110" s="142"/>
      <c r="QUT110" s="142"/>
      <c r="QUU110" s="142"/>
      <c r="QUV110" s="142"/>
      <c r="QUW110" s="142"/>
      <c r="QUX110" s="142"/>
      <c r="QUY110" s="142"/>
      <c r="QUZ110" s="142"/>
      <c r="QVA110" s="142"/>
      <c r="QVB110" s="142"/>
      <c r="QVC110" s="142"/>
      <c r="QVD110" s="142"/>
      <c r="QVE110" s="142"/>
      <c r="QVF110" s="142"/>
      <c r="QVG110" s="142"/>
      <c r="QVH110" s="142"/>
      <c r="QVI110" s="142"/>
      <c r="QVJ110" s="142"/>
      <c r="QVK110" s="142"/>
      <c r="QVL110" s="142"/>
      <c r="QVM110" s="142"/>
      <c r="QVN110" s="142"/>
      <c r="QVO110" s="142"/>
      <c r="QVP110" s="142"/>
      <c r="QVQ110" s="142"/>
      <c r="QVR110" s="142"/>
      <c r="QVS110" s="142"/>
      <c r="QVT110" s="142"/>
      <c r="QVU110" s="142"/>
      <c r="QVV110" s="142"/>
      <c r="QVW110" s="142"/>
      <c r="QVX110" s="142"/>
      <c r="QVY110" s="142"/>
      <c r="QVZ110" s="142"/>
      <c r="QWA110" s="142"/>
      <c r="QWB110" s="142"/>
      <c r="QWC110" s="142"/>
      <c r="QWD110" s="142"/>
      <c r="QWE110" s="142"/>
      <c r="QWF110" s="142"/>
      <c r="QWG110" s="142"/>
      <c r="QWH110" s="142"/>
      <c r="QWI110" s="142"/>
      <c r="QWJ110" s="142"/>
      <c r="QWK110" s="142"/>
      <c r="QWL110" s="142"/>
      <c r="QWM110" s="142"/>
      <c r="QWN110" s="142"/>
      <c r="QWO110" s="142"/>
      <c r="QWP110" s="142"/>
      <c r="QWQ110" s="142"/>
      <c r="QWR110" s="142"/>
      <c r="QWS110" s="142"/>
      <c r="QWT110" s="142"/>
      <c r="QWU110" s="142"/>
      <c r="QWV110" s="142"/>
      <c r="QWW110" s="142"/>
      <c r="QWX110" s="142"/>
      <c r="QWY110" s="142"/>
      <c r="QWZ110" s="142"/>
      <c r="QXA110" s="142"/>
      <c r="QXB110" s="142"/>
      <c r="QXC110" s="142"/>
      <c r="QXD110" s="142"/>
      <c r="QXE110" s="142"/>
      <c r="QXF110" s="142"/>
      <c r="QXG110" s="142"/>
      <c r="QXH110" s="142"/>
      <c r="QXI110" s="142"/>
      <c r="QXJ110" s="142"/>
      <c r="QXK110" s="142"/>
      <c r="QXL110" s="142"/>
      <c r="QXM110" s="142"/>
      <c r="QXN110" s="142"/>
      <c r="QXO110" s="142"/>
      <c r="QXP110" s="142"/>
      <c r="QXQ110" s="142"/>
      <c r="QXR110" s="142"/>
      <c r="QXS110" s="142"/>
      <c r="QXT110" s="142"/>
      <c r="QXU110" s="142"/>
      <c r="QXV110" s="142"/>
      <c r="QXW110" s="142"/>
      <c r="QXX110" s="142"/>
      <c r="QXY110" s="142"/>
      <c r="QXZ110" s="142"/>
      <c r="QYA110" s="142"/>
      <c r="QYB110" s="142"/>
      <c r="QYC110" s="142"/>
      <c r="QYD110" s="142"/>
      <c r="QYE110" s="142"/>
      <c r="QYF110" s="142"/>
      <c r="QYG110" s="142"/>
      <c r="QYH110" s="142"/>
      <c r="QYI110" s="142"/>
      <c r="QYJ110" s="142"/>
      <c r="QYK110" s="142"/>
      <c r="QYL110" s="142"/>
      <c r="QYM110" s="142"/>
      <c r="QYN110" s="142"/>
      <c r="QYO110" s="142"/>
      <c r="QYP110" s="142"/>
      <c r="QYQ110" s="142"/>
      <c r="QYR110" s="142"/>
      <c r="QYS110" s="142"/>
      <c r="QYT110" s="142"/>
      <c r="QYU110" s="142"/>
      <c r="QYV110" s="142"/>
      <c r="QYW110" s="142"/>
      <c r="QYX110" s="142"/>
      <c r="QYY110" s="142"/>
      <c r="QYZ110" s="142"/>
      <c r="QZA110" s="142"/>
      <c r="QZB110" s="142"/>
      <c r="QZC110" s="142"/>
      <c r="QZD110" s="142"/>
      <c r="QZE110" s="142"/>
      <c r="QZF110" s="142"/>
      <c r="QZG110" s="142"/>
      <c r="QZH110" s="142"/>
      <c r="QZI110" s="142"/>
      <c r="QZJ110" s="142"/>
      <c r="QZK110" s="142"/>
      <c r="QZL110" s="142"/>
      <c r="QZM110" s="142"/>
      <c r="QZN110" s="142"/>
      <c r="QZO110" s="142"/>
      <c r="QZP110" s="142"/>
      <c r="QZQ110" s="142"/>
      <c r="QZR110" s="142"/>
      <c r="QZS110" s="142"/>
      <c r="QZT110" s="142"/>
      <c r="QZU110" s="142"/>
      <c r="QZV110" s="142"/>
      <c r="QZW110" s="142"/>
      <c r="QZX110" s="142"/>
      <c r="QZY110" s="142"/>
      <c r="QZZ110" s="142"/>
      <c r="RAA110" s="142"/>
      <c r="RAB110" s="142"/>
      <c r="RAC110" s="142"/>
      <c r="RAD110" s="142"/>
      <c r="RAE110" s="142"/>
      <c r="RAF110" s="142"/>
      <c r="RAG110" s="142"/>
      <c r="RAH110" s="142"/>
      <c r="RAI110" s="142"/>
      <c r="RAJ110" s="142"/>
      <c r="RAK110" s="142"/>
      <c r="RAL110" s="142"/>
      <c r="RAM110" s="142"/>
      <c r="RAN110" s="142"/>
      <c r="RAO110" s="142"/>
      <c r="RAP110" s="142"/>
      <c r="RAQ110" s="142"/>
      <c r="RAR110" s="142"/>
      <c r="RAS110" s="142"/>
      <c r="RAT110" s="142"/>
      <c r="RAU110" s="142"/>
      <c r="RAV110" s="142"/>
      <c r="RAW110" s="142"/>
      <c r="RAX110" s="142"/>
      <c r="RAY110" s="142"/>
      <c r="RAZ110" s="142"/>
      <c r="RBA110" s="142"/>
      <c r="RBB110" s="142"/>
      <c r="RBC110" s="142"/>
      <c r="RBD110" s="142"/>
      <c r="RBE110" s="142"/>
      <c r="RBF110" s="142"/>
      <c r="RBG110" s="142"/>
      <c r="RBH110" s="142"/>
      <c r="RBI110" s="142"/>
      <c r="RBJ110" s="142"/>
      <c r="RBK110" s="142"/>
      <c r="RBL110" s="142"/>
      <c r="RBM110" s="142"/>
      <c r="RBN110" s="142"/>
      <c r="RBO110" s="142"/>
      <c r="RBP110" s="142"/>
      <c r="RBQ110" s="142"/>
      <c r="RBR110" s="142"/>
      <c r="RBS110" s="142"/>
      <c r="RBT110" s="142"/>
      <c r="RBU110" s="142"/>
      <c r="RBV110" s="142"/>
      <c r="RBW110" s="142"/>
      <c r="RBX110" s="142"/>
      <c r="RBY110" s="142"/>
      <c r="RBZ110" s="142"/>
      <c r="RCA110" s="142"/>
      <c r="RCB110" s="142"/>
      <c r="RCC110" s="142"/>
      <c r="RCD110" s="142"/>
      <c r="RCE110" s="142"/>
      <c r="RCF110" s="142"/>
      <c r="RCG110" s="142"/>
      <c r="RCH110" s="142"/>
      <c r="RCI110" s="142"/>
      <c r="RCJ110" s="142"/>
      <c r="RCK110" s="142"/>
      <c r="RCL110" s="142"/>
      <c r="RCM110" s="142"/>
      <c r="RCN110" s="142"/>
      <c r="RCO110" s="142"/>
      <c r="RCP110" s="142"/>
      <c r="RCQ110" s="142"/>
      <c r="RCR110" s="142"/>
      <c r="RCS110" s="142"/>
      <c r="RCT110" s="142"/>
      <c r="RCU110" s="142"/>
      <c r="RCV110" s="142"/>
      <c r="RCW110" s="142"/>
      <c r="RCX110" s="142"/>
      <c r="RCY110" s="142"/>
      <c r="RCZ110" s="142"/>
      <c r="RDA110" s="142"/>
      <c r="RDB110" s="142"/>
      <c r="RDC110" s="142"/>
      <c r="RDD110" s="142"/>
      <c r="RDE110" s="142"/>
      <c r="RDF110" s="142"/>
      <c r="RDG110" s="142"/>
      <c r="RDH110" s="142"/>
      <c r="RDI110" s="142"/>
      <c r="RDJ110" s="142"/>
      <c r="RDK110" s="142"/>
      <c r="RDL110" s="142"/>
      <c r="RDM110" s="142"/>
      <c r="RDN110" s="142"/>
      <c r="RDO110" s="142"/>
      <c r="RDP110" s="142"/>
      <c r="RDQ110" s="142"/>
      <c r="RDR110" s="142"/>
      <c r="RDS110" s="142"/>
      <c r="RDT110" s="142"/>
      <c r="RDU110" s="142"/>
      <c r="RDV110" s="142"/>
      <c r="RDW110" s="142"/>
      <c r="RDX110" s="142"/>
      <c r="RDY110" s="142"/>
      <c r="RDZ110" s="142"/>
      <c r="REA110" s="142"/>
      <c r="REB110" s="142"/>
      <c r="REC110" s="142"/>
      <c r="RED110" s="142"/>
      <c r="REE110" s="142"/>
      <c r="REF110" s="142"/>
      <c r="REG110" s="142"/>
      <c r="REH110" s="142"/>
      <c r="REI110" s="142"/>
      <c r="REJ110" s="142"/>
      <c r="REK110" s="142"/>
      <c r="REL110" s="142"/>
      <c r="REM110" s="142"/>
      <c r="REN110" s="142"/>
      <c r="REO110" s="142"/>
      <c r="REP110" s="142"/>
      <c r="REQ110" s="142"/>
      <c r="RER110" s="142"/>
      <c r="RES110" s="142"/>
      <c r="RET110" s="142"/>
      <c r="REU110" s="142"/>
      <c r="REV110" s="142"/>
      <c r="REW110" s="142"/>
      <c r="REX110" s="142"/>
      <c r="REY110" s="142"/>
      <c r="REZ110" s="142"/>
      <c r="RFA110" s="142"/>
      <c r="RFB110" s="142"/>
      <c r="RFC110" s="142"/>
      <c r="RFD110" s="142"/>
      <c r="RFE110" s="142"/>
      <c r="RFF110" s="142"/>
      <c r="RFG110" s="142"/>
      <c r="RFH110" s="142"/>
      <c r="RFI110" s="142"/>
      <c r="RFJ110" s="142"/>
      <c r="RFK110" s="142"/>
      <c r="RFL110" s="142"/>
      <c r="RFM110" s="142"/>
      <c r="RFN110" s="142"/>
      <c r="RFO110" s="142"/>
      <c r="RFP110" s="142"/>
      <c r="RFQ110" s="142"/>
      <c r="RFR110" s="142"/>
      <c r="RFS110" s="142"/>
      <c r="RFT110" s="142"/>
      <c r="RFU110" s="142"/>
      <c r="RFV110" s="142"/>
      <c r="RFW110" s="142"/>
      <c r="RFX110" s="142"/>
      <c r="RFY110" s="142"/>
      <c r="RFZ110" s="142"/>
      <c r="RGA110" s="142"/>
      <c r="RGB110" s="142"/>
      <c r="RGC110" s="142"/>
      <c r="RGD110" s="142"/>
      <c r="RGE110" s="142"/>
      <c r="RGF110" s="142"/>
      <c r="RGG110" s="142"/>
      <c r="RGH110" s="142"/>
      <c r="RGI110" s="142"/>
      <c r="RGJ110" s="142"/>
      <c r="RGK110" s="142"/>
      <c r="RGL110" s="142"/>
      <c r="RGM110" s="142"/>
      <c r="RGN110" s="142"/>
      <c r="RGO110" s="142"/>
      <c r="RGP110" s="142"/>
      <c r="RGQ110" s="142"/>
      <c r="RGR110" s="142"/>
      <c r="RGS110" s="142"/>
      <c r="RGT110" s="142"/>
      <c r="RGU110" s="142"/>
      <c r="RGV110" s="142"/>
      <c r="RGW110" s="142"/>
      <c r="RGX110" s="142"/>
      <c r="RGY110" s="142"/>
      <c r="RGZ110" s="142"/>
      <c r="RHA110" s="142"/>
      <c r="RHB110" s="142"/>
      <c r="RHC110" s="142"/>
      <c r="RHD110" s="142"/>
      <c r="RHE110" s="142"/>
      <c r="RHF110" s="142"/>
      <c r="RHG110" s="142"/>
      <c r="RHH110" s="142"/>
      <c r="RHI110" s="142"/>
      <c r="RHJ110" s="142"/>
      <c r="RHK110" s="142"/>
      <c r="RHL110" s="142"/>
      <c r="RHM110" s="142"/>
      <c r="RHN110" s="142"/>
      <c r="RHO110" s="142"/>
      <c r="RHP110" s="142"/>
      <c r="RHQ110" s="142"/>
      <c r="RHR110" s="142"/>
      <c r="RHS110" s="142"/>
      <c r="RHT110" s="142"/>
      <c r="RHU110" s="142"/>
      <c r="RHV110" s="142"/>
      <c r="RHW110" s="142"/>
      <c r="RHX110" s="142"/>
      <c r="RHY110" s="142"/>
      <c r="RHZ110" s="142"/>
      <c r="RIA110" s="142"/>
      <c r="RIB110" s="142"/>
      <c r="RIC110" s="142"/>
      <c r="RID110" s="142"/>
      <c r="RIE110" s="142"/>
      <c r="RIF110" s="142"/>
      <c r="RIG110" s="142"/>
      <c r="RIH110" s="142"/>
      <c r="RII110" s="142"/>
      <c r="RIJ110" s="142"/>
      <c r="RIK110" s="142"/>
      <c r="RIL110" s="142"/>
      <c r="RIM110" s="142"/>
      <c r="RIN110" s="142"/>
      <c r="RIO110" s="142"/>
      <c r="RIP110" s="142"/>
      <c r="RIQ110" s="142"/>
      <c r="RIR110" s="142"/>
      <c r="RIS110" s="142"/>
      <c r="RIT110" s="142"/>
      <c r="RIU110" s="142"/>
      <c r="RIV110" s="142"/>
      <c r="RIW110" s="142"/>
      <c r="RIX110" s="142"/>
      <c r="RIY110" s="142"/>
      <c r="RIZ110" s="142"/>
      <c r="RJA110" s="142"/>
      <c r="RJB110" s="142"/>
      <c r="RJC110" s="142"/>
      <c r="RJD110" s="142"/>
      <c r="RJE110" s="142"/>
      <c r="RJF110" s="142"/>
      <c r="RJG110" s="142"/>
      <c r="RJH110" s="142"/>
      <c r="RJI110" s="142"/>
      <c r="RJJ110" s="142"/>
      <c r="RJK110" s="142"/>
      <c r="RJL110" s="142"/>
      <c r="RJM110" s="142"/>
      <c r="RJN110" s="142"/>
      <c r="RJO110" s="142"/>
      <c r="RJP110" s="142"/>
      <c r="RJQ110" s="142"/>
      <c r="RJR110" s="142"/>
      <c r="RJS110" s="142"/>
      <c r="RJT110" s="142"/>
      <c r="RJU110" s="142"/>
      <c r="RJV110" s="142"/>
      <c r="RJW110" s="142"/>
      <c r="RJX110" s="142"/>
      <c r="RJY110" s="142"/>
      <c r="RJZ110" s="142"/>
      <c r="RKA110" s="142"/>
      <c r="RKB110" s="142"/>
      <c r="RKC110" s="142"/>
      <c r="RKD110" s="142"/>
      <c r="RKE110" s="142"/>
      <c r="RKF110" s="142"/>
      <c r="RKG110" s="142"/>
      <c r="RKH110" s="142"/>
      <c r="RKI110" s="142"/>
      <c r="RKJ110" s="142"/>
      <c r="RKK110" s="142"/>
      <c r="RKL110" s="142"/>
      <c r="RKM110" s="142"/>
      <c r="RKN110" s="142"/>
      <c r="RKO110" s="142"/>
      <c r="RKP110" s="142"/>
      <c r="RKQ110" s="142"/>
      <c r="RKR110" s="142"/>
      <c r="RKS110" s="142"/>
      <c r="RKT110" s="142"/>
      <c r="RKU110" s="142"/>
      <c r="RKV110" s="142"/>
      <c r="RKW110" s="142"/>
      <c r="RKX110" s="142"/>
      <c r="RKY110" s="142"/>
      <c r="RKZ110" s="142"/>
      <c r="RLA110" s="142"/>
      <c r="RLB110" s="142"/>
      <c r="RLC110" s="142"/>
      <c r="RLD110" s="142"/>
      <c r="RLE110" s="142"/>
      <c r="RLF110" s="142"/>
      <c r="RLG110" s="142"/>
      <c r="RLH110" s="142"/>
      <c r="RLI110" s="142"/>
      <c r="RLJ110" s="142"/>
      <c r="RLK110" s="142"/>
      <c r="RLL110" s="142"/>
      <c r="RLM110" s="142"/>
      <c r="RLN110" s="142"/>
      <c r="RLO110" s="142"/>
      <c r="RLP110" s="142"/>
      <c r="RLQ110" s="142"/>
      <c r="RLR110" s="142"/>
      <c r="RLS110" s="142"/>
      <c r="RLT110" s="142"/>
      <c r="RLU110" s="142"/>
      <c r="RLV110" s="142"/>
      <c r="RLW110" s="142"/>
      <c r="RLX110" s="142"/>
      <c r="RLY110" s="142"/>
      <c r="RLZ110" s="142"/>
      <c r="RMA110" s="142"/>
      <c r="RMB110" s="142"/>
      <c r="RMC110" s="142"/>
      <c r="RMD110" s="142"/>
      <c r="RME110" s="142"/>
      <c r="RMF110" s="142"/>
      <c r="RMG110" s="142"/>
      <c r="RMH110" s="142"/>
      <c r="RMI110" s="142"/>
      <c r="RMJ110" s="142"/>
      <c r="RMK110" s="142"/>
      <c r="RML110" s="142"/>
      <c r="RMM110" s="142"/>
      <c r="RMN110" s="142"/>
      <c r="RMO110" s="142"/>
      <c r="RMP110" s="142"/>
      <c r="RMQ110" s="142"/>
      <c r="RMR110" s="142"/>
      <c r="RMS110" s="142"/>
      <c r="RMT110" s="142"/>
      <c r="RMU110" s="142"/>
      <c r="RMV110" s="142"/>
      <c r="RMW110" s="142"/>
      <c r="RMX110" s="142"/>
      <c r="RMY110" s="142"/>
      <c r="RMZ110" s="142"/>
      <c r="RNA110" s="142"/>
      <c r="RNB110" s="142"/>
      <c r="RNC110" s="142"/>
      <c r="RND110" s="142"/>
      <c r="RNE110" s="142"/>
      <c r="RNF110" s="142"/>
      <c r="RNG110" s="142"/>
      <c r="RNH110" s="142"/>
      <c r="RNI110" s="142"/>
      <c r="RNJ110" s="142"/>
      <c r="RNK110" s="142"/>
      <c r="RNL110" s="142"/>
      <c r="RNM110" s="142"/>
      <c r="RNN110" s="142"/>
      <c r="RNO110" s="142"/>
      <c r="RNP110" s="142"/>
      <c r="RNQ110" s="142"/>
      <c r="RNR110" s="142"/>
      <c r="RNS110" s="142"/>
      <c r="RNT110" s="142"/>
      <c r="RNU110" s="142"/>
      <c r="RNV110" s="142"/>
      <c r="RNW110" s="142"/>
      <c r="RNX110" s="142"/>
      <c r="RNY110" s="142"/>
      <c r="RNZ110" s="142"/>
      <c r="ROA110" s="142"/>
      <c r="ROB110" s="142"/>
      <c r="ROC110" s="142"/>
      <c r="ROD110" s="142"/>
      <c r="ROE110" s="142"/>
      <c r="ROF110" s="142"/>
      <c r="ROG110" s="142"/>
      <c r="ROH110" s="142"/>
      <c r="ROI110" s="142"/>
      <c r="ROJ110" s="142"/>
      <c r="ROK110" s="142"/>
      <c r="ROL110" s="142"/>
      <c r="ROM110" s="142"/>
      <c r="RON110" s="142"/>
      <c r="ROO110" s="142"/>
      <c r="ROP110" s="142"/>
      <c r="ROQ110" s="142"/>
      <c r="ROR110" s="142"/>
      <c r="ROS110" s="142"/>
      <c r="ROT110" s="142"/>
      <c r="ROU110" s="142"/>
      <c r="ROV110" s="142"/>
      <c r="ROW110" s="142"/>
      <c r="ROX110" s="142"/>
      <c r="ROY110" s="142"/>
      <c r="ROZ110" s="142"/>
      <c r="RPA110" s="142"/>
      <c r="RPB110" s="142"/>
      <c r="RPC110" s="142"/>
      <c r="RPD110" s="142"/>
      <c r="RPE110" s="142"/>
      <c r="RPF110" s="142"/>
      <c r="RPG110" s="142"/>
      <c r="RPH110" s="142"/>
      <c r="RPI110" s="142"/>
      <c r="RPJ110" s="142"/>
      <c r="RPK110" s="142"/>
      <c r="RPL110" s="142"/>
      <c r="RPM110" s="142"/>
      <c r="RPN110" s="142"/>
      <c r="RPO110" s="142"/>
      <c r="RPP110" s="142"/>
      <c r="RPQ110" s="142"/>
      <c r="RPR110" s="142"/>
      <c r="RPS110" s="142"/>
      <c r="RPT110" s="142"/>
      <c r="RPU110" s="142"/>
      <c r="RPV110" s="142"/>
      <c r="RPW110" s="142"/>
      <c r="RPX110" s="142"/>
      <c r="RPY110" s="142"/>
      <c r="RPZ110" s="142"/>
      <c r="RQA110" s="142"/>
      <c r="RQB110" s="142"/>
      <c r="RQC110" s="142"/>
      <c r="RQD110" s="142"/>
      <c r="RQE110" s="142"/>
      <c r="RQF110" s="142"/>
      <c r="RQG110" s="142"/>
      <c r="RQH110" s="142"/>
      <c r="RQI110" s="142"/>
      <c r="RQJ110" s="142"/>
      <c r="RQK110" s="142"/>
      <c r="RQL110" s="142"/>
      <c r="RQM110" s="142"/>
      <c r="RQN110" s="142"/>
      <c r="RQO110" s="142"/>
      <c r="RQP110" s="142"/>
      <c r="RQQ110" s="142"/>
      <c r="RQR110" s="142"/>
      <c r="RQS110" s="142"/>
      <c r="RQT110" s="142"/>
      <c r="RQU110" s="142"/>
      <c r="RQV110" s="142"/>
      <c r="RQW110" s="142"/>
      <c r="RQX110" s="142"/>
      <c r="RQY110" s="142"/>
      <c r="RQZ110" s="142"/>
      <c r="RRA110" s="142"/>
      <c r="RRB110" s="142"/>
      <c r="RRC110" s="142"/>
      <c r="RRD110" s="142"/>
      <c r="RRE110" s="142"/>
      <c r="RRF110" s="142"/>
      <c r="RRG110" s="142"/>
      <c r="RRH110" s="142"/>
      <c r="RRI110" s="142"/>
      <c r="RRJ110" s="142"/>
      <c r="RRK110" s="142"/>
      <c r="RRL110" s="142"/>
      <c r="RRM110" s="142"/>
      <c r="RRN110" s="142"/>
      <c r="RRO110" s="142"/>
      <c r="RRP110" s="142"/>
      <c r="RRQ110" s="142"/>
      <c r="RRR110" s="142"/>
      <c r="RRS110" s="142"/>
      <c r="RRT110" s="142"/>
      <c r="RRU110" s="142"/>
      <c r="RRV110" s="142"/>
      <c r="RRW110" s="142"/>
      <c r="RRX110" s="142"/>
      <c r="RRY110" s="142"/>
      <c r="RRZ110" s="142"/>
      <c r="RSA110" s="142"/>
      <c r="RSB110" s="142"/>
      <c r="RSC110" s="142"/>
      <c r="RSD110" s="142"/>
      <c r="RSE110" s="142"/>
      <c r="RSF110" s="142"/>
      <c r="RSG110" s="142"/>
      <c r="RSH110" s="142"/>
      <c r="RSI110" s="142"/>
      <c r="RSJ110" s="142"/>
      <c r="RSK110" s="142"/>
      <c r="RSL110" s="142"/>
      <c r="RSM110" s="142"/>
      <c r="RSN110" s="142"/>
      <c r="RSO110" s="142"/>
      <c r="RSP110" s="142"/>
      <c r="RSQ110" s="142"/>
      <c r="RSR110" s="142"/>
      <c r="RSS110" s="142"/>
      <c r="RST110" s="142"/>
      <c r="RSU110" s="142"/>
      <c r="RSV110" s="142"/>
      <c r="RSW110" s="142"/>
      <c r="RSX110" s="142"/>
      <c r="RSY110" s="142"/>
      <c r="RSZ110" s="142"/>
      <c r="RTA110" s="142"/>
      <c r="RTB110" s="142"/>
      <c r="RTC110" s="142"/>
      <c r="RTD110" s="142"/>
      <c r="RTE110" s="142"/>
      <c r="RTF110" s="142"/>
      <c r="RTG110" s="142"/>
      <c r="RTH110" s="142"/>
      <c r="RTI110" s="142"/>
      <c r="RTJ110" s="142"/>
      <c r="RTK110" s="142"/>
      <c r="RTL110" s="142"/>
      <c r="RTM110" s="142"/>
      <c r="RTN110" s="142"/>
      <c r="RTO110" s="142"/>
      <c r="RTP110" s="142"/>
      <c r="RTQ110" s="142"/>
      <c r="RTR110" s="142"/>
      <c r="RTS110" s="142"/>
      <c r="RTT110" s="142"/>
      <c r="RTU110" s="142"/>
      <c r="RTV110" s="142"/>
      <c r="RTW110" s="142"/>
      <c r="RTX110" s="142"/>
      <c r="RTY110" s="142"/>
      <c r="RTZ110" s="142"/>
      <c r="RUA110" s="142"/>
      <c r="RUB110" s="142"/>
      <c r="RUC110" s="142"/>
      <c r="RUD110" s="142"/>
      <c r="RUE110" s="142"/>
      <c r="RUF110" s="142"/>
      <c r="RUG110" s="142"/>
      <c r="RUH110" s="142"/>
      <c r="RUI110" s="142"/>
      <c r="RUJ110" s="142"/>
      <c r="RUK110" s="142"/>
      <c r="RUL110" s="142"/>
      <c r="RUM110" s="142"/>
      <c r="RUN110" s="142"/>
      <c r="RUO110" s="142"/>
      <c r="RUP110" s="142"/>
      <c r="RUQ110" s="142"/>
      <c r="RUR110" s="142"/>
      <c r="RUS110" s="142"/>
      <c r="RUT110" s="142"/>
      <c r="RUU110" s="142"/>
      <c r="RUV110" s="142"/>
      <c r="RUW110" s="142"/>
      <c r="RUX110" s="142"/>
      <c r="RUY110" s="142"/>
      <c r="RUZ110" s="142"/>
      <c r="RVA110" s="142"/>
      <c r="RVB110" s="142"/>
      <c r="RVC110" s="142"/>
      <c r="RVD110" s="142"/>
      <c r="RVE110" s="142"/>
      <c r="RVF110" s="142"/>
      <c r="RVG110" s="142"/>
      <c r="RVH110" s="142"/>
      <c r="RVI110" s="142"/>
      <c r="RVJ110" s="142"/>
      <c r="RVK110" s="142"/>
      <c r="RVL110" s="142"/>
      <c r="RVM110" s="142"/>
      <c r="RVN110" s="142"/>
      <c r="RVO110" s="142"/>
      <c r="RVP110" s="142"/>
      <c r="RVQ110" s="142"/>
      <c r="RVR110" s="142"/>
      <c r="RVS110" s="142"/>
      <c r="RVT110" s="142"/>
      <c r="RVU110" s="142"/>
      <c r="RVV110" s="142"/>
      <c r="RVW110" s="142"/>
      <c r="RVX110" s="142"/>
      <c r="RVY110" s="142"/>
      <c r="RVZ110" s="142"/>
      <c r="RWA110" s="142"/>
      <c r="RWB110" s="142"/>
      <c r="RWC110" s="142"/>
      <c r="RWD110" s="142"/>
      <c r="RWE110" s="142"/>
      <c r="RWF110" s="142"/>
      <c r="RWG110" s="142"/>
      <c r="RWH110" s="142"/>
      <c r="RWI110" s="142"/>
      <c r="RWJ110" s="142"/>
      <c r="RWK110" s="142"/>
      <c r="RWL110" s="142"/>
      <c r="RWM110" s="142"/>
      <c r="RWN110" s="142"/>
      <c r="RWO110" s="142"/>
      <c r="RWP110" s="142"/>
      <c r="RWQ110" s="142"/>
      <c r="RWR110" s="142"/>
      <c r="RWS110" s="142"/>
      <c r="RWT110" s="142"/>
      <c r="RWU110" s="142"/>
      <c r="RWV110" s="142"/>
      <c r="RWW110" s="142"/>
      <c r="RWX110" s="142"/>
      <c r="RWY110" s="142"/>
      <c r="RWZ110" s="142"/>
      <c r="RXA110" s="142"/>
      <c r="RXB110" s="142"/>
      <c r="RXC110" s="142"/>
      <c r="RXD110" s="142"/>
      <c r="RXE110" s="142"/>
      <c r="RXF110" s="142"/>
      <c r="RXG110" s="142"/>
      <c r="RXH110" s="142"/>
      <c r="RXI110" s="142"/>
      <c r="RXJ110" s="142"/>
      <c r="RXK110" s="142"/>
      <c r="RXL110" s="142"/>
      <c r="RXM110" s="142"/>
      <c r="RXN110" s="142"/>
      <c r="RXO110" s="142"/>
      <c r="RXP110" s="142"/>
      <c r="RXQ110" s="142"/>
      <c r="RXR110" s="142"/>
      <c r="RXS110" s="142"/>
      <c r="RXT110" s="142"/>
      <c r="RXU110" s="142"/>
      <c r="RXV110" s="142"/>
      <c r="RXW110" s="142"/>
      <c r="RXX110" s="142"/>
      <c r="RXY110" s="142"/>
      <c r="RXZ110" s="142"/>
      <c r="RYA110" s="142"/>
      <c r="RYB110" s="142"/>
      <c r="RYC110" s="142"/>
      <c r="RYD110" s="142"/>
      <c r="RYE110" s="142"/>
      <c r="RYF110" s="142"/>
      <c r="RYG110" s="142"/>
      <c r="RYH110" s="142"/>
      <c r="RYI110" s="142"/>
      <c r="RYJ110" s="142"/>
      <c r="RYK110" s="142"/>
      <c r="RYL110" s="142"/>
      <c r="RYM110" s="142"/>
      <c r="RYN110" s="142"/>
      <c r="RYO110" s="142"/>
      <c r="RYP110" s="142"/>
      <c r="RYQ110" s="142"/>
      <c r="RYR110" s="142"/>
      <c r="RYS110" s="142"/>
      <c r="RYT110" s="142"/>
      <c r="RYU110" s="142"/>
      <c r="RYV110" s="142"/>
      <c r="RYW110" s="142"/>
      <c r="RYX110" s="142"/>
      <c r="RYY110" s="142"/>
      <c r="RYZ110" s="142"/>
      <c r="RZA110" s="142"/>
      <c r="RZB110" s="142"/>
      <c r="RZC110" s="142"/>
      <c r="RZD110" s="142"/>
      <c r="RZE110" s="142"/>
      <c r="RZF110" s="142"/>
      <c r="RZG110" s="142"/>
      <c r="RZH110" s="142"/>
      <c r="RZI110" s="142"/>
      <c r="RZJ110" s="142"/>
      <c r="RZK110" s="142"/>
      <c r="RZL110" s="142"/>
      <c r="RZM110" s="142"/>
      <c r="RZN110" s="142"/>
      <c r="RZO110" s="142"/>
      <c r="RZP110" s="142"/>
      <c r="RZQ110" s="142"/>
      <c r="RZR110" s="142"/>
      <c r="RZS110" s="142"/>
      <c r="RZT110" s="142"/>
      <c r="RZU110" s="142"/>
      <c r="RZV110" s="142"/>
      <c r="RZW110" s="142"/>
      <c r="RZX110" s="142"/>
      <c r="RZY110" s="142"/>
      <c r="RZZ110" s="142"/>
      <c r="SAA110" s="142"/>
      <c r="SAB110" s="142"/>
      <c r="SAC110" s="142"/>
      <c r="SAD110" s="142"/>
      <c r="SAE110" s="142"/>
      <c r="SAF110" s="142"/>
      <c r="SAG110" s="142"/>
      <c r="SAH110" s="142"/>
      <c r="SAI110" s="142"/>
      <c r="SAJ110" s="142"/>
      <c r="SAK110" s="142"/>
      <c r="SAL110" s="142"/>
      <c r="SAM110" s="142"/>
      <c r="SAN110" s="142"/>
      <c r="SAO110" s="142"/>
      <c r="SAP110" s="142"/>
      <c r="SAQ110" s="142"/>
      <c r="SAR110" s="142"/>
      <c r="SAS110" s="142"/>
      <c r="SAT110" s="142"/>
      <c r="SAU110" s="142"/>
      <c r="SAV110" s="142"/>
      <c r="SAW110" s="142"/>
      <c r="SAX110" s="142"/>
      <c r="SAY110" s="142"/>
      <c r="SAZ110" s="142"/>
      <c r="SBA110" s="142"/>
      <c r="SBB110" s="142"/>
      <c r="SBC110" s="142"/>
      <c r="SBD110" s="142"/>
      <c r="SBE110" s="142"/>
      <c r="SBF110" s="142"/>
      <c r="SBG110" s="142"/>
      <c r="SBH110" s="142"/>
      <c r="SBI110" s="142"/>
      <c r="SBJ110" s="142"/>
      <c r="SBK110" s="142"/>
      <c r="SBL110" s="142"/>
      <c r="SBM110" s="142"/>
      <c r="SBN110" s="142"/>
      <c r="SBO110" s="142"/>
      <c r="SBP110" s="142"/>
      <c r="SBQ110" s="142"/>
      <c r="SBR110" s="142"/>
      <c r="SBS110" s="142"/>
      <c r="SBT110" s="142"/>
      <c r="SBU110" s="142"/>
      <c r="SBV110" s="142"/>
      <c r="SBW110" s="142"/>
      <c r="SBX110" s="142"/>
      <c r="SBY110" s="142"/>
      <c r="SBZ110" s="142"/>
      <c r="SCA110" s="142"/>
      <c r="SCB110" s="142"/>
      <c r="SCC110" s="142"/>
      <c r="SCD110" s="142"/>
      <c r="SCE110" s="142"/>
      <c r="SCF110" s="142"/>
      <c r="SCG110" s="142"/>
      <c r="SCH110" s="142"/>
      <c r="SCI110" s="142"/>
      <c r="SCJ110" s="142"/>
      <c r="SCK110" s="142"/>
      <c r="SCL110" s="142"/>
      <c r="SCM110" s="142"/>
      <c r="SCN110" s="142"/>
      <c r="SCO110" s="142"/>
      <c r="SCP110" s="142"/>
      <c r="SCQ110" s="142"/>
      <c r="SCR110" s="142"/>
      <c r="SCS110" s="142"/>
      <c r="SCT110" s="142"/>
      <c r="SCU110" s="142"/>
      <c r="SCV110" s="142"/>
      <c r="SCW110" s="142"/>
      <c r="SCX110" s="142"/>
      <c r="SCY110" s="142"/>
      <c r="SCZ110" s="142"/>
      <c r="SDA110" s="142"/>
      <c r="SDB110" s="142"/>
      <c r="SDC110" s="142"/>
      <c r="SDD110" s="142"/>
      <c r="SDE110" s="142"/>
      <c r="SDF110" s="142"/>
      <c r="SDG110" s="142"/>
      <c r="SDH110" s="142"/>
      <c r="SDI110" s="142"/>
      <c r="SDJ110" s="142"/>
      <c r="SDK110" s="142"/>
      <c r="SDL110" s="142"/>
      <c r="SDM110" s="142"/>
      <c r="SDN110" s="142"/>
      <c r="SDO110" s="142"/>
      <c r="SDP110" s="142"/>
      <c r="SDQ110" s="142"/>
      <c r="SDR110" s="142"/>
      <c r="SDS110" s="142"/>
      <c r="SDT110" s="142"/>
      <c r="SDU110" s="142"/>
      <c r="SDV110" s="142"/>
      <c r="SDW110" s="142"/>
      <c r="SDX110" s="142"/>
      <c r="SDY110" s="142"/>
      <c r="SDZ110" s="142"/>
      <c r="SEA110" s="142"/>
      <c r="SEB110" s="142"/>
      <c r="SEC110" s="142"/>
      <c r="SED110" s="142"/>
      <c r="SEE110" s="142"/>
      <c r="SEF110" s="142"/>
      <c r="SEG110" s="142"/>
      <c r="SEH110" s="142"/>
      <c r="SEI110" s="142"/>
      <c r="SEJ110" s="142"/>
      <c r="SEK110" s="142"/>
      <c r="SEL110" s="142"/>
      <c r="SEM110" s="142"/>
      <c r="SEN110" s="142"/>
      <c r="SEO110" s="142"/>
      <c r="SEP110" s="142"/>
      <c r="SEQ110" s="142"/>
      <c r="SER110" s="142"/>
      <c r="SES110" s="142"/>
      <c r="SET110" s="142"/>
      <c r="SEU110" s="142"/>
      <c r="SEV110" s="142"/>
      <c r="SEW110" s="142"/>
      <c r="SEX110" s="142"/>
      <c r="SEY110" s="142"/>
      <c r="SEZ110" s="142"/>
      <c r="SFA110" s="142"/>
      <c r="SFB110" s="142"/>
      <c r="SFC110" s="142"/>
      <c r="SFD110" s="142"/>
      <c r="SFE110" s="142"/>
      <c r="SFF110" s="142"/>
      <c r="SFG110" s="142"/>
      <c r="SFH110" s="142"/>
      <c r="SFI110" s="142"/>
      <c r="SFJ110" s="142"/>
      <c r="SFK110" s="142"/>
      <c r="SFL110" s="142"/>
      <c r="SFM110" s="142"/>
      <c r="SFN110" s="142"/>
      <c r="SFO110" s="142"/>
      <c r="SFP110" s="142"/>
      <c r="SFQ110" s="142"/>
      <c r="SFR110" s="142"/>
      <c r="SFS110" s="142"/>
      <c r="SFT110" s="142"/>
      <c r="SFU110" s="142"/>
      <c r="SFV110" s="142"/>
      <c r="SFW110" s="142"/>
      <c r="SFX110" s="142"/>
      <c r="SFY110" s="142"/>
      <c r="SFZ110" s="142"/>
      <c r="SGA110" s="142"/>
      <c r="SGB110" s="142"/>
      <c r="SGC110" s="142"/>
      <c r="SGD110" s="142"/>
      <c r="SGE110" s="142"/>
      <c r="SGF110" s="142"/>
      <c r="SGG110" s="142"/>
      <c r="SGH110" s="142"/>
      <c r="SGI110" s="142"/>
      <c r="SGJ110" s="142"/>
      <c r="SGK110" s="142"/>
      <c r="SGL110" s="142"/>
      <c r="SGM110" s="142"/>
      <c r="SGN110" s="142"/>
      <c r="SGO110" s="142"/>
      <c r="SGP110" s="142"/>
      <c r="SGQ110" s="142"/>
      <c r="SGR110" s="142"/>
      <c r="SGS110" s="142"/>
      <c r="SGT110" s="142"/>
      <c r="SGU110" s="142"/>
      <c r="SGV110" s="142"/>
      <c r="SGW110" s="142"/>
      <c r="SGX110" s="142"/>
      <c r="SGY110" s="142"/>
      <c r="SGZ110" s="142"/>
      <c r="SHA110" s="142"/>
      <c r="SHB110" s="142"/>
      <c r="SHC110" s="142"/>
      <c r="SHD110" s="142"/>
      <c r="SHE110" s="142"/>
      <c r="SHF110" s="142"/>
      <c r="SHG110" s="142"/>
      <c r="SHH110" s="142"/>
      <c r="SHI110" s="142"/>
      <c r="SHJ110" s="142"/>
      <c r="SHK110" s="142"/>
      <c r="SHL110" s="142"/>
      <c r="SHM110" s="142"/>
      <c r="SHN110" s="142"/>
      <c r="SHO110" s="142"/>
      <c r="SHP110" s="142"/>
      <c r="SHQ110" s="142"/>
      <c r="SHR110" s="142"/>
      <c r="SHS110" s="142"/>
      <c r="SHT110" s="142"/>
      <c r="SHU110" s="142"/>
      <c r="SHV110" s="142"/>
      <c r="SHW110" s="142"/>
      <c r="SHX110" s="142"/>
      <c r="SHY110" s="142"/>
      <c r="SHZ110" s="142"/>
      <c r="SIA110" s="142"/>
      <c r="SIB110" s="142"/>
      <c r="SIC110" s="142"/>
      <c r="SID110" s="142"/>
      <c r="SIE110" s="142"/>
      <c r="SIF110" s="142"/>
      <c r="SIG110" s="142"/>
      <c r="SIH110" s="142"/>
      <c r="SII110" s="142"/>
      <c r="SIJ110" s="142"/>
      <c r="SIK110" s="142"/>
      <c r="SIL110" s="142"/>
      <c r="SIM110" s="142"/>
      <c r="SIN110" s="142"/>
      <c r="SIO110" s="142"/>
      <c r="SIP110" s="142"/>
      <c r="SIQ110" s="142"/>
      <c r="SIR110" s="142"/>
      <c r="SIS110" s="142"/>
      <c r="SIT110" s="142"/>
      <c r="SIU110" s="142"/>
      <c r="SIV110" s="142"/>
      <c r="SIW110" s="142"/>
      <c r="SIX110" s="142"/>
      <c r="SIY110" s="142"/>
      <c r="SIZ110" s="142"/>
      <c r="SJA110" s="142"/>
      <c r="SJB110" s="142"/>
      <c r="SJC110" s="142"/>
      <c r="SJD110" s="142"/>
      <c r="SJE110" s="142"/>
      <c r="SJF110" s="142"/>
      <c r="SJG110" s="142"/>
      <c r="SJH110" s="142"/>
      <c r="SJI110" s="142"/>
      <c r="SJJ110" s="142"/>
      <c r="SJK110" s="142"/>
      <c r="SJL110" s="142"/>
      <c r="SJM110" s="142"/>
      <c r="SJN110" s="142"/>
      <c r="SJO110" s="142"/>
      <c r="SJP110" s="142"/>
      <c r="SJQ110" s="142"/>
      <c r="SJR110" s="142"/>
      <c r="SJS110" s="142"/>
      <c r="SJT110" s="142"/>
      <c r="SJU110" s="142"/>
      <c r="SJV110" s="142"/>
      <c r="SJW110" s="142"/>
      <c r="SJX110" s="142"/>
      <c r="SJY110" s="142"/>
      <c r="SJZ110" s="142"/>
      <c r="SKA110" s="142"/>
      <c r="SKB110" s="142"/>
      <c r="SKC110" s="142"/>
      <c r="SKD110" s="142"/>
      <c r="SKE110" s="142"/>
      <c r="SKF110" s="142"/>
      <c r="SKG110" s="142"/>
      <c r="SKH110" s="142"/>
      <c r="SKI110" s="142"/>
      <c r="SKJ110" s="142"/>
      <c r="SKK110" s="142"/>
      <c r="SKL110" s="142"/>
      <c r="SKM110" s="142"/>
      <c r="SKN110" s="142"/>
      <c r="SKO110" s="142"/>
      <c r="SKP110" s="142"/>
      <c r="SKQ110" s="142"/>
      <c r="SKR110" s="142"/>
      <c r="SKS110" s="142"/>
      <c r="SKT110" s="142"/>
      <c r="SKU110" s="142"/>
      <c r="SKV110" s="142"/>
      <c r="SKW110" s="142"/>
      <c r="SKX110" s="142"/>
      <c r="SKY110" s="142"/>
      <c r="SKZ110" s="142"/>
      <c r="SLA110" s="142"/>
      <c r="SLB110" s="142"/>
      <c r="SLC110" s="142"/>
      <c r="SLD110" s="142"/>
      <c r="SLE110" s="142"/>
      <c r="SLF110" s="142"/>
      <c r="SLG110" s="142"/>
      <c r="SLH110" s="142"/>
      <c r="SLI110" s="142"/>
      <c r="SLJ110" s="142"/>
      <c r="SLK110" s="142"/>
      <c r="SLL110" s="142"/>
      <c r="SLM110" s="142"/>
      <c r="SLN110" s="142"/>
      <c r="SLO110" s="142"/>
      <c r="SLP110" s="142"/>
      <c r="SLQ110" s="142"/>
      <c r="SLR110" s="142"/>
      <c r="SLS110" s="142"/>
      <c r="SLT110" s="142"/>
      <c r="SLU110" s="142"/>
      <c r="SLV110" s="142"/>
      <c r="SLW110" s="142"/>
      <c r="SLX110" s="142"/>
      <c r="SLY110" s="142"/>
      <c r="SLZ110" s="142"/>
      <c r="SMA110" s="142"/>
      <c r="SMB110" s="142"/>
      <c r="SMC110" s="142"/>
      <c r="SMD110" s="142"/>
      <c r="SME110" s="142"/>
      <c r="SMF110" s="142"/>
      <c r="SMG110" s="142"/>
      <c r="SMH110" s="142"/>
      <c r="SMI110" s="142"/>
      <c r="SMJ110" s="142"/>
      <c r="SMK110" s="142"/>
      <c r="SML110" s="142"/>
      <c r="SMM110" s="142"/>
      <c r="SMN110" s="142"/>
      <c r="SMO110" s="142"/>
      <c r="SMP110" s="142"/>
      <c r="SMQ110" s="142"/>
      <c r="SMR110" s="142"/>
      <c r="SMS110" s="142"/>
      <c r="SMT110" s="142"/>
      <c r="SMU110" s="142"/>
      <c r="SMV110" s="142"/>
      <c r="SMW110" s="142"/>
      <c r="SMX110" s="142"/>
      <c r="SMY110" s="142"/>
      <c r="SMZ110" s="142"/>
      <c r="SNA110" s="142"/>
      <c r="SNB110" s="142"/>
      <c r="SNC110" s="142"/>
      <c r="SND110" s="142"/>
      <c r="SNE110" s="142"/>
      <c r="SNF110" s="142"/>
      <c r="SNG110" s="142"/>
      <c r="SNH110" s="142"/>
      <c r="SNI110" s="142"/>
      <c r="SNJ110" s="142"/>
      <c r="SNK110" s="142"/>
      <c r="SNL110" s="142"/>
      <c r="SNM110" s="142"/>
      <c r="SNN110" s="142"/>
      <c r="SNO110" s="142"/>
      <c r="SNP110" s="142"/>
      <c r="SNQ110" s="142"/>
      <c r="SNR110" s="142"/>
      <c r="SNS110" s="142"/>
      <c r="SNT110" s="142"/>
      <c r="SNU110" s="142"/>
      <c r="SNV110" s="142"/>
      <c r="SNW110" s="142"/>
      <c r="SNX110" s="142"/>
      <c r="SNY110" s="142"/>
      <c r="SNZ110" s="142"/>
      <c r="SOA110" s="142"/>
      <c r="SOB110" s="142"/>
      <c r="SOC110" s="142"/>
      <c r="SOD110" s="142"/>
      <c r="SOE110" s="142"/>
      <c r="SOF110" s="142"/>
      <c r="SOG110" s="142"/>
      <c r="SOH110" s="142"/>
      <c r="SOI110" s="142"/>
      <c r="SOJ110" s="142"/>
      <c r="SOK110" s="142"/>
      <c r="SOL110" s="142"/>
      <c r="SOM110" s="142"/>
      <c r="SON110" s="142"/>
      <c r="SOO110" s="142"/>
      <c r="SOP110" s="142"/>
      <c r="SOQ110" s="142"/>
      <c r="SOR110" s="142"/>
      <c r="SOS110" s="142"/>
      <c r="SOT110" s="142"/>
      <c r="SOU110" s="142"/>
      <c r="SOV110" s="142"/>
      <c r="SOW110" s="142"/>
      <c r="SOX110" s="142"/>
      <c r="SOY110" s="142"/>
      <c r="SOZ110" s="142"/>
      <c r="SPA110" s="142"/>
      <c r="SPB110" s="142"/>
      <c r="SPC110" s="142"/>
      <c r="SPD110" s="142"/>
      <c r="SPE110" s="142"/>
      <c r="SPF110" s="142"/>
      <c r="SPG110" s="142"/>
      <c r="SPH110" s="142"/>
      <c r="SPI110" s="142"/>
      <c r="SPJ110" s="142"/>
      <c r="SPK110" s="142"/>
      <c r="SPL110" s="142"/>
      <c r="SPM110" s="142"/>
      <c r="SPN110" s="142"/>
      <c r="SPO110" s="142"/>
      <c r="SPP110" s="142"/>
      <c r="SPQ110" s="142"/>
      <c r="SPR110" s="142"/>
      <c r="SPS110" s="142"/>
      <c r="SPT110" s="142"/>
      <c r="SPU110" s="142"/>
      <c r="SPV110" s="142"/>
      <c r="SPW110" s="142"/>
      <c r="SPX110" s="142"/>
      <c r="SPY110" s="142"/>
      <c r="SPZ110" s="142"/>
      <c r="SQA110" s="142"/>
      <c r="SQB110" s="142"/>
      <c r="SQC110" s="142"/>
      <c r="SQD110" s="142"/>
      <c r="SQE110" s="142"/>
      <c r="SQF110" s="142"/>
      <c r="SQG110" s="142"/>
      <c r="SQH110" s="142"/>
      <c r="SQI110" s="142"/>
      <c r="SQJ110" s="142"/>
      <c r="SQK110" s="142"/>
      <c r="SQL110" s="142"/>
      <c r="SQM110" s="142"/>
      <c r="SQN110" s="142"/>
      <c r="SQO110" s="142"/>
      <c r="SQP110" s="142"/>
      <c r="SQQ110" s="142"/>
      <c r="SQR110" s="142"/>
      <c r="SQS110" s="142"/>
      <c r="SQT110" s="142"/>
      <c r="SQU110" s="142"/>
      <c r="SQV110" s="142"/>
      <c r="SQW110" s="142"/>
      <c r="SQX110" s="142"/>
      <c r="SQY110" s="142"/>
      <c r="SQZ110" s="142"/>
      <c r="SRA110" s="142"/>
      <c r="SRB110" s="142"/>
      <c r="SRC110" s="142"/>
      <c r="SRD110" s="142"/>
      <c r="SRE110" s="142"/>
      <c r="SRF110" s="142"/>
      <c r="SRG110" s="142"/>
      <c r="SRH110" s="142"/>
      <c r="SRI110" s="142"/>
      <c r="SRJ110" s="142"/>
      <c r="SRK110" s="142"/>
      <c r="SRL110" s="142"/>
      <c r="SRM110" s="142"/>
      <c r="SRN110" s="142"/>
      <c r="SRO110" s="142"/>
      <c r="SRP110" s="142"/>
      <c r="SRQ110" s="142"/>
      <c r="SRR110" s="142"/>
      <c r="SRS110" s="142"/>
      <c r="SRT110" s="142"/>
      <c r="SRU110" s="142"/>
      <c r="SRV110" s="142"/>
      <c r="SRW110" s="142"/>
      <c r="SRX110" s="142"/>
      <c r="SRY110" s="142"/>
      <c r="SRZ110" s="142"/>
      <c r="SSA110" s="142"/>
      <c r="SSB110" s="142"/>
      <c r="SSC110" s="142"/>
      <c r="SSD110" s="142"/>
      <c r="SSE110" s="142"/>
      <c r="SSF110" s="142"/>
      <c r="SSG110" s="142"/>
      <c r="SSH110" s="142"/>
      <c r="SSI110" s="142"/>
      <c r="SSJ110" s="142"/>
      <c r="SSK110" s="142"/>
      <c r="SSL110" s="142"/>
      <c r="SSM110" s="142"/>
      <c r="SSN110" s="142"/>
      <c r="SSO110" s="142"/>
      <c r="SSP110" s="142"/>
      <c r="SSQ110" s="142"/>
      <c r="SSR110" s="142"/>
      <c r="SSS110" s="142"/>
      <c r="SST110" s="142"/>
      <c r="SSU110" s="142"/>
      <c r="SSV110" s="142"/>
      <c r="SSW110" s="142"/>
      <c r="SSX110" s="142"/>
      <c r="SSY110" s="142"/>
      <c r="SSZ110" s="142"/>
      <c r="STA110" s="142"/>
      <c r="STB110" s="142"/>
      <c r="STC110" s="142"/>
      <c r="STD110" s="142"/>
      <c r="STE110" s="142"/>
      <c r="STF110" s="142"/>
      <c r="STG110" s="142"/>
      <c r="STH110" s="142"/>
      <c r="STI110" s="142"/>
      <c r="STJ110" s="142"/>
      <c r="STK110" s="142"/>
      <c r="STL110" s="142"/>
      <c r="STM110" s="142"/>
      <c r="STN110" s="142"/>
      <c r="STO110" s="142"/>
      <c r="STP110" s="142"/>
      <c r="STQ110" s="142"/>
      <c r="STR110" s="142"/>
      <c r="STS110" s="142"/>
      <c r="STT110" s="142"/>
      <c r="STU110" s="142"/>
      <c r="STV110" s="142"/>
      <c r="STW110" s="142"/>
      <c r="STX110" s="142"/>
      <c r="STY110" s="142"/>
      <c r="STZ110" s="142"/>
      <c r="SUA110" s="142"/>
      <c r="SUB110" s="142"/>
      <c r="SUC110" s="142"/>
      <c r="SUD110" s="142"/>
      <c r="SUE110" s="142"/>
      <c r="SUF110" s="142"/>
      <c r="SUG110" s="142"/>
      <c r="SUH110" s="142"/>
      <c r="SUI110" s="142"/>
      <c r="SUJ110" s="142"/>
      <c r="SUK110" s="142"/>
      <c r="SUL110" s="142"/>
      <c r="SUM110" s="142"/>
      <c r="SUN110" s="142"/>
      <c r="SUO110" s="142"/>
      <c r="SUP110" s="142"/>
      <c r="SUQ110" s="142"/>
      <c r="SUR110" s="142"/>
      <c r="SUS110" s="142"/>
      <c r="SUT110" s="142"/>
      <c r="SUU110" s="142"/>
      <c r="SUV110" s="142"/>
      <c r="SUW110" s="142"/>
      <c r="SUX110" s="142"/>
      <c r="SUY110" s="142"/>
      <c r="SUZ110" s="142"/>
      <c r="SVA110" s="142"/>
      <c r="SVB110" s="142"/>
      <c r="SVC110" s="142"/>
      <c r="SVD110" s="142"/>
      <c r="SVE110" s="142"/>
      <c r="SVF110" s="142"/>
      <c r="SVG110" s="142"/>
      <c r="SVH110" s="142"/>
      <c r="SVI110" s="142"/>
      <c r="SVJ110" s="142"/>
      <c r="SVK110" s="142"/>
      <c r="SVL110" s="142"/>
      <c r="SVM110" s="142"/>
      <c r="SVN110" s="142"/>
      <c r="SVO110" s="142"/>
      <c r="SVP110" s="142"/>
      <c r="SVQ110" s="142"/>
      <c r="SVR110" s="142"/>
      <c r="SVS110" s="142"/>
      <c r="SVT110" s="142"/>
      <c r="SVU110" s="142"/>
      <c r="SVV110" s="142"/>
      <c r="SVW110" s="142"/>
      <c r="SVX110" s="142"/>
      <c r="SVY110" s="142"/>
      <c r="SVZ110" s="142"/>
      <c r="SWA110" s="142"/>
      <c r="SWB110" s="142"/>
      <c r="SWC110" s="142"/>
      <c r="SWD110" s="142"/>
      <c r="SWE110" s="142"/>
      <c r="SWF110" s="142"/>
      <c r="SWG110" s="142"/>
      <c r="SWH110" s="142"/>
      <c r="SWI110" s="142"/>
      <c r="SWJ110" s="142"/>
      <c r="SWK110" s="142"/>
      <c r="SWL110" s="142"/>
      <c r="SWM110" s="142"/>
      <c r="SWN110" s="142"/>
      <c r="SWO110" s="142"/>
      <c r="SWP110" s="142"/>
      <c r="SWQ110" s="142"/>
      <c r="SWR110" s="142"/>
      <c r="SWS110" s="142"/>
      <c r="SWT110" s="142"/>
      <c r="SWU110" s="142"/>
      <c r="SWV110" s="142"/>
      <c r="SWW110" s="142"/>
      <c r="SWX110" s="142"/>
      <c r="SWY110" s="142"/>
      <c r="SWZ110" s="142"/>
      <c r="SXA110" s="142"/>
      <c r="SXB110" s="142"/>
      <c r="SXC110" s="142"/>
      <c r="SXD110" s="142"/>
      <c r="SXE110" s="142"/>
      <c r="SXF110" s="142"/>
      <c r="SXG110" s="142"/>
      <c r="SXH110" s="142"/>
      <c r="SXI110" s="142"/>
      <c r="SXJ110" s="142"/>
      <c r="SXK110" s="142"/>
      <c r="SXL110" s="142"/>
      <c r="SXM110" s="142"/>
      <c r="SXN110" s="142"/>
      <c r="SXO110" s="142"/>
      <c r="SXP110" s="142"/>
      <c r="SXQ110" s="142"/>
      <c r="SXR110" s="142"/>
      <c r="SXS110" s="142"/>
      <c r="SXT110" s="142"/>
      <c r="SXU110" s="142"/>
      <c r="SXV110" s="142"/>
      <c r="SXW110" s="142"/>
      <c r="SXX110" s="142"/>
      <c r="SXY110" s="142"/>
      <c r="SXZ110" s="142"/>
      <c r="SYA110" s="142"/>
      <c r="SYB110" s="142"/>
      <c r="SYC110" s="142"/>
      <c r="SYD110" s="142"/>
      <c r="SYE110" s="142"/>
      <c r="SYF110" s="142"/>
      <c r="SYG110" s="142"/>
      <c r="SYH110" s="142"/>
      <c r="SYI110" s="142"/>
      <c r="SYJ110" s="142"/>
      <c r="SYK110" s="142"/>
      <c r="SYL110" s="142"/>
      <c r="SYM110" s="142"/>
      <c r="SYN110" s="142"/>
      <c r="SYO110" s="142"/>
      <c r="SYP110" s="142"/>
      <c r="SYQ110" s="142"/>
      <c r="SYR110" s="142"/>
      <c r="SYS110" s="142"/>
      <c r="SYT110" s="142"/>
      <c r="SYU110" s="142"/>
      <c r="SYV110" s="142"/>
      <c r="SYW110" s="142"/>
      <c r="SYX110" s="142"/>
      <c r="SYY110" s="142"/>
      <c r="SYZ110" s="142"/>
      <c r="SZA110" s="142"/>
      <c r="SZB110" s="142"/>
      <c r="SZC110" s="142"/>
      <c r="SZD110" s="142"/>
      <c r="SZE110" s="142"/>
      <c r="SZF110" s="142"/>
      <c r="SZG110" s="142"/>
      <c r="SZH110" s="142"/>
      <c r="SZI110" s="142"/>
      <c r="SZJ110" s="142"/>
      <c r="SZK110" s="142"/>
      <c r="SZL110" s="142"/>
      <c r="SZM110" s="142"/>
      <c r="SZN110" s="142"/>
      <c r="SZO110" s="142"/>
      <c r="SZP110" s="142"/>
      <c r="SZQ110" s="142"/>
      <c r="SZR110" s="142"/>
      <c r="SZS110" s="142"/>
      <c r="SZT110" s="142"/>
      <c r="SZU110" s="142"/>
      <c r="SZV110" s="142"/>
      <c r="SZW110" s="142"/>
      <c r="SZX110" s="142"/>
      <c r="SZY110" s="142"/>
      <c r="SZZ110" s="142"/>
      <c r="TAA110" s="142"/>
      <c r="TAB110" s="142"/>
      <c r="TAC110" s="142"/>
      <c r="TAD110" s="142"/>
      <c r="TAE110" s="142"/>
      <c r="TAF110" s="142"/>
      <c r="TAG110" s="142"/>
      <c r="TAH110" s="142"/>
      <c r="TAI110" s="142"/>
      <c r="TAJ110" s="142"/>
      <c r="TAK110" s="142"/>
      <c r="TAL110" s="142"/>
      <c r="TAM110" s="142"/>
      <c r="TAN110" s="142"/>
      <c r="TAO110" s="142"/>
      <c r="TAP110" s="142"/>
      <c r="TAQ110" s="142"/>
      <c r="TAR110" s="142"/>
      <c r="TAS110" s="142"/>
      <c r="TAT110" s="142"/>
      <c r="TAU110" s="142"/>
      <c r="TAV110" s="142"/>
      <c r="TAW110" s="142"/>
      <c r="TAX110" s="142"/>
      <c r="TAY110" s="142"/>
      <c r="TAZ110" s="142"/>
      <c r="TBA110" s="142"/>
      <c r="TBB110" s="142"/>
      <c r="TBC110" s="142"/>
      <c r="TBD110" s="142"/>
      <c r="TBE110" s="142"/>
      <c r="TBF110" s="142"/>
      <c r="TBG110" s="142"/>
      <c r="TBH110" s="142"/>
      <c r="TBI110" s="142"/>
      <c r="TBJ110" s="142"/>
      <c r="TBK110" s="142"/>
      <c r="TBL110" s="142"/>
      <c r="TBM110" s="142"/>
      <c r="TBN110" s="142"/>
      <c r="TBO110" s="142"/>
      <c r="TBP110" s="142"/>
      <c r="TBQ110" s="142"/>
      <c r="TBR110" s="142"/>
      <c r="TBS110" s="142"/>
      <c r="TBT110" s="142"/>
      <c r="TBU110" s="142"/>
      <c r="TBV110" s="142"/>
      <c r="TBW110" s="142"/>
      <c r="TBX110" s="142"/>
      <c r="TBY110" s="142"/>
      <c r="TBZ110" s="142"/>
      <c r="TCA110" s="142"/>
      <c r="TCB110" s="142"/>
      <c r="TCC110" s="142"/>
      <c r="TCD110" s="142"/>
      <c r="TCE110" s="142"/>
      <c r="TCF110" s="142"/>
      <c r="TCG110" s="142"/>
      <c r="TCH110" s="142"/>
      <c r="TCI110" s="142"/>
      <c r="TCJ110" s="142"/>
      <c r="TCK110" s="142"/>
      <c r="TCL110" s="142"/>
      <c r="TCM110" s="142"/>
      <c r="TCN110" s="142"/>
      <c r="TCO110" s="142"/>
      <c r="TCP110" s="142"/>
      <c r="TCQ110" s="142"/>
      <c r="TCR110" s="142"/>
      <c r="TCS110" s="142"/>
      <c r="TCT110" s="142"/>
      <c r="TCU110" s="142"/>
      <c r="TCV110" s="142"/>
      <c r="TCW110" s="142"/>
      <c r="TCX110" s="142"/>
      <c r="TCY110" s="142"/>
      <c r="TCZ110" s="142"/>
      <c r="TDA110" s="142"/>
      <c r="TDB110" s="142"/>
      <c r="TDC110" s="142"/>
      <c r="TDD110" s="142"/>
      <c r="TDE110" s="142"/>
      <c r="TDF110" s="142"/>
      <c r="TDG110" s="142"/>
      <c r="TDH110" s="142"/>
      <c r="TDI110" s="142"/>
      <c r="TDJ110" s="142"/>
      <c r="TDK110" s="142"/>
      <c r="TDL110" s="142"/>
      <c r="TDM110" s="142"/>
      <c r="TDN110" s="142"/>
      <c r="TDO110" s="142"/>
      <c r="TDP110" s="142"/>
      <c r="TDQ110" s="142"/>
      <c r="TDR110" s="142"/>
      <c r="TDS110" s="142"/>
      <c r="TDT110" s="142"/>
      <c r="TDU110" s="142"/>
      <c r="TDV110" s="142"/>
      <c r="TDW110" s="142"/>
      <c r="TDX110" s="142"/>
      <c r="TDY110" s="142"/>
      <c r="TDZ110" s="142"/>
      <c r="TEA110" s="142"/>
      <c r="TEB110" s="142"/>
      <c r="TEC110" s="142"/>
      <c r="TED110" s="142"/>
      <c r="TEE110" s="142"/>
      <c r="TEF110" s="142"/>
      <c r="TEG110" s="142"/>
      <c r="TEH110" s="142"/>
      <c r="TEI110" s="142"/>
      <c r="TEJ110" s="142"/>
      <c r="TEK110" s="142"/>
      <c r="TEL110" s="142"/>
      <c r="TEM110" s="142"/>
      <c r="TEN110" s="142"/>
      <c r="TEO110" s="142"/>
      <c r="TEP110" s="142"/>
      <c r="TEQ110" s="142"/>
      <c r="TER110" s="142"/>
      <c r="TES110" s="142"/>
      <c r="TET110" s="142"/>
      <c r="TEU110" s="142"/>
      <c r="TEV110" s="142"/>
      <c r="TEW110" s="142"/>
      <c r="TEX110" s="142"/>
      <c r="TEY110" s="142"/>
      <c r="TEZ110" s="142"/>
      <c r="TFA110" s="142"/>
      <c r="TFB110" s="142"/>
      <c r="TFC110" s="142"/>
      <c r="TFD110" s="142"/>
      <c r="TFE110" s="142"/>
      <c r="TFF110" s="142"/>
      <c r="TFG110" s="142"/>
      <c r="TFH110" s="142"/>
      <c r="TFI110" s="142"/>
      <c r="TFJ110" s="142"/>
      <c r="TFK110" s="142"/>
      <c r="TFL110" s="142"/>
      <c r="TFM110" s="142"/>
      <c r="TFN110" s="142"/>
      <c r="TFO110" s="142"/>
      <c r="TFP110" s="142"/>
      <c r="TFQ110" s="142"/>
      <c r="TFR110" s="142"/>
      <c r="TFS110" s="142"/>
      <c r="TFT110" s="142"/>
      <c r="TFU110" s="142"/>
      <c r="TFV110" s="142"/>
      <c r="TFW110" s="142"/>
      <c r="TFX110" s="142"/>
      <c r="TFY110" s="142"/>
      <c r="TFZ110" s="142"/>
      <c r="TGA110" s="142"/>
      <c r="TGB110" s="142"/>
      <c r="TGC110" s="142"/>
      <c r="TGD110" s="142"/>
      <c r="TGE110" s="142"/>
      <c r="TGF110" s="142"/>
      <c r="TGG110" s="142"/>
      <c r="TGH110" s="142"/>
      <c r="TGI110" s="142"/>
      <c r="TGJ110" s="142"/>
      <c r="TGK110" s="142"/>
      <c r="TGL110" s="142"/>
      <c r="TGM110" s="142"/>
      <c r="TGN110" s="142"/>
      <c r="TGO110" s="142"/>
      <c r="TGP110" s="142"/>
      <c r="TGQ110" s="142"/>
      <c r="TGR110" s="142"/>
      <c r="TGS110" s="142"/>
      <c r="TGT110" s="142"/>
      <c r="TGU110" s="142"/>
      <c r="TGV110" s="142"/>
      <c r="TGW110" s="142"/>
      <c r="TGX110" s="142"/>
      <c r="TGY110" s="142"/>
      <c r="TGZ110" s="142"/>
      <c r="THA110" s="142"/>
      <c r="THB110" s="142"/>
      <c r="THC110" s="142"/>
      <c r="THD110" s="142"/>
      <c r="THE110" s="142"/>
      <c r="THF110" s="142"/>
      <c r="THG110" s="142"/>
      <c r="THH110" s="142"/>
      <c r="THI110" s="142"/>
      <c r="THJ110" s="142"/>
      <c r="THK110" s="142"/>
      <c r="THL110" s="142"/>
      <c r="THM110" s="142"/>
      <c r="THN110" s="142"/>
      <c r="THO110" s="142"/>
      <c r="THP110" s="142"/>
      <c r="THQ110" s="142"/>
      <c r="THR110" s="142"/>
      <c r="THS110" s="142"/>
      <c r="THT110" s="142"/>
      <c r="THU110" s="142"/>
      <c r="THV110" s="142"/>
      <c r="THW110" s="142"/>
      <c r="THX110" s="142"/>
      <c r="THY110" s="142"/>
      <c r="THZ110" s="142"/>
      <c r="TIA110" s="142"/>
      <c r="TIB110" s="142"/>
      <c r="TIC110" s="142"/>
      <c r="TID110" s="142"/>
      <c r="TIE110" s="142"/>
      <c r="TIF110" s="142"/>
      <c r="TIG110" s="142"/>
      <c r="TIH110" s="142"/>
      <c r="TII110" s="142"/>
      <c r="TIJ110" s="142"/>
      <c r="TIK110" s="142"/>
      <c r="TIL110" s="142"/>
      <c r="TIM110" s="142"/>
      <c r="TIN110" s="142"/>
      <c r="TIO110" s="142"/>
      <c r="TIP110" s="142"/>
      <c r="TIQ110" s="142"/>
      <c r="TIR110" s="142"/>
      <c r="TIS110" s="142"/>
      <c r="TIT110" s="142"/>
      <c r="TIU110" s="142"/>
      <c r="TIV110" s="142"/>
      <c r="TIW110" s="142"/>
      <c r="TIX110" s="142"/>
      <c r="TIY110" s="142"/>
      <c r="TIZ110" s="142"/>
      <c r="TJA110" s="142"/>
      <c r="TJB110" s="142"/>
      <c r="TJC110" s="142"/>
      <c r="TJD110" s="142"/>
      <c r="TJE110" s="142"/>
      <c r="TJF110" s="142"/>
      <c r="TJG110" s="142"/>
      <c r="TJH110" s="142"/>
      <c r="TJI110" s="142"/>
      <c r="TJJ110" s="142"/>
      <c r="TJK110" s="142"/>
      <c r="TJL110" s="142"/>
      <c r="TJM110" s="142"/>
      <c r="TJN110" s="142"/>
      <c r="TJO110" s="142"/>
      <c r="TJP110" s="142"/>
      <c r="TJQ110" s="142"/>
      <c r="TJR110" s="142"/>
      <c r="TJS110" s="142"/>
      <c r="TJT110" s="142"/>
      <c r="TJU110" s="142"/>
      <c r="TJV110" s="142"/>
      <c r="TJW110" s="142"/>
      <c r="TJX110" s="142"/>
      <c r="TJY110" s="142"/>
      <c r="TJZ110" s="142"/>
      <c r="TKA110" s="142"/>
      <c r="TKB110" s="142"/>
      <c r="TKC110" s="142"/>
      <c r="TKD110" s="142"/>
      <c r="TKE110" s="142"/>
      <c r="TKF110" s="142"/>
      <c r="TKG110" s="142"/>
      <c r="TKH110" s="142"/>
      <c r="TKI110" s="142"/>
      <c r="TKJ110" s="142"/>
      <c r="TKK110" s="142"/>
      <c r="TKL110" s="142"/>
      <c r="TKM110" s="142"/>
      <c r="TKN110" s="142"/>
      <c r="TKO110" s="142"/>
      <c r="TKP110" s="142"/>
      <c r="TKQ110" s="142"/>
      <c r="TKR110" s="142"/>
      <c r="TKS110" s="142"/>
      <c r="TKT110" s="142"/>
      <c r="TKU110" s="142"/>
      <c r="TKV110" s="142"/>
      <c r="TKW110" s="142"/>
      <c r="TKX110" s="142"/>
      <c r="TKY110" s="142"/>
      <c r="TKZ110" s="142"/>
      <c r="TLA110" s="142"/>
      <c r="TLB110" s="142"/>
      <c r="TLC110" s="142"/>
      <c r="TLD110" s="142"/>
      <c r="TLE110" s="142"/>
      <c r="TLF110" s="142"/>
      <c r="TLG110" s="142"/>
      <c r="TLH110" s="142"/>
      <c r="TLI110" s="142"/>
      <c r="TLJ110" s="142"/>
      <c r="TLK110" s="142"/>
      <c r="TLL110" s="142"/>
      <c r="TLM110" s="142"/>
      <c r="TLN110" s="142"/>
      <c r="TLO110" s="142"/>
      <c r="TLP110" s="142"/>
      <c r="TLQ110" s="142"/>
      <c r="TLR110" s="142"/>
      <c r="TLS110" s="142"/>
      <c r="TLT110" s="142"/>
      <c r="TLU110" s="142"/>
      <c r="TLV110" s="142"/>
      <c r="TLW110" s="142"/>
      <c r="TLX110" s="142"/>
      <c r="TLY110" s="142"/>
      <c r="TLZ110" s="142"/>
      <c r="TMA110" s="142"/>
      <c r="TMB110" s="142"/>
      <c r="TMC110" s="142"/>
      <c r="TMD110" s="142"/>
      <c r="TME110" s="142"/>
      <c r="TMF110" s="142"/>
      <c r="TMG110" s="142"/>
      <c r="TMH110" s="142"/>
      <c r="TMI110" s="142"/>
      <c r="TMJ110" s="142"/>
      <c r="TMK110" s="142"/>
      <c r="TML110" s="142"/>
      <c r="TMM110" s="142"/>
      <c r="TMN110" s="142"/>
      <c r="TMO110" s="142"/>
      <c r="TMP110" s="142"/>
      <c r="TMQ110" s="142"/>
      <c r="TMR110" s="142"/>
      <c r="TMS110" s="142"/>
      <c r="TMT110" s="142"/>
      <c r="TMU110" s="142"/>
      <c r="TMV110" s="142"/>
      <c r="TMW110" s="142"/>
      <c r="TMX110" s="142"/>
      <c r="TMY110" s="142"/>
      <c r="TMZ110" s="142"/>
      <c r="TNA110" s="142"/>
      <c r="TNB110" s="142"/>
      <c r="TNC110" s="142"/>
      <c r="TND110" s="142"/>
      <c r="TNE110" s="142"/>
      <c r="TNF110" s="142"/>
      <c r="TNG110" s="142"/>
      <c r="TNH110" s="142"/>
      <c r="TNI110" s="142"/>
      <c r="TNJ110" s="142"/>
      <c r="TNK110" s="142"/>
      <c r="TNL110" s="142"/>
      <c r="TNM110" s="142"/>
      <c r="TNN110" s="142"/>
      <c r="TNO110" s="142"/>
      <c r="TNP110" s="142"/>
      <c r="TNQ110" s="142"/>
      <c r="TNR110" s="142"/>
      <c r="TNS110" s="142"/>
      <c r="TNT110" s="142"/>
      <c r="TNU110" s="142"/>
      <c r="TNV110" s="142"/>
      <c r="TNW110" s="142"/>
      <c r="TNX110" s="142"/>
      <c r="TNY110" s="142"/>
      <c r="TNZ110" s="142"/>
      <c r="TOA110" s="142"/>
      <c r="TOB110" s="142"/>
      <c r="TOC110" s="142"/>
      <c r="TOD110" s="142"/>
      <c r="TOE110" s="142"/>
      <c r="TOF110" s="142"/>
      <c r="TOG110" s="142"/>
      <c r="TOH110" s="142"/>
      <c r="TOI110" s="142"/>
      <c r="TOJ110" s="142"/>
      <c r="TOK110" s="142"/>
      <c r="TOL110" s="142"/>
      <c r="TOM110" s="142"/>
      <c r="TON110" s="142"/>
      <c r="TOO110" s="142"/>
      <c r="TOP110" s="142"/>
      <c r="TOQ110" s="142"/>
      <c r="TOR110" s="142"/>
      <c r="TOS110" s="142"/>
      <c r="TOT110" s="142"/>
      <c r="TOU110" s="142"/>
      <c r="TOV110" s="142"/>
      <c r="TOW110" s="142"/>
      <c r="TOX110" s="142"/>
      <c r="TOY110" s="142"/>
      <c r="TOZ110" s="142"/>
      <c r="TPA110" s="142"/>
      <c r="TPB110" s="142"/>
      <c r="TPC110" s="142"/>
      <c r="TPD110" s="142"/>
      <c r="TPE110" s="142"/>
      <c r="TPF110" s="142"/>
      <c r="TPG110" s="142"/>
      <c r="TPH110" s="142"/>
      <c r="TPI110" s="142"/>
      <c r="TPJ110" s="142"/>
      <c r="TPK110" s="142"/>
      <c r="TPL110" s="142"/>
      <c r="TPM110" s="142"/>
      <c r="TPN110" s="142"/>
      <c r="TPO110" s="142"/>
      <c r="TPP110" s="142"/>
      <c r="TPQ110" s="142"/>
      <c r="TPR110" s="142"/>
      <c r="TPS110" s="142"/>
      <c r="TPT110" s="142"/>
      <c r="TPU110" s="142"/>
      <c r="TPV110" s="142"/>
      <c r="TPW110" s="142"/>
      <c r="TPX110" s="142"/>
      <c r="TPY110" s="142"/>
      <c r="TPZ110" s="142"/>
      <c r="TQA110" s="142"/>
      <c r="TQB110" s="142"/>
      <c r="TQC110" s="142"/>
      <c r="TQD110" s="142"/>
      <c r="TQE110" s="142"/>
      <c r="TQF110" s="142"/>
      <c r="TQG110" s="142"/>
      <c r="TQH110" s="142"/>
      <c r="TQI110" s="142"/>
      <c r="TQJ110" s="142"/>
      <c r="TQK110" s="142"/>
      <c r="TQL110" s="142"/>
      <c r="TQM110" s="142"/>
      <c r="TQN110" s="142"/>
      <c r="TQO110" s="142"/>
      <c r="TQP110" s="142"/>
      <c r="TQQ110" s="142"/>
      <c r="TQR110" s="142"/>
      <c r="TQS110" s="142"/>
      <c r="TQT110" s="142"/>
      <c r="TQU110" s="142"/>
      <c r="TQV110" s="142"/>
      <c r="TQW110" s="142"/>
      <c r="TQX110" s="142"/>
      <c r="TQY110" s="142"/>
      <c r="TQZ110" s="142"/>
      <c r="TRA110" s="142"/>
      <c r="TRB110" s="142"/>
      <c r="TRC110" s="142"/>
      <c r="TRD110" s="142"/>
      <c r="TRE110" s="142"/>
      <c r="TRF110" s="142"/>
      <c r="TRG110" s="142"/>
      <c r="TRH110" s="142"/>
      <c r="TRI110" s="142"/>
      <c r="TRJ110" s="142"/>
      <c r="TRK110" s="142"/>
      <c r="TRL110" s="142"/>
      <c r="TRM110" s="142"/>
      <c r="TRN110" s="142"/>
      <c r="TRO110" s="142"/>
      <c r="TRP110" s="142"/>
      <c r="TRQ110" s="142"/>
      <c r="TRR110" s="142"/>
      <c r="TRS110" s="142"/>
      <c r="TRT110" s="142"/>
      <c r="TRU110" s="142"/>
      <c r="TRV110" s="142"/>
      <c r="TRW110" s="142"/>
      <c r="TRX110" s="142"/>
      <c r="TRY110" s="142"/>
      <c r="TRZ110" s="142"/>
      <c r="TSA110" s="142"/>
      <c r="TSB110" s="142"/>
      <c r="TSC110" s="142"/>
      <c r="TSD110" s="142"/>
      <c r="TSE110" s="142"/>
      <c r="TSF110" s="142"/>
      <c r="TSG110" s="142"/>
      <c r="TSH110" s="142"/>
      <c r="TSI110" s="142"/>
      <c r="TSJ110" s="142"/>
      <c r="TSK110" s="142"/>
      <c r="TSL110" s="142"/>
      <c r="TSM110" s="142"/>
      <c r="TSN110" s="142"/>
      <c r="TSO110" s="142"/>
      <c r="TSP110" s="142"/>
      <c r="TSQ110" s="142"/>
      <c r="TSR110" s="142"/>
      <c r="TSS110" s="142"/>
      <c r="TST110" s="142"/>
      <c r="TSU110" s="142"/>
      <c r="TSV110" s="142"/>
      <c r="TSW110" s="142"/>
      <c r="TSX110" s="142"/>
      <c r="TSY110" s="142"/>
      <c r="TSZ110" s="142"/>
      <c r="TTA110" s="142"/>
      <c r="TTB110" s="142"/>
      <c r="TTC110" s="142"/>
      <c r="TTD110" s="142"/>
      <c r="TTE110" s="142"/>
      <c r="TTF110" s="142"/>
      <c r="TTG110" s="142"/>
      <c r="TTH110" s="142"/>
      <c r="TTI110" s="142"/>
      <c r="TTJ110" s="142"/>
      <c r="TTK110" s="142"/>
      <c r="TTL110" s="142"/>
      <c r="TTM110" s="142"/>
      <c r="TTN110" s="142"/>
      <c r="TTO110" s="142"/>
      <c r="TTP110" s="142"/>
      <c r="TTQ110" s="142"/>
      <c r="TTR110" s="142"/>
      <c r="TTS110" s="142"/>
      <c r="TTT110" s="142"/>
      <c r="TTU110" s="142"/>
      <c r="TTV110" s="142"/>
      <c r="TTW110" s="142"/>
      <c r="TTX110" s="142"/>
      <c r="TTY110" s="142"/>
      <c r="TTZ110" s="142"/>
      <c r="TUA110" s="142"/>
      <c r="TUB110" s="142"/>
      <c r="TUC110" s="142"/>
      <c r="TUD110" s="142"/>
      <c r="TUE110" s="142"/>
      <c r="TUF110" s="142"/>
      <c r="TUG110" s="142"/>
      <c r="TUH110" s="142"/>
      <c r="TUI110" s="142"/>
      <c r="TUJ110" s="142"/>
      <c r="TUK110" s="142"/>
      <c r="TUL110" s="142"/>
      <c r="TUM110" s="142"/>
      <c r="TUN110" s="142"/>
      <c r="TUO110" s="142"/>
      <c r="TUP110" s="142"/>
      <c r="TUQ110" s="142"/>
      <c r="TUR110" s="142"/>
      <c r="TUS110" s="142"/>
      <c r="TUT110" s="142"/>
      <c r="TUU110" s="142"/>
      <c r="TUV110" s="142"/>
      <c r="TUW110" s="142"/>
      <c r="TUX110" s="142"/>
      <c r="TUY110" s="142"/>
      <c r="TUZ110" s="142"/>
      <c r="TVA110" s="142"/>
      <c r="TVB110" s="142"/>
      <c r="TVC110" s="142"/>
      <c r="TVD110" s="142"/>
      <c r="TVE110" s="142"/>
      <c r="TVF110" s="142"/>
      <c r="TVG110" s="142"/>
      <c r="TVH110" s="142"/>
      <c r="TVI110" s="142"/>
      <c r="TVJ110" s="142"/>
      <c r="TVK110" s="142"/>
      <c r="TVL110" s="142"/>
      <c r="TVM110" s="142"/>
      <c r="TVN110" s="142"/>
      <c r="TVO110" s="142"/>
      <c r="TVP110" s="142"/>
      <c r="TVQ110" s="142"/>
      <c r="TVR110" s="142"/>
      <c r="TVS110" s="142"/>
      <c r="TVT110" s="142"/>
      <c r="TVU110" s="142"/>
      <c r="TVV110" s="142"/>
      <c r="TVW110" s="142"/>
      <c r="TVX110" s="142"/>
      <c r="TVY110" s="142"/>
      <c r="TVZ110" s="142"/>
      <c r="TWA110" s="142"/>
      <c r="TWB110" s="142"/>
      <c r="TWC110" s="142"/>
      <c r="TWD110" s="142"/>
      <c r="TWE110" s="142"/>
      <c r="TWF110" s="142"/>
      <c r="TWG110" s="142"/>
      <c r="TWH110" s="142"/>
      <c r="TWI110" s="142"/>
      <c r="TWJ110" s="142"/>
      <c r="TWK110" s="142"/>
      <c r="TWL110" s="142"/>
      <c r="TWM110" s="142"/>
      <c r="TWN110" s="142"/>
      <c r="TWO110" s="142"/>
      <c r="TWP110" s="142"/>
      <c r="TWQ110" s="142"/>
      <c r="TWR110" s="142"/>
      <c r="TWS110" s="142"/>
      <c r="TWT110" s="142"/>
      <c r="TWU110" s="142"/>
      <c r="TWV110" s="142"/>
      <c r="TWW110" s="142"/>
      <c r="TWX110" s="142"/>
      <c r="TWY110" s="142"/>
      <c r="TWZ110" s="142"/>
      <c r="TXA110" s="142"/>
      <c r="TXB110" s="142"/>
      <c r="TXC110" s="142"/>
      <c r="TXD110" s="142"/>
      <c r="TXE110" s="142"/>
      <c r="TXF110" s="142"/>
      <c r="TXG110" s="142"/>
      <c r="TXH110" s="142"/>
      <c r="TXI110" s="142"/>
      <c r="TXJ110" s="142"/>
      <c r="TXK110" s="142"/>
      <c r="TXL110" s="142"/>
      <c r="TXM110" s="142"/>
      <c r="TXN110" s="142"/>
      <c r="TXO110" s="142"/>
      <c r="TXP110" s="142"/>
      <c r="TXQ110" s="142"/>
      <c r="TXR110" s="142"/>
      <c r="TXS110" s="142"/>
      <c r="TXT110" s="142"/>
      <c r="TXU110" s="142"/>
      <c r="TXV110" s="142"/>
      <c r="TXW110" s="142"/>
      <c r="TXX110" s="142"/>
      <c r="TXY110" s="142"/>
      <c r="TXZ110" s="142"/>
      <c r="TYA110" s="142"/>
      <c r="TYB110" s="142"/>
      <c r="TYC110" s="142"/>
      <c r="TYD110" s="142"/>
      <c r="TYE110" s="142"/>
      <c r="TYF110" s="142"/>
      <c r="TYG110" s="142"/>
      <c r="TYH110" s="142"/>
      <c r="TYI110" s="142"/>
      <c r="TYJ110" s="142"/>
      <c r="TYK110" s="142"/>
      <c r="TYL110" s="142"/>
      <c r="TYM110" s="142"/>
      <c r="TYN110" s="142"/>
      <c r="TYO110" s="142"/>
      <c r="TYP110" s="142"/>
      <c r="TYQ110" s="142"/>
      <c r="TYR110" s="142"/>
      <c r="TYS110" s="142"/>
      <c r="TYT110" s="142"/>
      <c r="TYU110" s="142"/>
      <c r="TYV110" s="142"/>
      <c r="TYW110" s="142"/>
      <c r="TYX110" s="142"/>
      <c r="TYY110" s="142"/>
      <c r="TYZ110" s="142"/>
      <c r="TZA110" s="142"/>
      <c r="TZB110" s="142"/>
      <c r="TZC110" s="142"/>
      <c r="TZD110" s="142"/>
      <c r="TZE110" s="142"/>
      <c r="TZF110" s="142"/>
      <c r="TZG110" s="142"/>
      <c r="TZH110" s="142"/>
      <c r="TZI110" s="142"/>
      <c r="TZJ110" s="142"/>
      <c r="TZK110" s="142"/>
      <c r="TZL110" s="142"/>
      <c r="TZM110" s="142"/>
      <c r="TZN110" s="142"/>
      <c r="TZO110" s="142"/>
      <c r="TZP110" s="142"/>
      <c r="TZQ110" s="142"/>
      <c r="TZR110" s="142"/>
      <c r="TZS110" s="142"/>
      <c r="TZT110" s="142"/>
      <c r="TZU110" s="142"/>
      <c r="TZV110" s="142"/>
      <c r="TZW110" s="142"/>
      <c r="TZX110" s="142"/>
      <c r="TZY110" s="142"/>
      <c r="TZZ110" s="142"/>
      <c r="UAA110" s="142"/>
      <c r="UAB110" s="142"/>
      <c r="UAC110" s="142"/>
      <c r="UAD110" s="142"/>
      <c r="UAE110" s="142"/>
      <c r="UAF110" s="142"/>
      <c r="UAG110" s="142"/>
      <c r="UAH110" s="142"/>
      <c r="UAI110" s="142"/>
      <c r="UAJ110" s="142"/>
      <c r="UAK110" s="142"/>
      <c r="UAL110" s="142"/>
      <c r="UAM110" s="142"/>
      <c r="UAN110" s="142"/>
      <c r="UAO110" s="142"/>
      <c r="UAP110" s="142"/>
      <c r="UAQ110" s="142"/>
      <c r="UAR110" s="142"/>
      <c r="UAS110" s="142"/>
      <c r="UAT110" s="142"/>
      <c r="UAU110" s="142"/>
      <c r="UAV110" s="142"/>
      <c r="UAW110" s="142"/>
      <c r="UAX110" s="142"/>
      <c r="UAY110" s="142"/>
      <c r="UAZ110" s="142"/>
      <c r="UBA110" s="142"/>
      <c r="UBB110" s="142"/>
      <c r="UBC110" s="142"/>
      <c r="UBD110" s="142"/>
      <c r="UBE110" s="142"/>
      <c r="UBF110" s="142"/>
      <c r="UBG110" s="142"/>
      <c r="UBH110" s="142"/>
      <c r="UBI110" s="142"/>
      <c r="UBJ110" s="142"/>
      <c r="UBK110" s="142"/>
      <c r="UBL110" s="142"/>
      <c r="UBM110" s="142"/>
      <c r="UBN110" s="142"/>
      <c r="UBO110" s="142"/>
      <c r="UBP110" s="142"/>
      <c r="UBQ110" s="142"/>
      <c r="UBR110" s="142"/>
      <c r="UBS110" s="142"/>
      <c r="UBT110" s="142"/>
      <c r="UBU110" s="142"/>
      <c r="UBV110" s="142"/>
      <c r="UBW110" s="142"/>
      <c r="UBX110" s="142"/>
      <c r="UBY110" s="142"/>
      <c r="UBZ110" s="142"/>
      <c r="UCA110" s="142"/>
      <c r="UCB110" s="142"/>
      <c r="UCC110" s="142"/>
      <c r="UCD110" s="142"/>
      <c r="UCE110" s="142"/>
      <c r="UCF110" s="142"/>
      <c r="UCG110" s="142"/>
      <c r="UCH110" s="142"/>
      <c r="UCI110" s="142"/>
      <c r="UCJ110" s="142"/>
      <c r="UCK110" s="142"/>
      <c r="UCL110" s="142"/>
      <c r="UCM110" s="142"/>
      <c r="UCN110" s="142"/>
      <c r="UCO110" s="142"/>
      <c r="UCP110" s="142"/>
      <c r="UCQ110" s="142"/>
      <c r="UCR110" s="142"/>
      <c r="UCS110" s="142"/>
      <c r="UCT110" s="142"/>
      <c r="UCU110" s="142"/>
      <c r="UCV110" s="142"/>
      <c r="UCW110" s="142"/>
      <c r="UCX110" s="142"/>
      <c r="UCY110" s="142"/>
      <c r="UCZ110" s="142"/>
      <c r="UDA110" s="142"/>
      <c r="UDB110" s="142"/>
      <c r="UDC110" s="142"/>
      <c r="UDD110" s="142"/>
      <c r="UDE110" s="142"/>
      <c r="UDF110" s="142"/>
      <c r="UDG110" s="142"/>
      <c r="UDH110" s="142"/>
      <c r="UDI110" s="142"/>
      <c r="UDJ110" s="142"/>
      <c r="UDK110" s="142"/>
      <c r="UDL110" s="142"/>
      <c r="UDM110" s="142"/>
      <c r="UDN110" s="142"/>
      <c r="UDO110" s="142"/>
      <c r="UDP110" s="142"/>
      <c r="UDQ110" s="142"/>
      <c r="UDR110" s="142"/>
      <c r="UDS110" s="142"/>
      <c r="UDT110" s="142"/>
      <c r="UDU110" s="142"/>
      <c r="UDV110" s="142"/>
      <c r="UDW110" s="142"/>
      <c r="UDX110" s="142"/>
      <c r="UDY110" s="142"/>
      <c r="UDZ110" s="142"/>
      <c r="UEA110" s="142"/>
      <c r="UEB110" s="142"/>
      <c r="UEC110" s="142"/>
      <c r="UED110" s="142"/>
      <c r="UEE110" s="142"/>
      <c r="UEF110" s="142"/>
      <c r="UEG110" s="142"/>
      <c r="UEH110" s="142"/>
      <c r="UEI110" s="142"/>
      <c r="UEJ110" s="142"/>
      <c r="UEK110" s="142"/>
      <c r="UEL110" s="142"/>
      <c r="UEM110" s="142"/>
      <c r="UEN110" s="142"/>
      <c r="UEO110" s="142"/>
      <c r="UEP110" s="142"/>
      <c r="UEQ110" s="142"/>
      <c r="UER110" s="142"/>
      <c r="UES110" s="142"/>
      <c r="UET110" s="142"/>
      <c r="UEU110" s="142"/>
      <c r="UEV110" s="142"/>
      <c r="UEW110" s="142"/>
      <c r="UEX110" s="142"/>
      <c r="UEY110" s="142"/>
      <c r="UEZ110" s="142"/>
      <c r="UFA110" s="142"/>
      <c r="UFB110" s="142"/>
      <c r="UFC110" s="142"/>
      <c r="UFD110" s="142"/>
      <c r="UFE110" s="142"/>
      <c r="UFF110" s="142"/>
      <c r="UFG110" s="142"/>
      <c r="UFH110" s="142"/>
      <c r="UFI110" s="142"/>
      <c r="UFJ110" s="142"/>
      <c r="UFK110" s="142"/>
      <c r="UFL110" s="142"/>
      <c r="UFM110" s="142"/>
      <c r="UFN110" s="142"/>
      <c r="UFO110" s="142"/>
      <c r="UFP110" s="142"/>
      <c r="UFQ110" s="142"/>
      <c r="UFR110" s="142"/>
      <c r="UFS110" s="142"/>
      <c r="UFT110" s="142"/>
      <c r="UFU110" s="142"/>
      <c r="UFV110" s="142"/>
      <c r="UFW110" s="142"/>
      <c r="UFX110" s="142"/>
      <c r="UFY110" s="142"/>
      <c r="UFZ110" s="142"/>
      <c r="UGA110" s="142"/>
      <c r="UGB110" s="142"/>
      <c r="UGC110" s="142"/>
      <c r="UGD110" s="142"/>
      <c r="UGE110" s="142"/>
      <c r="UGF110" s="142"/>
      <c r="UGG110" s="142"/>
      <c r="UGH110" s="142"/>
      <c r="UGI110" s="142"/>
      <c r="UGJ110" s="142"/>
      <c r="UGK110" s="142"/>
      <c r="UGL110" s="142"/>
      <c r="UGM110" s="142"/>
      <c r="UGN110" s="142"/>
      <c r="UGO110" s="142"/>
      <c r="UGP110" s="142"/>
      <c r="UGQ110" s="142"/>
      <c r="UGR110" s="142"/>
      <c r="UGS110" s="142"/>
      <c r="UGT110" s="142"/>
      <c r="UGU110" s="142"/>
      <c r="UGV110" s="142"/>
      <c r="UGW110" s="142"/>
      <c r="UGX110" s="142"/>
      <c r="UGY110" s="142"/>
      <c r="UGZ110" s="142"/>
      <c r="UHA110" s="142"/>
      <c r="UHB110" s="142"/>
      <c r="UHC110" s="142"/>
      <c r="UHD110" s="142"/>
      <c r="UHE110" s="142"/>
      <c r="UHF110" s="142"/>
      <c r="UHG110" s="142"/>
      <c r="UHH110" s="142"/>
      <c r="UHI110" s="142"/>
      <c r="UHJ110" s="142"/>
      <c r="UHK110" s="142"/>
      <c r="UHL110" s="142"/>
      <c r="UHM110" s="142"/>
      <c r="UHN110" s="142"/>
      <c r="UHO110" s="142"/>
      <c r="UHP110" s="142"/>
      <c r="UHQ110" s="142"/>
      <c r="UHR110" s="142"/>
      <c r="UHS110" s="142"/>
      <c r="UHT110" s="142"/>
      <c r="UHU110" s="142"/>
      <c r="UHV110" s="142"/>
      <c r="UHW110" s="142"/>
      <c r="UHX110" s="142"/>
      <c r="UHY110" s="142"/>
      <c r="UHZ110" s="142"/>
      <c r="UIA110" s="142"/>
      <c r="UIB110" s="142"/>
      <c r="UIC110" s="142"/>
      <c r="UID110" s="142"/>
      <c r="UIE110" s="142"/>
      <c r="UIF110" s="142"/>
      <c r="UIG110" s="142"/>
      <c r="UIH110" s="142"/>
      <c r="UII110" s="142"/>
      <c r="UIJ110" s="142"/>
      <c r="UIK110" s="142"/>
      <c r="UIL110" s="142"/>
      <c r="UIM110" s="142"/>
      <c r="UIN110" s="142"/>
      <c r="UIO110" s="142"/>
      <c r="UIP110" s="142"/>
      <c r="UIQ110" s="142"/>
      <c r="UIR110" s="142"/>
      <c r="UIS110" s="142"/>
      <c r="UIT110" s="142"/>
      <c r="UIU110" s="142"/>
      <c r="UIV110" s="142"/>
      <c r="UIW110" s="142"/>
      <c r="UIX110" s="142"/>
      <c r="UIY110" s="142"/>
      <c r="UIZ110" s="142"/>
      <c r="UJA110" s="142"/>
      <c r="UJB110" s="142"/>
      <c r="UJC110" s="142"/>
      <c r="UJD110" s="142"/>
      <c r="UJE110" s="142"/>
      <c r="UJF110" s="142"/>
      <c r="UJG110" s="142"/>
      <c r="UJH110" s="142"/>
      <c r="UJI110" s="142"/>
      <c r="UJJ110" s="142"/>
      <c r="UJK110" s="142"/>
      <c r="UJL110" s="142"/>
      <c r="UJM110" s="142"/>
      <c r="UJN110" s="142"/>
      <c r="UJO110" s="142"/>
      <c r="UJP110" s="142"/>
      <c r="UJQ110" s="142"/>
      <c r="UJR110" s="142"/>
      <c r="UJS110" s="142"/>
      <c r="UJT110" s="142"/>
      <c r="UJU110" s="142"/>
      <c r="UJV110" s="142"/>
      <c r="UJW110" s="142"/>
      <c r="UJX110" s="142"/>
      <c r="UJY110" s="142"/>
      <c r="UJZ110" s="142"/>
      <c r="UKA110" s="142"/>
      <c r="UKB110" s="142"/>
      <c r="UKC110" s="142"/>
      <c r="UKD110" s="142"/>
      <c r="UKE110" s="142"/>
      <c r="UKF110" s="142"/>
      <c r="UKG110" s="142"/>
      <c r="UKH110" s="142"/>
      <c r="UKI110" s="142"/>
      <c r="UKJ110" s="142"/>
      <c r="UKK110" s="142"/>
      <c r="UKL110" s="142"/>
      <c r="UKM110" s="142"/>
      <c r="UKN110" s="142"/>
      <c r="UKO110" s="142"/>
      <c r="UKP110" s="142"/>
      <c r="UKQ110" s="142"/>
      <c r="UKR110" s="142"/>
      <c r="UKS110" s="142"/>
      <c r="UKT110" s="142"/>
      <c r="UKU110" s="142"/>
      <c r="UKV110" s="142"/>
      <c r="UKW110" s="142"/>
      <c r="UKX110" s="142"/>
      <c r="UKY110" s="142"/>
      <c r="UKZ110" s="142"/>
      <c r="ULA110" s="142"/>
      <c r="ULB110" s="142"/>
      <c r="ULC110" s="142"/>
      <c r="ULD110" s="142"/>
      <c r="ULE110" s="142"/>
      <c r="ULF110" s="142"/>
      <c r="ULG110" s="142"/>
      <c r="ULH110" s="142"/>
      <c r="ULI110" s="142"/>
      <c r="ULJ110" s="142"/>
      <c r="ULK110" s="142"/>
      <c r="ULL110" s="142"/>
      <c r="ULM110" s="142"/>
      <c r="ULN110" s="142"/>
      <c r="ULO110" s="142"/>
      <c r="ULP110" s="142"/>
      <c r="ULQ110" s="142"/>
      <c r="ULR110" s="142"/>
      <c r="ULS110" s="142"/>
      <c r="ULT110" s="142"/>
      <c r="ULU110" s="142"/>
      <c r="ULV110" s="142"/>
      <c r="ULW110" s="142"/>
      <c r="ULX110" s="142"/>
      <c r="ULY110" s="142"/>
      <c r="ULZ110" s="142"/>
      <c r="UMA110" s="142"/>
      <c r="UMB110" s="142"/>
      <c r="UMC110" s="142"/>
      <c r="UMD110" s="142"/>
      <c r="UME110" s="142"/>
      <c r="UMF110" s="142"/>
      <c r="UMG110" s="142"/>
      <c r="UMH110" s="142"/>
      <c r="UMI110" s="142"/>
      <c r="UMJ110" s="142"/>
      <c r="UMK110" s="142"/>
      <c r="UML110" s="142"/>
      <c r="UMM110" s="142"/>
      <c r="UMN110" s="142"/>
      <c r="UMO110" s="142"/>
      <c r="UMP110" s="142"/>
      <c r="UMQ110" s="142"/>
      <c r="UMR110" s="142"/>
      <c r="UMS110" s="142"/>
      <c r="UMT110" s="142"/>
      <c r="UMU110" s="142"/>
      <c r="UMV110" s="142"/>
      <c r="UMW110" s="142"/>
      <c r="UMX110" s="142"/>
      <c r="UMY110" s="142"/>
      <c r="UMZ110" s="142"/>
      <c r="UNA110" s="142"/>
      <c r="UNB110" s="142"/>
      <c r="UNC110" s="142"/>
      <c r="UND110" s="142"/>
      <c r="UNE110" s="142"/>
      <c r="UNF110" s="142"/>
      <c r="UNG110" s="142"/>
      <c r="UNH110" s="142"/>
      <c r="UNI110" s="142"/>
      <c r="UNJ110" s="142"/>
      <c r="UNK110" s="142"/>
      <c r="UNL110" s="142"/>
      <c r="UNM110" s="142"/>
      <c r="UNN110" s="142"/>
      <c r="UNO110" s="142"/>
      <c r="UNP110" s="142"/>
      <c r="UNQ110" s="142"/>
      <c r="UNR110" s="142"/>
      <c r="UNS110" s="142"/>
      <c r="UNT110" s="142"/>
      <c r="UNU110" s="142"/>
      <c r="UNV110" s="142"/>
      <c r="UNW110" s="142"/>
      <c r="UNX110" s="142"/>
      <c r="UNY110" s="142"/>
      <c r="UNZ110" s="142"/>
      <c r="UOA110" s="142"/>
      <c r="UOB110" s="142"/>
      <c r="UOC110" s="142"/>
      <c r="UOD110" s="142"/>
      <c r="UOE110" s="142"/>
      <c r="UOF110" s="142"/>
      <c r="UOG110" s="142"/>
      <c r="UOH110" s="142"/>
      <c r="UOI110" s="142"/>
      <c r="UOJ110" s="142"/>
      <c r="UOK110" s="142"/>
      <c r="UOL110" s="142"/>
      <c r="UOM110" s="142"/>
      <c r="UON110" s="142"/>
      <c r="UOO110" s="142"/>
      <c r="UOP110" s="142"/>
      <c r="UOQ110" s="142"/>
      <c r="UOR110" s="142"/>
      <c r="UOS110" s="142"/>
      <c r="UOT110" s="142"/>
      <c r="UOU110" s="142"/>
      <c r="UOV110" s="142"/>
      <c r="UOW110" s="142"/>
      <c r="UOX110" s="142"/>
      <c r="UOY110" s="142"/>
      <c r="UOZ110" s="142"/>
      <c r="UPA110" s="142"/>
      <c r="UPB110" s="142"/>
      <c r="UPC110" s="142"/>
      <c r="UPD110" s="142"/>
      <c r="UPE110" s="142"/>
      <c r="UPF110" s="142"/>
      <c r="UPG110" s="142"/>
      <c r="UPH110" s="142"/>
      <c r="UPI110" s="142"/>
      <c r="UPJ110" s="142"/>
      <c r="UPK110" s="142"/>
      <c r="UPL110" s="142"/>
      <c r="UPM110" s="142"/>
      <c r="UPN110" s="142"/>
      <c r="UPO110" s="142"/>
      <c r="UPP110" s="142"/>
      <c r="UPQ110" s="142"/>
      <c r="UPR110" s="142"/>
      <c r="UPS110" s="142"/>
      <c r="UPT110" s="142"/>
      <c r="UPU110" s="142"/>
      <c r="UPV110" s="142"/>
      <c r="UPW110" s="142"/>
      <c r="UPX110" s="142"/>
      <c r="UPY110" s="142"/>
      <c r="UPZ110" s="142"/>
      <c r="UQA110" s="142"/>
      <c r="UQB110" s="142"/>
      <c r="UQC110" s="142"/>
      <c r="UQD110" s="142"/>
      <c r="UQE110" s="142"/>
      <c r="UQF110" s="142"/>
      <c r="UQG110" s="142"/>
      <c r="UQH110" s="142"/>
      <c r="UQI110" s="142"/>
      <c r="UQJ110" s="142"/>
      <c r="UQK110" s="142"/>
      <c r="UQL110" s="142"/>
      <c r="UQM110" s="142"/>
      <c r="UQN110" s="142"/>
      <c r="UQO110" s="142"/>
      <c r="UQP110" s="142"/>
      <c r="UQQ110" s="142"/>
      <c r="UQR110" s="142"/>
      <c r="UQS110" s="142"/>
      <c r="UQT110" s="142"/>
      <c r="UQU110" s="142"/>
      <c r="UQV110" s="142"/>
      <c r="UQW110" s="142"/>
      <c r="UQX110" s="142"/>
      <c r="UQY110" s="142"/>
      <c r="UQZ110" s="142"/>
      <c r="URA110" s="142"/>
      <c r="URB110" s="142"/>
      <c r="URC110" s="142"/>
      <c r="URD110" s="142"/>
      <c r="URE110" s="142"/>
      <c r="URF110" s="142"/>
      <c r="URG110" s="142"/>
      <c r="URH110" s="142"/>
      <c r="URI110" s="142"/>
      <c r="URJ110" s="142"/>
      <c r="URK110" s="142"/>
      <c r="URL110" s="142"/>
      <c r="URM110" s="142"/>
      <c r="URN110" s="142"/>
      <c r="URO110" s="142"/>
      <c r="URP110" s="142"/>
      <c r="URQ110" s="142"/>
      <c r="URR110" s="142"/>
      <c r="URS110" s="142"/>
      <c r="URT110" s="142"/>
      <c r="URU110" s="142"/>
      <c r="URV110" s="142"/>
      <c r="URW110" s="142"/>
      <c r="URX110" s="142"/>
      <c r="URY110" s="142"/>
      <c r="URZ110" s="142"/>
      <c r="USA110" s="142"/>
      <c r="USB110" s="142"/>
      <c r="USC110" s="142"/>
      <c r="USD110" s="142"/>
      <c r="USE110" s="142"/>
      <c r="USF110" s="142"/>
      <c r="USG110" s="142"/>
      <c r="USH110" s="142"/>
      <c r="USI110" s="142"/>
      <c r="USJ110" s="142"/>
      <c r="USK110" s="142"/>
      <c r="USL110" s="142"/>
      <c r="USM110" s="142"/>
      <c r="USN110" s="142"/>
      <c r="USO110" s="142"/>
      <c r="USP110" s="142"/>
      <c r="USQ110" s="142"/>
      <c r="USR110" s="142"/>
      <c r="USS110" s="142"/>
      <c r="UST110" s="142"/>
      <c r="USU110" s="142"/>
      <c r="USV110" s="142"/>
      <c r="USW110" s="142"/>
      <c r="USX110" s="142"/>
      <c r="USY110" s="142"/>
      <c r="USZ110" s="142"/>
      <c r="UTA110" s="142"/>
      <c r="UTB110" s="142"/>
      <c r="UTC110" s="142"/>
      <c r="UTD110" s="142"/>
      <c r="UTE110" s="142"/>
      <c r="UTF110" s="142"/>
      <c r="UTG110" s="142"/>
      <c r="UTH110" s="142"/>
      <c r="UTI110" s="142"/>
      <c r="UTJ110" s="142"/>
      <c r="UTK110" s="142"/>
      <c r="UTL110" s="142"/>
      <c r="UTM110" s="142"/>
      <c r="UTN110" s="142"/>
      <c r="UTO110" s="142"/>
      <c r="UTP110" s="142"/>
      <c r="UTQ110" s="142"/>
      <c r="UTR110" s="142"/>
      <c r="UTS110" s="142"/>
      <c r="UTT110" s="142"/>
      <c r="UTU110" s="142"/>
      <c r="UTV110" s="142"/>
      <c r="UTW110" s="142"/>
      <c r="UTX110" s="142"/>
      <c r="UTY110" s="142"/>
      <c r="UTZ110" s="142"/>
      <c r="UUA110" s="142"/>
      <c r="UUB110" s="142"/>
      <c r="UUC110" s="142"/>
      <c r="UUD110" s="142"/>
      <c r="UUE110" s="142"/>
      <c r="UUF110" s="142"/>
      <c r="UUG110" s="142"/>
      <c r="UUH110" s="142"/>
      <c r="UUI110" s="142"/>
      <c r="UUJ110" s="142"/>
      <c r="UUK110" s="142"/>
      <c r="UUL110" s="142"/>
      <c r="UUM110" s="142"/>
      <c r="UUN110" s="142"/>
      <c r="UUO110" s="142"/>
      <c r="UUP110" s="142"/>
      <c r="UUQ110" s="142"/>
      <c r="UUR110" s="142"/>
      <c r="UUS110" s="142"/>
      <c r="UUT110" s="142"/>
      <c r="UUU110" s="142"/>
      <c r="UUV110" s="142"/>
      <c r="UUW110" s="142"/>
      <c r="UUX110" s="142"/>
      <c r="UUY110" s="142"/>
      <c r="UUZ110" s="142"/>
      <c r="UVA110" s="142"/>
      <c r="UVB110" s="142"/>
      <c r="UVC110" s="142"/>
      <c r="UVD110" s="142"/>
      <c r="UVE110" s="142"/>
      <c r="UVF110" s="142"/>
      <c r="UVG110" s="142"/>
      <c r="UVH110" s="142"/>
      <c r="UVI110" s="142"/>
      <c r="UVJ110" s="142"/>
      <c r="UVK110" s="142"/>
      <c r="UVL110" s="142"/>
      <c r="UVM110" s="142"/>
      <c r="UVN110" s="142"/>
      <c r="UVO110" s="142"/>
      <c r="UVP110" s="142"/>
      <c r="UVQ110" s="142"/>
      <c r="UVR110" s="142"/>
      <c r="UVS110" s="142"/>
      <c r="UVT110" s="142"/>
      <c r="UVU110" s="142"/>
      <c r="UVV110" s="142"/>
      <c r="UVW110" s="142"/>
      <c r="UVX110" s="142"/>
      <c r="UVY110" s="142"/>
      <c r="UVZ110" s="142"/>
      <c r="UWA110" s="142"/>
      <c r="UWB110" s="142"/>
      <c r="UWC110" s="142"/>
      <c r="UWD110" s="142"/>
      <c r="UWE110" s="142"/>
      <c r="UWF110" s="142"/>
      <c r="UWG110" s="142"/>
      <c r="UWH110" s="142"/>
      <c r="UWI110" s="142"/>
      <c r="UWJ110" s="142"/>
      <c r="UWK110" s="142"/>
      <c r="UWL110" s="142"/>
      <c r="UWM110" s="142"/>
      <c r="UWN110" s="142"/>
      <c r="UWO110" s="142"/>
      <c r="UWP110" s="142"/>
      <c r="UWQ110" s="142"/>
      <c r="UWR110" s="142"/>
      <c r="UWS110" s="142"/>
      <c r="UWT110" s="142"/>
      <c r="UWU110" s="142"/>
      <c r="UWV110" s="142"/>
      <c r="UWW110" s="142"/>
      <c r="UWX110" s="142"/>
      <c r="UWY110" s="142"/>
      <c r="UWZ110" s="142"/>
      <c r="UXA110" s="142"/>
      <c r="UXB110" s="142"/>
      <c r="UXC110" s="142"/>
      <c r="UXD110" s="142"/>
      <c r="UXE110" s="142"/>
      <c r="UXF110" s="142"/>
      <c r="UXG110" s="142"/>
      <c r="UXH110" s="142"/>
      <c r="UXI110" s="142"/>
      <c r="UXJ110" s="142"/>
      <c r="UXK110" s="142"/>
      <c r="UXL110" s="142"/>
      <c r="UXM110" s="142"/>
      <c r="UXN110" s="142"/>
      <c r="UXO110" s="142"/>
      <c r="UXP110" s="142"/>
      <c r="UXQ110" s="142"/>
      <c r="UXR110" s="142"/>
      <c r="UXS110" s="142"/>
      <c r="UXT110" s="142"/>
      <c r="UXU110" s="142"/>
      <c r="UXV110" s="142"/>
      <c r="UXW110" s="142"/>
      <c r="UXX110" s="142"/>
      <c r="UXY110" s="142"/>
      <c r="UXZ110" s="142"/>
      <c r="UYA110" s="142"/>
      <c r="UYB110" s="142"/>
      <c r="UYC110" s="142"/>
      <c r="UYD110" s="142"/>
      <c r="UYE110" s="142"/>
      <c r="UYF110" s="142"/>
      <c r="UYG110" s="142"/>
      <c r="UYH110" s="142"/>
      <c r="UYI110" s="142"/>
      <c r="UYJ110" s="142"/>
      <c r="UYK110" s="142"/>
      <c r="UYL110" s="142"/>
      <c r="UYM110" s="142"/>
      <c r="UYN110" s="142"/>
      <c r="UYO110" s="142"/>
      <c r="UYP110" s="142"/>
      <c r="UYQ110" s="142"/>
      <c r="UYR110" s="142"/>
      <c r="UYS110" s="142"/>
      <c r="UYT110" s="142"/>
      <c r="UYU110" s="142"/>
      <c r="UYV110" s="142"/>
      <c r="UYW110" s="142"/>
      <c r="UYX110" s="142"/>
      <c r="UYY110" s="142"/>
      <c r="UYZ110" s="142"/>
      <c r="UZA110" s="142"/>
      <c r="UZB110" s="142"/>
      <c r="UZC110" s="142"/>
      <c r="UZD110" s="142"/>
      <c r="UZE110" s="142"/>
      <c r="UZF110" s="142"/>
      <c r="UZG110" s="142"/>
      <c r="UZH110" s="142"/>
      <c r="UZI110" s="142"/>
      <c r="UZJ110" s="142"/>
      <c r="UZK110" s="142"/>
      <c r="UZL110" s="142"/>
      <c r="UZM110" s="142"/>
      <c r="UZN110" s="142"/>
      <c r="UZO110" s="142"/>
      <c r="UZP110" s="142"/>
      <c r="UZQ110" s="142"/>
      <c r="UZR110" s="142"/>
      <c r="UZS110" s="142"/>
      <c r="UZT110" s="142"/>
      <c r="UZU110" s="142"/>
      <c r="UZV110" s="142"/>
      <c r="UZW110" s="142"/>
      <c r="UZX110" s="142"/>
      <c r="UZY110" s="142"/>
      <c r="UZZ110" s="142"/>
      <c r="VAA110" s="142"/>
      <c r="VAB110" s="142"/>
      <c r="VAC110" s="142"/>
      <c r="VAD110" s="142"/>
      <c r="VAE110" s="142"/>
      <c r="VAF110" s="142"/>
      <c r="VAG110" s="142"/>
      <c r="VAH110" s="142"/>
      <c r="VAI110" s="142"/>
      <c r="VAJ110" s="142"/>
      <c r="VAK110" s="142"/>
      <c r="VAL110" s="142"/>
      <c r="VAM110" s="142"/>
      <c r="VAN110" s="142"/>
      <c r="VAO110" s="142"/>
      <c r="VAP110" s="142"/>
      <c r="VAQ110" s="142"/>
      <c r="VAR110" s="142"/>
      <c r="VAS110" s="142"/>
      <c r="VAT110" s="142"/>
      <c r="VAU110" s="142"/>
      <c r="VAV110" s="142"/>
      <c r="VAW110" s="142"/>
      <c r="VAX110" s="142"/>
      <c r="VAY110" s="142"/>
      <c r="VAZ110" s="142"/>
      <c r="VBA110" s="142"/>
      <c r="VBB110" s="142"/>
      <c r="VBC110" s="142"/>
      <c r="VBD110" s="142"/>
      <c r="VBE110" s="142"/>
      <c r="VBF110" s="142"/>
      <c r="VBG110" s="142"/>
      <c r="VBH110" s="142"/>
      <c r="VBI110" s="142"/>
      <c r="VBJ110" s="142"/>
      <c r="VBK110" s="142"/>
      <c r="VBL110" s="142"/>
      <c r="VBM110" s="142"/>
      <c r="VBN110" s="142"/>
      <c r="VBO110" s="142"/>
      <c r="VBP110" s="142"/>
      <c r="VBQ110" s="142"/>
      <c r="VBR110" s="142"/>
      <c r="VBS110" s="142"/>
      <c r="VBT110" s="142"/>
      <c r="VBU110" s="142"/>
      <c r="VBV110" s="142"/>
      <c r="VBW110" s="142"/>
      <c r="VBX110" s="142"/>
      <c r="VBY110" s="142"/>
      <c r="VBZ110" s="142"/>
      <c r="VCA110" s="142"/>
      <c r="VCB110" s="142"/>
      <c r="VCC110" s="142"/>
      <c r="VCD110" s="142"/>
      <c r="VCE110" s="142"/>
      <c r="VCF110" s="142"/>
      <c r="VCG110" s="142"/>
      <c r="VCH110" s="142"/>
      <c r="VCI110" s="142"/>
      <c r="VCJ110" s="142"/>
      <c r="VCK110" s="142"/>
      <c r="VCL110" s="142"/>
      <c r="VCM110" s="142"/>
      <c r="VCN110" s="142"/>
      <c r="VCO110" s="142"/>
      <c r="VCP110" s="142"/>
      <c r="VCQ110" s="142"/>
      <c r="VCR110" s="142"/>
      <c r="VCS110" s="142"/>
      <c r="VCT110" s="142"/>
      <c r="VCU110" s="142"/>
      <c r="VCV110" s="142"/>
      <c r="VCW110" s="142"/>
      <c r="VCX110" s="142"/>
      <c r="VCY110" s="142"/>
      <c r="VCZ110" s="142"/>
      <c r="VDA110" s="142"/>
      <c r="VDB110" s="142"/>
      <c r="VDC110" s="142"/>
      <c r="VDD110" s="142"/>
      <c r="VDE110" s="142"/>
      <c r="VDF110" s="142"/>
      <c r="VDG110" s="142"/>
      <c r="VDH110" s="142"/>
      <c r="VDI110" s="142"/>
      <c r="VDJ110" s="142"/>
      <c r="VDK110" s="142"/>
      <c r="VDL110" s="142"/>
      <c r="VDM110" s="142"/>
      <c r="VDN110" s="142"/>
      <c r="VDO110" s="142"/>
      <c r="VDP110" s="142"/>
      <c r="VDQ110" s="142"/>
      <c r="VDR110" s="142"/>
      <c r="VDS110" s="142"/>
      <c r="VDT110" s="142"/>
      <c r="VDU110" s="142"/>
      <c r="VDV110" s="142"/>
      <c r="VDW110" s="142"/>
      <c r="VDX110" s="142"/>
      <c r="VDY110" s="142"/>
      <c r="VDZ110" s="142"/>
      <c r="VEA110" s="142"/>
      <c r="VEB110" s="142"/>
      <c r="VEC110" s="142"/>
      <c r="VED110" s="142"/>
      <c r="VEE110" s="142"/>
      <c r="VEF110" s="142"/>
      <c r="VEG110" s="142"/>
      <c r="VEH110" s="142"/>
      <c r="VEI110" s="142"/>
      <c r="VEJ110" s="142"/>
      <c r="VEK110" s="142"/>
      <c r="VEL110" s="142"/>
      <c r="VEM110" s="142"/>
      <c r="VEN110" s="142"/>
      <c r="VEO110" s="142"/>
      <c r="VEP110" s="142"/>
      <c r="VEQ110" s="142"/>
      <c r="VER110" s="142"/>
      <c r="VES110" s="142"/>
      <c r="VET110" s="142"/>
      <c r="VEU110" s="142"/>
      <c r="VEV110" s="142"/>
      <c r="VEW110" s="142"/>
      <c r="VEX110" s="142"/>
      <c r="VEY110" s="142"/>
      <c r="VEZ110" s="142"/>
      <c r="VFA110" s="142"/>
      <c r="VFB110" s="142"/>
      <c r="VFC110" s="142"/>
      <c r="VFD110" s="142"/>
      <c r="VFE110" s="142"/>
      <c r="VFF110" s="142"/>
      <c r="VFG110" s="142"/>
      <c r="VFH110" s="142"/>
      <c r="VFI110" s="142"/>
      <c r="VFJ110" s="142"/>
      <c r="VFK110" s="142"/>
      <c r="VFL110" s="142"/>
      <c r="VFM110" s="142"/>
      <c r="VFN110" s="142"/>
      <c r="VFO110" s="142"/>
      <c r="VFP110" s="142"/>
      <c r="VFQ110" s="142"/>
      <c r="VFR110" s="142"/>
      <c r="VFS110" s="142"/>
      <c r="VFT110" s="142"/>
      <c r="VFU110" s="142"/>
      <c r="VFV110" s="142"/>
      <c r="VFW110" s="142"/>
      <c r="VFX110" s="142"/>
      <c r="VFY110" s="142"/>
      <c r="VFZ110" s="142"/>
      <c r="VGA110" s="142"/>
      <c r="VGB110" s="142"/>
      <c r="VGC110" s="142"/>
      <c r="VGD110" s="142"/>
      <c r="VGE110" s="142"/>
      <c r="VGF110" s="142"/>
      <c r="VGG110" s="142"/>
      <c r="VGH110" s="142"/>
      <c r="VGI110" s="142"/>
      <c r="VGJ110" s="142"/>
      <c r="VGK110" s="142"/>
      <c r="VGL110" s="142"/>
      <c r="VGM110" s="142"/>
      <c r="VGN110" s="142"/>
      <c r="VGO110" s="142"/>
      <c r="VGP110" s="142"/>
      <c r="VGQ110" s="142"/>
      <c r="VGR110" s="142"/>
      <c r="VGS110" s="142"/>
      <c r="VGT110" s="142"/>
      <c r="VGU110" s="142"/>
      <c r="VGV110" s="142"/>
      <c r="VGW110" s="142"/>
      <c r="VGX110" s="142"/>
      <c r="VGY110" s="142"/>
      <c r="VGZ110" s="142"/>
      <c r="VHA110" s="142"/>
      <c r="VHB110" s="142"/>
      <c r="VHC110" s="142"/>
      <c r="VHD110" s="142"/>
      <c r="VHE110" s="142"/>
      <c r="VHF110" s="142"/>
      <c r="VHG110" s="142"/>
      <c r="VHH110" s="142"/>
      <c r="VHI110" s="142"/>
      <c r="VHJ110" s="142"/>
      <c r="VHK110" s="142"/>
      <c r="VHL110" s="142"/>
      <c r="VHM110" s="142"/>
      <c r="VHN110" s="142"/>
      <c r="VHO110" s="142"/>
      <c r="VHP110" s="142"/>
      <c r="VHQ110" s="142"/>
      <c r="VHR110" s="142"/>
      <c r="VHS110" s="142"/>
      <c r="VHT110" s="142"/>
      <c r="VHU110" s="142"/>
      <c r="VHV110" s="142"/>
      <c r="VHW110" s="142"/>
      <c r="VHX110" s="142"/>
      <c r="VHY110" s="142"/>
      <c r="VHZ110" s="142"/>
      <c r="VIA110" s="142"/>
      <c r="VIB110" s="142"/>
      <c r="VIC110" s="142"/>
      <c r="VID110" s="142"/>
      <c r="VIE110" s="142"/>
      <c r="VIF110" s="142"/>
      <c r="VIG110" s="142"/>
      <c r="VIH110" s="142"/>
      <c r="VII110" s="142"/>
      <c r="VIJ110" s="142"/>
      <c r="VIK110" s="142"/>
      <c r="VIL110" s="142"/>
      <c r="VIM110" s="142"/>
      <c r="VIN110" s="142"/>
      <c r="VIO110" s="142"/>
      <c r="VIP110" s="142"/>
      <c r="VIQ110" s="142"/>
      <c r="VIR110" s="142"/>
      <c r="VIS110" s="142"/>
      <c r="VIT110" s="142"/>
      <c r="VIU110" s="142"/>
      <c r="VIV110" s="142"/>
      <c r="VIW110" s="142"/>
      <c r="VIX110" s="142"/>
      <c r="VIY110" s="142"/>
      <c r="VIZ110" s="142"/>
      <c r="VJA110" s="142"/>
      <c r="VJB110" s="142"/>
      <c r="VJC110" s="142"/>
      <c r="VJD110" s="142"/>
      <c r="VJE110" s="142"/>
      <c r="VJF110" s="142"/>
      <c r="VJG110" s="142"/>
      <c r="VJH110" s="142"/>
      <c r="VJI110" s="142"/>
      <c r="VJJ110" s="142"/>
      <c r="VJK110" s="142"/>
      <c r="VJL110" s="142"/>
      <c r="VJM110" s="142"/>
      <c r="VJN110" s="142"/>
      <c r="VJO110" s="142"/>
      <c r="VJP110" s="142"/>
      <c r="VJQ110" s="142"/>
      <c r="VJR110" s="142"/>
      <c r="VJS110" s="142"/>
      <c r="VJT110" s="142"/>
      <c r="VJU110" s="142"/>
      <c r="VJV110" s="142"/>
      <c r="VJW110" s="142"/>
      <c r="VJX110" s="142"/>
      <c r="VJY110" s="142"/>
      <c r="VJZ110" s="142"/>
      <c r="VKA110" s="142"/>
      <c r="VKB110" s="142"/>
      <c r="VKC110" s="142"/>
      <c r="VKD110" s="142"/>
      <c r="VKE110" s="142"/>
      <c r="VKF110" s="142"/>
      <c r="VKG110" s="142"/>
      <c r="VKH110" s="142"/>
      <c r="VKI110" s="142"/>
      <c r="VKJ110" s="142"/>
      <c r="VKK110" s="142"/>
      <c r="VKL110" s="142"/>
      <c r="VKM110" s="142"/>
      <c r="VKN110" s="142"/>
      <c r="VKO110" s="142"/>
      <c r="VKP110" s="142"/>
      <c r="VKQ110" s="142"/>
      <c r="VKR110" s="142"/>
      <c r="VKS110" s="142"/>
      <c r="VKT110" s="142"/>
      <c r="VKU110" s="142"/>
      <c r="VKV110" s="142"/>
      <c r="VKW110" s="142"/>
      <c r="VKX110" s="142"/>
      <c r="VKY110" s="142"/>
      <c r="VKZ110" s="142"/>
      <c r="VLA110" s="142"/>
      <c r="VLB110" s="142"/>
      <c r="VLC110" s="142"/>
      <c r="VLD110" s="142"/>
      <c r="VLE110" s="142"/>
      <c r="VLF110" s="142"/>
      <c r="VLG110" s="142"/>
      <c r="VLH110" s="142"/>
      <c r="VLI110" s="142"/>
      <c r="VLJ110" s="142"/>
      <c r="VLK110" s="142"/>
      <c r="VLL110" s="142"/>
      <c r="VLM110" s="142"/>
      <c r="VLN110" s="142"/>
      <c r="VLO110" s="142"/>
      <c r="VLP110" s="142"/>
      <c r="VLQ110" s="142"/>
      <c r="VLR110" s="142"/>
      <c r="VLS110" s="142"/>
      <c r="VLT110" s="142"/>
      <c r="VLU110" s="142"/>
      <c r="VLV110" s="142"/>
      <c r="VLW110" s="142"/>
      <c r="VLX110" s="142"/>
      <c r="VLY110" s="142"/>
      <c r="VLZ110" s="142"/>
      <c r="VMA110" s="142"/>
      <c r="VMB110" s="142"/>
      <c r="VMC110" s="142"/>
      <c r="VMD110" s="142"/>
      <c r="VME110" s="142"/>
      <c r="VMF110" s="142"/>
      <c r="VMG110" s="142"/>
      <c r="VMH110" s="142"/>
      <c r="VMI110" s="142"/>
      <c r="VMJ110" s="142"/>
      <c r="VMK110" s="142"/>
      <c r="VML110" s="142"/>
      <c r="VMM110" s="142"/>
      <c r="VMN110" s="142"/>
      <c r="VMO110" s="142"/>
      <c r="VMP110" s="142"/>
      <c r="VMQ110" s="142"/>
      <c r="VMR110" s="142"/>
      <c r="VMS110" s="142"/>
      <c r="VMT110" s="142"/>
      <c r="VMU110" s="142"/>
      <c r="VMV110" s="142"/>
      <c r="VMW110" s="142"/>
      <c r="VMX110" s="142"/>
      <c r="VMY110" s="142"/>
      <c r="VMZ110" s="142"/>
      <c r="VNA110" s="142"/>
      <c r="VNB110" s="142"/>
      <c r="VNC110" s="142"/>
      <c r="VND110" s="142"/>
      <c r="VNE110" s="142"/>
      <c r="VNF110" s="142"/>
      <c r="VNG110" s="142"/>
      <c r="VNH110" s="142"/>
      <c r="VNI110" s="142"/>
      <c r="VNJ110" s="142"/>
      <c r="VNK110" s="142"/>
      <c r="VNL110" s="142"/>
      <c r="VNM110" s="142"/>
      <c r="VNN110" s="142"/>
      <c r="VNO110" s="142"/>
      <c r="VNP110" s="142"/>
      <c r="VNQ110" s="142"/>
      <c r="VNR110" s="142"/>
      <c r="VNS110" s="142"/>
      <c r="VNT110" s="142"/>
      <c r="VNU110" s="142"/>
      <c r="VNV110" s="142"/>
      <c r="VNW110" s="142"/>
      <c r="VNX110" s="142"/>
      <c r="VNY110" s="142"/>
      <c r="VNZ110" s="142"/>
      <c r="VOA110" s="142"/>
      <c r="VOB110" s="142"/>
      <c r="VOC110" s="142"/>
      <c r="VOD110" s="142"/>
      <c r="VOE110" s="142"/>
      <c r="VOF110" s="142"/>
      <c r="VOG110" s="142"/>
      <c r="VOH110" s="142"/>
      <c r="VOI110" s="142"/>
      <c r="VOJ110" s="142"/>
      <c r="VOK110" s="142"/>
      <c r="VOL110" s="142"/>
      <c r="VOM110" s="142"/>
      <c r="VON110" s="142"/>
      <c r="VOO110" s="142"/>
      <c r="VOP110" s="142"/>
      <c r="VOQ110" s="142"/>
      <c r="VOR110" s="142"/>
      <c r="VOS110" s="142"/>
      <c r="VOT110" s="142"/>
      <c r="VOU110" s="142"/>
      <c r="VOV110" s="142"/>
      <c r="VOW110" s="142"/>
      <c r="VOX110" s="142"/>
      <c r="VOY110" s="142"/>
      <c r="VOZ110" s="142"/>
      <c r="VPA110" s="142"/>
      <c r="VPB110" s="142"/>
      <c r="VPC110" s="142"/>
      <c r="VPD110" s="142"/>
      <c r="VPE110" s="142"/>
      <c r="VPF110" s="142"/>
      <c r="VPG110" s="142"/>
      <c r="VPH110" s="142"/>
      <c r="VPI110" s="142"/>
      <c r="VPJ110" s="142"/>
      <c r="VPK110" s="142"/>
      <c r="VPL110" s="142"/>
      <c r="VPM110" s="142"/>
      <c r="VPN110" s="142"/>
      <c r="VPO110" s="142"/>
      <c r="VPP110" s="142"/>
      <c r="VPQ110" s="142"/>
      <c r="VPR110" s="142"/>
      <c r="VPS110" s="142"/>
      <c r="VPT110" s="142"/>
      <c r="VPU110" s="142"/>
      <c r="VPV110" s="142"/>
      <c r="VPW110" s="142"/>
      <c r="VPX110" s="142"/>
      <c r="VPY110" s="142"/>
      <c r="VPZ110" s="142"/>
      <c r="VQA110" s="142"/>
      <c r="VQB110" s="142"/>
      <c r="VQC110" s="142"/>
      <c r="VQD110" s="142"/>
      <c r="VQE110" s="142"/>
      <c r="VQF110" s="142"/>
      <c r="VQG110" s="142"/>
      <c r="VQH110" s="142"/>
      <c r="VQI110" s="142"/>
      <c r="VQJ110" s="142"/>
      <c r="VQK110" s="142"/>
      <c r="VQL110" s="142"/>
      <c r="VQM110" s="142"/>
      <c r="VQN110" s="142"/>
      <c r="VQO110" s="142"/>
      <c r="VQP110" s="142"/>
      <c r="VQQ110" s="142"/>
      <c r="VQR110" s="142"/>
      <c r="VQS110" s="142"/>
      <c r="VQT110" s="142"/>
      <c r="VQU110" s="142"/>
      <c r="VQV110" s="142"/>
      <c r="VQW110" s="142"/>
      <c r="VQX110" s="142"/>
      <c r="VQY110" s="142"/>
      <c r="VQZ110" s="142"/>
      <c r="VRA110" s="142"/>
      <c r="VRB110" s="142"/>
      <c r="VRC110" s="142"/>
      <c r="VRD110" s="142"/>
      <c r="VRE110" s="142"/>
      <c r="VRF110" s="142"/>
      <c r="VRG110" s="142"/>
      <c r="VRH110" s="142"/>
      <c r="VRI110" s="142"/>
      <c r="VRJ110" s="142"/>
      <c r="VRK110" s="142"/>
      <c r="VRL110" s="142"/>
      <c r="VRM110" s="142"/>
      <c r="VRN110" s="142"/>
      <c r="VRO110" s="142"/>
      <c r="VRP110" s="142"/>
      <c r="VRQ110" s="142"/>
      <c r="VRR110" s="142"/>
      <c r="VRS110" s="142"/>
      <c r="VRT110" s="142"/>
      <c r="VRU110" s="142"/>
      <c r="VRV110" s="142"/>
      <c r="VRW110" s="142"/>
      <c r="VRX110" s="142"/>
      <c r="VRY110" s="142"/>
      <c r="VRZ110" s="142"/>
      <c r="VSA110" s="142"/>
      <c r="VSB110" s="142"/>
      <c r="VSC110" s="142"/>
      <c r="VSD110" s="142"/>
      <c r="VSE110" s="142"/>
      <c r="VSF110" s="142"/>
      <c r="VSG110" s="142"/>
      <c r="VSH110" s="142"/>
      <c r="VSI110" s="142"/>
      <c r="VSJ110" s="142"/>
      <c r="VSK110" s="142"/>
      <c r="VSL110" s="142"/>
      <c r="VSM110" s="142"/>
      <c r="VSN110" s="142"/>
      <c r="VSO110" s="142"/>
      <c r="VSP110" s="142"/>
      <c r="VSQ110" s="142"/>
      <c r="VSR110" s="142"/>
      <c r="VSS110" s="142"/>
      <c r="VST110" s="142"/>
      <c r="VSU110" s="142"/>
      <c r="VSV110" s="142"/>
      <c r="VSW110" s="142"/>
      <c r="VSX110" s="142"/>
      <c r="VSY110" s="142"/>
      <c r="VSZ110" s="142"/>
      <c r="VTA110" s="142"/>
      <c r="VTB110" s="142"/>
      <c r="VTC110" s="142"/>
      <c r="VTD110" s="142"/>
      <c r="VTE110" s="142"/>
      <c r="VTF110" s="142"/>
      <c r="VTG110" s="142"/>
      <c r="VTH110" s="142"/>
      <c r="VTI110" s="142"/>
      <c r="VTJ110" s="142"/>
      <c r="VTK110" s="142"/>
      <c r="VTL110" s="142"/>
      <c r="VTM110" s="142"/>
      <c r="VTN110" s="142"/>
      <c r="VTO110" s="142"/>
      <c r="VTP110" s="142"/>
      <c r="VTQ110" s="142"/>
      <c r="VTR110" s="142"/>
      <c r="VTS110" s="142"/>
      <c r="VTT110" s="142"/>
      <c r="VTU110" s="142"/>
      <c r="VTV110" s="142"/>
      <c r="VTW110" s="142"/>
      <c r="VTX110" s="142"/>
      <c r="VTY110" s="142"/>
      <c r="VTZ110" s="142"/>
      <c r="VUA110" s="142"/>
      <c r="VUB110" s="142"/>
      <c r="VUC110" s="142"/>
      <c r="VUD110" s="142"/>
      <c r="VUE110" s="142"/>
      <c r="VUF110" s="142"/>
      <c r="VUG110" s="142"/>
      <c r="VUH110" s="142"/>
      <c r="VUI110" s="142"/>
      <c r="VUJ110" s="142"/>
      <c r="VUK110" s="142"/>
      <c r="VUL110" s="142"/>
      <c r="VUM110" s="142"/>
      <c r="VUN110" s="142"/>
      <c r="VUO110" s="142"/>
      <c r="VUP110" s="142"/>
      <c r="VUQ110" s="142"/>
      <c r="VUR110" s="142"/>
      <c r="VUS110" s="142"/>
      <c r="VUT110" s="142"/>
      <c r="VUU110" s="142"/>
      <c r="VUV110" s="142"/>
      <c r="VUW110" s="142"/>
      <c r="VUX110" s="142"/>
      <c r="VUY110" s="142"/>
      <c r="VUZ110" s="142"/>
      <c r="VVA110" s="142"/>
      <c r="VVB110" s="142"/>
      <c r="VVC110" s="142"/>
      <c r="VVD110" s="142"/>
      <c r="VVE110" s="142"/>
      <c r="VVF110" s="142"/>
      <c r="VVG110" s="142"/>
      <c r="VVH110" s="142"/>
      <c r="VVI110" s="142"/>
      <c r="VVJ110" s="142"/>
      <c r="VVK110" s="142"/>
      <c r="VVL110" s="142"/>
      <c r="VVM110" s="142"/>
      <c r="VVN110" s="142"/>
      <c r="VVO110" s="142"/>
      <c r="VVP110" s="142"/>
      <c r="VVQ110" s="142"/>
      <c r="VVR110" s="142"/>
      <c r="VVS110" s="142"/>
      <c r="VVT110" s="142"/>
      <c r="VVU110" s="142"/>
      <c r="VVV110" s="142"/>
      <c r="VVW110" s="142"/>
      <c r="VVX110" s="142"/>
      <c r="VVY110" s="142"/>
      <c r="VVZ110" s="142"/>
      <c r="VWA110" s="142"/>
      <c r="VWB110" s="142"/>
      <c r="VWC110" s="142"/>
      <c r="VWD110" s="142"/>
      <c r="VWE110" s="142"/>
      <c r="VWF110" s="142"/>
      <c r="VWG110" s="142"/>
      <c r="VWH110" s="142"/>
      <c r="VWI110" s="142"/>
      <c r="VWJ110" s="142"/>
      <c r="VWK110" s="142"/>
      <c r="VWL110" s="142"/>
      <c r="VWM110" s="142"/>
      <c r="VWN110" s="142"/>
      <c r="VWO110" s="142"/>
      <c r="VWP110" s="142"/>
      <c r="VWQ110" s="142"/>
      <c r="VWR110" s="142"/>
      <c r="VWS110" s="142"/>
      <c r="VWT110" s="142"/>
      <c r="VWU110" s="142"/>
      <c r="VWV110" s="142"/>
      <c r="VWW110" s="142"/>
      <c r="VWX110" s="142"/>
      <c r="VWY110" s="142"/>
      <c r="VWZ110" s="142"/>
      <c r="VXA110" s="142"/>
      <c r="VXB110" s="142"/>
      <c r="VXC110" s="142"/>
      <c r="VXD110" s="142"/>
      <c r="VXE110" s="142"/>
      <c r="VXF110" s="142"/>
      <c r="VXG110" s="142"/>
      <c r="VXH110" s="142"/>
      <c r="VXI110" s="142"/>
      <c r="VXJ110" s="142"/>
      <c r="VXK110" s="142"/>
      <c r="VXL110" s="142"/>
      <c r="VXM110" s="142"/>
      <c r="VXN110" s="142"/>
      <c r="VXO110" s="142"/>
      <c r="VXP110" s="142"/>
      <c r="VXQ110" s="142"/>
      <c r="VXR110" s="142"/>
      <c r="VXS110" s="142"/>
      <c r="VXT110" s="142"/>
      <c r="VXU110" s="142"/>
      <c r="VXV110" s="142"/>
      <c r="VXW110" s="142"/>
      <c r="VXX110" s="142"/>
      <c r="VXY110" s="142"/>
      <c r="VXZ110" s="142"/>
      <c r="VYA110" s="142"/>
      <c r="VYB110" s="142"/>
      <c r="VYC110" s="142"/>
      <c r="VYD110" s="142"/>
      <c r="VYE110" s="142"/>
      <c r="VYF110" s="142"/>
      <c r="VYG110" s="142"/>
      <c r="VYH110" s="142"/>
      <c r="VYI110" s="142"/>
      <c r="VYJ110" s="142"/>
      <c r="VYK110" s="142"/>
      <c r="VYL110" s="142"/>
      <c r="VYM110" s="142"/>
      <c r="VYN110" s="142"/>
      <c r="VYO110" s="142"/>
      <c r="VYP110" s="142"/>
      <c r="VYQ110" s="142"/>
      <c r="VYR110" s="142"/>
      <c r="VYS110" s="142"/>
      <c r="VYT110" s="142"/>
      <c r="VYU110" s="142"/>
      <c r="VYV110" s="142"/>
      <c r="VYW110" s="142"/>
      <c r="VYX110" s="142"/>
      <c r="VYY110" s="142"/>
      <c r="VYZ110" s="142"/>
      <c r="VZA110" s="142"/>
      <c r="VZB110" s="142"/>
      <c r="VZC110" s="142"/>
      <c r="VZD110" s="142"/>
      <c r="VZE110" s="142"/>
      <c r="VZF110" s="142"/>
      <c r="VZG110" s="142"/>
      <c r="VZH110" s="142"/>
      <c r="VZI110" s="142"/>
      <c r="VZJ110" s="142"/>
      <c r="VZK110" s="142"/>
      <c r="VZL110" s="142"/>
      <c r="VZM110" s="142"/>
      <c r="VZN110" s="142"/>
      <c r="VZO110" s="142"/>
      <c r="VZP110" s="142"/>
      <c r="VZQ110" s="142"/>
      <c r="VZR110" s="142"/>
      <c r="VZS110" s="142"/>
      <c r="VZT110" s="142"/>
      <c r="VZU110" s="142"/>
      <c r="VZV110" s="142"/>
      <c r="VZW110" s="142"/>
      <c r="VZX110" s="142"/>
      <c r="VZY110" s="142"/>
      <c r="VZZ110" s="142"/>
      <c r="WAA110" s="142"/>
      <c r="WAB110" s="142"/>
      <c r="WAC110" s="142"/>
      <c r="WAD110" s="142"/>
      <c r="WAE110" s="142"/>
      <c r="WAF110" s="142"/>
      <c r="WAG110" s="142"/>
      <c r="WAH110" s="142"/>
      <c r="WAI110" s="142"/>
      <c r="WAJ110" s="142"/>
      <c r="WAK110" s="142"/>
      <c r="WAL110" s="142"/>
      <c r="WAM110" s="142"/>
      <c r="WAN110" s="142"/>
      <c r="WAO110" s="142"/>
      <c r="WAP110" s="142"/>
      <c r="WAQ110" s="142"/>
      <c r="WAR110" s="142"/>
      <c r="WAS110" s="142"/>
      <c r="WAT110" s="142"/>
      <c r="WAU110" s="142"/>
      <c r="WAV110" s="142"/>
      <c r="WAW110" s="142"/>
      <c r="WAX110" s="142"/>
      <c r="WAY110" s="142"/>
      <c r="WAZ110" s="142"/>
      <c r="WBA110" s="142"/>
      <c r="WBB110" s="142"/>
      <c r="WBC110" s="142"/>
      <c r="WBD110" s="142"/>
      <c r="WBE110" s="142"/>
      <c r="WBF110" s="142"/>
      <c r="WBG110" s="142"/>
      <c r="WBH110" s="142"/>
      <c r="WBI110" s="142"/>
      <c r="WBJ110" s="142"/>
      <c r="WBK110" s="142"/>
      <c r="WBL110" s="142"/>
      <c r="WBM110" s="142"/>
      <c r="WBN110" s="142"/>
      <c r="WBO110" s="142"/>
      <c r="WBP110" s="142"/>
      <c r="WBQ110" s="142"/>
      <c r="WBR110" s="142"/>
      <c r="WBS110" s="142"/>
      <c r="WBT110" s="142"/>
      <c r="WBU110" s="142"/>
      <c r="WBV110" s="142"/>
      <c r="WBW110" s="142"/>
      <c r="WBX110" s="142"/>
      <c r="WBY110" s="142"/>
      <c r="WBZ110" s="142"/>
      <c r="WCA110" s="142"/>
      <c r="WCB110" s="142"/>
      <c r="WCC110" s="142"/>
      <c r="WCD110" s="142"/>
      <c r="WCE110" s="142"/>
      <c r="WCF110" s="142"/>
      <c r="WCG110" s="142"/>
      <c r="WCH110" s="142"/>
      <c r="WCI110" s="142"/>
      <c r="WCJ110" s="142"/>
      <c r="WCK110" s="142"/>
      <c r="WCL110" s="142"/>
      <c r="WCM110" s="142"/>
      <c r="WCN110" s="142"/>
      <c r="WCO110" s="142"/>
      <c r="WCP110" s="142"/>
      <c r="WCQ110" s="142"/>
      <c r="WCR110" s="142"/>
      <c r="WCS110" s="142"/>
      <c r="WCT110" s="142"/>
      <c r="WCU110" s="142"/>
      <c r="WCV110" s="142"/>
      <c r="WCW110" s="142"/>
      <c r="WCX110" s="142"/>
      <c r="WCY110" s="142"/>
      <c r="WCZ110" s="142"/>
      <c r="WDA110" s="142"/>
      <c r="WDB110" s="142"/>
      <c r="WDC110" s="142"/>
      <c r="WDD110" s="142"/>
      <c r="WDE110" s="142"/>
      <c r="WDF110" s="142"/>
      <c r="WDG110" s="142"/>
      <c r="WDH110" s="142"/>
      <c r="WDI110" s="142"/>
      <c r="WDJ110" s="142"/>
      <c r="WDK110" s="142"/>
      <c r="WDL110" s="142"/>
      <c r="WDM110" s="142"/>
      <c r="WDN110" s="142"/>
      <c r="WDO110" s="142"/>
      <c r="WDP110" s="142"/>
      <c r="WDQ110" s="142"/>
      <c r="WDR110" s="142"/>
      <c r="WDS110" s="142"/>
      <c r="WDT110" s="142"/>
      <c r="WDU110" s="142"/>
      <c r="WDV110" s="142"/>
      <c r="WDW110" s="142"/>
      <c r="WDX110" s="142"/>
      <c r="WDY110" s="142"/>
      <c r="WDZ110" s="142"/>
      <c r="WEA110" s="142"/>
      <c r="WEB110" s="142"/>
      <c r="WEC110" s="142"/>
      <c r="WED110" s="142"/>
      <c r="WEE110" s="142"/>
      <c r="WEF110" s="142"/>
      <c r="WEG110" s="142"/>
      <c r="WEH110" s="142"/>
      <c r="WEI110" s="142"/>
      <c r="WEJ110" s="142"/>
      <c r="WEK110" s="142"/>
      <c r="WEL110" s="142"/>
      <c r="WEM110" s="142"/>
      <c r="WEN110" s="142"/>
      <c r="WEO110" s="142"/>
      <c r="WEP110" s="142"/>
      <c r="WEQ110" s="142"/>
      <c r="WER110" s="142"/>
      <c r="WES110" s="142"/>
      <c r="WET110" s="142"/>
      <c r="WEU110" s="142"/>
      <c r="WEV110" s="142"/>
      <c r="WEW110" s="142"/>
      <c r="WEX110" s="142"/>
      <c r="WEY110" s="142"/>
      <c r="WEZ110" s="142"/>
      <c r="WFA110" s="142"/>
      <c r="WFB110" s="142"/>
      <c r="WFC110" s="142"/>
      <c r="WFD110" s="142"/>
      <c r="WFE110" s="142"/>
      <c r="WFF110" s="142"/>
      <c r="WFG110" s="142"/>
      <c r="WFH110" s="142"/>
      <c r="WFI110" s="142"/>
      <c r="WFJ110" s="142"/>
      <c r="WFK110" s="142"/>
      <c r="WFL110" s="142"/>
      <c r="WFM110" s="142"/>
      <c r="WFN110" s="142"/>
      <c r="WFO110" s="142"/>
      <c r="WFP110" s="142"/>
      <c r="WFQ110" s="142"/>
      <c r="WFR110" s="142"/>
      <c r="WFS110" s="142"/>
      <c r="WFT110" s="142"/>
      <c r="WFU110" s="142"/>
      <c r="WFV110" s="142"/>
      <c r="WFW110" s="142"/>
      <c r="WFX110" s="142"/>
      <c r="WFY110" s="142"/>
      <c r="WFZ110" s="142"/>
      <c r="WGA110" s="142"/>
      <c r="WGB110" s="142"/>
      <c r="WGC110" s="142"/>
      <c r="WGD110" s="142"/>
      <c r="WGE110" s="142"/>
      <c r="WGF110" s="142"/>
      <c r="WGG110" s="142"/>
      <c r="WGH110" s="142"/>
      <c r="WGI110" s="142"/>
      <c r="WGJ110" s="142"/>
      <c r="WGK110" s="142"/>
      <c r="WGL110" s="142"/>
      <c r="WGM110" s="142"/>
      <c r="WGN110" s="142"/>
      <c r="WGO110" s="142"/>
      <c r="WGP110" s="142"/>
      <c r="WGQ110" s="142"/>
      <c r="WGR110" s="142"/>
      <c r="WGS110" s="142"/>
      <c r="WGT110" s="142"/>
      <c r="WGU110" s="142"/>
      <c r="WGV110" s="142"/>
      <c r="WGW110" s="142"/>
      <c r="WGX110" s="142"/>
      <c r="WGY110" s="142"/>
      <c r="WGZ110" s="142"/>
      <c r="WHA110" s="142"/>
      <c r="WHB110" s="142"/>
      <c r="WHC110" s="142"/>
      <c r="WHD110" s="142"/>
      <c r="WHE110" s="142"/>
      <c r="WHF110" s="142"/>
      <c r="WHG110" s="142"/>
      <c r="WHH110" s="142"/>
      <c r="WHI110" s="142"/>
      <c r="WHJ110" s="142"/>
      <c r="WHK110" s="142"/>
      <c r="WHL110" s="142"/>
      <c r="WHM110" s="142"/>
      <c r="WHN110" s="142"/>
      <c r="WHO110" s="142"/>
      <c r="WHP110" s="142"/>
      <c r="WHQ110" s="142"/>
      <c r="WHR110" s="142"/>
      <c r="WHS110" s="142"/>
      <c r="WHT110" s="142"/>
      <c r="WHU110" s="142"/>
      <c r="WHV110" s="142"/>
      <c r="WHW110" s="142"/>
      <c r="WHX110" s="142"/>
      <c r="WHY110" s="142"/>
      <c r="WHZ110" s="142"/>
      <c r="WIA110" s="142"/>
      <c r="WIB110" s="142"/>
      <c r="WIC110" s="142"/>
      <c r="WID110" s="142"/>
      <c r="WIE110" s="142"/>
      <c r="WIF110" s="142"/>
      <c r="WIG110" s="142"/>
      <c r="WIH110" s="142"/>
      <c r="WII110" s="142"/>
      <c r="WIJ110" s="142"/>
      <c r="WIK110" s="142"/>
      <c r="WIL110" s="142"/>
      <c r="WIM110" s="142"/>
      <c r="WIN110" s="142"/>
      <c r="WIO110" s="142"/>
      <c r="WIP110" s="142"/>
      <c r="WIQ110" s="142"/>
      <c r="WIR110" s="142"/>
      <c r="WIS110" s="142"/>
      <c r="WIT110" s="142"/>
      <c r="WIU110" s="142"/>
      <c r="WIV110" s="142"/>
      <c r="WIW110" s="142"/>
      <c r="WIX110" s="142"/>
      <c r="WIY110" s="142"/>
      <c r="WIZ110" s="142"/>
      <c r="WJA110" s="142"/>
      <c r="WJB110" s="142"/>
      <c r="WJC110" s="142"/>
      <c r="WJD110" s="142"/>
      <c r="WJE110" s="142"/>
      <c r="WJF110" s="142"/>
      <c r="WJG110" s="142"/>
      <c r="WJH110" s="142"/>
      <c r="WJI110" s="142"/>
      <c r="WJJ110" s="142"/>
      <c r="WJK110" s="142"/>
      <c r="WJL110" s="142"/>
      <c r="WJM110" s="142"/>
      <c r="WJN110" s="142"/>
      <c r="WJO110" s="142"/>
      <c r="WJP110" s="142"/>
      <c r="WJQ110" s="142"/>
      <c r="WJR110" s="142"/>
      <c r="WJS110" s="142"/>
      <c r="WJT110" s="142"/>
      <c r="WJU110" s="142"/>
      <c r="WJV110" s="142"/>
      <c r="WJW110" s="142"/>
      <c r="WJX110" s="142"/>
      <c r="WJY110" s="142"/>
      <c r="WJZ110" s="142"/>
      <c r="WKA110" s="142"/>
      <c r="WKB110" s="142"/>
      <c r="WKC110" s="142"/>
      <c r="WKD110" s="142"/>
      <c r="WKE110" s="142"/>
      <c r="WKF110" s="142"/>
      <c r="WKG110" s="142"/>
      <c r="WKH110" s="142"/>
      <c r="WKI110" s="142"/>
      <c r="WKJ110" s="142"/>
      <c r="WKK110" s="142"/>
      <c r="WKL110" s="142"/>
      <c r="WKM110" s="142"/>
      <c r="WKN110" s="142"/>
      <c r="WKO110" s="142"/>
      <c r="WKP110" s="142"/>
      <c r="WKQ110" s="142"/>
      <c r="WKR110" s="142"/>
      <c r="WKS110" s="142"/>
      <c r="WKT110" s="142"/>
      <c r="WKU110" s="142"/>
      <c r="WKV110" s="142"/>
      <c r="WKW110" s="142"/>
      <c r="WKX110" s="142"/>
      <c r="WKY110" s="142"/>
      <c r="WKZ110" s="142"/>
      <c r="WLA110" s="142"/>
      <c r="WLB110" s="142"/>
      <c r="WLC110" s="142"/>
      <c r="WLD110" s="142"/>
      <c r="WLE110" s="142"/>
      <c r="WLF110" s="142"/>
      <c r="WLG110" s="142"/>
      <c r="WLH110" s="142"/>
      <c r="WLI110" s="142"/>
      <c r="WLJ110" s="142"/>
      <c r="WLK110" s="142"/>
      <c r="WLL110" s="142"/>
      <c r="WLM110" s="142"/>
      <c r="WLN110" s="142"/>
      <c r="WLO110" s="142"/>
      <c r="WLP110" s="142"/>
      <c r="WLQ110" s="142"/>
      <c r="WLR110" s="142"/>
      <c r="WLS110" s="142"/>
      <c r="WLT110" s="142"/>
      <c r="WLU110" s="142"/>
      <c r="WLV110" s="142"/>
      <c r="WLW110" s="142"/>
      <c r="WLX110" s="142"/>
      <c r="WLY110" s="142"/>
      <c r="WLZ110" s="142"/>
      <c r="WMA110" s="142"/>
      <c r="WMB110" s="142"/>
      <c r="WMC110" s="142"/>
      <c r="WMD110" s="142"/>
      <c r="WME110" s="142"/>
      <c r="WMF110" s="142"/>
      <c r="WMG110" s="142"/>
      <c r="WMH110" s="142"/>
      <c r="WMI110" s="142"/>
      <c r="WMJ110" s="142"/>
      <c r="WMK110" s="142"/>
      <c r="WML110" s="142"/>
      <c r="WMM110" s="142"/>
      <c r="WMN110" s="142"/>
      <c r="WMO110" s="142"/>
      <c r="WMP110" s="142"/>
      <c r="WMQ110" s="142"/>
      <c r="WMR110" s="142"/>
      <c r="WMS110" s="142"/>
      <c r="WMT110" s="142"/>
      <c r="WMU110" s="142"/>
      <c r="WMV110" s="142"/>
      <c r="WMW110" s="142"/>
      <c r="WMX110" s="142"/>
      <c r="WMY110" s="142"/>
      <c r="WMZ110" s="142"/>
      <c r="WNA110" s="142"/>
      <c r="WNB110" s="142"/>
      <c r="WNC110" s="142"/>
      <c r="WND110" s="142"/>
      <c r="WNE110" s="142"/>
      <c r="WNF110" s="142"/>
      <c r="WNG110" s="142"/>
      <c r="WNH110" s="142"/>
      <c r="WNI110" s="142"/>
      <c r="WNJ110" s="142"/>
      <c r="WNK110" s="142"/>
      <c r="WNL110" s="142"/>
      <c r="WNM110" s="142"/>
      <c r="WNN110" s="142"/>
      <c r="WNO110" s="142"/>
      <c r="WNP110" s="142"/>
      <c r="WNQ110" s="142"/>
      <c r="WNR110" s="142"/>
      <c r="WNS110" s="142"/>
      <c r="WNT110" s="142"/>
      <c r="WNU110" s="142"/>
      <c r="WNV110" s="142"/>
      <c r="WNW110" s="142"/>
      <c r="WNX110" s="142"/>
      <c r="WNY110" s="142"/>
      <c r="WNZ110" s="142"/>
      <c r="WOA110" s="142"/>
      <c r="WOB110" s="142"/>
      <c r="WOC110" s="142"/>
      <c r="WOD110" s="142"/>
      <c r="WOE110" s="142"/>
      <c r="WOF110" s="142"/>
      <c r="WOG110" s="142"/>
      <c r="WOH110" s="142"/>
      <c r="WOI110" s="142"/>
      <c r="WOJ110" s="142"/>
      <c r="WOK110" s="142"/>
      <c r="WOL110" s="142"/>
      <c r="WOM110" s="142"/>
      <c r="WON110" s="142"/>
      <c r="WOO110" s="142"/>
      <c r="WOP110" s="142"/>
      <c r="WOQ110" s="142"/>
      <c r="WOR110" s="142"/>
      <c r="WOS110" s="142"/>
      <c r="WOT110" s="142"/>
      <c r="WOU110" s="142"/>
      <c r="WOV110" s="142"/>
      <c r="WOW110" s="142"/>
      <c r="WOX110" s="142"/>
      <c r="WOY110" s="142"/>
      <c r="WOZ110" s="142"/>
      <c r="WPA110" s="142"/>
      <c r="WPB110" s="142"/>
      <c r="WPC110" s="142"/>
      <c r="WPD110" s="142"/>
      <c r="WPE110" s="142"/>
      <c r="WPF110" s="142"/>
      <c r="WPG110" s="142"/>
      <c r="WPH110" s="142"/>
      <c r="WPI110" s="142"/>
      <c r="WPJ110" s="142"/>
      <c r="WPK110" s="142"/>
      <c r="WPL110" s="142"/>
      <c r="WPM110" s="142"/>
      <c r="WPN110" s="142"/>
      <c r="WPO110" s="142"/>
      <c r="WPP110" s="142"/>
      <c r="WPQ110" s="142"/>
      <c r="WPR110" s="142"/>
      <c r="WPS110" s="142"/>
      <c r="WPT110" s="142"/>
      <c r="WPU110" s="142"/>
      <c r="WPV110" s="142"/>
      <c r="WPW110" s="142"/>
      <c r="WPX110" s="142"/>
      <c r="WPY110" s="142"/>
      <c r="WPZ110" s="142"/>
      <c r="WQA110" s="142"/>
      <c r="WQB110" s="142"/>
      <c r="WQC110" s="142"/>
      <c r="WQD110" s="142"/>
      <c r="WQE110" s="142"/>
      <c r="WQF110" s="142"/>
      <c r="WQG110" s="142"/>
      <c r="WQH110" s="142"/>
      <c r="WQI110" s="142"/>
      <c r="WQJ110" s="142"/>
      <c r="WQK110" s="142"/>
      <c r="WQL110" s="142"/>
      <c r="WQM110" s="142"/>
      <c r="WQN110" s="142"/>
      <c r="WQO110" s="142"/>
      <c r="WQP110" s="142"/>
      <c r="WQQ110" s="142"/>
      <c r="WQR110" s="142"/>
      <c r="WQS110" s="142"/>
      <c r="WQT110" s="142"/>
      <c r="WQU110" s="142"/>
      <c r="WQV110" s="142"/>
      <c r="WQW110" s="142"/>
      <c r="WQX110" s="142"/>
      <c r="WQY110" s="142"/>
      <c r="WQZ110" s="142"/>
      <c r="WRA110" s="142"/>
      <c r="WRB110" s="142"/>
      <c r="WRC110" s="142"/>
      <c r="WRD110" s="142"/>
      <c r="WRE110" s="142"/>
      <c r="WRF110" s="142"/>
      <c r="WRG110" s="142"/>
      <c r="WRH110" s="142"/>
      <c r="WRI110" s="142"/>
      <c r="WRJ110" s="142"/>
      <c r="WRK110" s="142"/>
      <c r="WRL110" s="142"/>
      <c r="WRM110" s="142"/>
      <c r="WRN110" s="142"/>
      <c r="WRO110" s="142"/>
      <c r="WRP110" s="142"/>
      <c r="WRQ110" s="142"/>
      <c r="WRR110" s="142"/>
      <c r="WRS110" s="142"/>
      <c r="WRT110" s="142"/>
      <c r="WRU110" s="142"/>
      <c r="WRV110" s="142"/>
      <c r="WRW110" s="142"/>
      <c r="WRX110" s="142"/>
      <c r="WRY110" s="142"/>
      <c r="WRZ110" s="142"/>
      <c r="WSA110" s="142"/>
      <c r="WSB110" s="142"/>
      <c r="WSC110" s="142"/>
      <c r="WSD110" s="142"/>
      <c r="WSE110" s="142"/>
      <c r="WSF110" s="142"/>
      <c r="WSG110" s="142"/>
      <c r="WSH110" s="142"/>
      <c r="WSI110" s="142"/>
      <c r="WSJ110" s="142"/>
      <c r="WSK110" s="142"/>
      <c r="WSL110" s="142"/>
      <c r="WSM110" s="142"/>
      <c r="WSN110" s="142"/>
      <c r="WSO110" s="142"/>
      <c r="WSP110" s="142"/>
      <c r="WSQ110" s="142"/>
      <c r="WSR110" s="142"/>
      <c r="WSS110" s="142"/>
      <c r="WST110" s="142"/>
      <c r="WSU110" s="142"/>
      <c r="WSV110" s="142"/>
      <c r="WSW110" s="142"/>
      <c r="WSX110" s="142"/>
      <c r="WSY110" s="142"/>
      <c r="WSZ110" s="142"/>
      <c r="WTA110" s="142"/>
      <c r="WTB110" s="142"/>
      <c r="WTC110" s="142"/>
      <c r="WTD110" s="142"/>
      <c r="WTE110" s="142"/>
      <c r="WTF110" s="142"/>
      <c r="WTG110" s="142"/>
      <c r="WTH110" s="142"/>
      <c r="WTI110" s="142"/>
      <c r="WTJ110" s="142"/>
      <c r="WTK110" s="142"/>
      <c r="WTL110" s="142"/>
      <c r="WTM110" s="142"/>
      <c r="WTN110" s="142"/>
      <c r="WTO110" s="142"/>
      <c r="WTP110" s="142"/>
      <c r="WTQ110" s="142"/>
      <c r="WTR110" s="142"/>
      <c r="WTS110" s="142"/>
      <c r="WTT110" s="142"/>
      <c r="WTU110" s="142"/>
      <c r="WTV110" s="142"/>
      <c r="WTW110" s="142"/>
      <c r="WTX110" s="142"/>
      <c r="WTY110" s="142"/>
      <c r="WTZ110" s="142"/>
      <c r="WUA110" s="142"/>
      <c r="WUB110" s="142"/>
      <c r="WUC110" s="142"/>
      <c r="WUD110" s="142"/>
      <c r="WUE110" s="142"/>
      <c r="WUF110" s="142"/>
      <c r="WUG110" s="142"/>
      <c r="WUH110" s="142"/>
      <c r="WUI110" s="142"/>
      <c r="WUJ110" s="142"/>
      <c r="WUK110" s="142"/>
      <c r="WUL110" s="142"/>
      <c r="WUM110" s="142"/>
      <c r="WUN110" s="142"/>
      <c r="WUO110" s="142"/>
      <c r="WUP110" s="142"/>
      <c r="WUQ110" s="142"/>
      <c r="WUR110" s="142"/>
      <c r="WUS110" s="142"/>
      <c r="WUT110" s="142"/>
      <c r="WUU110" s="142"/>
      <c r="WUV110" s="142"/>
      <c r="WUW110" s="142"/>
      <c r="WUX110" s="142"/>
      <c r="WUY110" s="142"/>
      <c r="WUZ110" s="142"/>
      <c r="WVA110" s="142"/>
      <c r="WVB110" s="142"/>
      <c r="WVC110" s="142"/>
      <c r="WVD110" s="142"/>
      <c r="WVE110" s="142"/>
      <c r="WVF110" s="142"/>
      <c r="WVG110" s="142"/>
      <c r="WVH110" s="142"/>
      <c r="WVI110" s="142"/>
      <c r="WVJ110" s="142"/>
      <c r="WVK110" s="142"/>
      <c r="WVL110" s="142"/>
      <c r="WVM110" s="142"/>
      <c r="WVN110" s="142"/>
      <c r="WVO110" s="142"/>
      <c r="WVP110" s="142"/>
      <c r="WVQ110" s="142"/>
      <c r="WVR110" s="142"/>
      <c r="WVS110" s="142"/>
      <c r="WVT110" s="142"/>
      <c r="WVU110" s="142"/>
      <c r="WVV110" s="142"/>
      <c r="WVW110" s="142"/>
      <c r="WVX110" s="142"/>
      <c r="WVY110" s="142"/>
      <c r="WVZ110" s="142"/>
      <c r="WWA110" s="142"/>
      <c r="WWB110" s="142"/>
      <c r="WWC110" s="142"/>
      <c r="WWD110" s="142"/>
      <c r="WWE110" s="142"/>
      <c r="WWF110" s="142"/>
      <c r="WWG110" s="142"/>
      <c r="WWH110" s="142"/>
      <c r="WWI110" s="142"/>
      <c r="WWJ110" s="142"/>
      <c r="WWK110" s="142"/>
      <c r="WWL110" s="142"/>
      <c r="WWM110" s="142"/>
      <c r="WWN110" s="142"/>
      <c r="WWO110" s="142"/>
      <c r="WWP110" s="142"/>
      <c r="WWQ110" s="142"/>
      <c r="WWR110" s="142"/>
      <c r="WWS110" s="142"/>
      <c r="WWT110" s="142"/>
      <c r="WWU110" s="142"/>
      <c r="WWV110" s="142"/>
      <c r="WWW110" s="142"/>
      <c r="WWX110" s="142"/>
      <c r="WWY110" s="142"/>
      <c r="WWZ110" s="142"/>
      <c r="WXA110" s="142"/>
      <c r="WXB110" s="142"/>
      <c r="WXC110" s="142"/>
      <c r="WXD110" s="142"/>
      <c r="WXE110" s="142"/>
      <c r="WXF110" s="142"/>
      <c r="WXG110" s="142"/>
      <c r="WXH110" s="142"/>
      <c r="WXI110" s="142"/>
      <c r="WXJ110" s="142"/>
      <c r="WXK110" s="142"/>
      <c r="WXL110" s="142"/>
      <c r="WXM110" s="142"/>
      <c r="WXN110" s="142"/>
      <c r="WXO110" s="142"/>
      <c r="WXP110" s="142"/>
      <c r="WXQ110" s="142"/>
      <c r="WXR110" s="142"/>
      <c r="WXS110" s="142"/>
      <c r="WXT110" s="142"/>
      <c r="WXU110" s="142"/>
      <c r="WXV110" s="142"/>
      <c r="WXW110" s="142"/>
      <c r="WXX110" s="142"/>
      <c r="WXY110" s="142"/>
      <c r="WXZ110" s="142"/>
      <c r="WYA110" s="142"/>
      <c r="WYB110" s="142"/>
      <c r="WYC110" s="142"/>
      <c r="WYD110" s="142"/>
      <c r="WYE110" s="142"/>
      <c r="WYF110" s="142"/>
      <c r="WYG110" s="142"/>
      <c r="WYH110" s="142"/>
      <c r="WYI110" s="142"/>
      <c r="WYJ110" s="142"/>
      <c r="WYK110" s="142"/>
      <c r="WYL110" s="142"/>
      <c r="WYM110" s="142"/>
      <c r="WYN110" s="142"/>
      <c r="WYO110" s="142"/>
      <c r="WYP110" s="142"/>
      <c r="WYQ110" s="142"/>
      <c r="WYR110" s="142"/>
      <c r="WYS110" s="142"/>
      <c r="WYT110" s="142"/>
      <c r="WYU110" s="142"/>
      <c r="WYV110" s="142"/>
      <c r="WYW110" s="142"/>
      <c r="WYX110" s="142"/>
      <c r="WYY110" s="142"/>
      <c r="WYZ110" s="142"/>
      <c r="WZA110" s="142"/>
      <c r="WZB110" s="142"/>
      <c r="WZC110" s="142"/>
      <c r="WZD110" s="142"/>
      <c r="WZE110" s="142"/>
      <c r="WZF110" s="142"/>
      <c r="WZG110" s="142"/>
      <c r="WZH110" s="142"/>
      <c r="WZI110" s="142"/>
      <c r="WZJ110" s="142"/>
      <c r="WZK110" s="142"/>
      <c r="WZL110" s="142"/>
      <c r="WZM110" s="142"/>
      <c r="WZN110" s="142"/>
      <c r="WZO110" s="142"/>
      <c r="WZP110" s="142"/>
      <c r="WZQ110" s="142"/>
      <c r="WZR110" s="142"/>
      <c r="WZS110" s="142"/>
      <c r="WZT110" s="142"/>
      <c r="WZU110" s="142"/>
      <c r="WZV110" s="142"/>
      <c r="WZW110" s="142"/>
      <c r="WZX110" s="142"/>
      <c r="WZY110" s="142"/>
      <c r="WZZ110" s="142"/>
      <c r="XAA110" s="142"/>
      <c r="XAB110" s="142"/>
      <c r="XAC110" s="142"/>
      <c r="XAD110" s="142"/>
      <c r="XAE110" s="142"/>
      <c r="XAF110" s="142"/>
      <c r="XAG110" s="142"/>
      <c r="XAH110" s="142"/>
      <c r="XAI110" s="142"/>
      <c r="XAJ110" s="142"/>
      <c r="XAK110" s="142"/>
      <c r="XAL110" s="142"/>
      <c r="XAM110" s="142"/>
      <c r="XAN110" s="142"/>
      <c r="XAO110" s="142"/>
      <c r="XAP110" s="142"/>
      <c r="XAQ110" s="142"/>
      <c r="XAR110" s="142"/>
      <c r="XAS110" s="142"/>
      <c r="XAT110" s="142"/>
      <c r="XAU110" s="142"/>
      <c r="XAV110" s="142"/>
      <c r="XAW110" s="142"/>
      <c r="XAX110" s="142"/>
      <c r="XAY110" s="142"/>
      <c r="XAZ110" s="142"/>
      <c r="XBA110" s="142"/>
      <c r="XBB110" s="142"/>
      <c r="XBC110" s="142"/>
      <c r="XBD110" s="142"/>
      <c r="XBE110" s="142"/>
      <c r="XBF110" s="142"/>
      <c r="XBG110" s="142"/>
      <c r="XBH110" s="142"/>
      <c r="XBI110" s="142"/>
      <c r="XBJ110" s="142"/>
      <c r="XBK110" s="142"/>
      <c r="XBL110" s="142"/>
      <c r="XBM110" s="142"/>
      <c r="XBN110" s="142"/>
      <c r="XBO110" s="142"/>
      <c r="XBP110" s="142"/>
      <c r="XBQ110" s="142"/>
      <c r="XBR110" s="142"/>
      <c r="XBS110" s="142"/>
      <c r="XBT110" s="142"/>
      <c r="XBU110" s="142"/>
      <c r="XBV110" s="142"/>
      <c r="XBW110" s="142"/>
      <c r="XBX110" s="142"/>
      <c r="XBY110" s="142"/>
      <c r="XBZ110" s="142"/>
      <c r="XCA110" s="142"/>
      <c r="XCB110" s="142"/>
      <c r="XCC110" s="142"/>
      <c r="XCD110" s="142"/>
      <c r="XCE110" s="142"/>
      <c r="XCF110" s="142"/>
      <c r="XCG110" s="142"/>
      <c r="XCH110" s="142"/>
      <c r="XCI110" s="142"/>
      <c r="XCJ110" s="142"/>
      <c r="XCK110" s="142"/>
      <c r="XCL110" s="142"/>
      <c r="XCM110" s="142"/>
      <c r="XCN110" s="142"/>
      <c r="XCO110" s="142"/>
      <c r="XCP110" s="142"/>
      <c r="XCQ110" s="142"/>
      <c r="XCR110" s="142"/>
      <c r="XCS110" s="142"/>
      <c r="XCT110" s="142"/>
      <c r="XCU110" s="142"/>
      <c r="XCV110" s="142"/>
      <c r="XCW110" s="142"/>
      <c r="XCX110" s="142"/>
      <c r="XCY110" s="142"/>
      <c r="XCZ110" s="142"/>
      <c r="XDA110" s="142"/>
      <c r="XDB110" s="142"/>
      <c r="XDC110" s="142"/>
      <c r="XDD110" s="142"/>
      <c r="XDE110" s="142"/>
      <c r="XDF110" s="142"/>
      <c r="XDG110" s="142"/>
      <c r="XDH110" s="142"/>
      <c r="XDI110" s="142"/>
      <c r="XDJ110" s="142"/>
      <c r="XDK110" s="142"/>
      <c r="XDL110" s="142"/>
      <c r="XDM110" s="142"/>
      <c r="XDN110" s="142"/>
      <c r="XDO110" s="142"/>
      <c r="XDP110" s="142"/>
      <c r="XDQ110" s="142"/>
      <c r="XDR110" s="142"/>
      <c r="XDS110" s="142"/>
      <c r="XDT110" s="142"/>
      <c r="XDU110" s="142"/>
      <c r="XDV110" s="142"/>
      <c r="XDW110" s="142"/>
      <c r="XDX110" s="142"/>
      <c r="XDY110" s="142"/>
      <c r="XDZ110" s="142"/>
      <c r="XEA110" s="142"/>
      <c r="XEB110" s="142"/>
      <c r="XEC110" s="142"/>
      <c r="XED110" s="142"/>
      <c r="XEE110" s="142"/>
      <c r="XEF110" s="142"/>
      <c r="XEG110" s="142"/>
      <c r="XEH110" s="142"/>
      <c r="XEI110" s="142"/>
      <c r="XEJ110" s="142"/>
      <c r="XEK110" s="142"/>
      <c r="XEL110" s="142"/>
      <c r="XEM110" s="142"/>
      <c r="XEN110" s="142"/>
      <c r="XEO110" s="142"/>
      <c r="XEP110" s="142"/>
      <c r="XEQ110" s="142"/>
      <c r="XER110" s="142"/>
      <c r="XES110" s="142"/>
      <c r="XET110" s="142"/>
      <c r="XEU110" s="142"/>
      <c r="XEV110" s="142"/>
      <c r="XEW110" s="142"/>
      <c r="XEX110" s="142"/>
    </row>
    <row r="111" spans="1:16378" ht="51" hidden="1" x14ac:dyDescent="0.25">
      <c r="A111" s="472">
        <v>2026</v>
      </c>
      <c r="B111" s="472">
        <v>479</v>
      </c>
      <c r="C111" s="472" t="s">
        <v>64</v>
      </c>
      <c r="D111" s="472" t="s">
        <v>65</v>
      </c>
      <c r="E111" s="472">
        <v>125</v>
      </c>
      <c r="F111" s="472">
        <v>3000654</v>
      </c>
      <c r="G111" s="472">
        <v>5005023</v>
      </c>
      <c r="H111" s="472">
        <v>3</v>
      </c>
      <c r="I111" s="472">
        <v>12</v>
      </c>
      <c r="J111" s="472">
        <v>24</v>
      </c>
      <c r="K111" s="472">
        <v>135560</v>
      </c>
      <c r="L111" s="472" t="s">
        <v>66</v>
      </c>
      <c r="M111" s="124" t="s">
        <v>67</v>
      </c>
      <c r="N111" s="472">
        <v>95</v>
      </c>
      <c r="O111" s="474"/>
      <c r="P111" s="474" t="s">
        <v>4</v>
      </c>
      <c r="Q111" s="472" t="s">
        <v>68</v>
      </c>
      <c r="R111" s="475" t="s">
        <v>69</v>
      </c>
      <c r="S111" s="475" t="s">
        <v>137</v>
      </c>
      <c r="T111" s="475"/>
      <c r="U111" s="554" t="s">
        <v>1172</v>
      </c>
      <c r="V111" s="475" t="s">
        <v>3</v>
      </c>
      <c r="W111" s="121">
        <v>1</v>
      </c>
      <c r="X111" s="476">
        <v>5000</v>
      </c>
      <c r="Y111" s="474"/>
      <c r="Z111" s="474"/>
      <c r="AA111" s="474"/>
      <c r="AB111" s="474"/>
      <c r="AC111" s="475">
        <v>30</v>
      </c>
      <c r="AD111" s="475">
        <v>30</v>
      </c>
      <c r="AE111" s="474"/>
      <c r="AF111" s="474"/>
      <c r="AG111" s="474"/>
      <c r="AH111" s="474"/>
      <c r="AI111" s="474"/>
      <c r="AJ111" s="474"/>
      <c r="AK111" s="477">
        <v>10000</v>
      </c>
      <c r="AL111" s="472" t="s">
        <v>73</v>
      </c>
      <c r="AM111" s="472" t="s">
        <v>73</v>
      </c>
      <c r="AN111" s="472" t="s">
        <v>73</v>
      </c>
      <c r="AO111" s="472" t="s">
        <v>73</v>
      </c>
      <c r="AP111" s="478">
        <v>5000</v>
      </c>
      <c r="AQ111" s="478">
        <v>5000</v>
      </c>
      <c r="AR111" s="472" t="s">
        <v>73</v>
      </c>
      <c r="AS111" s="472" t="s">
        <v>73</v>
      </c>
      <c r="AT111" s="472" t="s">
        <v>73</v>
      </c>
      <c r="AU111" s="472" t="s">
        <v>73</v>
      </c>
      <c r="AV111" s="472" t="s">
        <v>73</v>
      </c>
      <c r="AW111" s="472" t="s">
        <v>73</v>
      </c>
      <c r="AX111" s="30">
        <v>10000</v>
      </c>
      <c r="AY111" s="479" t="s">
        <v>7</v>
      </c>
      <c r="AZ111" s="474" t="s">
        <v>74</v>
      </c>
      <c r="BA111" s="474"/>
      <c r="BB111" s="480"/>
      <c r="BC111" s="480"/>
      <c r="BK111" s="481" t="s">
        <v>790</v>
      </c>
      <c r="BL111" s="481" t="s">
        <v>791</v>
      </c>
      <c r="BM111" s="284" t="s">
        <v>792</v>
      </c>
      <c r="BN111" s="414" t="s">
        <v>793</v>
      </c>
      <c r="BO111" s="284" t="s">
        <v>794</v>
      </c>
      <c r="BP111" s="285">
        <v>46134</v>
      </c>
      <c r="BQ111" s="482"/>
      <c r="BR111" s="963" t="s">
        <v>1173</v>
      </c>
      <c r="BS111" s="482"/>
      <c r="BT111" s="286" t="s">
        <v>796</v>
      </c>
      <c r="BU111" s="482" t="s">
        <v>797</v>
      </c>
      <c r="BV111" s="414" t="s">
        <v>932</v>
      </c>
      <c r="BW111" s="284" t="s">
        <v>956</v>
      </c>
      <c r="BX111" s="284" t="s">
        <v>1174</v>
      </c>
      <c r="BY111" s="284">
        <v>40466355</v>
      </c>
      <c r="BZ111" s="284"/>
      <c r="CA111" s="288">
        <v>5000</v>
      </c>
      <c r="CB111" s="483">
        <v>46143</v>
      </c>
      <c r="CC111" s="483">
        <v>46203</v>
      </c>
      <c r="CD111" s="759"/>
      <c r="CE111" s="485">
        <f t="shared" ref="CE111:CE115" si="326">AC111</f>
        <v>30</v>
      </c>
      <c r="CF111" s="484">
        <f t="shared" ref="CF111:CF115" si="327">AP111</f>
        <v>5000</v>
      </c>
      <c r="CG111" s="485">
        <v>30</v>
      </c>
      <c r="CH111" s="485">
        <f t="shared" ref="CH111:CH115" si="328">(X111/30)*CG111</f>
        <v>5000</v>
      </c>
      <c r="CI111" s="485">
        <v>30</v>
      </c>
      <c r="CJ111" s="485">
        <f t="shared" ref="CJ111:CJ115" si="329">(X111/30)*CI111</f>
        <v>5000</v>
      </c>
      <c r="CK111" s="484">
        <f t="shared" ref="CK111:CK115" si="330">CF111-CH111</f>
        <v>0</v>
      </c>
      <c r="CL111" s="484">
        <f t="shared" ref="CL111:CL115" si="331">CF111-CJ111</f>
        <v>0</v>
      </c>
      <c r="CM111" s="1006"/>
      <c r="CN111" s="485">
        <f t="shared" ref="CN111:CN115" si="332">AD111</f>
        <v>30</v>
      </c>
      <c r="CO111" s="484">
        <f t="shared" ref="CO111:CO115" si="333">AQ111</f>
        <v>5000</v>
      </c>
      <c r="CP111" s="485">
        <v>30</v>
      </c>
      <c r="CQ111" s="485">
        <f t="shared" ref="CQ111:CQ115" si="334">(X111/30)*CP111</f>
        <v>5000</v>
      </c>
      <c r="CR111" s="485">
        <v>30</v>
      </c>
      <c r="CS111" s="485">
        <f t="shared" ref="CS111:CS115" si="335">(X111/30)*CR111</f>
        <v>5000</v>
      </c>
      <c r="CT111" s="484">
        <f t="shared" ref="CT111:CT115" si="336">CO111-CQ111</f>
        <v>0</v>
      </c>
      <c r="CU111" s="484">
        <f t="shared" ref="CU111:CU115" si="337">CO111-CS111</f>
        <v>0</v>
      </c>
      <c r="CV111" s="1006"/>
      <c r="CW111" s="1007">
        <f t="shared" si="225"/>
        <v>10000</v>
      </c>
      <c r="CX111" s="486">
        <f t="shared" si="226"/>
        <v>10000</v>
      </c>
      <c r="CY111" s="486">
        <f t="shared" si="227"/>
        <v>10000</v>
      </c>
      <c r="CZ111" s="1007">
        <f t="shared" si="228"/>
        <v>0</v>
      </c>
      <c r="DA111" s="1007">
        <f t="shared" si="229"/>
        <v>0</v>
      </c>
    </row>
    <row r="112" spans="1:16378" ht="51" hidden="1" x14ac:dyDescent="0.25">
      <c r="A112" s="472">
        <v>2026</v>
      </c>
      <c r="B112" s="472">
        <v>479</v>
      </c>
      <c r="C112" s="472" t="s">
        <v>64</v>
      </c>
      <c r="D112" s="472" t="s">
        <v>65</v>
      </c>
      <c r="E112" s="472">
        <v>125</v>
      </c>
      <c r="F112" s="472">
        <v>3000654</v>
      </c>
      <c r="G112" s="472">
        <v>5005023</v>
      </c>
      <c r="H112" s="472">
        <v>3</v>
      </c>
      <c r="I112" s="472">
        <v>12</v>
      </c>
      <c r="J112" s="472">
        <v>24</v>
      </c>
      <c r="K112" s="472">
        <v>135560</v>
      </c>
      <c r="L112" s="472" t="s">
        <v>66</v>
      </c>
      <c r="M112" s="124" t="s">
        <v>67</v>
      </c>
      <c r="N112" s="472">
        <v>95</v>
      </c>
      <c r="O112" s="474"/>
      <c r="P112" s="474" t="s">
        <v>4</v>
      </c>
      <c r="Q112" s="472" t="s">
        <v>68</v>
      </c>
      <c r="R112" s="475" t="s">
        <v>69</v>
      </c>
      <c r="S112" s="475" t="s">
        <v>137</v>
      </c>
      <c r="T112" s="475"/>
      <c r="U112" s="124" t="s">
        <v>1175</v>
      </c>
      <c r="V112" s="475" t="s">
        <v>3</v>
      </c>
      <c r="W112" s="121">
        <v>1</v>
      </c>
      <c r="X112" s="476">
        <v>5000</v>
      </c>
      <c r="Y112" s="474"/>
      <c r="Z112" s="474"/>
      <c r="AA112" s="474"/>
      <c r="AB112" s="474"/>
      <c r="AC112" s="475">
        <v>30</v>
      </c>
      <c r="AD112" s="475">
        <v>30</v>
      </c>
      <c r="AE112" s="474"/>
      <c r="AF112" s="474"/>
      <c r="AG112" s="474"/>
      <c r="AH112" s="474"/>
      <c r="AI112" s="474"/>
      <c r="AJ112" s="474"/>
      <c r="AK112" s="477">
        <v>10000</v>
      </c>
      <c r="AL112" s="472" t="s">
        <v>73</v>
      </c>
      <c r="AM112" s="472" t="s">
        <v>73</v>
      </c>
      <c r="AN112" s="472" t="s">
        <v>73</v>
      </c>
      <c r="AO112" s="472" t="s">
        <v>73</v>
      </c>
      <c r="AP112" s="478">
        <v>5000</v>
      </c>
      <c r="AQ112" s="478">
        <v>5000</v>
      </c>
      <c r="AR112" s="472" t="s">
        <v>73</v>
      </c>
      <c r="AS112" s="472" t="s">
        <v>73</v>
      </c>
      <c r="AT112" s="472" t="s">
        <v>73</v>
      </c>
      <c r="AU112" s="472" t="s">
        <v>73</v>
      </c>
      <c r="AV112" s="472" t="s">
        <v>73</v>
      </c>
      <c r="AW112" s="472" t="s">
        <v>73</v>
      </c>
      <c r="AX112" s="30">
        <v>10000</v>
      </c>
      <c r="AY112" s="479" t="s">
        <v>7</v>
      </c>
      <c r="AZ112" s="474" t="s">
        <v>74</v>
      </c>
      <c r="BA112" s="474"/>
      <c r="BB112" s="480"/>
      <c r="BC112" s="480"/>
      <c r="BK112" s="481" t="s">
        <v>790</v>
      </c>
      <c r="BL112" s="481" t="s">
        <v>791</v>
      </c>
      <c r="BM112" s="284" t="s">
        <v>792</v>
      </c>
      <c r="BN112" s="414" t="s">
        <v>793</v>
      </c>
      <c r="BO112" s="284" t="s">
        <v>794</v>
      </c>
      <c r="BP112" s="285">
        <v>46134</v>
      </c>
      <c r="BQ112" s="482"/>
      <c r="BR112" s="963" t="s">
        <v>1176</v>
      </c>
      <c r="BS112" s="482"/>
      <c r="BT112" s="286" t="s">
        <v>796</v>
      </c>
      <c r="BU112" s="482" t="s">
        <v>797</v>
      </c>
      <c r="BV112" s="414" t="s">
        <v>1177</v>
      </c>
      <c r="BW112" s="284" t="s">
        <v>1178</v>
      </c>
      <c r="BX112" s="284" t="s">
        <v>1179</v>
      </c>
      <c r="BY112" s="284">
        <v>20113309</v>
      </c>
      <c r="BZ112" s="284"/>
      <c r="CA112" s="288">
        <v>5000</v>
      </c>
      <c r="CB112" s="483">
        <v>46143</v>
      </c>
      <c r="CC112" s="483">
        <v>46203</v>
      </c>
      <c r="CD112" s="759"/>
      <c r="CE112" s="485">
        <f t="shared" si="326"/>
        <v>30</v>
      </c>
      <c r="CF112" s="484">
        <f t="shared" si="327"/>
        <v>5000</v>
      </c>
      <c r="CG112" s="485">
        <v>30</v>
      </c>
      <c r="CH112" s="485">
        <f t="shared" si="328"/>
        <v>5000</v>
      </c>
      <c r="CI112" s="485">
        <v>30</v>
      </c>
      <c r="CJ112" s="485">
        <f t="shared" si="329"/>
        <v>5000</v>
      </c>
      <c r="CK112" s="484">
        <f t="shared" si="330"/>
        <v>0</v>
      </c>
      <c r="CL112" s="484">
        <f t="shared" si="331"/>
        <v>0</v>
      </c>
      <c r="CM112" s="1006"/>
      <c r="CN112" s="485">
        <f t="shared" si="332"/>
        <v>30</v>
      </c>
      <c r="CO112" s="484">
        <f t="shared" si="333"/>
        <v>5000</v>
      </c>
      <c r="CP112" s="485">
        <v>30</v>
      </c>
      <c r="CQ112" s="485">
        <f t="shared" si="334"/>
        <v>5000</v>
      </c>
      <c r="CR112" s="485">
        <v>30</v>
      </c>
      <c r="CS112" s="485">
        <f t="shared" si="335"/>
        <v>5000</v>
      </c>
      <c r="CT112" s="484">
        <f t="shared" si="336"/>
        <v>0</v>
      </c>
      <c r="CU112" s="484">
        <f t="shared" si="337"/>
        <v>0</v>
      </c>
      <c r="CV112" s="1006"/>
      <c r="CW112" s="1007">
        <f t="shared" si="225"/>
        <v>10000</v>
      </c>
      <c r="CX112" s="486">
        <f t="shared" si="226"/>
        <v>10000</v>
      </c>
      <c r="CY112" s="486">
        <f t="shared" si="227"/>
        <v>10000</v>
      </c>
      <c r="CZ112" s="1007">
        <f t="shared" si="228"/>
        <v>0</v>
      </c>
      <c r="DA112" s="1007">
        <f t="shared" si="229"/>
        <v>0</v>
      </c>
    </row>
    <row r="113" spans="1:108" ht="51" hidden="1" x14ac:dyDescent="0.25">
      <c r="A113" s="472">
        <v>2026</v>
      </c>
      <c r="B113" s="472">
        <v>479</v>
      </c>
      <c r="C113" s="472" t="s">
        <v>64</v>
      </c>
      <c r="D113" s="472" t="s">
        <v>65</v>
      </c>
      <c r="E113" s="472">
        <v>125</v>
      </c>
      <c r="F113" s="472">
        <v>3000654</v>
      </c>
      <c r="G113" s="472">
        <v>5005023</v>
      </c>
      <c r="H113" s="472">
        <v>3</v>
      </c>
      <c r="I113" s="472">
        <v>12</v>
      </c>
      <c r="J113" s="472">
        <v>24</v>
      </c>
      <c r="K113" s="472">
        <v>135560</v>
      </c>
      <c r="L113" s="472" t="s">
        <v>66</v>
      </c>
      <c r="M113" s="124" t="s">
        <v>67</v>
      </c>
      <c r="N113" s="472">
        <v>95</v>
      </c>
      <c r="O113" s="474"/>
      <c r="P113" s="474" t="s">
        <v>4</v>
      </c>
      <c r="Q113" s="472" t="s">
        <v>68</v>
      </c>
      <c r="R113" s="475" t="s">
        <v>69</v>
      </c>
      <c r="S113" s="475" t="s">
        <v>137</v>
      </c>
      <c r="T113" s="475"/>
      <c r="U113" s="124" t="s">
        <v>1175</v>
      </c>
      <c r="V113" s="475" t="s">
        <v>3</v>
      </c>
      <c r="W113" s="121">
        <v>1</v>
      </c>
      <c r="X113" s="476">
        <v>5000</v>
      </c>
      <c r="Y113" s="474"/>
      <c r="Z113" s="474"/>
      <c r="AA113" s="474"/>
      <c r="AB113" s="474"/>
      <c r="AC113" s="475">
        <v>30</v>
      </c>
      <c r="AD113" s="475">
        <v>30</v>
      </c>
      <c r="AE113" s="474"/>
      <c r="AF113" s="474"/>
      <c r="AG113" s="474"/>
      <c r="AH113" s="474"/>
      <c r="AI113" s="474"/>
      <c r="AJ113" s="474"/>
      <c r="AK113" s="477">
        <v>10000</v>
      </c>
      <c r="AL113" s="472" t="s">
        <v>73</v>
      </c>
      <c r="AM113" s="472" t="s">
        <v>73</v>
      </c>
      <c r="AN113" s="472" t="s">
        <v>73</v>
      </c>
      <c r="AO113" s="472" t="s">
        <v>73</v>
      </c>
      <c r="AP113" s="478">
        <v>5000</v>
      </c>
      <c r="AQ113" s="478">
        <v>5000</v>
      </c>
      <c r="AR113" s="472" t="s">
        <v>73</v>
      </c>
      <c r="AS113" s="472" t="s">
        <v>73</v>
      </c>
      <c r="AT113" s="472" t="s">
        <v>73</v>
      </c>
      <c r="AU113" s="472" t="s">
        <v>73</v>
      </c>
      <c r="AV113" s="472" t="s">
        <v>73</v>
      </c>
      <c r="AW113" s="472" t="s">
        <v>73</v>
      </c>
      <c r="AX113" s="30">
        <v>10000</v>
      </c>
      <c r="AY113" s="479" t="s">
        <v>7</v>
      </c>
      <c r="AZ113" s="474" t="s">
        <v>74</v>
      </c>
      <c r="BA113" s="474"/>
      <c r="BB113" s="480"/>
      <c r="BC113" s="480"/>
      <c r="BK113" s="481" t="s">
        <v>790</v>
      </c>
      <c r="BL113" s="481" t="s">
        <v>791</v>
      </c>
      <c r="BM113" s="284" t="s">
        <v>792</v>
      </c>
      <c r="BN113" s="414" t="s">
        <v>793</v>
      </c>
      <c r="BO113" s="284" t="s">
        <v>794</v>
      </c>
      <c r="BP113" s="285">
        <v>46134</v>
      </c>
      <c r="BQ113" s="482"/>
      <c r="BR113" s="963" t="s">
        <v>1180</v>
      </c>
      <c r="BS113" s="482"/>
      <c r="BT113" s="286" t="s">
        <v>796</v>
      </c>
      <c r="BU113" s="482" t="s">
        <v>797</v>
      </c>
      <c r="BV113" s="414" t="s">
        <v>1181</v>
      </c>
      <c r="BW113" s="284" t="s">
        <v>1182</v>
      </c>
      <c r="BX113" s="284" t="s">
        <v>1183</v>
      </c>
      <c r="BY113" s="284">
        <v>72165750</v>
      </c>
      <c r="BZ113" s="284"/>
      <c r="CA113" s="288">
        <v>5000</v>
      </c>
      <c r="CB113" s="483">
        <v>46143</v>
      </c>
      <c r="CC113" s="483">
        <v>46203</v>
      </c>
      <c r="CD113" s="759"/>
      <c r="CE113" s="485">
        <f t="shared" si="326"/>
        <v>30</v>
      </c>
      <c r="CF113" s="484">
        <f t="shared" si="327"/>
        <v>5000</v>
      </c>
      <c r="CG113" s="485">
        <v>30</v>
      </c>
      <c r="CH113" s="485">
        <f t="shared" si="328"/>
        <v>5000</v>
      </c>
      <c r="CI113" s="485">
        <v>30</v>
      </c>
      <c r="CJ113" s="485">
        <f t="shared" si="329"/>
        <v>5000</v>
      </c>
      <c r="CK113" s="484">
        <f t="shared" si="330"/>
        <v>0</v>
      </c>
      <c r="CL113" s="484">
        <f t="shared" si="331"/>
        <v>0</v>
      </c>
      <c r="CM113" s="1006"/>
      <c r="CN113" s="485">
        <f t="shared" si="332"/>
        <v>30</v>
      </c>
      <c r="CO113" s="484">
        <f t="shared" si="333"/>
        <v>5000</v>
      </c>
      <c r="CP113" s="485">
        <v>30</v>
      </c>
      <c r="CQ113" s="485">
        <f t="shared" si="334"/>
        <v>5000</v>
      </c>
      <c r="CR113" s="485">
        <v>30</v>
      </c>
      <c r="CS113" s="485">
        <f t="shared" si="335"/>
        <v>5000</v>
      </c>
      <c r="CT113" s="484">
        <f t="shared" si="336"/>
        <v>0</v>
      </c>
      <c r="CU113" s="484">
        <f t="shared" si="337"/>
        <v>0</v>
      </c>
      <c r="CV113" s="1006"/>
      <c r="CW113" s="1007">
        <f t="shared" si="225"/>
        <v>10000</v>
      </c>
      <c r="CX113" s="486">
        <f t="shared" si="226"/>
        <v>10000</v>
      </c>
      <c r="CY113" s="486">
        <f t="shared" si="227"/>
        <v>10000</v>
      </c>
      <c r="CZ113" s="1007">
        <f t="shared" si="228"/>
        <v>0</v>
      </c>
      <c r="DA113" s="1007">
        <f t="shared" si="229"/>
        <v>0</v>
      </c>
    </row>
    <row r="114" spans="1:108" ht="51" hidden="1" x14ac:dyDescent="0.25">
      <c r="A114" s="472">
        <v>2026</v>
      </c>
      <c r="B114" s="472">
        <v>479</v>
      </c>
      <c r="C114" s="472" t="s">
        <v>64</v>
      </c>
      <c r="D114" s="472" t="s">
        <v>65</v>
      </c>
      <c r="E114" s="472">
        <v>125</v>
      </c>
      <c r="F114" s="472">
        <v>3000654</v>
      </c>
      <c r="G114" s="472">
        <v>5005023</v>
      </c>
      <c r="H114" s="472">
        <v>3</v>
      </c>
      <c r="I114" s="472">
        <v>12</v>
      </c>
      <c r="J114" s="472">
        <v>24</v>
      </c>
      <c r="K114" s="472">
        <v>135560</v>
      </c>
      <c r="L114" s="472" t="s">
        <v>66</v>
      </c>
      <c r="M114" s="124" t="s">
        <v>67</v>
      </c>
      <c r="N114" s="472">
        <v>95</v>
      </c>
      <c r="O114" s="474"/>
      <c r="P114" s="474" t="s">
        <v>4</v>
      </c>
      <c r="Q114" s="472" t="s">
        <v>68</v>
      </c>
      <c r="R114" s="475" t="s">
        <v>69</v>
      </c>
      <c r="S114" s="475" t="s">
        <v>137</v>
      </c>
      <c r="T114" s="475"/>
      <c r="U114" s="124" t="s">
        <v>1175</v>
      </c>
      <c r="V114" s="475" t="s">
        <v>3</v>
      </c>
      <c r="W114" s="121">
        <v>1</v>
      </c>
      <c r="X114" s="476">
        <v>5000</v>
      </c>
      <c r="Y114" s="474"/>
      <c r="Z114" s="474"/>
      <c r="AA114" s="474"/>
      <c r="AB114" s="474"/>
      <c r="AC114" s="475">
        <v>30</v>
      </c>
      <c r="AD114" s="475">
        <v>30</v>
      </c>
      <c r="AE114" s="474"/>
      <c r="AF114" s="474"/>
      <c r="AG114" s="474"/>
      <c r="AH114" s="474"/>
      <c r="AI114" s="474"/>
      <c r="AJ114" s="474"/>
      <c r="AK114" s="477">
        <v>10000</v>
      </c>
      <c r="AL114" s="472" t="s">
        <v>73</v>
      </c>
      <c r="AM114" s="472" t="s">
        <v>73</v>
      </c>
      <c r="AN114" s="472" t="s">
        <v>73</v>
      </c>
      <c r="AO114" s="472" t="s">
        <v>73</v>
      </c>
      <c r="AP114" s="478">
        <v>5000</v>
      </c>
      <c r="AQ114" s="478">
        <v>5000</v>
      </c>
      <c r="AR114" s="472" t="s">
        <v>73</v>
      </c>
      <c r="AS114" s="472" t="s">
        <v>73</v>
      </c>
      <c r="AT114" s="472" t="s">
        <v>73</v>
      </c>
      <c r="AU114" s="472" t="s">
        <v>73</v>
      </c>
      <c r="AV114" s="472" t="s">
        <v>73</v>
      </c>
      <c r="AW114" s="472" t="s">
        <v>73</v>
      </c>
      <c r="AX114" s="30">
        <v>10000</v>
      </c>
      <c r="AY114" s="479" t="s">
        <v>7</v>
      </c>
      <c r="AZ114" s="474" t="s">
        <v>74</v>
      </c>
      <c r="BA114" s="474"/>
      <c r="BB114" s="480"/>
      <c r="BC114" s="480"/>
      <c r="BK114" s="481" t="s">
        <v>790</v>
      </c>
      <c r="BL114" s="481" t="s">
        <v>791</v>
      </c>
      <c r="BM114" s="284" t="s">
        <v>792</v>
      </c>
      <c r="BN114" s="414" t="s">
        <v>793</v>
      </c>
      <c r="BO114" s="284" t="s">
        <v>794</v>
      </c>
      <c r="BP114" s="285">
        <v>46134</v>
      </c>
      <c r="BQ114" s="482"/>
      <c r="BR114" s="963" t="s">
        <v>1184</v>
      </c>
      <c r="BS114" s="482"/>
      <c r="BT114" s="286" t="s">
        <v>796</v>
      </c>
      <c r="BU114" s="482" t="s">
        <v>797</v>
      </c>
      <c r="BV114" s="414" t="s">
        <v>1185</v>
      </c>
      <c r="BW114" s="284" t="s">
        <v>996</v>
      </c>
      <c r="BX114" s="284" t="s">
        <v>1186</v>
      </c>
      <c r="BY114" s="284">
        <v>48169287</v>
      </c>
      <c r="BZ114" s="284"/>
      <c r="CA114" s="288">
        <v>5000</v>
      </c>
      <c r="CB114" s="483">
        <v>46143</v>
      </c>
      <c r="CC114" s="483">
        <v>46203</v>
      </c>
      <c r="CD114" s="759"/>
      <c r="CE114" s="485">
        <f t="shared" si="326"/>
        <v>30</v>
      </c>
      <c r="CF114" s="484">
        <f t="shared" si="327"/>
        <v>5000</v>
      </c>
      <c r="CG114" s="485">
        <v>30</v>
      </c>
      <c r="CH114" s="485">
        <f t="shared" si="328"/>
        <v>5000</v>
      </c>
      <c r="CI114" s="485">
        <v>30</v>
      </c>
      <c r="CJ114" s="485">
        <f t="shared" si="329"/>
        <v>5000</v>
      </c>
      <c r="CK114" s="484">
        <f t="shared" si="330"/>
        <v>0</v>
      </c>
      <c r="CL114" s="484">
        <f t="shared" si="331"/>
        <v>0</v>
      </c>
      <c r="CM114" s="1006"/>
      <c r="CN114" s="485">
        <f t="shared" si="332"/>
        <v>30</v>
      </c>
      <c r="CO114" s="484">
        <f t="shared" si="333"/>
        <v>5000</v>
      </c>
      <c r="CP114" s="485">
        <v>30</v>
      </c>
      <c r="CQ114" s="485">
        <f t="shared" si="334"/>
        <v>5000</v>
      </c>
      <c r="CR114" s="485">
        <v>30</v>
      </c>
      <c r="CS114" s="485">
        <f t="shared" si="335"/>
        <v>5000</v>
      </c>
      <c r="CT114" s="484">
        <f t="shared" si="336"/>
        <v>0</v>
      </c>
      <c r="CU114" s="484">
        <f t="shared" si="337"/>
        <v>0</v>
      </c>
      <c r="CV114" s="1006"/>
      <c r="CW114" s="1007">
        <f t="shared" si="225"/>
        <v>10000</v>
      </c>
      <c r="CX114" s="486">
        <f t="shared" si="226"/>
        <v>10000</v>
      </c>
      <c r="CY114" s="486">
        <f t="shared" si="227"/>
        <v>10000</v>
      </c>
      <c r="CZ114" s="1007">
        <f t="shared" si="228"/>
        <v>0</v>
      </c>
      <c r="DA114" s="1007">
        <f t="shared" si="229"/>
        <v>0</v>
      </c>
    </row>
    <row r="115" spans="1:108" ht="51" hidden="1" x14ac:dyDescent="0.25">
      <c r="A115" s="472">
        <v>2026</v>
      </c>
      <c r="B115" s="472">
        <v>479</v>
      </c>
      <c r="C115" s="472" t="s">
        <v>64</v>
      </c>
      <c r="D115" s="472" t="s">
        <v>65</v>
      </c>
      <c r="E115" s="472">
        <v>125</v>
      </c>
      <c r="F115" s="472">
        <v>3000654</v>
      </c>
      <c r="G115" s="472">
        <v>5005023</v>
      </c>
      <c r="H115" s="472">
        <v>3</v>
      </c>
      <c r="I115" s="472">
        <v>12</v>
      </c>
      <c r="J115" s="472">
        <v>24</v>
      </c>
      <c r="K115" s="472">
        <v>135560</v>
      </c>
      <c r="L115" s="472" t="s">
        <v>66</v>
      </c>
      <c r="M115" s="124" t="s">
        <v>67</v>
      </c>
      <c r="N115" s="472">
        <v>95</v>
      </c>
      <c r="O115" s="474"/>
      <c r="P115" s="474" t="s">
        <v>4</v>
      </c>
      <c r="Q115" s="472" t="s">
        <v>68</v>
      </c>
      <c r="R115" s="475" t="s">
        <v>69</v>
      </c>
      <c r="S115" s="475" t="s">
        <v>137</v>
      </c>
      <c r="T115" s="475"/>
      <c r="U115" s="124" t="s">
        <v>1175</v>
      </c>
      <c r="V115" s="475" t="s">
        <v>3</v>
      </c>
      <c r="W115" s="121">
        <v>1</v>
      </c>
      <c r="X115" s="476">
        <v>5000</v>
      </c>
      <c r="Y115" s="474"/>
      <c r="Z115" s="474"/>
      <c r="AA115" s="474"/>
      <c r="AB115" s="474"/>
      <c r="AC115" s="475">
        <v>30</v>
      </c>
      <c r="AD115" s="475">
        <v>30</v>
      </c>
      <c r="AE115" s="474"/>
      <c r="AF115" s="474"/>
      <c r="AG115" s="474"/>
      <c r="AH115" s="474"/>
      <c r="AI115" s="474"/>
      <c r="AJ115" s="474"/>
      <c r="AK115" s="477">
        <v>10000</v>
      </c>
      <c r="AL115" s="472" t="s">
        <v>73</v>
      </c>
      <c r="AM115" s="472" t="s">
        <v>73</v>
      </c>
      <c r="AN115" s="472" t="s">
        <v>73</v>
      </c>
      <c r="AO115" s="472" t="s">
        <v>73</v>
      </c>
      <c r="AP115" s="478">
        <v>5000</v>
      </c>
      <c r="AQ115" s="478">
        <v>5000</v>
      </c>
      <c r="AR115" s="472" t="s">
        <v>73</v>
      </c>
      <c r="AS115" s="472" t="s">
        <v>73</v>
      </c>
      <c r="AT115" s="472" t="s">
        <v>73</v>
      </c>
      <c r="AU115" s="472" t="s">
        <v>73</v>
      </c>
      <c r="AV115" s="472" t="s">
        <v>73</v>
      </c>
      <c r="AW115" s="472" t="s">
        <v>73</v>
      </c>
      <c r="AX115" s="30">
        <v>10000</v>
      </c>
      <c r="AY115" s="479" t="s">
        <v>7</v>
      </c>
      <c r="AZ115" s="474" t="s">
        <v>74</v>
      </c>
      <c r="BA115" s="474"/>
      <c r="BB115" s="480"/>
      <c r="BC115" s="480"/>
      <c r="BK115" s="481" t="s">
        <v>790</v>
      </c>
      <c r="BL115" s="481" t="s">
        <v>791</v>
      </c>
      <c r="BM115" s="284" t="s">
        <v>792</v>
      </c>
      <c r="BN115" s="414" t="s">
        <v>793</v>
      </c>
      <c r="BO115" s="284" t="s">
        <v>794</v>
      </c>
      <c r="BP115" s="285">
        <v>46134</v>
      </c>
      <c r="BQ115" s="482"/>
      <c r="BR115" s="963" t="s">
        <v>1187</v>
      </c>
      <c r="BS115" s="482"/>
      <c r="BT115" s="286" t="s">
        <v>796</v>
      </c>
      <c r="BU115" s="482" t="s">
        <v>797</v>
      </c>
      <c r="BV115" s="414" t="s">
        <v>1166</v>
      </c>
      <c r="BW115" s="284" t="s">
        <v>1188</v>
      </c>
      <c r="BX115" s="284" t="s">
        <v>1189</v>
      </c>
      <c r="BY115" s="284">
        <v>43016734</v>
      </c>
      <c r="BZ115" s="284"/>
      <c r="CA115" s="288">
        <v>5000</v>
      </c>
      <c r="CB115" s="483">
        <v>46143</v>
      </c>
      <c r="CC115" s="483">
        <v>46203</v>
      </c>
      <c r="CD115" s="759"/>
      <c r="CE115" s="485">
        <f t="shared" si="326"/>
        <v>30</v>
      </c>
      <c r="CF115" s="484">
        <f t="shared" si="327"/>
        <v>5000</v>
      </c>
      <c r="CG115" s="485">
        <v>30</v>
      </c>
      <c r="CH115" s="485">
        <f t="shared" si="328"/>
        <v>5000</v>
      </c>
      <c r="CI115" s="485">
        <v>30</v>
      </c>
      <c r="CJ115" s="485">
        <f t="shared" si="329"/>
        <v>5000</v>
      </c>
      <c r="CK115" s="484">
        <f t="shared" si="330"/>
        <v>0</v>
      </c>
      <c r="CL115" s="484">
        <f t="shared" si="331"/>
        <v>0</v>
      </c>
      <c r="CM115" s="1006"/>
      <c r="CN115" s="485">
        <f t="shared" si="332"/>
        <v>30</v>
      </c>
      <c r="CO115" s="484">
        <f t="shared" si="333"/>
        <v>5000</v>
      </c>
      <c r="CP115" s="485">
        <v>30</v>
      </c>
      <c r="CQ115" s="485">
        <f t="shared" si="334"/>
        <v>5000</v>
      </c>
      <c r="CR115" s="485">
        <v>30</v>
      </c>
      <c r="CS115" s="485">
        <f t="shared" si="335"/>
        <v>5000</v>
      </c>
      <c r="CT115" s="484">
        <f t="shared" si="336"/>
        <v>0</v>
      </c>
      <c r="CU115" s="484">
        <f t="shared" si="337"/>
        <v>0</v>
      </c>
      <c r="CV115" s="1006"/>
      <c r="CW115" s="1007">
        <f t="shared" si="225"/>
        <v>10000</v>
      </c>
      <c r="CX115" s="486">
        <f t="shared" si="226"/>
        <v>10000</v>
      </c>
      <c r="CY115" s="486">
        <f t="shared" si="227"/>
        <v>10000</v>
      </c>
      <c r="CZ115" s="1007">
        <f t="shared" si="228"/>
        <v>0</v>
      </c>
      <c r="DA115" s="1007">
        <f t="shared" si="229"/>
        <v>0</v>
      </c>
    </row>
    <row r="116" spans="1:108" s="81" customFormat="1" ht="51" hidden="1" x14ac:dyDescent="0.25">
      <c r="A116" s="537">
        <v>2026</v>
      </c>
      <c r="B116" s="537">
        <v>479</v>
      </c>
      <c r="C116" s="537" t="s">
        <v>64</v>
      </c>
      <c r="D116" s="537" t="s">
        <v>65</v>
      </c>
      <c r="E116" s="537">
        <v>125</v>
      </c>
      <c r="F116" s="537">
        <v>3000654</v>
      </c>
      <c r="G116" s="537">
        <v>5005023</v>
      </c>
      <c r="H116" s="537">
        <v>3</v>
      </c>
      <c r="I116" s="537">
        <v>12</v>
      </c>
      <c r="J116" s="537">
        <v>24</v>
      </c>
      <c r="K116" s="537">
        <v>135560</v>
      </c>
      <c r="L116" s="537" t="s">
        <v>66</v>
      </c>
      <c r="M116" s="538" t="s">
        <v>67</v>
      </c>
      <c r="N116" s="537">
        <v>95</v>
      </c>
      <c r="O116" s="539"/>
      <c r="P116" s="539" t="s">
        <v>4</v>
      </c>
      <c r="Q116" s="537" t="s">
        <v>68</v>
      </c>
      <c r="R116" s="540" t="s">
        <v>69</v>
      </c>
      <c r="S116" s="540" t="s">
        <v>137</v>
      </c>
      <c r="T116" s="540"/>
      <c r="U116" s="538" t="s">
        <v>1190</v>
      </c>
      <c r="V116" s="540" t="s">
        <v>3</v>
      </c>
      <c r="W116" s="541">
        <v>1</v>
      </c>
      <c r="X116" s="542">
        <v>5000</v>
      </c>
      <c r="Y116" s="539"/>
      <c r="Z116" s="539"/>
      <c r="AA116" s="539"/>
      <c r="AB116" s="539"/>
      <c r="AC116" s="540">
        <v>30</v>
      </c>
      <c r="AD116" s="540">
        <v>30</v>
      </c>
      <c r="AE116" s="539"/>
      <c r="AF116" s="539"/>
      <c r="AG116" s="539"/>
      <c r="AH116" s="539"/>
      <c r="AI116" s="539"/>
      <c r="AJ116" s="539"/>
      <c r="AK116" s="501">
        <v>10000</v>
      </c>
      <c r="AL116" s="472" t="s">
        <v>73</v>
      </c>
      <c r="AM116" s="472" t="s">
        <v>73</v>
      </c>
      <c r="AN116" s="472" t="s">
        <v>73</v>
      </c>
      <c r="AO116" s="472" t="s">
        <v>73</v>
      </c>
      <c r="AP116" s="478">
        <v>5000</v>
      </c>
      <c r="AQ116" s="478">
        <v>5000</v>
      </c>
      <c r="AR116" s="472" t="s">
        <v>73</v>
      </c>
      <c r="AS116" s="472" t="s">
        <v>73</v>
      </c>
      <c r="AT116" s="472" t="s">
        <v>73</v>
      </c>
      <c r="AU116" s="472" t="s">
        <v>73</v>
      </c>
      <c r="AV116" s="472" t="s">
        <v>73</v>
      </c>
      <c r="AW116" s="472" t="s">
        <v>73</v>
      </c>
      <c r="AX116" s="174">
        <v>10000</v>
      </c>
      <c r="AY116" s="503" t="s">
        <v>7</v>
      </c>
      <c r="AZ116" s="539" t="s">
        <v>74</v>
      </c>
      <c r="BA116" s="539"/>
      <c r="BB116" s="545"/>
      <c r="BC116" s="480"/>
      <c r="BD116"/>
      <c r="BE116"/>
      <c r="BF116"/>
      <c r="BG116"/>
      <c r="BH116"/>
      <c r="BI116"/>
      <c r="BJ116"/>
      <c r="BK116" s="481" t="s">
        <v>802</v>
      </c>
      <c r="BL116" s="481" t="s">
        <v>803</v>
      </c>
      <c r="BM116" s="545"/>
      <c r="BN116" s="555"/>
      <c r="BO116" s="545"/>
      <c r="BP116" s="556"/>
      <c r="BQ116" s="545"/>
      <c r="BR116" s="545"/>
      <c r="BS116" s="545"/>
      <c r="BT116" s="545"/>
      <c r="BU116" s="545"/>
      <c r="BV116" s="557"/>
      <c r="BW116" s="557"/>
      <c r="BX116" s="557"/>
      <c r="BY116" s="558"/>
      <c r="BZ116" s="555"/>
      <c r="CA116" s="559"/>
      <c r="CB116" s="556"/>
      <c r="CC116" s="556"/>
      <c r="CD116" s="759"/>
      <c r="CE116" s="142">
        <f t="shared" si="29"/>
        <v>30</v>
      </c>
      <c r="CF116" s="1000">
        <f t="shared" si="30"/>
        <v>5000</v>
      </c>
      <c r="CG116" s="142"/>
      <c r="CH116" s="142">
        <f t="shared" si="31"/>
        <v>0</v>
      </c>
      <c r="CI116" s="142"/>
      <c r="CJ116" s="142">
        <f t="shared" si="32"/>
        <v>0</v>
      </c>
      <c r="CK116" s="1000">
        <f t="shared" si="33"/>
        <v>5000</v>
      </c>
      <c r="CL116" s="1000">
        <f t="shared" si="34"/>
        <v>5000</v>
      </c>
      <c r="CM116" s="1006"/>
      <c r="CN116" s="555">
        <f t="shared" si="35"/>
        <v>30</v>
      </c>
      <c r="CO116" s="1004">
        <f t="shared" si="36"/>
        <v>5000</v>
      </c>
      <c r="CP116" s="555"/>
      <c r="CQ116" s="555">
        <f t="shared" si="37"/>
        <v>0</v>
      </c>
      <c r="CR116" s="555"/>
      <c r="CS116" s="555">
        <f t="shared" si="38"/>
        <v>0</v>
      </c>
      <c r="CT116" s="1004">
        <f t="shared" si="39"/>
        <v>5000</v>
      </c>
      <c r="CU116" s="1004">
        <f t="shared" si="40"/>
        <v>5000</v>
      </c>
      <c r="CV116" s="1006"/>
      <c r="CW116" s="1007">
        <f t="shared" si="225"/>
        <v>10000</v>
      </c>
      <c r="CX116" s="486">
        <f t="shared" si="226"/>
        <v>0</v>
      </c>
      <c r="CY116" s="486">
        <f t="shared" si="227"/>
        <v>0</v>
      </c>
      <c r="CZ116" s="1007">
        <f t="shared" si="228"/>
        <v>10000</v>
      </c>
      <c r="DA116" s="1007">
        <f t="shared" si="229"/>
        <v>10000</v>
      </c>
      <c r="DD116" s="82" t="s">
        <v>1191</v>
      </c>
    </row>
    <row r="117" spans="1:108" ht="51" hidden="1" x14ac:dyDescent="0.25">
      <c r="A117" s="472">
        <v>2026</v>
      </c>
      <c r="B117" s="472">
        <v>479</v>
      </c>
      <c r="C117" s="472" t="s">
        <v>64</v>
      </c>
      <c r="D117" s="472" t="s">
        <v>65</v>
      </c>
      <c r="E117" s="472">
        <v>125</v>
      </c>
      <c r="F117" s="472">
        <v>3000654</v>
      </c>
      <c r="G117" s="472">
        <v>5005023</v>
      </c>
      <c r="H117" s="472">
        <v>3</v>
      </c>
      <c r="I117" s="472">
        <v>12</v>
      </c>
      <c r="J117" s="472">
        <v>24</v>
      </c>
      <c r="K117" s="472">
        <v>135560</v>
      </c>
      <c r="L117" s="472" t="s">
        <v>66</v>
      </c>
      <c r="M117" s="124" t="s">
        <v>67</v>
      </c>
      <c r="N117" s="472">
        <v>95</v>
      </c>
      <c r="O117" s="474"/>
      <c r="P117" s="474" t="s">
        <v>4</v>
      </c>
      <c r="Q117" s="472" t="s">
        <v>68</v>
      </c>
      <c r="R117" s="475" t="s">
        <v>69</v>
      </c>
      <c r="S117" s="475" t="s">
        <v>137</v>
      </c>
      <c r="T117" s="475"/>
      <c r="U117" s="124" t="s">
        <v>190</v>
      </c>
      <c r="V117" s="475" t="s">
        <v>3</v>
      </c>
      <c r="W117" s="121">
        <v>1</v>
      </c>
      <c r="X117" s="476">
        <v>5500</v>
      </c>
      <c r="Y117" s="474"/>
      <c r="Z117" s="474"/>
      <c r="AA117" s="474"/>
      <c r="AB117" s="474"/>
      <c r="AC117" s="475">
        <v>30</v>
      </c>
      <c r="AD117" s="475">
        <v>30</v>
      </c>
      <c r="AE117" s="474"/>
      <c r="AF117" s="474"/>
      <c r="AG117" s="474"/>
      <c r="AH117" s="474"/>
      <c r="AI117" s="474"/>
      <c r="AJ117" s="474"/>
      <c r="AK117" s="477">
        <v>11000</v>
      </c>
      <c r="AL117" s="472" t="s">
        <v>73</v>
      </c>
      <c r="AM117" s="472" t="s">
        <v>73</v>
      </c>
      <c r="AN117" s="472" t="s">
        <v>73</v>
      </c>
      <c r="AO117" s="472" t="s">
        <v>73</v>
      </c>
      <c r="AP117" s="478">
        <v>5500</v>
      </c>
      <c r="AQ117" s="478">
        <v>5500</v>
      </c>
      <c r="AR117" s="472" t="s">
        <v>73</v>
      </c>
      <c r="AS117" s="472" t="s">
        <v>73</v>
      </c>
      <c r="AT117" s="472" t="s">
        <v>73</v>
      </c>
      <c r="AU117" s="472" t="s">
        <v>73</v>
      </c>
      <c r="AV117" s="472" t="s">
        <v>73</v>
      </c>
      <c r="AW117" s="472" t="s">
        <v>73</v>
      </c>
      <c r="AX117" s="30">
        <v>11000</v>
      </c>
      <c r="AY117" s="479" t="s">
        <v>7</v>
      </c>
      <c r="AZ117" s="474" t="s">
        <v>74</v>
      </c>
      <c r="BA117" s="474"/>
      <c r="BB117" s="480"/>
      <c r="BC117" s="480"/>
      <c r="BK117" s="481" t="s">
        <v>790</v>
      </c>
      <c r="BL117" s="481" t="s">
        <v>791</v>
      </c>
      <c r="BM117" s="284" t="s">
        <v>792</v>
      </c>
      <c r="BN117" s="414" t="s">
        <v>793</v>
      </c>
      <c r="BO117" s="284" t="s">
        <v>794</v>
      </c>
      <c r="BP117" s="285">
        <v>46134</v>
      </c>
      <c r="BQ117" s="482"/>
      <c r="BR117" s="963" t="s">
        <v>1192</v>
      </c>
      <c r="BS117" s="482"/>
      <c r="BT117" s="286" t="s">
        <v>796</v>
      </c>
      <c r="BU117" s="482" t="s">
        <v>797</v>
      </c>
      <c r="BV117" s="414" t="s">
        <v>1193</v>
      </c>
      <c r="BW117" s="284" t="s">
        <v>1194</v>
      </c>
      <c r="BX117" s="284" t="s">
        <v>1195</v>
      </c>
      <c r="BY117" s="284">
        <v>70812730</v>
      </c>
      <c r="BZ117" s="284"/>
      <c r="CA117" s="288">
        <v>5500</v>
      </c>
      <c r="CB117" s="483">
        <v>46143</v>
      </c>
      <c r="CC117" s="483">
        <v>46203</v>
      </c>
      <c r="CD117" s="759"/>
      <c r="CE117" s="485">
        <f t="shared" ref="CE117:CE124" si="338">AC117</f>
        <v>30</v>
      </c>
      <c r="CF117" s="484">
        <f t="shared" ref="CF117:CF131" si="339">AP117</f>
        <v>5500</v>
      </c>
      <c r="CG117" s="485">
        <v>30</v>
      </c>
      <c r="CH117" s="485">
        <f t="shared" ref="CH117:CH124" si="340">(X117/30)*CG117</f>
        <v>5500</v>
      </c>
      <c r="CI117" s="485">
        <v>30</v>
      </c>
      <c r="CJ117" s="485">
        <f t="shared" ref="CJ117:CJ124" si="341">(X117/30)*CI117</f>
        <v>5500</v>
      </c>
      <c r="CK117" s="484">
        <f t="shared" ref="CK117:CK124" si="342">CF117-CH117</f>
        <v>0</v>
      </c>
      <c r="CL117" s="484">
        <f t="shared" ref="CL117:CL124" si="343">CF117-CJ117</f>
        <v>0</v>
      </c>
      <c r="CM117" s="1006"/>
      <c r="CN117" s="485">
        <f t="shared" ref="CN117:CN124" si="344">AD117</f>
        <v>30</v>
      </c>
      <c r="CO117" s="484">
        <f t="shared" ref="CO117:CO124" si="345">AQ117</f>
        <v>5500</v>
      </c>
      <c r="CP117" s="485">
        <v>30</v>
      </c>
      <c r="CQ117" s="485">
        <f t="shared" ref="CQ117:CQ124" si="346">(X117/30)*CP117</f>
        <v>5500</v>
      </c>
      <c r="CR117" s="485">
        <v>30</v>
      </c>
      <c r="CS117" s="485">
        <f t="shared" ref="CS117:CS124" si="347">(X117/30)*CR117</f>
        <v>5500</v>
      </c>
      <c r="CT117" s="484">
        <f t="shared" ref="CT117:CT124" si="348">CO117-CQ117</f>
        <v>0</v>
      </c>
      <c r="CU117" s="484">
        <f t="shared" ref="CU117:CU124" si="349">CO117-CS117</f>
        <v>0</v>
      </c>
      <c r="CV117" s="1006"/>
      <c r="CW117" s="1007">
        <f t="shared" si="225"/>
        <v>11000</v>
      </c>
      <c r="CX117" s="486">
        <f t="shared" si="226"/>
        <v>11000</v>
      </c>
      <c r="CY117" s="486">
        <f t="shared" si="227"/>
        <v>11000</v>
      </c>
      <c r="CZ117" s="1007">
        <f t="shared" si="228"/>
        <v>0</v>
      </c>
      <c r="DA117" s="1007">
        <f t="shared" si="229"/>
        <v>0</v>
      </c>
    </row>
    <row r="118" spans="1:108" ht="51" hidden="1" x14ac:dyDescent="0.25">
      <c r="A118" s="472">
        <v>2026</v>
      </c>
      <c r="B118" s="472">
        <v>479</v>
      </c>
      <c r="C118" s="472" t="s">
        <v>64</v>
      </c>
      <c r="D118" s="472" t="s">
        <v>65</v>
      </c>
      <c r="E118" s="472">
        <v>125</v>
      </c>
      <c r="F118" s="472">
        <v>3000654</v>
      </c>
      <c r="G118" s="472">
        <v>5005023</v>
      </c>
      <c r="H118" s="472">
        <v>3</v>
      </c>
      <c r="I118" s="472">
        <v>12</v>
      </c>
      <c r="J118" s="472">
        <v>24</v>
      </c>
      <c r="K118" s="472">
        <v>135560</v>
      </c>
      <c r="L118" s="472" t="s">
        <v>66</v>
      </c>
      <c r="M118" s="124" t="s">
        <v>67</v>
      </c>
      <c r="N118" s="472">
        <v>95</v>
      </c>
      <c r="O118" s="474"/>
      <c r="P118" s="474" t="s">
        <v>4</v>
      </c>
      <c r="Q118" s="472" t="s">
        <v>68</v>
      </c>
      <c r="R118" s="475" t="s">
        <v>69</v>
      </c>
      <c r="S118" s="475" t="s">
        <v>137</v>
      </c>
      <c r="T118" s="475"/>
      <c r="U118" s="124" t="s">
        <v>190</v>
      </c>
      <c r="V118" s="475" t="s">
        <v>3</v>
      </c>
      <c r="W118" s="121">
        <v>1</v>
      </c>
      <c r="X118" s="476">
        <v>5500</v>
      </c>
      <c r="Y118" s="474"/>
      <c r="Z118" s="474"/>
      <c r="AA118" s="474"/>
      <c r="AB118" s="474"/>
      <c r="AC118" s="475">
        <v>30</v>
      </c>
      <c r="AD118" s="475">
        <v>30</v>
      </c>
      <c r="AE118" s="474"/>
      <c r="AF118" s="474"/>
      <c r="AG118" s="474"/>
      <c r="AH118" s="474"/>
      <c r="AI118" s="474"/>
      <c r="AJ118" s="474"/>
      <c r="AK118" s="477">
        <v>11000</v>
      </c>
      <c r="AL118" s="472" t="s">
        <v>73</v>
      </c>
      <c r="AM118" s="472" t="s">
        <v>73</v>
      </c>
      <c r="AN118" s="472" t="s">
        <v>73</v>
      </c>
      <c r="AO118" s="472" t="s">
        <v>73</v>
      </c>
      <c r="AP118" s="478">
        <v>5500</v>
      </c>
      <c r="AQ118" s="478">
        <v>5500</v>
      </c>
      <c r="AR118" s="472" t="s">
        <v>73</v>
      </c>
      <c r="AS118" s="472" t="s">
        <v>73</v>
      </c>
      <c r="AT118" s="472" t="s">
        <v>73</v>
      </c>
      <c r="AU118" s="472" t="s">
        <v>73</v>
      </c>
      <c r="AV118" s="472" t="s">
        <v>73</v>
      </c>
      <c r="AW118" s="472" t="s">
        <v>73</v>
      </c>
      <c r="AX118" s="30">
        <v>11000</v>
      </c>
      <c r="AY118" s="479" t="s">
        <v>7</v>
      </c>
      <c r="AZ118" s="474" t="s">
        <v>74</v>
      </c>
      <c r="BA118" s="474"/>
      <c r="BB118" s="480"/>
      <c r="BC118" s="480"/>
      <c r="BK118" s="481" t="s">
        <v>790</v>
      </c>
      <c r="BL118" s="481" t="s">
        <v>791</v>
      </c>
      <c r="BM118" s="284" t="s">
        <v>792</v>
      </c>
      <c r="BN118" s="414" t="s">
        <v>793</v>
      </c>
      <c r="BO118" s="284" t="s">
        <v>794</v>
      </c>
      <c r="BP118" s="285">
        <v>46134</v>
      </c>
      <c r="BQ118" s="482"/>
      <c r="BR118" s="963" t="s">
        <v>1196</v>
      </c>
      <c r="BS118" s="482"/>
      <c r="BT118" s="286" t="s">
        <v>796</v>
      </c>
      <c r="BU118" s="482" t="s">
        <v>797</v>
      </c>
      <c r="BV118" s="414" t="s">
        <v>1197</v>
      </c>
      <c r="BW118" s="284" t="s">
        <v>1198</v>
      </c>
      <c r="BX118" s="284" t="s">
        <v>1199</v>
      </c>
      <c r="BY118" s="284">
        <v>70137126</v>
      </c>
      <c r="BZ118" s="284"/>
      <c r="CA118" s="288">
        <v>5500</v>
      </c>
      <c r="CB118" s="483">
        <v>46143</v>
      </c>
      <c r="CC118" s="483">
        <v>46203</v>
      </c>
      <c r="CD118" s="759"/>
      <c r="CE118" s="485">
        <f t="shared" si="338"/>
        <v>30</v>
      </c>
      <c r="CF118" s="484">
        <f t="shared" si="339"/>
        <v>5500</v>
      </c>
      <c r="CG118" s="485">
        <v>30</v>
      </c>
      <c r="CH118" s="485">
        <f t="shared" si="340"/>
        <v>5500</v>
      </c>
      <c r="CI118" s="485">
        <v>30</v>
      </c>
      <c r="CJ118" s="485">
        <f t="shared" si="341"/>
        <v>5500</v>
      </c>
      <c r="CK118" s="484">
        <f t="shared" si="342"/>
        <v>0</v>
      </c>
      <c r="CL118" s="484">
        <f t="shared" si="343"/>
        <v>0</v>
      </c>
      <c r="CM118" s="1006"/>
      <c r="CN118" s="485">
        <f t="shared" si="344"/>
        <v>30</v>
      </c>
      <c r="CO118" s="484">
        <f t="shared" si="345"/>
        <v>5500</v>
      </c>
      <c r="CP118" s="485">
        <v>30</v>
      </c>
      <c r="CQ118" s="485">
        <f t="shared" si="346"/>
        <v>5500</v>
      </c>
      <c r="CR118" s="485">
        <v>30</v>
      </c>
      <c r="CS118" s="485">
        <f t="shared" si="347"/>
        <v>5500</v>
      </c>
      <c r="CT118" s="484">
        <f t="shared" si="348"/>
        <v>0</v>
      </c>
      <c r="CU118" s="484">
        <f t="shared" si="349"/>
        <v>0</v>
      </c>
      <c r="CV118" s="1006"/>
      <c r="CW118" s="1007">
        <f t="shared" si="225"/>
        <v>11000</v>
      </c>
      <c r="CX118" s="486">
        <f t="shared" si="226"/>
        <v>11000</v>
      </c>
      <c r="CY118" s="486">
        <f t="shared" si="227"/>
        <v>11000</v>
      </c>
      <c r="CZ118" s="1007">
        <f t="shared" si="228"/>
        <v>0</v>
      </c>
      <c r="DA118" s="1007">
        <f t="shared" si="229"/>
        <v>0</v>
      </c>
    </row>
    <row r="119" spans="1:108" ht="51" hidden="1" x14ac:dyDescent="0.25">
      <c r="A119" s="472">
        <v>2026</v>
      </c>
      <c r="B119" s="472">
        <v>479</v>
      </c>
      <c r="C119" s="472" t="s">
        <v>64</v>
      </c>
      <c r="D119" s="472" t="s">
        <v>65</v>
      </c>
      <c r="E119" s="472">
        <v>125</v>
      </c>
      <c r="F119" s="472">
        <v>3000654</v>
      </c>
      <c r="G119" s="472">
        <v>5005023</v>
      </c>
      <c r="H119" s="472">
        <v>3</v>
      </c>
      <c r="I119" s="472">
        <v>12</v>
      </c>
      <c r="J119" s="472">
        <v>24</v>
      </c>
      <c r="K119" s="472">
        <v>135560</v>
      </c>
      <c r="L119" s="472" t="s">
        <v>66</v>
      </c>
      <c r="M119" s="124" t="s">
        <v>67</v>
      </c>
      <c r="N119" s="472">
        <v>95</v>
      </c>
      <c r="O119" s="474"/>
      <c r="P119" s="474" t="s">
        <v>4</v>
      </c>
      <c r="Q119" s="472" t="s">
        <v>68</v>
      </c>
      <c r="R119" s="475" t="s">
        <v>69</v>
      </c>
      <c r="S119" s="475" t="s">
        <v>137</v>
      </c>
      <c r="T119" s="475"/>
      <c r="U119" s="124" t="s">
        <v>190</v>
      </c>
      <c r="V119" s="475" t="s">
        <v>3</v>
      </c>
      <c r="W119" s="121">
        <v>1</v>
      </c>
      <c r="X119" s="476">
        <v>5500</v>
      </c>
      <c r="Y119" s="474"/>
      <c r="Z119" s="474"/>
      <c r="AA119" s="474"/>
      <c r="AB119" s="474"/>
      <c r="AC119" s="475">
        <v>30</v>
      </c>
      <c r="AD119" s="475">
        <v>30</v>
      </c>
      <c r="AE119" s="474"/>
      <c r="AF119" s="474"/>
      <c r="AG119" s="474"/>
      <c r="AH119" s="474"/>
      <c r="AI119" s="474"/>
      <c r="AJ119" s="474"/>
      <c r="AK119" s="477">
        <v>11000</v>
      </c>
      <c r="AL119" s="472" t="s">
        <v>73</v>
      </c>
      <c r="AM119" s="472" t="s">
        <v>73</v>
      </c>
      <c r="AN119" s="472" t="s">
        <v>73</v>
      </c>
      <c r="AO119" s="472" t="s">
        <v>73</v>
      </c>
      <c r="AP119" s="478">
        <v>5500</v>
      </c>
      <c r="AQ119" s="478">
        <v>5500</v>
      </c>
      <c r="AR119" s="472" t="s">
        <v>73</v>
      </c>
      <c r="AS119" s="472" t="s">
        <v>73</v>
      </c>
      <c r="AT119" s="472" t="s">
        <v>73</v>
      </c>
      <c r="AU119" s="472" t="s">
        <v>73</v>
      </c>
      <c r="AV119" s="472" t="s">
        <v>73</v>
      </c>
      <c r="AW119" s="472" t="s">
        <v>73</v>
      </c>
      <c r="AX119" s="30">
        <v>11000</v>
      </c>
      <c r="AY119" s="479" t="s">
        <v>7</v>
      </c>
      <c r="AZ119" s="474" t="s">
        <v>74</v>
      </c>
      <c r="BA119" s="474"/>
      <c r="BB119" s="480"/>
      <c r="BC119" s="480"/>
      <c r="BK119" s="481" t="s">
        <v>790</v>
      </c>
      <c r="BL119" s="481" t="s">
        <v>791</v>
      </c>
      <c r="BM119" s="284" t="s">
        <v>792</v>
      </c>
      <c r="BN119" s="414" t="s">
        <v>793</v>
      </c>
      <c r="BO119" s="284" t="s">
        <v>794</v>
      </c>
      <c r="BP119" s="285">
        <v>46134</v>
      </c>
      <c r="BQ119" s="482"/>
      <c r="BR119" s="963" t="s">
        <v>1200</v>
      </c>
      <c r="BS119" s="482"/>
      <c r="BT119" s="286" t="s">
        <v>796</v>
      </c>
      <c r="BU119" s="482" t="s">
        <v>797</v>
      </c>
      <c r="BV119" s="414" t="s">
        <v>1201</v>
      </c>
      <c r="BW119" s="284" t="s">
        <v>848</v>
      </c>
      <c r="BX119" s="284" t="s">
        <v>1202</v>
      </c>
      <c r="BY119" s="284">
        <v>40587593</v>
      </c>
      <c r="BZ119" s="284"/>
      <c r="CA119" s="288">
        <v>5500</v>
      </c>
      <c r="CB119" s="483">
        <v>46143</v>
      </c>
      <c r="CC119" s="483">
        <v>46203</v>
      </c>
      <c r="CD119" s="759"/>
      <c r="CE119" s="485">
        <f t="shared" si="338"/>
        <v>30</v>
      </c>
      <c r="CF119" s="484">
        <f t="shared" si="339"/>
        <v>5500</v>
      </c>
      <c r="CG119" s="485">
        <v>30</v>
      </c>
      <c r="CH119" s="485">
        <f t="shared" si="340"/>
        <v>5500</v>
      </c>
      <c r="CI119" s="485">
        <v>30</v>
      </c>
      <c r="CJ119" s="485">
        <f t="shared" si="341"/>
        <v>5500</v>
      </c>
      <c r="CK119" s="484">
        <f t="shared" si="342"/>
        <v>0</v>
      </c>
      <c r="CL119" s="484">
        <f t="shared" si="343"/>
        <v>0</v>
      </c>
      <c r="CM119" s="1006"/>
      <c r="CN119" s="485">
        <f t="shared" si="344"/>
        <v>30</v>
      </c>
      <c r="CO119" s="484">
        <f t="shared" si="345"/>
        <v>5500</v>
      </c>
      <c r="CP119" s="485">
        <v>30</v>
      </c>
      <c r="CQ119" s="485">
        <f t="shared" si="346"/>
        <v>5500</v>
      </c>
      <c r="CR119" s="485">
        <v>30</v>
      </c>
      <c r="CS119" s="485">
        <f t="shared" si="347"/>
        <v>5500</v>
      </c>
      <c r="CT119" s="484">
        <f t="shared" si="348"/>
        <v>0</v>
      </c>
      <c r="CU119" s="484">
        <f t="shared" si="349"/>
        <v>0</v>
      </c>
      <c r="CV119" s="1006"/>
      <c r="CW119" s="1007">
        <f t="shared" si="225"/>
        <v>11000</v>
      </c>
      <c r="CX119" s="486">
        <f t="shared" si="226"/>
        <v>11000</v>
      </c>
      <c r="CY119" s="486">
        <f t="shared" si="227"/>
        <v>11000</v>
      </c>
      <c r="CZ119" s="1007">
        <f t="shared" si="228"/>
        <v>0</v>
      </c>
      <c r="DA119" s="1007">
        <f t="shared" si="229"/>
        <v>0</v>
      </c>
    </row>
    <row r="120" spans="1:108" ht="51" hidden="1" x14ac:dyDescent="0.25">
      <c r="A120" s="472">
        <v>2026</v>
      </c>
      <c r="B120" s="472">
        <v>479</v>
      </c>
      <c r="C120" s="472" t="s">
        <v>64</v>
      </c>
      <c r="D120" s="472" t="s">
        <v>65</v>
      </c>
      <c r="E120" s="472">
        <v>125</v>
      </c>
      <c r="F120" s="472">
        <v>3000654</v>
      </c>
      <c r="G120" s="472">
        <v>5005023</v>
      </c>
      <c r="H120" s="472">
        <v>3</v>
      </c>
      <c r="I120" s="472">
        <v>12</v>
      </c>
      <c r="J120" s="472">
        <v>24</v>
      </c>
      <c r="K120" s="472">
        <v>135560</v>
      </c>
      <c r="L120" s="472" t="s">
        <v>66</v>
      </c>
      <c r="M120" s="124" t="s">
        <v>67</v>
      </c>
      <c r="N120" s="472">
        <v>95</v>
      </c>
      <c r="O120" s="474"/>
      <c r="P120" s="474" t="s">
        <v>4</v>
      </c>
      <c r="Q120" s="472" t="s">
        <v>68</v>
      </c>
      <c r="R120" s="475" t="s">
        <v>69</v>
      </c>
      <c r="S120" s="475" t="s">
        <v>137</v>
      </c>
      <c r="T120" s="475"/>
      <c r="U120" s="124" t="s">
        <v>190</v>
      </c>
      <c r="V120" s="475" t="s">
        <v>3</v>
      </c>
      <c r="W120" s="121">
        <v>1</v>
      </c>
      <c r="X120" s="476">
        <v>5500</v>
      </c>
      <c r="Y120" s="474"/>
      <c r="Z120" s="474"/>
      <c r="AA120" s="474"/>
      <c r="AB120" s="474"/>
      <c r="AC120" s="475">
        <v>30</v>
      </c>
      <c r="AD120" s="475">
        <v>30</v>
      </c>
      <c r="AE120" s="474"/>
      <c r="AF120" s="474"/>
      <c r="AG120" s="474"/>
      <c r="AH120" s="474"/>
      <c r="AI120" s="474"/>
      <c r="AJ120" s="474"/>
      <c r="AK120" s="477">
        <v>11000</v>
      </c>
      <c r="AL120" s="472" t="s">
        <v>73</v>
      </c>
      <c r="AM120" s="472" t="s">
        <v>73</v>
      </c>
      <c r="AN120" s="472" t="s">
        <v>73</v>
      </c>
      <c r="AO120" s="472" t="s">
        <v>73</v>
      </c>
      <c r="AP120" s="478">
        <v>5500</v>
      </c>
      <c r="AQ120" s="478">
        <v>5500</v>
      </c>
      <c r="AR120" s="472" t="s">
        <v>73</v>
      </c>
      <c r="AS120" s="472" t="s">
        <v>73</v>
      </c>
      <c r="AT120" s="472" t="s">
        <v>73</v>
      </c>
      <c r="AU120" s="472" t="s">
        <v>73</v>
      </c>
      <c r="AV120" s="472" t="s">
        <v>73</v>
      </c>
      <c r="AW120" s="472" t="s">
        <v>73</v>
      </c>
      <c r="AX120" s="30">
        <v>11000</v>
      </c>
      <c r="AY120" s="479" t="s">
        <v>7</v>
      </c>
      <c r="AZ120" s="474" t="s">
        <v>74</v>
      </c>
      <c r="BA120" s="474"/>
      <c r="BB120" s="480"/>
      <c r="BC120" s="480"/>
      <c r="BK120" s="974" t="s">
        <v>790</v>
      </c>
      <c r="BL120" s="481" t="s">
        <v>791</v>
      </c>
      <c r="BM120" s="481" t="s">
        <v>1203</v>
      </c>
      <c r="BN120" s="414" t="s">
        <v>1204</v>
      </c>
      <c r="BO120" s="284" t="s">
        <v>1205</v>
      </c>
      <c r="BP120" s="285">
        <v>46147</v>
      </c>
      <c r="BQ120" s="480"/>
      <c r="BR120" s="963" t="s">
        <v>1206</v>
      </c>
      <c r="BS120" s="480"/>
      <c r="BT120" s="286" t="s">
        <v>834</v>
      </c>
      <c r="BU120" s="482" t="s">
        <v>797</v>
      </c>
      <c r="BV120" s="976" t="s">
        <v>1207</v>
      </c>
      <c r="BW120" s="560" t="s">
        <v>1208</v>
      </c>
      <c r="BX120" s="560" t="s">
        <v>1209</v>
      </c>
      <c r="BY120" s="560">
        <v>48424958</v>
      </c>
      <c r="BZ120" s="560">
        <v>10484249585</v>
      </c>
      <c r="CA120" s="560">
        <v>5500</v>
      </c>
      <c r="CB120" s="561">
        <v>46149</v>
      </c>
      <c r="CC120" s="561">
        <v>46203</v>
      </c>
      <c r="CD120" s="759"/>
      <c r="CE120" s="142">
        <f t="shared" si="338"/>
        <v>30</v>
      </c>
      <c r="CF120" s="1000">
        <f t="shared" si="339"/>
        <v>5500</v>
      </c>
      <c r="CG120" s="142">
        <v>25</v>
      </c>
      <c r="CH120" s="1023">
        <f t="shared" si="340"/>
        <v>4583.3333333333339</v>
      </c>
      <c r="CI120" s="142">
        <v>25</v>
      </c>
      <c r="CJ120" s="1023">
        <f t="shared" si="341"/>
        <v>4583.3333333333339</v>
      </c>
      <c r="CK120" s="1000">
        <f t="shared" si="342"/>
        <v>916.66666666666606</v>
      </c>
      <c r="CL120" s="1000">
        <f t="shared" si="343"/>
        <v>916.66666666666606</v>
      </c>
      <c r="CM120" s="1006"/>
      <c r="CN120" s="142">
        <f t="shared" si="344"/>
        <v>30</v>
      </c>
      <c r="CO120" s="1000">
        <f t="shared" si="345"/>
        <v>5500</v>
      </c>
      <c r="CP120" s="142">
        <v>30</v>
      </c>
      <c r="CQ120" s="142">
        <f t="shared" si="346"/>
        <v>5500</v>
      </c>
      <c r="CR120" s="142">
        <v>30</v>
      </c>
      <c r="CS120" s="142">
        <f t="shared" si="347"/>
        <v>5500</v>
      </c>
      <c r="CT120" s="1000">
        <f t="shared" si="348"/>
        <v>0</v>
      </c>
      <c r="CU120" s="1000">
        <f t="shared" si="349"/>
        <v>0</v>
      </c>
      <c r="CV120" s="1006"/>
      <c r="CW120" s="1007">
        <f t="shared" si="225"/>
        <v>11000</v>
      </c>
      <c r="CX120" s="1024">
        <f t="shared" si="226"/>
        <v>10083.333333333334</v>
      </c>
      <c r="CY120" s="1024">
        <f t="shared" si="227"/>
        <v>10083.333333333334</v>
      </c>
      <c r="CZ120" s="1007">
        <f t="shared" si="228"/>
        <v>916.66666666666606</v>
      </c>
      <c r="DA120" s="1007">
        <f t="shared" si="229"/>
        <v>916.66666666666606</v>
      </c>
      <c r="DD120" s="94" t="s">
        <v>1210</v>
      </c>
    </row>
    <row r="121" spans="1:108" ht="51" hidden="1" x14ac:dyDescent="0.25">
      <c r="A121" s="472">
        <v>2026</v>
      </c>
      <c r="B121" s="472">
        <v>479</v>
      </c>
      <c r="C121" s="472" t="s">
        <v>64</v>
      </c>
      <c r="D121" s="472" t="s">
        <v>65</v>
      </c>
      <c r="E121" s="472">
        <v>125</v>
      </c>
      <c r="F121" s="472">
        <v>3000654</v>
      </c>
      <c r="G121" s="472">
        <v>5005023</v>
      </c>
      <c r="H121" s="472">
        <v>3</v>
      </c>
      <c r="I121" s="472">
        <v>12</v>
      </c>
      <c r="J121" s="472">
        <v>24</v>
      </c>
      <c r="K121" s="472">
        <v>135560</v>
      </c>
      <c r="L121" s="472" t="s">
        <v>66</v>
      </c>
      <c r="M121" s="124" t="s">
        <v>67</v>
      </c>
      <c r="N121" s="472">
        <v>95</v>
      </c>
      <c r="O121" s="474"/>
      <c r="P121" s="474" t="s">
        <v>4</v>
      </c>
      <c r="Q121" s="472" t="s">
        <v>68</v>
      </c>
      <c r="R121" s="475" t="s">
        <v>69</v>
      </c>
      <c r="S121" s="475" t="s">
        <v>137</v>
      </c>
      <c r="T121" s="475"/>
      <c r="U121" s="124" t="s">
        <v>190</v>
      </c>
      <c r="V121" s="475" t="s">
        <v>3</v>
      </c>
      <c r="W121" s="121">
        <v>1</v>
      </c>
      <c r="X121" s="476">
        <v>5500</v>
      </c>
      <c r="Y121" s="474"/>
      <c r="Z121" s="474"/>
      <c r="AA121" s="474"/>
      <c r="AB121" s="474"/>
      <c r="AC121" s="475">
        <v>30</v>
      </c>
      <c r="AD121" s="475">
        <v>30</v>
      </c>
      <c r="AE121" s="474"/>
      <c r="AF121" s="474"/>
      <c r="AG121" s="474"/>
      <c r="AH121" s="474"/>
      <c r="AI121" s="474"/>
      <c r="AJ121" s="474"/>
      <c r="AK121" s="477">
        <v>11000</v>
      </c>
      <c r="AL121" s="472" t="s">
        <v>73</v>
      </c>
      <c r="AM121" s="472" t="s">
        <v>73</v>
      </c>
      <c r="AN121" s="472" t="s">
        <v>73</v>
      </c>
      <c r="AO121" s="472" t="s">
        <v>73</v>
      </c>
      <c r="AP121" s="478">
        <v>5500</v>
      </c>
      <c r="AQ121" s="478">
        <v>5500</v>
      </c>
      <c r="AR121" s="472" t="s">
        <v>73</v>
      </c>
      <c r="AS121" s="472" t="s">
        <v>73</v>
      </c>
      <c r="AT121" s="472" t="s">
        <v>73</v>
      </c>
      <c r="AU121" s="472" t="s">
        <v>73</v>
      </c>
      <c r="AV121" s="472" t="s">
        <v>73</v>
      </c>
      <c r="AW121" s="472" t="s">
        <v>73</v>
      </c>
      <c r="AX121" s="30">
        <v>11000</v>
      </c>
      <c r="AY121" s="479" t="s">
        <v>7</v>
      </c>
      <c r="AZ121" s="474" t="s">
        <v>74</v>
      </c>
      <c r="BA121" s="474"/>
      <c r="BB121" s="480"/>
      <c r="BC121" s="480"/>
      <c r="BK121" s="481" t="s">
        <v>790</v>
      </c>
      <c r="BL121" s="481" t="s">
        <v>791</v>
      </c>
      <c r="BM121" s="284" t="s">
        <v>792</v>
      </c>
      <c r="BN121" s="414" t="s">
        <v>793</v>
      </c>
      <c r="BO121" s="284" t="s">
        <v>794</v>
      </c>
      <c r="BP121" s="285">
        <v>46134</v>
      </c>
      <c r="BQ121" s="482"/>
      <c r="BR121" s="963" t="s">
        <v>1211</v>
      </c>
      <c r="BS121" s="482"/>
      <c r="BT121" s="286" t="s">
        <v>796</v>
      </c>
      <c r="BU121" s="482" t="s">
        <v>797</v>
      </c>
      <c r="BV121" s="414" t="s">
        <v>1212</v>
      </c>
      <c r="BW121" s="284" t="s">
        <v>1213</v>
      </c>
      <c r="BX121" s="284" t="s">
        <v>1214</v>
      </c>
      <c r="BY121" s="284">
        <v>29597940</v>
      </c>
      <c r="BZ121" s="284"/>
      <c r="CA121" s="288">
        <v>5500</v>
      </c>
      <c r="CB121" s="483">
        <v>46143</v>
      </c>
      <c r="CC121" s="483">
        <v>46203</v>
      </c>
      <c r="CD121" s="759"/>
      <c r="CE121" s="485">
        <f t="shared" si="338"/>
        <v>30</v>
      </c>
      <c r="CF121" s="484">
        <f t="shared" si="339"/>
        <v>5500</v>
      </c>
      <c r="CG121" s="485">
        <v>30</v>
      </c>
      <c r="CH121" s="485">
        <f t="shared" si="340"/>
        <v>5500</v>
      </c>
      <c r="CI121" s="485">
        <v>30</v>
      </c>
      <c r="CJ121" s="485">
        <f t="shared" si="341"/>
        <v>5500</v>
      </c>
      <c r="CK121" s="484">
        <f t="shared" si="342"/>
        <v>0</v>
      </c>
      <c r="CL121" s="484">
        <f t="shared" si="343"/>
        <v>0</v>
      </c>
      <c r="CM121" s="1006"/>
      <c r="CN121" s="485">
        <f t="shared" si="344"/>
        <v>30</v>
      </c>
      <c r="CO121" s="484">
        <f t="shared" si="345"/>
        <v>5500</v>
      </c>
      <c r="CP121" s="485">
        <v>30</v>
      </c>
      <c r="CQ121" s="485">
        <f t="shared" si="346"/>
        <v>5500</v>
      </c>
      <c r="CR121" s="485">
        <v>30</v>
      </c>
      <c r="CS121" s="485">
        <f t="shared" si="347"/>
        <v>5500</v>
      </c>
      <c r="CT121" s="484">
        <f t="shared" si="348"/>
        <v>0</v>
      </c>
      <c r="CU121" s="484">
        <f t="shared" si="349"/>
        <v>0</v>
      </c>
      <c r="CV121" s="1006"/>
      <c r="CW121" s="1007">
        <f t="shared" si="225"/>
        <v>11000</v>
      </c>
      <c r="CX121" s="486">
        <f t="shared" si="226"/>
        <v>11000</v>
      </c>
      <c r="CY121" s="486">
        <f t="shared" si="227"/>
        <v>11000</v>
      </c>
      <c r="CZ121" s="1007">
        <f t="shared" si="228"/>
        <v>0</v>
      </c>
      <c r="DA121" s="1007">
        <f t="shared" si="229"/>
        <v>0</v>
      </c>
    </row>
    <row r="122" spans="1:108" ht="51" hidden="1" x14ac:dyDescent="0.25">
      <c r="A122" s="472">
        <v>2026</v>
      </c>
      <c r="B122" s="472">
        <v>479</v>
      </c>
      <c r="C122" s="472" t="s">
        <v>64</v>
      </c>
      <c r="D122" s="472" t="s">
        <v>65</v>
      </c>
      <c r="E122" s="472">
        <v>125</v>
      </c>
      <c r="F122" s="472">
        <v>3000654</v>
      </c>
      <c r="G122" s="472">
        <v>5005023</v>
      </c>
      <c r="H122" s="472">
        <v>3</v>
      </c>
      <c r="I122" s="472">
        <v>12</v>
      </c>
      <c r="J122" s="472">
        <v>24</v>
      </c>
      <c r="K122" s="472">
        <v>135560</v>
      </c>
      <c r="L122" s="472" t="s">
        <v>66</v>
      </c>
      <c r="M122" s="124" t="s">
        <v>67</v>
      </c>
      <c r="N122" s="472">
        <v>95</v>
      </c>
      <c r="O122" s="474"/>
      <c r="P122" s="474" t="s">
        <v>4</v>
      </c>
      <c r="Q122" s="472" t="s">
        <v>68</v>
      </c>
      <c r="R122" s="475" t="s">
        <v>69</v>
      </c>
      <c r="S122" s="475" t="s">
        <v>137</v>
      </c>
      <c r="T122" s="475"/>
      <c r="U122" s="124" t="s">
        <v>190</v>
      </c>
      <c r="V122" s="475" t="s">
        <v>3</v>
      </c>
      <c r="W122" s="121">
        <v>1</v>
      </c>
      <c r="X122" s="476">
        <v>5500</v>
      </c>
      <c r="Y122" s="474"/>
      <c r="Z122" s="474"/>
      <c r="AA122" s="474"/>
      <c r="AB122" s="474"/>
      <c r="AC122" s="475">
        <v>30</v>
      </c>
      <c r="AD122" s="475">
        <v>30</v>
      </c>
      <c r="AE122" s="474"/>
      <c r="AF122" s="474"/>
      <c r="AG122" s="474"/>
      <c r="AH122" s="474"/>
      <c r="AI122" s="474"/>
      <c r="AJ122" s="474"/>
      <c r="AK122" s="477">
        <v>11000</v>
      </c>
      <c r="AL122" s="472" t="s">
        <v>73</v>
      </c>
      <c r="AM122" s="472" t="s">
        <v>73</v>
      </c>
      <c r="AN122" s="472" t="s">
        <v>73</v>
      </c>
      <c r="AO122" s="472" t="s">
        <v>73</v>
      </c>
      <c r="AP122" s="478">
        <v>5500</v>
      </c>
      <c r="AQ122" s="478">
        <v>5500</v>
      </c>
      <c r="AR122" s="472" t="s">
        <v>73</v>
      </c>
      <c r="AS122" s="472" t="s">
        <v>73</v>
      </c>
      <c r="AT122" s="472" t="s">
        <v>73</v>
      </c>
      <c r="AU122" s="472" t="s">
        <v>73</v>
      </c>
      <c r="AV122" s="472" t="s">
        <v>73</v>
      </c>
      <c r="AW122" s="472" t="s">
        <v>73</v>
      </c>
      <c r="AX122" s="30">
        <v>11000</v>
      </c>
      <c r="AY122" s="479" t="s">
        <v>7</v>
      </c>
      <c r="AZ122" s="474" t="s">
        <v>74</v>
      </c>
      <c r="BA122" s="474"/>
      <c r="BB122" s="480"/>
      <c r="BC122" s="480"/>
      <c r="BK122" s="974" t="s">
        <v>790</v>
      </c>
      <c r="BL122" s="481" t="s">
        <v>791</v>
      </c>
      <c r="BM122" s="481" t="s">
        <v>1203</v>
      </c>
      <c r="BN122" s="414" t="s">
        <v>1204</v>
      </c>
      <c r="BO122" s="284" t="s">
        <v>1205</v>
      </c>
      <c r="BP122" s="285">
        <v>46147</v>
      </c>
      <c r="BQ122" s="480"/>
      <c r="BR122" s="963" t="s">
        <v>1215</v>
      </c>
      <c r="BS122" s="480"/>
      <c r="BT122" s="286" t="s">
        <v>834</v>
      </c>
      <c r="BU122" s="482" t="s">
        <v>797</v>
      </c>
      <c r="BV122" s="976" t="s">
        <v>1216</v>
      </c>
      <c r="BW122" s="560" t="s">
        <v>993</v>
      </c>
      <c r="BX122" s="560" t="s">
        <v>1217</v>
      </c>
      <c r="BY122" s="560">
        <v>48497735</v>
      </c>
      <c r="BZ122" s="560">
        <v>10484977351</v>
      </c>
      <c r="CA122" s="560">
        <v>5500</v>
      </c>
      <c r="CB122" s="561">
        <v>46149</v>
      </c>
      <c r="CC122" s="561">
        <v>46203</v>
      </c>
      <c r="CD122" s="759"/>
      <c r="CE122" s="142">
        <f t="shared" si="338"/>
        <v>30</v>
      </c>
      <c r="CF122" s="1000">
        <f t="shared" si="339"/>
        <v>5500</v>
      </c>
      <c r="CG122" s="142">
        <v>25</v>
      </c>
      <c r="CH122" s="1023">
        <f>(X122/30)*CG122</f>
        <v>4583.3333333333339</v>
      </c>
      <c r="CI122" s="142">
        <v>25</v>
      </c>
      <c r="CJ122" s="1023">
        <f t="shared" si="341"/>
        <v>4583.3333333333339</v>
      </c>
      <c r="CK122" s="1000">
        <f t="shared" si="342"/>
        <v>916.66666666666606</v>
      </c>
      <c r="CL122" s="1000">
        <f t="shared" si="343"/>
        <v>916.66666666666606</v>
      </c>
      <c r="CM122" s="1006"/>
      <c r="CN122" s="142">
        <f t="shared" si="344"/>
        <v>30</v>
      </c>
      <c r="CO122" s="1000">
        <f t="shared" si="345"/>
        <v>5500</v>
      </c>
      <c r="CP122" s="142">
        <v>30</v>
      </c>
      <c r="CQ122" s="142">
        <f t="shared" si="346"/>
        <v>5500</v>
      </c>
      <c r="CR122" s="142">
        <v>30</v>
      </c>
      <c r="CS122" s="142">
        <f t="shared" si="347"/>
        <v>5500</v>
      </c>
      <c r="CT122" s="1000">
        <f t="shared" si="348"/>
        <v>0</v>
      </c>
      <c r="CU122" s="1000">
        <f t="shared" si="349"/>
        <v>0</v>
      </c>
      <c r="CV122" s="1006"/>
      <c r="CW122" s="1007">
        <f t="shared" si="225"/>
        <v>11000</v>
      </c>
      <c r="CX122" s="1024">
        <f t="shared" si="226"/>
        <v>10083.333333333334</v>
      </c>
      <c r="CY122" s="1024">
        <f t="shared" si="227"/>
        <v>10083.333333333334</v>
      </c>
      <c r="CZ122" s="1007">
        <f t="shared" si="228"/>
        <v>916.66666666666606</v>
      </c>
      <c r="DA122" s="1007">
        <f t="shared" si="229"/>
        <v>916.66666666666606</v>
      </c>
      <c r="DD122" s="94" t="s">
        <v>1218</v>
      </c>
    </row>
    <row r="123" spans="1:108" ht="51" hidden="1" x14ac:dyDescent="0.25">
      <c r="A123" s="472">
        <v>2026</v>
      </c>
      <c r="B123" s="472">
        <v>479</v>
      </c>
      <c r="C123" s="472" t="s">
        <v>64</v>
      </c>
      <c r="D123" s="472" t="s">
        <v>65</v>
      </c>
      <c r="E123" s="472">
        <v>125</v>
      </c>
      <c r="F123" s="472">
        <v>3000654</v>
      </c>
      <c r="G123" s="472">
        <v>5005023</v>
      </c>
      <c r="H123" s="472">
        <v>3</v>
      </c>
      <c r="I123" s="472">
        <v>12</v>
      </c>
      <c r="J123" s="472">
        <v>24</v>
      </c>
      <c r="K123" s="472">
        <v>135560</v>
      </c>
      <c r="L123" s="472" t="s">
        <v>66</v>
      </c>
      <c r="M123" s="124" t="s">
        <v>67</v>
      </c>
      <c r="N123" s="472">
        <v>95</v>
      </c>
      <c r="O123" s="474"/>
      <c r="P123" s="474" t="s">
        <v>4</v>
      </c>
      <c r="Q123" s="472" t="s">
        <v>68</v>
      </c>
      <c r="R123" s="475" t="s">
        <v>69</v>
      </c>
      <c r="S123" s="475" t="s">
        <v>137</v>
      </c>
      <c r="T123" s="475"/>
      <c r="U123" s="124" t="s">
        <v>190</v>
      </c>
      <c r="V123" s="475" t="s">
        <v>3</v>
      </c>
      <c r="W123" s="121">
        <v>1</v>
      </c>
      <c r="X123" s="476">
        <v>5500</v>
      </c>
      <c r="Y123" s="474"/>
      <c r="Z123" s="474"/>
      <c r="AA123" s="474"/>
      <c r="AB123" s="474"/>
      <c r="AC123" s="475">
        <v>30</v>
      </c>
      <c r="AD123" s="475">
        <v>30</v>
      </c>
      <c r="AE123" s="474"/>
      <c r="AF123" s="474"/>
      <c r="AG123" s="474"/>
      <c r="AH123" s="474"/>
      <c r="AI123" s="474"/>
      <c r="AJ123" s="474"/>
      <c r="AK123" s="477">
        <v>11000</v>
      </c>
      <c r="AL123" s="472" t="s">
        <v>73</v>
      </c>
      <c r="AM123" s="472" t="s">
        <v>73</v>
      </c>
      <c r="AN123" s="472" t="s">
        <v>73</v>
      </c>
      <c r="AO123" s="472" t="s">
        <v>73</v>
      </c>
      <c r="AP123" s="478">
        <v>5500</v>
      </c>
      <c r="AQ123" s="478">
        <v>5500</v>
      </c>
      <c r="AR123" s="472" t="s">
        <v>73</v>
      </c>
      <c r="AS123" s="472" t="s">
        <v>73</v>
      </c>
      <c r="AT123" s="472" t="s">
        <v>73</v>
      </c>
      <c r="AU123" s="472" t="s">
        <v>73</v>
      </c>
      <c r="AV123" s="472" t="s">
        <v>73</v>
      </c>
      <c r="AW123" s="472" t="s">
        <v>73</v>
      </c>
      <c r="AX123" s="30">
        <v>11000</v>
      </c>
      <c r="AY123" s="479" t="s">
        <v>7</v>
      </c>
      <c r="AZ123" s="474" t="s">
        <v>74</v>
      </c>
      <c r="BA123" s="474"/>
      <c r="BB123" s="480"/>
      <c r="BC123" s="480"/>
      <c r="BK123" s="481" t="s">
        <v>790</v>
      </c>
      <c r="BL123" s="481" t="s">
        <v>791</v>
      </c>
      <c r="BM123" s="284" t="s">
        <v>792</v>
      </c>
      <c r="BN123" s="414" t="s">
        <v>793</v>
      </c>
      <c r="BO123" s="284" t="s">
        <v>794</v>
      </c>
      <c r="BP123" s="285">
        <v>46134</v>
      </c>
      <c r="BQ123" s="482"/>
      <c r="BR123" s="963" t="s">
        <v>1219</v>
      </c>
      <c r="BS123" s="482"/>
      <c r="BT123" s="286" t="s">
        <v>796</v>
      </c>
      <c r="BU123" s="482" t="s">
        <v>797</v>
      </c>
      <c r="BV123" s="414" t="s">
        <v>1220</v>
      </c>
      <c r="BW123" s="284" t="s">
        <v>1102</v>
      </c>
      <c r="BX123" s="284" t="s">
        <v>1221</v>
      </c>
      <c r="BY123" s="284">
        <v>40031209</v>
      </c>
      <c r="BZ123" s="284"/>
      <c r="CA123" s="288">
        <v>5500</v>
      </c>
      <c r="CB123" s="483">
        <v>46143</v>
      </c>
      <c r="CC123" s="483">
        <v>46203</v>
      </c>
      <c r="CD123" s="759"/>
      <c r="CE123" s="485">
        <f t="shared" si="338"/>
        <v>30</v>
      </c>
      <c r="CF123" s="484">
        <f t="shared" si="339"/>
        <v>5500</v>
      </c>
      <c r="CG123" s="485">
        <v>30</v>
      </c>
      <c r="CH123" s="485">
        <f t="shared" si="340"/>
        <v>5500</v>
      </c>
      <c r="CI123" s="485">
        <v>30</v>
      </c>
      <c r="CJ123" s="485">
        <f t="shared" si="341"/>
        <v>5500</v>
      </c>
      <c r="CK123" s="484">
        <f t="shared" si="342"/>
        <v>0</v>
      </c>
      <c r="CL123" s="484">
        <f t="shared" si="343"/>
        <v>0</v>
      </c>
      <c r="CM123" s="1006"/>
      <c r="CN123" s="485">
        <f t="shared" si="344"/>
        <v>30</v>
      </c>
      <c r="CO123" s="484">
        <f t="shared" si="345"/>
        <v>5500</v>
      </c>
      <c r="CP123" s="485">
        <v>30</v>
      </c>
      <c r="CQ123" s="485">
        <f t="shared" si="346"/>
        <v>5500</v>
      </c>
      <c r="CR123" s="485">
        <v>30</v>
      </c>
      <c r="CS123" s="485">
        <f t="shared" si="347"/>
        <v>5500</v>
      </c>
      <c r="CT123" s="484">
        <f t="shared" si="348"/>
        <v>0</v>
      </c>
      <c r="CU123" s="484">
        <f t="shared" si="349"/>
        <v>0</v>
      </c>
      <c r="CV123" s="1006"/>
      <c r="CW123" s="1007">
        <f t="shared" si="225"/>
        <v>11000</v>
      </c>
      <c r="CX123" s="486">
        <f t="shared" si="226"/>
        <v>11000</v>
      </c>
      <c r="CY123" s="486">
        <f t="shared" si="227"/>
        <v>11000</v>
      </c>
      <c r="CZ123" s="1007">
        <f t="shared" si="228"/>
        <v>0</v>
      </c>
      <c r="DA123" s="1007">
        <f t="shared" si="229"/>
        <v>0</v>
      </c>
    </row>
    <row r="124" spans="1:108" ht="51" hidden="1" x14ac:dyDescent="0.25">
      <c r="A124" s="472">
        <v>2026</v>
      </c>
      <c r="B124" s="472">
        <v>479</v>
      </c>
      <c r="C124" s="472" t="s">
        <v>64</v>
      </c>
      <c r="D124" s="472" t="s">
        <v>65</v>
      </c>
      <c r="E124" s="472">
        <v>125</v>
      </c>
      <c r="F124" s="472">
        <v>3000654</v>
      </c>
      <c r="G124" s="472">
        <v>5005023</v>
      </c>
      <c r="H124" s="472">
        <v>3</v>
      </c>
      <c r="I124" s="472">
        <v>12</v>
      </c>
      <c r="J124" s="472">
        <v>24</v>
      </c>
      <c r="K124" s="472">
        <v>135560</v>
      </c>
      <c r="L124" s="472" t="s">
        <v>66</v>
      </c>
      <c r="M124" s="124" t="s">
        <v>67</v>
      </c>
      <c r="N124" s="472">
        <v>95</v>
      </c>
      <c r="O124" s="474"/>
      <c r="P124" s="474" t="s">
        <v>4</v>
      </c>
      <c r="Q124" s="472" t="s">
        <v>68</v>
      </c>
      <c r="R124" s="475" t="s">
        <v>69</v>
      </c>
      <c r="S124" s="475" t="s">
        <v>137</v>
      </c>
      <c r="T124" s="475"/>
      <c r="U124" s="124" t="s">
        <v>190</v>
      </c>
      <c r="V124" s="475" t="s">
        <v>3</v>
      </c>
      <c r="W124" s="121">
        <v>1</v>
      </c>
      <c r="X124" s="476">
        <v>5500</v>
      </c>
      <c r="Y124" s="474"/>
      <c r="Z124" s="474"/>
      <c r="AA124" s="474"/>
      <c r="AB124" s="474"/>
      <c r="AC124" s="475">
        <v>30</v>
      </c>
      <c r="AD124" s="475">
        <v>30</v>
      </c>
      <c r="AE124" s="474"/>
      <c r="AF124" s="474"/>
      <c r="AG124" s="474"/>
      <c r="AH124" s="474"/>
      <c r="AI124" s="474"/>
      <c r="AJ124" s="474"/>
      <c r="AK124" s="477">
        <v>11000</v>
      </c>
      <c r="AL124" s="472" t="s">
        <v>73</v>
      </c>
      <c r="AM124" s="472" t="s">
        <v>73</v>
      </c>
      <c r="AN124" s="472" t="s">
        <v>73</v>
      </c>
      <c r="AO124" s="472" t="s">
        <v>73</v>
      </c>
      <c r="AP124" s="478">
        <v>5500</v>
      </c>
      <c r="AQ124" s="478">
        <v>5500</v>
      </c>
      <c r="AR124" s="472" t="s">
        <v>73</v>
      </c>
      <c r="AS124" s="472" t="s">
        <v>73</v>
      </c>
      <c r="AT124" s="472" t="s">
        <v>73</v>
      </c>
      <c r="AU124" s="472" t="s">
        <v>73</v>
      </c>
      <c r="AV124" s="472" t="s">
        <v>73</v>
      </c>
      <c r="AW124" s="472" t="s">
        <v>73</v>
      </c>
      <c r="AX124" s="30">
        <v>11000</v>
      </c>
      <c r="AY124" s="479" t="s">
        <v>7</v>
      </c>
      <c r="AZ124" s="474" t="s">
        <v>74</v>
      </c>
      <c r="BA124" s="474"/>
      <c r="BB124" s="480"/>
      <c r="BC124" s="480"/>
      <c r="BK124" s="481" t="s">
        <v>790</v>
      </c>
      <c r="BL124" s="481" t="s">
        <v>791</v>
      </c>
      <c r="BM124" s="284" t="s">
        <v>792</v>
      </c>
      <c r="BN124" s="414" t="s">
        <v>793</v>
      </c>
      <c r="BO124" s="284" t="s">
        <v>794</v>
      </c>
      <c r="BP124" s="285">
        <v>46134</v>
      </c>
      <c r="BQ124" s="482"/>
      <c r="BR124" s="963" t="s">
        <v>1222</v>
      </c>
      <c r="BS124" s="482"/>
      <c r="BT124" s="286" t="s">
        <v>796</v>
      </c>
      <c r="BU124" s="482" t="s">
        <v>797</v>
      </c>
      <c r="BV124" s="414" t="s">
        <v>1083</v>
      </c>
      <c r="BW124" s="284" t="s">
        <v>1223</v>
      </c>
      <c r="BX124" s="284" t="s">
        <v>1224</v>
      </c>
      <c r="BY124" s="284">
        <v>72744606</v>
      </c>
      <c r="BZ124" s="284"/>
      <c r="CA124" s="288">
        <v>5500</v>
      </c>
      <c r="CB124" s="483">
        <v>46143</v>
      </c>
      <c r="CC124" s="483">
        <v>46203</v>
      </c>
      <c r="CD124" s="759"/>
      <c r="CE124" s="485">
        <f t="shared" si="338"/>
        <v>30</v>
      </c>
      <c r="CF124" s="484">
        <f t="shared" si="339"/>
        <v>5500</v>
      </c>
      <c r="CG124" s="485">
        <v>30</v>
      </c>
      <c r="CH124" s="485">
        <f t="shared" si="340"/>
        <v>5500</v>
      </c>
      <c r="CI124" s="485">
        <v>30</v>
      </c>
      <c r="CJ124" s="485">
        <f t="shared" si="341"/>
        <v>5500</v>
      </c>
      <c r="CK124" s="484">
        <f t="shared" si="342"/>
        <v>0</v>
      </c>
      <c r="CL124" s="484">
        <f t="shared" si="343"/>
        <v>0</v>
      </c>
      <c r="CM124" s="1006"/>
      <c r="CN124" s="485">
        <f t="shared" si="344"/>
        <v>30</v>
      </c>
      <c r="CO124" s="484">
        <f t="shared" si="345"/>
        <v>5500</v>
      </c>
      <c r="CP124" s="485">
        <v>30</v>
      </c>
      <c r="CQ124" s="485">
        <f t="shared" si="346"/>
        <v>5500</v>
      </c>
      <c r="CR124" s="485">
        <v>30</v>
      </c>
      <c r="CS124" s="485">
        <f t="shared" si="347"/>
        <v>5500</v>
      </c>
      <c r="CT124" s="484">
        <f t="shared" si="348"/>
        <v>0</v>
      </c>
      <c r="CU124" s="484">
        <f t="shared" si="349"/>
        <v>0</v>
      </c>
      <c r="CV124" s="1006"/>
      <c r="CW124" s="1007">
        <f t="shared" si="225"/>
        <v>11000</v>
      </c>
      <c r="CX124" s="486">
        <f t="shared" si="226"/>
        <v>11000</v>
      </c>
      <c r="CY124" s="486">
        <f t="shared" si="227"/>
        <v>11000</v>
      </c>
      <c r="CZ124" s="1007">
        <f t="shared" si="228"/>
        <v>0</v>
      </c>
      <c r="DA124" s="1007">
        <f t="shared" si="229"/>
        <v>0</v>
      </c>
    </row>
    <row r="125" spans="1:108" ht="51" hidden="1" x14ac:dyDescent="0.25">
      <c r="A125" s="472">
        <v>2026</v>
      </c>
      <c r="B125" s="472">
        <v>479</v>
      </c>
      <c r="C125" s="472" t="s">
        <v>64</v>
      </c>
      <c r="D125" s="472" t="s">
        <v>65</v>
      </c>
      <c r="E125" s="472">
        <v>125</v>
      </c>
      <c r="F125" s="472">
        <v>3000654</v>
      </c>
      <c r="G125" s="472">
        <v>5005023</v>
      </c>
      <c r="H125" s="472">
        <v>3</v>
      </c>
      <c r="I125" s="472">
        <v>12</v>
      </c>
      <c r="J125" s="472">
        <v>24</v>
      </c>
      <c r="K125" s="472">
        <v>135560</v>
      </c>
      <c r="L125" s="472" t="s">
        <v>66</v>
      </c>
      <c r="M125" s="124" t="s">
        <v>67</v>
      </c>
      <c r="N125" s="472">
        <v>95</v>
      </c>
      <c r="O125" s="474"/>
      <c r="P125" s="474" t="s">
        <v>4</v>
      </c>
      <c r="Q125" s="472" t="s">
        <v>68</v>
      </c>
      <c r="R125" s="475" t="s">
        <v>69</v>
      </c>
      <c r="S125" s="475" t="s">
        <v>137</v>
      </c>
      <c r="T125" s="475"/>
      <c r="U125" s="124" t="s">
        <v>190</v>
      </c>
      <c r="V125" s="475" t="s">
        <v>3</v>
      </c>
      <c r="W125" s="121">
        <v>1</v>
      </c>
      <c r="X125" s="476">
        <v>5500</v>
      </c>
      <c r="Y125" s="474"/>
      <c r="Z125" s="474"/>
      <c r="AA125" s="474"/>
      <c r="AB125" s="474"/>
      <c r="AC125" s="475">
        <v>30</v>
      </c>
      <c r="AD125" s="475">
        <v>30</v>
      </c>
      <c r="AE125" s="488"/>
      <c r="AF125" s="488"/>
      <c r="AG125" s="488"/>
      <c r="AH125" s="488"/>
      <c r="AI125" s="488"/>
      <c r="AJ125" s="488"/>
      <c r="AK125" s="477">
        <v>11000</v>
      </c>
      <c r="AL125" s="472" t="s">
        <v>73</v>
      </c>
      <c r="AM125" s="472" t="s">
        <v>73</v>
      </c>
      <c r="AN125" s="472" t="s">
        <v>73</v>
      </c>
      <c r="AO125" s="472" t="s">
        <v>73</v>
      </c>
      <c r="AP125" s="478">
        <v>5500</v>
      </c>
      <c r="AQ125" s="478">
        <v>5500</v>
      </c>
      <c r="AR125" s="472" t="s">
        <v>73</v>
      </c>
      <c r="AS125" s="472" t="s">
        <v>73</v>
      </c>
      <c r="AT125" s="472" t="s">
        <v>73</v>
      </c>
      <c r="AU125" s="472" t="s">
        <v>73</v>
      </c>
      <c r="AV125" s="472" t="s">
        <v>73</v>
      </c>
      <c r="AW125" s="472" t="s">
        <v>73</v>
      </c>
      <c r="AX125" s="30">
        <v>11000</v>
      </c>
      <c r="AY125" s="479" t="s">
        <v>7</v>
      </c>
      <c r="AZ125" s="474" t="s">
        <v>74</v>
      </c>
      <c r="BA125" s="474"/>
      <c r="BB125" s="480"/>
      <c r="BC125" s="480"/>
      <c r="BK125" s="481" t="s">
        <v>790</v>
      </c>
      <c r="BL125" s="481" t="s">
        <v>791</v>
      </c>
      <c r="BM125" s="284" t="s">
        <v>1225</v>
      </c>
      <c r="BN125" s="414" t="s">
        <v>1226</v>
      </c>
      <c r="BO125" s="284" t="s">
        <v>1227</v>
      </c>
      <c r="BP125" s="285">
        <v>46154</v>
      </c>
      <c r="BQ125" s="482"/>
      <c r="BR125" s="963" t="s">
        <v>1228</v>
      </c>
      <c r="BS125" s="286"/>
      <c r="BT125" s="286" t="s">
        <v>955</v>
      </c>
      <c r="BU125" s="482" t="s">
        <v>797</v>
      </c>
      <c r="BV125" s="414" t="s">
        <v>1229</v>
      </c>
      <c r="BW125" s="284" t="s">
        <v>1230</v>
      </c>
      <c r="BX125" s="284" t="s">
        <v>1001</v>
      </c>
      <c r="BY125" s="284">
        <v>42929425</v>
      </c>
      <c r="BZ125" s="284">
        <v>10429294253</v>
      </c>
      <c r="CA125" s="288" t="s">
        <v>1231</v>
      </c>
      <c r="CB125" s="483">
        <v>46156</v>
      </c>
      <c r="CC125" s="483">
        <v>46203</v>
      </c>
      <c r="CD125" s="759"/>
      <c r="CE125" s="485">
        <f t="shared" si="29"/>
        <v>30</v>
      </c>
      <c r="CF125" s="484">
        <f>AP125</f>
        <v>5500</v>
      </c>
      <c r="CG125" s="485">
        <v>18</v>
      </c>
      <c r="CH125" s="485">
        <f t="shared" si="31"/>
        <v>3300</v>
      </c>
      <c r="CI125" s="485">
        <v>18</v>
      </c>
      <c r="CJ125" s="485">
        <f t="shared" si="32"/>
        <v>3300</v>
      </c>
      <c r="CK125" s="484">
        <f t="shared" si="33"/>
        <v>2200</v>
      </c>
      <c r="CL125" s="484">
        <f t="shared" si="34"/>
        <v>2200</v>
      </c>
      <c r="CM125" s="1006"/>
      <c r="CN125" s="485">
        <f t="shared" si="35"/>
        <v>30</v>
      </c>
      <c r="CO125" s="484">
        <f t="shared" si="36"/>
        <v>5500</v>
      </c>
      <c r="CP125" s="485">
        <v>30</v>
      </c>
      <c r="CQ125" s="485">
        <f t="shared" si="37"/>
        <v>5500</v>
      </c>
      <c r="CR125" s="485">
        <v>30</v>
      </c>
      <c r="CS125" s="485">
        <f t="shared" si="38"/>
        <v>5500</v>
      </c>
      <c r="CT125" s="484">
        <f t="shared" si="39"/>
        <v>0</v>
      </c>
      <c r="CU125" s="484">
        <f t="shared" si="40"/>
        <v>0</v>
      </c>
      <c r="CV125" s="1006"/>
      <c r="CW125" s="1007">
        <f t="shared" si="225"/>
        <v>11000</v>
      </c>
      <c r="CX125" s="486">
        <f t="shared" si="226"/>
        <v>8800</v>
      </c>
      <c r="CY125" s="486">
        <f t="shared" si="227"/>
        <v>8800</v>
      </c>
      <c r="CZ125" s="1007">
        <f t="shared" si="228"/>
        <v>2200</v>
      </c>
      <c r="DA125" s="1007">
        <f t="shared" si="229"/>
        <v>2200</v>
      </c>
    </row>
    <row r="126" spans="1:108" ht="51" hidden="1" x14ac:dyDescent="0.25">
      <c r="A126" s="472">
        <v>2026</v>
      </c>
      <c r="B126" s="472">
        <v>479</v>
      </c>
      <c r="C126" s="472" t="s">
        <v>64</v>
      </c>
      <c r="D126" s="472" t="s">
        <v>65</v>
      </c>
      <c r="E126" s="472">
        <v>125</v>
      </c>
      <c r="F126" s="472">
        <v>3000654</v>
      </c>
      <c r="G126" s="472">
        <v>5005023</v>
      </c>
      <c r="H126" s="472">
        <v>3</v>
      </c>
      <c r="I126" s="472">
        <v>12</v>
      </c>
      <c r="J126" s="472">
        <v>24</v>
      </c>
      <c r="K126" s="472">
        <v>135560</v>
      </c>
      <c r="L126" s="472" t="s">
        <v>66</v>
      </c>
      <c r="M126" s="124" t="s">
        <v>67</v>
      </c>
      <c r="N126" s="472">
        <v>95</v>
      </c>
      <c r="O126" s="474"/>
      <c r="P126" s="474" t="s">
        <v>4</v>
      </c>
      <c r="Q126" s="472" t="s">
        <v>68</v>
      </c>
      <c r="R126" s="475" t="s">
        <v>69</v>
      </c>
      <c r="S126" s="475" t="s">
        <v>137</v>
      </c>
      <c r="T126" s="475"/>
      <c r="U126" s="124" t="s">
        <v>190</v>
      </c>
      <c r="V126" s="475" t="s">
        <v>3</v>
      </c>
      <c r="W126" s="121">
        <v>1</v>
      </c>
      <c r="X126" s="476">
        <v>5500</v>
      </c>
      <c r="Y126" s="474"/>
      <c r="Z126" s="474"/>
      <c r="AA126" s="474"/>
      <c r="AB126" s="474"/>
      <c r="AC126" s="475">
        <v>30</v>
      </c>
      <c r="AD126" s="475">
        <v>30</v>
      </c>
      <c r="AE126" s="488"/>
      <c r="AF126" s="488"/>
      <c r="AG126" s="488"/>
      <c r="AH126" s="488"/>
      <c r="AI126" s="488"/>
      <c r="AJ126" s="488"/>
      <c r="AK126" s="477">
        <v>11000</v>
      </c>
      <c r="AL126" s="562"/>
      <c r="AM126" s="562"/>
      <c r="AN126" s="562"/>
      <c r="AO126" s="562"/>
      <c r="AP126" s="478">
        <v>5500</v>
      </c>
      <c r="AQ126" s="478">
        <v>5500</v>
      </c>
      <c r="AR126" s="562"/>
      <c r="AS126" s="562"/>
      <c r="AT126" s="562"/>
      <c r="AU126" s="562"/>
      <c r="AV126" s="562"/>
      <c r="AW126" s="562"/>
      <c r="AX126" s="30">
        <v>11000</v>
      </c>
      <c r="AY126" s="479" t="s">
        <v>7</v>
      </c>
      <c r="AZ126" s="474" t="s">
        <v>74</v>
      </c>
      <c r="BA126" s="488"/>
      <c r="BB126" s="480"/>
      <c r="BC126" s="480"/>
      <c r="BK126" s="481" t="s">
        <v>790</v>
      </c>
      <c r="BL126" s="481" t="s">
        <v>791</v>
      </c>
      <c r="BM126" s="284" t="s">
        <v>1225</v>
      </c>
      <c r="BN126" s="414" t="s">
        <v>1226</v>
      </c>
      <c r="BO126" s="284" t="s">
        <v>1227</v>
      </c>
      <c r="BP126" s="285">
        <v>46154</v>
      </c>
      <c r="BQ126" s="482"/>
      <c r="BR126" s="963" t="s">
        <v>1232</v>
      </c>
      <c r="BS126" s="286"/>
      <c r="BT126" s="286" t="s">
        <v>955</v>
      </c>
      <c r="BU126" s="482" t="s">
        <v>797</v>
      </c>
      <c r="BV126" s="414" t="s">
        <v>1233</v>
      </c>
      <c r="BW126" s="284" t="s">
        <v>1234</v>
      </c>
      <c r="BX126" s="284" t="s">
        <v>1235</v>
      </c>
      <c r="BY126" s="284">
        <v>48299226</v>
      </c>
      <c r="BZ126" s="284">
        <v>10482992264</v>
      </c>
      <c r="CA126" s="288" t="s">
        <v>1231</v>
      </c>
      <c r="CB126" s="483">
        <v>46156</v>
      </c>
      <c r="CC126" s="483">
        <v>46203</v>
      </c>
      <c r="CD126" s="759"/>
      <c r="CE126" s="485">
        <f t="shared" ref="CE126:CE131" si="350">AC126</f>
        <v>30</v>
      </c>
      <c r="CF126" s="484">
        <f t="shared" si="339"/>
        <v>5500</v>
      </c>
      <c r="CG126" s="485">
        <v>18</v>
      </c>
      <c r="CH126" s="485">
        <f t="shared" ref="CH126:CH131" si="351">(X126/30)*CG126</f>
        <v>3300</v>
      </c>
      <c r="CI126" s="485">
        <v>18</v>
      </c>
      <c r="CJ126" s="485">
        <f t="shared" ref="CJ126:CJ131" si="352">(X126/30)*CI126</f>
        <v>3300</v>
      </c>
      <c r="CK126" s="484">
        <f t="shared" ref="CK126:CK131" si="353">CF126-CH126</f>
        <v>2200</v>
      </c>
      <c r="CL126" s="484">
        <f t="shared" ref="CL126:CL131" si="354">CF126-CJ126</f>
        <v>2200</v>
      </c>
      <c r="CM126" s="1006"/>
      <c r="CN126" s="485">
        <f t="shared" ref="CN126:CN131" si="355">AD126</f>
        <v>30</v>
      </c>
      <c r="CO126" s="484">
        <f t="shared" ref="CO126:CO131" si="356">AQ126</f>
        <v>5500</v>
      </c>
      <c r="CP126" s="485">
        <v>30</v>
      </c>
      <c r="CQ126" s="485">
        <f t="shared" ref="CQ126:CQ131" si="357">(X126/30)*CP126</f>
        <v>5500</v>
      </c>
      <c r="CR126" s="485">
        <v>30</v>
      </c>
      <c r="CS126" s="485">
        <f t="shared" ref="CS126:CS131" si="358">(X126/30)*CR126</f>
        <v>5500</v>
      </c>
      <c r="CT126" s="484">
        <f t="shared" ref="CT126:CT131" si="359">CO126-CQ126</f>
        <v>0</v>
      </c>
      <c r="CU126" s="484">
        <f t="shared" ref="CU126:CU131" si="360">CO126-CS126</f>
        <v>0</v>
      </c>
      <c r="CV126" s="1006"/>
      <c r="CW126" s="1007">
        <f t="shared" si="225"/>
        <v>11000</v>
      </c>
      <c r="CX126" s="486">
        <f t="shared" si="226"/>
        <v>8800</v>
      </c>
      <c r="CY126" s="486">
        <f t="shared" si="227"/>
        <v>8800</v>
      </c>
      <c r="CZ126" s="1007">
        <f t="shared" si="228"/>
        <v>2200</v>
      </c>
      <c r="DA126" s="1007">
        <f t="shared" si="229"/>
        <v>2200</v>
      </c>
    </row>
    <row r="127" spans="1:108" ht="51" hidden="1" x14ac:dyDescent="0.25">
      <c r="A127" s="472">
        <v>2026</v>
      </c>
      <c r="B127" s="472">
        <v>479</v>
      </c>
      <c r="C127" s="472" t="s">
        <v>64</v>
      </c>
      <c r="D127" s="472" t="s">
        <v>65</v>
      </c>
      <c r="E127" s="472">
        <v>125</v>
      </c>
      <c r="F127" s="472">
        <v>3000654</v>
      </c>
      <c r="G127" s="472">
        <v>5005023</v>
      </c>
      <c r="H127" s="472">
        <v>3</v>
      </c>
      <c r="I127" s="472">
        <v>12</v>
      </c>
      <c r="J127" s="472">
        <v>24</v>
      </c>
      <c r="K127" s="472">
        <v>135560</v>
      </c>
      <c r="L127" s="472" t="s">
        <v>66</v>
      </c>
      <c r="M127" s="124" t="s">
        <v>67</v>
      </c>
      <c r="N127" s="472">
        <v>95</v>
      </c>
      <c r="O127" s="474"/>
      <c r="P127" s="474" t="s">
        <v>4</v>
      </c>
      <c r="Q127" s="472" t="s">
        <v>68</v>
      </c>
      <c r="R127" s="475" t="s">
        <v>69</v>
      </c>
      <c r="S127" s="475" t="s">
        <v>137</v>
      </c>
      <c r="T127" s="475"/>
      <c r="U127" s="124" t="s">
        <v>190</v>
      </c>
      <c r="V127" s="475" t="s">
        <v>3</v>
      </c>
      <c r="W127" s="121">
        <v>1</v>
      </c>
      <c r="X127" s="476">
        <v>5500</v>
      </c>
      <c r="Y127" s="474"/>
      <c r="Z127" s="474"/>
      <c r="AA127" s="474"/>
      <c r="AB127" s="474"/>
      <c r="AC127" s="475">
        <v>30</v>
      </c>
      <c r="AD127" s="475">
        <v>30</v>
      </c>
      <c r="AE127" s="488"/>
      <c r="AF127" s="488"/>
      <c r="AG127" s="488"/>
      <c r="AH127" s="488"/>
      <c r="AI127" s="488"/>
      <c r="AJ127" s="488"/>
      <c r="AK127" s="477">
        <v>11000</v>
      </c>
      <c r="AL127" s="562"/>
      <c r="AM127" s="562"/>
      <c r="AN127" s="562"/>
      <c r="AO127" s="562"/>
      <c r="AP127" s="478">
        <v>5500</v>
      </c>
      <c r="AQ127" s="478">
        <v>5500</v>
      </c>
      <c r="AR127" s="562"/>
      <c r="AS127" s="562"/>
      <c r="AT127" s="562"/>
      <c r="AU127" s="562"/>
      <c r="AV127" s="562"/>
      <c r="AW127" s="562"/>
      <c r="AX127" s="30">
        <v>11000</v>
      </c>
      <c r="AY127" s="479" t="s">
        <v>7</v>
      </c>
      <c r="AZ127" s="474" t="s">
        <v>74</v>
      </c>
      <c r="BA127" s="488"/>
      <c r="BB127" s="480"/>
      <c r="BC127" s="480"/>
      <c r="BK127" s="481" t="s">
        <v>790</v>
      </c>
      <c r="BL127" s="481" t="s">
        <v>791</v>
      </c>
      <c r="BM127" s="284" t="s">
        <v>1225</v>
      </c>
      <c r="BN127" s="414" t="s">
        <v>1226</v>
      </c>
      <c r="BO127" s="284" t="s">
        <v>1227</v>
      </c>
      <c r="BP127" s="285">
        <v>46154</v>
      </c>
      <c r="BQ127" s="482"/>
      <c r="BR127" s="963" t="s">
        <v>1236</v>
      </c>
      <c r="BS127" s="286"/>
      <c r="BT127" s="286" t="s">
        <v>955</v>
      </c>
      <c r="BU127" s="482" t="s">
        <v>797</v>
      </c>
      <c r="BV127" s="414" t="s">
        <v>1153</v>
      </c>
      <c r="BW127" s="284" t="s">
        <v>1237</v>
      </c>
      <c r="BX127" s="284" t="s">
        <v>1238</v>
      </c>
      <c r="BY127" s="284">
        <v>41276624</v>
      </c>
      <c r="BZ127" s="284">
        <v>10412766241</v>
      </c>
      <c r="CA127" s="288" t="s">
        <v>1231</v>
      </c>
      <c r="CB127" s="483">
        <v>46156</v>
      </c>
      <c r="CC127" s="483">
        <v>46203</v>
      </c>
      <c r="CD127" s="759"/>
      <c r="CE127" s="485">
        <f t="shared" si="350"/>
        <v>30</v>
      </c>
      <c r="CF127" s="484">
        <f t="shared" si="339"/>
        <v>5500</v>
      </c>
      <c r="CG127" s="485">
        <v>18</v>
      </c>
      <c r="CH127" s="485">
        <f t="shared" si="351"/>
        <v>3300</v>
      </c>
      <c r="CI127" s="485">
        <v>18</v>
      </c>
      <c r="CJ127" s="485">
        <f t="shared" si="352"/>
        <v>3300</v>
      </c>
      <c r="CK127" s="484">
        <f t="shared" si="353"/>
        <v>2200</v>
      </c>
      <c r="CL127" s="484">
        <f t="shared" si="354"/>
        <v>2200</v>
      </c>
      <c r="CM127" s="1006"/>
      <c r="CN127" s="485">
        <f t="shared" si="355"/>
        <v>30</v>
      </c>
      <c r="CO127" s="484">
        <f t="shared" si="356"/>
        <v>5500</v>
      </c>
      <c r="CP127" s="485">
        <v>30</v>
      </c>
      <c r="CQ127" s="485">
        <f t="shared" si="357"/>
        <v>5500</v>
      </c>
      <c r="CR127" s="485">
        <v>30</v>
      </c>
      <c r="CS127" s="485">
        <f t="shared" si="358"/>
        <v>5500</v>
      </c>
      <c r="CT127" s="484">
        <f t="shared" si="359"/>
        <v>0</v>
      </c>
      <c r="CU127" s="484">
        <f t="shared" si="360"/>
        <v>0</v>
      </c>
      <c r="CV127" s="1006"/>
      <c r="CW127" s="1007">
        <f t="shared" si="225"/>
        <v>11000</v>
      </c>
      <c r="CX127" s="486">
        <f t="shared" si="226"/>
        <v>8800</v>
      </c>
      <c r="CY127" s="486">
        <f t="shared" si="227"/>
        <v>8800</v>
      </c>
      <c r="CZ127" s="1007">
        <f t="shared" si="228"/>
        <v>2200</v>
      </c>
      <c r="DA127" s="1007">
        <f t="shared" si="229"/>
        <v>2200</v>
      </c>
    </row>
    <row r="128" spans="1:108" ht="51" hidden="1" x14ac:dyDescent="0.25">
      <c r="A128" s="472">
        <v>2026</v>
      </c>
      <c r="B128" s="472">
        <v>479</v>
      </c>
      <c r="C128" s="472" t="s">
        <v>64</v>
      </c>
      <c r="D128" s="472" t="s">
        <v>65</v>
      </c>
      <c r="E128" s="472">
        <v>125</v>
      </c>
      <c r="F128" s="472">
        <v>3000654</v>
      </c>
      <c r="G128" s="472">
        <v>5005023</v>
      </c>
      <c r="H128" s="472">
        <v>3</v>
      </c>
      <c r="I128" s="472">
        <v>12</v>
      </c>
      <c r="J128" s="472">
        <v>24</v>
      </c>
      <c r="K128" s="472">
        <v>135560</v>
      </c>
      <c r="L128" s="472" t="s">
        <v>66</v>
      </c>
      <c r="M128" s="124" t="s">
        <v>67</v>
      </c>
      <c r="N128" s="472">
        <v>95</v>
      </c>
      <c r="O128" s="474"/>
      <c r="P128" s="474" t="s">
        <v>4</v>
      </c>
      <c r="Q128" s="472" t="s">
        <v>68</v>
      </c>
      <c r="R128" s="475" t="s">
        <v>69</v>
      </c>
      <c r="S128" s="475" t="s">
        <v>137</v>
      </c>
      <c r="T128" s="475"/>
      <c r="U128" s="124" t="s">
        <v>190</v>
      </c>
      <c r="V128" s="475" t="s">
        <v>3</v>
      </c>
      <c r="W128" s="121">
        <v>1</v>
      </c>
      <c r="X128" s="476">
        <v>5500</v>
      </c>
      <c r="Y128" s="474"/>
      <c r="Z128" s="474"/>
      <c r="AA128" s="474"/>
      <c r="AB128" s="474"/>
      <c r="AC128" s="475">
        <v>30</v>
      </c>
      <c r="AD128" s="475">
        <v>30</v>
      </c>
      <c r="AE128" s="488"/>
      <c r="AF128" s="488"/>
      <c r="AG128" s="488"/>
      <c r="AH128" s="488"/>
      <c r="AI128" s="488"/>
      <c r="AJ128" s="488"/>
      <c r="AK128" s="477">
        <v>11000</v>
      </c>
      <c r="AL128" s="562"/>
      <c r="AM128" s="562"/>
      <c r="AN128" s="562"/>
      <c r="AO128" s="562"/>
      <c r="AP128" s="478">
        <v>5500</v>
      </c>
      <c r="AQ128" s="478">
        <v>5500</v>
      </c>
      <c r="AR128" s="562"/>
      <c r="AS128" s="562"/>
      <c r="AT128" s="562"/>
      <c r="AU128" s="562"/>
      <c r="AV128" s="562"/>
      <c r="AW128" s="562"/>
      <c r="AX128" s="30">
        <v>11000</v>
      </c>
      <c r="AY128" s="479" t="s">
        <v>7</v>
      </c>
      <c r="AZ128" s="474" t="s">
        <v>74</v>
      </c>
      <c r="BA128" s="488"/>
      <c r="BB128" s="480"/>
      <c r="BC128" s="480"/>
      <c r="BK128" s="481" t="s">
        <v>790</v>
      </c>
      <c r="BL128" s="481" t="s">
        <v>791</v>
      </c>
      <c r="BM128" s="284" t="s">
        <v>1225</v>
      </c>
      <c r="BN128" s="414" t="s">
        <v>1226</v>
      </c>
      <c r="BO128" s="284" t="s">
        <v>1227</v>
      </c>
      <c r="BP128" s="285">
        <v>46154</v>
      </c>
      <c r="BQ128" s="482"/>
      <c r="BR128" s="963" t="s">
        <v>1239</v>
      </c>
      <c r="BS128" s="286"/>
      <c r="BT128" s="286" t="s">
        <v>955</v>
      </c>
      <c r="BU128" s="482" t="s">
        <v>797</v>
      </c>
      <c r="BV128" s="414" t="s">
        <v>1007</v>
      </c>
      <c r="BW128" s="284" t="s">
        <v>1240</v>
      </c>
      <c r="BX128" s="284" t="s">
        <v>1241</v>
      </c>
      <c r="BY128" s="284">
        <v>42686126</v>
      </c>
      <c r="BZ128" s="284">
        <v>10426861262</v>
      </c>
      <c r="CA128" s="288" t="s">
        <v>1231</v>
      </c>
      <c r="CB128" s="483">
        <v>46156</v>
      </c>
      <c r="CC128" s="483">
        <v>46203</v>
      </c>
      <c r="CD128" s="759"/>
      <c r="CE128" s="485">
        <f t="shared" si="350"/>
        <v>30</v>
      </c>
      <c r="CF128" s="484">
        <f t="shared" si="339"/>
        <v>5500</v>
      </c>
      <c r="CG128" s="485">
        <v>18</v>
      </c>
      <c r="CH128" s="485">
        <f t="shared" si="351"/>
        <v>3300</v>
      </c>
      <c r="CI128" s="485">
        <v>18</v>
      </c>
      <c r="CJ128" s="485">
        <f t="shared" si="352"/>
        <v>3300</v>
      </c>
      <c r="CK128" s="484">
        <f t="shared" si="353"/>
        <v>2200</v>
      </c>
      <c r="CL128" s="484">
        <f t="shared" si="354"/>
        <v>2200</v>
      </c>
      <c r="CM128" s="1006"/>
      <c r="CN128" s="485">
        <f t="shared" si="355"/>
        <v>30</v>
      </c>
      <c r="CO128" s="484">
        <f t="shared" si="356"/>
        <v>5500</v>
      </c>
      <c r="CP128" s="485">
        <v>30</v>
      </c>
      <c r="CQ128" s="485">
        <f t="shared" si="357"/>
        <v>5500</v>
      </c>
      <c r="CR128" s="485">
        <v>30</v>
      </c>
      <c r="CS128" s="485">
        <f t="shared" si="358"/>
        <v>5500</v>
      </c>
      <c r="CT128" s="484">
        <f t="shared" si="359"/>
        <v>0</v>
      </c>
      <c r="CU128" s="484">
        <f t="shared" si="360"/>
        <v>0</v>
      </c>
      <c r="CV128" s="1006"/>
      <c r="CW128" s="1007">
        <f t="shared" si="225"/>
        <v>11000</v>
      </c>
      <c r="CX128" s="486">
        <f t="shared" si="226"/>
        <v>8800</v>
      </c>
      <c r="CY128" s="486">
        <f t="shared" si="227"/>
        <v>8800</v>
      </c>
      <c r="CZ128" s="1007">
        <f t="shared" si="228"/>
        <v>2200</v>
      </c>
      <c r="DA128" s="1007">
        <f t="shared" si="229"/>
        <v>2200</v>
      </c>
    </row>
    <row r="129" spans="1:108" ht="51" hidden="1" x14ac:dyDescent="0.25">
      <c r="A129" s="472">
        <v>2026</v>
      </c>
      <c r="B129" s="472">
        <v>479</v>
      </c>
      <c r="C129" s="472" t="s">
        <v>64</v>
      </c>
      <c r="D129" s="472" t="s">
        <v>65</v>
      </c>
      <c r="E129" s="472">
        <v>125</v>
      </c>
      <c r="F129" s="472">
        <v>3000654</v>
      </c>
      <c r="G129" s="472">
        <v>5005023</v>
      </c>
      <c r="H129" s="472">
        <v>3</v>
      </c>
      <c r="I129" s="472">
        <v>12</v>
      </c>
      <c r="J129" s="472">
        <v>24</v>
      </c>
      <c r="K129" s="472">
        <v>135560</v>
      </c>
      <c r="L129" s="472" t="s">
        <v>66</v>
      </c>
      <c r="M129" s="124" t="s">
        <v>67</v>
      </c>
      <c r="N129" s="472">
        <v>95</v>
      </c>
      <c r="O129" s="474"/>
      <c r="P129" s="474" t="s">
        <v>4</v>
      </c>
      <c r="Q129" s="472" t="s">
        <v>68</v>
      </c>
      <c r="R129" s="475" t="s">
        <v>69</v>
      </c>
      <c r="S129" s="475" t="s">
        <v>137</v>
      </c>
      <c r="T129" s="475"/>
      <c r="U129" s="124" t="s">
        <v>190</v>
      </c>
      <c r="V129" s="475" t="s">
        <v>3</v>
      </c>
      <c r="W129" s="121">
        <v>1</v>
      </c>
      <c r="X129" s="476">
        <v>5500</v>
      </c>
      <c r="Y129" s="474"/>
      <c r="Z129" s="474"/>
      <c r="AA129" s="474"/>
      <c r="AB129" s="474"/>
      <c r="AC129" s="475">
        <v>30</v>
      </c>
      <c r="AD129" s="475">
        <v>30</v>
      </c>
      <c r="AE129" s="488"/>
      <c r="AF129" s="488"/>
      <c r="AG129" s="488"/>
      <c r="AH129" s="488"/>
      <c r="AI129" s="488"/>
      <c r="AJ129" s="488"/>
      <c r="AK129" s="477">
        <v>11000</v>
      </c>
      <c r="AL129" s="562"/>
      <c r="AM129" s="562"/>
      <c r="AN129" s="562"/>
      <c r="AO129" s="562"/>
      <c r="AP129" s="478">
        <v>5500</v>
      </c>
      <c r="AQ129" s="478">
        <v>5500</v>
      </c>
      <c r="AR129" s="562"/>
      <c r="AS129" s="562"/>
      <c r="AT129" s="562"/>
      <c r="AU129" s="562"/>
      <c r="AV129" s="562"/>
      <c r="AW129" s="562"/>
      <c r="AX129" s="30">
        <v>11000</v>
      </c>
      <c r="AY129" s="479" t="s">
        <v>7</v>
      </c>
      <c r="AZ129" s="474" t="s">
        <v>74</v>
      </c>
      <c r="BA129" s="488"/>
      <c r="BB129" s="480"/>
      <c r="BC129" s="480"/>
      <c r="BK129" s="481" t="s">
        <v>790</v>
      </c>
      <c r="BL129" s="481" t="s">
        <v>791</v>
      </c>
      <c r="BM129" s="284" t="s">
        <v>1225</v>
      </c>
      <c r="BN129" s="414" t="s">
        <v>1226</v>
      </c>
      <c r="BO129" s="284" t="s">
        <v>1227</v>
      </c>
      <c r="BP129" s="285">
        <v>46154</v>
      </c>
      <c r="BQ129" s="482"/>
      <c r="BR129" s="963" t="s">
        <v>1242</v>
      </c>
      <c r="BS129" s="286"/>
      <c r="BT129" s="286" t="s">
        <v>955</v>
      </c>
      <c r="BU129" s="482" t="s">
        <v>835</v>
      </c>
      <c r="BV129" s="414" t="s">
        <v>1243</v>
      </c>
      <c r="BW129" s="284" t="s">
        <v>1244</v>
      </c>
      <c r="BX129" s="284" t="s">
        <v>1245</v>
      </c>
      <c r="BY129" s="284">
        <v>7497785</v>
      </c>
      <c r="BZ129" s="284">
        <v>10074977851</v>
      </c>
      <c r="CA129" s="288" t="s">
        <v>1231</v>
      </c>
      <c r="CB129" s="483">
        <v>46156</v>
      </c>
      <c r="CC129" s="483">
        <v>46203</v>
      </c>
      <c r="CD129" s="759"/>
      <c r="CE129" s="485">
        <f t="shared" si="350"/>
        <v>30</v>
      </c>
      <c r="CF129" s="484">
        <f t="shared" si="339"/>
        <v>5500</v>
      </c>
      <c r="CG129" s="485">
        <v>18</v>
      </c>
      <c r="CH129" s="485">
        <f t="shared" si="351"/>
        <v>3300</v>
      </c>
      <c r="CI129" s="485">
        <v>18</v>
      </c>
      <c r="CJ129" s="485">
        <f t="shared" si="352"/>
        <v>3300</v>
      </c>
      <c r="CK129" s="484">
        <f t="shared" si="353"/>
        <v>2200</v>
      </c>
      <c r="CL129" s="484">
        <f t="shared" si="354"/>
        <v>2200</v>
      </c>
      <c r="CM129" s="1006"/>
      <c r="CN129" s="485">
        <f t="shared" si="355"/>
        <v>30</v>
      </c>
      <c r="CO129" s="484">
        <f t="shared" si="356"/>
        <v>5500</v>
      </c>
      <c r="CP129" s="485">
        <v>30</v>
      </c>
      <c r="CQ129" s="485">
        <f t="shared" si="357"/>
        <v>5500</v>
      </c>
      <c r="CR129" s="485">
        <v>30</v>
      </c>
      <c r="CS129" s="485">
        <f t="shared" si="358"/>
        <v>5500</v>
      </c>
      <c r="CT129" s="484">
        <f t="shared" si="359"/>
        <v>0</v>
      </c>
      <c r="CU129" s="484">
        <f t="shared" si="360"/>
        <v>0</v>
      </c>
      <c r="CV129" s="1006"/>
      <c r="CW129" s="1007">
        <f t="shared" si="225"/>
        <v>11000</v>
      </c>
      <c r="CX129" s="486">
        <f t="shared" si="226"/>
        <v>8800</v>
      </c>
      <c r="CY129" s="486">
        <f t="shared" si="227"/>
        <v>8800</v>
      </c>
      <c r="CZ129" s="1007">
        <f t="shared" si="228"/>
        <v>2200</v>
      </c>
      <c r="DA129" s="1007">
        <f t="shared" si="229"/>
        <v>2200</v>
      </c>
    </row>
    <row r="130" spans="1:108" ht="51" hidden="1" x14ac:dyDescent="0.25">
      <c r="A130" s="472">
        <v>2026</v>
      </c>
      <c r="B130" s="472">
        <v>479</v>
      </c>
      <c r="C130" s="472" t="s">
        <v>64</v>
      </c>
      <c r="D130" s="472" t="s">
        <v>65</v>
      </c>
      <c r="E130" s="472">
        <v>125</v>
      </c>
      <c r="F130" s="472">
        <v>3000654</v>
      </c>
      <c r="G130" s="472">
        <v>5005023</v>
      </c>
      <c r="H130" s="472">
        <v>3</v>
      </c>
      <c r="I130" s="472">
        <v>12</v>
      </c>
      <c r="J130" s="472">
        <v>24</v>
      </c>
      <c r="K130" s="472">
        <v>135560</v>
      </c>
      <c r="L130" s="472" t="s">
        <v>66</v>
      </c>
      <c r="M130" s="124" t="s">
        <v>67</v>
      </c>
      <c r="N130" s="472">
        <v>95</v>
      </c>
      <c r="O130" s="474"/>
      <c r="P130" s="474" t="s">
        <v>4</v>
      </c>
      <c r="Q130" s="472" t="s">
        <v>68</v>
      </c>
      <c r="R130" s="475" t="s">
        <v>69</v>
      </c>
      <c r="S130" s="475" t="s">
        <v>137</v>
      </c>
      <c r="T130" s="475"/>
      <c r="U130" s="124" t="s">
        <v>190</v>
      </c>
      <c r="V130" s="475" t="s">
        <v>3</v>
      </c>
      <c r="W130" s="121">
        <v>1</v>
      </c>
      <c r="X130" s="476">
        <v>5500</v>
      </c>
      <c r="Y130" s="474"/>
      <c r="Z130" s="474"/>
      <c r="AA130" s="474"/>
      <c r="AB130" s="474"/>
      <c r="AC130" s="475">
        <v>30</v>
      </c>
      <c r="AD130" s="475">
        <v>30</v>
      </c>
      <c r="AE130" s="488"/>
      <c r="AF130" s="488"/>
      <c r="AG130" s="488"/>
      <c r="AH130" s="488"/>
      <c r="AI130" s="488"/>
      <c r="AJ130" s="488"/>
      <c r="AK130" s="477">
        <v>11000</v>
      </c>
      <c r="AL130" s="562"/>
      <c r="AM130" s="562"/>
      <c r="AN130" s="562"/>
      <c r="AO130" s="562"/>
      <c r="AP130" s="478">
        <v>5500</v>
      </c>
      <c r="AQ130" s="478">
        <v>5500</v>
      </c>
      <c r="AR130" s="562"/>
      <c r="AS130" s="562"/>
      <c r="AT130" s="562"/>
      <c r="AU130" s="562"/>
      <c r="AV130" s="562"/>
      <c r="AW130" s="562"/>
      <c r="AX130" s="30">
        <v>11000</v>
      </c>
      <c r="AY130" s="479" t="s">
        <v>7</v>
      </c>
      <c r="AZ130" s="474" t="s">
        <v>74</v>
      </c>
      <c r="BA130" s="488"/>
      <c r="BB130" s="480"/>
      <c r="BC130" s="480"/>
      <c r="BK130" s="481" t="s">
        <v>790</v>
      </c>
      <c r="BL130" s="481" t="s">
        <v>791</v>
      </c>
      <c r="BM130" s="284" t="s">
        <v>1225</v>
      </c>
      <c r="BN130" s="414" t="s">
        <v>1226</v>
      </c>
      <c r="BO130" s="284" t="s">
        <v>1227</v>
      </c>
      <c r="BP130" s="285">
        <v>46154</v>
      </c>
      <c r="BQ130" s="482"/>
      <c r="BR130" s="963" t="s">
        <v>1246</v>
      </c>
      <c r="BS130" s="286"/>
      <c r="BT130" s="286" t="s">
        <v>955</v>
      </c>
      <c r="BU130" s="482" t="s">
        <v>797</v>
      </c>
      <c r="BV130" s="414" t="s">
        <v>1212</v>
      </c>
      <c r="BW130" s="284" t="s">
        <v>956</v>
      </c>
      <c r="BX130" s="284" t="s">
        <v>1247</v>
      </c>
      <c r="BY130" s="284">
        <v>6779120</v>
      </c>
      <c r="BZ130" s="284">
        <v>10067791202</v>
      </c>
      <c r="CA130" s="288" t="s">
        <v>1231</v>
      </c>
      <c r="CB130" s="483">
        <v>46156</v>
      </c>
      <c r="CC130" s="483">
        <v>46203</v>
      </c>
      <c r="CD130" s="759"/>
      <c r="CE130" s="485">
        <f t="shared" si="350"/>
        <v>30</v>
      </c>
      <c r="CF130" s="484">
        <f t="shared" si="339"/>
        <v>5500</v>
      </c>
      <c r="CG130" s="485">
        <v>18</v>
      </c>
      <c r="CH130" s="485">
        <f t="shared" si="351"/>
        <v>3300</v>
      </c>
      <c r="CI130" s="485">
        <v>18</v>
      </c>
      <c r="CJ130" s="485">
        <f t="shared" si="352"/>
        <v>3300</v>
      </c>
      <c r="CK130" s="484">
        <f t="shared" si="353"/>
        <v>2200</v>
      </c>
      <c r="CL130" s="484">
        <f t="shared" si="354"/>
        <v>2200</v>
      </c>
      <c r="CM130" s="1006"/>
      <c r="CN130" s="485">
        <f t="shared" si="355"/>
        <v>30</v>
      </c>
      <c r="CO130" s="484">
        <f t="shared" si="356"/>
        <v>5500</v>
      </c>
      <c r="CP130" s="485">
        <v>30</v>
      </c>
      <c r="CQ130" s="485">
        <f t="shared" si="357"/>
        <v>5500</v>
      </c>
      <c r="CR130" s="485">
        <v>30</v>
      </c>
      <c r="CS130" s="485">
        <f t="shared" si="358"/>
        <v>5500</v>
      </c>
      <c r="CT130" s="484">
        <f t="shared" si="359"/>
        <v>0</v>
      </c>
      <c r="CU130" s="484">
        <f t="shared" si="360"/>
        <v>0</v>
      </c>
      <c r="CV130" s="1006"/>
      <c r="CW130" s="1007">
        <f t="shared" si="225"/>
        <v>11000</v>
      </c>
      <c r="CX130" s="486">
        <f t="shared" si="226"/>
        <v>8800</v>
      </c>
      <c r="CY130" s="486">
        <f t="shared" si="227"/>
        <v>8800</v>
      </c>
      <c r="CZ130" s="1007">
        <f t="shared" si="228"/>
        <v>2200</v>
      </c>
      <c r="DA130" s="1007">
        <f t="shared" si="229"/>
        <v>2200</v>
      </c>
    </row>
    <row r="131" spans="1:108" ht="51" hidden="1" x14ac:dyDescent="0.25">
      <c r="A131" s="472">
        <v>2026</v>
      </c>
      <c r="B131" s="472">
        <v>479</v>
      </c>
      <c r="C131" s="472" t="s">
        <v>64</v>
      </c>
      <c r="D131" s="472" t="s">
        <v>65</v>
      </c>
      <c r="E131" s="472">
        <v>125</v>
      </c>
      <c r="F131" s="472">
        <v>3000654</v>
      </c>
      <c r="G131" s="472">
        <v>5005023</v>
      </c>
      <c r="H131" s="472">
        <v>3</v>
      </c>
      <c r="I131" s="472">
        <v>12</v>
      </c>
      <c r="J131" s="472">
        <v>24</v>
      </c>
      <c r="K131" s="472">
        <v>135560</v>
      </c>
      <c r="L131" s="472" t="s">
        <v>66</v>
      </c>
      <c r="M131" s="124" t="s">
        <v>67</v>
      </c>
      <c r="N131" s="472">
        <v>95</v>
      </c>
      <c r="O131" s="474"/>
      <c r="P131" s="474" t="s">
        <v>4</v>
      </c>
      <c r="Q131" s="472" t="s">
        <v>68</v>
      </c>
      <c r="R131" s="475" t="s">
        <v>69</v>
      </c>
      <c r="S131" s="475" t="s">
        <v>137</v>
      </c>
      <c r="T131" s="475"/>
      <c r="U131" s="124" t="s">
        <v>190</v>
      </c>
      <c r="V131" s="475" t="s">
        <v>3</v>
      </c>
      <c r="W131" s="121">
        <v>2</v>
      </c>
      <c r="X131" s="476">
        <v>5500</v>
      </c>
      <c r="Y131" s="474"/>
      <c r="Z131" s="474"/>
      <c r="AA131" s="474"/>
      <c r="AB131" s="474"/>
      <c r="AC131" s="475">
        <v>30</v>
      </c>
      <c r="AD131" s="475">
        <v>30</v>
      </c>
      <c r="AE131" s="488"/>
      <c r="AF131" s="488"/>
      <c r="AG131" s="488"/>
      <c r="AH131" s="488"/>
      <c r="AI131" s="488"/>
      <c r="AJ131" s="488"/>
      <c r="AK131" s="477">
        <v>22000</v>
      </c>
      <c r="AL131" s="562"/>
      <c r="AM131" s="562"/>
      <c r="AN131" s="562"/>
      <c r="AO131" s="562"/>
      <c r="AP131" s="478">
        <v>5500</v>
      </c>
      <c r="AQ131" s="478">
        <v>5500</v>
      </c>
      <c r="AR131" s="562"/>
      <c r="AS131" s="562"/>
      <c r="AT131" s="562"/>
      <c r="AU131" s="562"/>
      <c r="AV131" s="562"/>
      <c r="AW131" s="562"/>
      <c r="AX131" s="30">
        <v>22000</v>
      </c>
      <c r="AY131" s="479" t="s">
        <v>7</v>
      </c>
      <c r="AZ131" s="474" t="s">
        <v>74</v>
      </c>
      <c r="BA131" s="488"/>
      <c r="BB131" s="480"/>
      <c r="BC131" s="480"/>
      <c r="BK131" s="481" t="s">
        <v>802</v>
      </c>
      <c r="BL131" s="481" t="s">
        <v>803</v>
      </c>
      <c r="BM131" s="284"/>
      <c r="BN131" s="414"/>
      <c r="BO131" s="284"/>
      <c r="BP131" s="285"/>
      <c r="BQ131" s="482"/>
      <c r="BR131" s="482"/>
      <c r="BS131" s="482"/>
      <c r="BT131" s="482"/>
      <c r="BU131" s="482"/>
      <c r="BV131" s="284"/>
      <c r="BW131" s="284"/>
      <c r="BX131" s="284"/>
      <c r="BY131" s="284"/>
      <c r="BZ131" s="284"/>
      <c r="CA131" s="288"/>
      <c r="CB131" s="483"/>
      <c r="CC131" s="483"/>
      <c r="CD131" s="759"/>
      <c r="CE131" s="485">
        <f t="shared" si="350"/>
        <v>30</v>
      </c>
      <c r="CF131" s="484">
        <f t="shared" si="339"/>
        <v>5500</v>
      </c>
      <c r="CG131" s="485"/>
      <c r="CH131" s="485">
        <f t="shared" si="351"/>
        <v>0</v>
      </c>
      <c r="CI131" s="485"/>
      <c r="CJ131" s="485">
        <f t="shared" si="352"/>
        <v>0</v>
      </c>
      <c r="CK131" s="484">
        <f t="shared" si="353"/>
        <v>5500</v>
      </c>
      <c r="CL131" s="484">
        <f t="shared" si="354"/>
        <v>5500</v>
      </c>
      <c r="CM131" s="1006"/>
      <c r="CN131" s="485">
        <f t="shared" si="355"/>
        <v>30</v>
      </c>
      <c r="CO131" s="484">
        <f t="shared" si="356"/>
        <v>5500</v>
      </c>
      <c r="CP131" s="485"/>
      <c r="CQ131" s="485">
        <f t="shared" si="357"/>
        <v>0</v>
      </c>
      <c r="CR131" s="485"/>
      <c r="CS131" s="485">
        <f t="shared" si="358"/>
        <v>0</v>
      </c>
      <c r="CT131" s="484">
        <f t="shared" si="359"/>
        <v>5500</v>
      </c>
      <c r="CU131" s="484">
        <f t="shared" si="360"/>
        <v>5500</v>
      </c>
      <c r="CV131" s="1006"/>
      <c r="CW131" s="1007">
        <f t="shared" si="225"/>
        <v>22000</v>
      </c>
      <c r="CX131" s="486">
        <f t="shared" si="226"/>
        <v>0</v>
      </c>
      <c r="CY131" s="486">
        <f t="shared" si="227"/>
        <v>0</v>
      </c>
      <c r="CZ131" s="1007">
        <f t="shared" si="228"/>
        <v>22000</v>
      </c>
      <c r="DA131" s="1007">
        <f t="shared" si="229"/>
        <v>22000</v>
      </c>
    </row>
    <row r="132" spans="1:108" ht="51" hidden="1" x14ac:dyDescent="0.25">
      <c r="A132" s="472">
        <v>2026</v>
      </c>
      <c r="B132" s="472">
        <v>479</v>
      </c>
      <c r="C132" s="472" t="s">
        <v>64</v>
      </c>
      <c r="D132" s="472" t="s">
        <v>65</v>
      </c>
      <c r="E132" s="472">
        <v>125</v>
      </c>
      <c r="F132" s="472">
        <v>3000654</v>
      </c>
      <c r="G132" s="472">
        <v>5005023</v>
      </c>
      <c r="H132" s="472">
        <v>3</v>
      </c>
      <c r="I132" s="472">
        <v>12</v>
      </c>
      <c r="J132" s="472">
        <v>24</v>
      </c>
      <c r="K132" s="472">
        <v>135560</v>
      </c>
      <c r="L132" s="472" t="s">
        <v>66</v>
      </c>
      <c r="M132" s="124" t="s">
        <v>67</v>
      </c>
      <c r="N132" s="472">
        <v>95</v>
      </c>
      <c r="O132" s="474"/>
      <c r="P132" s="474" t="s">
        <v>4</v>
      </c>
      <c r="Q132" s="472" t="s">
        <v>68</v>
      </c>
      <c r="R132" s="475" t="s">
        <v>69</v>
      </c>
      <c r="S132" s="475" t="s">
        <v>137</v>
      </c>
      <c r="T132" s="475"/>
      <c r="U132" s="124" t="s">
        <v>191</v>
      </c>
      <c r="V132" s="475" t="s">
        <v>3</v>
      </c>
      <c r="W132" s="121">
        <v>1</v>
      </c>
      <c r="X132" s="476">
        <v>5000</v>
      </c>
      <c r="Y132" s="474"/>
      <c r="Z132" s="474"/>
      <c r="AA132" s="474"/>
      <c r="AB132" s="474"/>
      <c r="AC132" s="475">
        <v>30</v>
      </c>
      <c r="AD132" s="475">
        <v>30</v>
      </c>
      <c r="AE132" s="488"/>
      <c r="AF132" s="488"/>
      <c r="AG132" s="488"/>
      <c r="AH132" s="488"/>
      <c r="AI132" s="488"/>
      <c r="AJ132" s="488"/>
      <c r="AK132" s="477">
        <v>10000</v>
      </c>
      <c r="AL132" s="472" t="s">
        <v>73</v>
      </c>
      <c r="AM132" s="472" t="s">
        <v>73</v>
      </c>
      <c r="AN132" s="472" t="s">
        <v>73</v>
      </c>
      <c r="AO132" s="472" t="s">
        <v>73</v>
      </c>
      <c r="AP132" s="478">
        <v>5000</v>
      </c>
      <c r="AQ132" s="478">
        <v>5000</v>
      </c>
      <c r="AR132" s="472" t="s">
        <v>73</v>
      </c>
      <c r="AS132" s="472" t="s">
        <v>73</v>
      </c>
      <c r="AT132" s="472" t="s">
        <v>73</v>
      </c>
      <c r="AU132" s="472" t="s">
        <v>73</v>
      </c>
      <c r="AV132" s="472" t="s">
        <v>73</v>
      </c>
      <c r="AW132" s="472" t="s">
        <v>73</v>
      </c>
      <c r="AX132" s="30">
        <v>10000</v>
      </c>
      <c r="AY132" s="479" t="s">
        <v>7</v>
      </c>
      <c r="AZ132" s="474" t="s">
        <v>74</v>
      </c>
      <c r="BA132" s="474"/>
      <c r="BB132" s="480"/>
      <c r="BC132" s="480"/>
      <c r="BK132" s="481" t="s">
        <v>790</v>
      </c>
      <c r="BL132" s="481" t="s">
        <v>791</v>
      </c>
      <c r="BM132" s="284" t="s">
        <v>792</v>
      </c>
      <c r="BN132" s="414" t="s">
        <v>793</v>
      </c>
      <c r="BO132" s="284" t="s">
        <v>794</v>
      </c>
      <c r="BP132" s="285">
        <v>46134</v>
      </c>
      <c r="BQ132" s="482"/>
      <c r="BR132" s="963" t="s">
        <v>1248</v>
      </c>
      <c r="BS132" s="482"/>
      <c r="BT132" s="286" t="s">
        <v>796</v>
      </c>
      <c r="BU132" s="482" t="s">
        <v>797</v>
      </c>
      <c r="BV132" s="414" t="s">
        <v>918</v>
      </c>
      <c r="BW132" s="284" t="s">
        <v>1249</v>
      </c>
      <c r="BX132" s="284" t="s">
        <v>1250</v>
      </c>
      <c r="BY132" s="284">
        <v>47131930</v>
      </c>
      <c r="BZ132" s="284"/>
      <c r="CA132" s="288">
        <v>5000</v>
      </c>
      <c r="CB132" s="483">
        <v>46143</v>
      </c>
      <c r="CC132" s="483">
        <v>46203</v>
      </c>
      <c r="CD132" s="759"/>
      <c r="CE132" s="485">
        <f t="shared" si="29"/>
        <v>30</v>
      </c>
      <c r="CF132" s="484">
        <f t="shared" si="30"/>
        <v>5000</v>
      </c>
      <c r="CG132" s="485">
        <v>30</v>
      </c>
      <c r="CH132" s="485">
        <f t="shared" si="31"/>
        <v>5000</v>
      </c>
      <c r="CI132" s="485">
        <v>30</v>
      </c>
      <c r="CJ132" s="485">
        <f t="shared" si="32"/>
        <v>5000</v>
      </c>
      <c r="CK132" s="484">
        <f t="shared" si="33"/>
        <v>0</v>
      </c>
      <c r="CL132" s="484">
        <f t="shared" si="34"/>
        <v>0</v>
      </c>
      <c r="CM132" s="1006"/>
      <c r="CN132" s="485">
        <f t="shared" si="35"/>
        <v>30</v>
      </c>
      <c r="CO132" s="484">
        <f t="shared" si="36"/>
        <v>5000</v>
      </c>
      <c r="CP132" s="485">
        <v>30</v>
      </c>
      <c r="CQ132" s="485">
        <f t="shared" si="37"/>
        <v>5000</v>
      </c>
      <c r="CR132" s="485">
        <v>30</v>
      </c>
      <c r="CS132" s="485">
        <f t="shared" si="38"/>
        <v>5000</v>
      </c>
      <c r="CT132" s="484">
        <f t="shared" si="39"/>
        <v>0</v>
      </c>
      <c r="CU132" s="484">
        <f t="shared" si="40"/>
        <v>0</v>
      </c>
      <c r="CV132" s="1006"/>
      <c r="CW132" s="1007">
        <f t="shared" si="225"/>
        <v>10000</v>
      </c>
      <c r="CX132" s="486">
        <f t="shared" si="226"/>
        <v>10000</v>
      </c>
      <c r="CY132" s="486">
        <f t="shared" si="227"/>
        <v>10000</v>
      </c>
      <c r="CZ132" s="1007">
        <f t="shared" si="228"/>
        <v>0</v>
      </c>
      <c r="DA132" s="1007">
        <f t="shared" si="229"/>
        <v>0</v>
      </c>
    </row>
    <row r="133" spans="1:108" ht="51" hidden="1" x14ac:dyDescent="0.25">
      <c r="A133" s="472">
        <v>2026</v>
      </c>
      <c r="B133" s="472">
        <v>479</v>
      </c>
      <c r="C133" s="472" t="s">
        <v>64</v>
      </c>
      <c r="D133" s="472" t="s">
        <v>65</v>
      </c>
      <c r="E133" s="472">
        <v>125</v>
      </c>
      <c r="F133" s="472">
        <v>3000654</v>
      </c>
      <c r="G133" s="472">
        <v>5005023</v>
      </c>
      <c r="H133" s="472">
        <v>3</v>
      </c>
      <c r="I133" s="472">
        <v>12</v>
      </c>
      <c r="J133" s="472">
        <v>24</v>
      </c>
      <c r="K133" s="472">
        <v>135560</v>
      </c>
      <c r="L133" s="472" t="s">
        <v>66</v>
      </c>
      <c r="M133" s="124" t="s">
        <v>67</v>
      </c>
      <c r="N133" s="472">
        <v>95</v>
      </c>
      <c r="O133" s="474"/>
      <c r="P133" s="474" t="s">
        <v>4</v>
      </c>
      <c r="Q133" s="472" t="s">
        <v>68</v>
      </c>
      <c r="R133" s="475" t="s">
        <v>69</v>
      </c>
      <c r="S133" s="475" t="s">
        <v>137</v>
      </c>
      <c r="T133" s="475"/>
      <c r="U133" s="124" t="s">
        <v>192</v>
      </c>
      <c r="V133" s="475" t="s">
        <v>3</v>
      </c>
      <c r="W133" s="121">
        <v>1</v>
      </c>
      <c r="X133" s="476">
        <v>3000</v>
      </c>
      <c r="Y133" s="474"/>
      <c r="Z133" s="474"/>
      <c r="AA133" s="474"/>
      <c r="AB133" s="474"/>
      <c r="AC133" s="475"/>
      <c r="AD133" s="563">
        <v>30</v>
      </c>
      <c r="AE133" s="488"/>
      <c r="AF133" s="488"/>
      <c r="AG133" s="488"/>
      <c r="AH133" s="488"/>
      <c r="AI133" s="488"/>
      <c r="AJ133" s="488"/>
      <c r="AK133" s="476">
        <v>3000</v>
      </c>
      <c r="AL133" s="472"/>
      <c r="AM133" s="472"/>
      <c r="AN133" s="472"/>
      <c r="AO133" s="472"/>
      <c r="AP133" s="564"/>
      <c r="AQ133" s="567">
        <v>3000</v>
      </c>
      <c r="AR133" s="472" t="s">
        <v>73</v>
      </c>
      <c r="AS133" s="472" t="s">
        <v>73</v>
      </c>
      <c r="AT133" s="472" t="s">
        <v>73</v>
      </c>
      <c r="AU133" s="472" t="s">
        <v>73</v>
      </c>
      <c r="AV133" s="472" t="s">
        <v>73</v>
      </c>
      <c r="AW133" s="472" t="s">
        <v>73</v>
      </c>
      <c r="AX133" s="476">
        <v>3000</v>
      </c>
      <c r="AY133" s="479" t="s">
        <v>7</v>
      </c>
      <c r="AZ133" s="474" t="s">
        <v>74</v>
      </c>
      <c r="BA133" s="474"/>
      <c r="BB133" s="480"/>
      <c r="BC133" s="480"/>
      <c r="BK133" s="481" t="s">
        <v>790</v>
      </c>
      <c r="BL133" s="481" t="s">
        <v>791</v>
      </c>
      <c r="BM133" s="487" t="s">
        <v>1251</v>
      </c>
      <c r="BN133" s="565" t="s">
        <v>1252</v>
      </c>
      <c r="BO133" s="284" t="s">
        <v>1253</v>
      </c>
      <c r="BP133" s="285">
        <v>46167</v>
      </c>
      <c r="BQ133" s="482"/>
      <c r="BR133" s="965">
        <v>4916</v>
      </c>
      <c r="BS133" s="482"/>
      <c r="BT133" s="482"/>
      <c r="BU133" s="482" t="s">
        <v>1254</v>
      </c>
      <c r="BV133" s="414" t="s">
        <v>1255</v>
      </c>
      <c r="BW133" s="566" t="s">
        <v>1256</v>
      </c>
      <c r="BX133" s="566" t="s">
        <v>1257</v>
      </c>
      <c r="BY133" s="284">
        <v>45620539</v>
      </c>
      <c r="BZ133" s="284">
        <v>10456205394</v>
      </c>
      <c r="CA133" s="288">
        <v>3000</v>
      </c>
      <c r="CB133" s="285">
        <v>46174</v>
      </c>
      <c r="CC133" s="285">
        <v>46203</v>
      </c>
      <c r="CD133" s="759"/>
      <c r="CE133" s="485">
        <f t="shared" si="29"/>
        <v>0</v>
      </c>
      <c r="CF133" s="484">
        <f t="shared" si="30"/>
        <v>0</v>
      </c>
      <c r="CG133" s="485"/>
      <c r="CH133" s="485">
        <f t="shared" si="31"/>
        <v>0</v>
      </c>
      <c r="CI133" s="485"/>
      <c r="CJ133" s="485">
        <f t="shared" si="32"/>
        <v>0</v>
      </c>
      <c r="CK133" s="484">
        <f t="shared" si="33"/>
        <v>0</v>
      </c>
      <c r="CL133" s="484">
        <f t="shared" si="34"/>
        <v>0</v>
      </c>
      <c r="CM133" s="1006"/>
      <c r="CN133" s="485">
        <f t="shared" si="35"/>
        <v>30</v>
      </c>
      <c r="CO133" s="484">
        <f t="shared" si="36"/>
        <v>3000</v>
      </c>
      <c r="CP133" s="485">
        <v>30</v>
      </c>
      <c r="CQ133" s="484">
        <f t="shared" si="37"/>
        <v>3000</v>
      </c>
      <c r="CR133" s="485">
        <v>30</v>
      </c>
      <c r="CS133" s="484">
        <f t="shared" si="38"/>
        <v>3000</v>
      </c>
      <c r="CT133" s="484">
        <f t="shared" si="39"/>
        <v>0</v>
      </c>
      <c r="CU133" s="484">
        <f t="shared" si="40"/>
        <v>0</v>
      </c>
      <c r="CV133" s="1006"/>
      <c r="CW133" s="1007">
        <f t="shared" ref="CW133:CW196" si="361">AX133</f>
        <v>3000</v>
      </c>
      <c r="CX133" s="486">
        <f t="shared" ref="CX133:CX196" si="362">CH133+CQ133</f>
        <v>3000</v>
      </c>
      <c r="CY133" s="486">
        <f t="shared" ref="CY133:CY196" si="363">CJ133+CS133</f>
        <v>3000</v>
      </c>
      <c r="CZ133" s="1007">
        <f t="shared" ref="CZ133:CZ196" si="364">CW133-CX133</f>
        <v>0</v>
      </c>
      <c r="DA133" s="1007">
        <f t="shared" ref="DA133:DA196" si="365">CW133-CY133</f>
        <v>0</v>
      </c>
    </row>
    <row r="134" spans="1:108" ht="51" hidden="1" x14ac:dyDescent="0.25">
      <c r="A134" s="472">
        <v>2026</v>
      </c>
      <c r="B134" s="472">
        <v>479</v>
      </c>
      <c r="C134" s="472" t="s">
        <v>64</v>
      </c>
      <c r="D134" s="472" t="s">
        <v>65</v>
      </c>
      <c r="E134" s="472">
        <v>125</v>
      </c>
      <c r="F134" s="472">
        <v>3000654</v>
      </c>
      <c r="G134" s="472">
        <v>5005023</v>
      </c>
      <c r="H134" s="472">
        <v>3</v>
      </c>
      <c r="I134" s="472">
        <v>12</v>
      </c>
      <c r="J134" s="472">
        <v>24</v>
      </c>
      <c r="K134" s="472">
        <v>135560</v>
      </c>
      <c r="L134" s="472" t="s">
        <v>66</v>
      </c>
      <c r="M134" s="124" t="s">
        <v>67</v>
      </c>
      <c r="N134" s="472">
        <v>95</v>
      </c>
      <c r="O134" s="474"/>
      <c r="P134" s="474" t="s">
        <v>4</v>
      </c>
      <c r="Q134" s="472" t="s">
        <v>68</v>
      </c>
      <c r="R134" s="475" t="s">
        <v>69</v>
      </c>
      <c r="S134" s="475" t="s">
        <v>137</v>
      </c>
      <c r="T134" s="475"/>
      <c r="U134" s="124" t="s">
        <v>192</v>
      </c>
      <c r="V134" s="475" t="s">
        <v>3</v>
      </c>
      <c r="W134" s="121">
        <v>1</v>
      </c>
      <c r="X134" s="476">
        <v>3000</v>
      </c>
      <c r="Y134" s="475"/>
      <c r="Z134" s="475"/>
      <c r="AA134" s="476"/>
      <c r="AB134" s="475"/>
      <c r="AC134" s="475"/>
      <c r="AD134" s="563">
        <v>30</v>
      </c>
      <c r="AE134" s="475"/>
      <c r="AF134" s="475"/>
      <c r="AG134" s="476"/>
      <c r="AH134" s="475"/>
      <c r="AI134" s="475"/>
      <c r="AJ134" s="476"/>
      <c r="AK134" s="476">
        <v>3000</v>
      </c>
      <c r="AL134" s="475"/>
      <c r="AM134" s="476"/>
      <c r="AN134" s="475"/>
      <c r="AO134" s="475"/>
      <c r="AP134" s="567"/>
      <c r="AQ134" s="567">
        <v>3000</v>
      </c>
      <c r="AR134" s="472" t="s">
        <v>73</v>
      </c>
      <c r="AS134" s="472" t="s">
        <v>73</v>
      </c>
      <c r="AT134" s="472" t="s">
        <v>73</v>
      </c>
      <c r="AU134" s="472" t="s">
        <v>73</v>
      </c>
      <c r="AV134" s="472" t="s">
        <v>73</v>
      </c>
      <c r="AW134" s="472" t="s">
        <v>73</v>
      </c>
      <c r="AX134" s="476">
        <v>3000</v>
      </c>
      <c r="AY134" s="479" t="s">
        <v>7</v>
      </c>
      <c r="AZ134" s="474" t="s">
        <v>74</v>
      </c>
      <c r="BA134" s="474"/>
      <c r="BB134" s="480"/>
      <c r="BC134" s="480"/>
      <c r="BK134" s="481" t="s">
        <v>790</v>
      </c>
      <c r="BL134" s="481" t="s">
        <v>791</v>
      </c>
      <c r="BM134" s="487" t="s">
        <v>1251</v>
      </c>
      <c r="BN134" s="565" t="s">
        <v>1252</v>
      </c>
      <c r="BO134" s="284" t="s">
        <v>1253</v>
      </c>
      <c r="BP134" s="285">
        <v>46167</v>
      </c>
      <c r="BQ134" s="482"/>
      <c r="BR134" s="965">
        <v>4917</v>
      </c>
      <c r="BS134" s="482"/>
      <c r="BT134" s="482"/>
      <c r="BU134" s="482" t="s">
        <v>1254</v>
      </c>
      <c r="BV134" s="414" t="s">
        <v>1065</v>
      </c>
      <c r="BW134" s="566" t="s">
        <v>1258</v>
      </c>
      <c r="BX134" s="566" t="s">
        <v>1259</v>
      </c>
      <c r="BY134" s="284">
        <v>41044435</v>
      </c>
      <c r="BZ134" s="284">
        <v>10410444351</v>
      </c>
      <c r="CA134" s="288">
        <v>3000</v>
      </c>
      <c r="CB134" s="285">
        <v>46174</v>
      </c>
      <c r="CC134" s="285">
        <v>46203</v>
      </c>
      <c r="CD134" s="759"/>
      <c r="CE134" s="485">
        <f t="shared" ref="CE134:CE197" si="366">AC134</f>
        <v>0</v>
      </c>
      <c r="CF134" s="484">
        <f t="shared" ref="CF134:CF197" si="367">AP134</f>
        <v>0</v>
      </c>
      <c r="CG134" s="485"/>
      <c r="CH134" s="485">
        <f t="shared" ref="CH134:CH197" si="368">(X134/30)*CG134</f>
        <v>0</v>
      </c>
      <c r="CI134" s="485"/>
      <c r="CJ134" s="485">
        <f t="shared" ref="CJ134:CJ197" si="369">(X134/30)*CI134</f>
        <v>0</v>
      </c>
      <c r="CK134" s="484">
        <f t="shared" ref="CK134:CK197" si="370">CF134-CH134</f>
        <v>0</v>
      </c>
      <c r="CL134" s="484">
        <f t="shared" ref="CL134:CL197" si="371">CF134-CJ134</f>
        <v>0</v>
      </c>
      <c r="CM134" s="1006"/>
      <c r="CN134" s="485">
        <f t="shared" ref="CN134:CN197" si="372">AD134</f>
        <v>30</v>
      </c>
      <c r="CO134" s="484">
        <f t="shared" ref="CO134:CO197" si="373">AQ134</f>
        <v>3000</v>
      </c>
      <c r="CP134" s="485">
        <v>30</v>
      </c>
      <c r="CQ134" s="484">
        <f t="shared" ref="CQ134:CQ197" si="374">(X134/30)*CP134</f>
        <v>3000</v>
      </c>
      <c r="CR134" s="485">
        <v>30</v>
      </c>
      <c r="CS134" s="484">
        <f t="shared" ref="CS134:CS197" si="375">(X134/30)*CR134</f>
        <v>3000</v>
      </c>
      <c r="CT134" s="484">
        <f t="shared" ref="CT134:CT197" si="376">CO134-CQ134</f>
        <v>0</v>
      </c>
      <c r="CU134" s="484">
        <f t="shared" ref="CU134:CU197" si="377">CO134-CS134</f>
        <v>0</v>
      </c>
      <c r="CV134" s="1006"/>
      <c r="CW134" s="1007">
        <f t="shared" si="361"/>
        <v>3000</v>
      </c>
      <c r="CX134" s="486">
        <f t="shared" si="362"/>
        <v>3000</v>
      </c>
      <c r="CY134" s="486">
        <f t="shared" si="363"/>
        <v>3000</v>
      </c>
      <c r="CZ134" s="1007">
        <f t="shared" si="364"/>
        <v>0</v>
      </c>
      <c r="DA134" s="1007">
        <f t="shared" si="365"/>
        <v>0</v>
      </c>
    </row>
    <row r="135" spans="1:108" ht="51" hidden="1" x14ac:dyDescent="0.25">
      <c r="A135" s="472">
        <v>2026</v>
      </c>
      <c r="B135" s="472">
        <v>479</v>
      </c>
      <c r="C135" s="472" t="s">
        <v>64</v>
      </c>
      <c r="D135" s="472" t="s">
        <v>65</v>
      </c>
      <c r="E135" s="472">
        <v>125</v>
      </c>
      <c r="F135" s="472">
        <v>3000654</v>
      </c>
      <c r="G135" s="472">
        <v>5005023</v>
      </c>
      <c r="H135" s="472">
        <v>3</v>
      </c>
      <c r="I135" s="472">
        <v>12</v>
      </c>
      <c r="J135" s="472">
        <v>24</v>
      </c>
      <c r="K135" s="472">
        <v>135560</v>
      </c>
      <c r="L135" s="472" t="s">
        <v>66</v>
      </c>
      <c r="M135" s="124" t="s">
        <v>67</v>
      </c>
      <c r="N135" s="472">
        <v>95</v>
      </c>
      <c r="O135" s="474"/>
      <c r="P135" s="474" t="s">
        <v>4</v>
      </c>
      <c r="Q135" s="472" t="s">
        <v>68</v>
      </c>
      <c r="R135" s="475" t="s">
        <v>69</v>
      </c>
      <c r="S135" s="475" t="s">
        <v>137</v>
      </c>
      <c r="T135" s="475"/>
      <c r="U135" s="124" t="s">
        <v>192</v>
      </c>
      <c r="V135" s="475" t="s">
        <v>3</v>
      </c>
      <c r="W135" s="121">
        <v>1</v>
      </c>
      <c r="X135" s="476">
        <v>3000</v>
      </c>
      <c r="Y135" s="475"/>
      <c r="Z135" s="475"/>
      <c r="AA135" s="476"/>
      <c r="AB135" s="475"/>
      <c r="AC135" s="475"/>
      <c r="AD135" s="563">
        <v>30</v>
      </c>
      <c r="AE135" s="475"/>
      <c r="AF135" s="475"/>
      <c r="AG135" s="476"/>
      <c r="AH135" s="475"/>
      <c r="AI135" s="475"/>
      <c r="AJ135" s="476"/>
      <c r="AK135" s="476">
        <v>3000</v>
      </c>
      <c r="AL135" s="475"/>
      <c r="AM135" s="476"/>
      <c r="AN135" s="475"/>
      <c r="AO135" s="475"/>
      <c r="AP135" s="567"/>
      <c r="AQ135" s="567">
        <v>3000</v>
      </c>
      <c r="AR135" s="472" t="s">
        <v>73</v>
      </c>
      <c r="AS135" s="472" t="s">
        <v>73</v>
      </c>
      <c r="AT135" s="472" t="s">
        <v>73</v>
      </c>
      <c r="AU135" s="472" t="s">
        <v>73</v>
      </c>
      <c r="AV135" s="472" t="s">
        <v>73</v>
      </c>
      <c r="AW135" s="472" t="s">
        <v>73</v>
      </c>
      <c r="AX135" s="476">
        <v>3000</v>
      </c>
      <c r="AY135" s="479" t="s">
        <v>7</v>
      </c>
      <c r="AZ135" s="474" t="s">
        <v>74</v>
      </c>
      <c r="BA135" s="474"/>
      <c r="BB135" s="480"/>
      <c r="BC135" s="480"/>
      <c r="BK135" s="481" t="s">
        <v>790</v>
      </c>
      <c r="BL135" s="481" t="s">
        <v>791</v>
      </c>
      <c r="BM135" s="487" t="s">
        <v>1251</v>
      </c>
      <c r="BN135" s="565" t="s">
        <v>1252</v>
      </c>
      <c r="BO135" s="284" t="s">
        <v>1253</v>
      </c>
      <c r="BP135" s="285">
        <v>46167</v>
      </c>
      <c r="BQ135" s="482"/>
      <c r="BR135" s="965">
        <v>4918</v>
      </c>
      <c r="BS135" s="482"/>
      <c r="BT135" s="482"/>
      <c r="BU135" s="482" t="s">
        <v>1254</v>
      </c>
      <c r="BV135" s="414" t="s">
        <v>1065</v>
      </c>
      <c r="BW135" s="566" t="s">
        <v>1260</v>
      </c>
      <c r="BX135" s="566" t="s">
        <v>1261</v>
      </c>
      <c r="BY135" s="284">
        <v>71778915</v>
      </c>
      <c r="BZ135" s="284">
        <v>10717789151</v>
      </c>
      <c r="CA135" s="288">
        <v>3000</v>
      </c>
      <c r="CB135" s="285">
        <v>46174</v>
      </c>
      <c r="CC135" s="285">
        <v>46203</v>
      </c>
      <c r="CD135" s="759"/>
      <c r="CE135" s="485">
        <f t="shared" si="366"/>
        <v>0</v>
      </c>
      <c r="CF135" s="484">
        <f t="shared" si="367"/>
        <v>0</v>
      </c>
      <c r="CG135" s="485"/>
      <c r="CH135" s="485">
        <f t="shared" si="368"/>
        <v>0</v>
      </c>
      <c r="CI135" s="485"/>
      <c r="CJ135" s="485">
        <f t="shared" si="369"/>
        <v>0</v>
      </c>
      <c r="CK135" s="484">
        <f t="shared" si="370"/>
        <v>0</v>
      </c>
      <c r="CL135" s="484">
        <f t="shared" si="371"/>
        <v>0</v>
      </c>
      <c r="CM135" s="1006"/>
      <c r="CN135" s="485">
        <f t="shared" si="372"/>
        <v>30</v>
      </c>
      <c r="CO135" s="484">
        <f t="shared" si="373"/>
        <v>3000</v>
      </c>
      <c r="CP135" s="485">
        <v>30</v>
      </c>
      <c r="CQ135" s="484">
        <f t="shared" si="374"/>
        <v>3000</v>
      </c>
      <c r="CR135" s="485">
        <v>30</v>
      </c>
      <c r="CS135" s="484">
        <f t="shared" si="375"/>
        <v>3000</v>
      </c>
      <c r="CT135" s="484">
        <f t="shared" si="376"/>
        <v>0</v>
      </c>
      <c r="CU135" s="484">
        <f t="shared" si="377"/>
        <v>0</v>
      </c>
      <c r="CV135" s="1006"/>
      <c r="CW135" s="1007">
        <f t="shared" si="361"/>
        <v>3000</v>
      </c>
      <c r="CX135" s="486">
        <f t="shared" si="362"/>
        <v>3000</v>
      </c>
      <c r="CY135" s="486">
        <f t="shared" si="363"/>
        <v>3000</v>
      </c>
      <c r="CZ135" s="1007">
        <f t="shared" si="364"/>
        <v>0</v>
      </c>
      <c r="DA135" s="1007">
        <f t="shared" si="365"/>
        <v>0</v>
      </c>
    </row>
    <row r="136" spans="1:108" ht="51" hidden="1" x14ac:dyDescent="0.25">
      <c r="A136" s="472">
        <v>2026</v>
      </c>
      <c r="B136" s="472">
        <v>479</v>
      </c>
      <c r="C136" s="472" t="s">
        <v>64</v>
      </c>
      <c r="D136" s="472" t="s">
        <v>65</v>
      </c>
      <c r="E136" s="472">
        <v>125</v>
      </c>
      <c r="F136" s="472">
        <v>3000654</v>
      </c>
      <c r="G136" s="472">
        <v>5005023</v>
      </c>
      <c r="H136" s="472">
        <v>3</v>
      </c>
      <c r="I136" s="472">
        <v>12</v>
      </c>
      <c r="J136" s="472">
        <v>24</v>
      </c>
      <c r="K136" s="472">
        <v>135560</v>
      </c>
      <c r="L136" s="472" t="s">
        <v>66</v>
      </c>
      <c r="M136" s="124" t="s">
        <v>67</v>
      </c>
      <c r="N136" s="472">
        <v>95</v>
      </c>
      <c r="O136" s="474"/>
      <c r="P136" s="474" t="s">
        <v>4</v>
      </c>
      <c r="Q136" s="472" t="s">
        <v>68</v>
      </c>
      <c r="R136" s="475" t="s">
        <v>69</v>
      </c>
      <c r="S136" s="475" t="s">
        <v>137</v>
      </c>
      <c r="T136" s="475"/>
      <c r="U136" s="124" t="s">
        <v>192</v>
      </c>
      <c r="V136" s="475" t="s">
        <v>3</v>
      </c>
      <c r="W136" s="121">
        <v>1</v>
      </c>
      <c r="X136" s="476">
        <v>3000</v>
      </c>
      <c r="Y136" s="475"/>
      <c r="Z136" s="475"/>
      <c r="AA136" s="476"/>
      <c r="AB136" s="475"/>
      <c r="AC136" s="475"/>
      <c r="AD136" s="563">
        <v>30</v>
      </c>
      <c r="AE136" s="475"/>
      <c r="AF136" s="475"/>
      <c r="AG136" s="476"/>
      <c r="AH136" s="475"/>
      <c r="AI136" s="475"/>
      <c r="AJ136" s="476"/>
      <c r="AK136" s="476">
        <v>3000</v>
      </c>
      <c r="AL136" s="475"/>
      <c r="AM136" s="476"/>
      <c r="AN136" s="475"/>
      <c r="AO136" s="475"/>
      <c r="AP136" s="567"/>
      <c r="AQ136" s="567">
        <v>3000</v>
      </c>
      <c r="AR136" s="472" t="s">
        <v>73</v>
      </c>
      <c r="AS136" s="472" t="s">
        <v>73</v>
      </c>
      <c r="AT136" s="472" t="s">
        <v>73</v>
      </c>
      <c r="AU136" s="472" t="s">
        <v>73</v>
      </c>
      <c r="AV136" s="472" t="s">
        <v>73</v>
      </c>
      <c r="AW136" s="472" t="s">
        <v>73</v>
      </c>
      <c r="AX136" s="476">
        <v>3000</v>
      </c>
      <c r="AY136" s="479" t="s">
        <v>7</v>
      </c>
      <c r="AZ136" s="474" t="s">
        <v>74</v>
      </c>
      <c r="BA136" s="474"/>
      <c r="BB136" s="480"/>
      <c r="BC136" s="480"/>
      <c r="BK136" s="481" t="s">
        <v>790</v>
      </c>
      <c r="BL136" s="481" t="s">
        <v>791</v>
      </c>
      <c r="BM136" s="487" t="s">
        <v>1251</v>
      </c>
      <c r="BN136" s="565" t="s">
        <v>1252</v>
      </c>
      <c r="BO136" s="284" t="s">
        <v>1253</v>
      </c>
      <c r="BP136" s="285">
        <v>46167</v>
      </c>
      <c r="BQ136" s="482"/>
      <c r="BR136" s="965">
        <v>4919</v>
      </c>
      <c r="BS136" s="482"/>
      <c r="BT136" s="482"/>
      <c r="BU136" s="482" t="s">
        <v>1254</v>
      </c>
      <c r="BV136" s="414" t="s">
        <v>1065</v>
      </c>
      <c r="BW136" s="566" t="s">
        <v>1260</v>
      </c>
      <c r="BX136" s="566" t="s">
        <v>1262</v>
      </c>
      <c r="BY136" s="284">
        <v>45022363</v>
      </c>
      <c r="BZ136" s="284">
        <v>10450223633</v>
      </c>
      <c r="CA136" s="288">
        <v>3000</v>
      </c>
      <c r="CB136" s="285">
        <v>46174</v>
      </c>
      <c r="CC136" s="285">
        <v>46203</v>
      </c>
      <c r="CD136" s="759"/>
      <c r="CE136" s="485">
        <f t="shared" si="366"/>
        <v>0</v>
      </c>
      <c r="CF136" s="484">
        <f t="shared" si="367"/>
        <v>0</v>
      </c>
      <c r="CG136" s="485"/>
      <c r="CH136" s="485">
        <f t="shared" si="368"/>
        <v>0</v>
      </c>
      <c r="CI136" s="485"/>
      <c r="CJ136" s="485">
        <f t="shared" si="369"/>
        <v>0</v>
      </c>
      <c r="CK136" s="484">
        <f t="shared" si="370"/>
        <v>0</v>
      </c>
      <c r="CL136" s="484">
        <f t="shared" si="371"/>
        <v>0</v>
      </c>
      <c r="CM136" s="1006"/>
      <c r="CN136" s="485">
        <f t="shared" si="372"/>
        <v>30</v>
      </c>
      <c r="CO136" s="484">
        <f t="shared" si="373"/>
        <v>3000</v>
      </c>
      <c r="CP136" s="485">
        <v>30</v>
      </c>
      <c r="CQ136" s="484">
        <f t="shared" si="374"/>
        <v>3000</v>
      </c>
      <c r="CR136" s="485">
        <v>30</v>
      </c>
      <c r="CS136" s="484">
        <f t="shared" si="375"/>
        <v>3000</v>
      </c>
      <c r="CT136" s="484">
        <f t="shared" si="376"/>
        <v>0</v>
      </c>
      <c r="CU136" s="484">
        <f t="shared" si="377"/>
        <v>0</v>
      </c>
      <c r="CV136" s="1006"/>
      <c r="CW136" s="1007">
        <f t="shared" si="361"/>
        <v>3000</v>
      </c>
      <c r="CX136" s="486">
        <f t="shared" si="362"/>
        <v>3000</v>
      </c>
      <c r="CY136" s="486">
        <f t="shared" si="363"/>
        <v>3000</v>
      </c>
      <c r="CZ136" s="1007">
        <f t="shared" si="364"/>
        <v>0</v>
      </c>
      <c r="DA136" s="1007">
        <f t="shared" si="365"/>
        <v>0</v>
      </c>
    </row>
    <row r="137" spans="1:108" ht="51" hidden="1" x14ac:dyDescent="0.25">
      <c r="A137" s="472">
        <v>2026</v>
      </c>
      <c r="B137" s="472">
        <v>479</v>
      </c>
      <c r="C137" s="472" t="s">
        <v>64</v>
      </c>
      <c r="D137" s="472" t="s">
        <v>65</v>
      </c>
      <c r="E137" s="472">
        <v>125</v>
      </c>
      <c r="F137" s="472">
        <v>3000654</v>
      </c>
      <c r="G137" s="472">
        <v>5005023</v>
      </c>
      <c r="H137" s="472">
        <v>3</v>
      </c>
      <c r="I137" s="472">
        <v>12</v>
      </c>
      <c r="J137" s="472">
        <v>24</v>
      </c>
      <c r="K137" s="472">
        <v>135560</v>
      </c>
      <c r="L137" s="472" t="s">
        <v>66</v>
      </c>
      <c r="M137" s="124" t="s">
        <v>67</v>
      </c>
      <c r="N137" s="472">
        <v>95</v>
      </c>
      <c r="O137" s="474"/>
      <c r="P137" s="474" t="s">
        <v>4</v>
      </c>
      <c r="Q137" s="472" t="s">
        <v>68</v>
      </c>
      <c r="R137" s="475" t="s">
        <v>69</v>
      </c>
      <c r="S137" s="475" t="s">
        <v>137</v>
      </c>
      <c r="T137" s="475"/>
      <c r="U137" s="124" t="s">
        <v>192</v>
      </c>
      <c r="V137" s="475" t="s">
        <v>3</v>
      </c>
      <c r="W137" s="121">
        <v>1</v>
      </c>
      <c r="X137" s="476">
        <v>3000</v>
      </c>
      <c r="Y137" s="475"/>
      <c r="Z137" s="475"/>
      <c r="AA137" s="476"/>
      <c r="AB137" s="475"/>
      <c r="AC137" s="475"/>
      <c r="AD137" s="563">
        <v>30</v>
      </c>
      <c r="AE137" s="475"/>
      <c r="AF137" s="475"/>
      <c r="AG137" s="476"/>
      <c r="AH137" s="475"/>
      <c r="AI137" s="475"/>
      <c r="AJ137" s="476"/>
      <c r="AK137" s="476">
        <v>3000</v>
      </c>
      <c r="AL137" s="475"/>
      <c r="AM137" s="476"/>
      <c r="AN137" s="475"/>
      <c r="AO137" s="475"/>
      <c r="AP137" s="567"/>
      <c r="AQ137" s="567">
        <v>3000</v>
      </c>
      <c r="AR137" s="472" t="s">
        <v>73</v>
      </c>
      <c r="AS137" s="472" t="s">
        <v>73</v>
      </c>
      <c r="AT137" s="472" t="s">
        <v>73</v>
      </c>
      <c r="AU137" s="472" t="s">
        <v>73</v>
      </c>
      <c r="AV137" s="472" t="s">
        <v>73</v>
      </c>
      <c r="AW137" s="472" t="s">
        <v>73</v>
      </c>
      <c r="AX137" s="476">
        <v>3000</v>
      </c>
      <c r="AY137" s="479" t="s">
        <v>7</v>
      </c>
      <c r="AZ137" s="474" t="s">
        <v>74</v>
      </c>
      <c r="BA137" s="474"/>
      <c r="BB137" s="480"/>
      <c r="BC137" s="480"/>
      <c r="BK137" s="481" t="s">
        <v>790</v>
      </c>
      <c r="BL137" s="481" t="s">
        <v>791</v>
      </c>
      <c r="BM137" s="487" t="s">
        <v>1251</v>
      </c>
      <c r="BN137" s="565" t="s">
        <v>1252</v>
      </c>
      <c r="BO137" s="284" t="s">
        <v>1253</v>
      </c>
      <c r="BP137" s="285">
        <v>46167</v>
      </c>
      <c r="BQ137" s="482"/>
      <c r="BR137" s="965">
        <v>4920</v>
      </c>
      <c r="BS137" s="482"/>
      <c r="BT137" s="482"/>
      <c r="BU137" s="482" t="s">
        <v>1254</v>
      </c>
      <c r="BV137" s="414" t="s">
        <v>1263</v>
      </c>
      <c r="BW137" s="566" t="s">
        <v>1264</v>
      </c>
      <c r="BX137" s="566" t="s">
        <v>1265</v>
      </c>
      <c r="BY137" s="284">
        <v>47404675</v>
      </c>
      <c r="BZ137" s="284">
        <v>10474046759</v>
      </c>
      <c r="CA137" s="288">
        <v>3000</v>
      </c>
      <c r="CB137" s="285">
        <v>46174</v>
      </c>
      <c r="CC137" s="285">
        <v>46203</v>
      </c>
      <c r="CD137" s="759"/>
      <c r="CE137" s="485">
        <f t="shared" si="366"/>
        <v>0</v>
      </c>
      <c r="CF137" s="484">
        <f t="shared" si="367"/>
        <v>0</v>
      </c>
      <c r="CG137" s="485"/>
      <c r="CH137" s="485">
        <f t="shared" si="368"/>
        <v>0</v>
      </c>
      <c r="CI137" s="485"/>
      <c r="CJ137" s="485">
        <f t="shared" si="369"/>
        <v>0</v>
      </c>
      <c r="CK137" s="484">
        <f t="shared" si="370"/>
        <v>0</v>
      </c>
      <c r="CL137" s="484">
        <f t="shared" si="371"/>
        <v>0</v>
      </c>
      <c r="CM137" s="1006"/>
      <c r="CN137" s="485">
        <f t="shared" si="372"/>
        <v>30</v>
      </c>
      <c r="CO137" s="484">
        <f t="shared" si="373"/>
        <v>3000</v>
      </c>
      <c r="CP137" s="485">
        <v>30</v>
      </c>
      <c r="CQ137" s="484">
        <f t="shared" si="374"/>
        <v>3000</v>
      </c>
      <c r="CR137" s="485">
        <v>30</v>
      </c>
      <c r="CS137" s="484">
        <f t="shared" si="375"/>
        <v>3000</v>
      </c>
      <c r="CT137" s="484">
        <f t="shared" si="376"/>
        <v>0</v>
      </c>
      <c r="CU137" s="484">
        <f t="shared" si="377"/>
        <v>0</v>
      </c>
      <c r="CV137" s="1006"/>
      <c r="CW137" s="1007">
        <f t="shared" si="361"/>
        <v>3000</v>
      </c>
      <c r="CX137" s="486">
        <f t="shared" si="362"/>
        <v>3000</v>
      </c>
      <c r="CY137" s="486">
        <f t="shared" si="363"/>
        <v>3000</v>
      </c>
      <c r="CZ137" s="1007">
        <f t="shared" si="364"/>
        <v>0</v>
      </c>
      <c r="DA137" s="1007">
        <f t="shared" si="365"/>
        <v>0</v>
      </c>
    </row>
    <row r="138" spans="1:108" ht="51" hidden="1" x14ac:dyDescent="0.25">
      <c r="A138" s="472">
        <v>2026</v>
      </c>
      <c r="B138" s="472">
        <v>479</v>
      </c>
      <c r="C138" s="472" t="s">
        <v>64</v>
      </c>
      <c r="D138" s="472" t="s">
        <v>65</v>
      </c>
      <c r="E138" s="472">
        <v>125</v>
      </c>
      <c r="F138" s="472">
        <v>3000654</v>
      </c>
      <c r="G138" s="472">
        <v>5005023</v>
      </c>
      <c r="H138" s="472">
        <v>3</v>
      </c>
      <c r="I138" s="472">
        <v>12</v>
      </c>
      <c r="J138" s="472">
        <v>24</v>
      </c>
      <c r="K138" s="472">
        <v>135560</v>
      </c>
      <c r="L138" s="472" t="s">
        <v>66</v>
      </c>
      <c r="M138" s="124" t="s">
        <v>67</v>
      </c>
      <c r="N138" s="472">
        <v>95</v>
      </c>
      <c r="O138" s="474"/>
      <c r="P138" s="474" t="s">
        <v>4</v>
      </c>
      <c r="Q138" s="472" t="s">
        <v>68</v>
      </c>
      <c r="R138" s="475" t="s">
        <v>69</v>
      </c>
      <c r="S138" s="475" t="s">
        <v>137</v>
      </c>
      <c r="T138" s="475"/>
      <c r="U138" s="124" t="s">
        <v>192</v>
      </c>
      <c r="V138" s="475" t="s">
        <v>3</v>
      </c>
      <c r="W138" s="121">
        <v>1</v>
      </c>
      <c r="X138" s="476">
        <v>3000</v>
      </c>
      <c r="Y138" s="475"/>
      <c r="Z138" s="475"/>
      <c r="AA138" s="476"/>
      <c r="AB138" s="475"/>
      <c r="AC138" s="475"/>
      <c r="AD138" s="563">
        <v>30</v>
      </c>
      <c r="AE138" s="475"/>
      <c r="AF138" s="475"/>
      <c r="AG138" s="476"/>
      <c r="AH138" s="475"/>
      <c r="AI138" s="475"/>
      <c r="AJ138" s="476"/>
      <c r="AK138" s="476">
        <v>3000</v>
      </c>
      <c r="AL138" s="475"/>
      <c r="AM138" s="476"/>
      <c r="AN138" s="475"/>
      <c r="AO138" s="475"/>
      <c r="AP138" s="567"/>
      <c r="AQ138" s="567">
        <v>3000</v>
      </c>
      <c r="AR138" s="472" t="s">
        <v>73</v>
      </c>
      <c r="AS138" s="472" t="s">
        <v>73</v>
      </c>
      <c r="AT138" s="472" t="s">
        <v>73</v>
      </c>
      <c r="AU138" s="472" t="s">
        <v>73</v>
      </c>
      <c r="AV138" s="472" t="s">
        <v>73</v>
      </c>
      <c r="AW138" s="472" t="s">
        <v>73</v>
      </c>
      <c r="AX138" s="476">
        <v>3000</v>
      </c>
      <c r="AY138" s="479" t="s">
        <v>7</v>
      </c>
      <c r="AZ138" s="474" t="s">
        <v>74</v>
      </c>
      <c r="BA138" s="474"/>
      <c r="BB138" s="480"/>
      <c r="BC138" s="480"/>
      <c r="BK138" s="481" t="s">
        <v>790</v>
      </c>
      <c r="BL138" s="481" t="s">
        <v>791</v>
      </c>
      <c r="BM138" s="487" t="s">
        <v>1251</v>
      </c>
      <c r="BN138" s="565" t="s">
        <v>1252</v>
      </c>
      <c r="BO138" s="284" t="s">
        <v>1253</v>
      </c>
      <c r="BP138" s="285">
        <v>46167</v>
      </c>
      <c r="BQ138" s="482"/>
      <c r="BR138" s="965">
        <v>4921</v>
      </c>
      <c r="BS138" s="482"/>
      <c r="BT138" s="482"/>
      <c r="BU138" s="482" t="s">
        <v>1254</v>
      </c>
      <c r="BV138" s="414" t="s">
        <v>1266</v>
      </c>
      <c r="BW138" s="566" t="s">
        <v>1267</v>
      </c>
      <c r="BX138" s="566" t="s">
        <v>1268</v>
      </c>
      <c r="BY138" s="284">
        <v>32542514</v>
      </c>
      <c r="BZ138" s="284">
        <v>10325425143</v>
      </c>
      <c r="CA138" s="288">
        <v>3000</v>
      </c>
      <c r="CB138" s="285">
        <v>46174</v>
      </c>
      <c r="CC138" s="285">
        <v>46203</v>
      </c>
      <c r="CD138" s="759"/>
      <c r="CE138" s="485">
        <f t="shared" si="366"/>
        <v>0</v>
      </c>
      <c r="CF138" s="484">
        <f t="shared" si="367"/>
        <v>0</v>
      </c>
      <c r="CG138" s="485"/>
      <c r="CH138" s="485">
        <f t="shared" si="368"/>
        <v>0</v>
      </c>
      <c r="CI138" s="485"/>
      <c r="CJ138" s="485">
        <f t="shared" si="369"/>
        <v>0</v>
      </c>
      <c r="CK138" s="484">
        <f t="shared" si="370"/>
        <v>0</v>
      </c>
      <c r="CL138" s="484">
        <f t="shared" si="371"/>
        <v>0</v>
      </c>
      <c r="CM138" s="1006"/>
      <c r="CN138" s="485">
        <f t="shared" si="372"/>
        <v>30</v>
      </c>
      <c r="CO138" s="484">
        <f t="shared" si="373"/>
        <v>3000</v>
      </c>
      <c r="CP138" s="485">
        <v>30</v>
      </c>
      <c r="CQ138" s="484">
        <f t="shared" si="374"/>
        <v>3000</v>
      </c>
      <c r="CR138" s="485">
        <v>30</v>
      </c>
      <c r="CS138" s="484">
        <f t="shared" si="375"/>
        <v>3000</v>
      </c>
      <c r="CT138" s="484">
        <f t="shared" si="376"/>
        <v>0</v>
      </c>
      <c r="CU138" s="484">
        <f t="shared" si="377"/>
        <v>0</v>
      </c>
      <c r="CV138" s="1006"/>
      <c r="CW138" s="1007">
        <f t="shared" si="361"/>
        <v>3000</v>
      </c>
      <c r="CX138" s="486">
        <f t="shared" si="362"/>
        <v>3000</v>
      </c>
      <c r="CY138" s="486">
        <f t="shared" si="363"/>
        <v>3000</v>
      </c>
      <c r="CZ138" s="1007">
        <f t="shared" si="364"/>
        <v>0</v>
      </c>
      <c r="DA138" s="1007">
        <f t="shared" si="365"/>
        <v>0</v>
      </c>
    </row>
    <row r="139" spans="1:108" ht="51" hidden="1" x14ac:dyDescent="0.25">
      <c r="A139" s="472">
        <v>2026</v>
      </c>
      <c r="B139" s="472">
        <v>479</v>
      </c>
      <c r="C139" s="472" t="s">
        <v>64</v>
      </c>
      <c r="D139" s="472" t="s">
        <v>65</v>
      </c>
      <c r="E139" s="472">
        <v>125</v>
      </c>
      <c r="F139" s="472">
        <v>3000654</v>
      </c>
      <c r="G139" s="472">
        <v>5005023</v>
      </c>
      <c r="H139" s="472">
        <v>3</v>
      </c>
      <c r="I139" s="472">
        <v>12</v>
      </c>
      <c r="J139" s="472">
        <v>24</v>
      </c>
      <c r="K139" s="472">
        <v>135560</v>
      </c>
      <c r="L139" s="472" t="s">
        <v>66</v>
      </c>
      <c r="M139" s="124" t="s">
        <v>67</v>
      </c>
      <c r="N139" s="472">
        <v>95</v>
      </c>
      <c r="O139" s="474"/>
      <c r="P139" s="474" t="s">
        <v>4</v>
      </c>
      <c r="Q139" s="472" t="s">
        <v>68</v>
      </c>
      <c r="R139" s="475" t="s">
        <v>69</v>
      </c>
      <c r="S139" s="475" t="s">
        <v>137</v>
      </c>
      <c r="T139" s="475"/>
      <c r="U139" s="124" t="s">
        <v>192</v>
      </c>
      <c r="V139" s="475" t="s">
        <v>3</v>
      </c>
      <c r="W139" s="121">
        <v>1</v>
      </c>
      <c r="X139" s="476">
        <v>3000</v>
      </c>
      <c r="Y139" s="475"/>
      <c r="Z139" s="475"/>
      <c r="AA139" s="476"/>
      <c r="AB139" s="475"/>
      <c r="AC139" s="475"/>
      <c r="AD139" s="563">
        <v>30</v>
      </c>
      <c r="AE139" s="475"/>
      <c r="AF139" s="475"/>
      <c r="AG139" s="476"/>
      <c r="AH139" s="475"/>
      <c r="AI139" s="475"/>
      <c r="AJ139" s="476"/>
      <c r="AK139" s="476">
        <v>3000</v>
      </c>
      <c r="AL139" s="475"/>
      <c r="AM139" s="476"/>
      <c r="AN139" s="475"/>
      <c r="AO139" s="475"/>
      <c r="AP139" s="567"/>
      <c r="AQ139" s="567">
        <v>3000</v>
      </c>
      <c r="AR139" s="472" t="s">
        <v>73</v>
      </c>
      <c r="AS139" s="472" t="s">
        <v>73</v>
      </c>
      <c r="AT139" s="472" t="s">
        <v>73</v>
      </c>
      <c r="AU139" s="472" t="s">
        <v>73</v>
      </c>
      <c r="AV139" s="472" t="s">
        <v>73</v>
      </c>
      <c r="AW139" s="472" t="s">
        <v>73</v>
      </c>
      <c r="AX139" s="476">
        <v>3000</v>
      </c>
      <c r="AY139" s="479" t="s">
        <v>7</v>
      </c>
      <c r="AZ139" s="474" t="s">
        <v>74</v>
      </c>
      <c r="BA139" s="474"/>
      <c r="BB139" s="480"/>
      <c r="BC139" s="480"/>
      <c r="BK139" s="481" t="s">
        <v>790</v>
      </c>
      <c r="BL139" s="481" t="s">
        <v>791</v>
      </c>
      <c r="BM139" s="487" t="s">
        <v>1251</v>
      </c>
      <c r="BN139" s="565" t="s">
        <v>1252</v>
      </c>
      <c r="BO139" s="284" t="s">
        <v>1253</v>
      </c>
      <c r="BP139" s="285">
        <v>46167</v>
      </c>
      <c r="BQ139" s="482"/>
      <c r="BR139" s="965">
        <v>4922</v>
      </c>
      <c r="BS139" s="482"/>
      <c r="BT139" s="482"/>
      <c r="BU139" s="482" t="s">
        <v>1254</v>
      </c>
      <c r="BV139" s="414" t="s">
        <v>1269</v>
      </c>
      <c r="BW139" s="566" t="s">
        <v>1270</v>
      </c>
      <c r="BX139" s="566" t="s">
        <v>904</v>
      </c>
      <c r="BY139" s="284">
        <v>33262868</v>
      </c>
      <c r="BZ139" s="284">
        <v>10332628688</v>
      </c>
      <c r="CA139" s="288">
        <v>3000</v>
      </c>
      <c r="CB139" s="285">
        <v>46174</v>
      </c>
      <c r="CC139" s="285">
        <v>46203</v>
      </c>
      <c r="CD139" s="759"/>
      <c r="CE139" s="485">
        <f t="shared" si="366"/>
        <v>0</v>
      </c>
      <c r="CF139" s="484">
        <f t="shared" si="367"/>
        <v>0</v>
      </c>
      <c r="CG139" s="485"/>
      <c r="CH139" s="485">
        <f t="shared" si="368"/>
        <v>0</v>
      </c>
      <c r="CI139" s="485"/>
      <c r="CJ139" s="485">
        <f t="shared" si="369"/>
        <v>0</v>
      </c>
      <c r="CK139" s="484">
        <f t="shared" si="370"/>
        <v>0</v>
      </c>
      <c r="CL139" s="484">
        <f t="shared" si="371"/>
        <v>0</v>
      </c>
      <c r="CM139" s="1006"/>
      <c r="CN139" s="485">
        <f t="shared" si="372"/>
        <v>30</v>
      </c>
      <c r="CO139" s="484">
        <f t="shared" si="373"/>
        <v>3000</v>
      </c>
      <c r="CP139" s="485">
        <v>30</v>
      </c>
      <c r="CQ139" s="484">
        <f t="shared" si="374"/>
        <v>3000</v>
      </c>
      <c r="CR139" s="485">
        <v>30</v>
      </c>
      <c r="CS139" s="484">
        <f t="shared" si="375"/>
        <v>3000</v>
      </c>
      <c r="CT139" s="484">
        <f t="shared" si="376"/>
        <v>0</v>
      </c>
      <c r="CU139" s="484">
        <f t="shared" si="377"/>
        <v>0</v>
      </c>
      <c r="CV139" s="1006"/>
      <c r="CW139" s="1007">
        <f t="shared" si="361"/>
        <v>3000</v>
      </c>
      <c r="CX139" s="486">
        <f t="shared" si="362"/>
        <v>3000</v>
      </c>
      <c r="CY139" s="486">
        <f t="shared" si="363"/>
        <v>3000</v>
      </c>
      <c r="CZ139" s="1007">
        <f t="shared" si="364"/>
        <v>0</v>
      </c>
      <c r="DA139" s="1007">
        <f t="shared" si="365"/>
        <v>0</v>
      </c>
    </row>
    <row r="140" spans="1:108" ht="51" hidden="1" x14ac:dyDescent="0.25">
      <c r="A140" s="472">
        <v>2026</v>
      </c>
      <c r="B140" s="472">
        <v>479</v>
      </c>
      <c r="C140" s="472" t="s">
        <v>64</v>
      </c>
      <c r="D140" s="472" t="s">
        <v>65</v>
      </c>
      <c r="E140" s="472">
        <v>125</v>
      </c>
      <c r="F140" s="472">
        <v>3000654</v>
      </c>
      <c r="G140" s="472">
        <v>5005023</v>
      </c>
      <c r="H140" s="472">
        <v>3</v>
      </c>
      <c r="I140" s="472">
        <v>12</v>
      </c>
      <c r="J140" s="472">
        <v>24</v>
      </c>
      <c r="K140" s="472">
        <v>135560</v>
      </c>
      <c r="L140" s="472" t="s">
        <v>66</v>
      </c>
      <c r="M140" s="124" t="s">
        <v>67</v>
      </c>
      <c r="N140" s="472">
        <v>95</v>
      </c>
      <c r="O140" s="474"/>
      <c r="P140" s="474" t="s">
        <v>4</v>
      </c>
      <c r="Q140" s="472" t="s">
        <v>68</v>
      </c>
      <c r="R140" s="475" t="s">
        <v>69</v>
      </c>
      <c r="S140" s="475" t="s">
        <v>137</v>
      </c>
      <c r="T140" s="475"/>
      <c r="U140" s="124" t="s">
        <v>192</v>
      </c>
      <c r="V140" s="475" t="s">
        <v>3</v>
      </c>
      <c r="W140" s="121">
        <v>1</v>
      </c>
      <c r="X140" s="476">
        <v>3000</v>
      </c>
      <c r="Y140" s="475"/>
      <c r="Z140" s="475"/>
      <c r="AA140" s="476"/>
      <c r="AB140" s="475"/>
      <c r="AC140" s="475"/>
      <c r="AD140" s="563">
        <v>30</v>
      </c>
      <c r="AE140" s="475"/>
      <c r="AF140" s="475"/>
      <c r="AG140" s="476"/>
      <c r="AH140" s="475"/>
      <c r="AI140" s="475"/>
      <c r="AJ140" s="476"/>
      <c r="AK140" s="476">
        <v>3000</v>
      </c>
      <c r="AL140" s="475"/>
      <c r="AM140" s="476"/>
      <c r="AN140" s="475"/>
      <c r="AO140" s="475"/>
      <c r="AP140" s="567"/>
      <c r="AQ140" s="567">
        <v>3000</v>
      </c>
      <c r="AR140" s="472" t="s">
        <v>73</v>
      </c>
      <c r="AS140" s="472" t="s">
        <v>73</v>
      </c>
      <c r="AT140" s="472" t="s">
        <v>73</v>
      </c>
      <c r="AU140" s="472" t="s">
        <v>73</v>
      </c>
      <c r="AV140" s="472" t="s">
        <v>73</v>
      </c>
      <c r="AW140" s="472" t="s">
        <v>73</v>
      </c>
      <c r="AX140" s="476">
        <v>3000</v>
      </c>
      <c r="AY140" s="479" t="s">
        <v>7</v>
      </c>
      <c r="AZ140" s="474" t="s">
        <v>74</v>
      </c>
      <c r="BA140" s="474"/>
      <c r="BB140" s="480"/>
      <c r="BC140" s="480"/>
      <c r="BK140" s="481" t="s">
        <v>790</v>
      </c>
      <c r="BL140" s="481" t="s">
        <v>791</v>
      </c>
      <c r="BM140" s="487" t="s">
        <v>1251</v>
      </c>
      <c r="BN140" s="565" t="s">
        <v>1252</v>
      </c>
      <c r="BO140" s="284" t="s">
        <v>1253</v>
      </c>
      <c r="BP140" s="285">
        <v>46167</v>
      </c>
      <c r="BQ140" s="482"/>
      <c r="BR140" s="965">
        <v>4923</v>
      </c>
      <c r="BS140" s="482"/>
      <c r="BT140" s="482"/>
      <c r="BU140" s="482" t="s">
        <v>1254</v>
      </c>
      <c r="BV140" s="414" t="s">
        <v>1271</v>
      </c>
      <c r="BW140" s="566" t="s">
        <v>1272</v>
      </c>
      <c r="BX140" s="566" t="s">
        <v>1273</v>
      </c>
      <c r="BY140" s="284">
        <v>41741304</v>
      </c>
      <c r="BZ140" s="284">
        <v>10417413044</v>
      </c>
      <c r="CA140" s="288">
        <v>3000</v>
      </c>
      <c r="CB140" s="285">
        <v>46174</v>
      </c>
      <c r="CC140" s="285">
        <v>46203</v>
      </c>
      <c r="CD140" s="759"/>
      <c r="CE140" s="485">
        <f t="shared" si="366"/>
        <v>0</v>
      </c>
      <c r="CF140" s="484">
        <f t="shared" si="367"/>
        <v>0</v>
      </c>
      <c r="CG140" s="485"/>
      <c r="CH140" s="485">
        <f t="shared" si="368"/>
        <v>0</v>
      </c>
      <c r="CI140" s="485"/>
      <c r="CJ140" s="485">
        <f t="shared" si="369"/>
        <v>0</v>
      </c>
      <c r="CK140" s="484">
        <f t="shared" si="370"/>
        <v>0</v>
      </c>
      <c r="CL140" s="484">
        <f t="shared" si="371"/>
        <v>0</v>
      </c>
      <c r="CM140" s="1006"/>
      <c r="CN140" s="485">
        <f t="shared" si="372"/>
        <v>30</v>
      </c>
      <c r="CO140" s="484">
        <f t="shared" si="373"/>
        <v>3000</v>
      </c>
      <c r="CP140" s="485">
        <v>30</v>
      </c>
      <c r="CQ140" s="484">
        <f t="shared" si="374"/>
        <v>3000</v>
      </c>
      <c r="CR140" s="485">
        <v>30</v>
      </c>
      <c r="CS140" s="484">
        <f t="shared" si="375"/>
        <v>3000</v>
      </c>
      <c r="CT140" s="484">
        <f t="shared" si="376"/>
        <v>0</v>
      </c>
      <c r="CU140" s="484">
        <f t="shared" si="377"/>
        <v>0</v>
      </c>
      <c r="CV140" s="1006"/>
      <c r="CW140" s="1007">
        <f t="shared" si="361"/>
        <v>3000</v>
      </c>
      <c r="CX140" s="486">
        <f t="shared" si="362"/>
        <v>3000</v>
      </c>
      <c r="CY140" s="486">
        <f t="shared" si="363"/>
        <v>3000</v>
      </c>
      <c r="CZ140" s="1007">
        <f t="shared" si="364"/>
        <v>0</v>
      </c>
      <c r="DA140" s="1007">
        <f t="shared" si="365"/>
        <v>0</v>
      </c>
    </row>
    <row r="141" spans="1:108" ht="51" hidden="1" x14ac:dyDescent="0.25">
      <c r="A141" s="472">
        <v>2026</v>
      </c>
      <c r="B141" s="472">
        <v>479</v>
      </c>
      <c r="C141" s="472" t="s">
        <v>64</v>
      </c>
      <c r="D141" s="472" t="s">
        <v>65</v>
      </c>
      <c r="E141" s="472">
        <v>125</v>
      </c>
      <c r="F141" s="472">
        <v>3000654</v>
      </c>
      <c r="G141" s="472">
        <v>5005023</v>
      </c>
      <c r="H141" s="472">
        <v>3</v>
      </c>
      <c r="I141" s="472">
        <v>12</v>
      </c>
      <c r="J141" s="472">
        <v>24</v>
      </c>
      <c r="K141" s="472">
        <v>135560</v>
      </c>
      <c r="L141" s="472" t="s">
        <v>66</v>
      </c>
      <c r="M141" s="124" t="s">
        <v>67</v>
      </c>
      <c r="N141" s="472">
        <v>95</v>
      </c>
      <c r="O141" s="474"/>
      <c r="P141" s="474" t="s">
        <v>4</v>
      </c>
      <c r="Q141" s="472" t="s">
        <v>68</v>
      </c>
      <c r="R141" s="475" t="s">
        <v>69</v>
      </c>
      <c r="S141" s="475" t="s">
        <v>137</v>
      </c>
      <c r="T141" s="475"/>
      <c r="U141" s="124" t="s">
        <v>192</v>
      </c>
      <c r="V141" s="475" t="s">
        <v>3</v>
      </c>
      <c r="W141" s="121">
        <v>1</v>
      </c>
      <c r="X141" s="476">
        <v>3000</v>
      </c>
      <c r="Y141" s="475"/>
      <c r="Z141" s="475"/>
      <c r="AA141" s="476"/>
      <c r="AB141" s="475"/>
      <c r="AC141" s="475"/>
      <c r="AD141" s="563">
        <v>30</v>
      </c>
      <c r="AE141" s="475"/>
      <c r="AF141" s="475"/>
      <c r="AG141" s="476"/>
      <c r="AH141" s="475"/>
      <c r="AI141" s="475"/>
      <c r="AJ141" s="476"/>
      <c r="AK141" s="476">
        <v>3000</v>
      </c>
      <c r="AL141" s="475"/>
      <c r="AM141" s="476"/>
      <c r="AN141" s="475"/>
      <c r="AO141" s="475"/>
      <c r="AP141" s="567"/>
      <c r="AQ141" s="567">
        <v>3000</v>
      </c>
      <c r="AR141" s="472" t="s">
        <v>73</v>
      </c>
      <c r="AS141" s="472" t="s">
        <v>73</v>
      </c>
      <c r="AT141" s="472" t="s">
        <v>73</v>
      </c>
      <c r="AU141" s="472" t="s">
        <v>73</v>
      </c>
      <c r="AV141" s="472" t="s">
        <v>73</v>
      </c>
      <c r="AW141" s="472" t="s">
        <v>73</v>
      </c>
      <c r="AX141" s="476">
        <v>3000</v>
      </c>
      <c r="AY141" s="479" t="s">
        <v>7</v>
      </c>
      <c r="AZ141" s="474" t="s">
        <v>74</v>
      </c>
      <c r="BA141" s="474"/>
      <c r="BB141" s="480"/>
      <c r="BC141" s="480"/>
      <c r="BK141" s="481" t="s">
        <v>790</v>
      </c>
      <c r="BL141" s="481" t="s">
        <v>791</v>
      </c>
      <c r="BM141" s="487" t="s">
        <v>1251</v>
      </c>
      <c r="BN141" s="565" t="s">
        <v>1252</v>
      </c>
      <c r="BO141" s="284" t="s">
        <v>1253</v>
      </c>
      <c r="BP141" s="285">
        <v>46167</v>
      </c>
      <c r="BQ141" s="482"/>
      <c r="BR141" s="965">
        <v>4924</v>
      </c>
      <c r="BS141" s="482"/>
      <c r="BT141" s="482"/>
      <c r="BU141" s="482" t="s">
        <v>1254</v>
      </c>
      <c r="BV141" s="414" t="s">
        <v>1274</v>
      </c>
      <c r="BW141" s="566" t="s">
        <v>1275</v>
      </c>
      <c r="BX141" s="566" t="s">
        <v>1276</v>
      </c>
      <c r="BY141" s="284">
        <v>44138402</v>
      </c>
      <c r="BZ141" s="284">
        <v>10441384021</v>
      </c>
      <c r="CA141" s="288">
        <v>3000</v>
      </c>
      <c r="CB141" s="285">
        <v>46174</v>
      </c>
      <c r="CC141" s="285">
        <v>46203</v>
      </c>
      <c r="CD141" s="759"/>
      <c r="CE141" s="485">
        <f t="shared" si="366"/>
        <v>0</v>
      </c>
      <c r="CF141" s="484">
        <f t="shared" si="367"/>
        <v>0</v>
      </c>
      <c r="CG141" s="485"/>
      <c r="CH141" s="485">
        <f t="shared" si="368"/>
        <v>0</v>
      </c>
      <c r="CI141" s="485"/>
      <c r="CJ141" s="485">
        <f t="shared" si="369"/>
        <v>0</v>
      </c>
      <c r="CK141" s="484">
        <f t="shared" si="370"/>
        <v>0</v>
      </c>
      <c r="CL141" s="484">
        <f t="shared" si="371"/>
        <v>0</v>
      </c>
      <c r="CM141" s="1006"/>
      <c r="CN141" s="485">
        <f t="shared" si="372"/>
        <v>30</v>
      </c>
      <c r="CO141" s="484">
        <f t="shared" si="373"/>
        <v>3000</v>
      </c>
      <c r="CP141" s="485">
        <v>30</v>
      </c>
      <c r="CQ141" s="484">
        <f t="shared" si="374"/>
        <v>3000</v>
      </c>
      <c r="CR141" s="485">
        <v>30</v>
      </c>
      <c r="CS141" s="484">
        <f t="shared" si="375"/>
        <v>3000</v>
      </c>
      <c r="CT141" s="484">
        <f t="shared" si="376"/>
        <v>0</v>
      </c>
      <c r="CU141" s="484">
        <f t="shared" si="377"/>
        <v>0</v>
      </c>
      <c r="CV141" s="1006"/>
      <c r="CW141" s="1007">
        <f t="shared" si="361"/>
        <v>3000</v>
      </c>
      <c r="CX141" s="486">
        <f t="shared" si="362"/>
        <v>3000</v>
      </c>
      <c r="CY141" s="486">
        <f t="shared" si="363"/>
        <v>3000</v>
      </c>
      <c r="CZ141" s="1007">
        <f t="shared" si="364"/>
        <v>0</v>
      </c>
      <c r="DA141" s="1007">
        <f t="shared" si="365"/>
        <v>0</v>
      </c>
    </row>
    <row r="142" spans="1:108" ht="51" hidden="1" x14ac:dyDescent="0.25">
      <c r="A142" s="472">
        <v>2026</v>
      </c>
      <c r="B142" s="472">
        <v>479</v>
      </c>
      <c r="C142" s="472" t="s">
        <v>64</v>
      </c>
      <c r="D142" s="472" t="s">
        <v>65</v>
      </c>
      <c r="E142" s="472">
        <v>125</v>
      </c>
      <c r="F142" s="472">
        <v>3000654</v>
      </c>
      <c r="G142" s="472">
        <v>5005023</v>
      </c>
      <c r="H142" s="472">
        <v>3</v>
      </c>
      <c r="I142" s="472">
        <v>12</v>
      </c>
      <c r="J142" s="472">
        <v>24</v>
      </c>
      <c r="K142" s="472">
        <v>135560</v>
      </c>
      <c r="L142" s="472" t="s">
        <v>66</v>
      </c>
      <c r="M142" s="124" t="s">
        <v>67</v>
      </c>
      <c r="N142" s="472">
        <v>95</v>
      </c>
      <c r="O142" s="474"/>
      <c r="P142" s="474" t="s">
        <v>4</v>
      </c>
      <c r="Q142" s="472" t="s">
        <v>68</v>
      </c>
      <c r="R142" s="475" t="s">
        <v>69</v>
      </c>
      <c r="S142" s="475" t="s">
        <v>137</v>
      </c>
      <c r="T142" s="475"/>
      <c r="U142" s="124" t="s">
        <v>192</v>
      </c>
      <c r="V142" s="475" t="s">
        <v>3</v>
      </c>
      <c r="W142" s="121">
        <v>1</v>
      </c>
      <c r="X142" s="476">
        <v>3000</v>
      </c>
      <c r="Y142" s="475"/>
      <c r="Z142" s="475"/>
      <c r="AA142" s="476"/>
      <c r="AB142" s="475"/>
      <c r="AC142" s="475"/>
      <c r="AD142" s="563">
        <v>30</v>
      </c>
      <c r="AE142" s="475"/>
      <c r="AF142" s="475"/>
      <c r="AG142" s="476"/>
      <c r="AH142" s="475"/>
      <c r="AI142" s="475"/>
      <c r="AJ142" s="476"/>
      <c r="AK142" s="476">
        <v>3000</v>
      </c>
      <c r="AL142" s="475"/>
      <c r="AM142" s="476"/>
      <c r="AN142" s="475"/>
      <c r="AO142" s="475"/>
      <c r="AP142" s="567"/>
      <c r="AQ142" s="567">
        <v>3000</v>
      </c>
      <c r="AR142" s="472" t="s">
        <v>73</v>
      </c>
      <c r="AS142" s="472" t="s">
        <v>73</v>
      </c>
      <c r="AT142" s="472" t="s">
        <v>73</v>
      </c>
      <c r="AU142" s="472" t="s">
        <v>73</v>
      </c>
      <c r="AV142" s="472" t="s">
        <v>73</v>
      </c>
      <c r="AW142" s="472" t="s">
        <v>73</v>
      </c>
      <c r="AX142" s="476">
        <v>3000</v>
      </c>
      <c r="AY142" s="479" t="s">
        <v>7</v>
      </c>
      <c r="AZ142" s="474" t="s">
        <v>74</v>
      </c>
      <c r="BA142" s="474"/>
      <c r="BB142" s="480"/>
      <c r="BC142" s="480"/>
      <c r="BK142" s="481" t="s">
        <v>790</v>
      </c>
      <c r="BL142" s="481" t="s">
        <v>791</v>
      </c>
      <c r="BM142" s="487" t="s">
        <v>1251</v>
      </c>
      <c r="BN142" s="565" t="s">
        <v>1252</v>
      </c>
      <c r="BO142" s="284" t="s">
        <v>1253</v>
      </c>
      <c r="BP142" s="285">
        <v>46167</v>
      </c>
      <c r="BQ142" s="482"/>
      <c r="BR142" s="965">
        <v>4924</v>
      </c>
      <c r="BS142" s="482"/>
      <c r="BT142" s="482"/>
      <c r="BU142" s="482" t="s">
        <v>1254</v>
      </c>
      <c r="BV142" s="414" t="s">
        <v>1277</v>
      </c>
      <c r="BW142" s="566" t="s">
        <v>1278</v>
      </c>
      <c r="BX142" s="566" t="s">
        <v>1279</v>
      </c>
      <c r="BY142" s="284">
        <v>41423937</v>
      </c>
      <c r="BZ142" s="284">
        <v>10414239370</v>
      </c>
      <c r="CA142" s="288">
        <v>3000</v>
      </c>
      <c r="CB142" s="285">
        <v>46174</v>
      </c>
      <c r="CC142" s="285">
        <v>46203</v>
      </c>
      <c r="CD142" s="759"/>
      <c r="CE142" s="485">
        <f t="shared" si="366"/>
        <v>0</v>
      </c>
      <c r="CF142" s="484">
        <f t="shared" si="367"/>
        <v>0</v>
      </c>
      <c r="CG142" s="485"/>
      <c r="CH142" s="485">
        <f t="shared" si="368"/>
        <v>0</v>
      </c>
      <c r="CI142" s="485"/>
      <c r="CJ142" s="485">
        <f t="shared" si="369"/>
        <v>0</v>
      </c>
      <c r="CK142" s="484">
        <f t="shared" si="370"/>
        <v>0</v>
      </c>
      <c r="CL142" s="484">
        <f t="shared" si="371"/>
        <v>0</v>
      </c>
      <c r="CM142" s="1006"/>
      <c r="CN142" s="485">
        <f t="shared" si="372"/>
        <v>30</v>
      </c>
      <c r="CO142" s="484">
        <f t="shared" si="373"/>
        <v>3000</v>
      </c>
      <c r="CP142" s="485">
        <v>30</v>
      </c>
      <c r="CQ142" s="484">
        <f t="shared" si="374"/>
        <v>3000</v>
      </c>
      <c r="CR142" s="485">
        <v>30</v>
      </c>
      <c r="CS142" s="484">
        <f t="shared" si="375"/>
        <v>3000</v>
      </c>
      <c r="CT142" s="484">
        <f t="shared" si="376"/>
        <v>0</v>
      </c>
      <c r="CU142" s="484">
        <f t="shared" si="377"/>
        <v>0</v>
      </c>
      <c r="CV142" s="1006"/>
      <c r="CW142" s="1007">
        <f t="shared" si="361"/>
        <v>3000</v>
      </c>
      <c r="CX142" s="486">
        <f t="shared" si="362"/>
        <v>3000</v>
      </c>
      <c r="CY142" s="486">
        <f t="shared" si="363"/>
        <v>3000</v>
      </c>
      <c r="CZ142" s="1007">
        <f t="shared" si="364"/>
        <v>0</v>
      </c>
      <c r="DA142" s="1007">
        <f t="shared" si="365"/>
        <v>0</v>
      </c>
    </row>
    <row r="143" spans="1:108" ht="51" hidden="1" x14ac:dyDescent="0.25">
      <c r="A143" s="472">
        <v>2026</v>
      </c>
      <c r="B143" s="472">
        <v>479</v>
      </c>
      <c r="C143" s="472" t="s">
        <v>64</v>
      </c>
      <c r="D143" s="472" t="s">
        <v>65</v>
      </c>
      <c r="E143" s="472">
        <v>125</v>
      </c>
      <c r="F143" s="472">
        <v>3000654</v>
      </c>
      <c r="G143" s="472">
        <v>5005023</v>
      </c>
      <c r="H143" s="472">
        <v>3</v>
      </c>
      <c r="I143" s="472">
        <v>12</v>
      </c>
      <c r="J143" s="472">
        <v>24</v>
      </c>
      <c r="K143" s="472">
        <v>135560</v>
      </c>
      <c r="L143" s="472" t="s">
        <v>66</v>
      </c>
      <c r="M143" s="124" t="s">
        <v>67</v>
      </c>
      <c r="N143" s="472">
        <v>95</v>
      </c>
      <c r="O143" s="474"/>
      <c r="P143" s="474" t="s">
        <v>4</v>
      </c>
      <c r="Q143" s="472" t="s">
        <v>68</v>
      </c>
      <c r="R143" s="475" t="s">
        <v>69</v>
      </c>
      <c r="S143" s="475" t="s">
        <v>137</v>
      </c>
      <c r="T143" s="475"/>
      <c r="U143" s="124" t="s">
        <v>192</v>
      </c>
      <c r="V143" s="475" t="s">
        <v>3</v>
      </c>
      <c r="W143" s="121">
        <v>1</v>
      </c>
      <c r="X143" s="476">
        <v>3000</v>
      </c>
      <c r="Y143" s="475"/>
      <c r="Z143" s="475"/>
      <c r="AA143" s="476"/>
      <c r="AB143" s="475"/>
      <c r="AC143" s="475"/>
      <c r="AD143" s="563">
        <v>30</v>
      </c>
      <c r="AE143" s="475"/>
      <c r="AF143" s="475"/>
      <c r="AG143" s="476"/>
      <c r="AH143" s="475"/>
      <c r="AI143" s="475"/>
      <c r="AJ143" s="476"/>
      <c r="AK143" s="476">
        <v>3000</v>
      </c>
      <c r="AL143" s="475"/>
      <c r="AM143" s="476"/>
      <c r="AN143" s="475"/>
      <c r="AO143" s="475"/>
      <c r="AP143" s="567"/>
      <c r="AQ143" s="567">
        <v>3000</v>
      </c>
      <c r="AR143" s="472" t="s">
        <v>73</v>
      </c>
      <c r="AS143" s="472" t="s">
        <v>73</v>
      </c>
      <c r="AT143" s="472" t="s">
        <v>73</v>
      </c>
      <c r="AU143" s="472" t="s">
        <v>73</v>
      </c>
      <c r="AV143" s="472" t="s">
        <v>73</v>
      </c>
      <c r="AW143" s="472" t="s">
        <v>73</v>
      </c>
      <c r="AX143" s="476">
        <v>3000</v>
      </c>
      <c r="AY143" s="479" t="s">
        <v>7</v>
      </c>
      <c r="AZ143" s="474" t="s">
        <v>74</v>
      </c>
      <c r="BA143" s="474"/>
      <c r="BB143" s="480"/>
      <c r="BC143" s="480"/>
      <c r="BK143" s="481" t="s">
        <v>790</v>
      </c>
      <c r="BL143" s="481" t="s">
        <v>791</v>
      </c>
      <c r="BM143" s="487" t="s">
        <v>1251</v>
      </c>
      <c r="BN143" s="565" t="s">
        <v>1252</v>
      </c>
      <c r="BO143" s="284" t="s">
        <v>1253</v>
      </c>
      <c r="BP143" s="285">
        <v>46167</v>
      </c>
      <c r="BQ143" s="482"/>
      <c r="BR143" s="965">
        <v>4926</v>
      </c>
      <c r="BS143" s="482"/>
      <c r="BT143" s="482"/>
      <c r="BU143" s="482" t="s">
        <v>1254</v>
      </c>
      <c r="BV143" s="414" t="s">
        <v>1280</v>
      </c>
      <c r="BW143" s="566" t="s">
        <v>822</v>
      </c>
      <c r="BX143" s="566" t="s">
        <v>1281</v>
      </c>
      <c r="BY143" s="284">
        <v>70098651</v>
      </c>
      <c r="BZ143" s="284">
        <v>10700986514</v>
      </c>
      <c r="CA143" s="288">
        <v>3000</v>
      </c>
      <c r="CB143" s="285">
        <v>46174</v>
      </c>
      <c r="CC143" s="285">
        <v>46203</v>
      </c>
      <c r="CD143" s="759"/>
      <c r="CE143" s="485">
        <f t="shared" si="366"/>
        <v>0</v>
      </c>
      <c r="CF143" s="484">
        <f t="shared" si="367"/>
        <v>0</v>
      </c>
      <c r="CG143" s="485"/>
      <c r="CH143" s="485">
        <f t="shared" si="368"/>
        <v>0</v>
      </c>
      <c r="CI143" s="485"/>
      <c r="CJ143" s="485">
        <f t="shared" si="369"/>
        <v>0</v>
      </c>
      <c r="CK143" s="484">
        <f t="shared" si="370"/>
        <v>0</v>
      </c>
      <c r="CL143" s="484">
        <f t="shared" si="371"/>
        <v>0</v>
      </c>
      <c r="CM143" s="1006"/>
      <c r="CN143" s="485">
        <f t="shared" si="372"/>
        <v>30</v>
      </c>
      <c r="CO143" s="484">
        <f t="shared" si="373"/>
        <v>3000</v>
      </c>
      <c r="CP143" s="485">
        <v>30</v>
      </c>
      <c r="CQ143" s="484">
        <f t="shared" si="374"/>
        <v>3000</v>
      </c>
      <c r="CR143" s="485">
        <v>30</v>
      </c>
      <c r="CS143" s="484">
        <f t="shared" si="375"/>
        <v>3000</v>
      </c>
      <c r="CT143" s="484">
        <f t="shared" si="376"/>
        <v>0</v>
      </c>
      <c r="CU143" s="484">
        <f t="shared" si="377"/>
        <v>0</v>
      </c>
      <c r="CV143" s="1006"/>
      <c r="CW143" s="1007">
        <f t="shared" si="361"/>
        <v>3000</v>
      </c>
      <c r="CX143" s="486">
        <f t="shared" si="362"/>
        <v>3000</v>
      </c>
      <c r="CY143" s="486">
        <f t="shared" si="363"/>
        <v>3000</v>
      </c>
      <c r="CZ143" s="1007">
        <f t="shared" si="364"/>
        <v>0</v>
      </c>
      <c r="DA143" s="1007">
        <f t="shared" si="365"/>
        <v>0</v>
      </c>
    </row>
    <row r="144" spans="1:108" s="228" customFormat="1" ht="51" hidden="1" x14ac:dyDescent="0.25">
      <c r="A144" s="506">
        <v>2026</v>
      </c>
      <c r="B144" s="506">
        <v>479</v>
      </c>
      <c r="C144" s="506" t="s">
        <v>64</v>
      </c>
      <c r="D144" s="506" t="s">
        <v>65</v>
      </c>
      <c r="E144" s="506">
        <v>125</v>
      </c>
      <c r="F144" s="506">
        <v>3000654</v>
      </c>
      <c r="G144" s="506">
        <v>5005023</v>
      </c>
      <c r="H144" s="506">
        <v>3</v>
      </c>
      <c r="I144" s="506">
        <v>12</v>
      </c>
      <c r="J144" s="506">
        <v>24</v>
      </c>
      <c r="K144" s="506">
        <v>135560</v>
      </c>
      <c r="L144" s="506" t="s">
        <v>66</v>
      </c>
      <c r="M144" s="507" t="s">
        <v>67</v>
      </c>
      <c r="N144" s="506">
        <v>95</v>
      </c>
      <c r="O144" s="508"/>
      <c r="P144" s="508" t="s">
        <v>4</v>
      </c>
      <c r="Q144" s="506" t="s">
        <v>68</v>
      </c>
      <c r="R144" s="506" t="s">
        <v>69</v>
      </c>
      <c r="S144" s="506" t="s">
        <v>137</v>
      </c>
      <c r="T144" s="506"/>
      <c r="U144" s="507" t="s">
        <v>192</v>
      </c>
      <c r="V144" s="506" t="s">
        <v>3</v>
      </c>
      <c r="W144" s="509">
        <v>1</v>
      </c>
      <c r="X144" s="510">
        <v>3000</v>
      </c>
      <c r="Y144" s="506"/>
      <c r="Z144" s="506"/>
      <c r="AA144" s="510"/>
      <c r="AB144" s="506"/>
      <c r="AC144" s="506"/>
      <c r="AD144" s="783">
        <v>30</v>
      </c>
      <c r="AE144" s="506"/>
      <c r="AF144" s="506"/>
      <c r="AG144" s="510"/>
      <c r="AH144" s="506"/>
      <c r="AI144" s="506"/>
      <c r="AJ144" s="510"/>
      <c r="AK144" s="958">
        <v>3000</v>
      </c>
      <c r="AL144" s="506"/>
      <c r="AM144" s="510"/>
      <c r="AN144" s="506"/>
      <c r="AO144" s="506"/>
      <c r="AP144" s="943"/>
      <c r="AQ144" s="958">
        <v>3000</v>
      </c>
      <c r="AR144" s="506" t="s">
        <v>73</v>
      </c>
      <c r="AS144" s="506" t="s">
        <v>73</v>
      </c>
      <c r="AT144" s="506" t="s">
        <v>73</v>
      </c>
      <c r="AU144" s="506" t="s">
        <v>73</v>
      </c>
      <c r="AV144" s="506" t="s">
        <v>73</v>
      </c>
      <c r="AW144" s="506" t="s">
        <v>73</v>
      </c>
      <c r="AX144" s="510">
        <v>3000</v>
      </c>
      <c r="AY144" s="512" t="s">
        <v>7</v>
      </c>
      <c r="AZ144" s="508" t="s">
        <v>74</v>
      </c>
      <c r="BA144" s="508"/>
      <c r="BB144" s="514"/>
      <c r="BC144" s="514"/>
      <c r="BD144"/>
      <c r="BE144"/>
      <c r="BF144"/>
      <c r="BG144"/>
      <c r="BH144"/>
      <c r="BI144"/>
      <c r="BJ144"/>
      <c r="BK144" s="481" t="s">
        <v>790</v>
      </c>
      <c r="BL144" s="515" t="s">
        <v>791</v>
      </c>
      <c r="BM144" s="924" t="s">
        <v>1251</v>
      </c>
      <c r="BN144" s="925" t="s">
        <v>1252</v>
      </c>
      <c r="BO144" s="516" t="s">
        <v>1253</v>
      </c>
      <c r="BP144" s="518">
        <v>46167</v>
      </c>
      <c r="BQ144" s="519"/>
      <c r="BR144" s="966">
        <v>4927</v>
      </c>
      <c r="BS144" s="519"/>
      <c r="BT144" s="519"/>
      <c r="BU144" s="519" t="s">
        <v>1254</v>
      </c>
      <c r="BV144" s="517" t="s">
        <v>1282</v>
      </c>
      <c r="BW144" s="926" t="s">
        <v>1007</v>
      </c>
      <c r="BX144" s="926" t="s">
        <v>1283</v>
      </c>
      <c r="BY144" s="516">
        <v>41896582</v>
      </c>
      <c r="BZ144" s="516">
        <v>10418965822</v>
      </c>
      <c r="CA144" s="520">
        <v>3000</v>
      </c>
      <c r="CB144" s="518">
        <v>46174</v>
      </c>
      <c r="CC144" s="518">
        <v>46181</v>
      </c>
      <c r="CD144" s="784"/>
      <c r="CE144" s="955">
        <f t="shared" si="366"/>
        <v>0</v>
      </c>
      <c r="CF144" s="522">
        <f t="shared" si="367"/>
        <v>0</v>
      </c>
      <c r="CG144" s="955"/>
      <c r="CH144" s="955">
        <f t="shared" si="368"/>
        <v>0</v>
      </c>
      <c r="CI144" s="955"/>
      <c r="CJ144" s="955">
        <f t="shared" si="369"/>
        <v>0</v>
      </c>
      <c r="CK144" s="522">
        <f t="shared" si="370"/>
        <v>0</v>
      </c>
      <c r="CL144" s="522">
        <f t="shared" si="371"/>
        <v>0</v>
      </c>
      <c r="CM144" s="1025"/>
      <c r="CN144" s="955">
        <f t="shared" si="372"/>
        <v>30</v>
      </c>
      <c r="CO144" s="522">
        <f t="shared" si="373"/>
        <v>3000</v>
      </c>
      <c r="CP144" s="955">
        <v>8</v>
      </c>
      <c r="CQ144" s="522">
        <f>(X144/30)*CP144</f>
        <v>800</v>
      </c>
      <c r="CR144" s="955">
        <v>8</v>
      </c>
      <c r="CS144" s="522">
        <f t="shared" si="375"/>
        <v>800</v>
      </c>
      <c r="CT144" s="522">
        <f t="shared" si="376"/>
        <v>2200</v>
      </c>
      <c r="CU144" s="522">
        <f t="shared" si="377"/>
        <v>2200</v>
      </c>
      <c r="CV144" s="1025"/>
      <c r="CW144" s="1026">
        <f>AX144</f>
        <v>3000</v>
      </c>
      <c r="CX144" s="1027">
        <f t="shared" si="362"/>
        <v>800</v>
      </c>
      <c r="CY144" s="1027">
        <f t="shared" si="363"/>
        <v>800</v>
      </c>
      <c r="CZ144" s="1026">
        <f t="shared" si="364"/>
        <v>2200</v>
      </c>
      <c r="DA144" s="1026">
        <f t="shared" si="365"/>
        <v>2200</v>
      </c>
      <c r="DD144" s="228" t="s">
        <v>1284</v>
      </c>
    </row>
    <row r="145" spans="1:105" ht="51" hidden="1" x14ac:dyDescent="0.25">
      <c r="A145" s="472">
        <v>2026</v>
      </c>
      <c r="B145" s="472">
        <v>479</v>
      </c>
      <c r="C145" s="472" t="s">
        <v>64</v>
      </c>
      <c r="D145" s="472" t="s">
        <v>65</v>
      </c>
      <c r="E145" s="472">
        <v>125</v>
      </c>
      <c r="F145" s="472">
        <v>3000654</v>
      </c>
      <c r="G145" s="472">
        <v>5005023</v>
      </c>
      <c r="H145" s="472">
        <v>3</v>
      </c>
      <c r="I145" s="472">
        <v>12</v>
      </c>
      <c r="J145" s="472">
        <v>24</v>
      </c>
      <c r="K145" s="472">
        <v>135560</v>
      </c>
      <c r="L145" s="472" t="s">
        <v>66</v>
      </c>
      <c r="M145" s="124" t="s">
        <v>67</v>
      </c>
      <c r="N145" s="472">
        <v>95</v>
      </c>
      <c r="O145" s="474"/>
      <c r="P145" s="474" t="s">
        <v>4</v>
      </c>
      <c r="Q145" s="472" t="s">
        <v>68</v>
      </c>
      <c r="R145" s="475" t="s">
        <v>69</v>
      </c>
      <c r="S145" s="475" t="s">
        <v>137</v>
      </c>
      <c r="T145" s="475"/>
      <c r="U145" s="124" t="s">
        <v>192</v>
      </c>
      <c r="V145" s="475" t="s">
        <v>3</v>
      </c>
      <c r="W145" s="121">
        <v>1</v>
      </c>
      <c r="X145" s="476">
        <v>3000</v>
      </c>
      <c r="Y145" s="475"/>
      <c r="Z145" s="475"/>
      <c r="AA145" s="476"/>
      <c r="AB145" s="475"/>
      <c r="AC145" s="475"/>
      <c r="AD145" s="563">
        <v>30</v>
      </c>
      <c r="AE145" s="475"/>
      <c r="AF145" s="475"/>
      <c r="AG145" s="476"/>
      <c r="AH145" s="475"/>
      <c r="AI145" s="475"/>
      <c r="AJ145" s="476"/>
      <c r="AK145" s="476">
        <v>3000</v>
      </c>
      <c r="AL145" s="475"/>
      <c r="AM145" s="476"/>
      <c r="AN145" s="475"/>
      <c r="AO145" s="475"/>
      <c r="AP145" s="567"/>
      <c r="AQ145" s="567">
        <v>3000</v>
      </c>
      <c r="AR145" s="472" t="s">
        <v>73</v>
      </c>
      <c r="AS145" s="472" t="s">
        <v>73</v>
      </c>
      <c r="AT145" s="472" t="s">
        <v>73</v>
      </c>
      <c r="AU145" s="472" t="s">
        <v>73</v>
      </c>
      <c r="AV145" s="472" t="s">
        <v>73</v>
      </c>
      <c r="AW145" s="472" t="s">
        <v>73</v>
      </c>
      <c r="AX145" s="476">
        <v>3000</v>
      </c>
      <c r="AY145" s="479" t="s">
        <v>7</v>
      </c>
      <c r="AZ145" s="474" t="s">
        <v>74</v>
      </c>
      <c r="BA145" s="474"/>
      <c r="BB145" s="480"/>
      <c r="BC145" s="480"/>
      <c r="BK145" s="481" t="s">
        <v>790</v>
      </c>
      <c r="BL145" s="481" t="s">
        <v>791</v>
      </c>
      <c r="BM145" s="487" t="s">
        <v>1251</v>
      </c>
      <c r="BN145" s="565" t="s">
        <v>1252</v>
      </c>
      <c r="BO145" s="284" t="s">
        <v>1253</v>
      </c>
      <c r="BP145" s="285">
        <v>46167</v>
      </c>
      <c r="BQ145" s="482"/>
      <c r="BR145" s="965">
        <v>4928</v>
      </c>
      <c r="BS145" s="482"/>
      <c r="BT145" s="482"/>
      <c r="BU145" s="482" t="s">
        <v>1254</v>
      </c>
      <c r="BV145" s="414" t="s">
        <v>1285</v>
      </c>
      <c r="BW145" s="566" t="s">
        <v>46</v>
      </c>
      <c r="BX145" s="566" t="s">
        <v>1286</v>
      </c>
      <c r="BY145" s="284">
        <v>20724712</v>
      </c>
      <c r="BZ145" s="284">
        <v>10207247125</v>
      </c>
      <c r="CA145" s="288">
        <v>3000</v>
      </c>
      <c r="CB145" s="285">
        <v>46174</v>
      </c>
      <c r="CC145" s="285">
        <v>46203</v>
      </c>
      <c r="CD145" s="759"/>
      <c r="CE145" s="485">
        <f t="shared" si="366"/>
        <v>0</v>
      </c>
      <c r="CF145" s="484">
        <f t="shared" si="367"/>
        <v>0</v>
      </c>
      <c r="CG145" s="485"/>
      <c r="CH145" s="485">
        <f t="shared" si="368"/>
        <v>0</v>
      </c>
      <c r="CI145" s="485"/>
      <c r="CJ145" s="485">
        <f t="shared" si="369"/>
        <v>0</v>
      </c>
      <c r="CK145" s="484">
        <f t="shared" si="370"/>
        <v>0</v>
      </c>
      <c r="CL145" s="484">
        <f t="shared" si="371"/>
        <v>0</v>
      </c>
      <c r="CM145" s="1006"/>
      <c r="CN145" s="485">
        <f t="shared" si="372"/>
        <v>30</v>
      </c>
      <c r="CO145" s="484">
        <f t="shared" si="373"/>
        <v>3000</v>
      </c>
      <c r="CP145" s="485">
        <v>30</v>
      </c>
      <c r="CQ145" s="484">
        <f t="shared" si="374"/>
        <v>3000</v>
      </c>
      <c r="CR145" s="485">
        <v>30</v>
      </c>
      <c r="CS145" s="484">
        <f t="shared" si="375"/>
        <v>3000</v>
      </c>
      <c r="CT145" s="484">
        <f t="shared" si="376"/>
        <v>0</v>
      </c>
      <c r="CU145" s="484">
        <f t="shared" si="377"/>
        <v>0</v>
      </c>
      <c r="CV145" s="1006"/>
      <c r="CW145" s="1007">
        <f t="shared" si="361"/>
        <v>3000</v>
      </c>
      <c r="CX145" s="486">
        <f t="shared" si="362"/>
        <v>3000</v>
      </c>
      <c r="CY145" s="486">
        <f t="shared" si="363"/>
        <v>3000</v>
      </c>
      <c r="CZ145" s="1007">
        <f t="shared" si="364"/>
        <v>0</v>
      </c>
      <c r="DA145" s="1007">
        <f t="shared" si="365"/>
        <v>0</v>
      </c>
    </row>
    <row r="146" spans="1:105" ht="51" hidden="1" x14ac:dyDescent="0.25">
      <c r="A146" s="472">
        <v>2026</v>
      </c>
      <c r="B146" s="472">
        <v>479</v>
      </c>
      <c r="C146" s="472" t="s">
        <v>64</v>
      </c>
      <c r="D146" s="472" t="s">
        <v>65</v>
      </c>
      <c r="E146" s="472">
        <v>125</v>
      </c>
      <c r="F146" s="472">
        <v>3000654</v>
      </c>
      <c r="G146" s="472">
        <v>5005023</v>
      </c>
      <c r="H146" s="472">
        <v>3</v>
      </c>
      <c r="I146" s="472">
        <v>12</v>
      </c>
      <c r="J146" s="472">
        <v>24</v>
      </c>
      <c r="K146" s="472">
        <v>135560</v>
      </c>
      <c r="L146" s="472" t="s">
        <v>66</v>
      </c>
      <c r="M146" s="124" t="s">
        <v>67</v>
      </c>
      <c r="N146" s="472">
        <v>95</v>
      </c>
      <c r="O146" s="474"/>
      <c r="P146" s="474" t="s">
        <v>4</v>
      </c>
      <c r="Q146" s="472" t="s">
        <v>68</v>
      </c>
      <c r="R146" s="475" t="s">
        <v>69</v>
      </c>
      <c r="S146" s="475" t="s">
        <v>137</v>
      </c>
      <c r="T146" s="475"/>
      <c r="U146" s="124" t="s">
        <v>192</v>
      </c>
      <c r="V146" s="475" t="s">
        <v>3</v>
      </c>
      <c r="W146" s="121">
        <v>1</v>
      </c>
      <c r="X146" s="476">
        <v>3000</v>
      </c>
      <c r="Y146" s="475"/>
      <c r="Z146" s="475"/>
      <c r="AA146" s="476"/>
      <c r="AB146" s="475"/>
      <c r="AC146" s="475"/>
      <c r="AD146" s="563">
        <v>30</v>
      </c>
      <c r="AE146" s="475"/>
      <c r="AF146" s="475"/>
      <c r="AG146" s="476"/>
      <c r="AH146" s="475"/>
      <c r="AI146" s="475"/>
      <c r="AJ146" s="476"/>
      <c r="AK146" s="476">
        <v>3000</v>
      </c>
      <c r="AL146" s="475"/>
      <c r="AM146" s="476"/>
      <c r="AN146" s="475"/>
      <c r="AO146" s="475"/>
      <c r="AP146" s="567"/>
      <c r="AQ146" s="567">
        <v>3000</v>
      </c>
      <c r="AR146" s="472" t="s">
        <v>73</v>
      </c>
      <c r="AS146" s="472" t="s">
        <v>73</v>
      </c>
      <c r="AT146" s="472" t="s">
        <v>73</v>
      </c>
      <c r="AU146" s="472" t="s">
        <v>73</v>
      </c>
      <c r="AV146" s="472" t="s">
        <v>73</v>
      </c>
      <c r="AW146" s="472" t="s">
        <v>73</v>
      </c>
      <c r="AX146" s="476">
        <v>3000</v>
      </c>
      <c r="AY146" s="479" t="s">
        <v>7</v>
      </c>
      <c r="AZ146" s="474" t="s">
        <v>74</v>
      </c>
      <c r="BA146" s="474"/>
      <c r="BB146" s="480"/>
      <c r="BC146" s="480"/>
      <c r="BK146" s="481" t="s">
        <v>790</v>
      </c>
      <c r="BL146" s="481" t="s">
        <v>791</v>
      </c>
      <c r="BM146" s="487" t="s">
        <v>1251</v>
      </c>
      <c r="BN146" s="565" t="s">
        <v>1252</v>
      </c>
      <c r="BO146" s="284" t="s">
        <v>1253</v>
      </c>
      <c r="BP146" s="285">
        <v>46167</v>
      </c>
      <c r="BQ146" s="482"/>
      <c r="BR146" s="965">
        <v>4929</v>
      </c>
      <c r="BS146" s="482"/>
      <c r="BT146" s="482"/>
      <c r="BU146" s="482" t="s">
        <v>1254</v>
      </c>
      <c r="BV146" s="414" t="s">
        <v>1287</v>
      </c>
      <c r="BW146" s="566" t="s">
        <v>1288</v>
      </c>
      <c r="BX146" s="566" t="s">
        <v>1289</v>
      </c>
      <c r="BY146" s="284">
        <v>10235197</v>
      </c>
      <c r="BZ146" s="284">
        <v>10102351971</v>
      </c>
      <c r="CA146" s="288">
        <v>3000</v>
      </c>
      <c r="CB146" s="285">
        <v>46174</v>
      </c>
      <c r="CC146" s="285">
        <v>46203</v>
      </c>
      <c r="CD146" s="759"/>
      <c r="CE146" s="485">
        <f t="shared" si="366"/>
        <v>0</v>
      </c>
      <c r="CF146" s="484">
        <f t="shared" si="367"/>
        <v>0</v>
      </c>
      <c r="CG146" s="485"/>
      <c r="CH146" s="485">
        <f t="shared" si="368"/>
        <v>0</v>
      </c>
      <c r="CI146" s="485"/>
      <c r="CJ146" s="485">
        <f t="shared" si="369"/>
        <v>0</v>
      </c>
      <c r="CK146" s="484">
        <f t="shared" si="370"/>
        <v>0</v>
      </c>
      <c r="CL146" s="484">
        <f t="shared" si="371"/>
        <v>0</v>
      </c>
      <c r="CM146" s="1006"/>
      <c r="CN146" s="485">
        <f t="shared" si="372"/>
        <v>30</v>
      </c>
      <c r="CO146" s="484">
        <f t="shared" si="373"/>
        <v>3000</v>
      </c>
      <c r="CP146" s="485">
        <v>30</v>
      </c>
      <c r="CQ146" s="484">
        <f t="shared" si="374"/>
        <v>3000</v>
      </c>
      <c r="CR146" s="485">
        <v>30</v>
      </c>
      <c r="CS146" s="484">
        <f t="shared" si="375"/>
        <v>3000</v>
      </c>
      <c r="CT146" s="484">
        <f t="shared" si="376"/>
        <v>0</v>
      </c>
      <c r="CU146" s="484">
        <f t="shared" si="377"/>
        <v>0</v>
      </c>
      <c r="CV146" s="1006"/>
      <c r="CW146" s="1007">
        <f t="shared" si="361"/>
        <v>3000</v>
      </c>
      <c r="CX146" s="486">
        <f t="shared" si="362"/>
        <v>3000</v>
      </c>
      <c r="CY146" s="486">
        <f t="shared" si="363"/>
        <v>3000</v>
      </c>
      <c r="CZ146" s="1007">
        <f t="shared" si="364"/>
        <v>0</v>
      </c>
      <c r="DA146" s="1007">
        <f t="shared" si="365"/>
        <v>0</v>
      </c>
    </row>
    <row r="147" spans="1:105" ht="51" hidden="1" x14ac:dyDescent="0.25">
      <c r="A147" s="472">
        <v>2026</v>
      </c>
      <c r="B147" s="472">
        <v>479</v>
      </c>
      <c r="C147" s="472" t="s">
        <v>64</v>
      </c>
      <c r="D147" s="472" t="s">
        <v>65</v>
      </c>
      <c r="E147" s="472">
        <v>125</v>
      </c>
      <c r="F147" s="472">
        <v>3000654</v>
      </c>
      <c r="G147" s="472">
        <v>5005023</v>
      </c>
      <c r="H147" s="472">
        <v>3</v>
      </c>
      <c r="I147" s="472">
        <v>12</v>
      </c>
      <c r="J147" s="472">
        <v>24</v>
      </c>
      <c r="K147" s="472">
        <v>135560</v>
      </c>
      <c r="L147" s="472" t="s">
        <v>66</v>
      </c>
      <c r="M147" s="124" t="s">
        <v>67</v>
      </c>
      <c r="N147" s="472">
        <v>95</v>
      </c>
      <c r="O147" s="474"/>
      <c r="P147" s="474" t="s">
        <v>4</v>
      </c>
      <c r="Q147" s="472" t="s">
        <v>68</v>
      </c>
      <c r="R147" s="475" t="s">
        <v>69</v>
      </c>
      <c r="S147" s="475" t="s">
        <v>137</v>
      </c>
      <c r="T147" s="475"/>
      <c r="U147" s="124" t="s">
        <v>192</v>
      </c>
      <c r="V147" s="475" t="s">
        <v>3</v>
      </c>
      <c r="W147" s="121">
        <v>1</v>
      </c>
      <c r="X147" s="476">
        <v>3000</v>
      </c>
      <c r="Y147" s="475"/>
      <c r="Z147" s="475"/>
      <c r="AA147" s="476"/>
      <c r="AB147" s="475"/>
      <c r="AC147" s="475"/>
      <c r="AD147" s="563">
        <v>30</v>
      </c>
      <c r="AE147" s="475"/>
      <c r="AF147" s="475"/>
      <c r="AG147" s="476"/>
      <c r="AH147" s="475"/>
      <c r="AI147" s="475"/>
      <c r="AJ147" s="476"/>
      <c r="AK147" s="476">
        <v>3000</v>
      </c>
      <c r="AL147" s="475"/>
      <c r="AM147" s="476"/>
      <c r="AN147" s="475"/>
      <c r="AO147" s="475"/>
      <c r="AP147" s="567"/>
      <c r="AQ147" s="567">
        <v>3000</v>
      </c>
      <c r="AR147" s="472" t="s">
        <v>73</v>
      </c>
      <c r="AS147" s="472" t="s">
        <v>73</v>
      </c>
      <c r="AT147" s="472" t="s">
        <v>73</v>
      </c>
      <c r="AU147" s="472" t="s">
        <v>73</v>
      </c>
      <c r="AV147" s="472" t="s">
        <v>73</v>
      </c>
      <c r="AW147" s="472" t="s">
        <v>73</v>
      </c>
      <c r="AX147" s="476">
        <v>3000</v>
      </c>
      <c r="AY147" s="479" t="s">
        <v>7</v>
      </c>
      <c r="AZ147" s="474" t="s">
        <v>74</v>
      </c>
      <c r="BA147" s="474"/>
      <c r="BB147" s="480"/>
      <c r="BC147" s="480"/>
      <c r="BK147" s="481" t="s">
        <v>790</v>
      </c>
      <c r="BL147" s="481" t="s">
        <v>791</v>
      </c>
      <c r="BM147" s="487" t="s">
        <v>1251</v>
      </c>
      <c r="BN147" s="565" t="s">
        <v>1252</v>
      </c>
      <c r="BO147" s="284" t="s">
        <v>1253</v>
      </c>
      <c r="BP147" s="285">
        <v>46167</v>
      </c>
      <c r="BQ147" s="482"/>
      <c r="BR147" s="965">
        <v>4930</v>
      </c>
      <c r="BS147" s="482"/>
      <c r="BT147" s="482"/>
      <c r="BU147" s="482" t="s">
        <v>1254</v>
      </c>
      <c r="BV147" s="414" t="s">
        <v>1290</v>
      </c>
      <c r="BW147" s="566" t="s">
        <v>1291</v>
      </c>
      <c r="BX147" s="566" t="s">
        <v>1292</v>
      </c>
      <c r="BY147" s="284">
        <v>46487865</v>
      </c>
      <c r="BZ147" s="284">
        <v>10464878659</v>
      </c>
      <c r="CA147" s="288">
        <v>3000</v>
      </c>
      <c r="CB147" s="285">
        <v>46174</v>
      </c>
      <c r="CC147" s="285">
        <v>46203</v>
      </c>
      <c r="CD147" s="759"/>
      <c r="CE147" s="485">
        <f t="shared" si="366"/>
        <v>0</v>
      </c>
      <c r="CF147" s="484">
        <f t="shared" si="367"/>
        <v>0</v>
      </c>
      <c r="CG147" s="485"/>
      <c r="CH147" s="485">
        <f t="shared" si="368"/>
        <v>0</v>
      </c>
      <c r="CI147" s="485"/>
      <c r="CJ147" s="485">
        <f t="shared" si="369"/>
        <v>0</v>
      </c>
      <c r="CK147" s="484">
        <f t="shared" si="370"/>
        <v>0</v>
      </c>
      <c r="CL147" s="484">
        <f t="shared" si="371"/>
        <v>0</v>
      </c>
      <c r="CM147" s="1006"/>
      <c r="CN147" s="485">
        <f t="shared" si="372"/>
        <v>30</v>
      </c>
      <c r="CO147" s="484">
        <f t="shared" si="373"/>
        <v>3000</v>
      </c>
      <c r="CP147" s="485">
        <v>30</v>
      </c>
      <c r="CQ147" s="484">
        <f t="shared" si="374"/>
        <v>3000</v>
      </c>
      <c r="CR147" s="485">
        <v>30</v>
      </c>
      <c r="CS147" s="484">
        <f t="shared" si="375"/>
        <v>3000</v>
      </c>
      <c r="CT147" s="484">
        <f t="shared" si="376"/>
        <v>0</v>
      </c>
      <c r="CU147" s="484">
        <f t="shared" si="377"/>
        <v>0</v>
      </c>
      <c r="CV147" s="1006"/>
      <c r="CW147" s="1007">
        <f t="shared" si="361"/>
        <v>3000</v>
      </c>
      <c r="CX147" s="486">
        <f t="shared" si="362"/>
        <v>3000</v>
      </c>
      <c r="CY147" s="486">
        <f t="shared" si="363"/>
        <v>3000</v>
      </c>
      <c r="CZ147" s="1007">
        <f t="shared" si="364"/>
        <v>0</v>
      </c>
      <c r="DA147" s="1007">
        <f t="shared" si="365"/>
        <v>0</v>
      </c>
    </row>
    <row r="148" spans="1:105" ht="51" hidden="1" x14ac:dyDescent="0.25">
      <c r="A148" s="472">
        <v>2026</v>
      </c>
      <c r="B148" s="472">
        <v>479</v>
      </c>
      <c r="C148" s="472" t="s">
        <v>64</v>
      </c>
      <c r="D148" s="472" t="s">
        <v>65</v>
      </c>
      <c r="E148" s="472">
        <v>125</v>
      </c>
      <c r="F148" s="472">
        <v>3000654</v>
      </c>
      <c r="G148" s="472">
        <v>5005023</v>
      </c>
      <c r="H148" s="472">
        <v>3</v>
      </c>
      <c r="I148" s="472">
        <v>12</v>
      </c>
      <c r="J148" s="472">
        <v>24</v>
      </c>
      <c r="K148" s="472">
        <v>135560</v>
      </c>
      <c r="L148" s="472" t="s">
        <v>66</v>
      </c>
      <c r="M148" s="124" t="s">
        <v>67</v>
      </c>
      <c r="N148" s="472">
        <v>95</v>
      </c>
      <c r="O148" s="474"/>
      <c r="P148" s="474" t="s">
        <v>4</v>
      </c>
      <c r="Q148" s="472" t="s">
        <v>68</v>
      </c>
      <c r="R148" s="475" t="s">
        <v>69</v>
      </c>
      <c r="S148" s="475" t="s">
        <v>137</v>
      </c>
      <c r="T148" s="475"/>
      <c r="U148" s="124" t="s">
        <v>192</v>
      </c>
      <c r="V148" s="475" t="s">
        <v>3</v>
      </c>
      <c r="W148" s="121">
        <v>1</v>
      </c>
      <c r="X148" s="476">
        <v>3000</v>
      </c>
      <c r="Y148" s="475"/>
      <c r="Z148" s="475"/>
      <c r="AA148" s="476"/>
      <c r="AB148" s="475"/>
      <c r="AC148" s="475"/>
      <c r="AD148" s="563">
        <v>30</v>
      </c>
      <c r="AE148" s="475"/>
      <c r="AF148" s="475"/>
      <c r="AG148" s="476"/>
      <c r="AH148" s="475"/>
      <c r="AI148" s="475"/>
      <c r="AJ148" s="476"/>
      <c r="AK148" s="476">
        <v>3000</v>
      </c>
      <c r="AL148" s="475"/>
      <c r="AM148" s="476"/>
      <c r="AN148" s="475"/>
      <c r="AO148" s="475"/>
      <c r="AP148" s="567"/>
      <c r="AQ148" s="567">
        <v>3000</v>
      </c>
      <c r="AR148" s="472" t="s">
        <v>73</v>
      </c>
      <c r="AS148" s="472" t="s">
        <v>73</v>
      </c>
      <c r="AT148" s="472" t="s">
        <v>73</v>
      </c>
      <c r="AU148" s="472" t="s">
        <v>73</v>
      </c>
      <c r="AV148" s="472" t="s">
        <v>73</v>
      </c>
      <c r="AW148" s="472" t="s">
        <v>73</v>
      </c>
      <c r="AX148" s="476">
        <v>3000</v>
      </c>
      <c r="AY148" s="479" t="s">
        <v>7</v>
      </c>
      <c r="AZ148" s="474" t="s">
        <v>74</v>
      </c>
      <c r="BA148" s="474"/>
      <c r="BB148" s="480"/>
      <c r="BC148" s="480"/>
      <c r="BK148" s="481" t="s">
        <v>790</v>
      </c>
      <c r="BL148" s="481" t="s">
        <v>791</v>
      </c>
      <c r="BM148" s="487" t="s">
        <v>1251</v>
      </c>
      <c r="BN148" s="565" t="s">
        <v>1252</v>
      </c>
      <c r="BO148" s="284" t="s">
        <v>1253</v>
      </c>
      <c r="BP148" s="285">
        <v>46167</v>
      </c>
      <c r="BQ148" s="482"/>
      <c r="BR148" s="965">
        <v>4931</v>
      </c>
      <c r="BS148" s="482"/>
      <c r="BT148" s="482"/>
      <c r="BU148" s="482" t="s">
        <v>1254</v>
      </c>
      <c r="BV148" s="414" t="s">
        <v>1293</v>
      </c>
      <c r="BW148" s="566" t="s">
        <v>1256</v>
      </c>
      <c r="BX148" s="566" t="s">
        <v>989</v>
      </c>
      <c r="BY148" s="284">
        <v>43843393</v>
      </c>
      <c r="BZ148" s="284">
        <v>10438433932</v>
      </c>
      <c r="CA148" s="288">
        <v>3000</v>
      </c>
      <c r="CB148" s="285">
        <v>46174</v>
      </c>
      <c r="CC148" s="285">
        <v>46203</v>
      </c>
      <c r="CD148" s="759"/>
      <c r="CE148" s="485">
        <f t="shared" si="366"/>
        <v>0</v>
      </c>
      <c r="CF148" s="484">
        <f t="shared" si="367"/>
        <v>0</v>
      </c>
      <c r="CG148" s="485"/>
      <c r="CH148" s="485">
        <f t="shared" si="368"/>
        <v>0</v>
      </c>
      <c r="CI148" s="485"/>
      <c r="CJ148" s="485">
        <f t="shared" si="369"/>
        <v>0</v>
      </c>
      <c r="CK148" s="484">
        <f t="shared" si="370"/>
        <v>0</v>
      </c>
      <c r="CL148" s="484">
        <f t="shared" si="371"/>
        <v>0</v>
      </c>
      <c r="CM148" s="1006"/>
      <c r="CN148" s="485">
        <f t="shared" si="372"/>
        <v>30</v>
      </c>
      <c r="CO148" s="484">
        <f t="shared" si="373"/>
        <v>3000</v>
      </c>
      <c r="CP148" s="485">
        <v>30</v>
      </c>
      <c r="CQ148" s="484">
        <f t="shared" si="374"/>
        <v>3000</v>
      </c>
      <c r="CR148" s="485">
        <v>30</v>
      </c>
      <c r="CS148" s="484">
        <f t="shared" si="375"/>
        <v>3000</v>
      </c>
      <c r="CT148" s="484">
        <f t="shared" si="376"/>
        <v>0</v>
      </c>
      <c r="CU148" s="484">
        <f t="shared" si="377"/>
        <v>0</v>
      </c>
      <c r="CV148" s="1006"/>
      <c r="CW148" s="1007">
        <f t="shared" si="361"/>
        <v>3000</v>
      </c>
      <c r="CX148" s="486">
        <f t="shared" si="362"/>
        <v>3000</v>
      </c>
      <c r="CY148" s="486">
        <f t="shared" si="363"/>
        <v>3000</v>
      </c>
      <c r="CZ148" s="1007">
        <f t="shared" si="364"/>
        <v>0</v>
      </c>
      <c r="DA148" s="1007">
        <f t="shared" si="365"/>
        <v>0</v>
      </c>
    </row>
    <row r="149" spans="1:105" ht="51" hidden="1" x14ac:dyDescent="0.25">
      <c r="A149" s="472">
        <v>2026</v>
      </c>
      <c r="B149" s="472">
        <v>479</v>
      </c>
      <c r="C149" s="472" t="s">
        <v>64</v>
      </c>
      <c r="D149" s="472" t="s">
        <v>65</v>
      </c>
      <c r="E149" s="472">
        <v>125</v>
      </c>
      <c r="F149" s="472">
        <v>3000654</v>
      </c>
      <c r="G149" s="472">
        <v>5005023</v>
      </c>
      <c r="H149" s="472">
        <v>3</v>
      </c>
      <c r="I149" s="472">
        <v>12</v>
      </c>
      <c r="J149" s="472">
        <v>24</v>
      </c>
      <c r="K149" s="472">
        <v>135560</v>
      </c>
      <c r="L149" s="472" t="s">
        <v>66</v>
      </c>
      <c r="M149" s="124" t="s">
        <v>67</v>
      </c>
      <c r="N149" s="472">
        <v>95</v>
      </c>
      <c r="O149" s="474"/>
      <c r="P149" s="474" t="s">
        <v>4</v>
      </c>
      <c r="Q149" s="472" t="s">
        <v>68</v>
      </c>
      <c r="R149" s="475" t="s">
        <v>69</v>
      </c>
      <c r="S149" s="475" t="s">
        <v>137</v>
      </c>
      <c r="T149" s="475"/>
      <c r="U149" s="124" t="s">
        <v>192</v>
      </c>
      <c r="V149" s="475" t="s">
        <v>3</v>
      </c>
      <c r="W149" s="121">
        <v>1</v>
      </c>
      <c r="X149" s="476">
        <v>3000</v>
      </c>
      <c r="Y149" s="475"/>
      <c r="Z149" s="475"/>
      <c r="AA149" s="476"/>
      <c r="AB149" s="475"/>
      <c r="AC149" s="475"/>
      <c r="AD149" s="563">
        <v>30</v>
      </c>
      <c r="AE149" s="475"/>
      <c r="AF149" s="475"/>
      <c r="AG149" s="476"/>
      <c r="AH149" s="475"/>
      <c r="AI149" s="475"/>
      <c r="AJ149" s="476"/>
      <c r="AK149" s="476">
        <v>3000</v>
      </c>
      <c r="AL149" s="475"/>
      <c r="AM149" s="476"/>
      <c r="AN149" s="475"/>
      <c r="AO149" s="475"/>
      <c r="AP149" s="567"/>
      <c r="AQ149" s="567">
        <v>3000</v>
      </c>
      <c r="AR149" s="472" t="s">
        <v>73</v>
      </c>
      <c r="AS149" s="472" t="s">
        <v>73</v>
      </c>
      <c r="AT149" s="472" t="s">
        <v>73</v>
      </c>
      <c r="AU149" s="472" t="s">
        <v>73</v>
      </c>
      <c r="AV149" s="472" t="s">
        <v>73</v>
      </c>
      <c r="AW149" s="472" t="s">
        <v>73</v>
      </c>
      <c r="AX149" s="476">
        <v>3000</v>
      </c>
      <c r="AY149" s="479" t="s">
        <v>7</v>
      </c>
      <c r="AZ149" s="474" t="s">
        <v>74</v>
      </c>
      <c r="BA149" s="474"/>
      <c r="BB149" s="480"/>
      <c r="BC149" s="480"/>
      <c r="BK149" s="481" t="s">
        <v>790</v>
      </c>
      <c r="BL149" s="481" t="s">
        <v>791</v>
      </c>
      <c r="BM149" s="487" t="s">
        <v>1251</v>
      </c>
      <c r="BN149" s="565" t="s">
        <v>1252</v>
      </c>
      <c r="BO149" s="284" t="s">
        <v>1253</v>
      </c>
      <c r="BP149" s="285">
        <v>46167</v>
      </c>
      <c r="BQ149" s="482"/>
      <c r="BR149" s="965">
        <v>4932</v>
      </c>
      <c r="BS149" s="482"/>
      <c r="BT149" s="482"/>
      <c r="BU149" s="482" t="s">
        <v>1254</v>
      </c>
      <c r="BV149" s="414" t="s">
        <v>1294</v>
      </c>
      <c r="BW149" s="566" t="s">
        <v>1295</v>
      </c>
      <c r="BX149" s="566" t="s">
        <v>1296</v>
      </c>
      <c r="BY149" s="284">
        <v>41662966</v>
      </c>
      <c r="BZ149" s="284">
        <v>10416629663</v>
      </c>
      <c r="CA149" s="288">
        <v>3000</v>
      </c>
      <c r="CB149" s="285">
        <v>46174</v>
      </c>
      <c r="CC149" s="285">
        <v>46203</v>
      </c>
      <c r="CD149" s="759"/>
      <c r="CE149" s="485">
        <f t="shared" si="366"/>
        <v>0</v>
      </c>
      <c r="CF149" s="484">
        <f t="shared" si="367"/>
        <v>0</v>
      </c>
      <c r="CG149" s="485"/>
      <c r="CH149" s="485">
        <f t="shared" si="368"/>
        <v>0</v>
      </c>
      <c r="CI149" s="485"/>
      <c r="CJ149" s="485">
        <f t="shared" si="369"/>
        <v>0</v>
      </c>
      <c r="CK149" s="484">
        <f t="shared" si="370"/>
        <v>0</v>
      </c>
      <c r="CL149" s="484">
        <f t="shared" si="371"/>
        <v>0</v>
      </c>
      <c r="CM149" s="1006"/>
      <c r="CN149" s="485">
        <f t="shared" si="372"/>
        <v>30</v>
      </c>
      <c r="CO149" s="484">
        <f t="shared" si="373"/>
        <v>3000</v>
      </c>
      <c r="CP149" s="485">
        <v>30</v>
      </c>
      <c r="CQ149" s="484">
        <f t="shared" si="374"/>
        <v>3000</v>
      </c>
      <c r="CR149" s="485">
        <v>30</v>
      </c>
      <c r="CS149" s="484">
        <f t="shared" si="375"/>
        <v>3000</v>
      </c>
      <c r="CT149" s="484">
        <f t="shared" si="376"/>
        <v>0</v>
      </c>
      <c r="CU149" s="484">
        <f t="shared" si="377"/>
        <v>0</v>
      </c>
      <c r="CV149" s="1006"/>
      <c r="CW149" s="1007">
        <f t="shared" si="361"/>
        <v>3000</v>
      </c>
      <c r="CX149" s="486">
        <f t="shared" si="362"/>
        <v>3000</v>
      </c>
      <c r="CY149" s="486">
        <f t="shared" si="363"/>
        <v>3000</v>
      </c>
      <c r="CZ149" s="1007">
        <f t="shared" si="364"/>
        <v>0</v>
      </c>
      <c r="DA149" s="1007">
        <f t="shared" si="365"/>
        <v>0</v>
      </c>
    </row>
    <row r="150" spans="1:105" ht="51" hidden="1" x14ac:dyDescent="0.25">
      <c r="A150" s="472">
        <v>2026</v>
      </c>
      <c r="B150" s="472">
        <v>479</v>
      </c>
      <c r="C150" s="472" t="s">
        <v>64</v>
      </c>
      <c r="D150" s="472" t="s">
        <v>65</v>
      </c>
      <c r="E150" s="472">
        <v>125</v>
      </c>
      <c r="F150" s="472">
        <v>3000654</v>
      </c>
      <c r="G150" s="472">
        <v>5005023</v>
      </c>
      <c r="H150" s="472">
        <v>3</v>
      </c>
      <c r="I150" s="472">
        <v>12</v>
      </c>
      <c r="J150" s="472">
        <v>24</v>
      </c>
      <c r="K150" s="472">
        <v>135560</v>
      </c>
      <c r="L150" s="472" t="s">
        <v>66</v>
      </c>
      <c r="M150" s="124" t="s">
        <v>67</v>
      </c>
      <c r="N150" s="472">
        <v>95</v>
      </c>
      <c r="O150" s="474"/>
      <c r="P150" s="474" t="s">
        <v>4</v>
      </c>
      <c r="Q150" s="472" t="s">
        <v>68</v>
      </c>
      <c r="R150" s="475" t="s">
        <v>69</v>
      </c>
      <c r="S150" s="475" t="s">
        <v>137</v>
      </c>
      <c r="T150" s="475"/>
      <c r="U150" s="124" t="s">
        <v>192</v>
      </c>
      <c r="V150" s="475" t="s">
        <v>3</v>
      </c>
      <c r="W150" s="121">
        <v>1</v>
      </c>
      <c r="X150" s="476">
        <v>3000</v>
      </c>
      <c r="Y150" s="475"/>
      <c r="Z150" s="475"/>
      <c r="AA150" s="476"/>
      <c r="AB150" s="475"/>
      <c r="AC150" s="475"/>
      <c r="AD150" s="563">
        <v>30</v>
      </c>
      <c r="AE150" s="475"/>
      <c r="AF150" s="475"/>
      <c r="AG150" s="476"/>
      <c r="AH150" s="475"/>
      <c r="AI150" s="475"/>
      <c r="AJ150" s="476"/>
      <c r="AK150" s="476">
        <v>3000</v>
      </c>
      <c r="AL150" s="475"/>
      <c r="AM150" s="476"/>
      <c r="AN150" s="475"/>
      <c r="AO150" s="475"/>
      <c r="AP150" s="567"/>
      <c r="AQ150" s="567">
        <v>3000</v>
      </c>
      <c r="AR150" s="472" t="s">
        <v>73</v>
      </c>
      <c r="AS150" s="472" t="s">
        <v>73</v>
      </c>
      <c r="AT150" s="472" t="s">
        <v>73</v>
      </c>
      <c r="AU150" s="472" t="s">
        <v>73</v>
      </c>
      <c r="AV150" s="472" t="s">
        <v>73</v>
      </c>
      <c r="AW150" s="472" t="s">
        <v>73</v>
      </c>
      <c r="AX150" s="476">
        <v>3000</v>
      </c>
      <c r="AY150" s="479" t="s">
        <v>7</v>
      </c>
      <c r="AZ150" s="474" t="s">
        <v>74</v>
      </c>
      <c r="BA150" s="474"/>
      <c r="BB150" s="480"/>
      <c r="BC150" s="480"/>
      <c r="BK150" s="481" t="s">
        <v>790</v>
      </c>
      <c r="BL150" s="481" t="s">
        <v>791</v>
      </c>
      <c r="BM150" s="487" t="s">
        <v>1251</v>
      </c>
      <c r="BN150" s="565" t="s">
        <v>1252</v>
      </c>
      <c r="BO150" s="284" t="s">
        <v>1253</v>
      </c>
      <c r="BP150" s="285">
        <v>46167</v>
      </c>
      <c r="BQ150" s="482"/>
      <c r="BR150" s="965">
        <v>4933</v>
      </c>
      <c r="BS150" s="482"/>
      <c r="BT150" s="482"/>
      <c r="BU150" s="482" t="s">
        <v>1254</v>
      </c>
      <c r="BV150" s="414" t="s">
        <v>984</v>
      </c>
      <c r="BW150" s="566" t="s">
        <v>1153</v>
      </c>
      <c r="BX150" s="566" t="s">
        <v>1297</v>
      </c>
      <c r="BY150" s="284">
        <v>79299994</v>
      </c>
      <c r="BZ150" s="284">
        <v>10792999943</v>
      </c>
      <c r="CA150" s="288">
        <v>3000</v>
      </c>
      <c r="CB150" s="285">
        <v>46174</v>
      </c>
      <c r="CC150" s="285">
        <v>46203</v>
      </c>
      <c r="CD150" s="759"/>
      <c r="CE150" s="485">
        <f t="shared" si="366"/>
        <v>0</v>
      </c>
      <c r="CF150" s="484">
        <f t="shared" si="367"/>
        <v>0</v>
      </c>
      <c r="CG150" s="485"/>
      <c r="CH150" s="485">
        <f t="shared" si="368"/>
        <v>0</v>
      </c>
      <c r="CI150" s="485"/>
      <c r="CJ150" s="485">
        <f t="shared" si="369"/>
        <v>0</v>
      </c>
      <c r="CK150" s="484">
        <f t="shared" si="370"/>
        <v>0</v>
      </c>
      <c r="CL150" s="484">
        <f t="shared" si="371"/>
        <v>0</v>
      </c>
      <c r="CM150" s="1006"/>
      <c r="CN150" s="485">
        <f t="shared" si="372"/>
        <v>30</v>
      </c>
      <c r="CO150" s="484">
        <f t="shared" si="373"/>
        <v>3000</v>
      </c>
      <c r="CP150" s="485">
        <v>30</v>
      </c>
      <c r="CQ150" s="484">
        <f t="shared" si="374"/>
        <v>3000</v>
      </c>
      <c r="CR150" s="485">
        <v>30</v>
      </c>
      <c r="CS150" s="484">
        <f t="shared" si="375"/>
        <v>3000</v>
      </c>
      <c r="CT150" s="484">
        <f t="shared" si="376"/>
        <v>0</v>
      </c>
      <c r="CU150" s="484">
        <f t="shared" si="377"/>
        <v>0</v>
      </c>
      <c r="CV150" s="1006"/>
      <c r="CW150" s="1007">
        <f t="shared" si="361"/>
        <v>3000</v>
      </c>
      <c r="CX150" s="486">
        <f t="shared" si="362"/>
        <v>3000</v>
      </c>
      <c r="CY150" s="486">
        <f t="shared" si="363"/>
        <v>3000</v>
      </c>
      <c r="CZ150" s="1007">
        <f t="shared" si="364"/>
        <v>0</v>
      </c>
      <c r="DA150" s="1007">
        <f t="shared" si="365"/>
        <v>0</v>
      </c>
    </row>
    <row r="151" spans="1:105" ht="51" hidden="1" x14ac:dyDescent="0.25">
      <c r="A151" s="472">
        <v>2026</v>
      </c>
      <c r="B151" s="472">
        <v>479</v>
      </c>
      <c r="C151" s="472" t="s">
        <v>64</v>
      </c>
      <c r="D151" s="472" t="s">
        <v>65</v>
      </c>
      <c r="E151" s="472">
        <v>125</v>
      </c>
      <c r="F151" s="472">
        <v>3000654</v>
      </c>
      <c r="G151" s="472">
        <v>5005023</v>
      </c>
      <c r="H151" s="472">
        <v>3</v>
      </c>
      <c r="I151" s="472">
        <v>12</v>
      </c>
      <c r="J151" s="472">
        <v>24</v>
      </c>
      <c r="K151" s="472">
        <v>135560</v>
      </c>
      <c r="L151" s="472" t="s">
        <v>66</v>
      </c>
      <c r="M151" s="124" t="s">
        <v>67</v>
      </c>
      <c r="N151" s="472">
        <v>95</v>
      </c>
      <c r="O151" s="474"/>
      <c r="P151" s="474" t="s">
        <v>4</v>
      </c>
      <c r="Q151" s="472" t="s">
        <v>68</v>
      </c>
      <c r="R151" s="475" t="s">
        <v>69</v>
      </c>
      <c r="S151" s="475" t="s">
        <v>137</v>
      </c>
      <c r="T151" s="475"/>
      <c r="U151" s="124" t="s">
        <v>192</v>
      </c>
      <c r="V151" s="475" t="s">
        <v>3</v>
      </c>
      <c r="W151" s="121">
        <v>1</v>
      </c>
      <c r="X151" s="476">
        <v>3000</v>
      </c>
      <c r="Y151" s="475"/>
      <c r="Z151" s="475"/>
      <c r="AA151" s="476"/>
      <c r="AB151" s="475"/>
      <c r="AC151" s="475"/>
      <c r="AD151" s="563">
        <v>30</v>
      </c>
      <c r="AE151" s="475"/>
      <c r="AF151" s="475"/>
      <c r="AG151" s="476"/>
      <c r="AH151" s="475"/>
      <c r="AI151" s="475"/>
      <c r="AJ151" s="476"/>
      <c r="AK151" s="476">
        <v>3000</v>
      </c>
      <c r="AL151" s="475"/>
      <c r="AM151" s="476"/>
      <c r="AN151" s="475"/>
      <c r="AO151" s="475"/>
      <c r="AP151" s="567"/>
      <c r="AQ151" s="567">
        <v>3000</v>
      </c>
      <c r="AR151" s="472" t="s">
        <v>73</v>
      </c>
      <c r="AS151" s="472" t="s">
        <v>73</v>
      </c>
      <c r="AT151" s="472" t="s">
        <v>73</v>
      </c>
      <c r="AU151" s="472" t="s">
        <v>73</v>
      </c>
      <c r="AV151" s="472" t="s">
        <v>73</v>
      </c>
      <c r="AW151" s="472" t="s">
        <v>73</v>
      </c>
      <c r="AX151" s="476">
        <v>3000</v>
      </c>
      <c r="AY151" s="479" t="s">
        <v>7</v>
      </c>
      <c r="AZ151" s="474" t="s">
        <v>74</v>
      </c>
      <c r="BA151" s="474"/>
      <c r="BB151" s="480"/>
      <c r="BC151" s="480"/>
      <c r="BK151" s="481" t="s">
        <v>790</v>
      </c>
      <c r="BL151" s="481" t="s">
        <v>791</v>
      </c>
      <c r="BM151" s="487" t="s">
        <v>1251</v>
      </c>
      <c r="BN151" s="565" t="s">
        <v>1252</v>
      </c>
      <c r="BO151" s="284" t="s">
        <v>1253</v>
      </c>
      <c r="BP151" s="285">
        <v>46167</v>
      </c>
      <c r="BQ151" s="482"/>
      <c r="BR151" s="965">
        <v>4934</v>
      </c>
      <c r="BS151" s="482"/>
      <c r="BT151" s="482"/>
      <c r="BU151" s="482" t="s">
        <v>1254</v>
      </c>
      <c r="BV151" s="414" t="s">
        <v>1298</v>
      </c>
      <c r="BW151" s="566" t="s">
        <v>1267</v>
      </c>
      <c r="BX151" s="566" t="s">
        <v>1299</v>
      </c>
      <c r="BY151" s="284">
        <v>70490549</v>
      </c>
      <c r="BZ151" s="284">
        <v>10704905497</v>
      </c>
      <c r="CA151" s="288">
        <v>3000</v>
      </c>
      <c r="CB151" s="285">
        <v>46174</v>
      </c>
      <c r="CC151" s="285">
        <v>46203</v>
      </c>
      <c r="CD151" s="759"/>
      <c r="CE151" s="485">
        <f t="shared" si="366"/>
        <v>0</v>
      </c>
      <c r="CF151" s="484">
        <f t="shared" si="367"/>
        <v>0</v>
      </c>
      <c r="CG151" s="485"/>
      <c r="CH151" s="485">
        <f t="shared" si="368"/>
        <v>0</v>
      </c>
      <c r="CI151" s="485"/>
      <c r="CJ151" s="485">
        <f t="shared" si="369"/>
        <v>0</v>
      </c>
      <c r="CK151" s="484">
        <f t="shared" si="370"/>
        <v>0</v>
      </c>
      <c r="CL151" s="484">
        <f t="shared" si="371"/>
        <v>0</v>
      </c>
      <c r="CM151" s="1006"/>
      <c r="CN151" s="485">
        <f t="shared" si="372"/>
        <v>30</v>
      </c>
      <c r="CO151" s="484">
        <f t="shared" si="373"/>
        <v>3000</v>
      </c>
      <c r="CP151" s="485">
        <v>30</v>
      </c>
      <c r="CQ151" s="484">
        <f t="shared" si="374"/>
        <v>3000</v>
      </c>
      <c r="CR151" s="485">
        <v>30</v>
      </c>
      <c r="CS151" s="484">
        <f t="shared" si="375"/>
        <v>3000</v>
      </c>
      <c r="CT151" s="484">
        <f t="shared" si="376"/>
        <v>0</v>
      </c>
      <c r="CU151" s="484">
        <f t="shared" si="377"/>
        <v>0</v>
      </c>
      <c r="CV151" s="1006"/>
      <c r="CW151" s="1007">
        <f t="shared" si="361"/>
        <v>3000</v>
      </c>
      <c r="CX151" s="486">
        <f t="shared" si="362"/>
        <v>3000</v>
      </c>
      <c r="CY151" s="486">
        <f t="shared" si="363"/>
        <v>3000</v>
      </c>
      <c r="CZ151" s="1007">
        <f t="shared" si="364"/>
        <v>0</v>
      </c>
      <c r="DA151" s="1007">
        <f t="shared" si="365"/>
        <v>0</v>
      </c>
    </row>
    <row r="152" spans="1:105" ht="51" hidden="1" x14ac:dyDescent="0.25">
      <c r="A152" s="472">
        <v>2026</v>
      </c>
      <c r="B152" s="472">
        <v>479</v>
      </c>
      <c r="C152" s="472" t="s">
        <v>64</v>
      </c>
      <c r="D152" s="472" t="s">
        <v>65</v>
      </c>
      <c r="E152" s="472">
        <v>125</v>
      </c>
      <c r="F152" s="472">
        <v>3000654</v>
      </c>
      <c r="G152" s="472">
        <v>5005023</v>
      </c>
      <c r="H152" s="472">
        <v>3</v>
      </c>
      <c r="I152" s="472">
        <v>12</v>
      </c>
      <c r="J152" s="472">
        <v>24</v>
      </c>
      <c r="K152" s="472">
        <v>135560</v>
      </c>
      <c r="L152" s="472" t="s">
        <v>66</v>
      </c>
      <c r="M152" s="124" t="s">
        <v>67</v>
      </c>
      <c r="N152" s="472">
        <v>95</v>
      </c>
      <c r="O152" s="474"/>
      <c r="P152" s="474" t="s">
        <v>4</v>
      </c>
      <c r="Q152" s="472" t="s">
        <v>68</v>
      </c>
      <c r="R152" s="475" t="s">
        <v>69</v>
      </c>
      <c r="S152" s="475" t="s">
        <v>137</v>
      </c>
      <c r="T152" s="475"/>
      <c r="U152" s="124" t="s">
        <v>192</v>
      </c>
      <c r="V152" s="475" t="s">
        <v>3</v>
      </c>
      <c r="W152" s="121">
        <v>1</v>
      </c>
      <c r="X152" s="476">
        <v>3000</v>
      </c>
      <c r="Y152" s="475"/>
      <c r="Z152" s="475"/>
      <c r="AA152" s="476"/>
      <c r="AB152" s="475"/>
      <c r="AC152" s="475"/>
      <c r="AD152" s="563">
        <v>30</v>
      </c>
      <c r="AE152" s="475"/>
      <c r="AF152" s="475"/>
      <c r="AG152" s="476"/>
      <c r="AH152" s="475"/>
      <c r="AI152" s="475"/>
      <c r="AJ152" s="476"/>
      <c r="AK152" s="476">
        <v>3000</v>
      </c>
      <c r="AL152" s="475"/>
      <c r="AM152" s="476"/>
      <c r="AN152" s="475"/>
      <c r="AO152" s="475"/>
      <c r="AP152" s="567"/>
      <c r="AQ152" s="567">
        <v>3000</v>
      </c>
      <c r="AR152" s="472" t="s">
        <v>73</v>
      </c>
      <c r="AS152" s="472" t="s">
        <v>73</v>
      </c>
      <c r="AT152" s="472" t="s">
        <v>73</v>
      </c>
      <c r="AU152" s="472" t="s">
        <v>73</v>
      </c>
      <c r="AV152" s="472" t="s">
        <v>73</v>
      </c>
      <c r="AW152" s="472" t="s">
        <v>73</v>
      </c>
      <c r="AX152" s="476">
        <v>3000</v>
      </c>
      <c r="AY152" s="479" t="s">
        <v>7</v>
      </c>
      <c r="AZ152" s="474" t="s">
        <v>74</v>
      </c>
      <c r="BA152" s="474"/>
      <c r="BB152" s="480"/>
      <c r="BC152" s="480"/>
      <c r="BK152" s="481" t="s">
        <v>790</v>
      </c>
      <c r="BL152" s="481" t="s">
        <v>791</v>
      </c>
      <c r="BM152" s="487" t="s">
        <v>1251</v>
      </c>
      <c r="BN152" s="565" t="s">
        <v>1252</v>
      </c>
      <c r="BO152" s="284" t="s">
        <v>1253</v>
      </c>
      <c r="BP152" s="285">
        <v>46167</v>
      </c>
      <c r="BQ152" s="482"/>
      <c r="BR152" s="965">
        <v>4935</v>
      </c>
      <c r="BS152" s="482"/>
      <c r="BT152" s="482"/>
      <c r="BU152" s="482" t="s">
        <v>1254</v>
      </c>
      <c r="BV152" s="414" t="s">
        <v>1300</v>
      </c>
      <c r="BW152" s="566" t="s">
        <v>1301</v>
      </c>
      <c r="BX152" s="566" t="s">
        <v>1302</v>
      </c>
      <c r="BY152" s="284">
        <v>6772388</v>
      </c>
      <c r="BZ152" s="284">
        <v>10067723886</v>
      </c>
      <c r="CA152" s="288">
        <v>3000</v>
      </c>
      <c r="CB152" s="285">
        <v>46174</v>
      </c>
      <c r="CC152" s="285">
        <v>46203</v>
      </c>
      <c r="CD152" s="759"/>
      <c r="CE152" s="485">
        <f t="shared" si="366"/>
        <v>0</v>
      </c>
      <c r="CF152" s="484">
        <f t="shared" si="367"/>
        <v>0</v>
      </c>
      <c r="CG152" s="485"/>
      <c r="CH152" s="485">
        <f t="shared" si="368"/>
        <v>0</v>
      </c>
      <c r="CI152" s="485"/>
      <c r="CJ152" s="485">
        <f t="shared" si="369"/>
        <v>0</v>
      </c>
      <c r="CK152" s="484">
        <f t="shared" si="370"/>
        <v>0</v>
      </c>
      <c r="CL152" s="484">
        <f t="shared" si="371"/>
        <v>0</v>
      </c>
      <c r="CM152" s="1006"/>
      <c r="CN152" s="485">
        <f t="shared" si="372"/>
        <v>30</v>
      </c>
      <c r="CO152" s="484">
        <f t="shared" si="373"/>
        <v>3000</v>
      </c>
      <c r="CP152" s="485">
        <v>30</v>
      </c>
      <c r="CQ152" s="484">
        <f t="shared" si="374"/>
        <v>3000</v>
      </c>
      <c r="CR152" s="485">
        <v>30</v>
      </c>
      <c r="CS152" s="484">
        <f t="shared" si="375"/>
        <v>3000</v>
      </c>
      <c r="CT152" s="484">
        <f t="shared" si="376"/>
        <v>0</v>
      </c>
      <c r="CU152" s="484">
        <f t="shared" si="377"/>
        <v>0</v>
      </c>
      <c r="CV152" s="1006"/>
      <c r="CW152" s="1007">
        <f t="shared" si="361"/>
        <v>3000</v>
      </c>
      <c r="CX152" s="486">
        <f t="shared" si="362"/>
        <v>3000</v>
      </c>
      <c r="CY152" s="486">
        <f t="shared" si="363"/>
        <v>3000</v>
      </c>
      <c r="CZ152" s="1007">
        <f t="shared" si="364"/>
        <v>0</v>
      </c>
      <c r="DA152" s="1007">
        <f t="shared" si="365"/>
        <v>0</v>
      </c>
    </row>
    <row r="153" spans="1:105" ht="51" hidden="1" x14ac:dyDescent="0.25">
      <c r="A153" s="472">
        <v>2026</v>
      </c>
      <c r="B153" s="472">
        <v>479</v>
      </c>
      <c r="C153" s="472" t="s">
        <v>64</v>
      </c>
      <c r="D153" s="472" t="s">
        <v>65</v>
      </c>
      <c r="E153" s="472">
        <v>125</v>
      </c>
      <c r="F153" s="472">
        <v>3000654</v>
      </c>
      <c r="G153" s="472">
        <v>5005023</v>
      </c>
      <c r="H153" s="472">
        <v>3</v>
      </c>
      <c r="I153" s="472">
        <v>12</v>
      </c>
      <c r="J153" s="472">
        <v>24</v>
      </c>
      <c r="K153" s="472">
        <v>135560</v>
      </c>
      <c r="L153" s="472" t="s">
        <v>66</v>
      </c>
      <c r="M153" s="124" t="s">
        <v>67</v>
      </c>
      <c r="N153" s="472">
        <v>95</v>
      </c>
      <c r="O153" s="474"/>
      <c r="P153" s="474" t="s">
        <v>4</v>
      </c>
      <c r="Q153" s="472" t="s">
        <v>68</v>
      </c>
      <c r="R153" s="475" t="s">
        <v>69</v>
      </c>
      <c r="S153" s="475" t="s">
        <v>137</v>
      </c>
      <c r="T153" s="475"/>
      <c r="U153" s="124" t="s">
        <v>192</v>
      </c>
      <c r="V153" s="475" t="s">
        <v>3</v>
      </c>
      <c r="W153" s="121">
        <v>1</v>
      </c>
      <c r="X153" s="476">
        <v>3000</v>
      </c>
      <c r="Y153" s="475"/>
      <c r="Z153" s="475"/>
      <c r="AA153" s="476"/>
      <c r="AB153" s="475"/>
      <c r="AC153" s="475"/>
      <c r="AD153" s="563">
        <v>30</v>
      </c>
      <c r="AE153" s="475"/>
      <c r="AF153" s="475"/>
      <c r="AG153" s="476"/>
      <c r="AH153" s="475"/>
      <c r="AI153" s="475"/>
      <c r="AJ153" s="476"/>
      <c r="AK153" s="476">
        <v>3000</v>
      </c>
      <c r="AL153" s="475"/>
      <c r="AM153" s="476"/>
      <c r="AN153" s="475"/>
      <c r="AO153" s="475"/>
      <c r="AP153" s="567"/>
      <c r="AQ153" s="567">
        <v>3000</v>
      </c>
      <c r="AR153" s="472" t="s">
        <v>73</v>
      </c>
      <c r="AS153" s="472" t="s">
        <v>73</v>
      </c>
      <c r="AT153" s="472" t="s">
        <v>73</v>
      </c>
      <c r="AU153" s="472" t="s">
        <v>73</v>
      </c>
      <c r="AV153" s="472" t="s">
        <v>73</v>
      </c>
      <c r="AW153" s="472" t="s">
        <v>73</v>
      </c>
      <c r="AX153" s="476">
        <v>3000</v>
      </c>
      <c r="AY153" s="479" t="s">
        <v>7</v>
      </c>
      <c r="AZ153" s="474" t="s">
        <v>74</v>
      </c>
      <c r="BA153" s="474"/>
      <c r="BB153" s="480"/>
      <c r="BC153" s="480"/>
      <c r="BK153" s="481" t="s">
        <v>790</v>
      </c>
      <c r="BL153" s="481" t="s">
        <v>791</v>
      </c>
      <c r="BM153" s="487" t="s">
        <v>1251</v>
      </c>
      <c r="BN153" s="565" t="s">
        <v>1252</v>
      </c>
      <c r="BO153" s="284" t="s">
        <v>1253</v>
      </c>
      <c r="BP153" s="285">
        <v>46167</v>
      </c>
      <c r="BQ153" s="482"/>
      <c r="BR153" s="965">
        <v>4936</v>
      </c>
      <c r="BS153" s="482"/>
      <c r="BT153" s="482"/>
      <c r="BU153" s="482" t="s">
        <v>1254</v>
      </c>
      <c r="BV153" s="414" t="s">
        <v>849</v>
      </c>
      <c r="BW153" s="566" t="s">
        <v>910</v>
      </c>
      <c r="BX153" s="566" t="s">
        <v>1303</v>
      </c>
      <c r="BY153" s="284">
        <v>44912602</v>
      </c>
      <c r="BZ153" s="284">
        <v>10449126021</v>
      </c>
      <c r="CA153" s="288">
        <v>3000</v>
      </c>
      <c r="CB153" s="285">
        <v>46174</v>
      </c>
      <c r="CC153" s="285">
        <v>46203</v>
      </c>
      <c r="CD153" s="759"/>
      <c r="CE153" s="485">
        <f t="shared" si="366"/>
        <v>0</v>
      </c>
      <c r="CF153" s="484">
        <f t="shared" si="367"/>
        <v>0</v>
      </c>
      <c r="CG153" s="485"/>
      <c r="CH153" s="485">
        <f t="shared" si="368"/>
        <v>0</v>
      </c>
      <c r="CI153" s="485"/>
      <c r="CJ153" s="485">
        <f t="shared" si="369"/>
        <v>0</v>
      </c>
      <c r="CK153" s="484">
        <f t="shared" si="370"/>
        <v>0</v>
      </c>
      <c r="CL153" s="484">
        <f t="shared" si="371"/>
        <v>0</v>
      </c>
      <c r="CM153" s="1006"/>
      <c r="CN153" s="485">
        <f t="shared" si="372"/>
        <v>30</v>
      </c>
      <c r="CO153" s="484">
        <f t="shared" si="373"/>
        <v>3000</v>
      </c>
      <c r="CP153" s="485">
        <v>30</v>
      </c>
      <c r="CQ153" s="484">
        <f t="shared" si="374"/>
        <v>3000</v>
      </c>
      <c r="CR153" s="485">
        <v>30</v>
      </c>
      <c r="CS153" s="484">
        <f t="shared" si="375"/>
        <v>3000</v>
      </c>
      <c r="CT153" s="484">
        <f t="shared" si="376"/>
        <v>0</v>
      </c>
      <c r="CU153" s="484">
        <f t="shared" si="377"/>
        <v>0</v>
      </c>
      <c r="CV153" s="1006"/>
      <c r="CW153" s="1007">
        <f t="shared" si="361"/>
        <v>3000</v>
      </c>
      <c r="CX153" s="486">
        <f t="shared" si="362"/>
        <v>3000</v>
      </c>
      <c r="CY153" s="486">
        <f t="shared" si="363"/>
        <v>3000</v>
      </c>
      <c r="CZ153" s="1007">
        <f t="shared" si="364"/>
        <v>0</v>
      </c>
      <c r="DA153" s="1007">
        <f t="shared" si="365"/>
        <v>0</v>
      </c>
    </row>
    <row r="154" spans="1:105" ht="51" hidden="1" x14ac:dyDescent="0.25">
      <c r="A154" s="472">
        <v>2026</v>
      </c>
      <c r="B154" s="472">
        <v>479</v>
      </c>
      <c r="C154" s="472" t="s">
        <v>64</v>
      </c>
      <c r="D154" s="472" t="s">
        <v>65</v>
      </c>
      <c r="E154" s="472">
        <v>125</v>
      </c>
      <c r="F154" s="472">
        <v>3000654</v>
      </c>
      <c r="G154" s="472">
        <v>5005023</v>
      </c>
      <c r="H154" s="472">
        <v>3</v>
      </c>
      <c r="I154" s="472">
        <v>12</v>
      </c>
      <c r="J154" s="472">
        <v>24</v>
      </c>
      <c r="K154" s="472">
        <v>135560</v>
      </c>
      <c r="L154" s="472" t="s">
        <v>66</v>
      </c>
      <c r="M154" s="124" t="s">
        <v>67</v>
      </c>
      <c r="N154" s="472">
        <v>95</v>
      </c>
      <c r="O154" s="474"/>
      <c r="P154" s="474" t="s">
        <v>4</v>
      </c>
      <c r="Q154" s="472" t="s">
        <v>68</v>
      </c>
      <c r="R154" s="475" t="s">
        <v>69</v>
      </c>
      <c r="S154" s="475" t="s">
        <v>137</v>
      </c>
      <c r="T154" s="475"/>
      <c r="U154" s="124" t="s">
        <v>192</v>
      </c>
      <c r="V154" s="475" t="s">
        <v>3</v>
      </c>
      <c r="W154" s="121">
        <v>1</v>
      </c>
      <c r="X154" s="476">
        <v>3000</v>
      </c>
      <c r="Y154" s="475"/>
      <c r="Z154" s="475"/>
      <c r="AA154" s="476"/>
      <c r="AB154" s="475"/>
      <c r="AC154" s="475"/>
      <c r="AD154" s="563">
        <v>30</v>
      </c>
      <c r="AE154" s="475"/>
      <c r="AF154" s="475"/>
      <c r="AG154" s="476"/>
      <c r="AH154" s="475"/>
      <c r="AI154" s="475"/>
      <c r="AJ154" s="476"/>
      <c r="AK154" s="476">
        <v>3000</v>
      </c>
      <c r="AL154" s="475"/>
      <c r="AM154" s="476"/>
      <c r="AN154" s="475"/>
      <c r="AO154" s="475"/>
      <c r="AP154" s="567"/>
      <c r="AQ154" s="567">
        <v>3000</v>
      </c>
      <c r="AR154" s="472" t="s">
        <v>73</v>
      </c>
      <c r="AS154" s="472" t="s">
        <v>73</v>
      </c>
      <c r="AT154" s="472" t="s">
        <v>73</v>
      </c>
      <c r="AU154" s="472" t="s">
        <v>73</v>
      </c>
      <c r="AV154" s="472" t="s">
        <v>73</v>
      </c>
      <c r="AW154" s="472" t="s">
        <v>73</v>
      </c>
      <c r="AX154" s="476">
        <v>3000</v>
      </c>
      <c r="AY154" s="479" t="s">
        <v>7</v>
      </c>
      <c r="AZ154" s="474" t="s">
        <v>74</v>
      </c>
      <c r="BA154" s="474"/>
      <c r="BB154" s="480"/>
      <c r="BC154" s="480"/>
      <c r="BK154" s="481" t="s">
        <v>790</v>
      </c>
      <c r="BL154" s="481" t="s">
        <v>791</v>
      </c>
      <c r="BM154" s="487" t="s">
        <v>1251</v>
      </c>
      <c r="BN154" s="565" t="s">
        <v>1252</v>
      </c>
      <c r="BO154" s="284" t="s">
        <v>1253</v>
      </c>
      <c r="BP154" s="285">
        <v>46167</v>
      </c>
      <c r="BQ154" s="482"/>
      <c r="BR154" s="965">
        <v>4937</v>
      </c>
      <c r="BS154" s="482"/>
      <c r="BT154" s="482"/>
      <c r="BU154" s="482" t="s">
        <v>1254</v>
      </c>
      <c r="BV154" s="414" t="s">
        <v>1304</v>
      </c>
      <c r="BW154" s="566" t="s">
        <v>1305</v>
      </c>
      <c r="BX154" s="566" t="s">
        <v>1306</v>
      </c>
      <c r="BY154" s="284">
        <v>41010758</v>
      </c>
      <c r="BZ154" s="284">
        <v>10410107584</v>
      </c>
      <c r="CA154" s="288">
        <v>3000</v>
      </c>
      <c r="CB154" s="285">
        <v>46174</v>
      </c>
      <c r="CC154" s="285">
        <v>46203</v>
      </c>
      <c r="CD154" s="759"/>
      <c r="CE154" s="485">
        <f t="shared" si="366"/>
        <v>0</v>
      </c>
      <c r="CF154" s="484">
        <f t="shared" si="367"/>
        <v>0</v>
      </c>
      <c r="CG154" s="485"/>
      <c r="CH154" s="485">
        <f t="shared" si="368"/>
        <v>0</v>
      </c>
      <c r="CI154" s="485"/>
      <c r="CJ154" s="485">
        <f t="shared" si="369"/>
        <v>0</v>
      </c>
      <c r="CK154" s="484">
        <f t="shared" si="370"/>
        <v>0</v>
      </c>
      <c r="CL154" s="484">
        <f t="shared" si="371"/>
        <v>0</v>
      </c>
      <c r="CM154" s="1006"/>
      <c r="CN154" s="485">
        <f t="shared" si="372"/>
        <v>30</v>
      </c>
      <c r="CO154" s="484">
        <f t="shared" si="373"/>
        <v>3000</v>
      </c>
      <c r="CP154" s="485">
        <v>30</v>
      </c>
      <c r="CQ154" s="484">
        <f t="shared" si="374"/>
        <v>3000</v>
      </c>
      <c r="CR154" s="485">
        <v>30</v>
      </c>
      <c r="CS154" s="484">
        <f t="shared" si="375"/>
        <v>3000</v>
      </c>
      <c r="CT154" s="484">
        <f t="shared" si="376"/>
        <v>0</v>
      </c>
      <c r="CU154" s="484">
        <f t="shared" si="377"/>
        <v>0</v>
      </c>
      <c r="CV154" s="1006"/>
      <c r="CW154" s="1007">
        <f t="shared" si="361"/>
        <v>3000</v>
      </c>
      <c r="CX154" s="486">
        <f t="shared" si="362"/>
        <v>3000</v>
      </c>
      <c r="CY154" s="486">
        <f t="shared" si="363"/>
        <v>3000</v>
      </c>
      <c r="CZ154" s="1007">
        <f t="shared" si="364"/>
        <v>0</v>
      </c>
      <c r="DA154" s="1007">
        <f t="shared" si="365"/>
        <v>0</v>
      </c>
    </row>
    <row r="155" spans="1:105" ht="51" hidden="1" x14ac:dyDescent="0.25">
      <c r="A155" s="472">
        <v>2026</v>
      </c>
      <c r="B155" s="472">
        <v>479</v>
      </c>
      <c r="C155" s="472" t="s">
        <v>64</v>
      </c>
      <c r="D155" s="472" t="s">
        <v>65</v>
      </c>
      <c r="E155" s="472">
        <v>125</v>
      </c>
      <c r="F155" s="472">
        <v>3000654</v>
      </c>
      <c r="G155" s="472">
        <v>5005023</v>
      </c>
      <c r="H155" s="472">
        <v>3</v>
      </c>
      <c r="I155" s="472">
        <v>12</v>
      </c>
      <c r="J155" s="472">
        <v>24</v>
      </c>
      <c r="K155" s="472">
        <v>135560</v>
      </c>
      <c r="L155" s="472" t="s">
        <v>66</v>
      </c>
      <c r="M155" s="124" t="s">
        <v>67</v>
      </c>
      <c r="N155" s="472">
        <v>95</v>
      </c>
      <c r="O155" s="474"/>
      <c r="P155" s="474" t="s">
        <v>4</v>
      </c>
      <c r="Q155" s="472" t="s">
        <v>68</v>
      </c>
      <c r="R155" s="475" t="s">
        <v>69</v>
      </c>
      <c r="S155" s="475" t="s">
        <v>137</v>
      </c>
      <c r="T155" s="475"/>
      <c r="U155" s="124" t="s">
        <v>192</v>
      </c>
      <c r="V155" s="475" t="s">
        <v>3</v>
      </c>
      <c r="W155" s="121">
        <v>1</v>
      </c>
      <c r="X155" s="476">
        <v>3000</v>
      </c>
      <c r="Y155" s="475"/>
      <c r="Z155" s="475"/>
      <c r="AA155" s="476"/>
      <c r="AB155" s="475"/>
      <c r="AC155" s="475"/>
      <c r="AD155" s="563">
        <v>30</v>
      </c>
      <c r="AE155" s="475"/>
      <c r="AF155" s="475"/>
      <c r="AG155" s="476"/>
      <c r="AH155" s="475"/>
      <c r="AI155" s="475"/>
      <c r="AJ155" s="476"/>
      <c r="AK155" s="476">
        <v>3000</v>
      </c>
      <c r="AL155" s="475"/>
      <c r="AM155" s="476"/>
      <c r="AN155" s="475"/>
      <c r="AO155" s="475"/>
      <c r="AP155" s="567"/>
      <c r="AQ155" s="567">
        <v>3000</v>
      </c>
      <c r="AR155" s="472" t="s">
        <v>73</v>
      </c>
      <c r="AS155" s="472" t="s">
        <v>73</v>
      </c>
      <c r="AT155" s="472" t="s">
        <v>73</v>
      </c>
      <c r="AU155" s="472" t="s">
        <v>73</v>
      </c>
      <c r="AV155" s="472" t="s">
        <v>73</v>
      </c>
      <c r="AW155" s="472" t="s">
        <v>73</v>
      </c>
      <c r="AX155" s="476">
        <v>3000</v>
      </c>
      <c r="AY155" s="479" t="s">
        <v>7</v>
      </c>
      <c r="AZ155" s="474" t="s">
        <v>74</v>
      </c>
      <c r="BA155" s="474"/>
      <c r="BB155" s="480"/>
      <c r="BC155" s="480"/>
      <c r="BK155" s="481" t="s">
        <v>790</v>
      </c>
      <c r="BL155" s="481" t="s">
        <v>791</v>
      </c>
      <c r="BM155" s="487" t="s">
        <v>1251</v>
      </c>
      <c r="BN155" s="565" t="s">
        <v>1252</v>
      </c>
      <c r="BO155" s="284" t="s">
        <v>1253</v>
      </c>
      <c r="BP155" s="285">
        <v>46167</v>
      </c>
      <c r="BQ155" s="482"/>
      <c r="BR155" s="965">
        <v>4938</v>
      </c>
      <c r="BS155" s="482"/>
      <c r="BT155" s="482"/>
      <c r="BU155" s="482" t="s">
        <v>1254</v>
      </c>
      <c r="BV155" s="414" t="s">
        <v>1307</v>
      </c>
      <c r="BW155" s="566" t="s">
        <v>1308</v>
      </c>
      <c r="BX155" s="566" t="s">
        <v>1309</v>
      </c>
      <c r="BY155" s="284">
        <v>42252203</v>
      </c>
      <c r="BZ155" s="284">
        <v>10422522030</v>
      </c>
      <c r="CA155" s="288">
        <v>3000</v>
      </c>
      <c r="CB155" s="285">
        <v>46174</v>
      </c>
      <c r="CC155" s="285">
        <v>46203</v>
      </c>
      <c r="CD155" s="759"/>
      <c r="CE155" s="485">
        <f t="shared" si="366"/>
        <v>0</v>
      </c>
      <c r="CF155" s="484">
        <f t="shared" si="367"/>
        <v>0</v>
      </c>
      <c r="CG155" s="485"/>
      <c r="CH155" s="485">
        <f t="shared" si="368"/>
        <v>0</v>
      </c>
      <c r="CI155" s="485"/>
      <c r="CJ155" s="485">
        <f t="shared" si="369"/>
        <v>0</v>
      </c>
      <c r="CK155" s="484">
        <f t="shared" si="370"/>
        <v>0</v>
      </c>
      <c r="CL155" s="484">
        <f t="shared" si="371"/>
        <v>0</v>
      </c>
      <c r="CM155" s="1006"/>
      <c r="CN155" s="485">
        <f t="shared" si="372"/>
        <v>30</v>
      </c>
      <c r="CO155" s="484">
        <f t="shared" si="373"/>
        <v>3000</v>
      </c>
      <c r="CP155" s="485">
        <v>30</v>
      </c>
      <c r="CQ155" s="484">
        <f t="shared" si="374"/>
        <v>3000</v>
      </c>
      <c r="CR155" s="485">
        <v>30</v>
      </c>
      <c r="CS155" s="484">
        <f t="shared" si="375"/>
        <v>3000</v>
      </c>
      <c r="CT155" s="484">
        <f t="shared" si="376"/>
        <v>0</v>
      </c>
      <c r="CU155" s="484">
        <f t="shared" si="377"/>
        <v>0</v>
      </c>
      <c r="CV155" s="1006"/>
      <c r="CW155" s="1007">
        <f t="shared" si="361"/>
        <v>3000</v>
      </c>
      <c r="CX155" s="486">
        <f t="shared" si="362"/>
        <v>3000</v>
      </c>
      <c r="CY155" s="486">
        <f t="shared" si="363"/>
        <v>3000</v>
      </c>
      <c r="CZ155" s="1007">
        <f t="shared" si="364"/>
        <v>0</v>
      </c>
      <c r="DA155" s="1007">
        <f t="shared" si="365"/>
        <v>0</v>
      </c>
    </row>
    <row r="156" spans="1:105" ht="51" hidden="1" x14ac:dyDescent="0.25">
      <c r="A156" s="472">
        <v>2026</v>
      </c>
      <c r="B156" s="472">
        <v>479</v>
      </c>
      <c r="C156" s="472" t="s">
        <v>64</v>
      </c>
      <c r="D156" s="472" t="s">
        <v>65</v>
      </c>
      <c r="E156" s="472">
        <v>125</v>
      </c>
      <c r="F156" s="472">
        <v>3000654</v>
      </c>
      <c r="G156" s="472">
        <v>5005023</v>
      </c>
      <c r="H156" s="472">
        <v>3</v>
      </c>
      <c r="I156" s="472">
        <v>12</v>
      </c>
      <c r="J156" s="472">
        <v>24</v>
      </c>
      <c r="K156" s="472">
        <v>135560</v>
      </c>
      <c r="L156" s="472" t="s">
        <v>66</v>
      </c>
      <c r="M156" s="124" t="s">
        <v>67</v>
      </c>
      <c r="N156" s="472">
        <v>95</v>
      </c>
      <c r="O156" s="474"/>
      <c r="P156" s="474" t="s">
        <v>4</v>
      </c>
      <c r="Q156" s="472" t="s">
        <v>68</v>
      </c>
      <c r="R156" s="475" t="s">
        <v>69</v>
      </c>
      <c r="S156" s="475" t="s">
        <v>137</v>
      </c>
      <c r="T156" s="475"/>
      <c r="U156" s="124" t="s">
        <v>192</v>
      </c>
      <c r="V156" s="475" t="s">
        <v>3</v>
      </c>
      <c r="W156" s="121">
        <v>1</v>
      </c>
      <c r="X156" s="476">
        <v>3000</v>
      </c>
      <c r="Y156" s="475"/>
      <c r="Z156" s="475"/>
      <c r="AA156" s="476"/>
      <c r="AB156" s="475"/>
      <c r="AC156" s="475"/>
      <c r="AD156" s="563">
        <v>30</v>
      </c>
      <c r="AE156" s="475"/>
      <c r="AF156" s="475"/>
      <c r="AG156" s="476"/>
      <c r="AH156" s="475"/>
      <c r="AI156" s="475"/>
      <c r="AJ156" s="476"/>
      <c r="AK156" s="476">
        <v>3000</v>
      </c>
      <c r="AL156" s="475"/>
      <c r="AM156" s="476"/>
      <c r="AN156" s="475"/>
      <c r="AO156" s="475"/>
      <c r="AP156" s="567"/>
      <c r="AQ156" s="567">
        <v>3000</v>
      </c>
      <c r="AR156" s="472" t="s">
        <v>73</v>
      </c>
      <c r="AS156" s="472" t="s">
        <v>73</v>
      </c>
      <c r="AT156" s="472" t="s">
        <v>73</v>
      </c>
      <c r="AU156" s="472" t="s">
        <v>73</v>
      </c>
      <c r="AV156" s="472" t="s">
        <v>73</v>
      </c>
      <c r="AW156" s="472" t="s">
        <v>73</v>
      </c>
      <c r="AX156" s="476">
        <v>3000</v>
      </c>
      <c r="AY156" s="479" t="s">
        <v>7</v>
      </c>
      <c r="AZ156" s="474" t="s">
        <v>74</v>
      </c>
      <c r="BA156" s="474"/>
      <c r="BB156" s="480"/>
      <c r="BC156" s="480"/>
      <c r="BK156" s="481" t="s">
        <v>790</v>
      </c>
      <c r="BL156" s="481" t="s">
        <v>791</v>
      </c>
      <c r="BM156" s="487" t="s">
        <v>1251</v>
      </c>
      <c r="BN156" s="565" t="s">
        <v>1252</v>
      </c>
      <c r="BO156" s="284" t="s">
        <v>1253</v>
      </c>
      <c r="BP156" s="285">
        <v>46167</v>
      </c>
      <c r="BQ156" s="482"/>
      <c r="BR156" s="965">
        <v>4939</v>
      </c>
      <c r="BS156" s="482"/>
      <c r="BT156" s="482"/>
      <c r="BU156" s="482" t="s">
        <v>1254</v>
      </c>
      <c r="BV156" s="414" t="s">
        <v>814</v>
      </c>
      <c r="BW156" s="566" t="s">
        <v>929</v>
      </c>
      <c r="BX156" s="566" t="s">
        <v>1310</v>
      </c>
      <c r="BY156" s="284">
        <v>47381386</v>
      </c>
      <c r="BZ156" s="284">
        <v>10473813861</v>
      </c>
      <c r="CA156" s="288">
        <v>3000</v>
      </c>
      <c r="CB156" s="285">
        <v>46174</v>
      </c>
      <c r="CC156" s="285">
        <v>46203</v>
      </c>
      <c r="CD156" s="759"/>
      <c r="CE156" s="485">
        <f t="shared" si="366"/>
        <v>0</v>
      </c>
      <c r="CF156" s="484">
        <f t="shared" si="367"/>
        <v>0</v>
      </c>
      <c r="CG156" s="485"/>
      <c r="CH156" s="485">
        <f t="shared" si="368"/>
        <v>0</v>
      </c>
      <c r="CI156" s="485"/>
      <c r="CJ156" s="485">
        <f t="shared" si="369"/>
        <v>0</v>
      </c>
      <c r="CK156" s="484">
        <f t="shared" si="370"/>
        <v>0</v>
      </c>
      <c r="CL156" s="484">
        <f t="shared" si="371"/>
        <v>0</v>
      </c>
      <c r="CM156" s="1006"/>
      <c r="CN156" s="485">
        <f t="shared" si="372"/>
        <v>30</v>
      </c>
      <c r="CO156" s="484">
        <f t="shared" si="373"/>
        <v>3000</v>
      </c>
      <c r="CP156" s="485">
        <v>30</v>
      </c>
      <c r="CQ156" s="484">
        <f t="shared" si="374"/>
        <v>3000</v>
      </c>
      <c r="CR156" s="485">
        <v>30</v>
      </c>
      <c r="CS156" s="484">
        <f t="shared" si="375"/>
        <v>3000</v>
      </c>
      <c r="CT156" s="484">
        <f t="shared" si="376"/>
        <v>0</v>
      </c>
      <c r="CU156" s="484">
        <f t="shared" si="377"/>
        <v>0</v>
      </c>
      <c r="CV156" s="1006"/>
      <c r="CW156" s="1007">
        <f t="shared" si="361"/>
        <v>3000</v>
      </c>
      <c r="CX156" s="486">
        <f t="shared" si="362"/>
        <v>3000</v>
      </c>
      <c r="CY156" s="486">
        <f t="shared" si="363"/>
        <v>3000</v>
      </c>
      <c r="CZ156" s="1007">
        <f t="shared" si="364"/>
        <v>0</v>
      </c>
      <c r="DA156" s="1007">
        <f t="shared" si="365"/>
        <v>0</v>
      </c>
    </row>
    <row r="157" spans="1:105" ht="51" hidden="1" x14ac:dyDescent="0.25">
      <c r="A157" s="472">
        <v>2026</v>
      </c>
      <c r="B157" s="472">
        <v>479</v>
      </c>
      <c r="C157" s="472" t="s">
        <v>64</v>
      </c>
      <c r="D157" s="472" t="s">
        <v>65</v>
      </c>
      <c r="E157" s="472">
        <v>125</v>
      </c>
      <c r="F157" s="472">
        <v>3000654</v>
      </c>
      <c r="G157" s="472">
        <v>5005023</v>
      </c>
      <c r="H157" s="472">
        <v>3</v>
      </c>
      <c r="I157" s="472">
        <v>12</v>
      </c>
      <c r="J157" s="472">
        <v>24</v>
      </c>
      <c r="K157" s="472">
        <v>135560</v>
      </c>
      <c r="L157" s="472" t="s">
        <v>66</v>
      </c>
      <c r="M157" s="124" t="s">
        <v>67</v>
      </c>
      <c r="N157" s="472">
        <v>95</v>
      </c>
      <c r="O157" s="474"/>
      <c r="P157" s="474" t="s">
        <v>4</v>
      </c>
      <c r="Q157" s="472" t="s">
        <v>68</v>
      </c>
      <c r="R157" s="475" t="s">
        <v>69</v>
      </c>
      <c r="S157" s="475" t="s">
        <v>137</v>
      </c>
      <c r="T157" s="475"/>
      <c r="U157" s="124" t="s">
        <v>192</v>
      </c>
      <c r="V157" s="475" t="s">
        <v>3</v>
      </c>
      <c r="W157" s="121">
        <v>1</v>
      </c>
      <c r="X157" s="476">
        <v>3000</v>
      </c>
      <c r="Y157" s="475"/>
      <c r="Z157" s="475"/>
      <c r="AA157" s="476"/>
      <c r="AB157" s="475"/>
      <c r="AC157" s="475"/>
      <c r="AD157" s="563">
        <v>30</v>
      </c>
      <c r="AE157" s="475"/>
      <c r="AF157" s="475"/>
      <c r="AG157" s="476"/>
      <c r="AH157" s="475"/>
      <c r="AI157" s="475"/>
      <c r="AJ157" s="476"/>
      <c r="AK157" s="476">
        <v>3000</v>
      </c>
      <c r="AL157" s="475"/>
      <c r="AM157" s="476"/>
      <c r="AN157" s="475"/>
      <c r="AO157" s="475"/>
      <c r="AP157" s="567"/>
      <c r="AQ157" s="567">
        <v>3000</v>
      </c>
      <c r="AR157" s="472" t="s">
        <v>73</v>
      </c>
      <c r="AS157" s="472" t="s">
        <v>73</v>
      </c>
      <c r="AT157" s="472" t="s">
        <v>73</v>
      </c>
      <c r="AU157" s="472" t="s">
        <v>73</v>
      </c>
      <c r="AV157" s="472" t="s">
        <v>73</v>
      </c>
      <c r="AW157" s="472" t="s">
        <v>73</v>
      </c>
      <c r="AX157" s="476">
        <v>3000</v>
      </c>
      <c r="AY157" s="479" t="s">
        <v>7</v>
      </c>
      <c r="AZ157" s="474" t="s">
        <v>74</v>
      </c>
      <c r="BA157" s="474"/>
      <c r="BB157" s="480"/>
      <c r="BC157" s="480"/>
      <c r="BK157" s="481" t="s">
        <v>790</v>
      </c>
      <c r="BL157" s="481" t="s">
        <v>791</v>
      </c>
      <c r="BM157" s="487" t="s">
        <v>1251</v>
      </c>
      <c r="BN157" s="565" t="s">
        <v>1252</v>
      </c>
      <c r="BO157" s="284" t="s">
        <v>1253</v>
      </c>
      <c r="BP157" s="285">
        <v>46167</v>
      </c>
      <c r="BQ157" s="482"/>
      <c r="BR157" s="965">
        <v>4940</v>
      </c>
      <c r="BS157" s="482"/>
      <c r="BT157" s="482"/>
      <c r="BU157" s="482" t="s">
        <v>1254</v>
      </c>
      <c r="BV157" s="414" t="s">
        <v>980</v>
      </c>
      <c r="BW157" s="566" t="s">
        <v>1311</v>
      </c>
      <c r="BX157" s="566" t="s">
        <v>1312</v>
      </c>
      <c r="BY157" s="284">
        <v>74829796</v>
      </c>
      <c r="BZ157" s="284">
        <v>10748297966</v>
      </c>
      <c r="CA157" s="288">
        <v>3000</v>
      </c>
      <c r="CB157" s="285">
        <v>46174</v>
      </c>
      <c r="CC157" s="285">
        <v>46203</v>
      </c>
      <c r="CD157" s="759"/>
      <c r="CE157" s="485">
        <f t="shared" si="366"/>
        <v>0</v>
      </c>
      <c r="CF157" s="484">
        <f t="shared" si="367"/>
        <v>0</v>
      </c>
      <c r="CG157" s="485"/>
      <c r="CH157" s="485">
        <f t="shared" si="368"/>
        <v>0</v>
      </c>
      <c r="CI157" s="485"/>
      <c r="CJ157" s="485">
        <f t="shared" si="369"/>
        <v>0</v>
      </c>
      <c r="CK157" s="484">
        <f t="shared" si="370"/>
        <v>0</v>
      </c>
      <c r="CL157" s="484">
        <f t="shared" si="371"/>
        <v>0</v>
      </c>
      <c r="CM157" s="1006"/>
      <c r="CN157" s="485">
        <f t="shared" si="372"/>
        <v>30</v>
      </c>
      <c r="CO157" s="484">
        <f t="shared" si="373"/>
        <v>3000</v>
      </c>
      <c r="CP157" s="485">
        <v>30</v>
      </c>
      <c r="CQ157" s="484">
        <f t="shared" si="374"/>
        <v>3000</v>
      </c>
      <c r="CR157" s="485">
        <v>30</v>
      </c>
      <c r="CS157" s="484">
        <f t="shared" si="375"/>
        <v>3000</v>
      </c>
      <c r="CT157" s="484">
        <f t="shared" si="376"/>
        <v>0</v>
      </c>
      <c r="CU157" s="484">
        <f t="shared" si="377"/>
        <v>0</v>
      </c>
      <c r="CV157" s="1006"/>
      <c r="CW157" s="1007">
        <f t="shared" si="361"/>
        <v>3000</v>
      </c>
      <c r="CX157" s="486">
        <f t="shared" si="362"/>
        <v>3000</v>
      </c>
      <c r="CY157" s="486">
        <f t="shared" si="363"/>
        <v>3000</v>
      </c>
      <c r="CZ157" s="1007">
        <f t="shared" si="364"/>
        <v>0</v>
      </c>
      <c r="DA157" s="1007">
        <f t="shared" si="365"/>
        <v>0</v>
      </c>
    </row>
    <row r="158" spans="1:105" ht="51" hidden="1" x14ac:dyDescent="0.25">
      <c r="A158" s="472">
        <v>2026</v>
      </c>
      <c r="B158" s="472">
        <v>479</v>
      </c>
      <c r="C158" s="472" t="s">
        <v>64</v>
      </c>
      <c r="D158" s="472" t="s">
        <v>65</v>
      </c>
      <c r="E158" s="472">
        <v>125</v>
      </c>
      <c r="F158" s="472">
        <v>3000654</v>
      </c>
      <c r="G158" s="472">
        <v>5005023</v>
      </c>
      <c r="H158" s="472">
        <v>3</v>
      </c>
      <c r="I158" s="472">
        <v>12</v>
      </c>
      <c r="J158" s="472">
        <v>24</v>
      </c>
      <c r="K158" s="472">
        <v>135560</v>
      </c>
      <c r="L158" s="472" t="s">
        <v>66</v>
      </c>
      <c r="M158" s="124" t="s">
        <v>67</v>
      </c>
      <c r="N158" s="472">
        <v>95</v>
      </c>
      <c r="O158" s="474"/>
      <c r="P158" s="474" t="s">
        <v>4</v>
      </c>
      <c r="Q158" s="472" t="s">
        <v>68</v>
      </c>
      <c r="R158" s="475" t="s">
        <v>69</v>
      </c>
      <c r="S158" s="475" t="s">
        <v>137</v>
      </c>
      <c r="T158" s="475"/>
      <c r="U158" s="124" t="s">
        <v>192</v>
      </c>
      <c r="V158" s="475" t="s">
        <v>3</v>
      </c>
      <c r="W158" s="121">
        <v>1</v>
      </c>
      <c r="X158" s="476">
        <v>3000</v>
      </c>
      <c r="Y158" s="475"/>
      <c r="Z158" s="475"/>
      <c r="AA158" s="476"/>
      <c r="AB158" s="475"/>
      <c r="AC158" s="475"/>
      <c r="AD158" s="563">
        <v>30</v>
      </c>
      <c r="AE158" s="475"/>
      <c r="AF158" s="475"/>
      <c r="AG158" s="476"/>
      <c r="AH158" s="475"/>
      <c r="AI158" s="475"/>
      <c r="AJ158" s="476"/>
      <c r="AK158" s="476">
        <v>3000</v>
      </c>
      <c r="AL158" s="475"/>
      <c r="AM158" s="476"/>
      <c r="AN158" s="475"/>
      <c r="AO158" s="475"/>
      <c r="AP158" s="567"/>
      <c r="AQ158" s="567">
        <v>3000</v>
      </c>
      <c r="AR158" s="472" t="s">
        <v>73</v>
      </c>
      <c r="AS158" s="472" t="s">
        <v>73</v>
      </c>
      <c r="AT158" s="472" t="s">
        <v>73</v>
      </c>
      <c r="AU158" s="472" t="s">
        <v>73</v>
      </c>
      <c r="AV158" s="472" t="s">
        <v>73</v>
      </c>
      <c r="AW158" s="472" t="s">
        <v>73</v>
      </c>
      <c r="AX158" s="476">
        <v>3000</v>
      </c>
      <c r="AY158" s="479" t="s">
        <v>7</v>
      </c>
      <c r="AZ158" s="474" t="s">
        <v>74</v>
      </c>
      <c r="BA158" s="474"/>
      <c r="BB158" s="480"/>
      <c r="BC158" s="480"/>
      <c r="BK158" s="481" t="s">
        <v>790</v>
      </c>
      <c r="BL158" s="481" t="s">
        <v>791</v>
      </c>
      <c r="BM158" s="487" t="s">
        <v>1251</v>
      </c>
      <c r="BN158" s="565" t="s">
        <v>1252</v>
      </c>
      <c r="BO158" s="284" t="s">
        <v>1253</v>
      </c>
      <c r="BP158" s="285">
        <v>46167</v>
      </c>
      <c r="BQ158" s="482"/>
      <c r="BR158" s="965">
        <v>4941</v>
      </c>
      <c r="BS158" s="482"/>
      <c r="BT158" s="482"/>
      <c r="BU158" s="482" t="s">
        <v>1254</v>
      </c>
      <c r="BV158" s="414" t="s">
        <v>1313</v>
      </c>
      <c r="BW158" s="566" t="s">
        <v>1314</v>
      </c>
      <c r="BX158" s="566" t="s">
        <v>1315</v>
      </c>
      <c r="BY158" s="284">
        <v>44647089</v>
      </c>
      <c r="BZ158" s="284">
        <v>10446470898</v>
      </c>
      <c r="CA158" s="288">
        <v>3000</v>
      </c>
      <c r="CB158" s="285">
        <v>46174</v>
      </c>
      <c r="CC158" s="285">
        <v>46203</v>
      </c>
      <c r="CD158" s="759"/>
      <c r="CE158" s="485">
        <f t="shared" si="366"/>
        <v>0</v>
      </c>
      <c r="CF158" s="484">
        <f t="shared" si="367"/>
        <v>0</v>
      </c>
      <c r="CG158" s="485"/>
      <c r="CH158" s="485">
        <f t="shared" si="368"/>
        <v>0</v>
      </c>
      <c r="CI158" s="485"/>
      <c r="CJ158" s="485">
        <f t="shared" si="369"/>
        <v>0</v>
      </c>
      <c r="CK158" s="484">
        <f t="shared" si="370"/>
        <v>0</v>
      </c>
      <c r="CL158" s="484">
        <f t="shared" si="371"/>
        <v>0</v>
      </c>
      <c r="CM158" s="1006"/>
      <c r="CN158" s="485">
        <f t="shared" si="372"/>
        <v>30</v>
      </c>
      <c r="CO158" s="484">
        <f t="shared" si="373"/>
        <v>3000</v>
      </c>
      <c r="CP158" s="485">
        <v>30</v>
      </c>
      <c r="CQ158" s="484">
        <f t="shared" si="374"/>
        <v>3000</v>
      </c>
      <c r="CR158" s="485">
        <v>30</v>
      </c>
      <c r="CS158" s="484">
        <f t="shared" si="375"/>
        <v>3000</v>
      </c>
      <c r="CT158" s="484">
        <f t="shared" si="376"/>
        <v>0</v>
      </c>
      <c r="CU158" s="484">
        <f t="shared" si="377"/>
        <v>0</v>
      </c>
      <c r="CV158" s="1006"/>
      <c r="CW158" s="1007">
        <f t="shared" si="361"/>
        <v>3000</v>
      </c>
      <c r="CX158" s="486">
        <f t="shared" si="362"/>
        <v>3000</v>
      </c>
      <c r="CY158" s="486">
        <f t="shared" si="363"/>
        <v>3000</v>
      </c>
      <c r="CZ158" s="1007">
        <f t="shared" si="364"/>
        <v>0</v>
      </c>
      <c r="DA158" s="1007">
        <f t="shared" si="365"/>
        <v>0</v>
      </c>
    </row>
    <row r="159" spans="1:105" ht="51" hidden="1" x14ac:dyDescent="0.25">
      <c r="A159" s="472">
        <v>2026</v>
      </c>
      <c r="B159" s="472">
        <v>479</v>
      </c>
      <c r="C159" s="472" t="s">
        <v>64</v>
      </c>
      <c r="D159" s="472" t="s">
        <v>65</v>
      </c>
      <c r="E159" s="472">
        <v>125</v>
      </c>
      <c r="F159" s="472">
        <v>3000654</v>
      </c>
      <c r="G159" s="472">
        <v>5005023</v>
      </c>
      <c r="H159" s="472">
        <v>3</v>
      </c>
      <c r="I159" s="472">
        <v>12</v>
      </c>
      <c r="J159" s="472">
        <v>24</v>
      </c>
      <c r="K159" s="472">
        <v>135560</v>
      </c>
      <c r="L159" s="472" t="s">
        <v>66</v>
      </c>
      <c r="M159" s="124" t="s">
        <v>67</v>
      </c>
      <c r="N159" s="472">
        <v>95</v>
      </c>
      <c r="O159" s="474"/>
      <c r="P159" s="474" t="s">
        <v>4</v>
      </c>
      <c r="Q159" s="472" t="s">
        <v>68</v>
      </c>
      <c r="R159" s="475" t="s">
        <v>69</v>
      </c>
      <c r="S159" s="475" t="s">
        <v>137</v>
      </c>
      <c r="T159" s="475"/>
      <c r="U159" s="124" t="s">
        <v>192</v>
      </c>
      <c r="V159" s="475" t="s">
        <v>3</v>
      </c>
      <c r="W159" s="121">
        <v>1</v>
      </c>
      <c r="X159" s="476">
        <v>3000</v>
      </c>
      <c r="Y159" s="475"/>
      <c r="Z159" s="475"/>
      <c r="AA159" s="476"/>
      <c r="AB159" s="475"/>
      <c r="AC159" s="475"/>
      <c r="AD159" s="563">
        <v>30</v>
      </c>
      <c r="AE159" s="475"/>
      <c r="AF159" s="475"/>
      <c r="AG159" s="476"/>
      <c r="AH159" s="475"/>
      <c r="AI159" s="475"/>
      <c r="AJ159" s="476"/>
      <c r="AK159" s="476">
        <v>3000</v>
      </c>
      <c r="AL159" s="475"/>
      <c r="AM159" s="476"/>
      <c r="AN159" s="475"/>
      <c r="AO159" s="475"/>
      <c r="AP159" s="567"/>
      <c r="AQ159" s="567">
        <v>3000</v>
      </c>
      <c r="AR159" s="472" t="s">
        <v>73</v>
      </c>
      <c r="AS159" s="472" t="s">
        <v>73</v>
      </c>
      <c r="AT159" s="472" t="s">
        <v>73</v>
      </c>
      <c r="AU159" s="472" t="s">
        <v>73</v>
      </c>
      <c r="AV159" s="472" t="s">
        <v>73</v>
      </c>
      <c r="AW159" s="472" t="s">
        <v>73</v>
      </c>
      <c r="AX159" s="476">
        <v>3000</v>
      </c>
      <c r="AY159" s="479" t="s">
        <v>7</v>
      </c>
      <c r="AZ159" s="474" t="s">
        <v>74</v>
      </c>
      <c r="BA159" s="474"/>
      <c r="BB159" s="480"/>
      <c r="BC159" s="480"/>
      <c r="BK159" s="481" t="s">
        <v>790</v>
      </c>
      <c r="BL159" s="481" t="s">
        <v>791</v>
      </c>
      <c r="BM159" s="487" t="s">
        <v>1251</v>
      </c>
      <c r="BN159" s="565" t="s">
        <v>1252</v>
      </c>
      <c r="BO159" s="284" t="s">
        <v>1253</v>
      </c>
      <c r="BP159" s="285">
        <v>46167</v>
      </c>
      <c r="BQ159" s="482"/>
      <c r="BR159" s="965">
        <v>4942</v>
      </c>
      <c r="BS159" s="482"/>
      <c r="BT159" s="482"/>
      <c r="BU159" s="482" t="s">
        <v>1254</v>
      </c>
      <c r="BV159" s="414" t="s">
        <v>1316</v>
      </c>
      <c r="BW159" s="566" t="s">
        <v>1317</v>
      </c>
      <c r="BX159" s="566" t="s">
        <v>1318</v>
      </c>
      <c r="BY159" s="284">
        <v>41033325</v>
      </c>
      <c r="BZ159" s="284">
        <v>10410333258</v>
      </c>
      <c r="CA159" s="288">
        <v>3000</v>
      </c>
      <c r="CB159" s="285">
        <v>46174</v>
      </c>
      <c r="CC159" s="285">
        <v>46203</v>
      </c>
      <c r="CD159" s="759"/>
      <c r="CE159" s="485">
        <f t="shared" si="366"/>
        <v>0</v>
      </c>
      <c r="CF159" s="484">
        <f t="shared" si="367"/>
        <v>0</v>
      </c>
      <c r="CG159" s="485"/>
      <c r="CH159" s="485">
        <f t="shared" si="368"/>
        <v>0</v>
      </c>
      <c r="CI159" s="485"/>
      <c r="CJ159" s="485">
        <f t="shared" si="369"/>
        <v>0</v>
      </c>
      <c r="CK159" s="484">
        <f t="shared" si="370"/>
        <v>0</v>
      </c>
      <c r="CL159" s="484">
        <f t="shared" si="371"/>
        <v>0</v>
      </c>
      <c r="CM159" s="1006"/>
      <c r="CN159" s="485">
        <f t="shared" si="372"/>
        <v>30</v>
      </c>
      <c r="CO159" s="484">
        <f t="shared" si="373"/>
        <v>3000</v>
      </c>
      <c r="CP159" s="485">
        <v>30</v>
      </c>
      <c r="CQ159" s="484">
        <f t="shared" si="374"/>
        <v>3000</v>
      </c>
      <c r="CR159" s="485">
        <v>30</v>
      </c>
      <c r="CS159" s="484">
        <f t="shared" si="375"/>
        <v>3000</v>
      </c>
      <c r="CT159" s="484">
        <f t="shared" si="376"/>
        <v>0</v>
      </c>
      <c r="CU159" s="484">
        <f t="shared" si="377"/>
        <v>0</v>
      </c>
      <c r="CV159" s="1006"/>
      <c r="CW159" s="1007">
        <f t="shared" si="361"/>
        <v>3000</v>
      </c>
      <c r="CX159" s="486">
        <f t="shared" si="362"/>
        <v>3000</v>
      </c>
      <c r="CY159" s="486">
        <f t="shared" si="363"/>
        <v>3000</v>
      </c>
      <c r="CZ159" s="1007">
        <f t="shared" si="364"/>
        <v>0</v>
      </c>
      <c r="DA159" s="1007">
        <f t="shared" si="365"/>
        <v>0</v>
      </c>
    </row>
    <row r="160" spans="1:105" ht="51" hidden="1" x14ac:dyDescent="0.25">
      <c r="A160" s="472">
        <v>2026</v>
      </c>
      <c r="B160" s="472">
        <v>479</v>
      </c>
      <c r="C160" s="472" t="s">
        <v>64</v>
      </c>
      <c r="D160" s="472" t="s">
        <v>65</v>
      </c>
      <c r="E160" s="472">
        <v>125</v>
      </c>
      <c r="F160" s="472">
        <v>3000654</v>
      </c>
      <c r="G160" s="472">
        <v>5005023</v>
      </c>
      <c r="H160" s="472">
        <v>3</v>
      </c>
      <c r="I160" s="472">
        <v>12</v>
      </c>
      <c r="J160" s="472">
        <v>24</v>
      </c>
      <c r="K160" s="472">
        <v>135560</v>
      </c>
      <c r="L160" s="472" t="s">
        <v>66</v>
      </c>
      <c r="M160" s="124" t="s">
        <v>67</v>
      </c>
      <c r="N160" s="472">
        <v>95</v>
      </c>
      <c r="O160" s="474"/>
      <c r="P160" s="474" t="s">
        <v>4</v>
      </c>
      <c r="Q160" s="472" t="s">
        <v>68</v>
      </c>
      <c r="R160" s="475" t="s">
        <v>69</v>
      </c>
      <c r="S160" s="475" t="s">
        <v>137</v>
      </c>
      <c r="T160" s="475"/>
      <c r="U160" s="124" t="s">
        <v>192</v>
      </c>
      <c r="V160" s="475" t="s">
        <v>3</v>
      </c>
      <c r="W160" s="121">
        <v>1</v>
      </c>
      <c r="X160" s="476">
        <v>3000</v>
      </c>
      <c r="Y160" s="475"/>
      <c r="Z160" s="475"/>
      <c r="AA160" s="476"/>
      <c r="AB160" s="475"/>
      <c r="AC160" s="475"/>
      <c r="AD160" s="563">
        <v>30</v>
      </c>
      <c r="AE160" s="475"/>
      <c r="AF160" s="475"/>
      <c r="AG160" s="476"/>
      <c r="AH160" s="475"/>
      <c r="AI160" s="475"/>
      <c r="AJ160" s="476"/>
      <c r="AK160" s="476">
        <v>3000</v>
      </c>
      <c r="AL160" s="475"/>
      <c r="AM160" s="476"/>
      <c r="AN160" s="475"/>
      <c r="AO160" s="475"/>
      <c r="AP160" s="567"/>
      <c r="AQ160" s="567">
        <v>3000</v>
      </c>
      <c r="AR160" s="472" t="s">
        <v>73</v>
      </c>
      <c r="AS160" s="472" t="s">
        <v>73</v>
      </c>
      <c r="AT160" s="472" t="s">
        <v>73</v>
      </c>
      <c r="AU160" s="472" t="s">
        <v>73</v>
      </c>
      <c r="AV160" s="472" t="s">
        <v>73</v>
      </c>
      <c r="AW160" s="472" t="s">
        <v>73</v>
      </c>
      <c r="AX160" s="476">
        <v>3000</v>
      </c>
      <c r="AY160" s="479" t="s">
        <v>7</v>
      </c>
      <c r="AZ160" s="474" t="s">
        <v>74</v>
      </c>
      <c r="BA160" s="474"/>
      <c r="BB160" s="480"/>
      <c r="BC160" s="480"/>
      <c r="BK160" s="481" t="s">
        <v>790</v>
      </c>
      <c r="BL160" s="481" t="s">
        <v>791</v>
      </c>
      <c r="BM160" s="487" t="s">
        <v>1251</v>
      </c>
      <c r="BN160" s="565" t="s">
        <v>1252</v>
      </c>
      <c r="BO160" s="284" t="s">
        <v>1253</v>
      </c>
      <c r="BP160" s="285">
        <v>46167</v>
      </c>
      <c r="BQ160" s="482"/>
      <c r="BR160" s="965">
        <v>4943</v>
      </c>
      <c r="BS160" s="482"/>
      <c r="BT160" s="482"/>
      <c r="BU160" s="482" t="s">
        <v>1254</v>
      </c>
      <c r="BV160" s="414" t="s">
        <v>1319</v>
      </c>
      <c r="BW160" s="566" t="s">
        <v>1320</v>
      </c>
      <c r="BX160" s="566" t="s">
        <v>1321</v>
      </c>
      <c r="BY160" s="284">
        <v>9590920</v>
      </c>
      <c r="BZ160" s="284">
        <v>10095909201</v>
      </c>
      <c r="CA160" s="288">
        <v>3000</v>
      </c>
      <c r="CB160" s="285">
        <v>46174</v>
      </c>
      <c r="CC160" s="285">
        <v>46203</v>
      </c>
      <c r="CD160" s="759"/>
      <c r="CE160" s="485">
        <f t="shared" si="366"/>
        <v>0</v>
      </c>
      <c r="CF160" s="484">
        <f t="shared" si="367"/>
        <v>0</v>
      </c>
      <c r="CG160" s="485"/>
      <c r="CH160" s="485">
        <f t="shared" si="368"/>
        <v>0</v>
      </c>
      <c r="CI160" s="485"/>
      <c r="CJ160" s="485">
        <f t="shared" si="369"/>
        <v>0</v>
      </c>
      <c r="CK160" s="484">
        <f t="shared" si="370"/>
        <v>0</v>
      </c>
      <c r="CL160" s="484">
        <f t="shared" si="371"/>
        <v>0</v>
      </c>
      <c r="CM160" s="1006"/>
      <c r="CN160" s="485">
        <f t="shared" si="372"/>
        <v>30</v>
      </c>
      <c r="CO160" s="484">
        <f t="shared" si="373"/>
        <v>3000</v>
      </c>
      <c r="CP160" s="485">
        <v>30</v>
      </c>
      <c r="CQ160" s="484">
        <f t="shared" si="374"/>
        <v>3000</v>
      </c>
      <c r="CR160" s="485">
        <v>30</v>
      </c>
      <c r="CS160" s="484">
        <f t="shared" si="375"/>
        <v>3000</v>
      </c>
      <c r="CT160" s="484">
        <f t="shared" si="376"/>
        <v>0</v>
      </c>
      <c r="CU160" s="484">
        <f t="shared" si="377"/>
        <v>0</v>
      </c>
      <c r="CV160" s="1006"/>
      <c r="CW160" s="1007">
        <f t="shared" si="361"/>
        <v>3000</v>
      </c>
      <c r="CX160" s="486">
        <f t="shared" si="362"/>
        <v>3000</v>
      </c>
      <c r="CY160" s="486">
        <f t="shared" si="363"/>
        <v>3000</v>
      </c>
      <c r="CZ160" s="1007">
        <f t="shared" si="364"/>
        <v>0</v>
      </c>
      <c r="DA160" s="1007">
        <f t="shared" si="365"/>
        <v>0</v>
      </c>
    </row>
    <row r="161" spans="1:108" ht="51" hidden="1" x14ac:dyDescent="0.25">
      <c r="A161" s="472">
        <v>2026</v>
      </c>
      <c r="B161" s="472">
        <v>479</v>
      </c>
      <c r="C161" s="472" t="s">
        <v>64</v>
      </c>
      <c r="D161" s="472" t="s">
        <v>65</v>
      </c>
      <c r="E161" s="472">
        <v>125</v>
      </c>
      <c r="F161" s="472">
        <v>3000654</v>
      </c>
      <c r="G161" s="472">
        <v>5005023</v>
      </c>
      <c r="H161" s="472">
        <v>3</v>
      </c>
      <c r="I161" s="472">
        <v>12</v>
      </c>
      <c r="J161" s="472">
        <v>24</v>
      </c>
      <c r="K161" s="472">
        <v>135560</v>
      </c>
      <c r="L161" s="472" t="s">
        <v>66</v>
      </c>
      <c r="M161" s="124" t="s">
        <v>67</v>
      </c>
      <c r="N161" s="472">
        <v>95</v>
      </c>
      <c r="O161" s="474"/>
      <c r="P161" s="474" t="s">
        <v>4</v>
      </c>
      <c r="Q161" s="472" t="s">
        <v>68</v>
      </c>
      <c r="R161" s="475" t="s">
        <v>69</v>
      </c>
      <c r="S161" s="475" t="s">
        <v>137</v>
      </c>
      <c r="T161" s="475"/>
      <c r="U161" s="124" t="s">
        <v>192</v>
      </c>
      <c r="V161" s="475" t="s">
        <v>3</v>
      </c>
      <c r="W161" s="121">
        <v>1</v>
      </c>
      <c r="X161" s="476">
        <v>3000</v>
      </c>
      <c r="Y161" s="475"/>
      <c r="Z161" s="475"/>
      <c r="AA161" s="476"/>
      <c r="AB161" s="475"/>
      <c r="AC161" s="475"/>
      <c r="AD161" s="563">
        <v>30</v>
      </c>
      <c r="AE161" s="475"/>
      <c r="AF161" s="475"/>
      <c r="AG161" s="476"/>
      <c r="AH161" s="475"/>
      <c r="AI161" s="475"/>
      <c r="AJ161" s="476"/>
      <c r="AK161" s="476">
        <v>3000</v>
      </c>
      <c r="AL161" s="475"/>
      <c r="AM161" s="476"/>
      <c r="AN161" s="475"/>
      <c r="AO161" s="475"/>
      <c r="AP161" s="567"/>
      <c r="AQ161" s="567">
        <v>3000</v>
      </c>
      <c r="AR161" s="472" t="s">
        <v>73</v>
      </c>
      <c r="AS161" s="472" t="s">
        <v>73</v>
      </c>
      <c r="AT161" s="472" t="s">
        <v>73</v>
      </c>
      <c r="AU161" s="472" t="s">
        <v>73</v>
      </c>
      <c r="AV161" s="472" t="s">
        <v>73</v>
      </c>
      <c r="AW161" s="472" t="s">
        <v>73</v>
      </c>
      <c r="AX161" s="476">
        <v>3000</v>
      </c>
      <c r="AY161" s="479" t="s">
        <v>7</v>
      </c>
      <c r="AZ161" s="474" t="s">
        <v>74</v>
      </c>
      <c r="BA161" s="474"/>
      <c r="BB161" s="480"/>
      <c r="BC161" s="480"/>
      <c r="BK161" s="481" t="s">
        <v>790</v>
      </c>
      <c r="BL161" s="481" t="s">
        <v>791</v>
      </c>
      <c r="BM161" s="487" t="s">
        <v>1251</v>
      </c>
      <c r="BN161" s="565" t="s">
        <v>1252</v>
      </c>
      <c r="BO161" s="284" t="s">
        <v>1253</v>
      </c>
      <c r="BP161" s="285">
        <v>46167</v>
      </c>
      <c r="BQ161" s="482"/>
      <c r="BR161" s="965">
        <v>4944</v>
      </c>
      <c r="BS161" s="482"/>
      <c r="BT161" s="482"/>
      <c r="BU161" s="482" t="s">
        <v>1254</v>
      </c>
      <c r="BV161" s="414" t="s">
        <v>1322</v>
      </c>
      <c r="BW161" s="566" t="s">
        <v>845</v>
      </c>
      <c r="BX161" s="566" t="s">
        <v>1323</v>
      </c>
      <c r="BY161" s="284">
        <v>10355243</v>
      </c>
      <c r="BZ161" s="284">
        <v>10103552431</v>
      </c>
      <c r="CA161" s="288">
        <v>3000</v>
      </c>
      <c r="CB161" s="285">
        <v>46174</v>
      </c>
      <c r="CC161" s="285">
        <v>46203</v>
      </c>
      <c r="CD161" s="759"/>
      <c r="CE161" s="485">
        <f t="shared" si="366"/>
        <v>0</v>
      </c>
      <c r="CF161" s="484">
        <f t="shared" si="367"/>
        <v>0</v>
      </c>
      <c r="CG161" s="485"/>
      <c r="CH161" s="485">
        <f t="shared" si="368"/>
        <v>0</v>
      </c>
      <c r="CI161" s="485"/>
      <c r="CJ161" s="485">
        <f t="shared" si="369"/>
        <v>0</v>
      </c>
      <c r="CK161" s="484">
        <f t="shared" si="370"/>
        <v>0</v>
      </c>
      <c r="CL161" s="484">
        <f t="shared" si="371"/>
        <v>0</v>
      </c>
      <c r="CM161" s="1006"/>
      <c r="CN161" s="485">
        <f t="shared" si="372"/>
        <v>30</v>
      </c>
      <c r="CO161" s="484">
        <f t="shared" si="373"/>
        <v>3000</v>
      </c>
      <c r="CP161" s="485">
        <v>30</v>
      </c>
      <c r="CQ161" s="484">
        <f t="shared" si="374"/>
        <v>3000</v>
      </c>
      <c r="CR161" s="485">
        <v>30</v>
      </c>
      <c r="CS161" s="484">
        <f t="shared" si="375"/>
        <v>3000</v>
      </c>
      <c r="CT161" s="484">
        <f t="shared" si="376"/>
        <v>0</v>
      </c>
      <c r="CU161" s="484">
        <f t="shared" si="377"/>
        <v>0</v>
      </c>
      <c r="CV161" s="1006"/>
      <c r="CW161" s="1007">
        <f t="shared" si="361"/>
        <v>3000</v>
      </c>
      <c r="CX161" s="486">
        <f t="shared" si="362"/>
        <v>3000</v>
      </c>
      <c r="CY161" s="486">
        <f t="shared" si="363"/>
        <v>3000</v>
      </c>
      <c r="CZ161" s="1007">
        <f t="shared" si="364"/>
        <v>0</v>
      </c>
      <c r="DA161" s="1007">
        <f t="shared" si="365"/>
        <v>0</v>
      </c>
    </row>
    <row r="162" spans="1:108" ht="51" hidden="1" x14ac:dyDescent="0.25">
      <c r="A162" s="472">
        <v>2026</v>
      </c>
      <c r="B162" s="472">
        <v>479</v>
      </c>
      <c r="C162" s="472" t="s">
        <v>64</v>
      </c>
      <c r="D162" s="472" t="s">
        <v>65</v>
      </c>
      <c r="E162" s="472">
        <v>125</v>
      </c>
      <c r="F162" s="472">
        <v>3000654</v>
      </c>
      <c r="G162" s="472">
        <v>5005023</v>
      </c>
      <c r="H162" s="472">
        <v>3</v>
      </c>
      <c r="I162" s="472">
        <v>12</v>
      </c>
      <c r="J162" s="472">
        <v>24</v>
      </c>
      <c r="K162" s="472">
        <v>135560</v>
      </c>
      <c r="L162" s="472" t="s">
        <v>66</v>
      </c>
      <c r="M162" s="124" t="s">
        <v>67</v>
      </c>
      <c r="N162" s="472">
        <v>95</v>
      </c>
      <c r="O162" s="474"/>
      <c r="P162" s="474" t="s">
        <v>4</v>
      </c>
      <c r="Q162" s="472" t="s">
        <v>68</v>
      </c>
      <c r="R162" s="475" t="s">
        <v>69</v>
      </c>
      <c r="S162" s="475" t="s">
        <v>137</v>
      </c>
      <c r="T162" s="475"/>
      <c r="U162" s="124" t="s">
        <v>192</v>
      </c>
      <c r="V162" s="475" t="s">
        <v>3</v>
      </c>
      <c r="W162" s="121">
        <v>1</v>
      </c>
      <c r="X162" s="476">
        <v>3000</v>
      </c>
      <c r="Y162" s="475"/>
      <c r="Z162" s="475"/>
      <c r="AA162" s="476"/>
      <c r="AB162" s="475"/>
      <c r="AC162" s="475"/>
      <c r="AD162" s="563">
        <v>30</v>
      </c>
      <c r="AE162" s="475"/>
      <c r="AF162" s="475"/>
      <c r="AG162" s="476"/>
      <c r="AH162" s="475"/>
      <c r="AI162" s="475"/>
      <c r="AJ162" s="476"/>
      <c r="AK162" s="476">
        <v>3000</v>
      </c>
      <c r="AL162" s="475"/>
      <c r="AM162" s="476"/>
      <c r="AN162" s="475"/>
      <c r="AO162" s="475"/>
      <c r="AP162" s="567"/>
      <c r="AQ162" s="567">
        <v>3000</v>
      </c>
      <c r="AR162" s="472" t="s">
        <v>73</v>
      </c>
      <c r="AS162" s="472" t="s">
        <v>73</v>
      </c>
      <c r="AT162" s="472" t="s">
        <v>73</v>
      </c>
      <c r="AU162" s="472" t="s">
        <v>73</v>
      </c>
      <c r="AV162" s="472" t="s">
        <v>73</v>
      </c>
      <c r="AW162" s="472" t="s">
        <v>73</v>
      </c>
      <c r="AX162" s="476">
        <v>3000</v>
      </c>
      <c r="AY162" s="479" t="s">
        <v>7</v>
      </c>
      <c r="AZ162" s="474" t="s">
        <v>74</v>
      </c>
      <c r="BA162" s="474"/>
      <c r="BB162" s="480"/>
      <c r="BC162" s="480"/>
      <c r="BK162" s="481" t="s">
        <v>790</v>
      </c>
      <c r="BL162" s="481" t="s">
        <v>791</v>
      </c>
      <c r="BM162" s="487" t="s">
        <v>1251</v>
      </c>
      <c r="BN162" s="565" t="s">
        <v>1252</v>
      </c>
      <c r="BO162" s="284" t="s">
        <v>1253</v>
      </c>
      <c r="BP162" s="285">
        <v>46167</v>
      </c>
      <c r="BQ162" s="482"/>
      <c r="BR162" s="965">
        <v>4945</v>
      </c>
      <c r="BS162" s="482"/>
      <c r="BT162" s="482"/>
      <c r="BU162" s="482" t="s">
        <v>1254</v>
      </c>
      <c r="BV162" s="414" t="s">
        <v>1324</v>
      </c>
      <c r="BW162" s="566" t="s">
        <v>1325</v>
      </c>
      <c r="BX162" s="566" t="s">
        <v>1326</v>
      </c>
      <c r="BY162" s="284">
        <v>73058650</v>
      </c>
      <c r="BZ162" s="284">
        <v>10730586502</v>
      </c>
      <c r="CA162" s="288">
        <v>3000</v>
      </c>
      <c r="CB162" s="285">
        <v>46174</v>
      </c>
      <c r="CC162" s="285">
        <v>46203</v>
      </c>
      <c r="CD162" s="759"/>
      <c r="CE162" s="485">
        <f t="shared" si="366"/>
        <v>0</v>
      </c>
      <c r="CF162" s="484">
        <f t="shared" si="367"/>
        <v>0</v>
      </c>
      <c r="CG162" s="485"/>
      <c r="CH162" s="485">
        <f t="shared" si="368"/>
        <v>0</v>
      </c>
      <c r="CI162" s="485"/>
      <c r="CJ162" s="485">
        <f t="shared" si="369"/>
        <v>0</v>
      </c>
      <c r="CK162" s="484">
        <f t="shared" si="370"/>
        <v>0</v>
      </c>
      <c r="CL162" s="484">
        <f t="shared" si="371"/>
        <v>0</v>
      </c>
      <c r="CM162" s="1006"/>
      <c r="CN162" s="485">
        <f t="shared" si="372"/>
        <v>30</v>
      </c>
      <c r="CO162" s="484">
        <f t="shared" si="373"/>
        <v>3000</v>
      </c>
      <c r="CP162" s="485">
        <v>30</v>
      </c>
      <c r="CQ162" s="484">
        <f t="shared" si="374"/>
        <v>3000</v>
      </c>
      <c r="CR162" s="485">
        <v>30</v>
      </c>
      <c r="CS162" s="484">
        <f t="shared" si="375"/>
        <v>3000</v>
      </c>
      <c r="CT162" s="484">
        <f t="shared" si="376"/>
        <v>0</v>
      </c>
      <c r="CU162" s="484">
        <f t="shared" si="377"/>
        <v>0</v>
      </c>
      <c r="CV162" s="1006"/>
      <c r="CW162" s="1007">
        <f t="shared" si="361"/>
        <v>3000</v>
      </c>
      <c r="CX162" s="486">
        <f t="shared" si="362"/>
        <v>3000</v>
      </c>
      <c r="CY162" s="486">
        <f t="shared" si="363"/>
        <v>3000</v>
      </c>
      <c r="CZ162" s="1007">
        <f t="shared" si="364"/>
        <v>0</v>
      </c>
      <c r="DA162" s="1007">
        <f t="shared" si="365"/>
        <v>0</v>
      </c>
    </row>
    <row r="163" spans="1:108" ht="51" hidden="1" x14ac:dyDescent="0.25">
      <c r="A163" s="472">
        <v>2026</v>
      </c>
      <c r="B163" s="472">
        <v>479</v>
      </c>
      <c r="C163" s="472" t="s">
        <v>64</v>
      </c>
      <c r="D163" s="472" t="s">
        <v>65</v>
      </c>
      <c r="E163" s="472">
        <v>125</v>
      </c>
      <c r="F163" s="472">
        <v>3000654</v>
      </c>
      <c r="G163" s="472">
        <v>5005023</v>
      </c>
      <c r="H163" s="472">
        <v>3</v>
      </c>
      <c r="I163" s="472">
        <v>12</v>
      </c>
      <c r="J163" s="472">
        <v>24</v>
      </c>
      <c r="K163" s="472">
        <v>135560</v>
      </c>
      <c r="L163" s="472" t="s">
        <v>66</v>
      </c>
      <c r="M163" s="124" t="s">
        <v>67</v>
      </c>
      <c r="N163" s="472">
        <v>95</v>
      </c>
      <c r="O163" s="474"/>
      <c r="P163" s="474" t="s">
        <v>4</v>
      </c>
      <c r="Q163" s="472" t="s">
        <v>68</v>
      </c>
      <c r="R163" s="475" t="s">
        <v>69</v>
      </c>
      <c r="S163" s="475" t="s">
        <v>137</v>
      </c>
      <c r="T163" s="475"/>
      <c r="U163" s="124" t="s">
        <v>192</v>
      </c>
      <c r="V163" s="475" t="s">
        <v>3</v>
      </c>
      <c r="W163" s="121">
        <v>1</v>
      </c>
      <c r="X163" s="476">
        <v>3000</v>
      </c>
      <c r="Y163" s="475"/>
      <c r="Z163" s="475"/>
      <c r="AA163" s="476"/>
      <c r="AB163" s="475"/>
      <c r="AC163" s="475"/>
      <c r="AD163" s="563">
        <v>30</v>
      </c>
      <c r="AE163" s="475"/>
      <c r="AF163" s="475"/>
      <c r="AG163" s="476"/>
      <c r="AH163" s="475"/>
      <c r="AI163" s="475"/>
      <c r="AJ163" s="476"/>
      <c r="AK163" s="476">
        <v>3000</v>
      </c>
      <c r="AL163" s="475"/>
      <c r="AM163" s="476"/>
      <c r="AN163" s="475"/>
      <c r="AO163" s="475"/>
      <c r="AP163" s="567"/>
      <c r="AQ163" s="567">
        <v>3000</v>
      </c>
      <c r="AR163" s="472" t="s">
        <v>73</v>
      </c>
      <c r="AS163" s="472" t="s">
        <v>73</v>
      </c>
      <c r="AT163" s="472" t="s">
        <v>73</v>
      </c>
      <c r="AU163" s="472" t="s">
        <v>73</v>
      </c>
      <c r="AV163" s="472" t="s">
        <v>73</v>
      </c>
      <c r="AW163" s="472" t="s">
        <v>73</v>
      </c>
      <c r="AX163" s="476">
        <v>3000</v>
      </c>
      <c r="AY163" s="479" t="s">
        <v>7</v>
      </c>
      <c r="AZ163" s="474" t="s">
        <v>74</v>
      </c>
      <c r="BA163" s="474"/>
      <c r="BB163" s="480"/>
      <c r="BC163" s="480"/>
      <c r="BK163" s="481" t="s">
        <v>790</v>
      </c>
      <c r="BL163" s="481" t="s">
        <v>791</v>
      </c>
      <c r="BM163" s="487" t="s">
        <v>1251</v>
      </c>
      <c r="BN163" s="565" t="s">
        <v>1252</v>
      </c>
      <c r="BO163" s="284" t="s">
        <v>1253</v>
      </c>
      <c r="BP163" s="285">
        <v>46167</v>
      </c>
      <c r="BQ163" s="482"/>
      <c r="BR163" s="965">
        <v>4946</v>
      </c>
      <c r="BS163" s="482"/>
      <c r="BT163" s="482"/>
      <c r="BU163" s="482" t="s">
        <v>1254</v>
      </c>
      <c r="BV163" s="414" t="s">
        <v>891</v>
      </c>
      <c r="BW163" s="566" t="s">
        <v>1327</v>
      </c>
      <c r="BX163" s="566" t="s">
        <v>1328</v>
      </c>
      <c r="BY163" s="284">
        <v>74924001</v>
      </c>
      <c r="BZ163" s="284">
        <v>10749240011</v>
      </c>
      <c r="CA163" s="288">
        <v>3000</v>
      </c>
      <c r="CB163" s="285">
        <v>46174</v>
      </c>
      <c r="CC163" s="285">
        <v>46203</v>
      </c>
      <c r="CD163" s="759"/>
      <c r="CE163" s="485">
        <f t="shared" si="366"/>
        <v>0</v>
      </c>
      <c r="CF163" s="484">
        <f t="shared" si="367"/>
        <v>0</v>
      </c>
      <c r="CG163" s="485"/>
      <c r="CH163" s="485">
        <f t="shared" si="368"/>
        <v>0</v>
      </c>
      <c r="CI163" s="485"/>
      <c r="CJ163" s="485">
        <f t="shared" si="369"/>
        <v>0</v>
      </c>
      <c r="CK163" s="484">
        <f t="shared" si="370"/>
        <v>0</v>
      </c>
      <c r="CL163" s="484">
        <f t="shared" si="371"/>
        <v>0</v>
      </c>
      <c r="CM163" s="1006"/>
      <c r="CN163" s="485">
        <f t="shared" si="372"/>
        <v>30</v>
      </c>
      <c r="CO163" s="484">
        <f t="shared" si="373"/>
        <v>3000</v>
      </c>
      <c r="CP163" s="485">
        <v>30</v>
      </c>
      <c r="CQ163" s="484">
        <f t="shared" si="374"/>
        <v>3000</v>
      </c>
      <c r="CR163" s="485">
        <v>30</v>
      </c>
      <c r="CS163" s="484">
        <f t="shared" si="375"/>
        <v>3000</v>
      </c>
      <c r="CT163" s="484">
        <f t="shared" si="376"/>
        <v>0</v>
      </c>
      <c r="CU163" s="484">
        <f t="shared" si="377"/>
        <v>0</v>
      </c>
      <c r="CV163" s="1006"/>
      <c r="CW163" s="1007">
        <f t="shared" si="361"/>
        <v>3000</v>
      </c>
      <c r="CX163" s="486">
        <f t="shared" si="362"/>
        <v>3000</v>
      </c>
      <c r="CY163" s="486">
        <f t="shared" si="363"/>
        <v>3000</v>
      </c>
      <c r="CZ163" s="1007">
        <f t="shared" si="364"/>
        <v>0</v>
      </c>
      <c r="DA163" s="1007">
        <f t="shared" si="365"/>
        <v>0</v>
      </c>
    </row>
    <row r="164" spans="1:108" ht="51" hidden="1" x14ac:dyDescent="0.25">
      <c r="A164" s="472">
        <v>2026</v>
      </c>
      <c r="B164" s="472">
        <v>479</v>
      </c>
      <c r="C164" s="472" t="s">
        <v>64</v>
      </c>
      <c r="D164" s="472" t="s">
        <v>65</v>
      </c>
      <c r="E164" s="472">
        <v>125</v>
      </c>
      <c r="F164" s="472">
        <v>3000654</v>
      </c>
      <c r="G164" s="472">
        <v>5005023</v>
      </c>
      <c r="H164" s="472">
        <v>3</v>
      </c>
      <c r="I164" s="472">
        <v>12</v>
      </c>
      <c r="J164" s="472">
        <v>24</v>
      </c>
      <c r="K164" s="472">
        <v>135560</v>
      </c>
      <c r="L164" s="472" t="s">
        <v>66</v>
      </c>
      <c r="M164" s="124" t="s">
        <v>67</v>
      </c>
      <c r="N164" s="472">
        <v>95</v>
      </c>
      <c r="O164" s="474"/>
      <c r="P164" s="474" t="s">
        <v>4</v>
      </c>
      <c r="Q164" s="472" t="s">
        <v>68</v>
      </c>
      <c r="R164" s="475" t="s">
        <v>69</v>
      </c>
      <c r="S164" s="475" t="s">
        <v>137</v>
      </c>
      <c r="T164" s="475"/>
      <c r="U164" s="124" t="s">
        <v>192</v>
      </c>
      <c r="V164" s="475" t="s">
        <v>3</v>
      </c>
      <c r="W164" s="121">
        <v>1</v>
      </c>
      <c r="X164" s="476">
        <v>3000</v>
      </c>
      <c r="Y164" s="475"/>
      <c r="Z164" s="475"/>
      <c r="AA164" s="476"/>
      <c r="AB164" s="475"/>
      <c r="AC164" s="475"/>
      <c r="AD164" s="563">
        <v>30</v>
      </c>
      <c r="AE164" s="475"/>
      <c r="AF164" s="475"/>
      <c r="AG164" s="476"/>
      <c r="AH164" s="475"/>
      <c r="AI164" s="475"/>
      <c r="AJ164" s="476"/>
      <c r="AK164" s="476">
        <v>3000</v>
      </c>
      <c r="AL164" s="475"/>
      <c r="AM164" s="476"/>
      <c r="AN164" s="475"/>
      <c r="AO164" s="475"/>
      <c r="AP164" s="567"/>
      <c r="AQ164" s="567">
        <v>3000</v>
      </c>
      <c r="AR164" s="472" t="s">
        <v>73</v>
      </c>
      <c r="AS164" s="472" t="s">
        <v>73</v>
      </c>
      <c r="AT164" s="472" t="s">
        <v>73</v>
      </c>
      <c r="AU164" s="472" t="s">
        <v>73</v>
      </c>
      <c r="AV164" s="472" t="s">
        <v>73</v>
      </c>
      <c r="AW164" s="472" t="s">
        <v>73</v>
      </c>
      <c r="AX164" s="476">
        <v>3000</v>
      </c>
      <c r="AY164" s="479" t="s">
        <v>7</v>
      </c>
      <c r="AZ164" s="474" t="s">
        <v>74</v>
      </c>
      <c r="BA164" s="474"/>
      <c r="BB164" s="480"/>
      <c r="BC164" s="480"/>
      <c r="BK164" s="481" t="s">
        <v>790</v>
      </c>
      <c r="BL164" s="481" t="s">
        <v>791</v>
      </c>
      <c r="BM164" s="487" t="s">
        <v>1251</v>
      </c>
      <c r="BN164" s="565" t="s">
        <v>1252</v>
      </c>
      <c r="BO164" s="284" t="s">
        <v>1253</v>
      </c>
      <c r="BP164" s="285">
        <v>46167</v>
      </c>
      <c r="BQ164" s="482"/>
      <c r="BR164" s="965">
        <v>4947</v>
      </c>
      <c r="BS164" s="482"/>
      <c r="BT164" s="482"/>
      <c r="BU164" s="482" t="s">
        <v>1254</v>
      </c>
      <c r="BV164" s="414" t="s">
        <v>1329</v>
      </c>
      <c r="BW164" s="566" t="s">
        <v>1330</v>
      </c>
      <c r="BX164" s="566" t="s">
        <v>1331</v>
      </c>
      <c r="BY164" s="284">
        <v>72215339</v>
      </c>
      <c r="BZ164" s="284">
        <v>10722153397</v>
      </c>
      <c r="CA164" s="288">
        <v>3000</v>
      </c>
      <c r="CB164" s="285">
        <v>46174</v>
      </c>
      <c r="CC164" s="285">
        <v>46203</v>
      </c>
      <c r="CD164" s="759"/>
      <c r="CE164" s="485">
        <f t="shared" si="366"/>
        <v>0</v>
      </c>
      <c r="CF164" s="484">
        <f t="shared" si="367"/>
        <v>0</v>
      </c>
      <c r="CG164" s="485"/>
      <c r="CH164" s="485">
        <f t="shared" si="368"/>
        <v>0</v>
      </c>
      <c r="CI164" s="485"/>
      <c r="CJ164" s="485">
        <f t="shared" si="369"/>
        <v>0</v>
      </c>
      <c r="CK164" s="484">
        <f t="shared" si="370"/>
        <v>0</v>
      </c>
      <c r="CL164" s="484">
        <f t="shared" si="371"/>
        <v>0</v>
      </c>
      <c r="CM164" s="1006"/>
      <c r="CN164" s="485">
        <f t="shared" si="372"/>
        <v>30</v>
      </c>
      <c r="CO164" s="484">
        <f t="shared" si="373"/>
        <v>3000</v>
      </c>
      <c r="CP164" s="485">
        <v>30</v>
      </c>
      <c r="CQ164" s="484">
        <f t="shared" si="374"/>
        <v>3000</v>
      </c>
      <c r="CR164" s="485">
        <v>30</v>
      </c>
      <c r="CS164" s="484">
        <f t="shared" si="375"/>
        <v>3000</v>
      </c>
      <c r="CT164" s="484">
        <f t="shared" si="376"/>
        <v>0</v>
      </c>
      <c r="CU164" s="484">
        <f t="shared" si="377"/>
        <v>0</v>
      </c>
      <c r="CV164" s="1006"/>
      <c r="CW164" s="1007">
        <f t="shared" si="361"/>
        <v>3000</v>
      </c>
      <c r="CX164" s="486">
        <f t="shared" si="362"/>
        <v>3000</v>
      </c>
      <c r="CY164" s="486">
        <f t="shared" si="363"/>
        <v>3000</v>
      </c>
      <c r="CZ164" s="1007">
        <f t="shared" si="364"/>
        <v>0</v>
      </c>
      <c r="DA164" s="1007">
        <f t="shared" si="365"/>
        <v>0</v>
      </c>
    </row>
    <row r="165" spans="1:108" ht="51" hidden="1" x14ac:dyDescent="0.25">
      <c r="A165" s="472">
        <v>2026</v>
      </c>
      <c r="B165" s="472">
        <v>479</v>
      </c>
      <c r="C165" s="472" t="s">
        <v>64</v>
      </c>
      <c r="D165" s="472" t="s">
        <v>65</v>
      </c>
      <c r="E165" s="472">
        <v>125</v>
      </c>
      <c r="F165" s="472">
        <v>3000654</v>
      </c>
      <c r="G165" s="472">
        <v>5005023</v>
      </c>
      <c r="H165" s="472">
        <v>3</v>
      </c>
      <c r="I165" s="472">
        <v>12</v>
      </c>
      <c r="J165" s="472">
        <v>24</v>
      </c>
      <c r="K165" s="472">
        <v>135560</v>
      </c>
      <c r="L165" s="472" t="s">
        <v>66</v>
      </c>
      <c r="M165" s="124" t="s">
        <v>67</v>
      </c>
      <c r="N165" s="472">
        <v>95</v>
      </c>
      <c r="O165" s="474"/>
      <c r="P165" s="474" t="s">
        <v>4</v>
      </c>
      <c r="Q165" s="472" t="s">
        <v>68</v>
      </c>
      <c r="R165" s="475" t="s">
        <v>69</v>
      </c>
      <c r="S165" s="475" t="s">
        <v>137</v>
      </c>
      <c r="T165" s="475"/>
      <c r="U165" s="124" t="s">
        <v>192</v>
      </c>
      <c r="V165" s="475" t="s">
        <v>3</v>
      </c>
      <c r="W165" s="121">
        <v>1</v>
      </c>
      <c r="X165" s="476">
        <v>3000</v>
      </c>
      <c r="Y165" s="475"/>
      <c r="Z165" s="475"/>
      <c r="AA165" s="476"/>
      <c r="AB165" s="475"/>
      <c r="AC165" s="475"/>
      <c r="AD165" s="563">
        <v>30</v>
      </c>
      <c r="AE165" s="475"/>
      <c r="AF165" s="475"/>
      <c r="AG165" s="476"/>
      <c r="AH165" s="475"/>
      <c r="AI165" s="475"/>
      <c r="AJ165" s="476"/>
      <c r="AK165" s="476">
        <v>3000</v>
      </c>
      <c r="AL165" s="475"/>
      <c r="AM165" s="476"/>
      <c r="AN165" s="475"/>
      <c r="AO165" s="475"/>
      <c r="AP165" s="567"/>
      <c r="AQ165" s="567">
        <v>3000</v>
      </c>
      <c r="AR165" s="472" t="s">
        <v>73</v>
      </c>
      <c r="AS165" s="472" t="s">
        <v>73</v>
      </c>
      <c r="AT165" s="472" t="s">
        <v>73</v>
      </c>
      <c r="AU165" s="472" t="s">
        <v>73</v>
      </c>
      <c r="AV165" s="472" t="s">
        <v>73</v>
      </c>
      <c r="AW165" s="472" t="s">
        <v>73</v>
      </c>
      <c r="AX165" s="476">
        <v>3000</v>
      </c>
      <c r="AY165" s="479" t="s">
        <v>7</v>
      </c>
      <c r="AZ165" s="474" t="s">
        <v>74</v>
      </c>
      <c r="BA165" s="474"/>
      <c r="BB165" s="480"/>
      <c r="BC165" s="480"/>
      <c r="BK165" s="481" t="s">
        <v>790</v>
      </c>
      <c r="BL165" s="481" t="s">
        <v>791</v>
      </c>
      <c r="BM165" s="487" t="s">
        <v>1251</v>
      </c>
      <c r="BN165" s="565" t="s">
        <v>1252</v>
      </c>
      <c r="BO165" s="284" t="s">
        <v>1253</v>
      </c>
      <c r="BP165" s="285">
        <v>46167</v>
      </c>
      <c r="BQ165" s="482"/>
      <c r="BR165" s="965">
        <v>4948</v>
      </c>
      <c r="BS165" s="482"/>
      <c r="BT165" s="482"/>
      <c r="BU165" s="482" t="s">
        <v>1254</v>
      </c>
      <c r="BV165" s="414" t="s">
        <v>1234</v>
      </c>
      <c r="BW165" s="566" t="s">
        <v>1332</v>
      </c>
      <c r="BX165" s="566" t="s">
        <v>1333</v>
      </c>
      <c r="BY165" s="284">
        <v>9570961</v>
      </c>
      <c r="BZ165" s="284">
        <v>10095709619</v>
      </c>
      <c r="CA165" s="288">
        <v>3000</v>
      </c>
      <c r="CB165" s="285">
        <v>46174</v>
      </c>
      <c r="CC165" s="285">
        <v>46203</v>
      </c>
      <c r="CD165" s="759"/>
      <c r="CE165" s="485">
        <f t="shared" si="366"/>
        <v>0</v>
      </c>
      <c r="CF165" s="484">
        <f t="shared" si="367"/>
        <v>0</v>
      </c>
      <c r="CG165" s="485"/>
      <c r="CH165" s="485">
        <f t="shared" si="368"/>
        <v>0</v>
      </c>
      <c r="CI165" s="485"/>
      <c r="CJ165" s="485">
        <f t="shared" si="369"/>
        <v>0</v>
      </c>
      <c r="CK165" s="484">
        <f t="shared" si="370"/>
        <v>0</v>
      </c>
      <c r="CL165" s="484">
        <f t="shared" si="371"/>
        <v>0</v>
      </c>
      <c r="CM165" s="1006"/>
      <c r="CN165" s="485">
        <f t="shared" si="372"/>
        <v>30</v>
      </c>
      <c r="CO165" s="484">
        <f t="shared" si="373"/>
        <v>3000</v>
      </c>
      <c r="CP165" s="485">
        <v>30</v>
      </c>
      <c r="CQ165" s="484">
        <f t="shared" si="374"/>
        <v>3000</v>
      </c>
      <c r="CR165" s="485">
        <v>30</v>
      </c>
      <c r="CS165" s="484">
        <f t="shared" si="375"/>
        <v>3000</v>
      </c>
      <c r="CT165" s="484">
        <f t="shared" si="376"/>
        <v>0</v>
      </c>
      <c r="CU165" s="484">
        <f t="shared" si="377"/>
        <v>0</v>
      </c>
      <c r="CV165" s="1006"/>
      <c r="CW165" s="1007">
        <f t="shared" si="361"/>
        <v>3000</v>
      </c>
      <c r="CX165" s="486">
        <f t="shared" si="362"/>
        <v>3000</v>
      </c>
      <c r="CY165" s="486">
        <f t="shared" si="363"/>
        <v>3000</v>
      </c>
      <c r="CZ165" s="1007">
        <f t="shared" si="364"/>
        <v>0</v>
      </c>
      <c r="DA165" s="1007">
        <f t="shared" si="365"/>
        <v>0</v>
      </c>
    </row>
    <row r="166" spans="1:108" ht="51" hidden="1" x14ac:dyDescent="0.25">
      <c r="A166" s="472">
        <v>2026</v>
      </c>
      <c r="B166" s="472">
        <v>479</v>
      </c>
      <c r="C166" s="472" t="s">
        <v>64</v>
      </c>
      <c r="D166" s="472" t="s">
        <v>65</v>
      </c>
      <c r="E166" s="472">
        <v>125</v>
      </c>
      <c r="F166" s="472">
        <v>3000654</v>
      </c>
      <c r="G166" s="472">
        <v>5005023</v>
      </c>
      <c r="H166" s="472">
        <v>3</v>
      </c>
      <c r="I166" s="472">
        <v>12</v>
      </c>
      <c r="J166" s="472">
        <v>24</v>
      </c>
      <c r="K166" s="472">
        <v>135560</v>
      </c>
      <c r="L166" s="472" t="s">
        <v>66</v>
      </c>
      <c r="M166" s="124" t="s">
        <v>67</v>
      </c>
      <c r="N166" s="472">
        <v>95</v>
      </c>
      <c r="O166" s="474"/>
      <c r="P166" s="474" t="s">
        <v>4</v>
      </c>
      <c r="Q166" s="472" t="s">
        <v>68</v>
      </c>
      <c r="R166" s="475" t="s">
        <v>69</v>
      </c>
      <c r="S166" s="475" t="s">
        <v>137</v>
      </c>
      <c r="T166" s="475"/>
      <c r="U166" s="124" t="s">
        <v>192</v>
      </c>
      <c r="V166" s="475" t="s">
        <v>3</v>
      </c>
      <c r="W166" s="121">
        <v>1</v>
      </c>
      <c r="X166" s="476">
        <v>3000</v>
      </c>
      <c r="Y166" s="475"/>
      <c r="Z166" s="475"/>
      <c r="AA166" s="476"/>
      <c r="AB166" s="475"/>
      <c r="AC166" s="475"/>
      <c r="AD166" s="563">
        <v>30</v>
      </c>
      <c r="AE166" s="475"/>
      <c r="AF166" s="475"/>
      <c r="AG166" s="476"/>
      <c r="AH166" s="475"/>
      <c r="AI166" s="475"/>
      <c r="AJ166" s="476"/>
      <c r="AK166" s="476">
        <v>3000</v>
      </c>
      <c r="AL166" s="475"/>
      <c r="AM166" s="476"/>
      <c r="AN166" s="475"/>
      <c r="AO166" s="475"/>
      <c r="AP166" s="567"/>
      <c r="AQ166" s="567">
        <v>3000</v>
      </c>
      <c r="AR166" s="472" t="s">
        <v>73</v>
      </c>
      <c r="AS166" s="472" t="s">
        <v>73</v>
      </c>
      <c r="AT166" s="472" t="s">
        <v>73</v>
      </c>
      <c r="AU166" s="472" t="s">
        <v>73</v>
      </c>
      <c r="AV166" s="472" t="s">
        <v>73</v>
      </c>
      <c r="AW166" s="472" t="s">
        <v>73</v>
      </c>
      <c r="AX166" s="476">
        <v>3000</v>
      </c>
      <c r="AY166" s="479" t="s">
        <v>7</v>
      </c>
      <c r="AZ166" s="474" t="s">
        <v>74</v>
      </c>
      <c r="BA166" s="474"/>
      <c r="BB166" s="480"/>
      <c r="BC166" s="480"/>
      <c r="BK166" s="481" t="s">
        <v>790</v>
      </c>
      <c r="BL166" s="481" t="s">
        <v>791</v>
      </c>
      <c r="BM166" s="487" t="s">
        <v>1251</v>
      </c>
      <c r="BN166" s="565" t="s">
        <v>1252</v>
      </c>
      <c r="BO166" s="284" t="s">
        <v>1253</v>
      </c>
      <c r="BP166" s="285">
        <v>46167</v>
      </c>
      <c r="BQ166" s="482"/>
      <c r="BR166" s="965">
        <v>4949</v>
      </c>
      <c r="BS166" s="482"/>
      <c r="BT166" s="482"/>
      <c r="BU166" s="482" t="s">
        <v>1254</v>
      </c>
      <c r="BV166" s="414" t="s">
        <v>1334</v>
      </c>
      <c r="BW166" s="566" t="s">
        <v>1314</v>
      </c>
      <c r="BX166" s="566" t="s">
        <v>1335</v>
      </c>
      <c r="BY166" s="284">
        <v>41102440</v>
      </c>
      <c r="BZ166" s="284">
        <v>10411024402</v>
      </c>
      <c r="CA166" s="288">
        <v>3000</v>
      </c>
      <c r="CB166" s="285">
        <v>46174</v>
      </c>
      <c r="CC166" s="285">
        <v>46203</v>
      </c>
      <c r="CD166" s="759"/>
      <c r="CE166" s="485">
        <f t="shared" si="366"/>
        <v>0</v>
      </c>
      <c r="CF166" s="484">
        <f t="shared" si="367"/>
        <v>0</v>
      </c>
      <c r="CG166" s="485"/>
      <c r="CH166" s="485">
        <f t="shared" si="368"/>
        <v>0</v>
      </c>
      <c r="CI166" s="485"/>
      <c r="CJ166" s="485">
        <f t="shared" si="369"/>
        <v>0</v>
      </c>
      <c r="CK166" s="484">
        <f t="shared" si="370"/>
        <v>0</v>
      </c>
      <c r="CL166" s="484">
        <f t="shared" si="371"/>
        <v>0</v>
      </c>
      <c r="CM166" s="1006"/>
      <c r="CN166" s="485">
        <f t="shared" si="372"/>
        <v>30</v>
      </c>
      <c r="CO166" s="484">
        <f t="shared" si="373"/>
        <v>3000</v>
      </c>
      <c r="CP166" s="485">
        <v>30</v>
      </c>
      <c r="CQ166" s="484">
        <f t="shared" si="374"/>
        <v>3000</v>
      </c>
      <c r="CR166" s="485">
        <v>30</v>
      </c>
      <c r="CS166" s="484">
        <f t="shared" si="375"/>
        <v>3000</v>
      </c>
      <c r="CT166" s="484">
        <f t="shared" si="376"/>
        <v>0</v>
      </c>
      <c r="CU166" s="484">
        <f t="shared" si="377"/>
        <v>0</v>
      </c>
      <c r="CV166" s="1006"/>
      <c r="CW166" s="1007">
        <f t="shared" si="361"/>
        <v>3000</v>
      </c>
      <c r="CX166" s="486">
        <f t="shared" si="362"/>
        <v>3000</v>
      </c>
      <c r="CY166" s="486">
        <f t="shared" si="363"/>
        <v>3000</v>
      </c>
      <c r="CZ166" s="1007">
        <f t="shared" si="364"/>
        <v>0</v>
      </c>
      <c r="DA166" s="1007">
        <f t="shared" si="365"/>
        <v>0</v>
      </c>
    </row>
    <row r="167" spans="1:108" ht="51" hidden="1" x14ac:dyDescent="0.25">
      <c r="A167" s="472">
        <v>2026</v>
      </c>
      <c r="B167" s="472">
        <v>479</v>
      </c>
      <c r="C167" s="472" t="s">
        <v>64</v>
      </c>
      <c r="D167" s="472" t="s">
        <v>65</v>
      </c>
      <c r="E167" s="472">
        <v>125</v>
      </c>
      <c r="F167" s="472">
        <v>3000654</v>
      </c>
      <c r="G167" s="472">
        <v>5005023</v>
      </c>
      <c r="H167" s="472">
        <v>3</v>
      </c>
      <c r="I167" s="472">
        <v>12</v>
      </c>
      <c r="J167" s="472">
        <v>24</v>
      </c>
      <c r="K167" s="472">
        <v>135560</v>
      </c>
      <c r="L167" s="472" t="s">
        <v>66</v>
      </c>
      <c r="M167" s="124" t="s">
        <v>67</v>
      </c>
      <c r="N167" s="472">
        <v>95</v>
      </c>
      <c r="O167" s="474"/>
      <c r="P167" s="474" t="s">
        <v>4</v>
      </c>
      <c r="Q167" s="472" t="s">
        <v>68</v>
      </c>
      <c r="R167" s="475" t="s">
        <v>69</v>
      </c>
      <c r="S167" s="475" t="s">
        <v>137</v>
      </c>
      <c r="T167" s="475"/>
      <c r="U167" s="124" t="s">
        <v>192</v>
      </c>
      <c r="V167" s="475" t="s">
        <v>3</v>
      </c>
      <c r="W167" s="121">
        <v>1</v>
      </c>
      <c r="X167" s="476">
        <v>3000</v>
      </c>
      <c r="Y167" s="475"/>
      <c r="Z167" s="475"/>
      <c r="AA167" s="476"/>
      <c r="AB167" s="475"/>
      <c r="AC167" s="475"/>
      <c r="AD167" s="563">
        <v>30</v>
      </c>
      <c r="AE167" s="475"/>
      <c r="AF167" s="475"/>
      <c r="AG167" s="476"/>
      <c r="AH167" s="475"/>
      <c r="AI167" s="475"/>
      <c r="AJ167" s="476"/>
      <c r="AK167" s="567">
        <v>3000</v>
      </c>
      <c r="AL167" s="475"/>
      <c r="AM167" s="476"/>
      <c r="AN167" s="475"/>
      <c r="AO167" s="475"/>
      <c r="AP167" s="567"/>
      <c r="AQ167" s="567">
        <v>3000</v>
      </c>
      <c r="AR167" s="472" t="s">
        <v>73</v>
      </c>
      <c r="AS167" s="472" t="s">
        <v>73</v>
      </c>
      <c r="AT167" s="472" t="s">
        <v>73</v>
      </c>
      <c r="AU167" s="472" t="s">
        <v>73</v>
      </c>
      <c r="AV167" s="472" t="s">
        <v>73</v>
      </c>
      <c r="AW167" s="472" t="s">
        <v>73</v>
      </c>
      <c r="AX167" s="476">
        <v>3000</v>
      </c>
      <c r="AY167" s="479" t="s">
        <v>7</v>
      </c>
      <c r="AZ167" s="474" t="s">
        <v>74</v>
      </c>
      <c r="BA167" s="474"/>
      <c r="BB167" s="480"/>
      <c r="BC167" s="480"/>
      <c r="BK167" s="481" t="s">
        <v>790</v>
      </c>
      <c r="BL167" s="481" t="s">
        <v>791</v>
      </c>
      <c r="BM167" s="487" t="s">
        <v>1251</v>
      </c>
      <c r="BN167" s="565" t="s">
        <v>1252</v>
      </c>
      <c r="BO167" s="284" t="s">
        <v>1253</v>
      </c>
      <c r="BP167" s="285">
        <v>46167</v>
      </c>
      <c r="BQ167" s="482"/>
      <c r="BR167" s="965">
        <v>4950</v>
      </c>
      <c r="BS167" s="482"/>
      <c r="BT167" s="482"/>
      <c r="BU167" s="482" t="s">
        <v>1254</v>
      </c>
      <c r="BV167" s="414" t="s">
        <v>1336</v>
      </c>
      <c r="BW167" s="566" t="s">
        <v>1337</v>
      </c>
      <c r="BX167" s="566" t="s">
        <v>1338</v>
      </c>
      <c r="BY167" s="284">
        <v>73026272</v>
      </c>
      <c r="BZ167" s="284">
        <v>10730262723</v>
      </c>
      <c r="CA167" s="288">
        <v>3000</v>
      </c>
      <c r="CB167" s="285">
        <v>46174</v>
      </c>
      <c r="CC167" s="285">
        <v>46203</v>
      </c>
      <c r="CD167" s="759"/>
      <c r="CE167" s="485">
        <f t="shared" si="366"/>
        <v>0</v>
      </c>
      <c r="CF167" s="484">
        <f t="shared" si="367"/>
        <v>0</v>
      </c>
      <c r="CG167" s="485"/>
      <c r="CH167" s="485">
        <f t="shared" si="368"/>
        <v>0</v>
      </c>
      <c r="CI167" s="485"/>
      <c r="CJ167" s="485">
        <f t="shared" si="369"/>
        <v>0</v>
      </c>
      <c r="CK167" s="484">
        <f t="shared" si="370"/>
        <v>0</v>
      </c>
      <c r="CL167" s="484">
        <f t="shared" si="371"/>
        <v>0</v>
      </c>
      <c r="CM167" s="1006"/>
      <c r="CN167" s="485">
        <f t="shared" si="372"/>
        <v>30</v>
      </c>
      <c r="CO167" s="484">
        <f t="shared" si="373"/>
        <v>3000</v>
      </c>
      <c r="CP167" s="485">
        <v>30</v>
      </c>
      <c r="CQ167" s="484">
        <f t="shared" si="374"/>
        <v>3000</v>
      </c>
      <c r="CR167" s="485">
        <v>30</v>
      </c>
      <c r="CS167" s="484">
        <f t="shared" si="375"/>
        <v>3000</v>
      </c>
      <c r="CT167" s="484">
        <f t="shared" si="376"/>
        <v>0</v>
      </c>
      <c r="CU167" s="484">
        <f t="shared" si="377"/>
        <v>0</v>
      </c>
      <c r="CV167" s="1006"/>
      <c r="CW167" s="1007">
        <f t="shared" si="361"/>
        <v>3000</v>
      </c>
      <c r="CX167" s="486">
        <f t="shared" si="362"/>
        <v>3000</v>
      </c>
      <c r="CY167" s="486">
        <f t="shared" si="363"/>
        <v>3000</v>
      </c>
      <c r="CZ167" s="1007">
        <f t="shared" si="364"/>
        <v>0</v>
      </c>
      <c r="DA167" s="1007">
        <f t="shared" si="365"/>
        <v>0</v>
      </c>
    </row>
    <row r="168" spans="1:108" ht="51" hidden="1" x14ac:dyDescent="0.25">
      <c r="A168" s="472">
        <v>2026</v>
      </c>
      <c r="B168" s="472">
        <v>479</v>
      </c>
      <c r="C168" s="472" t="s">
        <v>64</v>
      </c>
      <c r="D168" s="472" t="s">
        <v>65</v>
      </c>
      <c r="E168" s="472">
        <v>125</v>
      </c>
      <c r="F168" s="472">
        <v>3000654</v>
      </c>
      <c r="G168" s="472">
        <v>5005023</v>
      </c>
      <c r="H168" s="472">
        <v>3</v>
      </c>
      <c r="I168" s="472">
        <v>12</v>
      </c>
      <c r="J168" s="472">
        <v>24</v>
      </c>
      <c r="K168" s="472">
        <v>135560</v>
      </c>
      <c r="L168" s="472" t="s">
        <v>66</v>
      </c>
      <c r="M168" s="124" t="s">
        <v>67</v>
      </c>
      <c r="N168" s="472">
        <v>95</v>
      </c>
      <c r="O168" s="474"/>
      <c r="P168" s="474" t="s">
        <v>4</v>
      </c>
      <c r="Q168" s="472" t="s">
        <v>68</v>
      </c>
      <c r="R168" s="475" t="s">
        <v>69</v>
      </c>
      <c r="S168" s="475" t="s">
        <v>137</v>
      </c>
      <c r="T168" s="475"/>
      <c r="U168" s="124" t="s">
        <v>192</v>
      </c>
      <c r="V168" s="475" t="s">
        <v>3</v>
      </c>
      <c r="W168" s="121">
        <v>1</v>
      </c>
      <c r="X168" s="476">
        <v>3000</v>
      </c>
      <c r="Y168" s="475"/>
      <c r="Z168" s="475"/>
      <c r="AA168" s="476"/>
      <c r="AB168" s="475"/>
      <c r="AC168" s="475"/>
      <c r="AD168" s="563">
        <v>30</v>
      </c>
      <c r="AE168" s="475"/>
      <c r="AF168" s="475"/>
      <c r="AG168" s="476"/>
      <c r="AH168" s="475"/>
      <c r="AI168" s="475"/>
      <c r="AJ168" s="476"/>
      <c r="AK168" s="476">
        <v>3000</v>
      </c>
      <c r="AL168" s="475"/>
      <c r="AM168" s="476"/>
      <c r="AN168" s="475"/>
      <c r="AO168" s="475"/>
      <c r="AP168" s="567"/>
      <c r="AQ168" s="567">
        <v>3000</v>
      </c>
      <c r="AR168" s="472" t="s">
        <v>73</v>
      </c>
      <c r="AS168" s="472" t="s">
        <v>73</v>
      </c>
      <c r="AT168" s="472" t="s">
        <v>73</v>
      </c>
      <c r="AU168" s="472" t="s">
        <v>73</v>
      </c>
      <c r="AV168" s="472" t="s">
        <v>73</v>
      </c>
      <c r="AW168" s="472" t="s">
        <v>73</v>
      </c>
      <c r="AX168" s="476">
        <v>3000</v>
      </c>
      <c r="AY168" s="479" t="s">
        <v>7</v>
      </c>
      <c r="AZ168" s="474" t="s">
        <v>74</v>
      </c>
      <c r="BA168" s="474"/>
      <c r="BB168" s="480"/>
      <c r="BC168" s="480"/>
      <c r="BK168" s="481" t="s">
        <v>790</v>
      </c>
      <c r="BL168" s="481" t="s">
        <v>791</v>
      </c>
      <c r="BM168" s="487" t="s">
        <v>1251</v>
      </c>
      <c r="BN168" s="565" t="s">
        <v>1252</v>
      </c>
      <c r="BO168" s="284" t="s">
        <v>1253</v>
      </c>
      <c r="BP168" s="285">
        <v>46167</v>
      </c>
      <c r="BQ168" s="482"/>
      <c r="BR168" s="965">
        <v>4951</v>
      </c>
      <c r="BS168" s="482"/>
      <c r="BT168" s="482"/>
      <c r="BU168" s="482" t="s">
        <v>1254</v>
      </c>
      <c r="BV168" s="414" t="s">
        <v>1339</v>
      </c>
      <c r="BW168" s="566" t="s">
        <v>1340</v>
      </c>
      <c r="BX168" s="566" t="s">
        <v>1341</v>
      </c>
      <c r="BY168" s="284">
        <v>40314508</v>
      </c>
      <c r="BZ168" s="284">
        <v>10403145080</v>
      </c>
      <c r="CA168" s="288">
        <v>3000</v>
      </c>
      <c r="CB168" s="285">
        <v>46174</v>
      </c>
      <c r="CC168" s="285">
        <v>46203</v>
      </c>
      <c r="CD168" s="759"/>
      <c r="CE168" s="485">
        <f t="shared" si="366"/>
        <v>0</v>
      </c>
      <c r="CF168" s="484">
        <f t="shared" si="367"/>
        <v>0</v>
      </c>
      <c r="CG168" s="485"/>
      <c r="CH168" s="485">
        <f t="shared" si="368"/>
        <v>0</v>
      </c>
      <c r="CI168" s="485"/>
      <c r="CJ168" s="485">
        <f t="shared" si="369"/>
        <v>0</v>
      </c>
      <c r="CK168" s="484">
        <f t="shared" si="370"/>
        <v>0</v>
      </c>
      <c r="CL168" s="484">
        <f t="shared" si="371"/>
        <v>0</v>
      </c>
      <c r="CM168" s="1006"/>
      <c r="CN168" s="485">
        <f t="shared" si="372"/>
        <v>30</v>
      </c>
      <c r="CO168" s="484">
        <f t="shared" si="373"/>
        <v>3000</v>
      </c>
      <c r="CP168" s="485">
        <v>30</v>
      </c>
      <c r="CQ168" s="484">
        <f t="shared" si="374"/>
        <v>3000</v>
      </c>
      <c r="CR168" s="485">
        <v>30</v>
      </c>
      <c r="CS168" s="484">
        <f t="shared" si="375"/>
        <v>3000</v>
      </c>
      <c r="CT168" s="484">
        <f t="shared" si="376"/>
        <v>0</v>
      </c>
      <c r="CU168" s="484">
        <f t="shared" si="377"/>
        <v>0</v>
      </c>
      <c r="CV168" s="1006"/>
      <c r="CW168" s="1007">
        <f t="shared" si="361"/>
        <v>3000</v>
      </c>
      <c r="CX168" s="486">
        <f t="shared" si="362"/>
        <v>3000</v>
      </c>
      <c r="CY168" s="486">
        <f t="shared" si="363"/>
        <v>3000</v>
      </c>
      <c r="CZ168" s="1007">
        <f t="shared" si="364"/>
        <v>0</v>
      </c>
      <c r="DA168" s="1007">
        <f t="shared" si="365"/>
        <v>0</v>
      </c>
    </row>
    <row r="169" spans="1:108" s="682" customFormat="1" ht="51" hidden="1" x14ac:dyDescent="0.25">
      <c r="A169" s="775">
        <v>2026</v>
      </c>
      <c r="B169" s="775">
        <v>479</v>
      </c>
      <c r="C169" s="775" t="s">
        <v>64</v>
      </c>
      <c r="D169" s="775" t="s">
        <v>65</v>
      </c>
      <c r="E169" s="775">
        <v>125</v>
      </c>
      <c r="F169" s="775">
        <v>3000654</v>
      </c>
      <c r="G169" s="775">
        <v>5005023</v>
      </c>
      <c r="H169" s="775">
        <v>3</v>
      </c>
      <c r="I169" s="775">
        <v>12</v>
      </c>
      <c r="J169" s="775">
        <v>24</v>
      </c>
      <c r="K169" s="775">
        <v>135560</v>
      </c>
      <c r="L169" s="775" t="s">
        <v>66</v>
      </c>
      <c r="M169" s="776" t="s">
        <v>67</v>
      </c>
      <c r="N169" s="775">
        <v>95</v>
      </c>
      <c r="O169" s="777"/>
      <c r="P169" s="777" t="s">
        <v>4</v>
      </c>
      <c r="Q169" s="775" t="s">
        <v>68</v>
      </c>
      <c r="R169" s="775" t="s">
        <v>69</v>
      </c>
      <c r="S169" s="775" t="s">
        <v>137</v>
      </c>
      <c r="T169" s="775"/>
      <c r="U169" s="776" t="s">
        <v>192</v>
      </c>
      <c r="V169" s="775" t="s">
        <v>3</v>
      </c>
      <c r="W169" s="669">
        <v>1</v>
      </c>
      <c r="X169" s="801">
        <v>3000</v>
      </c>
      <c r="Y169" s="775"/>
      <c r="Z169" s="775"/>
      <c r="AA169" s="778"/>
      <c r="AB169" s="775"/>
      <c r="AC169" s="775"/>
      <c r="AD169" s="779">
        <v>30</v>
      </c>
      <c r="AE169" s="775"/>
      <c r="AF169" s="775"/>
      <c r="AG169" s="778"/>
      <c r="AH169" s="775"/>
      <c r="AI169" s="775"/>
      <c r="AJ169" s="778"/>
      <c r="AK169" s="801">
        <v>3000</v>
      </c>
      <c r="AL169" s="775"/>
      <c r="AM169" s="798"/>
      <c r="AN169" s="775"/>
      <c r="AO169" s="775"/>
      <c r="AP169" s="798"/>
      <c r="AQ169" s="995">
        <v>3000</v>
      </c>
      <c r="AR169" s="775" t="s">
        <v>73</v>
      </c>
      <c r="AS169" s="775" t="s">
        <v>73</v>
      </c>
      <c r="AT169" s="775" t="s">
        <v>73</v>
      </c>
      <c r="AU169" s="775" t="s">
        <v>73</v>
      </c>
      <c r="AV169" s="775" t="s">
        <v>73</v>
      </c>
      <c r="AW169" s="775" t="s">
        <v>73</v>
      </c>
      <c r="AX169" s="778">
        <v>3000</v>
      </c>
      <c r="AY169" s="681" t="s">
        <v>7</v>
      </c>
      <c r="AZ169" s="777" t="s">
        <v>74</v>
      </c>
      <c r="BA169" s="777"/>
      <c r="BB169" s="686"/>
      <c r="BC169" s="686"/>
      <c r="BD169"/>
      <c r="BE169"/>
      <c r="BF169"/>
      <c r="BG169"/>
      <c r="BH169"/>
      <c r="BI169"/>
      <c r="BJ169"/>
      <c r="BK169" s="481" t="s">
        <v>802</v>
      </c>
      <c r="BL169" s="767" t="s">
        <v>803</v>
      </c>
      <c r="BM169" s="780"/>
      <c r="BN169" s="781"/>
      <c r="BO169" s="683"/>
      <c r="BP169" s="685"/>
      <c r="BQ169" s="771"/>
      <c r="BR169" s="771"/>
      <c r="BS169" s="771"/>
      <c r="BT169" s="771"/>
      <c r="BU169" s="771"/>
      <c r="BV169" s="772"/>
      <c r="BW169" s="772"/>
      <c r="BX169" s="772"/>
      <c r="BY169" s="683"/>
      <c r="BZ169" s="683"/>
      <c r="CA169" s="782"/>
      <c r="CB169" s="685"/>
      <c r="CC169" s="685"/>
      <c r="CD169" s="774"/>
      <c r="CE169" s="1009">
        <f t="shared" si="366"/>
        <v>0</v>
      </c>
      <c r="CF169" s="1002">
        <f t="shared" si="367"/>
        <v>0</v>
      </c>
      <c r="CG169" s="1009"/>
      <c r="CH169" s="1009">
        <f t="shared" si="368"/>
        <v>0</v>
      </c>
      <c r="CI169" s="1009"/>
      <c r="CJ169" s="1009">
        <f t="shared" si="369"/>
        <v>0</v>
      </c>
      <c r="CK169" s="1002">
        <f t="shared" si="370"/>
        <v>0</v>
      </c>
      <c r="CL169" s="1002">
        <f t="shared" si="371"/>
        <v>0</v>
      </c>
      <c r="CM169" s="1010"/>
      <c r="CN169" s="1009">
        <f t="shared" si="372"/>
        <v>30</v>
      </c>
      <c r="CO169" s="1002">
        <f t="shared" si="373"/>
        <v>3000</v>
      </c>
      <c r="CP169" s="1009"/>
      <c r="CQ169" s="1002">
        <f t="shared" si="374"/>
        <v>0</v>
      </c>
      <c r="CR169" s="1009"/>
      <c r="CS169" s="1002">
        <f t="shared" si="375"/>
        <v>0</v>
      </c>
      <c r="CT169" s="1002">
        <f t="shared" si="376"/>
        <v>3000</v>
      </c>
      <c r="CU169" s="1002">
        <f t="shared" si="377"/>
        <v>3000</v>
      </c>
      <c r="CV169" s="1010"/>
      <c r="CW169" s="1011">
        <f t="shared" si="361"/>
        <v>3000</v>
      </c>
      <c r="CX169" s="1012">
        <f t="shared" si="362"/>
        <v>0</v>
      </c>
      <c r="CY169" s="1012">
        <f t="shared" si="363"/>
        <v>0</v>
      </c>
      <c r="CZ169" s="1011">
        <f t="shared" si="364"/>
        <v>3000</v>
      </c>
      <c r="DA169" s="1011">
        <f t="shared" si="365"/>
        <v>3000</v>
      </c>
      <c r="DD169" s="682" t="s">
        <v>1342</v>
      </c>
    </row>
    <row r="170" spans="1:108" ht="51" hidden="1" x14ac:dyDescent="0.25">
      <c r="A170" s="472">
        <v>2026</v>
      </c>
      <c r="B170" s="472">
        <v>479</v>
      </c>
      <c r="C170" s="472" t="s">
        <v>64</v>
      </c>
      <c r="D170" s="472" t="s">
        <v>65</v>
      </c>
      <c r="E170" s="472">
        <v>125</v>
      </c>
      <c r="F170" s="472">
        <v>3000654</v>
      </c>
      <c r="G170" s="472">
        <v>5005023</v>
      </c>
      <c r="H170" s="472">
        <v>3</v>
      </c>
      <c r="I170" s="472">
        <v>12</v>
      </c>
      <c r="J170" s="472">
        <v>24</v>
      </c>
      <c r="K170" s="472">
        <v>135560</v>
      </c>
      <c r="L170" s="472" t="s">
        <v>66</v>
      </c>
      <c r="M170" s="124" t="s">
        <v>67</v>
      </c>
      <c r="N170" s="472">
        <v>95</v>
      </c>
      <c r="O170" s="474"/>
      <c r="P170" s="474" t="s">
        <v>4</v>
      </c>
      <c r="Q170" s="472" t="s">
        <v>68</v>
      </c>
      <c r="R170" s="475" t="s">
        <v>69</v>
      </c>
      <c r="S170" s="475" t="s">
        <v>137</v>
      </c>
      <c r="T170" s="475"/>
      <c r="U170" s="124" t="s">
        <v>192</v>
      </c>
      <c r="V170" s="475" t="s">
        <v>3</v>
      </c>
      <c r="W170" s="121">
        <v>1</v>
      </c>
      <c r="X170" s="476">
        <v>3000</v>
      </c>
      <c r="Y170" s="475"/>
      <c r="Z170" s="475"/>
      <c r="AA170" s="476"/>
      <c r="AB170" s="475"/>
      <c r="AC170" s="475"/>
      <c r="AD170" s="563">
        <v>30</v>
      </c>
      <c r="AE170" s="475"/>
      <c r="AF170" s="475"/>
      <c r="AG170" s="476"/>
      <c r="AH170" s="475"/>
      <c r="AI170" s="475"/>
      <c r="AJ170" s="476"/>
      <c r="AK170" s="476">
        <v>3000</v>
      </c>
      <c r="AL170" s="475"/>
      <c r="AM170" s="476"/>
      <c r="AN170" s="475"/>
      <c r="AO170" s="475"/>
      <c r="AP170" s="567"/>
      <c r="AQ170" s="567">
        <v>3000</v>
      </c>
      <c r="AR170" s="472" t="s">
        <v>73</v>
      </c>
      <c r="AS170" s="472" t="s">
        <v>73</v>
      </c>
      <c r="AT170" s="472" t="s">
        <v>73</v>
      </c>
      <c r="AU170" s="472" t="s">
        <v>73</v>
      </c>
      <c r="AV170" s="472" t="s">
        <v>73</v>
      </c>
      <c r="AW170" s="472" t="s">
        <v>73</v>
      </c>
      <c r="AX170" s="476">
        <v>3000</v>
      </c>
      <c r="AY170" s="479" t="s">
        <v>7</v>
      </c>
      <c r="AZ170" s="474" t="s">
        <v>74</v>
      </c>
      <c r="BA170" s="474"/>
      <c r="BB170" s="480"/>
      <c r="BC170" s="480"/>
      <c r="BK170" s="481" t="s">
        <v>790</v>
      </c>
      <c r="BL170" s="481" t="s">
        <v>791</v>
      </c>
      <c r="BM170" s="487" t="s">
        <v>1251</v>
      </c>
      <c r="BN170" s="565" t="s">
        <v>1252</v>
      </c>
      <c r="BO170" s="284" t="s">
        <v>1253</v>
      </c>
      <c r="BP170" s="285">
        <v>46167</v>
      </c>
      <c r="BQ170" s="482"/>
      <c r="BR170" s="965">
        <v>4953</v>
      </c>
      <c r="BS170" s="482"/>
      <c r="BT170" s="482"/>
      <c r="BU170" s="482" t="s">
        <v>1254</v>
      </c>
      <c r="BV170" s="414" t="s">
        <v>1339</v>
      </c>
      <c r="BW170" s="566" t="s">
        <v>1343</v>
      </c>
      <c r="BX170" s="566" t="s">
        <v>915</v>
      </c>
      <c r="BY170" s="284">
        <v>8155438</v>
      </c>
      <c r="BZ170" s="284">
        <v>10081554388</v>
      </c>
      <c r="CA170" s="288">
        <v>3000</v>
      </c>
      <c r="CB170" s="285">
        <v>46174</v>
      </c>
      <c r="CC170" s="285">
        <v>46203</v>
      </c>
      <c r="CD170" s="759"/>
      <c r="CE170" s="485">
        <f t="shared" si="366"/>
        <v>0</v>
      </c>
      <c r="CF170" s="484">
        <f t="shared" si="367"/>
        <v>0</v>
      </c>
      <c r="CG170" s="485"/>
      <c r="CH170" s="485">
        <f t="shared" si="368"/>
        <v>0</v>
      </c>
      <c r="CI170" s="485"/>
      <c r="CJ170" s="485">
        <f t="shared" si="369"/>
        <v>0</v>
      </c>
      <c r="CK170" s="484">
        <f t="shared" si="370"/>
        <v>0</v>
      </c>
      <c r="CL170" s="484">
        <f t="shared" si="371"/>
        <v>0</v>
      </c>
      <c r="CM170" s="1006"/>
      <c r="CN170" s="485">
        <f t="shared" si="372"/>
        <v>30</v>
      </c>
      <c r="CO170" s="484">
        <f t="shared" si="373"/>
        <v>3000</v>
      </c>
      <c r="CP170" s="485">
        <v>30</v>
      </c>
      <c r="CQ170" s="484">
        <f t="shared" si="374"/>
        <v>3000</v>
      </c>
      <c r="CR170" s="485">
        <v>30</v>
      </c>
      <c r="CS170" s="484">
        <f t="shared" si="375"/>
        <v>3000</v>
      </c>
      <c r="CT170" s="484">
        <f t="shared" si="376"/>
        <v>0</v>
      </c>
      <c r="CU170" s="484">
        <f t="shared" si="377"/>
        <v>0</v>
      </c>
      <c r="CV170" s="1006"/>
      <c r="CW170" s="1007">
        <f t="shared" si="361"/>
        <v>3000</v>
      </c>
      <c r="CX170" s="486">
        <f t="shared" si="362"/>
        <v>3000</v>
      </c>
      <c r="CY170" s="486">
        <f t="shared" si="363"/>
        <v>3000</v>
      </c>
      <c r="CZ170" s="1007">
        <f t="shared" si="364"/>
        <v>0</v>
      </c>
      <c r="DA170" s="1007">
        <f t="shared" si="365"/>
        <v>0</v>
      </c>
    </row>
    <row r="171" spans="1:108" ht="51" hidden="1" x14ac:dyDescent="0.25">
      <c r="A171" s="472">
        <v>2026</v>
      </c>
      <c r="B171" s="472">
        <v>479</v>
      </c>
      <c r="C171" s="472" t="s">
        <v>64</v>
      </c>
      <c r="D171" s="472" t="s">
        <v>65</v>
      </c>
      <c r="E171" s="472">
        <v>125</v>
      </c>
      <c r="F171" s="472">
        <v>3000654</v>
      </c>
      <c r="G171" s="472">
        <v>5005023</v>
      </c>
      <c r="H171" s="472">
        <v>3</v>
      </c>
      <c r="I171" s="472">
        <v>12</v>
      </c>
      <c r="J171" s="472">
        <v>24</v>
      </c>
      <c r="K171" s="472">
        <v>135560</v>
      </c>
      <c r="L171" s="472" t="s">
        <v>66</v>
      </c>
      <c r="M171" s="124" t="s">
        <v>67</v>
      </c>
      <c r="N171" s="472">
        <v>95</v>
      </c>
      <c r="O171" s="474"/>
      <c r="P171" s="474" t="s">
        <v>4</v>
      </c>
      <c r="Q171" s="472" t="s">
        <v>68</v>
      </c>
      <c r="R171" s="475" t="s">
        <v>69</v>
      </c>
      <c r="S171" s="475" t="s">
        <v>137</v>
      </c>
      <c r="T171" s="475"/>
      <c r="U171" s="124" t="s">
        <v>192</v>
      </c>
      <c r="V171" s="475" t="s">
        <v>3</v>
      </c>
      <c r="W171" s="121">
        <v>1</v>
      </c>
      <c r="X171" s="476">
        <v>3000</v>
      </c>
      <c r="Y171" s="475"/>
      <c r="Z171" s="475"/>
      <c r="AA171" s="476"/>
      <c r="AB171" s="475"/>
      <c r="AC171" s="475"/>
      <c r="AD171" s="563">
        <v>30</v>
      </c>
      <c r="AE171" s="475"/>
      <c r="AF171" s="475"/>
      <c r="AG171" s="476"/>
      <c r="AH171" s="475"/>
      <c r="AI171" s="475"/>
      <c r="AJ171" s="476"/>
      <c r="AK171" s="476">
        <v>3000</v>
      </c>
      <c r="AL171" s="475"/>
      <c r="AM171" s="476"/>
      <c r="AN171" s="475"/>
      <c r="AO171" s="475"/>
      <c r="AP171" s="567"/>
      <c r="AQ171" s="567">
        <v>3000</v>
      </c>
      <c r="AR171" s="472" t="s">
        <v>73</v>
      </c>
      <c r="AS171" s="472" t="s">
        <v>73</v>
      </c>
      <c r="AT171" s="472" t="s">
        <v>73</v>
      </c>
      <c r="AU171" s="472" t="s">
        <v>73</v>
      </c>
      <c r="AV171" s="472" t="s">
        <v>73</v>
      </c>
      <c r="AW171" s="472" t="s">
        <v>73</v>
      </c>
      <c r="AX171" s="476">
        <v>3000</v>
      </c>
      <c r="AY171" s="479" t="s">
        <v>7</v>
      </c>
      <c r="AZ171" s="474" t="s">
        <v>74</v>
      </c>
      <c r="BA171" s="474"/>
      <c r="BB171" s="480"/>
      <c r="BC171" s="480"/>
      <c r="BK171" s="481" t="s">
        <v>790</v>
      </c>
      <c r="BL171" s="481" t="s">
        <v>791</v>
      </c>
      <c r="BM171" s="487" t="s">
        <v>1251</v>
      </c>
      <c r="BN171" s="565" t="s">
        <v>1252</v>
      </c>
      <c r="BO171" s="284" t="s">
        <v>1253</v>
      </c>
      <c r="BP171" s="285">
        <v>46167</v>
      </c>
      <c r="BQ171" s="482"/>
      <c r="BR171" s="965">
        <v>4954</v>
      </c>
      <c r="BS171" s="482"/>
      <c r="BT171" s="482"/>
      <c r="BU171" s="482" t="s">
        <v>1254</v>
      </c>
      <c r="BV171" s="414" t="s">
        <v>836</v>
      </c>
      <c r="BW171" s="566" t="s">
        <v>993</v>
      </c>
      <c r="BX171" s="566" t="s">
        <v>1344</v>
      </c>
      <c r="BY171" s="284">
        <v>40964993</v>
      </c>
      <c r="BZ171" s="284">
        <v>10409649934</v>
      </c>
      <c r="CA171" s="288">
        <v>3000</v>
      </c>
      <c r="CB171" s="285">
        <v>46174</v>
      </c>
      <c r="CC171" s="285">
        <v>46203</v>
      </c>
      <c r="CD171" s="759"/>
      <c r="CE171" s="485">
        <f t="shared" si="366"/>
        <v>0</v>
      </c>
      <c r="CF171" s="484">
        <f t="shared" si="367"/>
        <v>0</v>
      </c>
      <c r="CG171" s="485"/>
      <c r="CH171" s="485">
        <f t="shared" si="368"/>
        <v>0</v>
      </c>
      <c r="CI171" s="485"/>
      <c r="CJ171" s="485">
        <f t="shared" si="369"/>
        <v>0</v>
      </c>
      <c r="CK171" s="484">
        <f t="shared" si="370"/>
        <v>0</v>
      </c>
      <c r="CL171" s="484">
        <f t="shared" si="371"/>
        <v>0</v>
      </c>
      <c r="CM171" s="1006"/>
      <c r="CN171" s="485">
        <f t="shared" si="372"/>
        <v>30</v>
      </c>
      <c r="CO171" s="484">
        <f t="shared" si="373"/>
        <v>3000</v>
      </c>
      <c r="CP171" s="485">
        <v>30</v>
      </c>
      <c r="CQ171" s="484">
        <f t="shared" si="374"/>
        <v>3000</v>
      </c>
      <c r="CR171" s="485">
        <v>30</v>
      </c>
      <c r="CS171" s="484">
        <f t="shared" si="375"/>
        <v>3000</v>
      </c>
      <c r="CT171" s="484">
        <f t="shared" si="376"/>
        <v>0</v>
      </c>
      <c r="CU171" s="484">
        <f t="shared" si="377"/>
        <v>0</v>
      </c>
      <c r="CV171" s="1006"/>
      <c r="CW171" s="1007">
        <f t="shared" si="361"/>
        <v>3000</v>
      </c>
      <c r="CX171" s="486">
        <f t="shared" si="362"/>
        <v>3000</v>
      </c>
      <c r="CY171" s="486">
        <f t="shared" si="363"/>
        <v>3000</v>
      </c>
      <c r="CZ171" s="1007">
        <f t="shared" si="364"/>
        <v>0</v>
      </c>
      <c r="DA171" s="1007">
        <f t="shared" si="365"/>
        <v>0</v>
      </c>
    </row>
    <row r="172" spans="1:108" ht="51" hidden="1" x14ac:dyDescent="0.25">
      <c r="A172" s="472">
        <v>2026</v>
      </c>
      <c r="B172" s="472">
        <v>479</v>
      </c>
      <c r="C172" s="472" t="s">
        <v>64</v>
      </c>
      <c r="D172" s="472" t="s">
        <v>65</v>
      </c>
      <c r="E172" s="472">
        <v>125</v>
      </c>
      <c r="F172" s="472">
        <v>3000654</v>
      </c>
      <c r="G172" s="472">
        <v>5005023</v>
      </c>
      <c r="H172" s="472">
        <v>3</v>
      </c>
      <c r="I172" s="472">
        <v>12</v>
      </c>
      <c r="J172" s="472">
        <v>24</v>
      </c>
      <c r="K172" s="472">
        <v>135560</v>
      </c>
      <c r="L172" s="472" t="s">
        <v>66</v>
      </c>
      <c r="M172" s="124" t="s">
        <v>67</v>
      </c>
      <c r="N172" s="472">
        <v>95</v>
      </c>
      <c r="O172" s="474"/>
      <c r="P172" s="474" t="s">
        <v>4</v>
      </c>
      <c r="Q172" s="472" t="s">
        <v>68</v>
      </c>
      <c r="R172" s="475" t="s">
        <v>69</v>
      </c>
      <c r="S172" s="475" t="s">
        <v>137</v>
      </c>
      <c r="T172" s="475"/>
      <c r="U172" s="124" t="s">
        <v>192</v>
      </c>
      <c r="V172" s="475" t="s">
        <v>3</v>
      </c>
      <c r="W172" s="121">
        <v>1</v>
      </c>
      <c r="X172" s="476">
        <v>3000</v>
      </c>
      <c r="Y172" s="475"/>
      <c r="Z172" s="475"/>
      <c r="AA172" s="476"/>
      <c r="AB172" s="475"/>
      <c r="AC172" s="475"/>
      <c r="AD172" s="563">
        <v>30</v>
      </c>
      <c r="AE172" s="475"/>
      <c r="AF172" s="475"/>
      <c r="AG172" s="476"/>
      <c r="AH172" s="475"/>
      <c r="AI172" s="475"/>
      <c r="AJ172" s="476"/>
      <c r="AK172" s="476">
        <v>3000</v>
      </c>
      <c r="AL172" s="475"/>
      <c r="AM172" s="476"/>
      <c r="AN172" s="475"/>
      <c r="AO172" s="475"/>
      <c r="AP172" s="567"/>
      <c r="AQ172" s="567">
        <v>3000</v>
      </c>
      <c r="AR172" s="472" t="s">
        <v>73</v>
      </c>
      <c r="AS172" s="472" t="s">
        <v>73</v>
      </c>
      <c r="AT172" s="472" t="s">
        <v>73</v>
      </c>
      <c r="AU172" s="472" t="s">
        <v>73</v>
      </c>
      <c r="AV172" s="472" t="s">
        <v>73</v>
      </c>
      <c r="AW172" s="472" t="s">
        <v>73</v>
      </c>
      <c r="AX172" s="476">
        <v>3000</v>
      </c>
      <c r="AY172" s="479" t="s">
        <v>7</v>
      </c>
      <c r="AZ172" s="474" t="s">
        <v>74</v>
      </c>
      <c r="BA172" s="474"/>
      <c r="BB172" s="480"/>
      <c r="BC172" s="480"/>
      <c r="BK172" s="481" t="s">
        <v>790</v>
      </c>
      <c r="BL172" s="481" t="s">
        <v>791</v>
      </c>
      <c r="BM172" s="487" t="s">
        <v>1251</v>
      </c>
      <c r="BN172" s="565" t="s">
        <v>1252</v>
      </c>
      <c r="BO172" s="284" t="s">
        <v>1253</v>
      </c>
      <c r="BP172" s="285">
        <v>46167</v>
      </c>
      <c r="BQ172" s="482"/>
      <c r="BR172" s="965">
        <v>4955</v>
      </c>
      <c r="BS172" s="482"/>
      <c r="BT172" s="482"/>
      <c r="BU172" s="482" t="s">
        <v>1254</v>
      </c>
      <c r="BV172" s="414" t="s">
        <v>836</v>
      </c>
      <c r="BW172" s="566" t="s">
        <v>1345</v>
      </c>
      <c r="BX172" s="566" t="s">
        <v>1346</v>
      </c>
      <c r="BY172" s="284">
        <v>48344547</v>
      </c>
      <c r="BZ172" s="284">
        <v>10483445470</v>
      </c>
      <c r="CA172" s="288">
        <v>3000</v>
      </c>
      <c r="CB172" s="285">
        <v>46174</v>
      </c>
      <c r="CC172" s="285">
        <v>46203</v>
      </c>
      <c r="CD172" s="759"/>
      <c r="CE172" s="485">
        <f t="shared" si="366"/>
        <v>0</v>
      </c>
      <c r="CF172" s="484">
        <f t="shared" si="367"/>
        <v>0</v>
      </c>
      <c r="CG172" s="485"/>
      <c r="CH172" s="485">
        <f t="shared" si="368"/>
        <v>0</v>
      </c>
      <c r="CI172" s="485"/>
      <c r="CJ172" s="485">
        <f t="shared" si="369"/>
        <v>0</v>
      </c>
      <c r="CK172" s="484">
        <f t="shared" si="370"/>
        <v>0</v>
      </c>
      <c r="CL172" s="484">
        <f t="shared" si="371"/>
        <v>0</v>
      </c>
      <c r="CM172" s="1006"/>
      <c r="CN172" s="485">
        <f t="shared" si="372"/>
        <v>30</v>
      </c>
      <c r="CO172" s="484">
        <f t="shared" si="373"/>
        <v>3000</v>
      </c>
      <c r="CP172" s="485">
        <v>30</v>
      </c>
      <c r="CQ172" s="484">
        <f t="shared" si="374"/>
        <v>3000</v>
      </c>
      <c r="CR172" s="485">
        <v>30</v>
      </c>
      <c r="CS172" s="484">
        <f t="shared" si="375"/>
        <v>3000</v>
      </c>
      <c r="CT172" s="484">
        <f t="shared" si="376"/>
        <v>0</v>
      </c>
      <c r="CU172" s="484">
        <f t="shared" si="377"/>
        <v>0</v>
      </c>
      <c r="CV172" s="1006"/>
      <c r="CW172" s="1007">
        <f t="shared" si="361"/>
        <v>3000</v>
      </c>
      <c r="CX172" s="486">
        <f t="shared" si="362"/>
        <v>3000</v>
      </c>
      <c r="CY172" s="486">
        <f t="shared" si="363"/>
        <v>3000</v>
      </c>
      <c r="CZ172" s="1007">
        <f t="shared" si="364"/>
        <v>0</v>
      </c>
      <c r="DA172" s="1007">
        <f t="shared" si="365"/>
        <v>0</v>
      </c>
    </row>
    <row r="173" spans="1:108" ht="51" hidden="1" x14ac:dyDescent="0.25">
      <c r="A173" s="472">
        <v>2026</v>
      </c>
      <c r="B173" s="472">
        <v>479</v>
      </c>
      <c r="C173" s="472" t="s">
        <v>64</v>
      </c>
      <c r="D173" s="472" t="s">
        <v>65</v>
      </c>
      <c r="E173" s="472">
        <v>125</v>
      </c>
      <c r="F173" s="472">
        <v>3000654</v>
      </c>
      <c r="G173" s="472">
        <v>5005023</v>
      </c>
      <c r="H173" s="472">
        <v>3</v>
      </c>
      <c r="I173" s="472">
        <v>12</v>
      </c>
      <c r="J173" s="472">
        <v>24</v>
      </c>
      <c r="K173" s="472">
        <v>135560</v>
      </c>
      <c r="L173" s="472" t="s">
        <v>66</v>
      </c>
      <c r="M173" s="124" t="s">
        <v>67</v>
      </c>
      <c r="N173" s="472">
        <v>95</v>
      </c>
      <c r="O173" s="474"/>
      <c r="P173" s="474" t="s">
        <v>4</v>
      </c>
      <c r="Q173" s="472" t="s">
        <v>68</v>
      </c>
      <c r="R173" s="475" t="s">
        <v>69</v>
      </c>
      <c r="S173" s="475" t="s">
        <v>137</v>
      </c>
      <c r="T173" s="475"/>
      <c r="U173" s="124" t="s">
        <v>192</v>
      </c>
      <c r="V173" s="475" t="s">
        <v>3</v>
      </c>
      <c r="W173" s="121">
        <v>1</v>
      </c>
      <c r="X173" s="476">
        <v>3000</v>
      </c>
      <c r="Y173" s="475"/>
      <c r="Z173" s="475"/>
      <c r="AA173" s="476"/>
      <c r="AB173" s="475"/>
      <c r="AC173" s="475"/>
      <c r="AD173" s="563">
        <v>30</v>
      </c>
      <c r="AE173" s="475"/>
      <c r="AF173" s="475"/>
      <c r="AG173" s="476"/>
      <c r="AH173" s="475"/>
      <c r="AI173" s="475"/>
      <c r="AJ173" s="476"/>
      <c r="AK173" s="476">
        <v>3000</v>
      </c>
      <c r="AL173" s="475"/>
      <c r="AM173" s="476"/>
      <c r="AN173" s="475"/>
      <c r="AO173" s="475"/>
      <c r="AP173" s="567"/>
      <c r="AQ173" s="567">
        <v>3000</v>
      </c>
      <c r="AR173" s="472" t="s">
        <v>73</v>
      </c>
      <c r="AS173" s="472" t="s">
        <v>73</v>
      </c>
      <c r="AT173" s="472" t="s">
        <v>73</v>
      </c>
      <c r="AU173" s="472" t="s">
        <v>73</v>
      </c>
      <c r="AV173" s="472" t="s">
        <v>73</v>
      </c>
      <c r="AW173" s="472" t="s">
        <v>73</v>
      </c>
      <c r="AX173" s="476">
        <v>3000</v>
      </c>
      <c r="AY173" s="479" t="s">
        <v>7</v>
      </c>
      <c r="AZ173" s="474" t="s">
        <v>74</v>
      </c>
      <c r="BA173" s="474"/>
      <c r="BB173" s="480"/>
      <c r="BC173" s="480"/>
      <c r="BK173" s="481" t="s">
        <v>790</v>
      </c>
      <c r="BL173" s="481" t="s">
        <v>791</v>
      </c>
      <c r="BM173" s="487" t="s">
        <v>1251</v>
      </c>
      <c r="BN173" s="565" t="s">
        <v>1252</v>
      </c>
      <c r="BO173" s="284" t="s">
        <v>1253</v>
      </c>
      <c r="BP173" s="285">
        <v>46167</v>
      </c>
      <c r="BQ173" s="482"/>
      <c r="BR173" s="965">
        <v>4956</v>
      </c>
      <c r="BS173" s="482"/>
      <c r="BT173" s="482"/>
      <c r="BU173" s="482" t="s">
        <v>1254</v>
      </c>
      <c r="BV173" s="414" t="s">
        <v>836</v>
      </c>
      <c r="BW173" s="566" t="s">
        <v>1347</v>
      </c>
      <c r="BX173" s="566" t="s">
        <v>1348</v>
      </c>
      <c r="BY173" s="284">
        <v>10204182</v>
      </c>
      <c r="BZ173" s="284">
        <v>10102041823</v>
      </c>
      <c r="CA173" s="288">
        <v>3000</v>
      </c>
      <c r="CB173" s="285">
        <v>46174</v>
      </c>
      <c r="CC173" s="285">
        <v>46203</v>
      </c>
      <c r="CD173" s="759"/>
      <c r="CE173" s="485">
        <f t="shared" si="366"/>
        <v>0</v>
      </c>
      <c r="CF173" s="484">
        <f t="shared" si="367"/>
        <v>0</v>
      </c>
      <c r="CG173" s="485"/>
      <c r="CH173" s="485">
        <f t="shared" si="368"/>
        <v>0</v>
      </c>
      <c r="CI173" s="485"/>
      <c r="CJ173" s="485">
        <f t="shared" si="369"/>
        <v>0</v>
      </c>
      <c r="CK173" s="484">
        <f t="shared" si="370"/>
        <v>0</v>
      </c>
      <c r="CL173" s="484">
        <f t="shared" si="371"/>
        <v>0</v>
      </c>
      <c r="CM173" s="1006"/>
      <c r="CN173" s="485">
        <f t="shared" si="372"/>
        <v>30</v>
      </c>
      <c r="CO173" s="484">
        <f t="shared" si="373"/>
        <v>3000</v>
      </c>
      <c r="CP173" s="485">
        <v>30</v>
      </c>
      <c r="CQ173" s="484">
        <f t="shared" si="374"/>
        <v>3000</v>
      </c>
      <c r="CR173" s="485">
        <v>30</v>
      </c>
      <c r="CS173" s="484">
        <f t="shared" si="375"/>
        <v>3000</v>
      </c>
      <c r="CT173" s="484">
        <f t="shared" si="376"/>
        <v>0</v>
      </c>
      <c r="CU173" s="484">
        <f t="shared" si="377"/>
        <v>0</v>
      </c>
      <c r="CV173" s="1006"/>
      <c r="CW173" s="1007">
        <f t="shared" si="361"/>
        <v>3000</v>
      </c>
      <c r="CX173" s="486">
        <f t="shared" si="362"/>
        <v>3000</v>
      </c>
      <c r="CY173" s="486">
        <f t="shared" si="363"/>
        <v>3000</v>
      </c>
      <c r="CZ173" s="1007">
        <f t="shared" si="364"/>
        <v>0</v>
      </c>
      <c r="DA173" s="1007">
        <f t="shared" si="365"/>
        <v>0</v>
      </c>
    </row>
    <row r="174" spans="1:108" ht="51" hidden="1" x14ac:dyDescent="0.25">
      <c r="A174" s="472">
        <v>2026</v>
      </c>
      <c r="B174" s="472">
        <v>479</v>
      </c>
      <c r="C174" s="472" t="s">
        <v>64</v>
      </c>
      <c r="D174" s="472" t="s">
        <v>65</v>
      </c>
      <c r="E174" s="472">
        <v>125</v>
      </c>
      <c r="F174" s="472">
        <v>3000654</v>
      </c>
      <c r="G174" s="472">
        <v>5005023</v>
      </c>
      <c r="H174" s="472">
        <v>3</v>
      </c>
      <c r="I174" s="472">
        <v>12</v>
      </c>
      <c r="J174" s="472">
        <v>24</v>
      </c>
      <c r="K174" s="472">
        <v>135560</v>
      </c>
      <c r="L174" s="472" t="s">
        <v>66</v>
      </c>
      <c r="M174" s="124" t="s">
        <v>67</v>
      </c>
      <c r="N174" s="472">
        <v>95</v>
      </c>
      <c r="O174" s="474"/>
      <c r="P174" s="474" t="s">
        <v>4</v>
      </c>
      <c r="Q174" s="472" t="s">
        <v>68</v>
      </c>
      <c r="R174" s="475" t="s">
        <v>69</v>
      </c>
      <c r="S174" s="475" t="s">
        <v>137</v>
      </c>
      <c r="T174" s="475"/>
      <c r="U174" s="124" t="s">
        <v>192</v>
      </c>
      <c r="V174" s="475" t="s">
        <v>3</v>
      </c>
      <c r="W174" s="121">
        <v>1</v>
      </c>
      <c r="X174" s="476">
        <v>3000</v>
      </c>
      <c r="Y174" s="475"/>
      <c r="Z174" s="475"/>
      <c r="AA174" s="476"/>
      <c r="AB174" s="475"/>
      <c r="AC174" s="475"/>
      <c r="AD174" s="563">
        <v>30</v>
      </c>
      <c r="AE174" s="475"/>
      <c r="AF174" s="475"/>
      <c r="AG174" s="476"/>
      <c r="AH174" s="475"/>
      <c r="AI174" s="475"/>
      <c r="AJ174" s="476"/>
      <c r="AK174" s="476">
        <v>3000</v>
      </c>
      <c r="AL174" s="475"/>
      <c r="AM174" s="476"/>
      <c r="AN174" s="475"/>
      <c r="AO174" s="475"/>
      <c r="AP174" s="567"/>
      <c r="AQ174" s="567">
        <v>3000</v>
      </c>
      <c r="AR174" s="472" t="s">
        <v>73</v>
      </c>
      <c r="AS174" s="472" t="s">
        <v>73</v>
      </c>
      <c r="AT174" s="472" t="s">
        <v>73</v>
      </c>
      <c r="AU174" s="472" t="s">
        <v>73</v>
      </c>
      <c r="AV174" s="472" t="s">
        <v>73</v>
      </c>
      <c r="AW174" s="472" t="s">
        <v>73</v>
      </c>
      <c r="AX174" s="476">
        <v>3000</v>
      </c>
      <c r="AY174" s="479" t="s">
        <v>7</v>
      </c>
      <c r="AZ174" s="474" t="s">
        <v>74</v>
      </c>
      <c r="BA174" s="474"/>
      <c r="BB174" s="480"/>
      <c r="BC174" s="480"/>
      <c r="BK174" s="481" t="s">
        <v>790</v>
      </c>
      <c r="BL174" s="481" t="s">
        <v>791</v>
      </c>
      <c r="BM174" s="487" t="s">
        <v>1251</v>
      </c>
      <c r="BN174" s="565" t="s">
        <v>1252</v>
      </c>
      <c r="BO174" s="284" t="s">
        <v>1253</v>
      </c>
      <c r="BP174" s="285">
        <v>46167</v>
      </c>
      <c r="BQ174" s="482"/>
      <c r="BR174" s="965">
        <v>4957</v>
      </c>
      <c r="BS174" s="482"/>
      <c r="BT174" s="482"/>
      <c r="BU174" s="482" t="s">
        <v>1254</v>
      </c>
      <c r="BV174" s="414" t="s">
        <v>1349</v>
      </c>
      <c r="BW174" s="566" t="s">
        <v>887</v>
      </c>
      <c r="BX174" s="566" t="s">
        <v>842</v>
      </c>
      <c r="BY174" s="284">
        <v>10077097</v>
      </c>
      <c r="BZ174" s="284">
        <v>10100770976</v>
      </c>
      <c r="CA174" s="288">
        <v>3000</v>
      </c>
      <c r="CB174" s="285">
        <v>46174</v>
      </c>
      <c r="CC174" s="285">
        <v>46203</v>
      </c>
      <c r="CD174" s="759"/>
      <c r="CE174" s="485">
        <f t="shared" si="366"/>
        <v>0</v>
      </c>
      <c r="CF174" s="484">
        <f t="shared" si="367"/>
        <v>0</v>
      </c>
      <c r="CG174" s="485"/>
      <c r="CH174" s="485">
        <f t="shared" si="368"/>
        <v>0</v>
      </c>
      <c r="CI174" s="485"/>
      <c r="CJ174" s="485">
        <f t="shared" si="369"/>
        <v>0</v>
      </c>
      <c r="CK174" s="484">
        <f t="shared" si="370"/>
        <v>0</v>
      </c>
      <c r="CL174" s="484">
        <f t="shared" si="371"/>
        <v>0</v>
      </c>
      <c r="CM174" s="1006"/>
      <c r="CN174" s="485">
        <f t="shared" si="372"/>
        <v>30</v>
      </c>
      <c r="CO174" s="484">
        <f t="shared" si="373"/>
        <v>3000</v>
      </c>
      <c r="CP174" s="485">
        <v>30</v>
      </c>
      <c r="CQ174" s="484">
        <f t="shared" si="374"/>
        <v>3000</v>
      </c>
      <c r="CR174" s="485">
        <v>30</v>
      </c>
      <c r="CS174" s="484">
        <f t="shared" si="375"/>
        <v>3000</v>
      </c>
      <c r="CT174" s="484">
        <f t="shared" si="376"/>
        <v>0</v>
      </c>
      <c r="CU174" s="484">
        <f t="shared" si="377"/>
        <v>0</v>
      </c>
      <c r="CV174" s="1006"/>
      <c r="CW174" s="1007">
        <f t="shared" si="361"/>
        <v>3000</v>
      </c>
      <c r="CX174" s="486">
        <f t="shared" si="362"/>
        <v>3000</v>
      </c>
      <c r="CY174" s="486">
        <f t="shared" si="363"/>
        <v>3000</v>
      </c>
      <c r="CZ174" s="1007">
        <f t="shared" si="364"/>
        <v>0</v>
      </c>
      <c r="DA174" s="1007">
        <f t="shared" si="365"/>
        <v>0</v>
      </c>
    </row>
    <row r="175" spans="1:108" ht="51" hidden="1" x14ac:dyDescent="0.25">
      <c r="A175" s="472">
        <v>2026</v>
      </c>
      <c r="B175" s="472">
        <v>479</v>
      </c>
      <c r="C175" s="472" t="s">
        <v>64</v>
      </c>
      <c r="D175" s="472" t="s">
        <v>65</v>
      </c>
      <c r="E175" s="472">
        <v>125</v>
      </c>
      <c r="F175" s="472">
        <v>3000654</v>
      </c>
      <c r="G175" s="472">
        <v>5005023</v>
      </c>
      <c r="H175" s="472">
        <v>3</v>
      </c>
      <c r="I175" s="472">
        <v>12</v>
      </c>
      <c r="J175" s="472">
        <v>24</v>
      </c>
      <c r="K175" s="472">
        <v>135560</v>
      </c>
      <c r="L175" s="472" t="s">
        <v>66</v>
      </c>
      <c r="M175" s="124" t="s">
        <v>67</v>
      </c>
      <c r="N175" s="472">
        <v>95</v>
      </c>
      <c r="O175" s="474"/>
      <c r="P175" s="474" t="s">
        <v>4</v>
      </c>
      <c r="Q175" s="472" t="s">
        <v>68</v>
      </c>
      <c r="R175" s="475" t="s">
        <v>69</v>
      </c>
      <c r="S175" s="475" t="s">
        <v>137</v>
      </c>
      <c r="T175" s="475"/>
      <c r="U175" s="124" t="s">
        <v>192</v>
      </c>
      <c r="V175" s="475" t="s">
        <v>3</v>
      </c>
      <c r="W175" s="121">
        <v>1</v>
      </c>
      <c r="X175" s="476">
        <v>3000</v>
      </c>
      <c r="Y175" s="475"/>
      <c r="Z175" s="475"/>
      <c r="AA175" s="476"/>
      <c r="AB175" s="475"/>
      <c r="AC175" s="475"/>
      <c r="AD175" s="563">
        <v>30</v>
      </c>
      <c r="AE175" s="475"/>
      <c r="AF175" s="475"/>
      <c r="AG175" s="476"/>
      <c r="AH175" s="475"/>
      <c r="AI175" s="475"/>
      <c r="AJ175" s="476"/>
      <c r="AK175" s="476">
        <v>3000</v>
      </c>
      <c r="AL175" s="475"/>
      <c r="AM175" s="476"/>
      <c r="AN175" s="475"/>
      <c r="AO175" s="475"/>
      <c r="AP175" s="567"/>
      <c r="AQ175" s="567">
        <v>3000</v>
      </c>
      <c r="AR175" s="472" t="s">
        <v>73</v>
      </c>
      <c r="AS175" s="472" t="s">
        <v>73</v>
      </c>
      <c r="AT175" s="472" t="s">
        <v>73</v>
      </c>
      <c r="AU175" s="472" t="s">
        <v>73</v>
      </c>
      <c r="AV175" s="472" t="s">
        <v>73</v>
      </c>
      <c r="AW175" s="472" t="s">
        <v>73</v>
      </c>
      <c r="AX175" s="476">
        <v>3000</v>
      </c>
      <c r="AY175" s="479" t="s">
        <v>7</v>
      </c>
      <c r="AZ175" s="474" t="s">
        <v>74</v>
      </c>
      <c r="BA175" s="474"/>
      <c r="BB175" s="480"/>
      <c r="BC175" s="480"/>
      <c r="BK175" s="481" t="s">
        <v>790</v>
      </c>
      <c r="BL175" s="481" t="s">
        <v>791</v>
      </c>
      <c r="BM175" s="487" t="s">
        <v>1251</v>
      </c>
      <c r="BN175" s="565" t="s">
        <v>1252</v>
      </c>
      <c r="BO175" s="284" t="s">
        <v>1253</v>
      </c>
      <c r="BP175" s="285">
        <v>46167</v>
      </c>
      <c r="BQ175" s="482"/>
      <c r="BR175" s="965">
        <v>4958</v>
      </c>
      <c r="BS175" s="482"/>
      <c r="BT175" s="482"/>
      <c r="BU175" s="482" t="s">
        <v>1254</v>
      </c>
      <c r="BV175" s="414" t="s">
        <v>999</v>
      </c>
      <c r="BW175" s="566" t="s">
        <v>1244</v>
      </c>
      <c r="BX175" s="566" t="s">
        <v>1350</v>
      </c>
      <c r="BY175" s="284">
        <v>72696054</v>
      </c>
      <c r="BZ175" s="284">
        <v>10726960548</v>
      </c>
      <c r="CA175" s="288">
        <v>3000</v>
      </c>
      <c r="CB175" s="285">
        <v>46174</v>
      </c>
      <c r="CC175" s="285">
        <v>46203</v>
      </c>
      <c r="CD175" s="759"/>
      <c r="CE175" s="485">
        <f t="shared" si="366"/>
        <v>0</v>
      </c>
      <c r="CF175" s="484">
        <f t="shared" si="367"/>
        <v>0</v>
      </c>
      <c r="CG175" s="485"/>
      <c r="CH175" s="485">
        <f t="shared" si="368"/>
        <v>0</v>
      </c>
      <c r="CI175" s="485"/>
      <c r="CJ175" s="485">
        <f t="shared" si="369"/>
        <v>0</v>
      </c>
      <c r="CK175" s="484">
        <f t="shared" si="370"/>
        <v>0</v>
      </c>
      <c r="CL175" s="484">
        <f t="shared" si="371"/>
        <v>0</v>
      </c>
      <c r="CM175" s="1006"/>
      <c r="CN175" s="485">
        <f t="shared" si="372"/>
        <v>30</v>
      </c>
      <c r="CO175" s="484">
        <f t="shared" si="373"/>
        <v>3000</v>
      </c>
      <c r="CP175" s="485">
        <v>30</v>
      </c>
      <c r="CQ175" s="484">
        <f t="shared" si="374"/>
        <v>3000</v>
      </c>
      <c r="CR175" s="485">
        <v>30</v>
      </c>
      <c r="CS175" s="484">
        <f t="shared" si="375"/>
        <v>3000</v>
      </c>
      <c r="CT175" s="484">
        <f t="shared" si="376"/>
        <v>0</v>
      </c>
      <c r="CU175" s="484">
        <f t="shared" si="377"/>
        <v>0</v>
      </c>
      <c r="CV175" s="1006"/>
      <c r="CW175" s="1007">
        <f t="shared" si="361"/>
        <v>3000</v>
      </c>
      <c r="CX175" s="486">
        <f t="shared" si="362"/>
        <v>3000</v>
      </c>
      <c r="CY175" s="486">
        <f t="shared" si="363"/>
        <v>3000</v>
      </c>
      <c r="CZ175" s="1007">
        <f t="shared" si="364"/>
        <v>0</v>
      </c>
      <c r="DA175" s="1007">
        <f t="shared" si="365"/>
        <v>0</v>
      </c>
    </row>
    <row r="176" spans="1:108" ht="51" hidden="1" x14ac:dyDescent="0.25">
      <c r="A176" s="472">
        <v>2026</v>
      </c>
      <c r="B176" s="472">
        <v>479</v>
      </c>
      <c r="C176" s="472" t="s">
        <v>64</v>
      </c>
      <c r="D176" s="472" t="s">
        <v>65</v>
      </c>
      <c r="E176" s="472">
        <v>125</v>
      </c>
      <c r="F176" s="472">
        <v>3000654</v>
      </c>
      <c r="G176" s="472">
        <v>5005023</v>
      </c>
      <c r="H176" s="472">
        <v>3</v>
      </c>
      <c r="I176" s="472">
        <v>12</v>
      </c>
      <c r="J176" s="472">
        <v>24</v>
      </c>
      <c r="K176" s="472">
        <v>135560</v>
      </c>
      <c r="L176" s="472" t="s">
        <v>66</v>
      </c>
      <c r="M176" s="124" t="s">
        <v>67</v>
      </c>
      <c r="N176" s="472">
        <v>95</v>
      </c>
      <c r="O176" s="474"/>
      <c r="P176" s="474" t="s">
        <v>4</v>
      </c>
      <c r="Q176" s="472" t="s">
        <v>68</v>
      </c>
      <c r="R176" s="475" t="s">
        <v>69</v>
      </c>
      <c r="S176" s="475" t="s">
        <v>137</v>
      </c>
      <c r="T176" s="475"/>
      <c r="U176" s="124" t="s">
        <v>192</v>
      </c>
      <c r="V176" s="475" t="s">
        <v>3</v>
      </c>
      <c r="W176" s="121">
        <v>1</v>
      </c>
      <c r="X176" s="476">
        <v>3000</v>
      </c>
      <c r="Y176" s="475"/>
      <c r="Z176" s="475"/>
      <c r="AA176" s="476"/>
      <c r="AB176" s="475"/>
      <c r="AC176" s="475"/>
      <c r="AD176" s="563">
        <v>30</v>
      </c>
      <c r="AE176" s="475"/>
      <c r="AF176" s="475"/>
      <c r="AG176" s="476"/>
      <c r="AH176" s="475"/>
      <c r="AI176" s="475"/>
      <c r="AJ176" s="476"/>
      <c r="AK176" s="476">
        <v>3000</v>
      </c>
      <c r="AL176" s="475"/>
      <c r="AM176" s="476"/>
      <c r="AN176" s="475"/>
      <c r="AO176" s="475"/>
      <c r="AP176" s="567"/>
      <c r="AQ176" s="567">
        <v>3000</v>
      </c>
      <c r="AR176" s="472" t="s">
        <v>73</v>
      </c>
      <c r="AS176" s="472" t="s">
        <v>73</v>
      </c>
      <c r="AT176" s="472" t="s">
        <v>73</v>
      </c>
      <c r="AU176" s="472" t="s">
        <v>73</v>
      </c>
      <c r="AV176" s="472" t="s">
        <v>73</v>
      </c>
      <c r="AW176" s="472" t="s">
        <v>73</v>
      </c>
      <c r="AX176" s="476">
        <v>3000</v>
      </c>
      <c r="AY176" s="479" t="s">
        <v>7</v>
      </c>
      <c r="AZ176" s="474" t="s">
        <v>74</v>
      </c>
      <c r="BA176" s="474"/>
      <c r="BB176" s="480"/>
      <c r="BC176" s="480"/>
      <c r="BK176" s="481" t="s">
        <v>790</v>
      </c>
      <c r="BL176" s="481" t="s">
        <v>791</v>
      </c>
      <c r="BM176" s="487" t="s">
        <v>1251</v>
      </c>
      <c r="BN176" s="565" t="s">
        <v>1252</v>
      </c>
      <c r="BO176" s="284" t="s">
        <v>1253</v>
      </c>
      <c r="BP176" s="285">
        <v>46167</v>
      </c>
      <c r="BQ176" s="482"/>
      <c r="BR176" s="965">
        <v>4959</v>
      </c>
      <c r="BS176" s="482"/>
      <c r="BT176" s="482"/>
      <c r="BU176" s="482" t="s">
        <v>1254</v>
      </c>
      <c r="BV176" s="414" t="s">
        <v>1351</v>
      </c>
      <c r="BW176" s="566" t="s">
        <v>1352</v>
      </c>
      <c r="BX176" s="566" t="s">
        <v>1353</v>
      </c>
      <c r="BY176" s="284">
        <v>6816201</v>
      </c>
      <c r="BZ176" s="284">
        <v>10068162012</v>
      </c>
      <c r="CA176" s="288">
        <v>3000</v>
      </c>
      <c r="CB176" s="285">
        <v>46174</v>
      </c>
      <c r="CC176" s="285">
        <v>46203</v>
      </c>
      <c r="CD176" s="759"/>
      <c r="CE176" s="485">
        <f t="shared" si="366"/>
        <v>0</v>
      </c>
      <c r="CF176" s="484">
        <f t="shared" si="367"/>
        <v>0</v>
      </c>
      <c r="CG176" s="485"/>
      <c r="CH176" s="485">
        <f t="shared" si="368"/>
        <v>0</v>
      </c>
      <c r="CI176" s="485"/>
      <c r="CJ176" s="485">
        <f t="shared" si="369"/>
        <v>0</v>
      </c>
      <c r="CK176" s="484">
        <f t="shared" si="370"/>
        <v>0</v>
      </c>
      <c r="CL176" s="484">
        <f t="shared" si="371"/>
        <v>0</v>
      </c>
      <c r="CM176" s="1006"/>
      <c r="CN176" s="485">
        <f t="shared" si="372"/>
        <v>30</v>
      </c>
      <c r="CO176" s="484">
        <f t="shared" si="373"/>
        <v>3000</v>
      </c>
      <c r="CP176" s="485">
        <v>30</v>
      </c>
      <c r="CQ176" s="484">
        <f t="shared" si="374"/>
        <v>3000</v>
      </c>
      <c r="CR176" s="485">
        <v>30</v>
      </c>
      <c r="CS176" s="484">
        <f t="shared" si="375"/>
        <v>3000</v>
      </c>
      <c r="CT176" s="484">
        <f t="shared" si="376"/>
        <v>0</v>
      </c>
      <c r="CU176" s="484">
        <f t="shared" si="377"/>
        <v>0</v>
      </c>
      <c r="CV176" s="1006"/>
      <c r="CW176" s="1007">
        <f t="shared" si="361"/>
        <v>3000</v>
      </c>
      <c r="CX176" s="486">
        <f t="shared" si="362"/>
        <v>3000</v>
      </c>
      <c r="CY176" s="486">
        <f t="shared" si="363"/>
        <v>3000</v>
      </c>
      <c r="CZ176" s="1007">
        <f t="shared" si="364"/>
        <v>0</v>
      </c>
      <c r="DA176" s="1007">
        <f t="shared" si="365"/>
        <v>0</v>
      </c>
    </row>
    <row r="177" spans="1:108" ht="51" hidden="1" x14ac:dyDescent="0.25">
      <c r="A177" s="472">
        <v>2026</v>
      </c>
      <c r="B177" s="472">
        <v>479</v>
      </c>
      <c r="C177" s="472" t="s">
        <v>64</v>
      </c>
      <c r="D177" s="472" t="s">
        <v>65</v>
      </c>
      <c r="E177" s="472">
        <v>125</v>
      </c>
      <c r="F177" s="472">
        <v>3000654</v>
      </c>
      <c r="G177" s="472">
        <v>5005023</v>
      </c>
      <c r="H177" s="472">
        <v>3</v>
      </c>
      <c r="I177" s="472">
        <v>12</v>
      </c>
      <c r="J177" s="472">
        <v>24</v>
      </c>
      <c r="K177" s="472">
        <v>135560</v>
      </c>
      <c r="L177" s="472" t="s">
        <v>66</v>
      </c>
      <c r="M177" s="124" t="s">
        <v>67</v>
      </c>
      <c r="N177" s="472">
        <v>95</v>
      </c>
      <c r="O177" s="474"/>
      <c r="P177" s="474" t="s">
        <v>4</v>
      </c>
      <c r="Q177" s="472" t="s">
        <v>68</v>
      </c>
      <c r="R177" s="475" t="s">
        <v>69</v>
      </c>
      <c r="S177" s="475" t="s">
        <v>137</v>
      </c>
      <c r="T177" s="475"/>
      <c r="U177" s="124" t="s">
        <v>192</v>
      </c>
      <c r="V177" s="475" t="s">
        <v>3</v>
      </c>
      <c r="W177" s="121">
        <v>1</v>
      </c>
      <c r="X177" s="476">
        <v>3000</v>
      </c>
      <c r="Y177" s="475"/>
      <c r="Z177" s="475"/>
      <c r="AA177" s="476"/>
      <c r="AB177" s="475"/>
      <c r="AC177" s="475"/>
      <c r="AD177" s="563">
        <v>30</v>
      </c>
      <c r="AE177" s="475"/>
      <c r="AF177" s="475"/>
      <c r="AG177" s="476"/>
      <c r="AH177" s="475"/>
      <c r="AI177" s="475"/>
      <c r="AJ177" s="476"/>
      <c r="AK177" s="476">
        <v>3000</v>
      </c>
      <c r="AL177" s="475"/>
      <c r="AM177" s="476"/>
      <c r="AN177" s="475"/>
      <c r="AO177" s="475"/>
      <c r="AP177" s="567"/>
      <c r="AQ177" s="567">
        <v>3000</v>
      </c>
      <c r="AR177" s="472" t="s">
        <v>73</v>
      </c>
      <c r="AS177" s="472" t="s">
        <v>73</v>
      </c>
      <c r="AT177" s="472" t="s">
        <v>73</v>
      </c>
      <c r="AU177" s="472" t="s">
        <v>73</v>
      </c>
      <c r="AV177" s="472" t="s">
        <v>73</v>
      </c>
      <c r="AW177" s="472" t="s">
        <v>73</v>
      </c>
      <c r="AX177" s="476">
        <v>3000</v>
      </c>
      <c r="AY177" s="479" t="s">
        <v>7</v>
      </c>
      <c r="AZ177" s="474" t="s">
        <v>74</v>
      </c>
      <c r="BA177" s="474"/>
      <c r="BB177" s="480"/>
      <c r="BC177" s="480"/>
      <c r="BK177" s="481" t="s">
        <v>790</v>
      </c>
      <c r="BL177" s="481" t="s">
        <v>791</v>
      </c>
      <c r="BM177" s="487" t="s">
        <v>1251</v>
      </c>
      <c r="BN177" s="565" t="s">
        <v>1252</v>
      </c>
      <c r="BO177" s="284" t="s">
        <v>1253</v>
      </c>
      <c r="BP177" s="285">
        <v>46167</v>
      </c>
      <c r="BQ177" s="482"/>
      <c r="BR177" s="965">
        <v>4960</v>
      </c>
      <c r="BS177" s="482"/>
      <c r="BT177" s="482"/>
      <c r="BU177" s="482" t="s">
        <v>1254</v>
      </c>
      <c r="BV177" s="414" t="s">
        <v>1354</v>
      </c>
      <c r="BW177" s="566" t="s">
        <v>1355</v>
      </c>
      <c r="BX177" s="566" t="s">
        <v>1356</v>
      </c>
      <c r="BY177" s="284">
        <v>9909014</v>
      </c>
      <c r="BZ177" s="284">
        <v>10099090141</v>
      </c>
      <c r="CA177" s="288">
        <v>3000</v>
      </c>
      <c r="CB177" s="285">
        <v>46174</v>
      </c>
      <c r="CC177" s="285">
        <v>46203</v>
      </c>
      <c r="CD177" s="759"/>
      <c r="CE177" s="485">
        <f t="shared" si="366"/>
        <v>0</v>
      </c>
      <c r="CF177" s="484">
        <f t="shared" si="367"/>
        <v>0</v>
      </c>
      <c r="CG177" s="485"/>
      <c r="CH177" s="485">
        <f t="shared" si="368"/>
        <v>0</v>
      </c>
      <c r="CI177" s="485"/>
      <c r="CJ177" s="485">
        <f t="shared" si="369"/>
        <v>0</v>
      </c>
      <c r="CK177" s="484">
        <f t="shared" si="370"/>
        <v>0</v>
      </c>
      <c r="CL177" s="484">
        <f t="shared" si="371"/>
        <v>0</v>
      </c>
      <c r="CM177" s="1006"/>
      <c r="CN177" s="485">
        <f t="shared" si="372"/>
        <v>30</v>
      </c>
      <c r="CO177" s="484">
        <f t="shared" si="373"/>
        <v>3000</v>
      </c>
      <c r="CP177" s="485">
        <v>30</v>
      </c>
      <c r="CQ177" s="484">
        <f t="shared" si="374"/>
        <v>3000</v>
      </c>
      <c r="CR177" s="485">
        <v>30</v>
      </c>
      <c r="CS177" s="484">
        <f t="shared" si="375"/>
        <v>3000</v>
      </c>
      <c r="CT177" s="484">
        <f t="shared" si="376"/>
        <v>0</v>
      </c>
      <c r="CU177" s="484">
        <f t="shared" si="377"/>
        <v>0</v>
      </c>
      <c r="CV177" s="1006"/>
      <c r="CW177" s="1007">
        <f t="shared" si="361"/>
        <v>3000</v>
      </c>
      <c r="CX177" s="486">
        <f t="shared" si="362"/>
        <v>3000</v>
      </c>
      <c r="CY177" s="486">
        <f t="shared" si="363"/>
        <v>3000</v>
      </c>
      <c r="CZ177" s="1007">
        <f t="shared" si="364"/>
        <v>0</v>
      </c>
      <c r="DA177" s="1007">
        <f t="shared" si="365"/>
        <v>0</v>
      </c>
    </row>
    <row r="178" spans="1:108" ht="51" hidden="1" x14ac:dyDescent="0.25">
      <c r="A178" s="472">
        <v>2026</v>
      </c>
      <c r="B178" s="472">
        <v>479</v>
      </c>
      <c r="C178" s="472" t="s">
        <v>64</v>
      </c>
      <c r="D178" s="472" t="s">
        <v>65</v>
      </c>
      <c r="E178" s="472">
        <v>125</v>
      </c>
      <c r="F178" s="472">
        <v>3000654</v>
      </c>
      <c r="G178" s="472">
        <v>5005023</v>
      </c>
      <c r="H178" s="472">
        <v>3</v>
      </c>
      <c r="I178" s="472">
        <v>12</v>
      </c>
      <c r="J178" s="472">
        <v>24</v>
      </c>
      <c r="K178" s="472">
        <v>135560</v>
      </c>
      <c r="L178" s="472" t="s">
        <v>66</v>
      </c>
      <c r="M178" s="124" t="s">
        <v>67</v>
      </c>
      <c r="N178" s="472">
        <v>95</v>
      </c>
      <c r="O178" s="474"/>
      <c r="P178" s="474" t="s">
        <v>4</v>
      </c>
      <c r="Q178" s="472" t="s">
        <v>68</v>
      </c>
      <c r="R178" s="475" t="s">
        <v>69</v>
      </c>
      <c r="S178" s="475" t="s">
        <v>137</v>
      </c>
      <c r="T178" s="475"/>
      <c r="U178" s="124" t="s">
        <v>192</v>
      </c>
      <c r="V178" s="475" t="s">
        <v>3</v>
      </c>
      <c r="W178" s="121">
        <v>1</v>
      </c>
      <c r="X178" s="476">
        <v>3000</v>
      </c>
      <c r="Y178" s="475"/>
      <c r="Z178" s="475"/>
      <c r="AA178" s="476"/>
      <c r="AB178" s="475"/>
      <c r="AC178" s="475"/>
      <c r="AD178" s="563">
        <v>30</v>
      </c>
      <c r="AE178" s="475"/>
      <c r="AF178" s="475"/>
      <c r="AG178" s="476"/>
      <c r="AH178" s="475"/>
      <c r="AI178" s="475"/>
      <c r="AJ178" s="476"/>
      <c r="AK178" s="476">
        <v>3000</v>
      </c>
      <c r="AL178" s="475"/>
      <c r="AM178" s="476"/>
      <c r="AN178" s="475"/>
      <c r="AO178" s="475"/>
      <c r="AP178" s="567"/>
      <c r="AQ178" s="567">
        <v>3000</v>
      </c>
      <c r="AR178" s="472" t="s">
        <v>73</v>
      </c>
      <c r="AS178" s="472" t="s">
        <v>73</v>
      </c>
      <c r="AT178" s="472" t="s">
        <v>73</v>
      </c>
      <c r="AU178" s="472" t="s">
        <v>73</v>
      </c>
      <c r="AV178" s="472" t="s">
        <v>73</v>
      </c>
      <c r="AW178" s="472" t="s">
        <v>73</v>
      </c>
      <c r="AX178" s="476">
        <v>3000</v>
      </c>
      <c r="AY178" s="479" t="s">
        <v>7</v>
      </c>
      <c r="AZ178" s="474" t="s">
        <v>74</v>
      </c>
      <c r="BA178" s="474"/>
      <c r="BB178" s="480"/>
      <c r="BC178" s="480"/>
      <c r="BK178" s="481" t="s">
        <v>790</v>
      </c>
      <c r="BL178" s="481" t="s">
        <v>791</v>
      </c>
      <c r="BM178" s="487" t="s">
        <v>1251</v>
      </c>
      <c r="BN178" s="565" t="s">
        <v>1252</v>
      </c>
      <c r="BO178" s="284" t="s">
        <v>1253</v>
      </c>
      <c r="BP178" s="285">
        <v>46167</v>
      </c>
      <c r="BQ178" s="482"/>
      <c r="BR178" s="965">
        <v>4961</v>
      </c>
      <c r="BS178" s="482"/>
      <c r="BT178" s="482"/>
      <c r="BU178" s="482" t="s">
        <v>1254</v>
      </c>
      <c r="BV178" s="414" t="s">
        <v>1357</v>
      </c>
      <c r="BW178" s="566" t="s">
        <v>1358</v>
      </c>
      <c r="BX178" s="566" t="s">
        <v>1359</v>
      </c>
      <c r="BY178" s="284">
        <v>43522269</v>
      </c>
      <c r="BZ178" s="284">
        <v>10435222698</v>
      </c>
      <c r="CA178" s="288">
        <v>3000</v>
      </c>
      <c r="CB178" s="285">
        <v>46174</v>
      </c>
      <c r="CC178" s="285">
        <v>46203</v>
      </c>
      <c r="CD178" s="759"/>
      <c r="CE178" s="485">
        <f t="shared" si="366"/>
        <v>0</v>
      </c>
      <c r="CF178" s="484">
        <f t="shared" si="367"/>
        <v>0</v>
      </c>
      <c r="CG178" s="485"/>
      <c r="CH178" s="485">
        <f t="shared" si="368"/>
        <v>0</v>
      </c>
      <c r="CI178" s="485"/>
      <c r="CJ178" s="485">
        <f t="shared" si="369"/>
        <v>0</v>
      </c>
      <c r="CK178" s="484">
        <f t="shared" si="370"/>
        <v>0</v>
      </c>
      <c r="CL178" s="484">
        <f t="shared" si="371"/>
        <v>0</v>
      </c>
      <c r="CM178" s="1006"/>
      <c r="CN178" s="485">
        <f t="shared" si="372"/>
        <v>30</v>
      </c>
      <c r="CO178" s="484">
        <f t="shared" si="373"/>
        <v>3000</v>
      </c>
      <c r="CP178" s="485">
        <v>30</v>
      </c>
      <c r="CQ178" s="484">
        <f t="shared" si="374"/>
        <v>3000</v>
      </c>
      <c r="CR178" s="485">
        <v>30</v>
      </c>
      <c r="CS178" s="484">
        <f t="shared" si="375"/>
        <v>3000</v>
      </c>
      <c r="CT178" s="484">
        <f t="shared" si="376"/>
        <v>0</v>
      </c>
      <c r="CU178" s="484">
        <f t="shared" si="377"/>
        <v>0</v>
      </c>
      <c r="CV178" s="1006"/>
      <c r="CW178" s="1007">
        <f t="shared" si="361"/>
        <v>3000</v>
      </c>
      <c r="CX178" s="486">
        <f t="shared" si="362"/>
        <v>3000</v>
      </c>
      <c r="CY178" s="486">
        <f t="shared" si="363"/>
        <v>3000</v>
      </c>
      <c r="CZ178" s="1007">
        <f t="shared" si="364"/>
        <v>0</v>
      </c>
      <c r="DA178" s="1007">
        <f t="shared" si="365"/>
        <v>0</v>
      </c>
    </row>
    <row r="179" spans="1:108" ht="51" hidden="1" x14ac:dyDescent="0.25">
      <c r="A179" s="472">
        <v>2026</v>
      </c>
      <c r="B179" s="472">
        <v>479</v>
      </c>
      <c r="C179" s="472" t="s">
        <v>64</v>
      </c>
      <c r="D179" s="472" t="s">
        <v>65</v>
      </c>
      <c r="E179" s="472">
        <v>125</v>
      </c>
      <c r="F179" s="472">
        <v>3000654</v>
      </c>
      <c r="G179" s="472">
        <v>5005023</v>
      </c>
      <c r="H179" s="472">
        <v>3</v>
      </c>
      <c r="I179" s="472">
        <v>12</v>
      </c>
      <c r="J179" s="472">
        <v>24</v>
      </c>
      <c r="K179" s="472">
        <v>135560</v>
      </c>
      <c r="L179" s="472" t="s">
        <v>66</v>
      </c>
      <c r="M179" s="124" t="s">
        <v>67</v>
      </c>
      <c r="N179" s="472">
        <v>95</v>
      </c>
      <c r="O179" s="474"/>
      <c r="P179" s="474" t="s">
        <v>4</v>
      </c>
      <c r="Q179" s="472" t="s">
        <v>68</v>
      </c>
      <c r="R179" s="475" t="s">
        <v>69</v>
      </c>
      <c r="S179" s="475" t="s">
        <v>137</v>
      </c>
      <c r="T179" s="475"/>
      <c r="U179" s="124" t="s">
        <v>192</v>
      </c>
      <c r="V179" s="475" t="s">
        <v>3</v>
      </c>
      <c r="W179" s="121">
        <v>1</v>
      </c>
      <c r="X179" s="476">
        <v>3000</v>
      </c>
      <c r="Y179" s="475"/>
      <c r="Z179" s="475"/>
      <c r="AA179" s="476"/>
      <c r="AB179" s="475"/>
      <c r="AC179" s="475"/>
      <c r="AD179" s="563">
        <v>30</v>
      </c>
      <c r="AE179" s="475"/>
      <c r="AF179" s="475"/>
      <c r="AG179" s="476"/>
      <c r="AH179" s="475"/>
      <c r="AI179" s="475"/>
      <c r="AJ179" s="476"/>
      <c r="AK179" s="476">
        <v>3000</v>
      </c>
      <c r="AL179" s="475"/>
      <c r="AM179" s="476"/>
      <c r="AN179" s="475"/>
      <c r="AO179" s="475"/>
      <c r="AP179" s="567"/>
      <c r="AQ179" s="567">
        <v>3000</v>
      </c>
      <c r="AR179" s="472" t="s">
        <v>73</v>
      </c>
      <c r="AS179" s="472" t="s">
        <v>73</v>
      </c>
      <c r="AT179" s="472" t="s">
        <v>73</v>
      </c>
      <c r="AU179" s="472" t="s">
        <v>73</v>
      </c>
      <c r="AV179" s="472" t="s">
        <v>73</v>
      </c>
      <c r="AW179" s="472" t="s">
        <v>73</v>
      </c>
      <c r="AX179" s="476">
        <v>3000</v>
      </c>
      <c r="AY179" s="479" t="s">
        <v>7</v>
      </c>
      <c r="AZ179" s="474" t="s">
        <v>74</v>
      </c>
      <c r="BA179" s="474"/>
      <c r="BB179" s="480"/>
      <c r="BC179" s="480"/>
      <c r="BK179" s="481" t="s">
        <v>790</v>
      </c>
      <c r="BL179" s="481" t="s">
        <v>791</v>
      </c>
      <c r="BM179" s="487" t="s">
        <v>1251</v>
      </c>
      <c r="BN179" s="565" t="s">
        <v>1252</v>
      </c>
      <c r="BO179" s="284" t="s">
        <v>1253</v>
      </c>
      <c r="BP179" s="285">
        <v>46167</v>
      </c>
      <c r="BQ179" s="482"/>
      <c r="BR179" s="965">
        <v>4962</v>
      </c>
      <c r="BS179" s="482"/>
      <c r="BT179" s="482"/>
      <c r="BU179" s="482" t="s">
        <v>1254</v>
      </c>
      <c r="BV179" s="414" t="s">
        <v>1360</v>
      </c>
      <c r="BW179" s="566" t="s">
        <v>1361</v>
      </c>
      <c r="BX179" s="566" t="s">
        <v>1362</v>
      </c>
      <c r="BY179" s="284">
        <v>42761228</v>
      </c>
      <c r="BZ179" s="284">
        <v>10427612282</v>
      </c>
      <c r="CA179" s="288">
        <v>3000</v>
      </c>
      <c r="CB179" s="285">
        <v>46174</v>
      </c>
      <c r="CC179" s="285">
        <v>46203</v>
      </c>
      <c r="CD179" s="759"/>
      <c r="CE179" s="485">
        <f t="shared" si="366"/>
        <v>0</v>
      </c>
      <c r="CF179" s="484">
        <f t="shared" si="367"/>
        <v>0</v>
      </c>
      <c r="CG179" s="485"/>
      <c r="CH179" s="485">
        <f t="shared" si="368"/>
        <v>0</v>
      </c>
      <c r="CI179" s="485"/>
      <c r="CJ179" s="485">
        <f t="shared" si="369"/>
        <v>0</v>
      </c>
      <c r="CK179" s="484">
        <f t="shared" si="370"/>
        <v>0</v>
      </c>
      <c r="CL179" s="484">
        <f t="shared" si="371"/>
        <v>0</v>
      </c>
      <c r="CM179" s="1006"/>
      <c r="CN179" s="485">
        <f t="shared" si="372"/>
        <v>30</v>
      </c>
      <c r="CO179" s="484">
        <f t="shared" si="373"/>
        <v>3000</v>
      </c>
      <c r="CP179" s="485">
        <v>30</v>
      </c>
      <c r="CQ179" s="484">
        <f t="shared" si="374"/>
        <v>3000</v>
      </c>
      <c r="CR179" s="485">
        <v>30</v>
      </c>
      <c r="CS179" s="484">
        <f t="shared" si="375"/>
        <v>3000</v>
      </c>
      <c r="CT179" s="484">
        <f t="shared" si="376"/>
        <v>0</v>
      </c>
      <c r="CU179" s="484">
        <f t="shared" si="377"/>
        <v>0</v>
      </c>
      <c r="CV179" s="1006"/>
      <c r="CW179" s="1007">
        <f t="shared" si="361"/>
        <v>3000</v>
      </c>
      <c r="CX179" s="486">
        <f t="shared" si="362"/>
        <v>3000</v>
      </c>
      <c r="CY179" s="486">
        <f t="shared" si="363"/>
        <v>3000</v>
      </c>
      <c r="CZ179" s="1007">
        <f t="shared" si="364"/>
        <v>0</v>
      </c>
      <c r="DA179" s="1007">
        <f t="shared" si="365"/>
        <v>0</v>
      </c>
    </row>
    <row r="180" spans="1:108" ht="51" hidden="1" x14ac:dyDescent="0.25">
      <c r="A180" s="472">
        <v>2026</v>
      </c>
      <c r="B180" s="472">
        <v>479</v>
      </c>
      <c r="C180" s="472" t="s">
        <v>64</v>
      </c>
      <c r="D180" s="472" t="s">
        <v>65</v>
      </c>
      <c r="E180" s="472">
        <v>125</v>
      </c>
      <c r="F180" s="472">
        <v>3000654</v>
      </c>
      <c r="G180" s="472">
        <v>5005023</v>
      </c>
      <c r="H180" s="472">
        <v>3</v>
      </c>
      <c r="I180" s="472">
        <v>12</v>
      </c>
      <c r="J180" s="472">
        <v>24</v>
      </c>
      <c r="K180" s="472">
        <v>135560</v>
      </c>
      <c r="L180" s="472" t="s">
        <v>66</v>
      </c>
      <c r="M180" s="124" t="s">
        <v>67</v>
      </c>
      <c r="N180" s="472">
        <v>95</v>
      </c>
      <c r="O180" s="474"/>
      <c r="P180" s="474" t="s">
        <v>4</v>
      </c>
      <c r="Q180" s="472" t="s">
        <v>68</v>
      </c>
      <c r="R180" s="475" t="s">
        <v>69</v>
      </c>
      <c r="S180" s="475" t="s">
        <v>137</v>
      </c>
      <c r="T180" s="475"/>
      <c r="U180" s="124" t="s">
        <v>192</v>
      </c>
      <c r="V180" s="475" t="s">
        <v>3</v>
      </c>
      <c r="W180" s="121">
        <v>1</v>
      </c>
      <c r="X180" s="476">
        <v>3000</v>
      </c>
      <c r="Y180" s="475"/>
      <c r="Z180" s="475"/>
      <c r="AA180" s="476"/>
      <c r="AB180" s="475"/>
      <c r="AC180" s="475"/>
      <c r="AD180" s="563">
        <v>30</v>
      </c>
      <c r="AE180" s="475"/>
      <c r="AF180" s="475"/>
      <c r="AG180" s="476"/>
      <c r="AH180" s="475"/>
      <c r="AI180" s="475"/>
      <c r="AJ180" s="476"/>
      <c r="AK180" s="476">
        <v>3000</v>
      </c>
      <c r="AL180" s="475"/>
      <c r="AM180" s="476"/>
      <c r="AN180" s="475"/>
      <c r="AO180" s="475"/>
      <c r="AP180" s="567"/>
      <c r="AQ180" s="567">
        <v>3000</v>
      </c>
      <c r="AR180" s="472" t="s">
        <v>73</v>
      </c>
      <c r="AS180" s="472" t="s">
        <v>73</v>
      </c>
      <c r="AT180" s="472" t="s">
        <v>73</v>
      </c>
      <c r="AU180" s="472" t="s">
        <v>73</v>
      </c>
      <c r="AV180" s="472" t="s">
        <v>73</v>
      </c>
      <c r="AW180" s="472" t="s">
        <v>73</v>
      </c>
      <c r="AX180" s="476">
        <v>3000</v>
      </c>
      <c r="AY180" s="479" t="s">
        <v>7</v>
      </c>
      <c r="AZ180" s="474" t="s">
        <v>74</v>
      </c>
      <c r="BA180" s="474"/>
      <c r="BB180" s="480"/>
      <c r="BC180" s="480"/>
      <c r="BK180" s="481" t="s">
        <v>790</v>
      </c>
      <c r="BL180" s="481" t="s">
        <v>791</v>
      </c>
      <c r="BM180" s="487" t="s">
        <v>1251</v>
      </c>
      <c r="BN180" s="565" t="s">
        <v>1252</v>
      </c>
      <c r="BO180" s="284" t="s">
        <v>1253</v>
      </c>
      <c r="BP180" s="285">
        <v>46167</v>
      </c>
      <c r="BQ180" s="482"/>
      <c r="BR180" s="965">
        <v>4963</v>
      </c>
      <c r="BS180" s="482"/>
      <c r="BT180" s="482"/>
      <c r="BU180" s="482" t="s">
        <v>1254</v>
      </c>
      <c r="BV180" s="414" t="s">
        <v>880</v>
      </c>
      <c r="BW180" s="566" t="s">
        <v>910</v>
      </c>
      <c r="BX180" s="566" t="s">
        <v>1363</v>
      </c>
      <c r="BY180" s="284">
        <v>76626538</v>
      </c>
      <c r="BZ180" s="284">
        <v>10766265389</v>
      </c>
      <c r="CA180" s="288">
        <v>3000</v>
      </c>
      <c r="CB180" s="285">
        <v>46174</v>
      </c>
      <c r="CC180" s="285">
        <v>46203</v>
      </c>
      <c r="CD180" s="759"/>
      <c r="CE180" s="485">
        <f t="shared" si="366"/>
        <v>0</v>
      </c>
      <c r="CF180" s="484">
        <f t="shared" si="367"/>
        <v>0</v>
      </c>
      <c r="CG180" s="485"/>
      <c r="CH180" s="485">
        <f t="shared" si="368"/>
        <v>0</v>
      </c>
      <c r="CI180" s="485"/>
      <c r="CJ180" s="485">
        <f t="shared" si="369"/>
        <v>0</v>
      </c>
      <c r="CK180" s="484">
        <f t="shared" si="370"/>
        <v>0</v>
      </c>
      <c r="CL180" s="484">
        <f t="shared" si="371"/>
        <v>0</v>
      </c>
      <c r="CM180" s="1006"/>
      <c r="CN180" s="485">
        <f t="shared" si="372"/>
        <v>30</v>
      </c>
      <c r="CO180" s="484">
        <f t="shared" si="373"/>
        <v>3000</v>
      </c>
      <c r="CP180" s="485">
        <v>30</v>
      </c>
      <c r="CQ180" s="484">
        <f t="shared" si="374"/>
        <v>3000</v>
      </c>
      <c r="CR180" s="485">
        <v>30</v>
      </c>
      <c r="CS180" s="484">
        <f t="shared" si="375"/>
        <v>3000</v>
      </c>
      <c r="CT180" s="484">
        <f t="shared" si="376"/>
        <v>0</v>
      </c>
      <c r="CU180" s="484">
        <f t="shared" si="377"/>
        <v>0</v>
      </c>
      <c r="CV180" s="1006"/>
      <c r="CW180" s="1007">
        <f t="shared" si="361"/>
        <v>3000</v>
      </c>
      <c r="CX180" s="486">
        <f t="shared" si="362"/>
        <v>3000</v>
      </c>
      <c r="CY180" s="486">
        <f t="shared" si="363"/>
        <v>3000</v>
      </c>
      <c r="CZ180" s="1007">
        <f t="shared" si="364"/>
        <v>0</v>
      </c>
      <c r="DA180" s="1007">
        <f t="shared" si="365"/>
        <v>0</v>
      </c>
    </row>
    <row r="181" spans="1:108" ht="51" hidden="1" x14ac:dyDescent="0.25">
      <c r="A181" s="472">
        <v>2026</v>
      </c>
      <c r="B181" s="472">
        <v>479</v>
      </c>
      <c r="C181" s="472" t="s">
        <v>64</v>
      </c>
      <c r="D181" s="472" t="s">
        <v>65</v>
      </c>
      <c r="E181" s="472">
        <v>125</v>
      </c>
      <c r="F181" s="472">
        <v>3000654</v>
      </c>
      <c r="G181" s="472">
        <v>5005023</v>
      </c>
      <c r="H181" s="472">
        <v>3</v>
      </c>
      <c r="I181" s="472">
        <v>12</v>
      </c>
      <c r="J181" s="472">
        <v>24</v>
      </c>
      <c r="K181" s="472">
        <v>135560</v>
      </c>
      <c r="L181" s="472" t="s">
        <v>66</v>
      </c>
      <c r="M181" s="124" t="s">
        <v>67</v>
      </c>
      <c r="N181" s="472">
        <v>95</v>
      </c>
      <c r="O181" s="474"/>
      <c r="P181" s="474" t="s">
        <v>4</v>
      </c>
      <c r="Q181" s="472" t="s">
        <v>68</v>
      </c>
      <c r="R181" s="475" t="s">
        <v>69</v>
      </c>
      <c r="S181" s="475" t="s">
        <v>137</v>
      </c>
      <c r="T181" s="475"/>
      <c r="U181" s="124" t="s">
        <v>192</v>
      </c>
      <c r="V181" s="475" t="s">
        <v>3</v>
      </c>
      <c r="W181" s="121">
        <v>1</v>
      </c>
      <c r="X181" s="476">
        <v>3000</v>
      </c>
      <c r="Y181" s="475"/>
      <c r="Z181" s="475"/>
      <c r="AA181" s="476"/>
      <c r="AB181" s="475"/>
      <c r="AC181" s="475"/>
      <c r="AD181" s="563">
        <v>30</v>
      </c>
      <c r="AE181" s="475"/>
      <c r="AF181" s="475"/>
      <c r="AG181" s="476"/>
      <c r="AH181" s="475"/>
      <c r="AI181" s="475"/>
      <c r="AJ181" s="476"/>
      <c r="AK181" s="476">
        <v>3000</v>
      </c>
      <c r="AL181" s="475"/>
      <c r="AM181" s="476"/>
      <c r="AN181" s="475"/>
      <c r="AO181" s="475"/>
      <c r="AP181" s="567"/>
      <c r="AQ181" s="567">
        <v>3000</v>
      </c>
      <c r="AR181" s="472" t="s">
        <v>73</v>
      </c>
      <c r="AS181" s="472" t="s">
        <v>73</v>
      </c>
      <c r="AT181" s="472" t="s">
        <v>73</v>
      </c>
      <c r="AU181" s="472" t="s">
        <v>73</v>
      </c>
      <c r="AV181" s="472" t="s">
        <v>73</v>
      </c>
      <c r="AW181" s="472" t="s">
        <v>73</v>
      </c>
      <c r="AX181" s="476">
        <v>3000</v>
      </c>
      <c r="AY181" s="479" t="s">
        <v>7</v>
      </c>
      <c r="AZ181" s="474" t="s">
        <v>74</v>
      </c>
      <c r="BA181" s="474"/>
      <c r="BB181" s="480"/>
      <c r="BC181" s="480"/>
      <c r="BK181" s="481" t="s">
        <v>790</v>
      </c>
      <c r="BL181" s="481" t="s">
        <v>791</v>
      </c>
      <c r="BM181" s="487" t="s">
        <v>1251</v>
      </c>
      <c r="BN181" s="565" t="s">
        <v>1252</v>
      </c>
      <c r="BO181" s="284" t="s">
        <v>1253</v>
      </c>
      <c r="BP181" s="285">
        <v>46167</v>
      </c>
      <c r="BQ181" s="482"/>
      <c r="BR181" s="965">
        <v>4964</v>
      </c>
      <c r="BS181" s="482"/>
      <c r="BT181" s="482"/>
      <c r="BU181" s="482" t="s">
        <v>1254</v>
      </c>
      <c r="BV181" s="414" t="s">
        <v>1364</v>
      </c>
      <c r="BW181" s="566" t="s">
        <v>1234</v>
      </c>
      <c r="BX181" s="566" t="s">
        <v>1365</v>
      </c>
      <c r="BY181" s="284">
        <v>75481106</v>
      </c>
      <c r="BZ181" s="284">
        <v>10754811060</v>
      </c>
      <c r="CA181" s="288">
        <v>3000</v>
      </c>
      <c r="CB181" s="285">
        <v>46174</v>
      </c>
      <c r="CC181" s="285">
        <v>46203</v>
      </c>
      <c r="CD181" s="759"/>
      <c r="CE181" s="485">
        <f t="shared" si="366"/>
        <v>0</v>
      </c>
      <c r="CF181" s="484">
        <f t="shared" si="367"/>
        <v>0</v>
      </c>
      <c r="CG181" s="485"/>
      <c r="CH181" s="485">
        <f t="shared" si="368"/>
        <v>0</v>
      </c>
      <c r="CI181" s="485"/>
      <c r="CJ181" s="485">
        <f t="shared" si="369"/>
        <v>0</v>
      </c>
      <c r="CK181" s="484">
        <f t="shared" si="370"/>
        <v>0</v>
      </c>
      <c r="CL181" s="484">
        <f t="shared" si="371"/>
        <v>0</v>
      </c>
      <c r="CM181" s="1006"/>
      <c r="CN181" s="485">
        <f t="shared" si="372"/>
        <v>30</v>
      </c>
      <c r="CO181" s="484">
        <f t="shared" si="373"/>
        <v>3000</v>
      </c>
      <c r="CP181" s="485">
        <v>30</v>
      </c>
      <c r="CQ181" s="484">
        <f t="shared" si="374"/>
        <v>3000</v>
      </c>
      <c r="CR181" s="485">
        <v>30</v>
      </c>
      <c r="CS181" s="484">
        <f t="shared" si="375"/>
        <v>3000</v>
      </c>
      <c r="CT181" s="484">
        <f t="shared" si="376"/>
        <v>0</v>
      </c>
      <c r="CU181" s="484">
        <f t="shared" si="377"/>
        <v>0</v>
      </c>
      <c r="CV181" s="1006"/>
      <c r="CW181" s="1007">
        <f t="shared" si="361"/>
        <v>3000</v>
      </c>
      <c r="CX181" s="486">
        <f t="shared" si="362"/>
        <v>3000</v>
      </c>
      <c r="CY181" s="486">
        <f t="shared" si="363"/>
        <v>3000</v>
      </c>
      <c r="CZ181" s="1007">
        <f t="shared" si="364"/>
        <v>0</v>
      </c>
      <c r="DA181" s="1007">
        <f t="shared" si="365"/>
        <v>0</v>
      </c>
    </row>
    <row r="182" spans="1:108" ht="51" hidden="1" x14ac:dyDescent="0.25">
      <c r="A182" s="472">
        <v>2026</v>
      </c>
      <c r="B182" s="472">
        <v>479</v>
      </c>
      <c r="C182" s="472" t="s">
        <v>64</v>
      </c>
      <c r="D182" s="472" t="s">
        <v>65</v>
      </c>
      <c r="E182" s="472">
        <v>125</v>
      </c>
      <c r="F182" s="472">
        <v>3000654</v>
      </c>
      <c r="G182" s="472">
        <v>5005023</v>
      </c>
      <c r="H182" s="472">
        <v>3</v>
      </c>
      <c r="I182" s="472">
        <v>12</v>
      </c>
      <c r="J182" s="472">
        <v>24</v>
      </c>
      <c r="K182" s="472">
        <v>135560</v>
      </c>
      <c r="L182" s="472" t="s">
        <v>66</v>
      </c>
      <c r="M182" s="124" t="s">
        <v>67</v>
      </c>
      <c r="N182" s="472">
        <v>95</v>
      </c>
      <c r="O182" s="474"/>
      <c r="P182" s="474" t="s">
        <v>4</v>
      </c>
      <c r="Q182" s="472" t="s">
        <v>68</v>
      </c>
      <c r="R182" s="475" t="s">
        <v>69</v>
      </c>
      <c r="S182" s="475" t="s">
        <v>137</v>
      </c>
      <c r="T182" s="475"/>
      <c r="U182" s="124" t="s">
        <v>192</v>
      </c>
      <c r="V182" s="475" t="s">
        <v>3</v>
      </c>
      <c r="W182" s="121">
        <v>1</v>
      </c>
      <c r="X182" s="476">
        <v>3000</v>
      </c>
      <c r="Y182" s="475"/>
      <c r="Z182" s="475"/>
      <c r="AA182" s="476"/>
      <c r="AB182" s="475"/>
      <c r="AC182" s="475"/>
      <c r="AD182" s="563">
        <v>30</v>
      </c>
      <c r="AE182" s="475"/>
      <c r="AF182" s="475"/>
      <c r="AG182" s="476"/>
      <c r="AH182" s="475"/>
      <c r="AI182" s="475"/>
      <c r="AJ182" s="476"/>
      <c r="AK182" s="476">
        <v>3000</v>
      </c>
      <c r="AL182" s="475"/>
      <c r="AM182" s="476"/>
      <c r="AN182" s="475"/>
      <c r="AO182" s="475"/>
      <c r="AP182" s="567"/>
      <c r="AQ182" s="567">
        <v>3000</v>
      </c>
      <c r="AR182" s="472" t="s">
        <v>73</v>
      </c>
      <c r="AS182" s="472" t="s">
        <v>73</v>
      </c>
      <c r="AT182" s="472" t="s">
        <v>73</v>
      </c>
      <c r="AU182" s="472" t="s">
        <v>73</v>
      </c>
      <c r="AV182" s="472" t="s">
        <v>73</v>
      </c>
      <c r="AW182" s="472" t="s">
        <v>73</v>
      </c>
      <c r="AX182" s="476">
        <v>3000</v>
      </c>
      <c r="AY182" s="479" t="s">
        <v>7</v>
      </c>
      <c r="AZ182" s="474" t="s">
        <v>74</v>
      </c>
      <c r="BA182" s="474"/>
      <c r="BB182" s="480"/>
      <c r="BC182" s="480"/>
      <c r="BK182" s="481" t="s">
        <v>790</v>
      </c>
      <c r="BL182" s="481" t="s">
        <v>791</v>
      </c>
      <c r="BM182" s="487" t="s">
        <v>1251</v>
      </c>
      <c r="BN182" s="565" t="s">
        <v>1252</v>
      </c>
      <c r="BO182" s="284" t="s">
        <v>1253</v>
      </c>
      <c r="BP182" s="285">
        <v>46167</v>
      </c>
      <c r="BQ182" s="482"/>
      <c r="BR182" s="965">
        <v>4965</v>
      </c>
      <c r="BS182" s="482"/>
      <c r="BT182" s="482"/>
      <c r="BU182" s="482" t="s">
        <v>1254</v>
      </c>
      <c r="BV182" s="414" t="s">
        <v>1366</v>
      </c>
      <c r="BW182" s="566" t="s">
        <v>1367</v>
      </c>
      <c r="BX182" s="566" t="s">
        <v>1368</v>
      </c>
      <c r="BY182" s="284">
        <v>49002496</v>
      </c>
      <c r="BZ182" s="284">
        <v>15603191703</v>
      </c>
      <c r="CA182" s="288">
        <v>3000</v>
      </c>
      <c r="CB182" s="285">
        <v>46174</v>
      </c>
      <c r="CC182" s="285">
        <v>46203</v>
      </c>
      <c r="CD182" s="759"/>
      <c r="CE182" s="485">
        <f t="shared" si="366"/>
        <v>0</v>
      </c>
      <c r="CF182" s="484">
        <f t="shared" si="367"/>
        <v>0</v>
      </c>
      <c r="CG182" s="485"/>
      <c r="CH182" s="485">
        <f t="shared" si="368"/>
        <v>0</v>
      </c>
      <c r="CI182" s="485"/>
      <c r="CJ182" s="485">
        <f t="shared" si="369"/>
        <v>0</v>
      </c>
      <c r="CK182" s="484">
        <f t="shared" si="370"/>
        <v>0</v>
      </c>
      <c r="CL182" s="484">
        <f t="shared" si="371"/>
        <v>0</v>
      </c>
      <c r="CM182" s="1006"/>
      <c r="CN182" s="485">
        <f t="shared" si="372"/>
        <v>30</v>
      </c>
      <c r="CO182" s="484">
        <f t="shared" si="373"/>
        <v>3000</v>
      </c>
      <c r="CP182" s="485">
        <v>30</v>
      </c>
      <c r="CQ182" s="484">
        <f t="shared" si="374"/>
        <v>3000</v>
      </c>
      <c r="CR182" s="485">
        <v>30</v>
      </c>
      <c r="CS182" s="484">
        <f t="shared" si="375"/>
        <v>3000</v>
      </c>
      <c r="CT182" s="484">
        <f t="shared" si="376"/>
        <v>0</v>
      </c>
      <c r="CU182" s="484">
        <f t="shared" si="377"/>
        <v>0</v>
      </c>
      <c r="CV182" s="1006"/>
      <c r="CW182" s="1007">
        <f t="shared" si="361"/>
        <v>3000</v>
      </c>
      <c r="CX182" s="486">
        <f t="shared" si="362"/>
        <v>3000</v>
      </c>
      <c r="CY182" s="486">
        <f t="shared" si="363"/>
        <v>3000</v>
      </c>
      <c r="CZ182" s="1007">
        <f t="shared" si="364"/>
        <v>0</v>
      </c>
      <c r="DA182" s="1007">
        <f t="shared" si="365"/>
        <v>0</v>
      </c>
    </row>
    <row r="183" spans="1:108" ht="51" hidden="1" x14ac:dyDescent="0.25">
      <c r="A183" s="472">
        <v>2026</v>
      </c>
      <c r="B183" s="472">
        <v>479</v>
      </c>
      <c r="C183" s="472" t="s">
        <v>64</v>
      </c>
      <c r="D183" s="472" t="s">
        <v>65</v>
      </c>
      <c r="E183" s="472">
        <v>125</v>
      </c>
      <c r="F183" s="472">
        <v>3000654</v>
      </c>
      <c r="G183" s="472">
        <v>5005023</v>
      </c>
      <c r="H183" s="472">
        <v>3</v>
      </c>
      <c r="I183" s="472">
        <v>12</v>
      </c>
      <c r="J183" s="472">
        <v>24</v>
      </c>
      <c r="K183" s="472">
        <v>135560</v>
      </c>
      <c r="L183" s="472" t="s">
        <v>66</v>
      </c>
      <c r="M183" s="124" t="s">
        <v>67</v>
      </c>
      <c r="N183" s="472">
        <v>95</v>
      </c>
      <c r="O183" s="474"/>
      <c r="P183" s="474" t="s">
        <v>4</v>
      </c>
      <c r="Q183" s="472" t="s">
        <v>68</v>
      </c>
      <c r="R183" s="475" t="s">
        <v>69</v>
      </c>
      <c r="S183" s="475" t="s">
        <v>137</v>
      </c>
      <c r="T183" s="475"/>
      <c r="U183" s="124" t="s">
        <v>192</v>
      </c>
      <c r="V183" s="475" t="s">
        <v>3</v>
      </c>
      <c r="W183" s="121">
        <v>1</v>
      </c>
      <c r="X183" s="476">
        <v>3000</v>
      </c>
      <c r="Y183" s="475"/>
      <c r="Z183" s="475"/>
      <c r="AA183" s="476"/>
      <c r="AB183" s="475"/>
      <c r="AC183" s="475"/>
      <c r="AD183" s="563">
        <v>30</v>
      </c>
      <c r="AE183" s="475"/>
      <c r="AF183" s="475"/>
      <c r="AG183" s="476"/>
      <c r="AH183" s="475"/>
      <c r="AI183" s="475"/>
      <c r="AJ183" s="476"/>
      <c r="AK183" s="476">
        <v>3000</v>
      </c>
      <c r="AL183" s="475"/>
      <c r="AM183" s="476"/>
      <c r="AN183" s="475"/>
      <c r="AO183" s="475"/>
      <c r="AP183" s="567"/>
      <c r="AQ183" s="567">
        <v>3000</v>
      </c>
      <c r="AR183" s="472" t="s">
        <v>73</v>
      </c>
      <c r="AS183" s="472" t="s">
        <v>73</v>
      </c>
      <c r="AT183" s="472" t="s">
        <v>73</v>
      </c>
      <c r="AU183" s="472" t="s">
        <v>73</v>
      </c>
      <c r="AV183" s="472" t="s">
        <v>73</v>
      </c>
      <c r="AW183" s="472" t="s">
        <v>73</v>
      </c>
      <c r="AX183" s="476">
        <v>3000</v>
      </c>
      <c r="AY183" s="479" t="s">
        <v>7</v>
      </c>
      <c r="AZ183" s="474" t="s">
        <v>74</v>
      </c>
      <c r="BA183" s="474"/>
      <c r="BB183" s="480"/>
      <c r="BC183" s="480"/>
      <c r="BK183" s="481" t="s">
        <v>790</v>
      </c>
      <c r="BL183" s="481" t="s">
        <v>791</v>
      </c>
      <c r="BM183" s="487" t="s">
        <v>1251</v>
      </c>
      <c r="BN183" s="565" t="s">
        <v>1252</v>
      </c>
      <c r="BO183" s="284" t="s">
        <v>1253</v>
      </c>
      <c r="BP183" s="285">
        <v>46167</v>
      </c>
      <c r="BQ183" s="482"/>
      <c r="BR183" s="965">
        <v>4966</v>
      </c>
      <c r="BS183" s="482"/>
      <c r="BT183" s="482"/>
      <c r="BU183" s="482" t="s">
        <v>1254</v>
      </c>
      <c r="BV183" s="414" t="s">
        <v>1071</v>
      </c>
      <c r="BW183" s="566" t="s">
        <v>1050</v>
      </c>
      <c r="BX183" s="566" t="s">
        <v>1369</v>
      </c>
      <c r="BY183" s="284">
        <v>47933807</v>
      </c>
      <c r="BZ183" s="284">
        <v>10479338073</v>
      </c>
      <c r="CA183" s="288">
        <v>3000</v>
      </c>
      <c r="CB183" s="285">
        <v>46174</v>
      </c>
      <c r="CC183" s="285">
        <v>46203</v>
      </c>
      <c r="CD183" s="759"/>
      <c r="CE183" s="485">
        <f t="shared" si="366"/>
        <v>0</v>
      </c>
      <c r="CF183" s="484">
        <f t="shared" si="367"/>
        <v>0</v>
      </c>
      <c r="CG183" s="485"/>
      <c r="CH183" s="485">
        <f t="shared" si="368"/>
        <v>0</v>
      </c>
      <c r="CI183" s="485"/>
      <c r="CJ183" s="485">
        <f t="shared" si="369"/>
        <v>0</v>
      </c>
      <c r="CK183" s="484">
        <f t="shared" si="370"/>
        <v>0</v>
      </c>
      <c r="CL183" s="484">
        <f t="shared" si="371"/>
        <v>0</v>
      </c>
      <c r="CM183" s="1006"/>
      <c r="CN183" s="485">
        <f t="shared" si="372"/>
        <v>30</v>
      </c>
      <c r="CO183" s="484">
        <f t="shared" si="373"/>
        <v>3000</v>
      </c>
      <c r="CP183" s="485">
        <v>30</v>
      </c>
      <c r="CQ183" s="484">
        <f t="shared" si="374"/>
        <v>3000</v>
      </c>
      <c r="CR183" s="485">
        <v>30</v>
      </c>
      <c r="CS183" s="484">
        <f t="shared" si="375"/>
        <v>3000</v>
      </c>
      <c r="CT183" s="484">
        <f t="shared" si="376"/>
        <v>0</v>
      </c>
      <c r="CU183" s="484">
        <f t="shared" si="377"/>
        <v>0</v>
      </c>
      <c r="CV183" s="1006"/>
      <c r="CW183" s="1007">
        <f t="shared" si="361"/>
        <v>3000</v>
      </c>
      <c r="CX183" s="486">
        <f t="shared" si="362"/>
        <v>3000</v>
      </c>
      <c r="CY183" s="486">
        <f t="shared" si="363"/>
        <v>3000</v>
      </c>
      <c r="CZ183" s="1007">
        <f t="shared" si="364"/>
        <v>0</v>
      </c>
      <c r="DA183" s="1007">
        <f t="shared" si="365"/>
        <v>0</v>
      </c>
    </row>
    <row r="184" spans="1:108" ht="51" hidden="1" x14ac:dyDescent="0.25">
      <c r="A184" s="472">
        <v>2026</v>
      </c>
      <c r="B184" s="472">
        <v>479</v>
      </c>
      <c r="C184" s="472" t="s">
        <v>64</v>
      </c>
      <c r="D184" s="472" t="s">
        <v>65</v>
      </c>
      <c r="E184" s="472">
        <v>125</v>
      </c>
      <c r="F184" s="472">
        <v>3000654</v>
      </c>
      <c r="G184" s="472">
        <v>5005023</v>
      </c>
      <c r="H184" s="472">
        <v>3</v>
      </c>
      <c r="I184" s="472">
        <v>12</v>
      </c>
      <c r="J184" s="472">
        <v>24</v>
      </c>
      <c r="K184" s="472">
        <v>135560</v>
      </c>
      <c r="L184" s="472" t="s">
        <v>66</v>
      </c>
      <c r="M184" s="124" t="s">
        <v>67</v>
      </c>
      <c r="N184" s="472">
        <v>95</v>
      </c>
      <c r="O184" s="474"/>
      <c r="P184" s="474" t="s">
        <v>4</v>
      </c>
      <c r="Q184" s="472" t="s">
        <v>68</v>
      </c>
      <c r="R184" s="475" t="s">
        <v>69</v>
      </c>
      <c r="S184" s="475" t="s">
        <v>137</v>
      </c>
      <c r="T184" s="475"/>
      <c r="U184" s="124" t="s">
        <v>192</v>
      </c>
      <c r="V184" s="475" t="s">
        <v>3</v>
      </c>
      <c r="W184" s="121">
        <v>1</v>
      </c>
      <c r="X184" s="476">
        <v>3000</v>
      </c>
      <c r="Y184" s="475"/>
      <c r="Z184" s="475"/>
      <c r="AA184" s="476"/>
      <c r="AB184" s="475"/>
      <c r="AC184" s="475"/>
      <c r="AD184" s="563">
        <v>30</v>
      </c>
      <c r="AE184" s="475"/>
      <c r="AF184" s="475"/>
      <c r="AG184" s="476"/>
      <c r="AH184" s="475"/>
      <c r="AI184" s="475"/>
      <c r="AJ184" s="476"/>
      <c r="AK184" s="476">
        <v>3000</v>
      </c>
      <c r="AL184" s="475"/>
      <c r="AM184" s="476"/>
      <c r="AN184" s="475"/>
      <c r="AO184" s="475"/>
      <c r="AP184" s="567"/>
      <c r="AQ184" s="567">
        <v>3000</v>
      </c>
      <c r="AR184" s="472" t="s">
        <v>73</v>
      </c>
      <c r="AS184" s="472" t="s">
        <v>73</v>
      </c>
      <c r="AT184" s="472" t="s">
        <v>73</v>
      </c>
      <c r="AU184" s="472" t="s">
        <v>73</v>
      </c>
      <c r="AV184" s="472" t="s">
        <v>73</v>
      </c>
      <c r="AW184" s="472" t="s">
        <v>73</v>
      </c>
      <c r="AX184" s="476">
        <v>3000</v>
      </c>
      <c r="AY184" s="479" t="s">
        <v>7</v>
      </c>
      <c r="AZ184" s="474" t="s">
        <v>74</v>
      </c>
      <c r="BA184" s="474"/>
      <c r="BB184" s="480"/>
      <c r="BC184" s="480"/>
      <c r="BK184" s="481" t="s">
        <v>790</v>
      </c>
      <c r="BL184" s="481" t="s">
        <v>791</v>
      </c>
      <c r="BM184" s="487" t="s">
        <v>1251</v>
      </c>
      <c r="BN184" s="565" t="s">
        <v>1252</v>
      </c>
      <c r="BO184" s="284" t="s">
        <v>1253</v>
      </c>
      <c r="BP184" s="285">
        <v>46167</v>
      </c>
      <c r="BQ184" s="482"/>
      <c r="BR184" s="965">
        <v>4967</v>
      </c>
      <c r="BS184" s="482"/>
      <c r="BT184" s="482"/>
      <c r="BU184" s="482" t="s">
        <v>1254</v>
      </c>
      <c r="BV184" s="414" t="s">
        <v>894</v>
      </c>
      <c r="BW184" s="566" t="s">
        <v>1370</v>
      </c>
      <c r="BX184" s="566" t="s">
        <v>1371</v>
      </c>
      <c r="BY184" s="284">
        <v>45710070</v>
      </c>
      <c r="BZ184" s="284">
        <v>10457100707</v>
      </c>
      <c r="CA184" s="288">
        <v>3000</v>
      </c>
      <c r="CB184" s="285">
        <v>46174</v>
      </c>
      <c r="CC184" s="285">
        <v>46203</v>
      </c>
      <c r="CD184" s="759"/>
      <c r="CE184" s="485">
        <f t="shared" si="366"/>
        <v>0</v>
      </c>
      <c r="CF184" s="484">
        <f t="shared" si="367"/>
        <v>0</v>
      </c>
      <c r="CG184" s="485"/>
      <c r="CH184" s="485">
        <f t="shared" si="368"/>
        <v>0</v>
      </c>
      <c r="CI184" s="485"/>
      <c r="CJ184" s="485">
        <f t="shared" si="369"/>
        <v>0</v>
      </c>
      <c r="CK184" s="484">
        <f t="shared" si="370"/>
        <v>0</v>
      </c>
      <c r="CL184" s="484">
        <f t="shared" si="371"/>
        <v>0</v>
      </c>
      <c r="CM184" s="1006"/>
      <c r="CN184" s="485">
        <f t="shared" si="372"/>
        <v>30</v>
      </c>
      <c r="CO184" s="484">
        <f t="shared" si="373"/>
        <v>3000</v>
      </c>
      <c r="CP184" s="485">
        <v>30</v>
      </c>
      <c r="CQ184" s="484">
        <f t="shared" si="374"/>
        <v>3000</v>
      </c>
      <c r="CR184" s="485">
        <v>30</v>
      </c>
      <c r="CS184" s="484">
        <f t="shared" si="375"/>
        <v>3000</v>
      </c>
      <c r="CT184" s="484">
        <f t="shared" si="376"/>
        <v>0</v>
      </c>
      <c r="CU184" s="484">
        <f t="shared" si="377"/>
        <v>0</v>
      </c>
      <c r="CV184" s="1006"/>
      <c r="CW184" s="1007">
        <f t="shared" si="361"/>
        <v>3000</v>
      </c>
      <c r="CX184" s="486">
        <f t="shared" si="362"/>
        <v>3000</v>
      </c>
      <c r="CY184" s="486">
        <f t="shared" si="363"/>
        <v>3000</v>
      </c>
      <c r="CZ184" s="1007">
        <f t="shared" si="364"/>
        <v>0</v>
      </c>
      <c r="DA184" s="1007">
        <f t="shared" si="365"/>
        <v>0</v>
      </c>
    </row>
    <row r="185" spans="1:108" ht="51" hidden="1" x14ac:dyDescent="0.25">
      <c r="A185" s="472">
        <v>2026</v>
      </c>
      <c r="B185" s="472">
        <v>479</v>
      </c>
      <c r="C185" s="472" t="s">
        <v>64</v>
      </c>
      <c r="D185" s="472" t="s">
        <v>65</v>
      </c>
      <c r="E185" s="472">
        <v>125</v>
      </c>
      <c r="F185" s="472">
        <v>3000654</v>
      </c>
      <c r="G185" s="472">
        <v>5005023</v>
      </c>
      <c r="H185" s="472">
        <v>3</v>
      </c>
      <c r="I185" s="472">
        <v>12</v>
      </c>
      <c r="J185" s="472">
        <v>24</v>
      </c>
      <c r="K185" s="472">
        <v>135560</v>
      </c>
      <c r="L185" s="472" t="s">
        <v>66</v>
      </c>
      <c r="M185" s="124" t="s">
        <v>67</v>
      </c>
      <c r="N185" s="472">
        <v>95</v>
      </c>
      <c r="O185" s="474"/>
      <c r="P185" s="474" t="s">
        <v>4</v>
      </c>
      <c r="Q185" s="472" t="s">
        <v>68</v>
      </c>
      <c r="R185" s="475" t="s">
        <v>69</v>
      </c>
      <c r="S185" s="475" t="s">
        <v>137</v>
      </c>
      <c r="T185" s="475"/>
      <c r="U185" s="124" t="s">
        <v>192</v>
      </c>
      <c r="V185" s="475" t="s">
        <v>3</v>
      </c>
      <c r="W185" s="121">
        <v>1</v>
      </c>
      <c r="X185" s="476">
        <v>3000</v>
      </c>
      <c r="Y185" s="475"/>
      <c r="Z185" s="475"/>
      <c r="AA185" s="476"/>
      <c r="AB185" s="475"/>
      <c r="AC185" s="475"/>
      <c r="AD185" s="563">
        <v>30</v>
      </c>
      <c r="AE185" s="475"/>
      <c r="AF185" s="475"/>
      <c r="AG185" s="476"/>
      <c r="AH185" s="475"/>
      <c r="AI185" s="475"/>
      <c r="AJ185" s="476"/>
      <c r="AK185" s="476">
        <v>3000</v>
      </c>
      <c r="AL185" s="475"/>
      <c r="AM185" s="476"/>
      <c r="AN185" s="475"/>
      <c r="AO185" s="475"/>
      <c r="AP185" s="567"/>
      <c r="AQ185" s="567">
        <v>3000</v>
      </c>
      <c r="AR185" s="472" t="s">
        <v>73</v>
      </c>
      <c r="AS185" s="472" t="s">
        <v>73</v>
      </c>
      <c r="AT185" s="472" t="s">
        <v>73</v>
      </c>
      <c r="AU185" s="472" t="s">
        <v>73</v>
      </c>
      <c r="AV185" s="472" t="s">
        <v>73</v>
      </c>
      <c r="AW185" s="472" t="s">
        <v>73</v>
      </c>
      <c r="AX185" s="476">
        <v>3000</v>
      </c>
      <c r="AY185" s="479" t="s">
        <v>7</v>
      </c>
      <c r="AZ185" s="474" t="s">
        <v>74</v>
      </c>
      <c r="BA185" s="474"/>
      <c r="BB185" s="480"/>
      <c r="BC185" s="480"/>
      <c r="BK185" s="481" t="s">
        <v>790</v>
      </c>
      <c r="BL185" s="481" t="s">
        <v>791</v>
      </c>
      <c r="BM185" s="487" t="s">
        <v>1251</v>
      </c>
      <c r="BN185" s="565" t="s">
        <v>1252</v>
      </c>
      <c r="BO185" s="284" t="s">
        <v>1253</v>
      </c>
      <c r="BP185" s="285">
        <v>46167</v>
      </c>
      <c r="BQ185" s="482"/>
      <c r="BR185" s="965">
        <v>4968</v>
      </c>
      <c r="BS185" s="482"/>
      <c r="BT185" s="482"/>
      <c r="BU185" s="482" t="s">
        <v>1254</v>
      </c>
      <c r="BV185" s="414" t="s">
        <v>1372</v>
      </c>
      <c r="BW185" s="566" t="s">
        <v>1373</v>
      </c>
      <c r="BX185" s="566" t="s">
        <v>877</v>
      </c>
      <c r="BY185" s="284">
        <v>73515951</v>
      </c>
      <c r="BZ185" s="284">
        <v>10735159513</v>
      </c>
      <c r="CA185" s="288">
        <v>3000</v>
      </c>
      <c r="CB185" s="285">
        <v>46174</v>
      </c>
      <c r="CC185" s="285">
        <v>46203</v>
      </c>
      <c r="CD185" s="759"/>
      <c r="CE185" s="485">
        <f t="shared" si="366"/>
        <v>0</v>
      </c>
      <c r="CF185" s="484">
        <f t="shared" si="367"/>
        <v>0</v>
      </c>
      <c r="CG185" s="485"/>
      <c r="CH185" s="485">
        <f t="shared" si="368"/>
        <v>0</v>
      </c>
      <c r="CI185" s="485"/>
      <c r="CJ185" s="485">
        <f t="shared" si="369"/>
        <v>0</v>
      </c>
      <c r="CK185" s="484">
        <f t="shared" si="370"/>
        <v>0</v>
      </c>
      <c r="CL185" s="484">
        <f t="shared" si="371"/>
        <v>0</v>
      </c>
      <c r="CM185" s="1006"/>
      <c r="CN185" s="485">
        <f t="shared" si="372"/>
        <v>30</v>
      </c>
      <c r="CO185" s="484">
        <f t="shared" si="373"/>
        <v>3000</v>
      </c>
      <c r="CP185" s="485">
        <v>30</v>
      </c>
      <c r="CQ185" s="484">
        <f t="shared" si="374"/>
        <v>3000</v>
      </c>
      <c r="CR185" s="485">
        <v>30</v>
      </c>
      <c r="CS185" s="484">
        <f t="shared" si="375"/>
        <v>3000</v>
      </c>
      <c r="CT185" s="484">
        <f t="shared" si="376"/>
        <v>0</v>
      </c>
      <c r="CU185" s="484">
        <f t="shared" si="377"/>
        <v>0</v>
      </c>
      <c r="CV185" s="1006"/>
      <c r="CW185" s="1007">
        <f t="shared" si="361"/>
        <v>3000</v>
      </c>
      <c r="CX185" s="486">
        <f t="shared" si="362"/>
        <v>3000</v>
      </c>
      <c r="CY185" s="486">
        <f t="shared" si="363"/>
        <v>3000</v>
      </c>
      <c r="CZ185" s="1007">
        <f t="shared" si="364"/>
        <v>0</v>
      </c>
      <c r="DA185" s="1007">
        <f t="shared" si="365"/>
        <v>0</v>
      </c>
    </row>
    <row r="186" spans="1:108" s="228" customFormat="1" ht="51" hidden="1" x14ac:dyDescent="0.25">
      <c r="A186" s="506">
        <v>2026</v>
      </c>
      <c r="B186" s="506">
        <v>479</v>
      </c>
      <c r="C186" s="506" t="s">
        <v>64</v>
      </c>
      <c r="D186" s="506" t="s">
        <v>65</v>
      </c>
      <c r="E186" s="506">
        <v>125</v>
      </c>
      <c r="F186" s="506">
        <v>3000654</v>
      </c>
      <c r="G186" s="506">
        <v>5005023</v>
      </c>
      <c r="H186" s="506">
        <v>3</v>
      </c>
      <c r="I186" s="506">
        <v>12</v>
      </c>
      <c r="J186" s="506">
        <v>24</v>
      </c>
      <c r="K186" s="506">
        <v>135560</v>
      </c>
      <c r="L186" s="506" t="s">
        <v>66</v>
      </c>
      <c r="M186" s="507" t="s">
        <v>67</v>
      </c>
      <c r="N186" s="506">
        <v>95</v>
      </c>
      <c r="O186" s="508"/>
      <c r="P186" s="508" t="s">
        <v>4</v>
      </c>
      <c r="Q186" s="506" t="s">
        <v>68</v>
      </c>
      <c r="R186" s="506" t="s">
        <v>69</v>
      </c>
      <c r="S186" s="506" t="s">
        <v>137</v>
      </c>
      <c r="T186" s="506"/>
      <c r="U186" s="507" t="s">
        <v>192</v>
      </c>
      <c r="V186" s="506" t="s">
        <v>3</v>
      </c>
      <c r="W186" s="509">
        <v>1</v>
      </c>
      <c r="X186" s="510">
        <v>3000</v>
      </c>
      <c r="Y186" s="506"/>
      <c r="Z186" s="506"/>
      <c r="AA186" s="510"/>
      <c r="AB186" s="506"/>
      <c r="AC186" s="506"/>
      <c r="AD186" s="783">
        <v>30</v>
      </c>
      <c r="AE186" s="506"/>
      <c r="AF186" s="506"/>
      <c r="AG186" s="510"/>
      <c r="AH186" s="506"/>
      <c r="AI186" s="506"/>
      <c r="AJ186" s="510"/>
      <c r="AK186" s="510">
        <v>3000</v>
      </c>
      <c r="AL186" s="506"/>
      <c r="AM186" s="510"/>
      <c r="AN186" s="506"/>
      <c r="AO186" s="506"/>
      <c r="AP186" s="958"/>
      <c r="AQ186" s="958">
        <v>3000</v>
      </c>
      <c r="AR186" s="506" t="s">
        <v>73</v>
      </c>
      <c r="AS186" s="506" t="s">
        <v>73</v>
      </c>
      <c r="AT186" s="506" t="s">
        <v>73</v>
      </c>
      <c r="AU186" s="506" t="s">
        <v>73</v>
      </c>
      <c r="AV186" s="506" t="s">
        <v>73</v>
      </c>
      <c r="AW186" s="506" t="s">
        <v>73</v>
      </c>
      <c r="AX186" s="510">
        <v>3000</v>
      </c>
      <c r="AY186" s="512" t="s">
        <v>7</v>
      </c>
      <c r="AZ186" s="508" t="s">
        <v>74</v>
      </c>
      <c r="BA186" s="508"/>
      <c r="BB186" s="514"/>
      <c r="BC186" s="514"/>
      <c r="BD186"/>
      <c r="BE186"/>
      <c r="BF186"/>
      <c r="BG186"/>
      <c r="BH186"/>
      <c r="BI186"/>
      <c r="BJ186"/>
      <c r="BK186" s="546" t="s">
        <v>790</v>
      </c>
      <c r="BL186" s="515" t="s">
        <v>1374</v>
      </c>
      <c r="BM186" s="924" t="s">
        <v>1251</v>
      </c>
      <c r="BN186" s="925" t="s">
        <v>1252</v>
      </c>
      <c r="BO186" s="516" t="s">
        <v>1253</v>
      </c>
      <c r="BP186" s="518">
        <v>46167</v>
      </c>
      <c r="BQ186" s="519"/>
      <c r="BR186" s="966">
        <v>4969</v>
      </c>
      <c r="BS186" s="519"/>
      <c r="BT186" s="519"/>
      <c r="BU186" s="519" t="s">
        <v>1375</v>
      </c>
      <c r="BV186" s="517" t="s">
        <v>1376</v>
      </c>
      <c r="BW186" s="926" t="s">
        <v>813</v>
      </c>
      <c r="BX186" s="926" t="s">
        <v>1377</v>
      </c>
      <c r="BY186" s="516">
        <v>76699118</v>
      </c>
      <c r="BZ186" s="516">
        <v>10766991187</v>
      </c>
      <c r="CA186" s="520">
        <v>3000</v>
      </c>
      <c r="CB186" s="518">
        <v>46174</v>
      </c>
      <c r="CC186" s="518">
        <v>46183</v>
      </c>
      <c r="CD186" s="784"/>
      <c r="CE186" s="955">
        <f t="shared" si="366"/>
        <v>0</v>
      </c>
      <c r="CF186" s="522">
        <f t="shared" si="367"/>
        <v>0</v>
      </c>
      <c r="CG186" s="955"/>
      <c r="CH186" s="955">
        <f t="shared" si="368"/>
        <v>0</v>
      </c>
      <c r="CI186" s="955"/>
      <c r="CJ186" s="955">
        <f t="shared" si="369"/>
        <v>0</v>
      </c>
      <c r="CK186" s="522">
        <f t="shared" si="370"/>
        <v>0</v>
      </c>
      <c r="CL186" s="522">
        <f t="shared" si="371"/>
        <v>0</v>
      </c>
      <c r="CM186" s="1025"/>
      <c r="CN186" s="955">
        <f t="shared" si="372"/>
        <v>30</v>
      </c>
      <c r="CO186" s="522">
        <f t="shared" si="373"/>
        <v>3000</v>
      </c>
      <c r="CP186" s="955">
        <v>10</v>
      </c>
      <c r="CQ186" s="522">
        <f t="shared" si="374"/>
        <v>1000</v>
      </c>
      <c r="CR186" s="955">
        <v>10</v>
      </c>
      <c r="CS186" s="522">
        <f t="shared" si="375"/>
        <v>1000</v>
      </c>
      <c r="CT186" s="522">
        <f t="shared" si="376"/>
        <v>2000</v>
      </c>
      <c r="CU186" s="522">
        <f t="shared" si="377"/>
        <v>2000</v>
      </c>
      <c r="CV186" s="1025"/>
      <c r="CW186" s="1026">
        <f t="shared" si="361"/>
        <v>3000</v>
      </c>
      <c r="CX186" s="1027">
        <f t="shared" si="362"/>
        <v>1000</v>
      </c>
      <c r="CY186" s="1027">
        <f t="shared" si="363"/>
        <v>1000</v>
      </c>
      <c r="CZ186" s="1026">
        <f t="shared" si="364"/>
        <v>2000</v>
      </c>
      <c r="DA186" s="1026">
        <f t="shared" si="365"/>
        <v>2000</v>
      </c>
      <c r="DD186" s="523" t="s">
        <v>1378</v>
      </c>
    </row>
    <row r="187" spans="1:108" ht="51" hidden="1" x14ac:dyDescent="0.25">
      <c r="A187" s="472">
        <v>2026</v>
      </c>
      <c r="B187" s="472">
        <v>479</v>
      </c>
      <c r="C187" s="472" t="s">
        <v>64</v>
      </c>
      <c r="D187" s="472" t="s">
        <v>65</v>
      </c>
      <c r="E187" s="472">
        <v>125</v>
      </c>
      <c r="F187" s="472">
        <v>3000654</v>
      </c>
      <c r="G187" s="472">
        <v>5005023</v>
      </c>
      <c r="H187" s="472">
        <v>3</v>
      </c>
      <c r="I187" s="472">
        <v>12</v>
      </c>
      <c r="J187" s="472">
        <v>24</v>
      </c>
      <c r="K187" s="472">
        <v>135560</v>
      </c>
      <c r="L187" s="472" t="s">
        <v>66</v>
      </c>
      <c r="M187" s="124" t="s">
        <v>67</v>
      </c>
      <c r="N187" s="472">
        <v>95</v>
      </c>
      <c r="O187" s="474"/>
      <c r="P187" s="474" t="s">
        <v>4</v>
      </c>
      <c r="Q187" s="472" t="s">
        <v>68</v>
      </c>
      <c r="R187" s="475" t="s">
        <v>69</v>
      </c>
      <c r="S187" s="475" t="s">
        <v>137</v>
      </c>
      <c r="T187" s="475"/>
      <c r="U187" s="124" t="s">
        <v>192</v>
      </c>
      <c r="V187" s="475" t="s">
        <v>3</v>
      </c>
      <c r="W187" s="121">
        <v>1</v>
      </c>
      <c r="X187" s="476">
        <v>3000</v>
      </c>
      <c r="Y187" s="475"/>
      <c r="Z187" s="475"/>
      <c r="AA187" s="476"/>
      <c r="AB187" s="475"/>
      <c r="AC187" s="475"/>
      <c r="AD187" s="563">
        <v>30</v>
      </c>
      <c r="AE187" s="475"/>
      <c r="AF187" s="475"/>
      <c r="AG187" s="476"/>
      <c r="AH187" s="475"/>
      <c r="AI187" s="475"/>
      <c r="AJ187" s="476"/>
      <c r="AK187" s="476">
        <v>3000</v>
      </c>
      <c r="AL187" s="475"/>
      <c r="AM187" s="476"/>
      <c r="AN187" s="475"/>
      <c r="AO187" s="475"/>
      <c r="AP187" s="567"/>
      <c r="AQ187" s="567">
        <v>3000</v>
      </c>
      <c r="AR187" s="472" t="s">
        <v>73</v>
      </c>
      <c r="AS187" s="472" t="s">
        <v>73</v>
      </c>
      <c r="AT187" s="472" t="s">
        <v>73</v>
      </c>
      <c r="AU187" s="472" t="s">
        <v>73</v>
      </c>
      <c r="AV187" s="472" t="s">
        <v>73</v>
      </c>
      <c r="AW187" s="472" t="s">
        <v>73</v>
      </c>
      <c r="AX187" s="476">
        <v>3000</v>
      </c>
      <c r="AY187" s="479" t="s">
        <v>7</v>
      </c>
      <c r="AZ187" s="474" t="s">
        <v>74</v>
      </c>
      <c r="BA187" s="474"/>
      <c r="BB187" s="480"/>
      <c r="BC187" s="480"/>
      <c r="BK187" s="481" t="s">
        <v>790</v>
      </c>
      <c r="BL187" s="481" t="s">
        <v>791</v>
      </c>
      <c r="BM187" s="487" t="s">
        <v>1251</v>
      </c>
      <c r="BN187" s="565" t="s">
        <v>1252</v>
      </c>
      <c r="BO187" s="284" t="s">
        <v>1253</v>
      </c>
      <c r="BP187" s="285">
        <v>46167</v>
      </c>
      <c r="BQ187" s="482"/>
      <c r="BR187" s="965">
        <v>4970</v>
      </c>
      <c r="BS187" s="482"/>
      <c r="BT187" s="482"/>
      <c r="BU187" s="482" t="s">
        <v>1254</v>
      </c>
      <c r="BV187" s="414" t="s">
        <v>1379</v>
      </c>
      <c r="BW187" s="566" t="s">
        <v>1234</v>
      </c>
      <c r="BX187" s="566" t="s">
        <v>1380</v>
      </c>
      <c r="BY187" s="284">
        <v>41364821</v>
      </c>
      <c r="BZ187" s="284">
        <v>10413648217</v>
      </c>
      <c r="CA187" s="288">
        <v>3000</v>
      </c>
      <c r="CB187" s="285">
        <v>46174</v>
      </c>
      <c r="CC187" s="285">
        <v>46203</v>
      </c>
      <c r="CD187" s="759"/>
      <c r="CE187" s="485">
        <f t="shared" si="366"/>
        <v>0</v>
      </c>
      <c r="CF187" s="484">
        <f t="shared" si="367"/>
        <v>0</v>
      </c>
      <c r="CG187" s="485"/>
      <c r="CH187" s="485">
        <f t="shared" si="368"/>
        <v>0</v>
      </c>
      <c r="CI187" s="485"/>
      <c r="CJ187" s="485">
        <f t="shared" si="369"/>
        <v>0</v>
      </c>
      <c r="CK187" s="484">
        <f t="shared" si="370"/>
        <v>0</v>
      </c>
      <c r="CL187" s="484">
        <f t="shared" si="371"/>
        <v>0</v>
      </c>
      <c r="CM187" s="1006"/>
      <c r="CN187" s="485">
        <f t="shared" si="372"/>
        <v>30</v>
      </c>
      <c r="CO187" s="484">
        <f t="shared" si="373"/>
        <v>3000</v>
      </c>
      <c r="CP187" s="485">
        <v>30</v>
      </c>
      <c r="CQ187" s="484">
        <f t="shared" si="374"/>
        <v>3000</v>
      </c>
      <c r="CR187" s="485">
        <v>30</v>
      </c>
      <c r="CS187" s="484">
        <f t="shared" si="375"/>
        <v>3000</v>
      </c>
      <c r="CT187" s="484">
        <f t="shared" si="376"/>
        <v>0</v>
      </c>
      <c r="CU187" s="484">
        <f t="shared" si="377"/>
        <v>0</v>
      </c>
      <c r="CV187" s="1006"/>
      <c r="CW187" s="1007">
        <f t="shared" si="361"/>
        <v>3000</v>
      </c>
      <c r="CX187" s="486">
        <f t="shared" si="362"/>
        <v>3000</v>
      </c>
      <c r="CY187" s="486">
        <f t="shared" si="363"/>
        <v>3000</v>
      </c>
      <c r="CZ187" s="1007">
        <f t="shared" si="364"/>
        <v>0</v>
      </c>
      <c r="DA187" s="1007">
        <f t="shared" si="365"/>
        <v>0</v>
      </c>
    </row>
    <row r="188" spans="1:108" ht="51" hidden="1" x14ac:dyDescent="0.25">
      <c r="A188" s="472">
        <v>2026</v>
      </c>
      <c r="B188" s="472">
        <v>479</v>
      </c>
      <c r="C188" s="472" t="s">
        <v>64</v>
      </c>
      <c r="D188" s="472" t="s">
        <v>65</v>
      </c>
      <c r="E188" s="472">
        <v>125</v>
      </c>
      <c r="F188" s="472">
        <v>3000654</v>
      </c>
      <c r="G188" s="472">
        <v>5005023</v>
      </c>
      <c r="H188" s="472">
        <v>3</v>
      </c>
      <c r="I188" s="472">
        <v>12</v>
      </c>
      <c r="J188" s="472">
        <v>24</v>
      </c>
      <c r="K188" s="472">
        <v>135560</v>
      </c>
      <c r="L188" s="472" t="s">
        <v>66</v>
      </c>
      <c r="M188" s="124" t="s">
        <v>67</v>
      </c>
      <c r="N188" s="472">
        <v>95</v>
      </c>
      <c r="O188" s="474"/>
      <c r="P188" s="474" t="s">
        <v>4</v>
      </c>
      <c r="Q188" s="472" t="s">
        <v>68</v>
      </c>
      <c r="R188" s="475" t="s">
        <v>69</v>
      </c>
      <c r="S188" s="475" t="s">
        <v>137</v>
      </c>
      <c r="T188" s="475"/>
      <c r="U188" s="124" t="s">
        <v>192</v>
      </c>
      <c r="V188" s="475" t="s">
        <v>3</v>
      </c>
      <c r="W188" s="121">
        <v>1</v>
      </c>
      <c r="X188" s="476">
        <v>3000</v>
      </c>
      <c r="Y188" s="475"/>
      <c r="Z188" s="475"/>
      <c r="AA188" s="476"/>
      <c r="AB188" s="475"/>
      <c r="AC188" s="475"/>
      <c r="AD188" s="563">
        <v>30</v>
      </c>
      <c r="AE188" s="475"/>
      <c r="AF188" s="475"/>
      <c r="AG188" s="476"/>
      <c r="AH188" s="475"/>
      <c r="AI188" s="475"/>
      <c r="AJ188" s="476"/>
      <c r="AK188" s="476">
        <v>3000</v>
      </c>
      <c r="AL188" s="475"/>
      <c r="AM188" s="476"/>
      <c r="AN188" s="475"/>
      <c r="AO188" s="475"/>
      <c r="AP188" s="567"/>
      <c r="AQ188" s="567">
        <v>3000</v>
      </c>
      <c r="AR188" s="472" t="s">
        <v>73</v>
      </c>
      <c r="AS188" s="472" t="s">
        <v>73</v>
      </c>
      <c r="AT188" s="472" t="s">
        <v>73</v>
      </c>
      <c r="AU188" s="472" t="s">
        <v>73</v>
      </c>
      <c r="AV188" s="472" t="s">
        <v>73</v>
      </c>
      <c r="AW188" s="472" t="s">
        <v>73</v>
      </c>
      <c r="AX188" s="476">
        <v>3000</v>
      </c>
      <c r="AY188" s="479" t="s">
        <v>7</v>
      </c>
      <c r="AZ188" s="474" t="s">
        <v>74</v>
      </c>
      <c r="BA188" s="474"/>
      <c r="BB188" s="480"/>
      <c r="BC188" s="480"/>
      <c r="BK188" s="481" t="s">
        <v>790</v>
      </c>
      <c r="BL188" s="481" t="s">
        <v>791</v>
      </c>
      <c r="BM188" s="487" t="s">
        <v>1251</v>
      </c>
      <c r="BN188" s="565" t="s">
        <v>1252</v>
      </c>
      <c r="BO188" s="284" t="s">
        <v>1253</v>
      </c>
      <c r="BP188" s="285">
        <v>46167</v>
      </c>
      <c r="BQ188" s="482"/>
      <c r="BR188" s="965">
        <v>4971</v>
      </c>
      <c r="BS188" s="482"/>
      <c r="BT188" s="482"/>
      <c r="BU188" s="482" t="s">
        <v>1254</v>
      </c>
      <c r="BV188" s="414" t="s">
        <v>1381</v>
      </c>
      <c r="BW188" s="566" t="s">
        <v>1274</v>
      </c>
      <c r="BX188" s="566" t="s">
        <v>1382</v>
      </c>
      <c r="BY188" s="284">
        <v>77361388</v>
      </c>
      <c r="BZ188" s="284">
        <v>10773613881</v>
      </c>
      <c r="CA188" s="288">
        <v>3000</v>
      </c>
      <c r="CB188" s="285">
        <v>46174</v>
      </c>
      <c r="CC188" s="285">
        <v>46203</v>
      </c>
      <c r="CD188" s="759"/>
      <c r="CE188" s="485">
        <f t="shared" si="366"/>
        <v>0</v>
      </c>
      <c r="CF188" s="484">
        <f t="shared" si="367"/>
        <v>0</v>
      </c>
      <c r="CG188" s="485"/>
      <c r="CH188" s="485">
        <f t="shared" si="368"/>
        <v>0</v>
      </c>
      <c r="CI188" s="485"/>
      <c r="CJ188" s="485">
        <f t="shared" si="369"/>
        <v>0</v>
      </c>
      <c r="CK188" s="484">
        <f t="shared" si="370"/>
        <v>0</v>
      </c>
      <c r="CL188" s="484">
        <f t="shared" si="371"/>
        <v>0</v>
      </c>
      <c r="CM188" s="1006"/>
      <c r="CN188" s="485">
        <f t="shared" si="372"/>
        <v>30</v>
      </c>
      <c r="CO188" s="484">
        <f t="shared" si="373"/>
        <v>3000</v>
      </c>
      <c r="CP188" s="485">
        <v>30</v>
      </c>
      <c r="CQ188" s="484">
        <f t="shared" si="374"/>
        <v>3000</v>
      </c>
      <c r="CR188" s="485">
        <v>30</v>
      </c>
      <c r="CS188" s="484">
        <f t="shared" si="375"/>
        <v>3000</v>
      </c>
      <c r="CT188" s="484">
        <f t="shared" si="376"/>
        <v>0</v>
      </c>
      <c r="CU188" s="484">
        <f t="shared" si="377"/>
        <v>0</v>
      </c>
      <c r="CV188" s="1006"/>
      <c r="CW188" s="1007">
        <f t="shared" si="361"/>
        <v>3000</v>
      </c>
      <c r="CX188" s="486">
        <f t="shared" si="362"/>
        <v>3000</v>
      </c>
      <c r="CY188" s="486">
        <f t="shared" si="363"/>
        <v>3000</v>
      </c>
      <c r="CZ188" s="1007">
        <f t="shared" si="364"/>
        <v>0</v>
      </c>
      <c r="DA188" s="1007">
        <f t="shared" si="365"/>
        <v>0</v>
      </c>
    </row>
    <row r="189" spans="1:108" ht="51" hidden="1" x14ac:dyDescent="0.25">
      <c r="A189" s="472">
        <v>2026</v>
      </c>
      <c r="B189" s="472">
        <v>479</v>
      </c>
      <c r="C189" s="472" t="s">
        <v>64</v>
      </c>
      <c r="D189" s="472" t="s">
        <v>65</v>
      </c>
      <c r="E189" s="472">
        <v>125</v>
      </c>
      <c r="F189" s="472">
        <v>3000654</v>
      </c>
      <c r="G189" s="472">
        <v>5005023</v>
      </c>
      <c r="H189" s="472">
        <v>3</v>
      </c>
      <c r="I189" s="472">
        <v>12</v>
      </c>
      <c r="J189" s="472">
        <v>24</v>
      </c>
      <c r="K189" s="472">
        <v>135560</v>
      </c>
      <c r="L189" s="472" t="s">
        <v>66</v>
      </c>
      <c r="M189" s="124" t="s">
        <v>67</v>
      </c>
      <c r="N189" s="472">
        <v>95</v>
      </c>
      <c r="O189" s="474"/>
      <c r="P189" s="474" t="s">
        <v>4</v>
      </c>
      <c r="Q189" s="472" t="s">
        <v>68</v>
      </c>
      <c r="R189" s="475" t="s">
        <v>69</v>
      </c>
      <c r="S189" s="475" t="s">
        <v>137</v>
      </c>
      <c r="T189" s="475"/>
      <c r="U189" s="124" t="s">
        <v>192</v>
      </c>
      <c r="V189" s="475" t="s">
        <v>3</v>
      </c>
      <c r="W189" s="121">
        <v>1</v>
      </c>
      <c r="X189" s="476">
        <v>3000</v>
      </c>
      <c r="Y189" s="475"/>
      <c r="Z189" s="475"/>
      <c r="AA189" s="476"/>
      <c r="AB189" s="475"/>
      <c r="AC189" s="475"/>
      <c r="AD189" s="563">
        <v>30</v>
      </c>
      <c r="AE189" s="475"/>
      <c r="AF189" s="475"/>
      <c r="AG189" s="476"/>
      <c r="AH189" s="475"/>
      <c r="AI189" s="475"/>
      <c r="AJ189" s="476"/>
      <c r="AK189" s="476">
        <v>3000</v>
      </c>
      <c r="AL189" s="475"/>
      <c r="AM189" s="476"/>
      <c r="AN189" s="475"/>
      <c r="AO189" s="475"/>
      <c r="AP189" s="567"/>
      <c r="AQ189" s="567">
        <v>3000</v>
      </c>
      <c r="AR189" s="472" t="s">
        <v>73</v>
      </c>
      <c r="AS189" s="472" t="s">
        <v>73</v>
      </c>
      <c r="AT189" s="472" t="s">
        <v>73</v>
      </c>
      <c r="AU189" s="472" t="s">
        <v>73</v>
      </c>
      <c r="AV189" s="472" t="s">
        <v>73</v>
      </c>
      <c r="AW189" s="472" t="s">
        <v>73</v>
      </c>
      <c r="AX189" s="476">
        <v>3000</v>
      </c>
      <c r="AY189" s="479" t="s">
        <v>7</v>
      </c>
      <c r="AZ189" s="474" t="s">
        <v>74</v>
      </c>
      <c r="BA189" s="474"/>
      <c r="BB189" s="480"/>
      <c r="BC189" s="480"/>
      <c r="BK189" s="481" t="s">
        <v>790</v>
      </c>
      <c r="BL189" s="481" t="s">
        <v>791</v>
      </c>
      <c r="BM189" s="487" t="s">
        <v>1251</v>
      </c>
      <c r="BN189" s="565" t="s">
        <v>1252</v>
      </c>
      <c r="BO189" s="284" t="s">
        <v>1253</v>
      </c>
      <c r="BP189" s="285">
        <v>46167</v>
      </c>
      <c r="BQ189" s="482"/>
      <c r="BR189" s="965">
        <v>4972</v>
      </c>
      <c r="BS189" s="482"/>
      <c r="BT189" s="482"/>
      <c r="BU189" s="482" t="s">
        <v>1254</v>
      </c>
      <c r="BV189" s="414" t="s">
        <v>1383</v>
      </c>
      <c r="BW189" s="566" t="s">
        <v>1384</v>
      </c>
      <c r="BX189" s="566" t="s">
        <v>1385</v>
      </c>
      <c r="BY189" s="284">
        <v>74727117</v>
      </c>
      <c r="BZ189" s="284">
        <v>10747271173</v>
      </c>
      <c r="CA189" s="288">
        <v>3000</v>
      </c>
      <c r="CB189" s="285">
        <v>46174</v>
      </c>
      <c r="CC189" s="285">
        <v>46203</v>
      </c>
      <c r="CD189" s="759"/>
      <c r="CE189" s="485">
        <f t="shared" si="366"/>
        <v>0</v>
      </c>
      <c r="CF189" s="484">
        <f t="shared" si="367"/>
        <v>0</v>
      </c>
      <c r="CG189" s="485"/>
      <c r="CH189" s="485">
        <f t="shared" si="368"/>
        <v>0</v>
      </c>
      <c r="CI189" s="485"/>
      <c r="CJ189" s="485">
        <f t="shared" si="369"/>
        <v>0</v>
      </c>
      <c r="CK189" s="484">
        <f t="shared" si="370"/>
        <v>0</v>
      </c>
      <c r="CL189" s="484">
        <f t="shared" si="371"/>
        <v>0</v>
      </c>
      <c r="CM189" s="1006"/>
      <c r="CN189" s="485">
        <f t="shared" si="372"/>
        <v>30</v>
      </c>
      <c r="CO189" s="484">
        <f t="shared" si="373"/>
        <v>3000</v>
      </c>
      <c r="CP189" s="485">
        <v>30</v>
      </c>
      <c r="CQ189" s="484">
        <f t="shared" si="374"/>
        <v>3000</v>
      </c>
      <c r="CR189" s="485">
        <v>30</v>
      </c>
      <c r="CS189" s="484">
        <f t="shared" si="375"/>
        <v>3000</v>
      </c>
      <c r="CT189" s="484">
        <f t="shared" si="376"/>
        <v>0</v>
      </c>
      <c r="CU189" s="484">
        <f t="shared" si="377"/>
        <v>0</v>
      </c>
      <c r="CV189" s="1006"/>
      <c r="CW189" s="1007">
        <f t="shared" si="361"/>
        <v>3000</v>
      </c>
      <c r="CX189" s="486">
        <f t="shared" si="362"/>
        <v>3000</v>
      </c>
      <c r="CY189" s="486">
        <f t="shared" si="363"/>
        <v>3000</v>
      </c>
      <c r="CZ189" s="1007">
        <f t="shared" si="364"/>
        <v>0</v>
      </c>
      <c r="DA189" s="1007">
        <f t="shared" si="365"/>
        <v>0</v>
      </c>
    </row>
    <row r="190" spans="1:108" ht="51" hidden="1" x14ac:dyDescent="0.25">
      <c r="A190" s="472">
        <v>2026</v>
      </c>
      <c r="B190" s="472">
        <v>479</v>
      </c>
      <c r="C190" s="472" t="s">
        <v>64</v>
      </c>
      <c r="D190" s="472" t="s">
        <v>65</v>
      </c>
      <c r="E190" s="472">
        <v>125</v>
      </c>
      <c r="F190" s="472">
        <v>3000654</v>
      </c>
      <c r="G190" s="472">
        <v>5005023</v>
      </c>
      <c r="H190" s="472">
        <v>3</v>
      </c>
      <c r="I190" s="472">
        <v>12</v>
      </c>
      <c r="J190" s="472">
        <v>24</v>
      </c>
      <c r="K190" s="472">
        <v>135560</v>
      </c>
      <c r="L190" s="472" t="s">
        <v>66</v>
      </c>
      <c r="M190" s="124" t="s">
        <v>67</v>
      </c>
      <c r="N190" s="472">
        <v>95</v>
      </c>
      <c r="O190" s="474"/>
      <c r="P190" s="474" t="s">
        <v>4</v>
      </c>
      <c r="Q190" s="472" t="s">
        <v>68</v>
      </c>
      <c r="R190" s="475" t="s">
        <v>69</v>
      </c>
      <c r="S190" s="475" t="s">
        <v>137</v>
      </c>
      <c r="T190" s="475"/>
      <c r="U190" s="124" t="s">
        <v>192</v>
      </c>
      <c r="V190" s="475" t="s">
        <v>3</v>
      </c>
      <c r="W190" s="121">
        <v>1</v>
      </c>
      <c r="X190" s="476">
        <v>3000</v>
      </c>
      <c r="Y190" s="475"/>
      <c r="Z190" s="475"/>
      <c r="AA190" s="476"/>
      <c r="AB190" s="475"/>
      <c r="AC190" s="475"/>
      <c r="AD190" s="563">
        <v>30</v>
      </c>
      <c r="AE190" s="475"/>
      <c r="AF190" s="475"/>
      <c r="AG190" s="476"/>
      <c r="AH190" s="475"/>
      <c r="AI190" s="475"/>
      <c r="AJ190" s="476"/>
      <c r="AK190" s="476">
        <v>3000</v>
      </c>
      <c r="AL190" s="475"/>
      <c r="AM190" s="476"/>
      <c r="AN190" s="475"/>
      <c r="AO190" s="475"/>
      <c r="AP190" s="567"/>
      <c r="AQ190" s="567">
        <v>3000</v>
      </c>
      <c r="AR190" s="472" t="s">
        <v>73</v>
      </c>
      <c r="AS190" s="472" t="s">
        <v>73</v>
      </c>
      <c r="AT190" s="472" t="s">
        <v>73</v>
      </c>
      <c r="AU190" s="472" t="s">
        <v>73</v>
      </c>
      <c r="AV190" s="472" t="s">
        <v>73</v>
      </c>
      <c r="AW190" s="472" t="s">
        <v>73</v>
      </c>
      <c r="AX190" s="476">
        <v>3000</v>
      </c>
      <c r="AY190" s="479" t="s">
        <v>7</v>
      </c>
      <c r="AZ190" s="474" t="s">
        <v>74</v>
      </c>
      <c r="BA190" s="474"/>
      <c r="BB190" s="480"/>
      <c r="BC190" s="480"/>
      <c r="BK190" s="481" t="s">
        <v>790</v>
      </c>
      <c r="BL190" s="481" t="s">
        <v>791</v>
      </c>
      <c r="BM190" s="487" t="s">
        <v>1251</v>
      </c>
      <c r="BN190" s="565" t="s">
        <v>1252</v>
      </c>
      <c r="BO190" s="284" t="s">
        <v>1253</v>
      </c>
      <c r="BP190" s="285">
        <v>46167</v>
      </c>
      <c r="BQ190" s="482"/>
      <c r="BR190" s="965">
        <v>4973</v>
      </c>
      <c r="BS190" s="482"/>
      <c r="BT190" s="482"/>
      <c r="BU190" s="482" t="s">
        <v>1254</v>
      </c>
      <c r="BV190" s="414" t="s">
        <v>895</v>
      </c>
      <c r="BW190" s="566" t="s">
        <v>1386</v>
      </c>
      <c r="BX190" s="566" t="s">
        <v>1387</v>
      </c>
      <c r="BY190" s="284">
        <v>74737913</v>
      </c>
      <c r="BZ190" s="284">
        <v>10747379136</v>
      </c>
      <c r="CA190" s="288">
        <v>3000</v>
      </c>
      <c r="CB190" s="285">
        <v>46174</v>
      </c>
      <c r="CC190" s="285">
        <v>46203</v>
      </c>
      <c r="CD190" s="759"/>
      <c r="CE190" s="485">
        <f t="shared" si="366"/>
        <v>0</v>
      </c>
      <c r="CF190" s="484">
        <f t="shared" si="367"/>
        <v>0</v>
      </c>
      <c r="CG190" s="485"/>
      <c r="CH190" s="485">
        <f t="shared" si="368"/>
        <v>0</v>
      </c>
      <c r="CI190" s="485"/>
      <c r="CJ190" s="485">
        <f t="shared" si="369"/>
        <v>0</v>
      </c>
      <c r="CK190" s="484">
        <f t="shared" si="370"/>
        <v>0</v>
      </c>
      <c r="CL190" s="484">
        <f t="shared" si="371"/>
        <v>0</v>
      </c>
      <c r="CM190" s="1006"/>
      <c r="CN190" s="485">
        <f t="shared" si="372"/>
        <v>30</v>
      </c>
      <c r="CO190" s="484">
        <f t="shared" si="373"/>
        <v>3000</v>
      </c>
      <c r="CP190" s="485">
        <v>30</v>
      </c>
      <c r="CQ190" s="484">
        <f t="shared" si="374"/>
        <v>3000</v>
      </c>
      <c r="CR190" s="485">
        <v>30</v>
      </c>
      <c r="CS190" s="484">
        <f t="shared" si="375"/>
        <v>3000</v>
      </c>
      <c r="CT190" s="484">
        <f t="shared" si="376"/>
        <v>0</v>
      </c>
      <c r="CU190" s="484">
        <f t="shared" si="377"/>
        <v>0</v>
      </c>
      <c r="CV190" s="1006"/>
      <c r="CW190" s="1007">
        <f t="shared" si="361"/>
        <v>3000</v>
      </c>
      <c r="CX190" s="486">
        <f t="shared" si="362"/>
        <v>3000</v>
      </c>
      <c r="CY190" s="486">
        <f t="shared" si="363"/>
        <v>3000</v>
      </c>
      <c r="CZ190" s="1007">
        <f t="shared" si="364"/>
        <v>0</v>
      </c>
      <c r="DA190" s="1007">
        <f t="shared" si="365"/>
        <v>0</v>
      </c>
    </row>
    <row r="191" spans="1:108" ht="51" hidden="1" x14ac:dyDescent="0.25">
      <c r="A191" s="472">
        <v>2026</v>
      </c>
      <c r="B191" s="472">
        <v>479</v>
      </c>
      <c r="C191" s="472" t="s">
        <v>64</v>
      </c>
      <c r="D191" s="472" t="s">
        <v>65</v>
      </c>
      <c r="E191" s="472">
        <v>125</v>
      </c>
      <c r="F191" s="472">
        <v>3000654</v>
      </c>
      <c r="G191" s="472">
        <v>5005023</v>
      </c>
      <c r="H191" s="472">
        <v>3</v>
      </c>
      <c r="I191" s="472">
        <v>12</v>
      </c>
      <c r="J191" s="472">
        <v>24</v>
      </c>
      <c r="K191" s="472">
        <v>135560</v>
      </c>
      <c r="L191" s="472" t="s">
        <v>66</v>
      </c>
      <c r="M191" s="124" t="s">
        <v>67</v>
      </c>
      <c r="N191" s="472">
        <v>95</v>
      </c>
      <c r="O191" s="474"/>
      <c r="P191" s="474" t="s">
        <v>4</v>
      </c>
      <c r="Q191" s="472" t="s">
        <v>68</v>
      </c>
      <c r="R191" s="475" t="s">
        <v>69</v>
      </c>
      <c r="S191" s="475" t="s">
        <v>137</v>
      </c>
      <c r="T191" s="475"/>
      <c r="U191" s="124" t="s">
        <v>192</v>
      </c>
      <c r="V191" s="475" t="s">
        <v>3</v>
      </c>
      <c r="W191" s="121">
        <v>1</v>
      </c>
      <c r="X191" s="476">
        <v>3000</v>
      </c>
      <c r="Y191" s="475"/>
      <c r="Z191" s="475"/>
      <c r="AA191" s="476"/>
      <c r="AB191" s="475"/>
      <c r="AC191" s="475"/>
      <c r="AD191" s="563">
        <v>30</v>
      </c>
      <c r="AE191" s="475"/>
      <c r="AF191" s="475"/>
      <c r="AG191" s="476"/>
      <c r="AH191" s="475"/>
      <c r="AI191" s="475"/>
      <c r="AJ191" s="476"/>
      <c r="AK191" s="476">
        <v>3000</v>
      </c>
      <c r="AL191" s="475"/>
      <c r="AM191" s="476"/>
      <c r="AN191" s="475"/>
      <c r="AO191" s="475"/>
      <c r="AP191" s="567"/>
      <c r="AQ191" s="567">
        <v>3000</v>
      </c>
      <c r="AR191" s="472" t="s">
        <v>73</v>
      </c>
      <c r="AS191" s="472" t="s">
        <v>73</v>
      </c>
      <c r="AT191" s="472" t="s">
        <v>73</v>
      </c>
      <c r="AU191" s="472" t="s">
        <v>73</v>
      </c>
      <c r="AV191" s="472" t="s">
        <v>73</v>
      </c>
      <c r="AW191" s="472" t="s">
        <v>73</v>
      </c>
      <c r="AX191" s="476">
        <v>3000</v>
      </c>
      <c r="AY191" s="479" t="s">
        <v>7</v>
      </c>
      <c r="AZ191" s="474" t="s">
        <v>74</v>
      </c>
      <c r="BA191" s="474"/>
      <c r="BB191" s="480"/>
      <c r="BC191" s="480"/>
      <c r="BK191" s="481" t="s">
        <v>790</v>
      </c>
      <c r="BL191" s="481" t="s">
        <v>791</v>
      </c>
      <c r="BM191" s="487" t="s">
        <v>1251</v>
      </c>
      <c r="BN191" s="565" t="s">
        <v>1252</v>
      </c>
      <c r="BO191" s="284" t="s">
        <v>1253</v>
      </c>
      <c r="BP191" s="285">
        <v>46167</v>
      </c>
      <c r="BQ191" s="482"/>
      <c r="BR191" s="965">
        <v>4974</v>
      </c>
      <c r="BS191" s="482"/>
      <c r="BT191" s="482"/>
      <c r="BU191" s="482" t="s">
        <v>1388</v>
      </c>
      <c r="BV191" s="414" t="s">
        <v>1389</v>
      </c>
      <c r="BW191" s="566" t="s">
        <v>1325</v>
      </c>
      <c r="BX191" s="566" t="s">
        <v>1390</v>
      </c>
      <c r="BY191" s="284">
        <v>42199456</v>
      </c>
      <c r="BZ191" s="284">
        <v>10421994566</v>
      </c>
      <c r="CA191" s="288">
        <v>3000</v>
      </c>
      <c r="CB191" s="285">
        <v>46174</v>
      </c>
      <c r="CC191" s="285">
        <v>46203</v>
      </c>
      <c r="CD191" s="759"/>
      <c r="CE191" s="485">
        <f t="shared" si="366"/>
        <v>0</v>
      </c>
      <c r="CF191" s="484">
        <f t="shared" si="367"/>
        <v>0</v>
      </c>
      <c r="CG191" s="485"/>
      <c r="CH191" s="485">
        <f t="shared" si="368"/>
        <v>0</v>
      </c>
      <c r="CI191" s="485"/>
      <c r="CJ191" s="485">
        <f t="shared" si="369"/>
        <v>0</v>
      </c>
      <c r="CK191" s="484">
        <f t="shared" si="370"/>
        <v>0</v>
      </c>
      <c r="CL191" s="484">
        <f t="shared" si="371"/>
        <v>0</v>
      </c>
      <c r="CM191" s="1006"/>
      <c r="CN191" s="485">
        <f t="shared" si="372"/>
        <v>30</v>
      </c>
      <c r="CO191" s="484">
        <f t="shared" si="373"/>
        <v>3000</v>
      </c>
      <c r="CP191" s="485">
        <v>30</v>
      </c>
      <c r="CQ191" s="484">
        <f t="shared" si="374"/>
        <v>3000</v>
      </c>
      <c r="CR191" s="485">
        <v>30</v>
      </c>
      <c r="CS191" s="484">
        <f t="shared" si="375"/>
        <v>3000</v>
      </c>
      <c r="CT191" s="484">
        <f t="shared" si="376"/>
        <v>0</v>
      </c>
      <c r="CU191" s="484">
        <f t="shared" si="377"/>
        <v>0</v>
      </c>
      <c r="CV191" s="1006"/>
      <c r="CW191" s="1007">
        <f t="shared" si="361"/>
        <v>3000</v>
      </c>
      <c r="CX191" s="486">
        <f t="shared" si="362"/>
        <v>3000</v>
      </c>
      <c r="CY191" s="486">
        <f t="shared" si="363"/>
        <v>3000</v>
      </c>
      <c r="CZ191" s="1007">
        <f t="shared" si="364"/>
        <v>0</v>
      </c>
      <c r="DA191" s="1007">
        <f t="shared" si="365"/>
        <v>0</v>
      </c>
    </row>
    <row r="192" spans="1:108" ht="51" hidden="1" x14ac:dyDescent="0.25">
      <c r="A192" s="472">
        <v>2026</v>
      </c>
      <c r="B192" s="472">
        <v>479</v>
      </c>
      <c r="C192" s="472" t="s">
        <v>64</v>
      </c>
      <c r="D192" s="472" t="s">
        <v>65</v>
      </c>
      <c r="E192" s="472">
        <v>125</v>
      </c>
      <c r="F192" s="472">
        <v>3000654</v>
      </c>
      <c r="G192" s="472">
        <v>5005023</v>
      </c>
      <c r="H192" s="472">
        <v>3</v>
      </c>
      <c r="I192" s="472">
        <v>12</v>
      </c>
      <c r="J192" s="472">
        <v>24</v>
      </c>
      <c r="K192" s="472">
        <v>135560</v>
      </c>
      <c r="L192" s="472" t="s">
        <v>66</v>
      </c>
      <c r="M192" s="124" t="s">
        <v>67</v>
      </c>
      <c r="N192" s="472">
        <v>95</v>
      </c>
      <c r="O192" s="474"/>
      <c r="P192" s="474" t="s">
        <v>4</v>
      </c>
      <c r="Q192" s="472" t="s">
        <v>68</v>
      </c>
      <c r="R192" s="475" t="s">
        <v>69</v>
      </c>
      <c r="S192" s="475" t="s">
        <v>137</v>
      </c>
      <c r="T192" s="475"/>
      <c r="U192" s="124" t="s">
        <v>192</v>
      </c>
      <c r="V192" s="475" t="s">
        <v>3</v>
      </c>
      <c r="W192" s="121">
        <v>1</v>
      </c>
      <c r="X192" s="476">
        <v>3000</v>
      </c>
      <c r="Y192" s="475"/>
      <c r="Z192" s="475"/>
      <c r="AA192" s="476"/>
      <c r="AB192" s="475"/>
      <c r="AC192" s="475"/>
      <c r="AD192" s="563">
        <v>30</v>
      </c>
      <c r="AE192" s="475"/>
      <c r="AF192" s="475"/>
      <c r="AG192" s="476"/>
      <c r="AH192" s="475"/>
      <c r="AI192" s="475"/>
      <c r="AJ192" s="476"/>
      <c r="AK192" s="476">
        <v>3000</v>
      </c>
      <c r="AL192" s="475"/>
      <c r="AM192" s="476"/>
      <c r="AN192" s="475"/>
      <c r="AO192" s="475"/>
      <c r="AP192" s="567"/>
      <c r="AQ192" s="567">
        <v>3000</v>
      </c>
      <c r="AR192" s="472" t="s">
        <v>73</v>
      </c>
      <c r="AS192" s="472" t="s">
        <v>73</v>
      </c>
      <c r="AT192" s="472" t="s">
        <v>73</v>
      </c>
      <c r="AU192" s="472" t="s">
        <v>73</v>
      </c>
      <c r="AV192" s="472" t="s">
        <v>73</v>
      </c>
      <c r="AW192" s="472" t="s">
        <v>73</v>
      </c>
      <c r="AX192" s="476">
        <v>3000</v>
      </c>
      <c r="AY192" s="479" t="s">
        <v>7</v>
      </c>
      <c r="AZ192" s="474" t="s">
        <v>74</v>
      </c>
      <c r="BA192" s="474"/>
      <c r="BB192" s="480"/>
      <c r="BC192" s="480"/>
      <c r="BK192" s="481" t="s">
        <v>790</v>
      </c>
      <c r="BL192" s="481" t="s">
        <v>791</v>
      </c>
      <c r="BM192" s="487" t="s">
        <v>1251</v>
      </c>
      <c r="BN192" s="565" t="s">
        <v>1252</v>
      </c>
      <c r="BO192" s="284" t="s">
        <v>1253</v>
      </c>
      <c r="BP192" s="285">
        <v>46167</v>
      </c>
      <c r="BQ192" s="482"/>
      <c r="BR192" s="965">
        <v>4975</v>
      </c>
      <c r="BS192" s="482"/>
      <c r="BT192" s="482"/>
      <c r="BU192" s="482" t="s">
        <v>1388</v>
      </c>
      <c r="BV192" s="414" t="s">
        <v>1391</v>
      </c>
      <c r="BW192" s="566" t="s">
        <v>1304</v>
      </c>
      <c r="BX192" s="566" t="s">
        <v>877</v>
      </c>
      <c r="BY192" s="284">
        <v>48143534</v>
      </c>
      <c r="BZ192" s="284">
        <v>10481435345</v>
      </c>
      <c r="CA192" s="288">
        <v>3000</v>
      </c>
      <c r="CB192" s="285">
        <v>46174</v>
      </c>
      <c r="CC192" s="285">
        <v>46203</v>
      </c>
      <c r="CD192" s="759"/>
      <c r="CE192" s="485">
        <f t="shared" si="366"/>
        <v>0</v>
      </c>
      <c r="CF192" s="484">
        <f t="shared" si="367"/>
        <v>0</v>
      </c>
      <c r="CG192" s="485"/>
      <c r="CH192" s="485">
        <f t="shared" si="368"/>
        <v>0</v>
      </c>
      <c r="CI192" s="485"/>
      <c r="CJ192" s="485">
        <f t="shared" si="369"/>
        <v>0</v>
      </c>
      <c r="CK192" s="484">
        <f t="shared" si="370"/>
        <v>0</v>
      </c>
      <c r="CL192" s="484">
        <f t="shared" si="371"/>
        <v>0</v>
      </c>
      <c r="CM192" s="1006"/>
      <c r="CN192" s="485">
        <f t="shared" si="372"/>
        <v>30</v>
      </c>
      <c r="CO192" s="484">
        <f t="shared" si="373"/>
        <v>3000</v>
      </c>
      <c r="CP192" s="485">
        <v>30</v>
      </c>
      <c r="CQ192" s="484">
        <f t="shared" si="374"/>
        <v>3000</v>
      </c>
      <c r="CR192" s="485">
        <v>30</v>
      </c>
      <c r="CS192" s="484">
        <f t="shared" si="375"/>
        <v>3000</v>
      </c>
      <c r="CT192" s="484">
        <f t="shared" si="376"/>
        <v>0</v>
      </c>
      <c r="CU192" s="484">
        <f t="shared" si="377"/>
        <v>0</v>
      </c>
      <c r="CV192" s="1006"/>
      <c r="CW192" s="1007">
        <f t="shared" si="361"/>
        <v>3000</v>
      </c>
      <c r="CX192" s="486">
        <f t="shared" si="362"/>
        <v>3000</v>
      </c>
      <c r="CY192" s="486">
        <f t="shared" si="363"/>
        <v>3000</v>
      </c>
      <c r="CZ192" s="1007">
        <f t="shared" si="364"/>
        <v>0</v>
      </c>
      <c r="DA192" s="1007">
        <f t="shared" si="365"/>
        <v>0</v>
      </c>
    </row>
    <row r="193" spans="1:16378" ht="51" hidden="1" x14ac:dyDescent="0.25">
      <c r="A193" s="472">
        <v>2026</v>
      </c>
      <c r="B193" s="472">
        <v>479</v>
      </c>
      <c r="C193" s="472" t="s">
        <v>64</v>
      </c>
      <c r="D193" s="472" t="s">
        <v>65</v>
      </c>
      <c r="E193" s="472">
        <v>125</v>
      </c>
      <c r="F193" s="472">
        <v>3000654</v>
      </c>
      <c r="G193" s="472">
        <v>5005023</v>
      </c>
      <c r="H193" s="472">
        <v>3</v>
      </c>
      <c r="I193" s="472">
        <v>12</v>
      </c>
      <c r="J193" s="472">
        <v>24</v>
      </c>
      <c r="K193" s="472">
        <v>135560</v>
      </c>
      <c r="L193" s="472" t="s">
        <v>66</v>
      </c>
      <c r="M193" s="124" t="s">
        <v>67</v>
      </c>
      <c r="N193" s="472">
        <v>95</v>
      </c>
      <c r="O193" s="474"/>
      <c r="P193" s="474" t="s">
        <v>4</v>
      </c>
      <c r="Q193" s="472" t="s">
        <v>68</v>
      </c>
      <c r="R193" s="475" t="s">
        <v>69</v>
      </c>
      <c r="S193" s="475" t="s">
        <v>137</v>
      </c>
      <c r="T193" s="475"/>
      <c r="U193" s="124" t="s">
        <v>192</v>
      </c>
      <c r="V193" s="475" t="s">
        <v>3</v>
      </c>
      <c r="W193" s="121">
        <v>1</v>
      </c>
      <c r="X193" s="476">
        <v>3000</v>
      </c>
      <c r="Y193" s="475"/>
      <c r="Z193" s="475"/>
      <c r="AA193" s="476"/>
      <c r="AB193" s="475"/>
      <c r="AC193" s="475"/>
      <c r="AD193" s="563">
        <v>30</v>
      </c>
      <c r="AE193" s="475"/>
      <c r="AF193" s="475"/>
      <c r="AG193" s="476"/>
      <c r="AH193" s="475"/>
      <c r="AI193" s="475"/>
      <c r="AJ193" s="476"/>
      <c r="AK193" s="476">
        <v>3000</v>
      </c>
      <c r="AL193" s="475"/>
      <c r="AM193" s="476"/>
      <c r="AN193" s="475"/>
      <c r="AO193" s="475"/>
      <c r="AP193" s="567"/>
      <c r="AQ193" s="567">
        <v>3000</v>
      </c>
      <c r="AR193" s="472" t="s">
        <v>73</v>
      </c>
      <c r="AS193" s="472" t="s">
        <v>73</v>
      </c>
      <c r="AT193" s="472" t="s">
        <v>73</v>
      </c>
      <c r="AU193" s="472" t="s">
        <v>73</v>
      </c>
      <c r="AV193" s="472" t="s">
        <v>73</v>
      </c>
      <c r="AW193" s="472" t="s">
        <v>73</v>
      </c>
      <c r="AX193" s="476">
        <v>3000</v>
      </c>
      <c r="AY193" s="479" t="s">
        <v>7</v>
      </c>
      <c r="AZ193" s="474" t="s">
        <v>74</v>
      </c>
      <c r="BA193" s="474"/>
      <c r="BB193" s="480"/>
      <c r="BC193" s="480"/>
      <c r="BK193" s="481" t="s">
        <v>790</v>
      </c>
      <c r="BL193" s="481" t="s">
        <v>791</v>
      </c>
      <c r="BM193" s="487" t="s">
        <v>1251</v>
      </c>
      <c r="BN193" s="565" t="s">
        <v>1252</v>
      </c>
      <c r="BO193" s="284" t="s">
        <v>1253</v>
      </c>
      <c r="BP193" s="285">
        <v>46167</v>
      </c>
      <c r="BQ193" s="482"/>
      <c r="BR193" s="965">
        <v>4976</v>
      </c>
      <c r="BS193" s="482"/>
      <c r="BT193" s="482"/>
      <c r="BU193" s="482" t="s">
        <v>1388</v>
      </c>
      <c r="BV193" s="414" t="s">
        <v>1392</v>
      </c>
      <c r="BW193" s="566" t="s">
        <v>880</v>
      </c>
      <c r="BX193" s="566" t="s">
        <v>1393</v>
      </c>
      <c r="BY193" s="284">
        <v>41380060</v>
      </c>
      <c r="BZ193" s="284">
        <v>10413800604</v>
      </c>
      <c r="CA193" s="288">
        <v>3000</v>
      </c>
      <c r="CB193" s="285">
        <v>46174</v>
      </c>
      <c r="CC193" s="285">
        <v>46203</v>
      </c>
      <c r="CD193" s="759"/>
      <c r="CE193" s="485">
        <f t="shared" si="366"/>
        <v>0</v>
      </c>
      <c r="CF193" s="484">
        <f t="shared" si="367"/>
        <v>0</v>
      </c>
      <c r="CG193" s="485"/>
      <c r="CH193" s="485">
        <f t="shared" si="368"/>
        <v>0</v>
      </c>
      <c r="CI193" s="485"/>
      <c r="CJ193" s="485">
        <f t="shared" si="369"/>
        <v>0</v>
      </c>
      <c r="CK193" s="484">
        <f t="shared" si="370"/>
        <v>0</v>
      </c>
      <c r="CL193" s="484">
        <f t="shared" si="371"/>
        <v>0</v>
      </c>
      <c r="CM193" s="1006"/>
      <c r="CN193" s="485">
        <f t="shared" si="372"/>
        <v>30</v>
      </c>
      <c r="CO193" s="484">
        <f t="shared" si="373"/>
        <v>3000</v>
      </c>
      <c r="CP193" s="485">
        <v>30</v>
      </c>
      <c r="CQ193" s="484">
        <f t="shared" si="374"/>
        <v>3000</v>
      </c>
      <c r="CR193" s="485">
        <v>30</v>
      </c>
      <c r="CS193" s="484">
        <f t="shared" si="375"/>
        <v>3000</v>
      </c>
      <c r="CT193" s="484">
        <f t="shared" si="376"/>
        <v>0</v>
      </c>
      <c r="CU193" s="484">
        <f t="shared" si="377"/>
        <v>0</v>
      </c>
      <c r="CV193" s="1006"/>
      <c r="CW193" s="1007">
        <f t="shared" si="361"/>
        <v>3000</v>
      </c>
      <c r="CX193" s="486">
        <f t="shared" si="362"/>
        <v>3000</v>
      </c>
      <c r="CY193" s="486">
        <f t="shared" si="363"/>
        <v>3000</v>
      </c>
      <c r="CZ193" s="1007">
        <f t="shared" si="364"/>
        <v>0</v>
      </c>
      <c r="DA193" s="1007">
        <f t="shared" si="365"/>
        <v>0</v>
      </c>
    </row>
    <row r="194" spans="1:16378" ht="51" hidden="1" x14ac:dyDescent="0.25">
      <c r="A194" s="472">
        <v>2026</v>
      </c>
      <c r="B194" s="472">
        <v>479</v>
      </c>
      <c r="C194" s="472" t="s">
        <v>64</v>
      </c>
      <c r="D194" s="472" t="s">
        <v>65</v>
      </c>
      <c r="E194" s="472">
        <v>125</v>
      </c>
      <c r="F194" s="472">
        <v>3000654</v>
      </c>
      <c r="G194" s="472">
        <v>5005023</v>
      </c>
      <c r="H194" s="472">
        <v>3</v>
      </c>
      <c r="I194" s="472">
        <v>12</v>
      </c>
      <c r="J194" s="472">
        <v>24</v>
      </c>
      <c r="K194" s="472">
        <v>135560</v>
      </c>
      <c r="L194" s="472" t="s">
        <v>66</v>
      </c>
      <c r="M194" s="124" t="s">
        <v>67</v>
      </c>
      <c r="N194" s="472">
        <v>95</v>
      </c>
      <c r="O194" s="474"/>
      <c r="P194" s="474" t="s">
        <v>4</v>
      </c>
      <c r="Q194" s="472" t="s">
        <v>68</v>
      </c>
      <c r="R194" s="475" t="s">
        <v>69</v>
      </c>
      <c r="S194" s="475" t="s">
        <v>137</v>
      </c>
      <c r="T194" s="475"/>
      <c r="U194" s="124" t="s">
        <v>192</v>
      </c>
      <c r="V194" s="475" t="s">
        <v>3</v>
      </c>
      <c r="W194" s="121">
        <v>1</v>
      </c>
      <c r="X194" s="476">
        <v>3000</v>
      </c>
      <c r="Y194" s="475"/>
      <c r="Z194" s="475"/>
      <c r="AA194" s="476"/>
      <c r="AB194" s="475"/>
      <c r="AC194" s="475"/>
      <c r="AD194" s="563">
        <v>30</v>
      </c>
      <c r="AE194" s="475"/>
      <c r="AF194" s="475"/>
      <c r="AG194" s="476"/>
      <c r="AH194" s="475"/>
      <c r="AI194" s="475"/>
      <c r="AJ194" s="476"/>
      <c r="AK194" s="476">
        <v>3000</v>
      </c>
      <c r="AL194" s="475"/>
      <c r="AM194" s="476"/>
      <c r="AN194" s="475"/>
      <c r="AO194" s="475"/>
      <c r="AP194" s="567"/>
      <c r="AQ194" s="567">
        <v>3000</v>
      </c>
      <c r="AR194" s="472" t="s">
        <v>73</v>
      </c>
      <c r="AS194" s="472" t="s">
        <v>73</v>
      </c>
      <c r="AT194" s="472" t="s">
        <v>73</v>
      </c>
      <c r="AU194" s="472" t="s">
        <v>73</v>
      </c>
      <c r="AV194" s="472" t="s">
        <v>73</v>
      </c>
      <c r="AW194" s="472" t="s">
        <v>73</v>
      </c>
      <c r="AX194" s="476">
        <v>3000</v>
      </c>
      <c r="AY194" s="479" t="s">
        <v>7</v>
      </c>
      <c r="AZ194" s="474" t="s">
        <v>74</v>
      </c>
      <c r="BA194" s="474"/>
      <c r="BB194" s="480"/>
      <c r="BC194" s="480"/>
      <c r="BK194" s="481" t="s">
        <v>790</v>
      </c>
      <c r="BL194" s="481" t="s">
        <v>791</v>
      </c>
      <c r="BM194" s="487" t="s">
        <v>1251</v>
      </c>
      <c r="BN194" s="565" t="s">
        <v>1252</v>
      </c>
      <c r="BO194" s="284" t="s">
        <v>1253</v>
      </c>
      <c r="BP194" s="285">
        <v>46167</v>
      </c>
      <c r="BQ194" s="482"/>
      <c r="BR194" s="965">
        <v>4977</v>
      </c>
      <c r="BS194" s="482"/>
      <c r="BT194" s="482"/>
      <c r="BU194" s="482" t="s">
        <v>1388</v>
      </c>
      <c r="BV194" s="414" t="s">
        <v>1386</v>
      </c>
      <c r="BW194" s="566" t="s">
        <v>1394</v>
      </c>
      <c r="BX194" s="566" t="s">
        <v>1395</v>
      </c>
      <c r="BY194" s="284">
        <v>46057190</v>
      </c>
      <c r="BZ194" s="284">
        <v>10460571907</v>
      </c>
      <c r="CA194" s="288">
        <v>3000</v>
      </c>
      <c r="CB194" s="285">
        <v>46174</v>
      </c>
      <c r="CC194" s="285">
        <v>46203</v>
      </c>
      <c r="CD194" s="759"/>
      <c r="CE194" s="485">
        <f t="shared" si="366"/>
        <v>0</v>
      </c>
      <c r="CF194" s="484">
        <f t="shared" si="367"/>
        <v>0</v>
      </c>
      <c r="CG194" s="485"/>
      <c r="CH194" s="485">
        <f t="shared" si="368"/>
        <v>0</v>
      </c>
      <c r="CI194" s="485"/>
      <c r="CJ194" s="485">
        <f t="shared" si="369"/>
        <v>0</v>
      </c>
      <c r="CK194" s="484">
        <f t="shared" si="370"/>
        <v>0</v>
      </c>
      <c r="CL194" s="484">
        <f t="shared" si="371"/>
        <v>0</v>
      </c>
      <c r="CM194" s="1006"/>
      <c r="CN194" s="485">
        <f t="shared" si="372"/>
        <v>30</v>
      </c>
      <c r="CO194" s="484">
        <f t="shared" si="373"/>
        <v>3000</v>
      </c>
      <c r="CP194" s="485">
        <v>30</v>
      </c>
      <c r="CQ194" s="484">
        <f t="shared" si="374"/>
        <v>3000</v>
      </c>
      <c r="CR194" s="485">
        <v>30</v>
      </c>
      <c r="CS194" s="484">
        <f t="shared" si="375"/>
        <v>3000</v>
      </c>
      <c r="CT194" s="484">
        <f t="shared" si="376"/>
        <v>0</v>
      </c>
      <c r="CU194" s="484">
        <f t="shared" si="377"/>
        <v>0</v>
      </c>
      <c r="CV194" s="1006"/>
      <c r="CW194" s="1007">
        <f t="shared" si="361"/>
        <v>3000</v>
      </c>
      <c r="CX194" s="486">
        <f t="shared" si="362"/>
        <v>3000</v>
      </c>
      <c r="CY194" s="486">
        <f t="shared" si="363"/>
        <v>3000</v>
      </c>
      <c r="CZ194" s="1007">
        <f t="shared" si="364"/>
        <v>0</v>
      </c>
      <c r="DA194" s="1007">
        <f t="shared" si="365"/>
        <v>0</v>
      </c>
    </row>
    <row r="195" spans="1:16378" ht="51" hidden="1" x14ac:dyDescent="0.25">
      <c r="A195" s="472">
        <v>2026</v>
      </c>
      <c r="B195" s="472">
        <v>479</v>
      </c>
      <c r="C195" s="472" t="s">
        <v>64</v>
      </c>
      <c r="D195" s="472" t="s">
        <v>65</v>
      </c>
      <c r="E195" s="472">
        <v>125</v>
      </c>
      <c r="F195" s="472">
        <v>3000654</v>
      </c>
      <c r="G195" s="472">
        <v>5005023</v>
      </c>
      <c r="H195" s="472">
        <v>3</v>
      </c>
      <c r="I195" s="472">
        <v>12</v>
      </c>
      <c r="J195" s="472">
        <v>24</v>
      </c>
      <c r="K195" s="472">
        <v>135560</v>
      </c>
      <c r="L195" s="472" t="s">
        <v>66</v>
      </c>
      <c r="M195" s="124" t="s">
        <v>67</v>
      </c>
      <c r="N195" s="472">
        <v>95</v>
      </c>
      <c r="O195" s="474"/>
      <c r="P195" s="474" t="s">
        <v>4</v>
      </c>
      <c r="Q195" s="472" t="s">
        <v>68</v>
      </c>
      <c r="R195" s="475" t="s">
        <v>69</v>
      </c>
      <c r="S195" s="475" t="s">
        <v>137</v>
      </c>
      <c r="T195" s="475"/>
      <c r="U195" s="124" t="s">
        <v>192</v>
      </c>
      <c r="V195" s="475" t="s">
        <v>3</v>
      </c>
      <c r="W195" s="121">
        <v>1</v>
      </c>
      <c r="X195" s="476">
        <v>3000</v>
      </c>
      <c r="Y195" s="475"/>
      <c r="Z195" s="475"/>
      <c r="AA195" s="476"/>
      <c r="AB195" s="475"/>
      <c r="AC195" s="475"/>
      <c r="AD195" s="563">
        <v>30</v>
      </c>
      <c r="AE195" s="475"/>
      <c r="AF195" s="475"/>
      <c r="AG195" s="476"/>
      <c r="AH195" s="475"/>
      <c r="AI195" s="475"/>
      <c r="AJ195" s="476"/>
      <c r="AK195" s="476">
        <v>3000</v>
      </c>
      <c r="AL195" s="475"/>
      <c r="AM195" s="476"/>
      <c r="AN195" s="475"/>
      <c r="AO195" s="475"/>
      <c r="AP195" s="567"/>
      <c r="AQ195" s="567">
        <v>3000</v>
      </c>
      <c r="AR195" s="472" t="s">
        <v>73</v>
      </c>
      <c r="AS195" s="472" t="s">
        <v>73</v>
      </c>
      <c r="AT195" s="472" t="s">
        <v>73</v>
      </c>
      <c r="AU195" s="472" t="s">
        <v>73</v>
      </c>
      <c r="AV195" s="472" t="s">
        <v>73</v>
      </c>
      <c r="AW195" s="472" t="s">
        <v>73</v>
      </c>
      <c r="AX195" s="476">
        <v>3000</v>
      </c>
      <c r="AY195" s="479" t="s">
        <v>7</v>
      </c>
      <c r="AZ195" s="474" t="s">
        <v>74</v>
      </c>
      <c r="BA195" s="474"/>
      <c r="BB195" s="480"/>
      <c r="BC195" s="480"/>
      <c r="BK195" s="481" t="s">
        <v>790</v>
      </c>
      <c r="BL195" s="481" t="s">
        <v>791</v>
      </c>
      <c r="BM195" s="487" t="s">
        <v>1251</v>
      </c>
      <c r="BN195" s="565" t="s">
        <v>1252</v>
      </c>
      <c r="BO195" s="284" t="s">
        <v>1253</v>
      </c>
      <c r="BP195" s="285">
        <v>46167</v>
      </c>
      <c r="BQ195" s="482"/>
      <c r="BR195" s="965">
        <v>4978</v>
      </c>
      <c r="BS195" s="482"/>
      <c r="BT195" s="482"/>
      <c r="BU195" s="482" t="s">
        <v>1388</v>
      </c>
      <c r="BV195" s="414" t="s">
        <v>1396</v>
      </c>
      <c r="BW195" s="566" t="s">
        <v>1397</v>
      </c>
      <c r="BX195" s="566" t="s">
        <v>1398</v>
      </c>
      <c r="BY195" s="284">
        <v>47175451</v>
      </c>
      <c r="BZ195" s="284">
        <v>10471754515</v>
      </c>
      <c r="CA195" s="288">
        <v>3000</v>
      </c>
      <c r="CB195" s="285">
        <v>46174</v>
      </c>
      <c r="CC195" s="285">
        <v>46203</v>
      </c>
      <c r="CD195" s="759"/>
      <c r="CE195" s="485">
        <f t="shared" si="366"/>
        <v>0</v>
      </c>
      <c r="CF195" s="484">
        <f t="shared" si="367"/>
        <v>0</v>
      </c>
      <c r="CG195" s="485"/>
      <c r="CH195" s="485">
        <f t="shared" si="368"/>
        <v>0</v>
      </c>
      <c r="CI195" s="485"/>
      <c r="CJ195" s="485">
        <f t="shared" si="369"/>
        <v>0</v>
      </c>
      <c r="CK195" s="484">
        <f t="shared" si="370"/>
        <v>0</v>
      </c>
      <c r="CL195" s="484">
        <f t="shared" si="371"/>
        <v>0</v>
      </c>
      <c r="CM195" s="1006"/>
      <c r="CN195" s="485">
        <f t="shared" si="372"/>
        <v>30</v>
      </c>
      <c r="CO195" s="484">
        <f t="shared" si="373"/>
        <v>3000</v>
      </c>
      <c r="CP195" s="485">
        <v>30</v>
      </c>
      <c r="CQ195" s="484">
        <f t="shared" si="374"/>
        <v>3000</v>
      </c>
      <c r="CR195" s="485">
        <v>30</v>
      </c>
      <c r="CS195" s="484">
        <f t="shared" si="375"/>
        <v>3000</v>
      </c>
      <c r="CT195" s="484">
        <f t="shared" si="376"/>
        <v>0</v>
      </c>
      <c r="CU195" s="484">
        <f t="shared" si="377"/>
        <v>0</v>
      </c>
      <c r="CV195" s="1006"/>
      <c r="CW195" s="1007">
        <f t="shared" si="361"/>
        <v>3000</v>
      </c>
      <c r="CX195" s="486">
        <f t="shared" si="362"/>
        <v>3000</v>
      </c>
      <c r="CY195" s="486">
        <f t="shared" si="363"/>
        <v>3000</v>
      </c>
      <c r="CZ195" s="1007">
        <f t="shared" si="364"/>
        <v>0</v>
      </c>
      <c r="DA195" s="1007">
        <f t="shared" si="365"/>
        <v>0</v>
      </c>
    </row>
    <row r="196" spans="1:16378" ht="51" hidden="1" x14ac:dyDescent="0.25">
      <c r="A196" s="472">
        <v>2026</v>
      </c>
      <c r="B196" s="472">
        <v>479</v>
      </c>
      <c r="C196" s="472" t="s">
        <v>64</v>
      </c>
      <c r="D196" s="472" t="s">
        <v>65</v>
      </c>
      <c r="E196" s="472">
        <v>125</v>
      </c>
      <c r="F196" s="472">
        <v>3000654</v>
      </c>
      <c r="G196" s="472">
        <v>5005023</v>
      </c>
      <c r="H196" s="472">
        <v>3</v>
      </c>
      <c r="I196" s="472">
        <v>12</v>
      </c>
      <c r="J196" s="472">
        <v>24</v>
      </c>
      <c r="K196" s="472">
        <v>135560</v>
      </c>
      <c r="L196" s="472" t="s">
        <v>66</v>
      </c>
      <c r="M196" s="124" t="s">
        <v>67</v>
      </c>
      <c r="N196" s="472">
        <v>95</v>
      </c>
      <c r="O196" s="474"/>
      <c r="P196" s="474" t="s">
        <v>4</v>
      </c>
      <c r="Q196" s="472" t="s">
        <v>68</v>
      </c>
      <c r="R196" s="475" t="s">
        <v>69</v>
      </c>
      <c r="S196" s="475" t="s">
        <v>137</v>
      </c>
      <c r="T196" s="475"/>
      <c r="U196" s="124" t="s">
        <v>192</v>
      </c>
      <c r="V196" s="475" t="s">
        <v>3</v>
      </c>
      <c r="W196" s="121">
        <v>1</v>
      </c>
      <c r="X196" s="476">
        <v>3000</v>
      </c>
      <c r="Y196" s="475"/>
      <c r="Z196" s="475"/>
      <c r="AA196" s="476"/>
      <c r="AB196" s="475"/>
      <c r="AC196" s="475"/>
      <c r="AD196" s="563">
        <v>30</v>
      </c>
      <c r="AE196" s="475"/>
      <c r="AF196" s="475"/>
      <c r="AG196" s="476"/>
      <c r="AH196" s="475"/>
      <c r="AI196" s="475"/>
      <c r="AJ196" s="476"/>
      <c r="AK196" s="476">
        <v>3000</v>
      </c>
      <c r="AL196" s="475"/>
      <c r="AM196" s="476"/>
      <c r="AN196" s="475"/>
      <c r="AO196" s="475"/>
      <c r="AP196" s="567"/>
      <c r="AQ196" s="567">
        <v>3000</v>
      </c>
      <c r="AR196" s="472" t="s">
        <v>73</v>
      </c>
      <c r="AS196" s="472" t="s">
        <v>73</v>
      </c>
      <c r="AT196" s="472" t="s">
        <v>73</v>
      </c>
      <c r="AU196" s="472" t="s">
        <v>73</v>
      </c>
      <c r="AV196" s="472" t="s">
        <v>73</v>
      </c>
      <c r="AW196" s="472" t="s">
        <v>73</v>
      </c>
      <c r="AX196" s="476">
        <v>3000</v>
      </c>
      <c r="AY196" s="479" t="s">
        <v>7</v>
      </c>
      <c r="AZ196" s="474" t="s">
        <v>74</v>
      </c>
      <c r="BA196" s="474"/>
      <c r="BB196" s="480"/>
      <c r="BC196" s="480"/>
      <c r="BK196" s="481" t="s">
        <v>790</v>
      </c>
      <c r="BL196" s="481" t="s">
        <v>791</v>
      </c>
      <c r="BM196" s="487" t="s">
        <v>1251</v>
      </c>
      <c r="BN196" s="565" t="s">
        <v>1252</v>
      </c>
      <c r="BO196" s="284" t="s">
        <v>1253</v>
      </c>
      <c r="BP196" s="285">
        <v>46167</v>
      </c>
      <c r="BQ196" s="482"/>
      <c r="BR196" s="965">
        <v>4979</v>
      </c>
      <c r="BS196" s="482"/>
      <c r="BT196" s="482"/>
      <c r="BU196" s="482" t="s">
        <v>1388</v>
      </c>
      <c r="BV196" s="414" t="s">
        <v>1399</v>
      </c>
      <c r="BW196" s="566" t="s">
        <v>1400</v>
      </c>
      <c r="BX196" s="566" t="s">
        <v>1401</v>
      </c>
      <c r="BY196" s="284">
        <v>72841826</v>
      </c>
      <c r="BZ196" s="284">
        <v>10728418261</v>
      </c>
      <c r="CA196" s="288">
        <v>3000</v>
      </c>
      <c r="CB196" s="285">
        <v>46174</v>
      </c>
      <c r="CC196" s="285">
        <v>46203</v>
      </c>
      <c r="CD196" s="759"/>
      <c r="CE196" s="485">
        <f t="shared" si="366"/>
        <v>0</v>
      </c>
      <c r="CF196" s="484">
        <f t="shared" si="367"/>
        <v>0</v>
      </c>
      <c r="CG196" s="485"/>
      <c r="CH196" s="485">
        <f t="shared" si="368"/>
        <v>0</v>
      </c>
      <c r="CI196" s="485"/>
      <c r="CJ196" s="485">
        <f t="shared" si="369"/>
        <v>0</v>
      </c>
      <c r="CK196" s="484">
        <f t="shared" si="370"/>
        <v>0</v>
      </c>
      <c r="CL196" s="484">
        <f t="shared" si="371"/>
        <v>0</v>
      </c>
      <c r="CM196" s="1006"/>
      <c r="CN196" s="485">
        <f t="shared" si="372"/>
        <v>30</v>
      </c>
      <c r="CO196" s="484">
        <f t="shared" si="373"/>
        <v>3000</v>
      </c>
      <c r="CP196" s="485">
        <v>30</v>
      </c>
      <c r="CQ196" s="484">
        <f t="shared" si="374"/>
        <v>3000</v>
      </c>
      <c r="CR196" s="485">
        <v>30</v>
      </c>
      <c r="CS196" s="484">
        <f t="shared" si="375"/>
        <v>3000</v>
      </c>
      <c r="CT196" s="484">
        <f t="shared" si="376"/>
        <v>0</v>
      </c>
      <c r="CU196" s="484">
        <f t="shared" si="377"/>
        <v>0</v>
      </c>
      <c r="CV196" s="1006"/>
      <c r="CW196" s="1007">
        <f t="shared" si="361"/>
        <v>3000</v>
      </c>
      <c r="CX196" s="486">
        <f t="shared" si="362"/>
        <v>3000</v>
      </c>
      <c r="CY196" s="486">
        <f t="shared" si="363"/>
        <v>3000</v>
      </c>
      <c r="CZ196" s="1007">
        <f t="shared" si="364"/>
        <v>0</v>
      </c>
      <c r="DA196" s="1007">
        <f t="shared" si="365"/>
        <v>0</v>
      </c>
    </row>
    <row r="197" spans="1:16378" s="682" customFormat="1" ht="51" hidden="1" x14ac:dyDescent="0.25">
      <c r="A197" s="775">
        <v>2026</v>
      </c>
      <c r="B197" s="775">
        <v>479</v>
      </c>
      <c r="C197" s="775" t="s">
        <v>64</v>
      </c>
      <c r="D197" s="775" t="s">
        <v>65</v>
      </c>
      <c r="E197" s="775">
        <v>125</v>
      </c>
      <c r="F197" s="775">
        <v>3000654</v>
      </c>
      <c r="G197" s="775">
        <v>5005023</v>
      </c>
      <c r="H197" s="775">
        <v>3</v>
      </c>
      <c r="I197" s="775">
        <v>12</v>
      </c>
      <c r="J197" s="775">
        <v>24</v>
      </c>
      <c r="K197" s="775">
        <v>135560</v>
      </c>
      <c r="L197" s="775" t="s">
        <v>66</v>
      </c>
      <c r="M197" s="776" t="s">
        <v>67</v>
      </c>
      <c r="N197" s="775">
        <v>95</v>
      </c>
      <c r="O197" s="777"/>
      <c r="P197" s="777" t="s">
        <v>4</v>
      </c>
      <c r="Q197" s="775" t="s">
        <v>68</v>
      </c>
      <c r="R197" s="775" t="s">
        <v>69</v>
      </c>
      <c r="S197" s="775" t="s">
        <v>137</v>
      </c>
      <c r="T197" s="775"/>
      <c r="U197" s="776" t="s">
        <v>192</v>
      </c>
      <c r="V197" s="775" t="s">
        <v>3</v>
      </c>
      <c r="W197" s="669">
        <v>1</v>
      </c>
      <c r="X197" s="801">
        <v>3000</v>
      </c>
      <c r="Y197" s="775"/>
      <c r="Z197" s="775"/>
      <c r="AA197" s="778"/>
      <c r="AB197" s="775"/>
      <c r="AC197" s="775"/>
      <c r="AD197" s="779">
        <v>30</v>
      </c>
      <c r="AE197" s="775"/>
      <c r="AF197" s="775"/>
      <c r="AG197" s="778"/>
      <c r="AH197" s="775"/>
      <c r="AI197" s="775"/>
      <c r="AJ197" s="778"/>
      <c r="AK197" s="801">
        <v>3000</v>
      </c>
      <c r="AL197" s="775"/>
      <c r="AM197" s="798"/>
      <c r="AN197" s="775"/>
      <c r="AO197" s="775"/>
      <c r="AP197" s="798"/>
      <c r="AQ197" s="995">
        <v>3000</v>
      </c>
      <c r="AR197" s="775" t="s">
        <v>73</v>
      </c>
      <c r="AS197" s="775" t="s">
        <v>73</v>
      </c>
      <c r="AT197" s="775" t="s">
        <v>73</v>
      </c>
      <c r="AU197" s="775" t="s">
        <v>73</v>
      </c>
      <c r="AV197" s="775" t="s">
        <v>73</v>
      </c>
      <c r="AW197" s="775" t="s">
        <v>73</v>
      </c>
      <c r="AX197" s="778">
        <v>3000</v>
      </c>
      <c r="AY197" s="681" t="s">
        <v>7</v>
      </c>
      <c r="AZ197" s="777" t="s">
        <v>74</v>
      </c>
      <c r="BA197" s="777"/>
      <c r="BB197" s="686"/>
      <c r="BC197" s="686"/>
      <c r="BD197"/>
      <c r="BE197"/>
      <c r="BF197"/>
      <c r="BG197"/>
      <c r="BH197"/>
      <c r="BI197"/>
      <c r="BJ197"/>
      <c r="BK197" s="481" t="s">
        <v>802</v>
      </c>
      <c r="BL197" s="767" t="s">
        <v>803</v>
      </c>
      <c r="BM197" s="780"/>
      <c r="BN197" s="781"/>
      <c r="BO197" s="481"/>
      <c r="BP197" s="685"/>
      <c r="BQ197" s="771"/>
      <c r="BR197" s="771"/>
      <c r="BS197" s="771"/>
      <c r="BT197" s="771"/>
      <c r="BU197" s="771"/>
      <c r="BV197" s="772"/>
      <c r="BW197" s="772"/>
      <c r="BX197" s="772"/>
      <c r="BY197" s="683"/>
      <c r="BZ197" s="683"/>
      <c r="CA197" s="782"/>
      <c r="CB197" s="685"/>
      <c r="CC197" s="685"/>
      <c r="CD197" s="774"/>
      <c r="CE197" s="1009">
        <f t="shared" si="366"/>
        <v>0</v>
      </c>
      <c r="CF197" s="1002">
        <f t="shared" si="367"/>
        <v>0</v>
      </c>
      <c r="CG197" s="1009"/>
      <c r="CH197" s="1009">
        <f t="shared" si="368"/>
        <v>0</v>
      </c>
      <c r="CI197" s="1009"/>
      <c r="CJ197" s="1009">
        <f t="shared" si="369"/>
        <v>0</v>
      </c>
      <c r="CK197" s="1002">
        <f t="shared" si="370"/>
        <v>0</v>
      </c>
      <c r="CL197" s="1002">
        <f t="shared" si="371"/>
        <v>0</v>
      </c>
      <c r="CM197" s="1010"/>
      <c r="CN197" s="1009">
        <f t="shared" si="372"/>
        <v>30</v>
      </c>
      <c r="CO197" s="1002">
        <f t="shared" si="373"/>
        <v>3000</v>
      </c>
      <c r="CP197" s="1009"/>
      <c r="CQ197" s="1002">
        <f t="shared" si="374"/>
        <v>0</v>
      </c>
      <c r="CR197" s="1009"/>
      <c r="CS197" s="1002">
        <f t="shared" si="375"/>
        <v>0</v>
      </c>
      <c r="CT197" s="1002">
        <f t="shared" si="376"/>
        <v>3000</v>
      </c>
      <c r="CU197" s="1002">
        <f t="shared" si="377"/>
        <v>3000</v>
      </c>
      <c r="CV197" s="1010"/>
      <c r="CW197" s="1011">
        <f t="shared" ref="CW197:CW273" si="378">AX197</f>
        <v>3000</v>
      </c>
      <c r="CX197" s="1012">
        <f t="shared" ref="CX197:CX273" si="379">CH197+CQ197</f>
        <v>0</v>
      </c>
      <c r="CY197" s="1012">
        <f t="shared" ref="CY197:CY273" si="380">CJ197+CS197</f>
        <v>0</v>
      </c>
      <c r="CZ197" s="1011">
        <f t="shared" ref="CZ197:CZ273" si="381">CW197-CX197</f>
        <v>3000</v>
      </c>
      <c r="DA197" s="1011">
        <f t="shared" ref="DA197:DA273" si="382">CW197-CY197</f>
        <v>3000</v>
      </c>
      <c r="DD197" s="682" t="s">
        <v>1402</v>
      </c>
    </row>
    <row r="198" spans="1:16378" ht="51" hidden="1" x14ac:dyDescent="0.25">
      <c r="A198" s="472">
        <v>2026</v>
      </c>
      <c r="B198" s="472">
        <v>479</v>
      </c>
      <c r="C198" s="472" t="s">
        <v>64</v>
      </c>
      <c r="D198" s="472" t="s">
        <v>65</v>
      </c>
      <c r="E198" s="472">
        <v>125</v>
      </c>
      <c r="F198" s="472">
        <v>3000654</v>
      </c>
      <c r="G198" s="472">
        <v>5005023</v>
      </c>
      <c r="H198" s="472">
        <v>3</v>
      </c>
      <c r="I198" s="472">
        <v>12</v>
      </c>
      <c r="J198" s="472">
        <v>24</v>
      </c>
      <c r="K198" s="472">
        <v>135560</v>
      </c>
      <c r="L198" s="472" t="s">
        <v>66</v>
      </c>
      <c r="M198" s="124" t="s">
        <v>67</v>
      </c>
      <c r="N198" s="472">
        <v>95</v>
      </c>
      <c r="O198" s="474"/>
      <c r="P198" s="474" t="s">
        <v>4</v>
      </c>
      <c r="Q198" s="472" t="s">
        <v>68</v>
      </c>
      <c r="R198" s="475" t="s">
        <v>69</v>
      </c>
      <c r="S198" s="475" t="s">
        <v>137</v>
      </c>
      <c r="T198" s="475"/>
      <c r="U198" s="124" t="s">
        <v>192</v>
      </c>
      <c r="V198" s="475" t="s">
        <v>3</v>
      </c>
      <c r="W198" s="121">
        <v>1</v>
      </c>
      <c r="X198" s="476">
        <v>3000</v>
      </c>
      <c r="Y198" s="475"/>
      <c r="Z198" s="475"/>
      <c r="AA198" s="476"/>
      <c r="AB198" s="475"/>
      <c r="AC198" s="475"/>
      <c r="AD198" s="563">
        <v>30</v>
      </c>
      <c r="AE198" s="475"/>
      <c r="AF198" s="475"/>
      <c r="AG198" s="476"/>
      <c r="AH198" s="475"/>
      <c r="AI198" s="475"/>
      <c r="AJ198" s="476"/>
      <c r="AK198" s="476">
        <v>3000</v>
      </c>
      <c r="AL198" s="475"/>
      <c r="AM198" s="476"/>
      <c r="AN198" s="475"/>
      <c r="AO198" s="475"/>
      <c r="AP198" s="567"/>
      <c r="AQ198" s="567">
        <v>3000</v>
      </c>
      <c r="AR198" s="472" t="s">
        <v>73</v>
      </c>
      <c r="AS198" s="472" t="s">
        <v>73</v>
      </c>
      <c r="AT198" s="472" t="s">
        <v>73</v>
      </c>
      <c r="AU198" s="472" t="s">
        <v>73</v>
      </c>
      <c r="AV198" s="472" t="s">
        <v>73</v>
      </c>
      <c r="AW198" s="472" t="s">
        <v>73</v>
      </c>
      <c r="AX198" s="476">
        <v>3000</v>
      </c>
      <c r="AY198" s="479" t="s">
        <v>7</v>
      </c>
      <c r="AZ198" s="474" t="s">
        <v>74</v>
      </c>
      <c r="BA198" s="474"/>
      <c r="BB198" s="480"/>
      <c r="BC198" s="480"/>
      <c r="BK198" s="481" t="s">
        <v>790</v>
      </c>
      <c r="BL198" s="481" t="s">
        <v>791</v>
      </c>
      <c r="BM198" s="487" t="s">
        <v>1251</v>
      </c>
      <c r="BN198" s="565" t="s">
        <v>1252</v>
      </c>
      <c r="BO198" s="284" t="s">
        <v>1253</v>
      </c>
      <c r="BP198" s="285">
        <v>46167</v>
      </c>
      <c r="BQ198" s="482"/>
      <c r="BR198" s="965">
        <v>4981</v>
      </c>
      <c r="BS198" s="482"/>
      <c r="BT198" s="482"/>
      <c r="BU198" s="482" t="s">
        <v>1388</v>
      </c>
      <c r="BV198" s="414" t="s">
        <v>1403</v>
      </c>
      <c r="BW198" s="566" t="s">
        <v>1355</v>
      </c>
      <c r="BX198" s="566" t="s">
        <v>1404</v>
      </c>
      <c r="BY198" s="284">
        <v>43256578</v>
      </c>
      <c r="BZ198" s="284">
        <v>10432565781</v>
      </c>
      <c r="CA198" s="288">
        <v>3000</v>
      </c>
      <c r="CB198" s="285">
        <v>46174</v>
      </c>
      <c r="CC198" s="285">
        <v>46203</v>
      </c>
      <c r="CD198" s="759"/>
      <c r="CE198" s="485">
        <f t="shared" ref="CE198:CE208" si="383">AC198</f>
        <v>0</v>
      </c>
      <c r="CF198" s="484">
        <f t="shared" ref="CF198:CF208" si="384">AP198</f>
        <v>0</v>
      </c>
      <c r="CG198" s="485"/>
      <c r="CH198" s="485">
        <f t="shared" ref="CH198:CH208" si="385">(X198/30)*CG198</f>
        <v>0</v>
      </c>
      <c r="CI198" s="485"/>
      <c r="CJ198" s="485">
        <f t="shared" ref="CJ198:CJ208" si="386">(X198/30)*CI198</f>
        <v>0</v>
      </c>
      <c r="CK198" s="484">
        <f t="shared" ref="CK198:CK208" si="387">CF198-CH198</f>
        <v>0</v>
      </c>
      <c r="CL198" s="484">
        <f t="shared" ref="CL198:CL208" si="388">CF198-CJ198</f>
        <v>0</v>
      </c>
      <c r="CM198" s="1006"/>
      <c r="CN198" s="485">
        <f t="shared" ref="CN198:CN220" si="389">AD198</f>
        <v>30</v>
      </c>
      <c r="CO198" s="484">
        <f t="shared" ref="CO198:CO220" si="390">AQ198</f>
        <v>3000</v>
      </c>
      <c r="CP198" s="485">
        <v>30</v>
      </c>
      <c r="CQ198" s="484">
        <f t="shared" ref="CQ198:CQ220" si="391">(X198/30)*CP198</f>
        <v>3000</v>
      </c>
      <c r="CR198" s="485">
        <v>30</v>
      </c>
      <c r="CS198" s="484">
        <f t="shared" ref="CS198:CS220" si="392">(X198/30)*CR198</f>
        <v>3000</v>
      </c>
      <c r="CT198" s="484">
        <f t="shared" ref="CT198:CT212" si="393">CO198-CQ198</f>
        <v>0</v>
      </c>
      <c r="CU198" s="484">
        <f t="shared" ref="CU198:CU212" si="394">CO198-CS198</f>
        <v>0</v>
      </c>
      <c r="CV198" s="1006"/>
      <c r="CW198" s="1007">
        <f t="shared" si="378"/>
        <v>3000</v>
      </c>
      <c r="CX198" s="486">
        <f t="shared" si="379"/>
        <v>3000</v>
      </c>
      <c r="CY198" s="486">
        <f t="shared" si="380"/>
        <v>3000</v>
      </c>
      <c r="CZ198" s="1007">
        <f t="shared" si="381"/>
        <v>0</v>
      </c>
      <c r="DA198" s="1007">
        <f t="shared" si="382"/>
        <v>0</v>
      </c>
    </row>
    <row r="199" spans="1:16378" ht="51" hidden="1" x14ac:dyDescent="0.25">
      <c r="A199" s="472">
        <v>2026</v>
      </c>
      <c r="B199" s="472">
        <v>479</v>
      </c>
      <c r="C199" s="472" t="s">
        <v>64</v>
      </c>
      <c r="D199" s="472" t="s">
        <v>65</v>
      </c>
      <c r="E199" s="472">
        <v>125</v>
      </c>
      <c r="F199" s="472">
        <v>3000654</v>
      </c>
      <c r="G199" s="472">
        <v>5005023</v>
      </c>
      <c r="H199" s="472">
        <v>3</v>
      </c>
      <c r="I199" s="472">
        <v>12</v>
      </c>
      <c r="J199" s="472">
        <v>24</v>
      </c>
      <c r="K199" s="472">
        <v>135560</v>
      </c>
      <c r="L199" s="472" t="s">
        <v>66</v>
      </c>
      <c r="M199" s="124" t="s">
        <v>67</v>
      </c>
      <c r="N199" s="472">
        <v>95</v>
      </c>
      <c r="O199" s="474"/>
      <c r="P199" s="474" t="s">
        <v>4</v>
      </c>
      <c r="Q199" s="472" t="s">
        <v>68</v>
      </c>
      <c r="R199" s="475" t="s">
        <v>69</v>
      </c>
      <c r="S199" s="475" t="s">
        <v>137</v>
      </c>
      <c r="T199" s="475"/>
      <c r="U199" s="124" t="s">
        <v>192</v>
      </c>
      <c r="V199" s="475" t="s">
        <v>3</v>
      </c>
      <c r="W199" s="121">
        <v>1</v>
      </c>
      <c r="X199" s="476">
        <v>3000</v>
      </c>
      <c r="Y199" s="475"/>
      <c r="Z199" s="475"/>
      <c r="AA199" s="476"/>
      <c r="AB199" s="475"/>
      <c r="AC199" s="475"/>
      <c r="AD199" s="563">
        <v>30</v>
      </c>
      <c r="AE199" s="475"/>
      <c r="AF199" s="475"/>
      <c r="AG199" s="476"/>
      <c r="AH199" s="475"/>
      <c r="AI199" s="475"/>
      <c r="AJ199" s="476"/>
      <c r="AK199" s="476">
        <v>3000</v>
      </c>
      <c r="AL199" s="475"/>
      <c r="AM199" s="476"/>
      <c r="AN199" s="475"/>
      <c r="AO199" s="475"/>
      <c r="AP199" s="567"/>
      <c r="AQ199" s="567">
        <v>3000</v>
      </c>
      <c r="AR199" s="472" t="s">
        <v>73</v>
      </c>
      <c r="AS199" s="472" t="s">
        <v>73</v>
      </c>
      <c r="AT199" s="472" t="s">
        <v>73</v>
      </c>
      <c r="AU199" s="472" t="s">
        <v>73</v>
      </c>
      <c r="AV199" s="472" t="s">
        <v>73</v>
      </c>
      <c r="AW199" s="472" t="s">
        <v>73</v>
      </c>
      <c r="AX199" s="476">
        <v>3000</v>
      </c>
      <c r="AY199" s="479" t="s">
        <v>7</v>
      </c>
      <c r="AZ199" s="474" t="s">
        <v>74</v>
      </c>
      <c r="BA199" s="474"/>
      <c r="BB199" s="480"/>
      <c r="BC199" s="480"/>
      <c r="BK199" s="481" t="s">
        <v>790</v>
      </c>
      <c r="BL199" s="481" t="s">
        <v>791</v>
      </c>
      <c r="BM199" s="487" t="s">
        <v>1251</v>
      </c>
      <c r="BN199" s="565" t="s">
        <v>1252</v>
      </c>
      <c r="BO199" s="284" t="s">
        <v>1253</v>
      </c>
      <c r="BP199" s="285">
        <v>46167</v>
      </c>
      <c r="BQ199" s="482"/>
      <c r="BR199" s="965">
        <v>4982</v>
      </c>
      <c r="BS199" s="482"/>
      <c r="BT199" s="482"/>
      <c r="BU199" s="482" t="s">
        <v>1388</v>
      </c>
      <c r="BV199" s="414" t="s">
        <v>1405</v>
      </c>
      <c r="BW199" s="566" t="s">
        <v>1406</v>
      </c>
      <c r="BX199" s="566" t="s">
        <v>1407</v>
      </c>
      <c r="BY199" s="284">
        <v>40620206</v>
      </c>
      <c r="BZ199" s="284">
        <v>10406202068</v>
      </c>
      <c r="CA199" s="288">
        <v>3000</v>
      </c>
      <c r="CB199" s="285">
        <v>46174</v>
      </c>
      <c r="CC199" s="285">
        <v>46203</v>
      </c>
      <c r="CD199" s="759"/>
      <c r="CE199" s="485">
        <f t="shared" si="383"/>
        <v>0</v>
      </c>
      <c r="CF199" s="484">
        <f t="shared" si="384"/>
        <v>0</v>
      </c>
      <c r="CG199" s="485"/>
      <c r="CH199" s="485">
        <f t="shared" si="385"/>
        <v>0</v>
      </c>
      <c r="CI199" s="485"/>
      <c r="CJ199" s="485">
        <f t="shared" si="386"/>
        <v>0</v>
      </c>
      <c r="CK199" s="484">
        <f t="shared" si="387"/>
        <v>0</v>
      </c>
      <c r="CL199" s="484">
        <f t="shared" si="388"/>
        <v>0</v>
      </c>
      <c r="CM199" s="1006"/>
      <c r="CN199" s="485">
        <f t="shared" si="389"/>
        <v>30</v>
      </c>
      <c r="CO199" s="484">
        <f t="shared" si="390"/>
        <v>3000</v>
      </c>
      <c r="CP199" s="485">
        <v>30</v>
      </c>
      <c r="CQ199" s="484">
        <f t="shared" si="391"/>
        <v>3000</v>
      </c>
      <c r="CR199" s="485">
        <v>30</v>
      </c>
      <c r="CS199" s="484">
        <f t="shared" si="392"/>
        <v>3000</v>
      </c>
      <c r="CT199" s="484">
        <f t="shared" si="393"/>
        <v>0</v>
      </c>
      <c r="CU199" s="484">
        <f t="shared" si="394"/>
        <v>0</v>
      </c>
      <c r="CV199" s="1006"/>
      <c r="CW199" s="1007">
        <f t="shared" si="378"/>
        <v>3000</v>
      </c>
      <c r="CX199" s="486">
        <f t="shared" si="379"/>
        <v>3000</v>
      </c>
      <c r="CY199" s="486">
        <f t="shared" si="380"/>
        <v>3000</v>
      </c>
      <c r="CZ199" s="1007">
        <f t="shared" si="381"/>
        <v>0</v>
      </c>
      <c r="DA199" s="1007">
        <f t="shared" si="382"/>
        <v>0</v>
      </c>
    </row>
    <row r="200" spans="1:16378" ht="51" hidden="1" x14ac:dyDescent="0.25">
      <c r="A200" s="472">
        <v>2026</v>
      </c>
      <c r="B200" s="472">
        <v>479</v>
      </c>
      <c r="C200" s="472" t="s">
        <v>64</v>
      </c>
      <c r="D200" s="472" t="s">
        <v>65</v>
      </c>
      <c r="E200" s="472">
        <v>125</v>
      </c>
      <c r="F200" s="472">
        <v>3000654</v>
      </c>
      <c r="G200" s="472">
        <v>5005023</v>
      </c>
      <c r="H200" s="472">
        <v>3</v>
      </c>
      <c r="I200" s="472">
        <v>12</v>
      </c>
      <c r="J200" s="472">
        <v>24</v>
      </c>
      <c r="K200" s="472">
        <v>135560</v>
      </c>
      <c r="L200" s="472" t="s">
        <v>66</v>
      </c>
      <c r="M200" s="124" t="s">
        <v>67</v>
      </c>
      <c r="N200" s="472">
        <v>95</v>
      </c>
      <c r="O200" s="474"/>
      <c r="P200" s="474" t="s">
        <v>4</v>
      </c>
      <c r="Q200" s="472" t="s">
        <v>68</v>
      </c>
      <c r="R200" s="475" t="s">
        <v>69</v>
      </c>
      <c r="S200" s="475" t="s">
        <v>137</v>
      </c>
      <c r="T200" s="475"/>
      <c r="U200" s="124" t="s">
        <v>192</v>
      </c>
      <c r="V200" s="475" t="s">
        <v>3</v>
      </c>
      <c r="W200" s="121">
        <v>1</v>
      </c>
      <c r="X200" s="476">
        <v>3000</v>
      </c>
      <c r="Y200" s="475"/>
      <c r="Z200" s="475"/>
      <c r="AA200" s="476"/>
      <c r="AB200" s="475"/>
      <c r="AC200" s="475"/>
      <c r="AD200" s="563">
        <v>30</v>
      </c>
      <c r="AE200" s="475"/>
      <c r="AF200" s="475"/>
      <c r="AG200" s="476"/>
      <c r="AH200" s="475"/>
      <c r="AI200" s="475"/>
      <c r="AJ200" s="476"/>
      <c r="AK200" s="476">
        <v>3000</v>
      </c>
      <c r="AL200" s="475"/>
      <c r="AM200" s="476"/>
      <c r="AN200" s="475"/>
      <c r="AO200" s="475"/>
      <c r="AP200" s="567"/>
      <c r="AQ200" s="567">
        <v>3000</v>
      </c>
      <c r="AR200" s="472" t="s">
        <v>73</v>
      </c>
      <c r="AS200" s="472" t="s">
        <v>73</v>
      </c>
      <c r="AT200" s="472" t="s">
        <v>73</v>
      </c>
      <c r="AU200" s="472" t="s">
        <v>73</v>
      </c>
      <c r="AV200" s="472" t="s">
        <v>73</v>
      </c>
      <c r="AW200" s="472" t="s">
        <v>73</v>
      </c>
      <c r="AX200" s="476">
        <v>3000</v>
      </c>
      <c r="AY200" s="479" t="s">
        <v>7</v>
      </c>
      <c r="AZ200" s="474" t="s">
        <v>74</v>
      </c>
      <c r="BA200" s="474"/>
      <c r="BB200" s="480"/>
      <c r="BC200" s="480"/>
      <c r="BK200" s="481" t="s">
        <v>790</v>
      </c>
      <c r="BL200" s="481" t="s">
        <v>791</v>
      </c>
      <c r="BM200" s="487" t="s">
        <v>1251</v>
      </c>
      <c r="BN200" s="565" t="s">
        <v>1252</v>
      </c>
      <c r="BO200" s="284" t="s">
        <v>1253</v>
      </c>
      <c r="BP200" s="285">
        <v>46167</v>
      </c>
      <c r="BQ200" s="482"/>
      <c r="BR200" s="965">
        <v>4983</v>
      </c>
      <c r="BS200" s="482"/>
      <c r="BT200" s="482"/>
      <c r="BU200" s="482" t="s">
        <v>1388</v>
      </c>
      <c r="BV200" s="414" t="s">
        <v>1361</v>
      </c>
      <c r="BW200" s="566" t="s">
        <v>1408</v>
      </c>
      <c r="BX200" s="566" t="s">
        <v>1409</v>
      </c>
      <c r="BY200" s="284">
        <v>47170479</v>
      </c>
      <c r="BZ200" s="284">
        <v>10471704798</v>
      </c>
      <c r="CA200" s="288">
        <v>3000</v>
      </c>
      <c r="CB200" s="285">
        <v>46174</v>
      </c>
      <c r="CC200" s="285">
        <v>46203</v>
      </c>
      <c r="CD200" s="759"/>
      <c r="CE200" s="485">
        <f t="shared" si="383"/>
        <v>0</v>
      </c>
      <c r="CF200" s="484">
        <f t="shared" si="384"/>
        <v>0</v>
      </c>
      <c r="CG200" s="485"/>
      <c r="CH200" s="485">
        <f t="shared" si="385"/>
        <v>0</v>
      </c>
      <c r="CI200" s="485"/>
      <c r="CJ200" s="485">
        <f t="shared" si="386"/>
        <v>0</v>
      </c>
      <c r="CK200" s="484">
        <f t="shared" si="387"/>
        <v>0</v>
      </c>
      <c r="CL200" s="484">
        <f t="shared" si="388"/>
        <v>0</v>
      </c>
      <c r="CM200" s="1006"/>
      <c r="CN200" s="485">
        <f t="shared" si="389"/>
        <v>30</v>
      </c>
      <c r="CO200" s="484">
        <f t="shared" si="390"/>
        <v>3000</v>
      </c>
      <c r="CP200" s="485">
        <v>30</v>
      </c>
      <c r="CQ200" s="484">
        <f t="shared" si="391"/>
        <v>3000</v>
      </c>
      <c r="CR200" s="485">
        <v>30</v>
      </c>
      <c r="CS200" s="484">
        <f t="shared" si="392"/>
        <v>3000</v>
      </c>
      <c r="CT200" s="484">
        <f t="shared" si="393"/>
        <v>0</v>
      </c>
      <c r="CU200" s="484">
        <f t="shared" si="394"/>
        <v>0</v>
      </c>
      <c r="CV200" s="1006"/>
      <c r="CW200" s="1007">
        <f t="shared" si="378"/>
        <v>3000</v>
      </c>
      <c r="CX200" s="486">
        <f t="shared" si="379"/>
        <v>3000</v>
      </c>
      <c r="CY200" s="486">
        <f t="shared" si="380"/>
        <v>3000</v>
      </c>
      <c r="CZ200" s="1007">
        <f t="shared" si="381"/>
        <v>0</v>
      </c>
      <c r="DA200" s="1007">
        <f t="shared" si="382"/>
        <v>0</v>
      </c>
    </row>
    <row r="201" spans="1:16378" ht="51" hidden="1" x14ac:dyDescent="0.25">
      <c r="A201" s="472">
        <v>2026</v>
      </c>
      <c r="B201" s="472">
        <v>479</v>
      </c>
      <c r="C201" s="472" t="s">
        <v>64</v>
      </c>
      <c r="D201" s="472" t="s">
        <v>65</v>
      </c>
      <c r="E201" s="472">
        <v>125</v>
      </c>
      <c r="F201" s="472">
        <v>3000654</v>
      </c>
      <c r="G201" s="472">
        <v>5005023</v>
      </c>
      <c r="H201" s="472">
        <v>3</v>
      </c>
      <c r="I201" s="472">
        <v>12</v>
      </c>
      <c r="J201" s="472">
        <v>24</v>
      </c>
      <c r="K201" s="472">
        <v>135560</v>
      </c>
      <c r="L201" s="472" t="s">
        <v>66</v>
      </c>
      <c r="M201" s="124" t="s">
        <v>67</v>
      </c>
      <c r="N201" s="472">
        <v>95</v>
      </c>
      <c r="O201" s="474"/>
      <c r="P201" s="474" t="s">
        <v>4</v>
      </c>
      <c r="Q201" s="472" t="s">
        <v>68</v>
      </c>
      <c r="R201" s="475" t="s">
        <v>69</v>
      </c>
      <c r="S201" s="475" t="s">
        <v>137</v>
      </c>
      <c r="T201" s="475"/>
      <c r="U201" s="124" t="s">
        <v>192</v>
      </c>
      <c r="V201" s="475" t="s">
        <v>3</v>
      </c>
      <c r="W201" s="121">
        <v>1</v>
      </c>
      <c r="X201" s="476">
        <v>3000</v>
      </c>
      <c r="Y201" s="475"/>
      <c r="Z201" s="475"/>
      <c r="AA201" s="476"/>
      <c r="AB201" s="475"/>
      <c r="AC201" s="475"/>
      <c r="AD201" s="563">
        <v>30</v>
      </c>
      <c r="AE201" s="475"/>
      <c r="AF201" s="475"/>
      <c r="AG201" s="476"/>
      <c r="AH201" s="475"/>
      <c r="AI201" s="475"/>
      <c r="AJ201" s="476"/>
      <c r="AK201" s="476">
        <v>3000</v>
      </c>
      <c r="AL201" s="475"/>
      <c r="AM201" s="476"/>
      <c r="AN201" s="475"/>
      <c r="AO201" s="475"/>
      <c r="AP201" s="567"/>
      <c r="AQ201" s="567">
        <v>3000</v>
      </c>
      <c r="AR201" s="472" t="s">
        <v>73</v>
      </c>
      <c r="AS201" s="472" t="s">
        <v>73</v>
      </c>
      <c r="AT201" s="472" t="s">
        <v>73</v>
      </c>
      <c r="AU201" s="472" t="s">
        <v>73</v>
      </c>
      <c r="AV201" s="472" t="s">
        <v>73</v>
      </c>
      <c r="AW201" s="472" t="s">
        <v>73</v>
      </c>
      <c r="AX201" s="476">
        <v>3000</v>
      </c>
      <c r="AY201" s="479" t="s">
        <v>7</v>
      </c>
      <c r="AZ201" s="474" t="s">
        <v>74</v>
      </c>
      <c r="BA201" s="474"/>
      <c r="BB201" s="480"/>
      <c r="BC201" s="480"/>
      <c r="BK201" s="481" t="s">
        <v>790</v>
      </c>
      <c r="BL201" s="481" t="s">
        <v>791</v>
      </c>
      <c r="BM201" s="487" t="s">
        <v>1251</v>
      </c>
      <c r="BN201" s="565" t="s">
        <v>1252</v>
      </c>
      <c r="BO201" s="284" t="s">
        <v>1253</v>
      </c>
      <c r="BP201" s="285">
        <v>46167</v>
      </c>
      <c r="BQ201" s="482"/>
      <c r="BR201" s="965">
        <v>4984</v>
      </c>
      <c r="BS201" s="482"/>
      <c r="BT201" s="482"/>
      <c r="BU201" s="482" t="s">
        <v>1388</v>
      </c>
      <c r="BV201" s="414" t="s">
        <v>1410</v>
      </c>
      <c r="BW201" s="566" t="s">
        <v>1411</v>
      </c>
      <c r="BX201" s="566" t="s">
        <v>1412</v>
      </c>
      <c r="BY201" s="284">
        <v>46643867</v>
      </c>
      <c r="BZ201" s="284">
        <v>10466438672</v>
      </c>
      <c r="CA201" s="288">
        <v>3000</v>
      </c>
      <c r="CB201" s="285">
        <v>46174</v>
      </c>
      <c r="CC201" s="285">
        <v>46203</v>
      </c>
      <c r="CD201" s="759"/>
      <c r="CE201" s="485">
        <f t="shared" si="383"/>
        <v>0</v>
      </c>
      <c r="CF201" s="484">
        <f t="shared" si="384"/>
        <v>0</v>
      </c>
      <c r="CG201" s="485"/>
      <c r="CH201" s="485">
        <f t="shared" si="385"/>
        <v>0</v>
      </c>
      <c r="CI201" s="485"/>
      <c r="CJ201" s="485">
        <f t="shared" si="386"/>
        <v>0</v>
      </c>
      <c r="CK201" s="484">
        <f t="shared" si="387"/>
        <v>0</v>
      </c>
      <c r="CL201" s="484">
        <f t="shared" si="388"/>
        <v>0</v>
      </c>
      <c r="CM201" s="1006"/>
      <c r="CN201" s="485">
        <f t="shared" si="389"/>
        <v>30</v>
      </c>
      <c r="CO201" s="484">
        <f t="shared" si="390"/>
        <v>3000</v>
      </c>
      <c r="CP201" s="485">
        <v>30</v>
      </c>
      <c r="CQ201" s="484">
        <f t="shared" si="391"/>
        <v>3000</v>
      </c>
      <c r="CR201" s="485">
        <v>30</v>
      </c>
      <c r="CS201" s="484">
        <f t="shared" si="392"/>
        <v>3000</v>
      </c>
      <c r="CT201" s="484">
        <f t="shared" si="393"/>
        <v>0</v>
      </c>
      <c r="CU201" s="484">
        <f t="shared" si="394"/>
        <v>0</v>
      </c>
      <c r="CV201" s="1006"/>
      <c r="CW201" s="1007">
        <f t="shared" si="378"/>
        <v>3000</v>
      </c>
      <c r="CX201" s="486">
        <f t="shared" si="379"/>
        <v>3000</v>
      </c>
      <c r="CY201" s="486">
        <f t="shared" si="380"/>
        <v>3000</v>
      </c>
      <c r="CZ201" s="1007">
        <f t="shared" si="381"/>
        <v>0</v>
      </c>
      <c r="DA201" s="1007">
        <f t="shared" si="382"/>
        <v>0</v>
      </c>
    </row>
    <row r="202" spans="1:16378" ht="51" hidden="1" x14ac:dyDescent="0.25">
      <c r="A202" s="472">
        <v>2026</v>
      </c>
      <c r="B202" s="472">
        <v>479</v>
      </c>
      <c r="C202" s="472" t="s">
        <v>64</v>
      </c>
      <c r="D202" s="472" t="s">
        <v>65</v>
      </c>
      <c r="E202" s="472">
        <v>125</v>
      </c>
      <c r="F202" s="472">
        <v>3000654</v>
      </c>
      <c r="G202" s="472">
        <v>5005023</v>
      </c>
      <c r="H202" s="472">
        <v>3</v>
      </c>
      <c r="I202" s="472">
        <v>12</v>
      </c>
      <c r="J202" s="472">
        <v>24</v>
      </c>
      <c r="K202" s="472">
        <v>135560</v>
      </c>
      <c r="L202" s="472" t="s">
        <v>66</v>
      </c>
      <c r="M202" s="124" t="s">
        <v>67</v>
      </c>
      <c r="N202" s="472">
        <v>95</v>
      </c>
      <c r="O202" s="474"/>
      <c r="P202" s="474" t="s">
        <v>4</v>
      </c>
      <c r="Q202" s="472" t="s">
        <v>68</v>
      </c>
      <c r="R202" s="475" t="s">
        <v>69</v>
      </c>
      <c r="S202" s="475" t="s">
        <v>137</v>
      </c>
      <c r="T202" s="475"/>
      <c r="U202" s="124" t="s">
        <v>192</v>
      </c>
      <c r="V202" s="475" t="s">
        <v>3</v>
      </c>
      <c r="W202" s="121">
        <v>1</v>
      </c>
      <c r="X202" s="476">
        <v>3000</v>
      </c>
      <c r="Y202" s="475"/>
      <c r="Z202" s="475"/>
      <c r="AA202" s="476"/>
      <c r="AB202" s="475"/>
      <c r="AC202" s="475"/>
      <c r="AD202" s="563">
        <v>30</v>
      </c>
      <c r="AE202" s="475"/>
      <c r="AF202" s="475"/>
      <c r="AG202" s="476"/>
      <c r="AH202" s="475"/>
      <c r="AI202" s="475"/>
      <c r="AJ202" s="476"/>
      <c r="AK202" s="476">
        <v>3000</v>
      </c>
      <c r="AL202" s="475"/>
      <c r="AM202" s="476"/>
      <c r="AN202" s="475"/>
      <c r="AO202" s="475"/>
      <c r="AP202" s="567"/>
      <c r="AQ202" s="567">
        <v>3000</v>
      </c>
      <c r="AR202" s="472" t="s">
        <v>73</v>
      </c>
      <c r="AS202" s="472" t="s">
        <v>73</v>
      </c>
      <c r="AT202" s="472" t="s">
        <v>73</v>
      </c>
      <c r="AU202" s="472" t="s">
        <v>73</v>
      </c>
      <c r="AV202" s="472" t="s">
        <v>73</v>
      </c>
      <c r="AW202" s="472" t="s">
        <v>73</v>
      </c>
      <c r="AX202" s="476">
        <v>3000</v>
      </c>
      <c r="AY202" s="479" t="s">
        <v>7</v>
      </c>
      <c r="AZ202" s="474" t="s">
        <v>74</v>
      </c>
      <c r="BA202" s="474"/>
      <c r="BB202" s="480"/>
      <c r="BC202" s="480"/>
      <c r="BK202" s="481" t="s">
        <v>790</v>
      </c>
      <c r="BL202" s="481" t="s">
        <v>791</v>
      </c>
      <c r="BM202" s="487" t="s">
        <v>1251</v>
      </c>
      <c r="BN202" s="565" t="s">
        <v>1252</v>
      </c>
      <c r="BO202" s="284" t="s">
        <v>1253</v>
      </c>
      <c r="BP202" s="285">
        <v>46167</v>
      </c>
      <c r="BQ202" s="482"/>
      <c r="BR202" s="965">
        <v>4985</v>
      </c>
      <c r="BS202" s="482"/>
      <c r="BT202" s="482"/>
      <c r="BU202" s="482" t="s">
        <v>1388</v>
      </c>
      <c r="BV202" s="414" t="s">
        <v>1413</v>
      </c>
      <c r="BW202" s="566" t="s">
        <v>1414</v>
      </c>
      <c r="BX202" s="566" t="s">
        <v>1415</v>
      </c>
      <c r="BY202" s="284">
        <v>74722301</v>
      </c>
      <c r="BZ202" s="284">
        <v>10747223012</v>
      </c>
      <c r="CA202" s="288">
        <v>3000</v>
      </c>
      <c r="CB202" s="285">
        <v>46174</v>
      </c>
      <c r="CC202" s="285">
        <v>46203</v>
      </c>
      <c r="CD202" s="759"/>
      <c r="CE202" s="485">
        <f t="shared" si="383"/>
        <v>0</v>
      </c>
      <c r="CF202" s="484">
        <f t="shared" si="384"/>
        <v>0</v>
      </c>
      <c r="CG202" s="485"/>
      <c r="CH202" s="485">
        <f t="shared" si="385"/>
        <v>0</v>
      </c>
      <c r="CI202" s="485"/>
      <c r="CJ202" s="485">
        <f t="shared" si="386"/>
        <v>0</v>
      </c>
      <c r="CK202" s="484">
        <f t="shared" si="387"/>
        <v>0</v>
      </c>
      <c r="CL202" s="484">
        <f t="shared" si="388"/>
        <v>0</v>
      </c>
      <c r="CM202" s="1006"/>
      <c r="CN202" s="485">
        <f t="shared" si="389"/>
        <v>30</v>
      </c>
      <c r="CO202" s="484">
        <f t="shared" si="390"/>
        <v>3000</v>
      </c>
      <c r="CP202" s="485">
        <v>30</v>
      </c>
      <c r="CQ202" s="484">
        <f t="shared" si="391"/>
        <v>3000</v>
      </c>
      <c r="CR202" s="485">
        <v>30</v>
      </c>
      <c r="CS202" s="484">
        <f t="shared" si="392"/>
        <v>3000</v>
      </c>
      <c r="CT202" s="484">
        <f t="shared" si="393"/>
        <v>0</v>
      </c>
      <c r="CU202" s="484">
        <f t="shared" si="394"/>
        <v>0</v>
      </c>
      <c r="CV202" s="1006"/>
      <c r="CW202" s="1007">
        <f t="shared" si="378"/>
        <v>3000</v>
      </c>
      <c r="CX202" s="486">
        <f t="shared" si="379"/>
        <v>3000</v>
      </c>
      <c r="CY202" s="486">
        <f t="shared" si="380"/>
        <v>3000</v>
      </c>
      <c r="CZ202" s="1007">
        <f t="shared" si="381"/>
        <v>0</v>
      </c>
      <c r="DA202" s="1007">
        <f t="shared" si="382"/>
        <v>0</v>
      </c>
    </row>
    <row r="203" spans="1:16378" ht="51" hidden="1" x14ac:dyDescent="0.25">
      <c r="A203" s="472">
        <v>2026</v>
      </c>
      <c r="B203" s="472">
        <v>479</v>
      </c>
      <c r="C203" s="472" t="s">
        <v>64</v>
      </c>
      <c r="D203" s="472" t="s">
        <v>65</v>
      </c>
      <c r="E203" s="472">
        <v>125</v>
      </c>
      <c r="F203" s="472">
        <v>3000654</v>
      </c>
      <c r="G203" s="472">
        <v>5005023</v>
      </c>
      <c r="H203" s="472">
        <v>3</v>
      </c>
      <c r="I203" s="472">
        <v>12</v>
      </c>
      <c r="J203" s="472">
        <v>24</v>
      </c>
      <c r="K203" s="472">
        <v>135560</v>
      </c>
      <c r="L203" s="472" t="s">
        <v>66</v>
      </c>
      <c r="M203" s="124" t="s">
        <v>67</v>
      </c>
      <c r="N203" s="472">
        <v>95</v>
      </c>
      <c r="O203" s="474"/>
      <c r="P203" s="474" t="s">
        <v>4</v>
      </c>
      <c r="Q203" s="472" t="s">
        <v>68</v>
      </c>
      <c r="R203" s="475" t="s">
        <v>69</v>
      </c>
      <c r="S203" s="475" t="s">
        <v>137</v>
      </c>
      <c r="T203" s="475"/>
      <c r="U203" s="124" t="s">
        <v>192</v>
      </c>
      <c r="V203" s="475" t="s">
        <v>3</v>
      </c>
      <c r="W203" s="121">
        <v>1</v>
      </c>
      <c r="X203" s="476">
        <v>3000</v>
      </c>
      <c r="Y203" s="475"/>
      <c r="Z203" s="475"/>
      <c r="AA203" s="476"/>
      <c r="AB203" s="475"/>
      <c r="AC203" s="475"/>
      <c r="AD203" s="563">
        <v>30</v>
      </c>
      <c r="AE203" s="475"/>
      <c r="AF203" s="475"/>
      <c r="AG203" s="476"/>
      <c r="AH203" s="475"/>
      <c r="AI203" s="475"/>
      <c r="AJ203" s="476"/>
      <c r="AK203" s="476">
        <v>3000</v>
      </c>
      <c r="AL203" s="475"/>
      <c r="AM203" s="476"/>
      <c r="AN203" s="475"/>
      <c r="AO203" s="475"/>
      <c r="AP203" s="567"/>
      <c r="AQ203" s="567">
        <v>3000</v>
      </c>
      <c r="AR203" s="472" t="s">
        <v>73</v>
      </c>
      <c r="AS203" s="472" t="s">
        <v>73</v>
      </c>
      <c r="AT203" s="472" t="s">
        <v>73</v>
      </c>
      <c r="AU203" s="472" t="s">
        <v>73</v>
      </c>
      <c r="AV203" s="472" t="s">
        <v>73</v>
      </c>
      <c r="AW203" s="472" t="s">
        <v>73</v>
      </c>
      <c r="AX203" s="476">
        <v>3000</v>
      </c>
      <c r="AY203" s="479" t="s">
        <v>7</v>
      </c>
      <c r="AZ203" s="474" t="s">
        <v>74</v>
      </c>
      <c r="BA203" s="474"/>
      <c r="BB203" s="480"/>
      <c r="BC203" s="480"/>
      <c r="BK203" s="481" t="s">
        <v>790</v>
      </c>
      <c r="BL203" s="481" t="s">
        <v>791</v>
      </c>
      <c r="BM203" s="487" t="s">
        <v>1251</v>
      </c>
      <c r="BN203" s="565" t="s">
        <v>1252</v>
      </c>
      <c r="BO203" s="284" t="s">
        <v>1253</v>
      </c>
      <c r="BP203" s="285">
        <v>46167</v>
      </c>
      <c r="BQ203" s="482"/>
      <c r="BR203" s="965">
        <v>4986</v>
      </c>
      <c r="BS203" s="482"/>
      <c r="BT203" s="482"/>
      <c r="BU203" s="482" t="s">
        <v>1388</v>
      </c>
      <c r="BV203" s="414" t="s">
        <v>1416</v>
      </c>
      <c r="BW203" s="566" t="s">
        <v>1240</v>
      </c>
      <c r="BX203" s="566" t="s">
        <v>1417</v>
      </c>
      <c r="BY203" s="284">
        <v>71466866</v>
      </c>
      <c r="BZ203" s="284">
        <v>10714668663</v>
      </c>
      <c r="CA203" s="288">
        <v>3000</v>
      </c>
      <c r="CB203" s="285">
        <v>46174</v>
      </c>
      <c r="CC203" s="285">
        <v>46203</v>
      </c>
      <c r="CD203" s="759"/>
      <c r="CE203" s="485">
        <f t="shared" si="383"/>
        <v>0</v>
      </c>
      <c r="CF203" s="484">
        <f t="shared" si="384"/>
        <v>0</v>
      </c>
      <c r="CG203" s="485"/>
      <c r="CH203" s="485">
        <f t="shared" si="385"/>
        <v>0</v>
      </c>
      <c r="CI203" s="485"/>
      <c r="CJ203" s="485">
        <f t="shared" si="386"/>
        <v>0</v>
      </c>
      <c r="CK203" s="484">
        <f t="shared" si="387"/>
        <v>0</v>
      </c>
      <c r="CL203" s="484">
        <f t="shared" si="388"/>
        <v>0</v>
      </c>
      <c r="CM203" s="1006"/>
      <c r="CN203" s="485">
        <f t="shared" si="389"/>
        <v>30</v>
      </c>
      <c r="CO203" s="484">
        <f t="shared" si="390"/>
        <v>3000</v>
      </c>
      <c r="CP203" s="485">
        <v>30</v>
      </c>
      <c r="CQ203" s="484">
        <f t="shared" si="391"/>
        <v>3000</v>
      </c>
      <c r="CR203" s="485">
        <v>30</v>
      </c>
      <c r="CS203" s="484">
        <f t="shared" si="392"/>
        <v>3000</v>
      </c>
      <c r="CT203" s="484">
        <f t="shared" si="393"/>
        <v>0</v>
      </c>
      <c r="CU203" s="484">
        <f t="shared" si="394"/>
        <v>0</v>
      </c>
      <c r="CV203" s="1006"/>
      <c r="CW203" s="1007">
        <f t="shared" si="378"/>
        <v>3000</v>
      </c>
      <c r="CX203" s="486">
        <f t="shared" si="379"/>
        <v>3000</v>
      </c>
      <c r="CY203" s="486">
        <f t="shared" si="380"/>
        <v>3000</v>
      </c>
      <c r="CZ203" s="1007">
        <f t="shared" si="381"/>
        <v>0</v>
      </c>
      <c r="DA203" s="1007">
        <f t="shared" si="382"/>
        <v>0</v>
      </c>
    </row>
    <row r="204" spans="1:16378" ht="51" hidden="1" x14ac:dyDescent="0.25">
      <c r="A204" s="472">
        <v>2026</v>
      </c>
      <c r="B204" s="472">
        <v>479</v>
      </c>
      <c r="C204" s="472" t="s">
        <v>64</v>
      </c>
      <c r="D204" s="472" t="s">
        <v>65</v>
      </c>
      <c r="E204" s="472">
        <v>125</v>
      </c>
      <c r="F204" s="472">
        <v>3000654</v>
      </c>
      <c r="G204" s="472">
        <v>5005023</v>
      </c>
      <c r="H204" s="472">
        <v>3</v>
      </c>
      <c r="I204" s="472">
        <v>12</v>
      </c>
      <c r="J204" s="472">
        <v>24</v>
      </c>
      <c r="K204" s="472">
        <v>135560</v>
      </c>
      <c r="L204" s="472" t="s">
        <v>66</v>
      </c>
      <c r="M204" s="124" t="s">
        <v>67</v>
      </c>
      <c r="N204" s="472">
        <v>95</v>
      </c>
      <c r="O204" s="474"/>
      <c r="P204" s="474" t="s">
        <v>4</v>
      </c>
      <c r="Q204" s="472" t="s">
        <v>68</v>
      </c>
      <c r="R204" s="475" t="s">
        <v>69</v>
      </c>
      <c r="S204" s="475" t="s">
        <v>137</v>
      </c>
      <c r="T204" s="475"/>
      <c r="U204" s="124" t="s">
        <v>192</v>
      </c>
      <c r="V204" s="475" t="s">
        <v>3</v>
      </c>
      <c r="W204" s="121">
        <v>1</v>
      </c>
      <c r="X204" s="476">
        <v>3000</v>
      </c>
      <c r="Y204" s="475"/>
      <c r="Z204" s="475"/>
      <c r="AA204" s="476"/>
      <c r="AB204" s="475"/>
      <c r="AC204" s="475"/>
      <c r="AD204" s="563">
        <v>30</v>
      </c>
      <c r="AE204" s="475"/>
      <c r="AF204" s="475"/>
      <c r="AG204" s="476"/>
      <c r="AH204" s="475"/>
      <c r="AI204" s="475"/>
      <c r="AJ204" s="476"/>
      <c r="AK204" s="476">
        <v>3000</v>
      </c>
      <c r="AL204" s="475"/>
      <c r="AM204" s="476"/>
      <c r="AN204" s="475"/>
      <c r="AO204" s="475"/>
      <c r="AP204" s="567"/>
      <c r="AQ204" s="567">
        <v>3000</v>
      </c>
      <c r="AR204" s="472" t="s">
        <v>73</v>
      </c>
      <c r="AS204" s="472" t="s">
        <v>73</v>
      </c>
      <c r="AT204" s="472" t="s">
        <v>73</v>
      </c>
      <c r="AU204" s="472" t="s">
        <v>73</v>
      </c>
      <c r="AV204" s="472" t="s">
        <v>73</v>
      </c>
      <c r="AW204" s="472" t="s">
        <v>73</v>
      </c>
      <c r="AX204" s="476">
        <v>3000</v>
      </c>
      <c r="AY204" s="479" t="s">
        <v>7</v>
      </c>
      <c r="AZ204" s="474" t="s">
        <v>74</v>
      </c>
      <c r="BA204" s="474"/>
      <c r="BB204" s="480"/>
      <c r="BC204" s="480"/>
      <c r="BK204" s="481" t="s">
        <v>790</v>
      </c>
      <c r="BL204" s="481" t="s">
        <v>791</v>
      </c>
      <c r="BM204" s="487" t="s">
        <v>1251</v>
      </c>
      <c r="BN204" s="565" t="s">
        <v>1252</v>
      </c>
      <c r="BO204" s="284" t="s">
        <v>1253</v>
      </c>
      <c r="BP204" s="285">
        <v>46167</v>
      </c>
      <c r="BQ204" s="482"/>
      <c r="BR204" s="965">
        <v>4987</v>
      </c>
      <c r="BS204" s="482"/>
      <c r="BT204" s="482"/>
      <c r="BU204" s="482" t="s">
        <v>1388</v>
      </c>
      <c r="BV204" s="414" t="s">
        <v>1418</v>
      </c>
      <c r="BW204" s="566" t="s">
        <v>1419</v>
      </c>
      <c r="BX204" s="566" t="s">
        <v>1420</v>
      </c>
      <c r="BY204" s="284">
        <v>73018597</v>
      </c>
      <c r="BZ204" s="284">
        <v>10730185974</v>
      </c>
      <c r="CA204" s="288">
        <v>3000</v>
      </c>
      <c r="CB204" s="285">
        <v>46174</v>
      </c>
      <c r="CC204" s="285">
        <v>46203</v>
      </c>
      <c r="CD204" s="759"/>
      <c r="CE204" s="485">
        <f t="shared" si="383"/>
        <v>0</v>
      </c>
      <c r="CF204" s="484">
        <f t="shared" si="384"/>
        <v>0</v>
      </c>
      <c r="CG204" s="485"/>
      <c r="CH204" s="485">
        <f t="shared" si="385"/>
        <v>0</v>
      </c>
      <c r="CI204" s="485"/>
      <c r="CJ204" s="485">
        <f t="shared" si="386"/>
        <v>0</v>
      </c>
      <c r="CK204" s="484">
        <f t="shared" si="387"/>
        <v>0</v>
      </c>
      <c r="CL204" s="484">
        <f t="shared" si="388"/>
        <v>0</v>
      </c>
      <c r="CM204" s="1006"/>
      <c r="CN204" s="485">
        <f t="shared" si="389"/>
        <v>30</v>
      </c>
      <c r="CO204" s="484">
        <f t="shared" si="390"/>
        <v>3000</v>
      </c>
      <c r="CP204" s="485">
        <v>30</v>
      </c>
      <c r="CQ204" s="484">
        <f t="shared" si="391"/>
        <v>3000</v>
      </c>
      <c r="CR204" s="485">
        <v>30</v>
      </c>
      <c r="CS204" s="484">
        <f t="shared" si="392"/>
        <v>3000</v>
      </c>
      <c r="CT204" s="484">
        <f t="shared" si="393"/>
        <v>0</v>
      </c>
      <c r="CU204" s="484">
        <f t="shared" si="394"/>
        <v>0</v>
      </c>
      <c r="CV204" s="1006"/>
      <c r="CW204" s="1007">
        <f t="shared" si="378"/>
        <v>3000</v>
      </c>
      <c r="CX204" s="486">
        <f t="shared" si="379"/>
        <v>3000</v>
      </c>
      <c r="CY204" s="486">
        <f t="shared" si="380"/>
        <v>3000</v>
      </c>
      <c r="CZ204" s="1007">
        <f t="shared" si="381"/>
        <v>0</v>
      </c>
      <c r="DA204" s="1007">
        <f t="shared" si="382"/>
        <v>0</v>
      </c>
    </row>
    <row r="205" spans="1:16378" ht="51" hidden="1" x14ac:dyDescent="0.25">
      <c r="A205" s="472">
        <v>2026</v>
      </c>
      <c r="B205" s="472">
        <v>479</v>
      </c>
      <c r="C205" s="472" t="s">
        <v>64</v>
      </c>
      <c r="D205" s="472" t="s">
        <v>65</v>
      </c>
      <c r="E205" s="472">
        <v>125</v>
      </c>
      <c r="F205" s="472">
        <v>3000654</v>
      </c>
      <c r="G205" s="472">
        <v>5005023</v>
      </c>
      <c r="H205" s="472">
        <v>3</v>
      </c>
      <c r="I205" s="472">
        <v>12</v>
      </c>
      <c r="J205" s="472">
        <v>24</v>
      </c>
      <c r="K205" s="472">
        <v>135560</v>
      </c>
      <c r="L205" s="472" t="s">
        <v>66</v>
      </c>
      <c r="M205" s="124" t="s">
        <v>67</v>
      </c>
      <c r="N205" s="472">
        <v>95</v>
      </c>
      <c r="O205" s="474"/>
      <c r="P205" s="474" t="s">
        <v>4</v>
      </c>
      <c r="Q205" s="472" t="s">
        <v>68</v>
      </c>
      <c r="R205" s="475" t="s">
        <v>69</v>
      </c>
      <c r="S205" s="475" t="s">
        <v>137</v>
      </c>
      <c r="T205" s="475"/>
      <c r="U205" s="124" t="s">
        <v>192</v>
      </c>
      <c r="V205" s="475" t="s">
        <v>3</v>
      </c>
      <c r="W205" s="121">
        <v>1</v>
      </c>
      <c r="X205" s="476">
        <v>3000</v>
      </c>
      <c r="Y205" s="475"/>
      <c r="Z205" s="475"/>
      <c r="AA205" s="476"/>
      <c r="AB205" s="475"/>
      <c r="AC205" s="475"/>
      <c r="AD205" s="563">
        <v>30</v>
      </c>
      <c r="AE205" s="475"/>
      <c r="AF205" s="475"/>
      <c r="AG205" s="476"/>
      <c r="AH205" s="475"/>
      <c r="AI205" s="475"/>
      <c r="AJ205" s="476"/>
      <c r="AK205" s="476">
        <v>3000</v>
      </c>
      <c r="AL205" s="475"/>
      <c r="AM205" s="476"/>
      <c r="AN205" s="475"/>
      <c r="AO205" s="475"/>
      <c r="AP205" s="567"/>
      <c r="AQ205" s="567">
        <v>3000</v>
      </c>
      <c r="AR205" s="472" t="s">
        <v>73</v>
      </c>
      <c r="AS205" s="472" t="s">
        <v>73</v>
      </c>
      <c r="AT205" s="472" t="s">
        <v>73</v>
      </c>
      <c r="AU205" s="472" t="s">
        <v>73</v>
      </c>
      <c r="AV205" s="472" t="s">
        <v>73</v>
      </c>
      <c r="AW205" s="472" t="s">
        <v>73</v>
      </c>
      <c r="AX205" s="476">
        <v>3000</v>
      </c>
      <c r="AY205" s="479" t="s">
        <v>7</v>
      </c>
      <c r="AZ205" s="474" t="s">
        <v>74</v>
      </c>
      <c r="BA205" s="474"/>
      <c r="BB205" s="480"/>
      <c r="BC205" s="480"/>
      <c r="BK205" s="481" t="s">
        <v>790</v>
      </c>
      <c r="BL205" s="481" t="s">
        <v>791</v>
      </c>
      <c r="BM205" s="487" t="s">
        <v>1251</v>
      </c>
      <c r="BN205" s="565" t="s">
        <v>1252</v>
      </c>
      <c r="BO205" s="284" t="s">
        <v>1253</v>
      </c>
      <c r="BP205" s="285">
        <v>46167</v>
      </c>
      <c r="BQ205" s="482"/>
      <c r="BR205" s="965">
        <v>4988</v>
      </c>
      <c r="BS205" s="482"/>
      <c r="BT205" s="482"/>
      <c r="BU205" s="482" t="s">
        <v>1388</v>
      </c>
      <c r="BV205" s="414" t="s">
        <v>1043</v>
      </c>
      <c r="BW205" s="566" t="s">
        <v>1421</v>
      </c>
      <c r="BX205" s="566" t="s">
        <v>1422</v>
      </c>
      <c r="BY205" s="284">
        <v>43808333</v>
      </c>
      <c r="BZ205" s="284">
        <v>10438083338</v>
      </c>
      <c r="CA205" s="288">
        <v>3000</v>
      </c>
      <c r="CB205" s="285">
        <v>46174</v>
      </c>
      <c r="CC205" s="285">
        <v>46203</v>
      </c>
      <c r="CD205" s="759"/>
      <c r="CE205" s="485">
        <f t="shared" si="383"/>
        <v>0</v>
      </c>
      <c r="CF205" s="484">
        <f t="shared" si="384"/>
        <v>0</v>
      </c>
      <c r="CG205" s="485"/>
      <c r="CH205" s="485">
        <f t="shared" si="385"/>
        <v>0</v>
      </c>
      <c r="CI205" s="485"/>
      <c r="CJ205" s="485">
        <f t="shared" si="386"/>
        <v>0</v>
      </c>
      <c r="CK205" s="484">
        <f t="shared" si="387"/>
        <v>0</v>
      </c>
      <c r="CL205" s="484">
        <f t="shared" si="388"/>
        <v>0</v>
      </c>
      <c r="CM205" s="1006"/>
      <c r="CN205" s="485">
        <f t="shared" si="389"/>
        <v>30</v>
      </c>
      <c r="CO205" s="484">
        <f t="shared" si="390"/>
        <v>3000</v>
      </c>
      <c r="CP205" s="485">
        <v>30</v>
      </c>
      <c r="CQ205" s="484">
        <f t="shared" si="391"/>
        <v>3000</v>
      </c>
      <c r="CR205" s="485">
        <v>30</v>
      </c>
      <c r="CS205" s="484">
        <f t="shared" si="392"/>
        <v>3000</v>
      </c>
      <c r="CT205" s="484">
        <f t="shared" si="393"/>
        <v>0</v>
      </c>
      <c r="CU205" s="484">
        <f t="shared" si="394"/>
        <v>0</v>
      </c>
      <c r="CV205" s="1006"/>
      <c r="CW205" s="1007">
        <f t="shared" si="378"/>
        <v>3000</v>
      </c>
      <c r="CX205" s="486">
        <f t="shared" si="379"/>
        <v>3000</v>
      </c>
      <c r="CY205" s="486">
        <f t="shared" si="380"/>
        <v>3000</v>
      </c>
      <c r="CZ205" s="1007">
        <f t="shared" si="381"/>
        <v>0</v>
      </c>
      <c r="DA205" s="1007">
        <f t="shared" si="382"/>
        <v>0</v>
      </c>
    </row>
    <row r="206" spans="1:16378" ht="51" hidden="1" x14ac:dyDescent="0.25">
      <c r="A206" s="472">
        <v>2026</v>
      </c>
      <c r="B206" s="472">
        <v>479</v>
      </c>
      <c r="C206" s="472" t="s">
        <v>64</v>
      </c>
      <c r="D206" s="472" t="s">
        <v>65</v>
      </c>
      <c r="E206" s="472">
        <v>125</v>
      </c>
      <c r="F206" s="472">
        <v>3000654</v>
      </c>
      <c r="G206" s="472">
        <v>5005023</v>
      </c>
      <c r="H206" s="472">
        <v>3</v>
      </c>
      <c r="I206" s="472">
        <v>12</v>
      </c>
      <c r="J206" s="472">
        <v>24</v>
      </c>
      <c r="K206" s="472">
        <v>135560</v>
      </c>
      <c r="L206" s="472" t="s">
        <v>66</v>
      </c>
      <c r="M206" s="124" t="s">
        <v>67</v>
      </c>
      <c r="N206" s="472">
        <v>95</v>
      </c>
      <c r="O206" s="474"/>
      <c r="P206" s="474" t="s">
        <v>4</v>
      </c>
      <c r="Q206" s="472" t="s">
        <v>68</v>
      </c>
      <c r="R206" s="475" t="s">
        <v>69</v>
      </c>
      <c r="S206" s="475" t="s">
        <v>137</v>
      </c>
      <c r="T206" s="475"/>
      <c r="U206" s="124" t="s">
        <v>192</v>
      </c>
      <c r="V206" s="475" t="s">
        <v>3</v>
      </c>
      <c r="W206" s="121">
        <v>1</v>
      </c>
      <c r="X206" s="476">
        <v>3000</v>
      </c>
      <c r="Y206" s="475"/>
      <c r="Z206" s="475"/>
      <c r="AA206" s="476"/>
      <c r="AB206" s="475"/>
      <c r="AC206" s="475"/>
      <c r="AD206" s="563">
        <v>30</v>
      </c>
      <c r="AE206" s="475"/>
      <c r="AF206" s="475"/>
      <c r="AG206" s="476"/>
      <c r="AH206" s="475"/>
      <c r="AI206" s="475"/>
      <c r="AJ206" s="476"/>
      <c r="AK206" s="476">
        <v>3000</v>
      </c>
      <c r="AL206" s="475"/>
      <c r="AM206" s="476"/>
      <c r="AN206" s="475"/>
      <c r="AO206" s="475"/>
      <c r="AP206" s="567"/>
      <c r="AQ206" s="567">
        <v>3000</v>
      </c>
      <c r="AR206" s="472" t="s">
        <v>73</v>
      </c>
      <c r="AS206" s="472" t="s">
        <v>73</v>
      </c>
      <c r="AT206" s="472" t="s">
        <v>73</v>
      </c>
      <c r="AU206" s="472" t="s">
        <v>73</v>
      </c>
      <c r="AV206" s="472" t="s">
        <v>73</v>
      </c>
      <c r="AW206" s="472" t="s">
        <v>73</v>
      </c>
      <c r="AX206" s="476">
        <v>3000</v>
      </c>
      <c r="AY206" s="479" t="s">
        <v>7</v>
      </c>
      <c r="AZ206" s="474" t="s">
        <v>74</v>
      </c>
      <c r="BA206" s="474"/>
      <c r="BB206" s="480"/>
      <c r="BC206" s="480"/>
      <c r="BK206" s="481" t="s">
        <v>790</v>
      </c>
      <c r="BL206" s="481" t="s">
        <v>791</v>
      </c>
      <c r="BM206" s="487" t="s">
        <v>1251</v>
      </c>
      <c r="BN206" s="565" t="s">
        <v>1252</v>
      </c>
      <c r="BO206" s="284" t="s">
        <v>1253</v>
      </c>
      <c r="BP206" s="285">
        <v>46167</v>
      </c>
      <c r="BQ206" s="482"/>
      <c r="BR206" s="965">
        <v>4989</v>
      </c>
      <c r="BS206" s="482"/>
      <c r="BT206" s="482"/>
      <c r="BU206" s="482" t="s">
        <v>1388</v>
      </c>
      <c r="BV206" s="414" t="s">
        <v>1423</v>
      </c>
      <c r="BW206" s="566" t="s">
        <v>1358</v>
      </c>
      <c r="BX206" s="566" t="s">
        <v>1424</v>
      </c>
      <c r="BY206" s="284">
        <v>9650851</v>
      </c>
      <c r="BZ206" s="284">
        <v>10096508510</v>
      </c>
      <c r="CA206" s="288">
        <v>3000</v>
      </c>
      <c r="CB206" s="285">
        <v>46174</v>
      </c>
      <c r="CC206" s="285">
        <v>46203</v>
      </c>
      <c r="CD206" s="759"/>
      <c r="CE206" s="485">
        <f t="shared" si="383"/>
        <v>0</v>
      </c>
      <c r="CF206" s="484">
        <f t="shared" si="384"/>
        <v>0</v>
      </c>
      <c r="CG206" s="485"/>
      <c r="CH206" s="485">
        <f t="shared" si="385"/>
        <v>0</v>
      </c>
      <c r="CI206" s="485"/>
      <c r="CJ206" s="485">
        <f t="shared" si="386"/>
        <v>0</v>
      </c>
      <c r="CK206" s="484">
        <f t="shared" si="387"/>
        <v>0</v>
      </c>
      <c r="CL206" s="484">
        <f t="shared" si="388"/>
        <v>0</v>
      </c>
      <c r="CM206" s="1006"/>
      <c r="CN206" s="485">
        <f t="shared" si="389"/>
        <v>30</v>
      </c>
      <c r="CO206" s="484">
        <f t="shared" si="390"/>
        <v>3000</v>
      </c>
      <c r="CP206" s="485">
        <v>30</v>
      </c>
      <c r="CQ206" s="484">
        <f t="shared" si="391"/>
        <v>3000</v>
      </c>
      <c r="CR206" s="485">
        <v>30</v>
      </c>
      <c r="CS206" s="484">
        <f t="shared" si="392"/>
        <v>3000</v>
      </c>
      <c r="CT206" s="484">
        <f t="shared" si="393"/>
        <v>0</v>
      </c>
      <c r="CU206" s="484">
        <f t="shared" si="394"/>
        <v>0</v>
      </c>
      <c r="CV206" s="1006"/>
      <c r="CW206" s="1007">
        <f t="shared" si="378"/>
        <v>3000</v>
      </c>
      <c r="CX206" s="486">
        <f t="shared" si="379"/>
        <v>3000</v>
      </c>
      <c r="CY206" s="486">
        <f t="shared" si="380"/>
        <v>3000</v>
      </c>
      <c r="CZ206" s="1007">
        <f t="shared" si="381"/>
        <v>0</v>
      </c>
      <c r="DA206" s="1007">
        <f t="shared" si="382"/>
        <v>0</v>
      </c>
    </row>
    <row r="207" spans="1:16378" s="266" customFormat="1" ht="51" hidden="1" x14ac:dyDescent="0.25">
      <c r="A207" s="472">
        <v>2026</v>
      </c>
      <c r="B207" s="472">
        <v>479</v>
      </c>
      <c r="C207" s="472" t="s">
        <v>64</v>
      </c>
      <c r="D207" s="472" t="s">
        <v>65</v>
      </c>
      <c r="E207" s="472">
        <v>125</v>
      </c>
      <c r="F207" s="472">
        <v>3000654</v>
      </c>
      <c r="G207" s="472">
        <v>5005023</v>
      </c>
      <c r="H207" s="472">
        <v>3</v>
      </c>
      <c r="I207" s="472">
        <v>12</v>
      </c>
      <c r="J207" s="472">
        <v>24</v>
      </c>
      <c r="K207" s="472">
        <v>135560</v>
      </c>
      <c r="L207" s="472" t="s">
        <v>66</v>
      </c>
      <c r="M207" s="124" t="s">
        <v>67</v>
      </c>
      <c r="N207" s="472">
        <v>95</v>
      </c>
      <c r="O207" s="474"/>
      <c r="P207" s="474" t="s">
        <v>4</v>
      </c>
      <c r="Q207" s="472" t="s">
        <v>68</v>
      </c>
      <c r="R207" s="475" t="s">
        <v>69</v>
      </c>
      <c r="S207" s="475" t="s">
        <v>137</v>
      </c>
      <c r="T207" s="475"/>
      <c r="U207" s="124" t="s">
        <v>192</v>
      </c>
      <c r="V207" s="475" t="s">
        <v>3</v>
      </c>
      <c r="W207" s="121">
        <v>1</v>
      </c>
      <c r="X207" s="476">
        <v>3000</v>
      </c>
      <c r="Y207" s="475"/>
      <c r="Z207" s="475"/>
      <c r="AA207" s="476"/>
      <c r="AB207" s="475"/>
      <c r="AC207" s="475"/>
      <c r="AD207" s="563">
        <v>30</v>
      </c>
      <c r="AE207" s="475"/>
      <c r="AF207" s="475"/>
      <c r="AG207" s="476"/>
      <c r="AH207" s="475"/>
      <c r="AI207" s="475"/>
      <c r="AJ207" s="476"/>
      <c r="AK207" s="476">
        <v>3000</v>
      </c>
      <c r="AL207" s="475"/>
      <c r="AM207" s="476"/>
      <c r="AN207" s="475"/>
      <c r="AO207" s="475"/>
      <c r="AP207" s="567"/>
      <c r="AQ207" s="567">
        <v>3000</v>
      </c>
      <c r="AR207" s="472" t="s">
        <v>73</v>
      </c>
      <c r="AS207" s="472" t="s">
        <v>73</v>
      </c>
      <c r="AT207" s="472" t="s">
        <v>73</v>
      </c>
      <c r="AU207" s="472" t="s">
        <v>73</v>
      </c>
      <c r="AV207" s="472" t="s">
        <v>73</v>
      </c>
      <c r="AW207" s="472" t="s">
        <v>73</v>
      </c>
      <c r="AX207" s="476">
        <v>3000</v>
      </c>
      <c r="AY207" s="479" t="s">
        <v>7</v>
      </c>
      <c r="AZ207" s="474" t="s">
        <v>74</v>
      </c>
      <c r="BA207" s="474"/>
      <c r="BB207" s="480"/>
      <c r="BC207" s="480"/>
      <c r="BD207"/>
      <c r="BE207"/>
      <c r="BF207"/>
      <c r="BG207"/>
      <c r="BH207"/>
      <c r="BI207"/>
      <c r="BJ207"/>
      <c r="BK207" s="481" t="s">
        <v>790</v>
      </c>
      <c r="BL207" s="481" t="s">
        <v>791</v>
      </c>
      <c r="BM207" s="487" t="s">
        <v>1251</v>
      </c>
      <c r="BN207" s="565" t="s">
        <v>1252</v>
      </c>
      <c r="BO207" s="284" t="s">
        <v>1253</v>
      </c>
      <c r="BP207" s="285">
        <v>46167</v>
      </c>
      <c r="BQ207" s="482"/>
      <c r="BR207" s="965">
        <v>4990</v>
      </c>
      <c r="BS207" s="568"/>
      <c r="BT207" s="568"/>
      <c r="BU207" s="482" t="s">
        <v>1388</v>
      </c>
      <c r="BV207" s="414" t="s">
        <v>845</v>
      </c>
      <c r="BW207" s="566" t="s">
        <v>1425</v>
      </c>
      <c r="BX207" s="566" t="s">
        <v>1426</v>
      </c>
      <c r="BY207" s="284">
        <v>17867276</v>
      </c>
      <c r="BZ207" s="284">
        <v>10178672768</v>
      </c>
      <c r="CA207" s="288">
        <v>3000</v>
      </c>
      <c r="CB207" s="285">
        <v>46174</v>
      </c>
      <c r="CC207" s="285">
        <v>46203</v>
      </c>
      <c r="CD207" s="759"/>
      <c r="CE207" s="485">
        <f t="shared" si="383"/>
        <v>0</v>
      </c>
      <c r="CF207" s="484">
        <f t="shared" si="384"/>
        <v>0</v>
      </c>
      <c r="CG207" s="485"/>
      <c r="CH207" s="485">
        <f t="shared" si="385"/>
        <v>0</v>
      </c>
      <c r="CI207" s="485"/>
      <c r="CJ207" s="485">
        <f t="shared" si="386"/>
        <v>0</v>
      </c>
      <c r="CK207" s="484">
        <f t="shared" si="387"/>
        <v>0</v>
      </c>
      <c r="CL207" s="484">
        <f t="shared" si="388"/>
        <v>0</v>
      </c>
      <c r="CM207" s="1006"/>
      <c r="CN207" s="485">
        <f t="shared" si="389"/>
        <v>30</v>
      </c>
      <c r="CO207" s="484">
        <f t="shared" si="390"/>
        <v>3000</v>
      </c>
      <c r="CP207" s="485">
        <v>30</v>
      </c>
      <c r="CQ207" s="484">
        <f t="shared" si="391"/>
        <v>3000</v>
      </c>
      <c r="CR207" s="485">
        <v>30</v>
      </c>
      <c r="CS207" s="484">
        <f t="shared" si="392"/>
        <v>3000</v>
      </c>
      <c r="CT207" s="484">
        <f t="shared" si="393"/>
        <v>0</v>
      </c>
      <c r="CU207" s="484">
        <f t="shared" si="394"/>
        <v>0</v>
      </c>
      <c r="CV207" s="1006"/>
      <c r="CW207" s="1007">
        <f t="shared" si="378"/>
        <v>3000</v>
      </c>
      <c r="CX207" s="486">
        <f t="shared" si="379"/>
        <v>3000</v>
      </c>
      <c r="CY207" s="486">
        <f t="shared" si="380"/>
        <v>3000</v>
      </c>
      <c r="CZ207" s="1007">
        <f t="shared" si="381"/>
        <v>0</v>
      </c>
      <c r="DA207" s="1007">
        <f t="shared" si="382"/>
        <v>0</v>
      </c>
    </row>
    <row r="208" spans="1:16378" s="266" customFormat="1" ht="51" hidden="1" x14ac:dyDescent="0.25">
      <c r="A208" s="472">
        <v>2026</v>
      </c>
      <c r="B208" s="472">
        <v>479</v>
      </c>
      <c r="C208" s="472" t="s">
        <v>64</v>
      </c>
      <c r="D208" s="472" t="s">
        <v>65</v>
      </c>
      <c r="E208" s="472">
        <v>125</v>
      </c>
      <c r="F208" s="472">
        <v>3000654</v>
      </c>
      <c r="G208" s="472">
        <v>5005023</v>
      </c>
      <c r="H208" s="472">
        <v>3</v>
      </c>
      <c r="I208" s="472">
        <v>12</v>
      </c>
      <c r="J208" s="472">
        <v>24</v>
      </c>
      <c r="K208" s="472">
        <v>135560</v>
      </c>
      <c r="L208" s="472" t="s">
        <v>66</v>
      </c>
      <c r="M208" s="124" t="s">
        <v>67</v>
      </c>
      <c r="N208" s="472">
        <v>95</v>
      </c>
      <c r="O208" s="474"/>
      <c r="P208" s="474" t="s">
        <v>4</v>
      </c>
      <c r="Q208" s="472" t="s">
        <v>68</v>
      </c>
      <c r="R208" s="475" t="s">
        <v>69</v>
      </c>
      <c r="S208" s="475" t="s">
        <v>137</v>
      </c>
      <c r="T208" s="475"/>
      <c r="U208" s="124" t="s">
        <v>193</v>
      </c>
      <c r="V208" s="475" t="s">
        <v>3</v>
      </c>
      <c r="W208" s="121">
        <v>1</v>
      </c>
      <c r="X208" s="476">
        <v>3000</v>
      </c>
      <c r="Y208" s="474"/>
      <c r="Z208" s="474"/>
      <c r="AA208" s="474"/>
      <c r="AB208" s="474"/>
      <c r="AC208" s="475">
        <v>0</v>
      </c>
      <c r="AD208" s="563">
        <v>30</v>
      </c>
      <c r="AE208" s="488"/>
      <c r="AF208" s="488"/>
      <c r="AG208" s="488"/>
      <c r="AH208" s="488"/>
      <c r="AI208" s="488"/>
      <c r="AJ208" s="488"/>
      <c r="AK208" s="569">
        <v>3000</v>
      </c>
      <c r="AL208" s="472" t="s">
        <v>73</v>
      </c>
      <c r="AM208" s="472" t="s">
        <v>73</v>
      </c>
      <c r="AN208" s="472" t="s">
        <v>73</v>
      </c>
      <c r="AO208" s="472" t="s">
        <v>73</v>
      </c>
      <c r="AP208" s="564">
        <v>0</v>
      </c>
      <c r="AQ208" s="567">
        <v>3000</v>
      </c>
      <c r="AR208" s="472" t="s">
        <v>73</v>
      </c>
      <c r="AS208" s="472" t="s">
        <v>73</v>
      </c>
      <c r="AT208" s="472" t="s">
        <v>73</v>
      </c>
      <c r="AU208" s="472" t="s">
        <v>73</v>
      </c>
      <c r="AV208" s="472" t="s">
        <v>73</v>
      </c>
      <c r="AW208" s="472" t="s">
        <v>73</v>
      </c>
      <c r="AX208" s="476">
        <v>3000</v>
      </c>
      <c r="AY208" s="479" t="s">
        <v>7</v>
      </c>
      <c r="AZ208" s="474" t="s">
        <v>74</v>
      </c>
      <c r="BA208" s="474"/>
      <c r="BB208" s="480"/>
      <c r="BC208" s="480"/>
      <c r="BD208"/>
      <c r="BE208"/>
      <c r="BF208"/>
      <c r="BG208"/>
      <c r="BH208"/>
      <c r="BI208"/>
      <c r="BJ208"/>
      <c r="BK208" s="481" t="s">
        <v>790</v>
      </c>
      <c r="BL208" s="481" t="s">
        <v>791</v>
      </c>
      <c r="BM208" s="487" t="s">
        <v>1251</v>
      </c>
      <c r="BN208" s="565" t="s">
        <v>1252</v>
      </c>
      <c r="BO208" s="284" t="s">
        <v>1253</v>
      </c>
      <c r="BP208" s="285">
        <v>46167</v>
      </c>
      <c r="BQ208" s="482"/>
      <c r="BR208" s="965">
        <v>4991</v>
      </c>
      <c r="BS208" s="482"/>
      <c r="BT208" s="482"/>
      <c r="BU208" s="482" t="s">
        <v>1388</v>
      </c>
      <c r="BV208" s="414" t="s">
        <v>1427</v>
      </c>
      <c r="BW208" s="566" t="s">
        <v>1428</v>
      </c>
      <c r="BX208" s="566" t="s">
        <v>1429</v>
      </c>
      <c r="BY208" s="284">
        <v>40906902</v>
      </c>
      <c r="BZ208" s="284">
        <v>10409069024</v>
      </c>
      <c r="CA208" s="288">
        <v>3000</v>
      </c>
      <c r="CB208" s="285">
        <v>46174</v>
      </c>
      <c r="CC208" s="285">
        <v>46203</v>
      </c>
      <c r="CD208" s="759"/>
      <c r="CE208" s="485">
        <f t="shared" si="383"/>
        <v>0</v>
      </c>
      <c r="CF208" s="484">
        <f t="shared" si="384"/>
        <v>0</v>
      </c>
      <c r="CG208" s="485"/>
      <c r="CH208" s="485">
        <f t="shared" si="385"/>
        <v>0</v>
      </c>
      <c r="CI208" s="485"/>
      <c r="CJ208" s="485">
        <f t="shared" si="386"/>
        <v>0</v>
      </c>
      <c r="CK208" s="484">
        <f t="shared" si="387"/>
        <v>0</v>
      </c>
      <c r="CL208" s="484">
        <f t="shared" si="388"/>
        <v>0</v>
      </c>
      <c r="CM208" s="1006"/>
      <c r="CN208" s="485">
        <f t="shared" si="389"/>
        <v>30</v>
      </c>
      <c r="CO208" s="484">
        <f t="shared" si="390"/>
        <v>3000</v>
      </c>
      <c r="CP208" s="485">
        <v>30</v>
      </c>
      <c r="CQ208" s="484">
        <f t="shared" si="391"/>
        <v>3000</v>
      </c>
      <c r="CR208" s="485">
        <v>30</v>
      </c>
      <c r="CS208" s="484">
        <f t="shared" si="392"/>
        <v>3000</v>
      </c>
      <c r="CT208" s="484">
        <f t="shared" si="393"/>
        <v>0</v>
      </c>
      <c r="CU208" s="484">
        <f t="shared" si="394"/>
        <v>0</v>
      </c>
      <c r="CV208" s="1006"/>
      <c r="CW208" s="1007">
        <f t="shared" si="378"/>
        <v>3000</v>
      </c>
      <c r="CX208" s="486">
        <f t="shared" si="379"/>
        <v>3000</v>
      </c>
      <c r="CY208" s="486">
        <f t="shared" si="380"/>
        <v>3000</v>
      </c>
      <c r="CZ208" s="1007">
        <f t="shared" si="381"/>
        <v>0</v>
      </c>
      <c r="DA208" s="1007">
        <f t="shared" si="382"/>
        <v>0</v>
      </c>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c r="COU208"/>
      <c r="COV208"/>
      <c r="COW208"/>
      <c r="COX208"/>
      <c r="COY208"/>
      <c r="COZ208"/>
      <c r="CPA208"/>
      <c r="CPB208"/>
      <c r="CPC208"/>
      <c r="CPD208"/>
      <c r="CPE208"/>
      <c r="CPF208"/>
      <c r="CPG208"/>
      <c r="CPH208"/>
      <c r="CPI208"/>
      <c r="CPJ208"/>
      <c r="CPK208"/>
      <c r="CPL208"/>
      <c r="CPM208"/>
      <c r="CPN208"/>
      <c r="CPO208"/>
      <c r="CPP208"/>
      <c r="CPQ208"/>
      <c r="CPR208"/>
      <c r="CPS208"/>
      <c r="CPT208"/>
      <c r="CPU208"/>
      <c r="CPV208"/>
      <c r="CPW208"/>
      <c r="CPX208"/>
      <c r="CPY208"/>
      <c r="CPZ208"/>
      <c r="CQA208"/>
      <c r="CQB208"/>
      <c r="CQC208"/>
      <c r="CQD208"/>
      <c r="CQE208"/>
      <c r="CQF208"/>
      <c r="CQG208"/>
      <c r="CQH208"/>
      <c r="CQI208"/>
      <c r="CQJ208"/>
      <c r="CQK208"/>
      <c r="CQL208"/>
      <c r="CQM208"/>
      <c r="CQN208"/>
      <c r="CQO208"/>
      <c r="CQP208"/>
      <c r="CQQ208"/>
      <c r="CQR208"/>
      <c r="CQS208"/>
      <c r="CQT208"/>
      <c r="CQU208"/>
      <c r="CQV208"/>
      <c r="CQW208"/>
      <c r="CQX208"/>
      <c r="CQY208"/>
      <c r="CQZ208"/>
      <c r="CRA208"/>
      <c r="CRB208"/>
      <c r="CRC208"/>
      <c r="CRD208"/>
      <c r="CRE208"/>
      <c r="CRF208"/>
      <c r="CRG208"/>
      <c r="CRH208"/>
      <c r="CRI208"/>
      <c r="CRJ208"/>
      <c r="CRK208"/>
      <c r="CRL208"/>
      <c r="CRM208"/>
      <c r="CRN208"/>
      <c r="CRO208"/>
      <c r="CRP208"/>
      <c r="CRQ208"/>
      <c r="CRR208"/>
      <c r="CRS208"/>
      <c r="CRT208"/>
      <c r="CRU208"/>
      <c r="CRV208"/>
      <c r="CRW208"/>
      <c r="CRX208"/>
      <c r="CRY208"/>
      <c r="CRZ208"/>
      <c r="CSA208"/>
      <c r="CSB208"/>
      <c r="CSC208"/>
      <c r="CSD208"/>
      <c r="CSE208"/>
      <c r="CSF208"/>
      <c r="CSG208"/>
      <c r="CSH208"/>
      <c r="CSI208"/>
      <c r="CSJ208"/>
      <c r="CSK208"/>
      <c r="CSL208"/>
      <c r="CSM208"/>
      <c r="CSN208"/>
      <c r="CSO208"/>
      <c r="CSP208"/>
      <c r="CSQ208"/>
      <c r="CSR208"/>
      <c r="CSS208"/>
      <c r="CST208"/>
      <c r="CSU208"/>
      <c r="CSV208"/>
      <c r="CSW208"/>
      <c r="CSX208"/>
      <c r="CSY208"/>
      <c r="CSZ208"/>
      <c r="CTA208"/>
      <c r="CTB208"/>
      <c r="CTC208"/>
      <c r="CTD208"/>
      <c r="CTE208"/>
      <c r="CTF208"/>
      <c r="CTG208"/>
      <c r="CTH208"/>
      <c r="CTI208"/>
      <c r="CTJ208"/>
      <c r="CTK208"/>
      <c r="CTL208"/>
      <c r="CTM208"/>
      <c r="CTN208"/>
      <c r="CTO208"/>
      <c r="CTP208"/>
      <c r="CTQ208"/>
      <c r="CTR208"/>
      <c r="CTS208"/>
      <c r="CTT208"/>
      <c r="CTU208"/>
      <c r="CTV208"/>
      <c r="CTW208"/>
      <c r="CTX208"/>
      <c r="CTY208"/>
      <c r="CTZ208"/>
      <c r="CUA208"/>
      <c r="CUB208"/>
      <c r="CUC208"/>
      <c r="CUD208"/>
      <c r="CUE208"/>
      <c r="CUF208"/>
      <c r="CUG208"/>
      <c r="CUH208"/>
      <c r="CUI208"/>
      <c r="CUJ208"/>
      <c r="CUK208"/>
      <c r="CUL208"/>
      <c r="CUM208"/>
      <c r="CUN208"/>
      <c r="CUO208"/>
      <c r="CUP208"/>
      <c r="CUQ208"/>
      <c r="CUR208"/>
      <c r="CUS208"/>
      <c r="CUT208"/>
      <c r="CUU208"/>
      <c r="CUV208"/>
      <c r="CUW208"/>
      <c r="CUX208"/>
      <c r="CUY208"/>
      <c r="CUZ208"/>
      <c r="CVA208"/>
      <c r="CVB208"/>
      <c r="CVC208"/>
      <c r="CVD208"/>
      <c r="CVE208"/>
      <c r="CVF208"/>
      <c r="CVG208"/>
      <c r="CVH208"/>
      <c r="CVI208"/>
      <c r="CVJ208"/>
      <c r="CVK208"/>
      <c r="CVL208"/>
      <c r="CVM208"/>
      <c r="CVN208"/>
      <c r="CVO208"/>
      <c r="CVP208"/>
      <c r="CVQ208"/>
      <c r="CVR208"/>
      <c r="CVS208"/>
      <c r="CVT208"/>
      <c r="CVU208"/>
      <c r="CVV208"/>
      <c r="CVW208"/>
      <c r="CVX208"/>
      <c r="CVY208"/>
      <c r="CVZ208"/>
      <c r="CWA208"/>
      <c r="CWB208"/>
      <c r="CWC208"/>
      <c r="CWD208"/>
      <c r="CWE208"/>
      <c r="CWF208"/>
      <c r="CWG208"/>
      <c r="CWH208"/>
      <c r="CWI208"/>
      <c r="CWJ208"/>
      <c r="CWK208"/>
      <c r="CWL208"/>
      <c r="CWM208"/>
      <c r="CWN208"/>
      <c r="CWO208"/>
      <c r="CWP208"/>
      <c r="CWQ208"/>
      <c r="CWR208"/>
      <c r="CWS208"/>
      <c r="CWT208"/>
      <c r="CWU208"/>
      <c r="CWV208"/>
      <c r="CWW208"/>
      <c r="CWX208"/>
      <c r="CWY208"/>
      <c r="CWZ208"/>
      <c r="CXA208"/>
      <c r="CXB208"/>
      <c r="CXC208"/>
      <c r="CXD208"/>
      <c r="CXE208"/>
      <c r="CXF208"/>
      <c r="CXG208"/>
      <c r="CXH208"/>
      <c r="CXI208"/>
      <c r="CXJ208"/>
      <c r="CXK208"/>
      <c r="CXL208"/>
      <c r="CXM208"/>
      <c r="CXN208"/>
      <c r="CXO208"/>
      <c r="CXP208"/>
      <c r="CXQ208"/>
      <c r="CXR208"/>
      <c r="CXS208"/>
      <c r="CXT208"/>
      <c r="CXU208"/>
      <c r="CXV208"/>
      <c r="CXW208"/>
      <c r="CXX208"/>
      <c r="CXY208"/>
      <c r="CXZ208"/>
      <c r="CYA208"/>
      <c r="CYB208"/>
      <c r="CYC208"/>
      <c r="CYD208"/>
      <c r="CYE208"/>
      <c r="CYF208"/>
      <c r="CYG208"/>
      <c r="CYH208"/>
      <c r="CYI208"/>
      <c r="CYJ208"/>
      <c r="CYK208"/>
      <c r="CYL208"/>
      <c r="CYM208"/>
      <c r="CYN208"/>
      <c r="CYO208"/>
      <c r="CYP208"/>
      <c r="CYQ208"/>
      <c r="CYR208"/>
      <c r="CYS208"/>
      <c r="CYT208"/>
      <c r="CYU208"/>
      <c r="CYV208"/>
      <c r="CYW208"/>
      <c r="CYX208"/>
      <c r="CYY208"/>
      <c r="CYZ208"/>
      <c r="CZA208"/>
      <c r="CZB208"/>
      <c r="CZC208"/>
      <c r="CZD208"/>
      <c r="CZE208"/>
      <c r="CZF208"/>
      <c r="CZG208"/>
      <c r="CZH208"/>
      <c r="CZI208"/>
      <c r="CZJ208"/>
      <c r="CZK208"/>
      <c r="CZL208"/>
      <c r="CZM208"/>
      <c r="CZN208"/>
      <c r="CZO208"/>
      <c r="CZP208"/>
      <c r="CZQ208"/>
      <c r="CZR208"/>
      <c r="CZS208"/>
      <c r="CZT208"/>
      <c r="CZU208"/>
      <c r="CZV208"/>
      <c r="CZW208"/>
      <c r="CZX208"/>
      <c r="CZY208"/>
      <c r="CZZ208"/>
      <c r="DAA208"/>
      <c r="DAB208"/>
      <c r="DAC208"/>
      <c r="DAD208"/>
      <c r="DAE208"/>
      <c r="DAF208"/>
      <c r="DAG208"/>
      <c r="DAH208"/>
      <c r="DAI208"/>
      <c r="DAJ208"/>
      <c r="DAK208"/>
      <c r="DAL208"/>
      <c r="DAM208"/>
      <c r="DAN208"/>
      <c r="DAO208"/>
      <c r="DAP208"/>
      <c r="DAQ208"/>
      <c r="DAR208"/>
      <c r="DAS208"/>
      <c r="DAT208"/>
      <c r="DAU208"/>
      <c r="DAV208"/>
      <c r="DAW208"/>
      <c r="DAX208"/>
      <c r="DAY208"/>
      <c r="DAZ208"/>
      <c r="DBA208"/>
      <c r="DBB208"/>
      <c r="DBC208"/>
      <c r="DBD208"/>
      <c r="DBE208"/>
      <c r="DBF208"/>
      <c r="DBG208"/>
      <c r="DBH208"/>
      <c r="DBI208"/>
      <c r="DBJ208"/>
      <c r="DBK208"/>
      <c r="DBL208"/>
      <c r="DBM208"/>
      <c r="DBN208"/>
      <c r="DBO208"/>
      <c r="DBP208"/>
      <c r="DBQ208"/>
      <c r="DBR208"/>
      <c r="DBS208"/>
      <c r="DBT208"/>
      <c r="DBU208"/>
      <c r="DBV208"/>
      <c r="DBW208"/>
      <c r="DBX208"/>
      <c r="DBY208"/>
      <c r="DBZ208"/>
      <c r="DCA208"/>
      <c r="DCB208"/>
      <c r="DCC208"/>
      <c r="DCD208"/>
      <c r="DCE208"/>
      <c r="DCF208"/>
      <c r="DCG208"/>
      <c r="DCH208"/>
      <c r="DCI208"/>
      <c r="DCJ208"/>
      <c r="DCK208"/>
      <c r="DCL208"/>
      <c r="DCM208"/>
      <c r="DCN208"/>
      <c r="DCO208"/>
      <c r="DCP208"/>
      <c r="DCQ208"/>
      <c r="DCR208"/>
      <c r="DCS208"/>
      <c r="DCT208"/>
      <c r="DCU208"/>
      <c r="DCV208"/>
      <c r="DCW208"/>
      <c r="DCX208"/>
      <c r="DCY208"/>
      <c r="DCZ208"/>
      <c r="DDA208"/>
      <c r="DDB208"/>
      <c r="DDC208"/>
      <c r="DDD208"/>
      <c r="DDE208"/>
      <c r="DDF208"/>
      <c r="DDG208"/>
      <c r="DDH208"/>
      <c r="DDI208"/>
      <c r="DDJ208"/>
      <c r="DDK208"/>
      <c r="DDL208"/>
      <c r="DDM208"/>
      <c r="DDN208"/>
      <c r="DDO208"/>
      <c r="DDP208"/>
      <c r="DDQ208"/>
      <c r="DDR208"/>
      <c r="DDS208"/>
      <c r="DDT208"/>
      <c r="DDU208"/>
      <c r="DDV208"/>
      <c r="DDW208"/>
      <c r="DDX208"/>
      <c r="DDY208"/>
      <c r="DDZ208"/>
      <c r="DEA208"/>
      <c r="DEB208"/>
      <c r="DEC208"/>
      <c r="DED208"/>
      <c r="DEE208"/>
      <c r="DEF208"/>
      <c r="DEG208"/>
      <c r="DEH208"/>
      <c r="DEI208"/>
      <c r="DEJ208"/>
      <c r="DEK208"/>
      <c r="DEL208"/>
      <c r="DEM208"/>
      <c r="DEN208"/>
      <c r="DEO208"/>
      <c r="DEP208"/>
      <c r="DEQ208"/>
      <c r="DER208"/>
      <c r="DES208"/>
      <c r="DET208"/>
      <c r="DEU208"/>
      <c r="DEV208"/>
      <c r="DEW208"/>
      <c r="DEX208"/>
      <c r="DEY208"/>
      <c r="DEZ208"/>
      <c r="DFA208"/>
      <c r="DFB208"/>
      <c r="DFC208"/>
      <c r="DFD208"/>
      <c r="DFE208"/>
      <c r="DFF208"/>
      <c r="DFG208"/>
      <c r="DFH208"/>
      <c r="DFI208"/>
      <c r="DFJ208"/>
      <c r="DFK208"/>
      <c r="DFL208"/>
      <c r="DFM208"/>
      <c r="DFN208"/>
      <c r="DFO208"/>
      <c r="DFP208"/>
      <c r="DFQ208"/>
      <c r="DFR208"/>
      <c r="DFS208"/>
      <c r="DFT208"/>
      <c r="DFU208"/>
      <c r="DFV208"/>
      <c r="DFW208"/>
      <c r="DFX208"/>
      <c r="DFY208"/>
      <c r="DFZ208"/>
      <c r="DGA208"/>
      <c r="DGB208"/>
      <c r="DGC208"/>
      <c r="DGD208"/>
      <c r="DGE208"/>
      <c r="DGF208"/>
      <c r="DGG208"/>
      <c r="DGH208"/>
      <c r="DGI208"/>
      <c r="DGJ208"/>
      <c r="DGK208"/>
      <c r="DGL208"/>
      <c r="DGM208"/>
      <c r="DGN208"/>
      <c r="DGO208"/>
      <c r="DGP208"/>
      <c r="DGQ208"/>
      <c r="DGR208"/>
      <c r="DGS208"/>
      <c r="DGT208"/>
      <c r="DGU208"/>
      <c r="DGV208"/>
      <c r="DGW208"/>
      <c r="DGX208"/>
      <c r="DGY208"/>
      <c r="DGZ208"/>
      <c r="DHA208"/>
      <c r="DHB208"/>
      <c r="DHC208"/>
      <c r="DHD208"/>
      <c r="DHE208"/>
      <c r="DHF208"/>
      <c r="DHG208"/>
      <c r="DHH208"/>
      <c r="DHI208"/>
      <c r="DHJ208"/>
      <c r="DHK208"/>
      <c r="DHL208"/>
      <c r="DHM208"/>
      <c r="DHN208"/>
      <c r="DHO208"/>
      <c r="DHP208"/>
      <c r="DHQ208"/>
      <c r="DHR208"/>
      <c r="DHS208"/>
      <c r="DHT208"/>
      <c r="DHU208"/>
      <c r="DHV208"/>
      <c r="DHW208"/>
      <c r="DHX208"/>
      <c r="DHY208"/>
      <c r="DHZ208"/>
      <c r="DIA208"/>
      <c r="DIB208"/>
      <c r="DIC208"/>
      <c r="DID208"/>
      <c r="DIE208"/>
      <c r="DIF208"/>
      <c r="DIG208"/>
      <c r="DIH208"/>
      <c r="DII208"/>
      <c r="DIJ208"/>
      <c r="DIK208"/>
      <c r="DIL208"/>
      <c r="DIM208"/>
      <c r="DIN208"/>
      <c r="DIO208"/>
      <c r="DIP208"/>
      <c r="DIQ208"/>
      <c r="DIR208"/>
      <c r="DIS208"/>
      <c r="DIT208"/>
      <c r="DIU208"/>
      <c r="DIV208"/>
      <c r="DIW208"/>
      <c r="DIX208"/>
      <c r="DIY208"/>
      <c r="DIZ208"/>
      <c r="DJA208"/>
      <c r="DJB208"/>
      <c r="DJC208"/>
      <c r="DJD208"/>
      <c r="DJE208"/>
      <c r="DJF208"/>
      <c r="DJG208"/>
      <c r="DJH208"/>
      <c r="DJI208"/>
      <c r="DJJ208"/>
      <c r="DJK208"/>
      <c r="DJL208"/>
      <c r="DJM208"/>
      <c r="DJN208"/>
      <c r="DJO208"/>
      <c r="DJP208"/>
      <c r="DJQ208"/>
      <c r="DJR208"/>
      <c r="DJS208"/>
      <c r="DJT208"/>
      <c r="DJU208"/>
      <c r="DJV208"/>
      <c r="DJW208"/>
      <c r="DJX208"/>
      <c r="DJY208"/>
      <c r="DJZ208"/>
      <c r="DKA208"/>
      <c r="DKB208"/>
      <c r="DKC208"/>
      <c r="DKD208"/>
      <c r="DKE208"/>
      <c r="DKF208"/>
      <c r="DKG208"/>
      <c r="DKH208"/>
      <c r="DKI208"/>
      <c r="DKJ208"/>
      <c r="DKK208"/>
      <c r="DKL208"/>
      <c r="DKM208"/>
      <c r="DKN208"/>
      <c r="DKO208"/>
      <c r="DKP208"/>
      <c r="DKQ208"/>
      <c r="DKR208"/>
      <c r="DKS208"/>
      <c r="DKT208"/>
      <c r="DKU208"/>
      <c r="DKV208"/>
      <c r="DKW208"/>
      <c r="DKX208"/>
      <c r="DKY208"/>
      <c r="DKZ208"/>
      <c r="DLA208"/>
      <c r="DLB208"/>
      <c r="DLC208"/>
      <c r="DLD208"/>
      <c r="DLE208"/>
      <c r="DLF208"/>
      <c r="DLG208"/>
      <c r="DLH208"/>
      <c r="DLI208"/>
      <c r="DLJ208"/>
      <c r="DLK208"/>
      <c r="DLL208"/>
      <c r="DLM208"/>
      <c r="DLN208"/>
      <c r="DLO208"/>
      <c r="DLP208"/>
      <c r="DLQ208"/>
      <c r="DLR208"/>
      <c r="DLS208"/>
      <c r="DLT208"/>
      <c r="DLU208"/>
      <c r="DLV208"/>
      <c r="DLW208"/>
      <c r="DLX208"/>
      <c r="DLY208"/>
      <c r="DLZ208"/>
      <c r="DMA208"/>
      <c r="DMB208"/>
      <c r="DMC208"/>
      <c r="DMD208"/>
      <c r="DME208"/>
      <c r="DMF208"/>
      <c r="DMG208"/>
      <c r="DMH208"/>
      <c r="DMI208"/>
      <c r="DMJ208"/>
      <c r="DMK208"/>
      <c r="DML208"/>
      <c r="DMM208"/>
      <c r="DMN208"/>
      <c r="DMO208"/>
      <c r="DMP208"/>
      <c r="DMQ208"/>
      <c r="DMR208"/>
      <c r="DMS208"/>
      <c r="DMT208"/>
      <c r="DMU208"/>
      <c r="DMV208"/>
      <c r="DMW208"/>
      <c r="DMX208"/>
      <c r="DMY208"/>
      <c r="DMZ208"/>
      <c r="DNA208"/>
      <c r="DNB208"/>
      <c r="DNC208"/>
      <c r="DND208"/>
      <c r="DNE208"/>
      <c r="DNF208"/>
      <c r="DNG208"/>
      <c r="DNH208"/>
      <c r="DNI208"/>
      <c r="DNJ208"/>
      <c r="DNK208"/>
      <c r="DNL208"/>
      <c r="DNM208"/>
      <c r="DNN208"/>
      <c r="DNO208"/>
      <c r="DNP208"/>
      <c r="DNQ208"/>
      <c r="DNR208"/>
      <c r="DNS208"/>
      <c r="DNT208"/>
      <c r="DNU208"/>
      <c r="DNV208"/>
      <c r="DNW208"/>
      <c r="DNX208"/>
      <c r="DNY208"/>
      <c r="DNZ208"/>
      <c r="DOA208"/>
      <c r="DOB208"/>
      <c r="DOC208"/>
      <c r="DOD208"/>
      <c r="DOE208"/>
      <c r="DOF208"/>
      <c r="DOG208"/>
      <c r="DOH208"/>
      <c r="DOI208"/>
      <c r="DOJ208"/>
      <c r="DOK208"/>
      <c r="DOL208"/>
      <c r="DOM208"/>
      <c r="DON208"/>
      <c r="DOO208"/>
      <c r="DOP208"/>
      <c r="DOQ208"/>
      <c r="DOR208"/>
      <c r="DOS208"/>
      <c r="DOT208"/>
      <c r="DOU208"/>
      <c r="DOV208"/>
      <c r="DOW208"/>
      <c r="DOX208"/>
      <c r="DOY208"/>
      <c r="DOZ208"/>
      <c r="DPA208"/>
      <c r="DPB208"/>
      <c r="DPC208"/>
      <c r="DPD208"/>
      <c r="DPE208"/>
      <c r="DPF208"/>
      <c r="DPG208"/>
      <c r="DPH208"/>
      <c r="DPI208"/>
      <c r="DPJ208"/>
      <c r="DPK208"/>
      <c r="DPL208"/>
      <c r="DPM208"/>
      <c r="DPN208"/>
      <c r="DPO208"/>
      <c r="DPP208"/>
      <c r="DPQ208"/>
      <c r="DPR208"/>
      <c r="DPS208"/>
      <c r="DPT208"/>
      <c r="DPU208"/>
      <c r="DPV208"/>
      <c r="DPW208"/>
      <c r="DPX208"/>
      <c r="DPY208"/>
      <c r="DPZ208"/>
      <c r="DQA208"/>
      <c r="DQB208"/>
      <c r="DQC208"/>
      <c r="DQD208"/>
      <c r="DQE208"/>
      <c r="DQF208"/>
      <c r="DQG208"/>
      <c r="DQH208"/>
      <c r="DQI208"/>
      <c r="DQJ208"/>
      <c r="DQK208"/>
      <c r="DQL208"/>
      <c r="DQM208"/>
      <c r="DQN208"/>
      <c r="DQO208"/>
      <c r="DQP208"/>
      <c r="DQQ208"/>
      <c r="DQR208"/>
      <c r="DQS208"/>
      <c r="DQT208"/>
      <c r="DQU208"/>
      <c r="DQV208"/>
      <c r="DQW208"/>
      <c r="DQX208"/>
      <c r="DQY208"/>
      <c r="DQZ208"/>
      <c r="DRA208"/>
      <c r="DRB208"/>
      <c r="DRC208"/>
      <c r="DRD208"/>
      <c r="DRE208"/>
      <c r="DRF208"/>
      <c r="DRG208"/>
      <c r="DRH208"/>
      <c r="DRI208"/>
      <c r="DRJ208"/>
      <c r="DRK208"/>
      <c r="DRL208"/>
      <c r="DRM208"/>
      <c r="DRN208"/>
      <c r="DRO208"/>
      <c r="DRP208"/>
      <c r="DRQ208"/>
      <c r="DRR208"/>
      <c r="DRS208"/>
      <c r="DRT208"/>
      <c r="DRU208"/>
      <c r="DRV208"/>
      <c r="DRW208"/>
      <c r="DRX208"/>
      <c r="DRY208"/>
      <c r="DRZ208"/>
      <c r="DSA208"/>
      <c r="DSB208"/>
      <c r="DSC208"/>
      <c r="DSD208"/>
      <c r="DSE208"/>
      <c r="DSF208"/>
      <c r="DSG208"/>
      <c r="DSH208"/>
      <c r="DSI208"/>
      <c r="DSJ208"/>
      <c r="DSK208"/>
      <c r="DSL208"/>
      <c r="DSM208"/>
      <c r="DSN208"/>
      <c r="DSO208"/>
      <c r="DSP208"/>
      <c r="DSQ208"/>
      <c r="DSR208"/>
      <c r="DSS208"/>
      <c r="DST208"/>
      <c r="DSU208"/>
      <c r="DSV208"/>
      <c r="DSW208"/>
      <c r="DSX208"/>
      <c r="DSY208"/>
      <c r="DSZ208"/>
      <c r="DTA208"/>
      <c r="DTB208"/>
      <c r="DTC208"/>
      <c r="DTD208"/>
      <c r="DTE208"/>
      <c r="DTF208"/>
      <c r="DTG208"/>
      <c r="DTH208"/>
      <c r="DTI208"/>
      <c r="DTJ208"/>
      <c r="DTK208"/>
      <c r="DTL208"/>
      <c r="DTM208"/>
      <c r="DTN208"/>
      <c r="DTO208"/>
      <c r="DTP208"/>
      <c r="DTQ208"/>
      <c r="DTR208"/>
      <c r="DTS208"/>
      <c r="DTT208"/>
      <c r="DTU208"/>
      <c r="DTV208"/>
      <c r="DTW208"/>
      <c r="DTX208"/>
      <c r="DTY208"/>
      <c r="DTZ208"/>
      <c r="DUA208"/>
      <c r="DUB208"/>
      <c r="DUC208"/>
      <c r="DUD208"/>
      <c r="DUE208"/>
      <c r="DUF208"/>
      <c r="DUG208"/>
      <c r="DUH208"/>
      <c r="DUI208"/>
      <c r="DUJ208"/>
      <c r="DUK208"/>
      <c r="DUL208"/>
      <c r="DUM208"/>
      <c r="DUN208"/>
      <c r="DUO208"/>
      <c r="DUP208"/>
      <c r="DUQ208"/>
      <c r="DUR208"/>
      <c r="DUS208"/>
      <c r="DUT208"/>
      <c r="DUU208"/>
      <c r="DUV208"/>
      <c r="DUW208"/>
      <c r="DUX208"/>
      <c r="DUY208"/>
      <c r="DUZ208"/>
      <c r="DVA208"/>
      <c r="DVB208"/>
      <c r="DVC208"/>
      <c r="DVD208"/>
      <c r="DVE208"/>
      <c r="DVF208"/>
      <c r="DVG208"/>
      <c r="DVH208"/>
      <c r="DVI208"/>
      <c r="DVJ208"/>
      <c r="DVK208"/>
      <c r="DVL208"/>
      <c r="DVM208"/>
      <c r="DVN208"/>
      <c r="DVO208"/>
      <c r="DVP208"/>
      <c r="DVQ208"/>
      <c r="DVR208"/>
      <c r="DVS208"/>
      <c r="DVT208"/>
      <c r="DVU208"/>
      <c r="DVV208"/>
      <c r="DVW208"/>
      <c r="DVX208"/>
      <c r="DVY208"/>
      <c r="DVZ208"/>
      <c r="DWA208"/>
      <c r="DWB208"/>
      <c r="DWC208"/>
      <c r="DWD208"/>
      <c r="DWE208"/>
      <c r="DWF208"/>
      <c r="DWG208"/>
      <c r="DWH208"/>
      <c r="DWI208"/>
      <c r="DWJ208"/>
      <c r="DWK208"/>
      <c r="DWL208"/>
      <c r="DWM208"/>
      <c r="DWN208"/>
      <c r="DWO208"/>
      <c r="DWP208"/>
      <c r="DWQ208"/>
      <c r="DWR208"/>
      <c r="DWS208"/>
      <c r="DWT208"/>
      <c r="DWU208"/>
      <c r="DWV208"/>
      <c r="DWW208"/>
      <c r="DWX208"/>
      <c r="DWY208"/>
      <c r="DWZ208"/>
      <c r="DXA208"/>
      <c r="DXB208"/>
      <c r="DXC208"/>
      <c r="DXD208"/>
      <c r="DXE208"/>
      <c r="DXF208"/>
      <c r="DXG208"/>
      <c r="DXH208"/>
      <c r="DXI208"/>
      <c r="DXJ208"/>
      <c r="DXK208"/>
      <c r="DXL208"/>
      <c r="DXM208"/>
      <c r="DXN208"/>
      <c r="DXO208"/>
      <c r="DXP208"/>
      <c r="DXQ208"/>
      <c r="DXR208"/>
      <c r="DXS208"/>
      <c r="DXT208"/>
      <c r="DXU208"/>
      <c r="DXV208"/>
      <c r="DXW208"/>
      <c r="DXX208"/>
      <c r="DXY208"/>
      <c r="DXZ208"/>
      <c r="DYA208"/>
      <c r="DYB208"/>
      <c r="DYC208"/>
      <c r="DYD208"/>
      <c r="DYE208"/>
      <c r="DYF208"/>
      <c r="DYG208"/>
      <c r="DYH208"/>
      <c r="DYI208"/>
      <c r="DYJ208"/>
      <c r="DYK208"/>
      <c r="DYL208"/>
      <c r="DYM208"/>
      <c r="DYN208"/>
      <c r="DYO208"/>
      <c r="DYP208"/>
      <c r="DYQ208"/>
      <c r="DYR208"/>
      <c r="DYS208"/>
      <c r="DYT208"/>
      <c r="DYU208"/>
      <c r="DYV208"/>
      <c r="DYW208"/>
      <c r="DYX208"/>
      <c r="DYY208"/>
      <c r="DYZ208"/>
      <c r="DZA208"/>
      <c r="DZB208"/>
      <c r="DZC208"/>
      <c r="DZD208"/>
      <c r="DZE208"/>
      <c r="DZF208"/>
      <c r="DZG208"/>
      <c r="DZH208"/>
      <c r="DZI208"/>
      <c r="DZJ208"/>
      <c r="DZK208"/>
      <c r="DZL208"/>
      <c r="DZM208"/>
      <c r="DZN208"/>
      <c r="DZO208"/>
      <c r="DZP208"/>
      <c r="DZQ208"/>
      <c r="DZR208"/>
      <c r="DZS208"/>
      <c r="DZT208"/>
      <c r="DZU208"/>
      <c r="DZV208"/>
      <c r="DZW208"/>
      <c r="DZX208"/>
      <c r="DZY208"/>
      <c r="DZZ208"/>
      <c r="EAA208"/>
      <c r="EAB208"/>
      <c r="EAC208"/>
      <c r="EAD208"/>
      <c r="EAE208"/>
      <c r="EAF208"/>
      <c r="EAG208"/>
      <c r="EAH208"/>
      <c r="EAI208"/>
      <c r="EAJ208"/>
      <c r="EAK208"/>
      <c r="EAL208"/>
      <c r="EAM208"/>
      <c r="EAN208"/>
      <c r="EAO208"/>
      <c r="EAP208"/>
      <c r="EAQ208"/>
      <c r="EAR208"/>
      <c r="EAS208"/>
      <c r="EAT208"/>
      <c r="EAU208"/>
      <c r="EAV208"/>
      <c r="EAW208"/>
      <c r="EAX208"/>
      <c r="EAY208"/>
      <c r="EAZ208"/>
      <c r="EBA208"/>
      <c r="EBB208"/>
      <c r="EBC208"/>
      <c r="EBD208"/>
      <c r="EBE208"/>
      <c r="EBF208"/>
      <c r="EBG208"/>
      <c r="EBH208"/>
      <c r="EBI208"/>
      <c r="EBJ208"/>
      <c r="EBK208"/>
      <c r="EBL208"/>
      <c r="EBM208"/>
      <c r="EBN208"/>
      <c r="EBO208"/>
      <c r="EBP208"/>
      <c r="EBQ208"/>
      <c r="EBR208"/>
      <c r="EBS208"/>
      <c r="EBT208"/>
      <c r="EBU208"/>
      <c r="EBV208"/>
      <c r="EBW208"/>
      <c r="EBX208"/>
      <c r="EBY208"/>
      <c r="EBZ208"/>
      <c r="ECA208"/>
      <c r="ECB208"/>
      <c r="ECC208"/>
      <c r="ECD208"/>
      <c r="ECE208"/>
      <c r="ECF208"/>
      <c r="ECG208"/>
      <c r="ECH208"/>
      <c r="ECI208"/>
      <c r="ECJ208"/>
      <c r="ECK208"/>
      <c r="ECL208"/>
      <c r="ECM208"/>
      <c r="ECN208"/>
      <c r="ECO208"/>
      <c r="ECP208"/>
      <c r="ECQ208"/>
      <c r="ECR208"/>
      <c r="ECS208"/>
      <c r="ECT208"/>
      <c r="ECU208"/>
      <c r="ECV208"/>
      <c r="ECW208"/>
      <c r="ECX208"/>
      <c r="ECY208"/>
      <c r="ECZ208"/>
      <c r="EDA208"/>
      <c r="EDB208"/>
      <c r="EDC208"/>
      <c r="EDD208"/>
      <c r="EDE208"/>
      <c r="EDF208"/>
      <c r="EDG208"/>
      <c r="EDH208"/>
      <c r="EDI208"/>
      <c r="EDJ208"/>
      <c r="EDK208"/>
      <c r="EDL208"/>
      <c r="EDM208"/>
      <c r="EDN208"/>
      <c r="EDO208"/>
      <c r="EDP208"/>
      <c r="EDQ208"/>
      <c r="EDR208"/>
      <c r="EDS208"/>
      <c r="EDT208"/>
      <c r="EDU208"/>
      <c r="EDV208"/>
      <c r="EDW208"/>
      <c r="EDX208"/>
      <c r="EDY208"/>
      <c r="EDZ208"/>
      <c r="EEA208"/>
      <c r="EEB208"/>
      <c r="EEC208"/>
      <c r="EED208"/>
      <c r="EEE208"/>
      <c r="EEF208"/>
      <c r="EEG208"/>
      <c r="EEH208"/>
      <c r="EEI208"/>
      <c r="EEJ208"/>
      <c r="EEK208"/>
      <c r="EEL208"/>
      <c r="EEM208"/>
      <c r="EEN208"/>
      <c r="EEO208"/>
      <c r="EEP208"/>
      <c r="EEQ208"/>
      <c r="EER208"/>
      <c r="EES208"/>
      <c r="EET208"/>
      <c r="EEU208"/>
      <c r="EEV208"/>
      <c r="EEW208"/>
      <c r="EEX208"/>
      <c r="EEY208"/>
      <c r="EEZ208"/>
      <c r="EFA208"/>
      <c r="EFB208"/>
      <c r="EFC208"/>
      <c r="EFD208"/>
      <c r="EFE208"/>
      <c r="EFF208"/>
      <c r="EFG208"/>
      <c r="EFH208"/>
      <c r="EFI208"/>
      <c r="EFJ208"/>
      <c r="EFK208"/>
      <c r="EFL208"/>
      <c r="EFM208"/>
      <c r="EFN208"/>
      <c r="EFO208"/>
      <c r="EFP208"/>
      <c r="EFQ208"/>
      <c r="EFR208"/>
      <c r="EFS208"/>
      <c r="EFT208"/>
      <c r="EFU208"/>
      <c r="EFV208"/>
      <c r="EFW208"/>
      <c r="EFX208"/>
      <c r="EFY208"/>
      <c r="EFZ208"/>
      <c r="EGA208"/>
      <c r="EGB208"/>
      <c r="EGC208"/>
      <c r="EGD208"/>
      <c r="EGE208"/>
      <c r="EGF208"/>
      <c r="EGG208"/>
      <c r="EGH208"/>
      <c r="EGI208"/>
      <c r="EGJ208"/>
      <c r="EGK208"/>
      <c r="EGL208"/>
      <c r="EGM208"/>
      <c r="EGN208"/>
      <c r="EGO208"/>
      <c r="EGP208"/>
      <c r="EGQ208"/>
      <c r="EGR208"/>
      <c r="EGS208"/>
      <c r="EGT208"/>
      <c r="EGU208"/>
      <c r="EGV208"/>
      <c r="EGW208"/>
      <c r="EGX208"/>
      <c r="EGY208"/>
      <c r="EGZ208"/>
      <c r="EHA208"/>
      <c r="EHB208"/>
      <c r="EHC208"/>
      <c r="EHD208"/>
      <c r="EHE208"/>
      <c r="EHF208"/>
      <c r="EHG208"/>
      <c r="EHH208"/>
      <c r="EHI208"/>
      <c r="EHJ208"/>
      <c r="EHK208"/>
      <c r="EHL208"/>
      <c r="EHM208"/>
      <c r="EHN208"/>
      <c r="EHO208"/>
      <c r="EHP208"/>
      <c r="EHQ208"/>
      <c r="EHR208"/>
      <c r="EHS208"/>
      <c r="EHT208"/>
      <c r="EHU208"/>
      <c r="EHV208"/>
      <c r="EHW208"/>
      <c r="EHX208"/>
      <c r="EHY208"/>
      <c r="EHZ208"/>
      <c r="EIA208"/>
      <c r="EIB208"/>
      <c r="EIC208"/>
      <c r="EID208"/>
      <c r="EIE208"/>
      <c r="EIF208"/>
      <c r="EIG208"/>
      <c r="EIH208"/>
      <c r="EII208"/>
      <c r="EIJ208"/>
      <c r="EIK208"/>
      <c r="EIL208"/>
      <c r="EIM208"/>
      <c r="EIN208"/>
      <c r="EIO208"/>
      <c r="EIP208"/>
      <c r="EIQ208"/>
      <c r="EIR208"/>
      <c r="EIS208"/>
      <c r="EIT208"/>
      <c r="EIU208"/>
      <c r="EIV208"/>
      <c r="EIW208"/>
      <c r="EIX208"/>
      <c r="EIY208"/>
      <c r="EIZ208"/>
      <c r="EJA208"/>
      <c r="EJB208"/>
      <c r="EJC208"/>
      <c r="EJD208"/>
      <c r="EJE208"/>
      <c r="EJF208"/>
      <c r="EJG208"/>
      <c r="EJH208"/>
      <c r="EJI208"/>
      <c r="EJJ208"/>
      <c r="EJK208"/>
      <c r="EJL208"/>
      <c r="EJM208"/>
      <c r="EJN208"/>
      <c r="EJO208"/>
      <c r="EJP208"/>
      <c r="EJQ208"/>
      <c r="EJR208"/>
      <c r="EJS208"/>
      <c r="EJT208"/>
      <c r="EJU208"/>
      <c r="EJV208"/>
      <c r="EJW208"/>
      <c r="EJX208"/>
      <c r="EJY208"/>
      <c r="EJZ208"/>
      <c r="EKA208"/>
      <c r="EKB208"/>
      <c r="EKC208"/>
      <c r="EKD208"/>
      <c r="EKE208"/>
      <c r="EKF208"/>
      <c r="EKG208"/>
      <c r="EKH208"/>
      <c r="EKI208"/>
      <c r="EKJ208"/>
      <c r="EKK208"/>
      <c r="EKL208"/>
      <c r="EKM208"/>
      <c r="EKN208"/>
      <c r="EKO208"/>
      <c r="EKP208"/>
      <c r="EKQ208"/>
      <c r="EKR208"/>
      <c r="EKS208"/>
      <c r="EKT208"/>
      <c r="EKU208"/>
      <c r="EKV208"/>
      <c r="EKW208"/>
      <c r="EKX208"/>
      <c r="EKY208"/>
      <c r="EKZ208"/>
      <c r="ELA208"/>
      <c r="ELB208"/>
      <c r="ELC208"/>
      <c r="ELD208"/>
      <c r="ELE208"/>
      <c r="ELF208"/>
      <c r="ELG208"/>
      <c r="ELH208"/>
      <c r="ELI208"/>
      <c r="ELJ208"/>
      <c r="ELK208"/>
      <c r="ELL208"/>
      <c r="ELM208"/>
      <c r="ELN208"/>
      <c r="ELO208"/>
      <c r="ELP208"/>
      <c r="ELQ208"/>
      <c r="ELR208"/>
      <c r="ELS208"/>
      <c r="ELT208"/>
      <c r="ELU208"/>
      <c r="ELV208"/>
      <c r="ELW208"/>
      <c r="ELX208"/>
      <c r="ELY208"/>
      <c r="ELZ208"/>
      <c r="EMA208"/>
      <c r="EMB208"/>
      <c r="EMC208"/>
      <c r="EMD208"/>
      <c r="EME208"/>
      <c r="EMF208"/>
      <c r="EMG208"/>
      <c r="EMH208"/>
      <c r="EMI208"/>
      <c r="EMJ208"/>
      <c r="EMK208"/>
      <c r="EML208"/>
      <c r="EMM208"/>
      <c r="EMN208"/>
      <c r="EMO208"/>
      <c r="EMP208"/>
      <c r="EMQ208"/>
      <c r="EMR208"/>
      <c r="EMS208"/>
      <c r="EMT208"/>
      <c r="EMU208"/>
      <c r="EMV208"/>
      <c r="EMW208"/>
      <c r="EMX208"/>
      <c r="EMY208"/>
      <c r="EMZ208"/>
      <c r="ENA208"/>
      <c r="ENB208"/>
      <c r="ENC208"/>
      <c r="END208"/>
      <c r="ENE208"/>
      <c r="ENF208"/>
      <c r="ENG208"/>
      <c r="ENH208"/>
      <c r="ENI208"/>
      <c r="ENJ208"/>
      <c r="ENK208"/>
      <c r="ENL208"/>
      <c r="ENM208"/>
      <c r="ENN208"/>
      <c r="ENO208"/>
      <c r="ENP208"/>
      <c r="ENQ208"/>
      <c r="ENR208"/>
      <c r="ENS208"/>
      <c r="ENT208"/>
      <c r="ENU208"/>
      <c r="ENV208"/>
      <c r="ENW208"/>
      <c r="ENX208"/>
      <c r="ENY208"/>
      <c r="ENZ208"/>
      <c r="EOA208"/>
      <c r="EOB208"/>
      <c r="EOC208"/>
      <c r="EOD208"/>
      <c r="EOE208"/>
      <c r="EOF208"/>
      <c r="EOG208"/>
      <c r="EOH208"/>
      <c r="EOI208"/>
      <c r="EOJ208"/>
      <c r="EOK208"/>
      <c r="EOL208"/>
      <c r="EOM208"/>
      <c r="EON208"/>
      <c r="EOO208"/>
      <c r="EOP208"/>
      <c r="EOQ208"/>
      <c r="EOR208"/>
      <c r="EOS208"/>
      <c r="EOT208"/>
      <c r="EOU208"/>
      <c r="EOV208"/>
      <c r="EOW208"/>
      <c r="EOX208"/>
      <c r="EOY208"/>
      <c r="EOZ208"/>
      <c r="EPA208"/>
      <c r="EPB208"/>
      <c r="EPC208"/>
      <c r="EPD208"/>
      <c r="EPE208"/>
      <c r="EPF208"/>
      <c r="EPG208"/>
      <c r="EPH208"/>
      <c r="EPI208"/>
      <c r="EPJ208"/>
      <c r="EPK208"/>
      <c r="EPL208"/>
      <c r="EPM208"/>
      <c r="EPN208"/>
      <c r="EPO208"/>
      <c r="EPP208"/>
      <c r="EPQ208"/>
      <c r="EPR208"/>
      <c r="EPS208"/>
      <c r="EPT208"/>
      <c r="EPU208"/>
      <c r="EPV208"/>
      <c r="EPW208"/>
      <c r="EPX208"/>
      <c r="EPY208"/>
      <c r="EPZ208"/>
      <c r="EQA208"/>
      <c r="EQB208"/>
      <c r="EQC208"/>
      <c r="EQD208"/>
      <c r="EQE208"/>
      <c r="EQF208"/>
      <c r="EQG208"/>
      <c r="EQH208"/>
      <c r="EQI208"/>
      <c r="EQJ208"/>
      <c r="EQK208"/>
      <c r="EQL208"/>
      <c r="EQM208"/>
      <c r="EQN208"/>
      <c r="EQO208"/>
      <c r="EQP208"/>
      <c r="EQQ208"/>
      <c r="EQR208"/>
      <c r="EQS208"/>
      <c r="EQT208"/>
      <c r="EQU208"/>
      <c r="EQV208"/>
      <c r="EQW208"/>
      <c r="EQX208"/>
      <c r="EQY208"/>
      <c r="EQZ208"/>
      <c r="ERA208"/>
      <c r="ERB208"/>
      <c r="ERC208"/>
      <c r="ERD208"/>
      <c r="ERE208"/>
      <c r="ERF208"/>
      <c r="ERG208"/>
      <c r="ERH208"/>
      <c r="ERI208"/>
      <c r="ERJ208"/>
      <c r="ERK208"/>
      <c r="ERL208"/>
      <c r="ERM208"/>
      <c r="ERN208"/>
      <c r="ERO208"/>
      <c r="ERP208"/>
      <c r="ERQ208"/>
      <c r="ERR208"/>
      <c r="ERS208"/>
      <c r="ERT208"/>
      <c r="ERU208"/>
      <c r="ERV208"/>
      <c r="ERW208"/>
      <c r="ERX208"/>
      <c r="ERY208"/>
      <c r="ERZ208"/>
      <c r="ESA208"/>
      <c r="ESB208"/>
      <c r="ESC208"/>
      <c r="ESD208"/>
      <c r="ESE208"/>
      <c r="ESF208"/>
      <c r="ESG208"/>
      <c r="ESH208"/>
      <c r="ESI208"/>
      <c r="ESJ208"/>
      <c r="ESK208"/>
      <c r="ESL208"/>
      <c r="ESM208"/>
      <c r="ESN208"/>
      <c r="ESO208"/>
      <c r="ESP208"/>
      <c r="ESQ208"/>
      <c r="ESR208"/>
      <c r="ESS208"/>
      <c r="EST208"/>
      <c r="ESU208"/>
      <c r="ESV208"/>
      <c r="ESW208"/>
      <c r="ESX208"/>
      <c r="ESY208"/>
      <c r="ESZ208"/>
      <c r="ETA208"/>
      <c r="ETB208"/>
      <c r="ETC208"/>
      <c r="ETD208"/>
      <c r="ETE208"/>
      <c r="ETF208"/>
      <c r="ETG208"/>
      <c r="ETH208"/>
      <c r="ETI208"/>
      <c r="ETJ208"/>
      <c r="ETK208"/>
      <c r="ETL208"/>
      <c r="ETM208"/>
      <c r="ETN208"/>
      <c r="ETO208"/>
      <c r="ETP208"/>
      <c r="ETQ208"/>
      <c r="ETR208"/>
      <c r="ETS208"/>
      <c r="ETT208"/>
      <c r="ETU208"/>
      <c r="ETV208"/>
      <c r="ETW208"/>
      <c r="ETX208"/>
      <c r="ETY208"/>
      <c r="ETZ208"/>
      <c r="EUA208"/>
      <c r="EUB208"/>
      <c r="EUC208"/>
      <c r="EUD208"/>
      <c r="EUE208"/>
      <c r="EUF208"/>
      <c r="EUG208"/>
      <c r="EUH208"/>
      <c r="EUI208"/>
      <c r="EUJ208"/>
      <c r="EUK208"/>
      <c r="EUL208"/>
      <c r="EUM208"/>
      <c r="EUN208"/>
      <c r="EUO208"/>
      <c r="EUP208"/>
      <c r="EUQ208"/>
      <c r="EUR208"/>
      <c r="EUS208"/>
      <c r="EUT208"/>
      <c r="EUU208"/>
      <c r="EUV208"/>
      <c r="EUW208"/>
      <c r="EUX208"/>
      <c r="EUY208"/>
      <c r="EUZ208"/>
      <c r="EVA208"/>
      <c r="EVB208"/>
      <c r="EVC208"/>
      <c r="EVD208"/>
      <c r="EVE208"/>
      <c r="EVF208"/>
      <c r="EVG208"/>
      <c r="EVH208"/>
      <c r="EVI208"/>
      <c r="EVJ208"/>
      <c r="EVK208"/>
      <c r="EVL208"/>
      <c r="EVM208"/>
      <c r="EVN208"/>
      <c r="EVO208"/>
      <c r="EVP208"/>
      <c r="EVQ208"/>
      <c r="EVR208"/>
      <c r="EVS208"/>
      <c r="EVT208"/>
      <c r="EVU208"/>
      <c r="EVV208"/>
      <c r="EVW208"/>
      <c r="EVX208"/>
      <c r="EVY208"/>
      <c r="EVZ208"/>
      <c r="EWA208"/>
      <c r="EWB208"/>
      <c r="EWC208"/>
      <c r="EWD208"/>
      <c r="EWE208"/>
      <c r="EWF208"/>
      <c r="EWG208"/>
      <c r="EWH208"/>
      <c r="EWI208"/>
      <c r="EWJ208"/>
      <c r="EWK208"/>
      <c r="EWL208"/>
      <c r="EWM208"/>
      <c r="EWN208"/>
      <c r="EWO208"/>
      <c r="EWP208"/>
      <c r="EWQ208"/>
      <c r="EWR208"/>
      <c r="EWS208"/>
      <c r="EWT208"/>
      <c r="EWU208"/>
      <c r="EWV208"/>
      <c r="EWW208"/>
      <c r="EWX208"/>
      <c r="EWY208"/>
      <c r="EWZ208"/>
      <c r="EXA208"/>
      <c r="EXB208"/>
      <c r="EXC208"/>
      <c r="EXD208"/>
      <c r="EXE208"/>
      <c r="EXF208"/>
      <c r="EXG208"/>
      <c r="EXH208"/>
      <c r="EXI208"/>
      <c r="EXJ208"/>
      <c r="EXK208"/>
      <c r="EXL208"/>
      <c r="EXM208"/>
      <c r="EXN208"/>
      <c r="EXO208"/>
      <c r="EXP208"/>
      <c r="EXQ208"/>
      <c r="EXR208"/>
      <c r="EXS208"/>
      <c r="EXT208"/>
      <c r="EXU208"/>
      <c r="EXV208"/>
      <c r="EXW208"/>
      <c r="EXX208"/>
      <c r="EXY208"/>
      <c r="EXZ208"/>
      <c r="EYA208"/>
      <c r="EYB208"/>
      <c r="EYC208"/>
      <c r="EYD208"/>
      <c r="EYE208"/>
      <c r="EYF208"/>
      <c r="EYG208"/>
      <c r="EYH208"/>
      <c r="EYI208"/>
      <c r="EYJ208"/>
      <c r="EYK208"/>
      <c r="EYL208"/>
      <c r="EYM208"/>
      <c r="EYN208"/>
      <c r="EYO208"/>
      <c r="EYP208"/>
      <c r="EYQ208"/>
      <c r="EYR208"/>
      <c r="EYS208"/>
      <c r="EYT208"/>
      <c r="EYU208"/>
      <c r="EYV208"/>
      <c r="EYW208"/>
      <c r="EYX208"/>
      <c r="EYY208"/>
      <c r="EYZ208"/>
      <c r="EZA208"/>
      <c r="EZB208"/>
      <c r="EZC208"/>
      <c r="EZD208"/>
      <c r="EZE208"/>
      <c r="EZF208"/>
      <c r="EZG208"/>
      <c r="EZH208"/>
      <c r="EZI208"/>
      <c r="EZJ208"/>
      <c r="EZK208"/>
      <c r="EZL208"/>
      <c r="EZM208"/>
      <c r="EZN208"/>
      <c r="EZO208"/>
      <c r="EZP208"/>
      <c r="EZQ208"/>
      <c r="EZR208"/>
      <c r="EZS208"/>
      <c r="EZT208"/>
      <c r="EZU208"/>
      <c r="EZV208"/>
      <c r="EZW208"/>
      <c r="EZX208"/>
      <c r="EZY208"/>
      <c r="EZZ208"/>
      <c r="FAA208"/>
      <c r="FAB208"/>
      <c r="FAC208"/>
      <c r="FAD208"/>
      <c r="FAE208"/>
      <c r="FAF208"/>
      <c r="FAG208"/>
      <c r="FAH208"/>
      <c r="FAI208"/>
      <c r="FAJ208"/>
      <c r="FAK208"/>
      <c r="FAL208"/>
      <c r="FAM208"/>
      <c r="FAN208"/>
      <c r="FAO208"/>
      <c r="FAP208"/>
      <c r="FAQ208"/>
      <c r="FAR208"/>
      <c r="FAS208"/>
      <c r="FAT208"/>
      <c r="FAU208"/>
      <c r="FAV208"/>
      <c r="FAW208"/>
      <c r="FAX208"/>
      <c r="FAY208"/>
      <c r="FAZ208"/>
      <c r="FBA208"/>
      <c r="FBB208"/>
      <c r="FBC208"/>
      <c r="FBD208"/>
      <c r="FBE208"/>
      <c r="FBF208"/>
      <c r="FBG208"/>
      <c r="FBH208"/>
      <c r="FBI208"/>
      <c r="FBJ208"/>
      <c r="FBK208"/>
      <c r="FBL208"/>
      <c r="FBM208"/>
      <c r="FBN208"/>
      <c r="FBO208"/>
      <c r="FBP208"/>
      <c r="FBQ208"/>
      <c r="FBR208"/>
      <c r="FBS208"/>
      <c r="FBT208"/>
      <c r="FBU208"/>
      <c r="FBV208"/>
      <c r="FBW208"/>
      <c r="FBX208"/>
      <c r="FBY208"/>
      <c r="FBZ208"/>
      <c r="FCA208"/>
      <c r="FCB208"/>
      <c r="FCC208"/>
      <c r="FCD208"/>
      <c r="FCE208"/>
      <c r="FCF208"/>
      <c r="FCG208"/>
      <c r="FCH208"/>
      <c r="FCI208"/>
      <c r="FCJ208"/>
      <c r="FCK208"/>
      <c r="FCL208"/>
      <c r="FCM208"/>
      <c r="FCN208"/>
      <c r="FCO208"/>
      <c r="FCP208"/>
      <c r="FCQ208"/>
      <c r="FCR208"/>
      <c r="FCS208"/>
      <c r="FCT208"/>
      <c r="FCU208"/>
      <c r="FCV208"/>
      <c r="FCW208"/>
      <c r="FCX208"/>
      <c r="FCY208"/>
      <c r="FCZ208"/>
      <c r="FDA208"/>
      <c r="FDB208"/>
      <c r="FDC208"/>
      <c r="FDD208"/>
      <c r="FDE208"/>
      <c r="FDF208"/>
      <c r="FDG208"/>
      <c r="FDH208"/>
      <c r="FDI208"/>
      <c r="FDJ208"/>
      <c r="FDK208"/>
      <c r="FDL208"/>
      <c r="FDM208"/>
      <c r="FDN208"/>
      <c r="FDO208"/>
      <c r="FDP208"/>
      <c r="FDQ208"/>
      <c r="FDR208"/>
      <c r="FDS208"/>
      <c r="FDT208"/>
      <c r="FDU208"/>
      <c r="FDV208"/>
      <c r="FDW208"/>
      <c r="FDX208"/>
      <c r="FDY208"/>
      <c r="FDZ208"/>
      <c r="FEA208"/>
      <c r="FEB208"/>
      <c r="FEC208"/>
      <c r="FED208"/>
      <c r="FEE208"/>
      <c r="FEF208"/>
      <c r="FEG208"/>
      <c r="FEH208"/>
      <c r="FEI208"/>
      <c r="FEJ208"/>
      <c r="FEK208"/>
      <c r="FEL208"/>
      <c r="FEM208"/>
      <c r="FEN208"/>
      <c r="FEO208"/>
      <c r="FEP208"/>
      <c r="FEQ208"/>
      <c r="FER208"/>
      <c r="FES208"/>
      <c r="FET208"/>
      <c r="FEU208"/>
      <c r="FEV208"/>
      <c r="FEW208"/>
      <c r="FEX208"/>
      <c r="FEY208"/>
      <c r="FEZ208"/>
      <c r="FFA208"/>
      <c r="FFB208"/>
      <c r="FFC208"/>
      <c r="FFD208"/>
      <c r="FFE208"/>
      <c r="FFF208"/>
      <c r="FFG208"/>
      <c r="FFH208"/>
      <c r="FFI208"/>
      <c r="FFJ208"/>
      <c r="FFK208"/>
      <c r="FFL208"/>
      <c r="FFM208"/>
      <c r="FFN208"/>
      <c r="FFO208"/>
      <c r="FFP208"/>
      <c r="FFQ208"/>
      <c r="FFR208"/>
      <c r="FFS208"/>
      <c r="FFT208"/>
      <c r="FFU208"/>
      <c r="FFV208"/>
      <c r="FFW208"/>
      <c r="FFX208"/>
      <c r="FFY208"/>
      <c r="FFZ208"/>
      <c r="FGA208"/>
      <c r="FGB208"/>
      <c r="FGC208"/>
      <c r="FGD208"/>
      <c r="FGE208"/>
      <c r="FGF208"/>
      <c r="FGG208"/>
      <c r="FGH208"/>
      <c r="FGI208"/>
      <c r="FGJ208"/>
      <c r="FGK208"/>
      <c r="FGL208"/>
      <c r="FGM208"/>
      <c r="FGN208"/>
      <c r="FGO208"/>
      <c r="FGP208"/>
      <c r="FGQ208"/>
      <c r="FGR208"/>
      <c r="FGS208"/>
      <c r="FGT208"/>
      <c r="FGU208"/>
      <c r="FGV208"/>
      <c r="FGW208"/>
      <c r="FGX208"/>
      <c r="FGY208"/>
      <c r="FGZ208"/>
      <c r="FHA208"/>
      <c r="FHB208"/>
      <c r="FHC208"/>
      <c r="FHD208"/>
      <c r="FHE208"/>
      <c r="FHF208"/>
      <c r="FHG208"/>
      <c r="FHH208"/>
      <c r="FHI208"/>
      <c r="FHJ208"/>
      <c r="FHK208"/>
      <c r="FHL208"/>
      <c r="FHM208"/>
      <c r="FHN208"/>
      <c r="FHO208"/>
      <c r="FHP208"/>
      <c r="FHQ208"/>
      <c r="FHR208"/>
      <c r="FHS208"/>
      <c r="FHT208"/>
      <c r="FHU208"/>
      <c r="FHV208"/>
      <c r="FHW208"/>
      <c r="FHX208"/>
      <c r="FHY208"/>
      <c r="FHZ208"/>
      <c r="FIA208"/>
      <c r="FIB208"/>
      <c r="FIC208"/>
      <c r="FID208"/>
      <c r="FIE208"/>
      <c r="FIF208"/>
      <c r="FIG208"/>
      <c r="FIH208"/>
      <c r="FII208"/>
      <c r="FIJ208"/>
      <c r="FIK208"/>
      <c r="FIL208"/>
      <c r="FIM208"/>
      <c r="FIN208"/>
      <c r="FIO208"/>
      <c r="FIP208"/>
      <c r="FIQ208"/>
      <c r="FIR208"/>
      <c r="FIS208"/>
      <c r="FIT208"/>
      <c r="FIU208"/>
      <c r="FIV208"/>
      <c r="FIW208"/>
      <c r="FIX208"/>
      <c r="FIY208"/>
      <c r="FIZ208"/>
      <c r="FJA208"/>
      <c r="FJB208"/>
      <c r="FJC208"/>
      <c r="FJD208"/>
      <c r="FJE208"/>
      <c r="FJF208"/>
      <c r="FJG208"/>
      <c r="FJH208"/>
      <c r="FJI208"/>
      <c r="FJJ208"/>
      <c r="FJK208"/>
      <c r="FJL208"/>
      <c r="FJM208"/>
      <c r="FJN208"/>
      <c r="FJO208"/>
      <c r="FJP208"/>
      <c r="FJQ208"/>
      <c r="FJR208"/>
      <c r="FJS208"/>
      <c r="FJT208"/>
      <c r="FJU208"/>
      <c r="FJV208"/>
      <c r="FJW208"/>
      <c r="FJX208"/>
      <c r="FJY208"/>
      <c r="FJZ208"/>
      <c r="FKA208"/>
      <c r="FKB208"/>
      <c r="FKC208"/>
      <c r="FKD208"/>
      <c r="FKE208"/>
      <c r="FKF208"/>
      <c r="FKG208"/>
      <c r="FKH208"/>
      <c r="FKI208"/>
      <c r="FKJ208"/>
      <c r="FKK208"/>
      <c r="FKL208"/>
      <c r="FKM208"/>
      <c r="FKN208"/>
      <c r="FKO208"/>
      <c r="FKP208"/>
      <c r="FKQ208"/>
      <c r="FKR208"/>
      <c r="FKS208"/>
      <c r="FKT208"/>
      <c r="FKU208"/>
      <c r="FKV208"/>
      <c r="FKW208"/>
      <c r="FKX208"/>
      <c r="FKY208"/>
      <c r="FKZ208"/>
      <c r="FLA208"/>
      <c r="FLB208"/>
      <c r="FLC208"/>
      <c r="FLD208"/>
      <c r="FLE208"/>
      <c r="FLF208"/>
      <c r="FLG208"/>
      <c r="FLH208"/>
      <c r="FLI208"/>
      <c r="FLJ208"/>
      <c r="FLK208"/>
      <c r="FLL208"/>
      <c r="FLM208"/>
      <c r="FLN208"/>
      <c r="FLO208"/>
      <c r="FLP208"/>
      <c r="FLQ208"/>
      <c r="FLR208"/>
      <c r="FLS208"/>
      <c r="FLT208"/>
      <c r="FLU208"/>
      <c r="FLV208"/>
      <c r="FLW208"/>
      <c r="FLX208"/>
      <c r="FLY208"/>
      <c r="FLZ208"/>
      <c r="FMA208"/>
      <c r="FMB208"/>
      <c r="FMC208"/>
      <c r="FMD208"/>
      <c r="FME208"/>
      <c r="FMF208"/>
      <c r="FMG208"/>
      <c r="FMH208"/>
      <c r="FMI208"/>
      <c r="FMJ208"/>
      <c r="FMK208"/>
      <c r="FML208"/>
      <c r="FMM208"/>
      <c r="FMN208"/>
      <c r="FMO208"/>
      <c r="FMP208"/>
      <c r="FMQ208"/>
      <c r="FMR208"/>
      <c r="FMS208"/>
      <c r="FMT208"/>
      <c r="FMU208"/>
      <c r="FMV208"/>
      <c r="FMW208"/>
      <c r="FMX208"/>
      <c r="FMY208"/>
      <c r="FMZ208"/>
      <c r="FNA208"/>
      <c r="FNB208"/>
      <c r="FNC208"/>
      <c r="FND208"/>
      <c r="FNE208"/>
      <c r="FNF208"/>
      <c r="FNG208"/>
      <c r="FNH208"/>
      <c r="FNI208"/>
      <c r="FNJ208"/>
      <c r="FNK208"/>
      <c r="FNL208"/>
      <c r="FNM208"/>
      <c r="FNN208"/>
      <c r="FNO208"/>
      <c r="FNP208"/>
      <c r="FNQ208"/>
      <c r="FNR208"/>
      <c r="FNS208"/>
      <c r="FNT208"/>
      <c r="FNU208"/>
      <c r="FNV208"/>
      <c r="FNW208"/>
      <c r="FNX208"/>
      <c r="FNY208"/>
      <c r="FNZ208"/>
      <c r="FOA208"/>
      <c r="FOB208"/>
      <c r="FOC208"/>
      <c r="FOD208"/>
      <c r="FOE208"/>
      <c r="FOF208"/>
      <c r="FOG208"/>
      <c r="FOH208"/>
      <c r="FOI208"/>
      <c r="FOJ208"/>
      <c r="FOK208"/>
      <c r="FOL208"/>
      <c r="FOM208"/>
      <c r="FON208"/>
      <c r="FOO208"/>
      <c r="FOP208"/>
      <c r="FOQ208"/>
      <c r="FOR208"/>
      <c r="FOS208"/>
      <c r="FOT208"/>
      <c r="FOU208"/>
      <c r="FOV208"/>
      <c r="FOW208"/>
      <c r="FOX208"/>
      <c r="FOY208"/>
      <c r="FOZ208"/>
      <c r="FPA208"/>
      <c r="FPB208"/>
      <c r="FPC208"/>
      <c r="FPD208"/>
      <c r="FPE208"/>
      <c r="FPF208"/>
      <c r="FPG208"/>
      <c r="FPH208"/>
      <c r="FPI208"/>
      <c r="FPJ208"/>
      <c r="FPK208"/>
      <c r="FPL208"/>
      <c r="FPM208"/>
      <c r="FPN208"/>
      <c r="FPO208"/>
      <c r="FPP208"/>
      <c r="FPQ208"/>
      <c r="FPR208"/>
      <c r="FPS208"/>
      <c r="FPT208"/>
      <c r="FPU208"/>
      <c r="FPV208"/>
      <c r="FPW208"/>
      <c r="FPX208"/>
      <c r="FPY208"/>
      <c r="FPZ208"/>
      <c r="FQA208"/>
      <c r="FQB208"/>
      <c r="FQC208"/>
      <c r="FQD208"/>
      <c r="FQE208"/>
      <c r="FQF208"/>
      <c r="FQG208"/>
      <c r="FQH208"/>
      <c r="FQI208"/>
      <c r="FQJ208"/>
      <c r="FQK208"/>
      <c r="FQL208"/>
      <c r="FQM208"/>
      <c r="FQN208"/>
      <c r="FQO208"/>
      <c r="FQP208"/>
      <c r="FQQ208"/>
      <c r="FQR208"/>
      <c r="FQS208"/>
      <c r="FQT208"/>
      <c r="FQU208"/>
      <c r="FQV208"/>
      <c r="FQW208"/>
      <c r="FQX208"/>
      <c r="FQY208"/>
      <c r="FQZ208"/>
      <c r="FRA208"/>
      <c r="FRB208"/>
      <c r="FRC208"/>
      <c r="FRD208"/>
      <c r="FRE208"/>
      <c r="FRF208"/>
      <c r="FRG208"/>
      <c r="FRH208"/>
      <c r="FRI208"/>
      <c r="FRJ208"/>
      <c r="FRK208"/>
      <c r="FRL208"/>
      <c r="FRM208"/>
      <c r="FRN208"/>
      <c r="FRO208"/>
      <c r="FRP208"/>
      <c r="FRQ208"/>
      <c r="FRR208"/>
      <c r="FRS208"/>
      <c r="FRT208"/>
      <c r="FRU208"/>
      <c r="FRV208"/>
      <c r="FRW208"/>
      <c r="FRX208"/>
      <c r="FRY208"/>
      <c r="FRZ208"/>
      <c r="FSA208"/>
      <c r="FSB208"/>
      <c r="FSC208"/>
      <c r="FSD208"/>
      <c r="FSE208"/>
      <c r="FSF208"/>
      <c r="FSG208"/>
      <c r="FSH208"/>
      <c r="FSI208"/>
      <c r="FSJ208"/>
      <c r="FSK208"/>
      <c r="FSL208"/>
      <c r="FSM208"/>
      <c r="FSN208"/>
      <c r="FSO208"/>
      <c r="FSP208"/>
      <c r="FSQ208"/>
      <c r="FSR208"/>
      <c r="FSS208"/>
      <c r="FST208"/>
      <c r="FSU208"/>
      <c r="FSV208"/>
      <c r="FSW208"/>
      <c r="FSX208"/>
      <c r="FSY208"/>
      <c r="FSZ208"/>
      <c r="FTA208"/>
      <c r="FTB208"/>
      <c r="FTC208"/>
      <c r="FTD208"/>
      <c r="FTE208"/>
      <c r="FTF208"/>
      <c r="FTG208"/>
      <c r="FTH208"/>
      <c r="FTI208"/>
      <c r="FTJ208"/>
      <c r="FTK208"/>
      <c r="FTL208"/>
      <c r="FTM208"/>
      <c r="FTN208"/>
      <c r="FTO208"/>
      <c r="FTP208"/>
      <c r="FTQ208"/>
      <c r="FTR208"/>
      <c r="FTS208"/>
      <c r="FTT208"/>
      <c r="FTU208"/>
      <c r="FTV208"/>
      <c r="FTW208"/>
      <c r="FTX208"/>
      <c r="FTY208"/>
      <c r="FTZ208"/>
      <c r="FUA208"/>
      <c r="FUB208"/>
      <c r="FUC208"/>
      <c r="FUD208"/>
      <c r="FUE208"/>
      <c r="FUF208"/>
      <c r="FUG208"/>
      <c r="FUH208"/>
      <c r="FUI208"/>
      <c r="FUJ208"/>
      <c r="FUK208"/>
      <c r="FUL208"/>
      <c r="FUM208"/>
      <c r="FUN208"/>
      <c r="FUO208"/>
      <c r="FUP208"/>
      <c r="FUQ208"/>
      <c r="FUR208"/>
      <c r="FUS208"/>
      <c r="FUT208"/>
      <c r="FUU208"/>
      <c r="FUV208"/>
      <c r="FUW208"/>
      <c r="FUX208"/>
      <c r="FUY208"/>
      <c r="FUZ208"/>
      <c r="FVA208"/>
      <c r="FVB208"/>
      <c r="FVC208"/>
      <c r="FVD208"/>
      <c r="FVE208"/>
      <c r="FVF208"/>
      <c r="FVG208"/>
      <c r="FVH208"/>
      <c r="FVI208"/>
      <c r="FVJ208"/>
      <c r="FVK208"/>
      <c r="FVL208"/>
      <c r="FVM208"/>
      <c r="FVN208"/>
      <c r="FVO208"/>
      <c r="FVP208"/>
      <c r="FVQ208"/>
      <c r="FVR208"/>
      <c r="FVS208"/>
      <c r="FVT208"/>
      <c r="FVU208"/>
      <c r="FVV208"/>
      <c r="FVW208"/>
      <c r="FVX208"/>
      <c r="FVY208"/>
      <c r="FVZ208"/>
      <c r="FWA208"/>
      <c r="FWB208"/>
      <c r="FWC208"/>
      <c r="FWD208"/>
      <c r="FWE208"/>
      <c r="FWF208"/>
      <c r="FWG208"/>
      <c r="FWH208"/>
      <c r="FWI208"/>
      <c r="FWJ208"/>
      <c r="FWK208"/>
      <c r="FWL208"/>
      <c r="FWM208"/>
      <c r="FWN208"/>
      <c r="FWO208"/>
      <c r="FWP208"/>
      <c r="FWQ208"/>
      <c r="FWR208"/>
      <c r="FWS208"/>
      <c r="FWT208"/>
      <c r="FWU208"/>
      <c r="FWV208"/>
      <c r="FWW208"/>
      <c r="FWX208"/>
      <c r="FWY208"/>
      <c r="FWZ208"/>
      <c r="FXA208"/>
      <c r="FXB208"/>
      <c r="FXC208"/>
      <c r="FXD208"/>
      <c r="FXE208"/>
      <c r="FXF208"/>
      <c r="FXG208"/>
      <c r="FXH208"/>
      <c r="FXI208"/>
      <c r="FXJ208"/>
      <c r="FXK208"/>
      <c r="FXL208"/>
      <c r="FXM208"/>
      <c r="FXN208"/>
      <c r="FXO208"/>
      <c r="FXP208"/>
      <c r="FXQ208"/>
      <c r="FXR208"/>
      <c r="FXS208"/>
      <c r="FXT208"/>
      <c r="FXU208"/>
      <c r="FXV208"/>
      <c r="FXW208"/>
      <c r="FXX208"/>
      <c r="FXY208"/>
      <c r="FXZ208"/>
      <c r="FYA208"/>
      <c r="FYB208"/>
      <c r="FYC208"/>
      <c r="FYD208"/>
      <c r="FYE208"/>
      <c r="FYF208"/>
      <c r="FYG208"/>
      <c r="FYH208"/>
      <c r="FYI208"/>
      <c r="FYJ208"/>
      <c r="FYK208"/>
      <c r="FYL208"/>
      <c r="FYM208"/>
      <c r="FYN208"/>
      <c r="FYO208"/>
      <c r="FYP208"/>
      <c r="FYQ208"/>
      <c r="FYR208"/>
      <c r="FYS208"/>
      <c r="FYT208"/>
      <c r="FYU208"/>
      <c r="FYV208"/>
      <c r="FYW208"/>
      <c r="FYX208"/>
      <c r="FYY208"/>
      <c r="FYZ208"/>
      <c r="FZA208"/>
      <c r="FZB208"/>
      <c r="FZC208"/>
      <c r="FZD208"/>
      <c r="FZE208"/>
      <c r="FZF208"/>
      <c r="FZG208"/>
      <c r="FZH208"/>
      <c r="FZI208"/>
      <c r="FZJ208"/>
      <c r="FZK208"/>
      <c r="FZL208"/>
      <c r="FZM208"/>
      <c r="FZN208"/>
      <c r="FZO208"/>
      <c r="FZP208"/>
      <c r="FZQ208"/>
      <c r="FZR208"/>
      <c r="FZS208"/>
      <c r="FZT208"/>
      <c r="FZU208"/>
      <c r="FZV208"/>
      <c r="FZW208"/>
      <c r="FZX208"/>
      <c r="FZY208"/>
      <c r="FZZ208"/>
      <c r="GAA208"/>
      <c r="GAB208"/>
      <c r="GAC208"/>
      <c r="GAD208"/>
      <c r="GAE208"/>
      <c r="GAF208"/>
      <c r="GAG208"/>
      <c r="GAH208"/>
      <c r="GAI208"/>
      <c r="GAJ208"/>
      <c r="GAK208"/>
      <c r="GAL208"/>
      <c r="GAM208"/>
      <c r="GAN208"/>
      <c r="GAO208"/>
      <c r="GAP208"/>
      <c r="GAQ208"/>
      <c r="GAR208"/>
      <c r="GAS208"/>
      <c r="GAT208"/>
      <c r="GAU208"/>
      <c r="GAV208"/>
      <c r="GAW208"/>
      <c r="GAX208"/>
      <c r="GAY208"/>
      <c r="GAZ208"/>
      <c r="GBA208"/>
      <c r="GBB208"/>
      <c r="GBC208"/>
      <c r="GBD208"/>
      <c r="GBE208"/>
      <c r="GBF208"/>
      <c r="GBG208"/>
      <c r="GBH208"/>
      <c r="GBI208"/>
      <c r="GBJ208"/>
      <c r="GBK208"/>
      <c r="GBL208"/>
      <c r="GBM208"/>
      <c r="GBN208"/>
      <c r="GBO208"/>
      <c r="GBP208"/>
      <c r="GBQ208"/>
      <c r="GBR208"/>
      <c r="GBS208"/>
      <c r="GBT208"/>
      <c r="GBU208"/>
      <c r="GBV208"/>
      <c r="GBW208"/>
      <c r="GBX208"/>
      <c r="GBY208"/>
      <c r="GBZ208"/>
      <c r="GCA208"/>
      <c r="GCB208"/>
      <c r="GCC208"/>
      <c r="GCD208"/>
      <c r="GCE208"/>
      <c r="GCF208"/>
      <c r="GCG208"/>
      <c r="GCH208"/>
      <c r="GCI208"/>
      <c r="GCJ208"/>
      <c r="GCK208"/>
      <c r="GCL208"/>
      <c r="GCM208"/>
      <c r="GCN208"/>
      <c r="GCO208"/>
      <c r="GCP208"/>
      <c r="GCQ208"/>
      <c r="GCR208"/>
      <c r="GCS208"/>
      <c r="GCT208"/>
      <c r="GCU208"/>
      <c r="GCV208"/>
      <c r="GCW208"/>
      <c r="GCX208"/>
      <c r="GCY208"/>
      <c r="GCZ208"/>
      <c r="GDA208"/>
      <c r="GDB208"/>
      <c r="GDC208"/>
      <c r="GDD208"/>
      <c r="GDE208"/>
      <c r="GDF208"/>
      <c r="GDG208"/>
      <c r="GDH208"/>
      <c r="GDI208"/>
      <c r="GDJ208"/>
      <c r="GDK208"/>
      <c r="GDL208"/>
      <c r="GDM208"/>
      <c r="GDN208"/>
      <c r="GDO208"/>
      <c r="GDP208"/>
      <c r="GDQ208"/>
      <c r="GDR208"/>
      <c r="GDS208"/>
      <c r="GDT208"/>
      <c r="GDU208"/>
      <c r="GDV208"/>
      <c r="GDW208"/>
      <c r="GDX208"/>
      <c r="GDY208"/>
      <c r="GDZ208"/>
      <c r="GEA208"/>
      <c r="GEB208"/>
      <c r="GEC208"/>
      <c r="GED208"/>
      <c r="GEE208"/>
      <c r="GEF208"/>
      <c r="GEG208"/>
      <c r="GEH208"/>
      <c r="GEI208"/>
      <c r="GEJ208"/>
      <c r="GEK208"/>
      <c r="GEL208"/>
      <c r="GEM208"/>
      <c r="GEN208"/>
      <c r="GEO208"/>
      <c r="GEP208"/>
      <c r="GEQ208"/>
      <c r="GER208"/>
      <c r="GES208"/>
      <c r="GET208"/>
      <c r="GEU208"/>
      <c r="GEV208"/>
      <c r="GEW208"/>
      <c r="GEX208"/>
      <c r="GEY208"/>
      <c r="GEZ208"/>
      <c r="GFA208"/>
      <c r="GFB208"/>
      <c r="GFC208"/>
      <c r="GFD208"/>
      <c r="GFE208"/>
      <c r="GFF208"/>
      <c r="GFG208"/>
      <c r="GFH208"/>
      <c r="GFI208"/>
      <c r="GFJ208"/>
      <c r="GFK208"/>
      <c r="GFL208"/>
      <c r="GFM208"/>
      <c r="GFN208"/>
      <c r="GFO208"/>
      <c r="GFP208"/>
      <c r="GFQ208"/>
      <c r="GFR208"/>
      <c r="GFS208"/>
      <c r="GFT208"/>
      <c r="GFU208"/>
      <c r="GFV208"/>
      <c r="GFW208"/>
      <c r="GFX208"/>
      <c r="GFY208"/>
      <c r="GFZ208"/>
      <c r="GGA208"/>
      <c r="GGB208"/>
      <c r="GGC208"/>
      <c r="GGD208"/>
      <c r="GGE208"/>
      <c r="GGF208"/>
      <c r="GGG208"/>
      <c r="GGH208"/>
      <c r="GGI208"/>
      <c r="GGJ208"/>
      <c r="GGK208"/>
      <c r="GGL208"/>
      <c r="GGM208"/>
      <c r="GGN208"/>
      <c r="GGO208"/>
      <c r="GGP208"/>
      <c r="GGQ208"/>
      <c r="GGR208"/>
      <c r="GGS208"/>
      <c r="GGT208"/>
      <c r="GGU208"/>
      <c r="GGV208"/>
      <c r="GGW208"/>
      <c r="GGX208"/>
      <c r="GGY208"/>
      <c r="GGZ208"/>
      <c r="GHA208"/>
      <c r="GHB208"/>
      <c r="GHC208"/>
      <c r="GHD208"/>
      <c r="GHE208"/>
      <c r="GHF208"/>
      <c r="GHG208"/>
      <c r="GHH208"/>
      <c r="GHI208"/>
      <c r="GHJ208"/>
      <c r="GHK208"/>
      <c r="GHL208"/>
      <c r="GHM208"/>
      <c r="GHN208"/>
      <c r="GHO208"/>
      <c r="GHP208"/>
      <c r="GHQ208"/>
      <c r="GHR208"/>
      <c r="GHS208"/>
      <c r="GHT208"/>
      <c r="GHU208"/>
      <c r="GHV208"/>
      <c r="GHW208"/>
      <c r="GHX208"/>
      <c r="GHY208"/>
      <c r="GHZ208"/>
      <c r="GIA208"/>
      <c r="GIB208"/>
      <c r="GIC208"/>
      <c r="GID208"/>
      <c r="GIE208"/>
      <c r="GIF208"/>
      <c r="GIG208"/>
      <c r="GIH208"/>
      <c r="GII208"/>
      <c r="GIJ208"/>
      <c r="GIK208"/>
      <c r="GIL208"/>
      <c r="GIM208"/>
      <c r="GIN208"/>
      <c r="GIO208"/>
      <c r="GIP208"/>
      <c r="GIQ208"/>
      <c r="GIR208"/>
      <c r="GIS208"/>
      <c r="GIT208"/>
      <c r="GIU208"/>
      <c r="GIV208"/>
      <c r="GIW208"/>
      <c r="GIX208"/>
      <c r="GIY208"/>
      <c r="GIZ208"/>
      <c r="GJA208"/>
      <c r="GJB208"/>
      <c r="GJC208"/>
      <c r="GJD208"/>
      <c r="GJE208"/>
      <c r="GJF208"/>
      <c r="GJG208"/>
      <c r="GJH208"/>
      <c r="GJI208"/>
      <c r="GJJ208"/>
      <c r="GJK208"/>
      <c r="GJL208"/>
      <c r="GJM208"/>
      <c r="GJN208"/>
      <c r="GJO208"/>
      <c r="GJP208"/>
      <c r="GJQ208"/>
      <c r="GJR208"/>
      <c r="GJS208"/>
      <c r="GJT208"/>
      <c r="GJU208"/>
      <c r="GJV208"/>
      <c r="GJW208"/>
      <c r="GJX208"/>
      <c r="GJY208"/>
      <c r="GJZ208"/>
      <c r="GKA208"/>
      <c r="GKB208"/>
      <c r="GKC208"/>
      <c r="GKD208"/>
      <c r="GKE208"/>
      <c r="GKF208"/>
      <c r="GKG208"/>
      <c r="GKH208"/>
      <c r="GKI208"/>
      <c r="GKJ208"/>
      <c r="GKK208"/>
      <c r="GKL208"/>
      <c r="GKM208"/>
      <c r="GKN208"/>
      <c r="GKO208"/>
      <c r="GKP208"/>
      <c r="GKQ208"/>
      <c r="GKR208"/>
      <c r="GKS208"/>
      <c r="GKT208"/>
      <c r="GKU208"/>
      <c r="GKV208"/>
      <c r="GKW208"/>
      <c r="GKX208"/>
      <c r="GKY208"/>
      <c r="GKZ208"/>
      <c r="GLA208"/>
      <c r="GLB208"/>
      <c r="GLC208"/>
      <c r="GLD208"/>
      <c r="GLE208"/>
      <c r="GLF208"/>
      <c r="GLG208"/>
      <c r="GLH208"/>
      <c r="GLI208"/>
      <c r="GLJ208"/>
      <c r="GLK208"/>
      <c r="GLL208"/>
      <c r="GLM208"/>
      <c r="GLN208"/>
      <c r="GLO208"/>
      <c r="GLP208"/>
      <c r="GLQ208"/>
      <c r="GLR208"/>
      <c r="GLS208"/>
      <c r="GLT208"/>
      <c r="GLU208"/>
      <c r="GLV208"/>
      <c r="GLW208"/>
      <c r="GLX208"/>
      <c r="GLY208"/>
      <c r="GLZ208"/>
      <c r="GMA208"/>
      <c r="GMB208"/>
      <c r="GMC208"/>
      <c r="GMD208"/>
      <c r="GME208"/>
      <c r="GMF208"/>
      <c r="GMG208"/>
      <c r="GMH208"/>
      <c r="GMI208"/>
      <c r="GMJ208"/>
      <c r="GMK208"/>
      <c r="GML208"/>
      <c r="GMM208"/>
      <c r="GMN208"/>
      <c r="GMO208"/>
      <c r="GMP208"/>
      <c r="GMQ208"/>
      <c r="GMR208"/>
      <c r="GMS208"/>
      <c r="GMT208"/>
      <c r="GMU208"/>
      <c r="GMV208"/>
      <c r="GMW208"/>
      <c r="GMX208"/>
      <c r="GMY208"/>
      <c r="GMZ208"/>
      <c r="GNA208"/>
      <c r="GNB208"/>
      <c r="GNC208"/>
      <c r="GND208"/>
      <c r="GNE208"/>
      <c r="GNF208"/>
      <c r="GNG208"/>
      <c r="GNH208"/>
      <c r="GNI208"/>
      <c r="GNJ208"/>
      <c r="GNK208"/>
      <c r="GNL208"/>
      <c r="GNM208"/>
      <c r="GNN208"/>
      <c r="GNO208"/>
      <c r="GNP208"/>
      <c r="GNQ208"/>
      <c r="GNR208"/>
      <c r="GNS208"/>
      <c r="GNT208"/>
      <c r="GNU208"/>
      <c r="GNV208"/>
      <c r="GNW208"/>
      <c r="GNX208"/>
      <c r="GNY208"/>
      <c r="GNZ208"/>
      <c r="GOA208"/>
      <c r="GOB208"/>
      <c r="GOC208"/>
      <c r="GOD208"/>
      <c r="GOE208"/>
      <c r="GOF208"/>
      <c r="GOG208"/>
      <c r="GOH208"/>
      <c r="GOI208"/>
      <c r="GOJ208"/>
      <c r="GOK208"/>
      <c r="GOL208"/>
      <c r="GOM208"/>
      <c r="GON208"/>
      <c r="GOO208"/>
      <c r="GOP208"/>
      <c r="GOQ208"/>
      <c r="GOR208"/>
      <c r="GOS208"/>
      <c r="GOT208"/>
      <c r="GOU208"/>
      <c r="GOV208"/>
      <c r="GOW208"/>
      <c r="GOX208"/>
      <c r="GOY208"/>
      <c r="GOZ208"/>
      <c r="GPA208"/>
      <c r="GPB208"/>
      <c r="GPC208"/>
      <c r="GPD208"/>
      <c r="GPE208"/>
      <c r="GPF208"/>
      <c r="GPG208"/>
      <c r="GPH208"/>
      <c r="GPI208"/>
      <c r="GPJ208"/>
      <c r="GPK208"/>
      <c r="GPL208"/>
      <c r="GPM208"/>
      <c r="GPN208"/>
      <c r="GPO208"/>
      <c r="GPP208"/>
      <c r="GPQ208"/>
      <c r="GPR208"/>
      <c r="GPS208"/>
      <c r="GPT208"/>
      <c r="GPU208"/>
      <c r="GPV208"/>
      <c r="GPW208"/>
      <c r="GPX208"/>
      <c r="GPY208"/>
      <c r="GPZ208"/>
      <c r="GQA208"/>
      <c r="GQB208"/>
      <c r="GQC208"/>
      <c r="GQD208"/>
      <c r="GQE208"/>
      <c r="GQF208"/>
      <c r="GQG208"/>
      <c r="GQH208"/>
      <c r="GQI208"/>
      <c r="GQJ208"/>
      <c r="GQK208"/>
      <c r="GQL208"/>
      <c r="GQM208"/>
      <c r="GQN208"/>
      <c r="GQO208"/>
      <c r="GQP208"/>
      <c r="GQQ208"/>
      <c r="GQR208"/>
      <c r="GQS208"/>
      <c r="GQT208"/>
      <c r="GQU208"/>
      <c r="GQV208"/>
      <c r="GQW208"/>
      <c r="GQX208"/>
      <c r="GQY208"/>
      <c r="GQZ208"/>
      <c r="GRA208"/>
      <c r="GRB208"/>
      <c r="GRC208"/>
      <c r="GRD208"/>
      <c r="GRE208"/>
      <c r="GRF208"/>
      <c r="GRG208"/>
      <c r="GRH208"/>
      <c r="GRI208"/>
      <c r="GRJ208"/>
      <c r="GRK208"/>
      <c r="GRL208"/>
      <c r="GRM208"/>
      <c r="GRN208"/>
      <c r="GRO208"/>
      <c r="GRP208"/>
      <c r="GRQ208"/>
      <c r="GRR208"/>
      <c r="GRS208"/>
      <c r="GRT208"/>
      <c r="GRU208"/>
      <c r="GRV208"/>
      <c r="GRW208"/>
      <c r="GRX208"/>
      <c r="GRY208"/>
      <c r="GRZ208"/>
      <c r="GSA208"/>
      <c r="GSB208"/>
      <c r="GSC208"/>
      <c r="GSD208"/>
      <c r="GSE208"/>
      <c r="GSF208"/>
      <c r="GSG208"/>
      <c r="GSH208"/>
      <c r="GSI208"/>
      <c r="GSJ208"/>
      <c r="GSK208"/>
      <c r="GSL208"/>
      <c r="GSM208"/>
      <c r="GSN208"/>
      <c r="GSO208"/>
      <c r="GSP208"/>
      <c r="GSQ208"/>
      <c r="GSR208"/>
      <c r="GSS208"/>
      <c r="GST208"/>
      <c r="GSU208"/>
      <c r="GSV208"/>
      <c r="GSW208"/>
      <c r="GSX208"/>
      <c r="GSY208"/>
      <c r="GSZ208"/>
      <c r="GTA208"/>
      <c r="GTB208"/>
      <c r="GTC208"/>
      <c r="GTD208"/>
      <c r="GTE208"/>
      <c r="GTF208"/>
      <c r="GTG208"/>
      <c r="GTH208"/>
      <c r="GTI208"/>
      <c r="GTJ208"/>
      <c r="GTK208"/>
      <c r="GTL208"/>
      <c r="GTM208"/>
      <c r="GTN208"/>
      <c r="GTO208"/>
      <c r="GTP208"/>
      <c r="GTQ208"/>
      <c r="GTR208"/>
      <c r="GTS208"/>
      <c r="GTT208"/>
      <c r="GTU208"/>
      <c r="GTV208"/>
      <c r="GTW208"/>
      <c r="GTX208"/>
      <c r="GTY208"/>
      <c r="GTZ208"/>
      <c r="GUA208"/>
      <c r="GUB208"/>
      <c r="GUC208"/>
      <c r="GUD208"/>
      <c r="GUE208"/>
      <c r="GUF208"/>
      <c r="GUG208"/>
      <c r="GUH208"/>
      <c r="GUI208"/>
      <c r="GUJ208"/>
      <c r="GUK208"/>
      <c r="GUL208"/>
      <c r="GUM208"/>
      <c r="GUN208"/>
      <c r="GUO208"/>
      <c r="GUP208"/>
      <c r="GUQ208"/>
      <c r="GUR208"/>
      <c r="GUS208"/>
      <c r="GUT208"/>
      <c r="GUU208"/>
      <c r="GUV208"/>
      <c r="GUW208"/>
      <c r="GUX208"/>
      <c r="GUY208"/>
      <c r="GUZ208"/>
      <c r="GVA208"/>
      <c r="GVB208"/>
      <c r="GVC208"/>
      <c r="GVD208"/>
      <c r="GVE208"/>
      <c r="GVF208"/>
      <c r="GVG208"/>
      <c r="GVH208"/>
      <c r="GVI208"/>
      <c r="GVJ208"/>
      <c r="GVK208"/>
      <c r="GVL208"/>
      <c r="GVM208"/>
      <c r="GVN208"/>
      <c r="GVO208"/>
      <c r="GVP208"/>
      <c r="GVQ208"/>
      <c r="GVR208"/>
      <c r="GVS208"/>
      <c r="GVT208"/>
      <c r="GVU208"/>
      <c r="GVV208"/>
      <c r="GVW208"/>
      <c r="GVX208"/>
      <c r="GVY208"/>
      <c r="GVZ208"/>
      <c r="GWA208"/>
      <c r="GWB208"/>
      <c r="GWC208"/>
      <c r="GWD208"/>
      <c r="GWE208"/>
      <c r="GWF208"/>
      <c r="GWG208"/>
      <c r="GWH208"/>
      <c r="GWI208"/>
      <c r="GWJ208"/>
      <c r="GWK208"/>
      <c r="GWL208"/>
      <c r="GWM208"/>
      <c r="GWN208"/>
      <c r="GWO208"/>
      <c r="GWP208"/>
      <c r="GWQ208"/>
      <c r="GWR208"/>
      <c r="GWS208"/>
      <c r="GWT208"/>
      <c r="GWU208"/>
      <c r="GWV208"/>
      <c r="GWW208"/>
      <c r="GWX208"/>
      <c r="GWY208"/>
      <c r="GWZ208"/>
      <c r="GXA208"/>
      <c r="GXB208"/>
      <c r="GXC208"/>
      <c r="GXD208"/>
      <c r="GXE208"/>
      <c r="GXF208"/>
      <c r="GXG208"/>
      <c r="GXH208"/>
      <c r="GXI208"/>
      <c r="GXJ208"/>
      <c r="GXK208"/>
      <c r="GXL208"/>
      <c r="GXM208"/>
      <c r="GXN208"/>
      <c r="GXO208"/>
      <c r="GXP208"/>
      <c r="GXQ208"/>
      <c r="GXR208"/>
      <c r="GXS208"/>
      <c r="GXT208"/>
      <c r="GXU208"/>
      <c r="GXV208"/>
      <c r="GXW208"/>
      <c r="GXX208"/>
      <c r="GXY208"/>
      <c r="GXZ208"/>
      <c r="GYA208"/>
      <c r="GYB208"/>
      <c r="GYC208"/>
      <c r="GYD208"/>
      <c r="GYE208"/>
      <c r="GYF208"/>
      <c r="GYG208"/>
      <c r="GYH208"/>
      <c r="GYI208"/>
      <c r="GYJ208"/>
      <c r="GYK208"/>
      <c r="GYL208"/>
      <c r="GYM208"/>
      <c r="GYN208"/>
      <c r="GYO208"/>
      <c r="GYP208"/>
      <c r="GYQ208"/>
      <c r="GYR208"/>
      <c r="GYS208"/>
      <c r="GYT208"/>
      <c r="GYU208"/>
      <c r="GYV208"/>
      <c r="GYW208"/>
      <c r="GYX208"/>
      <c r="GYY208"/>
      <c r="GYZ208"/>
      <c r="GZA208"/>
      <c r="GZB208"/>
      <c r="GZC208"/>
      <c r="GZD208"/>
      <c r="GZE208"/>
      <c r="GZF208"/>
      <c r="GZG208"/>
      <c r="GZH208"/>
      <c r="GZI208"/>
      <c r="GZJ208"/>
      <c r="GZK208"/>
      <c r="GZL208"/>
      <c r="GZM208"/>
      <c r="GZN208"/>
      <c r="GZO208"/>
      <c r="GZP208"/>
      <c r="GZQ208"/>
      <c r="GZR208"/>
      <c r="GZS208"/>
      <c r="GZT208"/>
      <c r="GZU208"/>
      <c r="GZV208"/>
      <c r="GZW208"/>
      <c r="GZX208"/>
      <c r="GZY208"/>
      <c r="GZZ208"/>
      <c r="HAA208"/>
      <c r="HAB208"/>
      <c r="HAC208"/>
      <c r="HAD208"/>
      <c r="HAE208"/>
      <c r="HAF208"/>
      <c r="HAG208"/>
      <c r="HAH208"/>
      <c r="HAI208"/>
      <c r="HAJ208"/>
      <c r="HAK208"/>
      <c r="HAL208"/>
      <c r="HAM208"/>
      <c r="HAN208"/>
      <c r="HAO208"/>
      <c r="HAP208"/>
      <c r="HAQ208"/>
      <c r="HAR208"/>
      <c r="HAS208"/>
      <c r="HAT208"/>
      <c r="HAU208"/>
      <c r="HAV208"/>
      <c r="HAW208"/>
      <c r="HAX208"/>
      <c r="HAY208"/>
      <c r="HAZ208"/>
      <c r="HBA208"/>
      <c r="HBB208"/>
      <c r="HBC208"/>
      <c r="HBD208"/>
      <c r="HBE208"/>
      <c r="HBF208"/>
      <c r="HBG208"/>
      <c r="HBH208"/>
      <c r="HBI208"/>
      <c r="HBJ208"/>
      <c r="HBK208"/>
      <c r="HBL208"/>
      <c r="HBM208"/>
      <c r="HBN208"/>
      <c r="HBO208"/>
      <c r="HBP208"/>
      <c r="HBQ208"/>
      <c r="HBR208"/>
      <c r="HBS208"/>
      <c r="HBT208"/>
      <c r="HBU208"/>
      <c r="HBV208"/>
      <c r="HBW208"/>
      <c r="HBX208"/>
      <c r="HBY208"/>
      <c r="HBZ208"/>
      <c r="HCA208"/>
      <c r="HCB208"/>
      <c r="HCC208"/>
      <c r="HCD208"/>
      <c r="HCE208"/>
      <c r="HCF208"/>
      <c r="HCG208"/>
      <c r="HCH208"/>
      <c r="HCI208"/>
      <c r="HCJ208"/>
      <c r="HCK208"/>
      <c r="HCL208"/>
      <c r="HCM208"/>
      <c r="HCN208"/>
      <c r="HCO208"/>
      <c r="HCP208"/>
      <c r="HCQ208"/>
      <c r="HCR208"/>
      <c r="HCS208"/>
      <c r="HCT208"/>
      <c r="HCU208"/>
      <c r="HCV208"/>
      <c r="HCW208"/>
      <c r="HCX208"/>
      <c r="HCY208"/>
      <c r="HCZ208"/>
      <c r="HDA208"/>
      <c r="HDB208"/>
      <c r="HDC208"/>
      <c r="HDD208"/>
      <c r="HDE208"/>
      <c r="HDF208"/>
      <c r="HDG208"/>
      <c r="HDH208"/>
      <c r="HDI208"/>
      <c r="HDJ208"/>
      <c r="HDK208"/>
      <c r="HDL208"/>
      <c r="HDM208"/>
      <c r="HDN208"/>
      <c r="HDO208"/>
      <c r="HDP208"/>
      <c r="HDQ208"/>
      <c r="HDR208"/>
      <c r="HDS208"/>
      <c r="HDT208"/>
      <c r="HDU208"/>
      <c r="HDV208"/>
      <c r="HDW208"/>
      <c r="HDX208"/>
      <c r="HDY208"/>
      <c r="HDZ208"/>
      <c r="HEA208"/>
      <c r="HEB208"/>
      <c r="HEC208"/>
      <c r="HED208"/>
      <c r="HEE208"/>
      <c r="HEF208"/>
      <c r="HEG208"/>
      <c r="HEH208"/>
      <c r="HEI208"/>
      <c r="HEJ208"/>
      <c r="HEK208"/>
      <c r="HEL208"/>
      <c r="HEM208"/>
      <c r="HEN208"/>
      <c r="HEO208"/>
      <c r="HEP208"/>
      <c r="HEQ208"/>
      <c r="HER208"/>
      <c r="HES208"/>
      <c r="HET208"/>
      <c r="HEU208"/>
      <c r="HEV208"/>
      <c r="HEW208"/>
      <c r="HEX208"/>
      <c r="HEY208"/>
      <c r="HEZ208"/>
      <c r="HFA208"/>
      <c r="HFB208"/>
      <c r="HFC208"/>
      <c r="HFD208"/>
      <c r="HFE208"/>
      <c r="HFF208"/>
      <c r="HFG208"/>
      <c r="HFH208"/>
      <c r="HFI208"/>
      <c r="HFJ208"/>
      <c r="HFK208"/>
      <c r="HFL208"/>
      <c r="HFM208"/>
      <c r="HFN208"/>
      <c r="HFO208"/>
      <c r="HFP208"/>
      <c r="HFQ208"/>
      <c r="HFR208"/>
      <c r="HFS208"/>
      <c r="HFT208"/>
      <c r="HFU208"/>
      <c r="HFV208"/>
      <c r="HFW208"/>
      <c r="HFX208"/>
      <c r="HFY208"/>
      <c r="HFZ208"/>
      <c r="HGA208"/>
      <c r="HGB208"/>
      <c r="HGC208"/>
      <c r="HGD208"/>
      <c r="HGE208"/>
      <c r="HGF208"/>
      <c r="HGG208"/>
      <c r="HGH208"/>
      <c r="HGI208"/>
      <c r="HGJ208"/>
      <c r="HGK208"/>
      <c r="HGL208"/>
      <c r="HGM208"/>
      <c r="HGN208"/>
      <c r="HGO208"/>
      <c r="HGP208"/>
      <c r="HGQ208"/>
      <c r="HGR208"/>
      <c r="HGS208"/>
      <c r="HGT208"/>
      <c r="HGU208"/>
      <c r="HGV208"/>
      <c r="HGW208"/>
      <c r="HGX208"/>
      <c r="HGY208"/>
      <c r="HGZ208"/>
      <c r="HHA208"/>
      <c r="HHB208"/>
      <c r="HHC208"/>
      <c r="HHD208"/>
      <c r="HHE208"/>
      <c r="HHF208"/>
      <c r="HHG208"/>
      <c r="HHH208"/>
      <c r="HHI208"/>
      <c r="HHJ208"/>
      <c r="HHK208"/>
      <c r="HHL208"/>
      <c r="HHM208"/>
      <c r="HHN208"/>
      <c r="HHO208"/>
      <c r="HHP208"/>
      <c r="HHQ208"/>
      <c r="HHR208"/>
      <c r="HHS208"/>
      <c r="HHT208"/>
      <c r="HHU208"/>
      <c r="HHV208"/>
      <c r="HHW208"/>
      <c r="HHX208"/>
      <c r="HHY208"/>
      <c r="HHZ208"/>
      <c r="HIA208"/>
      <c r="HIB208"/>
      <c r="HIC208"/>
      <c r="HID208"/>
      <c r="HIE208"/>
      <c r="HIF208"/>
      <c r="HIG208"/>
      <c r="HIH208"/>
      <c r="HII208"/>
      <c r="HIJ208"/>
      <c r="HIK208"/>
      <c r="HIL208"/>
      <c r="HIM208"/>
      <c r="HIN208"/>
      <c r="HIO208"/>
      <c r="HIP208"/>
      <c r="HIQ208"/>
      <c r="HIR208"/>
      <c r="HIS208"/>
      <c r="HIT208"/>
      <c r="HIU208"/>
      <c r="HIV208"/>
      <c r="HIW208"/>
      <c r="HIX208"/>
      <c r="HIY208"/>
      <c r="HIZ208"/>
      <c r="HJA208"/>
      <c r="HJB208"/>
      <c r="HJC208"/>
      <c r="HJD208"/>
      <c r="HJE208"/>
      <c r="HJF208"/>
      <c r="HJG208"/>
      <c r="HJH208"/>
      <c r="HJI208"/>
      <c r="HJJ208"/>
      <c r="HJK208"/>
      <c r="HJL208"/>
      <c r="HJM208"/>
      <c r="HJN208"/>
      <c r="HJO208"/>
      <c r="HJP208"/>
      <c r="HJQ208"/>
      <c r="HJR208"/>
      <c r="HJS208"/>
      <c r="HJT208"/>
      <c r="HJU208"/>
      <c r="HJV208"/>
      <c r="HJW208"/>
      <c r="HJX208"/>
      <c r="HJY208"/>
      <c r="HJZ208"/>
      <c r="HKA208"/>
      <c r="HKB208"/>
      <c r="HKC208"/>
      <c r="HKD208"/>
      <c r="HKE208"/>
      <c r="HKF208"/>
      <c r="HKG208"/>
      <c r="HKH208"/>
      <c r="HKI208"/>
      <c r="HKJ208"/>
      <c r="HKK208"/>
      <c r="HKL208"/>
      <c r="HKM208"/>
      <c r="HKN208"/>
      <c r="HKO208"/>
      <c r="HKP208"/>
      <c r="HKQ208"/>
      <c r="HKR208"/>
      <c r="HKS208"/>
      <c r="HKT208"/>
      <c r="HKU208"/>
      <c r="HKV208"/>
      <c r="HKW208"/>
      <c r="HKX208"/>
      <c r="HKY208"/>
      <c r="HKZ208"/>
      <c r="HLA208"/>
      <c r="HLB208"/>
      <c r="HLC208"/>
      <c r="HLD208"/>
      <c r="HLE208"/>
      <c r="HLF208"/>
      <c r="HLG208"/>
      <c r="HLH208"/>
      <c r="HLI208"/>
      <c r="HLJ208"/>
      <c r="HLK208"/>
      <c r="HLL208"/>
      <c r="HLM208"/>
      <c r="HLN208"/>
      <c r="HLO208"/>
      <c r="HLP208"/>
      <c r="HLQ208"/>
      <c r="HLR208"/>
      <c r="HLS208"/>
      <c r="HLT208"/>
      <c r="HLU208"/>
      <c r="HLV208"/>
      <c r="HLW208"/>
      <c r="HLX208"/>
      <c r="HLY208"/>
      <c r="HLZ208"/>
      <c r="HMA208"/>
      <c r="HMB208"/>
      <c r="HMC208"/>
      <c r="HMD208"/>
      <c r="HME208"/>
      <c r="HMF208"/>
      <c r="HMG208"/>
      <c r="HMH208"/>
      <c r="HMI208"/>
      <c r="HMJ208"/>
      <c r="HMK208"/>
      <c r="HML208"/>
      <c r="HMM208"/>
      <c r="HMN208"/>
      <c r="HMO208"/>
      <c r="HMP208"/>
      <c r="HMQ208"/>
      <c r="HMR208"/>
      <c r="HMS208"/>
      <c r="HMT208"/>
      <c r="HMU208"/>
      <c r="HMV208"/>
      <c r="HMW208"/>
      <c r="HMX208"/>
      <c r="HMY208"/>
      <c r="HMZ208"/>
      <c r="HNA208"/>
      <c r="HNB208"/>
      <c r="HNC208"/>
      <c r="HND208"/>
      <c r="HNE208"/>
      <c r="HNF208"/>
      <c r="HNG208"/>
      <c r="HNH208"/>
      <c r="HNI208"/>
      <c r="HNJ208"/>
      <c r="HNK208"/>
      <c r="HNL208"/>
      <c r="HNM208"/>
      <c r="HNN208"/>
      <c r="HNO208"/>
      <c r="HNP208"/>
      <c r="HNQ208"/>
      <c r="HNR208"/>
      <c r="HNS208"/>
      <c r="HNT208"/>
      <c r="HNU208"/>
      <c r="HNV208"/>
      <c r="HNW208"/>
      <c r="HNX208"/>
      <c r="HNY208"/>
      <c r="HNZ208"/>
      <c r="HOA208"/>
      <c r="HOB208"/>
      <c r="HOC208"/>
      <c r="HOD208"/>
      <c r="HOE208"/>
      <c r="HOF208"/>
      <c r="HOG208"/>
      <c r="HOH208"/>
      <c r="HOI208"/>
      <c r="HOJ208"/>
      <c r="HOK208"/>
      <c r="HOL208"/>
      <c r="HOM208"/>
      <c r="HON208"/>
      <c r="HOO208"/>
      <c r="HOP208"/>
      <c r="HOQ208"/>
      <c r="HOR208"/>
      <c r="HOS208"/>
      <c r="HOT208"/>
      <c r="HOU208"/>
      <c r="HOV208"/>
      <c r="HOW208"/>
      <c r="HOX208"/>
      <c r="HOY208"/>
      <c r="HOZ208"/>
      <c r="HPA208"/>
      <c r="HPB208"/>
      <c r="HPC208"/>
      <c r="HPD208"/>
      <c r="HPE208"/>
      <c r="HPF208"/>
      <c r="HPG208"/>
      <c r="HPH208"/>
      <c r="HPI208"/>
      <c r="HPJ208"/>
      <c r="HPK208"/>
      <c r="HPL208"/>
      <c r="HPM208"/>
      <c r="HPN208"/>
      <c r="HPO208"/>
      <c r="HPP208"/>
      <c r="HPQ208"/>
      <c r="HPR208"/>
      <c r="HPS208"/>
      <c r="HPT208"/>
      <c r="HPU208"/>
      <c r="HPV208"/>
      <c r="HPW208"/>
      <c r="HPX208"/>
      <c r="HPY208"/>
      <c r="HPZ208"/>
      <c r="HQA208"/>
      <c r="HQB208"/>
      <c r="HQC208"/>
      <c r="HQD208"/>
      <c r="HQE208"/>
      <c r="HQF208"/>
      <c r="HQG208"/>
      <c r="HQH208"/>
      <c r="HQI208"/>
      <c r="HQJ208"/>
      <c r="HQK208"/>
      <c r="HQL208"/>
      <c r="HQM208"/>
      <c r="HQN208"/>
      <c r="HQO208"/>
      <c r="HQP208"/>
      <c r="HQQ208"/>
      <c r="HQR208"/>
      <c r="HQS208"/>
      <c r="HQT208"/>
      <c r="HQU208"/>
      <c r="HQV208"/>
      <c r="HQW208"/>
      <c r="HQX208"/>
      <c r="HQY208"/>
      <c r="HQZ208"/>
      <c r="HRA208"/>
      <c r="HRB208"/>
      <c r="HRC208"/>
      <c r="HRD208"/>
      <c r="HRE208"/>
      <c r="HRF208"/>
      <c r="HRG208"/>
      <c r="HRH208"/>
      <c r="HRI208"/>
      <c r="HRJ208"/>
      <c r="HRK208"/>
      <c r="HRL208"/>
      <c r="HRM208"/>
      <c r="HRN208"/>
      <c r="HRO208"/>
      <c r="HRP208"/>
      <c r="HRQ208"/>
      <c r="HRR208"/>
      <c r="HRS208"/>
      <c r="HRT208"/>
      <c r="HRU208"/>
      <c r="HRV208"/>
      <c r="HRW208"/>
      <c r="HRX208"/>
      <c r="HRY208"/>
      <c r="HRZ208"/>
      <c r="HSA208"/>
      <c r="HSB208"/>
      <c r="HSC208"/>
      <c r="HSD208"/>
      <c r="HSE208"/>
      <c r="HSF208"/>
      <c r="HSG208"/>
      <c r="HSH208"/>
      <c r="HSI208"/>
      <c r="HSJ208"/>
      <c r="HSK208"/>
      <c r="HSL208"/>
      <c r="HSM208"/>
      <c r="HSN208"/>
      <c r="HSO208"/>
      <c r="HSP208"/>
      <c r="HSQ208"/>
      <c r="HSR208"/>
      <c r="HSS208"/>
      <c r="HST208"/>
      <c r="HSU208"/>
      <c r="HSV208"/>
      <c r="HSW208"/>
      <c r="HSX208"/>
      <c r="HSY208"/>
      <c r="HSZ208"/>
      <c r="HTA208"/>
      <c r="HTB208"/>
      <c r="HTC208"/>
      <c r="HTD208"/>
      <c r="HTE208"/>
      <c r="HTF208"/>
      <c r="HTG208"/>
      <c r="HTH208"/>
      <c r="HTI208"/>
      <c r="HTJ208"/>
      <c r="HTK208"/>
      <c r="HTL208"/>
      <c r="HTM208"/>
      <c r="HTN208"/>
      <c r="HTO208"/>
      <c r="HTP208"/>
      <c r="HTQ208"/>
      <c r="HTR208"/>
      <c r="HTS208"/>
      <c r="HTT208"/>
      <c r="HTU208"/>
      <c r="HTV208"/>
      <c r="HTW208"/>
      <c r="HTX208"/>
      <c r="HTY208"/>
      <c r="HTZ208"/>
      <c r="HUA208"/>
      <c r="HUB208"/>
      <c r="HUC208"/>
      <c r="HUD208"/>
      <c r="HUE208"/>
      <c r="HUF208"/>
      <c r="HUG208"/>
      <c r="HUH208"/>
      <c r="HUI208"/>
      <c r="HUJ208"/>
      <c r="HUK208"/>
      <c r="HUL208"/>
      <c r="HUM208"/>
      <c r="HUN208"/>
      <c r="HUO208"/>
      <c r="HUP208"/>
      <c r="HUQ208"/>
      <c r="HUR208"/>
      <c r="HUS208"/>
      <c r="HUT208"/>
      <c r="HUU208"/>
      <c r="HUV208"/>
      <c r="HUW208"/>
      <c r="HUX208"/>
      <c r="HUY208"/>
      <c r="HUZ208"/>
      <c r="HVA208"/>
      <c r="HVB208"/>
      <c r="HVC208"/>
      <c r="HVD208"/>
      <c r="HVE208"/>
      <c r="HVF208"/>
      <c r="HVG208"/>
      <c r="HVH208"/>
      <c r="HVI208"/>
      <c r="HVJ208"/>
      <c r="HVK208"/>
      <c r="HVL208"/>
      <c r="HVM208"/>
      <c r="HVN208"/>
      <c r="HVO208"/>
      <c r="HVP208"/>
      <c r="HVQ208"/>
      <c r="HVR208"/>
      <c r="HVS208"/>
      <c r="HVT208"/>
      <c r="HVU208"/>
      <c r="HVV208"/>
      <c r="HVW208"/>
      <c r="HVX208"/>
      <c r="HVY208"/>
      <c r="HVZ208"/>
      <c r="HWA208"/>
      <c r="HWB208"/>
      <c r="HWC208"/>
      <c r="HWD208"/>
      <c r="HWE208"/>
      <c r="HWF208"/>
      <c r="HWG208"/>
      <c r="HWH208"/>
      <c r="HWI208"/>
      <c r="HWJ208"/>
      <c r="HWK208"/>
      <c r="HWL208"/>
      <c r="HWM208"/>
      <c r="HWN208"/>
      <c r="HWO208"/>
      <c r="HWP208"/>
      <c r="HWQ208"/>
      <c r="HWR208"/>
      <c r="HWS208"/>
      <c r="HWT208"/>
      <c r="HWU208"/>
      <c r="HWV208"/>
      <c r="HWW208"/>
      <c r="HWX208"/>
      <c r="HWY208"/>
      <c r="HWZ208"/>
      <c r="HXA208"/>
      <c r="HXB208"/>
      <c r="HXC208"/>
      <c r="HXD208"/>
      <c r="HXE208"/>
      <c r="HXF208"/>
      <c r="HXG208"/>
      <c r="HXH208"/>
      <c r="HXI208"/>
      <c r="HXJ208"/>
      <c r="HXK208"/>
      <c r="HXL208"/>
      <c r="HXM208"/>
      <c r="HXN208"/>
      <c r="HXO208"/>
      <c r="HXP208"/>
      <c r="HXQ208"/>
      <c r="HXR208"/>
      <c r="HXS208"/>
      <c r="HXT208"/>
      <c r="HXU208"/>
      <c r="HXV208"/>
      <c r="HXW208"/>
      <c r="HXX208"/>
      <c r="HXY208"/>
      <c r="HXZ208"/>
      <c r="HYA208"/>
      <c r="HYB208"/>
      <c r="HYC208"/>
      <c r="HYD208"/>
      <c r="HYE208"/>
      <c r="HYF208"/>
      <c r="HYG208"/>
      <c r="HYH208"/>
      <c r="HYI208"/>
      <c r="HYJ208"/>
      <c r="HYK208"/>
      <c r="HYL208"/>
      <c r="HYM208"/>
      <c r="HYN208"/>
      <c r="HYO208"/>
      <c r="HYP208"/>
      <c r="HYQ208"/>
      <c r="HYR208"/>
      <c r="HYS208"/>
      <c r="HYT208"/>
      <c r="HYU208"/>
      <c r="HYV208"/>
      <c r="HYW208"/>
      <c r="HYX208"/>
      <c r="HYY208"/>
      <c r="HYZ208"/>
      <c r="HZA208"/>
      <c r="HZB208"/>
      <c r="HZC208"/>
      <c r="HZD208"/>
      <c r="HZE208"/>
      <c r="HZF208"/>
      <c r="HZG208"/>
      <c r="HZH208"/>
      <c r="HZI208"/>
      <c r="HZJ208"/>
      <c r="HZK208"/>
      <c r="HZL208"/>
      <c r="HZM208"/>
      <c r="HZN208"/>
      <c r="HZO208"/>
      <c r="HZP208"/>
      <c r="HZQ208"/>
      <c r="HZR208"/>
      <c r="HZS208"/>
      <c r="HZT208"/>
      <c r="HZU208"/>
      <c r="HZV208"/>
      <c r="HZW208"/>
      <c r="HZX208"/>
      <c r="HZY208"/>
      <c r="HZZ208"/>
      <c r="IAA208"/>
      <c r="IAB208"/>
      <c r="IAC208"/>
      <c r="IAD208"/>
      <c r="IAE208"/>
      <c r="IAF208"/>
      <c r="IAG208"/>
      <c r="IAH208"/>
      <c r="IAI208"/>
      <c r="IAJ208"/>
      <c r="IAK208"/>
      <c r="IAL208"/>
      <c r="IAM208"/>
      <c r="IAN208"/>
      <c r="IAO208"/>
      <c r="IAP208"/>
      <c r="IAQ208"/>
      <c r="IAR208"/>
      <c r="IAS208"/>
      <c r="IAT208"/>
      <c r="IAU208"/>
      <c r="IAV208"/>
      <c r="IAW208"/>
      <c r="IAX208"/>
      <c r="IAY208"/>
      <c r="IAZ208"/>
      <c r="IBA208"/>
      <c r="IBB208"/>
      <c r="IBC208"/>
      <c r="IBD208"/>
      <c r="IBE208"/>
      <c r="IBF208"/>
      <c r="IBG208"/>
      <c r="IBH208"/>
      <c r="IBI208"/>
      <c r="IBJ208"/>
      <c r="IBK208"/>
      <c r="IBL208"/>
      <c r="IBM208"/>
      <c r="IBN208"/>
      <c r="IBO208"/>
      <c r="IBP208"/>
      <c r="IBQ208"/>
      <c r="IBR208"/>
      <c r="IBS208"/>
      <c r="IBT208"/>
      <c r="IBU208"/>
      <c r="IBV208"/>
      <c r="IBW208"/>
      <c r="IBX208"/>
      <c r="IBY208"/>
      <c r="IBZ208"/>
      <c r="ICA208"/>
      <c r="ICB208"/>
      <c r="ICC208"/>
      <c r="ICD208"/>
      <c r="ICE208"/>
      <c r="ICF208"/>
      <c r="ICG208"/>
      <c r="ICH208"/>
      <c r="ICI208"/>
      <c r="ICJ208"/>
      <c r="ICK208"/>
      <c r="ICL208"/>
      <c r="ICM208"/>
      <c r="ICN208"/>
      <c r="ICO208"/>
      <c r="ICP208"/>
      <c r="ICQ208"/>
      <c r="ICR208"/>
      <c r="ICS208"/>
      <c r="ICT208"/>
      <c r="ICU208"/>
      <c r="ICV208"/>
      <c r="ICW208"/>
      <c r="ICX208"/>
      <c r="ICY208"/>
      <c r="ICZ208"/>
      <c r="IDA208"/>
      <c r="IDB208"/>
      <c r="IDC208"/>
      <c r="IDD208"/>
      <c r="IDE208"/>
      <c r="IDF208"/>
      <c r="IDG208"/>
      <c r="IDH208"/>
      <c r="IDI208"/>
      <c r="IDJ208"/>
      <c r="IDK208"/>
      <c r="IDL208"/>
      <c r="IDM208"/>
      <c r="IDN208"/>
      <c r="IDO208"/>
      <c r="IDP208"/>
      <c r="IDQ208"/>
      <c r="IDR208"/>
      <c r="IDS208"/>
      <c r="IDT208"/>
      <c r="IDU208"/>
      <c r="IDV208"/>
      <c r="IDW208"/>
      <c r="IDX208"/>
      <c r="IDY208"/>
      <c r="IDZ208"/>
      <c r="IEA208"/>
      <c r="IEB208"/>
      <c r="IEC208"/>
      <c r="IED208"/>
      <c r="IEE208"/>
      <c r="IEF208"/>
      <c r="IEG208"/>
      <c r="IEH208"/>
      <c r="IEI208"/>
      <c r="IEJ208"/>
      <c r="IEK208"/>
      <c r="IEL208"/>
      <c r="IEM208"/>
      <c r="IEN208"/>
      <c r="IEO208"/>
      <c r="IEP208"/>
      <c r="IEQ208"/>
      <c r="IER208"/>
      <c r="IES208"/>
      <c r="IET208"/>
      <c r="IEU208"/>
      <c r="IEV208"/>
      <c r="IEW208"/>
      <c r="IEX208"/>
      <c r="IEY208"/>
      <c r="IEZ208"/>
      <c r="IFA208"/>
      <c r="IFB208"/>
      <c r="IFC208"/>
      <c r="IFD208"/>
      <c r="IFE208"/>
      <c r="IFF208"/>
      <c r="IFG208"/>
      <c r="IFH208"/>
      <c r="IFI208"/>
      <c r="IFJ208"/>
      <c r="IFK208"/>
      <c r="IFL208"/>
      <c r="IFM208"/>
      <c r="IFN208"/>
      <c r="IFO208"/>
      <c r="IFP208"/>
      <c r="IFQ208"/>
      <c r="IFR208"/>
      <c r="IFS208"/>
      <c r="IFT208"/>
      <c r="IFU208"/>
      <c r="IFV208"/>
      <c r="IFW208"/>
      <c r="IFX208"/>
      <c r="IFY208"/>
      <c r="IFZ208"/>
      <c r="IGA208"/>
      <c r="IGB208"/>
      <c r="IGC208"/>
      <c r="IGD208"/>
      <c r="IGE208"/>
      <c r="IGF208"/>
      <c r="IGG208"/>
      <c r="IGH208"/>
      <c r="IGI208"/>
      <c r="IGJ208"/>
      <c r="IGK208"/>
      <c r="IGL208"/>
      <c r="IGM208"/>
      <c r="IGN208"/>
      <c r="IGO208"/>
      <c r="IGP208"/>
      <c r="IGQ208"/>
      <c r="IGR208"/>
      <c r="IGS208"/>
      <c r="IGT208"/>
      <c r="IGU208"/>
      <c r="IGV208"/>
      <c r="IGW208"/>
      <c r="IGX208"/>
      <c r="IGY208"/>
      <c r="IGZ208"/>
      <c r="IHA208"/>
      <c r="IHB208"/>
      <c r="IHC208"/>
      <c r="IHD208"/>
      <c r="IHE208"/>
      <c r="IHF208"/>
      <c r="IHG208"/>
      <c r="IHH208"/>
      <c r="IHI208"/>
      <c r="IHJ208"/>
      <c r="IHK208"/>
      <c r="IHL208"/>
      <c r="IHM208"/>
      <c r="IHN208"/>
      <c r="IHO208"/>
      <c r="IHP208"/>
      <c r="IHQ208"/>
      <c r="IHR208"/>
      <c r="IHS208"/>
      <c r="IHT208"/>
      <c r="IHU208"/>
      <c r="IHV208"/>
      <c r="IHW208"/>
      <c r="IHX208"/>
      <c r="IHY208"/>
      <c r="IHZ208"/>
      <c r="IIA208"/>
      <c r="IIB208"/>
      <c r="IIC208"/>
      <c r="IID208"/>
      <c r="IIE208"/>
      <c r="IIF208"/>
      <c r="IIG208"/>
      <c r="IIH208"/>
      <c r="III208"/>
      <c r="IIJ208"/>
      <c r="IIK208"/>
      <c r="IIL208"/>
      <c r="IIM208"/>
      <c r="IIN208"/>
      <c r="IIO208"/>
      <c r="IIP208"/>
      <c r="IIQ208"/>
      <c r="IIR208"/>
      <c r="IIS208"/>
      <c r="IIT208"/>
      <c r="IIU208"/>
      <c r="IIV208"/>
      <c r="IIW208"/>
      <c r="IIX208"/>
      <c r="IIY208"/>
      <c r="IIZ208"/>
      <c r="IJA208"/>
      <c r="IJB208"/>
      <c r="IJC208"/>
      <c r="IJD208"/>
      <c r="IJE208"/>
      <c r="IJF208"/>
      <c r="IJG208"/>
      <c r="IJH208"/>
      <c r="IJI208"/>
      <c r="IJJ208"/>
      <c r="IJK208"/>
      <c r="IJL208"/>
      <c r="IJM208"/>
      <c r="IJN208"/>
      <c r="IJO208"/>
      <c r="IJP208"/>
      <c r="IJQ208"/>
      <c r="IJR208"/>
      <c r="IJS208"/>
      <c r="IJT208"/>
      <c r="IJU208"/>
      <c r="IJV208"/>
      <c r="IJW208"/>
      <c r="IJX208"/>
      <c r="IJY208"/>
      <c r="IJZ208"/>
      <c r="IKA208"/>
      <c r="IKB208"/>
      <c r="IKC208"/>
      <c r="IKD208"/>
      <c r="IKE208"/>
      <c r="IKF208"/>
      <c r="IKG208"/>
      <c r="IKH208"/>
      <c r="IKI208"/>
      <c r="IKJ208"/>
      <c r="IKK208"/>
      <c r="IKL208"/>
      <c r="IKM208"/>
      <c r="IKN208"/>
      <c r="IKO208"/>
      <c r="IKP208"/>
      <c r="IKQ208"/>
      <c r="IKR208"/>
      <c r="IKS208"/>
      <c r="IKT208"/>
      <c r="IKU208"/>
      <c r="IKV208"/>
      <c r="IKW208"/>
      <c r="IKX208"/>
      <c r="IKY208"/>
      <c r="IKZ208"/>
      <c r="ILA208"/>
      <c r="ILB208"/>
      <c r="ILC208"/>
      <c r="ILD208"/>
      <c r="ILE208"/>
      <c r="ILF208"/>
      <c r="ILG208"/>
      <c r="ILH208"/>
      <c r="ILI208"/>
      <c r="ILJ208"/>
      <c r="ILK208"/>
      <c r="ILL208"/>
      <c r="ILM208"/>
      <c r="ILN208"/>
      <c r="ILO208"/>
      <c r="ILP208"/>
      <c r="ILQ208"/>
      <c r="ILR208"/>
      <c r="ILS208"/>
      <c r="ILT208"/>
      <c r="ILU208"/>
      <c r="ILV208"/>
      <c r="ILW208"/>
      <c r="ILX208"/>
      <c r="ILY208"/>
      <c r="ILZ208"/>
      <c r="IMA208"/>
      <c r="IMB208"/>
      <c r="IMC208"/>
      <c r="IMD208"/>
      <c r="IME208"/>
      <c r="IMF208"/>
      <c r="IMG208"/>
      <c r="IMH208"/>
      <c r="IMI208"/>
      <c r="IMJ208"/>
      <c r="IMK208"/>
      <c r="IML208"/>
      <c r="IMM208"/>
      <c r="IMN208"/>
      <c r="IMO208"/>
      <c r="IMP208"/>
      <c r="IMQ208"/>
      <c r="IMR208"/>
      <c r="IMS208"/>
      <c r="IMT208"/>
      <c r="IMU208"/>
      <c r="IMV208"/>
      <c r="IMW208"/>
      <c r="IMX208"/>
      <c r="IMY208"/>
      <c r="IMZ208"/>
      <c r="INA208"/>
      <c r="INB208"/>
      <c r="INC208"/>
      <c r="IND208"/>
      <c r="INE208"/>
      <c r="INF208"/>
      <c r="ING208"/>
      <c r="INH208"/>
      <c r="INI208"/>
      <c r="INJ208"/>
      <c r="INK208"/>
      <c r="INL208"/>
      <c r="INM208"/>
      <c r="INN208"/>
      <c r="INO208"/>
      <c r="INP208"/>
      <c r="INQ208"/>
      <c r="INR208"/>
      <c r="INS208"/>
      <c r="INT208"/>
      <c r="INU208"/>
      <c r="INV208"/>
      <c r="INW208"/>
      <c r="INX208"/>
      <c r="INY208"/>
      <c r="INZ208"/>
      <c r="IOA208"/>
      <c r="IOB208"/>
      <c r="IOC208"/>
      <c r="IOD208"/>
      <c r="IOE208"/>
      <c r="IOF208"/>
      <c r="IOG208"/>
      <c r="IOH208"/>
      <c r="IOI208"/>
      <c r="IOJ208"/>
      <c r="IOK208"/>
      <c r="IOL208"/>
      <c r="IOM208"/>
      <c r="ION208"/>
      <c r="IOO208"/>
      <c r="IOP208"/>
      <c r="IOQ208"/>
      <c r="IOR208"/>
      <c r="IOS208"/>
      <c r="IOT208"/>
      <c r="IOU208"/>
      <c r="IOV208"/>
      <c r="IOW208"/>
      <c r="IOX208"/>
      <c r="IOY208"/>
      <c r="IOZ208"/>
      <c r="IPA208"/>
      <c r="IPB208"/>
      <c r="IPC208"/>
      <c r="IPD208"/>
      <c r="IPE208"/>
      <c r="IPF208"/>
      <c r="IPG208"/>
      <c r="IPH208"/>
      <c r="IPI208"/>
      <c r="IPJ208"/>
      <c r="IPK208"/>
      <c r="IPL208"/>
      <c r="IPM208"/>
      <c r="IPN208"/>
      <c r="IPO208"/>
      <c r="IPP208"/>
      <c r="IPQ208"/>
      <c r="IPR208"/>
      <c r="IPS208"/>
      <c r="IPT208"/>
      <c r="IPU208"/>
      <c r="IPV208"/>
      <c r="IPW208"/>
      <c r="IPX208"/>
      <c r="IPY208"/>
      <c r="IPZ208"/>
      <c r="IQA208"/>
      <c r="IQB208"/>
      <c r="IQC208"/>
      <c r="IQD208"/>
      <c r="IQE208"/>
      <c r="IQF208"/>
      <c r="IQG208"/>
      <c r="IQH208"/>
      <c r="IQI208"/>
      <c r="IQJ208"/>
      <c r="IQK208"/>
      <c r="IQL208"/>
      <c r="IQM208"/>
      <c r="IQN208"/>
      <c r="IQO208"/>
      <c r="IQP208"/>
      <c r="IQQ208"/>
      <c r="IQR208"/>
      <c r="IQS208"/>
      <c r="IQT208"/>
      <c r="IQU208"/>
      <c r="IQV208"/>
      <c r="IQW208"/>
      <c r="IQX208"/>
      <c r="IQY208"/>
      <c r="IQZ208"/>
      <c r="IRA208"/>
      <c r="IRB208"/>
      <c r="IRC208"/>
      <c r="IRD208"/>
      <c r="IRE208"/>
      <c r="IRF208"/>
      <c r="IRG208"/>
      <c r="IRH208"/>
      <c r="IRI208"/>
      <c r="IRJ208"/>
      <c r="IRK208"/>
      <c r="IRL208"/>
      <c r="IRM208"/>
      <c r="IRN208"/>
      <c r="IRO208"/>
      <c r="IRP208"/>
      <c r="IRQ208"/>
      <c r="IRR208"/>
      <c r="IRS208"/>
      <c r="IRT208"/>
      <c r="IRU208"/>
      <c r="IRV208"/>
      <c r="IRW208"/>
      <c r="IRX208"/>
      <c r="IRY208"/>
      <c r="IRZ208"/>
      <c r="ISA208"/>
      <c r="ISB208"/>
      <c r="ISC208"/>
      <c r="ISD208"/>
      <c r="ISE208"/>
      <c r="ISF208"/>
      <c r="ISG208"/>
      <c r="ISH208"/>
      <c r="ISI208"/>
      <c r="ISJ208"/>
      <c r="ISK208"/>
      <c r="ISL208"/>
      <c r="ISM208"/>
      <c r="ISN208"/>
      <c r="ISO208"/>
      <c r="ISP208"/>
      <c r="ISQ208"/>
      <c r="ISR208"/>
      <c r="ISS208"/>
      <c r="IST208"/>
      <c r="ISU208"/>
      <c r="ISV208"/>
      <c r="ISW208"/>
      <c r="ISX208"/>
      <c r="ISY208"/>
      <c r="ISZ208"/>
      <c r="ITA208"/>
      <c r="ITB208"/>
      <c r="ITC208"/>
      <c r="ITD208"/>
      <c r="ITE208"/>
      <c r="ITF208"/>
      <c r="ITG208"/>
      <c r="ITH208"/>
      <c r="ITI208"/>
      <c r="ITJ208"/>
      <c r="ITK208"/>
      <c r="ITL208"/>
      <c r="ITM208"/>
      <c r="ITN208"/>
      <c r="ITO208"/>
      <c r="ITP208"/>
      <c r="ITQ208"/>
      <c r="ITR208"/>
      <c r="ITS208"/>
      <c r="ITT208"/>
      <c r="ITU208"/>
      <c r="ITV208"/>
      <c r="ITW208"/>
      <c r="ITX208"/>
      <c r="ITY208"/>
      <c r="ITZ208"/>
      <c r="IUA208"/>
      <c r="IUB208"/>
      <c r="IUC208"/>
      <c r="IUD208"/>
      <c r="IUE208"/>
      <c r="IUF208"/>
      <c r="IUG208"/>
      <c r="IUH208"/>
      <c r="IUI208"/>
      <c r="IUJ208"/>
      <c r="IUK208"/>
      <c r="IUL208"/>
      <c r="IUM208"/>
      <c r="IUN208"/>
      <c r="IUO208"/>
      <c r="IUP208"/>
      <c r="IUQ208"/>
      <c r="IUR208"/>
      <c r="IUS208"/>
      <c r="IUT208"/>
      <c r="IUU208"/>
      <c r="IUV208"/>
      <c r="IUW208"/>
      <c r="IUX208"/>
      <c r="IUY208"/>
      <c r="IUZ208"/>
      <c r="IVA208"/>
      <c r="IVB208"/>
      <c r="IVC208"/>
      <c r="IVD208"/>
      <c r="IVE208"/>
      <c r="IVF208"/>
      <c r="IVG208"/>
      <c r="IVH208"/>
      <c r="IVI208"/>
      <c r="IVJ208"/>
      <c r="IVK208"/>
      <c r="IVL208"/>
      <c r="IVM208"/>
      <c r="IVN208"/>
      <c r="IVO208"/>
      <c r="IVP208"/>
      <c r="IVQ208"/>
      <c r="IVR208"/>
      <c r="IVS208"/>
      <c r="IVT208"/>
      <c r="IVU208"/>
      <c r="IVV208"/>
      <c r="IVW208"/>
      <c r="IVX208"/>
      <c r="IVY208"/>
      <c r="IVZ208"/>
      <c r="IWA208"/>
      <c r="IWB208"/>
      <c r="IWC208"/>
      <c r="IWD208"/>
      <c r="IWE208"/>
      <c r="IWF208"/>
      <c r="IWG208"/>
      <c r="IWH208"/>
      <c r="IWI208"/>
      <c r="IWJ208"/>
      <c r="IWK208"/>
      <c r="IWL208"/>
      <c r="IWM208"/>
      <c r="IWN208"/>
      <c r="IWO208"/>
      <c r="IWP208"/>
      <c r="IWQ208"/>
      <c r="IWR208"/>
      <c r="IWS208"/>
      <c r="IWT208"/>
      <c r="IWU208"/>
      <c r="IWV208"/>
      <c r="IWW208"/>
      <c r="IWX208"/>
      <c r="IWY208"/>
      <c r="IWZ208"/>
      <c r="IXA208"/>
      <c r="IXB208"/>
      <c r="IXC208"/>
      <c r="IXD208"/>
      <c r="IXE208"/>
      <c r="IXF208"/>
      <c r="IXG208"/>
      <c r="IXH208"/>
      <c r="IXI208"/>
      <c r="IXJ208"/>
      <c r="IXK208"/>
      <c r="IXL208"/>
      <c r="IXM208"/>
      <c r="IXN208"/>
      <c r="IXO208"/>
      <c r="IXP208"/>
      <c r="IXQ208"/>
      <c r="IXR208"/>
      <c r="IXS208"/>
      <c r="IXT208"/>
      <c r="IXU208"/>
      <c r="IXV208"/>
      <c r="IXW208"/>
      <c r="IXX208"/>
      <c r="IXY208"/>
      <c r="IXZ208"/>
      <c r="IYA208"/>
      <c r="IYB208"/>
      <c r="IYC208"/>
      <c r="IYD208"/>
      <c r="IYE208"/>
      <c r="IYF208"/>
      <c r="IYG208"/>
      <c r="IYH208"/>
      <c r="IYI208"/>
      <c r="IYJ208"/>
      <c r="IYK208"/>
      <c r="IYL208"/>
      <c r="IYM208"/>
      <c r="IYN208"/>
      <c r="IYO208"/>
      <c r="IYP208"/>
      <c r="IYQ208"/>
      <c r="IYR208"/>
      <c r="IYS208"/>
      <c r="IYT208"/>
      <c r="IYU208"/>
      <c r="IYV208"/>
      <c r="IYW208"/>
      <c r="IYX208"/>
      <c r="IYY208"/>
      <c r="IYZ208"/>
      <c r="IZA208"/>
      <c r="IZB208"/>
      <c r="IZC208"/>
      <c r="IZD208"/>
      <c r="IZE208"/>
      <c r="IZF208"/>
      <c r="IZG208"/>
      <c r="IZH208"/>
      <c r="IZI208"/>
      <c r="IZJ208"/>
      <c r="IZK208"/>
      <c r="IZL208"/>
      <c r="IZM208"/>
      <c r="IZN208"/>
      <c r="IZO208"/>
      <c r="IZP208"/>
      <c r="IZQ208"/>
      <c r="IZR208"/>
      <c r="IZS208"/>
      <c r="IZT208"/>
      <c r="IZU208"/>
      <c r="IZV208"/>
      <c r="IZW208"/>
      <c r="IZX208"/>
      <c r="IZY208"/>
      <c r="IZZ208"/>
      <c r="JAA208"/>
      <c r="JAB208"/>
      <c r="JAC208"/>
      <c r="JAD208"/>
      <c r="JAE208"/>
      <c r="JAF208"/>
      <c r="JAG208"/>
      <c r="JAH208"/>
      <c r="JAI208"/>
      <c r="JAJ208"/>
      <c r="JAK208"/>
      <c r="JAL208"/>
      <c r="JAM208"/>
      <c r="JAN208"/>
      <c r="JAO208"/>
      <c r="JAP208"/>
      <c r="JAQ208"/>
      <c r="JAR208"/>
      <c r="JAS208"/>
      <c r="JAT208"/>
      <c r="JAU208"/>
      <c r="JAV208"/>
      <c r="JAW208"/>
      <c r="JAX208"/>
      <c r="JAY208"/>
      <c r="JAZ208"/>
      <c r="JBA208"/>
      <c r="JBB208"/>
      <c r="JBC208"/>
      <c r="JBD208"/>
      <c r="JBE208"/>
      <c r="JBF208"/>
      <c r="JBG208"/>
      <c r="JBH208"/>
      <c r="JBI208"/>
      <c r="JBJ208"/>
      <c r="JBK208"/>
      <c r="JBL208"/>
      <c r="JBM208"/>
      <c r="JBN208"/>
      <c r="JBO208"/>
      <c r="JBP208"/>
      <c r="JBQ208"/>
      <c r="JBR208"/>
      <c r="JBS208"/>
      <c r="JBT208"/>
      <c r="JBU208"/>
      <c r="JBV208"/>
      <c r="JBW208"/>
      <c r="JBX208"/>
      <c r="JBY208"/>
      <c r="JBZ208"/>
      <c r="JCA208"/>
      <c r="JCB208"/>
      <c r="JCC208"/>
      <c r="JCD208"/>
      <c r="JCE208"/>
      <c r="JCF208"/>
      <c r="JCG208"/>
      <c r="JCH208"/>
      <c r="JCI208"/>
      <c r="JCJ208"/>
      <c r="JCK208"/>
      <c r="JCL208"/>
      <c r="JCM208"/>
      <c r="JCN208"/>
      <c r="JCO208"/>
      <c r="JCP208"/>
      <c r="JCQ208"/>
      <c r="JCR208"/>
      <c r="JCS208"/>
      <c r="JCT208"/>
      <c r="JCU208"/>
      <c r="JCV208"/>
      <c r="JCW208"/>
      <c r="JCX208"/>
      <c r="JCY208"/>
      <c r="JCZ208"/>
      <c r="JDA208"/>
      <c r="JDB208"/>
      <c r="JDC208"/>
      <c r="JDD208"/>
      <c r="JDE208"/>
      <c r="JDF208"/>
      <c r="JDG208"/>
      <c r="JDH208"/>
      <c r="JDI208"/>
      <c r="JDJ208"/>
      <c r="JDK208"/>
      <c r="JDL208"/>
      <c r="JDM208"/>
      <c r="JDN208"/>
      <c r="JDO208"/>
      <c r="JDP208"/>
      <c r="JDQ208"/>
      <c r="JDR208"/>
      <c r="JDS208"/>
      <c r="JDT208"/>
      <c r="JDU208"/>
      <c r="JDV208"/>
      <c r="JDW208"/>
      <c r="JDX208"/>
      <c r="JDY208"/>
      <c r="JDZ208"/>
      <c r="JEA208"/>
      <c r="JEB208"/>
      <c r="JEC208"/>
      <c r="JED208"/>
      <c r="JEE208"/>
      <c r="JEF208"/>
      <c r="JEG208"/>
      <c r="JEH208"/>
      <c r="JEI208"/>
      <c r="JEJ208"/>
      <c r="JEK208"/>
      <c r="JEL208"/>
      <c r="JEM208"/>
      <c r="JEN208"/>
      <c r="JEO208"/>
      <c r="JEP208"/>
      <c r="JEQ208"/>
      <c r="JER208"/>
      <c r="JES208"/>
      <c r="JET208"/>
      <c r="JEU208"/>
      <c r="JEV208"/>
      <c r="JEW208"/>
      <c r="JEX208"/>
      <c r="JEY208"/>
      <c r="JEZ208"/>
      <c r="JFA208"/>
      <c r="JFB208"/>
      <c r="JFC208"/>
      <c r="JFD208"/>
      <c r="JFE208"/>
      <c r="JFF208"/>
      <c r="JFG208"/>
      <c r="JFH208"/>
      <c r="JFI208"/>
      <c r="JFJ208"/>
      <c r="JFK208"/>
      <c r="JFL208"/>
      <c r="JFM208"/>
      <c r="JFN208"/>
      <c r="JFO208"/>
      <c r="JFP208"/>
      <c r="JFQ208"/>
      <c r="JFR208"/>
      <c r="JFS208"/>
      <c r="JFT208"/>
      <c r="JFU208"/>
      <c r="JFV208"/>
      <c r="JFW208"/>
      <c r="JFX208"/>
      <c r="JFY208"/>
      <c r="JFZ208"/>
      <c r="JGA208"/>
      <c r="JGB208"/>
      <c r="JGC208"/>
      <c r="JGD208"/>
      <c r="JGE208"/>
      <c r="JGF208"/>
      <c r="JGG208"/>
      <c r="JGH208"/>
      <c r="JGI208"/>
      <c r="JGJ208"/>
      <c r="JGK208"/>
      <c r="JGL208"/>
      <c r="JGM208"/>
      <c r="JGN208"/>
      <c r="JGO208"/>
      <c r="JGP208"/>
      <c r="JGQ208"/>
      <c r="JGR208"/>
      <c r="JGS208"/>
      <c r="JGT208"/>
      <c r="JGU208"/>
      <c r="JGV208"/>
      <c r="JGW208"/>
      <c r="JGX208"/>
      <c r="JGY208"/>
      <c r="JGZ208"/>
      <c r="JHA208"/>
      <c r="JHB208"/>
      <c r="JHC208"/>
      <c r="JHD208"/>
      <c r="JHE208"/>
      <c r="JHF208"/>
      <c r="JHG208"/>
      <c r="JHH208"/>
      <c r="JHI208"/>
      <c r="JHJ208"/>
      <c r="JHK208"/>
      <c r="JHL208"/>
      <c r="JHM208"/>
      <c r="JHN208"/>
      <c r="JHO208"/>
      <c r="JHP208"/>
      <c r="JHQ208"/>
      <c r="JHR208"/>
      <c r="JHS208"/>
      <c r="JHT208"/>
      <c r="JHU208"/>
      <c r="JHV208"/>
      <c r="JHW208"/>
      <c r="JHX208"/>
      <c r="JHY208"/>
      <c r="JHZ208"/>
      <c r="JIA208"/>
      <c r="JIB208"/>
      <c r="JIC208"/>
      <c r="JID208"/>
      <c r="JIE208"/>
      <c r="JIF208"/>
      <c r="JIG208"/>
      <c r="JIH208"/>
      <c r="JII208"/>
      <c r="JIJ208"/>
      <c r="JIK208"/>
      <c r="JIL208"/>
      <c r="JIM208"/>
      <c r="JIN208"/>
      <c r="JIO208"/>
      <c r="JIP208"/>
      <c r="JIQ208"/>
      <c r="JIR208"/>
      <c r="JIS208"/>
      <c r="JIT208"/>
      <c r="JIU208"/>
      <c r="JIV208"/>
      <c r="JIW208"/>
      <c r="JIX208"/>
      <c r="JIY208"/>
      <c r="JIZ208"/>
      <c r="JJA208"/>
      <c r="JJB208"/>
      <c r="JJC208"/>
      <c r="JJD208"/>
      <c r="JJE208"/>
      <c r="JJF208"/>
      <c r="JJG208"/>
      <c r="JJH208"/>
      <c r="JJI208"/>
      <c r="JJJ208"/>
      <c r="JJK208"/>
      <c r="JJL208"/>
      <c r="JJM208"/>
      <c r="JJN208"/>
      <c r="JJO208"/>
      <c r="JJP208"/>
      <c r="JJQ208"/>
      <c r="JJR208"/>
      <c r="JJS208"/>
      <c r="JJT208"/>
      <c r="JJU208"/>
      <c r="JJV208"/>
      <c r="JJW208"/>
      <c r="JJX208"/>
      <c r="JJY208"/>
      <c r="JJZ208"/>
      <c r="JKA208"/>
      <c r="JKB208"/>
      <c r="JKC208"/>
      <c r="JKD208"/>
      <c r="JKE208"/>
      <c r="JKF208"/>
      <c r="JKG208"/>
      <c r="JKH208"/>
      <c r="JKI208"/>
      <c r="JKJ208"/>
      <c r="JKK208"/>
      <c r="JKL208"/>
      <c r="JKM208"/>
      <c r="JKN208"/>
      <c r="JKO208"/>
      <c r="JKP208"/>
      <c r="JKQ208"/>
      <c r="JKR208"/>
      <c r="JKS208"/>
      <c r="JKT208"/>
      <c r="JKU208"/>
      <c r="JKV208"/>
      <c r="JKW208"/>
      <c r="JKX208"/>
      <c r="JKY208"/>
      <c r="JKZ208"/>
      <c r="JLA208"/>
      <c r="JLB208"/>
      <c r="JLC208"/>
      <c r="JLD208"/>
      <c r="JLE208"/>
      <c r="JLF208"/>
      <c r="JLG208"/>
      <c r="JLH208"/>
      <c r="JLI208"/>
      <c r="JLJ208"/>
      <c r="JLK208"/>
      <c r="JLL208"/>
      <c r="JLM208"/>
      <c r="JLN208"/>
      <c r="JLO208"/>
      <c r="JLP208"/>
      <c r="JLQ208"/>
      <c r="JLR208"/>
      <c r="JLS208"/>
      <c r="JLT208"/>
      <c r="JLU208"/>
      <c r="JLV208"/>
      <c r="JLW208"/>
      <c r="JLX208"/>
      <c r="JLY208"/>
      <c r="JLZ208"/>
      <c r="JMA208"/>
      <c r="JMB208"/>
      <c r="JMC208"/>
      <c r="JMD208"/>
      <c r="JME208"/>
      <c r="JMF208"/>
      <c r="JMG208"/>
      <c r="JMH208"/>
      <c r="JMI208"/>
      <c r="JMJ208"/>
      <c r="JMK208"/>
      <c r="JML208"/>
      <c r="JMM208"/>
      <c r="JMN208"/>
      <c r="JMO208"/>
      <c r="JMP208"/>
      <c r="JMQ208"/>
      <c r="JMR208"/>
      <c r="JMS208"/>
      <c r="JMT208"/>
      <c r="JMU208"/>
      <c r="JMV208"/>
      <c r="JMW208"/>
      <c r="JMX208"/>
      <c r="JMY208"/>
      <c r="JMZ208"/>
      <c r="JNA208"/>
      <c r="JNB208"/>
      <c r="JNC208"/>
      <c r="JND208"/>
      <c r="JNE208"/>
      <c r="JNF208"/>
      <c r="JNG208"/>
      <c r="JNH208"/>
      <c r="JNI208"/>
      <c r="JNJ208"/>
      <c r="JNK208"/>
      <c r="JNL208"/>
      <c r="JNM208"/>
      <c r="JNN208"/>
      <c r="JNO208"/>
      <c r="JNP208"/>
      <c r="JNQ208"/>
      <c r="JNR208"/>
      <c r="JNS208"/>
      <c r="JNT208"/>
      <c r="JNU208"/>
      <c r="JNV208"/>
      <c r="JNW208"/>
      <c r="JNX208"/>
      <c r="JNY208"/>
      <c r="JNZ208"/>
      <c r="JOA208"/>
      <c r="JOB208"/>
      <c r="JOC208"/>
      <c r="JOD208"/>
      <c r="JOE208"/>
      <c r="JOF208"/>
      <c r="JOG208"/>
      <c r="JOH208"/>
      <c r="JOI208"/>
      <c r="JOJ208"/>
      <c r="JOK208"/>
      <c r="JOL208"/>
      <c r="JOM208"/>
      <c r="JON208"/>
      <c r="JOO208"/>
      <c r="JOP208"/>
      <c r="JOQ208"/>
      <c r="JOR208"/>
      <c r="JOS208"/>
      <c r="JOT208"/>
      <c r="JOU208"/>
      <c r="JOV208"/>
      <c r="JOW208"/>
      <c r="JOX208"/>
      <c r="JOY208"/>
      <c r="JOZ208"/>
      <c r="JPA208"/>
      <c r="JPB208"/>
      <c r="JPC208"/>
      <c r="JPD208"/>
      <c r="JPE208"/>
      <c r="JPF208"/>
      <c r="JPG208"/>
      <c r="JPH208"/>
      <c r="JPI208"/>
      <c r="JPJ208"/>
      <c r="JPK208"/>
      <c r="JPL208"/>
      <c r="JPM208"/>
      <c r="JPN208"/>
      <c r="JPO208"/>
      <c r="JPP208"/>
      <c r="JPQ208"/>
      <c r="JPR208"/>
      <c r="JPS208"/>
      <c r="JPT208"/>
      <c r="JPU208"/>
      <c r="JPV208"/>
      <c r="JPW208"/>
      <c r="JPX208"/>
      <c r="JPY208"/>
      <c r="JPZ208"/>
      <c r="JQA208"/>
      <c r="JQB208"/>
      <c r="JQC208"/>
      <c r="JQD208"/>
      <c r="JQE208"/>
      <c r="JQF208"/>
      <c r="JQG208"/>
      <c r="JQH208"/>
      <c r="JQI208"/>
      <c r="JQJ208"/>
      <c r="JQK208"/>
      <c r="JQL208"/>
      <c r="JQM208"/>
      <c r="JQN208"/>
      <c r="JQO208"/>
      <c r="JQP208"/>
      <c r="JQQ208"/>
      <c r="JQR208"/>
      <c r="JQS208"/>
      <c r="JQT208"/>
      <c r="JQU208"/>
      <c r="JQV208"/>
      <c r="JQW208"/>
      <c r="JQX208"/>
      <c r="JQY208"/>
      <c r="JQZ208"/>
      <c r="JRA208"/>
      <c r="JRB208"/>
      <c r="JRC208"/>
      <c r="JRD208"/>
      <c r="JRE208"/>
      <c r="JRF208"/>
      <c r="JRG208"/>
      <c r="JRH208"/>
      <c r="JRI208"/>
      <c r="JRJ208"/>
      <c r="JRK208"/>
      <c r="JRL208"/>
      <c r="JRM208"/>
      <c r="JRN208"/>
      <c r="JRO208"/>
      <c r="JRP208"/>
      <c r="JRQ208"/>
      <c r="JRR208"/>
      <c r="JRS208"/>
      <c r="JRT208"/>
      <c r="JRU208"/>
      <c r="JRV208"/>
      <c r="JRW208"/>
      <c r="JRX208"/>
      <c r="JRY208"/>
      <c r="JRZ208"/>
      <c r="JSA208"/>
      <c r="JSB208"/>
      <c r="JSC208"/>
      <c r="JSD208"/>
      <c r="JSE208"/>
      <c r="JSF208"/>
      <c r="JSG208"/>
      <c r="JSH208"/>
      <c r="JSI208"/>
      <c r="JSJ208"/>
      <c r="JSK208"/>
      <c r="JSL208"/>
      <c r="JSM208"/>
      <c r="JSN208"/>
      <c r="JSO208"/>
      <c r="JSP208"/>
      <c r="JSQ208"/>
      <c r="JSR208"/>
      <c r="JSS208"/>
      <c r="JST208"/>
      <c r="JSU208"/>
      <c r="JSV208"/>
      <c r="JSW208"/>
      <c r="JSX208"/>
      <c r="JSY208"/>
      <c r="JSZ208"/>
      <c r="JTA208"/>
      <c r="JTB208"/>
      <c r="JTC208"/>
      <c r="JTD208"/>
      <c r="JTE208"/>
      <c r="JTF208"/>
      <c r="JTG208"/>
      <c r="JTH208"/>
      <c r="JTI208"/>
      <c r="JTJ208"/>
      <c r="JTK208"/>
      <c r="JTL208"/>
      <c r="JTM208"/>
      <c r="JTN208"/>
      <c r="JTO208"/>
      <c r="JTP208"/>
      <c r="JTQ208"/>
      <c r="JTR208"/>
      <c r="JTS208"/>
      <c r="JTT208"/>
      <c r="JTU208"/>
      <c r="JTV208"/>
      <c r="JTW208"/>
      <c r="JTX208"/>
      <c r="JTY208"/>
      <c r="JTZ208"/>
      <c r="JUA208"/>
      <c r="JUB208"/>
      <c r="JUC208"/>
      <c r="JUD208"/>
      <c r="JUE208"/>
      <c r="JUF208"/>
      <c r="JUG208"/>
      <c r="JUH208"/>
      <c r="JUI208"/>
      <c r="JUJ208"/>
      <c r="JUK208"/>
      <c r="JUL208"/>
      <c r="JUM208"/>
      <c r="JUN208"/>
      <c r="JUO208"/>
      <c r="JUP208"/>
      <c r="JUQ208"/>
      <c r="JUR208"/>
      <c r="JUS208"/>
      <c r="JUT208"/>
      <c r="JUU208"/>
      <c r="JUV208"/>
      <c r="JUW208"/>
      <c r="JUX208"/>
      <c r="JUY208"/>
      <c r="JUZ208"/>
      <c r="JVA208"/>
      <c r="JVB208"/>
      <c r="JVC208"/>
      <c r="JVD208"/>
      <c r="JVE208"/>
      <c r="JVF208"/>
      <c r="JVG208"/>
      <c r="JVH208"/>
      <c r="JVI208"/>
      <c r="JVJ208"/>
      <c r="JVK208"/>
      <c r="JVL208"/>
      <c r="JVM208"/>
      <c r="JVN208"/>
      <c r="JVO208"/>
      <c r="JVP208"/>
      <c r="JVQ208"/>
      <c r="JVR208"/>
      <c r="JVS208"/>
      <c r="JVT208"/>
      <c r="JVU208"/>
      <c r="JVV208"/>
      <c r="JVW208"/>
      <c r="JVX208"/>
      <c r="JVY208"/>
      <c r="JVZ208"/>
      <c r="JWA208"/>
      <c r="JWB208"/>
      <c r="JWC208"/>
      <c r="JWD208"/>
      <c r="JWE208"/>
      <c r="JWF208"/>
      <c r="JWG208"/>
      <c r="JWH208"/>
      <c r="JWI208"/>
      <c r="JWJ208"/>
      <c r="JWK208"/>
      <c r="JWL208"/>
      <c r="JWM208"/>
      <c r="JWN208"/>
      <c r="JWO208"/>
      <c r="JWP208"/>
      <c r="JWQ208"/>
      <c r="JWR208"/>
      <c r="JWS208"/>
      <c r="JWT208"/>
      <c r="JWU208"/>
      <c r="JWV208"/>
      <c r="JWW208"/>
      <c r="JWX208"/>
      <c r="JWY208"/>
      <c r="JWZ208"/>
      <c r="JXA208"/>
      <c r="JXB208"/>
      <c r="JXC208"/>
      <c r="JXD208"/>
      <c r="JXE208"/>
      <c r="JXF208"/>
      <c r="JXG208"/>
      <c r="JXH208"/>
      <c r="JXI208"/>
      <c r="JXJ208"/>
      <c r="JXK208"/>
      <c r="JXL208"/>
      <c r="JXM208"/>
      <c r="JXN208"/>
      <c r="JXO208"/>
      <c r="JXP208"/>
      <c r="JXQ208"/>
      <c r="JXR208"/>
      <c r="JXS208"/>
      <c r="JXT208"/>
      <c r="JXU208"/>
      <c r="JXV208"/>
      <c r="JXW208"/>
      <c r="JXX208"/>
      <c r="JXY208"/>
      <c r="JXZ208"/>
      <c r="JYA208"/>
      <c r="JYB208"/>
      <c r="JYC208"/>
      <c r="JYD208"/>
      <c r="JYE208"/>
      <c r="JYF208"/>
      <c r="JYG208"/>
      <c r="JYH208"/>
      <c r="JYI208"/>
      <c r="JYJ208"/>
      <c r="JYK208"/>
      <c r="JYL208"/>
      <c r="JYM208"/>
      <c r="JYN208"/>
      <c r="JYO208"/>
      <c r="JYP208"/>
      <c r="JYQ208"/>
      <c r="JYR208"/>
      <c r="JYS208"/>
      <c r="JYT208"/>
      <c r="JYU208"/>
      <c r="JYV208"/>
      <c r="JYW208"/>
      <c r="JYX208"/>
      <c r="JYY208"/>
      <c r="JYZ208"/>
      <c r="JZA208"/>
      <c r="JZB208"/>
      <c r="JZC208"/>
      <c r="JZD208"/>
      <c r="JZE208"/>
      <c r="JZF208"/>
      <c r="JZG208"/>
      <c r="JZH208"/>
      <c r="JZI208"/>
      <c r="JZJ208"/>
      <c r="JZK208"/>
      <c r="JZL208"/>
      <c r="JZM208"/>
      <c r="JZN208"/>
      <c r="JZO208"/>
      <c r="JZP208"/>
      <c r="JZQ208"/>
      <c r="JZR208"/>
      <c r="JZS208"/>
      <c r="JZT208"/>
      <c r="JZU208"/>
      <c r="JZV208"/>
      <c r="JZW208"/>
      <c r="JZX208"/>
      <c r="JZY208"/>
      <c r="JZZ208"/>
      <c r="KAA208"/>
      <c r="KAB208"/>
      <c r="KAC208"/>
      <c r="KAD208"/>
      <c r="KAE208"/>
      <c r="KAF208"/>
      <c r="KAG208"/>
      <c r="KAH208"/>
      <c r="KAI208"/>
      <c r="KAJ208"/>
      <c r="KAK208"/>
      <c r="KAL208"/>
      <c r="KAM208"/>
      <c r="KAN208"/>
      <c r="KAO208"/>
      <c r="KAP208"/>
      <c r="KAQ208"/>
      <c r="KAR208"/>
      <c r="KAS208"/>
      <c r="KAT208"/>
      <c r="KAU208"/>
      <c r="KAV208"/>
      <c r="KAW208"/>
      <c r="KAX208"/>
      <c r="KAY208"/>
      <c r="KAZ208"/>
      <c r="KBA208"/>
      <c r="KBB208"/>
      <c r="KBC208"/>
      <c r="KBD208"/>
      <c r="KBE208"/>
      <c r="KBF208"/>
      <c r="KBG208"/>
      <c r="KBH208"/>
      <c r="KBI208"/>
      <c r="KBJ208"/>
      <c r="KBK208"/>
      <c r="KBL208"/>
      <c r="KBM208"/>
      <c r="KBN208"/>
      <c r="KBO208"/>
      <c r="KBP208"/>
      <c r="KBQ208"/>
      <c r="KBR208"/>
      <c r="KBS208"/>
      <c r="KBT208"/>
      <c r="KBU208"/>
      <c r="KBV208"/>
      <c r="KBW208"/>
      <c r="KBX208"/>
      <c r="KBY208"/>
      <c r="KBZ208"/>
      <c r="KCA208"/>
      <c r="KCB208"/>
      <c r="KCC208"/>
      <c r="KCD208"/>
      <c r="KCE208"/>
      <c r="KCF208"/>
      <c r="KCG208"/>
      <c r="KCH208"/>
      <c r="KCI208"/>
      <c r="KCJ208"/>
      <c r="KCK208"/>
      <c r="KCL208"/>
      <c r="KCM208"/>
      <c r="KCN208"/>
      <c r="KCO208"/>
      <c r="KCP208"/>
      <c r="KCQ208"/>
      <c r="KCR208"/>
      <c r="KCS208"/>
      <c r="KCT208"/>
      <c r="KCU208"/>
      <c r="KCV208"/>
      <c r="KCW208"/>
      <c r="KCX208"/>
      <c r="KCY208"/>
      <c r="KCZ208"/>
      <c r="KDA208"/>
      <c r="KDB208"/>
      <c r="KDC208"/>
      <c r="KDD208"/>
      <c r="KDE208"/>
      <c r="KDF208"/>
      <c r="KDG208"/>
      <c r="KDH208"/>
      <c r="KDI208"/>
      <c r="KDJ208"/>
      <c r="KDK208"/>
      <c r="KDL208"/>
      <c r="KDM208"/>
      <c r="KDN208"/>
      <c r="KDO208"/>
      <c r="KDP208"/>
      <c r="KDQ208"/>
      <c r="KDR208"/>
      <c r="KDS208"/>
      <c r="KDT208"/>
      <c r="KDU208"/>
      <c r="KDV208"/>
      <c r="KDW208"/>
      <c r="KDX208"/>
      <c r="KDY208"/>
      <c r="KDZ208"/>
      <c r="KEA208"/>
      <c r="KEB208"/>
      <c r="KEC208"/>
      <c r="KED208"/>
      <c r="KEE208"/>
      <c r="KEF208"/>
      <c r="KEG208"/>
      <c r="KEH208"/>
      <c r="KEI208"/>
      <c r="KEJ208"/>
      <c r="KEK208"/>
      <c r="KEL208"/>
      <c r="KEM208"/>
      <c r="KEN208"/>
      <c r="KEO208"/>
      <c r="KEP208"/>
      <c r="KEQ208"/>
      <c r="KER208"/>
      <c r="KES208"/>
      <c r="KET208"/>
      <c r="KEU208"/>
      <c r="KEV208"/>
      <c r="KEW208"/>
      <c r="KEX208"/>
      <c r="KEY208"/>
      <c r="KEZ208"/>
      <c r="KFA208"/>
      <c r="KFB208"/>
      <c r="KFC208"/>
      <c r="KFD208"/>
      <c r="KFE208"/>
      <c r="KFF208"/>
      <c r="KFG208"/>
      <c r="KFH208"/>
      <c r="KFI208"/>
      <c r="KFJ208"/>
      <c r="KFK208"/>
      <c r="KFL208"/>
      <c r="KFM208"/>
      <c r="KFN208"/>
      <c r="KFO208"/>
      <c r="KFP208"/>
      <c r="KFQ208"/>
      <c r="KFR208"/>
      <c r="KFS208"/>
      <c r="KFT208"/>
      <c r="KFU208"/>
      <c r="KFV208"/>
      <c r="KFW208"/>
      <c r="KFX208"/>
      <c r="KFY208"/>
      <c r="KFZ208"/>
      <c r="KGA208"/>
      <c r="KGB208"/>
      <c r="KGC208"/>
      <c r="KGD208"/>
      <c r="KGE208"/>
      <c r="KGF208"/>
      <c r="KGG208"/>
      <c r="KGH208"/>
      <c r="KGI208"/>
      <c r="KGJ208"/>
      <c r="KGK208"/>
      <c r="KGL208"/>
      <c r="KGM208"/>
      <c r="KGN208"/>
      <c r="KGO208"/>
      <c r="KGP208"/>
      <c r="KGQ208"/>
      <c r="KGR208"/>
      <c r="KGS208"/>
      <c r="KGT208"/>
      <c r="KGU208"/>
      <c r="KGV208"/>
      <c r="KGW208"/>
      <c r="KGX208"/>
      <c r="KGY208"/>
      <c r="KGZ208"/>
      <c r="KHA208"/>
      <c r="KHB208"/>
      <c r="KHC208"/>
      <c r="KHD208"/>
      <c r="KHE208"/>
      <c r="KHF208"/>
      <c r="KHG208"/>
      <c r="KHH208"/>
      <c r="KHI208"/>
      <c r="KHJ208"/>
      <c r="KHK208"/>
      <c r="KHL208"/>
      <c r="KHM208"/>
      <c r="KHN208"/>
      <c r="KHO208"/>
      <c r="KHP208"/>
      <c r="KHQ208"/>
      <c r="KHR208"/>
      <c r="KHS208"/>
      <c r="KHT208"/>
      <c r="KHU208"/>
      <c r="KHV208"/>
      <c r="KHW208"/>
      <c r="KHX208"/>
      <c r="KHY208"/>
      <c r="KHZ208"/>
      <c r="KIA208"/>
      <c r="KIB208"/>
      <c r="KIC208"/>
      <c r="KID208"/>
      <c r="KIE208"/>
      <c r="KIF208"/>
      <c r="KIG208"/>
      <c r="KIH208"/>
      <c r="KII208"/>
      <c r="KIJ208"/>
      <c r="KIK208"/>
      <c r="KIL208"/>
      <c r="KIM208"/>
      <c r="KIN208"/>
      <c r="KIO208"/>
      <c r="KIP208"/>
      <c r="KIQ208"/>
      <c r="KIR208"/>
      <c r="KIS208"/>
      <c r="KIT208"/>
      <c r="KIU208"/>
      <c r="KIV208"/>
      <c r="KIW208"/>
      <c r="KIX208"/>
      <c r="KIY208"/>
      <c r="KIZ208"/>
      <c r="KJA208"/>
      <c r="KJB208"/>
      <c r="KJC208"/>
      <c r="KJD208"/>
      <c r="KJE208"/>
      <c r="KJF208"/>
      <c r="KJG208"/>
      <c r="KJH208"/>
      <c r="KJI208"/>
      <c r="KJJ208"/>
      <c r="KJK208"/>
      <c r="KJL208"/>
      <c r="KJM208"/>
      <c r="KJN208"/>
      <c r="KJO208"/>
      <c r="KJP208"/>
      <c r="KJQ208"/>
      <c r="KJR208"/>
      <c r="KJS208"/>
      <c r="KJT208"/>
      <c r="KJU208"/>
      <c r="KJV208"/>
      <c r="KJW208"/>
      <c r="KJX208"/>
      <c r="KJY208"/>
      <c r="KJZ208"/>
      <c r="KKA208"/>
      <c r="KKB208"/>
      <c r="KKC208"/>
      <c r="KKD208"/>
      <c r="KKE208"/>
      <c r="KKF208"/>
      <c r="KKG208"/>
      <c r="KKH208"/>
      <c r="KKI208"/>
      <c r="KKJ208"/>
      <c r="KKK208"/>
      <c r="KKL208"/>
      <c r="KKM208"/>
      <c r="KKN208"/>
      <c r="KKO208"/>
      <c r="KKP208"/>
      <c r="KKQ208"/>
      <c r="KKR208"/>
      <c r="KKS208"/>
      <c r="KKT208"/>
      <c r="KKU208"/>
      <c r="KKV208"/>
      <c r="KKW208"/>
      <c r="KKX208"/>
      <c r="KKY208"/>
      <c r="KKZ208"/>
      <c r="KLA208"/>
      <c r="KLB208"/>
      <c r="KLC208"/>
      <c r="KLD208"/>
      <c r="KLE208"/>
      <c r="KLF208"/>
      <c r="KLG208"/>
      <c r="KLH208"/>
      <c r="KLI208"/>
      <c r="KLJ208"/>
      <c r="KLK208"/>
      <c r="KLL208"/>
      <c r="KLM208"/>
      <c r="KLN208"/>
      <c r="KLO208"/>
      <c r="KLP208"/>
      <c r="KLQ208"/>
      <c r="KLR208"/>
      <c r="KLS208"/>
      <c r="KLT208"/>
      <c r="KLU208"/>
      <c r="KLV208"/>
      <c r="KLW208"/>
      <c r="KLX208"/>
      <c r="KLY208"/>
      <c r="KLZ208"/>
      <c r="KMA208"/>
      <c r="KMB208"/>
      <c r="KMC208"/>
      <c r="KMD208"/>
      <c r="KME208"/>
      <c r="KMF208"/>
      <c r="KMG208"/>
      <c r="KMH208"/>
      <c r="KMI208"/>
      <c r="KMJ208"/>
      <c r="KMK208"/>
      <c r="KML208"/>
      <c r="KMM208"/>
      <c r="KMN208"/>
      <c r="KMO208"/>
      <c r="KMP208"/>
      <c r="KMQ208"/>
      <c r="KMR208"/>
      <c r="KMS208"/>
      <c r="KMT208"/>
      <c r="KMU208"/>
      <c r="KMV208"/>
      <c r="KMW208"/>
      <c r="KMX208"/>
      <c r="KMY208"/>
      <c r="KMZ208"/>
      <c r="KNA208"/>
      <c r="KNB208"/>
      <c r="KNC208"/>
      <c r="KND208"/>
      <c r="KNE208"/>
      <c r="KNF208"/>
      <c r="KNG208"/>
      <c r="KNH208"/>
      <c r="KNI208"/>
      <c r="KNJ208"/>
      <c r="KNK208"/>
      <c r="KNL208"/>
      <c r="KNM208"/>
      <c r="KNN208"/>
      <c r="KNO208"/>
      <c r="KNP208"/>
      <c r="KNQ208"/>
      <c r="KNR208"/>
      <c r="KNS208"/>
      <c r="KNT208"/>
      <c r="KNU208"/>
      <c r="KNV208"/>
      <c r="KNW208"/>
      <c r="KNX208"/>
      <c r="KNY208"/>
      <c r="KNZ208"/>
      <c r="KOA208"/>
      <c r="KOB208"/>
      <c r="KOC208"/>
      <c r="KOD208"/>
      <c r="KOE208"/>
      <c r="KOF208"/>
      <c r="KOG208"/>
      <c r="KOH208"/>
      <c r="KOI208"/>
      <c r="KOJ208"/>
      <c r="KOK208"/>
      <c r="KOL208"/>
      <c r="KOM208"/>
      <c r="KON208"/>
      <c r="KOO208"/>
      <c r="KOP208"/>
      <c r="KOQ208"/>
      <c r="KOR208"/>
      <c r="KOS208"/>
      <c r="KOT208"/>
      <c r="KOU208"/>
      <c r="KOV208"/>
      <c r="KOW208"/>
      <c r="KOX208"/>
      <c r="KOY208"/>
      <c r="KOZ208"/>
      <c r="KPA208"/>
      <c r="KPB208"/>
      <c r="KPC208"/>
      <c r="KPD208"/>
      <c r="KPE208"/>
      <c r="KPF208"/>
      <c r="KPG208"/>
      <c r="KPH208"/>
      <c r="KPI208"/>
      <c r="KPJ208"/>
      <c r="KPK208"/>
      <c r="KPL208"/>
      <c r="KPM208"/>
      <c r="KPN208"/>
      <c r="KPO208"/>
      <c r="KPP208"/>
      <c r="KPQ208"/>
      <c r="KPR208"/>
      <c r="KPS208"/>
      <c r="KPT208"/>
      <c r="KPU208"/>
      <c r="KPV208"/>
      <c r="KPW208"/>
      <c r="KPX208"/>
      <c r="KPY208"/>
      <c r="KPZ208"/>
      <c r="KQA208"/>
      <c r="KQB208"/>
      <c r="KQC208"/>
      <c r="KQD208"/>
      <c r="KQE208"/>
      <c r="KQF208"/>
      <c r="KQG208"/>
      <c r="KQH208"/>
      <c r="KQI208"/>
      <c r="KQJ208"/>
      <c r="KQK208"/>
      <c r="KQL208"/>
      <c r="KQM208"/>
      <c r="KQN208"/>
      <c r="KQO208"/>
      <c r="KQP208"/>
      <c r="KQQ208"/>
      <c r="KQR208"/>
      <c r="KQS208"/>
      <c r="KQT208"/>
      <c r="KQU208"/>
      <c r="KQV208"/>
      <c r="KQW208"/>
      <c r="KQX208"/>
      <c r="KQY208"/>
      <c r="KQZ208"/>
      <c r="KRA208"/>
      <c r="KRB208"/>
      <c r="KRC208"/>
      <c r="KRD208"/>
      <c r="KRE208"/>
      <c r="KRF208"/>
      <c r="KRG208"/>
      <c r="KRH208"/>
      <c r="KRI208"/>
      <c r="KRJ208"/>
      <c r="KRK208"/>
      <c r="KRL208"/>
      <c r="KRM208"/>
      <c r="KRN208"/>
      <c r="KRO208"/>
      <c r="KRP208"/>
      <c r="KRQ208"/>
      <c r="KRR208"/>
      <c r="KRS208"/>
      <c r="KRT208"/>
      <c r="KRU208"/>
      <c r="KRV208"/>
      <c r="KRW208"/>
      <c r="KRX208"/>
      <c r="KRY208"/>
      <c r="KRZ208"/>
      <c r="KSA208"/>
      <c r="KSB208"/>
      <c r="KSC208"/>
      <c r="KSD208"/>
      <c r="KSE208"/>
      <c r="KSF208"/>
      <c r="KSG208"/>
      <c r="KSH208"/>
      <c r="KSI208"/>
      <c r="KSJ208"/>
      <c r="KSK208"/>
      <c r="KSL208"/>
      <c r="KSM208"/>
      <c r="KSN208"/>
      <c r="KSO208"/>
      <c r="KSP208"/>
      <c r="KSQ208"/>
      <c r="KSR208"/>
      <c r="KSS208"/>
      <c r="KST208"/>
      <c r="KSU208"/>
      <c r="KSV208"/>
      <c r="KSW208"/>
      <c r="KSX208"/>
      <c r="KSY208"/>
      <c r="KSZ208"/>
      <c r="KTA208"/>
      <c r="KTB208"/>
      <c r="KTC208"/>
      <c r="KTD208"/>
      <c r="KTE208"/>
      <c r="KTF208"/>
      <c r="KTG208"/>
      <c r="KTH208"/>
      <c r="KTI208"/>
      <c r="KTJ208"/>
      <c r="KTK208"/>
      <c r="KTL208"/>
      <c r="KTM208"/>
      <c r="KTN208"/>
      <c r="KTO208"/>
      <c r="KTP208"/>
      <c r="KTQ208"/>
      <c r="KTR208"/>
      <c r="KTS208"/>
      <c r="KTT208"/>
      <c r="KTU208"/>
      <c r="KTV208"/>
      <c r="KTW208"/>
      <c r="KTX208"/>
      <c r="KTY208"/>
      <c r="KTZ208"/>
      <c r="KUA208"/>
      <c r="KUB208"/>
      <c r="KUC208"/>
      <c r="KUD208"/>
      <c r="KUE208"/>
      <c r="KUF208"/>
      <c r="KUG208"/>
      <c r="KUH208"/>
      <c r="KUI208"/>
      <c r="KUJ208"/>
      <c r="KUK208"/>
      <c r="KUL208"/>
      <c r="KUM208"/>
      <c r="KUN208"/>
      <c r="KUO208"/>
      <c r="KUP208"/>
      <c r="KUQ208"/>
      <c r="KUR208"/>
      <c r="KUS208"/>
      <c r="KUT208"/>
      <c r="KUU208"/>
      <c r="KUV208"/>
      <c r="KUW208"/>
      <c r="KUX208"/>
      <c r="KUY208"/>
      <c r="KUZ208"/>
      <c r="KVA208"/>
      <c r="KVB208"/>
      <c r="KVC208"/>
      <c r="KVD208"/>
      <c r="KVE208"/>
      <c r="KVF208"/>
      <c r="KVG208"/>
      <c r="KVH208"/>
      <c r="KVI208"/>
      <c r="KVJ208"/>
      <c r="KVK208"/>
      <c r="KVL208"/>
      <c r="KVM208"/>
      <c r="KVN208"/>
      <c r="KVO208"/>
      <c r="KVP208"/>
      <c r="KVQ208"/>
      <c r="KVR208"/>
      <c r="KVS208"/>
      <c r="KVT208"/>
      <c r="KVU208"/>
      <c r="KVV208"/>
      <c r="KVW208"/>
      <c r="KVX208"/>
      <c r="KVY208"/>
      <c r="KVZ208"/>
      <c r="KWA208"/>
      <c r="KWB208"/>
      <c r="KWC208"/>
      <c r="KWD208"/>
      <c r="KWE208"/>
      <c r="KWF208"/>
      <c r="KWG208"/>
      <c r="KWH208"/>
      <c r="KWI208"/>
      <c r="KWJ208"/>
      <c r="KWK208"/>
      <c r="KWL208"/>
      <c r="KWM208"/>
      <c r="KWN208"/>
      <c r="KWO208"/>
      <c r="KWP208"/>
      <c r="KWQ208"/>
      <c r="KWR208"/>
      <c r="KWS208"/>
      <c r="KWT208"/>
      <c r="KWU208"/>
      <c r="KWV208"/>
      <c r="KWW208"/>
      <c r="KWX208"/>
      <c r="KWY208"/>
      <c r="KWZ208"/>
      <c r="KXA208"/>
      <c r="KXB208"/>
      <c r="KXC208"/>
      <c r="KXD208"/>
      <c r="KXE208"/>
      <c r="KXF208"/>
      <c r="KXG208"/>
      <c r="KXH208"/>
      <c r="KXI208"/>
      <c r="KXJ208"/>
      <c r="KXK208"/>
      <c r="KXL208"/>
      <c r="KXM208"/>
      <c r="KXN208"/>
      <c r="KXO208"/>
      <c r="KXP208"/>
      <c r="KXQ208"/>
      <c r="KXR208"/>
      <c r="KXS208"/>
      <c r="KXT208"/>
      <c r="KXU208"/>
      <c r="KXV208"/>
      <c r="KXW208"/>
      <c r="KXX208"/>
      <c r="KXY208"/>
      <c r="KXZ208"/>
      <c r="KYA208"/>
      <c r="KYB208"/>
      <c r="KYC208"/>
      <c r="KYD208"/>
      <c r="KYE208"/>
      <c r="KYF208"/>
      <c r="KYG208"/>
      <c r="KYH208"/>
      <c r="KYI208"/>
      <c r="KYJ208"/>
      <c r="KYK208"/>
      <c r="KYL208"/>
      <c r="KYM208"/>
      <c r="KYN208"/>
      <c r="KYO208"/>
      <c r="KYP208"/>
      <c r="KYQ208"/>
      <c r="KYR208"/>
      <c r="KYS208"/>
      <c r="KYT208"/>
      <c r="KYU208"/>
      <c r="KYV208"/>
      <c r="KYW208"/>
      <c r="KYX208"/>
      <c r="KYY208"/>
      <c r="KYZ208"/>
      <c r="KZA208"/>
      <c r="KZB208"/>
      <c r="KZC208"/>
      <c r="KZD208"/>
      <c r="KZE208"/>
      <c r="KZF208"/>
      <c r="KZG208"/>
      <c r="KZH208"/>
      <c r="KZI208"/>
      <c r="KZJ208"/>
      <c r="KZK208"/>
      <c r="KZL208"/>
      <c r="KZM208"/>
      <c r="KZN208"/>
      <c r="KZO208"/>
      <c r="KZP208"/>
      <c r="KZQ208"/>
      <c r="KZR208"/>
      <c r="KZS208"/>
      <c r="KZT208"/>
      <c r="KZU208"/>
      <c r="KZV208"/>
      <c r="KZW208"/>
      <c r="KZX208"/>
      <c r="KZY208"/>
      <c r="KZZ208"/>
      <c r="LAA208"/>
      <c r="LAB208"/>
      <c r="LAC208"/>
      <c r="LAD208"/>
      <c r="LAE208"/>
      <c r="LAF208"/>
      <c r="LAG208"/>
      <c r="LAH208"/>
      <c r="LAI208"/>
      <c r="LAJ208"/>
      <c r="LAK208"/>
      <c r="LAL208"/>
      <c r="LAM208"/>
      <c r="LAN208"/>
      <c r="LAO208"/>
      <c r="LAP208"/>
      <c r="LAQ208"/>
      <c r="LAR208"/>
      <c r="LAS208"/>
      <c r="LAT208"/>
      <c r="LAU208"/>
      <c r="LAV208"/>
      <c r="LAW208"/>
      <c r="LAX208"/>
      <c r="LAY208"/>
      <c r="LAZ208"/>
      <c r="LBA208"/>
      <c r="LBB208"/>
      <c r="LBC208"/>
      <c r="LBD208"/>
      <c r="LBE208"/>
      <c r="LBF208"/>
      <c r="LBG208"/>
      <c r="LBH208"/>
      <c r="LBI208"/>
      <c r="LBJ208"/>
      <c r="LBK208"/>
      <c r="LBL208"/>
      <c r="LBM208"/>
      <c r="LBN208"/>
      <c r="LBO208"/>
      <c r="LBP208"/>
      <c r="LBQ208"/>
      <c r="LBR208"/>
      <c r="LBS208"/>
      <c r="LBT208"/>
      <c r="LBU208"/>
      <c r="LBV208"/>
      <c r="LBW208"/>
      <c r="LBX208"/>
      <c r="LBY208"/>
      <c r="LBZ208"/>
      <c r="LCA208"/>
      <c r="LCB208"/>
      <c r="LCC208"/>
      <c r="LCD208"/>
      <c r="LCE208"/>
      <c r="LCF208"/>
      <c r="LCG208"/>
      <c r="LCH208"/>
      <c r="LCI208"/>
      <c r="LCJ208"/>
      <c r="LCK208"/>
      <c r="LCL208"/>
      <c r="LCM208"/>
      <c r="LCN208"/>
      <c r="LCO208"/>
      <c r="LCP208"/>
      <c r="LCQ208"/>
      <c r="LCR208"/>
      <c r="LCS208"/>
      <c r="LCT208"/>
      <c r="LCU208"/>
      <c r="LCV208"/>
      <c r="LCW208"/>
      <c r="LCX208"/>
      <c r="LCY208"/>
      <c r="LCZ208"/>
      <c r="LDA208"/>
      <c r="LDB208"/>
      <c r="LDC208"/>
      <c r="LDD208"/>
      <c r="LDE208"/>
      <c r="LDF208"/>
      <c r="LDG208"/>
      <c r="LDH208"/>
      <c r="LDI208"/>
      <c r="LDJ208"/>
      <c r="LDK208"/>
      <c r="LDL208"/>
      <c r="LDM208"/>
      <c r="LDN208"/>
      <c r="LDO208"/>
      <c r="LDP208"/>
      <c r="LDQ208"/>
      <c r="LDR208"/>
      <c r="LDS208"/>
      <c r="LDT208"/>
      <c r="LDU208"/>
      <c r="LDV208"/>
      <c r="LDW208"/>
      <c r="LDX208"/>
      <c r="LDY208"/>
      <c r="LDZ208"/>
      <c r="LEA208"/>
      <c r="LEB208"/>
      <c r="LEC208"/>
      <c r="LED208"/>
      <c r="LEE208"/>
      <c r="LEF208"/>
      <c r="LEG208"/>
      <c r="LEH208"/>
      <c r="LEI208"/>
      <c r="LEJ208"/>
      <c r="LEK208"/>
      <c r="LEL208"/>
      <c r="LEM208"/>
      <c r="LEN208"/>
      <c r="LEO208"/>
      <c r="LEP208"/>
      <c r="LEQ208"/>
      <c r="LER208"/>
      <c r="LES208"/>
      <c r="LET208"/>
      <c r="LEU208"/>
      <c r="LEV208"/>
      <c r="LEW208"/>
      <c r="LEX208"/>
      <c r="LEY208"/>
      <c r="LEZ208"/>
      <c r="LFA208"/>
      <c r="LFB208"/>
      <c r="LFC208"/>
      <c r="LFD208"/>
      <c r="LFE208"/>
      <c r="LFF208"/>
      <c r="LFG208"/>
      <c r="LFH208"/>
      <c r="LFI208"/>
      <c r="LFJ208"/>
      <c r="LFK208"/>
      <c r="LFL208"/>
      <c r="LFM208"/>
      <c r="LFN208"/>
      <c r="LFO208"/>
      <c r="LFP208"/>
      <c r="LFQ208"/>
      <c r="LFR208"/>
      <c r="LFS208"/>
      <c r="LFT208"/>
      <c r="LFU208"/>
      <c r="LFV208"/>
      <c r="LFW208"/>
      <c r="LFX208"/>
      <c r="LFY208"/>
      <c r="LFZ208"/>
      <c r="LGA208"/>
      <c r="LGB208"/>
      <c r="LGC208"/>
      <c r="LGD208"/>
      <c r="LGE208"/>
      <c r="LGF208"/>
      <c r="LGG208"/>
      <c r="LGH208"/>
      <c r="LGI208"/>
      <c r="LGJ208"/>
      <c r="LGK208"/>
      <c r="LGL208"/>
      <c r="LGM208"/>
      <c r="LGN208"/>
      <c r="LGO208"/>
      <c r="LGP208"/>
      <c r="LGQ208"/>
      <c r="LGR208"/>
      <c r="LGS208"/>
      <c r="LGT208"/>
      <c r="LGU208"/>
      <c r="LGV208"/>
      <c r="LGW208"/>
      <c r="LGX208"/>
      <c r="LGY208"/>
      <c r="LGZ208"/>
      <c r="LHA208"/>
      <c r="LHB208"/>
      <c r="LHC208"/>
      <c r="LHD208"/>
      <c r="LHE208"/>
      <c r="LHF208"/>
      <c r="LHG208"/>
      <c r="LHH208"/>
      <c r="LHI208"/>
      <c r="LHJ208"/>
      <c r="LHK208"/>
      <c r="LHL208"/>
      <c r="LHM208"/>
      <c r="LHN208"/>
      <c r="LHO208"/>
      <c r="LHP208"/>
      <c r="LHQ208"/>
      <c r="LHR208"/>
      <c r="LHS208"/>
      <c r="LHT208"/>
      <c r="LHU208"/>
      <c r="LHV208"/>
      <c r="LHW208"/>
      <c r="LHX208"/>
      <c r="LHY208"/>
      <c r="LHZ208"/>
      <c r="LIA208"/>
      <c r="LIB208"/>
      <c r="LIC208"/>
      <c r="LID208"/>
      <c r="LIE208"/>
      <c r="LIF208"/>
      <c r="LIG208"/>
      <c r="LIH208"/>
      <c r="LII208"/>
      <c r="LIJ208"/>
      <c r="LIK208"/>
      <c r="LIL208"/>
      <c r="LIM208"/>
      <c r="LIN208"/>
      <c r="LIO208"/>
      <c r="LIP208"/>
      <c r="LIQ208"/>
      <c r="LIR208"/>
      <c r="LIS208"/>
      <c r="LIT208"/>
      <c r="LIU208"/>
      <c r="LIV208"/>
      <c r="LIW208"/>
      <c r="LIX208"/>
      <c r="LIY208"/>
      <c r="LIZ208"/>
      <c r="LJA208"/>
      <c r="LJB208"/>
      <c r="LJC208"/>
      <c r="LJD208"/>
      <c r="LJE208"/>
      <c r="LJF208"/>
      <c r="LJG208"/>
      <c r="LJH208"/>
      <c r="LJI208"/>
      <c r="LJJ208"/>
      <c r="LJK208"/>
      <c r="LJL208"/>
      <c r="LJM208"/>
      <c r="LJN208"/>
      <c r="LJO208"/>
      <c r="LJP208"/>
      <c r="LJQ208"/>
      <c r="LJR208"/>
      <c r="LJS208"/>
      <c r="LJT208"/>
      <c r="LJU208"/>
      <c r="LJV208"/>
      <c r="LJW208"/>
      <c r="LJX208"/>
      <c r="LJY208"/>
      <c r="LJZ208"/>
      <c r="LKA208"/>
      <c r="LKB208"/>
      <c r="LKC208"/>
      <c r="LKD208"/>
      <c r="LKE208"/>
      <c r="LKF208"/>
      <c r="LKG208"/>
      <c r="LKH208"/>
      <c r="LKI208"/>
      <c r="LKJ208"/>
      <c r="LKK208"/>
      <c r="LKL208"/>
      <c r="LKM208"/>
      <c r="LKN208"/>
      <c r="LKO208"/>
      <c r="LKP208"/>
      <c r="LKQ208"/>
      <c r="LKR208"/>
      <c r="LKS208"/>
      <c r="LKT208"/>
      <c r="LKU208"/>
      <c r="LKV208"/>
      <c r="LKW208"/>
      <c r="LKX208"/>
      <c r="LKY208"/>
      <c r="LKZ208"/>
      <c r="LLA208"/>
      <c r="LLB208"/>
      <c r="LLC208"/>
      <c r="LLD208"/>
      <c r="LLE208"/>
      <c r="LLF208"/>
      <c r="LLG208"/>
      <c r="LLH208"/>
      <c r="LLI208"/>
      <c r="LLJ208"/>
      <c r="LLK208"/>
      <c r="LLL208"/>
      <c r="LLM208"/>
      <c r="LLN208"/>
      <c r="LLO208"/>
      <c r="LLP208"/>
      <c r="LLQ208"/>
      <c r="LLR208"/>
      <c r="LLS208"/>
      <c r="LLT208"/>
      <c r="LLU208"/>
      <c r="LLV208"/>
      <c r="LLW208"/>
      <c r="LLX208"/>
      <c r="LLY208"/>
      <c r="LLZ208"/>
      <c r="LMA208"/>
      <c r="LMB208"/>
      <c r="LMC208"/>
      <c r="LMD208"/>
      <c r="LME208"/>
      <c r="LMF208"/>
      <c r="LMG208"/>
      <c r="LMH208"/>
      <c r="LMI208"/>
      <c r="LMJ208"/>
      <c r="LMK208"/>
      <c r="LML208"/>
      <c r="LMM208"/>
      <c r="LMN208"/>
      <c r="LMO208"/>
      <c r="LMP208"/>
      <c r="LMQ208"/>
      <c r="LMR208"/>
      <c r="LMS208"/>
      <c r="LMT208"/>
      <c r="LMU208"/>
      <c r="LMV208"/>
      <c r="LMW208"/>
      <c r="LMX208"/>
      <c r="LMY208"/>
      <c r="LMZ208"/>
      <c r="LNA208"/>
      <c r="LNB208"/>
      <c r="LNC208"/>
      <c r="LND208"/>
      <c r="LNE208"/>
      <c r="LNF208"/>
      <c r="LNG208"/>
      <c r="LNH208"/>
      <c r="LNI208"/>
      <c r="LNJ208"/>
      <c r="LNK208"/>
      <c r="LNL208"/>
      <c r="LNM208"/>
      <c r="LNN208"/>
      <c r="LNO208"/>
      <c r="LNP208"/>
      <c r="LNQ208"/>
      <c r="LNR208"/>
      <c r="LNS208"/>
      <c r="LNT208"/>
      <c r="LNU208"/>
      <c r="LNV208"/>
      <c r="LNW208"/>
      <c r="LNX208"/>
      <c r="LNY208"/>
      <c r="LNZ208"/>
      <c r="LOA208"/>
      <c r="LOB208"/>
      <c r="LOC208"/>
      <c r="LOD208"/>
      <c r="LOE208"/>
      <c r="LOF208"/>
      <c r="LOG208"/>
      <c r="LOH208"/>
      <c r="LOI208"/>
      <c r="LOJ208"/>
      <c r="LOK208"/>
      <c r="LOL208"/>
      <c r="LOM208"/>
      <c r="LON208"/>
      <c r="LOO208"/>
      <c r="LOP208"/>
      <c r="LOQ208"/>
      <c r="LOR208"/>
      <c r="LOS208"/>
      <c r="LOT208"/>
      <c r="LOU208"/>
      <c r="LOV208"/>
      <c r="LOW208"/>
      <c r="LOX208"/>
      <c r="LOY208"/>
      <c r="LOZ208"/>
      <c r="LPA208"/>
      <c r="LPB208"/>
      <c r="LPC208"/>
      <c r="LPD208"/>
      <c r="LPE208"/>
      <c r="LPF208"/>
      <c r="LPG208"/>
      <c r="LPH208"/>
      <c r="LPI208"/>
      <c r="LPJ208"/>
      <c r="LPK208"/>
      <c r="LPL208"/>
      <c r="LPM208"/>
      <c r="LPN208"/>
      <c r="LPO208"/>
      <c r="LPP208"/>
      <c r="LPQ208"/>
      <c r="LPR208"/>
      <c r="LPS208"/>
      <c r="LPT208"/>
      <c r="LPU208"/>
      <c r="LPV208"/>
      <c r="LPW208"/>
      <c r="LPX208"/>
      <c r="LPY208"/>
      <c r="LPZ208"/>
      <c r="LQA208"/>
      <c r="LQB208"/>
      <c r="LQC208"/>
      <c r="LQD208"/>
      <c r="LQE208"/>
      <c r="LQF208"/>
      <c r="LQG208"/>
      <c r="LQH208"/>
      <c r="LQI208"/>
      <c r="LQJ208"/>
      <c r="LQK208"/>
      <c r="LQL208"/>
      <c r="LQM208"/>
      <c r="LQN208"/>
      <c r="LQO208"/>
      <c r="LQP208"/>
      <c r="LQQ208"/>
      <c r="LQR208"/>
      <c r="LQS208"/>
      <c r="LQT208"/>
      <c r="LQU208"/>
      <c r="LQV208"/>
      <c r="LQW208"/>
      <c r="LQX208"/>
      <c r="LQY208"/>
      <c r="LQZ208"/>
      <c r="LRA208"/>
      <c r="LRB208"/>
      <c r="LRC208"/>
      <c r="LRD208"/>
      <c r="LRE208"/>
      <c r="LRF208"/>
      <c r="LRG208"/>
      <c r="LRH208"/>
      <c r="LRI208"/>
      <c r="LRJ208"/>
      <c r="LRK208"/>
      <c r="LRL208"/>
      <c r="LRM208"/>
      <c r="LRN208"/>
      <c r="LRO208"/>
      <c r="LRP208"/>
      <c r="LRQ208"/>
      <c r="LRR208"/>
      <c r="LRS208"/>
      <c r="LRT208"/>
      <c r="LRU208"/>
      <c r="LRV208"/>
      <c r="LRW208"/>
      <c r="LRX208"/>
      <c r="LRY208"/>
      <c r="LRZ208"/>
      <c r="LSA208"/>
      <c r="LSB208"/>
      <c r="LSC208"/>
      <c r="LSD208"/>
      <c r="LSE208"/>
      <c r="LSF208"/>
      <c r="LSG208"/>
      <c r="LSH208"/>
      <c r="LSI208"/>
      <c r="LSJ208"/>
      <c r="LSK208"/>
      <c r="LSL208"/>
      <c r="LSM208"/>
      <c r="LSN208"/>
      <c r="LSO208"/>
      <c r="LSP208"/>
      <c r="LSQ208"/>
      <c r="LSR208"/>
      <c r="LSS208"/>
      <c r="LST208"/>
      <c r="LSU208"/>
      <c r="LSV208"/>
      <c r="LSW208"/>
      <c r="LSX208"/>
      <c r="LSY208"/>
      <c r="LSZ208"/>
      <c r="LTA208"/>
      <c r="LTB208"/>
      <c r="LTC208"/>
      <c r="LTD208"/>
      <c r="LTE208"/>
      <c r="LTF208"/>
      <c r="LTG208"/>
      <c r="LTH208"/>
      <c r="LTI208"/>
      <c r="LTJ208"/>
      <c r="LTK208"/>
      <c r="LTL208"/>
      <c r="LTM208"/>
      <c r="LTN208"/>
      <c r="LTO208"/>
      <c r="LTP208"/>
      <c r="LTQ208"/>
      <c r="LTR208"/>
      <c r="LTS208"/>
      <c r="LTT208"/>
      <c r="LTU208"/>
      <c r="LTV208"/>
      <c r="LTW208"/>
      <c r="LTX208"/>
      <c r="LTY208"/>
      <c r="LTZ208"/>
      <c r="LUA208"/>
      <c r="LUB208"/>
      <c r="LUC208"/>
      <c r="LUD208"/>
      <c r="LUE208"/>
      <c r="LUF208"/>
      <c r="LUG208"/>
      <c r="LUH208"/>
      <c r="LUI208"/>
      <c r="LUJ208"/>
      <c r="LUK208"/>
      <c r="LUL208"/>
      <c r="LUM208"/>
      <c r="LUN208"/>
      <c r="LUO208"/>
      <c r="LUP208"/>
      <c r="LUQ208"/>
      <c r="LUR208"/>
      <c r="LUS208"/>
      <c r="LUT208"/>
      <c r="LUU208"/>
      <c r="LUV208"/>
      <c r="LUW208"/>
      <c r="LUX208"/>
      <c r="LUY208"/>
      <c r="LUZ208"/>
      <c r="LVA208"/>
      <c r="LVB208"/>
      <c r="LVC208"/>
      <c r="LVD208"/>
      <c r="LVE208"/>
      <c r="LVF208"/>
      <c r="LVG208"/>
      <c r="LVH208"/>
      <c r="LVI208"/>
      <c r="LVJ208"/>
      <c r="LVK208"/>
      <c r="LVL208"/>
      <c r="LVM208"/>
      <c r="LVN208"/>
      <c r="LVO208"/>
      <c r="LVP208"/>
      <c r="LVQ208"/>
      <c r="LVR208"/>
      <c r="LVS208"/>
      <c r="LVT208"/>
      <c r="LVU208"/>
      <c r="LVV208"/>
      <c r="LVW208"/>
      <c r="LVX208"/>
      <c r="LVY208"/>
      <c r="LVZ208"/>
      <c r="LWA208"/>
      <c r="LWB208"/>
      <c r="LWC208"/>
      <c r="LWD208"/>
      <c r="LWE208"/>
      <c r="LWF208"/>
      <c r="LWG208"/>
      <c r="LWH208"/>
      <c r="LWI208"/>
      <c r="LWJ208"/>
      <c r="LWK208"/>
      <c r="LWL208"/>
      <c r="LWM208"/>
      <c r="LWN208"/>
      <c r="LWO208"/>
      <c r="LWP208"/>
      <c r="LWQ208"/>
      <c r="LWR208"/>
      <c r="LWS208"/>
      <c r="LWT208"/>
      <c r="LWU208"/>
      <c r="LWV208"/>
      <c r="LWW208"/>
      <c r="LWX208"/>
      <c r="LWY208"/>
      <c r="LWZ208"/>
      <c r="LXA208"/>
      <c r="LXB208"/>
      <c r="LXC208"/>
      <c r="LXD208"/>
      <c r="LXE208"/>
      <c r="LXF208"/>
      <c r="LXG208"/>
      <c r="LXH208"/>
      <c r="LXI208"/>
      <c r="LXJ208"/>
      <c r="LXK208"/>
      <c r="LXL208"/>
      <c r="LXM208"/>
      <c r="LXN208"/>
      <c r="LXO208"/>
      <c r="LXP208"/>
      <c r="LXQ208"/>
      <c r="LXR208"/>
      <c r="LXS208"/>
      <c r="LXT208"/>
      <c r="LXU208"/>
      <c r="LXV208"/>
      <c r="LXW208"/>
      <c r="LXX208"/>
      <c r="LXY208"/>
      <c r="LXZ208"/>
      <c r="LYA208"/>
      <c r="LYB208"/>
      <c r="LYC208"/>
      <c r="LYD208"/>
      <c r="LYE208"/>
      <c r="LYF208"/>
      <c r="LYG208"/>
      <c r="LYH208"/>
      <c r="LYI208"/>
      <c r="LYJ208"/>
      <c r="LYK208"/>
      <c r="LYL208"/>
      <c r="LYM208"/>
      <c r="LYN208"/>
      <c r="LYO208"/>
      <c r="LYP208"/>
      <c r="LYQ208"/>
      <c r="LYR208"/>
      <c r="LYS208"/>
      <c r="LYT208"/>
      <c r="LYU208"/>
      <c r="LYV208"/>
      <c r="LYW208"/>
      <c r="LYX208"/>
      <c r="LYY208"/>
      <c r="LYZ208"/>
      <c r="LZA208"/>
      <c r="LZB208"/>
      <c r="LZC208"/>
      <c r="LZD208"/>
      <c r="LZE208"/>
      <c r="LZF208"/>
      <c r="LZG208"/>
      <c r="LZH208"/>
      <c r="LZI208"/>
      <c r="LZJ208"/>
      <c r="LZK208"/>
      <c r="LZL208"/>
      <c r="LZM208"/>
      <c r="LZN208"/>
      <c r="LZO208"/>
      <c r="LZP208"/>
      <c r="LZQ208"/>
      <c r="LZR208"/>
      <c r="LZS208"/>
      <c r="LZT208"/>
      <c r="LZU208"/>
      <c r="LZV208"/>
      <c r="LZW208"/>
      <c r="LZX208"/>
      <c r="LZY208"/>
      <c r="LZZ208"/>
      <c r="MAA208"/>
      <c r="MAB208"/>
      <c r="MAC208"/>
      <c r="MAD208"/>
      <c r="MAE208"/>
      <c r="MAF208"/>
      <c r="MAG208"/>
      <c r="MAH208"/>
      <c r="MAI208"/>
      <c r="MAJ208"/>
      <c r="MAK208"/>
      <c r="MAL208"/>
      <c r="MAM208"/>
      <c r="MAN208"/>
      <c r="MAO208"/>
      <c r="MAP208"/>
      <c r="MAQ208"/>
      <c r="MAR208"/>
      <c r="MAS208"/>
      <c r="MAT208"/>
      <c r="MAU208"/>
      <c r="MAV208"/>
      <c r="MAW208"/>
      <c r="MAX208"/>
      <c r="MAY208"/>
      <c r="MAZ208"/>
      <c r="MBA208"/>
      <c r="MBB208"/>
      <c r="MBC208"/>
      <c r="MBD208"/>
      <c r="MBE208"/>
      <c r="MBF208"/>
      <c r="MBG208"/>
      <c r="MBH208"/>
      <c r="MBI208"/>
      <c r="MBJ208"/>
      <c r="MBK208"/>
      <c r="MBL208"/>
      <c r="MBM208"/>
      <c r="MBN208"/>
      <c r="MBO208"/>
      <c r="MBP208"/>
      <c r="MBQ208"/>
      <c r="MBR208"/>
      <c r="MBS208"/>
      <c r="MBT208"/>
      <c r="MBU208"/>
      <c r="MBV208"/>
      <c r="MBW208"/>
      <c r="MBX208"/>
      <c r="MBY208"/>
      <c r="MBZ208"/>
      <c r="MCA208"/>
      <c r="MCB208"/>
      <c r="MCC208"/>
      <c r="MCD208"/>
      <c r="MCE208"/>
      <c r="MCF208"/>
      <c r="MCG208"/>
      <c r="MCH208"/>
      <c r="MCI208"/>
      <c r="MCJ208"/>
      <c r="MCK208"/>
      <c r="MCL208"/>
      <c r="MCM208"/>
      <c r="MCN208"/>
      <c r="MCO208"/>
      <c r="MCP208"/>
      <c r="MCQ208"/>
      <c r="MCR208"/>
      <c r="MCS208"/>
      <c r="MCT208"/>
      <c r="MCU208"/>
      <c r="MCV208"/>
      <c r="MCW208"/>
      <c r="MCX208"/>
      <c r="MCY208"/>
      <c r="MCZ208"/>
      <c r="MDA208"/>
      <c r="MDB208"/>
      <c r="MDC208"/>
      <c r="MDD208"/>
      <c r="MDE208"/>
      <c r="MDF208"/>
      <c r="MDG208"/>
      <c r="MDH208"/>
      <c r="MDI208"/>
      <c r="MDJ208"/>
      <c r="MDK208"/>
      <c r="MDL208"/>
      <c r="MDM208"/>
      <c r="MDN208"/>
      <c r="MDO208"/>
      <c r="MDP208"/>
      <c r="MDQ208"/>
      <c r="MDR208"/>
      <c r="MDS208"/>
      <c r="MDT208"/>
      <c r="MDU208"/>
      <c r="MDV208"/>
      <c r="MDW208"/>
      <c r="MDX208"/>
      <c r="MDY208"/>
      <c r="MDZ208"/>
      <c r="MEA208"/>
      <c r="MEB208"/>
      <c r="MEC208"/>
      <c r="MED208"/>
      <c r="MEE208"/>
      <c r="MEF208"/>
      <c r="MEG208"/>
      <c r="MEH208"/>
      <c r="MEI208"/>
      <c r="MEJ208"/>
      <c r="MEK208"/>
      <c r="MEL208"/>
      <c r="MEM208"/>
      <c r="MEN208"/>
      <c r="MEO208"/>
      <c r="MEP208"/>
      <c r="MEQ208"/>
      <c r="MER208"/>
      <c r="MES208"/>
      <c r="MET208"/>
      <c r="MEU208"/>
      <c r="MEV208"/>
      <c r="MEW208"/>
      <c r="MEX208"/>
      <c r="MEY208"/>
      <c r="MEZ208"/>
      <c r="MFA208"/>
      <c r="MFB208"/>
      <c r="MFC208"/>
      <c r="MFD208"/>
      <c r="MFE208"/>
      <c r="MFF208"/>
      <c r="MFG208"/>
      <c r="MFH208"/>
      <c r="MFI208"/>
      <c r="MFJ208"/>
      <c r="MFK208"/>
      <c r="MFL208"/>
      <c r="MFM208"/>
      <c r="MFN208"/>
      <c r="MFO208"/>
      <c r="MFP208"/>
      <c r="MFQ208"/>
      <c r="MFR208"/>
      <c r="MFS208"/>
      <c r="MFT208"/>
      <c r="MFU208"/>
      <c r="MFV208"/>
      <c r="MFW208"/>
      <c r="MFX208"/>
      <c r="MFY208"/>
      <c r="MFZ208"/>
      <c r="MGA208"/>
      <c r="MGB208"/>
      <c r="MGC208"/>
      <c r="MGD208"/>
      <c r="MGE208"/>
      <c r="MGF208"/>
      <c r="MGG208"/>
      <c r="MGH208"/>
      <c r="MGI208"/>
      <c r="MGJ208"/>
      <c r="MGK208"/>
      <c r="MGL208"/>
      <c r="MGM208"/>
      <c r="MGN208"/>
      <c r="MGO208"/>
      <c r="MGP208"/>
      <c r="MGQ208"/>
      <c r="MGR208"/>
      <c r="MGS208"/>
      <c r="MGT208"/>
      <c r="MGU208"/>
      <c r="MGV208"/>
      <c r="MGW208"/>
      <c r="MGX208"/>
      <c r="MGY208"/>
      <c r="MGZ208"/>
      <c r="MHA208"/>
      <c r="MHB208"/>
      <c r="MHC208"/>
      <c r="MHD208"/>
      <c r="MHE208"/>
      <c r="MHF208"/>
      <c r="MHG208"/>
      <c r="MHH208"/>
      <c r="MHI208"/>
      <c r="MHJ208"/>
      <c r="MHK208"/>
      <c r="MHL208"/>
      <c r="MHM208"/>
      <c r="MHN208"/>
      <c r="MHO208"/>
      <c r="MHP208"/>
      <c r="MHQ208"/>
      <c r="MHR208"/>
      <c r="MHS208"/>
      <c r="MHT208"/>
      <c r="MHU208"/>
      <c r="MHV208"/>
      <c r="MHW208"/>
      <c r="MHX208"/>
      <c r="MHY208"/>
      <c r="MHZ208"/>
      <c r="MIA208"/>
      <c r="MIB208"/>
      <c r="MIC208"/>
      <c r="MID208"/>
      <c r="MIE208"/>
      <c r="MIF208"/>
      <c r="MIG208"/>
      <c r="MIH208"/>
      <c r="MII208"/>
      <c r="MIJ208"/>
      <c r="MIK208"/>
      <c r="MIL208"/>
      <c r="MIM208"/>
      <c r="MIN208"/>
      <c r="MIO208"/>
      <c r="MIP208"/>
      <c r="MIQ208"/>
      <c r="MIR208"/>
      <c r="MIS208"/>
      <c r="MIT208"/>
      <c r="MIU208"/>
      <c r="MIV208"/>
      <c r="MIW208"/>
      <c r="MIX208"/>
      <c r="MIY208"/>
      <c r="MIZ208"/>
      <c r="MJA208"/>
      <c r="MJB208"/>
      <c r="MJC208"/>
      <c r="MJD208"/>
      <c r="MJE208"/>
      <c r="MJF208"/>
      <c r="MJG208"/>
      <c r="MJH208"/>
      <c r="MJI208"/>
      <c r="MJJ208"/>
      <c r="MJK208"/>
      <c r="MJL208"/>
      <c r="MJM208"/>
      <c r="MJN208"/>
      <c r="MJO208"/>
      <c r="MJP208"/>
      <c r="MJQ208"/>
      <c r="MJR208"/>
      <c r="MJS208"/>
      <c r="MJT208"/>
      <c r="MJU208"/>
      <c r="MJV208"/>
      <c r="MJW208"/>
      <c r="MJX208"/>
      <c r="MJY208"/>
      <c r="MJZ208"/>
      <c r="MKA208"/>
      <c r="MKB208"/>
      <c r="MKC208"/>
      <c r="MKD208"/>
      <c r="MKE208"/>
      <c r="MKF208"/>
      <c r="MKG208"/>
      <c r="MKH208"/>
      <c r="MKI208"/>
      <c r="MKJ208"/>
      <c r="MKK208"/>
      <c r="MKL208"/>
      <c r="MKM208"/>
      <c r="MKN208"/>
      <c r="MKO208"/>
      <c r="MKP208"/>
      <c r="MKQ208"/>
      <c r="MKR208"/>
      <c r="MKS208"/>
      <c r="MKT208"/>
      <c r="MKU208"/>
      <c r="MKV208"/>
      <c r="MKW208"/>
      <c r="MKX208"/>
      <c r="MKY208"/>
      <c r="MKZ208"/>
      <c r="MLA208"/>
      <c r="MLB208"/>
      <c r="MLC208"/>
      <c r="MLD208"/>
      <c r="MLE208"/>
      <c r="MLF208"/>
      <c r="MLG208"/>
      <c r="MLH208"/>
      <c r="MLI208"/>
      <c r="MLJ208"/>
      <c r="MLK208"/>
      <c r="MLL208"/>
      <c r="MLM208"/>
      <c r="MLN208"/>
      <c r="MLO208"/>
      <c r="MLP208"/>
      <c r="MLQ208"/>
      <c r="MLR208"/>
      <c r="MLS208"/>
      <c r="MLT208"/>
      <c r="MLU208"/>
      <c r="MLV208"/>
      <c r="MLW208"/>
      <c r="MLX208"/>
      <c r="MLY208"/>
      <c r="MLZ208"/>
      <c r="MMA208"/>
      <c r="MMB208"/>
      <c r="MMC208"/>
      <c r="MMD208"/>
      <c r="MME208"/>
      <c r="MMF208"/>
      <c r="MMG208"/>
      <c r="MMH208"/>
      <c r="MMI208"/>
      <c r="MMJ208"/>
      <c r="MMK208"/>
      <c r="MML208"/>
      <c r="MMM208"/>
      <c r="MMN208"/>
      <c r="MMO208"/>
      <c r="MMP208"/>
      <c r="MMQ208"/>
      <c r="MMR208"/>
      <c r="MMS208"/>
      <c r="MMT208"/>
      <c r="MMU208"/>
      <c r="MMV208"/>
      <c r="MMW208"/>
      <c r="MMX208"/>
      <c r="MMY208"/>
      <c r="MMZ208"/>
      <c r="MNA208"/>
      <c r="MNB208"/>
      <c r="MNC208"/>
      <c r="MND208"/>
      <c r="MNE208"/>
      <c r="MNF208"/>
      <c r="MNG208"/>
      <c r="MNH208"/>
      <c r="MNI208"/>
      <c r="MNJ208"/>
      <c r="MNK208"/>
      <c r="MNL208"/>
      <c r="MNM208"/>
      <c r="MNN208"/>
      <c r="MNO208"/>
      <c r="MNP208"/>
      <c r="MNQ208"/>
      <c r="MNR208"/>
      <c r="MNS208"/>
      <c r="MNT208"/>
      <c r="MNU208"/>
      <c r="MNV208"/>
      <c r="MNW208"/>
      <c r="MNX208"/>
      <c r="MNY208"/>
      <c r="MNZ208"/>
      <c r="MOA208"/>
      <c r="MOB208"/>
      <c r="MOC208"/>
      <c r="MOD208"/>
      <c r="MOE208"/>
      <c r="MOF208"/>
      <c r="MOG208"/>
      <c r="MOH208"/>
      <c r="MOI208"/>
      <c r="MOJ208"/>
      <c r="MOK208"/>
      <c r="MOL208"/>
      <c r="MOM208"/>
      <c r="MON208"/>
      <c r="MOO208"/>
      <c r="MOP208"/>
      <c r="MOQ208"/>
      <c r="MOR208"/>
      <c r="MOS208"/>
      <c r="MOT208"/>
      <c r="MOU208"/>
      <c r="MOV208"/>
      <c r="MOW208"/>
      <c r="MOX208"/>
      <c r="MOY208"/>
      <c r="MOZ208"/>
      <c r="MPA208"/>
      <c r="MPB208"/>
      <c r="MPC208"/>
      <c r="MPD208"/>
      <c r="MPE208"/>
      <c r="MPF208"/>
      <c r="MPG208"/>
      <c r="MPH208"/>
      <c r="MPI208"/>
      <c r="MPJ208"/>
      <c r="MPK208"/>
      <c r="MPL208"/>
      <c r="MPM208"/>
      <c r="MPN208"/>
      <c r="MPO208"/>
      <c r="MPP208"/>
      <c r="MPQ208"/>
      <c r="MPR208"/>
      <c r="MPS208"/>
      <c r="MPT208"/>
      <c r="MPU208"/>
      <c r="MPV208"/>
      <c r="MPW208"/>
      <c r="MPX208"/>
      <c r="MPY208"/>
      <c r="MPZ208"/>
      <c r="MQA208"/>
      <c r="MQB208"/>
      <c r="MQC208"/>
      <c r="MQD208"/>
      <c r="MQE208"/>
      <c r="MQF208"/>
      <c r="MQG208"/>
      <c r="MQH208"/>
      <c r="MQI208"/>
      <c r="MQJ208"/>
      <c r="MQK208"/>
      <c r="MQL208"/>
      <c r="MQM208"/>
      <c r="MQN208"/>
      <c r="MQO208"/>
      <c r="MQP208"/>
      <c r="MQQ208"/>
      <c r="MQR208"/>
      <c r="MQS208"/>
      <c r="MQT208"/>
      <c r="MQU208"/>
      <c r="MQV208"/>
      <c r="MQW208"/>
      <c r="MQX208"/>
      <c r="MQY208"/>
      <c r="MQZ208"/>
      <c r="MRA208"/>
      <c r="MRB208"/>
      <c r="MRC208"/>
      <c r="MRD208"/>
      <c r="MRE208"/>
      <c r="MRF208"/>
      <c r="MRG208"/>
      <c r="MRH208"/>
      <c r="MRI208"/>
      <c r="MRJ208"/>
      <c r="MRK208"/>
      <c r="MRL208"/>
      <c r="MRM208"/>
      <c r="MRN208"/>
      <c r="MRO208"/>
      <c r="MRP208"/>
      <c r="MRQ208"/>
      <c r="MRR208"/>
      <c r="MRS208"/>
      <c r="MRT208"/>
      <c r="MRU208"/>
      <c r="MRV208"/>
      <c r="MRW208"/>
      <c r="MRX208"/>
      <c r="MRY208"/>
      <c r="MRZ208"/>
      <c r="MSA208"/>
      <c r="MSB208"/>
      <c r="MSC208"/>
      <c r="MSD208"/>
      <c r="MSE208"/>
      <c r="MSF208"/>
      <c r="MSG208"/>
      <c r="MSH208"/>
      <c r="MSI208"/>
      <c r="MSJ208"/>
      <c r="MSK208"/>
      <c r="MSL208"/>
      <c r="MSM208"/>
      <c r="MSN208"/>
      <c r="MSO208"/>
      <c r="MSP208"/>
      <c r="MSQ208"/>
      <c r="MSR208"/>
      <c r="MSS208"/>
      <c r="MST208"/>
      <c r="MSU208"/>
      <c r="MSV208"/>
      <c r="MSW208"/>
      <c r="MSX208"/>
      <c r="MSY208"/>
      <c r="MSZ208"/>
      <c r="MTA208"/>
      <c r="MTB208"/>
      <c r="MTC208"/>
      <c r="MTD208"/>
      <c r="MTE208"/>
      <c r="MTF208"/>
      <c r="MTG208"/>
      <c r="MTH208"/>
      <c r="MTI208"/>
      <c r="MTJ208"/>
      <c r="MTK208"/>
      <c r="MTL208"/>
      <c r="MTM208"/>
      <c r="MTN208"/>
      <c r="MTO208"/>
      <c r="MTP208"/>
      <c r="MTQ208"/>
      <c r="MTR208"/>
      <c r="MTS208"/>
      <c r="MTT208"/>
      <c r="MTU208"/>
      <c r="MTV208"/>
      <c r="MTW208"/>
      <c r="MTX208"/>
      <c r="MTY208"/>
      <c r="MTZ208"/>
      <c r="MUA208"/>
      <c r="MUB208"/>
      <c r="MUC208"/>
      <c r="MUD208"/>
      <c r="MUE208"/>
      <c r="MUF208"/>
      <c r="MUG208"/>
      <c r="MUH208"/>
      <c r="MUI208"/>
      <c r="MUJ208"/>
      <c r="MUK208"/>
      <c r="MUL208"/>
      <c r="MUM208"/>
      <c r="MUN208"/>
      <c r="MUO208"/>
      <c r="MUP208"/>
      <c r="MUQ208"/>
      <c r="MUR208"/>
      <c r="MUS208"/>
      <c r="MUT208"/>
      <c r="MUU208"/>
      <c r="MUV208"/>
      <c r="MUW208"/>
      <c r="MUX208"/>
      <c r="MUY208"/>
      <c r="MUZ208"/>
      <c r="MVA208"/>
      <c r="MVB208"/>
      <c r="MVC208"/>
      <c r="MVD208"/>
      <c r="MVE208"/>
      <c r="MVF208"/>
      <c r="MVG208"/>
      <c r="MVH208"/>
      <c r="MVI208"/>
      <c r="MVJ208"/>
      <c r="MVK208"/>
      <c r="MVL208"/>
      <c r="MVM208"/>
      <c r="MVN208"/>
      <c r="MVO208"/>
      <c r="MVP208"/>
      <c r="MVQ208"/>
      <c r="MVR208"/>
      <c r="MVS208"/>
      <c r="MVT208"/>
      <c r="MVU208"/>
      <c r="MVV208"/>
      <c r="MVW208"/>
      <c r="MVX208"/>
      <c r="MVY208"/>
      <c r="MVZ208"/>
      <c r="MWA208"/>
      <c r="MWB208"/>
      <c r="MWC208"/>
      <c r="MWD208"/>
      <c r="MWE208"/>
      <c r="MWF208"/>
      <c r="MWG208"/>
      <c r="MWH208"/>
      <c r="MWI208"/>
      <c r="MWJ208"/>
      <c r="MWK208"/>
      <c r="MWL208"/>
      <c r="MWM208"/>
      <c r="MWN208"/>
      <c r="MWO208"/>
      <c r="MWP208"/>
      <c r="MWQ208"/>
      <c r="MWR208"/>
      <c r="MWS208"/>
      <c r="MWT208"/>
      <c r="MWU208"/>
      <c r="MWV208"/>
      <c r="MWW208"/>
      <c r="MWX208"/>
      <c r="MWY208"/>
      <c r="MWZ208"/>
      <c r="MXA208"/>
      <c r="MXB208"/>
      <c r="MXC208"/>
      <c r="MXD208"/>
      <c r="MXE208"/>
      <c r="MXF208"/>
      <c r="MXG208"/>
      <c r="MXH208"/>
      <c r="MXI208"/>
      <c r="MXJ208"/>
      <c r="MXK208"/>
      <c r="MXL208"/>
      <c r="MXM208"/>
      <c r="MXN208"/>
      <c r="MXO208"/>
      <c r="MXP208"/>
      <c r="MXQ208"/>
      <c r="MXR208"/>
      <c r="MXS208"/>
      <c r="MXT208"/>
      <c r="MXU208"/>
      <c r="MXV208"/>
      <c r="MXW208"/>
      <c r="MXX208"/>
      <c r="MXY208"/>
      <c r="MXZ208"/>
      <c r="MYA208"/>
      <c r="MYB208"/>
      <c r="MYC208"/>
      <c r="MYD208"/>
      <c r="MYE208"/>
      <c r="MYF208"/>
      <c r="MYG208"/>
      <c r="MYH208"/>
      <c r="MYI208"/>
      <c r="MYJ208"/>
      <c r="MYK208"/>
      <c r="MYL208"/>
      <c r="MYM208"/>
      <c r="MYN208"/>
      <c r="MYO208"/>
      <c r="MYP208"/>
      <c r="MYQ208"/>
      <c r="MYR208"/>
      <c r="MYS208"/>
      <c r="MYT208"/>
      <c r="MYU208"/>
      <c r="MYV208"/>
      <c r="MYW208"/>
      <c r="MYX208"/>
      <c r="MYY208"/>
      <c r="MYZ208"/>
      <c r="MZA208"/>
      <c r="MZB208"/>
      <c r="MZC208"/>
      <c r="MZD208"/>
      <c r="MZE208"/>
      <c r="MZF208"/>
      <c r="MZG208"/>
      <c r="MZH208"/>
      <c r="MZI208"/>
      <c r="MZJ208"/>
      <c r="MZK208"/>
      <c r="MZL208"/>
      <c r="MZM208"/>
      <c r="MZN208"/>
      <c r="MZO208"/>
      <c r="MZP208"/>
      <c r="MZQ208"/>
      <c r="MZR208"/>
      <c r="MZS208"/>
      <c r="MZT208"/>
      <c r="MZU208"/>
      <c r="MZV208"/>
      <c r="MZW208"/>
      <c r="MZX208"/>
      <c r="MZY208"/>
      <c r="MZZ208"/>
      <c r="NAA208"/>
      <c r="NAB208"/>
      <c r="NAC208"/>
      <c r="NAD208"/>
      <c r="NAE208"/>
      <c r="NAF208"/>
      <c r="NAG208"/>
      <c r="NAH208"/>
      <c r="NAI208"/>
      <c r="NAJ208"/>
      <c r="NAK208"/>
      <c r="NAL208"/>
      <c r="NAM208"/>
      <c r="NAN208"/>
      <c r="NAO208"/>
      <c r="NAP208"/>
      <c r="NAQ208"/>
      <c r="NAR208"/>
      <c r="NAS208"/>
      <c r="NAT208"/>
      <c r="NAU208"/>
      <c r="NAV208"/>
      <c r="NAW208"/>
      <c r="NAX208"/>
      <c r="NAY208"/>
      <c r="NAZ208"/>
      <c r="NBA208"/>
      <c r="NBB208"/>
      <c r="NBC208"/>
      <c r="NBD208"/>
      <c r="NBE208"/>
      <c r="NBF208"/>
      <c r="NBG208"/>
      <c r="NBH208"/>
      <c r="NBI208"/>
      <c r="NBJ208"/>
      <c r="NBK208"/>
      <c r="NBL208"/>
      <c r="NBM208"/>
      <c r="NBN208"/>
      <c r="NBO208"/>
      <c r="NBP208"/>
      <c r="NBQ208"/>
      <c r="NBR208"/>
      <c r="NBS208"/>
      <c r="NBT208"/>
      <c r="NBU208"/>
      <c r="NBV208"/>
      <c r="NBW208"/>
      <c r="NBX208"/>
      <c r="NBY208"/>
      <c r="NBZ208"/>
      <c r="NCA208"/>
      <c r="NCB208"/>
      <c r="NCC208"/>
      <c r="NCD208"/>
      <c r="NCE208"/>
      <c r="NCF208"/>
      <c r="NCG208"/>
      <c r="NCH208"/>
      <c r="NCI208"/>
      <c r="NCJ208"/>
      <c r="NCK208"/>
      <c r="NCL208"/>
      <c r="NCM208"/>
      <c r="NCN208"/>
      <c r="NCO208"/>
      <c r="NCP208"/>
      <c r="NCQ208"/>
      <c r="NCR208"/>
      <c r="NCS208"/>
      <c r="NCT208"/>
      <c r="NCU208"/>
      <c r="NCV208"/>
      <c r="NCW208"/>
      <c r="NCX208"/>
      <c r="NCY208"/>
      <c r="NCZ208"/>
      <c r="NDA208"/>
      <c r="NDB208"/>
      <c r="NDC208"/>
      <c r="NDD208"/>
      <c r="NDE208"/>
      <c r="NDF208"/>
      <c r="NDG208"/>
      <c r="NDH208"/>
      <c r="NDI208"/>
      <c r="NDJ208"/>
      <c r="NDK208"/>
      <c r="NDL208"/>
      <c r="NDM208"/>
      <c r="NDN208"/>
      <c r="NDO208"/>
      <c r="NDP208"/>
      <c r="NDQ208"/>
      <c r="NDR208"/>
      <c r="NDS208"/>
      <c r="NDT208"/>
      <c r="NDU208"/>
      <c r="NDV208"/>
      <c r="NDW208"/>
      <c r="NDX208"/>
      <c r="NDY208"/>
      <c r="NDZ208"/>
      <c r="NEA208"/>
      <c r="NEB208"/>
      <c r="NEC208"/>
      <c r="NED208"/>
      <c r="NEE208"/>
      <c r="NEF208"/>
      <c r="NEG208"/>
      <c r="NEH208"/>
      <c r="NEI208"/>
      <c r="NEJ208"/>
      <c r="NEK208"/>
      <c r="NEL208"/>
      <c r="NEM208"/>
      <c r="NEN208"/>
      <c r="NEO208"/>
      <c r="NEP208"/>
      <c r="NEQ208"/>
      <c r="NER208"/>
      <c r="NES208"/>
      <c r="NET208"/>
      <c r="NEU208"/>
      <c r="NEV208"/>
      <c r="NEW208"/>
      <c r="NEX208"/>
      <c r="NEY208"/>
      <c r="NEZ208"/>
      <c r="NFA208"/>
      <c r="NFB208"/>
      <c r="NFC208"/>
      <c r="NFD208"/>
      <c r="NFE208"/>
      <c r="NFF208"/>
      <c r="NFG208"/>
      <c r="NFH208"/>
      <c r="NFI208"/>
      <c r="NFJ208"/>
      <c r="NFK208"/>
      <c r="NFL208"/>
      <c r="NFM208"/>
      <c r="NFN208"/>
      <c r="NFO208"/>
      <c r="NFP208"/>
      <c r="NFQ208"/>
      <c r="NFR208"/>
      <c r="NFS208"/>
      <c r="NFT208"/>
      <c r="NFU208"/>
      <c r="NFV208"/>
      <c r="NFW208"/>
      <c r="NFX208"/>
      <c r="NFY208"/>
      <c r="NFZ208"/>
      <c r="NGA208"/>
      <c r="NGB208"/>
      <c r="NGC208"/>
      <c r="NGD208"/>
      <c r="NGE208"/>
      <c r="NGF208"/>
      <c r="NGG208"/>
      <c r="NGH208"/>
      <c r="NGI208"/>
      <c r="NGJ208"/>
      <c r="NGK208"/>
      <c r="NGL208"/>
      <c r="NGM208"/>
      <c r="NGN208"/>
      <c r="NGO208"/>
      <c r="NGP208"/>
      <c r="NGQ208"/>
      <c r="NGR208"/>
      <c r="NGS208"/>
      <c r="NGT208"/>
      <c r="NGU208"/>
      <c r="NGV208"/>
      <c r="NGW208"/>
      <c r="NGX208"/>
      <c r="NGY208"/>
      <c r="NGZ208"/>
      <c r="NHA208"/>
      <c r="NHB208"/>
      <c r="NHC208"/>
      <c r="NHD208"/>
      <c r="NHE208"/>
      <c r="NHF208"/>
      <c r="NHG208"/>
      <c r="NHH208"/>
      <c r="NHI208"/>
      <c r="NHJ208"/>
      <c r="NHK208"/>
      <c r="NHL208"/>
      <c r="NHM208"/>
      <c r="NHN208"/>
      <c r="NHO208"/>
      <c r="NHP208"/>
      <c r="NHQ208"/>
      <c r="NHR208"/>
      <c r="NHS208"/>
      <c r="NHT208"/>
      <c r="NHU208"/>
      <c r="NHV208"/>
      <c r="NHW208"/>
      <c r="NHX208"/>
      <c r="NHY208"/>
      <c r="NHZ208"/>
      <c r="NIA208"/>
      <c r="NIB208"/>
      <c r="NIC208"/>
      <c r="NID208"/>
      <c r="NIE208"/>
      <c r="NIF208"/>
      <c r="NIG208"/>
      <c r="NIH208"/>
      <c r="NII208"/>
      <c r="NIJ208"/>
      <c r="NIK208"/>
      <c r="NIL208"/>
      <c r="NIM208"/>
      <c r="NIN208"/>
      <c r="NIO208"/>
      <c r="NIP208"/>
      <c r="NIQ208"/>
      <c r="NIR208"/>
      <c r="NIS208"/>
      <c r="NIT208"/>
      <c r="NIU208"/>
      <c r="NIV208"/>
      <c r="NIW208"/>
      <c r="NIX208"/>
      <c r="NIY208"/>
      <c r="NIZ208"/>
      <c r="NJA208"/>
      <c r="NJB208"/>
      <c r="NJC208"/>
      <c r="NJD208"/>
      <c r="NJE208"/>
      <c r="NJF208"/>
      <c r="NJG208"/>
      <c r="NJH208"/>
      <c r="NJI208"/>
      <c r="NJJ208"/>
      <c r="NJK208"/>
      <c r="NJL208"/>
      <c r="NJM208"/>
      <c r="NJN208"/>
      <c r="NJO208"/>
      <c r="NJP208"/>
      <c r="NJQ208"/>
      <c r="NJR208"/>
      <c r="NJS208"/>
      <c r="NJT208"/>
      <c r="NJU208"/>
      <c r="NJV208"/>
      <c r="NJW208"/>
      <c r="NJX208"/>
      <c r="NJY208"/>
      <c r="NJZ208"/>
      <c r="NKA208"/>
      <c r="NKB208"/>
      <c r="NKC208"/>
      <c r="NKD208"/>
      <c r="NKE208"/>
      <c r="NKF208"/>
      <c r="NKG208"/>
      <c r="NKH208"/>
      <c r="NKI208"/>
      <c r="NKJ208"/>
      <c r="NKK208"/>
      <c r="NKL208"/>
      <c r="NKM208"/>
      <c r="NKN208"/>
      <c r="NKO208"/>
      <c r="NKP208"/>
      <c r="NKQ208"/>
      <c r="NKR208"/>
      <c r="NKS208"/>
      <c r="NKT208"/>
      <c r="NKU208"/>
      <c r="NKV208"/>
      <c r="NKW208"/>
      <c r="NKX208"/>
      <c r="NKY208"/>
      <c r="NKZ208"/>
      <c r="NLA208"/>
      <c r="NLB208"/>
      <c r="NLC208"/>
      <c r="NLD208"/>
      <c r="NLE208"/>
      <c r="NLF208"/>
      <c r="NLG208"/>
      <c r="NLH208"/>
      <c r="NLI208"/>
      <c r="NLJ208"/>
      <c r="NLK208"/>
      <c r="NLL208"/>
      <c r="NLM208"/>
      <c r="NLN208"/>
      <c r="NLO208"/>
      <c r="NLP208"/>
      <c r="NLQ208"/>
      <c r="NLR208"/>
      <c r="NLS208"/>
      <c r="NLT208"/>
      <c r="NLU208"/>
      <c r="NLV208"/>
      <c r="NLW208"/>
      <c r="NLX208"/>
      <c r="NLY208"/>
      <c r="NLZ208"/>
      <c r="NMA208"/>
      <c r="NMB208"/>
      <c r="NMC208"/>
      <c r="NMD208"/>
      <c r="NME208"/>
      <c r="NMF208"/>
      <c r="NMG208"/>
      <c r="NMH208"/>
      <c r="NMI208"/>
      <c r="NMJ208"/>
      <c r="NMK208"/>
      <c r="NML208"/>
      <c r="NMM208"/>
      <c r="NMN208"/>
      <c r="NMO208"/>
      <c r="NMP208"/>
      <c r="NMQ208"/>
      <c r="NMR208"/>
      <c r="NMS208"/>
      <c r="NMT208"/>
      <c r="NMU208"/>
      <c r="NMV208"/>
      <c r="NMW208"/>
      <c r="NMX208"/>
      <c r="NMY208"/>
      <c r="NMZ208"/>
      <c r="NNA208"/>
      <c r="NNB208"/>
      <c r="NNC208"/>
      <c r="NND208"/>
      <c r="NNE208"/>
      <c r="NNF208"/>
      <c r="NNG208"/>
      <c r="NNH208"/>
      <c r="NNI208"/>
      <c r="NNJ208"/>
      <c r="NNK208"/>
      <c r="NNL208"/>
      <c r="NNM208"/>
      <c r="NNN208"/>
      <c r="NNO208"/>
      <c r="NNP208"/>
      <c r="NNQ208"/>
      <c r="NNR208"/>
      <c r="NNS208"/>
      <c r="NNT208"/>
      <c r="NNU208"/>
      <c r="NNV208"/>
      <c r="NNW208"/>
      <c r="NNX208"/>
      <c r="NNY208"/>
      <c r="NNZ208"/>
      <c r="NOA208"/>
      <c r="NOB208"/>
      <c r="NOC208"/>
      <c r="NOD208"/>
      <c r="NOE208"/>
      <c r="NOF208"/>
      <c r="NOG208"/>
      <c r="NOH208"/>
      <c r="NOI208"/>
      <c r="NOJ208"/>
      <c r="NOK208"/>
      <c r="NOL208"/>
      <c r="NOM208"/>
      <c r="NON208"/>
      <c r="NOO208"/>
      <c r="NOP208"/>
      <c r="NOQ208"/>
      <c r="NOR208"/>
      <c r="NOS208"/>
      <c r="NOT208"/>
      <c r="NOU208"/>
      <c r="NOV208"/>
      <c r="NOW208"/>
      <c r="NOX208"/>
      <c r="NOY208"/>
      <c r="NOZ208"/>
      <c r="NPA208"/>
      <c r="NPB208"/>
      <c r="NPC208"/>
      <c r="NPD208"/>
      <c r="NPE208"/>
      <c r="NPF208"/>
      <c r="NPG208"/>
      <c r="NPH208"/>
      <c r="NPI208"/>
      <c r="NPJ208"/>
      <c r="NPK208"/>
      <c r="NPL208"/>
      <c r="NPM208"/>
      <c r="NPN208"/>
      <c r="NPO208"/>
      <c r="NPP208"/>
      <c r="NPQ208"/>
      <c r="NPR208"/>
      <c r="NPS208"/>
      <c r="NPT208"/>
      <c r="NPU208"/>
      <c r="NPV208"/>
      <c r="NPW208"/>
      <c r="NPX208"/>
      <c r="NPY208"/>
      <c r="NPZ208"/>
      <c r="NQA208"/>
      <c r="NQB208"/>
      <c r="NQC208"/>
      <c r="NQD208"/>
      <c r="NQE208"/>
      <c r="NQF208"/>
      <c r="NQG208"/>
      <c r="NQH208"/>
      <c r="NQI208"/>
      <c r="NQJ208"/>
      <c r="NQK208"/>
      <c r="NQL208"/>
      <c r="NQM208"/>
      <c r="NQN208"/>
      <c r="NQO208"/>
      <c r="NQP208"/>
      <c r="NQQ208"/>
      <c r="NQR208"/>
      <c r="NQS208"/>
      <c r="NQT208"/>
      <c r="NQU208"/>
      <c r="NQV208"/>
      <c r="NQW208"/>
      <c r="NQX208"/>
      <c r="NQY208"/>
      <c r="NQZ208"/>
      <c r="NRA208"/>
      <c r="NRB208"/>
      <c r="NRC208"/>
      <c r="NRD208"/>
      <c r="NRE208"/>
      <c r="NRF208"/>
      <c r="NRG208"/>
      <c r="NRH208"/>
      <c r="NRI208"/>
      <c r="NRJ208"/>
      <c r="NRK208"/>
      <c r="NRL208"/>
      <c r="NRM208"/>
      <c r="NRN208"/>
      <c r="NRO208"/>
      <c r="NRP208"/>
      <c r="NRQ208"/>
      <c r="NRR208"/>
      <c r="NRS208"/>
      <c r="NRT208"/>
      <c r="NRU208"/>
      <c r="NRV208"/>
      <c r="NRW208"/>
      <c r="NRX208"/>
      <c r="NRY208"/>
      <c r="NRZ208"/>
      <c r="NSA208"/>
      <c r="NSB208"/>
      <c r="NSC208"/>
      <c r="NSD208"/>
      <c r="NSE208"/>
      <c r="NSF208"/>
      <c r="NSG208"/>
      <c r="NSH208"/>
      <c r="NSI208"/>
      <c r="NSJ208"/>
      <c r="NSK208"/>
      <c r="NSL208"/>
      <c r="NSM208"/>
      <c r="NSN208"/>
      <c r="NSO208"/>
      <c r="NSP208"/>
      <c r="NSQ208"/>
      <c r="NSR208"/>
      <c r="NSS208"/>
      <c r="NST208"/>
      <c r="NSU208"/>
      <c r="NSV208"/>
      <c r="NSW208"/>
      <c r="NSX208"/>
      <c r="NSY208"/>
      <c r="NSZ208"/>
      <c r="NTA208"/>
      <c r="NTB208"/>
      <c r="NTC208"/>
      <c r="NTD208"/>
      <c r="NTE208"/>
      <c r="NTF208"/>
      <c r="NTG208"/>
      <c r="NTH208"/>
      <c r="NTI208"/>
      <c r="NTJ208"/>
      <c r="NTK208"/>
      <c r="NTL208"/>
      <c r="NTM208"/>
      <c r="NTN208"/>
      <c r="NTO208"/>
      <c r="NTP208"/>
      <c r="NTQ208"/>
      <c r="NTR208"/>
      <c r="NTS208"/>
      <c r="NTT208"/>
      <c r="NTU208"/>
      <c r="NTV208"/>
      <c r="NTW208"/>
      <c r="NTX208"/>
      <c r="NTY208"/>
      <c r="NTZ208"/>
      <c r="NUA208"/>
      <c r="NUB208"/>
      <c r="NUC208"/>
      <c r="NUD208"/>
      <c r="NUE208"/>
      <c r="NUF208"/>
      <c r="NUG208"/>
      <c r="NUH208"/>
      <c r="NUI208"/>
      <c r="NUJ208"/>
      <c r="NUK208"/>
      <c r="NUL208"/>
      <c r="NUM208"/>
      <c r="NUN208"/>
      <c r="NUO208"/>
      <c r="NUP208"/>
      <c r="NUQ208"/>
      <c r="NUR208"/>
      <c r="NUS208"/>
      <c r="NUT208"/>
      <c r="NUU208"/>
      <c r="NUV208"/>
      <c r="NUW208"/>
      <c r="NUX208"/>
      <c r="NUY208"/>
      <c r="NUZ208"/>
      <c r="NVA208"/>
      <c r="NVB208"/>
      <c r="NVC208"/>
      <c r="NVD208"/>
      <c r="NVE208"/>
      <c r="NVF208"/>
      <c r="NVG208"/>
      <c r="NVH208"/>
      <c r="NVI208"/>
      <c r="NVJ208"/>
      <c r="NVK208"/>
      <c r="NVL208"/>
      <c r="NVM208"/>
      <c r="NVN208"/>
      <c r="NVO208"/>
      <c r="NVP208"/>
      <c r="NVQ208"/>
      <c r="NVR208"/>
      <c r="NVS208"/>
      <c r="NVT208"/>
      <c r="NVU208"/>
      <c r="NVV208"/>
      <c r="NVW208"/>
      <c r="NVX208"/>
      <c r="NVY208"/>
      <c r="NVZ208"/>
      <c r="NWA208"/>
      <c r="NWB208"/>
      <c r="NWC208"/>
      <c r="NWD208"/>
      <c r="NWE208"/>
      <c r="NWF208"/>
      <c r="NWG208"/>
      <c r="NWH208"/>
      <c r="NWI208"/>
      <c r="NWJ208"/>
      <c r="NWK208"/>
      <c r="NWL208"/>
      <c r="NWM208"/>
      <c r="NWN208"/>
      <c r="NWO208"/>
      <c r="NWP208"/>
      <c r="NWQ208"/>
      <c r="NWR208"/>
      <c r="NWS208"/>
      <c r="NWT208"/>
      <c r="NWU208"/>
      <c r="NWV208"/>
      <c r="NWW208"/>
      <c r="NWX208"/>
      <c r="NWY208"/>
      <c r="NWZ208"/>
      <c r="NXA208"/>
      <c r="NXB208"/>
      <c r="NXC208"/>
      <c r="NXD208"/>
      <c r="NXE208"/>
      <c r="NXF208"/>
      <c r="NXG208"/>
      <c r="NXH208"/>
      <c r="NXI208"/>
      <c r="NXJ208"/>
      <c r="NXK208"/>
      <c r="NXL208"/>
      <c r="NXM208"/>
      <c r="NXN208"/>
      <c r="NXO208"/>
      <c r="NXP208"/>
      <c r="NXQ208"/>
      <c r="NXR208"/>
      <c r="NXS208"/>
      <c r="NXT208"/>
      <c r="NXU208"/>
      <c r="NXV208"/>
      <c r="NXW208"/>
      <c r="NXX208"/>
      <c r="NXY208"/>
      <c r="NXZ208"/>
      <c r="NYA208"/>
      <c r="NYB208"/>
      <c r="NYC208"/>
      <c r="NYD208"/>
      <c r="NYE208"/>
      <c r="NYF208"/>
      <c r="NYG208"/>
      <c r="NYH208"/>
      <c r="NYI208"/>
      <c r="NYJ208"/>
      <c r="NYK208"/>
      <c r="NYL208"/>
      <c r="NYM208"/>
      <c r="NYN208"/>
      <c r="NYO208"/>
      <c r="NYP208"/>
      <c r="NYQ208"/>
      <c r="NYR208"/>
      <c r="NYS208"/>
      <c r="NYT208"/>
      <c r="NYU208"/>
      <c r="NYV208"/>
      <c r="NYW208"/>
      <c r="NYX208"/>
      <c r="NYY208"/>
      <c r="NYZ208"/>
      <c r="NZA208"/>
      <c r="NZB208"/>
      <c r="NZC208"/>
      <c r="NZD208"/>
      <c r="NZE208"/>
      <c r="NZF208"/>
      <c r="NZG208"/>
      <c r="NZH208"/>
      <c r="NZI208"/>
      <c r="NZJ208"/>
      <c r="NZK208"/>
      <c r="NZL208"/>
      <c r="NZM208"/>
      <c r="NZN208"/>
      <c r="NZO208"/>
      <c r="NZP208"/>
      <c r="NZQ208"/>
      <c r="NZR208"/>
      <c r="NZS208"/>
      <c r="NZT208"/>
      <c r="NZU208"/>
      <c r="NZV208"/>
      <c r="NZW208"/>
      <c r="NZX208"/>
      <c r="NZY208"/>
      <c r="NZZ208"/>
      <c r="OAA208"/>
      <c r="OAB208"/>
      <c r="OAC208"/>
      <c r="OAD208"/>
      <c r="OAE208"/>
      <c r="OAF208"/>
      <c r="OAG208"/>
      <c r="OAH208"/>
      <c r="OAI208"/>
      <c r="OAJ208"/>
      <c r="OAK208"/>
      <c r="OAL208"/>
      <c r="OAM208"/>
      <c r="OAN208"/>
      <c r="OAO208"/>
      <c r="OAP208"/>
      <c r="OAQ208"/>
      <c r="OAR208"/>
      <c r="OAS208"/>
      <c r="OAT208"/>
      <c r="OAU208"/>
      <c r="OAV208"/>
      <c r="OAW208"/>
      <c r="OAX208"/>
      <c r="OAY208"/>
      <c r="OAZ208"/>
      <c r="OBA208"/>
      <c r="OBB208"/>
      <c r="OBC208"/>
      <c r="OBD208"/>
      <c r="OBE208"/>
      <c r="OBF208"/>
      <c r="OBG208"/>
      <c r="OBH208"/>
      <c r="OBI208"/>
      <c r="OBJ208"/>
      <c r="OBK208"/>
      <c r="OBL208"/>
      <c r="OBM208"/>
      <c r="OBN208"/>
      <c r="OBO208"/>
      <c r="OBP208"/>
      <c r="OBQ208"/>
      <c r="OBR208"/>
      <c r="OBS208"/>
      <c r="OBT208"/>
      <c r="OBU208"/>
      <c r="OBV208"/>
      <c r="OBW208"/>
      <c r="OBX208"/>
      <c r="OBY208"/>
      <c r="OBZ208"/>
      <c r="OCA208"/>
      <c r="OCB208"/>
      <c r="OCC208"/>
      <c r="OCD208"/>
      <c r="OCE208"/>
      <c r="OCF208"/>
      <c r="OCG208"/>
      <c r="OCH208"/>
      <c r="OCI208"/>
      <c r="OCJ208"/>
      <c r="OCK208"/>
      <c r="OCL208"/>
      <c r="OCM208"/>
      <c r="OCN208"/>
      <c r="OCO208"/>
      <c r="OCP208"/>
      <c r="OCQ208"/>
      <c r="OCR208"/>
      <c r="OCS208"/>
      <c r="OCT208"/>
      <c r="OCU208"/>
      <c r="OCV208"/>
      <c r="OCW208"/>
      <c r="OCX208"/>
      <c r="OCY208"/>
      <c r="OCZ208"/>
      <c r="ODA208"/>
      <c r="ODB208"/>
      <c r="ODC208"/>
      <c r="ODD208"/>
      <c r="ODE208"/>
      <c r="ODF208"/>
      <c r="ODG208"/>
      <c r="ODH208"/>
      <c r="ODI208"/>
      <c r="ODJ208"/>
      <c r="ODK208"/>
      <c r="ODL208"/>
      <c r="ODM208"/>
      <c r="ODN208"/>
      <c r="ODO208"/>
      <c r="ODP208"/>
      <c r="ODQ208"/>
      <c r="ODR208"/>
      <c r="ODS208"/>
      <c r="ODT208"/>
      <c r="ODU208"/>
      <c r="ODV208"/>
      <c r="ODW208"/>
      <c r="ODX208"/>
      <c r="ODY208"/>
      <c r="ODZ208"/>
      <c r="OEA208"/>
      <c r="OEB208"/>
      <c r="OEC208"/>
      <c r="OED208"/>
      <c r="OEE208"/>
      <c r="OEF208"/>
      <c r="OEG208"/>
      <c r="OEH208"/>
      <c r="OEI208"/>
      <c r="OEJ208"/>
      <c r="OEK208"/>
      <c r="OEL208"/>
      <c r="OEM208"/>
      <c r="OEN208"/>
      <c r="OEO208"/>
      <c r="OEP208"/>
      <c r="OEQ208"/>
      <c r="OER208"/>
      <c r="OES208"/>
      <c r="OET208"/>
      <c r="OEU208"/>
      <c r="OEV208"/>
      <c r="OEW208"/>
      <c r="OEX208"/>
      <c r="OEY208"/>
      <c r="OEZ208"/>
      <c r="OFA208"/>
      <c r="OFB208"/>
      <c r="OFC208"/>
      <c r="OFD208"/>
      <c r="OFE208"/>
      <c r="OFF208"/>
      <c r="OFG208"/>
      <c r="OFH208"/>
      <c r="OFI208"/>
      <c r="OFJ208"/>
      <c r="OFK208"/>
      <c r="OFL208"/>
      <c r="OFM208"/>
      <c r="OFN208"/>
      <c r="OFO208"/>
      <c r="OFP208"/>
      <c r="OFQ208"/>
      <c r="OFR208"/>
      <c r="OFS208"/>
      <c r="OFT208"/>
      <c r="OFU208"/>
      <c r="OFV208"/>
      <c r="OFW208"/>
      <c r="OFX208"/>
      <c r="OFY208"/>
      <c r="OFZ208"/>
      <c r="OGA208"/>
      <c r="OGB208"/>
      <c r="OGC208"/>
      <c r="OGD208"/>
      <c r="OGE208"/>
      <c r="OGF208"/>
      <c r="OGG208"/>
      <c r="OGH208"/>
      <c r="OGI208"/>
      <c r="OGJ208"/>
      <c r="OGK208"/>
      <c r="OGL208"/>
      <c r="OGM208"/>
      <c r="OGN208"/>
      <c r="OGO208"/>
      <c r="OGP208"/>
      <c r="OGQ208"/>
      <c r="OGR208"/>
      <c r="OGS208"/>
      <c r="OGT208"/>
      <c r="OGU208"/>
      <c r="OGV208"/>
      <c r="OGW208"/>
      <c r="OGX208"/>
      <c r="OGY208"/>
      <c r="OGZ208"/>
      <c r="OHA208"/>
      <c r="OHB208"/>
      <c r="OHC208"/>
      <c r="OHD208"/>
      <c r="OHE208"/>
      <c r="OHF208"/>
      <c r="OHG208"/>
      <c r="OHH208"/>
      <c r="OHI208"/>
      <c r="OHJ208"/>
      <c r="OHK208"/>
      <c r="OHL208"/>
      <c r="OHM208"/>
      <c r="OHN208"/>
      <c r="OHO208"/>
      <c r="OHP208"/>
      <c r="OHQ208"/>
      <c r="OHR208"/>
      <c r="OHS208"/>
      <c r="OHT208"/>
      <c r="OHU208"/>
      <c r="OHV208"/>
      <c r="OHW208"/>
      <c r="OHX208"/>
      <c r="OHY208"/>
      <c r="OHZ208"/>
      <c r="OIA208"/>
      <c r="OIB208"/>
      <c r="OIC208"/>
      <c r="OID208"/>
      <c r="OIE208"/>
      <c r="OIF208"/>
      <c r="OIG208"/>
      <c r="OIH208"/>
      <c r="OII208"/>
      <c r="OIJ208"/>
      <c r="OIK208"/>
      <c r="OIL208"/>
      <c r="OIM208"/>
      <c r="OIN208"/>
      <c r="OIO208"/>
      <c r="OIP208"/>
      <c r="OIQ208"/>
      <c r="OIR208"/>
      <c r="OIS208"/>
      <c r="OIT208"/>
      <c r="OIU208"/>
      <c r="OIV208"/>
      <c r="OIW208"/>
      <c r="OIX208"/>
      <c r="OIY208"/>
      <c r="OIZ208"/>
      <c r="OJA208"/>
      <c r="OJB208"/>
      <c r="OJC208"/>
      <c r="OJD208"/>
      <c r="OJE208"/>
      <c r="OJF208"/>
      <c r="OJG208"/>
      <c r="OJH208"/>
      <c r="OJI208"/>
      <c r="OJJ208"/>
      <c r="OJK208"/>
      <c r="OJL208"/>
      <c r="OJM208"/>
      <c r="OJN208"/>
      <c r="OJO208"/>
      <c r="OJP208"/>
      <c r="OJQ208"/>
      <c r="OJR208"/>
      <c r="OJS208"/>
      <c r="OJT208"/>
      <c r="OJU208"/>
      <c r="OJV208"/>
      <c r="OJW208"/>
      <c r="OJX208"/>
      <c r="OJY208"/>
      <c r="OJZ208"/>
      <c r="OKA208"/>
      <c r="OKB208"/>
      <c r="OKC208"/>
      <c r="OKD208"/>
      <c r="OKE208"/>
      <c r="OKF208"/>
      <c r="OKG208"/>
      <c r="OKH208"/>
      <c r="OKI208"/>
      <c r="OKJ208"/>
      <c r="OKK208"/>
      <c r="OKL208"/>
      <c r="OKM208"/>
      <c r="OKN208"/>
      <c r="OKO208"/>
      <c r="OKP208"/>
      <c r="OKQ208"/>
      <c r="OKR208"/>
      <c r="OKS208"/>
      <c r="OKT208"/>
      <c r="OKU208"/>
      <c r="OKV208"/>
      <c r="OKW208"/>
      <c r="OKX208"/>
      <c r="OKY208"/>
      <c r="OKZ208"/>
      <c r="OLA208"/>
      <c r="OLB208"/>
      <c r="OLC208"/>
      <c r="OLD208"/>
      <c r="OLE208"/>
      <c r="OLF208"/>
      <c r="OLG208"/>
      <c r="OLH208"/>
      <c r="OLI208"/>
      <c r="OLJ208"/>
      <c r="OLK208"/>
      <c r="OLL208"/>
      <c r="OLM208"/>
      <c r="OLN208"/>
      <c r="OLO208"/>
      <c r="OLP208"/>
      <c r="OLQ208"/>
      <c r="OLR208"/>
      <c r="OLS208"/>
      <c r="OLT208"/>
      <c r="OLU208"/>
      <c r="OLV208"/>
      <c r="OLW208"/>
      <c r="OLX208"/>
      <c r="OLY208"/>
      <c r="OLZ208"/>
      <c r="OMA208"/>
      <c r="OMB208"/>
      <c r="OMC208"/>
      <c r="OMD208"/>
      <c r="OME208"/>
      <c r="OMF208"/>
      <c r="OMG208"/>
      <c r="OMH208"/>
      <c r="OMI208"/>
      <c r="OMJ208"/>
      <c r="OMK208"/>
      <c r="OML208"/>
      <c r="OMM208"/>
      <c r="OMN208"/>
      <c r="OMO208"/>
      <c r="OMP208"/>
      <c r="OMQ208"/>
      <c r="OMR208"/>
      <c r="OMS208"/>
      <c r="OMT208"/>
      <c r="OMU208"/>
      <c r="OMV208"/>
      <c r="OMW208"/>
      <c r="OMX208"/>
      <c r="OMY208"/>
      <c r="OMZ208"/>
      <c r="ONA208"/>
      <c r="ONB208"/>
      <c r="ONC208"/>
      <c r="OND208"/>
      <c r="ONE208"/>
      <c r="ONF208"/>
      <c r="ONG208"/>
      <c r="ONH208"/>
      <c r="ONI208"/>
      <c r="ONJ208"/>
      <c r="ONK208"/>
      <c r="ONL208"/>
      <c r="ONM208"/>
      <c r="ONN208"/>
      <c r="ONO208"/>
      <c r="ONP208"/>
      <c r="ONQ208"/>
      <c r="ONR208"/>
      <c r="ONS208"/>
      <c r="ONT208"/>
      <c r="ONU208"/>
      <c r="ONV208"/>
      <c r="ONW208"/>
      <c r="ONX208"/>
      <c r="ONY208"/>
      <c r="ONZ208"/>
      <c r="OOA208"/>
      <c r="OOB208"/>
      <c r="OOC208"/>
      <c r="OOD208"/>
      <c r="OOE208"/>
      <c r="OOF208"/>
      <c r="OOG208"/>
      <c r="OOH208"/>
      <c r="OOI208"/>
      <c r="OOJ208"/>
      <c r="OOK208"/>
      <c r="OOL208"/>
      <c r="OOM208"/>
      <c r="OON208"/>
      <c r="OOO208"/>
      <c r="OOP208"/>
      <c r="OOQ208"/>
      <c r="OOR208"/>
      <c r="OOS208"/>
      <c r="OOT208"/>
      <c r="OOU208"/>
      <c r="OOV208"/>
      <c r="OOW208"/>
      <c r="OOX208"/>
      <c r="OOY208"/>
      <c r="OOZ208"/>
      <c r="OPA208"/>
      <c r="OPB208"/>
      <c r="OPC208"/>
      <c r="OPD208"/>
      <c r="OPE208"/>
      <c r="OPF208"/>
      <c r="OPG208"/>
      <c r="OPH208"/>
      <c r="OPI208"/>
      <c r="OPJ208"/>
      <c r="OPK208"/>
      <c r="OPL208"/>
      <c r="OPM208"/>
      <c r="OPN208"/>
      <c r="OPO208"/>
      <c r="OPP208"/>
      <c r="OPQ208"/>
      <c r="OPR208"/>
      <c r="OPS208"/>
      <c r="OPT208"/>
      <c r="OPU208"/>
      <c r="OPV208"/>
      <c r="OPW208"/>
      <c r="OPX208"/>
      <c r="OPY208"/>
      <c r="OPZ208"/>
      <c r="OQA208"/>
      <c r="OQB208"/>
      <c r="OQC208"/>
      <c r="OQD208"/>
      <c r="OQE208"/>
      <c r="OQF208"/>
      <c r="OQG208"/>
      <c r="OQH208"/>
      <c r="OQI208"/>
      <c r="OQJ208"/>
      <c r="OQK208"/>
      <c r="OQL208"/>
      <c r="OQM208"/>
      <c r="OQN208"/>
      <c r="OQO208"/>
      <c r="OQP208"/>
      <c r="OQQ208"/>
      <c r="OQR208"/>
      <c r="OQS208"/>
      <c r="OQT208"/>
      <c r="OQU208"/>
      <c r="OQV208"/>
      <c r="OQW208"/>
      <c r="OQX208"/>
      <c r="OQY208"/>
      <c r="OQZ208"/>
      <c r="ORA208"/>
      <c r="ORB208"/>
      <c r="ORC208"/>
      <c r="ORD208"/>
      <c r="ORE208"/>
      <c r="ORF208"/>
      <c r="ORG208"/>
      <c r="ORH208"/>
      <c r="ORI208"/>
      <c r="ORJ208"/>
      <c r="ORK208"/>
      <c r="ORL208"/>
      <c r="ORM208"/>
      <c r="ORN208"/>
      <c r="ORO208"/>
      <c r="ORP208"/>
      <c r="ORQ208"/>
      <c r="ORR208"/>
      <c r="ORS208"/>
      <c r="ORT208"/>
      <c r="ORU208"/>
      <c r="ORV208"/>
      <c r="ORW208"/>
      <c r="ORX208"/>
      <c r="ORY208"/>
      <c r="ORZ208"/>
      <c r="OSA208"/>
      <c r="OSB208"/>
      <c r="OSC208"/>
      <c r="OSD208"/>
      <c r="OSE208"/>
      <c r="OSF208"/>
      <c r="OSG208"/>
      <c r="OSH208"/>
      <c r="OSI208"/>
      <c r="OSJ208"/>
      <c r="OSK208"/>
      <c r="OSL208"/>
      <c r="OSM208"/>
      <c r="OSN208"/>
      <c r="OSO208"/>
      <c r="OSP208"/>
      <c r="OSQ208"/>
      <c r="OSR208"/>
      <c r="OSS208"/>
      <c r="OST208"/>
      <c r="OSU208"/>
      <c r="OSV208"/>
      <c r="OSW208"/>
      <c r="OSX208"/>
      <c r="OSY208"/>
      <c r="OSZ208"/>
      <c r="OTA208"/>
      <c r="OTB208"/>
      <c r="OTC208"/>
      <c r="OTD208"/>
      <c r="OTE208"/>
      <c r="OTF208"/>
      <c r="OTG208"/>
      <c r="OTH208"/>
      <c r="OTI208"/>
      <c r="OTJ208"/>
      <c r="OTK208"/>
      <c r="OTL208"/>
      <c r="OTM208"/>
      <c r="OTN208"/>
      <c r="OTO208"/>
      <c r="OTP208"/>
      <c r="OTQ208"/>
      <c r="OTR208"/>
      <c r="OTS208"/>
      <c r="OTT208"/>
      <c r="OTU208"/>
      <c r="OTV208"/>
      <c r="OTW208"/>
      <c r="OTX208"/>
      <c r="OTY208"/>
      <c r="OTZ208"/>
      <c r="OUA208"/>
      <c r="OUB208"/>
      <c r="OUC208"/>
      <c r="OUD208"/>
      <c r="OUE208"/>
      <c r="OUF208"/>
      <c r="OUG208"/>
      <c r="OUH208"/>
      <c r="OUI208"/>
      <c r="OUJ208"/>
      <c r="OUK208"/>
      <c r="OUL208"/>
      <c r="OUM208"/>
      <c r="OUN208"/>
      <c r="OUO208"/>
      <c r="OUP208"/>
      <c r="OUQ208"/>
      <c r="OUR208"/>
      <c r="OUS208"/>
      <c r="OUT208"/>
      <c r="OUU208"/>
      <c r="OUV208"/>
      <c r="OUW208"/>
      <c r="OUX208"/>
      <c r="OUY208"/>
      <c r="OUZ208"/>
      <c r="OVA208"/>
      <c r="OVB208"/>
      <c r="OVC208"/>
      <c r="OVD208"/>
      <c r="OVE208"/>
      <c r="OVF208"/>
      <c r="OVG208"/>
      <c r="OVH208"/>
      <c r="OVI208"/>
      <c r="OVJ208"/>
      <c r="OVK208"/>
      <c r="OVL208"/>
      <c r="OVM208"/>
      <c r="OVN208"/>
      <c r="OVO208"/>
      <c r="OVP208"/>
      <c r="OVQ208"/>
      <c r="OVR208"/>
      <c r="OVS208"/>
      <c r="OVT208"/>
      <c r="OVU208"/>
      <c r="OVV208"/>
      <c r="OVW208"/>
      <c r="OVX208"/>
      <c r="OVY208"/>
      <c r="OVZ208"/>
      <c r="OWA208"/>
      <c r="OWB208"/>
      <c r="OWC208"/>
      <c r="OWD208"/>
      <c r="OWE208"/>
      <c r="OWF208"/>
      <c r="OWG208"/>
      <c r="OWH208"/>
      <c r="OWI208"/>
      <c r="OWJ208"/>
      <c r="OWK208"/>
      <c r="OWL208"/>
      <c r="OWM208"/>
      <c r="OWN208"/>
      <c r="OWO208"/>
      <c r="OWP208"/>
      <c r="OWQ208"/>
      <c r="OWR208"/>
      <c r="OWS208"/>
      <c r="OWT208"/>
      <c r="OWU208"/>
      <c r="OWV208"/>
      <c r="OWW208"/>
      <c r="OWX208"/>
      <c r="OWY208"/>
      <c r="OWZ208"/>
      <c r="OXA208"/>
      <c r="OXB208"/>
      <c r="OXC208"/>
      <c r="OXD208"/>
      <c r="OXE208"/>
      <c r="OXF208"/>
      <c r="OXG208"/>
      <c r="OXH208"/>
      <c r="OXI208"/>
      <c r="OXJ208"/>
      <c r="OXK208"/>
      <c r="OXL208"/>
      <c r="OXM208"/>
      <c r="OXN208"/>
      <c r="OXO208"/>
      <c r="OXP208"/>
      <c r="OXQ208"/>
      <c r="OXR208"/>
      <c r="OXS208"/>
      <c r="OXT208"/>
      <c r="OXU208"/>
      <c r="OXV208"/>
      <c r="OXW208"/>
      <c r="OXX208"/>
      <c r="OXY208"/>
      <c r="OXZ208"/>
      <c r="OYA208"/>
      <c r="OYB208"/>
      <c r="OYC208"/>
      <c r="OYD208"/>
      <c r="OYE208"/>
      <c r="OYF208"/>
      <c r="OYG208"/>
      <c r="OYH208"/>
      <c r="OYI208"/>
      <c r="OYJ208"/>
      <c r="OYK208"/>
      <c r="OYL208"/>
      <c r="OYM208"/>
      <c r="OYN208"/>
      <c r="OYO208"/>
      <c r="OYP208"/>
      <c r="OYQ208"/>
      <c r="OYR208"/>
      <c r="OYS208"/>
      <c r="OYT208"/>
      <c r="OYU208"/>
      <c r="OYV208"/>
      <c r="OYW208"/>
      <c r="OYX208"/>
      <c r="OYY208"/>
      <c r="OYZ208"/>
      <c r="OZA208"/>
      <c r="OZB208"/>
      <c r="OZC208"/>
      <c r="OZD208"/>
      <c r="OZE208"/>
      <c r="OZF208"/>
      <c r="OZG208"/>
      <c r="OZH208"/>
      <c r="OZI208"/>
      <c r="OZJ208"/>
      <c r="OZK208"/>
      <c r="OZL208"/>
      <c r="OZM208"/>
      <c r="OZN208"/>
      <c r="OZO208"/>
      <c r="OZP208"/>
      <c r="OZQ208"/>
      <c r="OZR208"/>
      <c r="OZS208"/>
      <c r="OZT208"/>
      <c r="OZU208"/>
      <c r="OZV208"/>
      <c r="OZW208"/>
      <c r="OZX208"/>
      <c r="OZY208"/>
      <c r="OZZ208"/>
      <c r="PAA208"/>
      <c r="PAB208"/>
      <c r="PAC208"/>
      <c r="PAD208"/>
      <c r="PAE208"/>
      <c r="PAF208"/>
      <c r="PAG208"/>
      <c r="PAH208"/>
      <c r="PAI208"/>
      <c r="PAJ208"/>
      <c r="PAK208"/>
      <c r="PAL208"/>
      <c r="PAM208"/>
      <c r="PAN208"/>
      <c r="PAO208"/>
      <c r="PAP208"/>
      <c r="PAQ208"/>
      <c r="PAR208"/>
      <c r="PAS208"/>
      <c r="PAT208"/>
      <c r="PAU208"/>
      <c r="PAV208"/>
      <c r="PAW208"/>
      <c r="PAX208"/>
      <c r="PAY208"/>
      <c r="PAZ208"/>
      <c r="PBA208"/>
      <c r="PBB208"/>
      <c r="PBC208"/>
      <c r="PBD208"/>
      <c r="PBE208"/>
      <c r="PBF208"/>
      <c r="PBG208"/>
      <c r="PBH208"/>
      <c r="PBI208"/>
      <c r="PBJ208"/>
      <c r="PBK208"/>
      <c r="PBL208"/>
      <c r="PBM208"/>
      <c r="PBN208"/>
      <c r="PBO208"/>
      <c r="PBP208"/>
      <c r="PBQ208"/>
      <c r="PBR208"/>
      <c r="PBS208"/>
      <c r="PBT208"/>
      <c r="PBU208"/>
      <c r="PBV208"/>
      <c r="PBW208"/>
      <c r="PBX208"/>
      <c r="PBY208"/>
      <c r="PBZ208"/>
      <c r="PCA208"/>
      <c r="PCB208"/>
      <c r="PCC208"/>
      <c r="PCD208"/>
      <c r="PCE208"/>
      <c r="PCF208"/>
      <c r="PCG208"/>
      <c r="PCH208"/>
      <c r="PCI208"/>
      <c r="PCJ208"/>
      <c r="PCK208"/>
      <c r="PCL208"/>
      <c r="PCM208"/>
      <c r="PCN208"/>
      <c r="PCO208"/>
      <c r="PCP208"/>
      <c r="PCQ208"/>
      <c r="PCR208"/>
      <c r="PCS208"/>
      <c r="PCT208"/>
      <c r="PCU208"/>
      <c r="PCV208"/>
      <c r="PCW208"/>
      <c r="PCX208"/>
      <c r="PCY208"/>
      <c r="PCZ208"/>
      <c r="PDA208"/>
      <c r="PDB208"/>
      <c r="PDC208"/>
      <c r="PDD208"/>
      <c r="PDE208"/>
      <c r="PDF208"/>
      <c r="PDG208"/>
      <c r="PDH208"/>
      <c r="PDI208"/>
      <c r="PDJ208"/>
      <c r="PDK208"/>
      <c r="PDL208"/>
      <c r="PDM208"/>
      <c r="PDN208"/>
      <c r="PDO208"/>
      <c r="PDP208"/>
      <c r="PDQ208"/>
      <c r="PDR208"/>
      <c r="PDS208"/>
      <c r="PDT208"/>
      <c r="PDU208"/>
      <c r="PDV208"/>
      <c r="PDW208"/>
      <c r="PDX208"/>
      <c r="PDY208"/>
      <c r="PDZ208"/>
      <c r="PEA208"/>
      <c r="PEB208"/>
      <c r="PEC208"/>
      <c r="PED208"/>
      <c r="PEE208"/>
      <c r="PEF208"/>
      <c r="PEG208"/>
      <c r="PEH208"/>
      <c r="PEI208"/>
      <c r="PEJ208"/>
      <c r="PEK208"/>
      <c r="PEL208"/>
      <c r="PEM208"/>
      <c r="PEN208"/>
      <c r="PEO208"/>
      <c r="PEP208"/>
      <c r="PEQ208"/>
      <c r="PER208"/>
      <c r="PES208"/>
      <c r="PET208"/>
      <c r="PEU208"/>
      <c r="PEV208"/>
      <c r="PEW208"/>
      <c r="PEX208"/>
      <c r="PEY208"/>
      <c r="PEZ208"/>
      <c r="PFA208"/>
      <c r="PFB208"/>
      <c r="PFC208"/>
      <c r="PFD208"/>
      <c r="PFE208"/>
      <c r="PFF208"/>
      <c r="PFG208"/>
      <c r="PFH208"/>
      <c r="PFI208"/>
      <c r="PFJ208"/>
      <c r="PFK208"/>
      <c r="PFL208"/>
      <c r="PFM208"/>
      <c r="PFN208"/>
      <c r="PFO208"/>
      <c r="PFP208"/>
      <c r="PFQ208"/>
      <c r="PFR208"/>
      <c r="PFS208"/>
      <c r="PFT208"/>
      <c r="PFU208"/>
      <c r="PFV208"/>
      <c r="PFW208"/>
      <c r="PFX208"/>
      <c r="PFY208"/>
      <c r="PFZ208"/>
      <c r="PGA208"/>
      <c r="PGB208"/>
      <c r="PGC208"/>
      <c r="PGD208"/>
      <c r="PGE208"/>
      <c r="PGF208"/>
      <c r="PGG208"/>
      <c r="PGH208"/>
      <c r="PGI208"/>
      <c r="PGJ208"/>
      <c r="PGK208"/>
      <c r="PGL208"/>
      <c r="PGM208"/>
      <c r="PGN208"/>
      <c r="PGO208"/>
      <c r="PGP208"/>
      <c r="PGQ208"/>
      <c r="PGR208"/>
      <c r="PGS208"/>
      <c r="PGT208"/>
      <c r="PGU208"/>
      <c r="PGV208"/>
      <c r="PGW208"/>
      <c r="PGX208"/>
      <c r="PGY208"/>
      <c r="PGZ208"/>
      <c r="PHA208"/>
      <c r="PHB208"/>
      <c r="PHC208"/>
      <c r="PHD208"/>
      <c r="PHE208"/>
      <c r="PHF208"/>
      <c r="PHG208"/>
      <c r="PHH208"/>
      <c r="PHI208"/>
      <c r="PHJ208"/>
      <c r="PHK208"/>
      <c r="PHL208"/>
      <c r="PHM208"/>
      <c r="PHN208"/>
      <c r="PHO208"/>
      <c r="PHP208"/>
      <c r="PHQ208"/>
      <c r="PHR208"/>
      <c r="PHS208"/>
      <c r="PHT208"/>
      <c r="PHU208"/>
      <c r="PHV208"/>
      <c r="PHW208"/>
      <c r="PHX208"/>
      <c r="PHY208"/>
      <c r="PHZ208"/>
      <c r="PIA208"/>
      <c r="PIB208"/>
      <c r="PIC208"/>
      <c r="PID208"/>
      <c r="PIE208"/>
      <c r="PIF208"/>
      <c r="PIG208"/>
      <c r="PIH208"/>
      <c r="PII208"/>
      <c r="PIJ208"/>
      <c r="PIK208"/>
      <c r="PIL208"/>
      <c r="PIM208"/>
      <c r="PIN208"/>
      <c r="PIO208"/>
      <c r="PIP208"/>
      <c r="PIQ208"/>
      <c r="PIR208"/>
      <c r="PIS208"/>
      <c r="PIT208"/>
      <c r="PIU208"/>
      <c r="PIV208"/>
      <c r="PIW208"/>
      <c r="PIX208"/>
      <c r="PIY208"/>
      <c r="PIZ208"/>
      <c r="PJA208"/>
      <c r="PJB208"/>
      <c r="PJC208"/>
      <c r="PJD208"/>
      <c r="PJE208"/>
      <c r="PJF208"/>
      <c r="PJG208"/>
      <c r="PJH208"/>
      <c r="PJI208"/>
      <c r="PJJ208"/>
      <c r="PJK208"/>
      <c r="PJL208"/>
      <c r="PJM208"/>
      <c r="PJN208"/>
      <c r="PJO208"/>
      <c r="PJP208"/>
      <c r="PJQ208"/>
      <c r="PJR208"/>
      <c r="PJS208"/>
      <c r="PJT208"/>
      <c r="PJU208"/>
      <c r="PJV208"/>
      <c r="PJW208"/>
      <c r="PJX208"/>
      <c r="PJY208"/>
      <c r="PJZ208"/>
      <c r="PKA208"/>
      <c r="PKB208"/>
      <c r="PKC208"/>
      <c r="PKD208"/>
      <c r="PKE208"/>
      <c r="PKF208"/>
      <c r="PKG208"/>
      <c r="PKH208"/>
      <c r="PKI208"/>
      <c r="PKJ208"/>
      <c r="PKK208"/>
      <c r="PKL208"/>
      <c r="PKM208"/>
      <c r="PKN208"/>
      <c r="PKO208"/>
      <c r="PKP208"/>
      <c r="PKQ208"/>
      <c r="PKR208"/>
      <c r="PKS208"/>
      <c r="PKT208"/>
      <c r="PKU208"/>
      <c r="PKV208"/>
      <c r="PKW208"/>
      <c r="PKX208"/>
      <c r="PKY208"/>
      <c r="PKZ208"/>
      <c r="PLA208"/>
      <c r="PLB208"/>
      <c r="PLC208"/>
      <c r="PLD208"/>
      <c r="PLE208"/>
      <c r="PLF208"/>
      <c r="PLG208"/>
      <c r="PLH208"/>
      <c r="PLI208"/>
      <c r="PLJ208"/>
      <c r="PLK208"/>
      <c r="PLL208"/>
      <c r="PLM208"/>
      <c r="PLN208"/>
      <c r="PLO208"/>
      <c r="PLP208"/>
      <c r="PLQ208"/>
      <c r="PLR208"/>
      <c r="PLS208"/>
      <c r="PLT208"/>
      <c r="PLU208"/>
      <c r="PLV208"/>
      <c r="PLW208"/>
      <c r="PLX208"/>
      <c r="PLY208"/>
      <c r="PLZ208"/>
      <c r="PMA208"/>
      <c r="PMB208"/>
      <c r="PMC208"/>
      <c r="PMD208"/>
      <c r="PME208"/>
      <c r="PMF208"/>
      <c r="PMG208"/>
      <c r="PMH208"/>
      <c r="PMI208"/>
      <c r="PMJ208"/>
      <c r="PMK208"/>
      <c r="PML208"/>
      <c r="PMM208"/>
      <c r="PMN208"/>
      <c r="PMO208"/>
      <c r="PMP208"/>
      <c r="PMQ208"/>
      <c r="PMR208"/>
      <c r="PMS208"/>
      <c r="PMT208"/>
      <c r="PMU208"/>
      <c r="PMV208"/>
      <c r="PMW208"/>
      <c r="PMX208"/>
      <c r="PMY208"/>
      <c r="PMZ208"/>
      <c r="PNA208"/>
      <c r="PNB208"/>
      <c r="PNC208"/>
      <c r="PND208"/>
      <c r="PNE208"/>
      <c r="PNF208"/>
      <c r="PNG208"/>
      <c r="PNH208"/>
      <c r="PNI208"/>
      <c r="PNJ208"/>
      <c r="PNK208"/>
      <c r="PNL208"/>
      <c r="PNM208"/>
      <c r="PNN208"/>
      <c r="PNO208"/>
      <c r="PNP208"/>
      <c r="PNQ208"/>
      <c r="PNR208"/>
      <c r="PNS208"/>
      <c r="PNT208"/>
      <c r="PNU208"/>
      <c r="PNV208"/>
      <c r="PNW208"/>
      <c r="PNX208"/>
      <c r="PNY208"/>
      <c r="PNZ208"/>
      <c r="POA208"/>
      <c r="POB208"/>
      <c r="POC208"/>
      <c r="POD208"/>
      <c r="POE208"/>
      <c r="POF208"/>
      <c r="POG208"/>
      <c r="POH208"/>
      <c r="POI208"/>
      <c r="POJ208"/>
      <c r="POK208"/>
      <c r="POL208"/>
      <c r="POM208"/>
      <c r="PON208"/>
      <c r="POO208"/>
      <c r="POP208"/>
      <c r="POQ208"/>
      <c r="POR208"/>
      <c r="POS208"/>
      <c r="POT208"/>
      <c r="POU208"/>
      <c r="POV208"/>
      <c r="POW208"/>
      <c r="POX208"/>
      <c r="POY208"/>
      <c r="POZ208"/>
      <c r="PPA208"/>
      <c r="PPB208"/>
      <c r="PPC208"/>
      <c r="PPD208"/>
      <c r="PPE208"/>
      <c r="PPF208"/>
      <c r="PPG208"/>
      <c r="PPH208"/>
      <c r="PPI208"/>
      <c r="PPJ208"/>
      <c r="PPK208"/>
      <c r="PPL208"/>
      <c r="PPM208"/>
      <c r="PPN208"/>
      <c r="PPO208"/>
      <c r="PPP208"/>
      <c r="PPQ208"/>
      <c r="PPR208"/>
      <c r="PPS208"/>
      <c r="PPT208"/>
      <c r="PPU208"/>
      <c r="PPV208"/>
      <c r="PPW208"/>
      <c r="PPX208"/>
      <c r="PPY208"/>
      <c r="PPZ208"/>
      <c r="PQA208"/>
      <c r="PQB208"/>
      <c r="PQC208"/>
      <c r="PQD208"/>
      <c r="PQE208"/>
      <c r="PQF208"/>
      <c r="PQG208"/>
      <c r="PQH208"/>
      <c r="PQI208"/>
      <c r="PQJ208"/>
      <c r="PQK208"/>
      <c r="PQL208"/>
      <c r="PQM208"/>
      <c r="PQN208"/>
      <c r="PQO208"/>
      <c r="PQP208"/>
      <c r="PQQ208"/>
      <c r="PQR208"/>
      <c r="PQS208"/>
      <c r="PQT208"/>
      <c r="PQU208"/>
      <c r="PQV208"/>
      <c r="PQW208"/>
      <c r="PQX208"/>
      <c r="PQY208"/>
      <c r="PQZ208"/>
      <c r="PRA208"/>
      <c r="PRB208"/>
      <c r="PRC208"/>
      <c r="PRD208"/>
      <c r="PRE208"/>
      <c r="PRF208"/>
      <c r="PRG208"/>
      <c r="PRH208"/>
      <c r="PRI208"/>
      <c r="PRJ208"/>
      <c r="PRK208"/>
      <c r="PRL208"/>
      <c r="PRM208"/>
      <c r="PRN208"/>
      <c r="PRO208"/>
      <c r="PRP208"/>
      <c r="PRQ208"/>
      <c r="PRR208"/>
      <c r="PRS208"/>
      <c r="PRT208"/>
      <c r="PRU208"/>
      <c r="PRV208"/>
      <c r="PRW208"/>
      <c r="PRX208"/>
      <c r="PRY208"/>
      <c r="PRZ208"/>
      <c r="PSA208"/>
      <c r="PSB208"/>
      <c r="PSC208"/>
      <c r="PSD208"/>
      <c r="PSE208"/>
      <c r="PSF208"/>
      <c r="PSG208"/>
      <c r="PSH208"/>
      <c r="PSI208"/>
      <c r="PSJ208"/>
      <c r="PSK208"/>
      <c r="PSL208"/>
      <c r="PSM208"/>
      <c r="PSN208"/>
      <c r="PSO208"/>
      <c r="PSP208"/>
      <c r="PSQ208"/>
      <c r="PSR208"/>
      <c r="PSS208"/>
      <c r="PST208"/>
      <c r="PSU208"/>
      <c r="PSV208"/>
      <c r="PSW208"/>
      <c r="PSX208"/>
      <c r="PSY208"/>
      <c r="PSZ208"/>
      <c r="PTA208"/>
      <c r="PTB208"/>
      <c r="PTC208"/>
      <c r="PTD208"/>
      <c r="PTE208"/>
      <c r="PTF208"/>
      <c r="PTG208"/>
      <c r="PTH208"/>
      <c r="PTI208"/>
      <c r="PTJ208"/>
      <c r="PTK208"/>
      <c r="PTL208"/>
      <c r="PTM208"/>
      <c r="PTN208"/>
      <c r="PTO208"/>
      <c r="PTP208"/>
      <c r="PTQ208"/>
      <c r="PTR208"/>
      <c r="PTS208"/>
      <c r="PTT208"/>
      <c r="PTU208"/>
      <c r="PTV208"/>
      <c r="PTW208"/>
      <c r="PTX208"/>
      <c r="PTY208"/>
      <c r="PTZ208"/>
      <c r="PUA208"/>
      <c r="PUB208"/>
      <c r="PUC208"/>
      <c r="PUD208"/>
      <c r="PUE208"/>
      <c r="PUF208"/>
      <c r="PUG208"/>
      <c r="PUH208"/>
      <c r="PUI208"/>
      <c r="PUJ208"/>
      <c r="PUK208"/>
      <c r="PUL208"/>
      <c r="PUM208"/>
      <c r="PUN208"/>
      <c r="PUO208"/>
      <c r="PUP208"/>
      <c r="PUQ208"/>
      <c r="PUR208"/>
      <c r="PUS208"/>
      <c r="PUT208"/>
      <c r="PUU208"/>
      <c r="PUV208"/>
      <c r="PUW208"/>
      <c r="PUX208"/>
      <c r="PUY208"/>
      <c r="PUZ208"/>
      <c r="PVA208"/>
      <c r="PVB208"/>
      <c r="PVC208"/>
      <c r="PVD208"/>
      <c r="PVE208"/>
      <c r="PVF208"/>
      <c r="PVG208"/>
      <c r="PVH208"/>
      <c r="PVI208"/>
      <c r="PVJ208"/>
      <c r="PVK208"/>
      <c r="PVL208"/>
      <c r="PVM208"/>
      <c r="PVN208"/>
      <c r="PVO208"/>
      <c r="PVP208"/>
      <c r="PVQ208"/>
      <c r="PVR208"/>
      <c r="PVS208"/>
      <c r="PVT208"/>
      <c r="PVU208"/>
      <c r="PVV208"/>
      <c r="PVW208"/>
      <c r="PVX208"/>
      <c r="PVY208"/>
      <c r="PVZ208"/>
      <c r="PWA208"/>
      <c r="PWB208"/>
      <c r="PWC208"/>
      <c r="PWD208"/>
      <c r="PWE208"/>
      <c r="PWF208"/>
      <c r="PWG208"/>
      <c r="PWH208"/>
      <c r="PWI208"/>
      <c r="PWJ208"/>
      <c r="PWK208"/>
      <c r="PWL208"/>
      <c r="PWM208"/>
      <c r="PWN208"/>
      <c r="PWO208"/>
      <c r="PWP208"/>
      <c r="PWQ208"/>
      <c r="PWR208"/>
      <c r="PWS208"/>
      <c r="PWT208"/>
      <c r="PWU208"/>
      <c r="PWV208"/>
      <c r="PWW208"/>
      <c r="PWX208"/>
      <c r="PWY208"/>
      <c r="PWZ208"/>
      <c r="PXA208"/>
      <c r="PXB208"/>
      <c r="PXC208"/>
      <c r="PXD208"/>
      <c r="PXE208"/>
      <c r="PXF208"/>
      <c r="PXG208"/>
      <c r="PXH208"/>
      <c r="PXI208"/>
      <c r="PXJ208"/>
      <c r="PXK208"/>
      <c r="PXL208"/>
      <c r="PXM208"/>
      <c r="PXN208"/>
      <c r="PXO208"/>
      <c r="PXP208"/>
      <c r="PXQ208"/>
      <c r="PXR208"/>
      <c r="PXS208"/>
      <c r="PXT208"/>
      <c r="PXU208"/>
      <c r="PXV208"/>
      <c r="PXW208"/>
      <c r="PXX208"/>
      <c r="PXY208"/>
      <c r="PXZ208"/>
      <c r="PYA208"/>
      <c r="PYB208"/>
      <c r="PYC208"/>
      <c r="PYD208"/>
      <c r="PYE208"/>
      <c r="PYF208"/>
      <c r="PYG208"/>
      <c r="PYH208"/>
      <c r="PYI208"/>
      <c r="PYJ208"/>
      <c r="PYK208"/>
      <c r="PYL208"/>
      <c r="PYM208"/>
      <c r="PYN208"/>
      <c r="PYO208"/>
      <c r="PYP208"/>
      <c r="PYQ208"/>
      <c r="PYR208"/>
      <c r="PYS208"/>
      <c r="PYT208"/>
      <c r="PYU208"/>
      <c r="PYV208"/>
      <c r="PYW208"/>
      <c r="PYX208"/>
      <c r="PYY208"/>
      <c r="PYZ208"/>
      <c r="PZA208"/>
      <c r="PZB208"/>
      <c r="PZC208"/>
      <c r="PZD208"/>
      <c r="PZE208"/>
      <c r="PZF208"/>
      <c r="PZG208"/>
      <c r="PZH208"/>
      <c r="PZI208"/>
      <c r="PZJ208"/>
      <c r="PZK208"/>
      <c r="PZL208"/>
      <c r="PZM208"/>
      <c r="PZN208"/>
      <c r="PZO208"/>
      <c r="PZP208"/>
      <c r="PZQ208"/>
      <c r="PZR208"/>
      <c r="PZS208"/>
      <c r="PZT208"/>
      <c r="PZU208"/>
      <c r="PZV208"/>
      <c r="PZW208"/>
      <c r="PZX208"/>
      <c r="PZY208"/>
      <c r="PZZ208"/>
      <c r="QAA208"/>
      <c r="QAB208"/>
      <c r="QAC208"/>
      <c r="QAD208"/>
      <c r="QAE208"/>
      <c r="QAF208"/>
      <c r="QAG208"/>
      <c r="QAH208"/>
      <c r="QAI208"/>
      <c r="QAJ208"/>
      <c r="QAK208"/>
      <c r="QAL208"/>
      <c r="QAM208"/>
      <c r="QAN208"/>
      <c r="QAO208"/>
      <c r="QAP208"/>
      <c r="QAQ208"/>
      <c r="QAR208"/>
      <c r="QAS208"/>
      <c r="QAT208"/>
      <c r="QAU208"/>
      <c r="QAV208"/>
      <c r="QAW208"/>
      <c r="QAX208"/>
      <c r="QAY208"/>
      <c r="QAZ208"/>
      <c r="QBA208"/>
      <c r="QBB208"/>
      <c r="QBC208"/>
      <c r="QBD208"/>
      <c r="QBE208"/>
      <c r="QBF208"/>
      <c r="QBG208"/>
      <c r="QBH208"/>
      <c r="QBI208"/>
      <c r="QBJ208"/>
      <c r="QBK208"/>
      <c r="QBL208"/>
      <c r="QBM208"/>
      <c r="QBN208"/>
      <c r="QBO208"/>
      <c r="QBP208"/>
      <c r="QBQ208"/>
      <c r="QBR208"/>
      <c r="QBS208"/>
      <c r="QBT208"/>
      <c r="QBU208"/>
      <c r="QBV208"/>
      <c r="QBW208"/>
      <c r="QBX208"/>
      <c r="QBY208"/>
      <c r="QBZ208"/>
      <c r="QCA208"/>
      <c r="QCB208"/>
      <c r="QCC208"/>
      <c r="QCD208"/>
      <c r="QCE208"/>
      <c r="QCF208"/>
      <c r="QCG208"/>
      <c r="QCH208"/>
      <c r="QCI208"/>
      <c r="QCJ208"/>
      <c r="QCK208"/>
      <c r="QCL208"/>
      <c r="QCM208"/>
      <c r="QCN208"/>
      <c r="QCO208"/>
      <c r="QCP208"/>
      <c r="QCQ208"/>
      <c r="QCR208"/>
      <c r="QCS208"/>
      <c r="QCT208"/>
      <c r="QCU208"/>
      <c r="QCV208"/>
      <c r="QCW208"/>
      <c r="QCX208"/>
      <c r="QCY208"/>
      <c r="QCZ208"/>
      <c r="QDA208"/>
      <c r="QDB208"/>
      <c r="QDC208"/>
      <c r="QDD208"/>
      <c r="QDE208"/>
      <c r="QDF208"/>
      <c r="QDG208"/>
      <c r="QDH208"/>
      <c r="QDI208"/>
      <c r="QDJ208"/>
      <c r="QDK208"/>
      <c r="QDL208"/>
      <c r="QDM208"/>
      <c r="QDN208"/>
      <c r="QDO208"/>
      <c r="QDP208"/>
      <c r="QDQ208"/>
      <c r="QDR208"/>
      <c r="QDS208"/>
      <c r="QDT208"/>
      <c r="QDU208"/>
      <c r="QDV208"/>
      <c r="QDW208"/>
      <c r="QDX208"/>
      <c r="QDY208"/>
      <c r="QDZ208"/>
      <c r="QEA208"/>
      <c r="QEB208"/>
      <c r="QEC208"/>
      <c r="QED208"/>
      <c r="QEE208"/>
      <c r="QEF208"/>
      <c r="QEG208"/>
      <c r="QEH208"/>
      <c r="QEI208"/>
      <c r="QEJ208"/>
      <c r="QEK208"/>
      <c r="QEL208"/>
      <c r="QEM208"/>
      <c r="QEN208"/>
      <c r="QEO208"/>
      <c r="QEP208"/>
      <c r="QEQ208"/>
      <c r="QER208"/>
      <c r="QES208"/>
      <c r="QET208"/>
      <c r="QEU208"/>
      <c r="QEV208"/>
      <c r="QEW208"/>
      <c r="QEX208"/>
      <c r="QEY208"/>
      <c r="QEZ208"/>
      <c r="QFA208"/>
      <c r="QFB208"/>
      <c r="QFC208"/>
      <c r="QFD208"/>
      <c r="QFE208"/>
      <c r="QFF208"/>
      <c r="QFG208"/>
      <c r="QFH208"/>
      <c r="QFI208"/>
      <c r="QFJ208"/>
      <c r="QFK208"/>
      <c r="QFL208"/>
      <c r="QFM208"/>
      <c r="QFN208"/>
      <c r="QFO208"/>
      <c r="QFP208"/>
      <c r="QFQ208"/>
      <c r="QFR208"/>
      <c r="QFS208"/>
      <c r="QFT208"/>
      <c r="QFU208"/>
      <c r="QFV208"/>
      <c r="QFW208"/>
      <c r="QFX208"/>
      <c r="QFY208"/>
      <c r="QFZ208"/>
      <c r="QGA208"/>
      <c r="QGB208"/>
      <c r="QGC208"/>
      <c r="QGD208"/>
      <c r="QGE208"/>
      <c r="QGF208"/>
      <c r="QGG208"/>
      <c r="QGH208"/>
      <c r="QGI208"/>
      <c r="QGJ208"/>
      <c r="QGK208"/>
      <c r="QGL208"/>
      <c r="QGM208"/>
      <c r="QGN208"/>
      <c r="QGO208"/>
      <c r="QGP208"/>
      <c r="QGQ208"/>
      <c r="QGR208"/>
      <c r="QGS208"/>
      <c r="QGT208"/>
      <c r="QGU208"/>
      <c r="QGV208"/>
      <c r="QGW208"/>
      <c r="QGX208"/>
      <c r="QGY208"/>
      <c r="QGZ208"/>
      <c r="QHA208"/>
      <c r="QHB208"/>
      <c r="QHC208"/>
      <c r="QHD208"/>
      <c r="QHE208"/>
      <c r="QHF208"/>
      <c r="QHG208"/>
      <c r="QHH208"/>
      <c r="QHI208"/>
      <c r="QHJ208"/>
      <c r="QHK208"/>
      <c r="QHL208"/>
      <c r="QHM208"/>
      <c r="QHN208"/>
      <c r="QHO208"/>
      <c r="QHP208"/>
      <c r="QHQ208"/>
      <c r="QHR208"/>
      <c r="QHS208"/>
      <c r="QHT208"/>
      <c r="QHU208"/>
      <c r="QHV208"/>
      <c r="QHW208"/>
      <c r="QHX208"/>
      <c r="QHY208"/>
      <c r="QHZ208"/>
      <c r="QIA208"/>
      <c r="QIB208"/>
      <c r="QIC208"/>
      <c r="QID208"/>
      <c r="QIE208"/>
      <c r="QIF208"/>
      <c r="QIG208"/>
      <c r="QIH208"/>
      <c r="QII208"/>
      <c r="QIJ208"/>
      <c r="QIK208"/>
      <c r="QIL208"/>
      <c r="QIM208"/>
      <c r="QIN208"/>
      <c r="QIO208"/>
      <c r="QIP208"/>
      <c r="QIQ208"/>
      <c r="QIR208"/>
      <c r="QIS208"/>
      <c r="QIT208"/>
      <c r="QIU208"/>
      <c r="QIV208"/>
      <c r="QIW208"/>
      <c r="QIX208"/>
      <c r="QIY208"/>
      <c r="QIZ208"/>
      <c r="QJA208"/>
      <c r="QJB208"/>
      <c r="QJC208"/>
      <c r="QJD208"/>
      <c r="QJE208"/>
      <c r="QJF208"/>
      <c r="QJG208"/>
      <c r="QJH208"/>
      <c r="QJI208"/>
      <c r="QJJ208"/>
      <c r="QJK208"/>
      <c r="QJL208"/>
      <c r="QJM208"/>
      <c r="QJN208"/>
      <c r="QJO208"/>
      <c r="QJP208"/>
      <c r="QJQ208"/>
      <c r="QJR208"/>
      <c r="QJS208"/>
      <c r="QJT208"/>
      <c r="QJU208"/>
      <c r="QJV208"/>
      <c r="QJW208"/>
      <c r="QJX208"/>
      <c r="QJY208"/>
      <c r="QJZ208"/>
      <c r="QKA208"/>
      <c r="QKB208"/>
      <c r="QKC208"/>
      <c r="QKD208"/>
      <c r="QKE208"/>
      <c r="QKF208"/>
      <c r="QKG208"/>
      <c r="QKH208"/>
      <c r="QKI208"/>
      <c r="QKJ208"/>
      <c r="QKK208"/>
      <c r="QKL208"/>
      <c r="QKM208"/>
      <c r="QKN208"/>
      <c r="QKO208"/>
      <c r="QKP208"/>
      <c r="QKQ208"/>
      <c r="QKR208"/>
      <c r="QKS208"/>
      <c r="QKT208"/>
      <c r="QKU208"/>
      <c r="QKV208"/>
      <c r="QKW208"/>
      <c r="QKX208"/>
      <c r="QKY208"/>
      <c r="QKZ208"/>
      <c r="QLA208"/>
      <c r="QLB208"/>
      <c r="QLC208"/>
      <c r="QLD208"/>
      <c r="QLE208"/>
      <c r="QLF208"/>
      <c r="QLG208"/>
      <c r="QLH208"/>
      <c r="QLI208"/>
      <c r="QLJ208"/>
      <c r="QLK208"/>
      <c r="QLL208"/>
      <c r="QLM208"/>
      <c r="QLN208"/>
      <c r="QLO208"/>
      <c r="QLP208"/>
      <c r="QLQ208"/>
      <c r="QLR208"/>
      <c r="QLS208"/>
      <c r="QLT208"/>
      <c r="QLU208"/>
      <c r="QLV208"/>
      <c r="QLW208"/>
      <c r="QLX208"/>
      <c r="QLY208"/>
      <c r="QLZ208"/>
      <c r="QMA208"/>
      <c r="QMB208"/>
      <c r="QMC208"/>
      <c r="QMD208"/>
      <c r="QME208"/>
      <c r="QMF208"/>
      <c r="QMG208"/>
      <c r="QMH208"/>
      <c r="QMI208"/>
      <c r="QMJ208"/>
      <c r="QMK208"/>
      <c r="QML208"/>
      <c r="QMM208"/>
      <c r="QMN208"/>
      <c r="QMO208"/>
      <c r="QMP208"/>
      <c r="QMQ208"/>
      <c r="QMR208"/>
      <c r="QMS208"/>
      <c r="QMT208"/>
      <c r="QMU208"/>
      <c r="QMV208"/>
      <c r="QMW208"/>
      <c r="QMX208"/>
      <c r="QMY208"/>
      <c r="QMZ208"/>
      <c r="QNA208"/>
      <c r="QNB208"/>
      <c r="QNC208"/>
      <c r="QND208"/>
      <c r="QNE208"/>
      <c r="QNF208"/>
      <c r="QNG208"/>
      <c r="QNH208"/>
      <c r="QNI208"/>
      <c r="QNJ208"/>
      <c r="QNK208"/>
      <c r="QNL208"/>
      <c r="QNM208"/>
      <c r="QNN208"/>
      <c r="QNO208"/>
      <c r="QNP208"/>
      <c r="QNQ208"/>
      <c r="QNR208"/>
      <c r="QNS208"/>
      <c r="QNT208"/>
      <c r="QNU208"/>
      <c r="QNV208"/>
      <c r="QNW208"/>
      <c r="QNX208"/>
      <c r="QNY208"/>
      <c r="QNZ208"/>
      <c r="QOA208"/>
      <c r="QOB208"/>
      <c r="QOC208"/>
      <c r="QOD208"/>
      <c r="QOE208"/>
      <c r="QOF208"/>
      <c r="QOG208"/>
      <c r="QOH208"/>
      <c r="QOI208"/>
      <c r="QOJ208"/>
      <c r="QOK208"/>
      <c r="QOL208"/>
      <c r="QOM208"/>
      <c r="QON208"/>
      <c r="QOO208"/>
      <c r="QOP208"/>
      <c r="QOQ208"/>
      <c r="QOR208"/>
      <c r="QOS208"/>
      <c r="QOT208"/>
      <c r="QOU208"/>
      <c r="QOV208"/>
      <c r="QOW208"/>
      <c r="QOX208"/>
      <c r="QOY208"/>
      <c r="QOZ208"/>
      <c r="QPA208"/>
      <c r="QPB208"/>
      <c r="QPC208"/>
      <c r="QPD208"/>
      <c r="QPE208"/>
      <c r="QPF208"/>
      <c r="QPG208"/>
      <c r="QPH208"/>
      <c r="QPI208"/>
      <c r="QPJ208"/>
      <c r="QPK208"/>
      <c r="QPL208"/>
      <c r="QPM208"/>
      <c r="QPN208"/>
      <c r="QPO208"/>
      <c r="QPP208"/>
      <c r="QPQ208"/>
      <c r="QPR208"/>
      <c r="QPS208"/>
      <c r="QPT208"/>
      <c r="QPU208"/>
      <c r="QPV208"/>
      <c r="QPW208"/>
      <c r="QPX208"/>
      <c r="QPY208"/>
      <c r="QPZ208"/>
      <c r="QQA208"/>
      <c r="QQB208"/>
      <c r="QQC208"/>
      <c r="QQD208"/>
      <c r="QQE208"/>
      <c r="QQF208"/>
      <c r="QQG208"/>
      <c r="QQH208"/>
      <c r="QQI208"/>
      <c r="QQJ208"/>
      <c r="QQK208"/>
      <c r="QQL208"/>
      <c r="QQM208"/>
      <c r="QQN208"/>
      <c r="QQO208"/>
      <c r="QQP208"/>
      <c r="QQQ208"/>
      <c r="QQR208"/>
      <c r="QQS208"/>
      <c r="QQT208"/>
      <c r="QQU208"/>
      <c r="QQV208"/>
      <c r="QQW208"/>
      <c r="QQX208"/>
      <c r="QQY208"/>
      <c r="QQZ208"/>
      <c r="QRA208"/>
      <c r="QRB208"/>
      <c r="QRC208"/>
      <c r="QRD208"/>
      <c r="QRE208"/>
      <c r="QRF208"/>
      <c r="QRG208"/>
      <c r="QRH208"/>
      <c r="QRI208"/>
      <c r="QRJ208"/>
      <c r="QRK208"/>
      <c r="QRL208"/>
      <c r="QRM208"/>
      <c r="QRN208"/>
      <c r="QRO208"/>
      <c r="QRP208"/>
      <c r="QRQ208"/>
      <c r="QRR208"/>
      <c r="QRS208"/>
      <c r="QRT208"/>
      <c r="QRU208"/>
      <c r="QRV208"/>
      <c r="QRW208"/>
      <c r="QRX208"/>
      <c r="QRY208"/>
      <c r="QRZ208"/>
      <c r="QSA208"/>
      <c r="QSB208"/>
      <c r="QSC208"/>
      <c r="QSD208"/>
      <c r="QSE208"/>
      <c r="QSF208"/>
      <c r="QSG208"/>
      <c r="QSH208"/>
      <c r="QSI208"/>
      <c r="QSJ208"/>
      <c r="QSK208"/>
      <c r="QSL208"/>
      <c r="QSM208"/>
      <c r="QSN208"/>
      <c r="QSO208"/>
      <c r="QSP208"/>
      <c r="QSQ208"/>
      <c r="QSR208"/>
      <c r="QSS208"/>
      <c r="QST208"/>
      <c r="QSU208"/>
      <c r="QSV208"/>
      <c r="QSW208"/>
      <c r="QSX208"/>
      <c r="QSY208"/>
      <c r="QSZ208"/>
      <c r="QTA208"/>
      <c r="QTB208"/>
      <c r="QTC208"/>
      <c r="QTD208"/>
      <c r="QTE208"/>
      <c r="QTF208"/>
      <c r="QTG208"/>
      <c r="QTH208"/>
      <c r="QTI208"/>
      <c r="QTJ208"/>
      <c r="QTK208"/>
      <c r="QTL208"/>
      <c r="QTM208"/>
      <c r="QTN208"/>
      <c r="QTO208"/>
      <c r="QTP208"/>
      <c r="QTQ208"/>
      <c r="QTR208"/>
      <c r="QTS208"/>
      <c r="QTT208"/>
      <c r="QTU208"/>
      <c r="QTV208"/>
      <c r="QTW208"/>
      <c r="QTX208"/>
      <c r="QTY208"/>
      <c r="QTZ208"/>
      <c r="QUA208"/>
      <c r="QUB208"/>
      <c r="QUC208"/>
      <c r="QUD208"/>
      <c r="QUE208"/>
      <c r="QUF208"/>
      <c r="QUG208"/>
      <c r="QUH208"/>
      <c r="QUI208"/>
      <c r="QUJ208"/>
      <c r="QUK208"/>
      <c r="QUL208"/>
      <c r="QUM208"/>
      <c r="QUN208"/>
      <c r="QUO208"/>
      <c r="QUP208"/>
      <c r="QUQ208"/>
      <c r="QUR208"/>
      <c r="QUS208"/>
      <c r="QUT208"/>
      <c r="QUU208"/>
      <c r="QUV208"/>
      <c r="QUW208"/>
      <c r="QUX208"/>
      <c r="QUY208"/>
      <c r="QUZ208"/>
      <c r="QVA208"/>
      <c r="QVB208"/>
      <c r="QVC208"/>
      <c r="QVD208"/>
      <c r="QVE208"/>
      <c r="QVF208"/>
      <c r="QVG208"/>
      <c r="QVH208"/>
      <c r="QVI208"/>
      <c r="QVJ208"/>
      <c r="QVK208"/>
      <c r="QVL208"/>
      <c r="QVM208"/>
      <c r="QVN208"/>
      <c r="QVO208"/>
      <c r="QVP208"/>
      <c r="QVQ208"/>
      <c r="QVR208"/>
      <c r="QVS208"/>
      <c r="QVT208"/>
      <c r="QVU208"/>
      <c r="QVV208"/>
      <c r="QVW208"/>
      <c r="QVX208"/>
      <c r="QVY208"/>
      <c r="QVZ208"/>
      <c r="QWA208"/>
      <c r="QWB208"/>
      <c r="QWC208"/>
      <c r="QWD208"/>
      <c r="QWE208"/>
      <c r="QWF208"/>
      <c r="QWG208"/>
      <c r="QWH208"/>
      <c r="QWI208"/>
      <c r="QWJ208"/>
      <c r="QWK208"/>
      <c r="QWL208"/>
      <c r="QWM208"/>
      <c r="QWN208"/>
      <c r="QWO208"/>
      <c r="QWP208"/>
      <c r="QWQ208"/>
      <c r="QWR208"/>
      <c r="QWS208"/>
      <c r="QWT208"/>
      <c r="QWU208"/>
      <c r="QWV208"/>
      <c r="QWW208"/>
      <c r="QWX208"/>
      <c r="QWY208"/>
      <c r="QWZ208"/>
      <c r="QXA208"/>
      <c r="QXB208"/>
      <c r="QXC208"/>
      <c r="QXD208"/>
      <c r="QXE208"/>
      <c r="QXF208"/>
      <c r="QXG208"/>
      <c r="QXH208"/>
      <c r="QXI208"/>
      <c r="QXJ208"/>
      <c r="QXK208"/>
      <c r="QXL208"/>
      <c r="QXM208"/>
      <c r="QXN208"/>
      <c r="QXO208"/>
      <c r="QXP208"/>
      <c r="QXQ208"/>
      <c r="QXR208"/>
      <c r="QXS208"/>
      <c r="QXT208"/>
      <c r="QXU208"/>
      <c r="QXV208"/>
      <c r="QXW208"/>
      <c r="QXX208"/>
      <c r="QXY208"/>
      <c r="QXZ208"/>
      <c r="QYA208"/>
      <c r="QYB208"/>
      <c r="QYC208"/>
      <c r="QYD208"/>
      <c r="QYE208"/>
      <c r="QYF208"/>
      <c r="QYG208"/>
      <c r="QYH208"/>
      <c r="QYI208"/>
      <c r="QYJ208"/>
      <c r="QYK208"/>
      <c r="QYL208"/>
      <c r="QYM208"/>
      <c r="QYN208"/>
      <c r="QYO208"/>
      <c r="QYP208"/>
      <c r="QYQ208"/>
      <c r="QYR208"/>
      <c r="QYS208"/>
      <c r="QYT208"/>
      <c r="QYU208"/>
      <c r="QYV208"/>
      <c r="QYW208"/>
      <c r="QYX208"/>
      <c r="QYY208"/>
      <c r="QYZ208"/>
      <c r="QZA208"/>
      <c r="QZB208"/>
      <c r="QZC208"/>
      <c r="QZD208"/>
      <c r="QZE208"/>
      <c r="QZF208"/>
      <c r="QZG208"/>
      <c r="QZH208"/>
      <c r="QZI208"/>
      <c r="QZJ208"/>
      <c r="QZK208"/>
      <c r="QZL208"/>
      <c r="QZM208"/>
      <c r="QZN208"/>
      <c r="QZO208"/>
      <c r="QZP208"/>
      <c r="QZQ208"/>
      <c r="QZR208"/>
      <c r="QZS208"/>
      <c r="QZT208"/>
      <c r="QZU208"/>
      <c r="QZV208"/>
      <c r="QZW208"/>
      <c r="QZX208"/>
      <c r="QZY208"/>
      <c r="QZZ208"/>
      <c r="RAA208"/>
      <c r="RAB208"/>
      <c r="RAC208"/>
      <c r="RAD208"/>
      <c r="RAE208"/>
      <c r="RAF208"/>
      <c r="RAG208"/>
      <c r="RAH208"/>
      <c r="RAI208"/>
      <c r="RAJ208"/>
      <c r="RAK208"/>
      <c r="RAL208"/>
      <c r="RAM208"/>
      <c r="RAN208"/>
      <c r="RAO208"/>
      <c r="RAP208"/>
      <c r="RAQ208"/>
      <c r="RAR208"/>
      <c r="RAS208"/>
      <c r="RAT208"/>
      <c r="RAU208"/>
      <c r="RAV208"/>
      <c r="RAW208"/>
      <c r="RAX208"/>
      <c r="RAY208"/>
      <c r="RAZ208"/>
      <c r="RBA208"/>
      <c r="RBB208"/>
      <c r="RBC208"/>
      <c r="RBD208"/>
      <c r="RBE208"/>
      <c r="RBF208"/>
      <c r="RBG208"/>
      <c r="RBH208"/>
      <c r="RBI208"/>
      <c r="RBJ208"/>
      <c r="RBK208"/>
      <c r="RBL208"/>
      <c r="RBM208"/>
      <c r="RBN208"/>
      <c r="RBO208"/>
      <c r="RBP208"/>
      <c r="RBQ208"/>
      <c r="RBR208"/>
      <c r="RBS208"/>
      <c r="RBT208"/>
      <c r="RBU208"/>
      <c r="RBV208"/>
      <c r="RBW208"/>
      <c r="RBX208"/>
      <c r="RBY208"/>
      <c r="RBZ208"/>
      <c r="RCA208"/>
      <c r="RCB208"/>
      <c r="RCC208"/>
      <c r="RCD208"/>
      <c r="RCE208"/>
      <c r="RCF208"/>
      <c r="RCG208"/>
      <c r="RCH208"/>
      <c r="RCI208"/>
      <c r="RCJ208"/>
      <c r="RCK208"/>
      <c r="RCL208"/>
      <c r="RCM208"/>
      <c r="RCN208"/>
      <c r="RCO208"/>
      <c r="RCP208"/>
      <c r="RCQ208"/>
      <c r="RCR208"/>
      <c r="RCS208"/>
      <c r="RCT208"/>
      <c r="RCU208"/>
      <c r="RCV208"/>
      <c r="RCW208"/>
      <c r="RCX208"/>
      <c r="RCY208"/>
      <c r="RCZ208"/>
      <c r="RDA208"/>
      <c r="RDB208"/>
      <c r="RDC208"/>
      <c r="RDD208"/>
      <c r="RDE208"/>
      <c r="RDF208"/>
      <c r="RDG208"/>
      <c r="RDH208"/>
      <c r="RDI208"/>
      <c r="RDJ208"/>
      <c r="RDK208"/>
      <c r="RDL208"/>
      <c r="RDM208"/>
      <c r="RDN208"/>
      <c r="RDO208"/>
      <c r="RDP208"/>
      <c r="RDQ208"/>
      <c r="RDR208"/>
      <c r="RDS208"/>
      <c r="RDT208"/>
      <c r="RDU208"/>
      <c r="RDV208"/>
      <c r="RDW208"/>
      <c r="RDX208"/>
      <c r="RDY208"/>
      <c r="RDZ208"/>
      <c r="REA208"/>
      <c r="REB208"/>
      <c r="REC208"/>
      <c r="RED208"/>
      <c r="REE208"/>
      <c r="REF208"/>
      <c r="REG208"/>
      <c r="REH208"/>
      <c r="REI208"/>
      <c r="REJ208"/>
      <c r="REK208"/>
      <c r="REL208"/>
      <c r="REM208"/>
      <c r="REN208"/>
      <c r="REO208"/>
      <c r="REP208"/>
      <c r="REQ208"/>
      <c r="RER208"/>
      <c r="RES208"/>
      <c r="RET208"/>
      <c r="REU208"/>
      <c r="REV208"/>
      <c r="REW208"/>
      <c r="REX208"/>
      <c r="REY208"/>
      <c r="REZ208"/>
      <c r="RFA208"/>
      <c r="RFB208"/>
      <c r="RFC208"/>
      <c r="RFD208"/>
      <c r="RFE208"/>
      <c r="RFF208"/>
      <c r="RFG208"/>
      <c r="RFH208"/>
      <c r="RFI208"/>
      <c r="RFJ208"/>
      <c r="RFK208"/>
      <c r="RFL208"/>
      <c r="RFM208"/>
      <c r="RFN208"/>
      <c r="RFO208"/>
      <c r="RFP208"/>
      <c r="RFQ208"/>
      <c r="RFR208"/>
      <c r="RFS208"/>
      <c r="RFT208"/>
      <c r="RFU208"/>
      <c r="RFV208"/>
      <c r="RFW208"/>
      <c r="RFX208"/>
      <c r="RFY208"/>
      <c r="RFZ208"/>
      <c r="RGA208"/>
      <c r="RGB208"/>
      <c r="RGC208"/>
      <c r="RGD208"/>
      <c r="RGE208"/>
      <c r="RGF208"/>
      <c r="RGG208"/>
      <c r="RGH208"/>
      <c r="RGI208"/>
      <c r="RGJ208"/>
      <c r="RGK208"/>
      <c r="RGL208"/>
      <c r="RGM208"/>
      <c r="RGN208"/>
      <c r="RGO208"/>
      <c r="RGP208"/>
      <c r="RGQ208"/>
      <c r="RGR208"/>
      <c r="RGS208"/>
      <c r="RGT208"/>
      <c r="RGU208"/>
      <c r="RGV208"/>
      <c r="RGW208"/>
      <c r="RGX208"/>
      <c r="RGY208"/>
      <c r="RGZ208"/>
      <c r="RHA208"/>
      <c r="RHB208"/>
      <c r="RHC208"/>
      <c r="RHD208"/>
      <c r="RHE208"/>
      <c r="RHF208"/>
      <c r="RHG208"/>
      <c r="RHH208"/>
      <c r="RHI208"/>
      <c r="RHJ208"/>
      <c r="RHK208"/>
      <c r="RHL208"/>
      <c r="RHM208"/>
      <c r="RHN208"/>
      <c r="RHO208"/>
      <c r="RHP208"/>
      <c r="RHQ208"/>
      <c r="RHR208"/>
      <c r="RHS208"/>
      <c r="RHT208"/>
      <c r="RHU208"/>
      <c r="RHV208"/>
      <c r="RHW208"/>
      <c r="RHX208"/>
      <c r="RHY208"/>
      <c r="RHZ208"/>
      <c r="RIA208"/>
      <c r="RIB208"/>
      <c r="RIC208"/>
      <c r="RID208"/>
      <c r="RIE208"/>
      <c r="RIF208"/>
      <c r="RIG208"/>
      <c r="RIH208"/>
      <c r="RII208"/>
      <c r="RIJ208"/>
      <c r="RIK208"/>
      <c r="RIL208"/>
      <c r="RIM208"/>
      <c r="RIN208"/>
      <c r="RIO208"/>
      <c r="RIP208"/>
      <c r="RIQ208"/>
      <c r="RIR208"/>
      <c r="RIS208"/>
      <c r="RIT208"/>
      <c r="RIU208"/>
      <c r="RIV208"/>
      <c r="RIW208"/>
      <c r="RIX208"/>
      <c r="RIY208"/>
      <c r="RIZ208"/>
      <c r="RJA208"/>
      <c r="RJB208"/>
      <c r="RJC208"/>
      <c r="RJD208"/>
      <c r="RJE208"/>
      <c r="RJF208"/>
      <c r="RJG208"/>
      <c r="RJH208"/>
      <c r="RJI208"/>
      <c r="RJJ208"/>
      <c r="RJK208"/>
      <c r="RJL208"/>
      <c r="RJM208"/>
      <c r="RJN208"/>
      <c r="RJO208"/>
      <c r="RJP208"/>
      <c r="RJQ208"/>
      <c r="RJR208"/>
      <c r="RJS208"/>
      <c r="RJT208"/>
      <c r="RJU208"/>
      <c r="RJV208"/>
      <c r="RJW208"/>
      <c r="RJX208"/>
      <c r="RJY208"/>
      <c r="RJZ208"/>
      <c r="RKA208"/>
      <c r="RKB208"/>
      <c r="RKC208"/>
      <c r="RKD208"/>
      <c r="RKE208"/>
      <c r="RKF208"/>
      <c r="RKG208"/>
      <c r="RKH208"/>
      <c r="RKI208"/>
      <c r="RKJ208"/>
      <c r="RKK208"/>
      <c r="RKL208"/>
      <c r="RKM208"/>
      <c r="RKN208"/>
      <c r="RKO208"/>
      <c r="RKP208"/>
      <c r="RKQ208"/>
      <c r="RKR208"/>
      <c r="RKS208"/>
      <c r="RKT208"/>
      <c r="RKU208"/>
      <c r="RKV208"/>
      <c r="RKW208"/>
      <c r="RKX208"/>
      <c r="RKY208"/>
      <c r="RKZ208"/>
      <c r="RLA208"/>
      <c r="RLB208"/>
      <c r="RLC208"/>
      <c r="RLD208"/>
      <c r="RLE208"/>
      <c r="RLF208"/>
      <c r="RLG208"/>
      <c r="RLH208"/>
      <c r="RLI208"/>
      <c r="RLJ208"/>
      <c r="RLK208"/>
      <c r="RLL208"/>
      <c r="RLM208"/>
      <c r="RLN208"/>
      <c r="RLO208"/>
      <c r="RLP208"/>
      <c r="RLQ208"/>
      <c r="RLR208"/>
      <c r="RLS208"/>
      <c r="RLT208"/>
      <c r="RLU208"/>
      <c r="RLV208"/>
      <c r="RLW208"/>
      <c r="RLX208"/>
      <c r="RLY208"/>
      <c r="RLZ208"/>
      <c r="RMA208"/>
      <c r="RMB208"/>
      <c r="RMC208"/>
      <c r="RMD208"/>
      <c r="RME208"/>
      <c r="RMF208"/>
      <c r="RMG208"/>
      <c r="RMH208"/>
      <c r="RMI208"/>
      <c r="RMJ208"/>
      <c r="RMK208"/>
      <c r="RML208"/>
      <c r="RMM208"/>
      <c r="RMN208"/>
      <c r="RMO208"/>
      <c r="RMP208"/>
      <c r="RMQ208"/>
      <c r="RMR208"/>
      <c r="RMS208"/>
      <c r="RMT208"/>
      <c r="RMU208"/>
      <c r="RMV208"/>
      <c r="RMW208"/>
      <c r="RMX208"/>
      <c r="RMY208"/>
      <c r="RMZ208"/>
      <c r="RNA208"/>
      <c r="RNB208"/>
      <c r="RNC208"/>
      <c r="RND208"/>
      <c r="RNE208"/>
      <c r="RNF208"/>
      <c r="RNG208"/>
      <c r="RNH208"/>
      <c r="RNI208"/>
      <c r="RNJ208"/>
      <c r="RNK208"/>
      <c r="RNL208"/>
      <c r="RNM208"/>
      <c r="RNN208"/>
      <c r="RNO208"/>
      <c r="RNP208"/>
      <c r="RNQ208"/>
      <c r="RNR208"/>
      <c r="RNS208"/>
      <c r="RNT208"/>
      <c r="RNU208"/>
      <c r="RNV208"/>
      <c r="RNW208"/>
      <c r="RNX208"/>
      <c r="RNY208"/>
      <c r="RNZ208"/>
      <c r="ROA208"/>
      <c r="ROB208"/>
      <c r="ROC208"/>
      <c r="ROD208"/>
      <c r="ROE208"/>
      <c r="ROF208"/>
      <c r="ROG208"/>
      <c r="ROH208"/>
      <c r="ROI208"/>
      <c r="ROJ208"/>
      <c r="ROK208"/>
      <c r="ROL208"/>
      <c r="ROM208"/>
      <c r="RON208"/>
      <c r="ROO208"/>
      <c r="ROP208"/>
      <c r="ROQ208"/>
      <c r="ROR208"/>
      <c r="ROS208"/>
      <c r="ROT208"/>
      <c r="ROU208"/>
      <c r="ROV208"/>
      <c r="ROW208"/>
      <c r="ROX208"/>
      <c r="ROY208"/>
      <c r="ROZ208"/>
      <c r="RPA208"/>
      <c r="RPB208"/>
      <c r="RPC208"/>
      <c r="RPD208"/>
      <c r="RPE208"/>
      <c r="RPF208"/>
      <c r="RPG208"/>
      <c r="RPH208"/>
      <c r="RPI208"/>
      <c r="RPJ208"/>
      <c r="RPK208"/>
      <c r="RPL208"/>
      <c r="RPM208"/>
      <c r="RPN208"/>
      <c r="RPO208"/>
      <c r="RPP208"/>
      <c r="RPQ208"/>
      <c r="RPR208"/>
      <c r="RPS208"/>
      <c r="RPT208"/>
      <c r="RPU208"/>
      <c r="RPV208"/>
      <c r="RPW208"/>
      <c r="RPX208"/>
      <c r="RPY208"/>
      <c r="RPZ208"/>
      <c r="RQA208"/>
      <c r="RQB208"/>
      <c r="RQC208"/>
      <c r="RQD208"/>
      <c r="RQE208"/>
      <c r="RQF208"/>
      <c r="RQG208"/>
      <c r="RQH208"/>
      <c r="RQI208"/>
      <c r="RQJ208"/>
      <c r="RQK208"/>
      <c r="RQL208"/>
      <c r="RQM208"/>
      <c r="RQN208"/>
      <c r="RQO208"/>
      <c r="RQP208"/>
      <c r="RQQ208"/>
      <c r="RQR208"/>
      <c r="RQS208"/>
      <c r="RQT208"/>
      <c r="RQU208"/>
      <c r="RQV208"/>
      <c r="RQW208"/>
      <c r="RQX208"/>
      <c r="RQY208"/>
      <c r="RQZ208"/>
      <c r="RRA208"/>
      <c r="RRB208"/>
      <c r="RRC208"/>
      <c r="RRD208"/>
      <c r="RRE208"/>
      <c r="RRF208"/>
      <c r="RRG208"/>
      <c r="RRH208"/>
      <c r="RRI208"/>
      <c r="RRJ208"/>
      <c r="RRK208"/>
      <c r="RRL208"/>
      <c r="RRM208"/>
      <c r="RRN208"/>
      <c r="RRO208"/>
      <c r="RRP208"/>
      <c r="RRQ208"/>
      <c r="RRR208"/>
      <c r="RRS208"/>
      <c r="RRT208"/>
      <c r="RRU208"/>
      <c r="RRV208"/>
      <c r="RRW208"/>
      <c r="RRX208"/>
      <c r="RRY208"/>
      <c r="RRZ208"/>
      <c r="RSA208"/>
      <c r="RSB208"/>
      <c r="RSC208"/>
      <c r="RSD208"/>
      <c r="RSE208"/>
      <c r="RSF208"/>
      <c r="RSG208"/>
      <c r="RSH208"/>
      <c r="RSI208"/>
      <c r="RSJ208"/>
      <c r="RSK208"/>
      <c r="RSL208"/>
      <c r="RSM208"/>
      <c r="RSN208"/>
      <c r="RSO208"/>
      <c r="RSP208"/>
      <c r="RSQ208"/>
      <c r="RSR208"/>
      <c r="RSS208"/>
      <c r="RST208"/>
      <c r="RSU208"/>
      <c r="RSV208"/>
      <c r="RSW208"/>
      <c r="RSX208"/>
      <c r="RSY208"/>
      <c r="RSZ208"/>
      <c r="RTA208"/>
      <c r="RTB208"/>
      <c r="RTC208"/>
      <c r="RTD208"/>
      <c r="RTE208"/>
      <c r="RTF208"/>
      <c r="RTG208"/>
      <c r="RTH208"/>
      <c r="RTI208"/>
      <c r="RTJ208"/>
      <c r="RTK208"/>
      <c r="RTL208"/>
      <c r="RTM208"/>
      <c r="RTN208"/>
      <c r="RTO208"/>
      <c r="RTP208"/>
      <c r="RTQ208"/>
      <c r="RTR208"/>
      <c r="RTS208"/>
      <c r="RTT208"/>
      <c r="RTU208"/>
      <c r="RTV208"/>
      <c r="RTW208"/>
      <c r="RTX208"/>
      <c r="RTY208"/>
      <c r="RTZ208"/>
      <c r="RUA208"/>
      <c r="RUB208"/>
      <c r="RUC208"/>
      <c r="RUD208"/>
      <c r="RUE208"/>
      <c r="RUF208"/>
      <c r="RUG208"/>
      <c r="RUH208"/>
      <c r="RUI208"/>
      <c r="RUJ208"/>
      <c r="RUK208"/>
      <c r="RUL208"/>
      <c r="RUM208"/>
      <c r="RUN208"/>
      <c r="RUO208"/>
      <c r="RUP208"/>
      <c r="RUQ208"/>
      <c r="RUR208"/>
      <c r="RUS208"/>
      <c r="RUT208"/>
      <c r="RUU208"/>
      <c r="RUV208"/>
      <c r="RUW208"/>
      <c r="RUX208"/>
      <c r="RUY208"/>
      <c r="RUZ208"/>
      <c r="RVA208"/>
      <c r="RVB208"/>
      <c r="RVC208"/>
      <c r="RVD208"/>
      <c r="RVE208"/>
      <c r="RVF208"/>
      <c r="RVG208"/>
      <c r="RVH208"/>
      <c r="RVI208"/>
      <c r="RVJ208"/>
      <c r="RVK208"/>
      <c r="RVL208"/>
      <c r="RVM208"/>
      <c r="RVN208"/>
      <c r="RVO208"/>
      <c r="RVP208"/>
      <c r="RVQ208"/>
      <c r="RVR208"/>
      <c r="RVS208"/>
      <c r="RVT208"/>
      <c r="RVU208"/>
      <c r="RVV208"/>
      <c r="RVW208"/>
      <c r="RVX208"/>
      <c r="RVY208"/>
      <c r="RVZ208"/>
      <c r="RWA208"/>
      <c r="RWB208"/>
      <c r="RWC208"/>
      <c r="RWD208"/>
      <c r="RWE208"/>
      <c r="RWF208"/>
      <c r="RWG208"/>
      <c r="RWH208"/>
      <c r="RWI208"/>
      <c r="RWJ208"/>
      <c r="RWK208"/>
      <c r="RWL208"/>
      <c r="RWM208"/>
      <c r="RWN208"/>
      <c r="RWO208"/>
      <c r="RWP208"/>
      <c r="RWQ208"/>
      <c r="RWR208"/>
      <c r="RWS208"/>
      <c r="RWT208"/>
      <c r="RWU208"/>
      <c r="RWV208"/>
      <c r="RWW208"/>
      <c r="RWX208"/>
      <c r="RWY208"/>
      <c r="RWZ208"/>
      <c r="RXA208"/>
      <c r="RXB208"/>
      <c r="RXC208"/>
      <c r="RXD208"/>
      <c r="RXE208"/>
      <c r="RXF208"/>
      <c r="RXG208"/>
      <c r="RXH208"/>
      <c r="RXI208"/>
      <c r="RXJ208"/>
      <c r="RXK208"/>
      <c r="RXL208"/>
      <c r="RXM208"/>
      <c r="RXN208"/>
      <c r="RXO208"/>
      <c r="RXP208"/>
      <c r="RXQ208"/>
      <c r="RXR208"/>
      <c r="RXS208"/>
      <c r="RXT208"/>
      <c r="RXU208"/>
      <c r="RXV208"/>
      <c r="RXW208"/>
      <c r="RXX208"/>
      <c r="RXY208"/>
      <c r="RXZ208"/>
      <c r="RYA208"/>
      <c r="RYB208"/>
      <c r="RYC208"/>
      <c r="RYD208"/>
      <c r="RYE208"/>
      <c r="RYF208"/>
      <c r="RYG208"/>
      <c r="RYH208"/>
      <c r="RYI208"/>
      <c r="RYJ208"/>
      <c r="RYK208"/>
      <c r="RYL208"/>
      <c r="RYM208"/>
      <c r="RYN208"/>
      <c r="RYO208"/>
      <c r="RYP208"/>
      <c r="RYQ208"/>
      <c r="RYR208"/>
      <c r="RYS208"/>
      <c r="RYT208"/>
      <c r="RYU208"/>
      <c r="RYV208"/>
      <c r="RYW208"/>
      <c r="RYX208"/>
      <c r="RYY208"/>
      <c r="RYZ208"/>
      <c r="RZA208"/>
      <c r="RZB208"/>
      <c r="RZC208"/>
      <c r="RZD208"/>
      <c r="RZE208"/>
      <c r="RZF208"/>
      <c r="RZG208"/>
      <c r="RZH208"/>
      <c r="RZI208"/>
      <c r="RZJ208"/>
      <c r="RZK208"/>
      <c r="RZL208"/>
      <c r="RZM208"/>
      <c r="RZN208"/>
      <c r="RZO208"/>
      <c r="RZP208"/>
      <c r="RZQ208"/>
      <c r="RZR208"/>
      <c r="RZS208"/>
      <c r="RZT208"/>
      <c r="RZU208"/>
      <c r="RZV208"/>
      <c r="RZW208"/>
      <c r="RZX208"/>
      <c r="RZY208"/>
      <c r="RZZ208"/>
      <c r="SAA208"/>
      <c r="SAB208"/>
      <c r="SAC208"/>
      <c r="SAD208"/>
      <c r="SAE208"/>
      <c r="SAF208"/>
      <c r="SAG208"/>
      <c r="SAH208"/>
      <c r="SAI208"/>
      <c r="SAJ208"/>
      <c r="SAK208"/>
      <c r="SAL208"/>
      <c r="SAM208"/>
      <c r="SAN208"/>
      <c r="SAO208"/>
      <c r="SAP208"/>
      <c r="SAQ208"/>
      <c r="SAR208"/>
      <c r="SAS208"/>
      <c r="SAT208"/>
      <c r="SAU208"/>
      <c r="SAV208"/>
      <c r="SAW208"/>
      <c r="SAX208"/>
      <c r="SAY208"/>
      <c r="SAZ208"/>
      <c r="SBA208"/>
      <c r="SBB208"/>
      <c r="SBC208"/>
      <c r="SBD208"/>
      <c r="SBE208"/>
      <c r="SBF208"/>
      <c r="SBG208"/>
      <c r="SBH208"/>
      <c r="SBI208"/>
      <c r="SBJ208"/>
      <c r="SBK208"/>
      <c r="SBL208"/>
      <c r="SBM208"/>
      <c r="SBN208"/>
      <c r="SBO208"/>
      <c r="SBP208"/>
      <c r="SBQ208"/>
      <c r="SBR208"/>
      <c r="SBS208"/>
      <c r="SBT208"/>
      <c r="SBU208"/>
      <c r="SBV208"/>
      <c r="SBW208"/>
      <c r="SBX208"/>
      <c r="SBY208"/>
      <c r="SBZ208"/>
      <c r="SCA208"/>
      <c r="SCB208"/>
      <c r="SCC208"/>
      <c r="SCD208"/>
      <c r="SCE208"/>
      <c r="SCF208"/>
      <c r="SCG208"/>
      <c r="SCH208"/>
      <c r="SCI208"/>
      <c r="SCJ208"/>
      <c r="SCK208"/>
      <c r="SCL208"/>
      <c r="SCM208"/>
      <c r="SCN208"/>
      <c r="SCO208"/>
      <c r="SCP208"/>
      <c r="SCQ208"/>
      <c r="SCR208"/>
      <c r="SCS208"/>
      <c r="SCT208"/>
      <c r="SCU208"/>
      <c r="SCV208"/>
      <c r="SCW208"/>
      <c r="SCX208"/>
      <c r="SCY208"/>
      <c r="SCZ208"/>
      <c r="SDA208"/>
      <c r="SDB208"/>
      <c r="SDC208"/>
      <c r="SDD208"/>
      <c r="SDE208"/>
      <c r="SDF208"/>
      <c r="SDG208"/>
      <c r="SDH208"/>
      <c r="SDI208"/>
      <c r="SDJ208"/>
      <c r="SDK208"/>
      <c r="SDL208"/>
      <c r="SDM208"/>
      <c r="SDN208"/>
      <c r="SDO208"/>
      <c r="SDP208"/>
      <c r="SDQ208"/>
      <c r="SDR208"/>
      <c r="SDS208"/>
      <c r="SDT208"/>
      <c r="SDU208"/>
      <c r="SDV208"/>
      <c r="SDW208"/>
      <c r="SDX208"/>
      <c r="SDY208"/>
      <c r="SDZ208"/>
      <c r="SEA208"/>
      <c r="SEB208"/>
      <c r="SEC208"/>
      <c r="SED208"/>
      <c r="SEE208"/>
      <c r="SEF208"/>
      <c r="SEG208"/>
      <c r="SEH208"/>
      <c r="SEI208"/>
      <c r="SEJ208"/>
      <c r="SEK208"/>
      <c r="SEL208"/>
      <c r="SEM208"/>
      <c r="SEN208"/>
      <c r="SEO208"/>
      <c r="SEP208"/>
      <c r="SEQ208"/>
      <c r="SER208"/>
      <c r="SES208"/>
      <c r="SET208"/>
      <c r="SEU208"/>
      <c r="SEV208"/>
      <c r="SEW208"/>
      <c r="SEX208"/>
      <c r="SEY208"/>
      <c r="SEZ208"/>
      <c r="SFA208"/>
      <c r="SFB208"/>
      <c r="SFC208"/>
      <c r="SFD208"/>
      <c r="SFE208"/>
      <c r="SFF208"/>
      <c r="SFG208"/>
      <c r="SFH208"/>
      <c r="SFI208"/>
      <c r="SFJ208"/>
      <c r="SFK208"/>
      <c r="SFL208"/>
      <c r="SFM208"/>
      <c r="SFN208"/>
      <c r="SFO208"/>
      <c r="SFP208"/>
      <c r="SFQ208"/>
      <c r="SFR208"/>
      <c r="SFS208"/>
      <c r="SFT208"/>
      <c r="SFU208"/>
      <c r="SFV208"/>
      <c r="SFW208"/>
      <c r="SFX208"/>
      <c r="SFY208"/>
      <c r="SFZ208"/>
      <c r="SGA208"/>
      <c r="SGB208"/>
      <c r="SGC208"/>
      <c r="SGD208"/>
      <c r="SGE208"/>
      <c r="SGF208"/>
      <c r="SGG208"/>
      <c r="SGH208"/>
      <c r="SGI208"/>
      <c r="SGJ208"/>
      <c r="SGK208"/>
      <c r="SGL208"/>
      <c r="SGM208"/>
      <c r="SGN208"/>
      <c r="SGO208"/>
      <c r="SGP208"/>
      <c r="SGQ208"/>
      <c r="SGR208"/>
      <c r="SGS208"/>
      <c r="SGT208"/>
      <c r="SGU208"/>
      <c r="SGV208"/>
      <c r="SGW208"/>
      <c r="SGX208"/>
      <c r="SGY208"/>
      <c r="SGZ208"/>
      <c r="SHA208"/>
      <c r="SHB208"/>
      <c r="SHC208"/>
      <c r="SHD208"/>
      <c r="SHE208"/>
      <c r="SHF208"/>
      <c r="SHG208"/>
      <c r="SHH208"/>
      <c r="SHI208"/>
      <c r="SHJ208"/>
      <c r="SHK208"/>
      <c r="SHL208"/>
      <c r="SHM208"/>
      <c r="SHN208"/>
      <c r="SHO208"/>
      <c r="SHP208"/>
      <c r="SHQ208"/>
      <c r="SHR208"/>
      <c r="SHS208"/>
      <c r="SHT208"/>
      <c r="SHU208"/>
      <c r="SHV208"/>
      <c r="SHW208"/>
      <c r="SHX208"/>
      <c r="SHY208"/>
      <c r="SHZ208"/>
      <c r="SIA208"/>
      <c r="SIB208"/>
      <c r="SIC208"/>
      <c r="SID208"/>
      <c r="SIE208"/>
      <c r="SIF208"/>
      <c r="SIG208"/>
      <c r="SIH208"/>
      <c r="SII208"/>
      <c r="SIJ208"/>
      <c r="SIK208"/>
      <c r="SIL208"/>
      <c r="SIM208"/>
      <c r="SIN208"/>
      <c r="SIO208"/>
      <c r="SIP208"/>
      <c r="SIQ208"/>
      <c r="SIR208"/>
      <c r="SIS208"/>
      <c r="SIT208"/>
      <c r="SIU208"/>
      <c r="SIV208"/>
      <c r="SIW208"/>
      <c r="SIX208"/>
      <c r="SIY208"/>
      <c r="SIZ208"/>
      <c r="SJA208"/>
      <c r="SJB208"/>
      <c r="SJC208"/>
      <c r="SJD208"/>
      <c r="SJE208"/>
      <c r="SJF208"/>
      <c r="SJG208"/>
      <c r="SJH208"/>
      <c r="SJI208"/>
      <c r="SJJ208"/>
      <c r="SJK208"/>
      <c r="SJL208"/>
      <c r="SJM208"/>
      <c r="SJN208"/>
      <c r="SJO208"/>
      <c r="SJP208"/>
      <c r="SJQ208"/>
      <c r="SJR208"/>
      <c r="SJS208"/>
      <c r="SJT208"/>
      <c r="SJU208"/>
      <c r="SJV208"/>
      <c r="SJW208"/>
      <c r="SJX208"/>
      <c r="SJY208"/>
      <c r="SJZ208"/>
      <c r="SKA208"/>
      <c r="SKB208"/>
      <c r="SKC208"/>
      <c r="SKD208"/>
      <c r="SKE208"/>
      <c r="SKF208"/>
      <c r="SKG208"/>
      <c r="SKH208"/>
      <c r="SKI208"/>
      <c r="SKJ208"/>
      <c r="SKK208"/>
      <c r="SKL208"/>
      <c r="SKM208"/>
      <c r="SKN208"/>
      <c r="SKO208"/>
      <c r="SKP208"/>
      <c r="SKQ208"/>
      <c r="SKR208"/>
      <c r="SKS208"/>
      <c r="SKT208"/>
      <c r="SKU208"/>
      <c r="SKV208"/>
      <c r="SKW208"/>
      <c r="SKX208"/>
      <c r="SKY208"/>
      <c r="SKZ208"/>
      <c r="SLA208"/>
      <c r="SLB208"/>
      <c r="SLC208"/>
      <c r="SLD208"/>
      <c r="SLE208"/>
      <c r="SLF208"/>
      <c r="SLG208"/>
      <c r="SLH208"/>
      <c r="SLI208"/>
      <c r="SLJ208"/>
      <c r="SLK208"/>
      <c r="SLL208"/>
      <c r="SLM208"/>
      <c r="SLN208"/>
      <c r="SLO208"/>
      <c r="SLP208"/>
      <c r="SLQ208"/>
      <c r="SLR208"/>
      <c r="SLS208"/>
      <c r="SLT208"/>
      <c r="SLU208"/>
      <c r="SLV208"/>
      <c r="SLW208"/>
      <c r="SLX208"/>
      <c r="SLY208"/>
      <c r="SLZ208"/>
      <c r="SMA208"/>
      <c r="SMB208"/>
      <c r="SMC208"/>
      <c r="SMD208"/>
      <c r="SME208"/>
      <c r="SMF208"/>
      <c r="SMG208"/>
      <c r="SMH208"/>
      <c r="SMI208"/>
      <c r="SMJ208"/>
      <c r="SMK208"/>
      <c r="SML208"/>
      <c r="SMM208"/>
      <c r="SMN208"/>
      <c r="SMO208"/>
      <c r="SMP208"/>
      <c r="SMQ208"/>
      <c r="SMR208"/>
      <c r="SMS208"/>
      <c r="SMT208"/>
      <c r="SMU208"/>
      <c r="SMV208"/>
      <c r="SMW208"/>
      <c r="SMX208"/>
      <c r="SMY208"/>
      <c r="SMZ208"/>
      <c r="SNA208"/>
      <c r="SNB208"/>
      <c r="SNC208"/>
      <c r="SND208"/>
      <c r="SNE208"/>
      <c r="SNF208"/>
      <c r="SNG208"/>
      <c r="SNH208"/>
      <c r="SNI208"/>
      <c r="SNJ208"/>
      <c r="SNK208"/>
      <c r="SNL208"/>
      <c r="SNM208"/>
      <c r="SNN208"/>
      <c r="SNO208"/>
      <c r="SNP208"/>
      <c r="SNQ208"/>
      <c r="SNR208"/>
      <c r="SNS208"/>
      <c r="SNT208"/>
      <c r="SNU208"/>
      <c r="SNV208"/>
      <c r="SNW208"/>
      <c r="SNX208"/>
      <c r="SNY208"/>
      <c r="SNZ208"/>
      <c r="SOA208"/>
      <c r="SOB208"/>
      <c r="SOC208"/>
      <c r="SOD208"/>
      <c r="SOE208"/>
      <c r="SOF208"/>
      <c r="SOG208"/>
      <c r="SOH208"/>
      <c r="SOI208"/>
      <c r="SOJ208"/>
      <c r="SOK208"/>
      <c r="SOL208"/>
      <c r="SOM208"/>
      <c r="SON208"/>
      <c r="SOO208"/>
      <c r="SOP208"/>
      <c r="SOQ208"/>
      <c r="SOR208"/>
      <c r="SOS208"/>
      <c r="SOT208"/>
      <c r="SOU208"/>
      <c r="SOV208"/>
      <c r="SOW208"/>
      <c r="SOX208"/>
      <c r="SOY208"/>
      <c r="SOZ208"/>
      <c r="SPA208"/>
      <c r="SPB208"/>
      <c r="SPC208"/>
      <c r="SPD208"/>
      <c r="SPE208"/>
      <c r="SPF208"/>
      <c r="SPG208"/>
      <c r="SPH208"/>
      <c r="SPI208"/>
      <c r="SPJ208"/>
      <c r="SPK208"/>
      <c r="SPL208"/>
      <c r="SPM208"/>
      <c r="SPN208"/>
      <c r="SPO208"/>
      <c r="SPP208"/>
      <c r="SPQ208"/>
      <c r="SPR208"/>
      <c r="SPS208"/>
      <c r="SPT208"/>
      <c r="SPU208"/>
      <c r="SPV208"/>
      <c r="SPW208"/>
      <c r="SPX208"/>
      <c r="SPY208"/>
      <c r="SPZ208"/>
      <c r="SQA208"/>
      <c r="SQB208"/>
      <c r="SQC208"/>
      <c r="SQD208"/>
      <c r="SQE208"/>
      <c r="SQF208"/>
      <c r="SQG208"/>
      <c r="SQH208"/>
      <c r="SQI208"/>
      <c r="SQJ208"/>
      <c r="SQK208"/>
      <c r="SQL208"/>
      <c r="SQM208"/>
      <c r="SQN208"/>
      <c r="SQO208"/>
      <c r="SQP208"/>
      <c r="SQQ208"/>
      <c r="SQR208"/>
      <c r="SQS208"/>
      <c r="SQT208"/>
      <c r="SQU208"/>
      <c r="SQV208"/>
      <c r="SQW208"/>
      <c r="SQX208"/>
      <c r="SQY208"/>
      <c r="SQZ208"/>
      <c r="SRA208"/>
      <c r="SRB208"/>
      <c r="SRC208"/>
      <c r="SRD208"/>
      <c r="SRE208"/>
      <c r="SRF208"/>
      <c r="SRG208"/>
      <c r="SRH208"/>
      <c r="SRI208"/>
      <c r="SRJ208"/>
      <c r="SRK208"/>
      <c r="SRL208"/>
      <c r="SRM208"/>
      <c r="SRN208"/>
      <c r="SRO208"/>
      <c r="SRP208"/>
      <c r="SRQ208"/>
      <c r="SRR208"/>
      <c r="SRS208"/>
      <c r="SRT208"/>
      <c r="SRU208"/>
      <c r="SRV208"/>
      <c r="SRW208"/>
      <c r="SRX208"/>
      <c r="SRY208"/>
      <c r="SRZ208"/>
      <c r="SSA208"/>
      <c r="SSB208"/>
      <c r="SSC208"/>
      <c r="SSD208"/>
      <c r="SSE208"/>
      <c r="SSF208"/>
      <c r="SSG208"/>
      <c r="SSH208"/>
      <c r="SSI208"/>
      <c r="SSJ208"/>
      <c r="SSK208"/>
      <c r="SSL208"/>
      <c r="SSM208"/>
      <c r="SSN208"/>
      <c r="SSO208"/>
      <c r="SSP208"/>
      <c r="SSQ208"/>
      <c r="SSR208"/>
      <c r="SSS208"/>
      <c r="SST208"/>
      <c r="SSU208"/>
      <c r="SSV208"/>
      <c r="SSW208"/>
      <c r="SSX208"/>
      <c r="SSY208"/>
      <c r="SSZ208"/>
      <c r="STA208"/>
      <c r="STB208"/>
      <c r="STC208"/>
      <c r="STD208"/>
      <c r="STE208"/>
      <c r="STF208"/>
      <c r="STG208"/>
      <c r="STH208"/>
      <c r="STI208"/>
      <c r="STJ208"/>
      <c r="STK208"/>
      <c r="STL208"/>
      <c r="STM208"/>
      <c r="STN208"/>
      <c r="STO208"/>
      <c r="STP208"/>
      <c r="STQ208"/>
      <c r="STR208"/>
      <c r="STS208"/>
      <c r="STT208"/>
      <c r="STU208"/>
      <c r="STV208"/>
      <c r="STW208"/>
      <c r="STX208"/>
      <c r="STY208"/>
      <c r="STZ208"/>
      <c r="SUA208"/>
      <c r="SUB208"/>
      <c r="SUC208"/>
      <c r="SUD208"/>
      <c r="SUE208"/>
      <c r="SUF208"/>
      <c r="SUG208"/>
      <c r="SUH208"/>
      <c r="SUI208"/>
      <c r="SUJ208"/>
      <c r="SUK208"/>
      <c r="SUL208"/>
      <c r="SUM208"/>
      <c r="SUN208"/>
      <c r="SUO208"/>
      <c r="SUP208"/>
      <c r="SUQ208"/>
      <c r="SUR208"/>
      <c r="SUS208"/>
      <c r="SUT208"/>
      <c r="SUU208"/>
      <c r="SUV208"/>
      <c r="SUW208"/>
      <c r="SUX208"/>
      <c r="SUY208"/>
      <c r="SUZ208"/>
      <c r="SVA208"/>
      <c r="SVB208"/>
      <c r="SVC208"/>
      <c r="SVD208"/>
      <c r="SVE208"/>
      <c r="SVF208"/>
      <c r="SVG208"/>
      <c r="SVH208"/>
      <c r="SVI208"/>
      <c r="SVJ208"/>
      <c r="SVK208"/>
      <c r="SVL208"/>
      <c r="SVM208"/>
      <c r="SVN208"/>
      <c r="SVO208"/>
      <c r="SVP208"/>
      <c r="SVQ208"/>
      <c r="SVR208"/>
      <c r="SVS208"/>
      <c r="SVT208"/>
      <c r="SVU208"/>
      <c r="SVV208"/>
      <c r="SVW208"/>
      <c r="SVX208"/>
      <c r="SVY208"/>
      <c r="SVZ208"/>
      <c r="SWA208"/>
      <c r="SWB208"/>
      <c r="SWC208"/>
      <c r="SWD208"/>
      <c r="SWE208"/>
      <c r="SWF208"/>
      <c r="SWG208"/>
      <c r="SWH208"/>
      <c r="SWI208"/>
      <c r="SWJ208"/>
      <c r="SWK208"/>
      <c r="SWL208"/>
      <c r="SWM208"/>
      <c r="SWN208"/>
      <c r="SWO208"/>
      <c r="SWP208"/>
      <c r="SWQ208"/>
      <c r="SWR208"/>
      <c r="SWS208"/>
      <c r="SWT208"/>
      <c r="SWU208"/>
      <c r="SWV208"/>
      <c r="SWW208"/>
      <c r="SWX208"/>
      <c r="SWY208"/>
      <c r="SWZ208"/>
      <c r="SXA208"/>
      <c r="SXB208"/>
      <c r="SXC208"/>
      <c r="SXD208"/>
      <c r="SXE208"/>
      <c r="SXF208"/>
      <c r="SXG208"/>
      <c r="SXH208"/>
      <c r="SXI208"/>
      <c r="SXJ208"/>
      <c r="SXK208"/>
      <c r="SXL208"/>
      <c r="SXM208"/>
      <c r="SXN208"/>
      <c r="SXO208"/>
      <c r="SXP208"/>
      <c r="SXQ208"/>
      <c r="SXR208"/>
      <c r="SXS208"/>
      <c r="SXT208"/>
      <c r="SXU208"/>
      <c r="SXV208"/>
      <c r="SXW208"/>
      <c r="SXX208"/>
      <c r="SXY208"/>
      <c r="SXZ208"/>
      <c r="SYA208"/>
      <c r="SYB208"/>
      <c r="SYC208"/>
      <c r="SYD208"/>
      <c r="SYE208"/>
      <c r="SYF208"/>
      <c r="SYG208"/>
      <c r="SYH208"/>
      <c r="SYI208"/>
      <c r="SYJ208"/>
      <c r="SYK208"/>
      <c r="SYL208"/>
      <c r="SYM208"/>
      <c r="SYN208"/>
      <c r="SYO208"/>
      <c r="SYP208"/>
      <c r="SYQ208"/>
      <c r="SYR208"/>
      <c r="SYS208"/>
      <c r="SYT208"/>
      <c r="SYU208"/>
      <c r="SYV208"/>
      <c r="SYW208"/>
      <c r="SYX208"/>
      <c r="SYY208"/>
      <c r="SYZ208"/>
      <c r="SZA208"/>
      <c r="SZB208"/>
      <c r="SZC208"/>
      <c r="SZD208"/>
      <c r="SZE208"/>
      <c r="SZF208"/>
      <c r="SZG208"/>
      <c r="SZH208"/>
      <c r="SZI208"/>
      <c r="SZJ208"/>
      <c r="SZK208"/>
      <c r="SZL208"/>
      <c r="SZM208"/>
      <c r="SZN208"/>
      <c r="SZO208"/>
      <c r="SZP208"/>
      <c r="SZQ208"/>
      <c r="SZR208"/>
      <c r="SZS208"/>
      <c r="SZT208"/>
      <c r="SZU208"/>
      <c r="SZV208"/>
      <c r="SZW208"/>
      <c r="SZX208"/>
      <c r="SZY208"/>
      <c r="SZZ208"/>
      <c r="TAA208"/>
      <c r="TAB208"/>
      <c r="TAC208"/>
      <c r="TAD208"/>
      <c r="TAE208"/>
      <c r="TAF208"/>
      <c r="TAG208"/>
      <c r="TAH208"/>
      <c r="TAI208"/>
      <c r="TAJ208"/>
      <c r="TAK208"/>
      <c r="TAL208"/>
      <c r="TAM208"/>
      <c r="TAN208"/>
      <c r="TAO208"/>
      <c r="TAP208"/>
      <c r="TAQ208"/>
      <c r="TAR208"/>
      <c r="TAS208"/>
      <c r="TAT208"/>
      <c r="TAU208"/>
      <c r="TAV208"/>
      <c r="TAW208"/>
      <c r="TAX208"/>
      <c r="TAY208"/>
      <c r="TAZ208"/>
      <c r="TBA208"/>
      <c r="TBB208"/>
      <c r="TBC208"/>
      <c r="TBD208"/>
      <c r="TBE208"/>
      <c r="TBF208"/>
      <c r="TBG208"/>
      <c r="TBH208"/>
      <c r="TBI208"/>
      <c r="TBJ208"/>
      <c r="TBK208"/>
      <c r="TBL208"/>
      <c r="TBM208"/>
      <c r="TBN208"/>
      <c r="TBO208"/>
      <c r="TBP208"/>
      <c r="TBQ208"/>
      <c r="TBR208"/>
      <c r="TBS208"/>
      <c r="TBT208"/>
      <c r="TBU208"/>
      <c r="TBV208"/>
      <c r="TBW208"/>
      <c r="TBX208"/>
      <c r="TBY208"/>
      <c r="TBZ208"/>
      <c r="TCA208"/>
      <c r="TCB208"/>
      <c r="TCC208"/>
      <c r="TCD208"/>
      <c r="TCE208"/>
      <c r="TCF208"/>
      <c r="TCG208"/>
      <c r="TCH208"/>
      <c r="TCI208"/>
      <c r="TCJ208"/>
      <c r="TCK208"/>
      <c r="TCL208"/>
      <c r="TCM208"/>
      <c r="TCN208"/>
      <c r="TCO208"/>
      <c r="TCP208"/>
      <c r="TCQ208"/>
      <c r="TCR208"/>
      <c r="TCS208"/>
      <c r="TCT208"/>
      <c r="TCU208"/>
      <c r="TCV208"/>
      <c r="TCW208"/>
      <c r="TCX208"/>
      <c r="TCY208"/>
      <c r="TCZ208"/>
      <c r="TDA208"/>
      <c r="TDB208"/>
      <c r="TDC208"/>
      <c r="TDD208"/>
      <c r="TDE208"/>
      <c r="TDF208"/>
      <c r="TDG208"/>
      <c r="TDH208"/>
      <c r="TDI208"/>
      <c r="TDJ208"/>
      <c r="TDK208"/>
      <c r="TDL208"/>
      <c r="TDM208"/>
      <c r="TDN208"/>
      <c r="TDO208"/>
      <c r="TDP208"/>
      <c r="TDQ208"/>
      <c r="TDR208"/>
      <c r="TDS208"/>
      <c r="TDT208"/>
      <c r="TDU208"/>
      <c r="TDV208"/>
      <c r="TDW208"/>
      <c r="TDX208"/>
      <c r="TDY208"/>
      <c r="TDZ208"/>
      <c r="TEA208"/>
      <c r="TEB208"/>
      <c r="TEC208"/>
      <c r="TED208"/>
      <c r="TEE208"/>
      <c r="TEF208"/>
      <c r="TEG208"/>
      <c r="TEH208"/>
      <c r="TEI208"/>
      <c r="TEJ208"/>
      <c r="TEK208"/>
      <c r="TEL208"/>
      <c r="TEM208"/>
      <c r="TEN208"/>
      <c r="TEO208"/>
      <c r="TEP208"/>
      <c r="TEQ208"/>
      <c r="TER208"/>
      <c r="TES208"/>
      <c r="TET208"/>
      <c r="TEU208"/>
      <c r="TEV208"/>
      <c r="TEW208"/>
      <c r="TEX208"/>
      <c r="TEY208"/>
      <c r="TEZ208"/>
      <c r="TFA208"/>
      <c r="TFB208"/>
      <c r="TFC208"/>
      <c r="TFD208"/>
      <c r="TFE208"/>
      <c r="TFF208"/>
      <c r="TFG208"/>
      <c r="TFH208"/>
      <c r="TFI208"/>
      <c r="TFJ208"/>
      <c r="TFK208"/>
      <c r="TFL208"/>
      <c r="TFM208"/>
      <c r="TFN208"/>
      <c r="TFO208"/>
      <c r="TFP208"/>
      <c r="TFQ208"/>
      <c r="TFR208"/>
      <c r="TFS208"/>
      <c r="TFT208"/>
      <c r="TFU208"/>
      <c r="TFV208"/>
      <c r="TFW208"/>
      <c r="TFX208"/>
      <c r="TFY208"/>
      <c r="TFZ208"/>
      <c r="TGA208"/>
      <c r="TGB208"/>
      <c r="TGC208"/>
      <c r="TGD208"/>
      <c r="TGE208"/>
      <c r="TGF208"/>
      <c r="TGG208"/>
      <c r="TGH208"/>
      <c r="TGI208"/>
      <c r="TGJ208"/>
      <c r="TGK208"/>
      <c r="TGL208"/>
      <c r="TGM208"/>
      <c r="TGN208"/>
      <c r="TGO208"/>
      <c r="TGP208"/>
      <c r="TGQ208"/>
      <c r="TGR208"/>
      <c r="TGS208"/>
      <c r="TGT208"/>
      <c r="TGU208"/>
      <c r="TGV208"/>
      <c r="TGW208"/>
      <c r="TGX208"/>
      <c r="TGY208"/>
      <c r="TGZ208"/>
      <c r="THA208"/>
      <c r="THB208"/>
      <c r="THC208"/>
      <c r="THD208"/>
      <c r="THE208"/>
      <c r="THF208"/>
      <c r="THG208"/>
      <c r="THH208"/>
      <c r="THI208"/>
      <c r="THJ208"/>
      <c r="THK208"/>
      <c r="THL208"/>
      <c r="THM208"/>
      <c r="THN208"/>
      <c r="THO208"/>
      <c r="THP208"/>
      <c r="THQ208"/>
      <c r="THR208"/>
      <c r="THS208"/>
      <c r="THT208"/>
      <c r="THU208"/>
      <c r="THV208"/>
      <c r="THW208"/>
      <c r="THX208"/>
      <c r="THY208"/>
      <c r="THZ208"/>
      <c r="TIA208"/>
      <c r="TIB208"/>
      <c r="TIC208"/>
      <c r="TID208"/>
      <c r="TIE208"/>
      <c r="TIF208"/>
      <c r="TIG208"/>
      <c r="TIH208"/>
      <c r="TII208"/>
      <c r="TIJ208"/>
      <c r="TIK208"/>
      <c r="TIL208"/>
      <c r="TIM208"/>
      <c r="TIN208"/>
      <c r="TIO208"/>
      <c r="TIP208"/>
      <c r="TIQ208"/>
      <c r="TIR208"/>
      <c r="TIS208"/>
      <c r="TIT208"/>
      <c r="TIU208"/>
      <c r="TIV208"/>
      <c r="TIW208"/>
      <c r="TIX208"/>
      <c r="TIY208"/>
      <c r="TIZ208"/>
      <c r="TJA208"/>
      <c r="TJB208"/>
      <c r="TJC208"/>
      <c r="TJD208"/>
      <c r="TJE208"/>
      <c r="TJF208"/>
      <c r="TJG208"/>
      <c r="TJH208"/>
      <c r="TJI208"/>
      <c r="TJJ208"/>
      <c r="TJK208"/>
      <c r="TJL208"/>
      <c r="TJM208"/>
      <c r="TJN208"/>
      <c r="TJO208"/>
      <c r="TJP208"/>
      <c r="TJQ208"/>
      <c r="TJR208"/>
      <c r="TJS208"/>
      <c r="TJT208"/>
      <c r="TJU208"/>
      <c r="TJV208"/>
      <c r="TJW208"/>
      <c r="TJX208"/>
      <c r="TJY208"/>
      <c r="TJZ208"/>
      <c r="TKA208"/>
      <c r="TKB208"/>
      <c r="TKC208"/>
      <c r="TKD208"/>
      <c r="TKE208"/>
      <c r="TKF208"/>
      <c r="TKG208"/>
      <c r="TKH208"/>
      <c r="TKI208"/>
      <c r="TKJ208"/>
      <c r="TKK208"/>
      <c r="TKL208"/>
      <c r="TKM208"/>
      <c r="TKN208"/>
      <c r="TKO208"/>
      <c r="TKP208"/>
      <c r="TKQ208"/>
      <c r="TKR208"/>
      <c r="TKS208"/>
      <c r="TKT208"/>
      <c r="TKU208"/>
      <c r="TKV208"/>
      <c r="TKW208"/>
      <c r="TKX208"/>
      <c r="TKY208"/>
      <c r="TKZ208"/>
      <c r="TLA208"/>
      <c r="TLB208"/>
      <c r="TLC208"/>
      <c r="TLD208"/>
      <c r="TLE208"/>
      <c r="TLF208"/>
      <c r="TLG208"/>
      <c r="TLH208"/>
      <c r="TLI208"/>
      <c r="TLJ208"/>
      <c r="TLK208"/>
      <c r="TLL208"/>
      <c r="TLM208"/>
      <c r="TLN208"/>
      <c r="TLO208"/>
      <c r="TLP208"/>
      <c r="TLQ208"/>
      <c r="TLR208"/>
      <c r="TLS208"/>
      <c r="TLT208"/>
      <c r="TLU208"/>
      <c r="TLV208"/>
      <c r="TLW208"/>
      <c r="TLX208"/>
      <c r="TLY208"/>
      <c r="TLZ208"/>
      <c r="TMA208"/>
      <c r="TMB208"/>
      <c r="TMC208"/>
      <c r="TMD208"/>
      <c r="TME208"/>
      <c r="TMF208"/>
      <c r="TMG208"/>
      <c r="TMH208"/>
      <c r="TMI208"/>
      <c r="TMJ208"/>
      <c r="TMK208"/>
      <c r="TML208"/>
      <c r="TMM208"/>
      <c r="TMN208"/>
      <c r="TMO208"/>
      <c r="TMP208"/>
      <c r="TMQ208"/>
      <c r="TMR208"/>
      <c r="TMS208"/>
      <c r="TMT208"/>
      <c r="TMU208"/>
      <c r="TMV208"/>
      <c r="TMW208"/>
      <c r="TMX208"/>
      <c r="TMY208"/>
      <c r="TMZ208"/>
      <c r="TNA208"/>
      <c r="TNB208"/>
      <c r="TNC208"/>
      <c r="TND208"/>
      <c r="TNE208"/>
      <c r="TNF208"/>
      <c r="TNG208"/>
      <c r="TNH208"/>
      <c r="TNI208"/>
      <c r="TNJ208"/>
      <c r="TNK208"/>
      <c r="TNL208"/>
      <c r="TNM208"/>
      <c r="TNN208"/>
      <c r="TNO208"/>
      <c r="TNP208"/>
      <c r="TNQ208"/>
      <c r="TNR208"/>
      <c r="TNS208"/>
      <c r="TNT208"/>
      <c r="TNU208"/>
      <c r="TNV208"/>
      <c r="TNW208"/>
      <c r="TNX208"/>
      <c r="TNY208"/>
      <c r="TNZ208"/>
      <c r="TOA208"/>
      <c r="TOB208"/>
      <c r="TOC208"/>
      <c r="TOD208"/>
      <c r="TOE208"/>
      <c r="TOF208"/>
      <c r="TOG208"/>
      <c r="TOH208"/>
      <c r="TOI208"/>
      <c r="TOJ208"/>
      <c r="TOK208"/>
      <c r="TOL208"/>
      <c r="TOM208"/>
      <c r="TON208"/>
      <c r="TOO208"/>
      <c r="TOP208"/>
      <c r="TOQ208"/>
      <c r="TOR208"/>
      <c r="TOS208"/>
      <c r="TOT208"/>
      <c r="TOU208"/>
      <c r="TOV208"/>
      <c r="TOW208"/>
      <c r="TOX208"/>
      <c r="TOY208"/>
      <c r="TOZ208"/>
      <c r="TPA208"/>
      <c r="TPB208"/>
      <c r="TPC208"/>
      <c r="TPD208"/>
      <c r="TPE208"/>
      <c r="TPF208"/>
      <c r="TPG208"/>
      <c r="TPH208"/>
      <c r="TPI208"/>
      <c r="TPJ208"/>
      <c r="TPK208"/>
      <c r="TPL208"/>
      <c r="TPM208"/>
      <c r="TPN208"/>
      <c r="TPO208"/>
      <c r="TPP208"/>
      <c r="TPQ208"/>
      <c r="TPR208"/>
      <c r="TPS208"/>
      <c r="TPT208"/>
      <c r="TPU208"/>
      <c r="TPV208"/>
      <c r="TPW208"/>
      <c r="TPX208"/>
      <c r="TPY208"/>
      <c r="TPZ208"/>
      <c r="TQA208"/>
      <c r="TQB208"/>
      <c r="TQC208"/>
      <c r="TQD208"/>
      <c r="TQE208"/>
      <c r="TQF208"/>
      <c r="TQG208"/>
      <c r="TQH208"/>
      <c r="TQI208"/>
      <c r="TQJ208"/>
      <c r="TQK208"/>
      <c r="TQL208"/>
      <c r="TQM208"/>
      <c r="TQN208"/>
      <c r="TQO208"/>
      <c r="TQP208"/>
      <c r="TQQ208"/>
      <c r="TQR208"/>
      <c r="TQS208"/>
      <c r="TQT208"/>
      <c r="TQU208"/>
      <c r="TQV208"/>
      <c r="TQW208"/>
      <c r="TQX208"/>
      <c r="TQY208"/>
      <c r="TQZ208"/>
      <c r="TRA208"/>
      <c r="TRB208"/>
      <c r="TRC208"/>
      <c r="TRD208"/>
      <c r="TRE208"/>
      <c r="TRF208"/>
      <c r="TRG208"/>
      <c r="TRH208"/>
      <c r="TRI208"/>
      <c r="TRJ208"/>
      <c r="TRK208"/>
      <c r="TRL208"/>
      <c r="TRM208"/>
      <c r="TRN208"/>
      <c r="TRO208"/>
      <c r="TRP208"/>
      <c r="TRQ208"/>
      <c r="TRR208"/>
      <c r="TRS208"/>
      <c r="TRT208"/>
      <c r="TRU208"/>
      <c r="TRV208"/>
      <c r="TRW208"/>
      <c r="TRX208"/>
      <c r="TRY208"/>
      <c r="TRZ208"/>
      <c r="TSA208"/>
      <c r="TSB208"/>
      <c r="TSC208"/>
      <c r="TSD208"/>
      <c r="TSE208"/>
      <c r="TSF208"/>
      <c r="TSG208"/>
      <c r="TSH208"/>
      <c r="TSI208"/>
      <c r="TSJ208"/>
      <c r="TSK208"/>
      <c r="TSL208"/>
      <c r="TSM208"/>
      <c r="TSN208"/>
      <c r="TSO208"/>
      <c r="TSP208"/>
      <c r="TSQ208"/>
      <c r="TSR208"/>
      <c r="TSS208"/>
      <c r="TST208"/>
      <c r="TSU208"/>
      <c r="TSV208"/>
      <c r="TSW208"/>
      <c r="TSX208"/>
      <c r="TSY208"/>
      <c r="TSZ208"/>
      <c r="TTA208"/>
      <c r="TTB208"/>
      <c r="TTC208"/>
      <c r="TTD208"/>
      <c r="TTE208"/>
      <c r="TTF208"/>
      <c r="TTG208"/>
      <c r="TTH208"/>
      <c r="TTI208"/>
      <c r="TTJ208"/>
      <c r="TTK208"/>
      <c r="TTL208"/>
      <c r="TTM208"/>
      <c r="TTN208"/>
      <c r="TTO208"/>
      <c r="TTP208"/>
      <c r="TTQ208"/>
      <c r="TTR208"/>
      <c r="TTS208"/>
      <c r="TTT208"/>
      <c r="TTU208"/>
      <c r="TTV208"/>
      <c r="TTW208"/>
      <c r="TTX208"/>
      <c r="TTY208"/>
      <c r="TTZ208"/>
      <c r="TUA208"/>
      <c r="TUB208"/>
      <c r="TUC208"/>
      <c r="TUD208"/>
      <c r="TUE208"/>
      <c r="TUF208"/>
      <c r="TUG208"/>
      <c r="TUH208"/>
      <c r="TUI208"/>
      <c r="TUJ208"/>
      <c r="TUK208"/>
      <c r="TUL208"/>
      <c r="TUM208"/>
      <c r="TUN208"/>
      <c r="TUO208"/>
      <c r="TUP208"/>
      <c r="TUQ208"/>
      <c r="TUR208"/>
      <c r="TUS208"/>
      <c r="TUT208"/>
      <c r="TUU208"/>
      <c r="TUV208"/>
      <c r="TUW208"/>
      <c r="TUX208"/>
      <c r="TUY208"/>
      <c r="TUZ208"/>
      <c r="TVA208"/>
      <c r="TVB208"/>
      <c r="TVC208"/>
      <c r="TVD208"/>
      <c r="TVE208"/>
      <c r="TVF208"/>
      <c r="TVG208"/>
      <c r="TVH208"/>
      <c r="TVI208"/>
      <c r="TVJ208"/>
      <c r="TVK208"/>
      <c r="TVL208"/>
      <c r="TVM208"/>
      <c r="TVN208"/>
      <c r="TVO208"/>
      <c r="TVP208"/>
      <c r="TVQ208"/>
      <c r="TVR208"/>
      <c r="TVS208"/>
      <c r="TVT208"/>
      <c r="TVU208"/>
      <c r="TVV208"/>
      <c r="TVW208"/>
      <c r="TVX208"/>
      <c r="TVY208"/>
      <c r="TVZ208"/>
      <c r="TWA208"/>
      <c r="TWB208"/>
      <c r="TWC208"/>
      <c r="TWD208"/>
      <c r="TWE208"/>
      <c r="TWF208"/>
      <c r="TWG208"/>
      <c r="TWH208"/>
      <c r="TWI208"/>
      <c r="TWJ208"/>
      <c r="TWK208"/>
      <c r="TWL208"/>
      <c r="TWM208"/>
      <c r="TWN208"/>
      <c r="TWO208"/>
      <c r="TWP208"/>
      <c r="TWQ208"/>
      <c r="TWR208"/>
      <c r="TWS208"/>
      <c r="TWT208"/>
      <c r="TWU208"/>
      <c r="TWV208"/>
      <c r="TWW208"/>
      <c r="TWX208"/>
      <c r="TWY208"/>
      <c r="TWZ208"/>
      <c r="TXA208"/>
      <c r="TXB208"/>
      <c r="TXC208"/>
      <c r="TXD208"/>
      <c r="TXE208"/>
      <c r="TXF208"/>
      <c r="TXG208"/>
      <c r="TXH208"/>
      <c r="TXI208"/>
      <c r="TXJ208"/>
      <c r="TXK208"/>
      <c r="TXL208"/>
      <c r="TXM208"/>
      <c r="TXN208"/>
      <c r="TXO208"/>
      <c r="TXP208"/>
      <c r="TXQ208"/>
      <c r="TXR208"/>
      <c r="TXS208"/>
      <c r="TXT208"/>
      <c r="TXU208"/>
      <c r="TXV208"/>
      <c r="TXW208"/>
      <c r="TXX208"/>
      <c r="TXY208"/>
      <c r="TXZ208"/>
      <c r="TYA208"/>
      <c r="TYB208"/>
      <c r="TYC208"/>
      <c r="TYD208"/>
      <c r="TYE208"/>
      <c r="TYF208"/>
      <c r="TYG208"/>
      <c r="TYH208"/>
      <c r="TYI208"/>
      <c r="TYJ208"/>
      <c r="TYK208"/>
      <c r="TYL208"/>
      <c r="TYM208"/>
      <c r="TYN208"/>
      <c r="TYO208"/>
      <c r="TYP208"/>
      <c r="TYQ208"/>
      <c r="TYR208"/>
      <c r="TYS208"/>
      <c r="TYT208"/>
      <c r="TYU208"/>
      <c r="TYV208"/>
      <c r="TYW208"/>
      <c r="TYX208"/>
      <c r="TYY208"/>
      <c r="TYZ208"/>
      <c r="TZA208"/>
      <c r="TZB208"/>
      <c r="TZC208"/>
      <c r="TZD208"/>
      <c r="TZE208"/>
      <c r="TZF208"/>
      <c r="TZG208"/>
      <c r="TZH208"/>
      <c r="TZI208"/>
      <c r="TZJ208"/>
      <c r="TZK208"/>
      <c r="TZL208"/>
      <c r="TZM208"/>
      <c r="TZN208"/>
      <c r="TZO208"/>
      <c r="TZP208"/>
      <c r="TZQ208"/>
      <c r="TZR208"/>
      <c r="TZS208"/>
      <c r="TZT208"/>
      <c r="TZU208"/>
      <c r="TZV208"/>
      <c r="TZW208"/>
      <c r="TZX208"/>
      <c r="TZY208"/>
      <c r="TZZ208"/>
      <c r="UAA208"/>
      <c r="UAB208"/>
      <c r="UAC208"/>
      <c r="UAD208"/>
      <c r="UAE208"/>
      <c r="UAF208"/>
      <c r="UAG208"/>
      <c r="UAH208"/>
      <c r="UAI208"/>
      <c r="UAJ208"/>
      <c r="UAK208"/>
      <c r="UAL208"/>
      <c r="UAM208"/>
      <c r="UAN208"/>
      <c r="UAO208"/>
      <c r="UAP208"/>
      <c r="UAQ208"/>
      <c r="UAR208"/>
      <c r="UAS208"/>
      <c r="UAT208"/>
      <c r="UAU208"/>
      <c r="UAV208"/>
      <c r="UAW208"/>
      <c r="UAX208"/>
      <c r="UAY208"/>
      <c r="UAZ208"/>
      <c r="UBA208"/>
      <c r="UBB208"/>
      <c r="UBC208"/>
      <c r="UBD208"/>
      <c r="UBE208"/>
      <c r="UBF208"/>
      <c r="UBG208"/>
      <c r="UBH208"/>
      <c r="UBI208"/>
      <c r="UBJ208"/>
      <c r="UBK208"/>
      <c r="UBL208"/>
      <c r="UBM208"/>
      <c r="UBN208"/>
      <c r="UBO208"/>
      <c r="UBP208"/>
      <c r="UBQ208"/>
      <c r="UBR208"/>
      <c r="UBS208"/>
      <c r="UBT208"/>
      <c r="UBU208"/>
      <c r="UBV208"/>
      <c r="UBW208"/>
      <c r="UBX208"/>
      <c r="UBY208"/>
      <c r="UBZ208"/>
      <c r="UCA208"/>
      <c r="UCB208"/>
      <c r="UCC208"/>
      <c r="UCD208"/>
      <c r="UCE208"/>
      <c r="UCF208"/>
      <c r="UCG208"/>
      <c r="UCH208"/>
      <c r="UCI208"/>
      <c r="UCJ208"/>
      <c r="UCK208"/>
      <c r="UCL208"/>
      <c r="UCM208"/>
      <c r="UCN208"/>
      <c r="UCO208"/>
      <c r="UCP208"/>
      <c r="UCQ208"/>
      <c r="UCR208"/>
      <c r="UCS208"/>
      <c r="UCT208"/>
      <c r="UCU208"/>
      <c r="UCV208"/>
      <c r="UCW208"/>
      <c r="UCX208"/>
      <c r="UCY208"/>
      <c r="UCZ208"/>
      <c r="UDA208"/>
      <c r="UDB208"/>
      <c r="UDC208"/>
      <c r="UDD208"/>
      <c r="UDE208"/>
      <c r="UDF208"/>
      <c r="UDG208"/>
      <c r="UDH208"/>
      <c r="UDI208"/>
      <c r="UDJ208"/>
      <c r="UDK208"/>
      <c r="UDL208"/>
      <c r="UDM208"/>
      <c r="UDN208"/>
      <c r="UDO208"/>
      <c r="UDP208"/>
      <c r="UDQ208"/>
      <c r="UDR208"/>
      <c r="UDS208"/>
      <c r="UDT208"/>
      <c r="UDU208"/>
      <c r="UDV208"/>
      <c r="UDW208"/>
      <c r="UDX208"/>
      <c r="UDY208"/>
      <c r="UDZ208"/>
      <c r="UEA208"/>
      <c r="UEB208"/>
      <c r="UEC208"/>
      <c r="UED208"/>
      <c r="UEE208"/>
      <c r="UEF208"/>
      <c r="UEG208"/>
      <c r="UEH208"/>
      <c r="UEI208"/>
      <c r="UEJ208"/>
      <c r="UEK208"/>
      <c r="UEL208"/>
      <c r="UEM208"/>
      <c r="UEN208"/>
      <c r="UEO208"/>
      <c r="UEP208"/>
      <c r="UEQ208"/>
      <c r="UER208"/>
      <c r="UES208"/>
      <c r="UET208"/>
      <c r="UEU208"/>
      <c r="UEV208"/>
      <c r="UEW208"/>
      <c r="UEX208"/>
      <c r="UEY208"/>
      <c r="UEZ208"/>
      <c r="UFA208"/>
      <c r="UFB208"/>
      <c r="UFC208"/>
      <c r="UFD208"/>
      <c r="UFE208"/>
      <c r="UFF208"/>
      <c r="UFG208"/>
      <c r="UFH208"/>
      <c r="UFI208"/>
      <c r="UFJ208"/>
      <c r="UFK208"/>
      <c r="UFL208"/>
      <c r="UFM208"/>
      <c r="UFN208"/>
      <c r="UFO208"/>
      <c r="UFP208"/>
      <c r="UFQ208"/>
      <c r="UFR208"/>
      <c r="UFS208"/>
      <c r="UFT208"/>
      <c r="UFU208"/>
      <c r="UFV208"/>
      <c r="UFW208"/>
      <c r="UFX208"/>
      <c r="UFY208"/>
      <c r="UFZ208"/>
      <c r="UGA208"/>
      <c r="UGB208"/>
      <c r="UGC208"/>
      <c r="UGD208"/>
      <c r="UGE208"/>
      <c r="UGF208"/>
      <c r="UGG208"/>
      <c r="UGH208"/>
      <c r="UGI208"/>
      <c r="UGJ208"/>
      <c r="UGK208"/>
      <c r="UGL208"/>
      <c r="UGM208"/>
      <c r="UGN208"/>
      <c r="UGO208"/>
      <c r="UGP208"/>
      <c r="UGQ208"/>
      <c r="UGR208"/>
      <c r="UGS208"/>
      <c r="UGT208"/>
      <c r="UGU208"/>
      <c r="UGV208"/>
      <c r="UGW208"/>
      <c r="UGX208"/>
      <c r="UGY208"/>
      <c r="UGZ208"/>
      <c r="UHA208"/>
      <c r="UHB208"/>
      <c r="UHC208"/>
      <c r="UHD208"/>
      <c r="UHE208"/>
      <c r="UHF208"/>
      <c r="UHG208"/>
      <c r="UHH208"/>
      <c r="UHI208"/>
      <c r="UHJ208"/>
      <c r="UHK208"/>
      <c r="UHL208"/>
      <c r="UHM208"/>
      <c r="UHN208"/>
      <c r="UHO208"/>
      <c r="UHP208"/>
      <c r="UHQ208"/>
      <c r="UHR208"/>
      <c r="UHS208"/>
      <c r="UHT208"/>
      <c r="UHU208"/>
      <c r="UHV208"/>
      <c r="UHW208"/>
      <c r="UHX208"/>
      <c r="UHY208"/>
      <c r="UHZ208"/>
      <c r="UIA208"/>
      <c r="UIB208"/>
      <c r="UIC208"/>
      <c r="UID208"/>
      <c r="UIE208"/>
      <c r="UIF208"/>
      <c r="UIG208"/>
      <c r="UIH208"/>
      <c r="UII208"/>
      <c r="UIJ208"/>
      <c r="UIK208"/>
      <c r="UIL208"/>
      <c r="UIM208"/>
      <c r="UIN208"/>
      <c r="UIO208"/>
      <c r="UIP208"/>
      <c r="UIQ208"/>
      <c r="UIR208"/>
      <c r="UIS208"/>
      <c r="UIT208"/>
      <c r="UIU208"/>
      <c r="UIV208"/>
      <c r="UIW208"/>
      <c r="UIX208"/>
      <c r="UIY208"/>
      <c r="UIZ208"/>
      <c r="UJA208"/>
      <c r="UJB208"/>
      <c r="UJC208"/>
      <c r="UJD208"/>
      <c r="UJE208"/>
      <c r="UJF208"/>
      <c r="UJG208"/>
      <c r="UJH208"/>
      <c r="UJI208"/>
      <c r="UJJ208"/>
      <c r="UJK208"/>
      <c r="UJL208"/>
      <c r="UJM208"/>
      <c r="UJN208"/>
      <c r="UJO208"/>
      <c r="UJP208"/>
      <c r="UJQ208"/>
      <c r="UJR208"/>
      <c r="UJS208"/>
      <c r="UJT208"/>
      <c r="UJU208"/>
      <c r="UJV208"/>
      <c r="UJW208"/>
      <c r="UJX208"/>
      <c r="UJY208"/>
      <c r="UJZ208"/>
      <c r="UKA208"/>
      <c r="UKB208"/>
      <c r="UKC208"/>
      <c r="UKD208"/>
      <c r="UKE208"/>
      <c r="UKF208"/>
      <c r="UKG208"/>
      <c r="UKH208"/>
      <c r="UKI208"/>
      <c r="UKJ208"/>
      <c r="UKK208"/>
      <c r="UKL208"/>
      <c r="UKM208"/>
      <c r="UKN208"/>
      <c r="UKO208"/>
      <c r="UKP208"/>
      <c r="UKQ208"/>
      <c r="UKR208"/>
      <c r="UKS208"/>
      <c r="UKT208"/>
      <c r="UKU208"/>
      <c r="UKV208"/>
      <c r="UKW208"/>
      <c r="UKX208"/>
      <c r="UKY208"/>
      <c r="UKZ208"/>
      <c r="ULA208"/>
      <c r="ULB208"/>
      <c r="ULC208"/>
      <c r="ULD208"/>
      <c r="ULE208"/>
      <c r="ULF208"/>
      <c r="ULG208"/>
      <c r="ULH208"/>
      <c r="ULI208"/>
      <c r="ULJ208"/>
      <c r="ULK208"/>
      <c r="ULL208"/>
      <c r="ULM208"/>
      <c r="ULN208"/>
      <c r="ULO208"/>
      <c r="ULP208"/>
      <c r="ULQ208"/>
      <c r="ULR208"/>
      <c r="ULS208"/>
      <c r="ULT208"/>
      <c r="ULU208"/>
      <c r="ULV208"/>
      <c r="ULW208"/>
      <c r="ULX208"/>
      <c r="ULY208"/>
      <c r="ULZ208"/>
      <c r="UMA208"/>
      <c r="UMB208"/>
      <c r="UMC208"/>
      <c r="UMD208"/>
      <c r="UME208"/>
      <c r="UMF208"/>
      <c r="UMG208"/>
      <c r="UMH208"/>
      <c r="UMI208"/>
      <c r="UMJ208"/>
      <c r="UMK208"/>
      <c r="UML208"/>
      <c r="UMM208"/>
      <c r="UMN208"/>
      <c r="UMO208"/>
      <c r="UMP208"/>
      <c r="UMQ208"/>
      <c r="UMR208"/>
      <c r="UMS208"/>
      <c r="UMT208"/>
      <c r="UMU208"/>
      <c r="UMV208"/>
      <c r="UMW208"/>
      <c r="UMX208"/>
      <c r="UMY208"/>
      <c r="UMZ208"/>
      <c r="UNA208"/>
      <c r="UNB208"/>
      <c r="UNC208"/>
      <c r="UND208"/>
      <c r="UNE208"/>
      <c r="UNF208"/>
      <c r="UNG208"/>
      <c r="UNH208"/>
      <c r="UNI208"/>
      <c r="UNJ208"/>
      <c r="UNK208"/>
      <c r="UNL208"/>
      <c r="UNM208"/>
      <c r="UNN208"/>
      <c r="UNO208"/>
      <c r="UNP208"/>
      <c r="UNQ208"/>
      <c r="UNR208"/>
      <c r="UNS208"/>
      <c r="UNT208"/>
      <c r="UNU208"/>
      <c r="UNV208"/>
      <c r="UNW208"/>
      <c r="UNX208"/>
      <c r="UNY208"/>
      <c r="UNZ208"/>
      <c r="UOA208"/>
      <c r="UOB208"/>
      <c r="UOC208"/>
      <c r="UOD208"/>
      <c r="UOE208"/>
      <c r="UOF208"/>
      <c r="UOG208"/>
      <c r="UOH208"/>
      <c r="UOI208"/>
      <c r="UOJ208"/>
      <c r="UOK208"/>
      <c r="UOL208"/>
      <c r="UOM208"/>
      <c r="UON208"/>
      <c r="UOO208"/>
      <c r="UOP208"/>
      <c r="UOQ208"/>
      <c r="UOR208"/>
      <c r="UOS208"/>
      <c r="UOT208"/>
      <c r="UOU208"/>
      <c r="UOV208"/>
      <c r="UOW208"/>
      <c r="UOX208"/>
      <c r="UOY208"/>
      <c r="UOZ208"/>
      <c r="UPA208"/>
      <c r="UPB208"/>
      <c r="UPC208"/>
      <c r="UPD208"/>
      <c r="UPE208"/>
      <c r="UPF208"/>
      <c r="UPG208"/>
      <c r="UPH208"/>
      <c r="UPI208"/>
      <c r="UPJ208"/>
      <c r="UPK208"/>
      <c r="UPL208"/>
      <c r="UPM208"/>
      <c r="UPN208"/>
      <c r="UPO208"/>
      <c r="UPP208"/>
      <c r="UPQ208"/>
      <c r="UPR208"/>
      <c r="UPS208"/>
      <c r="UPT208"/>
      <c r="UPU208"/>
      <c r="UPV208"/>
      <c r="UPW208"/>
      <c r="UPX208"/>
      <c r="UPY208"/>
      <c r="UPZ208"/>
      <c r="UQA208"/>
      <c r="UQB208"/>
      <c r="UQC208"/>
      <c r="UQD208"/>
      <c r="UQE208"/>
      <c r="UQF208"/>
      <c r="UQG208"/>
      <c r="UQH208"/>
      <c r="UQI208"/>
      <c r="UQJ208"/>
      <c r="UQK208"/>
      <c r="UQL208"/>
      <c r="UQM208"/>
      <c r="UQN208"/>
      <c r="UQO208"/>
      <c r="UQP208"/>
      <c r="UQQ208"/>
      <c r="UQR208"/>
      <c r="UQS208"/>
      <c r="UQT208"/>
      <c r="UQU208"/>
      <c r="UQV208"/>
      <c r="UQW208"/>
      <c r="UQX208"/>
      <c r="UQY208"/>
      <c r="UQZ208"/>
      <c r="URA208"/>
      <c r="URB208"/>
      <c r="URC208"/>
      <c r="URD208"/>
      <c r="URE208"/>
      <c r="URF208"/>
      <c r="URG208"/>
      <c r="URH208"/>
      <c r="URI208"/>
      <c r="URJ208"/>
      <c r="URK208"/>
      <c r="URL208"/>
      <c r="URM208"/>
      <c r="URN208"/>
      <c r="URO208"/>
      <c r="URP208"/>
      <c r="URQ208"/>
      <c r="URR208"/>
      <c r="URS208"/>
      <c r="URT208"/>
      <c r="URU208"/>
      <c r="URV208"/>
      <c r="URW208"/>
      <c r="URX208"/>
      <c r="URY208"/>
      <c r="URZ208"/>
      <c r="USA208"/>
      <c r="USB208"/>
      <c r="USC208"/>
      <c r="USD208"/>
      <c r="USE208"/>
      <c r="USF208"/>
      <c r="USG208"/>
      <c r="USH208"/>
      <c r="USI208"/>
      <c r="USJ208"/>
      <c r="USK208"/>
      <c r="USL208"/>
      <c r="USM208"/>
      <c r="USN208"/>
      <c r="USO208"/>
      <c r="USP208"/>
      <c r="USQ208"/>
      <c r="USR208"/>
      <c r="USS208"/>
      <c r="UST208"/>
      <c r="USU208"/>
      <c r="USV208"/>
      <c r="USW208"/>
      <c r="USX208"/>
      <c r="USY208"/>
      <c r="USZ208"/>
      <c r="UTA208"/>
      <c r="UTB208"/>
      <c r="UTC208"/>
      <c r="UTD208"/>
      <c r="UTE208"/>
      <c r="UTF208"/>
      <c r="UTG208"/>
      <c r="UTH208"/>
      <c r="UTI208"/>
      <c r="UTJ208"/>
      <c r="UTK208"/>
      <c r="UTL208"/>
      <c r="UTM208"/>
      <c r="UTN208"/>
      <c r="UTO208"/>
      <c r="UTP208"/>
      <c r="UTQ208"/>
      <c r="UTR208"/>
      <c r="UTS208"/>
      <c r="UTT208"/>
      <c r="UTU208"/>
      <c r="UTV208"/>
      <c r="UTW208"/>
      <c r="UTX208"/>
      <c r="UTY208"/>
      <c r="UTZ208"/>
      <c r="UUA208"/>
      <c r="UUB208"/>
      <c r="UUC208"/>
      <c r="UUD208"/>
      <c r="UUE208"/>
      <c r="UUF208"/>
      <c r="UUG208"/>
      <c r="UUH208"/>
      <c r="UUI208"/>
      <c r="UUJ208"/>
      <c r="UUK208"/>
      <c r="UUL208"/>
      <c r="UUM208"/>
      <c r="UUN208"/>
      <c r="UUO208"/>
      <c r="UUP208"/>
      <c r="UUQ208"/>
      <c r="UUR208"/>
      <c r="UUS208"/>
      <c r="UUT208"/>
      <c r="UUU208"/>
      <c r="UUV208"/>
      <c r="UUW208"/>
      <c r="UUX208"/>
      <c r="UUY208"/>
      <c r="UUZ208"/>
      <c r="UVA208"/>
      <c r="UVB208"/>
      <c r="UVC208"/>
      <c r="UVD208"/>
      <c r="UVE208"/>
      <c r="UVF208"/>
      <c r="UVG208"/>
      <c r="UVH208"/>
      <c r="UVI208"/>
      <c r="UVJ208"/>
      <c r="UVK208"/>
      <c r="UVL208"/>
      <c r="UVM208"/>
      <c r="UVN208"/>
      <c r="UVO208"/>
      <c r="UVP208"/>
      <c r="UVQ208"/>
      <c r="UVR208"/>
      <c r="UVS208"/>
      <c r="UVT208"/>
      <c r="UVU208"/>
      <c r="UVV208"/>
      <c r="UVW208"/>
      <c r="UVX208"/>
      <c r="UVY208"/>
      <c r="UVZ208"/>
      <c r="UWA208"/>
      <c r="UWB208"/>
      <c r="UWC208"/>
      <c r="UWD208"/>
      <c r="UWE208"/>
      <c r="UWF208"/>
      <c r="UWG208"/>
      <c r="UWH208"/>
      <c r="UWI208"/>
      <c r="UWJ208"/>
      <c r="UWK208"/>
      <c r="UWL208"/>
      <c r="UWM208"/>
      <c r="UWN208"/>
      <c r="UWO208"/>
      <c r="UWP208"/>
      <c r="UWQ208"/>
      <c r="UWR208"/>
      <c r="UWS208"/>
      <c r="UWT208"/>
      <c r="UWU208"/>
      <c r="UWV208"/>
      <c r="UWW208"/>
      <c r="UWX208"/>
      <c r="UWY208"/>
      <c r="UWZ208"/>
      <c r="UXA208"/>
      <c r="UXB208"/>
      <c r="UXC208"/>
      <c r="UXD208"/>
      <c r="UXE208"/>
      <c r="UXF208"/>
      <c r="UXG208"/>
      <c r="UXH208"/>
      <c r="UXI208"/>
      <c r="UXJ208"/>
      <c r="UXK208"/>
      <c r="UXL208"/>
      <c r="UXM208"/>
      <c r="UXN208"/>
      <c r="UXO208"/>
      <c r="UXP208"/>
      <c r="UXQ208"/>
      <c r="UXR208"/>
      <c r="UXS208"/>
      <c r="UXT208"/>
      <c r="UXU208"/>
      <c r="UXV208"/>
      <c r="UXW208"/>
      <c r="UXX208"/>
      <c r="UXY208"/>
      <c r="UXZ208"/>
      <c r="UYA208"/>
      <c r="UYB208"/>
      <c r="UYC208"/>
      <c r="UYD208"/>
      <c r="UYE208"/>
      <c r="UYF208"/>
      <c r="UYG208"/>
      <c r="UYH208"/>
      <c r="UYI208"/>
      <c r="UYJ208"/>
      <c r="UYK208"/>
      <c r="UYL208"/>
      <c r="UYM208"/>
      <c r="UYN208"/>
      <c r="UYO208"/>
      <c r="UYP208"/>
      <c r="UYQ208"/>
      <c r="UYR208"/>
      <c r="UYS208"/>
      <c r="UYT208"/>
      <c r="UYU208"/>
      <c r="UYV208"/>
      <c r="UYW208"/>
      <c r="UYX208"/>
      <c r="UYY208"/>
      <c r="UYZ208"/>
      <c r="UZA208"/>
      <c r="UZB208"/>
      <c r="UZC208"/>
      <c r="UZD208"/>
      <c r="UZE208"/>
      <c r="UZF208"/>
      <c r="UZG208"/>
      <c r="UZH208"/>
      <c r="UZI208"/>
      <c r="UZJ208"/>
      <c r="UZK208"/>
      <c r="UZL208"/>
      <c r="UZM208"/>
      <c r="UZN208"/>
      <c r="UZO208"/>
      <c r="UZP208"/>
      <c r="UZQ208"/>
      <c r="UZR208"/>
      <c r="UZS208"/>
      <c r="UZT208"/>
      <c r="UZU208"/>
      <c r="UZV208"/>
      <c r="UZW208"/>
      <c r="UZX208"/>
      <c r="UZY208"/>
      <c r="UZZ208"/>
      <c r="VAA208"/>
      <c r="VAB208"/>
      <c r="VAC208"/>
      <c r="VAD208"/>
      <c r="VAE208"/>
      <c r="VAF208"/>
      <c r="VAG208"/>
      <c r="VAH208"/>
      <c r="VAI208"/>
      <c r="VAJ208"/>
      <c r="VAK208"/>
      <c r="VAL208"/>
      <c r="VAM208"/>
      <c r="VAN208"/>
      <c r="VAO208"/>
      <c r="VAP208"/>
      <c r="VAQ208"/>
      <c r="VAR208"/>
      <c r="VAS208"/>
      <c r="VAT208"/>
      <c r="VAU208"/>
      <c r="VAV208"/>
      <c r="VAW208"/>
      <c r="VAX208"/>
      <c r="VAY208"/>
      <c r="VAZ208"/>
      <c r="VBA208"/>
      <c r="VBB208"/>
      <c r="VBC208"/>
      <c r="VBD208"/>
      <c r="VBE208"/>
      <c r="VBF208"/>
      <c r="VBG208"/>
      <c r="VBH208"/>
      <c r="VBI208"/>
      <c r="VBJ208"/>
      <c r="VBK208"/>
      <c r="VBL208"/>
      <c r="VBM208"/>
      <c r="VBN208"/>
      <c r="VBO208"/>
      <c r="VBP208"/>
      <c r="VBQ208"/>
      <c r="VBR208"/>
      <c r="VBS208"/>
      <c r="VBT208"/>
      <c r="VBU208"/>
      <c r="VBV208"/>
      <c r="VBW208"/>
      <c r="VBX208"/>
      <c r="VBY208"/>
      <c r="VBZ208"/>
      <c r="VCA208"/>
      <c r="VCB208"/>
      <c r="VCC208"/>
      <c r="VCD208"/>
      <c r="VCE208"/>
      <c r="VCF208"/>
      <c r="VCG208"/>
      <c r="VCH208"/>
      <c r="VCI208"/>
      <c r="VCJ208"/>
      <c r="VCK208"/>
      <c r="VCL208"/>
      <c r="VCM208"/>
      <c r="VCN208"/>
      <c r="VCO208"/>
      <c r="VCP208"/>
      <c r="VCQ208"/>
      <c r="VCR208"/>
      <c r="VCS208"/>
      <c r="VCT208"/>
      <c r="VCU208"/>
      <c r="VCV208"/>
      <c r="VCW208"/>
      <c r="VCX208"/>
      <c r="VCY208"/>
      <c r="VCZ208"/>
      <c r="VDA208"/>
      <c r="VDB208"/>
      <c r="VDC208"/>
      <c r="VDD208"/>
      <c r="VDE208"/>
      <c r="VDF208"/>
      <c r="VDG208"/>
      <c r="VDH208"/>
      <c r="VDI208"/>
      <c r="VDJ208"/>
      <c r="VDK208"/>
      <c r="VDL208"/>
      <c r="VDM208"/>
      <c r="VDN208"/>
      <c r="VDO208"/>
      <c r="VDP208"/>
      <c r="VDQ208"/>
      <c r="VDR208"/>
      <c r="VDS208"/>
      <c r="VDT208"/>
      <c r="VDU208"/>
      <c r="VDV208"/>
      <c r="VDW208"/>
      <c r="VDX208"/>
      <c r="VDY208"/>
      <c r="VDZ208"/>
      <c r="VEA208"/>
      <c r="VEB208"/>
      <c r="VEC208"/>
      <c r="VED208"/>
      <c r="VEE208"/>
      <c r="VEF208"/>
      <c r="VEG208"/>
      <c r="VEH208"/>
      <c r="VEI208"/>
      <c r="VEJ208"/>
      <c r="VEK208"/>
      <c r="VEL208"/>
      <c r="VEM208"/>
      <c r="VEN208"/>
      <c r="VEO208"/>
      <c r="VEP208"/>
      <c r="VEQ208"/>
      <c r="VER208"/>
      <c r="VES208"/>
      <c r="VET208"/>
      <c r="VEU208"/>
      <c r="VEV208"/>
      <c r="VEW208"/>
      <c r="VEX208"/>
      <c r="VEY208"/>
      <c r="VEZ208"/>
      <c r="VFA208"/>
      <c r="VFB208"/>
      <c r="VFC208"/>
      <c r="VFD208"/>
      <c r="VFE208"/>
      <c r="VFF208"/>
      <c r="VFG208"/>
      <c r="VFH208"/>
      <c r="VFI208"/>
      <c r="VFJ208"/>
      <c r="VFK208"/>
      <c r="VFL208"/>
      <c r="VFM208"/>
      <c r="VFN208"/>
      <c r="VFO208"/>
      <c r="VFP208"/>
      <c r="VFQ208"/>
      <c r="VFR208"/>
      <c r="VFS208"/>
      <c r="VFT208"/>
      <c r="VFU208"/>
      <c r="VFV208"/>
      <c r="VFW208"/>
      <c r="VFX208"/>
      <c r="VFY208"/>
      <c r="VFZ208"/>
      <c r="VGA208"/>
      <c r="VGB208"/>
      <c r="VGC208"/>
      <c r="VGD208"/>
      <c r="VGE208"/>
      <c r="VGF208"/>
      <c r="VGG208"/>
      <c r="VGH208"/>
      <c r="VGI208"/>
      <c r="VGJ208"/>
      <c r="VGK208"/>
      <c r="VGL208"/>
      <c r="VGM208"/>
      <c r="VGN208"/>
      <c r="VGO208"/>
      <c r="VGP208"/>
      <c r="VGQ208"/>
      <c r="VGR208"/>
      <c r="VGS208"/>
      <c r="VGT208"/>
      <c r="VGU208"/>
      <c r="VGV208"/>
      <c r="VGW208"/>
      <c r="VGX208"/>
      <c r="VGY208"/>
      <c r="VGZ208"/>
      <c r="VHA208"/>
      <c r="VHB208"/>
      <c r="VHC208"/>
      <c r="VHD208"/>
      <c r="VHE208"/>
      <c r="VHF208"/>
      <c r="VHG208"/>
      <c r="VHH208"/>
      <c r="VHI208"/>
      <c r="VHJ208"/>
      <c r="VHK208"/>
      <c r="VHL208"/>
      <c r="VHM208"/>
      <c r="VHN208"/>
      <c r="VHO208"/>
      <c r="VHP208"/>
      <c r="VHQ208"/>
      <c r="VHR208"/>
      <c r="VHS208"/>
      <c r="VHT208"/>
      <c r="VHU208"/>
      <c r="VHV208"/>
      <c r="VHW208"/>
      <c r="VHX208"/>
      <c r="VHY208"/>
      <c r="VHZ208"/>
      <c r="VIA208"/>
      <c r="VIB208"/>
      <c r="VIC208"/>
      <c r="VID208"/>
      <c r="VIE208"/>
      <c r="VIF208"/>
      <c r="VIG208"/>
      <c r="VIH208"/>
      <c r="VII208"/>
      <c r="VIJ208"/>
      <c r="VIK208"/>
      <c r="VIL208"/>
      <c r="VIM208"/>
      <c r="VIN208"/>
      <c r="VIO208"/>
      <c r="VIP208"/>
      <c r="VIQ208"/>
      <c r="VIR208"/>
      <c r="VIS208"/>
      <c r="VIT208"/>
      <c r="VIU208"/>
      <c r="VIV208"/>
      <c r="VIW208"/>
      <c r="VIX208"/>
      <c r="VIY208"/>
      <c r="VIZ208"/>
      <c r="VJA208"/>
      <c r="VJB208"/>
      <c r="VJC208"/>
      <c r="VJD208"/>
      <c r="VJE208"/>
      <c r="VJF208"/>
      <c r="VJG208"/>
      <c r="VJH208"/>
      <c r="VJI208"/>
      <c r="VJJ208"/>
      <c r="VJK208"/>
      <c r="VJL208"/>
      <c r="VJM208"/>
      <c r="VJN208"/>
      <c r="VJO208"/>
      <c r="VJP208"/>
      <c r="VJQ208"/>
      <c r="VJR208"/>
      <c r="VJS208"/>
      <c r="VJT208"/>
      <c r="VJU208"/>
      <c r="VJV208"/>
      <c r="VJW208"/>
      <c r="VJX208"/>
      <c r="VJY208"/>
      <c r="VJZ208"/>
      <c r="VKA208"/>
      <c r="VKB208"/>
      <c r="VKC208"/>
      <c r="VKD208"/>
      <c r="VKE208"/>
      <c r="VKF208"/>
      <c r="VKG208"/>
      <c r="VKH208"/>
      <c r="VKI208"/>
      <c r="VKJ208"/>
      <c r="VKK208"/>
      <c r="VKL208"/>
      <c r="VKM208"/>
      <c r="VKN208"/>
      <c r="VKO208"/>
      <c r="VKP208"/>
      <c r="VKQ208"/>
      <c r="VKR208"/>
      <c r="VKS208"/>
      <c r="VKT208"/>
      <c r="VKU208"/>
      <c r="VKV208"/>
      <c r="VKW208"/>
      <c r="VKX208"/>
      <c r="VKY208"/>
      <c r="VKZ208"/>
      <c r="VLA208"/>
      <c r="VLB208"/>
      <c r="VLC208"/>
      <c r="VLD208"/>
      <c r="VLE208"/>
      <c r="VLF208"/>
      <c r="VLG208"/>
      <c r="VLH208"/>
      <c r="VLI208"/>
      <c r="VLJ208"/>
      <c r="VLK208"/>
      <c r="VLL208"/>
      <c r="VLM208"/>
      <c r="VLN208"/>
      <c r="VLO208"/>
      <c r="VLP208"/>
      <c r="VLQ208"/>
      <c r="VLR208"/>
      <c r="VLS208"/>
      <c r="VLT208"/>
      <c r="VLU208"/>
      <c r="VLV208"/>
      <c r="VLW208"/>
      <c r="VLX208"/>
      <c r="VLY208"/>
      <c r="VLZ208"/>
      <c r="VMA208"/>
      <c r="VMB208"/>
      <c r="VMC208"/>
      <c r="VMD208"/>
      <c r="VME208"/>
      <c r="VMF208"/>
      <c r="VMG208"/>
      <c r="VMH208"/>
      <c r="VMI208"/>
      <c r="VMJ208"/>
      <c r="VMK208"/>
      <c r="VML208"/>
      <c r="VMM208"/>
      <c r="VMN208"/>
      <c r="VMO208"/>
      <c r="VMP208"/>
      <c r="VMQ208"/>
      <c r="VMR208"/>
      <c r="VMS208"/>
      <c r="VMT208"/>
      <c r="VMU208"/>
      <c r="VMV208"/>
      <c r="VMW208"/>
      <c r="VMX208"/>
      <c r="VMY208"/>
      <c r="VMZ208"/>
      <c r="VNA208"/>
      <c r="VNB208"/>
      <c r="VNC208"/>
      <c r="VND208"/>
      <c r="VNE208"/>
      <c r="VNF208"/>
      <c r="VNG208"/>
      <c r="VNH208"/>
      <c r="VNI208"/>
      <c r="VNJ208"/>
      <c r="VNK208"/>
      <c r="VNL208"/>
      <c r="VNM208"/>
      <c r="VNN208"/>
      <c r="VNO208"/>
      <c r="VNP208"/>
      <c r="VNQ208"/>
      <c r="VNR208"/>
      <c r="VNS208"/>
      <c r="VNT208"/>
      <c r="VNU208"/>
      <c r="VNV208"/>
      <c r="VNW208"/>
      <c r="VNX208"/>
      <c r="VNY208"/>
      <c r="VNZ208"/>
      <c r="VOA208"/>
      <c r="VOB208"/>
      <c r="VOC208"/>
      <c r="VOD208"/>
      <c r="VOE208"/>
      <c r="VOF208"/>
      <c r="VOG208"/>
      <c r="VOH208"/>
      <c r="VOI208"/>
      <c r="VOJ208"/>
      <c r="VOK208"/>
      <c r="VOL208"/>
      <c r="VOM208"/>
      <c r="VON208"/>
      <c r="VOO208"/>
      <c r="VOP208"/>
      <c r="VOQ208"/>
      <c r="VOR208"/>
      <c r="VOS208"/>
      <c r="VOT208"/>
      <c r="VOU208"/>
      <c r="VOV208"/>
      <c r="VOW208"/>
      <c r="VOX208"/>
      <c r="VOY208"/>
      <c r="VOZ208"/>
      <c r="VPA208"/>
      <c r="VPB208"/>
      <c r="VPC208"/>
      <c r="VPD208"/>
      <c r="VPE208"/>
      <c r="VPF208"/>
      <c r="VPG208"/>
      <c r="VPH208"/>
      <c r="VPI208"/>
      <c r="VPJ208"/>
      <c r="VPK208"/>
      <c r="VPL208"/>
      <c r="VPM208"/>
      <c r="VPN208"/>
      <c r="VPO208"/>
      <c r="VPP208"/>
      <c r="VPQ208"/>
      <c r="VPR208"/>
      <c r="VPS208"/>
      <c r="VPT208"/>
      <c r="VPU208"/>
      <c r="VPV208"/>
      <c r="VPW208"/>
      <c r="VPX208"/>
      <c r="VPY208"/>
      <c r="VPZ208"/>
      <c r="VQA208"/>
      <c r="VQB208"/>
      <c r="VQC208"/>
      <c r="VQD208"/>
      <c r="VQE208"/>
      <c r="VQF208"/>
      <c r="VQG208"/>
      <c r="VQH208"/>
      <c r="VQI208"/>
      <c r="VQJ208"/>
      <c r="VQK208"/>
      <c r="VQL208"/>
      <c r="VQM208"/>
      <c r="VQN208"/>
      <c r="VQO208"/>
      <c r="VQP208"/>
      <c r="VQQ208"/>
      <c r="VQR208"/>
      <c r="VQS208"/>
      <c r="VQT208"/>
      <c r="VQU208"/>
      <c r="VQV208"/>
      <c r="VQW208"/>
      <c r="VQX208"/>
      <c r="VQY208"/>
      <c r="VQZ208"/>
      <c r="VRA208"/>
      <c r="VRB208"/>
      <c r="VRC208"/>
      <c r="VRD208"/>
      <c r="VRE208"/>
      <c r="VRF208"/>
      <c r="VRG208"/>
      <c r="VRH208"/>
      <c r="VRI208"/>
      <c r="VRJ208"/>
      <c r="VRK208"/>
      <c r="VRL208"/>
      <c r="VRM208"/>
      <c r="VRN208"/>
      <c r="VRO208"/>
      <c r="VRP208"/>
      <c r="VRQ208"/>
      <c r="VRR208"/>
      <c r="VRS208"/>
      <c r="VRT208"/>
      <c r="VRU208"/>
      <c r="VRV208"/>
      <c r="VRW208"/>
      <c r="VRX208"/>
      <c r="VRY208"/>
      <c r="VRZ208"/>
      <c r="VSA208"/>
      <c r="VSB208"/>
      <c r="VSC208"/>
      <c r="VSD208"/>
      <c r="VSE208"/>
      <c r="VSF208"/>
      <c r="VSG208"/>
      <c r="VSH208"/>
      <c r="VSI208"/>
      <c r="VSJ208"/>
      <c r="VSK208"/>
      <c r="VSL208"/>
      <c r="VSM208"/>
      <c r="VSN208"/>
      <c r="VSO208"/>
      <c r="VSP208"/>
      <c r="VSQ208"/>
      <c r="VSR208"/>
      <c r="VSS208"/>
      <c r="VST208"/>
      <c r="VSU208"/>
      <c r="VSV208"/>
      <c r="VSW208"/>
      <c r="VSX208"/>
      <c r="VSY208"/>
      <c r="VSZ208"/>
      <c r="VTA208"/>
      <c r="VTB208"/>
      <c r="VTC208"/>
      <c r="VTD208"/>
      <c r="VTE208"/>
      <c r="VTF208"/>
      <c r="VTG208"/>
      <c r="VTH208"/>
      <c r="VTI208"/>
      <c r="VTJ208"/>
      <c r="VTK208"/>
      <c r="VTL208"/>
      <c r="VTM208"/>
      <c r="VTN208"/>
      <c r="VTO208"/>
      <c r="VTP208"/>
      <c r="VTQ208"/>
      <c r="VTR208"/>
      <c r="VTS208"/>
      <c r="VTT208"/>
      <c r="VTU208"/>
      <c r="VTV208"/>
      <c r="VTW208"/>
      <c r="VTX208"/>
      <c r="VTY208"/>
      <c r="VTZ208"/>
      <c r="VUA208"/>
      <c r="VUB208"/>
      <c r="VUC208"/>
      <c r="VUD208"/>
      <c r="VUE208"/>
      <c r="VUF208"/>
      <c r="VUG208"/>
      <c r="VUH208"/>
      <c r="VUI208"/>
      <c r="VUJ208"/>
      <c r="VUK208"/>
      <c r="VUL208"/>
      <c r="VUM208"/>
      <c r="VUN208"/>
      <c r="VUO208"/>
      <c r="VUP208"/>
      <c r="VUQ208"/>
      <c r="VUR208"/>
      <c r="VUS208"/>
      <c r="VUT208"/>
      <c r="VUU208"/>
      <c r="VUV208"/>
      <c r="VUW208"/>
      <c r="VUX208"/>
      <c r="VUY208"/>
      <c r="VUZ208"/>
      <c r="VVA208"/>
      <c r="VVB208"/>
      <c r="VVC208"/>
      <c r="VVD208"/>
      <c r="VVE208"/>
      <c r="VVF208"/>
      <c r="VVG208"/>
      <c r="VVH208"/>
      <c r="VVI208"/>
      <c r="VVJ208"/>
      <c r="VVK208"/>
      <c r="VVL208"/>
      <c r="VVM208"/>
      <c r="VVN208"/>
      <c r="VVO208"/>
      <c r="VVP208"/>
      <c r="VVQ208"/>
      <c r="VVR208"/>
      <c r="VVS208"/>
      <c r="VVT208"/>
      <c r="VVU208"/>
      <c r="VVV208"/>
      <c r="VVW208"/>
      <c r="VVX208"/>
      <c r="VVY208"/>
      <c r="VVZ208"/>
      <c r="VWA208"/>
      <c r="VWB208"/>
      <c r="VWC208"/>
      <c r="VWD208"/>
      <c r="VWE208"/>
      <c r="VWF208"/>
      <c r="VWG208"/>
      <c r="VWH208"/>
      <c r="VWI208"/>
      <c r="VWJ208"/>
      <c r="VWK208"/>
      <c r="VWL208"/>
      <c r="VWM208"/>
      <c r="VWN208"/>
      <c r="VWO208"/>
      <c r="VWP208"/>
      <c r="VWQ208"/>
      <c r="VWR208"/>
      <c r="VWS208"/>
      <c r="VWT208"/>
      <c r="VWU208"/>
      <c r="VWV208"/>
      <c r="VWW208"/>
      <c r="VWX208"/>
      <c r="VWY208"/>
      <c r="VWZ208"/>
      <c r="VXA208"/>
      <c r="VXB208"/>
      <c r="VXC208"/>
      <c r="VXD208"/>
      <c r="VXE208"/>
      <c r="VXF208"/>
      <c r="VXG208"/>
      <c r="VXH208"/>
      <c r="VXI208"/>
      <c r="VXJ208"/>
      <c r="VXK208"/>
      <c r="VXL208"/>
      <c r="VXM208"/>
      <c r="VXN208"/>
      <c r="VXO208"/>
      <c r="VXP208"/>
      <c r="VXQ208"/>
      <c r="VXR208"/>
      <c r="VXS208"/>
      <c r="VXT208"/>
      <c r="VXU208"/>
      <c r="VXV208"/>
      <c r="VXW208"/>
      <c r="VXX208"/>
      <c r="VXY208"/>
      <c r="VXZ208"/>
      <c r="VYA208"/>
      <c r="VYB208"/>
      <c r="VYC208"/>
      <c r="VYD208"/>
      <c r="VYE208"/>
      <c r="VYF208"/>
      <c r="VYG208"/>
      <c r="VYH208"/>
      <c r="VYI208"/>
      <c r="VYJ208"/>
      <c r="VYK208"/>
      <c r="VYL208"/>
      <c r="VYM208"/>
      <c r="VYN208"/>
      <c r="VYO208"/>
      <c r="VYP208"/>
      <c r="VYQ208"/>
      <c r="VYR208"/>
      <c r="VYS208"/>
      <c r="VYT208"/>
      <c r="VYU208"/>
      <c r="VYV208"/>
      <c r="VYW208"/>
      <c r="VYX208"/>
      <c r="VYY208"/>
      <c r="VYZ208"/>
      <c r="VZA208"/>
      <c r="VZB208"/>
      <c r="VZC208"/>
      <c r="VZD208"/>
      <c r="VZE208"/>
      <c r="VZF208"/>
      <c r="VZG208"/>
      <c r="VZH208"/>
      <c r="VZI208"/>
      <c r="VZJ208"/>
      <c r="VZK208"/>
      <c r="VZL208"/>
      <c r="VZM208"/>
      <c r="VZN208"/>
      <c r="VZO208"/>
      <c r="VZP208"/>
      <c r="VZQ208"/>
      <c r="VZR208"/>
      <c r="VZS208"/>
      <c r="VZT208"/>
      <c r="VZU208"/>
      <c r="VZV208"/>
      <c r="VZW208"/>
      <c r="VZX208"/>
      <c r="VZY208"/>
      <c r="VZZ208"/>
      <c r="WAA208"/>
      <c r="WAB208"/>
      <c r="WAC208"/>
      <c r="WAD208"/>
      <c r="WAE208"/>
      <c r="WAF208"/>
      <c r="WAG208"/>
      <c r="WAH208"/>
      <c r="WAI208"/>
      <c r="WAJ208"/>
      <c r="WAK208"/>
      <c r="WAL208"/>
      <c r="WAM208"/>
      <c r="WAN208"/>
      <c r="WAO208"/>
      <c r="WAP208"/>
      <c r="WAQ208"/>
      <c r="WAR208"/>
      <c r="WAS208"/>
      <c r="WAT208"/>
      <c r="WAU208"/>
      <c r="WAV208"/>
      <c r="WAW208"/>
      <c r="WAX208"/>
      <c r="WAY208"/>
      <c r="WAZ208"/>
      <c r="WBA208"/>
      <c r="WBB208"/>
      <c r="WBC208"/>
      <c r="WBD208"/>
      <c r="WBE208"/>
      <c r="WBF208"/>
      <c r="WBG208"/>
      <c r="WBH208"/>
      <c r="WBI208"/>
      <c r="WBJ208"/>
      <c r="WBK208"/>
      <c r="WBL208"/>
      <c r="WBM208"/>
      <c r="WBN208"/>
      <c r="WBO208"/>
      <c r="WBP208"/>
      <c r="WBQ208"/>
      <c r="WBR208"/>
      <c r="WBS208"/>
      <c r="WBT208"/>
      <c r="WBU208"/>
      <c r="WBV208"/>
      <c r="WBW208"/>
      <c r="WBX208"/>
      <c r="WBY208"/>
      <c r="WBZ208"/>
      <c r="WCA208"/>
      <c r="WCB208"/>
      <c r="WCC208"/>
      <c r="WCD208"/>
      <c r="WCE208"/>
      <c r="WCF208"/>
      <c r="WCG208"/>
      <c r="WCH208"/>
      <c r="WCI208"/>
      <c r="WCJ208"/>
      <c r="WCK208"/>
      <c r="WCL208"/>
      <c r="WCM208"/>
      <c r="WCN208"/>
      <c r="WCO208"/>
      <c r="WCP208"/>
      <c r="WCQ208"/>
      <c r="WCR208"/>
      <c r="WCS208"/>
      <c r="WCT208"/>
      <c r="WCU208"/>
      <c r="WCV208"/>
      <c r="WCW208"/>
      <c r="WCX208"/>
      <c r="WCY208"/>
      <c r="WCZ208"/>
      <c r="WDA208"/>
      <c r="WDB208"/>
      <c r="WDC208"/>
      <c r="WDD208"/>
      <c r="WDE208"/>
      <c r="WDF208"/>
      <c r="WDG208"/>
      <c r="WDH208"/>
      <c r="WDI208"/>
      <c r="WDJ208"/>
      <c r="WDK208"/>
      <c r="WDL208"/>
      <c r="WDM208"/>
      <c r="WDN208"/>
      <c r="WDO208"/>
      <c r="WDP208"/>
      <c r="WDQ208"/>
      <c r="WDR208"/>
      <c r="WDS208"/>
      <c r="WDT208"/>
      <c r="WDU208"/>
      <c r="WDV208"/>
      <c r="WDW208"/>
      <c r="WDX208"/>
      <c r="WDY208"/>
      <c r="WDZ208"/>
      <c r="WEA208"/>
      <c r="WEB208"/>
      <c r="WEC208"/>
      <c r="WED208"/>
      <c r="WEE208"/>
      <c r="WEF208"/>
      <c r="WEG208"/>
      <c r="WEH208"/>
      <c r="WEI208"/>
      <c r="WEJ208"/>
      <c r="WEK208"/>
      <c r="WEL208"/>
      <c r="WEM208"/>
      <c r="WEN208"/>
      <c r="WEO208"/>
      <c r="WEP208"/>
      <c r="WEQ208"/>
      <c r="WER208"/>
      <c r="WES208"/>
      <c r="WET208"/>
      <c r="WEU208"/>
      <c r="WEV208"/>
      <c r="WEW208"/>
      <c r="WEX208"/>
      <c r="WEY208"/>
      <c r="WEZ208"/>
      <c r="WFA208"/>
      <c r="WFB208"/>
      <c r="WFC208"/>
      <c r="WFD208"/>
      <c r="WFE208"/>
      <c r="WFF208"/>
      <c r="WFG208"/>
      <c r="WFH208"/>
      <c r="WFI208"/>
      <c r="WFJ208"/>
      <c r="WFK208"/>
      <c r="WFL208"/>
      <c r="WFM208"/>
      <c r="WFN208"/>
      <c r="WFO208"/>
      <c r="WFP208"/>
      <c r="WFQ208"/>
      <c r="WFR208"/>
      <c r="WFS208"/>
      <c r="WFT208"/>
      <c r="WFU208"/>
      <c r="WFV208"/>
      <c r="WFW208"/>
      <c r="WFX208"/>
      <c r="WFY208"/>
      <c r="WFZ208"/>
      <c r="WGA208"/>
      <c r="WGB208"/>
      <c r="WGC208"/>
      <c r="WGD208"/>
      <c r="WGE208"/>
      <c r="WGF208"/>
      <c r="WGG208"/>
      <c r="WGH208"/>
      <c r="WGI208"/>
      <c r="WGJ208"/>
      <c r="WGK208"/>
      <c r="WGL208"/>
      <c r="WGM208"/>
      <c r="WGN208"/>
      <c r="WGO208"/>
      <c r="WGP208"/>
      <c r="WGQ208"/>
      <c r="WGR208"/>
      <c r="WGS208"/>
      <c r="WGT208"/>
      <c r="WGU208"/>
      <c r="WGV208"/>
      <c r="WGW208"/>
      <c r="WGX208"/>
      <c r="WGY208"/>
      <c r="WGZ208"/>
      <c r="WHA208"/>
      <c r="WHB208"/>
      <c r="WHC208"/>
      <c r="WHD208"/>
      <c r="WHE208"/>
      <c r="WHF208"/>
      <c r="WHG208"/>
      <c r="WHH208"/>
      <c r="WHI208"/>
      <c r="WHJ208"/>
      <c r="WHK208"/>
      <c r="WHL208"/>
      <c r="WHM208"/>
      <c r="WHN208"/>
      <c r="WHO208"/>
      <c r="WHP208"/>
      <c r="WHQ208"/>
      <c r="WHR208"/>
      <c r="WHS208"/>
      <c r="WHT208"/>
      <c r="WHU208"/>
      <c r="WHV208"/>
      <c r="WHW208"/>
      <c r="WHX208"/>
      <c r="WHY208"/>
      <c r="WHZ208"/>
      <c r="WIA208"/>
      <c r="WIB208"/>
      <c r="WIC208"/>
      <c r="WID208"/>
      <c r="WIE208"/>
      <c r="WIF208"/>
      <c r="WIG208"/>
      <c r="WIH208"/>
      <c r="WII208"/>
      <c r="WIJ208"/>
      <c r="WIK208"/>
      <c r="WIL208"/>
      <c r="WIM208"/>
      <c r="WIN208"/>
      <c r="WIO208"/>
      <c r="WIP208"/>
      <c r="WIQ208"/>
      <c r="WIR208"/>
      <c r="WIS208"/>
      <c r="WIT208"/>
      <c r="WIU208"/>
      <c r="WIV208"/>
      <c r="WIW208"/>
      <c r="WIX208"/>
      <c r="WIY208"/>
      <c r="WIZ208"/>
      <c r="WJA208"/>
      <c r="WJB208"/>
      <c r="WJC208"/>
      <c r="WJD208"/>
      <c r="WJE208"/>
      <c r="WJF208"/>
      <c r="WJG208"/>
      <c r="WJH208"/>
      <c r="WJI208"/>
      <c r="WJJ208"/>
      <c r="WJK208"/>
      <c r="WJL208"/>
      <c r="WJM208"/>
      <c r="WJN208"/>
      <c r="WJO208"/>
      <c r="WJP208"/>
      <c r="WJQ208"/>
      <c r="WJR208"/>
      <c r="WJS208"/>
      <c r="WJT208"/>
      <c r="WJU208"/>
      <c r="WJV208"/>
      <c r="WJW208"/>
      <c r="WJX208"/>
      <c r="WJY208"/>
      <c r="WJZ208"/>
      <c r="WKA208"/>
      <c r="WKB208"/>
      <c r="WKC208"/>
      <c r="WKD208"/>
      <c r="WKE208"/>
      <c r="WKF208"/>
      <c r="WKG208"/>
      <c r="WKH208"/>
      <c r="WKI208"/>
      <c r="WKJ208"/>
      <c r="WKK208"/>
      <c r="WKL208"/>
      <c r="WKM208"/>
      <c r="WKN208"/>
      <c r="WKO208"/>
      <c r="WKP208"/>
      <c r="WKQ208"/>
      <c r="WKR208"/>
      <c r="WKS208"/>
      <c r="WKT208"/>
      <c r="WKU208"/>
      <c r="WKV208"/>
      <c r="WKW208"/>
      <c r="WKX208"/>
      <c r="WKY208"/>
      <c r="WKZ208"/>
      <c r="WLA208"/>
      <c r="WLB208"/>
      <c r="WLC208"/>
      <c r="WLD208"/>
      <c r="WLE208"/>
      <c r="WLF208"/>
      <c r="WLG208"/>
      <c r="WLH208"/>
      <c r="WLI208"/>
      <c r="WLJ208"/>
      <c r="WLK208"/>
      <c r="WLL208"/>
      <c r="WLM208"/>
      <c r="WLN208"/>
      <c r="WLO208"/>
      <c r="WLP208"/>
      <c r="WLQ208"/>
      <c r="WLR208"/>
      <c r="WLS208"/>
      <c r="WLT208"/>
      <c r="WLU208"/>
      <c r="WLV208"/>
      <c r="WLW208"/>
      <c r="WLX208"/>
      <c r="WLY208"/>
      <c r="WLZ208"/>
      <c r="WMA208"/>
      <c r="WMB208"/>
      <c r="WMC208"/>
      <c r="WMD208"/>
      <c r="WME208"/>
      <c r="WMF208"/>
      <c r="WMG208"/>
      <c r="WMH208"/>
      <c r="WMI208"/>
      <c r="WMJ208"/>
      <c r="WMK208"/>
      <c r="WML208"/>
      <c r="WMM208"/>
      <c r="WMN208"/>
      <c r="WMO208"/>
      <c r="WMP208"/>
      <c r="WMQ208"/>
      <c r="WMR208"/>
      <c r="WMS208"/>
      <c r="WMT208"/>
      <c r="WMU208"/>
      <c r="WMV208"/>
      <c r="WMW208"/>
      <c r="WMX208"/>
      <c r="WMY208"/>
      <c r="WMZ208"/>
      <c r="WNA208"/>
      <c r="WNB208"/>
      <c r="WNC208"/>
      <c r="WND208"/>
      <c r="WNE208"/>
      <c r="WNF208"/>
      <c r="WNG208"/>
      <c r="WNH208"/>
      <c r="WNI208"/>
      <c r="WNJ208"/>
      <c r="WNK208"/>
      <c r="WNL208"/>
      <c r="WNM208"/>
      <c r="WNN208"/>
      <c r="WNO208"/>
      <c r="WNP208"/>
      <c r="WNQ208"/>
      <c r="WNR208"/>
      <c r="WNS208"/>
      <c r="WNT208"/>
      <c r="WNU208"/>
      <c r="WNV208"/>
      <c r="WNW208"/>
      <c r="WNX208"/>
      <c r="WNY208"/>
      <c r="WNZ208"/>
      <c r="WOA208"/>
      <c r="WOB208"/>
      <c r="WOC208"/>
      <c r="WOD208"/>
      <c r="WOE208"/>
      <c r="WOF208"/>
      <c r="WOG208"/>
      <c r="WOH208"/>
      <c r="WOI208"/>
      <c r="WOJ208"/>
      <c r="WOK208"/>
      <c r="WOL208"/>
      <c r="WOM208"/>
      <c r="WON208"/>
      <c r="WOO208"/>
      <c r="WOP208"/>
      <c r="WOQ208"/>
      <c r="WOR208"/>
      <c r="WOS208"/>
      <c r="WOT208"/>
      <c r="WOU208"/>
      <c r="WOV208"/>
      <c r="WOW208"/>
      <c r="WOX208"/>
      <c r="WOY208"/>
      <c r="WOZ208"/>
      <c r="WPA208"/>
      <c r="WPB208"/>
      <c r="WPC208"/>
      <c r="WPD208"/>
      <c r="WPE208"/>
      <c r="WPF208"/>
      <c r="WPG208"/>
      <c r="WPH208"/>
      <c r="WPI208"/>
      <c r="WPJ208"/>
      <c r="WPK208"/>
      <c r="WPL208"/>
      <c r="WPM208"/>
      <c r="WPN208"/>
      <c r="WPO208"/>
      <c r="WPP208"/>
      <c r="WPQ208"/>
      <c r="WPR208"/>
      <c r="WPS208"/>
      <c r="WPT208"/>
      <c r="WPU208"/>
      <c r="WPV208"/>
      <c r="WPW208"/>
      <c r="WPX208"/>
      <c r="WPY208"/>
      <c r="WPZ208"/>
      <c r="WQA208"/>
      <c r="WQB208"/>
      <c r="WQC208"/>
      <c r="WQD208"/>
      <c r="WQE208"/>
      <c r="WQF208"/>
      <c r="WQG208"/>
      <c r="WQH208"/>
      <c r="WQI208"/>
      <c r="WQJ208"/>
      <c r="WQK208"/>
      <c r="WQL208"/>
      <c r="WQM208"/>
      <c r="WQN208"/>
      <c r="WQO208"/>
      <c r="WQP208"/>
      <c r="WQQ208"/>
      <c r="WQR208"/>
      <c r="WQS208"/>
      <c r="WQT208"/>
      <c r="WQU208"/>
      <c r="WQV208"/>
      <c r="WQW208"/>
      <c r="WQX208"/>
      <c r="WQY208"/>
      <c r="WQZ208"/>
      <c r="WRA208"/>
      <c r="WRB208"/>
      <c r="WRC208"/>
      <c r="WRD208"/>
      <c r="WRE208"/>
      <c r="WRF208"/>
      <c r="WRG208"/>
      <c r="WRH208"/>
      <c r="WRI208"/>
      <c r="WRJ208"/>
      <c r="WRK208"/>
      <c r="WRL208"/>
      <c r="WRM208"/>
      <c r="WRN208"/>
      <c r="WRO208"/>
      <c r="WRP208"/>
      <c r="WRQ208"/>
      <c r="WRR208"/>
      <c r="WRS208"/>
      <c r="WRT208"/>
      <c r="WRU208"/>
      <c r="WRV208"/>
      <c r="WRW208"/>
      <c r="WRX208"/>
      <c r="WRY208"/>
      <c r="WRZ208"/>
      <c r="WSA208"/>
      <c r="WSB208"/>
      <c r="WSC208"/>
      <c r="WSD208"/>
      <c r="WSE208"/>
      <c r="WSF208"/>
      <c r="WSG208"/>
      <c r="WSH208"/>
      <c r="WSI208"/>
      <c r="WSJ208"/>
      <c r="WSK208"/>
      <c r="WSL208"/>
      <c r="WSM208"/>
      <c r="WSN208"/>
      <c r="WSO208"/>
      <c r="WSP208"/>
      <c r="WSQ208"/>
      <c r="WSR208"/>
      <c r="WSS208"/>
      <c r="WST208"/>
      <c r="WSU208"/>
      <c r="WSV208"/>
      <c r="WSW208"/>
      <c r="WSX208"/>
      <c r="WSY208"/>
      <c r="WSZ208"/>
      <c r="WTA208"/>
      <c r="WTB208"/>
      <c r="WTC208"/>
      <c r="WTD208"/>
      <c r="WTE208"/>
      <c r="WTF208"/>
      <c r="WTG208"/>
      <c r="WTH208"/>
      <c r="WTI208"/>
      <c r="WTJ208"/>
      <c r="WTK208"/>
      <c r="WTL208"/>
      <c r="WTM208"/>
      <c r="WTN208"/>
      <c r="WTO208"/>
      <c r="WTP208"/>
      <c r="WTQ208"/>
      <c r="WTR208"/>
      <c r="WTS208"/>
      <c r="WTT208"/>
      <c r="WTU208"/>
      <c r="WTV208"/>
      <c r="WTW208"/>
      <c r="WTX208"/>
      <c r="WTY208"/>
      <c r="WTZ208"/>
      <c r="WUA208"/>
      <c r="WUB208"/>
      <c r="WUC208"/>
      <c r="WUD208"/>
      <c r="WUE208"/>
      <c r="WUF208"/>
      <c r="WUG208"/>
      <c r="WUH208"/>
      <c r="WUI208"/>
      <c r="WUJ208"/>
      <c r="WUK208"/>
      <c r="WUL208"/>
      <c r="WUM208"/>
      <c r="WUN208"/>
      <c r="WUO208"/>
      <c r="WUP208"/>
      <c r="WUQ208"/>
      <c r="WUR208"/>
      <c r="WUS208"/>
      <c r="WUT208"/>
      <c r="WUU208"/>
      <c r="WUV208"/>
      <c r="WUW208"/>
      <c r="WUX208"/>
      <c r="WUY208"/>
      <c r="WUZ208"/>
      <c r="WVA208"/>
      <c r="WVB208"/>
      <c r="WVC208"/>
      <c r="WVD208"/>
      <c r="WVE208"/>
      <c r="WVF208"/>
      <c r="WVG208"/>
      <c r="WVH208"/>
      <c r="WVI208"/>
      <c r="WVJ208"/>
      <c r="WVK208"/>
      <c r="WVL208"/>
      <c r="WVM208"/>
      <c r="WVN208"/>
      <c r="WVO208"/>
      <c r="WVP208"/>
      <c r="WVQ208"/>
      <c r="WVR208"/>
      <c r="WVS208"/>
      <c r="WVT208"/>
      <c r="WVU208"/>
      <c r="WVV208"/>
      <c r="WVW208"/>
      <c r="WVX208"/>
      <c r="WVY208"/>
      <c r="WVZ208"/>
      <c r="WWA208"/>
      <c r="WWB208"/>
      <c r="WWC208"/>
      <c r="WWD208"/>
      <c r="WWE208"/>
      <c r="WWF208"/>
      <c r="WWG208"/>
      <c r="WWH208"/>
      <c r="WWI208"/>
      <c r="WWJ208"/>
      <c r="WWK208"/>
      <c r="WWL208"/>
      <c r="WWM208"/>
      <c r="WWN208"/>
      <c r="WWO208"/>
      <c r="WWP208"/>
      <c r="WWQ208"/>
      <c r="WWR208"/>
      <c r="WWS208"/>
      <c r="WWT208"/>
      <c r="WWU208"/>
      <c r="WWV208"/>
      <c r="WWW208"/>
      <c r="WWX208"/>
      <c r="WWY208"/>
      <c r="WWZ208"/>
      <c r="WXA208"/>
      <c r="WXB208"/>
      <c r="WXC208"/>
      <c r="WXD208"/>
      <c r="WXE208"/>
      <c r="WXF208"/>
      <c r="WXG208"/>
      <c r="WXH208"/>
      <c r="WXI208"/>
      <c r="WXJ208"/>
      <c r="WXK208"/>
      <c r="WXL208"/>
      <c r="WXM208"/>
      <c r="WXN208"/>
      <c r="WXO208"/>
      <c r="WXP208"/>
      <c r="WXQ208"/>
      <c r="WXR208"/>
      <c r="WXS208"/>
      <c r="WXT208"/>
      <c r="WXU208"/>
      <c r="WXV208"/>
      <c r="WXW208"/>
      <c r="WXX208"/>
      <c r="WXY208"/>
      <c r="WXZ208"/>
      <c r="WYA208"/>
      <c r="WYB208"/>
      <c r="WYC208"/>
      <c r="WYD208"/>
      <c r="WYE208"/>
      <c r="WYF208"/>
      <c r="WYG208"/>
      <c r="WYH208"/>
      <c r="WYI208"/>
      <c r="WYJ208"/>
      <c r="WYK208"/>
      <c r="WYL208"/>
      <c r="WYM208"/>
      <c r="WYN208"/>
      <c r="WYO208"/>
      <c r="WYP208"/>
      <c r="WYQ208"/>
      <c r="WYR208"/>
      <c r="WYS208"/>
      <c r="WYT208"/>
      <c r="WYU208"/>
      <c r="WYV208"/>
      <c r="WYW208"/>
      <c r="WYX208"/>
      <c r="WYY208"/>
      <c r="WYZ208"/>
      <c r="WZA208"/>
      <c r="WZB208"/>
      <c r="WZC208"/>
      <c r="WZD208"/>
      <c r="WZE208"/>
      <c r="WZF208"/>
      <c r="WZG208"/>
      <c r="WZH208"/>
      <c r="WZI208"/>
      <c r="WZJ208"/>
      <c r="WZK208"/>
      <c r="WZL208"/>
      <c r="WZM208"/>
      <c r="WZN208"/>
      <c r="WZO208"/>
      <c r="WZP208"/>
      <c r="WZQ208"/>
      <c r="WZR208"/>
      <c r="WZS208"/>
      <c r="WZT208"/>
      <c r="WZU208"/>
      <c r="WZV208"/>
      <c r="WZW208"/>
      <c r="WZX208"/>
      <c r="WZY208"/>
      <c r="WZZ208"/>
      <c r="XAA208"/>
      <c r="XAB208"/>
      <c r="XAC208"/>
      <c r="XAD208"/>
      <c r="XAE208"/>
      <c r="XAF208"/>
      <c r="XAG208"/>
      <c r="XAH208"/>
      <c r="XAI208"/>
      <c r="XAJ208"/>
      <c r="XAK208"/>
      <c r="XAL208"/>
      <c r="XAM208"/>
      <c r="XAN208"/>
      <c r="XAO208"/>
      <c r="XAP208"/>
      <c r="XAQ208"/>
      <c r="XAR208"/>
      <c r="XAS208"/>
      <c r="XAT208"/>
      <c r="XAU208"/>
      <c r="XAV208"/>
      <c r="XAW208"/>
      <c r="XAX208"/>
      <c r="XAY208"/>
      <c r="XAZ208"/>
      <c r="XBA208"/>
      <c r="XBB208"/>
      <c r="XBC208"/>
      <c r="XBD208"/>
      <c r="XBE208"/>
      <c r="XBF208"/>
      <c r="XBG208"/>
      <c r="XBH208"/>
      <c r="XBI208"/>
      <c r="XBJ208"/>
      <c r="XBK208"/>
      <c r="XBL208"/>
      <c r="XBM208"/>
      <c r="XBN208"/>
      <c r="XBO208"/>
      <c r="XBP208"/>
      <c r="XBQ208"/>
      <c r="XBR208"/>
      <c r="XBS208"/>
      <c r="XBT208"/>
      <c r="XBU208"/>
      <c r="XBV208"/>
      <c r="XBW208"/>
      <c r="XBX208"/>
      <c r="XBY208"/>
      <c r="XBZ208"/>
      <c r="XCA208"/>
      <c r="XCB208"/>
      <c r="XCC208"/>
      <c r="XCD208"/>
      <c r="XCE208"/>
      <c r="XCF208"/>
      <c r="XCG208"/>
      <c r="XCH208"/>
      <c r="XCI208"/>
      <c r="XCJ208"/>
      <c r="XCK208"/>
      <c r="XCL208"/>
      <c r="XCM208"/>
      <c r="XCN208"/>
      <c r="XCO208"/>
      <c r="XCP208"/>
      <c r="XCQ208"/>
      <c r="XCR208"/>
      <c r="XCS208"/>
      <c r="XCT208"/>
      <c r="XCU208"/>
      <c r="XCV208"/>
      <c r="XCW208"/>
      <c r="XCX208"/>
      <c r="XCY208"/>
      <c r="XCZ208"/>
      <c r="XDA208"/>
      <c r="XDB208"/>
      <c r="XDC208"/>
      <c r="XDD208"/>
      <c r="XDE208"/>
      <c r="XDF208"/>
      <c r="XDG208"/>
      <c r="XDH208"/>
      <c r="XDI208"/>
      <c r="XDJ208"/>
      <c r="XDK208"/>
      <c r="XDL208"/>
      <c r="XDM208"/>
      <c r="XDN208"/>
      <c r="XDO208"/>
      <c r="XDP208"/>
      <c r="XDQ208"/>
      <c r="XDR208"/>
      <c r="XDS208"/>
      <c r="XDT208"/>
      <c r="XDU208"/>
      <c r="XDV208"/>
      <c r="XDW208"/>
      <c r="XDX208"/>
      <c r="XDY208"/>
      <c r="XDZ208"/>
      <c r="XEA208"/>
      <c r="XEB208"/>
      <c r="XEC208"/>
      <c r="XED208"/>
      <c r="XEE208"/>
      <c r="XEF208"/>
      <c r="XEG208"/>
      <c r="XEH208"/>
      <c r="XEI208"/>
      <c r="XEJ208"/>
      <c r="XEK208"/>
      <c r="XEL208"/>
      <c r="XEM208"/>
      <c r="XEN208"/>
      <c r="XEO208"/>
      <c r="XEP208"/>
      <c r="XEQ208"/>
      <c r="XER208"/>
      <c r="XES208"/>
      <c r="XET208"/>
      <c r="XEU208"/>
      <c r="XEV208"/>
      <c r="XEW208"/>
      <c r="XEX208"/>
    </row>
    <row r="209" spans="1:105" s="266" customFormat="1" ht="51" hidden="1" x14ac:dyDescent="0.25">
      <c r="A209" s="472">
        <v>2026</v>
      </c>
      <c r="B209" s="472">
        <v>479</v>
      </c>
      <c r="C209" s="472" t="s">
        <v>64</v>
      </c>
      <c r="D209" s="472" t="s">
        <v>65</v>
      </c>
      <c r="E209" s="472">
        <v>125</v>
      </c>
      <c r="F209" s="472">
        <v>3000654</v>
      </c>
      <c r="G209" s="472">
        <v>5005023</v>
      </c>
      <c r="H209" s="472">
        <v>3</v>
      </c>
      <c r="I209" s="472">
        <v>12</v>
      </c>
      <c r="J209" s="472">
        <v>24</v>
      </c>
      <c r="K209" s="472">
        <v>135560</v>
      </c>
      <c r="L209" s="472" t="s">
        <v>66</v>
      </c>
      <c r="M209" s="124" t="s">
        <v>67</v>
      </c>
      <c r="N209" s="472">
        <v>95</v>
      </c>
      <c r="O209" s="474"/>
      <c r="P209" s="474" t="s">
        <v>4</v>
      </c>
      <c r="Q209" s="472" t="s">
        <v>68</v>
      </c>
      <c r="R209" s="475" t="s">
        <v>69</v>
      </c>
      <c r="S209" s="475" t="s">
        <v>137</v>
      </c>
      <c r="T209" s="475"/>
      <c r="U209" s="124" t="s">
        <v>193</v>
      </c>
      <c r="V209" s="475" t="s">
        <v>3</v>
      </c>
      <c r="W209" s="121">
        <v>1</v>
      </c>
      <c r="X209" s="476">
        <v>3000</v>
      </c>
      <c r="Y209" s="475"/>
      <c r="Z209" s="475"/>
      <c r="AA209" s="476"/>
      <c r="AB209" s="475"/>
      <c r="AC209" s="475"/>
      <c r="AD209" s="563">
        <v>30</v>
      </c>
      <c r="AE209" s="488"/>
      <c r="AF209" s="488"/>
      <c r="AG209" s="488"/>
      <c r="AH209" s="488"/>
      <c r="AI209" s="488"/>
      <c r="AJ209" s="488"/>
      <c r="AK209" s="569">
        <v>3000</v>
      </c>
      <c r="AL209" s="472" t="s">
        <v>73</v>
      </c>
      <c r="AM209" s="472" t="s">
        <v>73</v>
      </c>
      <c r="AN209" s="472" t="s">
        <v>73</v>
      </c>
      <c r="AO209" s="472" t="s">
        <v>73</v>
      </c>
      <c r="AP209" s="564">
        <v>0</v>
      </c>
      <c r="AQ209" s="567">
        <v>3000</v>
      </c>
      <c r="AR209" s="472" t="s">
        <v>73</v>
      </c>
      <c r="AS209" s="472" t="s">
        <v>73</v>
      </c>
      <c r="AT209" s="472" t="s">
        <v>73</v>
      </c>
      <c r="AU209" s="472" t="s">
        <v>73</v>
      </c>
      <c r="AV209" s="472" t="s">
        <v>73</v>
      </c>
      <c r="AW209" s="472" t="s">
        <v>73</v>
      </c>
      <c r="AX209" s="476">
        <v>3000</v>
      </c>
      <c r="AY209" s="479" t="s">
        <v>7</v>
      </c>
      <c r="AZ209" s="474" t="s">
        <v>74</v>
      </c>
      <c r="BA209" s="474"/>
      <c r="BB209" s="480"/>
      <c r="BC209" s="480"/>
      <c r="BD209"/>
      <c r="BE209"/>
      <c r="BF209"/>
      <c r="BG209"/>
      <c r="BH209"/>
      <c r="BI209"/>
      <c r="BJ209"/>
      <c r="BK209" s="481" t="s">
        <v>790</v>
      </c>
      <c r="BL209" s="481" t="s">
        <v>791</v>
      </c>
      <c r="BM209" s="487" t="s">
        <v>1251</v>
      </c>
      <c r="BN209" s="565" t="s">
        <v>1252</v>
      </c>
      <c r="BO209" s="284" t="s">
        <v>1253</v>
      </c>
      <c r="BP209" s="285">
        <v>46167</v>
      </c>
      <c r="BQ209" s="482"/>
      <c r="BR209" s="965">
        <v>4992</v>
      </c>
      <c r="BS209" s="568"/>
      <c r="BT209" s="568"/>
      <c r="BU209" s="482" t="s">
        <v>1388</v>
      </c>
      <c r="BV209" s="414" t="s">
        <v>1430</v>
      </c>
      <c r="BW209" s="566" t="s">
        <v>1431</v>
      </c>
      <c r="BX209" s="566" t="s">
        <v>1432</v>
      </c>
      <c r="BY209" s="284">
        <v>41991771</v>
      </c>
      <c r="BZ209" s="284">
        <v>10419917716</v>
      </c>
      <c r="CA209" s="288">
        <v>3000</v>
      </c>
      <c r="CB209" s="285">
        <v>46174</v>
      </c>
      <c r="CC209" s="285">
        <v>46203</v>
      </c>
      <c r="CD209" s="759"/>
      <c r="CE209" s="485">
        <f t="shared" ref="CE209:CE220" si="395">AC209</f>
        <v>0</v>
      </c>
      <c r="CF209" s="484">
        <f t="shared" ref="CF209:CF220" si="396">AP209</f>
        <v>0</v>
      </c>
      <c r="CG209" s="485"/>
      <c r="CH209" s="485">
        <f t="shared" ref="CH209:CH220" si="397">(X209/30)*CG209</f>
        <v>0</v>
      </c>
      <c r="CI209" s="485"/>
      <c r="CJ209" s="485">
        <f t="shared" ref="CJ209:CJ220" si="398">(X209/30)*CI209</f>
        <v>0</v>
      </c>
      <c r="CK209" s="484">
        <f t="shared" ref="CK209:CK220" si="399">CF209-CH209</f>
        <v>0</v>
      </c>
      <c r="CL209" s="484">
        <f t="shared" ref="CL209:CL220" si="400">CF209-CJ209</f>
        <v>0</v>
      </c>
      <c r="CM209" s="1006"/>
      <c r="CN209" s="485">
        <f t="shared" si="389"/>
        <v>30</v>
      </c>
      <c r="CO209" s="484">
        <f t="shared" si="390"/>
        <v>3000</v>
      </c>
      <c r="CP209" s="485">
        <v>30</v>
      </c>
      <c r="CQ209" s="484">
        <f t="shared" si="391"/>
        <v>3000</v>
      </c>
      <c r="CR209" s="485">
        <v>30</v>
      </c>
      <c r="CS209" s="484">
        <f t="shared" si="392"/>
        <v>3000</v>
      </c>
      <c r="CT209" s="484">
        <f t="shared" si="393"/>
        <v>0</v>
      </c>
      <c r="CU209" s="484">
        <f t="shared" si="394"/>
        <v>0</v>
      </c>
      <c r="CV209" s="1006"/>
      <c r="CW209" s="1007">
        <f t="shared" si="378"/>
        <v>3000</v>
      </c>
      <c r="CX209" s="486">
        <f t="shared" si="379"/>
        <v>3000</v>
      </c>
      <c r="CY209" s="486">
        <f t="shared" si="380"/>
        <v>3000</v>
      </c>
      <c r="CZ209" s="1007">
        <f t="shared" si="381"/>
        <v>0</v>
      </c>
      <c r="DA209" s="1007">
        <f t="shared" si="382"/>
        <v>0</v>
      </c>
    </row>
    <row r="210" spans="1:105" s="266" customFormat="1" ht="51" hidden="1" x14ac:dyDescent="0.25">
      <c r="A210" s="472">
        <v>2026</v>
      </c>
      <c r="B210" s="472">
        <v>479</v>
      </c>
      <c r="C210" s="472" t="s">
        <v>64</v>
      </c>
      <c r="D210" s="472" t="s">
        <v>65</v>
      </c>
      <c r="E210" s="472">
        <v>125</v>
      </c>
      <c r="F210" s="472">
        <v>3000654</v>
      </c>
      <c r="G210" s="472">
        <v>5005023</v>
      </c>
      <c r="H210" s="472">
        <v>3</v>
      </c>
      <c r="I210" s="472">
        <v>12</v>
      </c>
      <c r="J210" s="472">
        <v>24</v>
      </c>
      <c r="K210" s="472">
        <v>135560</v>
      </c>
      <c r="L210" s="472" t="s">
        <v>66</v>
      </c>
      <c r="M210" s="124" t="s">
        <v>67</v>
      </c>
      <c r="N210" s="472">
        <v>95</v>
      </c>
      <c r="O210" s="474"/>
      <c r="P210" s="474" t="s">
        <v>4</v>
      </c>
      <c r="Q210" s="472" t="s">
        <v>68</v>
      </c>
      <c r="R210" s="475" t="s">
        <v>69</v>
      </c>
      <c r="S210" s="475" t="s">
        <v>137</v>
      </c>
      <c r="T210" s="475"/>
      <c r="U210" s="124" t="s">
        <v>193</v>
      </c>
      <c r="V210" s="475" t="s">
        <v>3</v>
      </c>
      <c r="W210" s="121">
        <v>1</v>
      </c>
      <c r="X210" s="476">
        <v>3000</v>
      </c>
      <c r="Y210" s="475"/>
      <c r="Z210" s="475"/>
      <c r="AA210" s="476"/>
      <c r="AB210" s="475"/>
      <c r="AC210" s="475"/>
      <c r="AD210" s="563">
        <v>30</v>
      </c>
      <c r="AE210" s="488"/>
      <c r="AF210" s="488"/>
      <c r="AG210" s="488"/>
      <c r="AH210" s="488"/>
      <c r="AI210" s="488"/>
      <c r="AJ210" s="488"/>
      <c r="AK210" s="569">
        <v>3000</v>
      </c>
      <c r="AL210" s="472" t="s">
        <v>73</v>
      </c>
      <c r="AM210" s="472" t="s">
        <v>73</v>
      </c>
      <c r="AN210" s="472" t="s">
        <v>73</v>
      </c>
      <c r="AO210" s="472" t="s">
        <v>73</v>
      </c>
      <c r="AP210" s="564">
        <v>0</v>
      </c>
      <c r="AQ210" s="567">
        <v>3000</v>
      </c>
      <c r="AR210" s="472" t="s">
        <v>73</v>
      </c>
      <c r="AS210" s="472" t="s">
        <v>73</v>
      </c>
      <c r="AT210" s="472" t="s">
        <v>73</v>
      </c>
      <c r="AU210" s="472" t="s">
        <v>73</v>
      </c>
      <c r="AV210" s="472" t="s">
        <v>73</v>
      </c>
      <c r="AW210" s="472" t="s">
        <v>73</v>
      </c>
      <c r="AX210" s="476">
        <v>3000</v>
      </c>
      <c r="AY210" s="479" t="s">
        <v>7</v>
      </c>
      <c r="AZ210" s="474" t="s">
        <v>74</v>
      </c>
      <c r="BA210" s="474"/>
      <c r="BB210" s="480"/>
      <c r="BC210" s="480"/>
      <c r="BD210"/>
      <c r="BE210"/>
      <c r="BF210"/>
      <c r="BG210"/>
      <c r="BH210"/>
      <c r="BI210"/>
      <c r="BJ210"/>
      <c r="BK210" s="481" t="s">
        <v>790</v>
      </c>
      <c r="BL210" s="481" t="s">
        <v>791</v>
      </c>
      <c r="BM210" s="487" t="s">
        <v>1251</v>
      </c>
      <c r="BN210" s="565" t="s">
        <v>1252</v>
      </c>
      <c r="BO210" s="284" t="s">
        <v>1253</v>
      </c>
      <c r="BP210" s="285">
        <v>46167</v>
      </c>
      <c r="BQ210" s="482"/>
      <c r="BR210" s="965">
        <v>4993</v>
      </c>
      <c r="BS210" s="568"/>
      <c r="BT210" s="568"/>
      <c r="BU210" s="482" t="s">
        <v>1388</v>
      </c>
      <c r="BV210" s="414" t="s">
        <v>1433</v>
      </c>
      <c r="BW210" s="566" t="s">
        <v>830</v>
      </c>
      <c r="BX210" s="566" t="s">
        <v>1434</v>
      </c>
      <c r="BY210" s="284">
        <v>10783889</v>
      </c>
      <c r="BZ210" s="284">
        <v>10107838894</v>
      </c>
      <c r="CA210" s="288">
        <v>3000</v>
      </c>
      <c r="CB210" s="285">
        <v>46174</v>
      </c>
      <c r="CC210" s="285">
        <v>46203</v>
      </c>
      <c r="CD210" s="759"/>
      <c r="CE210" s="485">
        <f t="shared" si="395"/>
        <v>0</v>
      </c>
      <c r="CF210" s="484">
        <f t="shared" si="396"/>
        <v>0</v>
      </c>
      <c r="CG210" s="485"/>
      <c r="CH210" s="485">
        <f t="shared" si="397"/>
        <v>0</v>
      </c>
      <c r="CI210" s="485"/>
      <c r="CJ210" s="485">
        <f t="shared" si="398"/>
        <v>0</v>
      </c>
      <c r="CK210" s="484">
        <f t="shared" si="399"/>
        <v>0</v>
      </c>
      <c r="CL210" s="484">
        <f t="shared" si="400"/>
        <v>0</v>
      </c>
      <c r="CM210" s="1006"/>
      <c r="CN210" s="485">
        <f t="shared" si="389"/>
        <v>30</v>
      </c>
      <c r="CO210" s="484">
        <f t="shared" si="390"/>
        <v>3000</v>
      </c>
      <c r="CP210" s="485">
        <v>30</v>
      </c>
      <c r="CQ210" s="484">
        <f t="shared" si="391"/>
        <v>3000</v>
      </c>
      <c r="CR210" s="485">
        <v>30</v>
      </c>
      <c r="CS210" s="484">
        <f t="shared" si="392"/>
        <v>3000</v>
      </c>
      <c r="CT210" s="484">
        <f t="shared" si="393"/>
        <v>0</v>
      </c>
      <c r="CU210" s="484">
        <f t="shared" si="394"/>
        <v>0</v>
      </c>
      <c r="CV210" s="1006"/>
      <c r="CW210" s="1007">
        <f t="shared" si="378"/>
        <v>3000</v>
      </c>
      <c r="CX210" s="486">
        <f t="shared" si="379"/>
        <v>3000</v>
      </c>
      <c r="CY210" s="486">
        <f t="shared" si="380"/>
        <v>3000</v>
      </c>
      <c r="CZ210" s="1007">
        <f t="shared" si="381"/>
        <v>0</v>
      </c>
      <c r="DA210" s="1007">
        <f t="shared" si="382"/>
        <v>0</v>
      </c>
    </row>
    <row r="211" spans="1:105" s="266" customFormat="1" ht="51" hidden="1" x14ac:dyDescent="0.25">
      <c r="A211" s="472">
        <v>2026</v>
      </c>
      <c r="B211" s="472">
        <v>479</v>
      </c>
      <c r="C211" s="472" t="s">
        <v>64</v>
      </c>
      <c r="D211" s="472" t="s">
        <v>65</v>
      </c>
      <c r="E211" s="472">
        <v>125</v>
      </c>
      <c r="F211" s="472">
        <v>3000654</v>
      </c>
      <c r="G211" s="472">
        <v>5005023</v>
      </c>
      <c r="H211" s="472">
        <v>3</v>
      </c>
      <c r="I211" s="472">
        <v>12</v>
      </c>
      <c r="J211" s="472">
        <v>24</v>
      </c>
      <c r="K211" s="472">
        <v>135560</v>
      </c>
      <c r="L211" s="472" t="s">
        <v>66</v>
      </c>
      <c r="M211" s="124" t="s">
        <v>67</v>
      </c>
      <c r="N211" s="472">
        <v>95</v>
      </c>
      <c r="O211" s="474"/>
      <c r="P211" s="474" t="s">
        <v>4</v>
      </c>
      <c r="Q211" s="472" t="s">
        <v>68</v>
      </c>
      <c r="R211" s="475" t="s">
        <v>69</v>
      </c>
      <c r="S211" s="475" t="s">
        <v>137</v>
      </c>
      <c r="T211" s="475"/>
      <c r="U211" s="124" t="s">
        <v>193</v>
      </c>
      <c r="V211" s="475" t="s">
        <v>3</v>
      </c>
      <c r="W211" s="121">
        <v>1</v>
      </c>
      <c r="X211" s="476">
        <v>3000</v>
      </c>
      <c r="Y211" s="475"/>
      <c r="Z211" s="475"/>
      <c r="AA211" s="476"/>
      <c r="AB211" s="475"/>
      <c r="AC211" s="475"/>
      <c r="AD211" s="563">
        <v>30</v>
      </c>
      <c r="AE211" s="488"/>
      <c r="AF211" s="488"/>
      <c r="AG211" s="488"/>
      <c r="AH211" s="488"/>
      <c r="AI211" s="488"/>
      <c r="AJ211" s="488"/>
      <c r="AK211" s="569">
        <v>3000</v>
      </c>
      <c r="AL211" s="472" t="s">
        <v>73</v>
      </c>
      <c r="AM211" s="472" t="s">
        <v>73</v>
      </c>
      <c r="AN211" s="472" t="s">
        <v>73</v>
      </c>
      <c r="AO211" s="472" t="s">
        <v>73</v>
      </c>
      <c r="AP211" s="564">
        <v>0</v>
      </c>
      <c r="AQ211" s="567">
        <v>3000</v>
      </c>
      <c r="AR211" s="472" t="s">
        <v>73</v>
      </c>
      <c r="AS211" s="472" t="s">
        <v>73</v>
      </c>
      <c r="AT211" s="472" t="s">
        <v>73</v>
      </c>
      <c r="AU211" s="472" t="s">
        <v>73</v>
      </c>
      <c r="AV211" s="472" t="s">
        <v>73</v>
      </c>
      <c r="AW211" s="472" t="s">
        <v>73</v>
      </c>
      <c r="AX211" s="476">
        <v>3000</v>
      </c>
      <c r="AY211" s="479" t="s">
        <v>7</v>
      </c>
      <c r="AZ211" s="474" t="s">
        <v>74</v>
      </c>
      <c r="BA211" s="474"/>
      <c r="BB211" s="480"/>
      <c r="BC211" s="480"/>
      <c r="BD211"/>
      <c r="BE211"/>
      <c r="BF211"/>
      <c r="BG211"/>
      <c r="BH211"/>
      <c r="BI211"/>
      <c r="BJ211"/>
      <c r="BK211" s="481" t="s">
        <v>790</v>
      </c>
      <c r="BL211" s="481" t="s">
        <v>791</v>
      </c>
      <c r="BM211" s="487" t="s">
        <v>1251</v>
      </c>
      <c r="BN211" s="565" t="s">
        <v>1252</v>
      </c>
      <c r="BO211" s="284" t="s">
        <v>1253</v>
      </c>
      <c r="BP211" s="285">
        <v>46167</v>
      </c>
      <c r="BQ211" s="482"/>
      <c r="BR211" s="965">
        <v>4994</v>
      </c>
      <c r="BS211" s="568"/>
      <c r="BT211" s="568"/>
      <c r="BU211" s="482" t="s">
        <v>1388</v>
      </c>
      <c r="BV211" s="414" t="s">
        <v>1435</v>
      </c>
      <c r="BW211" s="566" t="s">
        <v>1386</v>
      </c>
      <c r="BX211" s="566" t="s">
        <v>1436</v>
      </c>
      <c r="BY211" s="284">
        <v>75911353</v>
      </c>
      <c r="BZ211" s="284">
        <v>10759113531</v>
      </c>
      <c r="CA211" s="288">
        <v>3000</v>
      </c>
      <c r="CB211" s="285">
        <v>46174</v>
      </c>
      <c r="CC211" s="285">
        <v>46203</v>
      </c>
      <c r="CD211" s="759"/>
      <c r="CE211" s="485">
        <f t="shared" si="395"/>
        <v>0</v>
      </c>
      <c r="CF211" s="484">
        <f t="shared" si="396"/>
        <v>0</v>
      </c>
      <c r="CG211" s="485"/>
      <c r="CH211" s="485">
        <f t="shared" si="397"/>
        <v>0</v>
      </c>
      <c r="CI211" s="485"/>
      <c r="CJ211" s="485">
        <f t="shared" si="398"/>
        <v>0</v>
      </c>
      <c r="CK211" s="484">
        <f t="shared" si="399"/>
        <v>0</v>
      </c>
      <c r="CL211" s="484">
        <f t="shared" si="400"/>
        <v>0</v>
      </c>
      <c r="CM211" s="1006"/>
      <c r="CN211" s="485">
        <f t="shared" si="389"/>
        <v>30</v>
      </c>
      <c r="CO211" s="484">
        <f t="shared" si="390"/>
        <v>3000</v>
      </c>
      <c r="CP211" s="485">
        <v>30</v>
      </c>
      <c r="CQ211" s="484">
        <f t="shared" si="391"/>
        <v>3000</v>
      </c>
      <c r="CR211" s="485">
        <v>30</v>
      </c>
      <c r="CS211" s="484">
        <f t="shared" si="392"/>
        <v>3000</v>
      </c>
      <c r="CT211" s="484">
        <f t="shared" si="393"/>
        <v>0</v>
      </c>
      <c r="CU211" s="484">
        <f t="shared" si="394"/>
        <v>0</v>
      </c>
      <c r="CV211" s="1006"/>
      <c r="CW211" s="1007">
        <f t="shared" si="378"/>
        <v>3000</v>
      </c>
      <c r="CX211" s="486">
        <f t="shared" si="379"/>
        <v>3000</v>
      </c>
      <c r="CY211" s="486">
        <f t="shared" si="380"/>
        <v>3000</v>
      </c>
      <c r="CZ211" s="1007">
        <f t="shared" si="381"/>
        <v>0</v>
      </c>
      <c r="DA211" s="1007">
        <f t="shared" si="382"/>
        <v>0</v>
      </c>
    </row>
    <row r="212" spans="1:105" s="266" customFormat="1" ht="51" hidden="1" x14ac:dyDescent="0.25">
      <c r="A212" s="472">
        <v>2026</v>
      </c>
      <c r="B212" s="472">
        <v>479</v>
      </c>
      <c r="C212" s="472" t="s">
        <v>64</v>
      </c>
      <c r="D212" s="472" t="s">
        <v>65</v>
      </c>
      <c r="E212" s="472">
        <v>125</v>
      </c>
      <c r="F212" s="472">
        <v>3000654</v>
      </c>
      <c r="G212" s="472">
        <v>5005023</v>
      </c>
      <c r="H212" s="472">
        <v>3</v>
      </c>
      <c r="I212" s="472">
        <v>12</v>
      </c>
      <c r="J212" s="472">
        <v>24</v>
      </c>
      <c r="K212" s="472">
        <v>135560</v>
      </c>
      <c r="L212" s="472" t="s">
        <v>66</v>
      </c>
      <c r="M212" s="124" t="s">
        <v>67</v>
      </c>
      <c r="N212" s="472">
        <v>95</v>
      </c>
      <c r="O212" s="474"/>
      <c r="P212" s="474" t="s">
        <v>4</v>
      </c>
      <c r="Q212" s="472" t="s">
        <v>68</v>
      </c>
      <c r="R212" s="475" t="s">
        <v>69</v>
      </c>
      <c r="S212" s="475" t="s">
        <v>137</v>
      </c>
      <c r="T212" s="475"/>
      <c r="U212" s="124" t="s">
        <v>193</v>
      </c>
      <c r="V212" s="475" t="s">
        <v>3</v>
      </c>
      <c r="W212" s="121">
        <v>1</v>
      </c>
      <c r="X212" s="476">
        <v>3000</v>
      </c>
      <c r="Y212" s="475"/>
      <c r="Z212" s="475"/>
      <c r="AA212" s="476"/>
      <c r="AB212" s="475"/>
      <c r="AC212" s="475"/>
      <c r="AD212" s="563">
        <v>30</v>
      </c>
      <c r="AE212" s="488"/>
      <c r="AF212" s="488"/>
      <c r="AG212" s="488"/>
      <c r="AH212" s="488"/>
      <c r="AI212" s="488"/>
      <c r="AJ212" s="488"/>
      <c r="AK212" s="569">
        <v>3000</v>
      </c>
      <c r="AL212" s="472" t="s">
        <v>73</v>
      </c>
      <c r="AM212" s="472" t="s">
        <v>73</v>
      </c>
      <c r="AN212" s="472" t="s">
        <v>73</v>
      </c>
      <c r="AO212" s="472" t="s">
        <v>73</v>
      </c>
      <c r="AP212" s="564">
        <v>0</v>
      </c>
      <c r="AQ212" s="567">
        <v>3000</v>
      </c>
      <c r="AR212" s="472" t="s">
        <v>73</v>
      </c>
      <c r="AS212" s="472" t="s">
        <v>73</v>
      </c>
      <c r="AT212" s="472" t="s">
        <v>73</v>
      </c>
      <c r="AU212" s="472" t="s">
        <v>73</v>
      </c>
      <c r="AV212" s="472" t="s">
        <v>73</v>
      </c>
      <c r="AW212" s="472" t="s">
        <v>73</v>
      </c>
      <c r="AX212" s="476">
        <v>3000</v>
      </c>
      <c r="AY212" s="479" t="s">
        <v>7</v>
      </c>
      <c r="AZ212" s="474" t="s">
        <v>74</v>
      </c>
      <c r="BA212" s="474"/>
      <c r="BB212" s="480"/>
      <c r="BC212" s="480"/>
      <c r="BD212"/>
      <c r="BE212"/>
      <c r="BF212"/>
      <c r="BG212"/>
      <c r="BH212"/>
      <c r="BI212"/>
      <c r="BJ212"/>
      <c r="BK212" s="481" t="s">
        <v>790</v>
      </c>
      <c r="BL212" s="481" t="s">
        <v>791</v>
      </c>
      <c r="BM212" s="487" t="s">
        <v>1251</v>
      </c>
      <c r="BN212" s="565" t="s">
        <v>1252</v>
      </c>
      <c r="BO212" s="284" t="s">
        <v>1253</v>
      </c>
      <c r="BP212" s="285">
        <v>46167</v>
      </c>
      <c r="BQ212" s="482"/>
      <c r="BR212" s="965">
        <v>4995</v>
      </c>
      <c r="BS212" s="568"/>
      <c r="BT212" s="568"/>
      <c r="BU212" s="482" t="s">
        <v>1388</v>
      </c>
      <c r="BV212" s="414" t="s">
        <v>1437</v>
      </c>
      <c r="BW212" s="566" t="s">
        <v>999</v>
      </c>
      <c r="BX212" s="566" t="s">
        <v>1438</v>
      </c>
      <c r="BY212" s="284">
        <v>10543524</v>
      </c>
      <c r="BZ212" s="284">
        <v>10105435245</v>
      </c>
      <c r="CA212" s="288">
        <v>3000</v>
      </c>
      <c r="CB212" s="285">
        <v>46174</v>
      </c>
      <c r="CC212" s="285">
        <v>46203</v>
      </c>
      <c r="CD212" s="759"/>
      <c r="CE212" s="485">
        <f t="shared" si="395"/>
        <v>0</v>
      </c>
      <c r="CF212" s="484">
        <f t="shared" si="396"/>
        <v>0</v>
      </c>
      <c r="CG212" s="485"/>
      <c r="CH212" s="485">
        <f t="shared" si="397"/>
        <v>0</v>
      </c>
      <c r="CI212" s="485"/>
      <c r="CJ212" s="485">
        <f t="shared" si="398"/>
        <v>0</v>
      </c>
      <c r="CK212" s="484">
        <f t="shared" si="399"/>
        <v>0</v>
      </c>
      <c r="CL212" s="484">
        <f t="shared" si="400"/>
        <v>0</v>
      </c>
      <c r="CM212" s="1006"/>
      <c r="CN212" s="485">
        <f t="shared" si="389"/>
        <v>30</v>
      </c>
      <c r="CO212" s="484">
        <f t="shared" si="390"/>
        <v>3000</v>
      </c>
      <c r="CP212" s="485">
        <v>30</v>
      </c>
      <c r="CQ212" s="484">
        <f t="shared" si="391"/>
        <v>3000</v>
      </c>
      <c r="CR212" s="485">
        <v>30</v>
      </c>
      <c r="CS212" s="484">
        <f t="shared" si="392"/>
        <v>3000</v>
      </c>
      <c r="CT212" s="484">
        <f t="shared" si="393"/>
        <v>0</v>
      </c>
      <c r="CU212" s="484">
        <f t="shared" si="394"/>
        <v>0</v>
      </c>
      <c r="CV212" s="1006"/>
      <c r="CW212" s="1007">
        <f t="shared" si="378"/>
        <v>3000</v>
      </c>
      <c r="CX212" s="486">
        <f t="shared" si="379"/>
        <v>3000</v>
      </c>
      <c r="CY212" s="486">
        <f t="shared" si="380"/>
        <v>3000</v>
      </c>
      <c r="CZ212" s="1007">
        <f t="shared" si="381"/>
        <v>0</v>
      </c>
      <c r="DA212" s="1007">
        <f t="shared" si="382"/>
        <v>0</v>
      </c>
    </row>
    <row r="213" spans="1:105" s="266" customFormat="1" ht="51" hidden="1" x14ac:dyDescent="0.25">
      <c r="A213" s="472">
        <v>2026</v>
      </c>
      <c r="B213" s="472">
        <v>479</v>
      </c>
      <c r="C213" s="472" t="s">
        <v>64</v>
      </c>
      <c r="D213" s="472" t="s">
        <v>65</v>
      </c>
      <c r="E213" s="472">
        <v>125</v>
      </c>
      <c r="F213" s="472">
        <v>3000654</v>
      </c>
      <c r="G213" s="472">
        <v>5005023</v>
      </c>
      <c r="H213" s="472">
        <v>3</v>
      </c>
      <c r="I213" s="472">
        <v>12</v>
      </c>
      <c r="J213" s="472">
        <v>24</v>
      </c>
      <c r="K213" s="472">
        <v>135560</v>
      </c>
      <c r="L213" s="472" t="s">
        <v>66</v>
      </c>
      <c r="M213" s="124" t="s">
        <v>67</v>
      </c>
      <c r="N213" s="472">
        <v>95</v>
      </c>
      <c r="O213" s="474"/>
      <c r="P213" s="474" t="s">
        <v>4</v>
      </c>
      <c r="Q213" s="472" t="s">
        <v>68</v>
      </c>
      <c r="R213" s="475" t="s">
        <v>69</v>
      </c>
      <c r="S213" s="475" t="s">
        <v>137</v>
      </c>
      <c r="T213" s="475"/>
      <c r="U213" s="124" t="s">
        <v>193</v>
      </c>
      <c r="V213" s="475" t="s">
        <v>3</v>
      </c>
      <c r="W213" s="121">
        <v>1</v>
      </c>
      <c r="X213" s="476">
        <v>3000</v>
      </c>
      <c r="Y213" s="475"/>
      <c r="Z213" s="475"/>
      <c r="AA213" s="476"/>
      <c r="AB213" s="475"/>
      <c r="AC213" s="475"/>
      <c r="AD213" s="563">
        <v>30</v>
      </c>
      <c r="AE213" s="488"/>
      <c r="AF213" s="488"/>
      <c r="AG213" s="488"/>
      <c r="AH213" s="488"/>
      <c r="AI213" s="488"/>
      <c r="AJ213" s="488"/>
      <c r="AK213" s="569">
        <v>3000</v>
      </c>
      <c r="AL213" s="472" t="s">
        <v>73</v>
      </c>
      <c r="AM213" s="472" t="s">
        <v>73</v>
      </c>
      <c r="AN213" s="472" t="s">
        <v>73</v>
      </c>
      <c r="AO213" s="472" t="s">
        <v>73</v>
      </c>
      <c r="AP213" s="564">
        <v>0</v>
      </c>
      <c r="AQ213" s="567">
        <v>3000</v>
      </c>
      <c r="AR213" s="472" t="s">
        <v>73</v>
      </c>
      <c r="AS213" s="472" t="s">
        <v>73</v>
      </c>
      <c r="AT213" s="472" t="s">
        <v>73</v>
      </c>
      <c r="AU213" s="472" t="s">
        <v>73</v>
      </c>
      <c r="AV213" s="472" t="s">
        <v>73</v>
      </c>
      <c r="AW213" s="472" t="s">
        <v>73</v>
      </c>
      <c r="AX213" s="476">
        <v>3000</v>
      </c>
      <c r="AY213" s="479" t="s">
        <v>7</v>
      </c>
      <c r="AZ213" s="474" t="s">
        <v>74</v>
      </c>
      <c r="BA213" s="474"/>
      <c r="BB213" s="480"/>
      <c r="BC213" s="480"/>
      <c r="BD213"/>
      <c r="BE213"/>
      <c r="BF213"/>
      <c r="BG213"/>
      <c r="BH213"/>
      <c r="BI213"/>
      <c r="BJ213"/>
      <c r="BK213" s="481" t="s">
        <v>790</v>
      </c>
      <c r="BL213" s="481" t="s">
        <v>791</v>
      </c>
      <c r="BM213" s="487" t="s">
        <v>1251</v>
      </c>
      <c r="BN213" s="565" t="s">
        <v>1252</v>
      </c>
      <c r="BO213" s="284" t="s">
        <v>1253</v>
      </c>
      <c r="BP213" s="285">
        <v>46167</v>
      </c>
      <c r="BQ213" s="482"/>
      <c r="BR213" s="965">
        <v>4996</v>
      </c>
      <c r="BS213" s="568"/>
      <c r="BT213" s="568"/>
      <c r="BU213" s="482" t="s">
        <v>1388</v>
      </c>
      <c r="BV213" s="414" t="s">
        <v>1439</v>
      </c>
      <c r="BW213" s="566" t="s">
        <v>1440</v>
      </c>
      <c r="BX213" s="566" t="s">
        <v>1441</v>
      </c>
      <c r="BY213" s="284">
        <v>75455342</v>
      </c>
      <c r="BZ213" s="284">
        <v>10754553427</v>
      </c>
      <c r="CA213" s="288">
        <v>3000</v>
      </c>
      <c r="CB213" s="285">
        <v>46174</v>
      </c>
      <c r="CC213" s="285">
        <v>46203</v>
      </c>
      <c r="CD213" s="759"/>
      <c r="CE213" s="485">
        <f t="shared" si="395"/>
        <v>0</v>
      </c>
      <c r="CF213" s="484">
        <f t="shared" si="396"/>
        <v>0</v>
      </c>
      <c r="CG213" s="485"/>
      <c r="CH213" s="485">
        <f t="shared" si="397"/>
        <v>0</v>
      </c>
      <c r="CI213" s="485"/>
      <c r="CJ213" s="485">
        <f t="shared" si="398"/>
        <v>0</v>
      </c>
      <c r="CK213" s="484">
        <f t="shared" si="399"/>
        <v>0</v>
      </c>
      <c r="CL213" s="484">
        <f t="shared" si="400"/>
        <v>0</v>
      </c>
      <c r="CM213" s="1006"/>
      <c r="CN213" s="485">
        <f t="shared" si="389"/>
        <v>30</v>
      </c>
      <c r="CO213" s="484">
        <f t="shared" si="390"/>
        <v>3000</v>
      </c>
      <c r="CP213" s="485">
        <v>30</v>
      </c>
      <c r="CQ213" s="484">
        <f t="shared" si="391"/>
        <v>3000</v>
      </c>
      <c r="CR213" s="485">
        <v>30</v>
      </c>
      <c r="CS213" s="484">
        <f t="shared" si="392"/>
        <v>3000</v>
      </c>
      <c r="CT213" s="484">
        <f t="shared" ref="CT213:CT220" si="401">CO213-CQ213</f>
        <v>0</v>
      </c>
      <c r="CU213" s="484">
        <f t="shared" ref="CU213:CU220" si="402">CO213-CS213</f>
        <v>0</v>
      </c>
      <c r="CV213" s="1006"/>
      <c r="CW213" s="1007">
        <f t="shared" si="378"/>
        <v>3000</v>
      </c>
      <c r="CX213" s="486">
        <f t="shared" si="379"/>
        <v>3000</v>
      </c>
      <c r="CY213" s="486">
        <f t="shared" si="380"/>
        <v>3000</v>
      </c>
      <c r="CZ213" s="1007">
        <f t="shared" si="381"/>
        <v>0</v>
      </c>
      <c r="DA213" s="1007">
        <f t="shared" si="382"/>
        <v>0</v>
      </c>
    </row>
    <row r="214" spans="1:105" s="266" customFormat="1" ht="51" hidden="1" x14ac:dyDescent="0.25">
      <c r="A214" s="472">
        <v>2026</v>
      </c>
      <c r="B214" s="472">
        <v>479</v>
      </c>
      <c r="C214" s="472" t="s">
        <v>64</v>
      </c>
      <c r="D214" s="472" t="s">
        <v>65</v>
      </c>
      <c r="E214" s="472">
        <v>125</v>
      </c>
      <c r="F214" s="472">
        <v>3000654</v>
      </c>
      <c r="G214" s="472">
        <v>5005023</v>
      </c>
      <c r="H214" s="472">
        <v>3</v>
      </c>
      <c r="I214" s="472">
        <v>12</v>
      </c>
      <c r="J214" s="472">
        <v>24</v>
      </c>
      <c r="K214" s="472">
        <v>135560</v>
      </c>
      <c r="L214" s="472" t="s">
        <v>66</v>
      </c>
      <c r="M214" s="124" t="s">
        <v>67</v>
      </c>
      <c r="N214" s="472">
        <v>95</v>
      </c>
      <c r="O214" s="474"/>
      <c r="P214" s="474" t="s">
        <v>4</v>
      </c>
      <c r="Q214" s="472" t="s">
        <v>68</v>
      </c>
      <c r="R214" s="475" t="s">
        <v>69</v>
      </c>
      <c r="S214" s="475" t="s">
        <v>137</v>
      </c>
      <c r="T214" s="475"/>
      <c r="U214" s="124" t="s">
        <v>193</v>
      </c>
      <c r="V214" s="475" t="s">
        <v>3</v>
      </c>
      <c r="W214" s="121">
        <v>1</v>
      </c>
      <c r="X214" s="476">
        <v>3000</v>
      </c>
      <c r="Y214" s="475"/>
      <c r="Z214" s="475"/>
      <c r="AA214" s="476"/>
      <c r="AB214" s="475"/>
      <c r="AC214" s="475"/>
      <c r="AD214" s="563">
        <v>30</v>
      </c>
      <c r="AE214" s="488"/>
      <c r="AF214" s="488"/>
      <c r="AG214" s="488"/>
      <c r="AH214" s="488"/>
      <c r="AI214" s="488"/>
      <c r="AJ214" s="488"/>
      <c r="AK214" s="569">
        <v>3000</v>
      </c>
      <c r="AL214" s="472" t="s">
        <v>73</v>
      </c>
      <c r="AM214" s="472" t="s">
        <v>73</v>
      </c>
      <c r="AN214" s="472" t="s">
        <v>73</v>
      </c>
      <c r="AO214" s="472" t="s">
        <v>73</v>
      </c>
      <c r="AP214" s="564">
        <v>0</v>
      </c>
      <c r="AQ214" s="567">
        <v>3000</v>
      </c>
      <c r="AR214" s="472" t="s">
        <v>73</v>
      </c>
      <c r="AS214" s="472" t="s">
        <v>73</v>
      </c>
      <c r="AT214" s="472" t="s">
        <v>73</v>
      </c>
      <c r="AU214" s="472" t="s">
        <v>73</v>
      </c>
      <c r="AV214" s="472" t="s">
        <v>73</v>
      </c>
      <c r="AW214" s="472" t="s">
        <v>73</v>
      </c>
      <c r="AX214" s="476">
        <v>3000</v>
      </c>
      <c r="AY214" s="479" t="s">
        <v>7</v>
      </c>
      <c r="AZ214" s="474" t="s">
        <v>74</v>
      </c>
      <c r="BA214" s="474"/>
      <c r="BB214" s="480"/>
      <c r="BC214" s="480"/>
      <c r="BD214"/>
      <c r="BE214"/>
      <c r="BF214"/>
      <c r="BG214"/>
      <c r="BH214"/>
      <c r="BI214"/>
      <c r="BJ214"/>
      <c r="BK214" s="481" t="s">
        <v>790</v>
      </c>
      <c r="BL214" s="481" t="s">
        <v>791</v>
      </c>
      <c r="BM214" s="487" t="s">
        <v>1251</v>
      </c>
      <c r="BN214" s="565" t="s">
        <v>1252</v>
      </c>
      <c r="BO214" s="284" t="s">
        <v>1253</v>
      </c>
      <c r="BP214" s="285">
        <v>46167</v>
      </c>
      <c r="BQ214" s="482"/>
      <c r="BR214" s="965">
        <v>4997</v>
      </c>
      <c r="BS214" s="568"/>
      <c r="BT214" s="568"/>
      <c r="BU214" s="482" t="s">
        <v>1388</v>
      </c>
      <c r="BV214" s="414" t="s">
        <v>887</v>
      </c>
      <c r="BW214" s="566" t="s">
        <v>977</v>
      </c>
      <c r="BX214" s="566" t="s">
        <v>877</v>
      </c>
      <c r="BY214" s="284">
        <v>9611731</v>
      </c>
      <c r="BZ214" s="284">
        <v>10096117316</v>
      </c>
      <c r="CA214" s="288">
        <v>3000</v>
      </c>
      <c r="CB214" s="285">
        <v>46174</v>
      </c>
      <c r="CC214" s="285">
        <v>46203</v>
      </c>
      <c r="CD214" s="759"/>
      <c r="CE214" s="485">
        <f t="shared" si="395"/>
        <v>0</v>
      </c>
      <c r="CF214" s="484">
        <f t="shared" si="396"/>
        <v>0</v>
      </c>
      <c r="CG214" s="485"/>
      <c r="CH214" s="485">
        <f t="shared" si="397"/>
        <v>0</v>
      </c>
      <c r="CI214" s="485"/>
      <c r="CJ214" s="485">
        <f t="shared" si="398"/>
        <v>0</v>
      </c>
      <c r="CK214" s="484">
        <f t="shared" si="399"/>
        <v>0</v>
      </c>
      <c r="CL214" s="484">
        <f t="shared" si="400"/>
        <v>0</v>
      </c>
      <c r="CM214" s="1006"/>
      <c r="CN214" s="485">
        <f t="shared" si="389"/>
        <v>30</v>
      </c>
      <c r="CO214" s="484">
        <f t="shared" si="390"/>
        <v>3000</v>
      </c>
      <c r="CP214" s="485">
        <v>30</v>
      </c>
      <c r="CQ214" s="484">
        <f t="shared" si="391"/>
        <v>3000</v>
      </c>
      <c r="CR214" s="485">
        <v>30</v>
      </c>
      <c r="CS214" s="484">
        <f t="shared" si="392"/>
        <v>3000</v>
      </c>
      <c r="CT214" s="484">
        <f t="shared" si="401"/>
        <v>0</v>
      </c>
      <c r="CU214" s="484">
        <f t="shared" si="402"/>
        <v>0</v>
      </c>
      <c r="CV214" s="1006"/>
      <c r="CW214" s="1007">
        <f t="shared" si="378"/>
        <v>3000</v>
      </c>
      <c r="CX214" s="486">
        <f t="shared" si="379"/>
        <v>3000</v>
      </c>
      <c r="CY214" s="486">
        <f t="shared" si="380"/>
        <v>3000</v>
      </c>
      <c r="CZ214" s="1007">
        <f t="shared" si="381"/>
        <v>0</v>
      </c>
      <c r="DA214" s="1007">
        <f t="shared" si="382"/>
        <v>0</v>
      </c>
    </row>
    <row r="215" spans="1:105" s="266" customFormat="1" ht="51" hidden="1" x14ac:dyDescent="0.25">
      <c r="A215" s="472">
        <v>2026</v>
      </c>
      <c r="B215" s="472">
        <v>479</v>
      </c>
      <c r="C215" s="472" t="s">
        <v>64</v>
      </c>
      <c r="D215" s="472" t="s">
        <v>65</v>
      </c>
      <c r="E215" s="472">
        <v>125</v>
      </c>
      <c r="F215" s="472">
        <v>3000654</v>
      </c>
      <c r="G215" s="472">
        <v>5005023</v>
      </c>
      <c r="H215" s="472">
        <v>3</v>
      </c>
      <c r="I215" s="472">
        <v>12</v>
      </c>
      <c r="J215" s="472">
        <v>24</v>
      </c>
      <c r="K215" s="472">
        <v>135560</v>
      </c>
      <c r="L215" s="472" t="s">
        <v>66</v>
      </c>
      <c r="M215" s="124" t="s">
        <v>67</v>
      </c>
      <c r="N215" s="472">
        <v>95</v>
      </c>
      <c r="O215" s="474"/>
      <c r="P215" s="474" t="s">
        <v>4</v>
      </c>
      <c r="Q215" s="472" t="s">
        <v>68</v>
      </c>
      <c r="R215" s="475" t="s">
        <v>69</v>
      </c>
      <c r="S215" s="475" t="s">
        <v>137</v>
      </c>
      <c r="T215" s="475"/>
      <c r="U215" s="124" t="s">
        <v>193</v>
      </c>
      <c r="V215" s="475" t="s">
        <v>3</v>
      </c>
      <c r="W215" s="121">
        <v>1</v>
      </c>
      <c r="X215" s="476">
        <v>3000</v>
      </c>
      <c r="Y215" s="475"/>
      <c r="Z215" s="475"/>
      <c r="AA215" s="476"/>
      <c r="AB215" s="475"/>
      <c r="AC215" s="475"/>
      <c r="AD215" s="563">
        <v>30</v>
      </c>
      <c r="AE215" s="488"/>
      <c r="AF215" s="488"/>
      <c r="AG215" s="488"/>
      <c r="AH215" s="488"/>
      <c r="AI215" s="488"/>
      <c r="AJ215" s="488"/>
      <c r="AK215" s="569">
        <v>3000</v>
      </c>
      <c r="AL215" s="472" t="s">
        <v>73</v>
      </c>
      <c r="AM215" s="472" t="s">
        <v>73</v>
      </c>
      <c r="AN215" s="472" t="s">
        <v>73</v>
      </c>
      <c r="AO215" s="472" t="s">
        <v>73</v>
      </c>
      <c r="AP215" s="564">
        <v>0</v>
      </c>
      <c r="AQ215" s="567">
        <v>3000</v>
      </c>
      <c r="AR215" s="472" t="s">
        <v>73</v>
      </c>
      <c r="AS215" s="472" t="s">
        <v>73</v>
      </c>
      <c r="AT215" s="472" t="s">
        <v>73</v>
      </c>
      <c r="AU215" s="472" t="s">
        <v>73</v>
      </c>
      <c r="AV215" s="472" t="s">
        <v>73</v>
      </c>
      <c r="AW215" s="472" t="s">
        <v>73</v>
      </c>
      <c r="AX215" s="476">
        <v>3000</v>
      </c>
      <c r="AY215" s="479" t="s">
        <v>7</v>
      </c>
      <c r="AZ215" s="474" t="s">
        <v>74</v>
      </c>
      <c r="BA215" s="474"/>
      <c r="BB215" s="480"/>
      <c r="BC215" s="480"/>
      <c r="BD215"/>
      <c r="BE215"/>
      <c r="BF215"/>
      <c r="BG215"/>
      <c r="BH215"/>
      <c r="BI215"/>
      <c r="BJ215"/>
      <c r="BK215" s="481" t="s">
        <v>790</v>
      </c>
      <c r="BL215" s="481" t="s">
        <v>791</v>
      </c>
      <c r="BM215" s="487" t="s">
        <v>1251</v>
      </c>
      <c r="BN215" s="565" t="s">
        <v>1252</v>
      </c>
      <c r="BO215" s="284" t="s">
        <v>1253</v>
      </c>
      <c r="BP215" s="285">
        <v>46167</v>
      </c>
      <c r="BQ215" s="482"/>
      <c r="BR215" s="965">
        <v>4998</v>
      </c>
      <c r="BS215" s="568"/>
      <c r="BT215" s="568"/>
      <c r="BU215" s="482" t="s">
        <v>1388</v>
      </c>
      <c r="BV215" s="414" t="s">
        <v>1442</v>
      </c>
      <c r="BW215" s="566" t="s">
        <v>871</v>
      </c>
      <c r="BX215" s="566" t="s">
        <v>1443</v>
      </c>
      <c r="BY215" s="284">
        <v>41875310</v>
      </c>
      <c r="BZ215" s="284">
        <v>10418753108</v>
      </c>
      <c r="CA215" s="288">
        <v>3000</v>
      </c>
      <c r="CB215" s="285">
        <v>46174</v>
      </c>
      <c r="CC215" s="285">
        <v>46203</v>
      </c>
      <c r="CD215" s="759"/>
      <c r="CE215" s="485">
        <f t="shared" si="395"/>
        <v>0</v>
      </c>
      <c r="CF215" s="484">
        <f t="shared" si="396"/>
        <v>0</v>
      </c>
      <c r="CG215" s="485"/>
      <c r="CH215" s="485">
        <f t="shared" si="397"/>
        <v>0</v>
      </c>
      <c r="CI215" s="485"/>
      <c r="CJ215" s="485">
        <f t="shared" si="398"/>
        <v>0</v>
      </c>
      <c r="CK215" s="484">
        <f t="shared" si="399"/>
        <v>0</v>
      </c>
      <c r="CL215" s="484">
        <f t="shared" si="400"/>
        <v>0</v>
      </c>
      <c r="CM215" s="1006"/>
      <c r="CN215" s="485">
        <f t="shared" si="389"/>
        <v>30</v>
      </c>
      <c r="CO215" s="484">
        <f t="shared" si="390"/>
        <v>3000</v>
      </c>
      <c r="CP215" s="485">
        <v>30</v>
      </c>
      <c r="CQ215" s="484">
        <f t="shared" si="391"/>
        <v>3000</v>
      </c>
      <c r="CR215" s="485">
        <v>30</v>
      </c>
      <c r="CS215" s="484">
        <f t="shared" si="392"/>
        <v>3000</v>
      </c>
      <c r="CT215" s="484">
        <f t="shared" si="401"/>
        <v>0</v>
      </c>
      <c r="CU215" s="484">
        <f t="shared" si="402"/>
        <v>0</v>
      </c>
      <c r="CV215" s="1006"/>
      <c r="CW215" s="1007">
        <f t="shared" si="378"/>
        <v>3000</v>
      </c>
      <c r="CX215" s="486">
        <f t="shared" si="379"/>
        <v>3000</v>
      </c>
      <c r="CY215" s="486">
        <f t="shared" si="380"/>
        <v>3000</v>
      </c>
      <c r="CZ215" s="1007">
        <f t="shared" si="381"/>
        <v>0</v>
      </c>
      <c r="DA215" s="1007">
        <f t="shared" si="382"/>
        <v>0</v>
      </c>
    </row>
    <row r="216" spans="1:105" s="266" customFormat="1" ht="51" hidden="1" x14ac:dyDescent="0.25">
      <c r="A216" s="472">
        <v>2026</v>
      </c>
      <c r="B216" s="472">
        <v>479</v>
      </c>
      <c r="C216" s="472" t="s">
        <v>64</v>
      </c>
      <c r="D216" s="472" t="s">
        <v>65</v>
      </c>
      <c r="E216" s="472">
        <v>125</v>
      </c>
      <c r="F216" s="472">
        <v>3000654</v>
      </c>
      <c r="G216" s="472">
        <v>5005023</v>
      </c>
      <c r="H216" s="472">
        <v>3</v>
      </c>
      <c r="I216" s="472">
        <v>12</v>
      </c>
      <c r="J216" s="472">
        <v>24</v>
      </c>
      <c r="K216" s="472">
        <v>135560</v>
      </c>
      <c r="L216" s="472" t="s">
        <v>66</v>
      </c>
      <c r="M216" s="124" t="s">
        <v>67</v>
      </c>
      <c r="N216" s="472">
        <v>95</v>
      </c>
      <c r="O216" s="474"/>
      <c r="P216" s="474" t="s">
        <v>4</v>
      </c>
      <c r="Q216" s="472" t="s">
        <v>68</v>
      </c>
      <c r="R216" s="475" t="s">
        <v>69</v>
      </c>
      <c r="S216" s="475" t="s">
        <v>137</v>
      </c>
      <c r="T216" s="475"/>
      <c r="U216" s="124" t="s">
        <v>193</v>
      </c>
      <c r="V216" s="475" t="s">
        <v>3</v>
      </c>
      <c r="W216" s="121">
        <v>1</v>
      </c>
      <c r="X216" s="476">
        <v>3000</v>
      </c>
      <c r="Y216" s="475"/>
      <c r="Z216" s="475"/>
      <c r="AA216" s="476"/>
      <c r="AB216" s="475"/>
      <c r="AC216" s="475"/>
      <c r="AD216" s="563">
        <v>30</v>
      </c>
      <c r="AE216" s="488"/>
      <c r="AF216" s="488"/>
      <c r="AG216" s="488"/>
      <c r="AH216" s="488"/>
      <c r="AI216" s="488"/>
      <c r="AJ216" s="488"/>
      <c r="AK216" s="569">
        <v>3000</v>
      </c>
      <c r="AL216" s="472" t="s">
        <v>73</v>
      </c>
      <c r="AM216" s="472" t="s">
        <v>73</v>
      </c>
      <c r="AN216" s="472" t="s">
        <v>73</v>
      </c>
      <c r="AO216" s="472" t="s">
        <v>73</v>
      </c>
      <c r="AP216" s="564">
        <v>0</v>
      </c>
      <c r="AQ216" s="567">
        <v>3000</v>
      </c>
      <c r="AR216" s="472" t="s">
        <v>73</v>
      </c>
      <c r="AS216" s="472" t="s">
        <v>73</v>
      </c>
      <c r="AT216" s="472" t="s">
        <v>73</v>
      </c>
      <c r="AU216" s="472" t="s">
        <v>73</v>
      </c>
      <c r="AV216" s="472" t="s">
        <v>73</v>
      </c>
      <c r="AW216" s="472" t="s">
        <v>73</v>
      </c>
      <c r="AX216" s="476">
        <v>3000</v>
      </c>
      <c r="AY216" s="479" t="s">
        <v>7</v>
      </c>
      <c r="AZ216" s="474" t="s">
        <v>74</v>
      </c>
      <c r="BA216" s="474"/>
      <c r="BB216" s="480"/>
      <c r="BC216" s="480"/>
      <c r="BD216"/>
      <c r="BE216"/>
      <c r="BF216"/>
      <c r="BG216"/>
      <c r="BH216"/>
      <c r="BI216"/>
      <c r="BJ216"/>
      <c r="BK216" s="481" t="s">
        <v>790</v>
      </c>
      <c r="BL216" s="481" t="s">
        <v>791</v>
      </c>
      <c r="BM216" s="487" t="s">
        <v>1251</v>
      </c>
      <c r="BN216" s="565" t="s">
        <v>1252</v>
      </c>
      <c r="BO216" s="284" t="s">
        <v>1253</v>
      </c>
      <c r="BP216" s="285">
        <v>46167</v>
      </c>
      <c r="BQ216" s="482"/>
      <c r="BR216" s="965">
        <v>4999</v>
      </c>
      <c r="BS216" s="568"/>
      <c r="BT216" s="568"/>
      <c r="BU216" s="482" t="s">
        <v>1388</v>
      </c>
      <c r="BV216" s="414" t="s">
        <v>1444</v>
      </c>
      <c r="BW216" s="566" t="s">
        <v>1445</v>
      </c>
      <c r="BX216" s="566" t="s">
        <v>1446</v>
      </c>
      <c r="BY216" s="284">
        <v>40600456</v>
      </c>
      <c r="BZ216" s="284">
        <v>10406004568</v>
      </c>
      <c r="CA216" s="288">
        <v>3000</v>
      </c>
      <c r="CB216" s="285">
        <v>46174</v>
      </c>
      <c r="CC216" s="285">
        <v>46203</v>
      </c>
      <c r="CD216" s="759"/>
      <c r="CE216" s="485">
        <f t="shared" si="395"/>
        <v>0</v>
      </c>
      <c r="CF216" s="484">
        <f t="shared" si="396"/>
        <v>0</v>
      </c>
      <c r="CG216" s="485"/>
      <c r="CH216" s="485">
        <f t="shared" si="397"/>
        <v>0</v>
      </c>
      <c r="CI216" s="485"/>
      <c r="CJ216" s="485">
        <f t="shared" si="398"/>
        <v>0</v>
      </c>
      <c r="CK216" s="484">
        <f t="shared" si="399"/>
        <v>0</v>
      </c>
      <c r="CL216" s="484">
        <f t="shared" si="400"/>
        <v>0</v>
      </c>
      <c r="CM216" s="1006"/>
      <c r="CN216" s="485">
        <f t="shared" si="389"/>
        <v>30</v>
      </c>
      <c r="CO216" s="484">
        <f t="shared" si="390"/>
        <v>3000</v>
      </c>
      <c r="CP216" s="485">
        <v>30</v>
      </c>
      <c r="CQ216" s="484">
        <f t="shared" si="391"/>
        <v>3000</v>
      </c>
      <c r="CR216" s="485">
        <v>30</v>
      </c>
      <c r="CS216" s="484">
        <f t="shared" si="392"/>
        <v>3000</v>
      </c>
      <c r="CT216" s="484">
        <f t="shared" si="401"/>
        <v>0</v>
      </c>
      <c r="CU216" s="484">
        <f t="shared" si="402"/>
        <v>0</v>
      </c>
      <c r="CV216" s="1006"/>
      <c r="CW216" s="1007">
        <f t="shared" si="378"/>
        <v>3000</v>
      </c>
      <c r="CX216" s="486">
        <f t="shared" si="379"/>
        <v>3000</v>
      </c>
      <c r="CY216" s="486">
        <f t="shared" si="380"/>
        <v>3000</v>
      </c>
      <c r="CZ216" s="1007">
        <f t="shared" si="381"/>
        <v>0</v>
      </c>
      <c r="DA216" s="1007">
        <f t="shared" si="382"/>
        <v>0</v>
      </c>
    </row>
    <row r="217" spans="1:105" s="266" customFormat="1" ht="51" hidden="1" x14ac:dyDescent="0.25">
      <c r="A217" s="472">
        <v>2026</v>
      </c>
      <c r="B217" s="472">
        <v>479</v>
      </c>
      <c r="C217" s="472" t="s">
        <v>64</v>
      </c>
      <c r="D217" s="472" t="s">
        <v>65</v>
      </c>
      <c r="E217" s="472">
        <v>125</v>
      </c>
      <c r="F217" s="472">
        <v>3000654</v>
      </c>
      <c r="G217" s="472">
        <v>5005023</v>
      </c>
      <c r="H217" s="472">
        <v>3</v>
      </c>
      <c r="I217" s="472">
        <v>12</v>
      </c>
      <c r="J217" s="472">
        <v>24</v>
      </c>
      <c r="K217" s="472">
        <v>135560</v>
      </c>
      <c r="L217" s="472" t="s">
        <v>66</v>
      </c>
      <c r="M217" s="124" t="s">
        <v>67</v>
      </c>
      <c r="N217" s="472">
        <v>95</v>
      </c>
      <c r="O217" s="474"/>
      <c r="P217" s="474" t="s">
        <v>4</v>
      </c>
      <c r="Q217" s="472" t="s">
        <v>68</v>
      </c>
      <c r="R217" s="475" t="s">
        <v>69</v>
      </c>
      <c r="S217" s="475" t="s">
        <v>137</v>
      </c>
      <c r="T217" s="475"/>
      <c r="U217" s="124" t="s">
        <v>193</v>
      </c>
      <c r="V217" s="475" t="s">
        <v>3</v>
      </c>
      <c r="W217" s="121">
        <v>1</v>
      </c>
      <c r="X217" s="476">
        <v>3000</v>
      </c>
      <c r="Y217" s="475"/>
      <c r="Z217" s="475"/>
      <c r="AA217" s="476"/>
      <c r="AB217" s="475"/>
      <c r="AC217" s="475"/>
      <c r="AD217" s="563">
        <v>30</v>
      </c>
      <c r="AE217" s="488"/>
      <c r="AF217" s="488"/>
      <c r="AG217" s="488"/>
      <c r="AH217" s="488"/>
      <c r="AI217" s="488"/>
      <c r="AJ217" s="488"/>
      <c r="AK217" s="569">
        <v>3000</v>
      </c>
      <c r="AL217" s="472" t="s">
        <v>73</v>
      </c>
      <c r="AM217" s="472" t="s">
        <v>73</v>
      </c>
      <c r="AN217" s="472" t="s">
        <v>73</v>
      </c>
      <c r="AO217" s="472" t="s">
        <v>73</v>
      </c>
      <c r="AP217" s="564">
        <v>0</v>
      </c>
      <c r="AQ217" s="567">
        <v>3000</v>
      </c>
      <c r="AR217" s="472" t="s">
        <v>73</v>
      </c>
      <c r="AS217" s="472" t="s">
        <v>73</v>
      </c>
      <c r="AT217" s="472" t="s">
        <v>73</v>
      </c>
      <c r="AU217" s="472" t="s">
        <v>73</v>
      </c>
      <c r="AV217" s="472" t="s">
        <v>73</v>
      </c>
      <c r="AW217" s="472" t="s">
        <v>73</v>
      </c>
      <c r="AX217" s="476">
        <v>3000</v>
      </c>
      <c r="AY217" s="479" t="s">
        <v>7</v>
      </c>
      <c r="AZ217" s="474" t="s">
        <v>74</v>
      </c>
      <c r="BA217" s="474"/>
      <c r="BB217" s="480"/>
      <c r="BC217" s="480"/>
      <c r="BD217"/>
      <c r="BE217"/>
      <c r="BF217"/>
      <c r="BG217"/>
      <c r="BH217"/>
      <c r="BI217"/>
      <c r="BJ217"/>
      <c r="BK217" s="481" t="s">
        <v>790</v>
      </c>
      <c r="BL217" s="481" t="s">
        <v>791</v>
      </c>
      <c r="BM217" s="487" t="s">
        <v>1251</v>
      </c>
      <c r="BN217" s="565" t="s">
        <v>1252</v>
      </c>
      <c r="BO217" s="284" t="s">
        <v>1253</v>
      </c>
      <c r="BP217" s="285">
        <v>46167</v>
      </c>
      <c r="BQ217" s="482"/>
      <c r="BR217" s="965">
        <v>5000</v>
      </c>
      <c r="BS217" s="568"/>
      <c r="BT217" s="568"/>
      <c r="BU217" s="482" t="s">
        <v>1388</v>
      </c>
      <c r="BV217" s="414" t="s">
        <v>1386</v>
      </c>
      <c r="BW217" s="566" t="s">
        <v>1447</v>
      </c>
      <c r="BX217" s="566" t="s">
        <v>1448</v>
      </c>
      <c r="BY217" s="284">
        <v>46631832</v>
      </c>
      <c r="BZ217" s="284">
        <v>10466318324</v>
      </c>
      <c r="CA217" s="288">
        <v>3000</v>
      </c>
      <c r="CB217" s="285">
        <v>46174</v>
      </c>
      <c r="CC217" s="285">
        <v>46203</v>
      </c>
      <c r="CD217" s="759"/>
      <c r="CE217" s="485">
        <f t="shared" si="395"/>
        <v>0</v>
      </c>
      <c r="CF217" s="484">
        <f t="shared" si="396"/>
        <v>0</v>
      </c>
      <c r="CG217" s="485"/>
      <c r="CH217" s="485">
        <f t="shared" si="397"/>
        <v>0</v>
      </c>
      <c r="CI217" s="485"/>
      <c r="CJ217" s="485">
        <f t="shared" si="398"/>
        <v>0</v>
      </c>
      <c r="CK217" s="484">
        <f t="shared" si="399"/>
        <v>0</v>
      </c>
      <c r="CL217" s="484">
        <f t="shared" si="400"/>
        <v>0</v>
      </c>
      <c r="CM217" s="1006"/>
      <c r="CN217" s="485">
        <f t="shared" si="389"/>
        <v>30</v>
      </c>
      <c r="CO217" s="484">
        <f t="shared" si="390"/>
        <v>3000</v>
      </c>
      <c r="CP217" s="485">
        <v>30</v>
      </c>
      <c r="CQ217" s="484">
        <f t="shared" si="391"/>
        <v>3000</v>
      </c>
      <c r="CR217" s="485">
        <v>30</v>
      </c>
      <c r="CS217" s="484">
        <f t="shared" si="392"/>
        <v>3000</v>
      </c>
      <c r="CT217" s="484">
        <f t="shared" si="401"/>
        <v>0</v>
      </c>
      <c r="CU217" s="484">
        <f t="shared" si="402"/>
        <v>0</v>
      </c>
      <c r="CV217" s="1006"/>
      <c r="CW217" s="1007">
        <f t="shared" si="378"/>
        <v>3000</v>
      </c>
      <c r="CX217" s="486">
        <f t="shared" si="379"/>
        <v>3000</v>
      </c>
      <c r="CY217" s="486">
        <f t="shared" si="380"/>
        <v>3000</v>
      </c>
      <c r="CZ217" s="1007">
        <f t="shared" si="381"/>
        <v>0</v>
      </c>
      <c r="DA217" s="1007">
        <f t="shared" si="382"/>
        <v>0</v>
      </c>
    </row>
    <row r="218" spans="1:105" s="266" customFormat="1" ht="51" hidden="1" x14ac:dyDescent="0.25">
      <c r="A218" s="472">
        <v>2026</v>
      </c>
      <c r="B218" s="472">
        <v>479</v>
      </c>
      <c r="C218" s="472" t="s">
        <v>64</v>
      </c>
      <c r="D218" s="472" t="s">
        <v>65</v>
      </c>
      <c r="E218" s="472">
        <v>125</v>
      </c>
      <c r="F218" s="472">
        <v>3000654</v>
      </c>
      <c r="G218" s="472">
        <v>5005023</v>
      </c>
      <c r="H218" s="472">
        <v>3</v>
      </c>
      <c r="I218" s="472">
        <v>12</v>
      </c>
      <c r="J218" s="472">
        <v>24</v>
      </c>
      <c r="K218" s="472">
        <v>135560</v>
      </c>
      <c r="L218" s="472" t="s">
        <v>66</v>
      </c>
      <c r="M218" s="124" t="s">
        <v>67</v>
      </c>
      <c r="N218" s="472">
        <v>95</v>
      </c>
      <c r="O218" s="474"/>
      <c r="P218" s="474" t="s">
        <v>4</v>
      </c>
      <c r="Q218" s="472" t="s">
        <v>68</v>
      </c>
      <c r="R218" s="475" t="s">
        <v>69</v>
      </c>
      <c r="S218" s="475" t="s">
        <v>137</v>
      </c>
      <c r="T218" s="475"/>
      <c r="U218" s="124" t="s">
        <v>193</v>
      </c>
      <c r="V218" s="475" t="s">
        <v>3</v>
      </c>
      <c r="W218" s="121">
        <v>1</v>
      </c>
      <c r="X218" s="476">
        <v>3000</v>
      </c>
      <c r="Y218" s="475"/>
      <c r="Z218" s="475"/>
      <c r="AA218" s="476"/>
      <c r="AB218" s="475"/>
      <c r="AC218" s="475"/>
      <c r="AD218" s="563">
        <v>30</v>
      </c>
      <c r="AE218" s="488"/>
      <c r="AF218" s="488"/>
      <c r="AG218" s="488"/>
      <c r="AH218" s="488"/>
      <c r="AI218" s="488"/>
      <c r="AJ218" s="488"/>
      <c r="AK218" s="569">
        <v>3000</v>
      </c>
      <c r="AL218" s="472" t="s">
        <v>73</v>
      </c>
      <c r="AM218" s="472" t="s">
        <v>73</v>
      </c>
      <c r="AN218" s="472" t="s">
        <v>73</v>
      </c>
      <c r="AO218" s="472" t="s">
        <v>73</v>
      </c>
      <c r="AP218" s="564">
        <v>0</v>
      </c>
      <c r="AQ218" s="567">
        <v>3000</v>
      </c>
      <c r="AR218" s="472" t="s">
        <v>73</v>
      </c>
      <c r="AS218" s="472" t="s">
        <v>73</v>
      </c>
      <c r="AT218" s="472" t="s">
        <v>73</v>
      </c>
      <c r="AU218" s="472" t="s">
        <v>73</v>
      </c>
      <c r="AV218" s="472" t="s">
        <v>73</v>
      </c>
      <c r="AW218" s="472" t="s">
        <v>73</v>
      </c>
      <c r="AX218" s="476">
        <v>3000</v>
      </c>
      <c r="AY218" s="479" t="s">
        <v>7</v>
      </c>
      <c r="AZ218" s="474" t="s">
        <v>74</v>
      </c>
      <c r="BA218" s="474"/>
      <c r="BB218" s="480"/>
      <c r="BC218" s="480"/>
      <c r="BD218"/>
      <c r="BE218"/>
      <c r="BF218"/>
      <c r="BG218"/>
      <c r="BH218"/>
      <c r="BI218"/>
      <c r="BJ218"/>
      <c r="BK218" s="481" t="s">
        <v>790</v>
      </c>
      <c r="BL218" s="481" t="s">
        <v>791</v>
      </c>
      <c r="BM218" s="487" t="s">
        <v>1251</v>
      </c>
      <c r="BN218" s="565" t="s">
        <v>1252</v>
      </c>
      <c r="BO218" s="284" t="s">
        <v>1253</v>
      </c>
      <c r="BP218" s="285">
        <v>46167</v>
      </c>
      <c r="BQ218" s="482"/>
      <c r="BR218" s="965">
        <v>5001</v>
      </c>
      <c r="BS218" s="568"/>
      <c r="BT218" s="568"/>
      <c r="BU218" s="482" t="s">
        <v>1388</v>
      </c>
      <c r="BV218" s="414" t="s">
        <v>1449</v>
      </c>
      <c r="BW218" s="566" t="s">
        <v>836</v>
      </c>
      <c r="BX218" s="566" t="s">
        <v>1450</v>
      </c>
      <c r="BY218" s="284">
        <v>73213606</v>
      </c>
      <c r="BZ218" s="284">
        <v>10732136067</v>
      </c>
      <c r="CA218" s="288">
        <v>3000</v>
      </c>
      <c r="CB218" s="285">
        <v>46174</v>
      </c>
      <c r="CC218" s="285">
        <v>46203</v>
      </c>
      <c r="CD218" s="759"/>
      <c r="CE218" s="485">
        <f t="shared" si="395"/>
        <v>0</v>
      </c>
      <c r="CF218" s="484">
        <f t="shared" si="396"/>
        <v>0</v>
      </c>
      <c r="CG218" s="485"/>
      <c r="CH218" s="485">
        <f t="shared" si="397"/>
        <v>0</v>
      </c>
      <c r="CI218" s="485"/>
      <c r="CJ218" s="485">
        <f t="shared" si="398"/>
        <v>0</v>
      </c>
      <c r="CK218" s="484">
        <f t="shared" si="399"/>
        <v>0</v>
      </c>
      <c r="CL218" s="484">
        <f t="shared" si="400"/>
        <v>0</v>
      </c>
      <c r="CM218" s="1006"/>
      <c r="CN218" s="485">
        <f t="shared" si="389"/>
        <v>30</v>
      </c>
      <c r="CO218" s="484">
        <f t="shared" si="390"/>
        <v>3000</v>
      </c>
      <c r="CP218" s="485">
        <v>30</v>
      </c>
      <c r="CQ218" s="484">
        <f t="shared" si="391"/>
        <v>3000</v>
      </c>
      <c r="CR218" s="485">
        <v>30</v>
      </c>
      <c r="CS218" s="484">
        <f t="shared" si="392"/>
        <v>3000</v>
      </c>
      <c r="CT218" s="484">
        <f t="shared" si="401"/>
        <v>0</v>
      </c>
      <c r="CU218" s="484">
        <f t="shared" si="402"/>
        <v>0</v>
      </c>
      <c r="CV218" s="1006"/>
      <c r="CW218" s="1007">
        <f t="shared" si="378"/>
        <v>3000</v>
      </c>
      <c r="CX218" s="486">
        <f t="shared" si="379"/>
        <v>3000</v>
      </c>
      <c r="CY218" s="486">
        <f t="shared" si="380"/>
        <v>3000</v>
      </c>
      <c r="CZ218" s="1007">
        <f t="shared" si="381"/>
        <v>0</v>
      </c>
      <c r="DA218" s="1007">
        <f t="shared" si="382"/>
        <v>0</v>
      </c>
    </row>
    <row r="219" spans="1:105" s="266" customFormat="1" ht="51" hidden="1" x14ac:dyDescent="0.25">
      <c r="A219" s="472">
        <v>2026</v>
      </c>
      <c r="B219" s="472">
        <v>479</v>
      </c>
      <c r="C219" s="472" t="s">
        <v>64</v>
      </c>
      <c r="D219" s="472" t="s">
        <v>65</v>
      </c>
      <c r="E219" s="472">
        <v>125</v>
      </c>
      <c r="F219" s="472">
        <v>3000654</v>
      </c>
      <c r="G219" s="472">
        <v>5005023</v>
      </c>
      <c r="H219" s="472">
        <v>3</v>
      </c>
      <c r="I219" s="472">
        <v>12</v>
      </c>
      <c r="J219" s="472">
        <v>24</v>
      </c>
      <c r="K219" s="472">
        <v>135560</v>
      </c>
      <c r="L219" s="472" t="s">
        <v>66</v>
      </c>
      <c r="M219" s="124" t="s">
        <v>67</v>
      </c>
      <c r="N219" s="472">
        <v>95</v>
      </c>
      <c r="O219" s="474"/>
      <c r="P219" s="474" t="s">
        <v>4</v>
      </c>
      <c r="Q219" s="472" t="s">
        <v>68</v>
      </c>
      <c r="R219" s="475" t="s">
        <v>69</v>
      </c>
      <c r="S219" s="475" t="s">
        <v>137</v>
      </c>
      <c r="T219" s="475"/>
      <c r="U219" s="124" t="s">
        <v>193</v>
      </c>
      <c r="V219" s="475" t="s">
        <v>3</v>
      </c>
      <c r="W219" s="121">
        <v>1</v>
      </c>
      <c r="X219" s="476">
        <v>3000</v>
      </c>
      <c r="Y219" s="475"/>
      <c r="Z219" s="475"/>
      <c r="AA219" s="476"/>
      <c r="AB219" s="475"/>
      <c r="AC219" s="475"/>
      <c r="AD219" s="563">
        <v>30</v>
      </c>
      <c r="AE219" s="488"/>
      <c r="AF219" s="488"/>
      <c r="AG219" s="488"/>
      <c r="AH219" s="488"/>
      <c r="AI219" s="488"/>
      <c r="AJ219" s="488"/>
      <c r="AK219" s="569">
        <v>3000</v>
      </c>
      <c r="AL219" s="472" t="s">
        <v>73</v>
      </c>
      <c r="AM219" s="472" t="s">
        <v>73</v>
      </c>
      <c r="AN219" s="472" t="s">
        <v>73</v>
      </c>
      <c r="AO219" s="472" t="s">
        <v>73</v>
      </c>
      <c r="AP219" s="564">
        <v>0</v>
      </c>
      <c r="AQ219" s="567">
        <v>3000</v>
      </c>
      <c r="AR219" s="472" t="s">
        <v>73</v>
      </c>
      <c r="AS219" s="472" t="s">
        <v>73</v>
      </c>
      <c r="AT219" s="472" t="s">
        <v>73</v>
      </c>
      <c r="AU219" s="472" t="s">
        <v>73</v>
      </c>
      <c r="AV219" s="472" t="s">
        <v>73</v>
      </c>
      <c r="AW219" s="472" t="s">
        <v>73</v>
      </c>
      <c r="AX219" s="476">
        <v>3000</v>
      </c>
      <c r="AY219" s="479" t="s">
        <v>7</v>
      </c>
      <c r="AZ219" s="474" t="s">
        <v>74</v>
      </c>
      <c r="BA219" s="474"/>
      <c r="BB219" s="480"/>
      <c r="BC219" s="480"/>
      <c r="BD219"/>
      <c r="BE219"/>
      <c r="BF219"/>
      <c r="BG219"/>
      <c r="BH219"/>
      <c r="BI219"/>
      <c r="BJ219"/>
      <c r="BK219" s="481" t="s">
        <v>790</v>
      </c>
      <c r="BL219" s="481" t="s">
        <v>791</v>
      </c>
      <c r="BM219" s="487" t="s">
        <v>1251</v>
      </c>
      <c r="BN219" s="565" t="s">
        <v>1252</v>
      </c>
      <c r="BO219" s="284" t="s">
        <v>1253</v>
      </c>
      <c r="BP219" s="285">
        <v>46167</v>
      </c>
      <c r="BQ219" s="482"/>
      <c r="BR219" s="965">
        <v>5002</v>
      </c>
      <c r="BS219" s="568"/>
      <c r="BT219" s="568"/>
      <c r="BU219" s="482" t="s">
        <v>1388</v>
      </c>
      <c r="BV219" s="414" t="s">
        <v>1347</v>
      </c>
      <c r="BW219" s="566" t="s">
        <v>1451</v>
      </c>
      <c r="BX219" s="566" t="s">
        <v>1452</v>
      </c>
      <c r="BY219" s="284">
        <v>76058112</v>
      </c>
      <c r="BZ219" s="284">
        <v>10760581122</v>
      </c>
      <c r="CA219" s="288">
        <v>3000</v>
      </c>
      <c r="CB219" s="285">
        <v>46174</v>
      </c>
      <c r="CC219" s="285">
        <v>46203</v>
      </c>
      <c r="CD219" s="759"/>
      <c r="CE219" s="485">
        <f t="shared" si="395"/>
        <v>0</v>
      </c>
      <c r="CF219" s="484">
        <f t="shared" si="396"/>
        <v>0</v>
      </c>
      <c r="CG219" s="485"/>
      <c r="CH219" s="485">
        <f t="shared" si="397"/>
        <v>0</v>
      </c>
      <c r="CI219" s="485"/>
      <c r="CJ219" s="485">
        <f t="shared" si="398"/>
        <v>0</v>
      </c>
      <c r="CK219" s="484">
        <f t="shared" si="399"/>
        <v>0</v>
      </c>
      <c r="CL219" s="484">
        <f t="shared" si="400"/>
        <v>0</v>
      </c>
      <c r="CM219" s="1006"/>
      <c r="CN219" s="485">
        <f t="shared" si="389"/>
        <v>30</v>
      </c>
      <c r="CO219" s="484">
        <f t="shared" si="390"/>
        <v>3000</v>
      </c>
      <c r="CP219" s="485">
        <v>30</v>
      </c>
      <c r="CQ219" s="484">
        <f t="shared" si="391"/>
        <v>3000</v>
      </c>
      <c r="CR219" s="485">
        <v>30</v>
      </c>
      <c r="CS219" s="484">
        <f t="shared" si="392"/>
        <v>3000</v>
      </c>
      <c r="CT219" s="484">
        <f t="shared" si="401"/>
        <v>0</v>
      </c>
      <c r="CU219" s="484">
        <f t="shared" si="402"/>
        <v>0</v>
      </c>
      <c r="CV219" s="1006"/>
      <c r="CW219" s="1007">
        <f t="shared" si="378"/>
        <v>3000</v>
      </c>
      <c r="CX219" s="486">
        <f t="shared" si="379"/>
        <v>3000</v>
      </c>
      <c r="CY219" s="486">
        <f t="shared" si="380"/>
        <v>3000</v>
      </c>
      <c r="CZ219" s="1007">
        <f t="shared" si="381"/>
        <v>0</v>
      </c>
      <c r="DA219" s="1007">
        <f t="shared" si="382"/>
        <v>0</v>
      </c>
    </row>
    <row r="220" spans="1:105" s="266" customFormat="1" ht="51" hidden="1" x14ac:dyDescent="0.25">
      <c r="A220" s="472">
        <v>2026</v>
      </c>
      <c r="B220" s="472">
        <v>479</v>
      </c>
      <c r="C220" s="472" t="s">
        <v>64</v>
      </c>
      <c r="D220" s="472" t="s">
        <v>65</v>
      </c>
      <c r="E220" s="472">
        <v>125</v>
      </c>
      <c r="F220" s="472">
        <v>3000654</v>
      </c>
      <c r="G220" s="472">
        <v>5005023</v>
      </c>
      <c r="H220" s="472">
        <v>3</v>
      </c>
      <c r="I220" s="472">
        <v>12</v>
      </c>
      <c r="J220" s="472">
        <v>24</v>
      </c>
      <c r="K220" s="472">
        <v>135560</v>
      </c>
      <c r="L220" s="472" t="s">
        <v>66</v>
      </c>
      <c r="M220" s="124" t="s">
        <v>67</v>
      </c>
      <c r="N220" s="472">
        <v>95</v>
      </c>
      <c r="O220" s="474"/>
      <c r="P220" s="474" t="s">
        <v>4</v>
      </c>
      <c r="Q220" s="472" t="s">
        <v>68</v>
      </c>
      <c r="R220" s="475" t="s">
        <v>69</v>
      </c>
      <c r="S220" s="475" t="s">
        <v>137</v>
      </c>
      <c r="T220" s="475"/>
      <c r="U220" s="124" t="s">
        <v>193</v>
      </c>
      <c r="V220" s="475" t="s">
        <v>3</v>
      </c>
      <c r="W220" s="121">
        <v>1</v>
      </c>
      <c r="X220" s="476">
        <v>3000</v>
      </c>
      <c r="Y220" s="475"/>
      <c r="Z220" s="475"/>
      <c r="AA220" s="476"/>
      <c r="AB220" s="475"/>
      <c r="AC220" s="475"/>
      <c r="AD220" s="563">
        <v>30</v>
      </c>
      <c r="AE220" s="488"/>
      <c r="AF220" s="488"/>
      <c r="AG220" s="488"/>
      <c r="AH220" s="488"/>
      <c r="AI220" s="488"/>
      <c r="AJ220" s="488"/>
      <c r="AK220" s="569">
        <v>3000</v>
      </c>
      <c r="AL220" s="472" t="s">
        <v>73</v>
      </c>
      <c r="AM220" s="472" t="s">
        <v>73</v>
      </c>
      <c r="AN220" s="472" t="s">
        <v>73</v>
      </c>
      <c r="AO220" s="472" t="s">
        <v>73</v>
      </c>
      <c r="AP220" s="564">
        <v>0</v>
      </c>
      <c r="AQ220" s="567">
        <v>3000</v>
      </c>
      <c r="AR220" s="472" t="s">
        <v>73</v>
      </c>
      <c r="AS220" s="472" t="s">
        <v>73</v>
      </c>
      <c r="AT220" s="472" t="s">
        <v>73</v>
      </c>
      <c r="AU220" s="472" t="s">
        <v>73</v>
      </c>
      <c r="AV220" s="472" t="s">
        <v>73</v>
      </c>
      <c r="AW220" s="472" t="s">
        <v>73</v>
      </c>
      <c r="AX220" s="476">
        <v>3000</v>
      </c>
      <c r="AY220" s="479" t="s">
        <v>7</v>
      </c>
      <c r="AZ220" s="474" t="s">
        <v>74</v>
      </c>
      <c r="BA220" s="474"/>
      <c r="BB220" s="480"/>
      <c r="BC220" s="480"/>
      <c r="BD220"/>
      <c r="BE220"/>
      <c r="BF220"/>
      <c r="BG220"/>
      <c r="BH220"/>
      <c r="BI220"/>
      <c r="BJ220"/>
      <c r="BK220" s="481" t="s">
        <v>790</v>
      </c>
      <c r="BL220" s="481" t="s">
        <v>791</v>
      </c>
      <c r="BM220" s="487" t="s">
        <v>1251</v>
      </c>
      <c r="BN220" s="565" t="s">
        <v>1252</v>
      </c>
      <c r="BO220" s="284" t="s">
        <v>1253</v>
      </c>
      <c r="BP220" s="285">
        <v>46167</v>
      </c>
      <c r="BQ220" s="482"/>
      <c r="BR220" s="965">
        <v>5003</v>
      </c>
      <c r="BS220" s="568"/>
      <c r="BT220" s="568"/>
      <c r="BU220" s="482" t="s">
        <v>1388</v>
      </c>
      <c r="BV220" s="414" t="s">
        <v>1339</v>
      </c>
      <c r="BW220" s="566" t="s">
        <v>1453</v>
      </c>
      <c r="BX220" s="566" t="s">
        <v>1454</v>
      </c>
      <c r="BY220" s="284">
        <v>47769288</v>
      </c>
      <c r="BZ220" s="284">
        <v>10477692881</v>
      </c>
      <c r="CA220" s="288">
        <v>3000</v>
      </c>
      <c r="CB220" s="285">
        <v>46174</v>
      </c>
      <c r="CC220" s="285">
        <v>46203</v>
      </c>
      <c r="CD220" s="759"/>
      <c r="CE220" s="485">
        <f t="shared" si="395"/>
        <v>0</v>
      </c>
      <c r="CF220" s="484">
        <f t="shared" si="396"/>
        <v>0</v>
      </c>
      <c r="CG220" s="485"/>
      <c r="CH220" s="485">
        <f t="shared" si="397"/>
        <v>0</v>
      </c>
      <c r="CI220" s="485"/>
      <c r="CJ220" s="485">
        <f t="shared" si="398"/>
        <v>0</v>
      </c>
      <c r="CK220" s="484">
        <f t="shared" si="399"/>
        <v>0</v>
      </c>
      <c r="CL220" s="484">
        <f t="shared" si="400"/>
        <v>0</v>
      </c>
      <c r="CM220" s="1006"/>
      <c r="CN220" s="485">
        <f t="shared" si="389"/>
        <v>30</v>
      </c>
      <c r="CO220" s="484">
        <f t="shared" si="390"/>
        <v>3000</v>
      </c>
      <c r="CP220" s="485">
        <v>30</v>
      </c>
      <c r="CQ220" s="484">
        <f t="shared" si="391"/>
        <v>3000</v>
      </c>
      <c r="CR220" s="485">
        <v>30</v>
      </c>
      <c r="CS220" s="484">
        <f t="shared" si="392"/>
        <v>3000</v>
      </c>
      <c r="CT220" s="484">
        <f t="shared" si="401"/>
        <v>0</v>
      </c>
      <c r="CU220" s="484">
        <f t="shared" si="402"/>
        <v>0</v>
      </c>
      <c r="CV220" s="1006"/>
      <c r="CW220" s="1007">
        <f t="shared" si="378"/>
        <v>3000</v>
      </c>
      <c r="CX220" s="486">
        <f t="shared" si="379"/>
        <v>3000</v>
      </c>
      <c r="CY220" s="486">
        <f t="shared" si="380"/>
        <v>3000</v>
      </c>
      <c r="CZ220" s="1007">
        <f t="shared" si="381"/>
        <v>0</v>
      </c>
      <c r="DA220" s="1007">
        <f t="shared" si="382"/>
        <v>0</v>
      </c>
    </row>
    <row r="221" spans="1:105" ht="51" hidden="1" x14ac:dyDescent="0.25">
      <c r="A221" s="472">
        <v>2026</v>
      </c>
      <c r="B221" s="472">
        <v>479</v>
      </c>
      <c r="C221" s="472" t="s">
        <v>64</v>
      </c>
      <c r="D221" s="472" t="s">
        <v>65</v>
      </c>
      <c r="E221" s="472">
        <v>125</v>
      </c>
      <c r="F221" s="472">
        <v>3000654</v>
      </c>
      <c r="G221" s="472">
        <v>5005023</v>
      </c>
      <c r="H221" s="472">
        <v>3</v>
      </c>
      <c r="I221" s="472">
        <v>12</v>
      </c>
      <c r="J221" s="472">
        <v>24</v>
      </c>
      <c r="K221" s="472">
        <v>135560</v>
      </c>
      <c r="L221" s="472" t="s">
        <v>66</v>
      </c>
      <c r="M221" s="124" t="s">
        <v>67</v>
      </c>
      <c r="N221" s="472">
        <v>95</v>
      </c>
      <c r="O221" s="474"/>
      <c r="P221" s="474" t="s">
        <v>4</v>
      </c>
      <c r="Q221" s="472" t="s">
        <v>68</v>
      </c>
      <c r="R221" s="475" t="s">
        <v>69</v>
      </c>
      <c r="S221" s="475" t="s">
        <v>137</v>
      </c>
      <c r="T221" s="475"/>
      <c r="U221" s="124" t="s">
        <v>193</v>
      </c>
      <c r="V221" s="475" t="s">
        <v>3</v>
      </c>
      <c r="W221" s="121">
        <v>1</v>
      </c>
      <c r="X221" s="476">
        <v>3000</v>
      </c>
      <c r="Y221" s="474"/>
      <c r="Z221" s="474"/>
      <c r="AA221" s="474"/>
      <c r="AB221" s="474"/>
      <c r="AC221" s="475">
        <v>0</v>
      </c>
      <c r="AD221" s="563">
        <v>30</v>
      </c>
      <c r="AE221" s="488"/>
      <c r="AF221" s="488"/>
      <c r="AG221" s="488"/>
      <c r="AH221" s="488"/>
      <c r="AI221" s="488"/>
      <c r="AJ221" s="488"/>
      <c r="AK221" s="569">
        <v>3000</v>
      </c>
      <c r="AL221" s="472" t="s">
        <v>73</v>
      </c>
      <c r="AM221" s="472" t="s">
        <v>73</v>
      </c>
      <c r="AN221" s="472" t="s">
        <v>73</v>
      </c>
      <c r="AO221" s="472" t="s">
        <v>73</v>
      </c>
      <c r="AP221" s="564">
        <v>0</v>
      </c>
      <c r="AQ221" s="478">
        <v>3000</v>
      </c>
      <c r="AR221" s="472" t="s">
        <v>73</v>
      </c>
      <c r="AS221" s="472" t="s">
        <v>73</v>
      </c>
      <c r="AT221" s="472" t="s">
        <v>73</v>
      </c>
      <c r="AU221" s="472" t="s">
        <v>73</v>
      </c>
      <c r="AV221" s="472" t="s">
        <v>73</v>
      </c>
      <c r="AW221" s="472" t="s">
        <v>73</v>
      </c>
      <c r="AX221" s="30">
        <v>3000</v>
      </c>
      <c r="AY221" s="479" t="s">
        <v>7</v>
      </c>
      <c r="AZ221" s="474" t="s">
        <v>74</v>
      </c>
      <c r="BA221" s="474"/>
      <c r="BB221" s="480"/>
      <c r="BC221" s="480"/>
      <c r="BK221" s="481" t="s">
        <v>790</v>
      </c>
      <c r="BL221" s="481" t="s">
        <v>791</v>
      </c>
      <c r="BM221" s="284" t="s">
        <v>1455</v>
      </c>
      <c r="BN221" s="414" t="s">
        <v>1456</v>
      </c>
      <c r="BO221" s="284" t="s">
        <v>1457</v>
      </c>
      <c r="BP221" s="285">
        <v>46167</v>
      </c>
      <c r="BQ221" s="482"/>
      <c r="BR221" s="965">
        <v>4862</v>
      </c>
      <c r="BS221" s="482"/>
      <c r="BT221" s="482"/>
      <c r="BU221" s="482" t="s">
        <v>1254</v>
      </c>
      <c r="BV221" s="414" t="s">
        <v>1458</v>
      </c>
      <c r="BW221" s="566" t="s">
        <v>1249</v>
      </c>
      <c r="BX221" s="566" t="s">
        <v>1459</v>
      </c>
      <c r="BY221" s="284">
        <v>9777744</v>
      </c>
      <c r="BZ221" s="284">
        <v>10097777441</v>
      </c>
      <c r="CA221" s="288"/>
      <c r="CB221" s="285">
        <v>46174</v>
      </c>
      <c r="CC221" s="285">
        <v>46203</v>
      </c>
      <c r="CD221" s="759"/>
      <c r="CE221" s="485">
        <f t="shared" si="29"/>
        <v>0</v>
      </c>
      <c r="CF221" s="484">
        <f t="shared" si="30"/>
        <v>0</v>
      </c>
      <c r="CG221" s="485"/>
      <c r="CH221" s="485">
        <f t="shared" si="31"/>
        <v>0</v>
      </c>
      <c r="CI221" s="485"/>
      <c r="CJ221" s="485">
        <f t="shared" si="32"/>
        <v>0</v>
      </c>
      <c r="CK221" s="484">
        <f t="shared" si="33"/>
        <v>0</v>
      </c>
      <c r="CL221" s="484">
        <f t="shared" si="34"/>
        <v>0</v>
      </c>
      <c r="CM221" s="1006"/>
      <c r="CN221" s="485">
        <f t="shared" si="35"/>
        <v>30</v>
      </c>
      <c r="CO221" s="484">
        <f t="shared" ref="CO221:CO254" si="403">AQ221</f>
        <v>3000</v>
      </c>
      <c r="CP221" s="485">
        <v>30</v>
      </c>
      <c r="CQ221" s="485">
        <f t="shared" si="37"/>
        <v>3000</v>
      </c>
      <c r="CR221" s="485">
        <v>30</v>
      </c>
      <c r="CS221" s="485">
        <f t="shared" si="38"/>
        <v>3000</v>
      </c>
      <c r="CT221" s="484">
        <f t="shared" si="39"/>
        <v>0</v>
      </c>
      <c r="CU221" s="484">
        <f t="shared" si="40"/>
        <v>0</v>
      </c>
      <c r="CV221" s="1006"/>
      <c r="CW221" s="1007">
        <f t="shared" si="378"/>
        <v>3000</v>
      </c>
      <c r="CX221" s="486">
        <f t="shared" si="379"/>
        <v>3000</v>
      </c>
      <c r="CY221" s="486">
        <f t="shared" si="380"/>
        <v>3000</v>
      </c>
      <c r="CZ221" s="1007">
        <f t="shared" si="381"/>
        <v>0</v>
      </c>
      <c r="DA221" s="1007">
        <f t="shared" si="382"/>
        <v>0</v>
      </c>
    </row>
    <row r="222" spans="1:105" ht="43.5" hidden="1" customHeight="1" x14ac:dyDescent="0.25">
      <c r="A222" s="472">
        <v>2026</v>
      </c>
      <c r="B222" s="472">
        <v>479</v>
      </c>
      <c r="C222" s="472" t="s">
        <v>64</v>
      </c>
      <c r="D222" s="472" t="s">
        <v>65</v>
      </c>
      <c r="E222" s="472">
        <v>125</v>
      </c>
      <c r="F222" s="472">
        <v>3000654</v>
      </c>
      <c r="G222" s="472">
        <v>5005023</v>
      </c>
      <c r="H222" s="472">
        <v>3</v>
      </c>
      <c r="I222" s="472">
        <v>12</v>
      </c>
      <c r="J222" s="472">
        <v>24</v>
      </c>
      <c r="K222" s="472">
        <v>135560</v>
      </c>
      <c r="L222" s="472" t="s">
        <v>66</v>
      </c>
      <c r="M222" s="124" t="s">
        <v>67</v>
      </c>
      <c r="N222" s="472">
        <v>95</v>
      </c>
      <c r="O222" s="474"/>
      <c r="P222" s="474" t="s">
        <v>4</v>
      </c>
      <c r="Q222" s="472" t="s">
        <v>68</v>
      </c>
      <c r="R222" s="475" t="s">
        <v>69</v>
      </c>
      <c r="S222" s="475" t="s">
        <v>137</v>
      </c>
      <c r="T222" s="475"/>
      <c r="U222" s="124" t="s">
        <v>193</v>
      </c>
      <c r="V222" s="475" t="s">
        <v>3</v>
      </c>
      <c r="W222" s="121">
        <v>1</v>
      </c>
      <c r="X222" s="476">
        <v>3000</v>
      </c>
      <c r="Y222" s="474"/>
      <c r="Z222" s="474"/>
      <c r="AA222" s="474"/>
      <c r="AB222" s="474"/>
      <c r="AC222" s="475">
        <v>0</v>
      </c>
      <c r="AD222" s="563">
        <v>30</v>
      </c>
      <c r="AE222" s="488"/>
      <c r="AF222" s="488"/>
      <c r="AG222" s="488"/>
      <c r="AH222" s="488"/>
      <c r="AI222" s="488"/>
      <c r="AJ222" s="488"/>
      <c r="AK222" s="569">
        <v>3000</v>
      </c>
      <c r="AL222" s="472" t="s">
        <v>73</v>
      </c>
      <c r="AM222" s="472" t="s">
        <v>73</v>
      </c>
      <c r="AN222" s="472" t="s">
        <v>73</v>
      </c>
      <c r="AO222" s="472" t="s">
        <v>73</v>
      </c>
      <c r="AP222" s="564">
        <v>0</v>
      </c>
      <c r="AQ222" s="478">
        <v>3000</v>
      </c>
      <c r="AR222" s="472" t="s">
        <v>73</v>
      </c>
      <c r="AS222" s="472" t="s">
        <v>73</v>
      </c>
      <c r="AT222" s="472" t="s">
        <v>73</v>
      </c>
      <c r="AU222" s="472" t="s">
        <v>73</v>
      </c>
      <c r="AV222" s="472" t="s">
        <v>73</v>
      </c>
      <c r="AW222" s="472" t="s">
        <v>73</v>
      </c>
      <c r="AX222" s="30">
        <v>3000</v>
      </c>
      <c r="AY222" s="479" t="s">
        <v>7</v>
      </c>
      <c r="AZ222" s="474" t="s">
        <v>74</v>
      </c>
      <c r="BA222" s="474"/>
      <c r="BB222" s="480"/>
      <c r="BC222" s="480"/>
      <c r="BK222" s="481" t="s">
        <v>790</v>
      </c>
      <c r="BL222" s="481" t="s">
        <v>791</v>
      </c>
      <c r="BM222" s="284" t="s">
        <v>1455</v>
      </c>
      <c r="BN222" s="414" t="s">
        <v>1456</v>
      </c>
      <c r="BO222" s="284" t="s">
        <v>1457</v>
      </c>
      <c r="BP222" s="285">
        <v>46167</v>
      </c>
      <c r="BQ222" s="482"/>
      <c r="BR222" s="965">
        <v>4863</v>
      </c>
      <c r="BS222" s="482"/>
      <c r="BT222" s="482"/>
      <c r="BU222" s="482" t="s">
        <v>1254</v>
      </c>
      <c r="BV222" s="414" t="s">
        <v>1460</v>
      </c>
      <c r="BW222" s="566" t="s">
        <v>1460</v>
      </c>
      <c r="BX222" s="566" t="s">
        <v>1461</v>
      </c>
      <c r="BY222" s="284">
        <v>43850082</v>
      </c>
      <c r="BZ222" s="284">
        <v>10438500826</v>
      </c>
      <c r="CA222" s="288"/>
      <c r="CB222" s="285">
        <v>46174</v>
      </c>
      <c r="CC222" s="285">
        <v>46203</v>
      </c>
      <c r="CD222" s="759"/>
      <c r="CE222" s="485">
        <f t="shared" ref="CE222:CE254" si="404">AC222</f>
        <v>0</v>
      </c>
      <c r="CF222" s="484">
        <f t="shared" ref="CF222:CF254" si="405">AP222</f>
        <v>0</v>
      </c>
      <c r="CG222" s="485"/>
      <c r="CH222" s="485">
        <f t="shared" ref="CH222:CH254" si="406">(X222/30)*CG222</f>
        <v>0</v>
      </c>
      <c r="CI222" s="485"/>
      <c r="CJ222" s="485">
        <f t="shared" ref="CJ222:CJ254" si="407">(X222/30)*CI222</f>
        <v>0</v>
      </c>
      <c r="CK222" s="484">
        <f t="shared" ref="CK222:CK254" si="408">CF222-CH222</f>
        <v>0</v>
      </c>
      <c r="CL222" s="484">
        <f t="shared" ref="CL222:CL254" si="409">CF222-CJ222</f>
        <v>0</v>
      </c>
      <c r="CM222" s="1006"/>
      <c r="CN222" s="485">
        <f t="shared" ref="CN222:CN254" si="410">AD222</f>
        <v>30</v>
      </c>
      <c r="CO222" s="484">
        <f t="shared" si="403"/>
        <v>3000</v>
      </c>
      <c r="CP222" s="485">
        <v>30</v>
      </c>
      <c r="CQ222" s="485">
        <f t="shared" ref="CQ222:CQ254" si="411">(X222/30)*CP222</f>
        <v>3000</v>
      </c>
      <c r="CR222" s="485">
        <v>30</v>
      </c>
      <c r="CS222" s="485">
        <f t="shared" ref="CS222:CS254" si="412">(X222/30)*CR222</f>
        <v>3000</v>
      </c>
      <c r="CT222" s="484">
        <f t="shared" ref="CT222:CT254" si="413">CO222-CQ222</f>
        <v>0</v>
      </c>
      <c r="CU222" s="484">
        <f t="shared" ref="CU222:CU254" si="414">CO222-CS222</f>
        <v>0</v>
      </c>
      <c r="CV222" s="1006"/>
      <c r="CW222" s="1007">
        <f t="shared" si="378"/>
        <v>3000</v>
      </c>
      <c r="CX222" s="486">
        <f t="shared" si="379"/>
        <v>3000</v>
      </c>
      <c r="CY222" s="486">
        <f t="shared" si="380"/>
        <v>3000</v>
      </c>
      <c r="CZ222" s="1007">
        <f t="shared" si="381"/>
        <v>0</v>
      </c>
      <c r="DA222" s="1007">
        <f t="shared" si="382"/>
        <v>0</v>
      </c>
    </row>
    <row r="223" spans="1:105" ht="15" hidden="1" customHeight="1" x14ac:dyDescent="0.25">
      <c r="A223" s="472">
        <v>2026</v>
      </c>
      <c r="B223" s="472">
        <v>479</v>
      </c>
      <c r="C223" s="472" t="s">
        <v>64</v>
      </c>
      <c r="D223" s="472" t="s">
        <v>65</v>
      </c>
      <c r="E223" s="472">
        <v>125</v>
      </c>
      <c r="F223" s="472">
        <v>3000654</v>
      </c>
      <c r="G223" s="472">
        <v>5005023</v>
      </c>
      <c r="H223" s="472">
        <v>3</v>
      </c>
      <c r="I223" s="472">
        <v>12</v>
      </c>
      <c r="J223" s="472">
        <v>24</v>
      </c>
      <c r="K223" s="472">
        <v>135560</v>
      </c>
      <c r="L223" s="472" t="s">
        <v>66</v>
      </c>
      <c r="M223" s="124" t="s">
        <v>67</v>
      </c>
      <c r="N223" s="472">
        <v>95</v>
      </c>
      <c r="O223" s="474"/>
      <c r="P223" s="474" t="s">
        <v>4</v>
      </c>
      <c r="Q223" s="472" t="s">
        <v>68</v>
      </c>
      <c r="R223" s="475" t="s">
        <v>69</v>
      </c>
      <c r="S223" s="475" t="s">
        <v>137</v>
      </c>
      <c r="T223" s="475"/>
      <c r="U223" s="124" t="s">
        <v>193</v>
      </c>
      <c r="V223" s="475" t="s">
        <v>3</v>
      </c>
      <c r="W223" s="121">
        <v>1</v>
      </c>
      <c r="X223" s="476">
        <v>3000</v>
      </c>
      <c r="Y223" s="474"/>
      <c r="Z223" s="474"/>
      <c r="AA223" s="474"/>
      <c r="AB223" s="474"/>
      <c r="AC223" s="475">
        <v>0</v>
      </c>
      <c r="AD223" s="563">
        <v>30</v>
      </c>
      <c r="AE223" s="488"/>
      <c r="AF223" s="488"/>
      <c r="AG223" s="488"/>
      <c r="AH223" s="488"/>
      <c r="AI223" s="488"/>
      <c r="AJ223" s="488"/>
      <c r="AK223" s="569">
        <v>3000</v>
      </c>
      <c r="AL223" s="472" t="s">
        <v>73</v>
      </c>
      <c r="AM223" s="472" t="s">
        <v>73</v>
      </c>
      <c r="AN223" s="472" t="s">
        <v>73</v>
      </c>
      <c r="AO223" s="472" t="s">
        <v>73</v>
      </c>
      <c r="AP223" s="564">
        <v>0</v>
      </c>
      <c r="AQ223" s="478">
        <v>3000</v>
      </c>
      <c r="AR223" s="472" t="s">
        <v>73</v>
      </c>
      <c r="AS223" s="472" t="s">
        <v>73</v>
      </c>
      <c r="AT223" s="472" t="s">
        <v>73</v>
      </c>
      <c r="AU223" s="472" t="s">
        <v>73</v>
      </c>
      <c r="AV223" s="472" t="s">
        <v>73</v>
      </c>
      <c r="AW223" s="472" t="s">
        <v>73</v>
      </c>
      <c r="AX223" s="30">
        <v>3000</v>
      </c>
      <c r="AY223" s="479" t="s">
        <v>7</v>
      </c>
      <c r="AZ223" s="474" t="s">
        <v>74</v>
      </c>
      <c r="BA223" s="474"/>
      <c r="BB223" s="480"/>
      <c r="BC223" s="480"/>
      <c r="BK223" s="481" t="s">
        <v>790</v>
      </c>
      <c r="BL223" s="481" t="s">
        <v>791</v>
      </c>
      <c r="BM223" s="284" t="s">
        <v>1455</v>
      </c>
      <c r="BN223" s="414" t="s">
        <v>1456</v>
      </c>
      <c r="BO223" s="284" t="s">
        <v>1457</v>
      </c>
      <c r="BP223" s="285">
        <v>46167</v>
      </c>
      <c r="BQ223" s="482"/>
      <c r="BR223" s="965">
        <v>4864</v>
      </c>
      <c r="BS223" s="482"/>
      <c r="BT223" s="482"/>
      <c r="BU223" s="482" t="s">
        <v>1254</v>
      </c>
      <c r="BV223" s="414" t="s">
        <v>1272</v>
      </c>
      <c r="BW223" s="566" t="s">
        <v>1462</v>
      </c>
      <c r="BX223" s="566" t="s">
        <v>1463</v>
      </c>
      <c r="BY223" s="284">
        <v>73232173</v>
      </c>
      <c r="BZ223" s="284">
        <v>10732321735</v>
      </c>
      <c r="CA223" s="288"/>
      <c r="CB223" s="285">
        <v>46174</v>
      </c>
      <c r="CC223" s="285">
        <v>46203</v>
      </c>
      <c r="CD223" s="759"/>
      <c r="CE223" s="485">
        <f t="shared" si="404"/>
        <v>0</v>
      </c>
      <c r="CF223" s="484">
        <f t="shared" si="405"/>
        <v>0</v>
      </c>
      <c r="CG223" s="485"/>
      <c r="CH223" s="485">
        <f t="shared" si="406"/>
        <v>0</v>
      </c>
      <c r="CI223" s="485"/>
      <c r="CJ223" s="485">
        <f t="shared" si="407"/>
        <v>0</v>
      </c>
      <c r="CK223" s="484">
        <f t="shared" si="408"/>
        <v>0</v>
      </c>
      <c r="CL223" s="484">
        <f t="shared" si="409"/>
        <v>0</v>
      </c>
      <c r="CM223" s="1006"/>
      <c r="CN223" s="485">
        <f t="shared" si="410"/>
        <v>30</v>
      </c>
      <c r="CO223" s="484">
        <f t="shared" si="403"/>
        <v>3000</v>
      </c>
      <c r="CP223" s="485">
        <v>30</v>
      </c>
      <c r="CQ223" s="485">
        <f t="shared" si="411"/>
        <v>3000</v>
      </c>
      <c r="CR223" s="485">
        <v>30</v>
      </c>
      <c r="CS223" s="485">
        <f t="shared" si="412"/>
        <v>3000</v>
      </c>
      <c r="CT223" s="484">
        <f t="shared" si="413"/>
        <v>0</v>
      </c>
      <c r="CU223" s="484">
        <f t="shared" si="414"/>
        <v>0</v>
      </c>
      <c r="CV223" s="1006"/>
      <c r="CW223" s="1007">
        <f t="shared" si="378"/>
        <v>3000</v>
      </c>
      <c r="CX223" s="486">
        <f t="shared" si="379"/>
        <v>3000</v>
      </c>
      <c r="CY223" s="486">
        <f t="shared" si="380"/>
        <v>3000</v>
      </c>
      <c r="CZ223" s="1007">
        <f t="shared" si="381"/>
        <v>0</v>
      </c>
      <c r="DA223" s="1007">
        <f t="shared" si="382"/>
        <v>0</v>
      </c>
    </row>
    <row r="224" spans="1:105" ht="15" hidden="1" customHeight="1" x14ac:dyDescent="0.25">
      <c r="A224" s="472">
        <v>2026</v>
      </c>
      <c r="B224" s="472">
        <v>479</v>
      </c>
      <c r="C224" s="472" t="s">
        <v>64</v>
      </c>
      <c r="D224" s="472" t="s">
        <v>65</v>
      </c>
      <c r="E224" s="472">
        <v>125</v>
      </c>
      <c r="F224" s="472">
        <v>3000654</v>
      </c>
      <c r="G224" s="472">
        <v>5005023</v>
      </c>
      <c r="H224" s="472">
        <v>3</v>
      </c>
      <c r="I224" s="472">
        <v>12</v>
      </c>
      <c r="J224" s="472">
        <v>24</v>
      </c>
      <c r="K224" s="472">
        <v>135560</v>
      </c>
      <c r="L224" s="472" t="s">
        <v>66</v>
      </c>
      <c r="M224" s="124" t="s">
        <v>67</v>
      </c>
      <c r="N224" s="472">
        <v>95</v>
      </c>
      <c r="O224" s="474"/>
      <c r="P224" s="474" t="s">
        <v>4</v>
      </c>
      <c r="Q224" s="472" t="s">
        <v>68</v>
      </c>
      <c r="R224" s="475" t="s">
        <v>69</v>
      </c>
      <c r="S224" s="475" t="s">
        <v>137</v>
      </c>
      <c r="T224" s="475"/>
      <c r="U224" s="124" t="s">
        <v>193</v>
      </c>
      <c r="V224" s="475" t="s">
        <v>3</v>
      </c>
      <c r="W224" s="121">
        <v>1</v>
      </c>
      <c r="X224" s="476">
        <v>3000</v>
      </c>
      <c r="Y224" s="474"/>
      <c r="Z224" s="474"/>
      <c r="AA224" s="474"/>
      <c r="AB224" s="474"/>
      <c r="AC224" s="475">
        <v>0</v>
      </c>
      <c r="AD224" s="563">
        <v>30</v>
      </c>
      <c r="AE224" s="488"/>
      <c r="AF224" s="488"/>
      <c r="AG224" s="488"/>
      <c r="AH224" s="488"/>
      <c r="AI224" s="488"/>
      <c r="AJ224" s="488"/>
      <c r="AK224" s="569">
        <v>3000</v>
      </c>
      <c r="AL224" s="472" t="s">
        <v>73</v>
      </c>
      <c r="AM224" s="472" t="s">
        <v>73</v>
      </c>
      <c r="AN224" s="472" t="s">
        <v>73</v>
      </c>
      <c r="AO224" s="472" t="s">
        <v>73</v>
      </c>
      <c r="AP224" s="564">
        <v>0</v>
      </c>
      <c r="AQ224" s="478">
        <v>3000</v>
      </c>
      <c r="AR224" s="472" t="s">
        <v>73</v>
      </c>
      <c r="AS224" s="472" t="s">
        <v>73</v>
      </c>
      <c r="AT224" s="472" t="s">
        <v>73</v>
      </c>
      <c r="AU224" s="472" t="s">
        <v>73</v>
      </c>
      <c r="AV224" s="472" t="s">
        <v>73</v>
      </c>
      <c r="AW224" s="472" t="s">
        <v>73</v>
      </c>
      <c r="AX224" s="30">
        <v>3000</v>
      </c>
      <c r="AY224" s="479" t="s">
        <v>7</v>
      </c>
      <c r="AZ224" s="474" t="s">
        <v>74</v>
      </c>
      <c r="BA224" s="474"/>
      <c r="BB224" s="480"/>
      <c r="BC224" s="480"/>
      <c r="BK224" s="481" t="s">
        <v>790</v>
      </c>
      <c r="BL224" s="481" t="s">
        <v>791</v>
      </c>
      <c r="BM224" s="284" t="s">
        <v>1455</v>
      </c>
      <c r="BN224" s="414" t="s">
        <v>1456</v>
      </c>
      <c r="BO224" s="284" t="s">
        <v>1457</v>
      </c>
      <c r="BP224" s="285">
        <v>46167</v>
      </c>
      <c r="BQ224" s="482"/>
      <c r="BR224" s="965">
        <v>4865</v>
      </c>
      <c r="BS224" s="482"/>
      <c r="BT224" s="482"/>
      <c r="BU224" s="482" t="s">
        <v>1254</v>
      </c>
      <c r="BV224" s="414" t="s">
        <v>1249</v>
      </c>
      <c r="BW224" s="566" t="s">
        <v>891</v>
      </c>
      <c r="BX224" s="566" t="s">
        <v>1464</v>
      </c>
      <c r="BY224" s="284">
        <v>74715982</v>
      </c>
      <c r="BZ224" s="284">
        <v>10747159829</v>
      </c>
      <c r="CA224" s="288"/>
      <c r="CB224" s="285">
        <v>46174</v>
      </c>
      <c r="CC224" s="285">
        <v>46203</v>
      </c>
      <c r="CD224" s="759"/>
      <c r="CE224" s="485">
        <f t="shared" si="404"/>
        <v>0</v>
      </c>
      <c r="CF224" s="484">
        <f t="shared" si="405"/>
        <v>0</v>
      </c>
      <c r="CG224" s="485"/>
      <c r="CH224" s="485">
        <f t="shared" si="406"/>
        <v>0</v>
      </c>
      <c r="CI224" s="485"/>
      <c r="CJ224" s="485">
        <f t="shared" si="407"/>
        <v>0</v>
      </c>
      <c r="CK224" s="484">
        <f t="shared" si="408"/>
        <v>0</v>
      </c>
      <c r="CL224" s="484">
        <f t="shared" si="409"/>
        <v>0</v>
      </c>
      <c r="CM224" s="1006"/>
      <c r="CN224" s="485">
        <f t="shared" si="410"/>
        <v>30</v>
      </c>
      <c r="CO224" s="484">
        <f t="shared" si="403"/>
        <v>3000</v>
      </c>
      <c r="CP224" s="485">
        <v>30</v>
      </c>
      <c r="CQ224" s="485">
        <f t="shared" si="411"/>
        <v>3000</v>
      </c>
      <c r="CR224" s="485">
        <v>30</v>
      </c>
      <c r="CS224" s="485">
        <f t="shared" si="412"/>
        <v>3000</v>
      </c>
      <c r="CT224" s="484">
        <f t="shared" si="413"/>
        <v>0</v>
      </c>
      <c r="CU224" s="484">
        <f t="shared" si="414"/>
        <v>0</v>
      </c>
      <c r="CV224" s="1006"/>
      <c r="CW224" s="1007">
        <f t="shared" si="378"/>
        <v>3000</v>
      </c>
      <c r="CX224" s="486">
        <f t="shared" si="379"/>
        <v>3000</v>
      </c>
      <c r="CY224" s="486">
        <f t="shared" si="380"/>
        <v>3000</v>
      </c>
      <c r="CZ224" s="1007">
        <f t="shared" si="381"/>
        <v>0</v>
      </c>
      <c r="DA224" s="1007">
        <f t="shared" si="382"/>
        <v>0</v>
      </c>
    </row>
    <row r="225" spans="1:108" ht="15" hidden="1" customHeight="1" x14ac:dyDescent="0.25">
      <c r="A225" s="472">
        <v>2026</v>
      </c>
      <c r="B225" s="472">
        <v>479</v>
      </c>
      <c r="C225" s="472" t="s">
        <v>64</v>
      </c>
      <c r="D225" s="472" t="s">
        <v>65</v>
      </c>
      <c r="E225" s="472">
        <v>125</v>
      </c>
      <c r="F225" s="472">
        <v>3000654</v>
      </c>
      <c r="G225" s="472">
        <v>5005023</v>
      </c>
      <c r="H225" s="472">
        <v>3</v>
      </c>
      <c r="I225" s="472">
        <v>12</v>
      </c>
      <c r="J225" s="472">
        <v>24</v>
      </c>
      <c r="K225" s="472">
        <v>135560</v>
      </c>
      <c r="L225" s="472" t="s">
        <v>66</v>
      </c>
      <c r="M225" s="124" t="s">
        <v>67</v>
      </c>
      <c r="N225" s="472">
        <v>95</v>
      </c>
      <c r="O225" s="474"/>
      <c r="P225" s="474" t="s">
        <v>4</v>
      </c>
      <c r="Q225" s="472" t="s">
        <v>68</v>
      </c>
      <c r="R225" s="475" t="s">
        <v>69</v>
      </c>
      <c r="S225" s="475" t="s">
        <v>137</v>
      </c>
      <c r="T225" s="475"/>
      <c r="U225" s="124" t="s">
        <v>193</v>
      </c>
      <c r="V225" s="475" t="s">
        <v>3</v>
      </c>
      <c r="W225" s="121">
        <v>1</v>
      </c>
      <c r="X225" s="476">
        <v>3000</v>
      </c>
      <c r="Y225" s="474"/>
      <c r="Z225" s="474"/>
      <c r="AA225" s="474"/>
      <c r="AB225" s="474"/>
      <c r="AC225" s="475">
        <v>0</v>
      </c>
      <c r="AD225" s="563">
        <v>30</v>
      </c>
      <c r="AE225" s="488"/>
      <c r="AF225" s="488"/>
      <c r="AG225" s="488"/>
      <c r="AH225" s="488"/>
      <c r="AI225" s="488"/>
      <c r="AJ225" s="488"/>
      <c r="AK225" s="569">
        <v>3000</v>
      </c>
      <c r="AL225" s="472" t="s">
        <v>73</v>
      </c>
      <c r="AM225" s="472" t="s">
        <v>73</v>
      </c>
      <c r="AN225" s="472" t="s">
        <v>73</v>
      </c>
      <c r="AO225" s="472" t="s">
        <v>73</v>
      </c>
      <c r="AP225" s="564">
        <v>0</v>
      </c>
      <c r="AQ225" s="478">
        <v>3000</v>
      </c>
      <c r="AR225" s="472" t="s">
        <v>73</v>
      </c>
      <c r="AS225" s="472" t="s">
        <v>73</v>
      </c>
      <c r="AT225" s="472" t="s">
        <v>73</v>
      </c>
      <c r="AU225" s="472" t="s">
        <v>73</v>
      </c>
      <c r="AV225" s="472" t="s">
        <v>73</v>
      </c>
      <c r="AW225" s="472" t="s">
        <v>73</v>
      </c>
      <c r="AX225" s="30">
        <v>3000</v>
      </c>
      <c r="AY225" s="479" t="s">
        <v>7</v>
      </c>
      <c r="AZ225" s="474" t="s">
        <v>74</v>
      </c>
      <c r="BA225" s="474"/>
      <c r="BB225" s="480"/>
      <c r="BC225" s="480"/>
      <c r="BK225" s="481" t="s">
        <v>790</v>
      </c>
      <c r="BL225" s="481" t="s">
        <v>791</v>
      </c>
      <c r="BM225" s="284" t="s">
        <v>1455</v>
      </c>
      <c r="BN225" s="414" t="s">
        <v>1456</v>
      </c>
      <c r="BO225" s="284" t="s">
        <v>1457</v>
      </c>
      <c r="BP225" s="285">
        <v>46167</v>
      </c>
      <c r="BQ225" s="482"/>
      <c r="BR225" s="965">
        <v>4866</v>
      </c>
      <c r="BS225" s="482"/>
      <c r="BT225" s="482"/>
      <c r="BU225" s="482" t="s">
        <v>1254</v>
      </c>
      <c r="BV225" s="414" t="s">
        <v>910</v>
      </c>
      <c r="BW225" s="566" t="s">
        <v>1465</v>
      </c>
      <c r="BX225" s="566" t="s">
        <v>1466</v>
      </c>
      <c r="BY225" s="284">
        <v>46954988</v>
      </c>
      <c r="BZ225" s="284">
        <v>10469549882</v>
      </c>
      <c r="CA225" s="288"/>
      <c r="CB225" s="285">
        <v>46174</v>
      </c>
      <c r="CC225" s="285">
        <v>46203</v>
      </c>
      <c r="CD225" s="759"/>
      <c r="CE225" s="485">
        <f t="shared" si="404"/>
        <v>0</v>
      </c>
      <c r="CF225" s="484">
        <f t="shared" si="405"/>
        <v>0</v>
      </c>
      <c r="CG225" s="485"/>
      <c r="CH225" s="485">
        <f t="shared" si="406"/>
        <v>0</v>
      </c>
      <c r="CI225" s="485"/>
      <c r="CJ225" s="485">
        <f t="shared" si="407"/>
        <v>0</v>
      </c>
      <c r="CK225" s="484">
        <f t="shared" si="408"/>
        <v>0</v>
      </c>
      <c r="CL225" s="484">
        <f t="shared" si="409"/>
        <v>0</v>
      </c>
      <c r="CM225" s="1006"/>
      <c r="CN225" s="485">
        <f t="shared" si="410"/>
        <v>30</v>
      </c>
      <c r="CO225" s="484">
        <f t="shared" si="403"/>
        <v>3000</v>
      </c>
      <c r="CP225" s="485">
        <v>30</v>
      </c>
      <c r="CQ225" s="485">
        <f t="shared" si="411"/>
        <v>3000</v>
      </c>
      <c r="CR225" s="485">
        <v>30</v>
      </c>
      <c r="CS225" s="485">
        <f t="shared" si="412"/>
        <v>3000</v>
      </c>
      <c r="CT225" s="484">
        <f t="shared" si="413"/>
        <v>0</v>
      </c>
      <c r="CU225" s="484">
        <f t="shared" si="414"/>
        <v>0</v>
      </c>
      <c r="CV225" s="1006"/>
      <c r="CW225" s="1007">
        <f t="shared" si="378"/>
        <v>3000</v>
      </c>
      <c r="CX225" s="486">
        <f t="shared" si="379"/>
        <v>3000</v>
      </c>
      <c r="CY225" s="486">
        <f t="shared" si="380"/>
        <v>3000</v>
      </c>
      <c r="CZ225" s="1007">
        <f t="shared" si="381"/>
        <v>0</v>
      </c>
      <c r="DA225" s="1007">
        <f t="shared" si="382"/>
        <v>0</v>
      </c>
    </row>
    <row r="226" spans="1:108" s="682" customFormat="1" ht="15" hidden="1" customHeight="1" x14ac:dyDescent="0.25">
      <c r="A226" s="775">
        <v>2026</v>
      </c>
      <c r="B226" s="775">
        <v>479</v>
      </c>
      <c r="C226" s="775" t="s">
        <v>64</v>
      </c>
      <c r="D226" s="775" t="s">
        <v>65</v>
      </c>
      <c r="E226" s="775">
        <v>125</v>
      </c>
      <c r="F226" s="775">
        <v>3000654</v>
      </c>
      <c r="G226" s="775">
        <v>5005023</v>
      </c>
      <c r="H226" s="775">
        <v>3</v>
      </c>
      <c r="I226" s="775">
        <v>12</v>
      </c>
      <c r="J226" s="775">
        <v>24</v>
      </c>
      <c r="K226" s="775">
        <v>135560</v>
      </c>
      <c r="L226" s="775" t="s">
        <v>66</v>
      </c>
      <c r="M226" s="776" t="s">
        <v>67</v>
      </c>
      <c r="N226" s="775">
        <v>95</v>
      </c>
      <c r="O226" s="777"/>
      <c r="P226" s="777" t="s">
        <v>4</v>
      </c>
      <c r="Q226" s="775" t="s">
        <v>68</v>
      </c>
      <c r="R226" s="775" t="s">
        <v>69</v>
      </c>
      <c r="S226" s="775" t="s">
        <v>137</v>
      </c>
      <c r="T226" s="775"/>
      <c r="U226" s="776" t="s">
        <v>193</v>
      </c>
      <c r="V226" s="775" t="s">
        <v>3</v>
      </c>
      <c r="W226" s="669">
        <v>1</v>
      </c>
      <c r="X226" s="801">
        <v>3000</v>
      </c>
      <c r="Y226" s="777"/>
      <c r="Z226" s="777"/>
      <c r="AA226" s="777"/>
      <c r="AB226" s="777"/>
      <c r="AC226" s="775">
        <v>0</v>
      </c>
      <c r="AD226" s="779">
        <v>30</v>
      </c>
      <c r="AE226" s="852"/>
      <c r="AF226" s="852"/>
      <c r="AG226" s="852"/>
      <c r="AH226" s="852"/>
      <c r="AI226" s="852"/>
      <c r="AJ226" s="852"/>
      <c r="AK226" s="802">
        <v>3000</v>
      </c>
      <c r="AL226" s="775" t="s">
        <v>73</v>
      </c>
      <c r="AM226" s="775" t="s">
        <v>73</v>
      </c>
      <c r="AN226" s="775" t="s">
        <v>73</v>
      </c>
      <c r="AO226" s="775" t="s">
        <v>73</v>
      </c>
      <c r="AP226" s="799"/>
      <c r="AQ226" s="994">
        <v>3000</v>
      </c>
      <c r="AR226" s="775" t="s">
        <v>73</v>
      </c>
      <c r="AS226" s="775" t="s">
        <v>73</v>
      </c>
      <c r="AT226" s="775" t="s">
        <v>73</v>
      </c>
      <c r="AU226" s="775" t="s">
        <v>73</v>
      </c>
      <c r="AV226" s="775" t="s">
        <v>73</v>
      </c>
      <c r="AW226" s="775" t="s">
        <v>73</v>
      </c>
      <c r="AX226" s="680">
        <v>3000</v>
      </c>
      <c r="AY226" s="681" t="s">
        <v>7</v>
      </c>
      <c r="AZ226" s="777" t="s">
        <v>74</v>
      </c>
      <c r="BA226" s="777"/>
      <c r="BB226" s="686"/>
      <c r="BC226" s="686"/>
      <c r="BD226"/>
      <c r="BE226"/>
      <c r="BF226"/>
      <c r="BG226"/>
      <c r="BH226"/>
      <c r="BI226"/>
      <c r="BJ226"/>
      <c r="BK226" s="481" t="s">
        <v>802</v>
      </c>
      <c r="BL226" s="767" t="s">
        <v>803</v>
      </c>
      <c r="BM226" s="683"/>
      <c r="BN226" s="684"/>
      <c r="BO226" s="683"/>
      <c r="BP226" s="685"/>
      <c r="BQ226" s="771"/>
      <c r="BR226" s="771"/>
      <c r="BS226" s="771"/>
      <c r="BT226" s="771"/>
      <c r="BU226" s="771"/>
      <c r="BV226" s="772"/>
      <c r="BW226" s="772"/>
      <c r="BX226" s="772"/>
      <c r="BY226" s="683"/>
      <c r="BZ226" s="683"/>
      <c r="CA226" s="782"/>
      <c r="CB226" s="685"/>
      <c r="CC226" s="685"/>
      <c r="CD226" s="774"/>
      <c r="CE226" s="1009">
        <f t="shared" si="404"/>
        <v>0</v>
      </c>
      <c r="CF226" s="1002">
        <f t="shared" si="405"/>
        <v>0</v>
      </c>
      <c r="CG226" s="1009"/>
      <c r="CH226" s="1009">
        <f t="shared" si="406"/>
        <v>0</v>
      </c>
      <c r="CI226" s="1009"/>
      <c r="CJ226" s="1009">
        <f t="shared" si="407"/>
        <v>0</v>
      </c>
      <c r="CK226" s="1002">
        <f t="shared" si="408"/>
        <v>0</v>
      </c>
      <c r="CL226" s="1002">
        <f t="shared" si="409"/>
        <v>0</v>
      </c>
      <c r="CM226" s="1010"/>
      <c r="CN226" s="1009">
        <f t="shared" si="410"/>
        <v>30</v>
      </c>
      <c r="CO226" s="1002">
        <f t="shared" si="403"/>
        <v>3000</v>
      </c>
      <c r="CP226" s="1009"/>
      <c r="CQ226" s="1009">
        <f t="shared" si="411"/>
        <v>0</v>
      </c>
      <c r="CR226" s="1009"/>
      <c r="CS226" s="1009">
        <f t="shared" si="412"/>
        <v>0</v>
      </c>
      <c r="CT226" s="1002">
        <f t="shared" si="413"/>
        <v>3000</v>
      </c>
      <c r="CU226" s="1002">
        <f t="shared" si="414"/>
        <v>3000</v>
      </c>
      <c r="CV226" s="1010"/>
      <c r="CW226" s="1011">
        <f t="shared" si="378"/>
        <v>3000</v>
      </c>
      <c r="CX226" s="1012">
        <f t="shared" si="379"/>
        <v>0</v>
      </c>
      <c r="CY226" s="1012">
        <f t="shared" si="380"/>
        <v>0</v>
      </c>
      <c r="CZ226" s="1011">
        <f t="shared" si="381"/>
        <v>3000</v>
      </c>
      <c r="DA226" s="1011">
        <f t="shared" si="382"/>
        <v>3000</v>
      </c>
      <c r="DD226" s="682" t="s">
        <v>1467</v>
      </c>
    </row>
    <row r="227" spans="1:108" ht="15" hidden="1" customHeight="1" x14ac:dyDescent="0.25">
      <c r="A227" s="472">
        <v>2026</v>
      </c>
      <c r="B227" s="472">
        <v>479</v>
      </c>
      <c r="C227" s="472" t="s">
        <v>64</v>
      </c>
      <c r="D227" s="472" t="s">
        <v>65</v>
      </c>
      <c r="E227" s="472">
        <v>125</v>
      </c>
      <c r="F227" s="472">
        <v>3000654</v>
      </c>
      <c r="G227" s="472">
        <v>5005023</v>
      </c>
      <c r="H227" s="472">
        <v>3</v>
      </c>
      <c r="I227" s="472">
        <v>12</v>
      </c>
      <c r="J227" s="472">
        <v>24</v>
      </c>
      <c r="K227" s="472">
        <v>135560</v>
      </c>
      <c r="L227" s="472" t="s">
        <v>66</v>
      </c>
      <c r="M227" s="124" t="s">
        <v>67</v>
      </c>
      <c r="N227" s="472">
        <v>95</v>
      </c>
      <c r="O227" s="474"/>
      <c r="P227" s="474" t="s">
        <v>4</v>
      </c>
      <c r="Q227" s="472" t="s">
        <v>68</v>
      </c>
      <c r="R227" s="475" t="s">
        <v>69</v>
      </c>
      <c r="S227" s="475" t="s">
        <v>137</v>
      </c>
      <c r="T227" s="475"/>
      <c r="U227" s="124" t="s">
        <v>193</v>
      </c>
      <c r="V227" s="475" t="s">
        <v>3</v>
      </c>
      <c r="W227" s="121">
        <v>1</v>
      </c>
      <c r="X227" s="476">
        <v>3000</v>
      </c>
      <c r="Y227" s="474"/>
      <c r="Z227" s="474"/>
      <c r="AA227" s="474"/>
      <c r="AB227" s="474"/>
      <c r="AC227" s="475">
        <v>0</v>
      </c>
      <c r="AD227" s="563">
        <v>30</v>
      </c>
      <c r="AE227" s="488"/>
      <c r="AF227" s="488"/>
      <c r="AG227" s="488"/>
      <c r="AH227" s="488"/>
      <c r="AI227" s="488"/>
      <c r="AJ227" s="488"/>
      <c r="AK227" s="569">
        <v>3000</v>
      </c>
      <c r="AL227" s="472" t="s">
        <v>73</v>
      </c>
      <c r="AM227" s="472" t="s">
        <v>73</v>
      </c>
      <c r="AN227" s="472" t="s">
        <v>73</v>
      </c>
      <c r="AO227" s="472" t="s">
        <v>73</v>
      </c>
      <c r="AP227" s="564">
        <v>0</v>
      </c>
      <c r="AQ227" s="478">
        <v>3000</v>
      </c>
      <c r="AR227" s="472" t="s">
        <v>73</v>
      </c>
      <c r="AS227" s="472" t="s">
        <v>73</v>
      </c>
      <c r="AT227" s="472" t="s">
        <v>73</v>
      </c>
      <c r="AU227" s="472" t="s">
        <v>73</v>
      </c>
      <c r="AV227" s="472" t="s">
        <v>73</v>
      </c>
      <c r="AW227" s="472" t="s">
        <v>73</v>
      </c>
      <c r="AX227" s="30">
        <v>3000</v>
      </c>
      <c r="AY227" s="479" t="s">
        <v>7</v>
      </c>
      <c r="AZ227" s="474" t="s">
        <v>74</v>
      </c>
      <c r="BA227" s="474"/>
      <c r="BB227" s="480"/>
      <c r="BC227" s="480"/>
      <c r="BK227" s="481" t="s">
        <v>790</v>
      </c>
      <c r="BL227" s="481" t="s">
        <v>791</v>
      </c>
      <c r="BM227" s="284" t="s">
        <v>1455</v>
      </c>
      <c r="BN227" s="414" t="s">
        <v>1456</v>
      </c>
      <c r="BO227" s="284" t="s">
        <v>1457</v>
      </c>
      <c r="BP227" s="285">
        <v>46167</v>
      </c>
      <c r="BQ227" s="482"/>
      <c r="BR227" s="965"/>
      <c r="BS227" s="482"/>
      <c r="BT227" s="482"/>
      <c r="BU227" s="482" t="s">
        <v>1254</v>
      </c>
      <c r="BV227" s="414" t="s">
        <v>1468</v>
      </c>
      <c r="BW227" s="566" t="s">
        <v>1469</v>
      </c>
      <c r="BX227" s="566" t="s">
        <v>1470</v>
      </c>
      <c r="BY227" s="284">
        <v>72381754</v>
      </c>
      <c r="BZ227" s="284">
        <v>10723817540</v>
      </c>
      <c r="CA227" s="288"/>
      <c r="CB227" s="285">
        <v>46174</v>
      </c>
      <c r="CC227" s="285">
        <v>46203</v>
      </c>
      <c r="CD227" s="759"/>
      <c r="CE227" s="485">
        <f t="shared" si="404"/>
        <v>0</v>
      </c>
      <c r="CF227" s="484">
        <f t="shared" si="405"/>
        <v>0</v>
      </c>
      <c r="CG227" s="485"/>
      <c r="CH227" s="485">
        <f t="shared" si="406"/>
        <v>0</v>
      </c>
      <c r="CI227" s="485"/>
      <c r="CJ227" s="485">
        <f t="shared" si="407"/>
        <v>0</v>
      </c>
      <c r="CK227" s="484">
        <f t="shared" si="408"/>
        <v>0</v>
      </c>
      <c r="CL227" s="484">
        <f t="shared" si="409"/>
        <v>0</v>
      </c>
      <c r="CM227" s="1006"/>
      <c r="CN227" s="485">
        <f t="shared" si="410"/>
        <v>30</v>
      </c>
      <c r="CO227" s="484">
        <f t="shared" si="403"/>
        <v>3000</v>
      </c>
      <c r="CP227" s="485">
        <v>30</v>
      </c>
      <c r="CQ227" s="485">
        <f t="shared" si="411"/>
        <v>3000</v>
      </c>
      <c r="CR227" s="485">
        <v>30</v>
      </c>
      <c r="CS227" s="485">
        <f t="shared" si="412"/>
        <v>3000</v>
      </c>
      <c r="CT227" s="484">
        <f t="shared" si="413"/>
        <v>0</v>
      </c>
      <c r="CU227" s="484">
        <f t="shared" si="414"/>
        <v>0</v>
      </c>
      <c r="CV227" s="1006"/>
      <c r="CW227" s="1007">
        <f t="shared" si="378"/>
        <v>3000</v>
      </c>
      <c r="CX227" s="486">
        <f t="shared" si="379"/>
        <v>3000</v>
      </c>
      <c r="CY227" s="486">
        <f t="shared" si="380"/>
        <v>3000</v>
      </c>
      <c r="CZ227" s="1007">
        <f t="shared" si="381"/>
        <v>0</v>
      </c>
      <c r="DA227" s="1007">
        <f t="shared" si="382"/>
        <v>0</v>
      </c>
    </row>
    <row r="228" spans="1:108" ht="15" hidden="1" customHeight="1" x14ac:dyDescent="0.25">
      <c r="A228" s="472">
        <v>2026</v>
      </c>
      <c r="B228" s="472">
        <v>479</v>
      </c>
      <c r="C228" s="472" t="s">
        <v>64</v>
      </c>
      <c r="D228" s="472" t="s">
        <v>65</v>
      </c>
      <c r="E228" s="472">
        <v>125</v>
      </c>
      <c r="F228" s="472">
        <v>3000654</v>
      </c>
      <c r="G228" s="472">
        <v>5005023</v>
      </c>
      <c r="H228" s="472">
        <v>3</v>
      </c>
      <c r="I228" s="472">
        <v>12</v>
      </c>
      <c r="J228" s="472">
        <v>24</v>
      </c>
      <c r="K228" s="472">
        <v>135560</v>
      </c>
      <c r="L228" s="472" t="s">
        <v>66</v>
      </c>
      <c r="M228" s="124" t="s">
        <v>67</v>
      </c>
      <c r="N228" s="472">
        <v>95</v>
      </c>
      <c r="O228" s="474"/>
      <c r="P228" s="474" t="s">
        <v>4</v>
      </c>
      <c r="Q228" s="472" t="s">
        <v>68</v>
      </c>
      <c r="R228" s="475" t="s">
        <v>69</v>
      </c>
      <c r="S228" s="475" t="s">
        <v>137</v>
      </c>
      <c r="T228" s="475"/>
      <c r="U228" s="124" t="s">
        <v>193</v>
      </c>
      <c r="V228" s="475" t="s">
        <v>3</v>
      </c>
      <c r="W228" s="121">
        <v>1</v>
      </c>
      <c r="X228" s="476">
        <v>3000</v>
      </c>
      <c r="Y228" s="474"/>
      <c r="Z228" s="474"/>
      <c r="AA228" s="474"/>
      <c r="AB228" s="474"/>
      <c r="AC228" s="475">
        <v>0</v>
      </c>
      <c r="AD228" s="563">
        <v>30</v>
      </c>
      <c r="AE228" s="488"/>
      <c r="AF228" s="488"/>
      <c r="AG228" s="488"/>
      <c r="AH228" s="488"/>
      <c r="AI228" s="488"/>
      <c r="AJ228" s="488"/>
      <c r="AK228" s="569">
        <v>3000</v>
      </c>
      <c r="AL228" s="472" t="s">
        <v>73</v>
      </c>
      <c r="AM228" s="472" t="s">
        <v>73</v>
      </c>
      <c r="AN228" s="472" t="s">
        <v>73</v>
      </c>
      <c r="AO228" s="472" t="s">
        <v>73</v>
      </c>
      <c r="AP228" s="564">
        <v>0</v>
      </c>
      <c r="AQ228" s="478">
        <v>3000</v>
      </c>
      <c r="AR228" s="472" t="s">
        <v>73</v>
      </c>
      <c r="AS228" s="472" t="s">
        <v>73</v>
      </c>
      <c r="AT228" s="472" t="s">
        <v>73</v>
      </c>
      <c r="AU228" s="472" t="s">
        <v>73</v>
      </c>
      <c r="AV228" s="472" t="s">
        <v>73</v>
      </c>
      <c r="AW228" s="472" t="s">
        <v>73</v>
      </c>
      <c r="AX228" s="30">
        <v>3000</v>
      </c>
      <c r="AY228" s="479" t="s">
        <v>7</v>
      </c>
      <c r="AZ228" s="474" t="s">
        <v>74</v>
      </c>
      <c r="BA228" s="474"/>
      <c r="BB228" s="480"/>
      <c r="BC228" s="480"/>
      <c r="BK228" s="481" t="s">
        <v>790</v>
      </c>
      <c r="BL228" s="481" t="s">
        <v>791</v>
      </c>
      <c r="BM228" s="284" t="s">
        <v>1455</v>
      </c>
      <c r="BN228" s="414" t="s">
        <v>1456</v>
      </c>
      <c r="BO228" s="284" t="s">
        <v>1457</v>
      </c>
      <c r="BP228" s="285">
        <v>46167</v>
      </c>
      <c r="BQ228" s="482"/>
      <c r="BR228" s="965">
        <v>4869</v>
      </c>
      <c r="BS228" s="482"/>
      <c r="BT228" s="482"/>
      <c r="BU228" s="482" t="s">
        <v>1254</v>
      </c>
      <c r="BV228" s="414" t="s">
        <v>1471</v>
      </c>
      <c r="BW228" s="566" t="s">
        <v>1472</v>
      </c>
      <c r="BX228" s="566" t="s">
        <v>1473</v>
      </c>
      <c r="BY228" s="284">
        <v>17623086</v>
      </c>
      <c r="BZ228" s="284">
        <v>10176230865</v>
      </c>
      <c r="CA228" s="288"/>
      <c r="CB228" s="285">
        <v>46174</v>
      </c>
      <c r="CC228" s="285">
        <v>46203</v>
      </c>
      <c r="CD228" s="759"/>
      <c r="CE228" s="485">
        <f t="shared" si="404"/>
        <v>0</v>
      </c>
      <c r="CF228" s="484">
        <f t="shared" si="405"/>
        <v>0</v>
      </c>
      <c r="CG228" s="485"/>
      <c r="CH228" s="485">
        <f t="shared" si="406"/>
        <v>0</v>
      </c>
      <c r="CI228" s="485"/>
      <c r="CJ228" s="485">
        <f t="shared" si="407"/>
        <v>0</v>
      </c>
      <c r="CK228" s="484">
        <f t="shared" si="408"/>
        <v>0</v>
      </c>
      <c r="CL228" s="484">
        <f t="shared" si="409"/>
        <v>0</v>
      </c>
      <c r="CM228" s="1006"/>
      <c r="CN228" s="485">
        <f t="shared" si="410"/>
        <v>30</v>
      </c>
      <c r="CO228" s="484">
        <f t="shared" si="403"/>
        <v>3000</v>
      </c>
      <c r="CP228" s="485">
        <v>30</v>
      </c>
      <c r="CQ228" s="485">
        <f t="shared" si="411"/>
        <v>3000</v>
      </c>
      <c r="CR228" s="485">
        <v>30</v>
      </c>
      <c r="CS228" s="485">
        <f t="shared" si="412"/>
        <v>3000</v>
      </c>
      <c r="CT228" s="484">
        <f t="shared" si="413"/>
        <v>0</v>
      </c>
      <c r="CU228" s="484">
        <f t="shared" si="414"/>
        <v>0</v>
      </c>
      <c r="CV228" s="1006"/>
      <c r="CW228" s="1007">
        <f t="shared" si="378"/>
        <v>3000</v>
      </c>
      <c r="CX228" s="486">
        <f t="shared" si="379"/>
        <v>3000</v>
      </c>
      <c r="CY228" s="486">
        <f t="shared" si="380"/>
        <v>3000</v>
      </c>
      <c r="CZ228" s="1007">
        <f t="shared" si="381"/>
        <v>0</v>
      </c>
      <c r="DA228" s="1007">
        <f t="shared" si="382"/>
        <v>0</v>
      </c>
    </row>
    <row r="229" spans="1:108" ht="15" hidden="1" customHeight="1" x14ac:dyDescent="0.25">
      <c r="A229" s="472">
        <v>2026</v>
      </c>
      <c r="B229" s="472">
        <v>479</v>
      </c>
      <c r="C229" s="472" t="s">
        <v>64</v>
      </c>
      <c r="D229" s="472" t="s">
        <v>65</v>
      </c>
      <c r="E229" s="472">
        <v>125</v>
      </c>
      <c r="F229" s="472">
        <v>3000654</v>
      </c>
      <c r="G229" s="472">
        <v>5005023</v>
      </c>
      <c r="H229" s="472">
        <v>3</v>
      </c>
      <c r="I229" s="472">
        <v>12</v>
      </c>
      <c r="J229" s="472">
        <v>24</v>
      </c>
      <c r="K229" s="472">
        <v>135560</v>
      </c>
      <c r="L229" s="472" t="s">
        <v>66</v>
      </c>
      <c r="M229" s="124" t="s">
        <v>67</v>
      </c>
      <c r="N229" s="472">
        <v>95</v>
      </c>
      <c r="O229" s="474"/>
      <c r="P229" s="474" t="s">
        <v>4</v>
      </c>
      <c r="Q229" s="472" t="s">
        <v>68</v>
      </c>
      <c r="R229" s="475" t="s">
        <v>69</v>
      </c>
      <c r="S229" s="475" t="s">
        <v>137</v>
      </c>
      <c r="T229" s="475"/>
      <c r="U229" s="124" t="s">
        <v>193</v>
      </c>
      <c r="V229" s="475" t="s">
        <v>3</v>
      </c>
      <c r="W229" s="121">
        <v>1</v>
      </c>
      <c r="X229" s="476">
        <v>3000</v>
      </c>
      <c r="Y229" s="474"/>
      <c r="Z229" s="474"/>
      <c r="AA229" s="474"/>
      <c r="AB229" s="474"/>
      <c r="AC229" s="475">
        <v>0</v>
      </c>
      <c r="AD229" s="563">
        <v>30</v>
      </c>
      <c r="AE229" s="488"/>
      <c r="AF229" s="488"/>
      <c r="AG229" s="488"/>
      <c r="AH229" s="488"/>
      <c r="AI229" s="488"/>
      <c r="AJ229" s="488"/>
      <c r="AK229" s="569">
        <v>3000</v>
      </c>
      <c r="AL229" s="472" t="s">
        <v>73</v>
      </c>
      <c r="AM229" s="472" t="s">
        <v>73</v>
      </c>
      <c r="AN229" s="472" t="s">
        <v>73</v>
      </c>
      <c r="AO229" s="472" t="s">
        <v>73</v>
      </c>
      <c r="AP229" s="564">
        <v>0</v>
      </c>
      <c r="AQ229" s="478">
        <v>3000</v>
      </c>
      <c r="AR229" s="472" t="s">
        <v>73</v>
      </c>
      <c r="AS229" s="472" t="s">
        <v>73</v>
      </c>
      <c r="AT229" s="472" t="s">
        <v>73</v>
      </c>
      <c r="AU229" s="472" t="s">
        <v>73</v>
      </c>
      <c r="AV229" s="472" t="s">
        <v>73</v>
      </c>
      <c r="AW229" s="472" t="s">
        <v>73</v>
      </c>
      <c r="AX229" s="30">
        <v>3000</v>
      </c>
      <c r="AY229" s="479" t="s">
        <v>7</v>
      </c>
      <c r="AZ229" s="474" t="s">
        <v>74</v>
      </c>
      <c r="BA229" s="474"/>
      <c r="BB229" s="480"/>
      <c r="BC229" s="480"/>
      <c r="BK229" s="481" t="s">
        <v>790</v>
      </c>
      <c r="BL229" s="481" t="s">
        <v>791</v>
      </c>
      <c r="BM229" s="284" t="s">
        <v>1455</v>
      </c>
      <c r="BN229" s="414" t="s">
        <v>1456</v>
      </c>
      <c r="BO229" s="284" t="s">
        <v>1457</v>
      </c>
      <c r="BP229" s="285">
        <v>46167</v>
      </c>
      <c r="BQ229" s="482"/>
      <c r="BR229" s="965">
        <v>4870</v>
      </c>
      <c r="BS229" s="482"/>
      <c r="BT229" s="482"/>
      <c r="BU229" s="482" t="s">
        <v>1254</v>
      </c>
      <c r="BV229" s="414" t="s">
        <v>891</v>
      </c>
      <c r="BW229" s="566" t="s">
        <v>1327</v>
      </c>
      <c r="BX229" s="566" t="s">
        <v>1474</v>
      </c>
      <c r="BY229" s="284">
        <v>74924000</v>
      </c>
      <c r="BZ229" s="284">
        <v>10749240003</v>
      </c>
      <c r="CA229" s="288"/>
      <c r="CB229" s="285">
        <v>46174</v>
      </c>
      <c r="CC229" s="285">
        <v>46203</v>
      </c>
      <c r="CD229" s="759"/>
      <c r="CE229" s="485">
        <f t="shared" si="404"/>
        <v>0</v>
      </c>
      <c r="CF229" s="484">
        <f t="shared" si="405"/>
        <v>0</v>
      </c>
      <c r="CG229" s="485"/>
      <c r="CH229" s="485">
        <f t="shared" si="406"/>
        <v>0</v>
      </c>
      <c r="CI229" s="485"/>
      <c r="CJ229" s="485">
        <f t="shared" si="407"/>
        <v>0</v>
      </c>
      <c r="CK229" s="484">
        <f t="shared" si="408"/>
        <v>0</v>
      </c>
      <c r="CL229" s="484">
        <f t="shared" si="409"/>
        <v>0</v>
      </c>
      <c r="CM229" s="1006"/>
      <c r="CN229" s="485">
        <f t="shared" si="410"/>
        <v>30</v>
      </c>
      <c r="CO229" s="484">
        <f t="shared" si="403"/>
        <v>3000</v>
      </c>
      <c r="CP229" s="485">
        <v>30</v>
      </c>
      <c r="CQ229" s="485">
        <f t="shared" si="411"/>
        <v>3000</v>
      </c>
      <c r="CR229" s="485">
        <v>30</v>
      </c>
      <c r="CS229" s="485">
        <f t="shared" si="412"/>
        <v>3000</v>
      </c>
      <c r="CT229" s="484">
        <f t="shared" si="413"/>
        <v>0</v>
      </c>
      <c r="CU229" s="484">
        <f t="shared" si="414"/>
        <v>0</v>
      </c>
      <c r="CV229" s="1006"/>
      <c r="CW229" s="1007">
        <f t="shared" si="378"/>
        <v>3000</v>
      </c>
      <c r="CX229" s="486">
        <f t="shared" si="379"/>
        <v>3000</v>
      </c>
      <c r="CY229" s="486">
        <f t="shared" si="380"/>
        <v>3000</v>
      </c>
      <c r="CZ229" s="1007">
        <f t="shared" si="381"/>
        <v>0</v>
      </c>
      <c r="DA229" s="1007">
        <f t="shared" si="382"/>
        <v>0</v>
      </c>
    </row>
    <row r="230" spans="1:108" ht="15" hidden="1" customHeight="1" x14ac:dyDescent="0.25">
      <c r="A230" s="472">
        <v>2026</v>
      </c>
      <c r="B230" s="472">
        <v>479</v>
      </c>
      <c r="C230" s="472" t="s">
        <v>64</v>
      </c>
      <c r="D230" s="472" t="s">
        <v>65</v>
      </c>
      <c r="E230" s="472">
        <v>125</v>
      </c>
      <c r="F230" s="472">
        <v>3000654</v>
      </c>
      <c r="G230" s="472">
        <v>5005023</v>
      </c>
      <c r="H230" s="472">
        <v>3</v>
      </c>
      <c r="I230" s="472">
        <v>12</v>
      </c>
      <c r="J230" s="472">
        <v>24</v>
      </c>
      <c r="K230" s="472">
        <v>135560</v>
      </c>
      <c r="L230" s="472" t="s">
        <v>66</v>
      </c>
      <c r="M230" s="124" t="s">
        <v>67</v>
      </c>
      <c r="N230" s="472">
        <v>95</v>
      </c>
      <c r="O230" s="474"/>
      <c r="P230" s="474" t="s">
        <v>4</v>
      </c>
      <c r="Q230" s="472" t="s">
        <v>68</v>
      </c>
      <c r="R230" s="475" t="s">
        <v>69</v>
      </c>
      <c r="S230" s="475" t="s">
        <v>137</v>
      </c>
      <c r="T230" s="475"/>
      <c r="U230" s="124" t="s">
        <v>193</v>
      </c>
      <c r="V230" s="475" t="s">
        <v>3</v>
      </c>
      <c r="W230" s="121">
        <v>1</v>
      </c>
      <c r="X230" s="476">
        <v>3000</v>
      </c>
      <c r="Y230" s="474"/>
      <c r="Z230" s="474"/>
      <c r="AA230" s="474"/>
      <c r="AB230" s="474"/>
      <c r="AC230" s="475">
        <v>0</v>
      </c>
      <c r="AD230" s="563">
        <v>30</v>
      </c>
      <c r="AE230" s="488"/>
      <c r="AF230" s="488"/>
      <c r="AG230" s="488"/>
      <c r="AH230" s="488"/>
      <c r="AI230" s="488"/>
      <c r="AJ230" s="488"/>
      <c r="AK230" s="569">
        <v>3000</v>
      </c>
      <c r="AL230" s="472" t="s">
        <v>73</v>
      </c>
      <c r="AM230" s="472" t="s">
        <v>73</v>
      </c>
      <c r="AN230" s="472" t="s">
        <v>73</v>
      </c>
      <c r="AO230" s="472" t="s">
        <v>73</v>
      </c>
      <c r="AP230" s="564">
        <v>0</v>
      </c>
      <c r="AQ230" s="478">
        <v>3000</v>
      </c>
      <c r="AR230" s="472" t="s">
        <v>73</v>
      </c>
      <c r="AS230" s="472" t="s">
        <v>73</v>
      </c>
      <c r="AT230" s="472" t="s">
        <v>73</v>
      </c>
      <c r="AU230" s="472" t="s">
        <v>73</v>
      </c>
      <c r="AV230" s="472" t="s">
        <v>73</v>
      </c>
      <c r="AW230" s="472" t="s">
        <v>73</v>
      </c>
      <c r="AX230" s="30">
        <v>3000</v>
      </c>
      <c r="AY230" s="479" t="s">
        <v>7</v>
      </c>
      <c r="AZ230" s="474" t="s">
        <v>74</v>
      </c>
      <c r="BA230" s="474"/>
      <c r="BB230" s="480"/>
      <c r="BC230" s="480"/>
      <c r="BK230" s="481" t="s">
        <v>790</v>
      </c>
      <c r="BL230" s="481" t="s">
        <v>791</v>
      </c>
      <c r="BM230" s="284" t="s">
        <v>1455</v>
      </c>
      <c r="BN230" s="414" t="s">
        <v>1456</v>
      </c>
      <c r="BO230" s="284" t="s">
        <v>1457</v>
      </c>
      <c r="BP230" s="285">
        <v>46167</v>
      </c>
      <c r="BQ230" s="482"/>
      <c r="BR230" s="965">
        <v>4871</v>
      </c>
      <c r="BS230" s="482"/>
      <c r="BT230" s="482"/>
      <c r="BU230" s="482" t="s">
        <v>1254</v>
      </c>
      <c r="BV230" s="414" t="s">
        <v>1475</v>
      </c>
      <c r="BW230" s="566" t="s">
        <v>1476</v>
      </c>
      <c r="BX230" s="566" t="s">
        <v>1477</v>
      </c>
      <c r="BY230" s="284">
        <v>77270574</v>
      </c>
      <c r="BZ230" s="284">
        <v>10772705749</v>
      </c>
      <c r="CA230" s="288"/>
      <c r="CB230" s="285">
        <v>46174</v>
      </c>
      <c r="CC230" s="285">
        <v>46203</v>
      </c>
      <c r="CD230" s="759"/>
      <c r="CE230" s="485">
        <f t="shared" si="404"/>
        <v>0</v>
      </c>
      <c r="CF230" s="484">
        <f t="shared" si="405"/>
        <v>0</v>
      </c>
      <c r="CG230" s="485"/>
      <c r="CH230" s="485">
        <f t="shared" si="406"/>
        <v>0</v>
      </c>
      <c r="CI230" s="485"/>
      <c r="CJ230" s="485">
        <f t="shared" si="407"/>
        <v>0</v>
      </c>
      <c r="CK230" s="484">
        <f t="shared" si="408"/>
        <v>0</v>
      </c>
      <c r="CL230" s="484">
        <f t="shared" si="409"/>
        <v>0</v>
      </c>
      <c r="CM230" s="1006"/>
      <c r="CN230" s="485">
        <f t="shared" si="410"/>
        <v>30</v>
      </c>
      <c r="CO230" s="484">
        <f t="shared" si="403"/>
        <v>3000</v>
      </c>
      <c r="CP230" s="485">
        <v>30</v>
      </c>
      <c r="CQ230" s="485">
        <f t="shared" si="411"/>
        <v>3000</v>
      </c>
      <c r="CR230" s="485">
        <v>30</v>
      </c>
      <c r="CS230" s="485">
        <f t="shared" si="412"/>
        <v>3000</v>
      </c>
      <c r="CT230" s="484">
        <f t="shared" si="413"/>
        <v>0</v>
      </c>
      <c r="CU230" s="484">
        <f t="shared" si="414"/>
        <v>0</v>
      </c>
      <c r="CV230" s="1006"/>
      <c r="CW230" s="1007">
        <f t="shared" si="378"/>
        <v>3000</v>
      </c>
      <c r="CX230" s="486">
        <f t="shared" si="379"/>
        <v>3000</v>
      </c>
      <c r="CY230" s="486">
        <f t="shared" si="380"/>
        <v>3000</v>
      </c>
      <c r="CZ230" s="1007">
        <f t="shared" si="381"/>
        <v>0</v>
      </c>
      <c r="DA230" s="1007">
        <f t="shared" si="382"/>
        <v>0</v>
      </c>
    </row>
    <row r="231" spans="1:108" ht="15" hidden="1" customHeight="1" x14ac:dyDescent="0.25">
      <c r="A231" s="472">
        <v>2026</v>
      </c>
      <c r="B231" s="472">
        <v>479</v>
      </c>
      <c r="C231" s="472" t="s">
        <v>64</v>
      </c>
      <c r="D231" s="472" t="s">
        <v>65</v>
      </c>
      <c r="E231" s="472">
        <v>125</v>
      </c>
      <c r="F231" s="472">
        <v>3000654</v>
      </c>
      <c r="G231" s="472">
        <v>5005023</v>
      </c>
      <c r="H231" s="472">
        <v>3</v>
      </c>
      <c r="I231" s="472">
        <v>12</v>
      </c>
      <c r="J231" s="472">
        <v>24</v>
      </c>
      <c r="K231" s="472">
        <v>135560</v>
      </c>
      <c r="L231" s="472" t="s">
        <v>66</v>
      </c>
      <c r="M231" s="124" t="s">
        <v>67</v>
      </c>
      <c r="N231" s="472">
        <v>95</v>
      </c>
      <c r="O231" s="474"/>
      <c r="P231" s="474" t="s">
        <v>4</v>
      </c>
      <c r="Q231" s="472" t="s">
        <v>68</v>
      </c>
      <c r="R231" s="475" t="s">
        <v>69</v>
      </c>
      <c r="S231" s="475" t="s">
        <v>137</v>
      </c>
      <c r="T231" s="475"/>
      <c r="U231" s="124" t="s">
        <v>193</v>
      </c>
      <c r="V231" s="475" t="s">
        <v>3</v>
      </c>
      <c r="W231" s="121">
        <v>1</v>
      </c>
      <c r="X231" s="476">
        <v>3000</v>
      </c>
      <c r="Y231" s="474"/>
      <c r="Z231" s="474"/>
      <c r="AA231" s="474"/>
      <c r="AB231" s="474"/>
      <c r="AC231" s="475">
        <v>0</v>
      </c>
      <c r="AD231" s="563">
        <v>30</v>
      </c>
      <c r="AE231" s="488"/>
      <c r="AF231" s="488"/>
      <c r="AG231" s="488"/>
      <c r="AH231" s="488"/>
      <c r="AI231" s="488"/>
      <c r="AJ231" s="488"/>
      <c r="AK231" s="569">
        <v>3000</v>
      </c>
      <c r="AL231" s="472" t="s">
        <v>73</v>
      </c>
      <c r="AM231" s="472" t="s">
        <v>73</v>
      </c>
      <c r="AN231" s="472" t="s">
        <v>73</v>
      </c>
      <c r="AO231" s="472" t="s">
        <v>73</v>
      </c>
      <c r="AP231" s="564">
        <v>0</v>
      </c>
      <c r="AQ231" s="478">
        <v>3000</v>
      </c>
      <c r="AR231" s="472" t="s">
        <v>73</v>
      </c>
      <c r="AS231" s="472" t="s">
        <v>73</v>
      </c>
      <c r="AT231" s="472" t="s">
        <v>73</v>
      </c>
      <c r="AU231" s="472" t="s">
        <v>73</v>
      </c>
      <c r="AV231" s="472" t="s">
        <v>73</v>
      </c>
      <c r="AW231" s="472" t="s">
        <v>73</v>
      </c>
      <c r="AX231" s="30">
        <v>3000</v>
      </c>
      <c r="AY231" s="479" t="s">
        <v>7</v>
      </c>
      <c r="AZ231" s="474" t="s">
        <v>74</v>
      </c>
      <c r="BA231" s="474"/>
      <c r="BB231" s="480"/>
      <c r="BC231" s="480"/>
      <c r="BK231" s="481" t="s">
        <v>790</v>
      </c>
      <c r="BL231" s="481" t="s">
        <v>791</v>
      </c>
      <c r="BM231" s="284" t="s">
        <v>1455</v>
      </c>
      <c r="BN231" s="414" t="s">
        <v>1456</v>
      </c>
      <c r="BO231" s="284" t="s">
        <v>1457</v>
      </c>
      <c r="BP231" s="285">
        <v>46167</v>
      </c>
      <c r="BQ231" s="482"/>
      <c r="BR231" s="965">
        <v>4872</v>
      </c>
      <c r="BS231" s="482"/>
      <c r="BT231" s="482"/>
      <c r="BU231" s="482" t="s">
        <v>1254</v>
      </c>
      <c r="BV231" s="414" t="s">
        <v>1478</v>
      </c>
      <c r="BW231" s="566" t="s">
        <v>1479</v>
      </c>
      <c r="BX231" s="566" t="s">
        <v>1480</v>
      </c>
      <c r="BY231" s="284">
        <v>72500103</v>
      </c>
      <c r="BZ231" s="284">
        <v>10725001032</v>
      </c>
      <c r="CA231" s="288"/>
      <c r="CB231" s="285">
        <v>46174</v>
      </c>
      <c r="CC231" s="285">
        <v>46203</v>
      </c>
      <c r="CD231" s="759"/>
      <c r="CE231" s="485">
        <f t="shared" si="404"/>
        <v>0</v>
      </c>
      <c r="CF231" s="484">
        <f t="shared" si="405"/>
        <v>0</v>
      </c>
      <c r="CG231" s="485"/>
      <c r="CH231" s="485">
        <f t="shared" si="406"/>
        <v>0</v>
      </c>
      <c r="CI231" s="485"/>
      <c r="CJ231" s="485">
        <f t="shared" si="407"/>
        <v>0</v>
      </c>
      <c r="CK231" s="484">
        <f t="shared" si="408"/>
        <v>0</v>
      </c>
      <c r="CL231" s="484">
        <f t="shared" si="409"/>
        <v>0</v>
      </c>
      <c r="CM231" s="1006"/>
      <c r="CN231" s="485">
        <f t="shared" si="410"/>
        <v>30</v>
      </c>
      <c r="CO231" s="484">
        <f t="shared" si="403"/>
        <v>3000</v>
      </c>
      <c r="CP231" s="485">
        <v>30</v>
      </c>
      <c r="CQ231" s="485">
        <f t="shared" si="411"/>
        <v>3000</v>
      </c>
      <c r="CR231" s="485">
        <v>30</v>
      </c>
      <c r="CS231" s="485">
        <f t="shared" si="412"/>
        <v>3000</v>
      </c>
      <c r="CT231" s="484">
        <f t="shared" si="413"/>
        <v>0</v>
      </c>
      <c r="CU231" s="484">
        <f t="shared" si="414"/>
        <v>0</v>
      </c>
      <c r="CV231" s="1006"/>
      <c r="CW231" s="1007">
        <f t="shared" si="378"/>
        <v>3000</v>
      </c>
      <c r="CX231" s="486">
        <f t="shared" si="379"/>
        <v>3000</v>
      </c>
      <c r="CY231" s="486">
        <f t="shared" si="380"/>
        <v>3000</v>
      </c>
      <c r="CZ231" s="1007">
        <f t="shared" si="381"/>
        <v>0</v>
      </c>
      <c r="DA231" s="1007">
        <f t="shared" si="382"/>
        <v>0</v>
      </c>
    </row>
    <row r="232" spans="1:108" ht="15" hidden="1" customHeight="1" x14ac:dyDescent="0.25">
      <c r="A232" s="472">
        <v>2026</v>
      </c>
      <c r="B232" s="472">
        <v>479</v>
      </c>
      <c r="C232" s="472" t="s">
        <v>64</v>
      </c>
      <c r="D232" s="472" t="s">
        <v>65</v>
      </c>
      <c r="E232" s="472">
        <v>125</v>
      </c>
      <c r="F232" s="472">
        <v>3000654</v>
      </c>
      <c r="G232" s="472">
        <v>5005023</v>
      </c>
      <c r="H232" s="472">
        <v>3</v>
      </c>
      <c r="I232" s="472">
        <v>12</v>
      </c>
      <c r="J232" s="472">
        <v>24</v>
      </c>
      <c r="K232" s="472">
        <v>135560</v>
      </c>
      <c r="L232" s="472" t="s">
        <v>66</v>
      </c>
      <c r="M232" s="124" t="s">
        <v>67</v>
      </c>
      <c r="N232" s="472">
        <v>95</v>
      </c>
      <c r="O232" s="474"/>
      <c r="P232" s="474" t="s">
        <v>4</v>
      </c>
      <c r="Q232" s="472" t="s">
        <v>68</v>
      </c>
      <c r="R232" s="475" t="s">
        <v>69</v>
      </c>
      <c r="S232" s="475" t="s">
        <v>137</v>
      </c>
      <c r="T232" s="475"/>
      <c r="U232" s="124" t="s">
        <v>193</v>
      </c>
      <c r="V232" s="475" t="s">
        <v>3</v>
      </c>
      <c r="W232" s="121">
        <v>1</v>
      </c>
      <c r="X232" s="476">
        <v>3000</v>
      </c>
      <c r="Y232" s="474"/>
      <c r="Z232" s="474"/>
      <c r="AA232" s="474"/>
      <c r="AB232" s="474"/>
      <c r="AC232" s="475">
        <v>0</v>
      </c>
      <c r="AD232" s="563">
        <v>30</v>
      </c>
      <c r="AE232" s="488"/>
      <c r="AF232" s="488"/>
      <c r="AG232" s="488"/>
      <c r="AH232" s="488"/>
      <c r="AI232" s="488"/>
      <c r="AJ232" s="488"/>
      <c r="AK232" s="569">
        <v>3000</v>
      </c>
      <c r="AL232" s="472" t="s">
        <v>73</v>
      </c>
      <c r="AM232" s="472" t="s">
        <v>73</v>
      </c>
      <c r="AN232" s="472" t="s">
        <v>73</v>
      </c>
      <c r="AO232" s="472" t="s">
        <v>73</v>
      </c>
      <c r="AP232" s="564">
        <v>0</v>
      </c>
      <c r="AQ232" s="478">
        <v>3000</v>
      </c>
      <c r="AR232" s="472" t="s">
        <v>73</v>
      </c>
      <c r="AS232" s="472" t="s">
        <v>73</v>
      </c>
      <c r="AT232" s="472" t="s">
        <v>73</v>
      </c>
      <c r="AU232" s="472" t="s">
        <v>73</v>
      </c>
      <c r="AV232" s="472" t="s">
        <v>73</v>
      </c>
      <c r="AW232" s="472" t="s">
        <v>73</v>
      </c>
      <c r="AX232" s="30">
        <v>3000</v>
      </c>
      <c r="AY232" s="479" t="s">
        <v>7</v>
      </c>
      <c r="AZ232" s="474" t="s">
        <v>74</v>
      </c>
      <c r="BA232" s="474"/>
      <c r="BB232" s="480"/>
      <c r="BC232" s="480"/>
      <c r="BK232" s="481" t="s">
        <v>790</v>
      </c>
      <c r="BL232" s="481" t="s">
        <v>791</v>
      </c>
      <c r="BM232" s="284" t="s">
        <v>1455</v>
      </c>
      <c r="BN232" s="414" t="s">
        <v>1456</v>
      </c>
      <c r="BO232" s="284" t="s">
        <v>1457</v>
      </c>
      <c r="BP232" s="285">
        <v>46167</v>
      </c>
      <c r="BQ232" s="482"/>
      <c r="BR232" s="965">
        <v>4873</v>
      </c>
      <c r="BS232" s="482"/>
      <c r="BT232" s="482"/>
      <c r="BU232" s="482" t="s">
        <v>1254</v>
      </c>
      <c r="BV232" s="414" t="s">
        <v>1481</v>
      </c>
      <c r="BW232" s="566" t="s">
        <v>887</v>
      </c>
      <c r="BX232" s="566" t="s">
        <v>1482</v>
      </c>
      <c r="BY232" s="284">
        <v>72481360</v>
      </c>
      <c r="BZ232" s="284">
        <v>10724813602</v>
      </c>
      <c r="CA232" s="288"/>
      <c r="CB232" s="285">
        <v>46174</v>
      </c>
      <c r="CC232" s="285">
        <v>46203</v>
      </c>
      <c r="CD232" s="759"/>
      <c r="CE232" s="485">
        <f t="shared" si="404"/>
        <v>0</v>
      </c>
      <c r="CF232" s="484">
        <f t="shared" si="405"/>
        <v>0</v>
      </c>
      <c r="CG232" s="485"/>
      <c r="CH232" s="485">
        <f t="shared" si="406"/>
        <v>0</v>
      </c>
      <c r="CI232" s="485"/>
      <c r="CJ232" s="485">
        <f t="shared" si="407"/>
        <v>0</v>
      </c>
      <c r="CK232" s="484">
        <f t="shared" si="408"/>
        <v>0</v>
      </c>
      <c r="CL232" s="484">
        <f t="shared" si="409"/>
        <v>0</v>
      </c>
      <c r="CM232" s="1006"/>
      <c r="CN232" s="485">
        <f t="shared" si="410"/>
        <v>30</v>
      </c>
      <c r="CO232" s="484">
        <f t="shared" si="403"/>
        <v>3000</v>
      </c>
      <c r="CP232" s="485">
        <v>30</v>
      </c>
      <c r="CQ232" s="485">
        <f t="shared" si="411"/>
        <v>3000</v>
      </c>
      <c r="CR232" s="485">
        <v>30</v>
      </c>
      <c r="CS232" s="485">
        <f t="shared" si="412"/>
        <v>3000</v>
      </c>
      <c r="CT232" s="484">
        <f t="shared" si="413"/>
        <v>0</v>
      </c>
      <c r="CU232" s="484">
        <f t="shared" si="414"/>
        <v>0</v>
      </c>
      <c r="CV232" s="1006"/>
      <c r="CW232" s="1007">
        <f t="shared" si="378"/>
        <v>3000</v>
      </c>
      <c r="CX232" s="486">
        <f t="shared" si="379"/>
        <v>3000</v>
      </c>
      <c r="CY232" s="486">
        <f t="shared" si="380"/>
        <v>3000</v>
      </c>
      <c r="CZ232" s="1007">
        <f t="shared" si="381"/>
        <v>0</v>
      </c>
      <c r="DA232" s="1007">
        <f t="shared" si="382"/>
        <v>0</v>
      </c>
    </row>
    <row r="233" spans="1:108" ht="15" hidden="1" customHeight="1" x14ac:dyDescent="0.25">
      <c r="A233" s="472">
        <v>2026</v>
      </c>
      <c r="B233" s="472">
        <v>479</v>
      </c>
      <c r="C233" s="472" t="s">
        <v>64</v>
      </c>
      <c r="D233" s="472" t="s">
        <v>65</v>
      </c>
      <c r="E233" s="472">
        <v>125</v>
      </c>
      <c r="F233" s="472">
        <v>3000654</v>
      </c>
      <c r="G233" s="472">
        <v>5005023</v>
      </c>
      <c r="H233" s="472">
        <v>3</v>
      </c>
      <c r="I233" s="472">
        <v>12</v>
      </c>
      <c r="J233" s="472">
        <v>24</v>
      </c>
      <c r="K233" s="472">
        <v>135560</v>
      </c>
      <c r="L233" s="472" t="s">
        <v>66</v>
      </c>
      <c r="M233" s="124" t="s">
        <v>67</v>
      </c>
      <c r="N233" s="472">
        <v>95</v>
      </c>
      <c r="O233" s="474"/>
      <c r="P233" s="474" t="s">
        <v>4</v>
      </c>
      <c r="Q233" s="472" t="s">
        <v>68</v>
      </c>
      <c r="R233" s="475" t="s">
        <v>69</v>
      </c>
      <c r="S233" s="475" t="s">
        <v>137</v>
      </c>
      <c r="T233" s="475"/>
      <c r="U233" s="124" t="s">
        <v>193</v>
      </c>
      <c r="V233" s="475" t="s">
        <v>3</v>
      </c>
      <c r="W233" s="121">
        <v>1</v>
      </c>
      <c r="X233" s="476">
        <v>3000</v>
      </c>
      <c r="Y233" s="474"/>
      <c r="Z233" s="474"/>
      <c r="AA233" s="474"/>
      <c r="AB233" s="474"/>
      <c r="AC233" s="475">
        <v>0</v>
      </c>
      <c r="AD233" s="563">
        <v>30</v>
      </c>
      <c r="AE233" s="488"/>
      <c r="AF233" s="488"/>
      <c r="AG233" s="488"/>
      <c r="AH233" s="488"/>
      <c r="AI233" s="488"/>
      <c r="AJ233" s="488"/>
      <c r="AK233" s="569">
        <v>3000</v>
      </c>
      <c r="AL233" s="472" t="s">
        <v>73</v>
      </c>
      <c r="AM233" s="472" t="s">
        <v>73</v>
      </c>
      <c r="AN233" s="472" t="s">
        <v>73</v>
      </c>
      <c r="AO233" s="472" t="s">
        <v>73</v>
      </c>
      <c r="AP233" s="564">
        <v>0</v>
      </c>
      <c r="AQ233" s="478">
        <v>3000</v>
      </c>
      <c r="AR233" s="472" t="s">
        <v>73</v>
      </c>
      <c r="AS233" s="472" t="s">
        <v>73</v>
      </c>
      <c r="AT233" s="472" t="s">
        <v>73</v>
      </c>
      <c r="AU233" s="472" t="s">
        <v>73</v>
      </c>
      <c r="AV233" s="472" t="s">
        <v>73</v>
      </c>
      <c r="AW233" s="472" t="s">
        <v>73</v>
      </c>
      <c r="AX233" s="30">
        <v>3000</v>
      </c>
      <c r="AY233" s="479" t="s">
        <v>7</v>
      </c>
      <c r="AZ233" s="474" t="s">
        <v>74</v>
      </c>
      <c r="BA233" s="474"/>
      <c r="BB233" s="480"/>
      <c r="BC233" s="480"/>
      <c r="BK233" s="481" t="s">
        <v>790</v>
      </c>
      <c r="BL233" s="481" t="s">
        <v>791</v>
      </c>
      <c r="BM233" s="284" t="s">
        <v>1455</v>
      </c>
      <c r="BN233" s="414" t="s">
        <v>1456</v>
      </c>
      <c r="BO233" s="284" t="s">
        <v>1457</v>
      </c>
      <c r="BP233" s="285">
        <v>46167</v>
      </c>
      <c r="BQ233" s="482"/>
      <c r="BR233" s="965">
        <v>4874</v>
      </c>
      <c r="BS233" s="482"/>
      <c r="BT233" s="482"/>
      <c r="BU233" s="482" t="s">
        <v>1254</v>
      </c>
      <c r="BV233" s="414" t="s">
        <v>894</v>
      </c>
      <c r="BW233" s="566" t="s">
        <v>798</v>
      </c>
      <c r="BX233" s="566" t="s">
        <v>1483</v>
      </c>
      <c r="BY233" s="284">
        <v>46613681</v>
      </c>
      <c r="BZ233" s="284">
        <v>10466136811</v>
      </c>
      <c r="CA233" s="288"/>
      <c r="CB233" s="285">
        <v>46174</v>
      </c>
      <c r="CC233" s="285">
        <v>46203</v>
      </c>
      <c r="CD233" s="759"/>
      <c r="CE233" s="485">
        <f t="shared" si="404"/>
        <v>0</v>
      </c>
      <c r="CF233" s="484">
        <f t="shared" si="405"/>
        <v>0</v>
      </c>
      <c r="CG233" s="485"/>
      <c r="CH233" s="485">
        <f t="shared" si="406"/>
        <v>0</v>
      </c>
      <c r="CI233" s="485"/>
      <c r="CJ233" s="485">
        <f t="shared" si="407"/>
        <v>0</v>
      </c>
      <c r="CK233" s="484">
        <f t="shared" si="408"/>
        <v>0</v>
      </c>
      <c r="CL233" s="484">
        <f t="shared" si="409"/>
        <v>0</v>
      </c>
      <c r="CM233" s="1006"/>
      <c r="CN233" s="485">
        <f t="shared" si="410"/>
        <v>30</v>
      </c>
      <c r="CO233" s="484">
        <f t="shared" si="403"/>
        <v>3000</v>
      </c>
      <c r="CP233" s="485">
        <v>30</v>
      </c>
      <c r="CQ233" s="485">
        <f t="shared" si="411"/>
        <v>3000</v>
      </c>
      <c r="CR233" s="485">
        <v>30</v>
      </c>
      <c r="CS233" s="485">
        <f t="shared" si="412"/>
        <v>3000</v>
      </c>
      <c r="CT233" s="484">
        <f t="shared" si="413"/>
        <v>0</v>
      </c>
      <c r="CU233" s="484">
        <f t="shared" si="414"/>
        <v>0</v>
      </c>
      <c r="CV233" s="1006"/>
      <c r="CW233" s="1007">
        <f t="shared" si="378"/>
        <v>3000</v>
      </c>
      <c r="CX233" s="486">
        <f t="shared" si="379"/>
        <v>3000</v>
      </c>
      <c r="CY233" s="486">
        <f t="shared" si="380"/>
        <v>3000</v>
      </c>
      <c r="CZ233" s="1007">
        <f t="shared" si="381"/>
        <v>0</v>
      </c>
      <c r="DA233" s="1007">
        <f t="shared" si="382"/>
        <v>0</v>
      </c>
    </row>
    <row r="234" spans="1:108" ht="15" hidden="1" customHeight="1" x14ac:dyDescent="0.25">
      <c r="A234" s="472">
        <v>2026</v>
      </c>
      <c r="B234" s="472">
        <v>479</v>
      </c>
      <c r="C234" s="472" t="s">
        <v>64</v>
      </c>
      <c r="D234" s="472" t="s">
        <v>65</v>
      </c>
      <c r="E234" s="472">
        <v>125</v>
      </c>
      <c r="F234" s="472">
        <v>3000654</v>
      </c>
      <c r="G234" s="472">
        <v>5005023</v>
      </c>
      <c r="H234" s="472">
        <v>3</v>
      </c>
      <c r="I234" s="472">
        <v>12</v>
      </c>
      <c r="J234" s="472">
        <v>24</v>
      </c>
      <c r="K234" s="472">
        <v>135560</v>
      </c>
      <c r="L234" s="472" t="s">
        <v>66</v>
      </c>
      <c r="M234" s="124" t="s">
        <v>67</v>
      </c>
      <c r="N234" s="472">
        <v>95</v>
      </c>
      <c r="O234" s="474"/>
      <c r="P234" s="474" t="s">
        <v>4</v>
      </c>
      <c r="Q234" s="472" t="s">
        <v>68</v>
      </c>
      <c r="R234" s="475" t="s">
        <v>69</v>
      </c>
      <c r="S234" s="475" t="s">
        <v>137</v>
      </c>
      <c r="T234" s="475"/>
      <c r="U234" s="124" t="s">
        <v>193</v>
      </c>
      <c r="V234" s="475" t="s">
        <v>3</v>
      </c>
      <c r="W234" s="121">
        <v>1</v>
      </c>
      <c r="X234" s="476">
        <v>3000</v>
      </c>
      <c r="Y234" s="474"/>
      <c r="Z234" s="474"/>
      <c r="AA234" s="474"/>
      <c r="AB234" s="474"/>
      <c r="AC234" s="475">
        <v>0</v>
      </c>
      <c r="AD234" s="563">
        <v>30</v>
      </c>
      <c r="AE234" s="488"/>
      <c r="AF234" s="488"/>
      <c r="AG234" s="488"/>
      <c r="AH234" s="488"/>
      <c r="AI234" s="488"/>
      <c r="AJ234" s="488"/>
      <c r="AK234" s="569">
        <v>3000</v>
      </c>
      <c r="AL234" s="472" t="s">
        <v>73</v>
      </c>
      <c r="AM234" s="472" t="s">
        <v>73</v>
      </c>
      <c r="AN234" s="472" t="s">
        <v>73</v>
      </c>
      <c r="AO234" s="472" t="s">
        <v>73</v>
      </c>
      <c r="AP234" s="564">
        <v>0</v>
      </c>
      <c r="AQ234" s="478">
        <v>3000</v>
      </c>
      <c r="AR234" s="472" t="s">
        <v>73</v>
      </c>
      <c r="AS234" s="472" t="s">
        <v>73</v>
      </c>
      <c r="AT234" s="472" t="s">
        <v>73</v>
      </c>
      <c r="AU234" s="472" t="s">
        <v>73</v>
      </c>
      <c r="AV234" s="472" t="s">
        <v>73</v>
      </c>
      <c r="AW234" s="472" t="s">
        <v>73</v>
      </c>
      <c r="AX234" s="30">
        <v>3000</v>
      </c>
      <c r="AY234" s="479" t="s">
        <v>7</v>
      </c>
      <c r="AZ234" s="474" t="s">
        <v>74</v>
      </c>
      <c r="BA234" s="474"/>
      <c r="BB234" s="480"/>
      <c r="BC234" s="480"/>
      <c r="BK234" s="481" t="s">
        <v>790</v>
      </c>
      <c r="BL234" s="481" t="s">
        <v>791</v>
      </c>
      <c r="BM234" s="284" t="s">
        <v>1455</v>
      </c>
      <c r="BN234" s="414" t="s">
        <v>1456</v>
      </c>
      <c r="BO234" s="284" t="s">
        <v>1457</v>
      </c>
      <c r="BP234" s="285">
        <v>46167</v>
      </c>
      <c r="BQ234" s="482"/>
      <c r="BR234" s="965">
        <v>4875</v>
      </c>
      <c r="BS234" s="482"/>
      <c r="BT234" s="482"/>
      <c r="BU234" s="482" t="s">
        <v>1254</v>
      </c>
      <c r="BV234" s="414" t="s">
        <v>1484</v>
      </c>
      <c r="BW234" s="566" t="s">
        <v>1485</v>
      </c>
      <c r="BX234" s="566" t="s">
        <v>1486</v>
      </c>
      <c r="BY234" s="284">
        <v>10667696</v>
      </c>
      <c r="BZ234" s="284">
        <v>10106676963</v>
      </c>
      <c r="CA234" s="288"/>
      <c r="CB234" s="285">
        <v>46174</v>
      </c>
      <c r="CC234" s="285">
        <v>46203</v>
      </c>
      <c r="CD234" s="759"/>
      <c r="CE234" s="485">
        <f t="shared" si="404"/>
        <v>0</v>
      </c>
      <c r="CF234" s="484">
        <f t="shared" si="405"/>
        <v>0</v>
      </c>
      <c r="CG234" s="485"/>
      <c r="CH234" s="485">
        <f t="shared" si="406"/>
        <v>0</v>
      </c>
      <c r="CI234" s="485"/>
      <c r="CJ234" s="485">
        <f t="shared" si="407"/>
        <v>0</v>
      </c>
      <c r="CK234" s="484">
        <f t="shared" si="408"/>
        <v>0</v>
      </c>
      <c r="CL234" s="484">
        <f t="shared" si="409"/>
        <v>0</v>
      </c>
      <c r="CM234" s="1006"/>
      <c r="CN234" s="485">
        <f t="shared" si="410"/>
        <v>30</v>
      </c>
      <c r="CO234" s="484">
        <f t="shared" si="403"/>
        <v>3000</v>
      </c>
      <c r="CP234" s="485">
        <v>30</v>
      </c>
      <c r="CQ234" s="485">
        <f t="shared" si="411"/>
        <v>3000</v>
      </c>
      <c r="CR234" s="485">
        <v>30</v>
      </c>
      <c r="CS234" s="485">
        <f t="shared" si="412"/>
        <v>3000</v>
      </c>
      <c r="CT234" s="484">
        <f t="shared" si="413"/>
        <v>0</v>
      </c>
      <c r="CU234" s="484">
        <f t="shared" si="414"/>
        <v>0</v>
      </c>
      <c r="CV234" s="1006"/>
      <c r="CW234" s="1007">
        <f t="shared" si="378"/>
        <v>3000</v>
      </c>
      <c r="CX234" s="486">
        <f t="shared" si="379"/>
        <v>3000</v>
      </c>
      <c r="CY234" s="486">
        <f t="shared" si="380"/>
        <v>3000</v>
      </c>
      <c r="CZ234" s="1007">
        <f t="shared" si="381"/>
        <v>0</v>
      </c>
      <c r="DA234" s="1007">
        <f t="shared" si="382"/>
        <v>0</v>
      </c>
    </row>
    <row r="235" spans="1:108" ht="15" hidden="1" customHeight="1" x14ac:dyDescent="0.25">
      <c r="A235" s="472">
        <v>2026</v>
      </c>
      <c r="B235" s="472">
        <v>479</v>
      </c>
      <c r="C235" s="472" t="s">
        <v>64</v>
      </c>
      <c r="D235" s="472" t="s">
        <v>65</v>
      </c>
      <c r="E235" s="472">
        <v>125</v>
      </c>
      <c r="F235" s="472">
        <v>3000654</v>
      </c>
      <c r="G235" s="472">
        <v>5005023</v>
      </c>
      <c r="H235" s="472">
        <v>3</v>
      </c>
      <c r="I235" s="472">
        <v>12</v>
      </c>
      <c r="J235" s="472">
        <v>24</v>
      </c>
      <c r="K235" s="472">
        <v>135560</v>
      </c>
      <c r="L235" s="472" t="s">
        <v>66</v>
      </c>
      <c r="M235" s="124" t="s">
        <v>67</v>
      </c>
      <c r="N235" s="472">
        <v>95</v>
      </c>
      <c r="O235" s="474"/>
      <c r="P235" s="474" t="s">
        <v>4</v>
      </c>
      <c r="Q235" s="472" t="s">
        <v>68</v>
      </c>
      <c r="R235" s="475" t="s">
        <v>69</v>
      </c>
      <c r="S235" s="475" t="s">
        <v>137</v>
      </c>
      <c r="T235" s="475"/>
      <c r="U235" s="124" t="s">
        <v>193</v>
      </c>
      <c r="V235" s="475" t="s">
        <v>3</v>
      </c>
      <c r="W235" s="121">
        <v>1</v>
      </c>
      <c r="X235" s="476">
        <v>3000</v>
      </c>
      <c r="Y235" s="474"/>
      <c r="Z235" s="474"/>
      <c r="AA235" s="474"/>
      <c r="AB235" s="474"/>
      <c r="AC235" s="475">
        <v>0</v>
      </c>
      <c r="AD235" s="563">
        <v>30</v>
      </c>
      <c r="AE235" s="488"/>
      <c r="AF235" s="488"/>
      <c r="AG235" s="488"/>
      <c r="AH235" s="488"/>
      <c r="AI235" s="488"/>
      <c r="AJ235" s="488"/>
      <c r="AK235" s="569">
        <v>3000</v>
      </c>
      <c r="AL235" s="472" t="s">
        <v>73</v>
      </c>
      <c r="AM235" s="472" t="s">
        <v>73</v>
      </c>
      <c r="AN235" s="472" t="s">
        <v>73</v>
      </c>
      <c r="AO235" s="472" t="s">
        <v>73</v>
      </c>
      <c r="AP235" s="564">
        <v>0</v>
      </c>
      <c r="AQ235" s="478">
        <v>3000</v>
      </c>
      <c r="AR235" s="472" t="s">
        <v>73</v>
      </c>
      <c r="AS235" s="472" t="s">
        <v>73</v>
      </c>
      <c r="AT235" s="472" t="s">
        <v>73</v>
      </c>
      <c r="AU235" s="472" t="s">
        <v>73</v>
      </c>
      <c r="AV235" s="472" t="s">
        <v>73</v>
      </c>
      <c r="AW235" s="472" t="s">
        <v>73</v>
      </c>
      <c r="AX235" s="30">
        <v>3000</v>
      </c>
      <c r="AY235" s="479" t="s">
        <v>7</v>
      </c>
      <c r="AZ235" s="474" t="s">
        <v>74</v>
      </c>
      <c r="BA235" s="474"/>
      <c r="BB235" s="480"/>
      <c r="BC235" s="480"/>
      <c r="BK235" s="481" t="s">
        <v>790</v>
      </c>
      <c r="BL235" s="481" t="s">
        <v>791</v>
      </c>
      <c r="BM235" s="284" t="s">
        <v>1455</v>
      </c>
      <c r="BN235" s="414" t="s">
        <v>1456</v>
      </c>
      <c r="BO235" s="284" t="s">
        <v>1457</v>
      </c>
      <c r="BP235" s="285">
        <v>46167</v>
      </c>
      <c r="BQ235" s="482"/>
      <c r="BR235" s="965">
        <v>4876</v>
      </c>
      <c r="BS235" s="482"/>
      <c r="BT235" s="482"/>
      <c r="BU235" s="482" t="s">
        <v>1254</v>
      </c>
      <c r="BV235" s="414" t="s">
        <v>1325</v>
      </c>
      <c r="BW235" s="566" t="s">
        <v>1487</v>
      </c>
      <c r="BX235" s="566" t="s">
        <v>1488</v>
      </c>
      <c r="BY235" s="284">
        <v>70501035</v>
      </c>
      <c r="BZ235" s="284">
        <v>10705010353</v>
      </c>
      <c r="CA235" s="288"/>
      <c r="CB235" s="285">
        <v>46174</v>
      </c>
      <c r="CC235" s="285">
        <v>46203</v>
      </c>
      <c r="CD235" s="759"/>
      <c r="CE235" s="485">
        <f t="shared" si="404"/>
        <v>0</v>
      </c>
      <c r="CF235" s="484">
        <f t="shared" si="405"/>
        <v>0</v>
      </c>
      <c r="CG235" s="485"/>
      <c r="CH235" s="485">
        <f t="shared" si="406"/>
        <v>0</v>
      </c>
      <c r="CI235" s="485"/>
      <c r="CJ235" s="485">
        <f t="shared" si="407"/>
        <v>0</v>
      </c>
      <c r="CK235" s="484">
        <f t="shared" si="408"/>
        <v>0</v>
      </c>
      <c r="CL235" s="484">
        <f t="shared" si="409"/>
        <v>0</v>
      </c>
      <c r="CM235" s="1006"/>
      <c r="CN235" s="485">
        <f t="shared" si="410"/>
        <v>30</v>
      </c>
      <c r="CO235" s="484">
        <f t="shared" si="403"/>
        <v>3000</v>
      </c>
      <c r="CP235" s="485">
        <v>30</v>
      </c>
      <c r="CQ235" s="485">
        <f t="shared" si="411"/>
        <v>3000</v>
      </c>
      <c r="CR235" s="485">
        <v>30</v>
      </c>
      <c r="CS235" s="485">
        <f t="shared" si="412"/>
        <v>3000</v>
      </c>
      <c r="CT235" s="484">
        <f t="shared" si="413"/>
        <v>0</v>
      </c>
      <c r="CU235" s="484">
        <f t="shared" si="414"/>
        <v>0</v>
      </c>
      <c r="CV235" s="1006"/>
      <c r="CW235" s="1007">
        <f t="shared" si="378"/>
        <v>3000</v>
      </c>
      <c r="CX235" s="486">
        <f t="shared" si="379"/>
        <v>3000</v>
      </c>
      <c r="CY235" s="486">
        <f t="shared" si="380"/>
        <v>3000</v>
      </c>
      <c r="CZ235" s="1007">
        <f t="shared" si="381"/>
        <v>0</v>
      </c>
      <c r="DA235" s="1007">
        <f t="shared" si="382"/>
        <v>0</v>
      </c>
    </row>
    <row r="236" spans="1:108" ht="15" hidden="1" customHeight="1" x14ac:dyDescent="0.25">
      <c r="A236" s="472">
        <v>2026</v>
      </c>
      <c r="B236" s="472">
        <v>479</v>
      </c>
      <c r="C236" s="472" t="s">
        <v>64</v>
      </c>
      <c r="D236" s="472" t="s">
        <v>65</v>
      </c>
      <c r="E236" s="472">
        <v>125</v>
      </c>
      <c r="F236" s="472">
        <v>3000654</v>
      </c>
      <c r="G236" s="472">
        <v>5005023</v>
      </c>
      <c r="H236" s="472">
        <v>3</v>
      </c>
      <c r="I236" s="472">
        <v>12</v>
      </c>
      <c r="J236" s="472">
        <v>24</v>
      </c>
      <c r="K236" s="472">
        <v>135560</v>
      </c>
      <c r="L236" s="472" t="s">
        <v>66</v>
      </c>
      <c r="M236" s="124" t="s">
        <v>67</v>
      </c>
      <c r="N236" s="472">
        <v>95</v>
      </c>
      <c r="O236" s="474"/>
      <c r="P236" s="474" t="s">
        <v>4</v>
      </c>
      <c r="Q236" s="472" t="s">
        <v>68</v>
      </c>
      <c r="R236" s="475" t="s">
        <v>69</v>
      </c>
      <c r="S236" s="475" t="s">
        <v>137</v>
      </c>
      <c r="T236" s="475"/>
      <c r="U236" s="124" t="s">
        <v>193</v>
      </c>
      <c r="V236" s="475" t="s">
        <v>3</v>
      </c>
      <c r="W236" s="121">
        <v>1</v>
      </c>
      <c r="X236" s="476">
        <v>3000</v>
      </c>
      <c r="Y236" s="474"/>
      <c r="Z236" s="474"/>
      <c r="AA236" s="474"/>
      <c r="AB236" s="474"/>
      <c r="AC236" s="475">
        <v>0</v>
      </c>
      <c r="AD236" s="563">
        <v>30</v>
      </c>
      <c r="AE236" s="488"/>
      <c r="AF236" s="488"/>
      <c r="AG236" s="488"/>
      <c r="AH236" s="488"/>
      <c r="AI236" s="488"/>
      <c r="AJ236" s="488"/>
      <c r="AK236" s="569">
        <v>3000</v>
      </c>
      <c r="AL236" s="472" t="s">
        <v>73</v>
      </c>
      <c r="AM236" s="472" t="s">
        <v>73</v>
      </c>
      <c r="AN236" s="472" t="s">
        <v>73</v>
      </c>
      <c r="AO236" s="472" t="s">
        <v>73</v>
      </c>
      <c r="AP236" s="564">
        <v>0</v>
      </c>
      <c r="AQ236" s="478">
        <v>3000</v>
      </c>
      <c r="AR236" s="472" t="s">
        <v>73</v>
      </c>
      <c r="AS236" s="472" t="s">
        <v>73</v>
      </c>
      <c r="AT236" s="472" t="s">
        <v>73</v>
      </c>
      <c r="AU236" s="472" t="s">
        <v>73</v>
      </c>
      <c r="AV236" s="472" t="s">
        <v>73</v>
      </c>
      <c r="AW236" s="472" t="s">
        <v>73</v>
      </c>
      <c r="AX236" s="30">
        <v>3000</v>
      </c>
      <c r="AY236" s="479" t="s">
        <v>7</v>
      </c>
      <c r="AZ236" s="474" t="s">
        <v>74</v>
      </c>
      <c r="BA236" s="474"/>
      <c r="BB236" s="480"/>
      <c r="BC236" s="480"/>
      <c r="BK236" s="481" t="s">
        <v>790</v>
      </c>
      <c r="BL236" s="481" t="s">
        <v>791</v>
      </c>
      <c r="BM236" s="284" t="s">
        <v>1455</v>
      </c>
      <c r="BN236" s="414" t="s">
        <v>1456</v>
      </c>
      <c r="BO236" s="284" t="s">
        <v>1457</v>
      </c>
      <c r="BP236" s="285">
        <v>46167</v>
      </c>
      <c r="BQ236" s="482"/>
      <c r="BR236" s="965">
        <v>4877</v>
      </c>
      <c r="BS236" s="482"/>
      <c r="BT236" s="482"/>
      <c r="BU236" s="950" t="s">
        <v>1254</v>
      </c>
      <c r="BV236" s="414" t="s">
        <v>1489</v>
      </c>
      <c r="BW236" s="566" t="s">
        <v>1490</v>
      </c>
      <c r="BX236" s="566" t="s">
        <v>1491</v>
      </c>
      <c r="BY236" s="284">
        <v>47330063</v>
      </c>
      <c r="BZ236" s="284">
        <v>10473300635</v>
      </c>
      <c r="CA236" s="288"/>
      <c r="CB236" s="285">
        <v>46174</v>
      </c>
      <c r="CC236" s="285">
        <v>46203</v>
      </c>
      <c r="CD236" s="759"/>
      <c r="CE236" s="485">
        <f t="shared" si="404"/>
        <v>0</v>
      </c>
      <c r="CF236" s="484">
        <f t="shared" si="405"/>
        <v>0</v>
      </c>
      <c r="CG236" s="485"/>
      <c r="CH236" s="485">
        <f t="shared" si="406"/>
        <v>0</v>
      </c>
      <c r="CI236" s="485"/>
      <c r="CJ236" s="485">
        <f t="shared" si="407"/>
        <v>0</v>
      </c>
      <c r="CK236" s="484">
        <f t="shared" si="408"/>
        <v>0</v>
      </c>
      <c r="CL236" s="484">
        <f t="shared" si="409"/>
        <v>0</v>
      </c>
      <c r="CM236" s="1006"/>
      <c r="CN236" s="485">
        <f t="shared" si="410"/>
        <v>30</v>
      </c>
      <c r="CO236" s="484">
        <f t="shared" si="403"/>
        <v>3000</v>
      </c>
      <c r="CP236" s="485">
        <v>30</v>
      </c>
      <c r="CQ236" s="485">
        <f t="shared" si="411"/>
        <v>3000</v>
      </c>
      <c r="CR236" s="485">
        <v>30</v>
      </c>
      <c r="CS236" s="485">
        <f t="shared" si="412"/>
        <v>3000</v>
      </c>
      <c r="CT236" s="484">
        <f t="shared" si="413"/>
        <v>0</v>
      </c>
      <c r="CU236" s="484">
        <f t="shared" si="414"/>
        <v>0</v>
      </c>
      <c r="CV236" s="1006"/>
      <c r="CW236" s="1007">
        <f t="shared" si="378"/>
        <v>3000</v>
      </c>
      <c r="CX236" s="486">
        <f t="shared" si="379"/>
        <v>3000</v>
      </c>
      <c r="CY236" s="486">
        <f t="shared" si="380"/>
        <v>3000</v>
      </c>
      <c r="CZ236" s="1007">
        <f t="shared" si="381"/>
        <v>0</v>
      </c>
      <c r="DA236" s="1007">
        <f t="shared" si="382"/>
        <v>0</v>
      </c>
    </row>
    <row r="237" spans="1:108" ht="15" hidden="1" customHeight="1" x14ac:dyDescent="0.25">
      <c r="A237" s="472">
        <v>2026</v>
      </c>
      <c r="B237" s="472">
        <v>479</v>
      </c>
      <c r="C237" s="472" t="s">
        <v>64</v>
      </c>
      <c r="D237" s="472" t="s">
        <v>65</v>
      </c>
      <c r="E237" s="472">
        <v>125</v>
      </c>
      <c r="F237" s="472">
        <v>3000654</v>
      </c>
      <c r="G237" s="472">
        <v>5005023</v>
      </c>
      <c r="H237" s="472">
        <v>3</v>
      </c>
      <c r="I237" s="472">
        <v>12</v>
      </c>
      <c r="J237" s="472">
        <v>24</v>
      </c>
      <c r="K237" s="472">
        <v>135560</v>
      </c>
      <c r="L237" s="472" t="s">
        <v>66</v>
      </c>
      <c r="M237" s="124" t="s">
        <v>67</v>
      </c>
      <c r="N237" s="472">
        <v>95</v>
      </c>
      <c r="O237" s="474"/>
      <c r="P237" s="474" t="s">
        <v>4</v>
      </c>
      <c r="Q237" s="472" t="s">
        <v>68</v>
      </c>
      <c r="R237" s="475" t="s">
        <v>69</v>
      </c>
      <c r="S237" s="475" t="s">
        <v>137</v>
      </c>
      <c r="T237" s="475"/>
      <c r="U237" s="124" t="s">
        <v>193</v>
      </c>
      <c r="V237" s="475" t="s">
        <v>3</v>
      </c>
      <c r="W237" s="121">
        <v>1</v>
      </c>
      <c r="X237" s="476">
        <v>3000</v>
      </c>
      <c r="Y237" s="474"/>
      <c r="Z237" s="474"/>
      <c r="AA237" s="474"/>
      <c r="AB237" s="474"/>
      <c r="AC237" s="475">
        <v>0</v>
      </c>
      <c r="AD237" s="563">
        <v>30</v>
      </c>
      <c r="AE237" s="488"/>
      <c r="AF237" s="488"/>
      <c r="AG237" s="488"/>
      <c r="AH237" s="488"/>
      <c r="AI237" s="488"/>
      <c r="AJ237" s="488"/>
      <c r="AK237" s="569">
        <v>3000</v>
      </c>
      <c r="AL237" s="472" t="s">
        <v>73</v>
      </c>
      <c r="AM237" s="472" t="s">
        <v>73</v>
      </c>
      <c r="AN237" s="472" t="s">
        <v>73</v>
      </c>
      <c r="AO237" s="472" t="s">
        <v>73</v>
      </c>
      <c r="AP237" s="564">
        <v>0</v>
      </c>
      <c r="AQ237" s="478">
        <v>3000</v>
      </c>
      <c r="AR237" s="472" t="s">
        <v>73</v>
      </c>
      <c r="AS237" s="472" t="s">
        <v>73</v>
      </c>
      <c r="AT237" s="472" t="s">
        <v>73</v>
      </c>
      <c r="AU237" s="472" t="s">
        <v>73</v>
      </c>
      <c r="AV237" s="472" t="s">
        <v>73</v>
      </c>
      <c r="AW237" s="472" t="s">
        <v>73</v>
      </c>
      <c r="AX237" s="30">
        <v>3000</v>
      </c>
      <c r="AY237" s="479" t="s">
        <v>7</v>
      </c>
      <c r="AZ237" s="474" t="s">
        <v>74</v>
      </c>
      <c r="BA237" s="474"/>
      <c r="BB237" s="480"/>
      <c r="BC237" s="480"/>
      <c r="BK237" s="481" t="s">
        <v>790</v>
      </c>
      <c r="BL237" s="481" t="s">
        <v>791</v>
      </c>
      <c r="BM237" s="284" t="s">
        <v>1455</v>
      </c>
      <c r="BN237" s="414" t="s">
        <v>1456</v>
      </c>
      <c r="BO237" s="284" t="s">
        <v>1457</v>
      </c>
      <c r="BP237" s="285">
        <v>46167</v>
      </c>
      <c r="BQ237" s="482"/>
      <c r="BR237" s="965">
        <v>4878</v>
      </c>
      <c r="BS237" s="482"/>
      <c r="BT237" s="482"/>
      <c r="BU237" s="950" t="s">
        <v>1254</v>
      </c>
      <c r="BV237" s="414" t="s">
        <v>929</v>
      </c>
      <c r="BW237" s="566" t="s">
        <v>1492</v>
      </c>
      <c r="BX237" s="566" t="s">
        <v>1493</v>
      </c>
      <c r="BY237" s="284">
        <v>73779226</v>
      </c>
      <c r="BZ237" s="284">
        <v>10737792264</v>
      </c>
      <c r="CA237" s="288"/>
      <c r="CB237" s="285">
        <v>46174</v>
      </c>
      <c r="CC237" s="285">
        <v>46203</v>
      </c>
      <c r="CD237" s="759"/>
      <c r="CE237" s="485">
        <f t="shared" si="404"/>
        <v>0</v>
      </c>
      <c r="CF237" s="484">
        <f t="shared" si="405"/>
        <v>0</v>
      </c>
      <c r="CG237" s="485"/>
      <c r="CH237" s="485">
        <f t="shared" si="406"/>
        <v>0</v>
      </c>
      <c r="CI237" s="485"/>
      <c r="CJ237" s="485">
        <f t="shared" si="407"/>
        <v>0</v>
      </c>
      <c r="CK237" s="484">
        <f t="shared" si="408"/>
        <v>0</v>
      </c>
      <c r="CL237" s="484">
        <f t="shared" si="409"/>
        <v>0</v>
      </c>
      <c r="CM237" s="1006"/>
      <c r="CN237" s="485">
        <f t="shared" si="410"/>
        <v>30</v>
      </c>
      <c r="CO237" s="484">
        <f t="shared" si="403"/>
        <v>3000</v>
      </c>
      <c r="CP237" s="485">
        <v>30</v>
      </c>
      <c r="CQ237" s="485">
        <f t="shared" si="411"/>
        <v>3000</v>
      </c>
      <c r="CR237" s="485">
        <v>30</v>
      </c>
      <c r="CS237" s="485">
        <f t="shared" si="412"/>
        <v>3000</v>
      </c>
      <c r="CT237" s="484">
        <f t="shared" si="413"/>
        <v>0</v>
      </c>
      <c r="CU237" s="484">
        <f t="shared" si="414"/>
        <v>0</v>
      </c>
      <c r="CV237" s="1006"/>
      <c r="CW237" s="1007">
        <f t="shared" si="378"/>
        <v>3000</v>
      </c>
      <c r="CX237" s="486">
        <f t="shared" si="379"/>
        <v>3000</v>
      </c>
      <c r="CY237" s="486">
        <f t="shared" si="380"/>
        <v>3000</v>
      </c>
      <c r="CZ237" s="1007">
        <f t="shared" si="381"/>
        <v>0</v>
      </c>
      <c r="DA237" s="1007">
        <f t="shared" si="382"/>
        <v>0</v>
      </c>
    </row>
    <row r="238" spans="1:108" ht="15" hidden="1" customHeight="1" x14ac:dyDescent="0.25">
      <c r="A238" s="472">
        <v>2026</v>
      </c>
      <c r="B238" s="472">
        <v>479</v>
      </c>
      <c r="C238" s="472" t="s">
        <v>64</v>
      </c>
      <c r="D238" s="472" t="s">
        <v>65</v>
      </c>
      <c r="E238" s="472">
        <v>125</v>
      </c>
      <c r="F238" s="472">
        <v>3000654</v>
      </c>
      <c r="G238" s="472">
        <v>5005023</v>
      </c>
      <c r="H238" s="472">
        <v>3</v>
      </c>
      <c r="I238" s="472">
        <v>12</v>
      </c>
      <c r="J238" s="472">
        <v>24</v>
      </c>
      <c r="K238" s="472">
        <v>135560</v>
      </c>
      <c r="L238" s="472" t="s">
        <v>66</v>
      </c>
      <c r="M238" s="124" t="s">
        <v>67</v>
      </c>
      <c r="N238" s="472">
        <v>95</v>
      </c>
      <c r="O238" s="474"/>
      <c r="P238" s="474" t="s">
        <v>4</v>
      </c>
      <c r="Q238" s="472" t="s">
        <v>68</v>
      </c>
      <c r="R238" s="475" t="s">
        <v>69</v>
      </c>
      <c r="S238" s="475" t="s">
        <v>137</v>
      </c>
      <c r="T238" s="475"/>
      <c r="U238" s="124" t="s">
        <v>193</v>
      </c>
      <c r="V238" s="475" t="s">
        <v>3</v>
      </c>
      <c r="W238" s="121">
        <v>1</v>
      </c>
      <c r="X238" s="476">
        <v>3000</v>
      </c>
      <c r="Y238" s="474"/>
      <c r="Z238" s="474"/>
      <c r="AA238" s="474"/>
      <c r="AB238" s="474"/>
      <c r="AC238" s="475">
        <v>0</v>
      </c>
      <c r="AD238" s="563">
        <v>30</v>
      </c>
      <c r="AE238" s="488"/>
      <c r="AF238" s="488"/>
      <c r="AG238" s="488"/>
      <c r="AH238" s="488"/>
      <c r="AI238" s="488"/>
      <c r="AJ238" s="488"/>
      <c r="AK238" s="569">
        <v>3000</v>
      </c>
      <c r="AL238" s="472" t="s">
        <v>73</v>
      </c>
      <c r="AM238" s="472" t="s">
        <v>73</v>
      </c>
      <c r="AN238" s="472" t="s">
        <v>73</v>
      </c>
      <c r="AO238" s="472" t="s">
        <v>73</v>
      </c>
      <c r="AP238" s="564">
        <v>0</v>
      </c>
      <c r="AQ238" s="478">
        <v>3000</v>
      </c>
      <c r="AR238" s="472" t="s">
        <v>73</v>
      </c>
      <c r="AS238" s="472" t="s">
        <v>73</v>
      </c>
      <c r="AT238" s="472" t="s">
        <v>73</v>
      </c>
      <c r="AU238" s="472" t="s">
        <v>73</v>
      </c>
      <c r="AV238" s="472" t="s">
        <v>73</v>
      </c>
      <c r="AW238" s="472" t="s">
        <v>73</v>
      </c>
      <c r="AX238" s="30">
        <v>3000</v>
      </c>
      <c r="AY238" s="479" t="s">
        <v>7</v>
      </c>
      <c r="AZ238" s="474" t="s">
        <v>74</v>
      </c>
      <c r="BA238" s="474"/>
      <c r="BB238" s="480"/>
      <c r="BC238" s="480"/>
      <c r="BK238" s="481" t="s">
        <v>790</v>
      </c>
      <c r="BL238" s="481" t="s">
        <v>791</v>
      </c>
      <c r="BM238" s="284" t="s">
        <v>1455</v>
      </c>
      <c r="BN238" s="414" t="s">
        <v>1456</v>
      </c>
      <c r="BO238" s="284" t="s">
        <v>1457</v>
      </c>
      <c r="BP238" s="285">
        <v>46167</v>
      </c>
      <c r="BQ238" s="482"/>
      <c r="BR238" s="965">
        <v>4879</v>
      </c>
      <c r="BS238" s="482"/>
      <c r="BT238" s="482"/>
      <c r="BU238" s="950" t="s">
        <v>1254</v>
      </c>
      <c r="BV238" s="414" t="s">
        <v>1494</v>
      </c>
      <c r="BW238" s="566" t="s">
        <v>1083</v>
      </c>
      <c r="BX238" s="566" t="s">
        <v>1495</v>
      </c>
      <c r="BY238" s="284">
        <v>40029711</v>
      </c>
      <c r="BZ238" s="284">
        <v>10400297113</v>
      </c>
      <c r="CA238" s="288"/>
      <c r="CB238" s="285">
        <v>46174</v>
      </c>
      <c r="CC238" s="285">
        <v>46203</v>
      </c>
      <c r="CD238" s="759"/>
      <c r="CE238" s="485">
        <f t="shared" si="404"/>
        <v>0</v>
      </c>
      <c r="CF238" s="484">
        <f t="shared" si="405"/>
        <v>0</v>
      </c>
      <c r="CG238" s="485"/>
      <c r="CH238" s="485">
        <f t="shared" si="406"/>
        <v>0</v>
      </c>
      <c r="CI238" s="485"/>
      <c r="CJ238" s="485">
        <f t="shared" si="407"/>
        <v>0</v>
      </c>
      <c r="CK238" s="484">
        <f t="shared" si="408"/>
        <v>0</v>
      </c>
      <c r="CL238" s="484">
        <f t="shared" si="409"/>
        <v>0</v>
      </c>
      <c r="CM238" s="1006"/>
      <c r="CN238" s="485">
        <f t="shared" si="410"/>
        <v>30</v>
      </c>
      <c r="CO238" s="484">
        <f t="shared" si="403"/>
        <v>3000</v>
      </c>
      <c r="CP238" s="485">
        <v>30</v>
      </c>
      <c r="CQ238" s="485">
        <f t="shared" si="411"/>
        <v>3000</v>
      </c>
      <c r="CR238" s="485">
        <v>30</v>
      </c>
      <c r="CS238" s="485">
        <f t="shared" si="412"/>
        <v>3000</v>
      </c>
      <c r="CT238" s="484">
        <f t="shared" si="413"/>
        <v>0</v>
      </c>
      <c r="CU238" s="484">
        <f t="shared" si="414"/>
        <v>0</v>
      </c>
      <c r="CV238" s="1006"/>
      <c r="CW238" s="1007">
        <f t="shared" si="378"/>
        <v>3000</v>
      </c>
      <c r="CX238" s="486">
        <f t="shared" si="379"/>
        <v>3000</v>
      </c>
      <c r="CY238" s="486">
        <f t="shared" si="380"/>
        <v>3000</v>
      </c>
      <c r="CZ238" s="1007">
        <f t="shared" si="381"/>
        <v>0</v>
      </c>
      <c r="DA238" s="1007">
        <f t="shared" si="382"/>
        <v>0</v>
      </c>
    </row>
    <row r="239" spans="1:108" ht="15" hidden="1" customHeight="1" x14ac:dyDescent="0.25">
      <c r="A239" s="472">
        <v>2026</v>
      </c>
      <c r="B239" s="472">
        <v>479</v>
      </c>
      <c r="C239" s="472" t="s">
        <v>64</v>
      </c>
      <c r="D239" s="472" t="s">
        <v>65</v>
      </c>
      <c r="E239" s="472">
        <v>125</v>
      </c>
      <c r="F239" s="472">
        <v>3000654</v>
      </c>
      <c r="G239" s="472">
        <v>5005023</v>
      </c>
      <c r="H239" s="472">
        <v>3</v>
      </c>
      <c r="I239" s="472">
        <v>12</v>
      </c>
      <c r="J239" s="472">
        <v>24</v>
      </c>
      <c r="K239" s="472">
        <v>135560</v>
      </c>
      <c r="L239" s="472" t="s">
        <v>66</v>
      </c>
      <c r="M239" s="124" t="s">
        <v>67</v>
      </c>
      <c r="N239" s="472">
        <v>95</v>
      </c>
      <c r="O239" s="474"/>
      <c r="P239" s="474" t="s">
        <v>4</v>
      </c>
      <c r="Q239" s="472" t="s">
        <v>68</v>
      </c>
      <c r="R239" s="475" t="s">
        <v>69</v>
      </c>
      <c r="S239" s="475" t="s">
        <v>137</v>
      </c>
      <c r="T239" s="475"/>
      <c r="U239" s="124" t="s">
        <v>193</v>
      </c>
      <c r="V239" s="475" t="s">
        <v>3</v>
      </c>
      <c r="W239" s="121">
        <v>1</v>
      </c>
      <c r="X239" s="476">
        <v>3000</v>
      </c>
      <c r="Y239" s="474"/>
      <c r="Z239" s="474"/>
      <c r="AA239" s="474"/>
      <c r="AB239" s="474"/>
      <c r="AC239" s="475">
        <v>0</v>
      </c>
      <c r="AD239" s="563">
        <v>30</v>
      </c>
      <c r="AE239" s="488"/>
      <c r="AF239" s="488"/>
      <c r="AG239" s="488"/>
      <c r="AH239" s="488"/>
      <c r="AI239" s="488"/>
      <c r="AJ239" s="488"/>
      <c r="AK239" s="569">
        <v>3000</v>
      </c>
      <c r="AL239" s="472" t="s">
        <v>73</v>
      </c>
      <c r="AM239" s="472" t="s">
        <v>73</v>
      </c>
      <c r="AN239" s="472" t="s">
        <v>73</v>
      </c>
      <c r="AO239" s="472" t="s">
        <v>73</v>
      </c>
      <c r="AP239" s="564">
        <v>0</v>
      </c>
      <c r="AQ239" s="478">
        <v>3000</v>
      </c>
      <c r="AR239" s="472" t="s">
        <v>73</v>
      </c>
      <c r="AS239" s="472" t="s">
        <v>73</v>
      </c>
      <c r="AT239" s="472" t="s">
        <v>73</v>
      </c>
      <c r="AU239" s="472" t="s">
        <v>73</v>
      </c>
      <c r="AV239" s="472" t="s">
        <v>73</v>
      </c>
      <c r="AW239" s="472" t="s">
        <v>73</v>
      </c>
      <c r="AX239" s="30">
        <v>3000</v>
      </c>
      <c r="AY239" s="479" t="s">
        <v>7</v>
      </c>
      <c r="AZ239" s="474" t="s">
        <v>74</v>
      </c>
      <c r="BA239" s="474"/>
      <c r="BB239" s="480"/>
      <c r="BC239" s="480"/>
      <c r="BK239" s="481" t="s">
        <v>790</v>
      </c>
      <c r="BL239" s="481" t="s">
        <v>791</v>
      </c>
      <c r="BM239" s="284" t="s">
        <v>1455</v>
      </c>
      <c r="BN239" s="414" t="s">
        <v>1456</v>
      </c>
      <c r="BO239" s="284" t="s">
        <v>1457</v>
      </c>
      <c r="BP239" s="285">
        <v>46167</v>
      </c>
      <c r="BQ239" s="482"/>
      <c r="BR239" s="965">
        <v>4880</v>
      </c>
      <c r="BS239" s="482"/>
      <c r="BT239" s="482"/>
      <c r="BU239" s="950" t="s">
        <v>1254</v>
      </c>
      <c r="BV239" s="414" t="s">
        <v>996</v>
      </c>
      <c r="BW239" s="566" t="s">
        <v>1123</v>
      </c>
      <c r="BX239" s="566" t="s">
        <v>1496</v>
      </c>
      <c r="BY239" s="284">
        <v>73570303</v>
      </c>
      <c r="BZ239" s="284">
        <v>10735703035</v>
      </c>
      <c r="CA239" s="288"/>
      <c r="CB239" s="285">
        <v>46174</v>
      </c>
      <c r="CC239" s="285">
        <v>46203</v>
      </c>
      <c r="CD239" s="759"/>
      <c r="CE239" s="485">
        <f t="shared" si="404"/>
        <v>0</v>
      </c>
      <c r="CF239" s="484">
        <f t="shared" si="405"/>
        <v>0</v>
      </c>
      <c r="CG239" s="485"/>
      <c r="CH239" s="485">
        <f t="shared" si="406"/>
        <v>0</v>
      </c>
      <c r="CI239" s="485"/>
      <c r="CJ239" s="485">
        <f t="shared" si="407"/>
        <v>0</v>
      </c>
      <c r="CK239" s="484">
        <f t="shared" si="408"/>
        <v>0</v>
      </c>
      <c r="CL239" s="484">
        <f t="shared" si="409"/>
        <v>0</v>
      </c>
      <c r="CM239" s="1006"/>
      <c r="CN239" s="485">
        <f t="shared" si="410"/>
        <v>30</v>
      </c>
      <c r="CO239" s="484">
        <f t="shared" si="403"/>
        <v>3000</v>
      </c>
      <c r="CP239" s="485">
        <v>30</v>
      </c>
      <c r="CQ239" s="485">
        <f t="shared" si="411"/>
        <v>3000</v>
      </c>
      <c r="CR239" s="485">
        <v>30</v>
      </c>
      <c r="CS239" s="485">
        <f t="shared" si="412"/>
        <v>3000</v>
      </c>
      <c r="CT239" s="484">
        <f t="shared" si="413"/>
        <v>0</v>
      </c>
      <c r="CU239" s="484">
        <f t="shared" si="414"/>
        <v>0</v>
      </c>
      <c r="CV239" s="1006"/>
      <c r="CW239" s="1007">
        <f t="shared" si="378"/>
        <v>3000</v>
      </c>
      <c r="CX239" s="486">
        <f t="shared" si="379"/>
        <v>3000</v>
      </c>
      <c r="CY239" s="486">
        <f t="shared" si="380"/>
        <v>3000</v>
      </c>
      <c r="CZ239" s="1007">
        <f t="shared" si="381"/>
        <v>0</v>
      </c>
      <c r="DA239" s="1007">
        <f t="shared" si="382"/>
        <v>0</v>
      </c>
    </row>
    <row r="240" spans="1:108" ht="15" hidden="1" customHeight="1" x14ac:dyDescent="0.25">
      <c r="A240" s="472">
        <v>2026</v>
      </c>
      <c r="B240" s="472">
        <v>479</v>
      </c>
      <c r="C240" s="472" t="s">
        <v>64</v>
      </c>
      <c r="D240" s="472" t="s">
        <v>65</v>
      </c>
      <c r="E240" s="472">
        <v>125</v>
      </c>
      <c r="F240" s="472">
        <v>3000654</v>
      </c>
      <c r="G240" s="472">
        <v>5005023</v>
      </c>
      <c r="H240" s="472">
        <v>3</v>
      </c>
      <c r="I240" s="472">
        <v>12</v>
      </c>
      <c r="J240" s="472">
        <v>24</v>
      </c>
      <c r="K240" s="472">
        <v>135560</v>
      </c>
      <c r="L240" s="472" t="s">
        <v>66</v>
      </c>
      <c r="M240" s="124" t="s">
        <v>67</v>
      </c>
      <c r="N240" s="472">
        <v>95</v>
      </c>
      <c r="O240" s="474"/>
      <c r="P240" s="474" t="s">
        <v>4</v>
      </c>
      <c r="Q240" s="472" t="s">
        <v>68</v>
      </c>
      <c r="R240" s="475" t="s">
        <v>69</v>
      </c>
      <c r="S240" s="475" t="s">
        <v>137</v>
      </c>
      <c r="T240" s="475"/>
      <c r="U240" s="124" t="s">
        <v>193</v>
      </c>
      <c r="V240" s="475" t="s">
        <v>3</v>
      </c>
      <c r="W240" s="121">
        <v>1</v>
      </c>
      <c r="X240" s="476">
        <v>3000</v>
      </c>
      <c r="Y240" s="474"/>
      <c r="Z240" s="474"/>
      <c r="AA240" s="474"/>
      <c r="AB240" s="474"/>
      <c r="AC240" s="475">
        <v>0</v>
      </c>
      <c r="AD240" s="563">
        <v>30</v>
      </c>
      <c r="AE240" s="488"/>
      <c r="AF240" s="488"/>
      <c r="AG240" s="488"/>
      <c r="AH240" s="488"/>
      <c r="AI240" s="488"/>
      <c r="AJ240" s="488"/>
      <c r="AK240" s="569">
        <v>3000</v>
      </c>
      <c r="AL240" s="472" t="s">
        <v>73</v>
      </c>
      <c r="AM240" s="472" t="s">
        <v>73</v>
      </c>
      <c r="AN240" s="472" t="s">
        <v>73</v>
      </c>
      <c r="AO240" s="472" t="s">
        <v>73</v>
      </c>
      <c r="AP240" s="564">
        <v>0</v>
      </c>
      <c r="AQ240" s="478">
        <v>3000</v>
      </c>
      <c r="AR240" s="472" t="s">
        <v>73</v>
      </c>
      <c r="AS240" s="472" t="s">
        <v>73</v>
      </c>
      <c r="AT240" s="472" t="s">
        <v>73</v>
      </c>
      <c r="AU240" s="472" t="s">
        <v>73</v>
      </c>
      <c r="AV240" s="472" t="s">
        <v>73</v>
      </c>
      <c r="AW240" s="472" t="s">
        <v>73</v>
      </c>
      <c r="AX240" s="30">
        <v>3000</v>
      </c>
      <c r="AY240" s="479" t="s">
        <v>7</v>
      </c>
      <c r="AZ240" s="474" t="s">
        <v>74</v>
      </c>
      <c r="BA240" s="474"/>
      <c r="BB240" s="480"/>
      <c r="BC240" s="480"/>
      <c r="BK240" s="481" t="s">
        <v>790</v>
      </c>
      <c r="BL240" s="481" t="s">
        <v>791</v>
      </c>
      <c r="BM240" s="284" t="s">
        <v>1455</v>
      </c>
      <c r="BN240" s="414" t="s">
        <v>1456</v>
      </c>
      <c r="BO240" s="284" t="s">
        <v>1457</v>
      </c>
      <c r="BP240" s="285">
        <v>46167</v>
      </c>
      <c r="BQ240" s="482"/>
      <c r="BR240" s="965">
        <v>4881</v>
      </c>
      <c r="BS240" s="482"/>
      <c r="BT240" s="482"/>
      <c r="BU240" s="950" t="s">
        <v>1254</v>
      </c>
      <c r="BV240" s="414" t="s">
        <v>1497</v>
      </c>
      <c r="BW240" s="566" t="s">
        <v>1498</v>
      </c>
      <c r="BX240" s="566" t="s">
        <v>1499</v>
      </c>
      <c r="BY240" s="284">
        <v>77916757</v>
      </c>
      <c r="BZ240" s="284">
        <v>10779167572</v>
      </c>
      <c r="CA240" s="288"/>
      <c r="CB240" s="285">
        <v>46174</v>
      </c>
      <c r="CC240" s="285">
        <v>46203</v>
      </c>
      <c r="CD240" s="759"/>
      <c r="CE240" s="485">
        <f t="shared" si="404"/>
        <v>0</v>
      </c>
      <c r="CF240" s="484">
        <f t="shared" si="405"/>
        <v>0</v>
      </c>
      <c r="CG240" s="485"/>
      <c r="CH240" s="485">
        <f t="shared" si="406"/>
        <v>0</v>
      </c>
      <c r="CI240" s="485"/>
      <c r="CJ240" s="485">
        <f t="shared" si="407"/>
        <v>0</v>
      </c>
      <c r="CK240" s="484">
        <f t="shared" si="408"/>
        <v>0</v>
      </c>
      <c r="CL240" s="484">
        <f t="shared" si="409"/>
        <v>0</v>
      </c>
      <c r="CM240" s="1006"/>
      <c r="CN240" s="485">
        <f t="shared" si="410"/>
        <v>30</v>
      </c>
      <c r="CO240" s="484">
        <f t="shared" si="403"/>
        <v>3000</v>
      </c>
      <c r="CP240" s="485">
        <v>30</v>
      </c>
      <c r="CQ240" s="485">
        <f t="shared" si="411"/>
        <v>3000</v>
      </c>
      <c r="CR240" s="485">
        <v>30</v>
      </c>
      <c r="CS240" s="485">
        <f t="shared" si="412"/>
        <v>3000</v>
      </c>
      <c r="CT240" s="484">
        <f t="shared" si="413"/>
        <v>0</v>
      </c>
      <c r="CU240" s="484">
        <f t="shared" si="414"/>
        <v>0</v>
      </c>
      <c r="CV240" s="1006"/>
      <c r="CW240" s="1007">
        <f t="shared" si="378"/>
        <v>3000</v>
      </c>
      <c r="CX240" s="486">
        <f t="shared" si="379"/>
        <v>3000</v>
      </c>
      <c r="CY240" s="486">
        <f t="shared" si="380"/>
        <v>3000</v>
      </c>
      <c r="CZ240" s="1007">
        <f t="shared" si="381"/>
        <v>0</v>
      </c>
      <c r="DA240" s="1007">
        <f t="shared" si="382"/>
        <v>0</v>
      </c>
    </row>
    <row r="241" spans="1:108" s="682" customFormat="1" ht="15" hidden="1" customHeight="1" x14ac:dyDescent="0.25">
      <c r="A241" s="775">
        <v>2026</v>
      </c>
      <c r="B241" s="775">
        <v>479</v>
      </c>
      <c r="C241" s="775" t="s">
        <v>64</v>
      </c>
      <c r="D241" s="775" t="s">
        <v>65</v>
      </c>
      <c r="E241" s="775">
        <v>125</v>
      </c>
      <c r="F241" s="775">
        <v>3000654</v>
      </c>
      <c r="G241" s="775">
        <v>5005023</v>
      </c>
      <c r="H241" s="775">
        <v>3</v>
      </c>
      <c r="I241" s="775">
        <v>12</v>
      </c>
      <c r="J241" s="775">
        <v>24</v>
      </c>
      <c r="K241" s="775">
        <v>135560</v>
      </c>
      <c r="L241" s="775" t="s">
        <v>66</v>
      </c>
      <c r="M241" s="776" t="s">
        <v>67</v>
      </c>
      <c r="N241" s="775">
        <v>95</v>
      </c>
      <c r="O241" s="777"/>
      <c r="P241" s="777" t="s">
        <v>4</v>
      </c>
      <c r="Q241" s="775" t="s">
        <v>68</v>
      </c>
      <c r="R241" s="775" t="s">
        <v>69</v>
      </c>
      <c r="S241" s="775" t="s">
        <v>137</v>
      </c>
      <c r="T241" s="775"/>
      <c r="U241" s="776" t="s">
        <v>193</v>
      </c>
      <c r="V241" s="775" t="s">
        <v>3</v>
      </c>
      <c r="W241" s="669">
        <v>1</v>
      </c>
      <c r="X241" s="801">
        <v>3000</v>
      </c>
      <c r="Y241" s="777"/>
      <c r="Z241" s="777"/>
      <c r="AA241" s="777"/>
      <c r="AB241" s="777"/>
      <c r="AC241" s="775">
        <v>0</v>
      </c>
      <c r="AD241" s="779">
        <v>30</v>
      </c>
      <c r="AE241" s="852"/>
      <c r="AF241" s="852"/>
      <c r="AG241" s="852"/>
      <c r="AH241" s="852"/>
      <c r="AI241" s="852"/>
      <c r="AJ241" s="852"/>
      <c r="AK241" s="802">
        <v>3000</v>
      </c>
      <c r="AL241" s="775" t="s">
        <v>73</v>
      </c>
      <c r="AM241" s="775" t="s">
        <v>73</v>
      </c>
      <c r="AN241" s="775" t="s">
        <v>73</v>
      </c>
      <c r="AO241" s="775" t="s">
        <v>73</v>
      </c>
      <c r="AP241" s="799"/>
      <c r="AQ241" s="994">
        <v>3000</v>
      </c>
      <c r="AR241" s="775" t="s">
        <v>73</v>
      </c>
      <c r="AS241" s="775" t="s">
        <v>73</v>
      </c>
      <c r="AT241" s="775" t="s">
        <v>73</v>
      </c>
      <c r="AU241" s="775" t="s">
        <v>73</v>
      </c>
      <c r="AV241" s="775" t="s">
        <v>73</v>
      </c>
      <c r="AW241" s="775" t="s">
        <v>73</v>
      </c>
      <c r="AX241" s="680">
        <v>3000</v>
      </c>
      <c r="AY241" s="681" t="s">
        <v>7</v>
      </c>
      <c r="AZ241" s="777" t="s">
        <v>74</v>
      </c>
      <c r="BA241" s="777"/>
      <c r="BB241" s="686"/>
      <c r="BC241" s="686"/>
      <c r="BD241"/>
      <c r="BE241"/>
      <c r="BF241"/>
      <c r="BG241"/>
      <c r="BH241"/>
      <c r="BI241"/>
      <c r="BJ241"/>
      <c r="BK241" s="481" t="s">
        <v>802</v>
      </c>
      <c r="BL241" s="767" t="s">
        <v>803</v>
      </c>
      <c r="BM241" s="683"/>
      <c r="BN241" s="684"/>
      <c r="BO241" s="683"/>
      <c r="BP241" s="685"/>
      <c r="BQ241" s="771"/>
      <c r="BR241" s="771"/>
      <c r="BS241" s="771"/>
      <c r="BT241" s="771"/>
      <c r="BU241" s="771"/>
      <c r="BV241" s="772"/>
      <c r="BW241" s="772"/>
      <c r="BX241" s="772"/>
      <c r="BY241" s="683"/>
      <c r="BZ241" s="683"/>
      <c r="CA241" s="782"/>
      <c r="CB241" s="685"/>
      <c r="CC241" s="685"/>
      <c r="CD241" s="774"/>
      <c r="CE241" s="1009">
        <f t="shared" si="404"/>
        <v>0</v>
      </c>
      <c r="CF241" s="1002">
        <f t="shared" si="405"/>
        <v>0</v>
      </c>
      <c r="CG241" s="1009"/>
      <c r="CH241" s="1009">
        <f t="shared" si="406"/>
        <v>0</v>
      </c>
      <c r="CI241" s="1009"/>
      <c r="CJ241" s="1009">
        <f t="shared" si="407"/>
        <v>0</v>
      </c>
      <c r="CK241" s="1002">
        <f t="shared" si="408"/>
        <v>0</v>
      </c>
      <c r="CL241" s="1002">
        <f t="shared" si="409"/>
        <v>0</v>
      </c>
      <c r="CM241" s="1010"/>
      <c r="CN241" s="1009">
        <f t="shared" si="410"/>
        <v>30</v>
      </c>
      <c r="CO241" s="1002">
        <f t="shared" si="403"/>
        <v>3000</v>
      </c>
      <c r="CP241" s="1009"/>
      <c r="CQ241" s="1009">
        <f t="shared" si="411"/>
        <v>0</v>
      </c>
      <c r="CR241" s="1009"/>
      <c r="CS241" s="1009">
        <f t="shared" si="412"/>
        <v>0</v>
      </c>
      <c r="CT241" s="1002">
        <f t="shared" si="413"/>
        <v>3000</v>
      </c>
      <c r="CU241" s="1002">
        <f t="shared" si="414"/>
        <v>3000</v>
      </c>
      <c r="CV241" s="1010"/>
      <c r="CW241" s="1011">
        <f t="shared" si="378"/>
        <v>3000</v>
      </c>
      <c r="CX241" s="1012">
        <f t="shared" si="379"/>
        <v>0</v>
      </c>
      <c r="CY241" s="1012">
        <f t="shared" si="380"/>
        <v>0</v>
      </c>
      <c r="CZ241" s="1011">
        <f t="shared" si="381"/>
        <v>3000</v>
      </c>
      <c r="DA241" s="1011">
        <f t="shared" si="382"/>
        <v>3000</v>
      </c>
      <c r="DD241" s="682" t="s">
        <v>1500</v>
      </c>
    </row>
    <row r="242" spans="1:108" ht="15" hidden="1" customHeight="1" x14ac:dyDescent="0.25">
      <c r="A242" s="472">
        <v>2026</v>
      </c>
      <c r="B242" s="472">
        <v>479</v>
      </c>
      <c r="C242" s="472" t="s">
        <v>64</v>
      </c>
      <c r="D242" s="472" t="s">
        <v>65</v>
      </c>
      <c r="E242" s="472">
        <v>125</v>
      </c>
      <c r="F242" s="472">
        <v>3000654</v>
      </c>
      <c r="G242" s="472">
        <v>5005023</v>
      </c>
      <c r="H242" s="472">
        <v>3</v>
      </c>
      <c r="I242" s="472">
        <v>12</v>
      </c>
      <c r="J242" s="472">
        <v>24</v>
      </c>
      <c r="K242" s="472">
        <v>135560</v>
      </c>
      <c r="L242" s="472" t="s">
        <v>66</v>
      </c>
      <c r="M242" s="124" t="s">
        <v>67</v>
      </c>
      <c r="N242" s="472">
        <v>95</v>
      </c>
      <c r="O242" s="474"/>
      <c r="P242" s="474" t="s">
        <v>4</v>
      </c>
      <c r="Q242" s="472" t="s">
        <v>68</v>
      </c>
      <c r="R242" s="475" t="s">
        <v>69</v>
      </c>
      <c r="S242" s="475" t="s">
        <v>137</v>
      </c>
      <c r="T242" s="475"/>
      <c r="U242" s="124" t="s">
        <v>193</v>
      </c>
      <c r="V242" s="475" t="s">
        <v>3</v>
      </c>
      <c r="W242" s="121">
        <v>1</v>
      </c>
      <c r="X242" s="476">
        <v>3000</v>
      </c>
      <c r="Y242" s="474"/>
      <c r="Z242" s="474"/>
      <c r="AA242" s="474"/>
      <c r="AB242" s="474"/>
      <c r="AC242" s="475">
        <v>0</v>
      </c>
      <c r="AD242" s="563">
        <v>30</v>
      </c>
      <c r="AE242" s="488"/>
      <c r="AF242" s="488"/>
      <c r="AG242" s="488"/>
      <c r="AH242" s="488"/>
      <c r="AI242" s="488"/>
      <c r="AJ242" s="488"/>
      <c r="AK242" s="569">
        <v>3000</v>
      </c>
      <c r="AL242" s="472" t="s">
        <v>73</v>
      </c>
      <c r="AM242" s="472" t="s">
        <v>73</v>
      </c>
      <c r="AN242" s="472" t="s">
        <v>73</v>
      </c>
      <c r="AO242" s="472" t="s">
        <v>73</v>
      </c>
      <c r="AP242" s="564">
        <v>0</v>
      </c>
      <c r="AQ242" s="478">
        <v>3000</v>
      </c>
      <c r="AR242" s="472" t="s">
        <v>73</v>
      </c>
      <c r="AS242" s="472" t="s">
        <v>73</v>
      </c>
      <c r="AT242" s="472" t="s">
        <v>73</v>
      </c>
      <c r="AU242" s="472" t="s">
        <v>73</v>
      </c>
      <c r="AV242" s="472" t="s">
        <v>73</v>
      </c>
      <c r="AW242" s="472" t="s">
        <v>73</v>
      </c>
      <c r="AX242" s="30">
        <v>3000</v>
      </c>
      <c r="AY242" s="479" t="s">
        <v>7</v>
      </c>
      <c r="AZ242" s="474" t="s">
        <v>74</v>
      </c>
      <c r="BA242" s="474"/>
      <c r="BB242" s="480"/>
      <c r="BC242" s="480"/>
      <c r="BK242" s="481" t="s">
        <v>790</v>
      </c>
      <c r="BL242" s="481" t="s">
        <v>791</v>
      </c>
      <c r="BM242" s="284" t="s">
        <v>1455</v>
      </c>
      <c r="BN242" s="414" t="s">
        <v>1456</v>
      </c>
      <c r="BO242" s="284" t="s">
        <v>1457</v>
      </c>
      <c r="BP242" s="285">
        <v>46167</v>
      </c>
      <c r="BQ242" s="482"/>
      <c r="BR242" s="965">
        <v>4883</v>
      </c>
      <c r="BS242" s="482"/>
      <c r="BT242" s="482"/>
      <c r="BU242" s="482" t="s">
        <v>1254</v>
      </c>
      <c r="BV242" s="414" t="s">
        <v>1501</v>
      </c>
      <c r="BW242" s="566" t="s">
        <v>1502</v>
      </c>
      <c r="BX242" s="566" t="s">
        <v>1503</v>
      </c>
      <c r="BY242" s="284">
        <v>2891442</v>
      </c>
      <c r="BZ242" s="284">
        <v>10028914429</v>
      </c>
      <c r="CA242" s="288"/>
      <c r="CB242" s="285">
        <v>46174</v>
      </c>
      <c r="CC242" s="285">
        <v>46203</v>
      </c>
      <c r="CD242" s="759"/>
      <c r="CE242" s="485">
        <f t="shared" si="404"/>
        <v>0</v>
      </c>
      <c r="CF242" s="484">
        <f t="shared" si="405"/>
        <v>0</v>
      </c>
      <c r="CG242" s="485"/>
      <c r="CH242" s="485">
        <f t="shared" si="406"/>
        <v>0</v>
      </c>
      <c r="CI242" s="485"/>
      <c r="CJ242" s="485">
        <f t="shared" si="407"/>
        <v>0</v>
      </c>
      <c r="CK242" s="484">
        <f t="shared" si="408"/>
        <v>0</v>
      </c>
      <c r="CL242" s="484">
        <f t="shared" si="409"/>
        <v>0</v>
      </c>
      <c r="CM242" s="1006"/>
      <c r="CN242" s="485">
        <f t="shared" si="410"/>
        <v>30</v>
      </c>
      <c r="CO242" s="484">
        <f t="shared" si="403"/>
        <v>3000</v>
      </c>
      <c r="CP242" s="485">
        <v>30</v>
      </c>
      <c r="CQ242" s="485">
        <f t="shared" si="411"/>
        <v>3000</v>
      </c>
      <c r="CR242" s="485">
        <v>30</v>
      </c>
      <c r="CS242" s="485">
        <f t="shared" si="412"/>
        <v>3000</v>
      </c>
      <c r="CT242" s="484">
        <f t="shared" si="413"/>
        <v>0</v>
      </c>
      <c r="CU242" s="484">
        <f t="shared" si="414"/>
        <v>0</v>
      </c>
      <c r="CV242" s="1006"/>
      <c r="CW242" s="1007">
        <f t="shared" si="378"/>
        <v>3000</v>
      </c>
      <c r="CX242" s="486">
        <f t="shared" si="379"/>
        <v>3000</v>
      </c>
      <c r="CY242" s="486">
        <f t="shared" si="380"/>
        <v>3000</v>
      </c>
      <c r="CZ242" s="1007">
        <f t="shared" si="381"/>
        <v>0</v>
      </c>
      <c r="DA242" s="1007">
        <f t="shared" si="382"/>
        <v>0</v>
      </c>
    </row>
    <row r="243" spans="1:108" ht="15" hidden="1" customHeight="1" x14ac:dyDescent="0.25">
      <c r="A243" s="472">
        <v>2026</v>
      </c>
      <c r="B243" s="472">
        <v>479</v>
      </c>
      <c r="C243" s="472" t="s">
        <v>64</v>
      </c>
      <c r="D243" s="472" t="s">
        <v>65</v>
      </c>
      <c r="E243" s="472">
        <v>125</v>
      </c>
      <c r="F243" s="472">
        <v>3000654</v>
      </c>
      <c r="G243" s="472">
        <v>5005023</v>
      </c>
      <c r="H243" s="472">
        <v>3</v>
      </c>
      <c r="I243" s="472">
        <v>12</v>
      </c>
      <c r="J243" s="472">
        <v>24</v>
      </c>
      <c r="K243" s="472">
        <v>135560</v>
      </c>
      <c r="L243" s="472" t="s">
        <v>66</v>
      </c>
      <c r="M243" s="124" t="s">
        <v>67</v>
      </c>
      <c r="N243" s="472">
        <v>95</v>
      </c>
      <c r="O243" s="474"/>
      <c r="P243" s="474" t="s">
        <v>4</v>
      </c>
      <c r="Q243" s="472" t="s">
        <v>68</v>
      </c>
      <c r="R243" s="475" t="s">
        <v>69</v>
      </c>
      <c r="S243" s="475" t="s">
        <v>137</v>
      </c>
      <c r="T243" s="475"/>
      <c r="U243" s="124" t="s">
        <v>193</v>
      </c>
      <c r="V243" s="475" t="s">
        <v>3</v>
      </c>
      <c r="W243" s="121">
        <v>1</v>
      </c>
      <c r="X243" s="476">
        <v>3000</v>
      </c>
      <c r="Y243" s="474"/>
      <c r="Z243" s="474"/>
      <c r="AA243" s="474"/>
      <c r="AB243" s="474"/>
      <c r="AC243" s="475">
        <v>0</v>
      </c>
      <c r="AD243" s="563">
        <v>30</v>
      </c>
      <c r="AE243" s="488"/>
      <c r="AF243" s="488"/>
      <c r="AG243" s="488"/>
      <c r="AH243" s="488"/>
      <c r="AI243" s="488"/>
      <c r="AJ243" s="488"/>
      <c r="AK243" s="569">
        <v>3000</v>
      </c>
      <c r="AL243" s="472" t="s">
        <v>73</v>
      </c>
      <c r="AM243" s="472" t="s">
        <v>73</v>
      </c>
      <c r="AN243" s="472" t="s">
        <v>73</v>
      </c>
      <c r="AO243" s="472" t="s">
        <v>73</v>
      </c>
      <c r="AP243" s="564">
        <v>0</v>
      </c>
      <c r="AQ243" s="478">
        <v>3000</v>
      </c>
      <c r="AR243" s="472" t="s">
        <v>73</v>
      </c>
      <c r="AS243" s="472" t="s">
        <v>73</v>
      </c>
      <c r="AT243" s="472" t="s">
        <v>73</v>
      </c>
      <c r="AU243" s="472" t="s">
        <v>73</v>
      </c>
      <c r="AV243" s="472" t="s">
        <v>73</v>
      </c>
      <c r="AW243" s="472" t="s">
        <v>73</v>
      </c>
      <c r="AX243" s="30">
        <v>3000</v>
      </c>
      <c r="AY243" s="479" t="s">
        <v>7</v>
      </c>
      <c r="AZ243" s="474" t="s">
        <v>74</v>
      </c>
      <c r="BA243" s="474"/>
      <c r="BB243" s="480"/>
      <c r="BC243" s="480"/>
      <c r="BK243" s="481" t="s">
        <v>790</v>
      </c>
      <c r="BL243" s="481" t="s">
        <v>791</v>
      </c>
      <c r="BM243" s="284" t="s">
        <v>1455</v>
      </c>
      <c r="BN243" s="414" t="s">
        <v>1456</v>
      </c>
      <c r="BO243" s="284" t="s">
        <v>1457</v>
      </c>
      <c r="BP243" s="285">
        <v>46167</v>
      </c>
      <c r="BQ243" s="482"/>
      <c r="BR243" s="965"/>
      <c r="BS243" s="482"/>
      <c r="BT243" s="482"/>
      <c r="BU243" s="482" t="s">
        <v>1254</v>
      </c>
      <c r="BV243" s="414" t="s">
        <v>1504</v>
      </c>
      <c r="BW243" s="566" t="s">
        <v>887</v>
      </c>
      <c r="BX243" s="566" t="s">
        <v>1505</v>
      </c>
      <c r="BY243" s="284">
        <v>71337438</v>
      </c>
      <c r="BZ243" s="284">
        <v>10713374381</v>
      </c>
      <c r="CA243" s="288"/>
      <c r="CB243" s="285">
        <v>46174</v>
      </c>
      <c r="CC243" s="285">
        <v>46203</v>
      </c>
      <c r="CD243" s="759"/>
      <c r="CE243" s="485">
        <f t="shared" si="404"/>
        <v>0</v>
      </c>
      <c r="CF243" s="484">
        <f t="shared" si="405"/>
        <v>0</v>
      </c>
      <c r="CG243" s="485"/>
      <c r="CH243" s="485">
        <f t="shared" si="406"/>
        <v>0</v>
      </c>
      <c r="CI243" s="485"/>
      <c r="CJ243" s="485">
        <f t="shared" si="407"/>
        <v>0</v>
      </c>
      <c r="CK243" s="484">
        <f t="shared" si="408"/>
        <v>0</v>
      </c>
      <c r="CL243" s="484">
        <f t="shared" si="409"/>
        <v>0</v>
      </c>
      <c r="CM243" s="1006"/>
      <c r="CN243" s="485">
        <f t="shared" si="410"/>
        <v>30</v>
      </c>
      <c r="CO243" s="484">
        <f t="shared" si="403"/>
        <v>3000</v>
      </c>
      <c r="CP243" s="485">
        <v>30</v>
      </c>
      <c r="CQ243" s="485">
        <f t="shared" si="411"/>
        <v>3000</v>
      </c>
      <c r="CR243" s="485">
        <v>30</v>
      </c>
      <c r="CS243" s="485">
        <f t="shared" si="412"/>
        <v>3000</v>
      </c>
      <c r="CT243" s="484">
        <f t="shared" si="413"/>
        <v>0</v>
      </c>
      <c r="CU243" s="484">
        <f t="shared" si="414"/>
        <v>0</v>
      </c>
      <c r="CV243" s="1006"/>
      <c r="CW243" s="1007">
        <f t="shared" si="378"/>
        <v>3000</v>
      </c>
      <c r="CX243" s="486">
        <f t="shared" si="379"/>
        <v>3000</v>
      </c>
      <c r="CY243" s="486">
        <f t="shared" si="380"/>
        <v>3000</v>
      </c>
      <c r="CZ243" s="1007">
        <f t="shared" si="381"/>
        <v>0</v>
      </c>
      <c r="DA243" s="1007">
        <f t="shared" si="382"/>
        <v>0</v>
      </c>
    </row>
    <row r="244" spans="1:108" ht="15" hidden="1" customHeight="1" x14ac:dyDescent="0.25">
      <c r="A244" s="472">
        <v>2026</v>
      </c>
      <c r="B244" s="472">
        <v>479</v>
      </c>
      <c r="C244" s="472" t="s">
        <v>64</v>
      </c>
      <c r="D244" s="472" t="s">
        <v>65</v>
      </c>
      <c r="E244" s="472">
        <v>125</v>
      </c>
      <c r="F244" s="472">
        <v>3000654</v>
      </c>
      <c r="G244" s="472">
        <v>5005023</v>
      </c>
      <c r="H244" s="472">
        <v>3</v>
      </c>
      <c r="I244" s="472">
        <v>12</v>
      </c>
      <c r="J244" s="472">
        <v>24</v>
      </c>
      <c r="K244" s="472">
        <v>135560</v>
      </c>
      <c r="L244" s="472" t="s">
        <v>66</v>
      </c>
      <c r="M244" s="124" t="s">
        <v>67</v>
      </c>
      <c r="N244" s="472">
        <v>95</v>
      </c>
      <c r="O244" s="474"/>
      <c r="P244" s="474" t="s">
        <v>4</v>
      </c>
      <c r="Q244" s="472" t="s">
        <v>68</v>
      </c>
      <c r="R244" s="475" t="s">
        <v>69</v>
      </c>
      <c r="S244" s="475" t="s">
        <v>137</v>
      </c>
      <c r="T244" s="475"/>
      <c r="U244" s="124" t="s">
        <v>193</v>
      </c>
      <c r="V244" s="475" t="s">
        <v>3</v>
      </c>
      <c r="W244" s="121">
        <v>1</v>
      </c>
      <c r="X244" s="476">
        <v>3000</v>
      </c>
      <c r="Y244" s="474"/>
      <c r="Z244" s="474"/>
      <c r="AA244" s="474"/>
      <c r="AB244" s="474"/>
      <c r="AC244" s="475">
        <v>0</v>
      </c>
      <c r="AD244" s="563">
        <v>30</v>
      </c>
      <c r="AE244" s="488"/>
      <c r="AF244" s="488"/>
      <c r="AG244" s="488"/>
      <c r="AH244" s="488"/>
      <c r="AI244" s="488"/>
      <c r="AJ244" s="488"/>
      <c r="AK244" s="569">
        <v>3000</v>
      </c>
      <c r="AL244" s="472" t="s">
        <v>73</v>
      </c>
      <c r="AM244" s="472" t="s">
        <v>73</v>
      </c>
      <c r="AN244" s="472" t="s">
        <v>73</v>
      </c>
      <c r="AO244" s="472" t="s">
        <v>73</v>
      </c>
      <c r="AP244" s="564">
        <v>0</v>
      </c>
      <c r="AQ244" s="478">
        <v>3000</v>
      </c>
      <c r="AR244" s="472" t="s">
        <v>73</v>
      </c>
      <c r="AS244" s="472" t="s">
        <v>73</v>
      </c>
      <c r="AT244" s="472" t="s">
        <v>73</v>
      </c>
      <c r="AU244" s="472" t="s">
        <v>73</v>
      </c>
      <c r="AV244" s="472" t="s">
        <v>73</v>
      </c>
      <c r="AW244" s="472" t="s">
        <v>73</v>
      </c>
      <c r="AX244" s="30">
        <v>3000</v>
      </c>
      <c r="AY244" s="479" t="s">
        <v>7</v>
      </c>
      <c r="AZ244" s="474" t="s">
        <v>74</v>
      </c>
      <c r="BA244" s="474"/>
      <c r="BB244" s="480"/>
      <c r="BC244" s="480"/>
      <c r="BK244" s="481" t="s">
        <v>790</v>
      </c>
      <c r="BL244" s="481" t="s">
        <v>791</v>
      </c>
      <c r="BM244" s="284" t="s">
        <v>1455</v>
      </c>
      <c r="BN244" s="414" t="s">
        <v>1456</v>
      </c>
      <c r="BO244" s="284" t="s">
        <v>1457</v>
      </c>
      <c r="BP244" s="285">
        <v>46167</v>
      </c>
      <c r="BQ244" s="482"/>
      <c r="BR244" s="965">
        <v>4885</v>
      </c>
      <c r="BS244" s="482"/>
      <c r="BT244" s="482"/>
      <c r="BU244" s="482" t="s">
        <v>1254</v>
      </c>
      <c r="BV244" s="414" t="s">
        <v>1506</v>
      </c>
      <c r="BW244" s="566" t="s">
        <v>1507</v>
      </c>
      <c r="BX244" s="566" t="s">
        <v>1508</v>
      </c>
      <c r="BY244" s="284">
        <v>41097100</v>
      </c>
      <c r="BZ244" s="284">
        <v>10410971009</v>
      </c>
      <c r="CA244" s="288"/>
      <c r="CB244" s="285">
        <v>46174</v>
      </c>
      <c r="CC244" s="285">
        <v>46203</v>
      </c>
      <c r="CD244" s="759"/>
      <c r="CE244" s="485">
        <f t="shared" si="404"/>
        <v>0</v>
      </c>
      <c r="CF244" s="484">
        <f t="shared" si="405"/>
        <v>0</v>
      </c>
      <c r="CG244" s="485"/>
      <c r="CH244" s="485">
        <f t="shared" si="406"/>
        <v>0</v>
      </c>
      <c r="CI244" s="485"/>
      <c r="CJ244" s="485">
        <f t="shared" si="407"/>
        <v>0</v>
      </c>
      <c r="CK244" s="484">
        <f t="shared" si="408"/>
        <v>0</v>
      </c>
      <c r="CL244" s="484">
        <f t="shared" si="409"/>
        <v>0</v>
      </c>
      <c r="CM244" s="1006"/>
      <c r="CN244" s="485">
        <f t="shared" si="410"/>
        <v>30</v>
      </c>
      <c r="CO244" s="484">
        <f t="shared" si="403"/>
        <v>3000</v>
      </c>
      <c r="CP244" s="485">
        <v>30</v>
      </c>
      <c r="CQ244" s="485">
        <f t="shared" si="411"/>
        <v>3000</v>
      </c>
      <c r="CR244" s="485">
        <v>30</v>
      </c>
      <c r="CS244" s="485">
        <f t="shared" si="412"/>
        <v>3000</v>
      </c>
      <c r="CT244" s="484">
        <f t="shared" si="413"/>
        <v>0</v>
      </c>
      <c r="CU244" s="484">
        <f t="shared" si="414"/>
        <v>0</v>
      </c>
      <c r="CV244" s="1006"/>
      <c r="CW244" s="1007">
        <f t="shared" si="378"/>
        <v>3000</v>
      </c>
      <c r="CX244" s="486">
        <f t="shared" si="379"/>
        <v>3000</v>
      </c>
      <c r="CY244" s="486">
        <f t="shared" si="380"/>
        <v>3000</v>
      </c>
      <c r="CZ244" s="1007">
        <f t="shared" si="381"/>
        <v>0</v>
      </c>
      <c r="DA244" s="1007">
        <f t="shared" si="382"/>
        <v>0</v>
      </c>
    </row>
    <row r="245" spans="1:108" ht="15" hidden="1" customHeight="1" x14ac:dyDescent="0.25">
      <c r="A245" s="472">
        <v>2026</v>
      </c>
      <c r="B245" s="472">
        <v>479</v>
      </c>
      <c r="C245" s="472" t="s">
        <v>64</v>
      </c>
      <c r="D245" s="472" t="s">
        <v>65</v>
      </c>
      <c r="E245" s="472">
        <v>125</v>
      </c>
      <c r="F245" s="472">
        <v>3000654</v>
      </c>
      <c r="G245" s="472">
        <v>5005023</v>
      </c>
      <c r="H245" s="472">
        <v>3</v>
      </c>
      <c r="I245" s="472">
        <v>12</v>
      </c>
      <c r="J245" s="472">
        <v>24</v>
      </c>
      <c r="K245" s="472">
        <v>135560</v>
      </c>
      <c r="L245" s="472" t="s">
        <v>66</v>
      </c>
      <c r="M245" s="124" t="s">
        <v>67</v>
      </c>
      <c r="N245" s="472">
        <v>95</v>
      </c>
      <c r="O245" s="474"/>
      <c r="P245" s="474" t="s">
        <v>4</v>
      </c>
      <c r="Q245" s="472" t="s">
        <v>68</v>
      </c>
      <c r="R245" s="475" t="s">
        <v>69</v>
      </c>
      <c r="S245" s="475" t="s">
        <v>137</v>
      </c>
      <c r="T245" s="475"/>
      <c r="U245" s="124" t="s">
        <v>193</v>
      </c>
      <c r="V245" s="475" t="s">
        <v>3</v>
      </c>
      <c r="W245" s="121">
        <v>1</v>
      </c>
      <c r="X245" s="476">
        <v>3000</v>
      </c>
      <c r="Y245" s="474"/>
      <c r="Z245" s="474"/>
      <c r="AA245" s="474"/>
      <c r="AB245" s="474"/>
      <c r="AC245" s="475">
        <v>0</v>
      </c>
      <c r="AD245" s="563">
        <v>30</v>
      </c>
      <c r="AE245" s="488"/>
      <c r="AF245" s="488"/>
      <c r="AG245" s="488"/>
      <c r="AH245" s="488"/>
      <c r="AI245" s="488"/>
      <c r="AJ245" s="488"/>
      <c r="AK245" s="569">
        <v>3000</v>
      </c>
      <c r="AL245" s="472" t="s">
        <v>73</v>
      </c>
      <c r="AM245" s="472" t="s">
        <v>73</v>
      </c>
      <c r="AN245" s="472" t="s">
        <v>73</v>
      </c>
      <c r="AO245" s="472" t="s">
        <v>73</v>
      </c>
      <c r="AP245" s="564">
        <v>0</v>
      </c>
      <c r="AQ245" s="478">
        <v>3000</v>
      </c>
      <c r="AR245" s="472" t="s">
        <v>73</v>
      </c>
      <c r="AS245" s="472" t="s">
        <v>73</v>
      </c>
      <c r="AT245" s="472" t="s">
        <v>73</v>
      </c>
      <c r="AU245" s="472" t="s">
        <v>73</v>
      </c>
      <c r="AV245" s="472" t="s">
        <v>73</v>
      </c>
      <c r="AW245" s="472" t="s">
        <v>73</v>
      </c>
      <c r="AX245" s="30">
        <v>3000</v>
      </c>
      <c r="AY245" s="479" t="s">
        <v>7</v>
      </c>
      <c r="AZ245" s="474" t="s">
        <v>74</v>
      </c>
      <c r="BA245" s="474"/>
      <c r="BB245" s="480"/>
      <c r="BC245" s="480"/>
      <c r="BK245" s="481" t="s">
        <v>790</v>
      </c>
      <c r="BL245" s="481" t="s">
        <v>791</v>
      </c>
      <c r="BM245" s="284" t="s">
        <v>1455</v>
      </c>
      <c r="BN245" s="414" t="s">
        <v>1456</v>
      </c>
      <c r="BO245" s="284" t="s">
        <v>1457</v>
      </c>
      <c r="BP245" s="285">
        <v>46167</v>
      </c>
      <c r="BQ245" s="482"/>
      <c r="BR245" s="965">
        <v>4886</v>
      </c>
      <c r="BS245" s="482"/>
      <c r="BT245" s="482"/>
      <c r="BU245" s="482" t="s">
        <v>1254</v>
      </c>
      <c r="BV245" s="414" t="s">
        <v>1509</v>
      </c>
      <c r="BW245" s="566" t="s">
        <v>1510</v>
      </c>
      <c r="BX245" s="566" t="s">
        <v>1511</v>
      </c>
      <c r="BY245" s="284">
        <v>40675283</v>
      </c>
      <c r="BZ245" s="284">
        <v>10406752831</v>
      </c>
      <c r="CA245" s="288"/>
      <c r="CB245" s="285">
        <v>46174</v>
      </c>
      <c r="CC245" s="285">
        <v>46203</v>
      </c>
      <c r="CD245" s="759"/>
      <c r="CE245" s="485">
        <f t="shared" si="404"/>
        <v>0</v>
      </c>
      <c r="CF245" s="484">
        <f t="shared" si="405"/>
        <v>0</v>
      </c>
      <c r="CG245" s="485"/>
      <c r="CH245" s="485">
        <f t="shared" si="406"/>
        <v>0</v>
      </c>
      <c r="CI245" s="485"/>
      <c r="CJ245" s="485">
        <f t="shared" si="407"/>
        <v>0</v>
      </c>
      <c r="CK245" s="484">
        <f t="shared" si="408"/>
        <v>0</v>
      </c>
      <c r="CL245" s="484">
        <f t="shared" si="409"/>
        <v>0</v>
      </c>
      <c r="CM245" s="1006"/>
      <c r="CN245" s="485">
        <f t="shared" si="410"/>
        <v>30</v>
      </c>
      <c r="CO245" s="484">
        <f t="shared" si="403"/>
        <v>3000</v>
      </c>
      <c r="CP245" s="485">
        <v>30</v>
      </c>
      <c r="CQ245" s="485">
        <f t="shared" si="411"/>
        <v>3000</v>
      </c>
      <c r="CR245" s="485">
        <v>30</v>
      </c>
      <c r="CS245" s="485">
        <f t="shared" si="412"/>
        <v>3000</v>
      </c>
      <c r="CT245" s="484">
        <f t="shared" si="413"/>
        <v>0</v>
      </c>
      <c r="CU245" s="484">
        <f t="shared" si="414"/>
        <v>0</v>
      </c>
      <c r="CV245" s="1006"/>
      <c r="CW245" s="1007">
        <f t="shared" si="378"/>
        <v>3000</v>
      </c>
      <c r="CX245" s="486">
        <f t="shared" si="379"/>
        <v>3000</v>
      </c>
      <c r="CY245" s="486">
        <f t="shared" si="380"/>
        <v>3000</v>
      </c>
      <c r="CZ245" s="1007">
        <f t="shared" si="381"/>
        <v>0</v>
      </c>
      <c r="DA245" s="1007">
        <f t="shared" si="382"/>
        <v>0</v>
      </c>
    </row>
    <row r="246" spans="1:108" s="682" customFormat="1" ht="15" hidden="1" customHeight="1" x14ac:dyDescent="0.25">
      <c r="A246" s="775">
        <v>2026</v>
      </c>
      <c r="B246" s="775">
        <v>479</v>
      </c>
      <c r="C246" s="775" t="s">
        <v>64</v>
      </c>
      <c r="D246" s="775" t="s">
        <v>65</v>
      </c>
      <c r="E246" s="775">
        <v>125</v>
      </c>
      <c r="F246" s="775">
        <v>3000654</v>
      </c>
      <c r="G246" s="775">
        <v>5005023</v>
      </c>
      <c r="H246" s="775">
        <v>3</v>
      </c>
      <c r="I246" s="775">
        <v>12</v>
      </c>
      <c r="J246" s="775">
        <v>24</v>
      </c>
      <c r="K246" s="775">
        <v>135560</v>
      </c>
      <c r="L246" s="775" t="s">
        <v>66</v>
      </c>
      <c r="M246" s="776" t="s">
        <v>67</v>
      </c>
      <c r="N246" s="775">
        <v>95</v>
      </c>
      <c r="O246" s="777"/>
      <c r="P246" s="777" t="s">
        <v>4</v>
      </c>
      <c r="Q246" s="775" t="s">
        <v>68</v>
      </c>
      <c r="R246" s="775" t="s">
        <v>69</v>
      </c>
      <c r="S246" s="775" t="s">
        <v>137</v>
      </c>
      <c r="T246" s="775"/>
      <c r="U246" s="776" t="s">
        <v>193</v>
      </c>
      <c r="V246" s="775" t="s">
        <v>3</v>
      </c>
      <c r="W246" s="669">
        <v>1</v>
      </c>
      <c r="X246" s="801">
        <v>3000</v>
      </c>
      <c r="Y246" s="777"/>
      <c r="Z246" s="777"/>
      <c r="AA246" s="777"/>
      <c r="AB246" s="777"/>
      <c r="AC246" s="775">
        <v>0</v>
      </c>
      <c r="AD246" s="779">
        <v>30</v>
      </c>
      <c r="AE246" s="852"/>
      <c r="AF246" s="852"/>
      <c r="AG246" s="852"/>
      <c r="AH246" s="852"/>
      <c r="AI246" s="852"/>
      <c r="AJ246" s="852"/>
      <c r="AK246" s="802">
        <v>3000</v>
      </c>
      <c r="AL246" s="775" t="s">
        <v>73</v>
      </c>
      <c r="AM246" s="775" t="s">
        <v>73</v>
      </c>
      <c r="AN246" s="775" t="s">
        <v>73</v>
      </c>
      <c r="AO246" s="775" t="s">
        <v>73</v>
      </c>
      <c r="AP246" s="799"/>
      <c r="AQ246" s="994">
        <v>3000</v>
      </c>
      <c r="AR246" s="775" t="s">
        <v>73</v>
      </c>
      <c r="AS246" s="775" t="s">
        <v>73</v>
      </c>
      <c r="AT246" s="775" t="s">
        <v>73</v>
      </c>
      <c r="AU246" s="775" t="s">
        <v>73</v>
      </c>
      <c r="AV246" s="775" t="s">
        <v>73</v>
      </c>
      <c r="AW246" s="775" t="s">
        <v>73</v>
      </c>
      <c r="AX246" s="680">
        <v>3000</v>
      </c>
      <c r="AY246" s="681" t="s">
        <v>7</v>
      </c>
      <c r="AZ246" s="777" t="s">
        <v>74</v>
      </c>
      <c r="BA246" s="777"/>
      <c r="BB246" s="686"/>
      <c r="BC246" s="686"/>
      <c r="BD246"/>
      <c r="BE246"/>
      <c r="BF246"/>
      <c r="BG246"/>
      <c r="BH246"/>
      <c r="BI246"/>
      <c r="BJ246"/>
      <c r="BK246" s="481" t="s">
        <v>802</v>
      </c>
      <c r="BL246" s="767" t="s">
        <v>803</v>
      </c>
      <c r="BM246" s="683"/>
      <c r="BN246" s="684"/>
      <c r="BO246" s="683"/>
      <c r="BP246" s="685"/>
      <c r="BQ246" s="771"/>
      <c r="BR246" s="771"/>
      <c r="BS246" s="771"/>
      <c r="BT246" s="771"/>
      <c r="BU246" s="771"/>
      <c r="BV246" s="772"/>
      <c r="BW246" s="772"/>
      <c r="BX246" s="772"/>
      <c r="BY246" s="683"/>
      <c r="BZ246" s="683"/>
      <c r="CA246" s="782"/>
      <c r="CB246" s="685"/>
      <c r="CC246" s="685"/>
      <c r="CD246" s="774"/>
      <c r="CE246" s="1009">
        <f t="shared" si="404"/>
        <v>0</v>
      </c>
      <c r="CF246" s="1002">
        <f t="shared" si="405"/>
        <v>0</v>
      </c>
      <c r="CG246" s="1009"/>
      <c r="CH246" s="1009">
        <f t="shared" si="406"/>
        <v>0</v>
      </c>
      <c r="CI246" s="1009"/>
      <c r="CJ246" s="1009">
        <f t="shared" si="407"/>
        <v>0</v>
      </c>
      <c r="CK246" s="1002">
        <f t="shared" si="408"/>
        <v>0</v>
      </c>
      <c r="CL246" s="1002">
        <f t="shared" si="409"/>
        <v>0</v>
      </c>
      <c r="CM246" s="1010"/>
      <c r="CN246" s="1009">
        <f t="shared" si="410"/>
        <v>30</v>
      </c>
      <c r="CO246" s="1002">
        <f t="shared" si="403"/>
        <v>3000</v>
      </c>
      <c r="CP246" s="1009"/>
      <c r="CQ246" s="1009">
        <f t="shared" si="411"/>
        <v>0</v>
      </c>
      <c r="CR246" s="1009"/>
      <c r="CS246" s="1009">
        <f t="shared" si="412"/>
        <v>0</v>
      </c>
      <c r="CT246" s="1002">
        <f t="shared" si="413"/>
        <v>3000</v>
      </c>
      <c r="CU246" s="1002">
        <f t="shared" si="414"/>
        <v>3000</v>
      </c>
      <c r="CV246" s="1010"/>
      <c r="CW246" s="1011">
        <f t="shared" si="378"/>
        <v>3000</v>
      </c>
      <c r="CX246" s="1012">
        <f t="shared" si="379"/>
        <v>0</v>
      </c>
      <c r="CY246" s="1012">
        <f t="shared" si="380"/>
        <v>0</v>
      </c>
      <c r="CZ246" s="1011">
        <f t="shared" si="381"/>
        <v>3000</v>
      </c>
      <c r="DA246" s="1011">
        <f t="shared" si="382"/>
        <v>3000</v>
      </c>
      <c r="DD246" s="682" t="s">
        <v>1512</v>
      </c>
    </row>
    <row r="247" spans="1:108" ht="15" hidden="1" customHeight="1" x14ac:dyDescent="0.25">
      <c r="A247" s="472">
        <v>2026</v>
      </c>
      <c r="B247" s="472">
        <v>479</v>
      </c>
      <c r="C247" s="472" t="s">
        <v>64</v>
      </c>
      <c r="D247" s="472" t="s">
        <v>65</v>
      </c>
      <c r="E247" s="472">
        <v>125</v>
      </c>
      <c r="F247" s="472">
        <v>3000654</v>
      </c>
      <c r="G247" s="472">
        <v>5005023</v>
      </c>
      <c r="H247" s="472">
        <v>3</v>
      </c>
      <c r="I247" s="472">
        <v>12</v>
      </c>
      <c r="J247" s="472">
        <v>24</v>
      </c>
      <c r="K247" s="472">
        <v>135560</v>
      </c>
      <c r="L247" s="472" t="s">
        <v>66</v>
      </c>
      <c r="M247" s="124" t="s">
        <v>67</v>
      </c>
      <c r="N247" s="472">
        <v>95</v>
      </c>
      <c r="O247" s="474"/>
      <c r="P247" s="474" t="s">
        <v>4</v>
      </c>
      <c r="Q247" s="472" t="s">
        <v>68</v>
      </c>
      <c r="R247" s="475" t="s">
        <v>69</v>
      </c>
      <c r="S247" s="475" t="s">
        <v>137</v>
      </c>
      <c r="T247" s="475"/>
      <c r="U247" s="124" t="s">
        <v>193</v>
      </c>
      <c r="V247" s="475" t="s">
        <v>3</v>
      </c>
      <c r="W247" s="121">
        <v>1</v>
      </c>
      <c r="X247" s="476">
        <v>3000</v>
      </c>
      <c r="Y247" s="474"/>
      <c r="Z247" s="474"/>
      <c r="AA247" s="474"/>
      <c r="AB247" s="474"/>
      <c r="AC247" s="475">
        <v>0</v>
      </c>
      <c r="AD247" s="563">
        <v>30</v>
      </c>
      <c r="AE247" s="488"/>
      <c r="AF247" s="488"/>
      <c r="AG247" s="488"/>
      <c r="AH247" s="488"/>
      <c r="AI247" s="488"/>
      <c r="AJ247" s="488"/>
      <c r="AK247" s="569">
        <v>3000</v>
      </c>
      <c r="AL247" s="472" t="s">
        <v>73</v>
      </c>
      <c r="AM247" s="472" t="s">
        <v>73</v>
      </c>
      <c r="AN247" s="472" t="s">
        <v>73</v>
      </c>
      <c r="AO247" s="472" t="s">
        <v>73</v>
      </c>
      <c r="AP247" s="564">
        <v>0</v>
      </c>
      <c r="AQ247" s="478">
        <v>3000</v>
      </c>
      <c r="AR247" s="472" t="s">
        <v>73</v>
      </c>
      <c r="AS247" s="472" t="s">
        <v>73</v>
      </c>
      <c r="AT247" s="472" t="s">
        <v>73</v>
      </c>
      <c r="AU247" s="472" t="s">
        <v>73</v>
      </c>
      <c r="AV247" s="472" t="s">
        <v>73</v>
      </c>
      <c r="AW247" s="472" t="s">
        <v>73</v>
      </c>
      <c r="AX247" s="30">
        <v>3000</v>
      </c>
      <c r="AY247" s="479" t="s">
        <v>7</v>
      </c>
      <c r="AZ247" s="474" t="s">
        <v>74</v>
      </c>
      <c r="BA247" s="474"/>
      <c r="BB247" s="480"/>
      <c r="BC247" s="480"/>
      <c r="BK247" s="481" t="s">
        <v>790</v>
      </c>
      <c r="BL247" s="481" t="s">
        <v>791</v>
      </c>
      <c r="BM247" s="284" t="s">
        <v>1455</v>
      </c>
      <c r="BN247" s="414" t="s">
        <v>1456</v>
      </c>
      <c r="BO247" s="284" t="s">
        <v>1457</v>
      </c>
      <c r="BP247" s="285">
        <v>46167</v>
      </c>
      <c r="BQ247" s="482"/>
      <c r="BR247" s="965">
        <v>4888</v>
      </c>
      <c r="BS247" s="482"/>
      <c r="BT247" s="482"/>
      <c r="BU247" s="482" t="s">
        <v>1254</v>
      </c>
      <c r="BV247" s="414" t="s">
        <v>1513</v>
      </c>
      <c r="BW247" s="566" t="s">
        <v>1514</v>
      </c>
      <c r="BX247" s="566" t="s">
        <v>1515</v>
      </c>
      <c r="BY247" s="284">
        <v>60368474</v>
      </c>
      <c r="BZ247" s="284">
        <v>10603684741</v>
      </c>
      <c r="CA247" s="288"/>
      <c r="CB247" s="285">
        <v>46174</v>
      </c>
      <c r="CC247" s="285">
        <v>46203</v>
      </c>
      <c r="CD247" s="759"/>
      <c r="CE247" s="485">
        <f t="shared" si="404"/>
        <v>0</v>
      </c>
      <c r="CF247" s="484">
        <f t="shared" si="405"/>
        <v>0</v>
      </c>
      <c r="CG247" s="485"/>
      <c r="CH247" s="485">
        <f t="shared" si="406"/>
        <v>0</v>
      </c>
      <c r="CI247" s="485"/>
      <c r="CJ247" s="485">
        <f t="shared" si="407"/>
        <v>0</v>
      </c>
      <c r="CK247" s="484">
        <f t="shared" si="408"/>
        <v>0</v>
      </c>
      <c r="CL247" s="484">
        <f t="shared" si="409"/>
        <v>0</v>
      </c>
      <c r="CM247" s="1006"/>
      <c r="CN247" s="485">
        <f t="shared" si="410"/>
        <v>30</v>
      </c>
      <c r="CO247" s="484">
        <f t="shared" si="403"/>
        <v>3000</v>
      </c>
      <c r="CP247" s="485">
        <v>30</v>
      </c>
      <c r="CQ247" s="485">
        <f t="shared" si="411"/>
        <v>3000</v>
      </c>
      <c r="CR247" s="485">
        <v>30</v>
      </c>
      <c r="CS247" s="485">
        <f t="shared" si="412"/>
        <v>3000</v>
      </c>
      <c r="CT247" s="484">
        <f t="shared" si="413"/>
        <v>0</v>
      </c>
      <c r="CU247" s="484">
        <f t="shared" si="414"/>
        <v>0</v>
      </c>
      <c r="CV247" s="1006"/>
      <c r="CW247" s="1007">
        <f t="shared" si="378"/>
        <v>3000</v>
      </c>
      <c r="CX247" s="486">
        <f t="shared" si="379"/>
        <v>3000</v>
      </c>
      <c r="CY247" s="486">
        <f t="shared" si="380"/>
        <v>3000</v>
      </c>
      <c r="CZ247" s="1007">
        <f t="shared" si="381"/>
        <v>0</v>
      </c>
      <c r="DA247" s="1007">
        <f t="shared" si="382"/>
        <v>0</v>
      </c>
    </row>
    <row r="248" spans="1:108" ht="15" hidden="1" customHeight="1" x14ac:dyDescent="0.25">
      <c r="A248" s="472">
        <v>2026</v>
      </c>
      <c r="B248" s="472">
        <v>479</v>
      </c>
      <c r="C248" s="472" t="s">
        <v>64</v>
      </c>
      <c r="D248" s="472" t="s">
        <v>65</v>
      </c>
      <c r="E248" s="472">
        <v>125</v>
      </c>
      <c r="F248" s="472">
        <v>3000654</v>
      </c>
      <c r="G248" s="472">
        <v>5005023</v>
      </c>
      <c r="H248" s="472">
        <v>3</v>
      </c>
      <c r="I248" s="472">
        <v>12</v>
      </c>
      <c r="J248" s="472">
        <v>24</v>
      </c>
      <c r="K248" s="472">
        <v>135560</v>
      </c>
      <c r="L248" s="472" t="s">
        <v>66</v>
      </c>
      <c r="M248" s="124" t="s">
        <v>67</v>
      </c>
      <c r="N248" s="472">
        <v>95</v>
      </c>
      <c r="O248" s="474"/>
      <c r="P248" s="474" t="s">
        <v>4</v>
      </c>
      <c r="Q248" s="472" t="s">
        <v>68</v>
      </c>
      <c r="R248" s="475" t="s">
        <v>69</v>
      </c>
      <c r="S248" s="475" t="s">
        <v>137</v>
      </c>
      <c r="T248" s="475"/>
      <c r="U248" s="124" t="s">
        <v>193</v>
      </c>
      <c r="V248" s="475" t="s">
        <v>3</v>
      </c>
      <c r="W248" s="121">
        <v>1</v>
      </c>
      <c r="X248" s="476">
        <v>3000</v>
      </c>
      <c r="Y248" s="474"/>
      <c r="Z248" s="474"/>
      <c r="AA248" s="474"/>
      <c r="AB248" s="474"/>
      <c r="AC248" s="475">
        <v>0</v>
      </c>
      <c r="AD248" s="563">
        <v>30</v>
      </c>
      <c r="AE248" s="488"/>
      <c r="AF248" s="488"/>
      <c r="AG248" s="488"/>
      <c r="AH248" s="488"/>
      <c r="AI248" s="488"/>
      <c r="AJ248" s="488"/>
      <c r="AK248" s="569">
        <v>3000</v>
      </c>
      <c r="AL248" s="472" t="s">
        <v>73</v>
      </c>
      <c r="AM248" s="472" t="s">
        <v>73</v>
      </c>
      <c r="AN248" s="472" t="s">
        <v>73</v>
      </c>
      <c r="AO248" s="472" t="s">
        <v>73</v>
      </c>
      <c r="AP248" s="564">
        <v>0</v>
      </c>
      <c r="AQ248" s="478">
        <v>3000</v>
      </c>
      <c r="AR248" s="472" t="s">
        <v>73</v>
      </c>
      <c r="AS248" s="472" t="s">
        <v>73</v>
      </c>
      <c r="AT248" s="472" t="s">
        <v>73</v>
      </c>
      <c r="AU248" s="472" t="s">
        <v>73</v>
      </c>
      <c r="AV248" s="472" t="s">
        <v>73</v>
      </c>
      <c r="AW248" s="472" t="s">
        <v>73</v>
      </c>
      <c r="AX248" s="30">
        <v>3000</v>
      </c>
      <c r="AY248" s="479" t="s">
        <v>7</v>
      </c>
      <c r="AZ248" s="474" t="s">
        <v>74</v>
      </c>
      <c r="BA248" s="474"/>
      <c r="BB248" s="480"/>
      <c r="BC248" s="480"/>
      <c r="BK248" s="481" t="s">
        <v>790</v>
      </c>
      <c r="BL248" s="481" t="s">
        <v>791</v>
      </c>
      <c r="BM248" s="284" t="s">
        <v>1455</v>
      </c>
      <c r="BN248" s="414" t="s">
        <v>1456</v>
      </c>
      <c r="BO248" s="284" t="s">
        <v>1457</v>
      </c>
      <c r="BP248" s="285">
        <v>46167</v>
      </c>
      <c r="BQ248" s="482"/>
      <c r="BR248" s="965">
        <v>4889</v>
      </c>
      <c r="BS248" s="482"/>
      <c r="BT248" s="482"/>
      <c r="BU248" s="482" t="s">
        <v>1254</v>
      </c>
      <c r="BV248" s="414" t="s">
        <v>1366</v>
      </c>
      <c r="BW248" s="566" t="s">
        <v>1516</v>
      </c>
      <c r="BX248" s="566" t="s">
        <v>1517</v>
      </c>
      <c r="BY248" s="284">
        <v>71043254</v>
      </c>
      <c r="BZ248" s="284">
        <v>10710432541</v>
      </c>
      <c r="CA248" s="288"/>
      <c r="CB248" s="285">
        <v>46174</v>
      </c>
      <c r="CC248" s="285">
        <v>46203</v>
      </c>
      <c r="CD248" s="759"/>
      <c r="CE248" s="485">
        <f t="shared" si="404"/>
        <v>0</v>
      </c>
      <c r="CF248" s="484">
        <f t="shared" si="405"/>
        <v>0</v>
      </c>
      <c r="CG248" s="485"/>
      <c r="CH248" s="485">
        <f t="shared" si="406"/>
        <v>0</v>
      </c>
      <c r="CI248" s="485"/>
      <c r="CJ248" s="485">
        <f t="shared" si="407"/>
        <v>0</v>
      </c>
      <c r="CK248" s="484">
        <f t="shared" si="408"/>
        <v>0</v>
      </c>
      <c r="CL248" s="484">
        <f t="shared" si="409"/>
        <v>0</v>
      </c>
      <c r="CM248" s="1006"/>
      <c r="CN248" s="485">
        <f t="shared" si="410"/>
        <v>30</v>
      </c>
      <c r="CO248" s="484">
        <f t="shared" si="403"/>
        <v>3000</v>
      </c>
      <c r="CP248" s="485">
        <v>30</v>
      </c>
      <c r="CQ248" s="485">
        <f t="shared" si="411"/>
        <v>3000</v>
      </c>
      <c r="CR248" s="485">
        <v>30</v>
      </c>
      <c r="CS248" s="485">
        <f t="shared" si="412"/>
        <v>3000</v>
      </c>
      <c r="CT248" s="484">
        <f t="shared" si="413"/>
        <v>0</v>
      </c>
      <c r="CU248" s="484">
        <f t="shared" si="414"/>
        <v>0</v>
      </c>
      <c r="CV248" s="1006"/>
      <c r="CW248" s="1007">
        <f t="shared" si="378"/>
        <v>3000</v>
      </c>
      <c r="CX248" s="486">
        <f t="shared" si="379"/>
        <v>3000</v>
      </c>
      <c r="CY248" s="486">
        <f t="shared" si="380"/>
        <v>3000</v>
      </c>
      <c r="CZ248" s="1007">
        <f t="shared" si="381"/>
        <v>0</v>
      </c>
      <c r="DA248" s="1007">
        <f t="shared" si="382"/>
        <v>0</v>
      </c>
    </row>
    <row r="249" spans="1:108" ht="15" hidden="1" customHeight="1" x14ac:dyDescent="0.25">
      <c r="A249" s="472">
        <v>2026</v>
      </c>
      <c r="B249" s="472">
        <v>479</v>
      </c>
      <c r="C249" s="472" t="s">
        <v>64</v>
      </c>
      <c r="D249" s="472" t="s">
        <v>65</v>
      </c>
      <c r="E249" s="472">
        <v>125</v>
      </c>
      <c r="F249" s="472">
        <v>3000654</v>
      </c>
      <c r="G249" s="472">
        <v>5005023</v>
      </c>
      <c r="H249" s="472">
        <v>3</v>
      </c>
      <c r="I249" s="472">
        <v>12</v>
      </c>
      <c r="J249" s="472">
        <v>24</v>
      </c>
      <c r="K249" s="472">
        <v>135560</v>
      </c>
      <c r="L249" s="472" t="s">
        <v>66</v>
      </c>
      <c r="M249" s="124" t="s">
        <v>67</v>
      </c>
      <c r="N249" s="472">
        <v>95</v>
      </c>
      <c r="O249" s="474"/>
      <c r="P249" s="474" t="s">
        <v>4</v>
      </c>
      <c r="Q249" s="472" t="s">
        <v>68</v>
      </c>
      <c r="R249" s="475" t="s">
        <v>69</v>
      </c>
      <c r="S249" s="475" t="s">
        <v>137</v>
      </c>
      <c r="T249" s="475"/>
      <c r="U249" s="124" t="s">
        <v>193</v>
      </c>
      <c r="V249" s="475" t="s">
        <v>3</v>
      </c>
      <c r="W249" s="121">
        <v>1</v>
      </c>
      <c r="X249" s="476">
        <v>3000</v>
      </c>
      <c r="Y249" s="474"/>
      <c r="Z249" s="474"/>
      <c r="AA249" s="474"/>
      <c r="AB249" s="474"/>
      <c r="AC249" s="475">
        <v>0</v>
      </c>
      <c r="AD249" s="563">
        <v>30</v>
      </c>
      <c r="AE249" s="488"/>
      <c r="AF249" s="488"/>
      <c r="AG249" s="488"/>
      <c r="AH249" s="488"/>
      <c r="AI249" s="488"/>
      <c r="AJ249" s="488"/>
      <c r="AK249" s="569">
        <v>3000</v>
      </c>
      <c r="AL249" s="472" t="s">
        <v>73</v>
      </c>
      <c r="AM249" s="472" t="s">
        <v>73</v>
      </c>
      <c r="AN249" s="472" t="s">
        <v>73</v>
      </c>
      <c r="AO249" s="472" t="s">
        <v>73</v>
      </c>
      <c r="AP249" s="564">
        <v>0</v>
      </c>
      <c r="AQ249" s="478">
        <v>3000</v>
      </c>
      <c r="AR249" s="472" t="s">
        <v>73</v>
      </c>
      <c r="AS249" s="472" t="s">
        <v>73</v>
      </c>
      <c r="AT249" s="472" t="s">
        <v>73</v>
      </c>
      <c r="AU249" s="472" t="s">
        <v>73</v>
      </c>
      <c r="AV249" s="472" t="s">
        <v>73</v>
      </c>
      <c r="AW249" s="472" t="s">
        <v>73</v>
      </c>
      <c r="AX249" s="30">
        <v>3000</v>
      </c>
      <c r="AY249" s="479" t="s">
        <v>7</v>
      </c>
      <c r="AZ249" s="474" t="s">
        <v>74</v>
      </c>
      <c r="BA249" s="474"/>
      <c r="BB249" s="480"/>
      <c r="BC249" s="480"/>
      <c r="BK249" s="481" t="s">
        <v>790</v>
      </c>
      <c r="BL249" s="481" t="s">
        <v>791</v>
      </c>
      <c r="BM249" s="284" t="s">
        <v>1455</v>
      </c>
      <c r="BN249" s="414" t="s">
        <v>1456</v>
      </c>
      <c r="BO249" s="284" t="s">
        <v>1457</v>
      </c>
      <c r="BP249" s="285">
        <v>46167</v>
      </c>
      <c r="BQ249" s="482"/>
      <c r="BR249" s="965">
        <v>4890</v>
      </c>
      <c r="BS249" s="482"/>
      <c r="BT249" s="482"/>
      <c r="BU249" s="482" t="s">
        <v>1254</v>
      </c>
      <c r="BV249" s="414" t="s">
        <v>1518</v>
      </c>
      <c r="BW249" s="566" t="s">
        <v>910</v>
      </c>
      <c r="BX249" s="566" t="s">
        <v>1519</v>
      </c>
      <c r="BY249" s="284">
        <v>40655345</v>
      </c>
      <c r="BZ249" s="284">
        <v>10406553456</v>
      </c>
      <c r="CA249" s="288"/>
      <c r="CB249" s="285">
        <v>46174</v>
      </c>
      <c r="CC249" s="285">
        <v>46203</v>
      </c>
      <c r="CD249" s="759"/>
      <c r="CE249" s="485">
        <f t="shared" si="404"/>
        <v>0</v>
      </c>
      <c r="CF249" s="484">
        <f t="shared" si="405"/>
        <v>0</v>
      </c>
      <c r="CG249" s="485"/>
      <c r="CH249" s="485">
        <f t="shared" si="406"/>
        <v>0</v>
      </c>
      <c r="CI249" s="485"/>
      <c r="CJ249" s="485">
        <f t="shared" si="407"/>
        <v>0</v>
      </c>
      <c r="CK249" s="484">
        <f t="shared" si="408"/>
        <v>0</v>
      </c>
      <c r="CL249" s="484">
        <f t="shared" si="409"/>
        <v>0</v>
      </c>
      <c r="CM249" s="1006"/>
      <c r="CN249" s="485">
        <f t="shared" si="410"/>
        <v>30</v>
      </c>
      <c r="CO249" s="484">
        <f t="shared" si="403"/>
        <v>3000</v>
      </c>
      <c r="CP249" s="485">
        <v>30</v>
      </c>
      <c r="CQ249" s="485">
        <f t="shared" si="411"/>
        <v>3000</v>
      </c>
      <c r="CR249" s="485">
        <v>30</v>
      </c>
      <c r="CS249" s="485">
        <f t="shared" si="412"/>
        <v>3000</v>
      </c>
      <c r="CT249" s="484">
        <f t="shared" si="413"/>
        <v>0</v>
      </c>
      <c r="CU249" s="484">
        <f t="shared" si="414"/>
        <v>0</v>
      </c>
      <c r="CV249" s="1006"/>
      <c r="CW249" s="1007">
        <f t="shared" si="378"/>
        <v>3000</v>
      </c>
      <c r="CX249" s="486">
        <f t="shared" si="379"/>
        <v>3000</v>
      </c>
      <c r="CY249" s="486">
        <f t="shared" si="380"/>
        <v>3000</v>
      </c>
      <c r="CZ249" s="1007">
        <f t="shared" si="381"/>
        <v>0</v>
      </c>
      <c r="DA249" s="1007">
        <f t="shared" si="382"/>
        <v>0</v>
      </c>
    </row>
    <row r="250" spans="1:108" ht="15" hidden="1" customHeight="1" x14ac:dyDescent="0.25">
      <c r="A250" s="472">
        <v>2026</v>
      </c>
      <c r="B250" s="472">
        <v>479</v>
      </c>
      <c r="C250" s="472" t="s">
        <v>64</v>
      </c>
      <c r="D250" s="472" t="s">
        <v>65</v>
      </c>
      <c r="E250" s="472">
        <v>125</v>
      </c>
      <c r="F250" s="472">
        <v>3000654</v>
      </c>
      <c r="G250" s="472">
        <v>5005023</v>
      </c>
      <c r="H250" s="472">
        <v>3</v>
      </c>
      <c r="I250" s="472">
        <v>12</v>
      </c>
      <c r="J250" s="472">
        <v>24</v>
      </c>
      <c r="K250" s="472">
        <v>135560</v>
      </c>
      <c r="L250" s="472" t="s">
        <v>66</v>
      </c>
      <c r="M250" s="124" t="s">
        <v>67</v>
      </c>
      <c r="N250" s="472">
        <v>95</v>
      </c>
      <c r="O250" s="474"/>
      <c r="P250" s="474" t="s">
        <v>4</v>
      </c>
      <c r="Q250" s="472" t="s">
        <v>68</v>
      </c>
      <c r="R250" s="475" t="s">
        <v>69</v>
      </c>
      <c r="S250" s="475" t="s">
        <v>137</v>
      </c>
      <c r="T250" s="475"/>
      <c r="U250" s="124" t="s">
        <v>193</v>
      </c>
      <c r="V250" s="475" t="s">
        <v>3</v>
      </c>
      <c r="W250" s="121">
        <v>1</v>
      </c>
      <c r="X250" s="476">
        <v>3000</v>
      </c>
      <c r="Y250" s="474"/>
      <c r="Z250" s="474"/>
      <c r="AA250" s="474"/>
      <c r="AB250" s="474"/>
      <c r="AC250" s="475">
        <v>0</v>
      </c>
      <c r="AD250" s="563">
        <v>30</v>
      </c>
      <c r="AE250" s="488"/>
      <c r="AF250" s="488"/>
      <c r="AG250" s="488"/>
      <c r="AH250" s="488"/>
      <c r="AI250" s="488"/>
      <c r="AJ250" s="488"/>
      <c r="AK250" s="569">
        <v>3000</v>
      </c>
      <c r="AL250" s="472" t="s">
        <v>73</v>
      </c>
      <c r="AM250" s="472" t="s">
        <v>73</v>
      </c>
      <c r="AN250" s="472" t="s">
        <v>73</v>
      </c>
      <c r="AO250" s="472" t="s">
        <v>73</v>
      </c>
      <c r="AP250" s="564">
        <v>0</v>
      </c>
      <c r="AQ250" s="478">
        <v>3000</v>
      </c>
      <c r="AR250" s="472" t="s">
        <v>73</v>
      </c>
      <c r="AS250" s="472" t="s">
        <v>73</v>
      </c>
      <c r="AT250" s="472" t="s">
        <v>73</v>
      </c>
      <c r="AU250" s="472" t="s">
        <v>73</v>
      </c>
      <c r="AV250" s="472" t="s">
        <v>73</v>
      </c>
      <c r="AW250" s="472" t="s">
        <v>73</v>
      </c>
      <c r="AX250" s="30">
        <v>3000</v>
      </c>
      <c r="AY250" s="479" t="s">
        <v>7</v>
      </c>
      <c r="AZ250" s="474" t="s">
        <v>74</v>
      </c>
      <c r="BA250" s="474"/>
      <c r="BB250" s="480"/>
      <c r="BC250" s="480"/>
      <c r="BK250" s="481" t="s">
        <v>790</v>
      </c>
      <c r="BL250" s="481" t="s">
        <v>791</v>
      </c>
      <c r="BM250" s="284" t="s">
        <v>1455</v>
      </c>
      <c r="BN250" s="414" t="s">
        <v>1456</v>
      </c>
      <c r="BO250" s="284" t="s">
        <v>1457</v>
      </c>
      <c r="BP250" s="285">
        <v>46167</v>
      </c>
      <c r="BQ250" s="482"/>
      <c r="BR250" s="965"/>
      <c r="BS250" s="482"/>
      <c r="BT250" s="482"/>
      <c r="BU250" s="482" t="s">
        <v>1254</v>
      </c>
      <c r="BV250" s="414" t="s">
        <v>798</v>
      </c>
      <c r="BW250" s="566" t="s">
        <v>1428</v>
      </c>
      <c r="BX250" s="566" t="s">
        <v>1520</v>
      </c>
      <c r="BY250" s="284">
        <v>44993053</v>
      </c>
      <c r="BZ250" s="284">
        <v>10449930539</v>
      </c>
      <c r="CA250" s="288"/>
      <c r="CB250" s="285">
        <v>46174</v>
      </c>
      <c r="CC250" s="285">
        <v>46203</v>
      </c>
      <c r="CD250" s="759"/>
      <c r="CE250" s="485">
        <f t="shared" si="404"/>
        <v>0</v>
      </c>
      <c r="CF250" s="484">
        <f t="shared" si="405"/>
        <v>0</v>
      </c>
      <c r="CG250" s="485"/>
      <c r="CH250" s="485">
        <f t="shared" si="406"/>
        <v>0</v>
      </c>
      <c r="CI250" s="485"/>
      <c r="CJ250" s="485">
        <f t="shared" si="407"/>
        <v>0</v>
      </c>
      <c r="CK250" s="484">
        <f t="shared" si="408"/>
        <v>0</v>
      </c>
      <c r="CL250" s="484">
        <f t="shared" si="409"/>
        <v>0</v>
      </c>
      <c r="CM250" s="1006"/>
      <c r="CN250" s="485">
        <f t="shared" si="410"/>
        <v>30</v>
      </c>
      <c r="CO250" s="484">
        <f t="shared" si="403"/>
        <v>3000</v>
      </c>
      <c r="CP250" s="485">
        <v>30</v>
      </c>
      <c r="CQ250" s="485">
        <f t="shared" si="411"/>
        <v>3000</v>
      </c>
      <c r="CR250" s="485">
        <v>30</v>
      </c>
      <c r="CS250" s="485">
        <f t="shared" si="412"/>
        <v>3000</v>
      </c>
      <c r="CT250" s="484">
        <f t="shared" si="413"/>
        <v>0</v>
      </c>
      <c r="CU250" s="484">
        <f t="shared" si="414"/>
        <v>0</v>
      </c>
      <c r="CV250" s="1006"/>
      <c r="CW250" s="1007">
        <f t="shared" si="378"/>
        <v>3000</v>
      </c>
      <c r="CX250" s="486">
        <f t="shared" si="379"/>
        <v>3000</v>
      </c>
      <c r="CY250" s="486">
        <f t="shared" si="380"/>
        <v>3000</v>
      </c>
      <c r="CZ250" s="1007">
        <f t="shared" si="381"/>
        <v>0</v>
      </c>
      <c r="DA250" s="1007">
        <f t="shared" si="382"/>
        <v>0</v>
      </c>
    </row>
    <row r="251" spans="1:108" ht="15" hidden="1" customHeight="1" x14ac:dyDescent="0.25">
      <c r="A251" s="472">
        <v>2026</v>
      </c>
      <c r="B251" s="472">
        <v>479</v>
      </c>
      <c r="C251" s="472" t="s">
        <v>64</v>
      </c>
      <c r="D251" s="472" t="s">
        <v>65</v>
      </c>
      <c r="E251" s="472">
        <v>125</v>
      </c>
      <c r="F251" s="472">
        <v>3000654</v>
      </c>
      <c r="G251" s="472">
        <v>5005023</v>
      </c>
      <c r="H251" s="472">
        <v>3</v>
      </c>
      <c r="I251" s="472">
        <v>12</v>
      </c>
      <c r="J251" s="472">
        <v>24</v>
      </c>
      <c r="K251" s="472">
        <v>135560</v>
      </c>
      <c r="L251" s="472" t="s">
        <v>66</v>
      </c>
      <c r="M251" s="124" t="s">
        <v>67</v>
      </c>
      <c r="N251" s="472">
        <v>95</v>
      </c>
      <c r="O251" s="474"/>
      <c r="P251" s="474" t="s">
        <v>4</v>
      </c>
      <c r="Q251" s="472" t="s">
        <v>68</v>
      </c>
      <c r="R251" s="475" t="s">
        <v>69</v>
      </c>
      <c r="S251" s="475" t="s">
        <v>137</v>
      </c>
      <c r="T251" s="475"/>
      <c r="U251" s="124" t="s">
        <v>193</v>
      </c>
      <c r="V251" s="475" t="s">
        <v>3</v>
      </c>
      <c r="W251" s="121">
        <v>1</v>
      </c>
      <c r="X251" s="476">
        <v>3000</v>
      </c>
      <c r="Y251" s="474"/>
      <c r="Z251" s="474"/>
      <c r="AA251" s="474"/>
      <c r="AB251" s="474"/>
      <c r="AC251" s="475">
        <v>0</v>
      </c>
      <c r="AD251" s="563">
        <v>30</v>
      </c>
      <c r="AE251" s="488"/>
      <c r="AF251" s="488"/>
      <c r="AG251" s="488"/>
      <c r="AH251" s="488"/>
      <c r="AI251" s="488"/>
      <c r="AJ251" s="488"/>
      <c r="AK251" s="569">
        <v>3000</v>
      </c>
      <c r="AL251" s="472" t="s">
        <v>73</v>
      </c>
      <c r="AM251" s="472" t="s">
        <v>73</v>
      </c>
      <c r="AN251" s="472" t="s">
        <v>73</v>
      </c>
      <c r="AO251" s="472" t="s">
        <v>73</v>
      </c>
      <c r="AP251" s="564">
        <v>0</v>
      </c>
      <c r="AQ251" s="478">
        <v>3000</v>
      </c>
      <c r="AR251" s="472" t="s">
        <v>73</v>
      </c>
      <c r="AS251" s="472" t="s">
        <v>73</v>
      </c>
      <c r="AT251" s="472" t="s">
        <v>73</v>
      </c>
      <c r="AU251" s="472" t="s">
        <v>73</v>
      </c>
      <c r="AV251" s="472" t="s">
        <v>73</v>
      </c>
      <c r="AW251" s="472" t="s">
        <v>73</v>
      </c>
      <c r="AX251" s="30">
        <v>3000</v>
      </c>
      <c r="AY251" s="479" t="s">
        <v>7</v>
      </c>
      <c r="AZ251" s="474" t="s">
        <v>74</v>
      </c>
      <c r="BA251" s="474"/>
      <c r="BB251" s="480"/>
      <c r="BC251" s="480"/>
      <c r="BK251" s="481" t="s">
        <v>790</v>
      </c>
      <c r="BL251" s="481" t="s">
        <v>791</v>
      </c>
      <c r="BM251" s="284" t="s">
        <v>1455</v>
      </c>
      <c r="BN251" s="414" t="s">
        <v>1456</v>
      </c>
      <c r="BO251" s="284" t="s">
        <v>1457</v>
      </c>
      <c r="BP251" s="285">
        <v>46167</v>
      </c>
      <c r="BQ251" s="482"/>
      <c r="BR251" s="965">
        <v>4892</v>
      </c>
      <c r="BS251" s="482"/>
      <c r="BT251" s="482"/>
      <c r="BU251" s="482" t="s">
        <v>1254</v>
      </c>
      <c r="BV251" s="414" t="s">
        <v>1521</v>
      </c>
      <c r="BW251" s="566" t="s">
        <v>798</v>
      </c>
      <c r="BX251" s="566" t="s">
        <v>1522</v>
      </c>
      <c r="BY251" s="284">
        <v>77530077</v>
      </c>
      <c r="BZ251" s="284">
        <v>10775300774</v>
      </c>
      <c r="CA251" s="288"/>
      <c r="CB251" s="285">
        <v>46174</v>
      </c>
      <c r="CC251" s="285">
        <v>46203</v>
      </c>
      <c r="CD251" s="759"/>
      <c r="CE251" s="485">
        <f t="shared" si="404"/>
        <v>0</v>
      </c>
      <c r="CF251" s="484">
        <f t="shared" si="405"/>
        <v>0</v>
      </c>
      <c r="CG251" s="485"/>
      <c r="CH251" s="485">
        <f t="shared" si="406"/>
        <v>0</v>
      </c>
      <c r="CI251" s="485"/>
      <c r="CJ251" s="485">
        <f t="shared" si="407"/>
        <v>0</v>
      </c>
      <c r="CK251" s="484">
        <f t="shared" si="408"/>
        <v>0</v>
      </c>
      <c r="CL251" s="484">
        <f t="shared" si="409"/>
        <v>0</v>
      </c>
      <c r="CM251" s="1006"/>
      <c r="CN251" s="485">
        <f t="shared" si="410"/>
        <v>30</v>
      </c>
      <c r="CO251" s="484">
        <f t="shared" si="403"/>
        <v>3000</v>
      </c>
      <c r="CP251" s="485">
        <v>30</v>
      </c>
      <c r="CQ251" s="485">
        <f t="shared" si="411"/>
        <v>3000</v>
      </c>
      <c r="CR251" s="485">
        <v>30</v>
      </c>
      <c r="CS251" s="485">
        <f t="shared" si="412"/>
        <v>3000</v>
      </c>
      <c r="CT251" s="484">
        <f t="shared" si="413"/>
        <v>0</v>
      </c>
      <c r="CU251" s="484">
        <f t="shared" si="414"/>
        <v>0</v>
      </c>
      <c r="CV251" s="1006"/>
      <c r="CW251" s="1007">
        <f t="shared" si="378"/>
        <v>3000</v>
      </c>
      <c r="CX251" s="486">
        <f t="shared" si="379"/>
        <v>3000</v>
      </c>
      <c r="CY251" s="486">
        <f t="shared" si="380"/>
        <v>3000</v>
      </c>
      <c r="CZ251" s="1007">
        <f t="shared" si="381"/>
        <v>0</v>
      </c>
      <c r="DA251" s="1007">
        <f t="shared" si="382"/>
        <v>0</v>
      </c>
    </row>
    <row r="252" spans="1:108" ht="15" hidden="1" customHeight="1" x14ac:dyDescent="0.25">
      <c r="A252" s="472">
        <v>2026</v>
      </c>
      <c r="B252" s="472">
        <v>479</v>
      </c>
      <c r="C252" s="472" t="s">
        <v>64</v>
      </c>
      <c r="D252" s="472" t="s">
        <v>65</v>
      </c>
      <c r="E252" s="472">
        <v>125</v>
      </c>
      <c r="F252" s="472">
        <v>3000654</v>
      </c>
      <c r="G252" s="472">
        <v>5005023</v>
      </c>
      <c r="H252" s="472">
        <v>3</v>
      </c>
      <c r="I252" s="472">
        <v>12</v>
      </c>
      <c r="J252" s="472">
        <v>24</v>
      </c>
      <c r="K252" s="472">
        <v>135560</v>
      </c>
      <c r="L252" s="472" t="s">
        <v>66</v>
      </c>
      <c r="M252" s="124" t="s">
        <v>67</v>
      </c>
      <c r="N252" s="472">
        <v>95</v>
      </c>
      <c r="O252" s="474"/>
      <c r="P252" s="474" t="s">
        <v>4</v>
      </c>
      <c r="Q252" s="472" t="s">
        <v>68</v>
      </c>
      <c r="R252" s="475" t="s">
        <v>69</v>
      </c>
      <c r="S252" s="475" t="s">
        <v>137</v>
      </c>
      <c r="T252" s="475"/>
      <c r="U252" s="124" t="s">
        <v>193</v>
      </c>
      <c r="V252" s="475" t="s">
        <v>3</v>
      </c>
      <c r="W252" s="121">
        <v>1</v>
      </c>
      <c r="X252" s="476">
        <v>3000</v>
      </c>
      <c r="Y252" s="474"/>
      <c r="Z252" s="474"/>
      <c r="AA252" s="474"/>
      <c r="AB252" s="474"/>
      <c r="AC252" s="475">
        <v>0</v>
      </c>
      <c r="AD252" s="563">
        <v>30</v>
      </c>
      <c r="AE252" s="488"/>
      <c r="AF252" s="488"/>
      <c r="AG252" s="488"/>
      <c r="AH252" s="488"/>
      <c r="AI252" s="488"/>
      <c r="AJ252" s="488"/>
      <c r="AK252" s="569">
        <v>3000</v>
      </c>
      <c r="AL252" s="472" t="s">
        <v>73</v>
      </c>
      <c r="AM252" s="472" t="s">
        <v>73</v>
      </c>
      <c r="AN252" s="472" t="s">
        <v>73</v>
      </c>
      <c r="AO252" s="472" t="s">
        <v>73</v>
      </c>
      <c r="AP252" s="564">
        <v>0</v>
      </c>
      <c r="AQ252" s="478">
        <v>3000</v>
      </c>
      <c r="AR252" s="472" t="s">
        <v>73</v>
      </c>
      <c r="AS252" s="472" t="s">
        <v>73</v>
      </c>
      <c r="AT252" s="472" t="s">
        <v>73</v>
      </c>
      <c r="AU252" s="472" t="s">
        <v>73</v>
      </c>
      <c r="AV252" s="472" t="s">
        <v>73</v>
      </c>
      <c r="AW252" s="472" t="s">
        <v>73</v>
      </c>
      <c r="AX252" s="30">
        <v>3000</v>
      </c>
      <c r="AY252" s="479" t="s">
        <v>7</v>
      </c>
      <c r="AZ252" s="474" t="s">
        <v>74</v>
      </c>
      <c r="BA252" s="474"/>
      <c r="BB252" s="480"/>
      <c r="BC252" s="480"/>
      <c r="BK252" s="481" t="s">
        <v>790</v>
      </c>
      <c r="BL252" s="481" t="s">
        <v>791</v>
      </c>
      <c r="BM252" s="284" t="s">
        <v>1455</v>
      </c>
      <c r="BN252" s="414" t="s">
        <v>1456</v>
      </c>
      <c r="BO252" s="284" t="s">
        <v>1457</v>
      </c>
      <c r="BP252" s="285">
        <v>46167</v>
      </c>
      <c r="BQ252" s="482"/>
      <c r="BR252" s="965">
        <v>4893</v>
      </c>
      <c r="BS252" s="482"/>
      <c r="BT252" s="482"/>
      <c r="BU252" s="482" t="s">
        <v>1254</v>
      </c>
      <c r="BV252" s="414" t="s">
        <v>1065</v>
      </c>
      <c r="BW252" s="566" t="s">
        <v>1523</v>
      </c>
      <c r="BX252" s="566" t="s">
        <v>1524</v>
      </c>
      <c r="BY252" s="284">
        <v>71335562</v>
      </c>
      <c r="BZ252" s="284">
        <v>10713355629</v>
      </c>
      <c r="CA252" s="288"/>
      <c r="CB252" s="285">
        <v>46174</v>
      </c>
      <c r="CC252" s="285">
        <v>46203</v>
      </c>
      <c r="CD252" s="759"/>
      <c r="CE252" s="485">
        <f t="shared" si="404"/>
        <v>0</v>
      </c>
      <c r="CF252" s="484">
        <f t="shared" si="405"/>
        <v>0</v>
      </c>
      <c r="CG252" s="485"/>
      <c r="CH252" s="485">
        <f t="shared" si="406"/>
        <v>0</v>
      </c>
      <c r="CI252" s="485"/>
      <c r="CJ252" s="485">
        <f t="shared" si="407"/>
        <v>0</v>
      </c>
      <c r="CK252" s="484">
        <f t="shared" si="408"/>
        <v>0</v>
      </c>
      <c r="CL252" s="484">
        <f t="shared" si="409"/>
        <v>0</v>
      </c>
      <c r="CM252" s="1006"/>
      <c r="CN252" s="485">
        <f t="shared" si="410"/>
        <v>30</v>
      </c>
      <c r="CO252" s="484">
        <f t="shared" si="403"/>
        <v>3000</v>
      </c>
      <c r="CP252" s="485">
        <v>30</v>
      </c>
      <c r="CQ252" s="485">
        <f t="shared" si="411"/>
        <v>3000</v>
      </c>
      <c r="CR252" s="485">
        <v>30</v>
      </c>
      <c r="CS252" s="485">
        <f t="shared" si="412"/>
        <v>3000</v>
      </c>
      <c r="CT252" s="484">
        <f t="shared" si="413"/>
        <v>0</v>
      </c>
      <c r="CU252" s="484">
        <f t="shared" si="414"/>
        <v>0</v>
      </c>
      <c r="CV252" s="1006"/>
      <c r="CW252" s="1007">
        <f t="shared" si="378"/>
        <v>3000</v>
      </c>
      <c r="CX252" s="486">
        <f t="shared" si="379"/>
        <v>3000</v>
      </c>
      <c r="CY252" s="486">
        <f t="shared" si="380"/>
        <v>3000</v>
      </c>
      <c r="CZ252" s="1007">
        <f t="shared" si="381"/>
        <v>0</v>
      </c>
      <c r="DA252" s="1007">
        <f t="shared" si="382"/>
        <v>0</v>
      </c>
    </row>
    <row r="253" spans="1:108" s="956" customFormat="1" ht="34.5" hidden="1" customHeight="1" x14ac:dyDescent="0.25">
      <c r="A253" s="506">
        <v>2026</v>
      </c>
      <c r="B253" s="506">
        <v>479</v>
      </c>
      <c r="C253" s="506" t="s">
        <v>64</v>
      </c>
      <c r="D253" s="506" t="s">
        <v>65</v>
      </c>
      <c r="E253" s="506">
        <v>125</v>
      </c>
      <c r="F253" s="506">
        <v>3000654</v>
      </c>
      <c r="G253" s="506">
        <v>5005023</v>
      </c>
      <c r="H253" s="506">
        <v>3</v>
      </c>
      <c r="I253" s="506">
        <v>12</v>
      </c>
      <c r="J253" s="506">
        <v>24</v>
      </c>
      <c r="K253" s="506">
        <v>135560</v>
      </c>
      <c r="L253" s="506" t="s">
        <v>66</v>
      </c>
      <c r="M253" s="507" t="s">
        <v>67</v>
      </c>
      <c r="N253" s="506">
        <v>95</v>
      </c>
      <c r="O253" s="508"/>
      <c r="P253" s="508" t="s">
        <v>4</v>
      </c>
      <c r="Q253" s="506" t="s">
        <v>68</v>
      </c>
      <c r="R253" s="506" t="s">
        <v>69</v>
      </c>
      <c r="S253" s="506" t="s">
        <v>137</v>
      </c>
      <c r="T253" s="506"/>
      <c r="U253" s="507" t="s">
        <v>193</v>
      </c>
      <c r="V253" s="506" t="s">
        <v>3</v>
      </c>
      <c r="W253" s="509">
        <v>1</v>
      </c>
      <c r="X253" s="510">
        <v>3000</v>
      </c>
      <c r="Y253" s="508"/>
      <c r="Z253" s="508"/>
      <c r="AA253" s="508"/>
      <c r="AB253" s="508"/>
      <c r="AC253" s="506">
        <v>0</v>
      </c>
      <c r="AD253" s="783">
        <v>30</v>
      </c>
      <c r="AE253" s="853"/>
      <c r="AF253" s="853"/>
      <c r="AG253" s="853"/>
      <c r="AH253" s="853"/>
      <c r="AI253" s="853"/>
      <c r="AJ253" s="853"/>
      <c r="AK253" s="957">
        <v>3000</v>
      </c>
      <c r="AL253" s="506" t="s">
        <v>73</v>
      </c>
      <c r="AM253" s="506" t="s">
        <v>73</v>
      </c>
      <c r="AN253" s="506" t="s">
        <v>73</v>
      </c>
      <c r="AO253" s="506" t="s">
        <v>73</v>
      </c>
      <c r="AP253" s="944">
        <v>0</v>
      </c>
      <c r="AQ253" s="958">
        <v>3000</v>
      </c>
      <c r="AR253" s="506" t="s">
        <v>73</v>
      </c>
      <c r="AS253" s="506" t="s">
        <v>73</v>
      </c>
      <c r="AT253" s="506" t="s">
        <v>73</v>
      </c>
      <c r="AU253" s="506" t="s">
        <v>73</v>
      </c>
      <c r="AV253" s="506" t="s">
        <v>73</v>
      </c>
      <c r="AW253" s="506" t="s">
        <v>73</v>
      </c>
      <c r="AX253" s="513">
        <v>3000</v>
      </c>
      <c r="AY253" s="512" t="s">
        <v>7</v>
      </c>
      <c r="AZ253" s="508" t="s">
        <v>74</v>
      </c>
      <c r="BA253" s="508"/>
      <c r="BB253" s="514"/>
      <c r="BC253" s="514"/>
      <c r="BD253"/>
      <c r="BE253"/>
      <c r="BF253"/>
      <c r="BG253"/>
      <c r="BH253"/>
      <c r="BI253"/>
      <c r="BJ253"/>
      <c r="BK253" s="546" t="s">
        <v>790</v>
      </c>
      <c r="BL253" s="481" t="s">
        <v>1374</v>
      </c>
      <c r="BM253" s="516" t="s">
        <v>1455</v>
      </c>
      <c r="BN253" s="517" t="s">
        <v>1456</v>
      </c>
      <c r="BO253" s="516" t="s">
        <v>1457</v>
      </c>
      <c r="BP253" s="518">
        <v>46167</v>
      </c>
      <c r="BQ253" s="519"/>
      <c r="BR253" s="966">
        <v>4894</v>
      </c>
      <c r="BS253" s="519"/>
      <c r="BT253" s="519"/>
      <c r="BU253" s="519" t="s">
        <v>1254</v>
      </c>
      <c r="BV253" s="953" t="s">
        <v>1336</v>
      </c>
      <c r="BW253" s="954" t="s">
        <v>1337</v>
      </c>
      <c r="BX253" s="954" t="s">
        <v>1525</v>
      </c>
      <c r="BY253" s="953">
        <v>73026268</v>
      </c>
      <c r="BZ253" s="954">
        <v>10730262685</v>
      </c>
      <c r="CA253" s="520"/>
      <c r="CB253" s="518">
        <v>46174</v>
      </c>
      <c r="CC253" s="518">
        <v>46175</v>
      </c>
      <c r="CD253" s="784"/>
      <c r="CE253" s="955">
        <f t="shared" si="404"/>
        <v>0</v>
      </c>
      <c r="CF253" s="522">
        <f t="shared" si="405"/>
        <v>0</v>
      </c>
      <c r="CG253" s="955"/>
      <c r="CH253" s="955">
        <f t="shared" si="406"/>
        <v>0</v>
      </c>
      <c r="CI253" s="955"/>
      <c r="CJ253" s="955">
        <f t="shared" si="407"/>
        <v>0</v>
      </c>
      <c r="CK253" s="522">
        <f t="shared" si="408"/>
        <v>0</v>
      </c>
      <c r="CL253" s="522">
        <f t="shared" si="409"/>
        <v>0</v>
      </c>
      <c r="CM253" s="1025"/>
      <c r="CN253" s="955">
        <f t="shared" si="410"/>
        <v>30</v>
      </c>
      <c r="CO253" s="522">
        <f t="shared" si="403"/>
        <v>3000</v>
      </c>
      <c r="CP253" s="955">
        <v>2</v>
      </c>
      <c r="CQ253" s="955">
        <f t="shared" si="411"/>
        <v>200</v>
      </c>
      <c r="CR253" s="955">
        <v>2</v>
      </c>
      <c r="CS253" s="955">
        <f t="shared" si="412"/>
        <v>200</v>
      </c>
      <c r="CT253" s="522">
        <f t="shared" si="413"/>
        <v>2800</v>
      </c>
      <c r="CU253" s="522">
        <f t="shared" si="414"/>
        <v>2800</v>
      </c>
      <c r="CV253" s="1025"/>
      <c r="CW253" s="522">
        <f t="shared" si="378"/>
        <v>3000</v>
      </c>
      <c r="CX253" s="955">
        <f t="shared" si="379"/>
        <v>200</v>
      </c>
      <c r="CY253" s="955">
        <f t="shared" si="380"/>
        <v>200</v>
      </c>
      <c r="CZ253" s="522">
        <f t="shared" si="381"/>
        <v>2800</v>
      </c>
      <c r="DA253" s="522">
        <f t="shared" si="382"/>
        <v>2800</v>
      </c>
      <c r="DD253" s="956" t="s">
        <v>1526</v>
      </c>
    </row>
    <row r="254" spans="1:108" ht="25.5" hidden="1" customHeight="1" x14ac:dyDescent="0.25">
      <c r="A254" s="472">
        <v>2026</v>
      </c>
      <c r="B254" s="472">
        <v>479</v>
      </c>
      <c r="C254" s="472" t="s">
        <v>64</v>
      </c>
      <c r="D254" s="472" t="s">
        <v>65</v>
      </c>
      <c r="E254" s="472">
        <v>125</v>
      </c>
      <c r="F254" s="472">
        <v>3000654</v>
      </c>
      <c r="G254" s="472">
        <v>5005023</v>
      </c>
      <c r="H254" s="472">
        <v>3</v>
      </c>
      <c r="I254" s="472">
        <v>12</v>
      </c>
      <c r="J254" s="472">
        <v>24</v>
      </c>
      <c r="K254" s="472">
        <v>135560</v>
      </c>
      <c r="L254" s="472" t="s">
        <v>66</v>
      </c>
      <c r="M254" s="124" t="s">
        <v>67</v>
      </c>
      <c r="N254" s="472">
        <v>95</v>
      </c>
      <c r="O254" s="474"/>
      <c r="P254" s="474" t="s">
        <v>4</v>
      </c>
      <c r="Q254" s="472" t="s">
        <v>68</v>
      </c>
      <c r="R254" s="475" t="s">
        <v>69</v>
      </c>
      <c r="S254" s="475" t="s">
        <v>137</v>
      </c>
      <c r="T254" s="475"/>
      <c r="U254" s="124" t="s">
        <v>193</v>
      </c>
      <c r="V254" s="475" t="s">
        <v>3</v>
      </c>
      <c r="W254" s="121">
        <v>1</v>
      </c>
      <c r="X254" s="476">
        <v>3000</v>
      </c>
      <c r="Y254" s="474"/>
      <c r="Z254" s="474"/>
      <c r="AA254" s="474"/>
      <c r="AB254" s="474"/>
      <c r="AC254" s="475">
        <v>0</v>
      </c>
      <c r="AD254" s="563">
        <v>30</v>
      </c>
      <c r="AE254" s="488"/>
      <c r="AF254" s="488"/>
      <c r="AG254" s="488"/>
      <c r="AH254" s="488"/>
      <c r="AI254" s="488"/>
      <c r="AJ254" s="488"/>
      <c r="AK254" s="569">
        <v>3000</v>
      </c>
      <c r="AL254" s="472" t="s">
        <v>73</v>
      </c>
      <c r="AM254" s="472" t="s">
        <v>73</v>
      </c>
      <c r="AN254" s="472" t="s">
        <v>73</v>
      </c>
      <c r="AO254" s="472" t="s">
        <v>73</v>
      </c>
      <c r="AP254" s="564">
        <v>0</v>
      </c>
      <c r="AQ254" s="478">
        <v>3000</v>
      </c>
      <c r="AR254" s="472" t="s">
        <v>73</v>
      </c>
      <c r="AS254" s="472" t="s">
        <v>73</v>
      </c>
      <c r="AT254" s="472" t="s">
        <v>73</v>
      </c>
      <c r="AU254" s="472" t="s">
        <v>73</v>
      </c>
      <c r="AV254" s="472" t="s">
        <v>73</v>
      </c>
      <c r="AW254" s="472" t="s">
        <v>73</v>
      </c>
      <c r="AX254" s="30">
        <v>3000</v>
      </c>
      <c r="AY254" s="479" t="s">
        <v>7</v>
      </c>
      <c r="AZ254" s="474" t="s">
        <v>74</v>
      </c>
      <c r="BA254" s="474"/>
      <c r="BB254" s="480"/>
      <c r="BC254" s="480"/>
      <c r="BK254" s="481" t="s">
        <v>790</v>
      </c>
      <c r="BL254" s="481" t="s">
        <v>791</v>
      </c>
      <c r="BM254" s="284" t="s">
        <v>1455</v>
      </c>
      <c r="BN254" s="414" t="s">
        <v>1456</v>
      </c>
      <c r="BO254" s="284" t="s">
        <v>1457</v>
      </c>
      <c r="BP254" s="285">
        <v>46167</v>
      </c>
      <c r="BQ254" s="482"/>
      <c r="BR254" s="965">
        <v>4895</v>
      </c>
      <c r="BS254" s="482"/>
      <c r="BT254" s="482"/>
      <c r="BU254" s="482" t="s">
        <v>1254</v>
      </c>
      <c r="BV254" s="414" t="s">
        <v>1527</v>
      </c>
      <c r="BW254" s="566" t="s">
        <v>929</v>
      </c>
      <c r="BX254" s="566" t="s">
        <v>1528</v>
      </c>
      <c r="BY254" s="284">
        <v>42127893</v>
      </c>
      <c r="BZ254" s="284">
        <v>10421278933</v>
      </c>
      <c r="CA254" s="288"/>
      <c r="CB254" s="285">
        <v>46174</v>
      </c>
      <c r="CC254" s="285">
        <v>46203</v>
      </c>
      <c r="CD254" s="759"/>
      <c r="CE254" s="485">
        <f t="shared" si="404"/>
        <v>0</v>
      </c>
      <c r="CF254" s="484">
        <f t="shared" si="405"/>
        <v>0</v>
      </c>
      <c r="CG254" s="485"/>
      <c r="CH254" s="485">
        <f t="shared" si="406"/>
        <v>0</v>
      </c>
      <c r="CI254" s="485"/>
      <c r="CJ254" s="485">
        <f t="shared" si="407"/>
        <v>0</v>
      </c>
      <c r="CK254" s="484">
        <f t="shared" si="408"/>
        <v>0</v>
      </c>
      <c r="CL254" s="484">
        <f t="shared" si="409"/>
        <v>0</v>
      </c>
      <c r="CM254" s="1006"/>
      <c r="CN254" s="485">
        <f t="shared" si="410"/>
        <v>30</v>
      </c>
      <c r="CO254" s="484">
        <f t="shared" si="403"/>
        <v>3000</v>
      </c>
      <c r="CP254" s="485">
        <v>30</v>
      </c>
      <c r="CQ254" s="485">
        <f t="shared" si="411"/>
        <v>3000</v>
      </c>
      <c r="CR254" s="485">
        <v>30</v>
      </c>
      <c r="CS254" s="485">
        <f t="shared" si="412"/>
        <v>3000</v>
      </c>
      <c r="CT254" s="484">
        <f t="shared" si="413"/>
        <v>0</v>
      </c>
      <c r="CU254" s="484">
        <f t="shared" si="414"/>
        <v>0</v>
      </c>
      <c r="CV254" s="1006"/>
      <c r="CW254" s="1007">
        <f t="shared" si="378"/>
        <v>3000</v>
      </c>
      <c r="CX254" s="486">
        <f t="shared" si="379"/>
        <v>3000</v>
      </c>
      <c r="CY254" s="486">
        <f t="shared" si="380"/>
        <v>3000</v>
      </c>
      <c r="CZ254" s="1007">
        <f t="shared" si="381"/>
        <v>0</v>
      </c>
      <c r="DA254" s="1007">
        <f t="shared" si="382"/>
        <v>0</v>
      </c>
    </row>
    <row r="255" spans="1:108" ht="15" hidden="1" customHeight="1" x14ac:dyDescent="0.25">
      <c r="A255" s="570">
        <v>2026</v>
      </c>
      <c r="B255" s="570">
        <v>479</v>
      </c>
      <c r="C255" s="570" t="s">
        <v>64</v>
      </c>
      <c r="D255" s="570" t="s">
        <v>65</v>
      </c>
      <c r="E255" s="570">
        <v>125</v>
      </c>
      <c r="F255" s="570">
        <v>3000654</v>
      </c>
      <c r="G255" s="570">
        <v>5005023</v>
      </c>
      <c r="H255" s="570">
        <v>3</v>
      </c>
      <c r="I255" s="570">
        <v>12</v>
      </c>
      <c r="J255" s="570">
        <v>24</v>
      </c>
      <c r="K255" s="570">
        <v>135560</v>
      </c>
      <c r="L255" s="570" t="s">
        <v>66</v>
      </c>
      <c r="M255" s="571" t="s">
        <v>67</v>
      </c>
      <c r="N255" s="570">
        <v>95</v>
      </c>
      <c r="O255" s="543"/>
      <c r="P255" s="543" t="s">
        <v>4</v>
      </c>
      <c r="Q255" s="570" t="s">
        <v>68</v>
      </c>
      <c r="R255" s="572" t="s">
        <v>69</v>
      </c>
      <c r="S255" s="572" t="s">
        <v>137</v>
      </c>
      <c r="T255" s="572"/>
      <c r="U255" s="571" t="s">
        <v>1529</v>
      </c>
      <c r="V255" s="572" t="s">
        <v>3</v>
      </c>
      <c r="W255" s="573">
        <v>1</v>
      </c>
      <c r="X255" s="574">
        <v>6500</v>
      </c>
      <c r="Y255" s="543"/>
      <c r="Z255" s="543"/>
      <c r="AA255" s="543"/>
      <c r="AB255" s="543"/>
      <c r="AC255" s="572">
        <v>0</v>
      </c>
      <c r="AD255" s="572">
        <v>30</v>
      </c>
      <c r="AE255" s="543"/>
      <c r="AF255" s="543"/>
      <c r="AG255" s="543"/>
      <c r="AH255" s="543"/>
      <c r="AI255" s="543"/>
      <c r="AJ255" s="543"/>
      <c r="AK255" s="575">
        <v>56000</v>
      </c>
      <c r="AL255" s="472"/>
      <c r="AM255" s="472"/>
      <c r="AN255" s="472"/>
      <c r="AO255" s="472"/>
      <c r="AP255" s="564"/>
      <c r="AQ255" s="478"/>
      <c r="AR255" s="472"/>
      <c r="AS255" s="472"/>
      <c r="AT255" s="472"/>
      <c r="AU255" s="472"/>
      <c r="AV255" s="472"/>
      <c r="AW255" s="472"/>
      <c r="AX255" s="30">
        <v>0</v>
      </c>
      <c r="AY255" s="479" t="s">
        <v>7</v>
      </c>
      <c r="AZ255" s="474"/>
      <c r="BA255" s="474"/>
      <c r="BB255" s="480"/>
      <c r="BC255" s="480"/>
      <c r="BD255" s="81" t="s">
        <v>1530</v>
      </c>
      <c r="BE255" s="576" t="s">
        <v>1531</v>
      </c>
      <c r="BF255" s="81"/>
      <c r="BG255" s="233" t="s">
        <v>1532</v>
      </c>
      <c r="BH255" s="233">
        <v>46170</v>
      </c>
      <c r="BK255" s="481" t="s">
        <v>1533</v>
      </c>
      <c r="BL255" s="481"/>
      <c r="BM255" s="284"/>
      <c r="BN255" s="414"/>
      <c r="BO255" s="284"/>
      <c r="BP255" s="285"/>
      <c r="BQ255" s="482"/>
      <c r="BR255" s="482"/>
      <c r="BS255" s="482"/>
      <c r="BT255" s="482"/>
      <c r="BU255" s="482"/>
      <c r="BV255" s="566"/>
      <c r="BW255" s="566"/>
      <c r="BX255" s="566"/>
      <c r="BY255" s="284"/>
      <c r="BZ255" s="284"/>
      <c r="CA255" s="288"/>
      <c r="CB255" s="285"/>
      <c r="CC255" s="285"/>
      <c r="CD255" s="759"/>
      <c r="CE255" s="485"/>
      <c r="CF255" s="484"/>
      <c r="CG255" s="485"/>
      <c r="CH255" s="485"/>
      <c r="CI255" s="485"/>
      <c r="CJ255" s="485"/>
      <c r="CK255" s="484"/>
      <c r="CL255" s="484"/>
      <c r="CM255" s="1006"/>
      <c r="CN255" s="485"/>
      <c r="CO255" s="484"/>
      <c r="CP255" s="485"/>
      <c r="CQ255" s="485"/>
      <c r="CR255" s="485"/>
      <c r="CS255" s="485"/>
      <c r="CT255" s="484"/>
      <c r="CU255" s="484"/>
      <c r="CV255" s="1006"/>
      <c r="CW255" s="1007"/>
      <c r="CX255" s="486"/>
      <c r="CY255" s="486"/>
      <c r="CZ255" s="1007"/>
      <c r="DA255" s="1007"/>
    </row>
    <row r="256" spans="1:108" s="81" customFormat="1" ht="24.75" hidden="1" customHeight="1" x14ac:dyDescent="0.25">
      <c r="A256" s="537">
        <v>2026</v>
      </c>
      <c r="B256" s="537">
        <v>479</v>
      </c>
      <c r="C256" s="537" t="s">
        <v>64</v>
      </c>
      <c r="D256" s="537" t="s">
        <v>65</v>
      </c>
      <c r="E256" s="537">
        <v>125</v>
      </c>
      <c r="F256" s="537">
        <v>3000654</v>
      </c>
      <c r="G256" s="537">
        <v>5005023</v>
      </c>
      <c r="H256" s="537">
        <v>3</v>
      </c>
      <c r="I256" s="537">
        <v>12</v>
      </c>
      <c r="J256" s="537">
        <v>24</v>
      </c>
      <c r="K256" s="537">
        <v>135560</v>
      </c>
      <c r="L256" s="537" t="s">
        <v>66</v>
      </c>
      <c r="M256" s="538" t="s">
        <v>67</v>
      </c>
      <c r="N256" s="537">
        <v>95</v>
      </c>
      <c r="O256" s="539"/>
      <c r="P256" s="539" t="s">
        <v>4</v>
      </c>
      <c r="Q256" s="537" t="s">
        <v>68</v>
      </c>
      <c r="R256" s="540" t="s">
        <v>69</v>
      </c>
      <c r="S256" s="540" t="s">
        <v>137</v>
      </c>
      <c r="T256" s="540"/>
      <c r="U256" s="538" t="s">
        <v>1534</v>
      </c>
      <c r="V256" s="540" t="s">
        <v>3</v>
      </c>
      <c r="W256" s="541">
        <v>1</v>
      </c>
      <c r="X256" s="542">
        <v>6500</v>
      </c>
      <c r="Y256" s="539"/>
      <c r="Z256" s="539"/>
      <c r="AA256" s="539"/>
      <c r="AB256" s="539"/>
      <c r="AC256" s="540">
        <v>0</v>
      </c>
      <c r="AD256" s="572">
        <v>30</v>
      </c>
      <c r="AE256" s="543"/>
      <c r="AF256" s="543"/>
      <c r="AG256" s="543"/>
      <c r="AH256" s="543"/>
      <c r="AI256" s="543"/>
      <c r="AJ256" s="543"/>
      <c r="AK256" s="577" t="s">
        <v>585</v>
      </c>
      <c r="AL256" s="578" t="s">
        <v>73</v>
      </c>
      <c r="AM256" s="578" t="s">
        <v>73</v>
      </c>
      <c r="AN256" s="578" t="s">
        <v>73</v>
      </c>
      <c r="AO256" s="578" t="s">
        <v>73</v>
      </c>
      <c r="AP256" s="579">
        <v>0</v>
      </c>
      <c r="AQ256" s="577">
        <v>6500</v>
      </c>
      <c r="AR256" s="537" t="s">
        <v>73</v>
      </c>
      <c r="AS256" s="537" t="s">
        <v>73</v>
      </c>
      <c r="AT256" s="537" t="s">
        <v>73</v>
      </c>
      <c r="AU256" s="537" t="s">
        <v>73</v>
      </c>
      <c r="AV256" s="537" t="s">
        <v>73</v>
      </c>
      <c r="AW256" s="537" t="s">
        <v>73</v>
      </c>
      <c r="AX256" s="580">
        <v>6500</v>
      </c>
      <c r="AY256" s="503" t="s">
        <v>7</v>
      </c>
      <c r="AZ256" s="539" t="s">
        <v>74</v>
      </c>
      <c r="BA256" s="539"/>
      <c r="BB256" s="545"/>
      <c r="BC256" s="545"/>
      <c r="BD256" s="81" t="s">
        <v>1530</v>
      </c>
      <c r="BE256" s="576" t="s">
        <v>1531</v>
      </c>
      <c r="BG256" s="233" t="s">
        <v>1532</v>
      </c>
      <c r="BH256" s="233">
        <v>46170</v>
      </c>
      <c r="BK256" s="546" t="s">
        <v>790</v>
      </c>
      <c r="BL256" s="481" t="s">
        <v>791</v>
      </c>
      <c r="BM256" s="287" t="s">
        <v>1535</v>
      </c>
      <c r="BN256" s="547" t="s">
        <v>1536</v>
      </c>
      <c r="BO256" s="287" t="s">
        <v>1537</v>
      </c>
      <c r="BP256" s="548">
        <v>46170</v>
      </c>
      <c r="BQ256" s="482"/>
      <c r="BR256" s="965">
        <v>4896</v>
      </c>
      <c r="BS256" s="482"/>
      <c r="BT256" s="482"/>
      <c r="BU256" s="482" t="s">
        <v>1254</v>
      </c>
      <c r="BV256" s="414" t="s">
        <v>1264</v>
      </c>
      <c r="BW256" s="566" t="s">
        <v>1538</v>
      </c>
      <c r="BX256" s="566" t="s">
        <v>1539</v>
      </c>
      <c r="BY256" s="284">
        <v>40634534</v>
      </c>
      <c r="BZ256" s="284">
        <v>10406345349</v>
      </c>
      <c r="CA256" s="549"/>
      <c r="CB256" s="285">
        <v>46174</v>
      </c>
      <c r="CC256" s="285">
        <v>46203</v>
      </c>
      <c r="CD256" s="759"/>
      <c r="CE256" s="485">
        <f t="shared" ref="CE256:CE268" si="415">AC256</f>
        <v>0</v>
      </c>
      <c r="CF256" s="484">
        <f t="shared" ref="CF256:CF268" si="416">AP256</f>
        <v>0</v>
      </c>
      <c r="CG256" s="485"/>
      <c r="CH256" s="485">
        <f t="shared" ref="CH256:CH268" si="417">(X256/30)*CG256</f>
        <v>0</v>
      </c>
      <c r="CI256" s="485"/>
      <c r="CJ256" s="485">
        <f t="shared" ref="CJ256:CJ268" si="418">(X256/30)*CI256</f>
        <v>0</v>
      </c>
      <c r="CK256" s="484">
        <f t="shared" ref="CK256:CK268" si="419">CF256-CH256</f>
        <v>0</v>
      </c>
      <c r="CL256" s="484">
        <f t="shared" ref="CL256:CL268" si="420">CF256-CJ256</f>
        <v>0</v>
      </c>
      <c r="CM256" s="1006"/>
      <c r="CN256" s="485">
        <f t="shared" ref="CN256:CN268" si="421">AD256</f>
        <v>30</v>
      </c>
      <c r="CO256" s="484">
        <v>6500</v>
      </c>
      <c r="CP256" s="485">
        <v>30</v>
      </c>
      <c r="CQ256" s="485">
        <f t="shared" ref="CQ256:CQ268" si="422">(X256/30)*CP256</f>
        <v>6500</v>
      </c>
      <c r="CR256" s="485">
        <v>30</v>
      </c>
      <c r="CS256" s="485">
        <f t="shared" ref="CS256:CS268" si="423">(X256/30)*CR256</f>
        <v>6500</v>
      </c>
      <c r="CT256" s="484">
        <f t="shared" ref="CT256:CT268" si="424">CO256-CQ256</f>
        <v>0</v>
      </c>
      <c r="CU256" s="484">
        <f t="shared" ref="CU256:CU268" si="425">CO256-CS256</f>
        <v>0</v>
      </c>
      <c r="CV256" s="1006"/>
      <c r="CW256" s="1014">
        <f t="shared" si="378"/>
        <v>6500</v>
      </c>
      <c r="CX256" s="1015">
        <f t="shared" si="379"/>
        <v>6500</v>
      </c>
      <c r="CY256" s="1015">
        <f t="shared" si="380"/>
        <v>6500</v>
      </c>
      <c r="CZ256" s="1014">
        <f t="shared" si="381"/>
        <v>0</v>
      </c>
      <c r="DA256" s="1014">
        <f t="shared" si="382"/>
        <v>0</v>
      </c>
    </row>
    <row r="257" spans="1:108" s="73" customFormat="1" ht="24" hidden="1" customHeight="1" x14ac:dyDescent="0.25">
      <c r="A257" s="761">
        <v>2026</v>
      </c>
      <c r="B257" s="761">
        <v>479</v>
      </c>
      <c r="C257" s="761" t="s">
        <v>64</v>
      </c>
      <c r="D257" s="761" t="s">
        <v>65</v>
      </c>
      <c r="E257" s="761">
        <v>125</v>
      </c>
      <c r="F257" s="761">
        <v>3000654</v>
      </c>
      <c r="G257" s="761">
        <v>5005023</v>
      </c>
      <c r="H257" s="761">
        <v>3</v>
      </c>
      <c r="I257" s="761">
        <v>12</v>
      </c>
      <c r="J257" s="761">
        <v>24</v>
      </c>
      <c r="K257" s="761">
        <v>135560</v>
      </c>
      <c r="L257" s="761" t="s">
        <v>66</v>
      </c>
      <c r="M257" s="762" t="s">
        <v>67</v>
      </c>
      <c r="N257" s="761">
        <v>95</v>
      </c>
      <c r="O257" s="763"/>
      <c r="P257" s="763" t="s">
        <v>4</v>
      </c>
      <c r="Q257" s="761" t="s">
        <v>68</v>
      </c>
      <c r="R257" s="761" t="s">
        <v>69</v>
      </c>
      <c r="S257" s="761" t="s">
        <v>137</v>
      </c>
      <c r="T257" s="761"/>
      <c r="U257" s="762" t="s">
        <v>1540</v>
      </c>
      <c r="V257" s="761" t="s">
        <v>3</v>
      </c>
      <c r="W257" s="722">
        <v>1</v>
      </c>
      <c r="X257" s="803">
        <v>4500</v>
      </c>
      <c r="Y257" s="763"/>
      <c r="Z257" s="763"/>
      <c r="AA257" s="763"/>
      <c r="AB257" s="763"/>
      <c r="AC257" s="761">
        <v>0</v>
      </c>
      <c r="AD257" s="765">
        <v>30</v>
      </c>
      <c r="AE257" s="854"/>
      <c r="AF257" s="854"/>
      <c r="AG257" s="854"/>
      <c r="AH257" s="854"/>
      <c r="AI257" s="854"/>
      <c r="AJ257" s="854"/>
      <c r="AK257" s="803" t="s">
        <v>585</v>
      </c>
      <c r="AL257" s="761" t="s">
        <v>73</v>
      </c>
      <c r="AM257" s="761" t="s">
        <v>73</v>
      </c>
      <c r="AN257" s="761" t="s">
        <v>73</v>
      </c>
      <c r="AO257" s="761" t="s">
        <v>73</v>
      </c>
      <c r="AP257" s="800"/>
      <c r="AQ257" s="996">
        <v>4500</v>
      </c>
      <c r="AR257" s="761" t="s">
        <v>73</v>
      </c>
      <c r="AS257" s="761" t="s">
        <v>73</v>
      </c>
      <c r="AT257" s="761" t="s">
        <v>73</v>
      </c>
      <c r="AU257" s="761" t="s">
        <v>73</v>
      </c>
      <c r="AV257" s="761" t="s">
        <v>73</v>
      </c>
      <c r="AW257" s="761" t="s">
        <v>73</v>
      </c>
      <c r="AX257" s="764">
        <v>4500</v>
      </c>
      <c r="AY257" s="766" t="s">
        <v>7</v>
      </c>
      <c r="AZ257" s="763" t="s">
        <v>74</v>
      </c>
      <c r="BA257" s="763"/>
      <c r="BB257" s="740"/>
      <c r="BC257" s="740"/>
      <c r="BD257" s="81" t="s">
        <v>1530</v>
      </c>
      <c r="BE257" s="576" t="s">
        <v>1531</v>
      </c>
      <c r="BF257" s="81"/>
      <c r="BG257" s="233" t="s">
        <v>1532</v>
      </c>
      <c r="BH257" s="233">
        <v>46170</v>
      </c>
      <c r="BI257" s="81"/>
      <c r="BJ257" s="81"/>
      <c r="BK257" s="481" t="s">
        <v>802</v>
      </c>
      <c r="BL257" s="767" t="s">
        <v>803</v>
      </c>
      <c r="BM257" s="768"/>
      <c r="BN257" s="769"/>
      <c r="BO257" s="768"/>
      <c r="BP257" s="770"/>
      <c r="BQ257" s="771"/>
      <c r="BR257" s="771"/>
      <c r="BS257" s="771"/>
      <c r="BT257" s="771"/>
      <c r="BU257" s="771"/>
      <c r="BV257" s="785"/>
      <c r="BW257" s="785"/>
      <c r="BX257" s="785"/>
      <c r="BY257" s="768"/>
      <c r="BZ257" s="768"/>
      <c r="CA257" s="773"/>
      <c r="CB257" s="770"/>
      <c r="CC257" s="770"/>
      <c r="CD257" s="786"/>
      <c r="CE257" s="1016">
        <f t="shared" si="415"/>
        <v>0</v>
      </c>
      <c r="CF257" s="1005">
        <f t="shared" si="416"/>
        <v>0</v>
      </c>
      <c r="CG257" s="1016"/>
      <c r="CH257" s="1016">
        <f t="shared" si="417"/>
        <v>0</v>
      </c>
      <c r="CI257" s="1016"/>
      <c r="CJ257" s="1016">
        <f t="shared" si="418"/>
        <v>0</v>
      </c>
      <c r="CK257" s="1005">
        <f t="shared" si="419"/>
        <v>0</v>
      </c>
      <c r="CL257" s="1005">
        <f t="shared" si="420"/>
        <v>0</v>
      </c>
      <c r="CM257" s="1017"/>
      <c r="CN257" s="1016">
        <f t="shared" si="421"/>
        <v>30</v>
      </c>
      <c r="CO257" s="1005">
        <v>4500</v>
      </c>
      <c r="CP257" s="1016"/>
      <c r="CQ257" s="1016">
        <f t="shared" si="422"/>
        <v>0</v>
      </c>
      <c r="CR257" s="1016"/>
      <c r="CS257" s="1016">
        <f t="shared" si="423"/>
        <v>0</v>
      </c>
      <c r="CT257" s="1005">
        <f t="shared" si="424"/>
        <v>4500</v>
      </c>
      <c r="CU257" s="1005">
        <f t="shared" si="425"/>
        <v>4500</v>
      </c>
      <c r="CV257" s="1017"/>
      <c r="CW257" s="1018">
        <f t="shared" ref="CW257" si="426">AX257</f>
        <v>4500</v>
      </c>
      <c r="CX257" s="757">
        <f t="shared" ref="CX257" si="427">CH257+CQ257</f>
        <v>0</v>
      </c>
      <c r="CY257" s="757">
        <f t="shared" ref="CY257" si="428">CJ257+CS257</f>
        <v>0</v>
      </c>
      <c r="CZ257" s="1018">
        <f t="shared" ref="CZ257" si="429">CW257-CX257</f>
        <v>4500</v>
      </c>
      <c r="DA257" s="1018">
        <f t="shared" ref="DA257" si="430">CW257-CY257</f>
        <v>4500</v>
      </c>
      <c r="DD257" s="73" t="s">
        <v>1541</v>
      </c>
    </row>
    <row r="258" spans="1:108" s="81" customFormat="1" ht="26.25" hidden="1" customHeight="1" x14ac:dyDescent="0.25">
      <c r="A258" s="537">
        <v>2026</v>
      </c>
      <c r="B258" s="537">
        <v>479</v>
      </c>
      <c r="C258" s="537" t="s">
        <v>64</v>
      </c>
      <c r="D258" s="537" t="s">
        <v>65</v>
      </c>
      <c r="E258" s="537">
        <v>125</v>
      </c>
      <c r="F258" s="537">
        <v>3000654</v>
      </c>
      <c r="G258" s="537">
        <v>5005023</v>
      </c>
      <c r="H258" s="537">
        <v>3</v>
      </c>
      <c r="I258" s="537">
        <v>12</v>
      </c>
      <c r="J258" s="537">
        <v>24</v>
      </c>
      <c r="K258" s="537">
        <v>135560</v>
      </c>
      <c r="L258" s="537" t="s">
        <v>66</v>
      </c>
      <c r="M258" s="538" t="s">
        <v>67</v>
      </c>
      <c r="N258" s="537">
        <v>95</v>
      </c>
      <c r="O258" s="539"/>
      <c r="P258" s="539" t="s">
        <v>4</v>
      </c>
      <c r="Q258" s="537" t="s">
        <v>68</v>
      </c>
      <c r="R258" s="540" t="s">
        <v>69</v>
      </c>
      <c r="S258" s="540" t="s">
        <v>137</v>
      </c>
      <c r="T258" s="540"/>
      <c r="U258" s="538" t="s">
        <v>1540</v>
      </c>
      <c r="V258" s="540" t="s">
        <v>3</v>
      </c>
      <c r="W258" s="541">
        <v>1</v>
      </c>
      <c r="X258" s="542">
        <v>4500</v>
      </c>
      <c r="Y258" s="539"/>
      <c r="Z258" s="539"/>
      <c r="AA258" s="539"/>
      <c r="AB258" s="539"/>
      <c r="AC258" s="540">
        <v>0</v>
      </c>
      <c r="AD258" s="572">
        <v>30</v>
      </c>
      <c r="AE258" s="543"/>
      <c r="AF258" s="543"/>
      <c r="AG258" s="543"/>
      <c r="AH258" s="543"/>
      <c r="AI258" s="543"/>
      <c r="AJ258" s="543"/>
      <c r="AK258" s="577" t="s">
        <v>585</v>
      </c>
      <c r="AL258" s="578" t="s">
        <v>73</v>
      </c>
      <c r="AM258" s="578" t="s">
        <v>73</v>
      </c>
      <c r="AN258" s="578" t="s">
        <v>73</v>
      </c>
      <c r="AO258" s="578" t="s">
        <v>73</v>
      </c>
      <c r="AP258" s="579">
        <v>0</v>
      </c>
      <c r="AQ258" s="577">
        <v>4500</v>
      </c>
      <c r="AR258" s="537" t="s">
        <v>73</v>
      </c>
      <c r="AS258" s="537" t="s">
        <v>73</v>
      </c>
      <c r="AT258" s="537" t="s">
        <v>73</v>
      </c>
      <c r="AU258" s="537" t="s">
        <v>73</v>
      </c>
      <c r="AV258" s="537" t="s">
        <v>73</v>
      </c>
      <c r="AW258" s="537" t="s">
        <v>73</v>
      </c>
      <c r="AX258" s="580">
        <v>4500</v>
      </c>
      <c r="AY258" s="503" t="s">
        <v>7</v>
      </c>
      <c r="AZ258" s="539" t="s">
        <v>74</v>
      </c>
      <c r="BA258" s="539"/>
      <c r="BB258" s="545"/>
      <c r="BC258" s="545"/>
      <c r="BD258" s="81" t="s">
        <v>1530</v>
      </c>
      <c r="BE258" s="576" t="s">
        <v>1531</v>
      </c>
      <c r="BG258" s="233" t="s">
        <v>1532</v>
      </c>
      <c r="BH258" s="233">
        <v>46170</v>
      </c>
      <c r="BK258" s="546" t="s">
        <v>790</v>
      </c>
      <c r="BL258" s="481" t="s">
        <v>791</v>
      </c>
      <c r="BM258" s="287" t="s">
        <v>1535</v>
      </c>
      <c r="BN258" s="547" t="s">
        <v>1536</v>
      </c>
      <c r="BO258" s="287" t="s">
        <v>1537</v>
      </c>
      <c r="BP258" s="548">
        <v>46170</v>
      </c>
      <c r="BQ258" s="482"/>
      <c r="BR258" s="965">
        <v>4899</v>
      </c>
      <c r="BS258" s="482"/>
      <c r="BT258" s="482"/>
      <c r="BU258" s="482" t="s">
        <v>1254</v>
      </c>
      <c r="BV258" s="414" t="s">
        <v>1327</v>
      </c>
      <c r="BW258" s="566" t="s">
        <v>1542</v>
      </c>
      <c r="BX258" s="566" t="s">
        <v>1543</v>
      </c>
      <c r="BY258" s="284">
        <v>47282710</v>
      </c>
      <c r="BZ258" s="284">
        <v>10472827109</v>
      </c>
      <c r="CA258" s="549"/>
      <c r="CB258" s="285">
        <v>46174</v>
      </c>
      <c r="CC258" s="285">
        <v>46203</v>
      </c>
      <c r="CD258" s="759"/>
      <c r="CE258" s="485">
        <f t="shared" si="415"/>
        <v>0</v>
      </c>
      <c r="CF258" s="484">
        <f t="shared" si="416"/>
        <v>0</v>
      </c>
      <c r="CG258" s="485"/>
      <c r="CH258" s="485">
        <f t="shared" si="417"/>
        <v>0</v>
      </c>
      <c r="CI258" s="485"/>
      <c r="CJ258" s="485">
        <f t="shared" si="418"/>
        <v>0</v>
      </c>
      <c r="CK258" s="484">
        <f t="shared" si="419"/>
        <v>0</v>
      </c>
      <c r="CL258" s="484">
        <f t="shared" si="420"/>
        <v>0</v>
      </c>
      <c r="CM258" s="1006"/>
      <c r="CN258" s="485">
        <f t="shared" si="421"/>
        <v>30</v>
      </c>
      <c r="CO258" s="484">
        <v>4500</v>
      </c>
      <c r="CP258" s="485">
        <v>30</v>
      </c>
      <c r="CQ258" s="485">
        <f t="shared" si="422"/>
        <v>4500</v>
      </c>
      <c r="CR258" s="485">
        <v>30</v>
      </c>
      <c r="CS258" s="485">
        <f t="shared" si="423"/>
        <v>4500</v>
      </c>
      <c r="CT258" s="484">
        <f t="shared" si="424"/>
        <v>0</v>
      </c>
      <c r="CU258" s="484">
        <f t="shared" si="425"/>
        <v>0</v>
      </c>
      <c r="CV258" s="1006"/>
      <c r="CW258" s="1014">
        <f t="shared" ref="CW258" si="431">AX258</f>
        <v>4500</v>
      </c>
      <c r="CX258" s="1015">
        <f t="shared" ref="CX258" si="432">CH258+CQ258</f>
        <v>4500</v>
      </c>
      <c r="CY258" s="1015">
        <f t="shared" ref="CY258" si="433">CJ258+CS258</f>
        <v>4500</v>
      </c>
      <c r="CZ258" s="1014">
        <f t="shared" ref="CZ258" si="434">CW258-CX258</f>
        <v>0</v>
      </c>
      <c r="DA258" s="1014">
        <f t="shared" ref="DA258" si="435">CW258-CY258</f>
        <v>0</v>
      </c>
    </row>
    <row r="259" spans="1:108" s="81" customFormat="1" ht="20.25" hidden="1" customHeight="1" x14ac:dyDescent="0.25">
      <c r="A259" s="537">
        <v>2026</v>
      </c>
      <c r="B259" s="537">
        <v>479</v>
      </c>
      <c r="C259" s="537" t="s">
        <v>64</v>
      </c>
      <c r="D259" s="537" t="s">
        <v>65</v>
      </c>
      <c r="E259" s="537">
        <v>125</v>
      </c>
      <c r="F259" s="537">
        <v>3000654</v>
      </c>
      <c r="G259" s="537">
        <v>5005023</v>
      </c>
      <c r="H259" s="537">
        <v>3</v>
      </c>
      <c r="I259" s="537">
        <v>12</v>
      </c>
      <c r="J259" s="537">
        <v>24</v>
      </c>
      <c r="K259" s="537">
        <v>135560</v>
      </c>
      <c r="L259" s="537" t="s">
        <v>66</v>
      </c>
      <c r="M259" s="538" t="s">
        <v>67</v>
      </c>
      <c r="N259" s="537">
        <v>95</v>
      </c>
      <c r="O259" s="539"/>
      <c r="P259" s="539" t="s">
        <v>4</v>
      </c>
      <c r="Q259" s="537" t="s">
        <v>68</v>
      </c>
      <c r="R259" s="540" t="s">
        <v>69</v>
      </c>
      <c r="S259" s="540" t="s">
        <v>137</v>
      </c>
      <c r="T259" s="540"/>
      <c r="U259" s="538" t="s">
        <v>1540</v>
      </c>
      <c r="V259" s="540" t="s">
        <v>3</v>
      </c>
      <c r="W259" s="541">
        <v>1</v>
      </c>
      <c r="X259" s="542">
        <v>4500</v>
      </c>
      <c r="Y259" s="539"/>
      <c r="Z259" s="539"/>
      <c r="AA259" s="539"/>
      <c r="AB259" s="539"/>
      <c r="AC259" s="540">
        <v>0</v>
      </c>
      <c r="AD259" s="572">
        <v>30</v>
      </c>
      <c r="AE259" s="543"/>
      <c r="AF259" s="543"/>
      <c r="AG259" s="543"/>
      <c r="AH259" s="543"/>
      <c r="AI259" s="543"/>
      <c r="AJ259" s="543"/>
      <c r="AK259" s="577" t="s">
        <v>585</v>
      </c>
      <c r="AL259" s="578" t="s">
        <v>73</v>
      </c>
      <c r="AM259" s="578" t="s">
        <v>73</v>
      </c>
      <c r="AN259" s="578" t="s">
        <v>73</v>
      </c>
      <c r="AO259" s="578" t="s">
        <v>73</v>
      </c>
      <c r="AP259" s="579">
        <v>0</v>
      </c>
      <c r="AQ259" s="577">
        <v>4500</v>
      </c>
      <c r="AR259" s="537" t="s">
        <v>73</v>
      </c>
      <c r="AS259" s="537" t="s">
        <v>73</v>
      </c>
      <c r="AT259" s="537" t="s">
        <v>73</v>
      </c>
      <c r="AU259" s="537" t="s">
        <v>73</v>
      </c>
      <c r="AV259" s="537" t="s">
        <v>73</v>
      </c>
      <c r="AW259" s="537" t="s">
        <v>73</v>
      </c>
      <c r="AX259" s="580">
        <v>4500</v>
      </c>
      <c r="AY259" s="503" t="s">
        <v>7</v>
      </c>
      <c r="AZ259" s="539" t="s">
        <v>74</v>
      </c>
      <c r="BA259" s="539"/>
      <c r="BB259" s="545"/>
      <c r="BC259" s="545"/>
      <c r="BD259" s="81" t="s">
        <v>1530</v>
      </c>
      <c r="BE259" s="576" t="s">
        <v>1531</v>
      </c>
      <c r="BG259" s="233" t="s">
        <v>1532</v>
      </c>
      <c r="BH259" s="233">
        <v>46170</v>
      </c>
      <c r="BK259" s="546" t="s">
        <v>790</v>
      </c>
      <c r="BL259" s="481" t="s">
        <v>791</v>
      </c>
      <c r="BM259" s="287" t="s">
        <v>1535</v>
      </c>
      <c r="BN259" s="547" t="s">
        <v>1536</v>
      </c>
      <c r="BO259" s="287" t="s">
        <v>1537</v>
      </c>
      <c r="BP259" s="548">
        <v>46170</v>
      </c>
      <c r="BQ259" s="482"/>
      <c r="BR259" s="965">
        <v>4899</v>
      </c>
      <c r="BS259" s="482"/>
      <c r="BT259" s="482"/>
      <c r="BU259" s="482" t="s">
        <v>1254</v>
      </c>
      <c r="BV259" s="414" t="s">
        <v>1544</v>
      </c>
      <c r="BW259" s="566" t="s">
        <v>1545</v>
      </c>
      <c r="BX259" s="566" t="s">
        <v>1546</v>
      </c>
      <c r="BY259" s="284">
        <v>41220505</v>
      </c>
      <c r="BZ259" s="284">
        <v>10412205052</v>
      </c>
      <c r="CA259" s="549"/>
      <c r="CB259" s="285">
        <v>46174</v>
      </c>
      <c r="CC259" s="285">
        <v>46203</v>
      </c>
      <c r="CD259" s="759"/>
      <c r="CE259" s="485">
        <f t="shared" si="415"/>
        <v>0</v>
      </c>
      <c r="CF259" s="484">
        <f t="shared" si="416"/>
        <v>0</v>
      </c>
      <c r="CG259" s="485"/>
      <c r="CH259" s="485">
        <f t="shared" si="417"/>
        <v>0</v>
      </c>
      <c r="CI259" s="485"/>
      <c r="CJ259" s="485">
        <f t="shared" si="418"/>
        <v>0</v>
      </c>
      <c r="CK259" s="484">
        <f t="shared" si="419"/>
        <v>0</v>
      </c>
      <c r="CL259" s="484">
        <f t="shared" si="420"/>
        <v>0</v>
      </c>
      <c r="CM259" s="1006"/>
      <c r="CN259" s="485">
        <f t="shared" si="421"/>
        <v>30</v>
      </c>
      <c r="CO259" s="484">
        <v>4500</v>
      </c>
      <c r="CP259" s="485">
        <v>30</v>
      </c>
      <c r="CQ259" s="485">
        <f t="shared" si="422"/>
        <v>4500</v>
      </c>
      <c r="CR259" s="485">
        <v>30</v>
      </c>
      <c r="CS259" s="485">
        <f t="shared" si="423"/>
        <v>4500</v>
      </c>
      <c r="CT259" s="484">
        <f t="shared" si="424"/>
        <v>0</v>
      </c>
      <c r="CU259" s="484">
        <f t="shared" si="425"/>
        <v>0</v>
      </c>
      <c r="CV259" s="1006"/>
      <c r="CW259" s="1014">
        <f t="shared" ref="CW259" si="436">AX259</f>
        <v>4500</v>
      </c>
      <c r="CX259" s="1015">
        <f t="shared" ref="CX259" si="437">CH259+CQ259</f>
        <v>4500</v>
      </c>
      <c r="CY259" s="1015">
        <f t="shared" ref="CY259" si="438">CJ259+CS259</f>
        <v>4500</v>
      </c>
      <c r="CZ259" s="1014">
        <f t="shared" ref="CZ259" si="439">CW259-CX259</f>
        <v>0</v>
      </c>
      <c r="DA259" s="1014">
        <f t="shared" ref="DA259" si="440">CW259-CY259</f>
        <v>0</v>
      </c>
    </row>
    <row r="260" spans="1:108" s="81" customFormat="1" ht="24.75" hidden="1" customHeight="1" x14ac:dyDescent="0.25">
      <c r="A260" s="537">
        <v>2026</v>
      </c>
      <c r="B260" s="537">
        <v>479</v>
      </c>
      <c r="C260" s="537" t="s">
        <v>64</v>
      </c>
      <c r="D260" s="537" t="s">
        <v>65</v>
      </c>
      <c r="E260" s="537">
        <v>125</v>
      </c>
      <c r="F260" s="537">
        <v>3000654</v>
      </c>
      <c r="G260" s="537">
        <v>5005023</v>
      </c>
      <c r="H260" s="537">
        <v>3</v>
      </c>
      <c r="I260" s="537">
        <v>12</v>
      </c>
      <c r="J260" s="537">
        <v>24</v>
      </c>
      <c r="K260" s="537">
        <v>135560</v>
      </c>
      <c r="L260" s="537" t="s">
        <v>66</v>
      </c>
      <c r="M260" s="538" t="s">
        <v>67</v>
      </c>
      <c r="N260" s="537">
        <v>95</v>
      </c>
      <c r="O260" s="539"/>
      <c r="P260" s="539" t="s">
        <v>4</v>
      </c>
      <c r="Q260" s="537" t="s">
        <v>68</v>
      </c>
      <c r="R260" s="540" t="s">
        <v>69</v>
      </c>
      <c r="S260" s="540" t="s">
        <v>137</v>
      </c>
      <c r="T260" s="540"/>
      <c r="U260" s="538" t="s">
        <v>1540</v>
      </c>
      <c r="V260" s="540" t="s">
        <v>3</v>
      </c>
      <c r="W260" s="541">
        <v>1</v>
      </c>
      <c r="X260" s="542">
        <v>4500</v>
      </c>
      <c r="Y260" s="539"/>
      <c r="Z260" s="539"/>
      <c r="AA260" s="539"/>
      <c r="AB260" s="539"/>
      <c r="AC260" s="540">
        <v>0</v>
      </c>
      <c r="AD260" s="572">
        <v>30</v>
      </c>
      <c r="AE260" s="543"/>
      <c r="AF260" s="543"/>
      <c r="AG260" s="543"/>
      <c r="AH260" s="543"/>
      <c r="AI260" s="543"/>
      <c r="AJ260" s="543"/>
      <c r="AK260" s="577" t="s">
        <v>585</v>
      </c>
      <c r="AL260" s="578" t="s">
        <v>73</v>
      </c>
      <c r="AM260" s="578" t="s">
        <v>73</v>
      </c>
      <c r="AN260" s="578" t="s">
        <v>73</v>
      </c>
      <c r="AO260" s="578" t="s">
        <v>73</v>
      </c>
      <c r="AP260" s="579">
        <v>0</v>
      </c>
      <c r="AQ260" s="577">
        <v>4500</v>
      </c>
      <c r="AR260" s="537" t="s">
        <v>73</v>
      </c>
      <c r="AS260" s="537" t="s">
        <v>73</v>
      </c>
      <c r="AT260" s="537" t="s">
        <v>73</v>
      </c>
      <c r="AU260" s="537" t="s">
        <v>73</v>
      </c>
      <c r="AV260" s="537" t="s">
        <v>73</v>
      </c>
      <c r="AW260" s="537" t="s">
        <v>73</v>
      </c>
      <c r="AX260" s="580">
        <v>4500</v>
      </c>
      <c r="AY260" s="503" t="s">
        <v>7</v>
      </c>
      <c r="AZ260" s="539" t="s">
        <v>74</v>
      </c>
      <c r="BA260" s="539"/>
      <c r="BB260" s="545"/>
      <c r="BC260" s="545"/>
      <c r="BD260" s="81" t="s">
        <v>1530</v>
      </c>
      <c r="BE260" s="576" t="s">
        <v>1531</v>
      </c>
      <c r="BG260" s="233" t="s">
        <v>1532</v>
      </c>
      <c r="BH260" s="233">
        <v>46170</v>
      </c>
      <c r="BK260" s="546" t="s">
        <v>790</v>
      </c>
      <c r="BL260" s="481" t="s">
        <v>791</v>
      </c>
      <c r="BM260" s="287" t="s">
        <v>1535</v>
      </c>
      <c r="BN260" s="547" t="s">
        <v>1536</v>
      </c>
      <c r="BO260" s="287" t="s">
        <v>1537</v>
      </c>
      <c r="BP260" s="548">
        <v>46170</v>
      </c>
      <c r="BQ260" s="482"/>
      <c r="BR260" s="965">
        <v>4900</v>
      </c>
      <c r="BS260" s="482"/>
      <c r="BT260" s="482"/>
      <c r="BU260" s="482" t="s">
        <v>1254</v>
      </c>
      <c r="BV260" s="414" t="s">
        <v>1547</v>
      </c>
      <c r="BW260" s="566" t="s">
        <v>1548</v>
      </c>
      <c r="BX260" s="566" t="s">
        <v>1549</v>
      </c>
      <c r="BY260" s="284">
        <v>43204279</v>
      </c>
      <c r="BZ260" s="284">
        <v>10432042796</v>
      </c>
      <c r="CA260" s="549"/>
      <c r="CB260" s="285">
        <v>46174</v>
      </c>
      <c r="CC260" s="285">
        <v>46203</v>
      </c>
      <c r="CD260" s="759"/>
      <c r="CE260" s="485">
        <f t="shared" si="415"/>
        <v>0</v>
      </c>
      <c r="CF260" s="484">
        <f t="shared" si="416"/>
        <v>0</v>
      </c>
      <c r="CG260" s="485"/>
      <c r="CH260" s="485">
        <f t="shared" si="417"/>
        <v>0</v>
      </c>
      <c r="CI260" s="485"/>
      <c r="CJ260" s="485">
        <f t="shared" si="418"/>
        <v>0</v>
      </c>
      <c r="CK260" s="484">
        <f t="shared" si="419"/>
        <v>0</v>
      </c>
      <c r="CL260" s="484">
        <f t="shared" si="420"/>
        <v>0</v>
      </c>
      <c r="CM260" s="1006"/>
      <c r="CN260" s="485">
        <f t="shared" si="421"/>
        <v>30</v>
      </c>
      <c r="CO260" s="484">
        <v>4500</v>
      </c>
      <c r="CP260" s="485">
        <v>30</v>
      </c>
      <c r="CQ260" s="485">
        <f t="shared" si="422"/>
        <v>4500</v>
      </c>
      <c r="CR260" s="485">
        <v>30</v>
      </c>
      <c r="CS260" s="485">
        <f t="shared" si="423"/>
        <v>4500</v>
      </c>
      <c r="CT260" s="484">
        <f t="shared" si="424"/>
        <v>0</v>
      </c>
      <c r="CU260" s="484">
        <f t="shared" si="425"/>
        <v>0</v>
      </c>
      <c r="CV260" s="1006"/>
      <c r="CW260" s="1014">
        <f t="shared" ref="CW260" si="441">AX260</f>
        <v>4500</v>
      </c>
      <c r="CX260" s="1015">
        <f t="shared" ref="CX260" si="442">CH260+CQ260</f>
        <v>4500</v>
      </c>
      <c r="CY260" s="1015">
        <f t="shared" ref="CY260" si="443">CJ260+CS260</f>
        <v>4500</v>
      </c>
      <c r="CZ260" s="1014">
        <f t="shared" ref="CZ260" si="444">CW260-CX260</f>
        <v>0</v>
      </c>
      <c r="DA260" s="1014">
        <f t="shared" ref="DA260" si="445">CW260-CY260</f>
        <v>0</v>
      </c>
    </row>
    <row r="261" spans="1:108" s="81" customFormat="1" ht="18" hidden="1" customHeight="1" x14ac:dyDescent="0.25">
      <c r="A261" s="537">
        <v>2026</v>
      </c>
      <c r="B261" s="537">
        <v>479</v>
      </c>
      <c r="C261" s="537" t="s">
        <v>64</v>
      </c>
      <c r="D261" s="537" t="s">
        <v>65</v>
      </c>
      <c r="E261" s="537">
        <v>125</v>
      </c>
      <c r="F261" s="537">
        <v>3000654</v>
      </c>
      <c r="G261" s="537">
        <v>5005023</v>
      </c>
      <c r="H261" s="537">
        <v>3</v>
      </c>
      <c r="I261" s="537">
        <v>12</v>
      </c>
      <c r="J261" s="537">
        <v>24</v>
      </c>
      <c r="K261" s="537">
        <v>135560</v>
      </c>
      <c r="L261" s="537" t="s">
        <v>66</v>
      </c>
      <c r="M261" s="538" t="s">
        <v>67</v>
      </c>
      <c r="N261" s="537">
        <v>95</v>
      </c>
      <c r="O261" s="539"/>
      <c r="P261" s="539" t="s">
        <v>4</v>
      </c>
      <c r="Q261" s="537" t="s">
        <v>68</v>
      </c>
      <c r="R261" s="540" t="s">
        <v>69</v>
      </c>
      <c r="S261" s="540" t="s">
        <v>137</v>
      </c>
      <c r="T261" s="540"/>
      <c r="U261" s="538" t="s">
        <v>1540</v>
      </c>
      <c r="V261" s="540" t="s">
        <v>3</v>
      </c>
      <c r="W261" s="541">
        <v>1</v>
      </c>
      <c r="X261" s="542">
        <v>4500</v>
      </c>
      <c r="Y261" s="539"/>
      <c r="Z261" s="539"/>
      <c r="AA261" s="539"/>
      <c r="AB261" s="539"/>
      <c r="AC261" s="540">
        <v>0</v>
      </c>
      <c r="AD261" s="572">
        <v>30</v>
      </c>
      <c r="AE261" s="543"/>
      <c r="AF261" s="543"/>
      <c r="AG261" s="543"/>
      <c r="AH261" s="543"/>
      <c r="AI261" s="543"/>
      <c r="AJ261" s="543"/>
      <c r="AK261" s="577" t="s">
        <v>585</v>
      </c>
      <c r="AL261" s="578" t="s">
        <v>73</v>
      </c>
      <c r="AM261" s="578" t="s">
        <v>73</v>
      </c>
      <c r="AN261" s="578" t="s">
        <v>73</v>
      </c>
      <c r="AO261" s="578" t="s">
        <v>73</v>
      </c>
      <c r="AP261" s="579">
        <v>0</v>
      </c>
      <c r="AQ261" s="577">
        <v>4500</v>
      </c>
      <c r="AR261" s="537" t="s">
        <v>73</v>
      </c>
      <c r="AS261" s="537" t="s">
        <v>73</v>
      </c>
      <c r="AT261" s="537" t="s">
        <v>73</v>
      </c>
      <c r="AU261" s="537" t="s">
        <v>73</v>
      </c>
      <c r="AV261" s="537" t="s">
        <v>73</v>
      </c>
      <c r="AW261" s="537" t="s">
        <v>73</v>
      </c>
      <c r="AX261" s="580">
        <v>4500</v>
      </c>
      <c r="AY261" s="503" t="s">
        <v>7</v>
      </c>
      <c r="AZ261" s="539" t="s">
        <v>74</v>
      </c>
      <c r="BA261" s="539"/>
      <c r="BB261" s="545"/>
      <c r="BC261" s="545"/>
      <c r="BD261" s="81" t="s">
        <v>1530</v>
      </c>
      <c r="BE261" s="576" t="s">
        <v>1531</v>
      </c>
      <c r="BG261" s="233" t="s">
        <v>1532</v>
      </c>
      <c r="BH261" s="233">
        <v>46170</v>
      </c>
      <c r="BK261" s="546" t="s">
        <v>790</v>
      </c>
      <c r="BL261" s="481" t="s">
        <v>791</v>
      </c>
      <c r="BM261" s="287" t="s">
        <v>1535</v>
      </c>
      <c r="BN261" s="547" t="s">
        <v>1536</v>
      </c>
      <c r="BO261" s="287" t="s">
        <v>1537</v>
      </c>
      <c r="BP261" s="548">
        <v>46170</v>
      </c>
      <c r="BQ261" s="482"/>
      <c r="BR261" s="965">
        <v>4901</v>
      </c>
      <c r="BS261" s="482"/>
      <c r="BT261" s="482"/>
      <c r="BU261" s="482" t="s">
        <v>1254</v>
      </c>
      <c r="BV261" s="414" t="s">
        <v>910</v>
      </c>
      <c r="BW261" s="566" t="s">
        <v>830</v>
      </c>
      <c r="BX261" s="566" t="s">
        <v>1550</v>
      </c>
      <c r="BY261" s="284">
        <v>77418580</v>
      </c>
      <c r="BZ261" s="284">
        <v>10774185807</v>
      </c>
      <c r="CA261" s="549"/>
      <c r="CB261" s="285">
        <v>46174</v>
      </c>
      <c r="CC261" s="285">
        <v>46203</v>
      </c>
      <c r="CD261" s="759"/>
      <c r="CE261" s="485">
        <f t="shared" si="415"/>
        <v>0</v>
      </c>
      <c r="CF261" s="484">
        <f t="shared" si="416"/>
        <v>0</v>
      </c>
      <c r="CG261" s="485"/>
      <c r="CH261" s="485">
        <f t="shared" si="417"/>
        <v>0</v>
      </c>
      <c r="CI261" s="485"/>
      <c r="CJ261" s="485">
        <f t="shared" si="418"/>
        <v>0</v>
      </c>
      <c r="CK261" s="484">
        <f t="shared" si="419"/>
        <v>0</v>
      </c>
      <c r="CL261" s="484">
        <f t="shared" si="420"/>
        <v>0</v>
      </c>
      <c r="CM261" s="1006"/>
      <c r="CN261" s="485">
        <f t="shared" si="421"/>
        <v>30</v>
      </c>
      <c r="CO261" s="484">
        <v>4500</v>
      </c>
      <c r="CP261" s="485">
        <v>30</v>
      </c>
      <c r="CQ261" s="485">
        <f t="shared" si="422"/>
        <v>4500</v>
      </c>
      <c r="CR261" s="485">
        <v>30</v>
      </c>
      <c r="CS261" s="485">
        <f t="shared" si="423"/>
        <v>4500</v>
      </c>
      <c r="CT261" s="484">
        <f t="shared" si="424"/>
        <v>0</v>
      </c>
      <c r="CU261" s="484">
        <f t="shared" si="425"/>
        <v>0</v>
      </c>
      <c r="CV261" s="1006"/>
      <c r="CW261" s="1014">
        <f t="shared" ref="CW261" si="446">AX261</f>
        <v>4500</v>
      </c>
      <c r="CX261" s="1015">
        <f t="shared" ref="CX261" si="447">CH261+CQ261</f>
        <v>4500</v>
      </c>
      <c r="CY261" s="1015">
        <f t="shared" ref="CY261" si="448">CJ261+CS261</f>
        <v>4500</v>
      </c>
      <c r="CZ261" s="1014">
        <f t="shared" ref="CZ261" si="449">CW261-CX261</f>
        <v>0</v>
      </c>
      <c r="DA261" s="1014">
        <f t="shared" ref="DA261" si="450">CW261-CY261</f>
        <v>0</v>
      </c>
    </row>
    <row r="262" spans="1:108" s="81" customFormat="1" ht="22.5" hidden="1" customHeight="1" x14ac:dyDescent="0.25">
      <c r="A262" s="537">
        <v>2026</v>
      </c>
      <c r="B262" s="537">
        <v>479</v>
      </c>
      <c r="C262" s="537" t="s">
        <v>64</v>
      </c>
      <c r="D262" s="537" t="s">
        <v>65</v>
      </c>
      <c r="E262" s="537">
        <v>125</v>
      </c>
      <c r="F262" s="537">
        <v>3000654</v>
      </c>
      <c r="G262" s="537">
        <v>5005023</v>
      </c>
      <c r="H262" s="537">
        <v>3</v>
      </c>
      <c r="I262" s="537">
        <v>12</v>
      </c>
      <c r="J262" s="537">
        <v>24</v>
      </c>
      <c r="K262" s="537">
        <v>135560</v>
      </c>
      <c r="L262" s="537" t="s">
        <v>66</v>
      </c>
      <c r="M262" s="538" t="s">
        <v>67</v>
      </c>
      <c r="N262" s="537">
        <v>95</v>
      </c>
      <c r="O262" s="539"/>
      <c r="P262" s="539" t="s">
        <v>4</v>
      </c>
      <c r="Q262" s="537" t="s">
        <v>68</v>
      </c>
      <c r="R262" s="540" t="s">
        <v>69</v>
      </c>
      <c r="S262" s="540" t="s">
        <v>137</v>
      </c>
      <c r="T262" s="540"/>
      <c r="U262" s="538" t="s">
        <v>1540</v>
      </c>
      <c r="V262" s="540" t="s">
        <v>3</v>
      </c>
      <c r="W262" s="541">
        <v>1</v>
      </c>
      <c r="X262" s="542">
        <v>4500</v>
      </c>
      <c r="Y262" s="539"/>
      <c r="Z262" s="539"/>
      <c r="AA262" s="539"/>
      <c r="AB262" s="539"/>
      <c r="AC262" s="540">
        <v>0</v>
      </c>
      <c r="AD262" s="572">
        <v>30</v>
      </c>
      <c r="AE262" s="543"/>
      <c r="AF262" s="543"/>
      <c r="AG262" s="543"/>
      <c r="AH262" s="543"/>
      <c r="AI262" s="543"/>
      <c r="AJ262" s="543"/>
      <c r="AK262" s="577" t="s">
        <v>585</v>
      </c>
      <c r="AL262" s="578" t="s">
        <v>73</v>
      </c>
      <c r="AM262" s="578" t="s">
        <v>73</v>
      </c>
      <c r="AN262" s="578" t="s">
        <v>73</v>
      </c>
      <c r="AO262" s="578" t="s">
        <v>73</v>
      </c>
      <c r="AP262" s="579">
        <v>0</v>
      </c>
      <c r="AQ262" s="577">
        <v>4500</v>
      </c>
      <c r="AR262" s="537" t="s">
        <v>73</v>
      </c>
      <c r="AS262" s="537" t="s">
        <v>73</v>
      </c>
      <c r="AT262" s="537" t="s">
        <v>73</v>
      </c>
      <c r="AU262" s="537" t="s">
        <v>73</v>
      </c>
      <c r="AV262" s="537" t="s">
        <v>73</v>
      </c>
      <c r="AW262" s="537" t="s">
        <v>73</v>
      </c>
      <c r="AX262" s="580">
        <v>4500</v>
      </c>
      <c r="AY262" s="503" t="s">
        <v>7</v>
      </c>
      <c r="AZ262" s="539" t="s">
        <v>74</v>
      </c>
      <c r="BA262" s="539"/>
      <c r="BB262" s="545"/>
      <c r="BC262" s="545"/>
      <c r="BD262" s="81" t="s">
        <v>1530</v>
      </c>
      <c r="BE262" s="576" t="s">
        <v>1531</v>
      </c>
      <c r="BG262" s="233" t="s">
        <v>1532</v>
      </c>
      <c r="BH262" s="233">
        <v>46170</v>
      </c>
      <c r="BK262" s="546" t="s">
        <v>790</v>
      </c>
      <c r="BL262" s="481" t="s">
        <v>791</v>
      </c>
      <c r="BM262" s="287" t="s">
        <v>1535</v>
      </c>
      <c r="BN262" s="547" t="s">
        <v>1536</v>
      </c>
      <c r="BO262" s="287" t="s">
        <v>1537</v>
      </c>
      <c r="BP262" s="548">
        <v>46170</v>
      </c>
      <c r="BQ262" s="482"/>
      <c r="BR262" s="965">
        <v>4902</v>
      </c>
      <c r="BS262" s="482"/>
      <c r="BT262" s="482"/>
      <c r="BU262" s="482" t="s">
        <v>1254</v>
      </c>
      <c r="BV262" s="414" t="s">
        <v>836</v>
      </c>
      <c r="BW262" s="566" t="s">
        <v>1551</v>
      </c>
      <c r="BX262" s="566" t="s">
        <v>1552</v>
      </c>
      <c r="BY262" s="284">
        <v>47817178</v>
      </c>
      <c r="BZ262" s="284">
        <v>10478171787</v>
      </c>
      <c r="CA262" s="549"/>
      <c r="CB262" s="285">
        <v>46174</v>
      </c>
      <c r="CC262" s="285">
        <v>46203</v>
      </c>
      <c r="CD262" s="759"/>
      <c r="CE262" s="485">
        <f t="shared" si="415"/>
        <v>0</v>
      </c>
      <c r="CF262" s="484">
        <f t="shared" si="416"/>
        <v>0</v>
      </c>
      <c r="CG262" s="485"/>
      <c r="CH262" s="485">
        <f t="shared" si="417"/>
        <v>0</v>
      </c>
      <c r="CI262" s="485"/>
      <c r="CJ262" s="485">
        <f t="shared" si="418"/>
        <v>0</v>
      </c>
      <c r="CK262" s="484">
        <f t="shared" si="419"/>
        <v>0</v>
      </c>
      <c r="CL262" s="484">
        <f t="shared" si="420"/>
        <v>0</v>
      </c>
      <c r="CM262" s="1006"/>
      <c r="CN262" s="485">
        <f t="shared" si="421"/>
        <v>30</v>
      </c>
      <c r="CO262" s="484">
        <v>4500</v>
      </c>
      <c r="CP262" s="485">
        <v>30</v>
      </c>
      <c r="CQ262" s="485">
        <f t="shared" si="422"/>
        <v>4500</v>
      </c>
      <c r="CR262" s="485">
        <v>30</v>
      </c>
      <c r="CS262" s="485">
        <f t="shared" si="423"/>
        <v>4500</v>
      </c>
      <c r="CT262" s="484">
        <f t="shared" si="424"/>
        <v>0</v>
      </c>
      <c r="CU262" s="484">
        <f t="shared" si="425"/>
        <v>0</v>
      </c>
      <c r="CV262" s="1006"/>
      <c r="CW262" s="1014">
        <f t="shared" ref="CW262" si="451">AX262</f>
        <v>4500</v>
      </c>
      <c r="CX262" s="1015">
        <f t="shared" ref="CX262" si="452">CH262+CQ262</f>
        <v>4500</v>
      </c>
      <c r="CY262" s="1015">
        <f t="shared" ref="CY262" si="453">CJ262+CS262</f>
        <v>4500</v>
      </c>
      <c r="CZ262" s="1014">
        <f t="shared" ref="CZ262" si="454">CW262-CX262</f>
        <v>0</v>
      </c>
      <c r="DA262" s="1014">
        <f t="shared" ref="DA262" si="455">CW262-CY262</f>
        <v>0</v>
      </c>
    </row>
    <row r="263" spans="1:108" s="81" customFormat="1" ht="18" hidden="1" customHeight="1" x14ac:dyDescent="0.25">
      <c r="A263" s="537">
        <v>2026</v>
      </c>
      <c r="B263" s="537">
        <v>479</v>
      </c>
      <c r="C263" s="537" t="s">
        <v>64</v>
      </c>
      <c r="D263" s="537" t="s">
        <v>65</v>
      </c>
      <c r="E263" s="537">
        <v>125</v>
      </c>
      <c r="F263" s="537">
        <v>3000654</v>
      </c>
      <c r="G263" s="537">
        <v>5005023</v>
      </c>
      <c r="H263" s="537">
        <v>3</v>
      </c>
      <c r="I263" s="537">
        <v>12</v>
      </c>
      <c r="J263" s="537">
        <v>24</v>
      </c>
      <c r="K263" s="537">
        <v>135560</v>
      </c>
      <c r="L263" s="537" t="s">
        <v>66</v>
      </c>
      <c r="M263" s="538" t="s">
        <v>67</v>
      </c>
      <c r="N263" s="537">
        <v>95</v>
      </c>
      <c r="O263" s="539"/>
      <c r="P263" s="539" t="s">
        <v>4</v>
      </c>
      <c r="Q263" s="537" t="s">
        <v>68</v>
      </c>
      <c r="R263" s="540" t="s">
        <v>69</v>
      </c>
      <c r="S263" s="540" t="s">
        <v>137</v>
      </c>
      <c r="T263" s="540"/>
      <c r="U263" s="538" t="s">
        <v>1540</v>
      </c>
      <c r="V263" s="540" t="s">
        <v>3</v>
      </c>
      <c r="W263" s="541">
        <v>1</v>
      </c>
      <c r="X263" s="542">
        <v>4500</v>
      </c>
      <c r="Y263" s="539"/>
      <c r="Z263" s="539"/>
      <c r="AA263" s="539"/>
      <c r="AB263" s="539"/>
      <c r="AC263" s="540">
        <v>0</v>
      </c>
      <c r="AD263" s="572">
        <v>30</v>
      </c>
      <c r="AE263" s="543"/>
      <c r="AF263" s="543"/>
      <c r="AG263" s="543"/>
      <c r="AH263" s="543"/>
      <c r="AI263" s="543"/>
      <c r="AJ263" s="543"/>
      <c r="AK263" s="577" t="s">
        <v>585</v>
      </c>
      <c r="AL263" s="578" t="s">
        <v>73</v>
      </c>
      <c r="AM263" s="578" t="s">
        <v>73</v>
      </c>
      <c r="AN263" s="578" t="s">
        <v>73</v>
      </c>
      <c r="AO263" s="578" t="s">
        <v>73</v>
      </c>
      <c r="AP263" s="579">
        <v>0</v>
      </c>
      <c r="AQ263" s="577">
        <v>4500</v>
      </c>
      <c r="AR263" s="537" t="s">
        <v>73</v>
      </c>
      <c r="AS263" s="537" t="s">
        <v>73</v>
      </c>
      <c r="AT263" s="537" t="s">
        <v>73</v>
      </c>
      <c r="AU263" s="537" t="s">
        <v>73</v>
      </c>
      <c r="AV263" s="537" t="s">
        <v>73</v>
      </c>
      <c r="AW263" s="537" t="s">
        <v>73</v>
      </c>
      <c r="AX263" s="580">
        <v>4500</v>
      </c>
      <c r="AY263" s="503" t="s">
        <v>7</v>
      </c>
      <c r="AZ263" s="539" t="s">
        <v>74</v>
      </c>
      <c r="BA263" s="539"/>
      <c r="BB263" s="545"/>
      <c r="BC263" s="545"/>
      <c r="BD263" s="81" t="s">
        <v>1530</v>
      </c>
      <c r="BE263" s="576" t="s">
        <v>1531</v>
      </c>
      <c r="BG263" s="233" t="s">
        <v>1532</v>
      </c>
      <c r="BH263" s="233">
        <v>46170</v>
      </c>
      <c r="BK263" s="546" t="s">
        <v>790</v>
      </c>
      <c r="BL263" s="481" t="s">
        <v>791</v>
      </c>
      <c r="BM263" s="287" t="s">
        <v>1535</v>
      </c>
      <c r="BN263" s="547" t="s">
        <v>1536</v>
      </c>
      <c r="BO263" s="287" t="s">
        <v>1537</v>
      </c>
      <c r="BP263" s="548">
        <v>46170</v>
      </c>
      <c r="BQ263" s="482"/>
      <c r="BR263" s="965">
        <v>4903</v>
      </c>
      <c r="BS263" s="482"/>
      <c r="BT263" s="482"/>
      <c r="BU263" s="482" t="s">
        <v>1254</v>
      </c>
      <c r="BV263" s="414" t="s">
        <v>1553</v>
      </c>
      <c r="BW263" s="566" t="s">
        <v>1554</v>
      </c>
      <c r="BX263" s="566" t="s">
        <v>1555</v>
      </c>
      <c r="BY263" s="284">
        <v>46710125</v>
      </c>
      <c r="BZ263" s="284">
        <v>10467101256</v>
      </c>
      <c r="CA263" s="549"/>
      <c r="CB263" s="285">
        <v>46174</v>
      </c>
      <c r="CC263" s="285">
        <v>46203</v>
      </c>
      <c r="CD263" s="759"/>
      <c r="CE263" s="485">
        <f t="shared" si="415"/>
        <v>0</v>
      </c>
      <c r="CF263" s="484">
        <f t="shared" si="416"/>
        <v>0</v>
      </c>
      <c r="CG263" s="485"/>
      <c r="CH263" s="485">
        <f t="shared" si="417"/>
        <v>0</v>
      </c>
      <c r="CI263" s="485"/>
      <c r="CJ263" s="485">
        <f t="shared" si="418"/>
        <v>0</v>
      </c>
      <c r="CK263" s="484">
        <f t="shared" si="419"/>
        <v>0</v>
      </c>
      <c r="CL263" s="484">
        <f t="shared" si="420"/>
        <v>0</v>
      </c>
      <c r="CM263" s="1006"/>
      <c r="CN263" s="485">
        <f t="shared" si="421"/>
        <v>30</v>
      </c>
      <c r="CO263" s="484">
        <v>4500</v>
      </c>
      <c r="CP263" s="485">
        <v>30</v>
      </c>
      <c r="CQ263" s="485">
        <f t="shared" si="422"/>
        <v>4500</v>
      </c>
      <c r="CR263" s="485">
        <v>30</v>
      </c>
      <c r="CS263" s="485">
        <f t="shared" si="423"/>
        <v>4500</v>
      </c>
      <c r="CT263" s="484">
        <f t="shared" si="424"/>
        <v>0</v>
      </c>
      <c r="CU263" s="484">
        <f t="shared" si="425"/>
        <v>0</v>
      </c>
      <c r="CV263" s="1006"/>
      <c r="CW263" s="1014">
        <f t="shared" ref="CW263" si="456">AX263</f>
        <v>4500</v>
      </c>
      <c r="CX263" s="1015">
        <f t="shared" ref="CX263" si="457">CH263+CQ263</f>
        <v>4500</v>
      </c>
      <c r="CY263" s="1015">
        <f t="shared" ref="CY263" si="458">CJ263+CS263</f>
        <v>4500</v>
      </c>
      <c r="CZ263" s="1014">
        <f t="shared" ref="CZ263" si="459">CW263-CX263</f>
        <v>0</v>
      </c>
      <c r="DA263" s="1014">
        <f t="shared" ref="DA263" si="460">CW263-CY263</f>
        <v>0</v>
      </c>
    </row>
    <row r="264" spans="1:108" s="81" customFormat="1" ht="26.25" hidden="1" customHeight="1" x14ac:dyDescent="0.25">
      <c r="A264" s="537">
        <v>2026</v>
      </c>
      <c r="B264" s="537">
        <v>479</v>
      </c>
      <c r="C264" s="537" t="s">
        <v>64</v>
      </c>
      <c r="D264" s="537" t="s">
        <v>65</v>
      </c>
      <c r="E264" s="537">
        <v>125</v>
      </c>
      <c r="F264" s="537">
        <v>3000654</v>
      </c>
      <c r="G264" s="537">
        <v>5005023</v>
      </c>
      <c r="H264" s="537">
        <v>3</v>
      </c>
      <c r="I264" s="537">
        <v>12</v>
      </c>
      <c r="J264" s="537">
        <v>24</v>
      </c>
      <c r="K264" s="537">
        <v>135560</v>
      </c>
      <c r="L264" s="537" t="s">
        <v>66</v>
      </c>
      <c r="M264" s="538" t="s">
        <v>67</v>
      </c>
      <c r="N264" s="537">
        <v>95</v>
      </c>
      <c r="O264" s="539"/>
      <c r="P264" s="539" t="s">
        <v>4</v>
      </c>
      <c r="Q264" s="537" t="s">
        <v>68</v>
      </c>
      <c r="R264" s="540" t="s">
        <v>69</v>
      </c>
      <c r="S264" s="540" t="s">
        <v>137</v>
      </c>
      <c r="T264" s="540"/>
      <c r="U264" s="538" t="s">
        <v>1540</v>
      </c>
      <c r="V264" s="540" t="s">
        <v>3</v>
      </c>
      <c r="W264" s="541">
        <v>1</v>
      </c>
      <c r="X264" s="542">
        <v>4500</v>
      </c>
      <c r="Y264" s="539"/>
      <c r="Z264" s="539"/>
      <c r="AA264" s="539"/>
      <c r="AB264" s="539"/>
      <c r="AC264" s="540">
        <v>0</v>
      </c>
      <c r="AD264" s="572">
        <v>30</v>
      </c>
      <c r="AE264" s="543"/>
      <c r="AF264" s="543"/>
      <c r="AG264" s="543"/>
      <c r="AH264" s="543"/>
      <c r="AI264" s="543"/>
      <c r="AJ264" s="543"/>
      <c r="AK264" s="577" t="s">
        <v>585</v>
      </c>
      <c r="AL264" s="578" t="s">
        <v>73</v>
      </c>
      <c r="AM264" s="578" t="s">
        <v>73</v>
      </c>
      <c r="AN264" s="578" t="s">
        <v>73</v>
      </c>
      <c r="AO264" s="578" t="s">
        <v>73</v>
      </c>
      <c r="AP264" s="579">
        <v>0</v>
      </c>
      <c r="AQ264" s="577">
        <v>4500</v>
      </c>
      <c r="AR264" s="537" t="s">
        <v>73</v>
      </c>
      <c r="AS264" s="537" t="s">
        <v>73</v>
      </c>
      <c r="AT264" s="537" t="s">
        <v>73</v>
      </c>
      <c r="AU264" s="537" t="s">
        <v>73</v>
      </c>
      <c r="AV264" s="537" t="s">
        <v>73</v>
      </c>
      <c r="AW264" s="537" t="s">
        <v>73</v>
      </c>
      <c r="AX264" s="580">
        <v>4500</v>
      </c>
      <c r="AY264" s="503" t="s">
        <v>7</v>
      </c>
      <c r="AZ264" s="539" t="s">
        <v>74</v>
      </c>
      <c r="BA264" s="539"/>
      <c r="BB264" s="545"/>
      <c r="BC264" s="545"/>
      <c r="BD264" s="81" t="s">
        <v>1530</v>
      </c>
      <c r="BE264" s="576" t="s">
        <v>1531</v>
      </c>
      <c r="BG264" s="233" t="s">
        <v>1532</v>
      </c>
      <c r="BH264" s="233">
        <v>46170</v>
      </c>
      <c r="BK264" s="546" t="s">
        <v>790</v>
      </c>
      <c r="BL264" s="481" t="s">
        <v>791</v>
      </c>
      <c r="BM264" s="287" t="s">
        <v>1535</v>
      </c>
      <c r="BN264" s="547" t="s">
        <v>1536</v>
      </c>
      <c r="BO264" s="287" t="s">
        <v>1537</v>
      </c>
      <c r="BP264" s="548">
        <v>46170</v>
      </c>
      <c r="BQ264" s="482"/>
      <c r="BR264" s="965">
        <v>4904</v>
      </c>
      <c r="BS264" s="482"/>
      <c r="BT264" s="482"/>
      <c r="BU264" s="482" t="s">
        <v>1254</v>
      </c>
      <c r="BV264" s="414" t="s">
        <v>872</v>
      </c>
      <c r="BW264" s="566" t="s">
        <v>1556</v>
      </c>
      <c r="BX264" s="566" t="s">
        <v>1557</v>
      </c>
      <c r="BY264" s="284">
        <v>72788476</v>
      </c>
      <c r="BZ264" s="284">
        <v>10727884764</v>
      </c>
      <c r="CA264" s="549"/>
      <c r="CB264" s="285">
        <v>46174</v>
      </c>
      <c r="CC264" s="285">
        <v>46203</v>
      </c>
      <c r="CD264" s="759"/>
      <c r="CE264" s="485">
        <f t="shared" si="415"/>
        <v>0</v>
      </c>
      <c r="CF264" s="484">
        <f t="shared" si="416"/>
        <v>0</v>
      </c>
      <c r="CG264" s="485"/>
      <c r="CH264" s="485">
        <f t="shared" si="417"/>
        <v>0</v>
      </c>
      <c r="CI264" s="485"/>
      <c r="CJ264" s="485">
        <f t="shared" si="418"/>
        <v>0</v>
      </c>
      <c r="CK264" s="484">
        <f t="shared" si="419"/>
        <v>0</v>
      </c>
      <c r="CL264" s="484">
        <f t="shared" si="420"/>
        <v>0</v>
      </c>
      <c r="CM264" s="1006"/>
      <c r="CN264" s="485">
        <f t="shared" si="421"/>
        <v>30</v>
      </c>
      <c r="CO264" s="484">
        <v>4500</v>
      </c>
      <c r="CP264" s="485">
        <v>30</v>
      </c>
      <c r="CQ264" s="485">
        <f t="shared" si="422"/>
        <v>4500</v>
      </c>
      <c r="CR264" s="485">
        <v>30</v>
      </c>
      <c r="CS264" s="485">
        <f t="shared" si="423"/>
        <v>4500</v>
      </c>
      <c r="CT264" s="484">
        <f t="shared" si="424"/>
        <v>0</v>
      </c>
      <c r="CU264" s="484">
        <f t="shared" si="425"/>
        <v>0</v>
      </c>
      <c r="CV264" s="1006"/>
      <c r="CW264" s="1014">
        <f t="shared" ref="CW264" si="461">AX264</f>
        <v>4500</v>
      </c>
      <c r="CX264" s="1015">
        <f t="shared" ref="CX264" si="462">CH264+CQ264</f>
        <v>4500</v>
      </c>
      <c r="CY264" s="1015">
        <f t="shared" ref="CY264" si="463">CJ264+CS264</f>
        <v>4500</v>
      </c>
      <c r="CZ264" s="1014">
        <f t="shared" ref="CZ264" si="464">CW264-CX264</f>
        <v>0</v>
      </c>
      <c r="DA264" s="1014">
        <f t="shared" ref="DA264" si="465">CW264-CY264</f>
        <v>0</v>
      </c>
    </row>
    <row r="265" spans="1:108" s="81" customFormat="1" ht="22.5" hidden="1" customHeight="1" x14ac:dyDescent="0.25">
      <c r="A265" s="537">
        <v>2026</v>
      </c>
      <c r="B265" s="537">
        <v>479</v>
      </c>
      <c r="C265" s="537" t="s">
        <v>64</v>
      </c>
      <c r="D265" s="537" t="s">
        <v>65</v>
      </c>
      <c r="E265" s="537">
        <v>125</v>
      </c>
      <c r="F265" s="537">
        <v>3000654</v>
      </c>
      <c r="G265" s="537">
        <v>5005023</v>
      </c>
      <c r="H265" s="537">
        <v>3</v>
      </c>
      <c r="I265" s="537">
        <v>12</v>
      </c>
      <c r="J265" s="537">
        <v>24</v>
      </c>
      <c r="K265" s="537">
        <v>135560</v>
      </c>
      <c r="L265" s="537" t="s">
        <v>66</v>
      </c>
      <c r="M265" s="538" t="s">
        <v>67</v>
      </c>
      <c r="N265" s="537">
        <v>95</v>
      </c>
      <c r="O265" s="539"/>
      <c r="P265" s="539" t="s">
        <v>4</v>
      </c>
      <c r="Q265" s="537" t="s">
        <v>68</v>
      </c>
      <c r="R265" s="540" t="s">
        <v>69</v>
      </c>
      <c r="S265" s="540" t="s">
        <v>137</v>
      </c>
      <c r="T265" s="540"/>
      <c r="U265" s="538" t="s">
        <v>1540</v>
      </c>
      <c r="V265" s="540" t="s">
        <v>3</v>
      </c>
      <c r="W265" s="541">
        <v>1</v>
      </c>
      <c r="X265" s="542">
        <v>4500</v>
      </c>
      <c r="Y265" s="539"/>
      <c r="Z265" s="539"/>
      <c r="AA265" s="539"/>
      <c r="AB265" s="539"/>
      <c r="AC265" s="540">
        <v>0</v>
      </c>
      <c r="AD265" s="572">
        <v>30</v>
      </c>
      <c r="AE265" s="543"/>
      <c r="AF265" s="543"/>
      <c r="AG265" s="543"/>
      <c r="AH265" s="543"/>
      <c r="AI265" s="543"/>
      <c r="AJ265" s="543"/>
      <c r="AK265" s="577" t="s">
        <v>585</v>
      </c>
      <c r="AL265" s="578" t="s">
        <v>73</v>
      </c>
      <c r="AM265" s="578" t="s">
        <v>73</v>
      </c>
      <c r="AN265" s="578" t="s">
        <v>73</v>
      </c>
      <c r="AO265" s="578" t="s">
        <v>73</v>
      </c>
      <c r="AP265" s="579">
        <v>0</v>
      </c>
      <c r="AQ265" s="577">
        <v>4500</v>
      </c>
      <c r="AR265" s="537" t="s">
        <v>73</v>
      </c>
      <c r="AS265" s="537" t="s">
        <v>73</v>
      </c>
      <c r="AT265" s="537" t="s">
        <v>73</v>
      </c>
      <c r="AU265" s="537" t="s">
        <v>73</v>
      </c>
      <c r="AV265" s="537" t="s">
        <v>73</v>
      </c>
      <c r="AW265" s="537" t="s">
        <v>73</v>
      </c>
      <c r="AX265" s="580">
        <v>4500</v>
      </c>
      <c r="AY265" s="503" t="s">
        <v>7</v>
      </c>
      <c r="AZ265" s="539" t="s">
        <v>74</v>
      </c>
      <c r="BA265" s="539"/>
      <c r="BB265" s="545"/>
      <c r="BC265" s="545"/>
      <c r="BD265" s="81" t="s">
        <v>1530</v>
      </c>
      <c r="BE265" s="576" t="s">
        <v>1531</v>
      </c>
      <c r="BG265" s="233" t="s">
        <v>1532</v>
      </c>
      <c r="BH265" s="233">
        <v>46170</v>
      </c>
      <c r="BK265" s="546" t="s">
        <v>790</v>
      </c>
      <c r="BL265" s="481" t="s">
        <v>791</v>
      </c>
      <c r="BM265" s="287" t="s">
        <v>1535</v>
      </c>
      <c r="BN265" s="547" t="s">
        <v>1536</v>
      </c>
      <c r="BO265" s="287" t="s">
        <v>1537</v>
      </c>
      <c r="BP265" s="548">
        <v>46170</v>
      </c>
      <c r="BQ265" s="482"/>
      <c r="BR265" s="965">
        <v>4905</v>
      </c>
      <c r="BS265" s="482"/>
      <c r="BT265" s="482"/>
      <c r="BU265" s="482" t="s">
        <v>1254</v>
      </c>
      <c r="BV265" s="414" t="s">
        <v>841</v>
      </c>
      <c r="BW265" s="566" t="s">
        <v>1558</v>
      </c>
      <c r="BX265" s="566" t="s">
        <v>1559</v>
      </c>
      <c r="BY265" s="284">
        <v>46599303</v>
      </c>
      <c r="BZ265" s="284">
        <v>10465993036</v>
      </c>
      <c r="CA265" s="549"/>
      <c r="CB265" s="285">
        <v>46174</v>
      </c>
      <c r="CC265" s="285">
        <v>46203</v>
      </c>
      <c r="CD265" s="759"/>
      <c r="CE265" s="485">
        <f t="shared" si="415"/>
        <v>0</v>
      </c>
      <c r="CF265" s="484">
        <f t="shared" si="416"/>
        <v>0</v>
      </c>
      <c r="CG265" s="485"/>
      <c r="CH265" s="485">
        <f t="shared" si="417"/>
        <v>0</v>
      </c>
      <c r="CI265" s="485"/>
      <c r="CJ265" s="485">
        <f t="shared" si="418"/>
        <v>0</v>
      </c>
      <c r="CK265" s="484">
        <f t="shared" si="419"/>
        <v>0</v>
      </c>
      <c r="CL265" s="484">
        <f t="shared" si="420"/>
        <v>0</v>
      </c>
      <c r="CM265" s="1006"/>
      <c r="CN265" s="485">
        <f t="shared" si="421"/>
        <v>30</v>
      </c>
      <c r="CO265" s="484">
        <v>4500</v>
      </c>
      <c r="CP265" s="485">
        <v>30</v>
      </c>
      <c r="CQ265" s="485">
        <f t="shared" si="422"/>
        <v>4500</v>
      </c>
      <c r="CR265" s="485">
        <v>30</v>
      </c>
      <c r="CS265" s="485">
        <f t="shared" si="423"/>
        <v>4500</v>
      </c>
      <c r="CT265" s="484">
        <f t="shared" si="424"/>
        <v>0</v>
      </c>
      <c r="CU265" s="484">
        <f t="shared" si="425"/>
        <v>0</v>
      </c>
      <c r="CV265" s="1006"/>
      <c r="CW265" s="1014">
        <f t="shared" ref="CW265" si="466">AX265</f>
        <v>4500</v>
      </c>
      <c r="CX265" s="1015">
        <f t="shared" ref="CX265" si="467">CH265+CQ265</f>
        <v>4500</v>
      </c>
      <c r="CY265" s="1015">
        <f t="shared" ref="CY265" si="468">CJ265+CS265</f>
        <v>4500</v>
      </c>
      <c r="CZ265" s="1014">
        <f t="shared" ref="CZ265" si="469">CW265-CX265</f>
        <v>0</v>
      </c>
      <c r="DA265" s="1014">
        <f t="shared" ref="DA265" si="470">CW265-CY265</f>
        <v>0</v>
      </c>
    </row>
    <row r="266" spans="1:108" s="81" customFormat="1" ht="24" hidden="1" customHeight="1" x14ac:dyDescent="0.25">
      <c r="A266" s="537">
        <v>2026</v>
      </c>
      <c r="B266" s="537">
        <v>479</v>
      </c>
      <c r="C266" s="537" t="s">
        <v>64</v>
      </c>
      <c r="D266" s="537" t="s">
        <v>65</v>
      </c>
      <c r="E266" s="537">
        <v>125</v>
      </c>
      <c r="F266" s="537">
        <v>3000654</v>
      </c>
      <c r="G266" s="537">
        <v>5005023</v>
      </c>
      <c r="H266" s="537">
        <v>3</v>
      </c>
      <c r="I266" s="537">
        <v>12</v>
      </c>
      <c r="J266" s="537">
        <v>24</v>
      </c>
      <c r="K266" s="537">
        <v>135560</v>
      </c>
      <c r="L266" s="537" t="s">
        <v>66</v>
      </c>
      <c r="M266" s="538" t="s">
        <v>67</v>
      </c>
      <c r="N266" s="537">
        <v>95</v>
      </c>
      <c r="O266" s="539"/>
      <c r="P266" s="539" t="s">
        <v>4</v>
      </c>
      <c r="Q266" s="537" t="s">
        <v>68</v>
      </c>
      <c r="R266" s="540" t="s">
        <v>69</v>
      </c>
      <c r="S266" s="540" t="s">
        <v>137</v>
      </c>
      <c r="T266" s="540"/>
      <c r="U266" s="538" t="s">
        <v>1540</v>
      </c>
      <c r="V266" s="540" t="s">
        <v>3</v>
      </c>
      <c r="W266" s="541">
        <v>1</v>
      </c>
      <c r="X266" s="542">
        <v>4500</v>
      </c>
      <c r="Y266" s="539"/>
      <c r="Z266" s="539"/>
      <c r="AA266" s="539"/>
      <c r="AB266" s="539"/>
      <c r="AC266" s="540">
        <v>0</v>
      </c>
      <c r="AD266" s="572">
        <v>30</v>
      </c>
      <c r="AE266" s="543"/>
      <c r="AF266" s="543"/>
      <c r="AG266" s="543"/>
      <c r="AH266" s="543"/>
      <c r="AI266" s="543"/>
      <c r="AJ266" s="543"/>
      <c r="AK266" s="577" t="s">
        <v>585</v>
      </c>
      <c r="AL266" s="578" t="s">
        <v>73</v>
      </c>
      <c r="AM266" s="578" t="s">
        <v>73</v>
      </c>
      <c r="AN266" s="578" t="s">
        <v>73</v>
      </c>
      <c r="AO266" s="578" t="s">
        <v>73</v>
      </c>
      <c r="AP266" s="579">
        <v>0</v>
      </c>
      <c r="AQ266" s="577">
        <v>4500</v>
      </c>
      <c r="AR266" s="537" t="s">
        <v>73</v>
      </c>
      <c r="AS266" s="537" t="s">
        <v>73</v>
      </c>
      <c r="AT266" s="537" t="s">
        <v>73</v>
      </c>
      <c r="AU266" s="537" t="s">
        <v>73</v>
      </c>
      <c r="AV266" s="537" t="s">
        <v>73</v>
      </c>
      <c r="AW266" s="537" t="s">
        <v>73</v>
      </c>
      <c r="AX266" s="580">
        <v>4500</v>
      </c>
      <c r="AY266" s="503" t="s">
        <v>7</v>
      </c>
      <c r="AZ266" s="539" t="s">
        <v>74</v>
      </c>
      <c r="BA266" s="539"/>
      <c r="BB266" s="545"/>
      <c r="BC266" s="545"/>
      <c r="BD266" s="81" t="s">
        <v>1530</v>
      </c>
      <c r="BE266" s="576" t="s">
        <v>1531</v>
      </c>
      <c r="BG266" s="233" t="s">
        <v>1532</v>
      </c>
      <c r="BH266" s="233">
        <v>46170</v>
      </c>
      <c r="BK266" s="546" t="s">
        <v>790</v>
      </c>
      <c r="BL266" s="481" t="s">
        <v>791</v>
      </c>
      <c r="BM266" s="287" t="s">
        <v>1535</v>
      </c>
      <c r="BN266" s="547" t="s">
        <v>1536</v>
      </c>
      <c r="BO266" s="287" t="s">
        <v>1537</v>
      </c>
      <c r="BP266" s="548">
        <v>46170</v>
      </c>
      <c r="BQ266" s="482"/>
      <c r="BR266" s="965">
        <v>4906</v>
      </c>
      <c r="BS266" s="482"/>
      <c r="BT266" s="286"/>
      <c r="BU266" s="482" t="s">
        <v>1254</v>
      </c>
      <c r="BV266" s="414" t="s">
        <v>1153</v>
      </c>
      <c r="BW266" s="566" t="s">
        <v>1560</v>
      </c>
      <c r="BX266" s="566" t="s">
        <v>1561</v>
      </c>
      <c r="BY266" s="284">
        <v>45337108</v>
      </c>
      <c r="BZ266" s="284">
        <v>10453371081</v>
      </c>
      <c r="CA266" s="549"/>
      <c r="CB266" s="285">
        <v>46174</v>
      </c>
      <c r="CC266" s="285">
        <v>46203</v>
      </c>
      <c r="CD266" s="759"/>
      <c r="CE266" s="485">
        <f t="shared" si="415"/>
        <v>0</v>
      </c>
      <c r="CF266" s="484">
        <f t="shared" si="416"/>
        <v>0</v>
      </c>
      <c r="CG266" s="485"/>
      <c r="CH266" s="485">
        <f t="shared" si="417"/>
        <v>0</v>
      </c>
      <c r="CI266" s="485"/>
      <c r="CJ266" s="485">
        <f t="shared" si="418"/>
        <v>0</v>
      </c>
      <c r="CK266" s="484">
        <f t="shared" si="419"/>
        <v>0</v>
      </c>
      <c r="CL266" s="484">
        <f t="shared" si="420"/>
        <v>0</v>
      </c>
      <c r="CM266" s="1006"/>
      <c r="CN266" s="485">
        <f t="shared" si="421"/>
        <v>30</v>
      </c>
      <c r="CO266" s="484">
        <v>4500</v>
      </c>
      <c r="CP266" s="485">
        <v>30</v>
      </c>
      <c r="CQ266" s="485">
        <f t="shared" si="422"/>
        <v>4500</v>
      </c>
      <c r="CR266" s="485">
        <v>30</v>
      </c>
      <c r="CS266" s="485">
        <f t="shared" si="423"/>
        <v>4500</v>
      </c>
      <c r="CT266" s="484">
        <f t="shared" si="424"/>
        <v>0</v>
      </c>
      <c r="CU266" s="484">
        <f t="shared" si="425"/>
        <v>0</v>
      </c>
      <c r="CV266" s="1006"/>
      <c r="CW266" s="1014">
        <f t="shared" ref="CW266" si="471">AX266</f>
        <v>4500</v>
      </c>
      <c r="CX266" s="1015">
        <f t="shared" ref="CX266" si="472">CH266+CQ266</f>
        <v>4500</v>
      </c>
      <c r="CY266" s="1015">
        <f t="shared" ref="CY266" si="473">CJ266+CS266</f>
        <v>4500</v>
      </c>
      <c r="CZ266" s="1014">
        <f t="shared" ref="CZ266" si="474">CW266-CX266</f>
        <v>0</v>
      </c>
      <c r="DA266" s="1014">
        <f t="shared" ref="DA266" si="475">CW266-CY266</f>
        <v>0</v>
      </c>
    </row>
    <row r="267" spans="1:108" s="81" customFormat="1" ht="24.75" hidden="1" customHeight="1" x14ac:dyDescent="0.25">
      <c r="A267" s="537">
        <v>2026</v>
      </c>
      <c r="B267" s="537">
        <v>479</v>
      </c>
      <c r="C267" s="537" t="s">
        <v>64</v>
      </c>
      <c r="D267" s="537" t="s">
        <v>65</v>
      </c>
      <c r="E267" s="537">
        <v>125</v>
      </c>
      <c r="F267" s="537">
        <v>3000654</v>
      </c>
      <c r="G267" s="537">
        <v>5005023</v>
      </c>
      <c r="H267" s="537">
        <v>3</v>
      </c>
      <c r="I267" s="537">
        <v>12</v>
      </c>
      <c r="J267" s="537">
        <v>24</v>
      </c>
      <c r="K267" s="537">
        <v>135560</v>
      </c>
      <c r="L267" s="537" t="s">
        <v>66</v>
      </c>
      <c r="M267" s="538" t="s">
        <v>67</v>
      </c>
      <c r="N267" s="537">
        <v>95</v>
      </c>
      <c r="O267" s="539"/>
      <c r="P267" s="539" t="s">
        <v>4</v>
      </c>
      <c r="Q267" s="537" t="s">
        <v>68</v>
      </c>
      <c r="R267" s="540" t="s">
        <v>69</v>
      </c>
      <c r="S267" s="540" t="s">
        <v>137</v>
      </c>
      <c r="T267" s="540"/>
      <c r="U267" s="538" t="s">
        <v>1540</v>
      </c>
      <c r="V267" s="540" t="s">
        <v>3</v>
      </c>
      <c r="W267" s="541">
        <v>1</v>
      </c>
      <c r="X267" s="542">
        <v>4500</v>
      </c>
      <c r="Y267" s="539"/>
      <c r="Z267" s="539"/>
      <c r="AA267" s="539"/>
      <c r="AB267" s="539"/>
      <c r="AC267" s="540">
        <v>0</v>
      </c>
      <c r="AD267" s="572">
        <v>30</v>
      </c>
      <c r="AE267" s="543"/>
      <c r="AF267" s="543"/>
      <c r="AG267" s="543"/>
      <c r="AH267" s="543"/>
      <c r="AI267" s="543"/>
      <c r="AJ267" s="543"/>
      <c r="AK267" s="577" t="s">
        <v>585</v>
      </c>
      <c r="AL267" s="578" t="s">
        <v>73</v>
      </c>
      <c r="AM267" s="578" t="s">
        <v>73</v>
      </c>
      <c r="AN267" s="578" t="s">
        <v>73</v>
      </c>
      <c r="AO267" s="578" t="s">
        <v>73</v>
      </c>
      <c r="AP267" s="579">
        <v>0</v>
      </c>
      <c r="AQ267" s="577">
        <v>4500</v>
      </c>
      <c r="AR267" s="537" t="s">
        <v>73</v>
      </c>
      <c r="AS267" s="537" t="s">
        <v>73</v>
      </c>
      <c r="AT267" s="537" t="s">
        <v>73</v>
      </c>
      <c r="AU267" s="537" t="s">
        <v>73</v>
      </c>
      <c r="AV267" s="537" t="s">
        <v>73</v>
      </c>
      <c r="AW267" s="537" t="s">
        <v>73</v>
      </c>
      <c r="AX267" s="580">
        <v>4500</v>
      </c>
      <c r="AY267" s="503" t="s">
        <v>7</v>
      </c>
      <c r="AZ267" s="539" t="s">
        <v>74</v>
      </c>
      <c r="BA267" s="539"/>
      <c r="BB267" s="545"/>
      <c r="BC267" s="545"/>
      <c r="BD267" s="81" t="s">
        <v>1530</v>
      </c>
      <c r="BE267" s="576" t="s">
        <v>1531</v>
      </c>
      <c r="BG267" s="233" t="s">
        <v>1532</v>
      </c>
      <c r="BH267" s="233">
        <v>46170</v>
      </c>
      <c r="BK267" s="546" t="s">
        <v>790</v>
      </c>
      <c r="BL267" s="481" t="s">
        <v>791</v>
      </c>
      <c r="BM267" s="287" t="s">
        <v>1535</v>
      </c>
      <c r="BN267" s="547" t="s">
        <v>1536</v>
      </c>
      <c r="BO267" s="287" t="s">
        <v>1537</v>
      </c>
      <c r="BP267" s="548">
        <v>46170</v>
      </c>
      <c r="BQ267" s="482"/>
      <c r="BR267" s="965">
        <v>4907</v>
      </c>
      <c r="BS267" s="482"/>
      <c r="BT267" s="482"/>
      <c r="BU267" s="482" t="s">
        <v>1254</v>
      </c>
      <c r="BV267" s="414" t="s">
        <v>932</v>
      </c>
      <c r="BW267" s="566" t="s">
        <v>1208</v>
      </c>
      <c r="BX267" s="566" t="s">
        <v>1562</v>
      </c>
      <c r="BY267" s="284">
        <v>40674295</v>
      </c>
      <c r="BZ267" s="284">
        <v>10406742950</v>
      </c>
      <c r="CA267" s="549"/>
      <c r="CB267" s="285">
        <v>46174</v>
      </c>
      <c r="CC267" s="285">
        <v>46203</v>
      </c>
      <c r="CD267" s="759"/>
      <c r="CE267" s="485">
        <f t="shared" si="415"/>
        <v>0</v>
      </c>
      <c r="CF267" s="484">
        <f t="shared" si="416"/>
        <v>0</v>
      </c>
      <c r="CG267" s="485"/>
      <c r="CH267" s="485">
        <f t="shared" si="417"/>
        <v>0</v>
      </c>
      <c r="CI267" s="485"/>
      <c r="CJ267" s="485">
        <f t="shared" si="418"/>
        <v>0</v>
      </c>
      <c r="CK267" s="484">
        <f t="shared" si="419"/>
        <v>0</v>
      </c>
      <c r="CL267" s="484">
        <f t="shared" si="420"/>
        <v>0</v>
      </c>
      <c r="CM267" s="1006"/>
      <c r="CN267" s="485">
        <f t="shared" si="421"/>
        <v>30</v>
      </c>
      <c r="CO267" s="484">
        <v>4500</v>
      </c>
      <c r="CP267" s="485">
        <v>30</v>
      </c>
      <c r="CQ267" s="485">
        <f t="shared" si="422"/>
        <v>4500</v>
      </c>
      <c r="CR267" s="485">
        <v>30</v>
      </c>
      <c r="CS267" s="485">
        <f t="shared" si="423"/>
        <v>4500</v>
      </c>
      <c r="CT267" s="484">
        <f t="shared" si="424"/>
        <v>0</v>
      </c>
      <c r="CU267" s="484">
        <f t="shared" si="425"/>
        <v>0</v>
      </c>
      <c r="CV267" s="1006"/>
      <c r="CW267" s="1014">
        <f t="shared" ref="CW267" si="476">AX267</f>
        <v>4500</v>
      </c>
      <c r="CX267" s="1015">
        <f t="shared" ref="CX267" si="477">CH267+CQ267</f>
        <v>4500</v>
      </c>
      <c r="CY267" s="1015">
        <f t="shared" ref="CY267" si="478">CJ267+CS267</f>
        <v>4500</v>
      </c>
      <c r="CZ267" s="1014">
        <f t="shared" ref="CZ267" si="479">CW267-CX267</f>
        <v>0</v>
      </c>
      <c r="DA267" s="1014">
        <f t="shared" ref="DA267" si="480">CW267-CY267</f>
        <v>0</v>
      </c>
    </row>
    <row r="268" spans="1:108" ht="15" hidden="1" customHeight="1" x14ac:dyDescent="0.25">
      <c r="A268" s="472">
        <v>2026</v>
      </c>
      <c r="B268" s="472">
        <v>479</v>
      </c>
      <c r="C268" s="472" t="s">
        <v>64</v>
      </c>
      <c r="D268" s="472" t="s">
        <v>65</v>
      </c>
      <c r="E268" s="472">
        <v>125</v>
      </c>
      <c r="F268" s="472">
        <v>3000654</v>
      </c>
      <c r="G268" s="472">
        <v>5005023</v>
      </c>
      <c r="H268" s="472">
        <v>3</v>
      </c>
      <c r="I268" s="472">
        <v>12</v>
      </c>
      <c r="J268" s="472">
        <v>24</v>
      </c>
      <c r="K268" s="472">
        <v>135560</v>
      </c>
      <c r="L268" s="472" t="s">
        <v>66</v>
      </c>
      <c r="M268" s="124" t="s">
        <v>67</v>
      </c>
      <c r="N268" s="472">
        <v>95</v>
      </c>
      <c r="O268" s="474"/>
      <c r="P268" s="474" t="s">
        <v>4</v>
      </c>
      <c r="Q268" s="472" t="s">
        <v>68</v>
      </c>
      <c r="R268" s="475" t="s">
        <v>69</v>
      </c>
      <c r="S268" s="475" t="s">
        <v>137</v>
      </c>
      <c r="T268" s="475"/>
      <c r="U268" s="124" t="s">
        <v>193</v>
      </c>
      <c r="V268" s="475" t="s">
        <v>3</v>
      </c>
      <c r="W268" s="121">
        <v>6</v>
      </c>
      <c r="X268" s="476">
        <v>19000</v>
      </c>
      <c r="Y268" s="474"/>
      <c r="Z268" s="474"/>
      <c r="AA268" s="474"/>
      <c r="AB268" s="474"/>
      <c r="AC268" s="475">
        <v>0</v>
      </c>
      <c r="AD268" s="563">
        <v>30</v>
      </c>
      <c r="AE268" s="488"/>
      <c r="AF268" s="488"/>
      <c r="AG268" s="488"/>
      <c r="AH268" s="488"/>
      <c r="AI268" s="488"/>
      <c r="AJ268" s="488"/>
      <c r="AK268" s="581">
        <v>19000</v>
      </c>
      <c r="AL268" s="582" t="s">
        <v>73</v>
      </c>
      <c r="AM268" s="582" t="s">
        <v>73</v>
      </c>
      <c r="AN268" s="582" t="s">
        <v>73</v>
      </c>
      <c r="AO268" s="582" t="s">
        <v>73</v>
      </c>
      <c r="AP268" s="564"/>
      <c r="AQ268" s="581">
        <v>19000</v>
      </c>
      <c r="AR268" s="472" t="s">
        <v>73</v>
      </c>
      <c r="AS268" s="472" t="s">
        <v>73</v>
      </c>
      <c r="AT268" s="472" t="s">
        <v>73</v>
      </c>
      <c r="AU268" s="472" t="s">
        <v>73</v>
      </c>
      <c r="AV268" s="472" t="s">
        <v>73</v>
      </c>
      <c r="AW268" s="472" t="s">
        <v>73</v>
      </c>
      <c r="AX268" s="583">
        <v>19000</v>
      </c>
      <c r="AY268" s="479" t="s">
        <v>7</v>
      </c>
      <c r="AZ268" s="474" t="s">
        <v>74</v>
      </c>
      <c r="BA268" s="474"/>
      <c r="BB268" s="480"/>
      <c r="BC268" s="480"/>
      <c r="BK268" s="481" t="s">
        <v>802</v>
      </c>
      <c r="BL268" s="481" t="s">
        <v>803</v>
      </c>
      <c r="BM268" s="284"/>
      <c r="BN268" s="414"/>
      <c r="BO268" s="284"/>
      <c r="BP268" s="285"/>
      <c r="BQ268" s="482"/>
      <c r="BR268" s="482"/>
      <c r="BS268" s="482"/>
      <c r="BT268" s="482"/>
      <c r="BU268" s="482"/>
      <c r="BV268" s="284"/>
      <c r="BW268" s="284"/>
      <c r="BX268" s="284"/>
      <c r="BY268" s="284"/>
      <c r="BZ268" s="284"/>
      <c r="CA268" s="288"/>
      <c r="CB268" s="483"/>
      <c r="CC268" s="483"/>
      <c r="CD268" s="759"/>
      <c r="CE268" s="485">
        <f t="shared" si="415"/>
        <v>0</v>
      </c>
      <c r="CF268" s="484">
        <f t="shared" si="416"/>
        <v>0</v>
      </c>
      <c r="CG268" s="485"/>
      <c r="CH268" s="485">
        <f t="shared" si="417"/>
        <v>0</v>
      </c>
      <c r="CI268" s="485"/>
      <c r="CJ268" s="485">
        <f t="shared" si="418"/>
        <v>0</v>
      </c>
      <c r="CK268" s="484">
        <f t="shared" si="419"/>
        <v>0</v>
      </c>
      <c r="CL268" s="484">
        <f t="shared" si="420"/>
        <v>0</v>
      </c>
      <c r="CM268" s="1006"/>
      <c r="CN268" s="485">
        <f t="shared" si="421"/>
        <v>30</v>
      </c>
      <c r="CO268" s="484">
        <v>19000</v>
      </c>
      <c r="CP268" s="485"/>
      <c r="CQ268" s="485">
        <f t="shared" si="422"/>
        <v>0</v>
      </c>
      <c r="CR268" s="485"/>
      <c r="CS268" s="485">
        <f t="shared" si="423"/>
        <v>0</v>
      </c>
      <c r="CT268" s="484">
        <f t="shared" si="424"/>
        <v>19000</v>
      </c>
      <c r="CU268" s="484">
        <f t="shared" si="425"/>
        <v>19000</v>
      </c>
      <c r="CV268" s="1006"/>
      <c r="CW268" s="1007">
        <f t="shared" ref="CW268" si="481">AX268</f>
        <v>19000</v>
      </c>
      <c r="CX268" s="486">
        <f t="shared" ref="CX268" si="482">CH268+CQ268</f>
        <v>0</v>
      </c>
      <c r="CY268" s="486">
        <f t="shared" ref="CY268" si="483">CJ268+CS268</f>
        <v>0</v>
      </c>
      <c r="CZ268" s="1007">
        <f t="shared" ref="CZ268" si="484">CW268-CX268</f>
        <v>19000</v>
      </c>
      <c r="DA268" s="1007">
        <f t="shared" ref="DA268" si="485">CW268-CY268</f>
        <v>19000</v>
      </c>
    </row>
    <row r="269" spans="1:108" ht="51" hidden="1" x14ac:dyDescent="0.25">
      <c r="A269" s="19">
        <v>2026</v>
      </c>
      <c r="B269" s="19">
        <v>479</v>
      </c>
      <c r="C269" s="472" t="s">
        <v>64</v>
      </c>
      <c r="D269" s="472" t="s">
        <v>65</v>
      </c>
      <c r="E269" s="19">
        <v>125</v>
      </c>
      <c r="F269" s="19">
        <v>3000654</v>
      </c>
      <c r="G269" s="19">
        <v>5005023</v>
      </c>
      <c r="H269" s="19">
        <v>3</v>
      </c>
      <c r="I269" s="19">
        <v>12</v>
      </c>
      <c r="J269" s="19">
        <v>24</v>
      </c>
      <c r="K269" s="19">
        <v>135560</v>
      </c>
      <c r="L269" s="472" t="s">
        <v>98</v>
      </c>
      <c r="M269" s="124" t="s">
        <v>99</v>
      </c>
      <c r="N269" s="19">
        <v>94</v>
      </c>
      <c r="O269" s="2"/>
      <c r="P269" s="2" t="s">
        <v>4</v>
      </c>
      <c r="Q269" s="19" t="s">
        <v>68</v>
      </c>
      <c r="R269" s="121" t="s">
        <v>69</v>
      </c>
      <c r="S269" s="121" t="s">
        <v>137</v>
      </c>
      <c r="T269" s="121"/>
      <c r="U269" s="124" t="s">
        <v>194</v>
      </c>
      <c r="V269" s="121" t="s">
        <v>3</v>
      </c>
      <c r="W269" s="121">
        <v>1</v>
      </c>
      <c r="X269" s="476">
        <v>7000</v>
      </c>
      <c r="Y269" s="2"/>
      <c r="Z269" s="2"/>
      <c r="AA269" s="2"/>
      <c r="AB269" s="2"/>
      <c r="AC269" s="121">
        <v>30</v>
      </c>
      <c r="AD269" s="121">
        <v>30</v>
      </c>
      <c r="AE269" s="2"/>
      <c r="AF269" s="2"/>
      <c r="AG269" s="2"/>
      <c r="AH269" s="2"/>
      <c r="AI269" s="2"/>
      <c r="AJ269" s="2"/>
      <c r="AK269" s="477">
        <v>14000</v>
      </c>
      <c r="AL269" s="29" t="s">
        <v>73</v>
      </c>
      <c r="AM269" s="29" t="s">
        <v>73</v>
      </c>
      <c r="AN269" s="29" t="s">
        <v>73</v>
      </c>
      <c r="AO269" s="29" t="s">
        <v>73</v>
      </c>
      <c r="AP269" s="478">
        <v>7000</v>
      </c>
      <c r="AQ269" s="478">
        <v>7000</v>
      </c>
      <c r="AR269" s="29" t="s">
        <v>73</v>
      </c>
      <c r="AS269" s="29" t="s">
        <v>73</v>
      </c>
      <c r="AT269" s="29" t="s">
        <v>73</v>
      </c>
      <c r="AU269" s="29" t="s">
        <v>73</v>
      </c>
      <c r="AV269" s="29" t="s">
        <v>73</v>
      </c>
      <c r="AW269" s="29" t="s">
        <v>73</v>
      </c>
      <c r="AX269" s="30">
        <v>14000</v>
      </c>
      <c r="AY269" s="536" t="s">
        <v>5</v>
      </c>
      <c r="AZ269" s="2" t="s">
        <v>74</v>
      </c>
      <c r="BA269" s="2"/>
      <c r="BK269" s="147" t="s">
        <v>790</v>
      </c>
      <c r="BL269" s="481" t="s">
        <v>791</v>
      </c>
      <c r="BM269" s="147" t="s">
        <v>1563</v>
      </c>
      <c r="BN269" s="412" t="s">
        <v>1564</v>
      </c>
      <c r="BO269" s="147" t="s">
        <v>1565</v>
      </c>
      <c r="BP269" s="148">
        <v>46134</v>
      </c>
      <c r="BQ269" s="123"/>
      <c r="BR269" s="505" t="s">
        <v>1566</v>
      </c>
      <c r="BS269" s="123"/>
      <c r="BT269" s="286" t="s">
        <v>1567</v>
      </c>
      <c r="BU269" s="286" t="s">
        <v>1568</v>
      </c>
      <c r="BV269" s="240" t="s">
        <v>1569</v>
      </c>
      <c r="BW269" s="240" t="s">
        <v>1570</v>
      </c>
      <c r="BX269" s="240" t="s">
        <v>1571</v>
      </c>
      <c r="BY269" s="147">
        <v>9541531</v>
      </c>
      <c r="BZ269" s="147">
        <v>10095415313</v>
      </c>
      <c r="CA269" s="149">
        <v>7000</v>
      </c>
      <c r="CB269" s="148">
        <v>46143</v>
      </c>
      <c r="CC269" s="148">
        <v>46203</v>
      </c>
      <c r="CD269" s="759"/>
      <c r="CE269" s="412">
        <f t="shared" si="29"/>
        <v>30</v>
      </c>
      <c r="CF269" s="1030">
        <f t="shared" si="30"/>
        <v>7000</v>
      </c>
      <c r="CG269" s="412">
        <v>30</v>
      </c>
      <c r="CH269" s="1030">
        <f t="shared" si="31"/>
        <v>7000</v>
      </c>
      <c r="CI269" s="1031">
        <v>30</v>
      </c>
      <c r="CJ269" s="1030">
        <f t="shared" si="32"/>
        <v>7000</v>
      </c>
      <c r="CK269" s="412">
        <f t="shared" si="33"/>
        <v>0</v>
      </c>
      <c r="CL269" s="412">
        <f t="shared" si="34"/>
        <v>0</v>
      </c>
      <c r="CM269" s="1006"/>
      <c r="CN269" s="412">
        <f t="shared" si="35"/>
        <v>30</v>
      </c>
      <c r="CO269" s="1030">
        <f t="shared" si="36"/>
        <v>7000</v>
      </c>
      <c r="CP269" s="412">
        <v>30</v>
      </c>
      <c r="CQ269" s="1030">
        <f t="shared" si="37"/>
        <v>7000</v>
      </c>
      <c r="CR269" s="1031">
        <v>30</v>
      </c>
      <c r="CS269" s="1030">
        <f t="shared" si="38"/>
        <v>7000</v>
      </c>
      <c r="CT269" s="412">
        <f t="shared" si="39"/>
        <v>0</v>
      </c>
      <c r="CU269" s="412">
        <f t="shared" si="40"/>
        <v>0</v>
      </c>
      <c r="CV269" s="1006"/>
      <c r="CW269" s="1007">
        <f t="shared" si="378"/>
        <v>14000</v>
      </c>
      <c r="CX269" s="486">
        <f t="shared" si="379"/>
        <v>14000</v>
      </c>
      <c r="CY269" s="486">
        <f t="shared" si="380"/>
        <v>14000</v>
      </c>
      <c r="CZ269" s="1007">
        <f t="shared" si="381"/>
        <v>0</v>
      </c>
      <c r="DA269" s="1007">
        <f t="shared" si="382"/>
        <v>0</v>
      </c>
      <c r="DB269" s="126"/>
      <c r="DC269" s="125"/>
    </row>
    <row r="270" spans="1:108" ht="49.5" hidden="1" customHeight="1" x14ac:dyDescent="0.25">
      <c r="A270" s="19">
        <v>2026</v>
      </c>
      <c r="B270" s="584">
        <v>479</v>
      </c>
      <c r="C270" s="585" t="s">
        <v>64</v>
      </c>
      <c r="D270" s="585" t="s">
        <v>65</v>
      </c>
      <c r="E270" s="584">
        <v>125</v>
      </c>
      <c r="F270" s="584">
        <v>3000654</v>
      </c>
      <c r="G270" s="584">
        <v>5005023</v>
      </c>
      <c r="H270" s="584">
        <v>3</v>
      </c>
      <c r="I270" s="584">
        <v>12</v>
      </c>
      <c r="J270" s="584">
        <v>24</v>
      </c>
      <c r="K270" s="584">
        <v>135560</v>
      </c>
      <c r="L270" s="585" t="s">
        <v>98</v>
      </c>
      <c r="M270" s="586" t="s">
        <v>99</v>
      </c>
      <c r="N270" s="19">
        <v>94</v>
      </c>
      <c r="O270" s="2"/>
      <c r="P270" s="2" t="s">
        <v>4</v>
      </c>
      <c r="Q270" s="584" t="s">
        <v>68</v>
      </c>
      <c r="R270" s="587" t="s">
        <v>69</v>
      </c>
      <c r="S270" s="587" t="s">
        <v>137</v>
      </c>
      <c r="T270" s="587"/>
      <c r="U270" s="586" t="s">
        <v>1572</v>
      </c>
      <c r="V270" s="587" t="s">
        <v>3</v>
      </c>
      <c r="W270" s="587">
        <v>1</v>
      </c>
      <c r="X270" s="588">
        <v>10000</v>
      </c>
      <c r="Y270" s="619"/>
      <c r="Z270" s="2"/>
      <c r="AA270" s="2"/>
      <c r="AB270" s="620"/>
      <c r="AC270" s="587">
        <v>30</v>
      </c>
      <c r="AD270" s="587">
        <v>30</v>
      </c>
      <c r="AE270" s="619"/>
      <c r="AF270" s="2"/>
      <c r="AG270" s="2"/>
      <c r="AH270" s="2"/>
      <c r="AI270" s="2"/>
      <c r="AJ270" s="621"/>
      <c r="AK270" s="589">
        <v>20000</v>
      </c>
      <c r="AL270" s="29" t="s">
        <v>73</v>
      </c>
      <c r="AM270" s="29" t="s">
        <v>73</v>
      </c>
      <c r="AN270" s="29" t="s">
        <v>73</v>
      </c>
      <c r="AO270" s="29" t="s">
        <v>73</v>
      </c>
      <c r="AP270" s="478">
        <v>10000</v>
      </c>
      <c r="AQ270" s="478">
        <v>10000</v>
      </c>
      <c r="AR270" s="29" t="s">
        <v>73</v>
      </c>
      <c r="AS270" s="29" t="s">
        <v>73</v>
      </c>
      <c r="AT270" s="29" t="s">
        <v>73</v>
      </c>
      <c r="AU270" s="29" t="s">
        <v>73</v>
      </c>
      <c r="AV270" s="29" t="s">
        <v>73</v>
      </c>
      <c r="AW270" s="29" t="s">
        <v>73</v>
      </c>
      <c r="AX270" s="30">
        <v>20000</v>
      </c>
      <c r="AY270" s="590" t="s">
        <v>5</v>
      </c>
      <c r="AZ270" s="2" t="s">
        <v>74</v>
      </c>
      <c r="BA270" s="2"/>
      <c r="BC270" s="504" t="s">
        <v>1573</v>
      </c>
      <c r="BJ270" s="504"/>
      <c r="BK270" s="147" t="s">
        <v>790</v>
      </c>
      <c r="BL270" s="481" t="s">
        <v>791</v>
      </c>
      <c r="BM270" s="284" t="s">
        <v>1574</v>
      </c>
      <c r="BN270" s="414" t="s">
        <v>1575</v>
      </c>
      <c r="BO270" s="284" t="s">
        <v>1576</v>
      </c>
      <c r="BP270" s="148">
        <v>46135</v>
      </c>
      <c r="BQ270" s="18"/>
      <c r="BR270" s="287">
        <v>3237</v>
      </c>
      <c r="BS270" s="18"/>
      <c r="BT270" s="286" t="s">
        <v>1567</v>
      </c>
      <c r="BU270" s="946" t="s">
        <v>1568</v>
      </c>
      <c r="BV270" s="566" t="s">
        <v>1577</v>
      </c>
      <c r="BW270" s="566" t="s">
        <v>1578</v>
      </c>
      <c r="BX270" s="566" t="s">
        <v>1579</v>
      </c>
      <c r="BY270" s="284">
        <v>72761314</v>
      </c>
      <c r="BZ270" s="176"/>
      <c r="CA270" s="126">
        <v>10000</v>
      </c>
      <c r="CB270" s="128">
        <v>46144</v>
      </c>
      <c r="CC270" s="128">
        <v>46203</v>
      </c>
      <c r="CD270" s="759"/>
      <c r="CE270" s="177">
        <f t="shared" si="29"/>
        <v>30</v>
      </c>
      <c r="CF270" s="1019">
        <f t="shared" si="30"/>
        <v>10000</v>
      </c>
      <c r="CG270" s="177">
        <v>30</v>
      </c>
      <c r="CH270" s="1019">
        <f t="shared" si="31"/>
        <v>10000</v>
      </c>
      <c r="CI270" s="1019">
        <v>30</v>
      </c>
      <c r="CJ270" s="1019">
        <f t="shared" si="32"/>
        <v>10000</v>
      </c>
      <c r="CK270" s="177">
        <f t="shared" si="33"/>
        <v>0</v>
      </c>
      <c r="CL270" s="177">
        <f t="shared" si="34"/>
        <v>0</v>
      </c>
      <c r="CM270" s="1006"/>
      <c r="CN270" s="177">
        <f t="shared" si="35"/>
        <v>30</v>
      </c>
      <c r="CO270" s="1019">
        <f t="shared" si="36"/>
        <v>10000</v>
      </c>
      <c r="CP270" s="177">
        <v>30</v>
      </c>
      <c r="CQ270" s="1019">
        <f t="shared" si="37"/>
        <v>10000</v>
      </c>
      <c r="CR270" s="177">
        <v>30</v>
      </c>
      <c r="CS270" s="1019">
        <f t="shared" si="38"/>
        <v>10000</v>
      </c>
      <c r="CT270" s="1019">
        <f t="shared" si="39"/>
        <v>0</v>
      </c>
      <c r="CU270" s="1019">
        <f t="shared" si="40"/>
        <v>0</v>
      </c>
      <c r="CV270" s="1006"/>
      <c r="CW270" s="1007">
        <f t="shared" si="378"/>
        <v>20000</v>
      </c>
      <c r="CX270" s="486">
        <f t="shared" si="379"/>
        <v>20000</v>
      </c>
      <c r="CY270" s="486">
        <f t="shared" si="380"/>
        <v>20000</v>
      </c>
      <c r="CZ270" s="1007">
        <f t="shared" si="381"/>
        <v>0</v>
      </c>
      <c r="DA270" s="1007">
        <f t="shared" si="382"/>
        <v>0</v>
      </c>
      <c r="DB270" s="126"/>
      <c r="DC270" s="125"/>
    </row>
    <row r="271" spans="1:108" ht="51" hidden="1" x14ac:dyDescent="0.25">
      <c r="A271" s="19">
        <v>2026</v>
      </c>
      <c r="B271" s="19">
        <v>479</v>
      </c>
      <c r="C271" s="472" t="s">
        <v>64</v>
      </c>
      <c r="D271" s="472" t="s">
        <v>65</v>
      </c>
      <c r="E271" s="19">
        <v>125</v>
      </c>
      <c r="F271" s="19">
        <v>3000654</v>
      </c>
      <c r="G271" s="19">
        <v>5005023</v>
      </c>
      <c r="H271" s="19">
        <v>3</v>
      </c>
      <c r="I271" s="19">
        <v>12</v>
      </c>
      <c r="J271" s="19">
        <v>24</v>
      </c>
      <c r="K271" s="19">
        <v>135560</v>
      </c>
      <c r="L271" s="472" t="s">
        <v>98</v>
      </c>
      <c r="M271" s="124" t="s">
        <v>99</v>
      </c>
      <c r="N271" s="19">
        <v>94</v>
      </c>
      <c r="O271" s="2"/>
      <c r="P271" s="2" t="s">
        <v>4</v>
      </c>
      <c r="Q271" s="19" t="s">
        <v>68</v>
      </c>
      <c r="R271" s="121" t="s">
        <v>69</v>
      </c>
      <c r="S271" s="121" t="s">
        <v>137</v>
      </c>
      <c r="T271" s="121"/>
      <c r="U271" s="124" t="s">
        <v>196</v>
      </c>
      <c r="V271" s="121" t="s">
        <v>3</v>
      </c>
      <c r="W271" s="121">
        <v>1</v>
      </c>
      <c r="X271" s="476">
        <v>10000</v>
      </c>
      <c r="Y271" s="2"/>
      <c r="Z271" s="2"/>
      <c r="AA271" s="2"/>
      <c r="AB271" s="2"/>
      <c r="AC271" s="121">
        <v>30</v>
      </c>
      <c r="AD271" s="121">
        <v>30</v>
      </c>
      <c r="AE271" s="2"/>
      <c r="AF271" s="2"/>
      <c r="AG271" s="2"/>
      <c r="AH271" s="2"/>
      <c r="AI271" s="2"/>
      <c r="AJ271" s="2"/>
      <c r="AK271" s="477">
        <v>20000</v>
      </c>
      <c r="AL271" s="29" t="s">
        <v>73</v>
      </c>
      <c r="AM271" s="29" t="s">
        <v>73</v>
      </c>
      <c r="AN271" s="29" t="s">
        <v>73</v>
      </c>
      <c r="AO271" s="29" t="s">
        <v>73</v>
      </c>
      <c r="AP271" s="478">
        <v>10000</v>
      </c>
      <c r="AQ271" s="478">
        <v>10000</v>
      </c>
      <c r="AR271" s="29" t="s">
        <v>73</v>
      </c>
      <c r="AS271" s="29" t="s">
        <v>73</v>
      </c>
      <c r="AT271" s="29" t="s">
        <v>73</v>
      </c>
      <c r="AU271" s="29" t="s">
        <v>73</v>
      </c>
      <c r="AV271" s="29" t="s">
        <v>73</v>
      </c>
      <c r="AW271" s="29" t="s">
        <v>73</v>
      </c>
      <c r="AX271" s="30">
        <v>20000</v>
      </c>
      <c r="AY271" s="536" t="s">
        <v>5</v>
      </c>
      <c r="AZ271" s="2" t="s">
        <v>74</v>
      </c>
      <c r="BA271" s="2"/>
      <c r="BK271" s="147" t="s">
        <v>790</v>
      </c>
      <c r="BL271" s="481" t="s">
        <v>791</v>
      </c>
      <c r="BM271" s="125" t="s">
        <v>1563</v>
      </c>
      <c r="BN271" s="177" t="s">
        <v>1564</v>
      </c>
      <c r="BO271" s="125" t="s">
        <v>1565</v>
      </c>
      <c r="BP271" s="128">
        <v>46134</v>
      </c>
      <c r="BQ271" s="18"/>
      <c r="BR271" s="505" t="s">
        <v>1580</v>
      </c>
      <c r="BS271" s="18"/>
      <c r="BT271" s="286" t="s">
        <v>1567</v>
      </c>
      <c r="BU271" s="286" t="s">
        <v>1568</v>
      </c>
      <c r="BV271" s="241" t="s">
        <v>1581</v>
      </c>
      <c r="BW271" s="241" t="s">
        <v>1582</v>
      </c>
      <c r="BX271" s="241" t="s">
        <v>1583</v>
      </c>
      <c r="BY271" s="125">
        <v>41874566</v>
      </c>
      <c r="BZ271" s="125">
        <v>10418745661</v>
      </c>
      <c r="CA271" s="126">
        <v>10000</v>
      </c>
      <c r="CB271" s="128">
        <v>46143</v>
      </c>
      <c r="CC271" s="128">
        <v>46203</v>
      </c>
      <c r="CD271" s="759"/>
      <c r="CE271" s="177">
        <f t="shared" si="29"/>
        <v>30</v>
      </c>
      <c r="CF271" s="1019">
        <f t="shared" si="30"/>
        <v>10000</v>
      </c>
      <c r="CG271" s="177">
        <v>30</v>
      </c>
      <c r="CH271" s="1019">
        <f t="shared" si="31"/>
        <v>10000</v>
      </c>
      <c r="CI271" s="1032">
        <v>30</v>
      </c>
      <c r="CJ271" s="1019">
        <f t="shared" si="32"/>
        <v>10000</v>
      </c>
      <c r="CK271" s="177">
        <f t="shared" si="33"/>
        <v>0</v>
      </c>
      <c r="CL271" s="177">
        <f t="shared" si="34"/>
        <v>0</v>
      </c>
      <c r="CM271" s="1006"/>
      <c r="CN271" s="177">
        <f t="shared" si="35"/>
        <v>30</v>
      </c>
      <c r="CO271" s="1019">
        <f t="shared" si="36"/>
        <v>10000</v>
      </c>
      <c r="CP271" s="177">
        <v>30</v>
      </c>
      <c r="CQ271" s="1019">
        <f t="shared" si="37"/>
        <v>10000</v>
      </c>
      <c r="CR271" s="1032">
        <v>30</v>
      </c>
      <c r="CS271" s="1019">
        <f t="shared" si="38"/>
        <v>10000</v>
      </c>
      <c r="CT271" s="1019">
        <f t="shared" si="39"/>
        <v>0</v>
      </c>
      <c r="CU271" s="1019">
        <f t="shared" si="40"/>
        <v>0</v>
      </c>
      <c r="CV271" s="1006"/>
      <c r="CW271" s="1007">
        <f t="shared" si="378"/>
        <v>20000</v>
      </c>
      <c r="CX271" s="486">
        <f t="shared" si="379"/>
        <v>20000</v>
      </c>
      <c r="CY271" s="486">
        <f t="shared" si="380"/>
        <v>20000</v>
      </c>
      <c r="CZ271" s="1007">
        <f t="shared" si="381"/>
        <v>0</v>
      </c>
      <c r="DA271" s="1007">
        <f t="shared" si="382"/>
        <v>0</v>
      </c>
      <c r="DB271" s="126"/>
      <c r="DC271" s="125"/>
    </row>
    <row r="272" spans="1:108" ht="51" hidden="1" x14ac:dyDescent="0.25">
      <c r="A272" s="19">
        <v>2026</v>
      </c>
      <c r="B272" s="19">
        <v>479</v>
      </c>
      <c r="C272" s="472" t="s">
        <v>64</v>
      </c>
      <c r="D272" s="472" t="s">
        <v>65</v>
      </c>
      <c r="E272" s="19">
        <v>125</v>
      </c>
      <c r="F272" s="19">
        <v>3000654</v>
      </c>
      <c r="G272" s="19">
        <v>5005023</v>
      </c>
      <c r="H272" s="19">
        <v>3</v>
      </c>
      <c r="I272" s="19">
        <v>12</v>
      </c>
      <c r="J272" s="19">
        <v>24</v>
      </c>
      <c r="K272" s="19">
        <v>135560</v>
      </c>
      <c r="L272" s="472" t="s">
        <v>98</v>
      </c>
      <c r="M272" s="124" t="s">
        <v>99</v>
      </c>
      <c r="N272" s="19">
        <v>94</v>
      </c>
      <c r="O272" s="2"/>
      <c r="P272" s="2" t="s">
        <v>4</v>
      </c>
      <c r="Q272" s="19" t="s">
        <v>68</v>
      </c>
      <c r="R272" s="121" t="s">
        <v>69</v>
      </c>
      <c r="S272" s="121" t="s">
        <v>137</v>
      </c>
      <c r="T272" s="121"/>
      <c r="U272" s="124" t="s">
        <v>197</v>
      </c>
      <c r="V272" s="121" t="s">
        <v>3</v>
      </c>
      <c r="W272" s="121">
        <v>1</v>
      </c>
      <c r="X272" s="476">
        <v>9000</v>
      </c>
      <c r="Y272" s="2"/>
      <c r="Z272" s="2"/>
      <c r="AA272" s="2"/>
      <c r="AB272" s="2"/>
      <c r="AC272" s="121">
        <v>30</v>
      </c>
      <c r="AD272" s="121">
        <v>30</v>
      </c>
      <c r="AE272" s="2"/>
      <c r="AF272" s="2"/>
      <c r="AG272" s="2"/>
      <c r="AH272" s="2"/>
      <c r="AI272" s="2"/>
      <c r="AJ272" s="2"/>
      <c r="AK272" s="477">
        <v>18000</v>
      </c>
      <c r="AL272" s="29" t="s">
        <v>73</v>
      </c>
      <c r="AM272" s="29" t="s">
        <v>73</v>
      </c>
      <c r="AN272" s="29" t="s">
        <v>73</v>
      </c>
      <c r="AO272" s="29" t="s">
        <v>73</v>
      </c>
      <c r="AP272" s="478">
        <v>9000</v>
      </c>
      <c r="AQ272" s="478">
        <v>9000</v>
      </c>
      <c r="AR272" s="29" t="s">
        <v>73</v>
      </c>
      <c r="AS272" s="29" t="s">
        <v>73</v>
      </c>
      <c r="AT272" s="29" t="s">
        <v>73</v>
      </c>
      <c r="AU272" s="29" t="s">
        <v>73</v>
      </c>
      <c r="AV272" s="29" t="s">
        <v>73</v>
      </c>
      <c r="AW272" s="29" t="s">
        <v>73</v>
      </c>
      <c r="AX272" s="30">
        <v>18000</v>
      </c>
      <c r="AY272" s="536" t="s">
        <v>5</v>
      </c>
      <c r="AZ272" s="2" t="s">
        <v>74</v>
      </c>
      <c r="BA272" s="2"/>
      <c r="BK272" s="147" t="s">
        <v>790</v>
      </c>
      <c r="BL272" s="481" t="s">
        <v>791</v>
      </c>
      <c r="BM272" s="125" t="s">
        <v>1563</v>
      </c>
      <c r="BN272" s="177" t="s">
        <v>1564</v>
      </c>
      <c r="BO272" s="125" t="s">
        <v>1565</v>
      </c>
      <c r="BP272" s="128">
        <v>46134</v>
      </c>
      <c r="BQ272" s="18"/>
      <c r="BR272" s="505" t="s">
        <v>1584</v>
      </c>
      <c r="BS272" s="18"/>
      <c r="BT272" s="286" t="s">
        <v>1567</v>
      </c>
      <c r="BU272" s="286" t="s">
        <v>1568</v>
      </c>
      <c r="BV272" s="241" t="s">
        <v>1040</v>
      </c>
      <c r="BW272" s="241" t="s">
        <v>822</v>
      </c>
      <c r="BX272" s="241" t="s">
        <v>1585</v>
      </c>
      <c r="BY272" s="125">
        <v>43060130</v>
      </c>
      <c r="BZ272" s="125">
        <v>10430601305</v>
      </c>
      <c r="CA272" s="126">
        <v>9000</v>
      </c>
      <c r="CB272" s="128">
        <v>46143</v>
      </c>
      <c r="CC272" s="128">
        <v>46203</v>
      </c>
      <c r="CD272" s="759"/>
      <c r="CE272" s="177">
        <f t="shared" si="29"/>
        <v>30</v>
      </c>
      <c r="CF272" s="1019">
        <f t="shared" si="30"/>
        <v>9000</v>
      </c>
      <c r="CG272" s="177">
        <v>30</v>
      </c>
      <c r="CH272" s="1019">
        <f t="shared" si="31"/>
        <v>9000</v>
      </c>
      <c r="CI272" s="1032">
        <v>30</v>
      </c>
      <c r="CJ272" s="1019">
        <f t="shared" si="32"/>
        <v>9000</v>
      </c>
      <c r="CK272" s="177">
        <f t="shared" si="33"/>
        <v>0</v>
      </c>
      <c r="CL272" s="177">
        <f t="shared" si="34"/>
        <v>0</v>
      </c>
      <c r="CM272" s="1006"/>
      <c r="CN272" s="177">
        <f t="shared" si="35"/>
        <v>30</v>
      </c>
      <c r="CO272" s="1019">
        <f t="shared" si="36"/>
        <v>9000</v>
      </c>
      <c r="CP272" s="177">
        <v>30</v>
      </c>
      <c r="CQ272" s="1019">
        <f t="shared" si="37"/>
        <v>9000</v>
      </c>
      <c r="CR272" s="1032">
        <v>30</v>
      </c>
      <c r="CS272" s="1019">
        <f t="shared" si="38"/>
        <v>9000</v>
      </c>
      <c r="CT272" s="1019">
        <f t="shared" si="39"/>
        <v>0</v>
      </c>
      <c r="CU272" s="1019">
        <f t="shared" si="40"/>
        <v>0</v>
      </c>
      <c r="CV272" s="1006"/>
      <c r="CW272" s="1007">
        <f t="shared" si="378"/>
        <v>18000</v>
      </c>
      <c r="CX272" s="486">
        <f t="shared" si="379"/>
        <v>18000</v>
      </c>
      <c r="CY272" s="486">
        <f t="shared" si="380"/>
        <v>18000</v>
      </c>
      <c r="CZ272" s="1007">
        <f t="shared" si="381"/>
        <v>0</v>
      </c>
      <c r="DA272" s="1007">
        <f t="shared" si="382"/>
        <v>0</v>
      </c>
      <c r="DB272" s="126"/>
      <c r="DC272" s="125"/>
    </row>
    <row r="273" spans="1:107" ht="51" hidden="1" x14ac:dyDescent="0.25">
      <c r="A273" s="19">
        <v>2026</v>
      </c>
      <c r="B273" s="23">
        <v>479</v>
      </c>
      <c r="C273" s="591" t="s">
        <v>64</v>
      </c>
      <c r="D273" s="591" t="s">
        <v>65</v>
      </c>
      <c r="E273" s="23">
        <v>125</v>
      </c>
      <c r="F273" s="23">
        <v>3000654</v>
      </c>
      <c r="G273" s="23">
        <v>5005023</v>
      </c>
      <c r="H273" s="23">
        <v>3</v>
      </c>
      <c r="I273" s="23">
        <v>12</v>
      </c>
      <c r="J273" s="23">
        <v>24</v>
      </c>
      <c r="K273" s="23">
        <v>135560</v>
      </c>
      <c r="L273" s="591" t="s">
        <v>98</v>
      </c>
      <c r="M273" s="26" t="s">
        <v>99</v>
      </c>
      <c r="N273" s="19">
        <v>94</v>
      </c>
      <c r="O273" s="2"/>
      <c r="P273" s="2" t="s">
        <v>4</v>
      </c>
      <c r="Q273" s="23" t="s">
        <v>68</v>
      </c>
      <c r="R273" s="24" t="s">
        <v>69</v>
      </c>
      <c r="S273" s="24" t="s">
        <v>137</v>
      </c>
      <c r="T273" s="24"/>
      <c r="U273" s="26" t="s">
        <v>198</v>
      </c>
      <c r="V273" s="24" t="s">
        <v>3</v>
      </c>
      <c r="W273" s="24">
        <v>1</v>
      </c>
      <c r="X273" s="592">
        <v>8000</v>
      </c>
      <c r="Y273" s="619"/>
      <c r="Z273" s="2"/>
      <c r="AA273" s="2"/>
      <c r="AB273" s="620"/>
      <c r="AC273" s="24">
        <v>30</v>
      </c>
      <c r="AD273" s="24">
        <v>30</v>
      </c>
      <c r="AE273" s="619"/>
      <c r="AF273" s="2"/>
      <c r="AG273" s="2"/>
      <c r="AH273" s="2"/>
      <c r="AI273" s="2"/>
      <c r="AJ273" s="621"/>
      <c r="AK273" s="593">
        <v>16000</v>
      </c>
      <c r="AL273" s="29" t="s">
        <v>73</v>
      </c>
      <c r="AM273" s="29" t="s">
        <v>73</v>
      </c>
      <c r="AN273" s="29" t="s">
        <v>73</v>
      </c>
      <c r="AO273" s="29" t="s">
        <v>73</v>
      </c>
      <c r="AP273" s="478">
        <v>8000</v>
      </c>
      <c r="AQ273" s="478">
        <v>8000</v>
      </c>
      <c r="AR273" s="29" t="s">
        <v>73</v>
      </c>
      <c r="AS273" s="29" t="s">
        <v>73</v>
      </c>
      <c r="AT273" s="29" t="s">
        <v>73</v>
      </c>
      <c r="AU273" s="29" t="s">
        <v>73</v>
      </c>
      <c r="AV273" s="29" t="s">
        <v>73</v>
      </c>
      <c r="AW273" s="29" t="s">
        <v>73</v>
      </c>
      <c r="AX273" s="30">
        <v>16000</v>
      </c>
      <c r="AY273" s="594" t="s">
        <v>5</v>
      </c>
      <c r="AZ273" s="2" t="s">
        <v>74</v>
      </c>
      <c r="BA273" s="2"/>
      <c r="BK273" s="125" t="s">
        <v>790</v>
      </c>
      <c r="BL273" s="481" t="s">
        <v>791</v>
      </c>
      <c r="BM273" s="125" t="s">
        <v>1586</v>
      </c>
      <c r="BN273" s="177" t="s">
        <v>1587</v>
      </c>
      <c r="BO273" s="125" t="s">
        <v>1588</v>
      </c>
      <c r="BP273" s="129">
        <v>46134</v>
      </c>
      <c r="BQ273" s="18"/>
      <c r="BR273" s="287">
        <v>3236</v>
      </c>
      <c r="BS273" s="125" t="s">
        <v>1589</v>
      </c>
      <c r="BT273" s="286" t="s">
        <v>1567</v>
      </c>
      <c r="BU273" s="946" t="s">
        <v>1568</v>
      </c>
      <c r="BV273" s="241" t="s">
        <v>1590</v>
      </c>
      <c r="BW273" s="177" t="s">
        <v>1317</v>
      </c>
      <c r="BX273" s="177" t="s">
        <v>1591</v>
      </c>
      <c r="BY273" s="125">
        <v>42549733</v>
      </c>
      <c r="BZ273" s="125">
        <v>10425497338</v>
      </c>
      <c r="CA273" s="126">
        <v>8000</v>
      </c>
      <c r="CB273" s="128">
        <v>46144</v>
      </c>
      <c r="CC273" s="128">
        <v>46203</v>
      </c>
      <c r="CD273" s="759"/>
      <c r="CE273" s="177">
        <f t="shared" si="29"/>
        <v>30</v>
      </c>
      <c r="CF273" s="1019">
        <f t="shared" si="30"/>
        <v>8000</v>
      </c>
      <c r="CG273" s="177">
        <v>30</v>
      </c>
      <c r="CH273" s="1019">
        <f t="shared" si="31"/>
        <v>8000.0000000000009</v>
      </c>
      <c r="CI273" s="1019">
        <v>30</v>
      </c>
      <c r="CJ273" s="1019">
        <f t="shared" si="32"/>
        <v>8000.0000000000009</v>
      </c>
      <c r="CK273" s="177">
        <f t="shared" si="33"/>
        <v>0</v>
      </c>
      <c r="CL273" s="177">
        <f t="shared" si="34"/>
        <v>0</v>
      </c>
      <c r="CM273" s="1006"/>
      <c r="CN273" s="177">
        <f t="shared" si="35"/>
        <v>30</v>
      </c>
      <c r="CO273" s="1019">
        <f t="shared" si="36"/>
        <v>8000</v>
      </c>
      <c r="CP273" s="177">
        <v>30</v>
      </c>
      <c r="CQ273" s="1019">
        <f t="shared" si="37"/>
        <v>8000.0000000000009</v>
      </c>
      <c r="CR273" s="1033">
        <v>30</v>
      </c>
      <c r="CS273" s="1019">
        <f t="shared" si="38"/>
        <v>8000.0000000000009</v>
      </c>
      <c r="CT273" s="1019">
        <f t="shared" si="39"/>
        <v>0</v>
      </c>
      <c r="CU273" s="1019">
        <f t="shared" si="40"/>
        <v>0</v>
      </c>
      <c r="CV273" s="1006"/>
      <c r="CW273" s="1007">
        <f t="shared" si="378"/>
        <v>16000</v>
      </c>
      <c r="CX273" s="486">
        <f t="shared" si="379"/>
        <v>16000.000000000002</v>
      </c>
      <c r="CY273" s="486">
        <f t="shared" si="380"/>
        <v>16000.000000000002</v>
      </c>
      <c r="CZ273" s="1007">
        <f t="shared" si="381"/>
        <v>0</v>
      </c>
      <c r="DA273" s="1007">
        <f t="shared" si="382"/>
        <v>0</v>
      </c>
      <c r="DB273" s="126"/>
      <c r="DC273" s="125"/>
    </row>
    <row r="274" spans="1:107" ht="51" hidden="1" x14ac:dyDescent="0.25">
      <c r="A274" s="19">
        <v>2026</v>
      </c>
      <c r="B274" s="20">
        <v>479</v>
      </c>
      <c r="C274" s="21" t="s">
        <v>64</v>
      </c>
      <c r="D274" s="21" t="s">
        <v>65</v>
      </c>
      <c r="E274" s="20">
        <v>125</v>
      </c>
      <c r="F274" s="20">
        <v>3000654</v>
      </c>
      <c r="G274" s="20">
        <v>5005023</v>
      </c>
      <c r="H274" s="20">
        <v>3</v>
      </c>
      <c r="I274" s="20">
        <v>12</v>
      </c>
      <c r="J274" s="20">
        <v>24</v>
      </c>
      <c r="K274" s="20">
        <v>135560</v>
      </c>
      <c r="L274" s="21" t="s">
        <v>98</v>
      </c>
      <c r="M274" s="33" t="s">
        <v>99</v>
      </c>
      <c r="N274" s="19">
        <v>94</v>
      </c>
      <c r="O274" s="2"/>
      <c r="P274" s="2" t="s">
        <v>4</v>
      </c>
      <c r="Q274" s="20" t="s">
        <v>68</v>
      </c>
      <c r="R274" s="25" t="s">
        <v>69</v>
      </c>
      <c r="S274" s="25" t="s">
        <v>137</v>
      </c>
      <c r="T274" s="25"/>
      <c r="U274" s="33" t="s">
        <v>199</v>
      </c>
      <c r="V274" s="25" t="s">
        <v>3</v>
      </c>
      <c r="W274" s="25">
        <v>1</v>
      </c>
      <c r="X274" s="595">
        <v>4500</v>
      </c>
      <c r="Y274" s="619"/>
      <c r="Z274" s="2"/>
      <c r="AA274" s="2"/>
      <c r="AB274" s="620"/>
      <c r="AC274" s="25">
        <v>30</v>
      </c>
      <c r="AD274" s="25">
        <v>30</v>
      </c>
      <c r="AE274" s="619"/>
      <c r="AF274" s="2"/>
      <c r="AG274" s="2"/>
      <c r="AH274" s="2"/>
      <c r="AI274" s="2"/>
      <c r="AJ274" s="621"/>
      <c r="AK274" s="596">
        <v>9000</v>
      </c>
      <c r="AL274" s="29" t="s">
        <v>73</v>
      </c>
      <c r="AM274" s="29" t="s">
        <v>73</v>
      </c>
      <c r="AN274" s="29" t="s">
        <v>73</v>
      </c>
      <c r="AO274" s="29" t="s">
        <v>73</v>
      </c>
      <c r="AP274" s="478">
        <v>4500</v>
      </c>
      <c r="AQ274" s="478">
        <v>4500</v>
      </c>
      <c r="AR274" s="29" t="s">
        <v>73</v>
      </c>
      <c r="AS274" s="29" t="s">
        <v>73</v>
      </c>
      <c r="AT274" s="29" t="s">
        <v>73</v>
      </c>
      <c r="AU274" s="29" t="s">
        <v>73</v>
      </c>
      <c r="AV274" s="29" t="s">
        <v>73</v>
      </c>
      <c r="AW274" s="29" t="s">
        <v>73</v>
      </c>
      <c r="AX274" s="30">
        <v>9000</v>
      </c>
      <c r="AY274" s="597" t="s">
        <v>5</v>
      </c>
      <c r="AZ274" s="2" t="s">
        <v>74</v>
      </c>
      <c r="BA274" s="2"/>
      <c r="BK274" s="125" t="s">
        <v>790</v>
      </c>
      <c r="BL274" s="481" t="s">
        <v>791</v>
      </c>
      <c r="BM274" s="125" t="s">
        <v>1586</v>
      </c>
      <c r="BN274" s="177" t="s">
        <v>1587</v>
      </c>
      <c r="BO274" s="125" t="s">
        <v>1588</v>
      </c>
      <c r="BP274" s="129">
        <v>46134</v>
      </c>
      <c r="BQ274" s="18"/>
      <c r="BR274" s="287">
        <v>3234</v>
      </c>
      <c r="BS274" s="125" t="s">
        <v>1589</v>
      </c>
      <c r="BT274" s="286" t="s">
        <v>1567</v>
      </c>
      <c r="BU274" s="946" t="s">
        <v>1568</v>
      </c>
      <c r="BV274" s="241" t="s">
        <v>1592</v>
      </c>
      <c r="BW274" s="177" t="s">
        <v>929</v>
      </c>
      <c r="BX274" s="177" t="s">
        <v>1593</v>
      </c>
      <c r="BY274" s="125">
        <v>70273864</v>
      </c>
      <c r="BZ274" s="125">
        <v>10702738640</v>
      </c>
      <c r="CA274" s="126">
        <v>4500</v>
      </c>
      <c r="CB274" s="128">
        <v>46144</v>
      </c>
      <c r="CC274" s="128">
        <v>46203</v>
      </c>
      <c r="CD274" s="759"/>
      <c r="CE274" s="177">
        <f t="shared" si="29"/>
        <v>30</v>
      </c>
      <c r="CF274" s="1019">
        <f t="shared" si="30"/>
        <v>4500</v>
      </c>
      <c r="CG274" s="177">
        <v>30</v>
      </c>
      <c r="CH274" s="1019">
        <f t="shared" si="31"/>
        <v>4500</v>
      </c>
      <c r="CI274" s="177">
        <v>30</v>
      </c>
      <c r="CJ274" s="1019">
        <f t="shared" si="32"/>
        <v>4500</v>
      </c>
      <c r="CK274" s="177">
        <f t="shared" si="33"/>
        <v>0</v>
      </c>
      <c r="CL274" s="177">
        <f t="shared" si="34"/>
        <v>0</v>
      </c>
      <c r="CM274" s="1006"/>
      <c r="CN274" s="177">
        <f t="shared" si="35"/>
        <v>30</v>
      </c>
      <c r="CO274" s="1019">
        <f t="shared" si="36"/>
        <v>4500</v>
      </c>
      <c r="CP274" s="177">
        <v>30</v>
      </c>
      <c r="CQ274" s="1019">
        <f t="shared" si="37"/>
        <v>4500</v>
      </c>
      <c r="CR274" s="1033">
        <v>30</v>
      </c>
      <c r="CS274" s="1019">
        <f t="shared" si="38"/>
        <v>4500</v>
      </c>
      <c r="CT274" s="1019">
        <f t="shared" si="39"/>
        <v>0</v>
      </c>
      <c r="CU274" s="1019">
        <f t="shared" si="40"/>
        <v>0</v>
      </c>
      <c r="CV274" s="1006"/>
      <c r="CW274" s="1007">
        <f t="shared" ref="CW274:CW337" si="486">AX274</f>
        <v>9000</v>
      </c>
      <c r="CX274" s="486">
        <f t="shared" ref="CX274:CX337" si="487">CH274+CQ274</f>
        <v>9000</v>
      </c>
      <c r="CY274" s="486">
        <f t="shared" ref="CY274:CY337" si="488">CJ274+CS274</f>
        <v>9000</v>
      </c>
      <c r="CZ274" s="1007">
        <f t="shared" ref="CZ274:CZ337" si="489">CW274-CX274</f>
        <v>0</v>
      </c>
      <c r="DA274" s="1007">
        <f t="shared" ref="DA274:DA337" si="490">CW274-CY274</f>
        <v>0</v>
      </c>
      <c r="DB274" s="126"/>
      <c r="DC274" s="125"/>
    </row>
    <row r="275" spans="1:107" ht="51" hidden="1" x14ac:dyDescent="0.25">
      <c r="A275" s="19">
        <v>2026</v>
      </c>
      <c r="B275" s="46">
        <v>479</v>
      </c>
      <c r="C275" s="598" t="s">
        <v>64</v>
      </c>
      <c r="D275" s="598" t="s">
        <v>65</v>
      </c>
      <c r="E275" s="46">
        <v>125</v>
      </c>
      <c r="F275" s="46">
        <v>3000654</v>
      </c>
      <c r="G275" s="46">
        <v>5005023</v>
      </c>
      <c r="H275" s="46">
        <v>3</v>
      </c>
      <c r="I275" s="46">
        <v>12</v>
      </c>
      <c r="J275" s="46">
        <v>24</v>
      </c>
      <c r="K275" s="46">
        <v>135560</v>
      </c>
      <c r="L275" s="598" t="s">
        <v>98</v>
      </c>
      <c r="M275" s="45" t="s">
        <v>99</v>
      </c>
      <c r="N275" s="19">
        <v>94</v>
      </c>
      <c r="O275" s="2"/>
      <c r="P275" s="2" t="s">
        <v>4</v>
      </c>
      <c r="Q275" s="46" t="s">
        <v>68</v>
      </c>
      <c r="R275" s="49" t="s">
        <v>69</v>
      </c>
      <c r="S275" s="49" t="s">
        <v>137</v>
      </c>
      <c r="T275" s="49"/>
      <c r="U275" s="45" t="s">
        <v>199</v>
      </c>
      <c r="V275" s="49" t="s">
        <v>3</v>
      </c>
      <c r="W275" s="49">
        <v>1</v>
      </c>
      <c r="X275" s="599">
        <v>4500</v>
      </c>
      <c r="Y275" s="619"/>
      <c r="Z275" s="2"/>
      <c r="AA275" s="2"/>
      <c r="AB275" s="620"/>
      <c r="AC275" s="49">
        <v>30</v>
      </c>
      <c r="AD275" s="49">
        <v>30</v>
      </c>
      <c r="AE275" s="619"/>
      <c r="AF275" s="2"/>
      <c r="AG275" s="2"/>
      <c r="AH275" s="2"/>
      <c r="AI275" s="2"/>
      <c r="AJ275" s="621"/>
      <c r="AK275" s="600">
        <v>9000</v>
      </c>
      <c r="AL275" s="29" t="s">
        <v>73</v>
      </c>
      <c r="AM275" s="29" t="s">
        <v>73</v>
      </c>
      <c r="AN275" s="29" t="s">
        <v>73</v>
      </c>
      <c r="AO275" s="29" t="s">
        <v>73</v>
      </c>
      <c r="AP275" s="478">
        <v>4500</v>
      </c>
      <c r="AQ275" s="478">
        <v>4500</v>
      </c>
      <c r="AR275" s="29" t="s">
        <v>73</v>
      </c>
      <c r="AS275" s="29" t="s">
        <v>73</v>
      </c>
      <c r="AT275" s="29" t="s">
        <v>73</v>
      </c>
      <c r="AU275" s="29" t="s">
        <v>73</v>
      </c>
      <c r="AV275" s="29" t="s">
        <v>73</v>
      </c>
      <c r="AW275" s="29" t="s">
        <v>73</v>
      </c>
      <c r="AX275" s="30">
        <v>9000</v>
      </c>
      <c r="AY275" s="601" t="s">
        <v>5</v>
      </c>
      <c r="AZ275" s="2" t="s">
        <v>74</v>
      </c>
      <c r="BA275" s="2"/>
      <c r="BK275" s="125" t="s">
        <v>790</v>
      </c>
      <c r="BL275" s="481" t="s">
        <v>791</v>
      </c>
      <c r="BM275" s="125" t="s">
        <v>1586</v>
      </c>
      <c r="BN275" s="177" t="s">
        <v>1587</v>
      </c>
      <c r="BO275" s="125" t="s">
        <v>1588</v>
      </c>
      <c r="BP275" s="129">
        <v>46134</v>
      </c>
      <c r="BQ275" s="18"/>
      <c r="BR275" s="287">
        <v>3235</v>
      </c>
      <c r="BS275" s="125" t="s">
        <v>1589</v>
      </c>
      <c r="BT275" s="286" t="s">
        <v>1567</v>
      </c>
      <c r="BU275" s="946" t="s">
        <v>1568</v>
      </c>
      <c r="BV275" s="241" t="s">
        <v>1594</v>
      </c>
      <c r="BW275" s="177" t="s">
        <v>1595</v>
      </c>
      <c r="BX275" s="177" t="s">
        <v>1596</v>
      </c>
      <c r="BY275" s="125" t="s">
        <v>1597</v>
      </c>
      <c r="BZ275" s="125" t="s">
        <v>1598</v>
      </c>
      <c r="CA275" s="126">
        <v>4500</v>
      </c>
      <c r="CB275" s="128">
        <v>46144</v>
      </c>
      <c r="CC275" s="128">
        <v>46203</v>
      </c>
      <c r="CD275" s="759"/>
      <c r="CE275" s="177">
        <f t="shared" si="29"/>
        <v>30</v>
      </c>
      <c r="CF275" s="1019">
        <f t="shared" si="30"/>
        <v>4500</v>
      </c>
      <c r="CG275" s="177">
        <v>30</v>
      </c>
      <c r="CH275" s="1019">
        <f t="shared" si="31"/>
        <v>4500</v>
      </c>
      <c r="CI275" s="177">
        <v>30</v>
      </c>
      <c r="CJ275" s="1019">
        <f t="shared" si="32"/>
        <v>4500</v>
      </c>
      <c r="CK275" s="177">
        <f t="shared" si="33"/>
        <v>0</v>
      </c>
      <c r="CL275" s="177">
        <f t="shared" si="34"/>
        <v>0</v>
      </c>
      <c r="CM275" s="1006"/>
      <c r="CN275" s="177">
        <f t="shared" si="35"/>
        <v>30</v>
      </c>
      <c r="CO275" s="1019">
        <f t="shared" si="36"/>
        <v>4500</v>
      </c>
      <c r="CP275" s="177">
        <v>30</v>
      </c>
      <c r="CQ275" s="1019">
        <f t="shared" si="37"/>
        <v>4500</v>
      </c>
      <c r="CR275" s="1033">
        <v>30</v>
      </c>
      <c r="CS275" s="1019">
        <f t="shared" si="38"/>
        <v>4500</v>
      </c>
      <c r="CT275" s="1019">
        <f t="shared" si="39"/>
        <v>0</v>
      </c>
      <c r="CU275" s="1019">
        <f t="shared" si="40"/>
        <v>0</v>
      </c>
      <c r="CV275" s="1006"/>
      <c r="CW275" s="1007">
        <f t="shared" si="486"/>
        <v>9000</v>
      </c>
      <c r="CX275" s="486">
        <f t="shared" si="487"/>
        <v>9000</v>
      </c>
      <c r="CY275" s="486">
        <f t="shared" si="488"/>
        <v>9000</v>
      </c>
      <c r="CZ275" s="1007">
        <f t="shared" si="489"/>
        <v>0</v>
      </c>
      <c r="DA275" s="1007">
        <f t="shared" si="490"/>
        <v>0</v>
      </c>
      <c r="DB275" s="126"/>
      <c r="DC275" s="125"/>
    </row>
    <row r="276" spans="1:107" ht="51" hidden="1" x14ac:dyDescent="0.25">
      <c r="A276" s="19">
        <v>2026</v>
      </c>
      <c r="B276" s="19">
        <v>479</v>
      </c>
      <c r="C276" s="472" t="s">
        <v>64</v>
      </c>
      <c r="D276" s="472" t="s">
        <v>65</v>
      </c>
      <c r="E276" s="19">
        <v>125</v>
      </c>
      <c r="F276" s="19">
        <v>3000654</v>
      </c>
      <c r="G276" s="19">
        <v>5005023</v>
      </c>
      <c r="H276" s="19">
        <v>3</v>
      </c>
      <c r="I276" s="19">
        <v>12</v>
      </c>
      <c r="J276" s="19">
        <v>24</v>
      </c>
      <c r="K276" s="19">
        <v>135560</v>
      </c>
      <c r="L276" s="472" t="s">
        <v>98</v>
      </c>
      <c r="M276" s="124" t="s">
        <v>99</v>
      </c>
      <c r="N276" s="19">
        <v>94</v>
      </c>
      <c r="O276" s="2"/>
      <c r="P276" s="2" t="s">
        <v>4</v>
      </c>
      <c r="Q276" s="19" t="s">
        <v>68</v>
      </c>
      <c r="R276" s="121" t="s">
        <v>69</v>
      </c>
      <c r="S276" s="121" t="s">
        <v>137</v>
      </c>
      <c r="T276" s="121"/>
      <c r="U276" s="124" t="s">
        <v>200</v>
      </c>
      <c r="V276" s="121" t="s">
        <v>3</v>
      </c>
      <c r="W276" s="121">
        <v>1</v>
      </c>
      <c r="X276" s="476">
        <v>9000</v>
      </c>
      <c r="Y276" s="2"/>
      <c r="Z276" s="2"/>
      <c r="AA276" s="2"/>
      <c r="AB276" s="2"/>
      <c r="AC276" s="121">
        <v>30</v>
      </c>
      <c r="AD276" s="121">
        <v>30</v>
      </c>
      <c r="AE276" s="2"/>
      <c r="AF276" s="2"/>
      <c r="AG276" s="2"/>
      <c r="AH276" s="2"/>
      <c r="AI276" s="2"/>
      <c r="AJ276" s="2"/>
      <c r="AK276" s="477">
        <v>18000</v>
      </c>
      <c r="AL276" s="29" t="s">
        <v>73</v>
      </c>
      <c r="AM276" s="29" t="s">
        <v>73</v>
      </c>
      <c r="AN276" s="29" t="s">
        <v>73</v>
      </c>
      <c r="AO276" s="29" t="s">
        <v>73</v>
      </c>
      <c r="AP276" s="478">
        <v>9000</v>
      </c>
      <c r="AQ276" s="478">
        <v>9000</v>
      </c>
      <c r="AR276" s="29" t="s">
        <v>73</v>
      </c>
      <c r="AS276" s="29" t="s">
        <v>73</v>
      </c>
      <c r="AT276" s="29" t="s">
        <v>73</v>
      </c>
      <c r="AU276" s="29" t="s">
        <v>73</v>
      </c>
      <c r="AV276" s="29" t="s">
        <v>73</v>
      </c>
      <c r="AW276" s="29" t="s">
        <v>73</v>
      </c>
      <c r="AX276" s="30">
        <v>18000</v>
      </c>
      <c r="AY276" s="536" t="s">
        <v>5</v>
      </c>
      <c r="AZ276" s="2" t="s">
        <v>74</v>
      </c>
      <c r="BA276" s="2"/>
      <c r="BK276" s="125" t="s">
        <v>790</v>
      </c>
      <c r="BL276" s="481" t="s">
        <v>791</v>
      </c>
      <c r="BM276" s="125" t="s">
        <v>1563</v>
      </c>
      <c r="BN276" s="177" t="s">
        <v>1564</v>
      </c>
      <c r="BO276" s="125" t="s">
        <v>1565</v>
      </c>
      <c r="BP276" s="128">
        <v>46134</v>
      </c>
      <c r="BQ276" s="18"/>
      <c r="BR276" s="505" t="s">
        <v>1599</v>
      </c>
      <c r="BS276" s="18"/>
      <c r="BT276" s="286" t="s">
        <v>1567</v>
      </c>
      <c r="BU276" s="286" t="s">
        <v>1568</v>
      </c>
      <c r="BV276" s="241" t="s">
        <v>1035</v>
      </c>
      <c r="BW276" s="241" t="s">
        <v>1544</v>
      </c>
      <c r="BX276" s="241" t="s">
        <v>1600</v>
      </c>
      <c r="BY276" s="125">
        <v>40568758</v>
      </c>
      <c r="BZ276" s="125">
        <v>10405687581</v>
      </c>
      <c r="CA276" s="126">
        <v>9000</v>
      </c>
      <c r="CB276" s="128">
        <v>46143</v>
      </c>
      <c r="CC276" s="128">
        <v>46203</v>
      </c>
      <c r="CD276" s="759"/>
      <c r="CE276" s="177">
        <f t="shared" si="29"/>
        <v>30</v>
      </c>
      <c r="CF276" s="1019">
        <f t="shared" si="30"/>
        <v>9000</v>
      </c>
      <c r="CG276" s="177">
        <v>30</v>
      </c>
      <c r="CH276" s="1019">
        <f t="shared" si="31"/>
        <v>9000</v>
      </c>
      <c r="CI276" s="177">
        <v>30</v>
      </c>
      <c r="CJ276" s="1019">
        <f t="shared" si="32"/>
        <v>9000</v>
      </c>
      <c r="CK276" s="177">
        <f t="shared" si="33"/>
        <v>0</v>
      </c>
      <c r="CL276" s="177">
        <f t="shared" si="34"/>
        <v>0</v>
      </c>
      <c r="CM276" s="1006"/>
      <c r="CN276" s="177">
        <f t="shared" si="35"/>
        <v>30</v>
      </c>
      <c r="CO276" s="1019">
        <f t="shared" si="36"/>
        <v>9000</v>
      </c>
      <c r="CP276" s="177">
        <v>30</v>
      </c>
      <c r="CQ276" s="1019">
        <f t="shared" si="37"/>
        <v>9000</v>
      </c>
      <c r="CR276" s="1019">
        <v>30</v>
      </c>
      <c r="CS276" s="1019">
        <f t="shared" si="38"/>
        <v>9000</v>
      </c>
      <c r="CT276" s="1019">
        <f t="shared" si="39"/>
        <v>0</v>
      </c>
      <c r="CU276" s="1019">
        <f t="shared" si="40"/>
        <v>0</v>
      </c>
      <c r="CV276" s="1006"/>
      <c r="CW276" s="1007">
        <f t="shared" si="486"/>
        <v>18000</v>
      </c>
      <c r="CX276" s="486">
        <f t="shared" si="487"/>
        <v>18000</v>
      </c>
      <c r="CY276" s="486">
        <f t="shared" si="488"/>
        <v>18000</v>
      </c>
      <c r="CZ276" s="1007">
        <f t="shared" si="489"/>
        <v>0</v>
      </c>
      <c r="DA276" s="1007">
        <f t="shared" si="490"/>
        <v>0</v>
      </c>
      <c r="DB276" s="126"/>
      <c r="DC276" s="125"/>
    </row>
    <row r="277" spans="1:107" ht="51" hidden="1" x14ac:dyDescent="0.25">
      <c r="A277" s="19">
        <v>2026</v>
      </c>
      <c r="B277" s="23">
        <v>479</v>
      </c>
      <c r="C277" s="591" t="s">
        <v>64</v>
      </c>
      <c r="D277" s="591" t="s">
        <v>65</v>
      </c>
      <c r="E277" s="23">
        <v>125</v>
      </c>
      <c r="F277" s="23">
        <v>3000654</v>
      </c>
      <c r="G277" s="23">
        <v>5005023</v>
      </c>
      <c r="H277" s="23">
        <v>3</v>
      </c>
      <c r="I277" s="23">
        <v>12</v>
      </c>
      <c r="J277" s="23">
        <v>24</v>
      </c>
      <c r="K277" s="23">
        <v>135560</v>
      </c>
      <c r="L277" s="591" t="s">
        <v>98</v>
      </c>
      <c r="M277" s="26" t="s">
        <v>99</v>
      </c>
      <c r="N277" s="19">
        <v>94</v>
      </c>
      <c r="O277" s="2"/>
      <c r="P277" s="2" t="s">
        <v>4</v>
      </c>
      <c r="Q277" s="23" t="s">
        <v>68</v>
      </c>
      <c r="R277" s="24" t="s">
        <v>69</v>
      </c>
      <c r="S277" s="24" t="s">
        <v>137</v>
      </c>
      <c r="T277" s="24"/>
      <c r="U277" s="26" t="s">
        <v>201</v>
      </c>
      <c r="V277" s="24" t="s">
        <v>3</v>
      </c>
      <c r="W277" s="24">
        <v>1</v>
      </c>
      <c r="X277" s="592">
        <v>8000</v>
      </c>
      <c r="Y277" s="619"/>
      <c r="Z277" s="2"/>
      <c r="AA277" s="2"/>
      <c r="AB277" s="620"/>
      <c r="AC277" s="24">
        <v>30</v>
      </c>
      <c r="AD277" s="24">
        <v>30</v>
      </c>
      <c r="AE277" s="619"/>
      <c r="AF277" s="2"/>
      <c r="AG277" s="2"/>
      <c r="AH277" s="2"/>
      <c r="AI277" s="2"/>
      <c r="AJ277" s="621"/>
      <c r="AK277" s="593">
        <v>16000</v>
      </c>
      <c r="AL277" s="29" t="s">
        <v>73</v>
      </c>
      <c r="AM277" s="29" t="s">
        <v>73</v>
      </c>
      <c r="AN277" s="29" t="s">
        <v>73</v>
      </c>
      <c r="AO277" s="29" t="s">
        <v>73</v>
      </c>
      <c r="AP277" s="478">
        <v>8000</v>
      </c>
      <c r="AQ277" s="478">
        <v>8000</v>
      </c>
      <c r="AR277" s="29" t="s">
        <v>73</v>
      </c>
      <c r="AS277" s="29" t="s">
        <v>73</v>
      </c>
      <c r="AT277" s="29" t="s">
        <v>73</v>
      </c>
      <c r="AU277" s="29" t="s">
        <v>73</v>
      </c>
      <c r="AV277" s="29" t="s">
        <v>73</v>
      </c>
      <c r="AW277" s="29" t="s">
        <v>73</v>
      </c>
      <c r="AX277" s="30">
        <v>16000</v>
      </c>
      <c r="AY277" s="594" t="s">
        <v>5</v>
      </c>
      <c r="AZ277" s="2" t="s">
        <v>74</v>
      </c>
      <c r="BA277" s="2"/>
      <c r="BK277" s="125" t="s">
        <v>790</v>
      </c>
      <c r="BL277" s="481" t="s">
        <v>791</v>
      </c>
      <c r="BM277" s="125" t="s">
        <v>1586</v>
      </c>
      <c r="BN277" s="177" t="s">
        <v>1587</v>
      </c>
      <c r="BO277" s="125" t="s">
        <v>1588</v>
      </c>
      <c r="BP277" s="129">
        <v>46134</v>
      </c>
      <c r="BQ277" s="18"/>
      <c r="BR277" s="287">
        <v>3232</v>
      </c>
      <c r="BS277" s="125" t="s">
        <v>1589</v>
      </c>
      <c r="BT277" s="286" t="s">
        <v>1567</v>
      </c>
      <c r="BU277" s="946" t="s">
        <v>1568</v>
      </c>
      <c r="BV277" s="241" t="s">
        <v>1601</v>
      </c>
      <c r="BW277" s="177" t="s">
        <v>1602</v>
      </c>
      <c r="BX277" s="177" t="s">
        <v>1603</v>
      </c>
      <c r="BY277" s="125">
        <v>10790700</v>
      </c>
      <c r="BZ277" s="125">
        <v>10107907004</v>
      </c>
      <c r="CA277" s="126">
        <v>8000</v>
      </c>
      <c r="CB277" s="128">
        <v>46144</v>
      </c>
      <c r="CC277" s="128">
        <v>46203</v>
      </c>
      <c r="CD277" s="759"/>
      <c r="CE277" s="177">
        <f t="shared" si="29"/>
        <v>30</v>
      </c>
      <c r="CF277" s="1019">
        <f t="shared" si="30"/>
        <v>8000</v>
      </c>
      <c r="CG277" s="177">
        <v>30</v>
      </c>
      <c r="CH277" s="1019">
        <f t="shared" si="31"/>
        <v>8000.0000000000009</v>
      </c>
      <c r="CI277" s="177">
        <v>30</v>
      </c>
      <c r="CJ277" s="1019">
        <f t="shared" si="32"/>
        <v>8000.0000000000009</v>
      </c>
      <c r="CK277" s="177">
        <f t="shared" si="33"/>
        <v>0</v>
      </c>
      <c r="CL277" s="177">
        <f t="shared" si="34"/>
        <v>0</v>
      </c>
      <c r="CM277" s="1006"/>
      <c r="CN277" s="177">
        <f t="shared" si="35"/>
        <v>30</v>
      </c>
      <c r="CO277" s="1019">
        <f t="shared" si="36"/>
        <v>8000</v>
      </c>
      <c r="CP277" s="177">
        <v>30</v>
      </c>
      <c r="CQ277" s="1019">
        <f t="shared" si="37"/>
        <v>8000.0000000000009</v>
      </c>
      <c r="CR277" s="1033">
        <v>30</v>
      </c>
      <c r="CS277" s="1019">
        <f t="shared" si="38"/>
        <v>8000.0000000000009</v>
      </c>
      <c r="CT277" s="1019">
        <f t="shared" si="39"/>
        <v>0</v>
      </c>
      <c r="CU277" s="1019">
        <f t="shared" si="40"/>
        <v>0</v>
      </c>
      <c r="CV277" s="1006"/>
      <c r="CW277" s="1007">
        <f t="shared" si="486"/>
        <v>16000</v>
      </c>
      <c r="CX277" s="486">
        <f t="shared" si="487"/>
        <v>16000.000000000002</v>
      </c>
      <c r="CY277" s="486">
        <f t="shared" si="488"/>
        <v>16000.000000000002</v>
      </c>
      <c r="CZ277" s="1007">
        <f t="shared" si="489"/>
        <v>0</v>
      </c>
      <c r="DA277" s="1007">
        <f t="shared" si="490"/>
        <v>0</v>
      </c>
      <c r="DB277" s="126"/>
      <c r="DC277" s="125"/>
    </row>
    <row r="278" spans="1:107" ht="409.5" hidden="1" x14ac:dyDescent="0.25">
      <c r="A278" s="19">
        <v>2026</v>
      </c>
      <c r="B278" s="46">
        <v>479</v>
      </c>
      <c r="C278" s="598" t="s">
        <v>64</v>
      </c>
      <c r="D278" s="598" t="s">
        <v>65</v>
      </c>
      <c r="E278" s="46">
        <v>125</v>
      </c>
      <c r="F278" s="46">
        <v>3000654</v>
      </c>
      <c r="G278" s="46">
        <v>5005023</v>
      </c>
      <c r="H278" s="46">
        <v>3</v>
      </c>
      <c r="I278" s="46">
        <v>12</v>
      </c>
      <c r="J278" s="46">
        <v>24</v>
      </c>
      <c r="K278" s="46">
        <v>135560</v>
      </c>
      <c r="L278" s="598" t="s">
        <v>98</v>
      </c>
      <c r="M278" s="45" t="s">
        <v>99</v>
      </c>
      <c r="N278" s="19">
        <v>94</v>
      </c>
      <c r="O278" s="2"/>
      <c r="P278" s="2" t="s">
        <v>4</v>
      </c>
      <c r="Q278" s="46" t="s">
        <v>68</v>
      </c>
      <c r="R278" s="49" t="s">
        <v>69</v>
      </c>
      <c r="S278" s="49" t="s">
        <v>137</v>
      </c>
      <c r="T278" s="49"/>
      <c r="U278" s="45" t="s">
        <v>1604</v>
      </c>
      <c r="V278" s="49" t="s">
        <v>3</v>
      </c>
      <c r="W278" s="49">
        <v>1</v>
      </c>
      <c r="X278" s="599">
        <v>6000</v>
      </c>
      <c r="Y278" s="619"/>
      <c r="Z278" s="2"/>
      <c r="AA278" s="2"/>
      <c r="AB278" s="620"/>
      <c r="AC278" s="49">
        <v>30</v>
      </c>
      <c r="AD278" s="49">
        <v>30</v>
      </c>
      <c r="AE278" s="619"/>
      <c r="AF278" s="2"/>
      <c r="AG278" s="2"/>
      <c r="AH278" s="2"/>
      <c r="AI278" s="2"/>
      <c r="AJ278" s="621"/>
      <c r="AK278" s="600">
        <v>12000</v>
      </c>
      <c r="AL278" s="29" t="s">
        <v>73</v>
      </c>
      <c r="AM278" s="29" t="s">
        <v>73</v>
      </c>
      <c r="AN278" s="29" t="s">
        <v>73</v>
      </c>
      <c r="AO278" s="29" t="s">
        <v>73</v>
      </c>
      <c r="AP278" s="478">
        <v>6000</v>
      </c>
      <c r="AQ278" s="478">
        <v>6000</v>
      </c>
      <c r="AR278" s="29" t="s">
        <v>73</v>
      </c>
      <c r="AS278" s="29" t="s">
        <v>73</v>
      </c>
      <c r="AT278" s="29" t="s">
        <v>73</v>
      </c>
      <c r="AU278" s="29" t="s">
        <v>73</v>
      </c>
      <c r="AV278" s="29" t="s">
        <v>73</v>
      </c>
      <c r="AW278" s="29" t="s">
        <v>73</v>
      </c>
      <c r="AX278" s="30">
        <v>12000</v>
      </c>
      <c r="AY278" s="601" t="s">
        <v>5</v>
      </c>
      <c r="AZ278" s="2" t="s">
        <v>74</v>
      </c>
      <c r="BA278" s="2"/>
      <c r="BC278" s="504" t="s">
        <v>1605</v>
      </c>
      <c r="BJ278" s="504"/>
      <c r="BK278" s="147" t="s">
        <v>790</v>
      </c>
      <c r="BL278" s="481" t="s">
        <v>791</v>
      </c>
      <c r="BM278" s="284" t="s">
        <v>1574</v>
      </c>
      <c r="BN278" s="177" t="s">
        <v>1575</v>
      </c>
      <c r="BO278" s="125" t="s">
        <v>1576</v>
      </c>
      <c r="BP278" s="602">
        <v>46135</v>
      </c>
      <c r="BQ278" s="18"/>
      <c r="BR278" s="287">
        <v>3238</v>
      </c>
      <c r="BS278" s="125"/>
      <c r="BT278" s="286" t="s">
        <v>1567</v>
      </c>
      <c r="BU278" s="946" t="s">
        <v>1568</v>
      </c>
      <c r="BV278" s="566" t="s">
        <v>1484</v>
      </c>
      <c r="BW278" s="566" t="s">
        <v>1606</v>
      </c>
      <c r="BX278" s="566" t="s">
        <v>1607</v>
      </c>
      <c r="BY278" s="284">
        <v>47150277</v>
      </c>
      <c r="BZ278" s="176"/>
      <c r="CA278" s="126">
        <v>6000</v>
      </c>
      <c r="CB278" s="128">
        <v>46144</v>
      </c>
      <c r="CC278" s="128">
        <v>46203</v>
      </c>
      <c r="CD278" s="759"/>
      <c r="CE278" s="177">
        <f t="shared" ref="CE278:CE378" si="491">AC278</f>
        <v>30</v>
      </c>
      <c r="CF278" s="1019">
        <f t="shared" ref="CF278:CF378" si="492">AP278</f>
        <v>6000</v>
      </c>
      <c r="CG278" s="177">
        <v>30</v>
      </c>
      <c r="CH278" s="1019">
        <f t="shared" ref="CH278:CH378" si="493">(X278/30)*CG278</f>
        <v>6000</v>
      </c>
      <c r="CI278" s="177">
        <v>30</v>
      </c>
      <c r="CJ278" s="1019">
        <f t="shared" ref="CJ278:CJ378" si="494">(X278/30)*CI278</f>
        <v>6000</v>
      </c>
      <c r="CK278" s="177">
        <f t="shared" ref="CK278:CK378" si="495">CF278-CH278</f>
        <v>0</v>
      </c>
      <c r="CL278" s="177">
        <f t="shared" ref="CL278:CL378" si="496">CF278-CJ278</f>
        <v>0</v>
      </c>
      <c r="CM278" s="1006"/>
      <c r="CN278" s="177">
        <f t="shared" ref="CN278:CN378" si="497">AD278</f>
        <v>30</v>
      </c>
      <c r="CO278" s="1019">
        <f t="shared" ref="CO278:CO378" si="498">AQ278</f>
        <v>6000</v>
      </c>
      <c r="CP278" s="177">
        <v>30</v>
      </c>
      <c r="CQ278" s="1019">
        <f t="shared" ref="CQ278:CQ378" si="499">(X278/30)*CP278</f>
        <v>6000</v>
      </c>
      <c r="CR278" s="177">
        <v>30</v>
      </c>
      <c r="CS278" s="1019">
        <f t="shared" ref="CS278:CS378" si="500">(X278/30)*CR278</f>
        <v>6000</v>
      </c>
      <c r="CT278" s="1019">
        <f t="shared" ref="CT278:CT378" si="501">CO278-CQ278</f>
        <v>0</v>
      </c>
      <c r="CU278" s="1019">
        <f t="shared" ref="CU278:CU378" si="502">CO278-CS278</f>
        <v>0</v>
      </c>
      <c r="CV278" s="1006"/>
      <c r="CW278" s="1007">
        <f t="shared" si="486"/>
        <v>12000</v>
      </c>
      <c r="CX278" s="486">
        <f t="shared" si="487"/>
        <v>12000</v>
      </c>
      <c r="CY278" s="486">
        <f t="shared" si="488"/>
        <v>12000</v>
      </c>
      <c r="CZ278" s="1007">
        <f t="shared" si="489"/>
        <v>0</v>
      </c>
      <c r="DA278" s="1007">
        <f t="shared" si="490"/>
        <v>0</v>
      </c>
      <c r="DB278" s="126"/>
      <c r="DC278" s="125"/>
    </row>
    <row r="279" spans="1:107" ht="51" hidden="1" x14ac:dyDescent="0.25">
      <c r="A279" s="19">
        <v>2026</v>
      </c>
      <c r="B279" s="19">
        <v>479</v>
      </c>
      <c r="C279" s="472" t="s">
        <v>64</v>
      </c>
      <c r="D279" s="472" t="s">
        <v>65</v>
      </c>
      <c r="E279" s="19">
        <v>125</v>
      </c>
      <c r="F279" s="19">
        <v>3000654</v>
      </c>
      <c r="G279" s="19">
        <v>5005023</v>
      </c>
      <c r="H279" s="19">
        <v>3</v>
      </c>
      <c r="I279" s="19">
        <v>12</v>
      </c>
      <c r="J279" s="19">
        <v>24</v>
      </c>
      <c r="K279" s="19">
        <v>135560</v>
      </c>
      <c r="L279" s="472" t="s">
        <v>98</v>
      </c>
      <c r="M279" s="124" t="s">
        <v>99</v>
      </c>
      <c r="N279" s="19">
        <v>94</v>
      </c>
      <c r="O279" s="2"/>
      <c r="P279" s="2" t="s">
        <v>4</v>
      </c>
      <c r="Q279" s="19" t="s">
        <v>68</v>
      </c>
      <c r="R279" s="121" t="s">
        <v>69</v>
      </c>
      <c r="S279" s="121" t="s">
        <v>137</v>
      </c>
      <c r="T279" s="121"/>
      <c r="U279" s="124" t="s">
        <v>203</v>
      </c>
      <c r="V279" s="121" t="s">
        <v>3</v>
      </c>
      <c r="W279" s="121">
        <v>1</v>
      </c>
      <c r="X279" s="476">
        <v>6000</v>
      </c>
      <c r="Y279" s="2"/>
      <c r="Z279" s="2"/>
      <c r="AA279" s="2"/>
      <c r="AB279" s="2"/>
      <c r="AC279" s="121">
        <v>30</v>
      </c>
      <c r="AD279" s="121">
        <v>30</v>
      </c>
      <c r="AE279" s="2"/>
      <c r="AF279" s="2"/>
      <c r="AG279" s="2"/>
      <c r="AH279" s="2"/>
      <c r="AI279" s="2"/>
      <c r="AJ279" s="2"/>
      <c r="AK279" s="477">
        <v>12000</v>
      </c>
      <c r="AL279" s="29" t="s">
        <v>73</v>
      </c>
      <c r="AM279" s="29" t="s">
        <v>73</v>
      </c>
      <c r="AN279" s="29" t="s">
        <v>73</v>
      </c>
      <c r="AO279" s="29" t="s">
        <v>73</v>
      </c>
      <c r="AP279" s="478">
        <v>6000</v>
      </c>
      <c r="AQ279" s="478">
        <v>6000</v>
      </c>
      <c r="AR279" s="29" t="s">
        <v>73</v>
      </c>
      <c r="AS279" s="29" t="s">
        <v>73</v>
      </c>
      <c r="AT279" s="29" t="s">
        <v>73</v>
      </c>
      <c r="AU279" s="29" t="s">
        <v>73</v>
      </c>
      <c r="AV279" s="29" t="s">
        <v>73</v>
      </c>
      <c r="AW279" s="29" t="s">
        <v>73</v>
      </c>
      <c r="AX279" s="30">
        <v>12000</v>
      </c>
      <c r="AY279" s="536" t="s">
        <v>5</v>
      </c>
      <c r="AZ279" s="2" t="s">
        <v>74</v>
      </c>
      <c r="BA279" s="2"/>
      <c r="BK279" s="147" t="s">
        <v>790</v>
      </c>
      <c r="BL279" s="481" t="s">
        <v>791</v>
      </c>
      <c r="BM279" s="125" t="s">
        <v>1563</v>
      </c>
      <c r="BN279" s="177" t="s">
        <v>1564</v>
      </c>
      <c r="BO279" s="125" t="s">
        <v>1565</v>
      </c>
      <c r="BP279" s="128">
        <v>46134</v>
      </c>
      <c r="BQ279" s="18"/>
      <c r="BR279" s="505" t="s">
        <v>1608</v>
      </c>
      <c r="BS279" s="18"/>
      <c r="BT279" s="286" t="s">
        <v>1567</v>
      </c>
      <c r="BU279" s="286" t="s">
        <v>1568</v>
      </c>
      <c r="BV279" s="241" t="s">
        <v>1347</v>
      </c>
      <c r="BW279" s="241" t="s">
        <v>1554</v>
      </c>
      <c r="BX279" s="241" t="s">
        <v>1609</v>
      </c>
      <c r="BY279" s="125">
        <v>43711281</v>
      </c>
      <c r="BZ279" s="125">
        <v>10437112814</v>
      </c>
      <c r="CA279" s="126">
        <v>6000</v>
      </c>
      <c r="CB279" s="128">
        <v>46143</v>
      </c>
      <c r="CC279" s="128">
        <v>46203</v>
      </c>
      <c r="CD279" s="759"/>
      <c r="CE279" s="177">
        <f t="shared" si="491"/>
        <v>30</v>
      </c>
      <c r="CF279" s="1019">
        <f t="shared" si="492"/>
        <v>6000</v>
      </c>
      <c r="CG279" s="177">
        <v>30</v>
      </c>
      <c r="CH279" s="1019">
        <f t="shared" si="493"/>
        <v>6000</v>
      </c>
      <c r="CI279" s="177">
        <v>30</v>
      </c>
      <c r="CJ279" s="1019">
        <f t="shared" si="494"/>
        <v>6000</v>
      </c>
      <c r="CK279" s="177">
        <f t="shared" si="495"/>
        <v>0</v>
      </c>
      <c r="CL279" s="177">
        <f t="shared" si="496"/>
        <v>0</v>
      </c>
      <c r="CM279" s="1006"/>
      <c r="CN279" s="177">
        <f t="shared" si="497"/>
        <v>30</v>
      </c>
      <c r="CO279" s="1019">
        <f t="shared" si="498"/>
        <v>6000</v>
      </c>
      <c r="CP279" s="177">
        <v>30</v>
      </c>
      <c r="CQ279" s="1019">
        <f t="shared" si="499"/>
        <v>6000</v>
      </c>
      <c r="CR279" s="1019">
        <v>30</v>
      </c>
      <c r="CS279" s="1019">
        <f t="shared" si="500"/>
        <v>6000</v>
      </c>
      <c r="CT279" s="1019">
        <f t="shared" si="501"/>
        <v>0</v>
      </c>
      <c r="CU279" s="1019">
        <f t="shared" si="502"/>
        <v>0</v>
      </c>
      <c r="CV279" s="1006"/>
      <c r="CW279" s="1007">
        <f t="shared" si="486"/>
        <v>12000</v>
      </c>
      <c r="CX279" s="486">
        <f t="shared" si="487"/>
        <v>12000</v>
      </c>
      <c r="CY279" s="486">
        <f t="shared" si="488"/>
        <v>12000</v>
      </c>
      <c r="CZ279" s="1007">
        <f t="shared" si="489"/>
        <v>0</v>
      </c>
      <c r="DA279" s="1007">
        <f t="shared" si="490"/>
        <v>0</v>
      </c>
      <c r="DB279" s="126"/>
      <c r="DC279" s="125"/>
    </row>
    <row r="280" spans="1:107" ht="345" hidden="1" x14ac:dyDescent="0.25">
      <c r="A280" s="19">
        <v>2026</v>
      </c>
      <c r="B280" s="23">
        <v>479</v>
      </c>
      <c r="C280" s="591" t="s">
        <v>64</v>
      </c>
      <c r="D280" s="591" t="s">
        <v>65</v>
      </c>
      <c r="E280" s="23">
        <v>125</v>
      </c>
      <c r="F280" s="23">
        <v>3000654</v>
      </c>
      <c r="G280" s="23">
        <v>5005023</v>
      </c>
      <c r="H280" s="23">
        <v>3</v>
      </c>
      <c r="I280" s="23">
        <v>12</v>
      </c>
      <c r="J280" s="23">
        <v>24</v>
      </c>
      <c r="K280" s="23">
        <v>135560</v>
      </c>
      <c r="L280" s="591" t="s">
        <v>98</v>
      </c>
      <c r="M280" s="26" t="s">
        <v>99</v>
      </c>
      <c r="N280" s="19">
        <v>94</v>
      </c>
      <c r="O280" s="2"/>
      <c r="P280" s="2" t="s">
        <v>4</v>
      </c>
      <c r="Q280" s="23" t="s">
        <v>68</v>
      </c>
      <c r="R280" s="24" t="s">
        <v>69</v>
      </c>
      <c r="S280" s="24" t="s">
        <v>137</v>
      </c>
      <c r="T280" s="24"/>
      <c r="U280" s="603" t="s">
        <v>1610</v>
      </c>
      <c r="V280" s="24" t="s">
        <v>3</v>
      </c>
      <c r="W280" s="24">
        <v>1</v>
      </c>
      <c r="X280" s="592">
        <v>9000</v>
      </c>
      <c r="Y280" s="619"/>
      <c r="Z280" s="2"/>
      <c r="AA280" s="2"/>
      <c r="AB280" s="620"/>
      <c r="AC280" s="24">
        <v>30</v>
      </c>
      <c r="AD280" s="24">
        <v>30</v>
      </c>
      <c r="AE280" s="619"/>
      <c r="AF280" s="2"/>
      <c r="AG280" s="2"/>
      <c r="AH280" s="2"/>
      <c r="AI280" s="2"/>
      <c r="AJ280" s="621"/>
      <c r="AK280" s="593">
        <v>18000</v>
      </c>
      <c r="AL280" s="29" t="s">
        <v>73</v>
      </c>
      <c r="AM280" s="29" t="s">
        <v>73</v>
      </c>
      <c r="AN280" s="29" t="s">
        <v>73</v>
      </c>
      <c r="AO280" s="29" t="s">
        <v>73</v>
      </c>
      <c r="AP280" s="478">
        <v>9000</v>
      </c>
      <c r="AQ280" s="478">
        <v>9000</v>
      </c>
      <c r="AR280" s="29" t="s">
        <v>73</v>
      </c>
      <c r="AS280" s="29" t="s">
        <v>73</v>
      </c>
      <c r="AT280" s="29" t="s">
        <v>73</v>
      </c>
      <c r="AU280" s="29" t="s">
        <v>73</v>
      </c>
      <c r="AV280" s="29" t="s">
        <v>73</v>
      </c>
      <c r="AW280" s="29" t="s">
        <v>73</v>
      </c>
      <c r="AX280" s="30">
        <v>18000</v>
      </c>
      <c r="AY280" s="226" t="s">
        <v>5</v>
      </c>
      <c r="AZ280" s="2" t="s">
        <v>74</v>
      </c>
      <c r="BA280" s="44"/>
      <c r="BC280" s="94" t="s">
        <v>1573</v>
      </c>
      <c r="BK280" s="147" t="s">
        <v>790</v>
      </c>
      <c r="BL280" s="481" t="s">
        <v>791</v>
      </c>
      <c r="BM280" s="125" t="s">
        <v>1586</v>
      </c>
      <c r="BN280" s="177" t="s">
        <v>1587</v>
      </c>
      <c r="BO280" s="125" t="s">
        <v>1588</v>
      </c>
      <c r="BP280" s="129">
        <v>46134</v>
      </c>
      <c r="BQ280" s="18"/>
      <c r="BR280" s="287">
        <v>3233</v>
      </c>
      <c r="BS280" s="125" t="s">
        <v>1589</v>
      </c>
      <c r="BT280" s="286" t="s">
        <v>1567</v>
      </c>
      <c r="BU280" s="946" t="s">
        <v>1568</v>
      </c>
      <c r="BV280" s="241" t="s">
        <v>1022</v>
      </c>
      <c r="BW280" s="177" t="s">
        <v>956</v>
      </c>
      <c r="BX280" s="177" t="s">
        <v>1023</v>
      </c>
      <c r="BY280" s="125">
        <v>44627780</v>
      </c>
      <c r="BZ280" s="177">
        <v>10446277800</v>
      </c>
      <c r="CA280" s="126">
        <v>9000</v>
      </c>
      <c r="CB280" s="128">
        <v>46144</v>
      </c>
      <c r="CC280" s="128">
        <v>46203</v>
      </c>
      <c r="CD280" s="759"/>
      <c r="CE280" s="177">
        <f t="shared" si="491"/>
        <v>30</v>
      </c>
      <c r="CF280" s="1019">
        <f t="shared" si="492"/>
        <v>9000</v>
      </c>
      <c r="CG280" s="177">
        <v>30</v>
      </c>
      <c r="CH280" s="1019">
        <f t="shared" si="493"/>
        <v>9000</v>
      </c>
      <c r="CI280" s="177">
        <v>30</v>
      </c>
      <c r="CJ280" s="1019">
        <f t="shared" si="494"/>
        <v>9000</v>
      </c>
      <c r="CK280" s="177">
        <f t="shared" si="495"/>
        <v>0</v>
      </c>
      <c r="CL280" s="177">
        <f t="shared" si="496"/>
        <v>0</v>
      </c>
      <c r="CM280" s="1006"/>
      <c r="CN280" s="177">
        <f t="shared" si="497"/>
        <v>30</v>
      </c>
      <c r="CO280" s="1019">
        <f t="shared" si="498"/>
        <v>9000</v>
      </c>
      <c r="CP280" s="177">
        <v>30</v>
      </c>
      <c r="CQ280" s="1019">
        <f t="shared" si="499"/>
        <v>9000</v>
      </c>
      <c r="CR280" s="1033">
        <v>30</v>
      </c>
      <c r="CS280" s="1019">
        <f t="shared" si="500"/>
        <v>9000</v>
      </c>
      <c r="CT280" s="1019">
        <f t="shared" si="501"/>
        <v>0</v>
      </c>
      <c r="CU280" s="1019">
        <f t="shared" si="502"/>
        <v>0</v>
      </c>
      <c r="CV280" s="1006"/>
      <c r="CW280" s="1007">
        <f t="shared" si="486"/>
        <v>18000</v>
      </c>
      <c r="CX280" s="486">
        <f t="shared" si="487"/>
        <v>18000</v>
      </c>
      <c r="CY280" s="486">
        <f t="shared" si="488"/>
        <v>18000</v>
      </c>
      <c r="CZ280" s="1007">
        <f t="shared" si="489"/>
        <v>0</v>
      </c>
      <c r="DA280" s="1007">
        <f t="shared" si="490"/>
        <v>0</v>
      </c>
      <c r="DB280" s="126"/>
      <c r="DC280" s="125"/>
    </row>
    <row r="281" spans="1:107" s="312" customFormat="1" ht="51" hidden="1" x14ac:dyDescent="0.25">
      <c r="A281" s="604">
        <v>2026</v>
      </c>
      <c r="B281" s="605">
        <v>479</v>
      </c>
      <c r="C281" s="606" t="s">
        <v>64</v>
      </c>
      <c r="D281" s="606" t="s">
        <v>65</v>
      </c>
      <c r="E281" s="605">
        <v>125</v>
      </c>
      <c r="F281" s="605">
        <v>3000654</v>
      </c>
      <c r="G281" s="605">
        <v>5005023</v>
      </c>
      <c r="H281" s="605">
        <v>3</v>
      </c>
      <c r="I281" s="605">
        <v>12</v>
      </c>
      <c r="J281" s="605">
        <v>24</v>
      </c>
      <c r="K281" s="605">
        <v>135560</v>
      </c>
      <c r="L281" s="606" t="s">
        <v>98</v>
      </c>
      <c r="M281" s="607" t="s">
        <v>99</v>
      </c>
      <c r="N281" s="604">
        <v>94</v>
      </c>
      <c r="O281" s="608"/>
      <c r="P281" s="608" t="s">
        <v>4</v>
      </c>
      <c r="Q281" s="605" t="s">
        <v>68</v>
      </c>
      <c r="R281" s="609" t="s">
        <v>69</v>
      </c>
      <c r="S281" s="609" t="s">
        <v>137</v>
      </c>
      <c r="T281" s="609"/>
      <c r="U281" s="607" t="s">
        <v>205</v>
      </c>
      <c r="V281" s="609" t="s">
        <v>3</v>
      </c>
      <c r="W281" s="609">
        <v>1</v>
      </c>
      <c r="X281" s="610">
        <v>7500</v>
      </c>
      <c r="Y281" s="870"/>
      <c r="Z281" s="608"/>
      <c r="AA281" s="608"/>
      <c r="AB281" s="871"/>
      <c r="AC281" s="609">
        <v>30</v>
      </c>
      <c r="AD281" s="609">
        <v>30</v>
      </c>
      <c r="AE281" s="870"/>
      <c r="AF281" s="608"/>
      <c r="AG281" s="608"/>
      <c r="AH281" s="608"/>
      <c r="AI281" s="608"/>
      <c r="AJ281" s="872"/>
      <c r="AK281" s="611">
        <v>15000</v>
      </c>
      <c r="AL281" s="612" t="s">
        <v>73</v>
      </c>
      <c r="AM281" s="612" t="s">
        <v>73</v>
      </c>
      <c r="AN281" s="612" t="s">
        <v>73</v>
      </c>
      <c r="AO281" s="612" t="s">
        <v>73</v>
      </c>
      <c r="AP281" s="613">
        <v>7500</v>
      </c>
      <c r="AQ281" s="613">
        <v>7500</v>
      </c>
      <c r="AR281" s="612" t="s">
        <v>73</v>
      </c>
      <c r="AS281" s="612" t="s">
        <v>73</v>
      </c>
      <c r="AT281" s="612" t="s">
        <v>73</v>
      </c>
      <c r="AU281" s="612" t="s">
        <v>73</v>
      </c>
      <c r="AV281" s="612" t="s">
        <v>73</v>
      </c>
      <c r="AW281" s="612" t="s">
        <v>73</v>
      </c>
      <c r="AX281" s="614">
        <v>15000</v>
      </c>
      <c r="AY281" s="615" t="s">
        <v>5</v>
      </c>
      <c r="AZ281" s="608" t="s">
        <v>74</v>
      </c>
      <c r="BA281" s="608"/>
      <c r="BB281"/>
      <c r="BC281"/>
      <c r="BD281"/>
      <c r="BE281"/>
      <c r="BF281"/>
      <c r="BG281"/>
      <c r="BH281"/>
      <c r="BI281"/>
      <c r="BJ281"/>
      <c r="BK281" s="147" t="s">
        <v>790</v>
      </c>
      <c r="BL281" s="481" t="s">
        <v>791</v>
      </c>
      <c r="BM281" s="284" t="s">
        <v>1611</v>
      </c>
      <c r="BN281" s="414" t="s">
        <v>1612</v>
      </c>
      <c r="BO281" s="284" t="s">
        <v>1613</v>
      </c>
      <c r="BP281" s="285">
        <v>46135</v>
      </c>
      <c r="BQ281" s="216"/>
      <c r="BR281" s="505" t="s">
        <v>1614</v>
      </c>
      <c r="BS281" s="216"/>
      <c r="BT281" s="286" t="s">
        <v>1567</v>
      </c>
      <c r="BU281" s="946" t="s">
        <v>1568</v>
      </c>
      <c r="BV281" s="566" t="s">
        <v>1615</v>
      </c>
      <c r="BW281" s="566" t="s">
        <v>1616</v>
      </c>
      <c r="BX281" s="566" t="s">
        <v>1617</v>
      </c>
      <c r="BY281" s="566">
        <v>73785401</v>
      </c>
      <c r="BZ281" s="616"/>
      <c r="CA281" s="617">
        <v>7500</v>
      </c>
      <c r="CB281" s="618">
        <v>46143</v>
      </c>
      <c r="CC281" s="618">
        <v>46203</v>
      </c>
      <c r="CD281" s="759"/>
      <c r="CE281" s="616">
        <f t="shared" si="491"/>
        <v>30</v>
      </c>
      <c r="CF281" s="1034">
        <f t="shared" si="492"/>
        <v>7500</v>
      </c>
      <c r="CG281" s="616">
        <v>30</v>
      </c>
      <c r="CH281" s="1034">
        <f t="shared" si="493"/>
        <v>7500</v>
      </c>
      <c r="CI281" s="616">
        <v>30</v>
      </c>
      <c r="CJ281" s="1034">
        <f t="shared" si="494"/>
        <v>7500</v>
      </c>
      <c r="CK281" s="616">
        <f t="shared" si="495"/>
        <v>0</v>
      </c>
      <c r="CL281" s="616">
        <f t="shared" si="496"/>
        <v>0</v>
      </c>
      <c r="CM281" s="1006"/>
      <c r="CN281" s="616">
        <f t="shared" si="497"/>
        <v>30</v>
      </c>
      <c r="CO281" s="1034">
        <f t="shared" si="498"/>
        <v>7500</v>
      </c>
      <c r="CP281" s="616">
        <v>30</v>
      </c>
      <c r="CQ281" s="1034">
        <f t="shared" si="499"/>
        <v>7500</v>
      </c>
      <c r="CR281" s="1035">
        <v>30</v>
      </c>
      <c r="CS281" s="1034">
        <f t="shared" si="500"/>
        <v>7500</v>
      </c>
      <c r="CT281" s="1035">
        <f t="shared" si="501"/>
        <v>0</v>
      </c>
      <c r="CU281" s="1035">
        <f t="shared" si="502"/>
        <v>0</v>
      </c>
      <c r="CV281" s="1006"/>
      <c r="CW281" s="1007">
        <f t="shared" si="486"/>
        <v>15000</v>
      </c>
      <c r="CX281" s="486">
        <f t="shared" si="487"/>
        <v>15000</v>
      </c>
      <c r="CY281" s="486">
        <f t="shared" si="488"/>
        <v>15000</v>
      </c>
      <c r="CZ281" s="1007">
        <f t="shared" si="489"/>
        <v>0</v>
      </c>
      <c r="DA281" s="1007">
        <f t="shared" si="490"/>
        <v>0</v>
      </c>
      <c r="DB281" s="617"/>
      <c r="DC281" s="216"/>
    </row>
    <row r="282" spans="1:107" ht="51" hidden="1" x14ac:dyDescent="0.25">
      <c r="A282" s="19">
        <v>2026</v>
      </c>
      <c r="B282" s="20">
        <v>479</v>
      </c>
      <c r="C282" s="21" t="s">
        <v>64</v>
      </c>
      <c r="D282" s="21" t="s">
        <v>65</v>
      </c>
      <c r="E282" s="20">
        <v>125</v>
      </c>
      <c r="F282" s="20">
        <v>3000654</v>
      </c>
      <c r="G282" s="20">
        <v>5005023</v>
      </c>
      <c r="H282" s="20">
        <v>3</v>
      </c>
      <c r="I282" s="20">
        <v>12</v>
      </c>
      <c r="J282" s="20">
        <v>24</v>
      </c>
      <c r="K282" s="20">
        <v>135560</v>
      </c>
      <c r="L282" s="21" t="s">
        <v>98</v>
      </c>
      <c r="M282" s="33" t="s">
        <v>99</v>
      </c>
      <c r="N282" s="19">
        <v>94</v>
      </c>
      <c r="O282" s="2"/>
      <c r="P282" s="2" t="s">
        <v>4</v>
      </c>
      <c r="Q282" s="20" t="s">
        <v>68</v>
      </c>
      <c r="R282" s="25" t="s">
        <v>69</v>
      </c>
      <c r="S282" s="25" t="s">
        <v>137</v>
      </c>
      <c r="T282" s="25"/>
      <c r="U282" s="33" t="s">
        <v>205</v>
      </c>
      <c r="V282" s="25" t="s">
        <v>3</v>
      </c>
      <c r="W282" s="25">
        <v>1</v>
      </c>
      <c r="X282" s="595">
        <v>7500</v>
      </c>
      <c r="Y282" s="619"/>
      <c r="Z282" s="2"/>
      <c r="AA282" s="2"/>
      <c r="AB282" s="620"/>
      <c r="AC282" s="25">
        <v>30</v>
      </c>
      <c r="AD282" s="25">
        <v>30</v>
      </c>
      <c r="AE282" s="619"/>
      <c r="AF282" s="2"/>
      <c r="AG282" s="2"/>
      <c r="AH282" s="2"/>
      <c r="AI282" s="2"/>
      <c r="AJ282" s="621"/>
      <c r="AK282" s="596">
        <v>15000</v>
      </c>
      <c r="AL282" s="29"/>
      <c r="AM282" s="29"/>
      <c r="AN282" s="29"/>
      <c r="AO282" s="29"/>
      <c r="AP282" s="478">
        <v>7500</v>
      </c>
      <c r="AQ282" s="478">
        <v>7500</v>
      </c>
      <c r="AR282" s="29"/>
      <c r="AS282" s="29"/>
      <c r="AT282" s="29"/>
      <c r="AU282" s="29"/>
      <c r="AV282" s="29"/>
      <c r="AW282" s="29"/>
      <c r="AX282" s="30">
        <v>15000</v>
      </c>
      <c r="AY282" s="597" t="s">
        <v>5</v>
      </c>
      <c r="AZ282" s="2" t="s">
        <v>74</v>
      </c>
      <c r="BA282" s="2"/>
      <c r="BK282" s="147" t="s">
        <v>790</v>
      </c>
      <c r="BL282" s="481" t="s">
        <v>791</v>
      </c>
      <c r="BM282" s="125" t="s">
        <v>1611</v>
      </c>
      <c r="BN282" s="177" t="s">
        <v>1612</v>
      </c>
      <c r="BO282" s="125" t="s">
        <v>1613</v>
      </c>
      <c r="BP282" s="129">
        <v>46135</v>
      </c>
      <c r="BQ282" s="18"/>
      <c r="BR282" s="505" t="s">
        <v>1618</v>
      </c>
      <c r="BS282" s="18"/>
      <c r="BT282" s="286" t="s">
        <v>1567</v>
      </c>
      <c r="BU282" s="946" t="s">
        <v>1568</v>
      </c>
      <c r="BV282" s="566" t="s">
        <v>1619</v>
      </c>
      <c r="BW282" s="566" t="s">
        <v>929</v>
      </c>
      <c r="BX282" s="566" t="s">
        <v>1620</v>
      </c>
      <c r="BY282" s="566">
        <v>72356908</v>
      </c>
      <c r="BZ282" s="177"/>
      <c r="CA282" s="126">
        <v>7500</v>
      </c>
      <c r="CB282" s="183">
        <v>46143</v>
      </c>
      <c r="CC282" s="183">
        <v>46203</v>
      </c>
      <c r="CD282" s="759"/>
      <c r="CE282" s="177">
        <f t="shared" ref="CE282" si="503">AC282</f>
        <v>30</v>
      </c>
      <c r="CF282" s="1019">
        <f t="shared" ref="CF282" si="504">AP282</f>
        <v>7500</v>
      </c>
      <c r="CG282" s="177">
        <v>30</v>
      </c>
      <c r="CH282" s="1019">
        <f t="shared" ref="CH282" si="505">(X282/30)*CG282</f>
        <v>7500</v>
      </c>
      <c r="CI282" s="177">
        <v>30</v>
      </c>
      <c r="CJ282" s="1019">
        <f t="shared" ref="CJ282" si="506">(X282/30)*CI282</f>
        <v>7500</v>
      </c>
      <c r="CK282" s="177">
        <f t="shared" ref="CK282" si="507">CF282-CH282</f>
        <v>0</v>
      </c>
      <c r="CL282" s="177">
        <f t="shared" ref="CL282" si="508">CF282-CJ282</f>
        <v>0</v>
      </c>
      <c r="CM282" s="1006"/>
      <c r="CN282" s="177">
        <f t="shared" ref="CN282" si="509">AD282</f>
        <v>30</v>
      </c>
      <c r="CO282" s="1019">
        <f t="shared" ref="CO282" si="510">AQ282</f>
        <v>7500</v>
      </c>
      <c r="CP282" s="177">
        <v>30</v>
      </c>
      <c r="CQ282" s="1019">
        <f t="shared" ref="CQ282" si="511">(X282/30)*CP282</f>
        <v>7500</v>
      </c>
      <c r="CR282" s="1032">
        <v>30</v>
      </c>
      <c r="CS282" s="1019">
        <f t="shared" ref="CS282" si="512">(X282/30)*CR282</f>
        <v>7500</v>
      </c>
      <c r="CT282" s="1032">
        <f t="shared" ref="CT282:CT283" si="513">CO282-CQ282</f>
        <v>0</v>
      </c>
      <c r="CU282" s="1032">
        <f t="shared" ref="CU282:CU283" si="514">CO282-CS282</f>
        <v>0</v>
      </c>
      <c r="CV282" s="1006"/>
      <c r="CW282" s="1007">
        <f t="shared" si="486"/>
        <v>15000</v>
      </c>
      <c r="CX282" s="486">
        <f t="shared" si="487"/>
        <v>15000</v>
      </c>
      <c r="CY282" s="486">
        <f t="shared" si="488"/>
        <v>15000</v>
      </c>
      <c r="CZ282" s="1007">
        <f t="shared" si="489"/>
        <v>0</v>
      </c>
      <c r="DA282" s="1007">
        <f t="shared" si="490"/>
        <v>0</v>
      </c>
      <c r="DB282" s="126"/>
      <c r="DC282" s="125"/>
    </row>
    <row r="283" spans="1:107" ht="345" hidden="1" x14ac:dyDescent="0.25">
      <c r="A283" s="19">
        <v>2026</v>
      </c>
      <c r="B283" s="20">
        <v>479</v>
      </c>
      <c r="C283" s="21" t="s">
        <v>64</v>
      </c>
      <c r="D283" s="21" t="s">
        <v>65</v>
      </c>
      <c r="E283" s="20">
        <v>125</v>
      </c>
      <c r="F283" s="20">
        <v>3000654</v>
      </c>
      <c r="G283" s="20">
        <v>5005023</v>
      </c>
      <c r="H283" s="20">
        <v>3</v>
      </c>
      <c r="I283" s="20">
        <v>12</v>
      </c>
      <c r="J283" s="20">
        <v>24</v>
      </c>
      <c r="K283" s="20">
        <v>135560</v>
      </c>
      <c r="L283" s="21" t="s">
        <v>98</v>
      </c>
      <c r="M283" s="33" t="s">
        <v>99</v>
      </c>
      <c r="N283" s="19">
        <v>94</v>
      </c>
      <c r="O283" s="2"/>
      <c r="P283" s="2" t="s">
        <v>4</v>
      </c>
      <c r="Q283" s="20" t="s">
        <v>68</v>
      </c>
      <c r="R283" s="25" t="s">
        <v>69</v>
      </c>
      <c r="S283" s="25" t="s">
        <v>137</v>
      </c>
      <c r="T283" s="25"/>
      <c r="U283" s="33" t="s">
        <v>1621</v>
      </c>
      <c r="V283" s="25" t="s">
        <v>3</v>
      </c>
      <c r="W283" s="25">
        <v>1</v>
      </c>
      <c r="X283" s="595">
        <v>7500</v>
      </c>
      <c r="Y283" s="619"/>
      <c r="Z283" s="2"/>
      <c r="AA283" s="2"/>
      <c r="AB283" s="620"/>
      <c r="AC283" s="25">
        <v>30</v>
      </c>
      <c r="AD283" s="25">
        <v>30</v>
      </c>
      <c r="AE283" s="619"/>
      <c r="AF283" s="2"/>
      <c r="AG283" s="2"/>
      <c r="AH283" s="2"/>
      <c r="AI283" s="2"/>
      <c r="AJ283" s="621"/>
      <c r="AK283" s="596">
        <v>15000</v>
      </c>
      <c r="AL283" s="29" t="s">
        <v>73</v>
      </c>
      <c r="AM283" s="29" t="s">
        <v>73</v>
      </c>
      <c r="AN283" s="29" t="s">
        <v>73</v>
      </c>
      <c r="AO283" s="29" t="s">
        <v>73</v>
      </c>
      <c r="AP283" s="478">
        <v>7500</v>
      </c>
      <c r="AQ283" s="478">
        <v>7500</v>
      </c>
      <c r="AR283" s="29" t="s">
        <v>73</v>
      </c>
      <c r="AS283" s="29" t="s">
        <v>73</v>
      </c>
      <c r="AT283" s="29" t="s">
        <v>73</v>
      </c>
      <c r="AU283" s="29" t="s">
        <v>73</v>
      </c>
      <c r="AV283" s="29" t="s">
        <v>73</v>
      </c>
      <c r="AW283" s="29" t="s">
        <v>73</v>
      </c>
      <c r="AX283" s="30">
        <v>15000</v>
      </c>
      <c r="AY283" s="597" t="s">
        <v>5</v>
      </c>
      <c r="AZ283" s="2" t="s">
        <v>74</v>
      </c>
      <c r="BA283" s="2"/>
      <c r="BC283" s="504" t="s">
        <v>1573</v>
      </c>
      <c r="BK283" s="147" t="s">
        <v>790</v>
      </c>
      <c r="BL283" s="481" t="s">
        <v>791</v>
      </c>
      <c r="BM283" s="125" t="s">
        <v>1574</v>
      </c>
      <c r="BN283" s="177" t="s">
        <v>1575</v>
      </c>
      <c r="BO283" s="125" t="s">
        <v>1576</v>
      </c>
      <c r="BP283" s="602">
        <v>46135</v>
      </c>
      <c r="BQ283" s="18"/>
      <c r="BR283" s="287">
        <v>3239</v>
      </c>
      <c r="BS283" s="18"/>
      <c r="BT283" s="286" t="s">
        <v>1567</v>
      </c>
      <c r="BU283" s="946" t="s">
        <v>1568</v>
      </c>
      <c r="BV283" s="566" t="s">
        <v>1622</v>
      </c>
      <c r="BW283" s="566" t="s">
        <v>1623</v>
      </c>
      <c r="BX283" s="566" t="s">
        <v>1624</v>
      </c>
      <c r="BY283" s="284">
        <v>73091238</v>
      </c>
      <c r="BZ283" s="177"/>
      <c r="CA283" s="126">
        <v>7500</v>
      </c>
      <c r="CB283" s="128">
        <v>46144</v>
      </c>
      <c r="CC283" s="128">
        <v>46203</v>
      </c>
      <c r="CD283" s="759"/>
      <c r="CE283" s="177">
        <f t="shared" ref="CE283" si="515">AC283</f>
        <v>30</v>
      </c>
      <c r="CF283" s="1019">
        <f t="shared" ref="CF283" si="516">AP283</f>
        <v>7500</v>
      </c>
      <c r="CG283" s="177">
        <v>30</v>
      </c>
      <c r="CH283" s="1019">
        <f t="shared" ref="CH283" si="517">(X283/30)*CG283</f>
        <v>7500</v>
      </c>
      <c r="CI283" s="177">
        <v>30</v>
      </c>
      <c r="CJ283" s="1019">
        <f t="shared" ref="CJ283" si="518">(X283/30)*CI283</f>
        <v>7500</v>
      </c>
      <c r="CK283" s="177">
        <f t="shared" ref="CK283" si="519">CF283-CH283</f>
        <v>0</v>
      </c>
      <c r="CL283" s="177">
        <f t="shared" ref="CL283" si="520">CF283-CJ283</f>
        <v>0</v>
      </c>
      <c r="CM283" s="1006"/>
      <c r="CN283" s="177">
        <f t="shared" ref="CN283" si="521">AD283</f>
        <v>30</v>
      </c>
      <c r="CO283" s="1019">
        <f t="shared" ref="CO283" si="522">AQ283</f>
        <v>7500</v>
      </c>
      <c r="CP283" s="177">
        <v>30</v>
      </c>
      <c r="CQ283" s="1019">
        <f t="shared" ref="CQ283" si="523">(X283/30)*CP283</f>
        <v>7500</v>
      </c>
      <c r="CR283" s="177">
        <v>30</v>
      </c>
      <c r="CS283" s="1019">
        <f t="shared" ref="CS283" si="524">(X283/30)*CR283</f>
        <v>7500</v>
      </c>
      <c r="CT283" s="1032">
        <f t="shared" si="513"/>
        <v>0</v>
      </c>
      <c r="CU283" s="1032">
        <f t="shared" si="514"/>
        <v>0</v>
      </c>
      <c r="CV283" s="1006"/>
      <c r="CW283" s="1007">
        <f t="shared" si="486"/>
        <v>15000</v>
      </c>
      <c r="CX283" s="486">
        <f t="shared" si="487"/>
        <v>15000</v>
      </c>
      <c r="CY283" s="486">
        <f t="shared" si="488"/>
        <v>15000</v>
      </c>
      <c r="CZ283" s="1007">
        <f t="shared" si="489"/>
        <v>0</v>
      </c>
      <c r="DA283" s="1007">
        <f t="shared" si="490"/>
        <v>0</v>
      </c>
      <c r="DB283" s="126"/>
      <c r="DC283" s="125"/>
    </row>
    <row r="284" spans="1:107" ht="51" hidden="1" x14ac:dyDescent="0.25">
      <c r="A284" s="19">
        <v>2026</v>
      </c>
      <c r="B284" s="20">
        <v>479</v>
      </c>
      <c r="C284" s="21" t="s">
        <v>64</v>
      </c>
      <c r="D284" s="21" t="s">
        <v>65</v>
      </c>
      <c r="E284" s="20">
        <v>125</v>
      </c>
      <c r="F284" s="20">
        <v>3000654</v>
      </c>
      <c r="G284" s="20">
        <v>5005023</v>
      </c>
      <c r="H284" s="20">
        <v>3</v>
      </c>
      <c r="I284" s="20">
        <v>12</v>
      </c>
      <c r="J284" s="20">
        <v>24</v>
      </c>
      <c r="K284" s="20">
        <v>135560</v>
      </c>
      <c r="L284" s="21" t="s">
        <v>98</v>
      </c>
      <c r="M284" s="33" t="s">
        <v>99</v>
      </c>
      <c r="N284" s="19">
        <v>94</v>
      </c>
      <c r="O284" s="2"/>
      <c r="P284" s="2" t="s">
        <v>4</v>
      </c>
      <c r="Q284" s="20" t="s">
        <v>68</v>
      </c>
      <c r="R284" s="25" t="s">
        <v>69</v>
      </c>
      <c r="S284" s="25" t="s">
        <v>137</v>
      </c>
      <c r="T284" s="25"/>
      <c r="U284" s="33" t="s">
        <v>206</v>
      </c>
      <c r="V284" s="25" t="s">
        <v>3</v>
      </c>
      <c r="W284" s="25">
        <v>1</v>
      </c>
      <c r="X284" s="595">
        <v>7500</v>
      </c>
      <c r="Y284" s="619"/>
      <c r="Z284" s="2"/>
      <c r="AA284" s="2"/>
      <c r="AB284" s="620"/>
      <c r="AC284" s="25">
        <v>30</v>
      </c>
      <c r="AD284" s="25">
        <v>30</v>
      </c>
      <c r="AE284" s="619"/>
      <c r="AF284" s="2"/>
      <c r="AG284" s="2"/>
      <c r="AH284" s="2"/>
      <c r="AI284" s="2"/>
      <c r="AJ284" s="621"/>
      <c r="AK284" s="596">
        <v>15000</v>
      </c>
      <c r="AL284" s="29" t="s">
        <v>73</v>
      </c>
      <c r="AM284" s="29" t="s">
        <v>73</v>
      </c>
      <c r="AN284" s="29" t="s">
        <v>73</v>
      </c>
      <c r="AO284" s="29" t="s">
        <v>73</v>
      </c>
      <c r="AP284" s="478">
        <v>7500</v>
      </c>
      <c r="AQ284" s="478">
        <v>7500</v>
      </c>
      <c r="AR284" s="29" t="s">
        <v>73</v>
      </c>
      <c r="AS284" s="29" t="s">
        <v>73</v>
      </c>
      <c r="AT284" s="29" t="s">
        <v>73</v>
      </c>
      <c r="AU284" s="29" t="s">
        <v>73</v>
      </c>
      <c r="AV284" s="29" t="s">
        <v>73</v>
      </c>
      <c r="AW284" s="29" t="s">
        <v>73</v>
      </c>
      <c r="AX284" s="30">
        <v>15000</v>
      </c>
      <c r="AY284" s="597" t="s">
        <v>5</v>
      </c>
      <c r="AZ284" s="2" t="s">
        <v>74</v>
      </c>
      <c r="BA284" s="2"/>
      <c r="BK284" s="147" t="s">
        <v>790</v>
      </c>
      <c r="BL284" s="481" t="s">
        <v>791</v>
      </c>
      <c r="BM284" s="125" t="s">
        <v>1611</v>
      </c>
      <c r="BN284" s="177" t="s">
        <v>1612</v>
      </c>
      <c r="BO284" s="125" t="s">
        <v>1613</v>
      </c>
      <c r="BP284" s="129">
        <v>46135</v>
      </c>
      <c r="BQ284" s="18"/>
      <c r="BR284" s="505" t="s">
        <v>1625</v>
      </c>
      <c r="BS284" s="18"/>
      <c r="BT284" s="286" t="s">
        <v>1567</v>
      </c>
      <c r="BU284" s="946" t="s">
        <v>1568</v>
      </c>
      <c r="BV284" s="566" t="s">
        <v>1626</v>
      </c>
      <c r="BW284" s="566" t="s">
        <v>1627</v>
      </c>
      <c r="BX284" s="566" t="s">
        <v>1628</v>
      </c>
      <c r="BY284" s="566">
        <v>72174243</v>
      </c>
      <c r="BZ284" s="177"/>
      <c r="CA284" s="126">
        <v>7500</v>
      </c>
      <c r="CB284" s="128">
        <v>46143</v>
      </c>
      <c r="CC284" s="128">
        <v>46203</v>
      </c>
      <c r="CD284" s="759"/>
      <c r="CE284" s="177">
        <f t="shared" si="491"/>
        <v>30</v>
      </c>
      <c r="CF284" s="1019">
        <f t="shared" si="492"/>
        <v>7500</v>
      </c>
      <c r="CG284" s="177">
        <v>30</v>
      </c>
      <c r="CH284" s="1019">
        <f t="shared" si="493"/>
        <v>7500</v>
      </c>
      <c r="CI284" s="177">
        <v>30</v>
      </c>
      <c r="CJ284" s="1019">
        <f t="shared" si="494"/>
        <v>7500</v>
      </c>
      <c r="CK284" s="177">
        <f t="shared" si="495"/>
        <v>0</v>
      </c>
      <c r="CL284" s="177">
        <f t="shared" si="496"/>
        <v>0</v>
      </c>
      <c r="CM284" s="1006"/>
      <c r="CN284" s="177">
        <f t="shared" si="497"/>
        <v>30</v>
      </c>
      <c r="CO284" s="1019">
        <f t="shared" si="498"/>
        <v>7500</v>
      </c>
      <c r="CP284" s="177">
        <v>30</v>
      </c>
      <c r="CQ284" s="1019">
        <f t="shared" si="499"/>
        <v>7500</v>
      </c>
      <c r="CR284" s="1032">
        <v>30</v>
      </c>
      <c r="CS284" s="1019">
        <f t="shared" si="500"/>
        <v>7500</v>
      </c>
      <c r="CT284" s="1032">
        <f t="shared" si="501"/>
        <v>0</v>
      </c>
      <c r="CU284" s="1032">
        <f t="shared" si="502"/>
        <v>0</v>
      </c>
      <c r="CV284" s="1006"/>
      <c r="CW284" s="1007">
        <f t="shared" si="486"/>
        <v>15000</v>
      </c>
      <c r="CX284" s="486">
        <f t="shared" si="487"/>
        <v>15000</v>
      </c>
      <c r="CY284" s="486">
        <f t="shared" si="488"/>
        <v>15000</v>
      </c>
      <c r="CZ284" s="1007">
        <f t="shared" si="489"/>
        <v>0</v>
      </c>
      <c r="DA284" s="1007">
        <f t="shared" si="490"/>
        <v>0</v>
      </c>
      <c r="DB284" s="126"/>
      <c r="DC284" s="125"/>
    </row>
    <row r="285" spans="1:107" ht="345" hidden="1" x14ac:dyDescent="0.25">
      <c r="A285" s="19">
        <v>2026</v>
      </c>
      <c r="B285" s="20">
        <v>479</v>
      </c>
      <c r="C285" s="21" t="s">
        <v>64</v>
      </c>
      <c r="D285" s="21" t="s">
        <v>65</v>
      </c>
      <c r="E285" s="20">
        <v>125</v>
      </c>
      <c r="F285" s="20">
        <v>3000654</v>
      </c>
      <c r="G285" s="20">
        <v>5005023</v>
      </c>
      <c r="H285" s="20">
        <v>3</v>
      </c>
      <c r="I285" s="20">
        <v>12</v>
      </c>
      <c r="J285" s="20">
        <v>24</v>
      </c>
      <c r="K285" s="20">
        <v>135560</v>
      </c>
      <c r="L285" s="21" t="s">
        <v>98</v>
      </c>
      <c r="M285" s="33" t="s">
        <v>99</v>
      </c>
      <c r="N285" s="19">
        <v>94</v>
      </c>
      <c r="O285" s="2"/>
      <c r="P285" s="2" t="s">
        <v>4</v>
      </c>
      <c r="Q285" s="20" t="s">
        <v>68</v>
      </c>
      <c r="R285" s="25" t="s">
        <v>69</v>
      </c>
      <c r="S285" s="25" t="s">
        <v>137</v>
      </c>
      <c r="T285" s="25"/>
      <c r="U285" s="33" t="s">
        <v>1629</v>
      </c>
      <c r="V285" s="25" t="s">
        <v>3</v>
      </c>
      <c r="W285" s="25">
        <v>1</v>
      </c>
      <c r="X285" s="595">
        <v>7500</v>
      </c>
      <c r="Y285" s="619"/>
      <c r="Z285" s="2"/>
      <c r="AA285" s="2"/>
      <c r="AB285" s="620"/>
      <c r="AC285" s="25">
        <v>30</v>
      </c>
      <c r="AD285" s="25">
        <v>30</v>
      </c>
      <c r="AE285" s="619"/>
      <c r="AF285" s="2"/>
      <c r="AG285" s="2"/>
      <c r="AH285" s="2"/>
      <c r="AI285" s="2"/>
      <c r="AJ285" s="621"/>
      <c r="AK285" s="596">
        <v>15000</v>
      </c>
      <c r="AL285" s="29" t="s">
        <v>73</v>
      </c>
      <c r="AM285" s="29" t="s">
        <v>73</v>
      </c>
      <c r="AN285" s="29" t="s">
        <v>73</v>
      </c>
      <c r="AO285" s="29" t="s">
        <v>73</v>
      </c>
      <c r="AP285" s="478">
        <v>7500</v>
      </c>
      <c r="AQ285" s="478">
        <v>7500</v>
      </c>
      <c r="AR285" s="29" t="s">
        <v>73</v>
      </c>
      <c r="AS285" s="29" t="s">
        <v>73</v>
      </c>
      <c r="AT285" s="29" t="s">
        <v>73</v>
      </c>
      <c r="AU285" s="29" t="s">
        <v>73</v>
      </c>
      <c r="AV285" s="29" t="s">
        <v>73</v>
      </c>
      <c r="AW285" s="29" t="s">
        <v>73</v>
      </c>
      <c r="AX285" s="30">
        <v>15000</v>
      </c>
      <c r="AY285" s="597" t="s">
        <v>5</v>
      </c>
      <c r="AZ285" s="2" t="s">
        <v>74</v>
      </c>
      <c r="BA285" s="2"/>
      <c r="BC285" s="504" t="s">
        <v>1573</v>
      </c>
      <c r="BK285" s="147" t="s">
        <v>790</v>
      </c>
      <c r="BL285" s="481" t="s">
        <v>791</v>
      </c>
      <c r="BM285" s="125" t="s">
        <v>1574</v>
      </c>
      <c r="BN285" s="177" t="s">
        <v>1575</v>
      </c>
      <c r="BO285" s="125" t="s">
        <v>1576</v>
      </c>
      <c r="BP285" s="602">
        <v>46135</v>
      </c>
      <c r="BQ285" s="18"/>
      <c r="BR285" s="287">
        <v>3240</v>
      </c>
      <c r="BS285" s="18"/>
      <c r="BT285" s="286" t="s">
        <v>1567</v>
      </c>
      <c r="BU285" s="946" t="s">
        <v>1568</v>
      </c>
      <c r="BV285" s="566" t="s">
        <v>1269</v>
      </c>
      <c r="BW285" s="566" t="s">
        <v>1630</v>
      </c>
      <c r="BX285" s="566" t="s">
        <v>1631</v>
      </c>
      <c r="BY285" s="284">
        <v>70402346</v>
      </c>
      <c r="BZ285" s="177"/>
      <c r="CA285" s="126">
        <v>7500</v>
      </c>
      <c r="CB285" s="128">
        <v>46144</v>
      </c>
      <c r="CC285" s="128">
        <v>46203</v>
      </c>
      <c r="CD285" s="759"/>
      <c r="CE285" s="177">
        <f t="shared" ref="CE285" si="525">AC285</f>
        <v>30</v>
      </c>
      <c r="CF285" s="1019">
        <f t="shared" ref="CF285" si="526">AP285</f>
        <v>7500</v>
      </c>
      <c r="CG285" s="177">
        <v>30</v>
      </c>
      <c r="CH285" s="1019">
        <f t="shared" ref="CH285" si="527">(X285/30)*CG285</f>
        <v>7500</v>
      </c>
      <c r="CI285" s="177">
        <v>30</v>
      </c>
      <c r="CJ285" s="1019">
        <f t="shared" ref="CJ285" si="528">(X285/30)*CI285</f>
        <v>7500</v>
      </c>
      <c r="CK285" s="177">
        <f t="shared" ref="CK285" si="529">CF285-CH285</f>
        <v>0</v>
      </c>
      <c r="CL285" s="177">
        <f t="shared" ref="CL285" si="530">CF285-CJ285</f>
        <v>0</v>
      </c>
      <c r="CM285" s="1006"/>
      <c r="CN285" s="177">
        <f t="shared" ref="CN285" si="531">AD285</f>
        <v>30</v>
      </c>
      <c r="CO285" s="1019">
        <f t="shared" ref="CO285" si="532">AQ285</f>
        <v>7500</v>
      </c>
      <c r="CP285" s="177">
        <v>30</v>
      </c>
      <c r="CQ285" s="1019">
        <f t="shared" ref="CQ285" si="533">(X285/30)*CP285</f>
        <v>7500</v>
      </c>
      <c r="CR285" s="177">
        <v>30</v>
      </c>
      <c r="CS285" s="1019">
        <f t="shared" ref="CS285" si="534">(X285/30)*CR285</f>
        <v>7500</v>
      </c>
      <c r="CT285" s="1032">
        <f t="shared" ref="CT285" si="535">CO285-CQ285</f>
        <v>0</v>
      </c>
      <c r="CU285" s="1032">
        <f t="shared" ref="CU285" si="536">CO285-CS285</f>
        <v>0</v>
      </c>
      <c r="CV285" s="1006"/>
      <c r="CW285" s="1007">
        <f t="shared" si="486"/>
        <v>15000</v>
      </c>
      <c r="CX285" s="486">
        <f t="shared" si="487"/>
        <v>15000</v>
      </c>
      <c r="CY285" s="486">
        <f t="shared" si="488"/>
        <v>15000</v>
      </c>
      <c r="CZ285" s="1007">
        <f t="shared" si="489"/>
        <v>0</v>
      </c>
      <c r="DA285" s="1007">
        <f t="shared" si="490"/>
        <v>0</v>
      </c>
      <c r="DB285" s="126"/>
      <c r="DC285" s="125"/>
    </row>
    <row r="286" spans="1:107" ht="54" hidden="1" customHeight="1" x14ac:dyDescent="0.25">
      <c r="A286" s="19">
        <v>2026</v>
      </c>
      <c r="B286" s="20">
        <v>479</v>
      </c>
      <c r="C286" s="21" t="s">
        <v>64</v>
      </c>
      <c r="D286" s="21" t="s">
        <v>65</v>
      </c>
      <c r="E286" s="20">
        <v>125</v>
      </c>
      <c r="F286" s="20">
        <v>3000654</v>
      </c>
      <c r="G286" s="20">
        <v>5005023</v>
      </c>
      <c r="H286" s="20">
        <v>3</v>
      </c>
      <c r="I286" s="20">
        <v>12</v>
      </c>
      <c r="J286" s="20">
        <v>24</v>
      </c>
      <c r="K286" s="20">
        <v>135560</v>
      </c>
      <c r="L286" s="21" t="s">
        <v>98</v>
      </c>
      <c r="M286" s="33" t="s">
        <v>99</v>
      </c>
      <c r="N286" s="19">
        <v>94</v>
      </c>
      <c r="O286" s="2"/>
      <c r="P286" s="2" t="s">
        <v>4</v>
      </c>
      <c r="Q286" s="20" t="s">
        <v>68</v>
      </c>
      <c r="R286" s="25" t="s">
        <v>69</v>
      </c>
      <c r="S286" s="25" t="s">
        <v>137</v>
      </c>
      <c r="T286" s="25"/>
      <c r="U286" s="33" t="s">
        <v>1632</v>
      </c>
      <c r="V286" s="25" t="s">
        <v>3</v>
      </c>
      <c r="W286" s="25">
        <v>1</v>
      </c>
      <c r="X286" s="595">
        <v>7500</v>
      </c>
      <c r="Y286" s="619"/>
      <c r="Z286" s="2"/>
      <c r="AA286" s="2"/>
      <c r="AB286" s="620"/>
      <c r="AC286" s="25">
        <v>30</v>
      </c>
      <c r="AD286" s="25">
        <v>30</v>
      </c>
      <c r="AE286" s="619"/>
      <c r="AF286" s="2"/>
      <c r="AG286" s="2"/>
      <c r="AH286" s="2"/>
      <c r="AI286" s="2"/>
      <c r="AJ286" s="621"/>
      <c r="AK286" s="596">
        <v>15000</v>
      </c>
      <c r="AL286" s="29" t="s">
        <v>73</v>
      </c>
      <c r="AM286" s="29" t="s">
        <v>73</v>
      </c>
      <c r="AN286" s="29" t="s">
        <v>73</v>
      </c>
      <c r="AO286" s="29" t="s">
        <v>73</v>
      </c>
      <c r="AP286" s="478">
        <v>7500</v>
      </c>
      <c r="AQ286" s="478">
        <v>7500</v>
      </c>
      <c r="AR286" s="29" t="s">
        <v>73</v>
      </c>
      <c r="AS286" s="29" t="s">
        <v>73</v>
      </c>
      <c r="AT286" s="29" t="s">
        <v>73</v>
      </c>
      <c r="AU286" s="29" t="s">
        <v>73</v>
      </c>
      <c r="AV286" s="29" t="s">
        <v>73</v>
      </c>
      <c r="AW286" s="29" t="s">
        <v>73</v>
      </c>
      <c r="AX286" s="30">
        <v>15000</v>
      </c>
      <c r="AY286" s="597" t="s">
        <v>5</v>
      </c>
      <c r="AZ286" s="2" t="s">
        <v>74</v>
      </c>
      <c r="BA286" s="2"/>
      <c r="BC286" s="504" t="s">
        <v>1573</v>
      </c>
      <c r="BK286" s="147" t="s">
        <v>790</v>
      </c>
      <c r="BL286" s="481" t="s">
        <v>791</v>
      </c>
      <c r="BM286" s="125" t="s">
        <v>1574</v>
      </c>
      <c r="BN286" s="177" t="s">
        <v>1575</v>
      </c>
      <c r="BO286" s="125" t="s">
        <v>1576</v>
      </c>
      <c r="BP286" s="602">
        <v>46135</v>
      </c>
      <c r="BQ286" s="18"/>
      <c r="BR286" s="287">
        <v>3241</v>
      </c>
      <c r="BS286" s="18"/>
      <c r="BT286" s="286" t="s">
        <v>1567</v>
      </c>
      <c r="BU286" s="946" t="s">
        <v>1568</v>
      </c>
      <c r="BV286" s="566" t="s">
        <v>1234</v>
      </c>
      <c r="BW286" s="566" t="s">
        <v>1633</v>
      </c>
      <c r="BX286" s="566" t="s">
        <v>1634</v>
      </c>
      <c r="BY286" s="284">
        <v>44185133</v>
      </c>
      <c r="BZ286" s="177"/>
      <c r="CA286" s="126">
        <v>7500</v>
      </c>
      <c r="CB286" s="128">
        <v>46144</v>
      </c>
      <c r="CC286" s="128">
        <v>46203</v>
      </c>
      <c r="CD286" s="759"/>
      <c r="CE286" s="177">
        <f t="shared" si="491"/>
        <v>30</v>
      </c>
      <c r="CF286" s="1019">
        <f t="shared" si="492"/>
        <v>7500</v>
      </c>
      <c r="CG286" s="177">
        <v>30</v>
      </c>
      <c r="CH286" s="1019">
        <f t="shared" si="493"/>
        <v>7500</v>
      </c>
      <c r="CI286" s="177">
        <v>30</v>
      </c>
      <c r="CJ286" s="1019">
        <f t="shared" si="494"/>
        <v>7500</v>
      </c>
      <c r="CK286" s="177">
        <f t="shared" si="495"/>
        <v>0</v>
      </c>
      <c r="CL286" s="177">
        <f t="shared" si="496"/>
        <v>0</v>
      </c>
      <c r="CM286" s="1006"/>
      <c r="CN286" s="177">
        <f t="shared" si="497"/>
        <v>30</v>
      </c>
      <c r="CO286" s="1019">
        <f t="shared" si="498"/>
        <v>7500</v>
      </c>
      <c r="CP286" s="177">
        <v>30</v>
      </c>
      <c r="CQ286" s="1019">
        <f t="shared" si="499"/>
        <v>7500</v>
      </c>
      <c r="CR286" s="177">
        <v>30</v>
      </c>
      <c r="CS286" s="1019">
        <f t="shared" si="500"/>
        <v>7500</v>
      </c>
      <c r="CT286" s="1019">
        <f t="shared" si="501"/>
        <v>0</v>
      </c>
      <c r="CU286" s="1019">
        <f t="shared" si="502"/>
        <v>0</v>
      </c>
      <c r="CV286" s="1006"/>
      <c r="CW286" s="1007">
        <f t="shared" si="486"/>
        <v>15000</v>
      </c>
      <c r="CX286" s="486">
        <f t="shared" si="487"/>
        <v>15000</v>
      </c>
      <c r="CY286" s="486">
        <f t="shared" si="488"/>
        <v>15000</v>
      </c>
      <c r="CZ286" s="1007">
        <f t="shared" si="489"/>
        <v>0</v>
      </c>
      <c r="DA286" s="1007">
        <f t="shared" si="490"/>
        <v>0</v>
      </c>
      <c r="DB286" s="126"/>
      <c r="DC286" s="125"/>
    </row>
    <row r="287" spans="1:107" ht="54" hidden="1" customHeight="1" x14ac:dyDescent="0.25">
      <c r="A287" s="19">
        <v>2026</v>
      </c>
      <c r="B287" s="20">
        <v>479</v>
      </c>
      <c r="C287" s="21" t="s">
        <v>64</v>
      </c>
      <c r="D287" s="21" t="s">
        <v>65</v>
      </c>
      <c r="E287" s="20">
        <v>125</v>
      </c>
      <c r="F287" s="20">
        <v>3000654</v>
      </c>
      <c r="G287" s="20">
        <v>5005023</v>
      </c>
      <c r="H287" s="20">
        <v>3</v>
      </c>
      <c r="I287" s="20">
        <v>12</v>
      </c>
      <c r="J287" s="20">
        <v>24</v>
      </c>
      <c r="K287" s="20">
        <v>135560</v>
      </c>
      <c r="L287" s="21" t="s">
        <v>98</v>
      </c>
      <c r="M287" s="33" t="s">
        <v>99</v>
      </c>
      <c r="N287" s="19">
        <v>94</v>
      </c>
      <c r="O287" s="2"/>
      <c r="P287" s="2" t="s">
        <v>4</v>
      </c>
      <c r="Q287" s="20" t="s">
        <v>68</v>
      </c>
      <c r="R287" s="25" t="s">
        <v>69</v>
      </c>
      <c r="S287" s="25" t="s">
        <v>137</v>
      </c>
      <c r="T287" s="25"/>
      <c r="U287" s="33" t="s">
        <v>1632</v>
      </c>
      <c r="V287" s="25" t="s">
        <v>3</v>
      </c>
      <c r="W287" s="25">
        <v>1</v>
      </c>
      <c r="X287" s="595">
        <v>7500</v>
      </c>
      <c r="Y287" s="619"/>
      <c r="Z287" s="2"/>
      <c r="AA287" s="2"/>
      <c r="AB287" s="620"/>
      <c r="AC287" s="25">
        <v>30</v>
      </c>
      <c r="AD287" s="25">
        <v>30</v>
      </c>
      <c r="AE287" s="619"/>
      <c r="AF287" s="2"/>
      <c r="AG287" s="2"/>
      <c r="AH287" s="2"/>
      <c r="AI287" s="2"/>
      <c r="AJ287" s="621"/>
      <c r="AK287" s="596">
        <v>15000</v>
      </c>
      <c r="AL287" s="29" t="s">
        <v>73</v>
      </c>
      <c r="AM287" s="29" t="s">
        <v>73</v>
      </c>
      <c r="AN287" s="29" t="s">
        <v>73</v>
      </c>
      <c r="AO287" s="29" t="s">
        <v>73</v>
      </c>
      <c r="AP287" s="478">
        <v>7500</v>
      </c>
      <c r="AQ287" s="478">
        <v>7500</v>
      </c>
      <c r="AR287" s="29" t="s">
        <v>73</v>
      </c>
      <c r="AS287" s="29" t="s">
        <v>73</v>
      </c>
      <c r="AT287" s="29" t="s">
        <v>73</v>
      </c>
      <c r="AU287" s="29" t="s">
        <v>73</v>
      </c>
      <c r="AV287" s="29" t="s">
        <v>73</v>
      </c>
      <c r="AW287" s="29" t="s">
        <v>73</v>
      </c>
      <c r="AX287" s="30">
        <v>15000</v>
      </c>
      <c r="AY287" s="597" t="s">
        <v>5</v>
      </c>
      <c r="AZ287" s="2" t="s">
        <v>74</v>
      </c>
      <c r="BA287" s="2"/>
      <c r="BC287" s="504" t="s">
        <v>1573</v>
      </c>
      <c r="BK287" s="147" t="s">
        <v>790</v>
      </c>
      <c r="BL287" s="481" t="s">
        <v>791</v>
      </c>
      <c r="BM287" s="125" t="s">
        <v>1574</v>
      </c>
      <c r="BN287" s="177" t="s">
        <v>1575</v>
      </c>
      <c r="BO287" s="125" t="s">
        <v>1576</v>
      </c>
      <c r="BP287" s="602">
        <v>46135</v>
      </c>
      <c r="BQ287" s="18"/>
      <c r="BR287" s="287">
        <v>3242</v>
      </c>
      <c r="BS287" s="18"/>
      <c r="BT287" s="286" t="s">
        <v>1567</v>
      </c>
      <c r="BU287" s="946" t="s">
        <v>1568</v>
      </c>
      <c r="BV287" s="566" t="s">
        <v>1635</v>
      </c>
      <c r="BW287" s="566" t="s">
        <v>1636</v>
      </c>
      <c r="BX287" s="566" t="s">
        <v>1637</v>
      </c>
      <c r="BY287" s="284">
        <v>76224735</v>
      </c>
      <c r="BZ287" s="177"/>
      <c r="CA287" s="126">
        <v>7500</v>
      </c>
      <c r="CB287" s="128">
        <v>46144</v>
      </c>
      <c r="CC287" s="128">
        <v>46203</v>
      </c>
      <c r="CD287" s="759"/>
      <c r="CE287" s="177">
        <f t="shared" ref="CE287" si="537">AC287</f>
        <v>30</v>
      </c>
      <c r="CF287" s="1019">
        <f t="shared" ref="CF287" si="538">AP287</f>
        <v>7500</v>
      </c>
      <c r="CG287" s="177">
        <v>30</v>
      </c>
      <c r="CH287" s="1019">
        <f t="shared" ref="CH287" si="539">(X287/30)*CG287</f>
        <v>7500</v>
      </c>
      <c r="CI287" s="177">
        <v>30</v>
      </c>
      <c r="CJ287" s="1019">
        <f t="shared" ref="CJ287" si="540">(X287/30)*CI287</f>
        <v>7500</v>
      </c>
      <c r="CK287" s="177">
        <f t="shared" ref="CK287" si="541">CF287-CH287</f>
        <v>0</v>
      </c>
      <c r="CL287" s="177">
        <f t="shared" ref="CL287" si="542">CF287-CJ287</f>
        <v>0</v>
      </c>
      <c r="CM287" s="1006"/>
      <c r="CN287" s="177">
        <f t="shared" ref="CN287" si="543">AD287</f>
        <v>30</v>
      </c>
      <c r="CO287" s="1019">
        <f t="shared" ref="CO287" si="544">AQ287</f>
        <v>7500</v>
      </c>
      <c r="CP287" s="177">
        <v>30</v>
      </c>
      <c r="CQ287" s="1019">
        <f t="shared" ref="CQ287" si="545">(X287/30)*CP287</f>
        <v>7500</v>
      </c>
      <c r="CR287" s="177">
        <v>30</v>
      </c>
      <c r="CS287" s="1019">
        <f t="shared" ref="CS287" si="546">(X287/30)*CR287</f>
        <v>7500</v>
      </c>
      <c r="CT287" s="1019">
        <f t="shared" ref="CT287" si="547">CO287-CQ287</f>
        <v>0</v>
      </c>
      <c r="CU287" s="1019">
        <f t="shared" ref="CU287" si="548">CO287-CS287</f>
        <v>0</v>
      </c>
      <c r="CV287" s="1006"/>
      <c r="CW287" s="1007">
        <f t="shared" si="486"/>
        <v>15000</v>
      </c>
      <c r="CX287" s="486">
        <f t="shared" si="487"/>
        <v>15000</v>
      </c>
      <c r="CY287" s="486">
        <f t="shared" si="488"/>
        <v>15000</v>
      </c>
      <c r="CZ287" s="1007">
        <f t="shared" si="489"/>
        <v>0</v>
      </c>
      <c r="DA287" s="1007">
        <f t="shared" si="490"/>
        <v>0</v>
      </c>
      <c r="DB287" s="126"/>
      <c r="DC287" s="125"/>
    </row>
    <row r="288" spans="1:107" ht="68.25" hidden="1" customHeight="1" x14ac:dyDescent="0.25">
      <c r="A288" s="19">
        <v>2026</v>
      </c>
      <c r="B288" s="20">
        <v>479</v>
      </c>
      <c r="C288" s="21" t="s">
        <v>64</v>
      </c>
      <c r="D288" s="21" t="s">
        <v>65</v>
      </c>
      <c r="E288" s="20">
        <v>125</v>
      </c>
      <c r="F288" s="20">
        <v>3000654</v>
      </c>
      <c r="G288" s="20">
        <v>5005023</v>
      </c>
      <c r="H288" s="20">
        <v>3</v>
      </c>
      <c r="I288" s="20">
        <v>12</v>
      </c>
      <c r="J288" s="20">
        <v>24</v>
      </c>
      <c r="K288" s="20">
        <v>135560</v>
      </c>
      <c r="L288" s="293" t="s">
        <v>98</v>
      </c>
      <c r="M288" s="33" t="s">
        <v>99</v>
      </c>
      <c r="N288" s="19">
        <v>94</v>
      </c>
      <c r="O288" s="2"/>
      <c r="P288" s="2" t="s">
        <v>4</v>
      </c>
      <c r="Q288" s="20" t="s">
        <v>68</v>
      </c>
      <c r="R288" s="25" t="s">
        <v>69</v>
      </c>
      <c r="S288" s="25" t="s">
        <v>137</v>
      </c>
      <c r="T288" s="25"/>
      <c r="U288" s="169" t="s">
        <v>208</v>
      </c>
      <c r="V288" s="25" t="s">
        <v>3</v>
      </c>
      <c r="W288" s="25"/>
      <c r="X288" s="595">
        <v>6500</v>
      </c>
      <c r="Y288" s="619"/>
      <c r="Z288" s="2"/>
      <c r="AA288" s="2"/>
      <c r="AB288" s="620"/>
      <c r="AC288" s="25">
        <v>30</v>
      </c>
      <c r="AD288" s="25">
        <v>30</v>
      </c>
      <c r="AE288" s="619"/>
      <c r="AF288" s="2"/>
      <c r="AG288" s="2"/>
      <c r="AH288" s="2"/>
      <c r="AI288" s="2"/>
      <c r="AJ288" s="621"/>
      <c r="AK288" s="596"/>
      <c r="AL288" s="29" t="s">
        <v>73</v>
      </c>
      <c r="AM288" s="29" t="s">
        <v>73</v>
      </c>
      <c r="AN288" s="29" t="s">
        <v>73</v>
      </c>
      <c r="AO288" s="29" t="s">
        <v>73</v>
      </c>
      <c r="AP288" s="478"/>
      <c r="AQ288" s="478"/>
      <c r="AR288" s="29" t="s">
        <v>73</v>
      </c>
      <c r="AS288" s="29" t="s">
        <v>73</v>
      </c>
      <c r="AT288" s="29" t="s">
        <v>73</v>
      </c>
      <c r="AU288" s="29" t="s">
        <v>73</v>
      </c>
      <c r="AV288" s="29" t="s">
        <v>73</v>
      </c>
      <c r="AW288" s="29" t="s">
        <v>73</v>
      </c>
      <c r="AX288" s="30"/>
      <c r="AY288" s="597" t="s">
        <v>5</v>
      </c>
      <c r="AZ288" s="2" t="s">
        <v>74</v>
      </c>
      <c r="BA288" s="2"/>
      <c r="BC288" s="504" t="s">
        <v>1638</v>
      </c>
      <c r="BK288" s="239" t="s">
        <v>1533</v>
      </c>
      <c r="BL288" s="239"/>
      <c r="BM288" s="125"/>
      <c r="BN288" s="177"/>
      <c r="BO288" s="125"/>
      <c r="BP288" s="129"/>
      <c r="BQ288" s="18"/>
      <c r="BR288" s="287"/>
      <c r="BS288" s="18"/>
      <c r="BT288" s="18"/>
      <c r="BU288" s="18"/>
      <c r="BV288" s="241"/>
      <c r="BW288" s="177"/>
      <c r="BX288" s="177"/>
      <c r="BY288" s="125"/>
      <c r="BZ288" s="177"/>
      <c r="CA288" s="126"/>
      <c r="CB288" s="128"/>
      <c r="CC288" s="128"/>
      <c r="CD288" s="759"/>
      <c r="CE288" s="177">
        <f t="shared" si="491"/>
        <v>30</v>
      </c>
      <c r="CF288" s="1019">
        <f t="shared" si="492"/>
        <v>0</v>
      </c>
      <c r="CG288" s="177"/>
      <c r="CH288" s="1019">
        <f t="shared" si="493"/>
        <v>0</v>
      </c>
      <c r="CI288" s="177"/>
      <c r="CJ288" s="1019">
        <f t="shared" si="494"/>
        <v>0</v>
      </c>
      <c r="CK288" s="177">
        <f t="shared" si="495"/>
        <v>0</v>
      </c>
      <c r="CL288" s="177">
        <f t="shared" si="496"/>
        <v>0</v>
      </c>
      <c r="CM288" s="1006"/>
      <c r="CN288" s="177">
        <f t="shared" si="497"/>
        <v>30</v>
      </c>
      <c r="CO288" s="1019">
        <f t="shared" si="498"/>
        <v>0</v>
      </c>
      <c r="CP288" s="177"/>
      <c r="CQ288" s="1019">
        <f t="shared" si="499"/>
        <v>0</v>
      </c>
      <c r="CR288" s="1019"/>
      <c r="CS288" s="1019">
        <f t="shared" si="500"/>
        <v>0</v>
      </c>
      <c r="CT288" s="1019">
        <f t="shared" si="501"/>
        <v>0</v>
      </c>
      <c r="CU288" s="1019">
        <f t="shared" si="502"/>
        <v>0</v>
      </c>
      <c r="CV288" s="1006"/>
      <c r="CW288" s="1007">
        <f t="shared" si="486"/>
        <v>0</v>
      </c>
      <c r="CX288" s="486">
        <f t="shared" si="487"/>
        <v>0</v>
      </c>
      <c r="CY288" s="486">
        <f t="shared" si="488"/>
        <v>0</v>
      </c>
      <c r="CZ288" s="1007">
        <f t="shared" si="489"/>
        <v>0</v>
      </c>
      <c r="DA288" s="1007">
        <f t="shared" si="490"/>
        <v>0</v>
      </c>
      <c r="DB288" s="126"/>
      <c r="DC288" s="125"/>
    </row>
    <row r="289" spans="1:107" ht="53.25" hidden="1" customHeight="1" x14ac:dyDescent="0.25">
      <c r="A289" s="19">
        <v>2026</v>
      </c>
      <c r="B289" s="20">
        <v>479</v>
      </c>
      <c r="C289" s="21" t="s">
        <v>64</v>
      </c>
      <c r="D289" s="21" t="s">
        <v>65</v>
      </c>
      <c r="E289" s="20">
        <v>125</v>
      </c>
      <c r="F289" s="20">
        <v>3000654</v>
      </c>
      <c r="G289" s="20">
        <v>5005023</v>
      </c>
      <c r="H289" s="20">
        <v>3</v>
      </c>
      <c r="I289" s="20">
        <v>12</v>
      </c>
      <c r="J289" s="20">
        <v>24</v>
      </c>
      <c r="K289" s="20">
        <v>135560</v>
      </c>
      <c r="L289" s="21" t="s">
        <v>98</v>
      </c>
      <c r="M289" s="33" t="s">
        <v>99</v>
      </c>
      <c r="N289" s="19">
        <v>94</v>
      </c>
      <c r="O289" s="2"/>
      <c r="P289" s="2" t="s">
        <v>4</v>
      </c>
      <c r="Q289" s="20" t="s">
        <v>68</v>
      </c>
      <c r="R289" s="25" t="s">
        <v>69</v>
      </c>
      <c r="S289" s="25" t="s">
        <v>137</v>
      </c>
      <c r="T289" s="25"/>
      <c r="U289" s="33" t="s">
        <v>1639</v>
      </c>
      <c r="V289" s="25" t="s">
        <v>3</v>
      </c>
      <c r="W289" s="25">
        <v>1</v>
      </c>
      <c r="X289" s="595">
        <v>4500</v>
      </c>
      <c r="Y289" s="619"/>
      <c r="Z289" s="2"/>
      <c r="AA289" s="2"/>
      <c r="AB289" s="620"/>
      <c r="AC289" s="25">
        <v>30</v>
      </c>
      <c r="AD289" s="25">
        <v>30</v>
      </c>
      <c r="AE289" s="619"/>
      <c r="AF289" s="2"/>
      <c r="AG289" s="2"/>
      <c r="AH289" s="2"/>
      <c r="AI289" s="2"/>
      <c r="AJ289" s="621"/>
      <c r="AK289" s="600">
        <v>9000</v>
      </c>
      <c r="AL289" s="29" t="s">
        <v>73</v>
      </c>
      <c r="AM289" s="29" t="s">
        <v>73</v>
      </c>
      <c r="AN289" s="29" t="s">
        <v>73</v>
      </c>
      <c r="AO289" s="29" t="s">
        <v>73</v>
      </c>
      <c r="AP289" s="478">
        <v>4500</v>
      </c>
      <c r="AQ289" s="478">
        <v>4500</v>
      </c>
      <c r="AR289" s="29" t="s">
        <v>73</v>
      </c>
      <c r="AS289" s="29" t="s">
        <v>73</v>
      </c>
      <c r="AT289" s="29" t="s">
        <v>73</v>
      </c>
      <c r="AU289" s="29" t="s">
        <v>73</v>
      </c>
      <c r="AV289" s="29" t="s">
        <v>73</v>
      </c>
      <c r="AW289" s="29" t="s">
        <v>73</v>
      </c>
      <c r="AX289" s="30">
        <v>9000</v>
      </c>
      <c r="AY289" s="597" t="s">
        <v>5</v>
      </c>
      <c r="AZ289" s="2" t="s">
        <v>74</v>
      </c>
      <c r="BA289" s="2"/>
      <c r="BC289" s="504" t="s">
        <v>1638</v>
      </c>
      <c r="BK289" s="147" t="s">
        <v>790</v>
      </c>
      <c r="BL289" s="481" t="s">
        <v>791</v>
      </c>
      <c r="BM289" s="125" t="s">
        <v>1574</v>
      </c>
      <c r="BN289" s="177" t="s">
        <v>1575</v>
      </c>
      <c r="BO289" s="125" t="s">
        <v>1576</v>
      </c>
      <c r="BP289" s="602">
        <v>46135</v>
      </c>
      <c r="BQ289" s="18"/>
      <c r="BR289" s="287">
        <v>3249</v>
      </c>
      <c r="BS289" s="18"/>
      <c r="BT289" s="286" t="s">
        <v>1567</v>
      </c>
      <c r="BU289" s="946" t="s">
        <v>1568</v>
      </c>
      <c r="BV289" s="566" t="s">
        <v>1640</v>
      </c>
      <c r="BW289" s="566" t="s">
        <v>1641</v>
      </c>
      <c r="BX289" s="566" t="s">
        <v>1642</v>
      </c>
      <c r="BY289" s="284">
        <v>41277732</v>
      </c>
      <c r="BZ289" s="177"/>
      <c r="CA289" s="126">
        <v>4500</v>
      </c>
      <c r="CB289" s="128">
        <v>46144</v>
      </c>
      <c r="CC289" s="128">
        <v>46203</v>
      </c>
      <c r="CD289" s="759"/>
      <c r="CE289" s="177">
        <f t="shared" si="491"/>
        <v>30</v>
      </c>
      <c r="CF289" s="1019">
        <v>4500</v>
      </c>
      <c r="CG289" s="177">
        <v>30</v>
      </c>
      <c r="CH289" s="1019">
        <f t="shared" si="493"/>
        <v>4500</v>
      </c>
      <c r="CI289" s="177">
        <v>30</v>
      </c>
      <c r="CJ289" s="1019">
        <f t="shared" si="494"/>
        <v>4500</v>
      </c>
      <c r="CK289" s="177">
        <v>0</v>
      </c>
      <c r="CL289" s="177">
        <v>0</v>
      </c>
      <c r="CM289" s="1006"/>
      <c r="CN289" s="177">
        <f t="shared" si="497"/>
        <v>30</v>
      </c>
      <c r="CO289" s="1019">
        <v>4500</v>
      </c>
      <c r="CP289" s="177">
        <v>30</v>
      </c>
      <c r="CQ289" s="1019">
        <f t="shared" si="499"/>
        <v>4500</v>
      </c>
      <c r="CR289" s="177">
        <v>30</v>
      </c>
      <c r="CS289" s="1019">
        <f t="shared" si="500"/>
        <v>4500</v>
      </c>
      <c r="CT289" s="1019">
        <v>0</v>
      </c>
      <c r="CU289" s="1019">
        <v>0</v>
      </c>
      <c r="CV289" s="1006"/>
      <c r="CW289" s="1007">
        <f t="shared" si="486"/>
        <v>9000</v>
      </c>
      <c r="CX289" s="486">
        <f t="shared" si="487"/>
        <v>9000</v>
      </c>
      <c r="CY289" s="486">
        <f t="shared" si="488"/>
        <v>9000</v>
      </c>
      <c r="CZ289" s="1007">
        <f t="shared" si="489"/>
        <v>0</v>
      </c>
      <c r="DA289" s="1007">
        <f t="shared" si="490"/>
        <v>0</v>
      </c>
      <c r="DB289" s="126"/>
      <c r="DC289" s="125"/>
    </row>
    <row r="290" spans="1:107" ht="53.25" hidden="1" customHeight="1" x14ac:dyDescent="0.25">
      <c r="A290" s="19">
        <v>2026</v>
      </c>
      <c r="B290" s="20">
        <v>479</v>
      </c>
      <c r="C290" s="21" t="s">
        <v>64</v>
      </c>
      <c r="D290" s="21" t="s">
        <v>65</v>
      </c>
      <c r="E290" s="20">
        <v>125</v>
      </c>
      <c r="F290" s="20">
        <v>3000654</v>
      </c>
      <c r="G290" s="20">
        <v>5005023</v>
      </c>
      <c r="H290" s="20">
        <v>3</v>
      </c>
      <c r="I290" s="20">
        <v>12</v>
      </c>
      <c r="J290" s="20">
        <v>24</v>
      </c>
      <c r="K290" s="20">
        <v>135560</v>
      </c>
      <c r="L290" s="21" t="s">
        <v>98</v>
      </c>
      <c r="M290" s="33" t="s">
        <v>99</v>
      </c>
      <c r="N290" s="19">
        <v>94</v>
      </c>
      <c r="O290" s="2"/>
      <c r="P290" s="2" t="s">
        <v>4</v>
      </c>
      <c r="Q290" s="20" t="s">
        <v>68</v>
      </c>
      <c r="R290" s="25" t="s">
        <v>69</v>
      </c>
      <c r="S290" s="25" t="s">
        <v>137</v>
      </c>
      <c r="T290" s="25"/>
      <c r="U290" s="33" t="s">
        <v>1639</v>
      </c>
      <c r="V290" s="25" t="s">
        <v>3</v>
      </c>
      <c r="W290" s="25">
        <v>1</v>
      </c>
      <c r="X290" s="595">
        <v>4500</v>
      </c>
      <c r="Y290" s="619"/>
      <c r="Z290" s="2"/>
      <c r="AA290" s="2"/>
      <c r="AB290" s="620"/>
      <c r="AC290" s="25">
        <v>30</v>
      </c>
      <c r="AD290" s="25">
        <v>30</v>
      </c>
      <c r="AE290" s="619"/>
      <c r="AF290" s="2"/>
      <c r="AG290" s="2"/>
      <c r="AH290" s="2"/>
      <c r="AI290" s="2"/>
      <c r="AJ290" s="621"/>
      <c r="AK290" s="600">
        <v>9000</v>
      </c>
      <c r="AL290" s="29" t="s">
        <v>73</v>
      </c>
      <c r="AM290" s="29" t="s">
        <v>73</v>
      </c>
      <c r="AN290" s="29" t="s">
        <v>73</v>
      </c>
      <c r="AO290" s="29" t="s">
        <v>73</v>
      </c>
      <c r="AP290" s="478">
        <v>4500</v>
      </c>
      <c r="AQ290" s="478">
        <v>4500</v>
      </c>
      <c r="AR290" s="29" t="s">
        <v>73</v>
      </c>
      <c r="AS290" s="29" t="s">
        <v>73</v>
      </c>
      <c r="AT290" s="29" t="s">
        <v>73</v>
      </c>
      <c r="AU290" s="29" t="s">
        <v>73</v>
      </c>
      <c r="AV290" s="29" t="s">
        <v>73</v>
      </c>
      <c r="AW290" s="29" t="s">
        <v>73</v>
      </c>
      <c r="AX290" s="30">
        <v>9000</v>
      </c>
      <c r="AY290" s="597" t="s">
        <v>5</v>
      </c>
      <c r="AZ290" s="2" t="s">
        <v>74</v>
      </c>
      <c r="BA290" s="2"/>
      <c r="BC290" s="504" t="s">
        <v>1638</v>
      </c>
      <c r="BK290" s="147" t="s">
        <v>790</v>
      </c>
      <c r="BL290" s="481" t="s">
        <v>791</v>
      </c>
      <c r="BM290" s="125" t="s">
        <v>1574</v>
      </c>
      <c r="BN290" s="177" t="s">
        <v>1575</v>
      </c>
      <c r="BO290" s="125" t="s">
        <v>1576</v>
      </c>
      <c r="BP290" s="602">
        <v>46135</v>
      </c>
      <c r="BQ290" s="18"/>
      <c r="BR290" s="287">
        <v>3250</v>
      </c>
      <c r="BS290" s="18"/>
      <c r="BT290" s="286" t="s">
        <v>1567</v>
      </c>
      <c r="BU290" s="946" t="s">
        <v>1568</v>
      </c>
      <c r="BV290" s="566" t="s">
        <v>1502</v>
      </c>
      <c r="BW290" s="566" t="s">
        <v>1643</v>
      </c>
      <c r="BX290" s="566" t="s">
        <v>1644</v>
      </c>
      <c r="BY290" s="284">
        <v>45112142</v>
      </c>
      <c r="BZ290" s="177"/>
      <c r="CA290" s="126">
        <v>4500</v>
      </c>
      <c r="CB290" s="128">
        <v>46144</v>
      </c>
      <c r="CC290" s="128">
        <v>46203</v>
      </c>
      <c r="CD290" s="759"/>
      <c r="CE290" s="177">
        <f t="shared" ref="CE290" si="549">AC290</f>
        <v>30</v>
      </c>
      <c r="CF290" s="1019">
        <v>4500</v>
      </c>
      <c r="CG290" s="177">
        <v>30</v>
      </c>
      <c r="CH290" s="1019">
        <f t="shared" ref="CH290" si="550">(X290/30)*CG290</f>
        <v>4500</v>
      </c>
      <c r="CI290" s="177">
        <v>30</v>
      </c>
      <c r="CJ290" s="1019">
        <f t="shared" ref="CJ290" si="551">(X290/30)*CI290</f>
        <v>4500</v>
      </c>
      <c r="CK290" s="177">
        <v>0</v>
      </c>
      <c r="CL290" s="177">
        <v>0</v>
      </c>
      <c r="CM290" s="1006"/>
      <c r="CN290" s="177">
        <f t="shared" ref="CN290" si="552">AD290</f>
        <v>30</v>
      </c>
      <c r="CO290" s="1019">
        <v>4500</v>
      </c>
      <c r="CP290" s="177">
        <v>30</v>
      </c>
      <c r="CQ290" s="1019">
        <f t="shared" ref="CQ290" si="553">(X290/30)*CP290</f>
        <v>4500</v>
      </c>
      <c r="CR290" s="177">
        <v>30</v>
      </c>
      <c r="CS290" s="1019">
        <f t="shared" ref="CS290" si="554">(X290/30)*CR290</f>
        <v>4500</v>
      </c>
      <c r="CT290" s="1019">
        <v>0</v>
      </c>
      <c r="CU290" s="1019">
        <v>0</v>
      </c>
      <c r="CV290" s="1006"/>
      <c r="CW290" s="1007">
        <f t="shared" si="486"/>
        <v>9000</v>
      </c>
      <c r="CX290" s="486">
        <f t="shared" si="487"/>
        <v>9000</v>
      </c>
      <c r="CY290" s="486">
        <f t="shared" si="488"/>
        <v>9000</v>
      </c>
      <c r="CZ290" s="1007">
        <f t="shared" si="489"/>
        <v>0</v>
      </c>
      <c r="DA290" s="1007">
        <f t="shared" si="490"/>
        <v>0</v>
      </c>
      <c r="DB290" s="126"/>
      <c r="DC290" s="125"/>
    </row>
    <row r="291" spans="1:107" ht="330" hidden="1" x14ac:dyDescent="0.25">
      <c r="A291" s="19">
        <v>2026</v>
      </c>
      <c r="B291" s="20">
        <v>479</v>
      </c>
      <c r="C291" s="21" t="s">
        <v>64</v>
      </c>
      <c r="D291" s="21" t="s">
        <v>65</v>
      </c>
      <c r="E291" s="20">
        <v>125</v>
      </c>
      <c r="F291" s="20">
        <v>3000654</v>
      </c>
      <c r="G291" s="20">
        <v>5005023</v>
      </c>
      <c r="H291" s="20">
        <v>3</v>
      </c>
      <c r="I291" s="20">
        <v>12</v>
      </c>
      <c r="J291" s="20">
        <v>24</v>
      </c>
      <c r="K291" s="20">
        <v>135560</v>
      </c>
      <c r="L291" s="21" t="s">
        <v>98</v>
      </c>
      <c r="M291" s="33" t="s">
        <v>99</v>
      </c>
      <c r="N291" s="19">
        <v>94</v>
      </c>
      <c r="O291" s="2"/>
      <c r="P291" s="2" t="s">
        <v>4</v>
      </c>
      <c r="Q291" s="20" t="s">
        <v>68</v>
      </c>
      <c r="R291" s="25" t="s">
        <v>69</v>
      </c>
      <c r="S291" s="25" t="s">
        <v>137</v>
      </c>
      <c r="T291" s="25"/>
      <c r="U291" s="33" t="s">
        <v>1645</v>
      </c>
      <c r="V291" s="25" t="s">
        <v>3</v>
      </c>
      <c r="W291" s="25">
        <v>1</v>
      </c>
      <c r="X291" s="595">
        <v>4500</v>
      </c>
      <c r="Y291" s="619"/>
      <c r="Z291" s="2"/>
      <c r="AA291" s="2"/>
      <c r="AB291" s="620"/>
      <c r="AC291" s="25">
        <v>30</v>
      </c>
      <c r="AD291" s="25">
        <v>30</v>
      </c>
      <c r="AE291" s="619"/>
      <c r="AF291" s="2"/>
      <c r="AG291" s="2"/>
      <c r="AH291" s="2"/>
      <c r="AI291" s="2"/>
      <c r="AJ291" s="621"/>
      <c r="AK291" s="596">
        <v>9000</v>
      </c>
      <c r="AL291" s="29" t="s">
        <v>73</v>
      </c>
      <c r="AM291" s="29" t="s">
        <v>73</v>
      </c>
      <c r="AN291" s="29" t="s">
        <v>73</v>
      </c>
      <c r="AO291" s="29" t="s">
        <v>73</v>
      </c>
      <c r="AP291" s="478">
        <v>4500</v>
      </c>
      <c r="AQ291" s="478">
        <v>4500</v>
      </c>
      <c r="AR291" s="29" t="s">
        <v>73</v>
      </c>
      <c r="AS291" s="29" t="s">
        <v>73</v>
      </c>
      <c r="AT291" s="29" t="s">
        <v>73</v>
      </c>
      <c r="AU291" s="29" t="s">
        <v>73</v>
      </c>
      <c r="AV291" s="29" t="s">
        <v>73</v>
      </c>
      <c r="AW291" s="29" t="s">
        <v>73</v>
      </c>
      <c r="AX291" s="30">
        <v>9000</v>
      </c>
      <c r="AY291" s="597" t="s">
        <v>5</v>
      </c>
      <c r="AZ291" s="2" t="s">
        <v>74</v>
      </c>
      <c r="BA291" s="2"/>
      <c r="BC291" s="504" t="s">
        <v>1638</v>
      </c>
      <c r="BK291" s="147" t="s">
        <v>790</v>
      </c>
      <c r="BL291" s="481" t="s">
        <v>791</v>
      </c>
      <c r="BM291" s="125" t="s">
        <v>1574</v>
      </c>
      <c r="BN291" s="177" t="s">
        <v>1575</v>
      </c>
      <c r="BO291" s="125" t="s">
        <v>1576</v>
      </c>
      <c r="BP291" s="602">
        <v>46135</v>
      </c>
      <c r="BQ291" s="18"/>
      <c r="BR291" s="287">
        <v>3251</v>
      </c>
      <c r="BS291" s="18"/>
      <c r="BT291" s="286" t="s">
        <v>1567</v>
      </c>
      <c r="BU291" s="946" t="s">
        <v>1568</v>
      </c>
      <c r="BV291" s="566" t="s">
        <v>1339</v>
      </c>
      <c r="BW291" s="566" t="s">
        <v>1646</v>
      </c>
      <c r="BX291" s="566" t="s">
        <v>1647</v>
      </c>
      <c r="BY291" s="284">
        <v>76466278</v>
      </c>
      <c r="BZ291" s="177"/>
      <c r="CA291" s="126">
        <v>4500</v>
      </c>
      <c r="CB291" s="128">
        <v>46144</v>
      </c>
      <c r="CC291" s="128">
        <v>46203</v>
      </c>
      <c r="CD291" s="759"/>
      <c r="CE291" s="177">
        <f t="shared" si="491"/>
        <v>30</v>
      </c>
      <c r="CF291" s="1019">
        <f t="shared" si="492"/>
        <v>4500</v>
      </c>
      <c r="CG291" s="177">
        <v>30</v>
      </c>
      <c r="CH291" s="1019">
        <f t="shared" si="493"/>
        <v>4500</v>
      </c>
      <c r="CI291" s="177">
        <v>30</v>
      </c>
      <c r="CJ291" s="1019">
        <f t="shared" si="494"/>
        <v>4500</v>
      </c>
      <c r="CK291" s="177">
        <f t="shared" si="495"/>
        <v>0</v>
      </c>
      <c r="CL291" s="177">
        <f t="shared" si="496"/>
        <v>0</v>
      </c>
      <c r="CM291" s="1006"/>
      <c r="CN291" s="177">
        <f t="shared" si="497"/>
        <v>30</v>
      </c>
      <c r="CO291" s="1019">
        <f t="shared" si="498"/>
        <v>4500</v>
      </c>
      <c r="CP291" s="177">
        <v>30</v>
      </c>
      <c r="CQ291" s="1019">
        <f t="shared" si="499"/>
        <v>4500</v>
      </c>
      <c r="CR291" s="177">
        <v>30</v>
      </c>
      <c r="CS291" s="1019">
        <f t="shared" si="500"/>
        <v>4500</v>
      </c>
      <c r="CT291" s="1019">
        <v>0</v>
      </c>
      <c r="CU291" s="1019">
        <v>0</v>
      </c>
      <c r="CV291" s="1006"/>
      <c r="CW291" s="1007">
        <f t="shared" si="486"/>
        <v>9000</v>
      </c>
      <c r="CX291" s="486">
        <f t="shared" si="487"/>
        <v>9000</v>
      </c>
      <c r="CY291" s="486">
        <f t="shared" si="488"/>
        <v>9000</v>
      </c>
      <c r="CZ291" s="1007">
        <f t="shared" si="489"/>
        <v>0</v>
      </c>
      <c r="DA291" s="1007">
        <f t="shared" si="490"/>
        <v>0</v>
      </c>
      <c r="DB291" s="126"/>
      <c r="DC291" s="125"/>
    </row>
    <row r="292" spans="1:107" ht="51" hidden="1" x14ac:dyDescent="0.25">
      <c r="A292" s="19">
        <v>2026</v>
      </c>
      <c r="B292" s="20">
        <v>479</v>
      </c>
      <c r="C292" s="21" t="s">
        <v>64</v>
      </c>
      <c r="D292" s="21" t="s">
        <v>65</v>
      </c>
      <c r="E292" s="20">
        <v>125</v>
      </c>
      <c r="F292" s="20">
        <v>3000654</v>
      </c>
      <c r="G292" s="20">
        <v>5005023</v>
      </c>
      <c r="H292" s="20">
        <v>3</v>
      </c>
      <c r="I292" s="20">
        <v>12</v>
      </c>
      <c r="J292" s="20">
        <v>24</v>
      </c>
      <c r="K292" s="20">
        <v>135560</v>
      </c>
      <c r="L292" s="21" t="s">
        <v>98</v>
      </c>
      <c r="M292" s="33" t="s">
        <v>99</v>
      </c>
      <c r="N292" s="19">
        <v>94</v>
      </c>
      <c r="O292" s="2"/>
      <c r="P292" s="2" t="s">
        <v>4</v>
      </c>
      <c r="Q292" s="20" t="s">
        <v>68</v>
      </c>
      <c r="R292" s="25" t="s">
        <v>69</v>
      </c>
      <c r="S292" s="25" t="s">
        <v>137</v>
      </c>
      <c r="T292" s="25"/>
      <c r="U292" s="33" t="s">
        <v>210</v>
      </c>
      <c r="V292" s="25" t="s">
        <v>3</v>
      </c>
      <c r="W292" s="25">
        <v>1</v>
      </c>
      <c r="X292" s="595">
        <v>9000</v>
      </c>
      <c r="Y292" s="619"/>
      <c r="Z292" s="2"/>
      <c r="AA292" s="2"/>
      <c r="AB292" s="620"/>
      <c r="AC292" s="25">
        <v>30</v>
      </c>
      <c r="AD292" s="25">
        <v>30</v>
      </c>
      <c r="AE292" s="619"/>
      <c r="AF292" s="2"/>
      <c r="AG292" s="2"/>
      <c r="AH292" s="2"/>
      <c r="AI292" s="2"/>
      <c r="AJ292" s="621"/>
      <c r="AK292" s="596">
        <v>18000</v>
      </c>
      <c r="AL292" s="29" t="s">
        <v>73</v>
      </c>
      <c r="AM292" s="29" t="s">
        <v>73</v>
      </c>
      <c r="AN292" s="29" t="s">
        <v>73</v>
      </c>
      <c r="AO292" s="29" t="s">
        <v>73</v>
      </c>
      <c r="AP292" s="478">
        <v>9000</v>
      </c>
      <c r="AQ292" s="478">
        <v>9000</v>
      </c>
      <c r="AR292" s="29" t="s">
        <v>73</v>
      </c>
      <c r="AS292" s="29" t="s">
        <v>73</v>
      </c>
      <c r="AT292" s="29" t="s">
        <v>73</v>
      </c>
      <c r="AU292" s="29" t="s">
        <v>73</v>
      </c>
      <c r="AV292" s="29" t="s">
        <v>73</v>
      </c>
      <c r="AW292" s="29" t="s">
        <v>73</v>
      </c>
      <c r="AX292" s="30">
        <v>18000</v>
      </c>
      <c r="AY292" s="597" t="s">
        <v>5</v>
      </c>
      <c r="AZ292" s="2" t="s">
        <v>74</v>
      </c>
      <c r="BA292" s="2"/>
      <c r="BK292" s="147" t="s">
        <v>790</v>
      </c>
      <c r="BL292" s="481" t="s">
        <v>791</v>
      </c>
      <c r="BM292" s="125" t="s">
        <v>1611</v>
      </c>
      <c r="BN292" s="414" t="s">
        <v>1612</v>
      </c>
      <c r="BO292" s="284" t="s">
        <v>1613</v>
      </c>
      <c r="BP292" s="129">
        <v>46135</v>
      </c>
      <c r="BQ292" s="18"/>
      <c r="BR292" s="505" t="s">
        <v>1648</v>
      </c>
      <c r="BS292" s="18"/>
      <c r="BT292" s="286" t="s">
        <v>1567</v>
      </c>
      <c r="BU292" s="286" t="s">
        <v>1568</v>
      </c>
      <c r="BV292" s="566" t="s">
        <v>1249</v>
      </c>
      <c r="BW292" s="566" t="s">
        <v>1527</v>
      </c>
      <c r="BX292" s="566" t="s">
        <v>1649</v>
      </c>
      <c r="BY292" s="566">
        <v>46174938</v>
      </c>
      <c r="BZ292" s="177"/>
      <c r="CA292" s="126">
        <v>9000</v>
      </c>
      <c r="CB292" s="128">
        <v>46143</v>
      </c>
      <c r="CC292" s="128">
        <v>46203</v>
      </c>
      <c r="CD292" s="759"/>
      <c r="CE292" s="177">
        <f t="shared" si="491"/>
        <v>30</v>
      </c>
      <c r="CF292" s="1019">
        <f t="shared" si="492"/>
        <v>9000</v>
      </c>
      <c r="CG292" s="177">
        <v>30</v>
      </c>
      <c r="CH292" s="1019">
        <f t="shared" si="493"/>
        <v>9000</v>
      </c>
      <c r="CI292" s="177">
        <v>30</v>
      </c>
      <c r="CJ292" s="1019">
        <f t="shared" si="494"/>
        <v>9000</v>
      </c>
      <c r="CK292" s="177">
        <f t="shared" si="495"/>
        <v>0</v>
      </c>
      <c r="CL292" s="177">
        <f t="shared" si="496"/>
        <v>0</v>
      </c>
      <c r="CM292" s="1006"/>
      <c r="CN292" s="177">
        <f t="shared" si="497"/>
        <v>30</v>
      </c>
      <c r="CO292" s="1019">
        <f t="shared" si="498"/>
        <v>9000</v>
      </c>
      <c r="CP292" s="177">
        <v>30</v>
      </c>
      <c r="CQ292" s="1019">
        <f t="shared" si="499"/>
        <v>9000</v>
      </c>
      <c r="CR292" s="1032">
        <v>30</v>
      </c>
      <c r="CS292" s="1019">
        <f t="shared" si="500"/>
        <v>9000</v>
      </c>
      <c r="CT292" s="177">
        <f t="shared" si="501"/>
        <v>0</v>
      </c>
      <c r="CU292" s="177">
        <f t="shared" si="502"/>
        <v>0</v>
      </c>
      <c r="CV292" s="1006"/>
      <c r="CW292" s="1007">
        <f t="shared" si="486"/>
        <v>18000</v>
      </c>
      <c r="CX292" s="486">
        <f t="shared" si="487"/>
        <v>18000</v>
      </c>
      <c r="CY292" s="486">
        <f t="shared" si="488"/>
        <v>18000</v>
      </c>
      <c r="CZ292" s="1007">
        <f t="shared" si="489"/>
        <v>0</v>
      </c>
      <c r="DA292" s="1007">
        <f t="shared" si="490"/>
        <v>0</v>
      </c>
      <c r="DB292" s="126"/>
      <c r="DC292" s="125"/>
    </row>
    <row r="293" spans="1:107" ht="15" hidden="1" customHeight="1" x14ac:dyDescent="0.25">
      <c r="A293" s="19">
        <v>2026</v>
      </c>
      <c r="B293" s="20">
        <v>479</v>
      </c>
      <c r="C293" s="21" t="s">
        <v>64</v>
      </c>
      <c r="D293" s="21" t="s">
        <v>65</v>
      </c>
      <c r="E293" s="20">
        <v>125</v>
      </c>
      <c r="F293" s="20">
        <v>3000654</v>
      </c>
      <c r="G293" s="20">
        <v>5005023</v>
      </c>
      <c r="H293" s="20">
        <v>3</v>
      </c>
      <c r="I293" s="20">
        <v>12</v>
      </c>
      <c r="J293" s="20">
        <v>24</v>
      </c>
      <c r="K293" s="20">
        <v>135560</v>
      </c>
      <c r="L293" s="21" t="s">
        <v>98</v>
      </c>
      <c r="M293" s="33" t="s">
        <v>99</v>
      </c>
      <c r="N293" s="19">
        <v>94</v>
      </c>
      <c r="O293" s="2"/>
      <c r="P293" s="2" t="s">
        <v>4</v>
      </c>
      <c r="Q293" s="20" t="s">
        <v>68</v>
      </c>
      <c r="R293" s="25" t="s">
        <v>69</v>
      </c>
      <c r="S293" s="25" t="s">
        <v>137</v>
      </c>
      <c r="T293" s="25"/>
      <c r="U293" s="33" t="s">
        <v>210</v>
      </c>
      <c r="V293" s="25" t="s">
        <v>3</v>
      </c>
      <c r="W293" s="25">
        <v>1</v>
      </c>
      <c r="X293" s="595">
        <v>9000</v>
      </c>
      <c r="Y293" s="868"/>
      <c r="Z293" s="200"/>
      <c r="AA293" s="200"/>
      <c r="AB293" s="869"/>
      <c r="AC293" s="25">
        <v>30</v>
      </c>
      <c r="AD293" s="25">
        <v>30</v>
      </c>
      <c r="AE293" s="868"/>
      <c r="AF293" s="200"/>
      <c r="AG293" s="200"/>
      <c r="AH293" s="200"/>
      <c r="AI293" s="200"/>
      <c r="AJ293" s="873"/>
      <c r="AK293" s="596">
        <v>18000</v>
      </c>
      <c r="AL293" s="29" t="s">
        <v>73</v>
      </c>
      <c r="AM293" s="29" t="s">
        <v>73</v>
      </c>
      <c r="AN293" s="29" t="s">
        <v>73</v>
      </c>
      <c r="AO293" s="29" t="s">
        <v>73</v>
      </c>
      <c r="AP293" s="478">
        <v>9000</v>
      </c>
      <c r="AQ293" s="478">
        <v>9000</v>
      </c>
      <c r="AR293" s="29" t="s">
        <v>73</v>
      </c>
      <c r="AS293" s="29" t="s">
        <v>73</v>
      </c>
      <c r="AT293" s="29" t="s">
        <v>73</v>
      </c>
      <c r="AU293" s="29" t="s">
        <v>73</v>
      </c>
      <c r="AV293" s="29" t="s">
        <v>73</v>
      </c>
      <c r="AW293" s="29" t="s">
        <v>73</v>
      </c>
      <c r="AX293" s="30">
        <v>18000</v>
      </c>
      <c r="AY293" s="597" t="s">
        <v>5</v>
      </c>
      <c r="AZ293" s="2" t="s">
        <v>74</v>
      </c>
      <c r="BA293" s="2"/>
      <c r="BK293" s="147" t="s">
        <v>790</v>
      </c>
      <c r="BL293" s="481" t="s">
        <v>791</v>
      </c>
      <c r="BM293" s="125" t="s">
        <v>1611</v>
      </c>
      <c r="BN293" s="414" t="s">
        <v>1612</v>
      </c>
      <c r="BO293" s="284" t="s">
        <v>1613</v>
      </c>
      <c r="BP293" s="129">
        <v>46135</v>
      </c>
      <c r="BQ293" s="18"/>
      <c r="BR293" s="505" t="s">
        <v>1650</v>
      </c>
      <c r="BS293" s="18"/>
      <c r="BT293" s="286" t="s">
        <v>1567</v>
      </c>
      <c r="BU293" s="286" t="s">
        <v>1568</v>
      </c>
      <c r="BV293" s="566" t="s">
        <v>1651</v>
      </c>
      <c r="BW293" s="566" t="s">
        <v>1652</v>
      </c>
      <c r="BX293" s="566" t="s">
        <v>1653</v>
      </c>
      <c r="BY293" s="566">
        <v>45901627</v>
      </c>
      <c r="BZ293" s="177"/>
      <c r="CA293" s="126">
        <v>9000</v>
      </c>
      <c r="CB293" s="128">
        <v>46143</v>
      </c>
      <c r="CC293" s="128">
        <v>46203</v>
      </c>
      <c r="CD293" s="759"/>
      <c r="CE293" s="177">
        <f>AC293</f>
        <v>30</v>
      </c>
      <c r="CF293" s="1019">
        <f>AP293</f>
        <v>9000</v>
      </c>
      <c r="CG293" s="177">
        <v>30</v>
      </c>
      <c r="CH293" s="1019">
        <f>(X293/30)*CG293</f>
        <v>9000</v>
      </c>
      <c r="CI293" s="177">
        <v>30</v>
      </c>
      <c r="CJ293" s="1019">
        <f>(X293/30)*CI293</f>
        <v>9000</v>
      </c>
      <c r="CK293" s="177">
        <f>CF293-CH293</f>
        <v>0</v>
      </c>
      <c r="CL293" s="177">
        <f>CF293-CJ293</f>
        <v>0</v>
      </c>
      <c r="CM293" s="1006"/>
      <c r="CN293" s="177">
        <f>AD293</f>
        <v>30</v>
      </c>
      <c r="CO293" s="1019">
        <f>AQ293</f>
        <v>9000</v>
      </c>
      <c r="CP293" s="177">
        <v>30</v>
      </c>
      <c r="CQ293" s="1019">
        <f>(X293/30)*CP293</f>
        <v>9000</v>
      </c>
      <c r="CR293" s="1032">
        <v>30</v>
      </c>
      <c r="CS293" s="1019">
        <f>(X293/30)*CR293</f>
        <v>9000</v>
      </c>
      <c r="CT293" s="177">
        <f>CO293-CQ293</f>
        <v>0</v>
      </c>
      <c r="CU293" s="177">
        <f>CO293-CS293</f>
        <v>0</v>
      </c>
      <c r="CV293" s="1006"/>
      <c r="CW293" s="1007">
        <f t="shared" si="486"/>
        <v>18000</v>
      </c>
      <c r="CX293" s="486">
        <f t="shared" si="487"/>
        <v>18000</v>
      </c>
      <c r="CY293" s="486">
        <f t="shared" si="488"/>
        <v>18000</v>
      </c>
      <c r="CZ293" s="1007">
        <f t="shared" si="489"/>
        <v>0</v>
      </c>
      <c r="DA293" s="1007">
        <f t="shared" si="490"/>
        <v>0</v>
      </c>
      <c r="DB293" s="126"/>
      <c r="DC293" s="125"/>
    </row>
    <row r="294" spans="1:107" ht="15" hidden="1" customHeight="1" x14ac:dyDescent="0.25">
      <c r="A294" s="19">
        <v>2026</v>
      </c>
      <c r="B294" s="20">
        <v>479</v>
      </c>
      <c r="C294" s="21" t="s">
        <v>64</v>
      </c>
      <c r="D294" s="21" t="s">
        <v>65</v>
      </c>
      <c r="E294" s="20">
        <v>125</v>
      </c>
      <c r="F294" s="20">
        <v>3000654</v>
      </c>
      <c r="G294" s="20">
        <v>5005023</v>
      </c>
      <c r="H294" s="20">
        <v>3</v>
      </c>
      <c r="I294" s="20">
        <v>12</v>
      </c>
      <c r="J294" s="20">
        <v>24</v>
      </c>
      <c r="K294" s="20">
        <v>135560</v>
      </c>
      <c r="L294" s="21" t="s">
        <v>98</v>
      </c>
      <c r="M294" s="33" t="s">
        <v>99</v>
      </c>
      <c r="N294" s="19">
        <v>94</v>
      </c>
      <c r="O294" s="2"/>
      <c r="P294" s="2" t="s">
        <v>4</v>
      </c>
      <c r="Q294" s="20" t="s">
        <v>68</v>
      </c>
      <c r="R294" s="25" t="s">
        <v>69</v>
      </c>
      <c r="S294" s="25" t="s">
        <v>137</v>
      </c>
      <c r="T294" s="25"/>
      <c r="U294" s="33" t="s">
        <v>210</v>
      </c>
      <c r="V294" s="25" t="s">
        <v>3</v>
      </c>
      <c r="W294" s="25">
        <v>1</v>
      </c>
      <c r="X294" s="595">
        <v>9000</v>
      </c>
      <c r="Y294" s="868"/>
      <c r="Z294" s="200"/>
      <c r="AA294" s="200"/>
      <c r="AB294" s="869"/>
      <c r="AC294" s="25">
        <v>30</v>
      </c>
      <c r="AD294" s="25">
        <v>30</v>
      </c>
      <c r="AE294" s="868"/>
      <c r="AF294" s="200"/>
      <c r="AG294" s="200"/>
      <c r="AH294" s="200"/>
      <c r="AI294" s="200"/>
      <c r="AJ294" s="873"/>
      <c r="AK294" s="596">
        <v>18000</v>
      </c>
      <c r="AL294" s="29" t="s">
        <v>73</v>
      </c>
      <c r="AM294" s="29" t="s">
        <v>73</v>
      </c>
      <c r="AN294" s="29" t="s">
        <v>73</v>
      </c>
      <c r="AO294" s="29" t="s">
        <v>73</v>
      </c>
      <c r="AP294" s="478">
        <v>9000</v>
      </c>
      <c r="AQ294" s="478">
        <v>9000</v>
      </c>
      <c r="AR294" s="29" t="s">
        <v>73</v>
      </c>
      <c r="AS294" s="29" t="s">
        <v>73</v>
      </c>
      <c r="AT294" s="29" t="s">
        <v>73</v>
      </c>
      <c r="AU294" s="29" t="s">
        <v>73</v>
      </c>
      <c r="AV294" s="29" t="s">
        <v>73</v>
      </c>
      <c r="AW294" s="29" t="s">
        <v>73</v>
      </c>
      <c r="AX294" s="30">
        <v>18000</v>
      </c>
      <c r="AY294" s="597" t="s">
        <v>5</v>
      </c>
      <c r="AZ294" s="2" t="s">
        <v>74</v>
      </c>
      <c r="BA294" s="2"/>
      <c r="BK294" s="147" t="s">
        <v>790</v>
      </c>
      <c r="BL294" s="481" t="s">
        <v>791</v>
      </c>
      <c r="BM294" s="125" t="s">
        <v>1611</v>
      </c>
      <c r="BN294" s="414" t="s">
        <v>1612</v>
      </c>
      <c r="BO294" s="284" t="s">
        <v>1613</v>
      </c>
      <c r="BP294" s="129">
        <v>46135</v>
      </c>
      <c r="BQ294" s="18"/>
      <c r="BR294" s="505" t="s">
        <v>1654</v>
      </c>
      <c r="BS294" s="18"/>
      <c r="BT294" s="286" t="s">
        <v>1567</v>
      </c>
      <c r="BU294" s="286" t="s">
        <v>1568</v>
      </c>
      <c r="BV294" s="566" t="s">
        <v>1655</v>
      </c>
      <c r="BW294" s="566" t="s">
        <v>1656</v>
      </c>
      <c r="BX294" s="566" t="s">
        <v>1657</v>
      </c>
      <c r="BY294" s="566">
        <v>80220394</v>
      </c>
      <c r="BZ294" s="177"/>
      <c r="CA294" s="126">
        <v>9000</v>
      </c>
      <c r="CB294" s="128">
        <v>46143</v>
      </c>
      <c r="CC294" s="128">
        <v>46203</v>
      </c>
      <c r="CD294" s="759"/>
      <c r="CE294" s="177">
        <f>AC294</f>
        <v>30</v>
      </c>
      <c r="CF294" s="1019">
        <f>AP294</f>
        <v>9000</v>
      </c>
      <c r="CG294" s="177">
        <v>30</v>
      </c>
      <c r="CH294" s="1019">
        <f>(X294/30)*CG294</f>
        <v>9000</v>
      </c>
      <c r="CI294" s="177">
        <v>30</v>
      </c>
      <c r="CJ294" s="1019">
        <f>(X294/30)*CI294</f>
        <v>9000</v>
      </c>
      <c r="CK294" s="177">
        <f>CF294-CH294</f>
        <v>0</v>
      </c>
      <c r="CL294" s="177">
        <f>CF294-CJ294</f>
        <v>0</v>
      </c>
      <c r="CM294" s="1006"/>
      <c r="CN294" s="177">
        <f>AD294</f>
        <v>30</v>
      </c>
      <c r="CO294" s="1019">
        <f>AQ294</f>
        <v>9000</v>
      </c>
      <c r="CP294" s="177">
        <v>30</v>
      </c>
      <c r="CQ294" s="1019">
        <f>(X294/30)*CP294</f>
        <v>9000</v>
      </c>
      <c r="CR294" s="1032">
        <v>30</v>
      </c>
      <c r="CS294" s="1019">
        <f>(X294/30)*CR294</f>
        <v>9000</v>
      </c>
      <c r="CT294" s="177">
        <f>CO294-CQ294</f>
        <v>0</v>
      </c>
      <c r="CU294" s="177">
        <f>CO294-CS294</f>
        <v>0</v>
      </c>
      <c r="CV294" s="1006"/>
      <c r="CW294" s="1007">
        <f t="shared" si="486"/>
        <v>18000</v>
      </c>
      <c r="CX294" s="486">
        <f t="shared" si="487"/>
        <v>18000</v>
      </c>
      <c r="CY294" s="486">
        <f t="shared" si="488"/>
        <v>18000</v>
      </c>
      <c r="CZ294" s="1007">
        <f t="shared" si="489"/>
        <v>0</v>
      </c>
      <c r="DA294" s="1007">
        <f t="shared" si="490"/>
        <v>0</v>
      </c>
      <c r="DB294" s="126"/>
      <c r="DC294" s="125"/>
    </row>
    <row r="295" spans="1:107" ht="15" hidden="1" customHeight="1" x14ac:dyDescent="0.25">
      <c r="A295" s="19">
        <v>2026</v>
      </c>
      <c r="B295" s="20">
        <v>479</v>
      </c>
      <c r="C295" s="21" t="s">
        <v>64</v>
      </c>
      <c r="D295" s="21" t="s">
        <v>65</v>
      </c>
      <c r="E295" s="20">
        <v>125</v>
      </c>
      <c r="F295" s="20">
        <v>3000654</v>
      </c>
      <c r="G295" s="20">
        <v>5005023</v>
      </c>
      <c r="H295" s="20">
        <v>3</v>
      </c>
      <c r="I295" s="20">
        <v>12</v>
      </c>
      <c r="J295" s="20">
        <v>24</v>
      </c>
      <c r="K295" s="20">
        <v>135560</v>
      </c>
      <c r="L295" s="21" t="s">
        <v>98</v>
      </c>
      <c r="M295" s="33" t="s">
        <v>99</v>
      </c>
      <c r="N295" s="19">
        <v>94</v>
      </c>
      <c r="O295" s="2"/>
      <c r="P295" s="2" t="s">
        <v>4</v>
      </c>
      <c r="Q295" s="20" t="s">
        <v>68</v>
      </c>
      <c r="R295" s="25" t="s">
        <v>69</v>
      </c>
      <c r="S295" s="25" t="s">
        <v>137</v>
      </c>
      <c r="T295" s="25"/>
      <c r="U295" s="33" t="s">
        <v>210</v>
      </c>
      <c r="V295" s="25" t="s">
        <v>3</v>
      </c>
      <c r="W295" s="25">
        <v>1</v>
      </c>
      <c r="X295" s="595">
        <v>9000</v>
      </c>
      <c r="Y295" s="868"/>
      <c r="Z295" s="200"/>
      <c r="AA295" s="200"/>
      <c r="AB295" s="869"/>
      <c r="AC295" s="25">
        <v>30</v>
      </c>
      <c r="AD295" s="25">
        <v>30</v>
      </c>
      <c r="AE295" s="868"/>
      <c r="AF295" s="200"/>
      <c r="AG295" s="200"/>
      <c r="AH295" s="200"/>
      <c r="AI295" s="200"/>
      <c r="AJ295" s="873"/>
      <c r="AK295" s="596">
        <v>18000</v>
      </c>
      <c r="AL295" s="29" t="s">
        <v>73</v>
      </c>
      <c r="AM295" s="29" t="s">
        <v>73</v>
      </c>
      <c r="AN295" s="29" t="s">
        <v>73</v>
      </c>
      <c r="AO295" s="29" t="s">
        <v>73</v>
      </c>
      <c r="AP295" s="478">
        <v>9000</v>
      </c>
      <c r="AQ295" s="478">
        <v>9000</v>
      </c>
      <c r="AR295" s="29" t="s">
        <v>73</v>
      </c>
      <c r="AS295" s="29" t="s">
        <v>73</v>
      </c>
      <c r="AT295" s="29" t="s">
        <v>73</v>
      </c>
      <c r="AU295" s="29" t="s">
        <v>73</v>
      </c>
      <c r="AV295" s="29" t="s">
        <v>73</v>
      </c>
      <c r="AW295" s="29" t="s">
        <v>73</v>
      </c>
      <c r="AX295" s="30">
        <v>18000</v>
      </c>
      <c r="AY295" s="597" t="s">
        <v>5</v>
      </c>
      <c r="AZ295" s="2" t="s">
        <v>74</v>
      </c>
      <c r="BA295" s="2"/>
      <c r="BK295" s="147" t="s">
        <v>790</v>
      </c>
      <c r="BL295" s="481" t="s">
        <v>791</v>
      </c>
      <c r="BM295" s="125" t="s">
        <v>1611</v>
      </c>
      <c r="BN295" s="414" t="s">
        <v>1612</v>
      </c>
      <c r="BO295" s="284" t="s">
        <v>1613</v>
      </c>
      <c r="BP295" s="129">
        <v>46135</v>
      </c>
      <c r="BQ295" s="18"/>
      <c r="BR295" s="505" t="s">
        <v>1658</v>
      </c>
      <c r="BS295" s="18"/>
      <c r="BT295" s="286" t="s">
        <v>1567</v>
      </c>
      <c r="BU295" s="286" t="s">
        <v>1568</v>
      </c>
      <c r="BV295" s="566" t="s">
        <v>966</v>
      </c>
      <c r="BW295" s="566" t="s">
        <v>1050</v>
      </c>
      <c r="BX295" s="566" t="s">
        <v>1659</v>
      </c>
      <c r="BY295" s="566">
        <v>71330523</v>
      </c>
      <c r="BZ295" s="177"/>
      <c r="CA295" s="126">
        <v>9000</v>
      </c>
      <c r="CB295" s="128">
        <v>46143</v>
      </c>
      <c r="CC295" s="128">
        <v>46203</v>
      </c>
      <c r="CD295" s="759"/>
      <c r="CE295" s="177">
        <f>AC295</f>
        <v>30</v>
      </c>
      <c r="CF295" s="1019">
        <f>AP295</f>
        <v>9000</v>
      </c>
      <c r="CG295" s="177">
        <v>30</v>
      </c>
      <c r="CH295" s="1019">
        <f>(X295/30)*CG295</f>
        <v>9000</v>
      </c>
      <c r="CI295" s="177">
        <v>30</v>
      </c>
      <c r="CJ295" s="1019">
        <f>(X295/30)*CI295</f>
        <v>9000</v>
      </c>
      <c r="CK295" s="177">
        <f>CF295-CH295</f>
        <v>0</v>
      </c>
      <c r="CL295" s="177">
        <f>CF295-CJ295</f>
        <v>0</v>
      </c>
      <c r="CM295" s="1006"/>
      <c r="CN295" s="177">
        <f>AD295</f>
        <v>30</v>
      </c>
      <c r="CO295" s="1019">
        <f>AQ295</f>
        <v>9000</v>
      </c>
      <c r="CP295" s="177">
        <v>30</v>
      </c>
      <c r="CQ295" s="1019">
        <f>(X295/30)*CP295</f>
        <v>9000</v>
      </c>
      <c r="CR295" s="1032">
        <v>30</v>
      </c>
      <c r="CS295" s="1019">
        <f>(X295/30)*CR295</f>
        <v>9000</v>
      </c>
      <c r="CT295" s="177">
        <f>CO295-CQ295</f>
        <v>0</v>
      </c>
      <c r="CU295" s="177">
        <f>CO295-CS295</f>
        <v>0</v>
      </c>
      <c r="CV295" s="1006"/>
      <c r="CW295" s="1007">
        <f t="shared" si="486"/>
        <v>18000</v>
      </c>
      <c r="CX295" s="486">
        <f t="shared" si="487"/>
        <v>18000</v>
      </c>
      <c r="CY295" s="486">
        <f t="shared" si="488"/>
        <v>18000</v>
      </c>
      <c r="CZ295" s="1007">
        <f t="shared" si="489"/>
        <v>0</v>
      </c>
      <c r="DA295" s="1007">
        <f t="shared" si="490"/>
        <v>0</v>
      </c>
      <c r="DB295" s="126"/>
      <c r="DC295" s="125"/>
    </row>
    <row r="296" spans="1:107" ht="51" hidden="1" x14ac:dyDescent="0.25">
      <c r="A296" s="19">
        <v>2026</v>
      </c>
      <c r="B296" s="20">
        <v>479</v>
      </c>
      <c r="C296" s="21" t="s">
        <v>64</v>
      </c>
      <c r="D296" s="21" t="s">
        <v>65</v>
      </c>
      <c r="E296" s="20">
        <v>125</v>
      </c>
      <c r="F296" s="20">
        <v>3000654</v>
      </c>
      <c r="G296" s="20">
        <v>5005023</v>
      </c>
      <c r="H296" s="20">
        <v>3</v>
      </c>
      <c r="I296" s="20">
        <v>12</v>
      </c>
      <c r="J296" s="20">
        <v>24</v>
      </c>
      <c r="K296" s="20">
        <v>135560</v>
      </c>
      <c r="L296" s="21" t="s">
        <v>98</v>
      </c>
      <c r="M296" s="33" t="s">
        <v>99</v>
      </c>
      <c r="N296" s="19">
        <v>94</v>
      </c>
      <c r="O296" s="2"/>
      <c r="P296" s="2" t="s">
        <v>4</v>
      </c>
      <c r="Q296" s="20" t="s">
        <v>68</v>
      </c>
      <c r="R296" s="25" t="s">
        <v>69</v>
      </c>
      <c r="S296" s="25" t="s">
        <v>137</v>
      </c>
      <c r="T296" s="25"/>
      <c r="U296" s="33" t="s">
        <v>211</v>
      </c>
      <c r="V296" s="25" t="s">
        <v>3</v>
      </c>
      <c r="W296" s="25">
        <v>1</v>
      </c>
      <c r="X296" s="595">
        <v>5000</v>
      </c>
      <c r="Y296" s="619"/>
      <c r="Z296" s="2"/>
      <c r="AA296" s="2"/>
      <c r="AB296" s="620"/>
      <c r="AC296" s="25">
        <v>30</v>
      </c>
      <c r="AD296" s="25">
        <v>30</v>
      </c>
      <c r="AE296" s="619"/>
      <c r="AF296" s="2"/>
      <c r="AG296" s="2"/>
      <c r="AH296" s="2"/>
      <c r="AI296" s="2"/>
      <c r="AJ296" s="621"/>
      <c r="AK296" s="596">
        <v>10000</v>
      </c>
      <c r="AL296" s="29" t="s">
        <v>73</v>
      </c>
      <c r="AM296" s="29" t="s">
        <v>73</v>
      </c>
      <c r="AN296" s="29" t="s">
        <v>73</v>
      </c>
      <c r="AO296" s="29" t="s">
        <v>73</v>
      </c>
      <c r="AP296" s="478">
        <v>5000</v>
      </c>
      <c r="AQ296" s="478">
        <v>5000</v>
      </c>
      <c r="AR296" s="29" t="s">
        <v>73</v>
      </c>
      <c r="AS296" s="29" t="s">
        <v>73</v>
      </c>
      <c r="AT296" s="29" t="s">
        <v>73</v>
      </c>
      <c r="AU296" s="29" t="s">
        <v>73</v>
      </c>
      <c r="AV296" s="29" t="s">
        <v>73</v>
      </c>
      <c r="AW296" s="29" t="s">
        <v>73</v>
      </c>
      <c r="AX296" s="30">
        <v>10000</v>
      </c>
      <c r="AY296" s="597" t="s">
        <v>5</v>
      </c>
      <c r="AZ296" s="2" t="s">
        <v>74</v>
      </c>
      <c r="BA296" s="2"/>
      <c r="BK296" s="147" t="s">
        <v>790</v>
      </c>
      <c r="BL296" s="481" t="s">
        <v>791</v>
      </c>
      <c r="BM296" s="125" t="s">
        <v>1611</v>
      </c>
      <c r="BN296" s="177" t="s">
        <v>1612</v>
      </c>
      <c r="BO296" s="125" t="s">
        <v>1613</v>
      </c>
      <c r="BP296" s="129">
        <v>46135</v>
      </c>
      <c r="BQ296" s="18"/>
      <c r="BR296" s="505" t="s">
        <v>1660</v>
      </c>
      <c r="BS296" s="286"/>
      <c r="BT296" s="286" t="s">
        <v>1567</v>
      </c>
      <c r="BU296" s="286" t="s">
        <v>1568</v>
      </c>
      <c r="BV296" s="566" t="s">
        <v>886</v>
      </c>
      <c r="BW296" s="566" t="s">
        <v>1661</v>
      </c>
      <c r="BX296" s="566" t="s">
        <v>1662</v>
      </c>
      <c r="BY296" s="566">
        <v>70525517</v>
      </c>
      <c r="BZ296" s="177"/>
      <c r="CA296" s="126">
        <v>5000</v>
      </c>
      <c r="CB296" s="128">
        <v>46143</v>
      </c>
      <c r="CC296" s="128">
        <v>46203</v>
      </c>
      <c r="CD296" s="759"/>
      <c r="CE296" s="177">
        <f t="shared" si="491"/>
        <v>30</v>
      </c>
      <c r="CF296" s="1019">
        <f t="shared" si="492"/>
        <v>5000</v>
      </c>
      <c r="CG296" s="177">
        <v>30</v>
      </c>
      <c r="CH296" s="1019">
        <f t="shared" si="493"/>
        <v>5000</v>
      </c>
      <c r="CI296" s="177">
        <v>30</v>
      </c>
      <c r="CJ296" s="1019">
        <f t="shared" si="494"/>
        <v>5000</v>
      </c>
      <c r="CK296" s="177">
        <f t="shared" si="495"/>
        <v>0</v>
      </c>
      <c r="CL296" s="177">
        <f t="shared" si="496"/>
        <v>0</v>
      </c>
      <c r="CM296" s="1006"/>
      <c r="CN296" s="177">
        <f t="shared" si="497"/>
        <v>30</v>
      </c>
      <c r="CO296" s="1019">
        <f t="shared" si="498"/>
        <v>5000</v>
      </c>
      <c r="CP296" s="177">
        <v>30</v>
      </c>
      <c r="CQ296" s="1019">
        <f t="shared" si="499"/>
        <v>5000</v>
      </c>
      <c r="CR296" s="1032">
        <v>30</v>
      </c>
      <c r="CS296" s="1019">
        <f t="shared" si="500"/>
        <v>5000</v>
      </c>
      <c r="CT296" s="177">
        <f t="shared" si="501"/>
        <v>0</v>
      </c>
      <c r="CU296" s="177">
        <f t="shared" si="502"/>
        <v>0</v>
      </c>
      <c r="CV296" s="1006"/>
      <c r="CW296" s="1007">
        <f t="shared" si="486"/>
        <v>10000</v>
      </c>
      <c r="CX296" s="486">
        <f t="shared" si="487"/>
        <v>10000</v>
      </c>
      <c r="CY296" s="486">
        <f t="shared" si="488"/>
        <v>10000</v>
      </c>
      <c r="CZ296" s="1007">
        <f t="shared" si="489"/>
        <v>0</v>
      </c>
      <c r="DA296" s="1007">
        <f t="shared" si="490"/>
        <v>0</v>
      </c>
      <c r="DB296" s="126"/>
      <c r="DC296" s="125"/>
    </row>
    <row r="297" spans="1:107" ht="51" hidden="1" x14ac:dyDescent="0.25">
      <c r="A297" s="19">
        <v>2026</v>
      </c>
      <c r="B297" s="20">
        <v>479</v>
      </c>
      <c r="C297" s="21" t="s">
        <v>64</v>
      </c>
      <c r="D297" s="21" t="s">
        <v>65</v>
      </c>
      <c r="E297" s="20">
        <v>125</v>
      </c>
      <c r="F297" s="20">
        <v>3000654</v>
      </c>
      <c r="G297" s="20">
        <v>5005023</v>
      </c>
      <c r="H297" s="20">
        <v>3</v>
      </c>
      <c r="I297" s="20">
        <v>12</v>
      </c>
      <c r="J297" s="20">
        <v>24</v>
      </c>
      <c r="K297" s="20">
        <v>135560</v>
      </c>
      <c r="L297" s="21" t="s">
        <v>98</v>
      </c>
      <c r="M297" s="33" t="s">
        <v>99</v>
      </c>
      <c r="N297" s="19">
        <v>94</v>
      </c>
      <c r="O297" s="2"/>
      <c r="P297" s="2" t="s">
        <v>4</v>
      </c>
      <c r="Q297" s="20" t="s">
        <v>68</v>
      </c>
      <c r="R297" s="25" t="s">
        <v>69</v>
      </c>
      <c r="S297" s="25" t="s">
        <v>137</v>
      </c>
      <c r="T297" s="25"/>
      <c r="U297" s="33" t="s">
        <v>212</v>
      </c>
      <c r="V297" s="25" t="s">
        <v>3</v>
      </c>
      <c r="W297" s="25">
        <v>1</v>
      </c>
      <c r="X297" s="595">
        <v>7500</v>
      </c>
      <c r="Y297" s="619"/>
      <c r="Z297" s="2"/>
      <c r="AA297" s="2"/>
      <c r="AB297" s="620"/>
      <c r="AC297" s="25">
        <v>30</v>
      </c>
      <c r="AD297" s="25">
        <v>30</v>
      </c>
      <c r="AE297" s="619"/>
      <c r="AF297" s="2"/>
      <c r="AG297" s="2"/>
      <c r="AH297" s="2"/>
      <c r="AI297" s="2"/>
      <c r="AJ297" s="621"/>
      <c r="AK297" s="596">
        <v>15000</v>
      </c>
      <c r="AL297" s="29" t="s">
        <v>73</v>
      </c>
      <c r="AM297" s="29" t="s">
        <v>73</v>
      </c>
      <c r="AN297" s="29" t="s">
        <v>73</v>
      </c>
      <c r="AO297" s="29" t="s">
        <v>73</v>
      </c>
      <c r="AP297" s="478">
        <v>7500</v>
      </c>
      <c r="AQ297" s="478">
        <v>7500</v>
      </c>
      <c r="AR297" s="29" t="s">
        <v>73</v>
      </c>
      <c r="AS297" s="29" t="s">
        <v>73</v>
      </c>
      <c r="AT297" s="29" t="s">
        <v>73</v>
      </c>
      <c r="AU297" s="29" t="s">
        <v>73</v>
      </c>
      <c r="AV297" s="29" t="s">
        <v>73</v>
      </c>
      <c r="AW297" s="29" t="s">
        <v>73</v>
      </c>
      <c r="AX297" s="30">
        <v>15000</v>
      </c>
      <c r="AY297" s="597" t="s">
        <v>5</v>
      </c>
      <c r="AZ297" s="2" t="s">
        <v>74</v>
      </c>
      <c r="BA297" s="2"/>
      <c r="BK297" s="147" t="s">
        <v>790</v>
      </c>
      <c r="BL297" s="481" t="s">
        <v>791</v>
      </c>
      <c r="BM297" s="125" t="s">
        <v>1611</v>
      </c>
      <c r="BN297" s="177" t="s">
        <v>1612</v>
      </c>
      <c r="BO297" s="125" t="s">
        <v>1613</v>
      </c>
      <c r="BP297" s="129">
        <v>46135</v>
      </c>
      <c r="BQ297" s="18"/>
      <c r="BR297" s="505" t="s">
        <v>1663</v>
      </c>
      <c r="BS297" s="18"/>
      <c r="BT297" s="286" t="s">
        <v>1567</v>
      </c>
      <c r="BU297" s="286" t="s">
        <v>1568</v>
      </c>
      <c r="BV297" s="566" t="s">
        <v>1664</v>
      </c>
      <c r="BW297" s="566" t="s">
        <v>941</v>
      </c>
      <c r="BX297" s="566" t="s">
        <v>1665</v>
      </c>
      <c r="BY297" s="566">
        <v>3900627</v>
      </c>
      <c r="BZ297" s="177"/>
      <c r="CA297" s="126">
        <v>7500</v>
      </c>
      <c r="CB297" s="128">
        <v>46143</v>
      </c>
      <c r="CC297" s="128">
        <v>46203</v>
      </c>
      <c r="CD297" s="759"/>
      <c r="CE297" s="177">
        <f t="shared" si="491"/>
        <v>30</v>
      </c>
      <c r="CF297" s="1019">
        <f t="shared" si="492"/>
        <v>7500</v>
      </c>
      <c r="CG297" s="177">
        <v>30</v>
      </c>
      <c r="CH297" s="1019">
        <f t="shared" si="493"/>
        <v>7500</v>
      </c>
      <c r="CI297" s="177">
        <v>30</v>
      </c>
      <c r="CJ297" s="1019">
        <f t="shared" si="494"/>
        <v>7500</v>
      </c>
      <c r="CK297" s="177">
        <f t="shared" si="495"/>
        <v>0</v>
      </c>
      <c r="CL297" s="177">
        <f t="shared" si="496"/>
        <v>0</v>
      </c>
      <c r="CM297" s="1006"/>
      <c r="CN297" s="177">
        <f t="shared" si="497"/>
        <v>30</v>
      </c>
      <c r="CO297" s="1019">
        <f t="shared" si="498"/>
        <v>7500</v>
      </c>
      <c r="CP297" s="177">
        <v>30</v>
      </c>
      <c r="CQ297" s="1019">
        <f t="shared" si="499"/>
        <v>7500</v>
      </c>
      <c r="CR297" s="1032">
        <v>30</v>
      </c>
      <c r="CS297" s="1019">
        <f t="shared" si="500"/>
        <v>7500</v>
      </c>
      <c r="CT297" s="177">
        <f t="shared" si="501"/>
        <v>0</v>
      </c>
      <c r="CU297" s="177">
        <f t="shared" si="502"/>
        <v>0</v>
      </c>
      <c r="CV297" s="1006"/>
      <c r="CW297" s="1007">
        <f t="shared" si="486"/>
        <v>15000</v>
      </c>
      <c r="CX297" s="486">
        <f t="shared" si="487"/>
        <v>15000</v>
      </c>
      <c r="CY297" s="486">
        <f t="shared" si="488"/>
        <v>15000</v>
      </c>
      <c r="CZ297" s="1007">
        <f t="shared" si="489"/>
        <v>0</v>
      </c>
      <c r="DA297" s="1007">
        <f t="shared" si="490"/>
        <v>0</v>
      </c>
      <c r="DB297" s="126"/>
      <c r="DC297" s="125"/>
    </row>
    <row r="298" spans="1:107" ht="51" hidden="1" x14ac:dyDescent="0.25">
      <c r="A298" s="19">
        <v>2026</v>
      </c>
      <c r="B298" s="20">
        <v>479</v>
      </c>
      <c r="C298" s="21" t="s">
        <v>64</v>
      </c>
      <c r="D298" s="21" t="s">
        <v>65</v>
      </c>
      <c r="E298" s="20">
        <v>125</v>
      </c>
      <c r="F298" s="20">
        <v>3000654</v>
      </c>
      <c r="G298" s="20">
        <v>5005023</v>
      </c>
      <c r="H298" s="20">
        <v>3</v>
      </c>
      <c r="I298" s="20">
        <v>12</v>
      </c>
      <c r="J298" s="20">
        <v>24</v>
      </c>
      <c r="K298" s="20">
        <v>135560</v>
      </c>
      <c r="L298" s="21" t="s">
        <v>98</v>
      </c>
      <c r="M298" s="33" t="s">
        <v>99</v>
      </c>
      <c r="N298" s="19">
        <v>94</v>
      </c>
      <c r="O298" s="2"/>
      <c r="P298" s="2" t="s">
        <v>4</v>
      </c>
      <c r="Q298" s="20" t="s">
        <v>68</v>
      </c>
      <c r="R298" s="25" t="s">
        <v>69</v>
      </c>
      <c r="S298" s="25" t="s">
        <v>137</v>
      </c>
      <c r="T298" s="25"/>
      <c r="U298" s="33" t="s">
        <v>212</v>
      </c>
      <c r="V298" s="25" t="s">
        <v>3</v>
      </c>
      <c r="W298" s="25">
        <v>1</v>
      </c>
      <c r="X298" s="595">
        <v>7500</v>
      </c>
      <c r="Y298" s="868"/>
      <c r="Z298" s="200"/>
      <c r="AA298" s="200"/>
      <c r="AB298" s="869"/>
      <c r="AC298" s="25">
        <v>30</v>
      </c>
      <c r="AD298" s="25">
        <v>30</v>
      </c>
      <c r="AE298" s="868"/>
      <c r="AF298" s="200"/>
      <c r="AG298" s="200"/>
      <c r="AH298" s="200"/>
      <c r="AI298" s="200"/>
      <c r="AJ298" s="873"/>
      <c r="AK298" s="596">
        <v>15000</v>
      </c>
      <c r="AL298" s="29" t="s">
        <v>73</v>
      </c>
      <c r="AM298" s="29" t="s">
        <v>73</v>
      </c>
      <c r="AN298" s="29" t="s">
        <v>73</v>
      </c>
      <c r="AO298" s="29" t="s">
        <v>73</v>
      </c>
      <c r="AP298" s="478">
        <v>7500</v>
      </c>
      <c r="AQ298" s="478">
        <v>7500</v>
      </c>
      <c r="AR298" s="29" t="s">
        <v>73</v>
      </c>
      <c r="AS298" s="29" t="s">
        <v>73</v>
      </c>
      <c r="AT298" s="29" t="s">
        <v>73</v>
      </c>
      <c r="AU298" s="29" t="s">
        <v>73</v>
      </c>
      <c r="AV298" s="29" t="s">
        <v>73</v>
      </c>
      <c r="AW298" s="29" t="s">
        <v>73</v>
      </c>
      <c r="AX298" s="30">
        <v>15000</v>
      </c>
      <c r="AY298" s="597" t="s">
        <v>5</v>
      </c>
      <c r="AZ298" s="2" t="s">
        <v>74</v>
      </c>
      <c r="BA298" s="2"/>
      <c r="BK298" s="147" t="s">
        <v>790</v>
      </c>
      <c r="BL298" s="481" t="s">
        <v>791</v>
      </c>
      <c r="BM298" s="125" t="s">
        <v>1611</v>
      </c>
      <c r="BN298" s="177" t="s">
        <v>1612</v>
      </c>
      <c r="BO298" s="125" t="s">
        <v>1613</v>
      </c>
      <c r="BP298" s="129">
        <v>46135</v>
      </c>
      <c r="BQ298" s="18"/>
      <c r="BR298" s="505" t="s">
        <v>1666</v>
      </c>
      <c r="BS298" s="18"/>
      <c r="BT298" s="286" t="s">
        <v>1567</v>
      </c>
      <c r="BU298" s="286" t="s">
        <v>1568</v>
      </c>
      <c r="BV298" s="566" t="s">
        <v>1667</v>
      </c>
      <c r="BW298" s="566" t="s">
        <v>1668</v>
      </c>
      <c r="BX298" s="566" t="s">
        <v>1669</v>
      </c>
      <c r="BY298" s="566">
        <v>75820382</v>
      </c>
      <c r="BZ298" s="177"/>
      <c r="CA298" s="126">
        <v>7500</v>
      </c>
      <c r="CB298" s="128">
        <v>46143</v>
      </c>
      <c r="CC298" s="128">
        <v>46203</v>
      </c>
      <c r="CD298" s="759"/>
      <c r="CE298" s="177">
        <f>AC298</f>
        <v>30</v>
      </c>
      <c r="CF298" s="1019">
        <f>AP298</f>
        <v>7500</v>
      </c>
      <c r="CG298" s="177">
        <v>30</v>
      </c>
      <c r="CH298" s="1019">
        <f>(X298/30)*CG298</f>
        <v>7500</v>
      </c>
      <c r="CI298" s="177">
        <v>30</v>
      </c>
      <c r="CJ298" s="1019">
        <f>(X298/30)*CI298</f>
        <v>7500</v>
      </c>
      <c r="CK298" s="177">
        <f>CF298-CH298</f>
        <v>0</v>
      </c>
      <c r="CL298" s="177">
        <f>CF298-CJ298</f>
        <v>0</v>
      </c>
      <c r="CM298" s="1006"/>
      <c r="CN298" s="177">
        <f>AD298</f>
        <v>30</v>
      </c>
      <c r="CO298" s="1019">
        <f>AQ298</f>
        <v>7500</v>
      </c>
      <c r="CP298" s="177">
        <v>30</v>
      </c>
      <c r="CQ298" s="1019">
        <f>(X298/30)*CP298</f>
        <v>7500</v>
      </c>
      <c r="CR298" s="1032">
        <v>30</v>
      </c>
      <c r="CS298" s="1019">
        <f>(X298/30)*CR298</f>
        <v>7500</v>
      </c>
      <c r="CT298" s="177">
        <f>CO298-CQ298</f>
        <v>0</v>
      </c>
      <c r="CU298" s="177">
        <f>CO298-CS298</f>
        <v>0</v>
      </c>
      <c r="CV298" s="1006"/>
      <c r="CW298" s="1007">
        <f t="shared" si="486"/>
        <v>15000</v>
      </c>
      <c r="CX298" s="486">
        <f t="shared" si="487"/>
        <v>15000</v>
      </c>
      <c r="CY298" s="486">
        <f t="shared" si="488"/>
        <v>15000</v>
      </c>
      <c r="CZ298" s="1007">
        <f t="shared" si="489"/>
        <v>0</v>
      </c>
      <c r="DA298" s="1007">
        <f t="shared" si="490"/>
        <v>0</v>
      </c>
      <c r="DB298" s="126"/>
      <c r="DC298" s="125"/>
    </row>
    <row r="299" spans="1:107" ht="51" hidden="1" x14ac:dyDescent="0.25">
      <c r="A299" s="19">
        <v>2026</v>
      </c>
      <c r="B299" s="20">
        <v>479</v>
      </c>
      <c r="C299" s="21" t="s">
        <v>64</v>
      </c>
      <c r="D299" s="21" t="s">
        <v>65</v>
      </c>
      <c r="E299" s="20">
        <v>125</v>
      </c>
      <c r="F299" s="20">
        <v>3000654</v>
      </c>
      <c r="G299" s="20">
        <v>5005023</v>
      </c>
      <c r="H299" s="20">
        <v>3</v>
      </c>
      <c r="I299" s="20">
        <v>12</v>
      </c>
      <c r="J299" s="20">
        <v>24</v>
      </c>
      <c r="K299" s="20">
        <v>135560</v>
      </c>
      <c r="L299" s="21" t="s">
        <v>98</v>
      </c>
      <c r="M299" s="33" t="s">
        <v>99</v>
      </c>
      <c r="N299" s="19">
        <v>94</v>
      </c>
      <c r="O299" s="2"/>
      <c r="P299" s="2" t="s">
        <v>4</v>
      </c>
      <c r="Q299" s="20" t="s">
        <v>68</v>
      </c>
      <c r="R299" s="25" t="s">
        <v>69</v>
      </c>
      <c r="S299" s="25" t="s">
        <v>137</v>
      </c>
      <c r="T299" s="25"/>
      <c r="U299" s="33" t="s">
        <v>212</v>
      </c>
      <c r="V299" s="25" t="s">
        <v>3</v>
      </c>
      <c r="W299" s="25">
        <v>1</v>
      </c>
      <c r="X299" s="595">
        <v>7500</v>
      </c>
      <c r="Y299" s="619"/>
      <c r="Z299" s="2"/>
      <c r="AA299" s="2"/>
      <c r="AB299" s="620"/>
      <c r="AC299" s="25">
        <v>30</v>
      </c>
      <c r="AD299" s="25">
        <v>30</v>
      </c>
      <c r="AE299" s="619"/>
      <c r="AF299" s="2"/>
      <c r="AG299" s="2"/>
      <c r="AH299" s="2"/>
      <c r="AI299" s="2"/>
      <c r="AJ299" s="621"/>
      <c r="AK299" s="596">
        <v>15000</v>
      </c>
      <c r="AL299" s="29" t="s">
        <v>73</v>
      </c>
      <c r="AM299" s="29" t="s">
        <v>73</v>
      </c>
      <c r="AN299" s="29" t="s">
        <v>73</v>
      </c>
      <c r="AO299" s="29" t="s">
        <v>73</v>
      </c>
      <c r="AP299" s="478">
        <v>7500</v>
      </c>
      <c r="AQ299" s="478">
        <v>7500</v>
      </c>
      <c r="AR299" s="29" t="s">
        <v>73</v>
      </c>
      <c r="AS299" s="29" t="s">
        <v>73</v>
      </c>
      <c r="AT299" s="29" t="s">
        <v>73</v>
      </c>
      <c r="AU299" s="29" t="s">
        <v>73</v>
      </c>
      <c r="AV299" s="29" t="s">
        <v>73</v>
      </c>
      <c r="AW299" s="29" t="s">
        <v>73</v>
      </c>
      <c r="AX299" s="30">
        <v>15000</v>
      </c>
      <c r="AY299" s="597" t="s">
        <v>5</v>
      </c>
      <c r="AZ299" s="2" t="s">
        <v>74</v>
      </c>
      <c r="BA299" s="2"/>
      <c r="BK299" s="147" t="s">
        <v>790</v>
      </c>
      <c r="BL299" s="481" t="s">
        <v>791</v>
      </c>
      <c r="BM299" s="125" t="s">
        <v>1611</v>
      </c>
      <c r="BN299" s="177" t="s">
        <v>1612</v>
      </c>
      <c r="BO299" s="125" t="s">
        <v>1613</v>
      </c>
      <c r="BP299" s="129">
        <v>46135</v>
      </c>
      <c r="BQ299" s="18"/>
      <c r="BR299" s="505" t="s">
        <v>1670</v>
      </c>
      <c r="BS299" s="18"/>
      <c r="BT299" s="286" t="s">
        <v>1567</v>
      </c>
      <c r="BU299" s="286" t="s">
        <v>1568</v>
      </c>
      <c r="BV299" s="566" t="s">
        <v>1671</v>
      </c>
      <c r="BW299" s="566" t="s">
        <v>848</v>
      </c>
      <c r="BX299" s="566" t="s">
        <v>1672</v>
      </c>
      <c r="BY299" s="566">
        <v>46000923</v>
      </c>
      <c r="BZ299" s="177"/>
      <c r="CA299" s="126">
        <v>7500</v>
      </c>
      <c r="CB299" s="128">
        <v>46143</v>
      </c>
      <c r="CC299" s="128">
        <v>46203</v>
      </c>
      <c r="CD299" s="759"/>
      <c r="CE299" s="177">
        <f t="shared" si="491"/>
        <v>30</v>
      </c>
      <c r="CF299" s="1019">
        <f t="shared" si="492"/>
        <v>7500</v>
      </c>
      <c r="CG299" s="177">
        <v>30</v>
      </c>
      <c r="CH299" s="1019">
        <f t="shared" si="493"/>
        <v>7500</v>
      </c>
      <c r="CI299" s="177">
        <v>30</v>
      </c>
      <c r="CJ299" s="1019">
        <f t="shared" si="494"/>
        <v>7500</v>
      </c>
      <c r="CK299" s="177">
        <f t="shared" si="495"/>
        <v>0</v>
      </c>
      <c r="CL299" s="177">
        <f t="shared" si="496"/>
        <v>0</v>
      </c>
      <c r="CM299" s="1006"/>
      <c r="CN299" s="177">
        <f t="shared" si="497"/>
        <v>30</v>
      </c>
      <c r="CO299" s="1019">
        <f t="shared" si="498"/>
        <v>7500</v>
      </c>
      <c r="CP299" s="177">
        <v>30</v>
      </c>
      <c r="CQ299" s="1019">
        <f t="shared" si="499"/>
        <v>7500</v>
      </c>
      <c r="CR299" s="1032">
        <v>30</v>
      </c>
      <c r="CS299" s="1019">
        <f t="shared" si="500"/>
        <v>7500</v>
      </c>
      <c r="CT299" s="177">
        <f t="shared" si="501"/>
        <v>0</v>
      </c>
      <c r="CU299" s="177">
        <f t="shared" si="502"/>
        <v>0</v>
      </c>
      <c r="CV299" s="1006"/>
      <c r="CW299" s="1007">
        <f t="shared" si="486"/>
        <v>15000</v>
      </c>
      <c r="CX299" s="486">
        <f t="shared" si="487"/>
        <v>15000</v>
      </c>
      <c r="CY299" s="486">
        <f t="shared" si="488"/>
        <v>15000</v>
      </c>
      <c r="CZ299" s="1007">
        <f t="shared" si="489"/>
        <v>0</v>
      </c>
      <c r="DA299" s="1007">
        <f t="shared" si="490"/>
        <v>0</v>
      </c>
      <c r="DB299" s="126"/>
      <c r="DC299" s="125"/>
    </row>
    <row r="300" spans="1:107" ht="51" hidden="1" x14ac:dyDescent="0.25">
      <c r="A300" s="19">
        <v>2026</v>
      </c>
      <c r="B300" s="20">
        <v>479</v>
      </c>
      <c r="C300" s="21" t="s">
        <v>64</v>
      </c>
      <c r="D300" s="21" t="s">
        <v>65</v>
      </c>
      <c r="E300" s="20">
        <v>125</v>
      </c>
      <c r="F300" s="20">
        <v>3000654</v>
      </c>
      <c r="G300" s="20">
        <v>5005023</v>
      </c>
      <c r="H300" s="20">
        <v>3</v>
      </c>
      <c r="I300" s="20">
        <v>12</v>
      </c>
      <c r="J300" s="20">
        <v>24</v>
      </c>
      <c r="K300" s="20">
        <v>135560</v>
      </c>
      <c r="L300" s="21" t="s">
        <v>98</v>
      </c>
      <c r="M300" s="33" t="s">
        <v>99</v>
      </c>
      <c r="N300" s="19">
        <v>94</v>
      </c>
      <c r="O300" s="2"/>
      <c r="P300" s="2" t="s">
        <v>4</v>
      </c>
      <c r="Q300" s="20" t="s">
        <v>68</v>
      </c>
      <c r="R300" s="25" t="s">
        <v>69</v>
      </c>
      <c r="S300" s="25" t="s">
        <v>137</v>
      </c>
      <c r="T300" s="25"/>
      <c r="U300" s="33" t="s">
        <v>213</v>
      </c>
      <c r="V300" s="25" t="s">
        <v>3</v>
      </c>
      <c r="W300" s="25">
        <v>1</v>
      </c>
      <c r="X300" s="595">
        <v>7500</v>
      </c>
      <c r="Y300" s="619"/>
      <c r="Z300" s="2"/>
      <c r="AA300" s="2"/>
      <c r="AB300" s="620"/>
      <c r="AC300" s="25">
        <v>30</v>
      </c>
      <c r="AD300" s="25">
        <v>30</v>
      </c>
      <c r="AE300" s="619"/>
      <c r="AF300" s="2"/>
      <c r="AG300" s="2"/>
      <c r="AH300" s="2"/>
      <c r="AI300" s="2"/>
      <c r="AJ300" s="621"/>
      <c r="AK300" s="596">
        <v>15000</v>
      </c>
      <c r="AL300" s="29" t="s">
        <v>73</v>
      </c>
      <c r="AM300" s="29" t="s">
        <v>73</v>
      </c>
      <c r="AN300" s="29" t="s">
        <v>73</v>
      </c>
      <c r="AO300" s="29" t="s">
        <v>73</v>
      </c>
      <c r="AP300" s="478">
        <v>7500</v>
      </c>
      <c r="AQ300" s="478">
        <v>7500</v>
      </c>
      <c r="AR300" s="29" t="s">
        <v>73</v>
      </c>
      <c r="AS300" s="29" t="s">
        <v>73</v>
      </c>
      <c r="AT300" s="29" t="s">
        <v>73</v>
      </c>
      <c r="AU300" s="29" t="s">
        <v>73</v>
      </c>
      <c r="AV300" s="29" t="s">
        <v>73</v>
      </c>
      <c r="AW300" s="29" t="s">
        <v>73</v>
      </c>
      <c r="AX300" s="30">
        <v>15000</v>
      </c>
      <c r="AY300" s="597" t="s">
        <v>5</v>
      </c>
      <c r="AZ300" s="2" t="s">
        <v>74</v>
      </c>
      <c r="BA300" s="2"/>
      <c r="BK300" s="147" t="s">
        <v>790</v>
      </c>
      <c r="BL300" s="481" t="s">
        <v>791</v>
      </c>
      <c r="BM300" s="125" t="s">
        <v>1611</v>
      </c>
      <c r="BN300" s="177" t="s">
        <v>1673</v>
      </c>
      <c r="BO300" s="125" t="s">
        <v>1613</v>
      </c>
      <c r="BP300" s="129">
        <v>46135</v>
      </c>
      <c r="BQ300" s="18"/>
      <c r="BR300" s="505" t="s">
        <v>1674</v>
      </c>
      <c r="BS300" s="18"/>
      <c r="BT300" s="286" t="s">
        <v>1567</v>
      </c>
      <c r="BU300" s="286" t="s">
        <v>1568</v>
      </c>
      <c r="BV300" s="566" t="s">
        <v>917</v>
      </c>
      <c r="BW300" s="566" t="s">
        <v>1675</v>
      </c>
      <c r="BX300" s="566" t="s">
        <v>877</v>
      </c>
      <c r="BY300" s="566">
        <v>40430320</v>
      </c>
      <c r="BZ300" s="177"/>
      <c r="CA300" s="126">
        <v>7500</v>
      </c>
      <c r="CB300" s="128">
        <v>46143</v>
      </c>
      <c r="CC300" s="128">
        <v>46203</v>
      </c>
      <c r="CD300" s="759"/>
      <c r="CE300" s="177">
        <f t="shared" si="491"/>
        <v>30</v>
      </c>
      <c r="CF300" s="1019">
        <f t="shared" si="492"/>
        <v>7500</v>
      </c>
      <c r="CG300" s="177">
        <v>30</v>
      </c>
      <c r="CH300" s="1019">
        <f t="shared" si="493"/>
        <v>7500</v>
      </c>
      <c r="CI300" s="177">
        <v>30</v>
      </c>
      <c r="CJ300" s="1019">
        <f t="shared" si="494"/>
        <v>7500</v>
      </c>
      <c r="CK300" s="177">
        <f t="shared" si="495"/>
        <v>0</v>
      </c>
      <c r="CL300" s="177">
        <f t="shared" si="496"/>
        <v>0</v>
      </c>
      <c r="CM300" s="1006"/>
      <c r="CN300" s="177">
        <f t="shared" si="497"/>
        <v>30</v>
      </c>
      <c r="CO300" s="1019">
        <f t="shared" si="498"/>
        <v>7500</v>
      </c>
      <c r="CP300" s="177">
        <v>30</v>
      </c>
      <c r="CQ300" s="1019">
        <f t="shared" si="499"/>
        <v>7500</v>
      </c>
      <c r="CR300" s="1032">
        <v>30</v>
      </c>
      <c r="CS300" s="1019">
        <f t="shared" si="500"/>
        <v>7500</v>
      </c>
      <c r="CT300" s="177">
        <f t="shared" si="501"/>
        <v>0</v>
      </c>
      <c r="CU300" s="177">
        <f t="shared" si="502"/>
        <v>0</v>
      </c>
      <c r="CV300" s="1006"/>
      <c r="CW300" s="1007">
        <f t="shared" si="486"/>
        <v>15000</v>
      </c>
      <c r="CX300" s="486">
        <f t="shared" si="487"/>
        <v>15000</v>
      </c>
      <c r="CY300" s="486">
        <f t="shared" si="488"/>
        <v>15000</v>
      </c>
      <c r="CZ300" s="1007">
        <f t="shared" si="489"/>
        <v>0</v>
      </c>
      <c r="DA300" s="1007">
        <f t="shared" si="490"/>
        <v>0</v>
      </c>
      <c r="DB300" s="126"/>
      <c r="DC300" s="125"/>
    </row>
    <row r="301" spans="1:107" ht="51" hidden="1" x14ac:dyDescent="0.25">
      <c r="A301" s="19">
        <v>2026</v>
      </c>
      <c r="B301" s="20">
        <v>479</v>
      </c>
      <c r="C301" s="21" t="s">
        <v>64</v>
      </c>
      <c r="D301" s="21" t="s">
        <v>65</v>
      </c>
      <c r="E301" s="20">
        <v>125</v>
      </c>
      <c r="F301" s="20">
        <v>3000654</v>
      </c>
      <c r="G301" s="20">
        <v>5005023</v>
      </c>
      <c r="H301" s="20">
        <v>3</v>
      </c>
      <c r="I301" s="20">
        <v>12</v>
      </c>
      <c r="J301" s="20">
        <v>24</v>
      </c>
      <c r="K301" s="20">
        <v>135560</v>
      </c>
      <c r="L301" s="21" t="s">
        <v>98</v>
      </c>
      <c r="M301" s="33" t="s">
        <v>99</v>
      </c>
      <c r="N301" s="19">
        <v>94</v>
      </c>
      <c r="O301" s="2"/>
      <c r="P301" s="2" t="s">
        <v>4</v>
      </c>
      <c r="Q301" s="20" t="s">
        <v>68</v>
      </c>
      <c r="R301" s="25" t="s">
        <v>69</v>
      </c>
      <c r="S301" s="25" t="s">
        <v>137</v>
      </c>
      <c r="T301" s="25"/>
      <c r="U301" s="33" t="s">
        <v>213</v>
      </c>
      <c r="V301" s="25" t="s">
        <v>3</v>
      </c>
      <c r="W301" s="25">
        <v>1</v>
      </c>
      <c r="X301" s="595">
        <v>7500</v>
      </c>
      <c r="Y301" s="868"/>
      <c r="Z301" s="200"/>
      <c r="AA301" s="200"/>
      <c r="AB301" s="869"/>
      <c r="AC301" s="25">
        <v>30</v>
      </c>
      <c r="AD301" s="25">
        <v>30</v>
      </c>
      <c r="AE301" s="868"/>
      <c r="AF301" s="200"/>
      <c r="AG301" s="200"/>
      <c r="AH301" s="200"/>
      <c r="AI301" s="200"/>
      <c r="AJ301" s="873"/>
      <c r="AK301" s="596">
        <v>15000</v>
      </c>
      <c r="AL301" s="29" t="s">
        <v>73</v>
      </c>
      <c r="AM301" s="29" t="s">
        <v>73</v>
      </c>
      <c r="AN301" s="29" t="s">
        <v>73</v>
      </c>
      <c r="AO301" s="29" t="s">
        <v>73</v>
      </c>
      <c r="AP301" s="478">
        <v>7500</v>
      </c>
      <c r="AQ301" s="478">
        <v>7500</v>
      </c>
      <c r="AR301" s="29" t="s">
        <v>73</v>
      </c>
      <c r="AS301" s="29" t="s">
        <v>73</v>
      </c>
      <c r="AT301" s="29" t="s">
        <v>73</v>
      </c>
      <c r="AU301" s="29" t="s">
        <v>73</v>
      </c>
      <c r="AV301" s="29" t="s">
        <v>73</v>
      </c>
      <c r="AW301" s="29" t="s">
        <v>73</v>
      </c>
      <c r="AX301" s="30">
        <v>15000</v>
      </c>
      <c r="AY301" s="597" t="s">
        <v>5</v>
      </c>
      <c r="AZ301" s="2" t="s">
        <v>74</v>
      </c>
      <c r="BA301" s="2"/>
      <c r="BK301" s="147" t="s">
        <v>790</v>
      </c>
      <c r="BL301" s="481" t="s">
        <v>791</v>
      </c>
      <c r="BM301" s="125" t="s">
        <v>1611</v>
      </c>
      <c r="BN301" s="177" t="s">
        <v>1673</v>
      </c>
      <c r="BO301" s="125" t="s">
        <v>1613</v>
      </c>
      <c r="BP301" s="129">
        <v>46135</v>
      </c>
      <c r="BQ301" s="18"/>
      <c r="BR301" s="505" t="s">
        <v>1676</v>
      </c>
      <c r="BS301" s="18"/>
      <c r="BT301" s="286" t="s">
        <v>1567</v>
      </c>
      <c r="BU301" s="286" t="s">
        <v>1568</v>
      </c>
      <c r="BV301" s="566" t="s">
        <v>1677</v>
      </c>
      <c r="BW301" s="566" t="s">
        <v>1244</v>
      </c>
      <c r="BX301" s="566" t="s">
        <v>1678</v>
      </c>
      <c r="BY301" s="566">
        <v>16753523</v>
      </c>
      <c r="BZ301" s="177"/>
      <c r="CA301" s="126">
        <v>7500</v>
      </c>
      <c r="CB301" s="128">
        <v>46143</v>
      </c>
      <c r="CC301" s="128">
        <v>46203</v>
      </c>
      <c r="CD301" s="759"/>
      <c r="CE301" s="177">
        <f>AC301</f>
        <v>30</v>
      </c>
      <c r="CF301" s="1019">
        <f>AP301</f>
        <v>7500</v>
      </c>
      <c r="CG301" s="177">
        <v>30</v>
      </c>
      <c r="CH301" s="1019">
        <f>(X301/30)*CG301</f>
        <v>7500</v>
      </c>
      <c r="CI301" s="177">
        <v>30</v>
      </c>
      <c r="CJ301" s="1019">
        <f>(X301/30)*CI301</f>
        <v>7500</v>
      </c>
      <c r="CK301" s="177">
        <f>CF301-CH301</f>
        <v>0</v>
      </c>
      <c r="CL301" s="177">
        <f>CF301-CJ301</f>
        <v>0</v>
      </c>
      <c r="CM301" s="1006"/>
      <c r="CN301" s="177">
        <f>AD301</f>
        <v>30</v>
      </c>
      <c r="CO301" s="1019">
        <f>AQ301</f>
        <v>7500</v>
      </c>
      <c r="CP301" s="177">
        <v>30</v>
      </c>
      <c r="CQ301" s="1019">
        <f>(X301/30)*CP301</f>
        <v>7500</v>
      </c>
      <c r="CR301" s="1032">
        <v>30</v>
      </c>
      <c r="CS301" s="1019">
        <f>(X301/30)*CR301</f>
        <v>7500</v>
      </c>
      <c r="CT301" s="177">
        <f>CO301-CQ301</f>
        <v>0</v>
      </c>
      <c r="CU301" s="177">
        <f>CO301-CS301</f>
        <v>0</v>
      </c>
      <c r="CV301" s="1006"/>
      <c r="CW301" s="1007">
        <f t="shared" si="486"/>
        <v>15000</v>
      </c>
      <c r="CX301" s="486">
        <f t="shared" si="487"/>
        <v>15000</v>
      </c>
      <c r="CY301" s="486">
        <f t="shared" si="488"/>
        <v>15000</v>
      </c>
      <c r="CZ301" s="1007">
        <f t="shared" si="489"/>
        <v>0</v>
      </c>
      <c r="DA301" s="1007">
        <f t="shared" si="490"/>
        <v>0</v>
      </c>
      <c r="DB301" s="126"/>
      <c r="DC301" s="125"/>
    </row>
    <row r="302" spans="1:107" ht="51" hidden="1" x14ac:dyDescent="0.25">
      <c r="A302" s="19">
        <v>2026</v>
      </c>
      <c r="B302" s="20">
        <v>479</v>
      </c>
      <c r="C302" s="21" t="s">
        <v>64</v>
      </c>
      <c r="D302" s="21" t="s">
        <v>65</v>
      </c>
      <c r="E302" s="20">
        <v>125</v>
      </c>
      <c r="F302" s="20">
        <v>3000654</v>
      </c>
      <c r="G302" s="20">
        <v>5005023</v>
      </c>
      <c r="H302" s="20">
        <v>3</v>
      </c>
      <c r="I302" s="20">
        <v>12</v>
      </c>
      <c r="J302" s="20">
        <v>24</v>
      </c>
      <c r="K302" s="20">
        <v>135560</v>
      </c>
      <c r="L302" s="21" t="s">
        <v>98</v>
      </c>
      <c r="M302" s="33" t="s">
        <v>99</v>
      </c>
      <c r="N302" s="19">
        <v>94</v>
      </c>
      <c r="O302" s="2"/>
      <c r="P302" s="2" t="s">
        <v>4</v>
      </c>
      <c r="Q302" s="20" t="s">
        <v>68</v>
      </c>
      <c r="R302" s="25" t="s">
        <v>69</v>
      </c>
      <c r="S302" s="25" t="s">
        <v>137</v>
      </c>
      <c r="T302" s="25"/>
      <c r="U302" s="33" t="s">
        <v>213</v>
      </c>
      <c r="V302" s="25" t="s">
        <v>3</v>
      </c>
      <c r="W302" s="25">
        <v>1</v>
      </c>
      <c r="X302" s="595">
        <v>7500</v>
      </c>
      <c r="Y302" s="619"/>
      <c r="Z302" s="2"/>
      <c r="AA302" s="2"/>
      <c r="AB302" s="620"/>
      <c r="AC302" s="25">
        <v>30</v>
      </c>
      <c r="AD302" s="25">
        <v>30</v>
      </c>
      <c r="AE302" s="619"/>
      <c r="AF302" s="2"/>
      <c r="AG302" s="2"/>
      <c r="AH302" s="2"/>
      <c r="AI302" s="2"/>
      <c r="AJ302" s="621"/>
      <c r="AK302" s="596">
        <v>15000</v>
      </c>
      <c r="AL302" s="29" t="s">
        <v>73</v>
      </c>
      <c r="AM302" s="29" t="s">
        <v>73</v>
      </c>
      <c r="AN302" s="29" t="s">
        <v>73</v>
      </c>
      <c r="AO302" s="29" t="s">
        <v>73</v>
      </c>
      <c r="AP302" s="478">
        <v>7500</v>
      </c>
      <c r="AQ302" s="478">
        <v>7500</v>
      </c>
      <c r="AR302" s="29" t="s">
        <v>73</v>
      </c>
      <c r="AS302" s="29" t="s">
        <v>73</v>
      </c>
      <c r="AT302" s="29" t="s">
        <v>73</v>
      </c>
      <c r="AU302" s="29" t="s">
        <v>73</v>
      </c>
      <c r="AV302" s="29" t="s">
        <v>73</v>
      </c>
      <c r="AW302" s="29" t="s">
        <v>73</v>
      </c>
      <c r="AX302" s="30">
        <v>15000</v>
      </c>
      <c r="AY302" s="597" t="s">
        <v>5</v>
      </c>
      <c r="AZ302" s="2" t="s">
        <v>74</v>
      </c>
      <c r="BA302" s="2"/>
      <c r="BK302" s="147" t="s">
        <v>790</v>
      </c>
      <c r="BL302" s="481" t="s">
        <v>791</v>
      </c>
      <c r="BM302" s="125" t="s">
        <v>1611</v>
      </c>
      <c r="BN302" s="177" t="s">
        <v>1673</v>
      </c>
      <c r="BO302" s="125" t="s">
        <v>1613</v>
      </c>
      <c r="BP302" s="129">
        <v>46135</v>
      </c>
      <c r="BQ302" s="18"/>
      <c r="BR302" s="505" t="s">
        <v>1679</v>
      </c>
      <c r="BS302" s="18"/>
      <c r="BT302" s="286" t="s">
        <v>1567</v>
      </c>
      <c r="BU302" s="286" t="s">
        <v>1568</v>
      </c>
      <c r="BV302" s="566" t="s">
        <v>814</v>
      </c>
      <c r="BW302" s="566" t="s">
        <v>1435</v>
      </c>
      <c r="BX302" s="566" t="s">
        <v>1680</v>
      </c>
      <c r="BY302" s="566">
        <v>45482731</v>
      </c>
      <c r="BZ302" s="177"/>
      <c r="CA302" s="126">
        <v>7500</v>
      </c>
      <c r="CB302" s="128">
        <v>46143</v>
      </c>
      <c r="CC302" s="128">
        <v>46203</v>
      </c>
      <c r="CD302" s="759"/>
      <c r="CE302" s="177">
        <f>AC302</f>
        <v>30</v>
      </c>
      <c r="CF302" s="1019">
        <f>AP302</f>
        <v>7500</v>
      </c>
      <c r="CG302" s="177">
        <v>30</v>
      </c>
      <c r="CH302" s="1019">
        <f>(X302/30)*CG302</f>
        <v>7500</v>
      </c>
      <c r="CI302" s="177">
        <v>30</v>
      </c>
      <c r="CJ302" s="1019">
        <f>(X302/30)*CI302</f>
        <v>7500</v>
      </c>
      <c r="CK302" s="177">
        <f>CF302-CH302</f>
        <v>0</v>
      </c>
      <c r="CL302" s="177">
        <f>CF302-CJ302</f>
        <v>0</v>
      </c>
      <c r="CM302" s="1006"/>
      <c r="CN302" s="177">
        <f>AD302</f>
        <v>30</v>
      </c>
      <c r="CO302" s="1019">
        <f>AQ302</f>
        <v>7500</v>
      </c>
      <c r="CP302" s="177">
        <v>30</v>
      </c>
      <c r="CQ302" s="1019">
        <f>(X302/30)*CP302</f>
        <v>7500</v>
      </c>
      <c r="CR302" s="1032">
        <v>30</v>
      </c>
      <c r="CS302" s="1019">
        <f>(X302/30)*CR302</f>
        <v>7500</v>
      </c>
      <c r="CT302" s="177">
        <f>CO302-CQ302</f>
        <v>0</v>
      </c>
      <c r="CU302" s="177">
        <f>CO302-CS302</f>
        <v>0</v>
      </c>
      <c r="CV302" s="1006"/>
      <c r="CW302" s="1007">
        <f t="shared" si="486"/>
        <v>15000</v>
      </c>
      <c r="CX302" s="486">
        <f t="shared" si="487"/>
        <v>15000</v>
      </c>
      <c r="CY302" s="486">
        <f t="shared" si="488"/>
        <v>15000</v>
      </c>
      <c r="CZ302" s="1007">
        <f t="shared" si="489"/>
        <v>0</v>
      </c>
      <c r="DA302" s="1007">
        <f t="shared" si="490"/>
        <v>0</v>
      </c>
      <c r="DB302" s="126"/>
      <c r="DC302" s="125"/>
    </row>
    <row r="303" spans="1:107" ht="51" hidden="1" x14ac:dyDescent="0.25">
      <c r="A303" s="19">
        <v>2026</v>
      </c>
      <c r="B303" s="20">
        <v>479</v>
      </c>
      <c r="C303" s="21" t="s">
        <v>64</v>
      </c>
      <c r="D303" s="21" t="s">
        <v>65</v>
      </c>
      <c r="E303" s="20">
        <v>125</v>
      </c>
      <c r="F303" s="20">
        <v>3000654</v>
      </c>
      <c r="G303" s="20">
        <v>5005023</v>
      </c>
      <c r="H303" s="20">
        <v>3</v>
      </c>
      <c r="I303" s="20">
        <v>12</v>
      </c>
      <c r="J303" s="20">
        <v>24</v>
      </c>
      <c r="K303" s="20">
        <v>135560</v>
      </c>
      <c r="L303" s="21" t="s">
        <v>98</v>
      </c>
      <c r="M303" s="33" t="s">
        <v>99</v>
      </c>
      <c r="N303" s="19">
        <v>94</v>
      </c>
      <c r="O303" s="2"/>
      <c r="P303" s="2" t="s">
        <v>4</v>
      </c>
      <c r="Q303" s="20" t="s">
        <v>68</v>
      </c>
      <c r="R303" s="25" t="s">
        <v>69</v>
      </c>
      <c r="S303" s="25" t="s">
        <v>137</v>
      </c>
      <c r="T303" s="25"/>
      <c r="U303" s="33" t="s">
        <v>214</v>
      </c>
      <c r="V303" s="25" t="s">
        <v>3</v>
      </c>
      <c r="W303" s="25">
        <v>1</v>
      </c>
      <c r="X303" s="595">
        <v>7500</v>
      </c>
      <c r="Y303" s="619"/>
      <c r="Z303" s="2"/>
      <c r="AA303" s="2"/>
      <c r="AB303" s="620"/>
      <c r="AC303" s="25">
        <v>30</v>
      </c>
      <c r="AD303" s="25">
        <v>30</v>
      </c>
      <c r="AE303" s="619"/>
      <c r="AF303" s="2"/>
      <c r="AG303" s="2"/>
      <c r="AH303" s="2"/>
      <c r="AI303" s="2"/>
      <c r="AJ303" s="621"/>
      <c r="AK303" s="596">
        <v>15000</v>
      </c>
      <c r="AL303" s="29" t="s">
        <v>73</v>
      </c>
      <c r="AM303" s="29" t="s">
        <v>73</v>
      </c>
      <c r="AN303" s="29" t="s">
        <v>73</v>
      </c>
      <c r="AO303" s="29" t="s">
        <v>73</v>
      </c>
      <c r="AP303" s="478">
        <v>7500</v>
      </c>
      <c r="AQ303" s="478">
        <v>7500</v>
      </c>
      <c r="AR303" s="29" t="s">
        <v>73</v>
      </c>
      <c r="AS303" s="29" t="s">
        <v>73</v>
      </c>
      <c r="AT303" s="29" t="s">
        <v>73</v>
      </c>
      <c r="AU303" s="29" t="s">
        <v>73</v>
      </c>
      <c r="AV303" s="29" t="s">
        <v>73</v>
      </c>
      <c r="AW303" s="29" t="s">
        <v>73</v>
      </c>
      <c r="AX303" s="30">
        <v>15000</v>
      </c>
      <c r="AY303" s="597" t="s">
        <v>5</v>
      </c>
      <c r="AZ303" s="2" t="s">
        <v>74</v>
      </c>
      <c r="BA303" s="2"/>
      <c r="BK303" s="147" t="s">
        <v>790</v>
      </c>
      <c r="BL303" s="481" t="s">
        <v>791</v>
      </c>
      <c r="BM303" s="125" t="s">
        <v>1611</v>
      </c>
      <c r="BN303" s="177" t="s">
        <v>1673</v>
      </c>
      <c r="BO303" s="125" t="s">
        <v>1681</v>
      </c>
      <c r="BP303" s="129">
        <v>46135</v>
      </c>
      <c r="BQ303" s="18"/>
      <c r="BR303" s="505" t="s">
        <v>1682</v>
      </c>
      <c r="BS303" s="18"/>
      <c r="BT303" s="286" t="s">
        <v>1567</v>
      </c>
      <c r="BU303" s="286" t="s">
        <v>1568</v>
      </c>
      <c r="BV303" s="566" t="s">
        <v>1683</v>
      </c>
      <c r="BW303" s="566" t="s">
        <v>1684</v>
      </c>
      <c r="BX303" s="566" t="s">
        <v>1685</v>
      </c>
      <c r="BY303" s="566">
        <v>42696019</v>
      </c>
      <c r="BZ303" s="177"/>
      <c r="CA303" s="126">
        <v>7500</v>
      </c>
      <c r="CB303" s="128">
        <v>46143</v>
      </c>
      <c r="CC303" s="128">
        <v>46203</v>
      </c>
      <c r="CD303" s="759"/>
      <c r="CE303" s="177">
        <f t="shared" si="491"/>
        <v>30</v>
      </c>
      <c r="CF303" s="1019">
        <f t="shared" si="492"/>
        <v>7500</v>
      </c>
      <c r="CG303" s="177">
        <v>30</v>
      </c>
      <c r="CH303" s="1019">
        <f t="shared" si="493"/>
        <v>7500</v>
      </c>
      <c r="CI303" s="177">
        <v>30</v>
      </c>
      <c r="CJ303" s="1019">
        <f t="shared" si="494"/>
        <v>7500</v>
      </c>
      <c r="CK303" s="177">
        <f t="shared" si="495"/>
        <v>0</v>
      </c>
      <c r="CL303" s="177">
        <f t="shared" si="496"/>
        <v>0</v>
      </c>
      <c r="CM303" s="1006"/>
      <c r="CN303" s="177">
        <f t="shared" si="497"/>
        <v>30</v>
      </c>
      <c r="CO303" s="1019">
        <f t="shared" si="498"/>
        <v>7500</v>
      </c>
      <c r="CP303" s="177">
        <v>30</v>
      </c>
      <c r="CQ303" s="1019">
        <f t="shared" si="499"/>
        <v>7500</v>
      </c>
      <c r="CR303" s="1032">
        <v>30</v>
      </c>
      <c r="CS303" s="1019">
        <f t="shared" si="500"/>
        <v>7500</v>
      </c>
      <c r="CT303" s="177">
        <f t="shared" si="501"/>
        <v>0</v>
      </c>
      <c r="CU303" s="177">
        <f t="shared" si="502"/>
        <v>0</v>
      </c>
      <c r="CV303" s="1006"/>
      <c r="CW303" s="1007">
        <f t="shared" si="486"/>
        <v>15000</v>
      </c>
      <c r="CX303" s="486">
        <f t="shared" si="487"/>
        <v>15000</v>
      </c>
      <c r="CY303" s="486">
        <f t="shared" si="488"/>
        <v>15000</v>
      </c>
      <c r="CZ303" s="1007">
        <f t="shared" si="489"/>
        <v>0</v>
      </c>
      <c r="DA303" s="1007">
        <f t="shared" si="490"/>
        <v>0</v>
      </c>
      <c r="DB303" s="126"/>
      <c r="DC303" s="125"/>
    </row>
    <row r="304" spans="1:107" ht="51" hidden="1" x14ac:dyDescent="0.25">
      <c r="A304" s="19">
        <v>2026</v>
      </c>
      <c r="B304" s="20">
        <v>479</v>
      </c>
      <c r="C304" s="21" t="s">
        <v>64</v>
      </c>
      <c r="D304" s="21" t="s">
        <v>65</v>
      </c>
      <c r="E304" s="20">
        <v>125</v>
      </c>
      <c r="F304" s="20">
        <v>3000654</v>
      </c>
      <c r="G304" s="20">
        <v>5005023</v>
      </c>
      <c r="H304" s="20">
        <v>3</v>
      </c>
      <c r="I304" s="20">
        <v>12</v>
      </c>
      <c r="J304" s="20">
        <v>24</v>
      </c>
      <c r="K304" s="20">
        <v>135560</v>
      </c>
      <c r="L304" s="21" t="s">
        <v>98</v>
      </c>
      <c r="M304" s="33" t="s">
        <v>99</v>
      </c>
      <c r="N304" s="19">
        <v>94</v>
      </c>
      <c r="O304" s="2"/>
      <c r="P304" s="2" t="s">
        <v>4</v>
      </c>
      <c r="Q304" s="20" t="s">
        <v>68</v>
      </c>
      <c r="R304" s="25" t="s">
        <v>69</v>
      </c>
      <c r="S304" s="25" t="s">
        <v>137</v>
      </c>
      <c r="T304" s="25"/>
      <c r="U304" s="33" t="s">
        <v>214</v>
      </c>
      <c r="V304" s="25" t="s">
        <v>3</v>
      </c>
      <c r="W304" s="25">
        <v>1</v>
      </c>
      <c r="X304" s="595">
        <v>7500</v>
      </c>
      <c r="Y304" s="868"/>
      <c r="Z304" s="200"/>
      <c r="AA304" s="200"/>
      <c r="AB304" s="869"/>
      <c r="AC304" s="25">
        <v>30</v>
      </c>
      <c r="AD304" s="25">
        <v>30</v>
      </c>
      <c r="AE304" s="868"/>
      <c r="AF304" s="200"/>
      <c r="AG304" s="200"/>
      <c r="AH304" s="200"/>
      <c r="AI304" s="200"/>
      <c r="AJ304" s="873"/>
      <c r="AK304" s="596">
        <v>15000</v>
      </c>
      <c r="AL304" s="29" t="s">
        <v>73</v>
      </c>
      <c r="AM304" s="29" t="s">
        <v>73</v>
      </c>
      <c r="AN304" s="29" t="s">
        <v>73</v>
      </c>
      <c r="AO304" s="29" t="s">
        <v>73</v>
      </c>
      <c r="AP304" s="478">
        <v>7500</v>
      </c>
      <c r="AQ304" s="478">
        <v>7500</v>
      </c>
      <c r="AR304" s="29" t="s">
        <v>73</v>
      </c>
      <c r="AS304" s="29" t="s">
        <v>73</v>
      </c>
      <c r="AT304" s="29" t="s">
        <v>73</v>
      </c>
      <c r="AU304" s="29" t="s">
        <v>73</v>
      </c>
      <c r="AV304" s="29" t="s">
        <v>73</v>
      </c>
      <c r="AW304" s="29" t="s">
        <v>73</v>
      </c>
      <c r="AX304" s="30">
        <v>15000</v>
      </c>
      <c r="AY304" s="597" t="s">
        <v>5</v>
      </c>
      <c r="AZ304" s="2" t="s">
        <v>74</v>
      </c>
      <c r="BA304" s="2"/>
      <c r="BK304" s="147" t="s">
        <v>790</v>
      </c>
      <c r="BL304" s="481" t="s">
        <v>791</v>
      </c>
      <c r="BM304" s="125" t="s">
        <v>1611</v>
      </c>
      <c r="BN304" s="177" t="s">
        <v>1673</v>
      </c>
      <c r="BO304" s="125" t="s">
        <v>1681</v>
      </c>
      <c r="BP304" s="129">
        <v>46135</v>
      </c>
      <c r="BQ304" s="18"/>
      <c r="BR304" s="505" t="s">
        <v>1686</v>
      </c>
      <c r="BS304" s="18"/>
      <c r="BT304" s="286" t="s">
        <v>1567</v>
      </c>
      <c r="BU304" s="286" t="s">
        <v>1568</v>
      </c>
      <c r="BV304" s="566" t="s">
        <v>1668</v>
      </c>
      <c r="BW304" s="566" t="s">
        <v>1687</v>
      </c>
      <c r="BX304" s="566" t="s">
        <v>850</v>
      </c>
      <c r="BY304" s="566">
        <v>41611913</v>
      </c>
      <c r="BZ304" s="177"/>
      <c r="CA304" s="126">
        <v>7500</v>
      </c>
      <c r="CB304" s="128">
        <v>46143</v>
      </c>
      <c r="CC304" s="128">
        <v>46203</v>
      </c>
      <c r="CD304" s="759"/>
      <c r="CE304" s="177">
        <f>AC304</f>
        <v>30</v>
      </c>
      <c r="CF304" s="1019">
        <f>AP304</f>
        <v>7500</v>
      </c>
      <c r="CG304" s="177">
        <v>30</v>
      </c>
      <c r="CH304" s="1019">
        <f>(X304/30)*CG304</f>
        <v>7500</v>
      </c>
      <c r="CI304" s="177">
        <v>30</v>
      </c>
      <c r="CJ304" s="1019">
        <f>(X304/30)*CI304</f>
        <v>7500</v>
      </c>
      <c r="CK304" s="177">
        <f>CF304-CH304</f>
        <v>0</v>
      </c>
      <c r="CL304" s="177">
        <f>CF304-CJ304</f>
        <v>0</v>
      </c>
      <c r="CM304" s="1006"/>
      <c r="CN304" s="177">
        <f>AD304</f>
        <v>30</v>
      </c>
      <c r="CO304" s="1019">
        <f>AQ304</f>
        <v>7500</v>
      </c>
      <c r="CP304" s="177">
        <v>30</v>
      </c>
      <c r="CQ304" s="1019">
        <f>(X304/30)*CP304</f>
        <v>7500</v>
      </c>
      <c r="CR304" s="1032">
        <v>30</v>
      </c>
      <c r="CS304" s="1019">
        <f>(X304/30)*CR304</f>
        <v>7500</v>
      </c>
      <c r="CT304" s="177">
        <f>CO304-CQ304</f>
        <v>0</v>
      </c>
      <c r="CU304" s="177">
        <f>CO304-CS304</f>
        <v>0</v>
      </c>
      <c r="CV304" s="1006"/>
      <c r="CW304" s="1007">
        <f t="shared" si="486"/>
        <v>15000</v>
      </c>
      <c r="CX304" s="486">
        <f t="shared" si="487"/>
        <v>15000</v>
      </c>
      <c r="CY304" s="486">
        <f t="shared" si="488"/>
        <v>15000</v>
      </c>
      <c r="CZ304" s="1007">
        <f t="shared" si="489"/>
        <v>0</v>
      </c>
      <c r="DA304" s="1007">
        <f t="shared" si="490"/>
        <v>0</v>
      </c>
      <c r="DB304" s="126"/>
      <c r="DC304" s="125"/>
    </row>
    <row r="305" spans="1:107" ht="51" hidden="1" x14ac:dyDescent="0.25">
      <c r="A305" s="19">
        <v>2026</v>
      </c>
      <c r="B305" s="20">
        <v>479</v>
      </c>
      <c r="C305" s="21" t="s">
        <v>64</v>
      </c>
      <c r="D305" s="21" t="s">
        <v>65</v>
      </c>
      <c r="E305" s="20">
        <v>125</v>
      </c>
      <c r="F305" s="20">
        <v>3000654</v>
      </c>
      <c r="G305" s="20">
        <v>5005023</v>
      </c>
      <c r="H305" s="20">
        <v>3</v>
      </c>
      <c r="I305" s="20">
        <v>12</v>
      </c>
      <c r="J305" s="20">
        <v>24</v>
      </c>
      <c r="K305" s="20">
        <v>135560</v>
      </c>
      <c r="L305" s="21" t="s">
        <v>98</v>
      </c>
      <c r="M305" s="33" t="s">
        <v>99</v>
      </c>
      <c r="N305" s="19">
        <v>94</v>
      </c>
      <c r="O305" s="2"/>
      <c r="P305" s="2" t="s">
        <v>4</v>
      </c>
      <c r="Q305" s="20" t="s">
        <v>68</v>
      </c>
      <c r="R305" s="25" t="s">
        <v>69</v>
      </c>
      <c r="S305" s="25" t="s">
        <v>137</v>
      </c>
      <c r="T305" s="25"/>
      <c r="U305" s="33" t="s">
        <v>214</v>
      </c>
      <c r="V305" s="25" t="s">
        <v>3</v>
      </c>
      <c r="W305" s="25">
        <v>1</v>
      </c>
      <c r="X305" s="595">
        <v>7500</v>
      </c>
      <c r="Y305" s="619"/>
      <c r="Z305" s="2"/>
      <c r="AA305" s="2"/>
      <c r="AB305" s="620"/>
      <c r="AC305" s="25">
        <v>30</v>
      </c>
      <c r="AD305" s="25">
        <v>30</v>
      </c>
      <c r="AE305" s="619"/>
      <c r="AF305" s="2"/>
      <c r="AG305" s="2"/>
      <c r="AH305" s="2"/>
      <c r="AI305" s="2"/>
      <c r="AJ305" s="621"/>
      <c r="AK305" s="596">
        <v>15000</v>
      </c>
      <c r="AL305" s="29" t="s">
        <v>73</v>
      </c>
      <c r="AM305" s="29" t="s">
        <v>73</v>
      </c>
      <c r="AN305" s="29" t="s">
        <v>73</v>
      </c>
      <c r="AO305" s="29" t="s">
        <v>73</v>
      </c>
      <c r="AP305" s="478">
        <v>7500</v>
      </c>
      <c r="AQ305" s="478">
        <v>7500</v>
      </c>
      <c r="AR305" s="29" t="s">
        <v>73</v>
      </c>
      <c r="AS305" s="29" t="s">
        <v>73</v>
      </c>
      <c r="AT305" s="29" t="s">
        <v>73</v>
      </c>
      <c r="AU305" s="29" t="s">
        <v>73</v>
      </c>
      <c r="AV305" s="29" t="s">
        <v>73</v>
      </c>
      <c r="AW305" s="29" t="s">
        <v>73</v>
      </c>
      <c r="AX305" s="30">
        <v>15000</v>
      </c>
      <c r="AY305" s="597" t="s">
        <v>5</v>
      </c>
      <c r="AZ305" s="2" t="s">
        <v>74</v>
      </c>
      <c r="BA305" s="2"/>
      <c r="BK305" s="147" t="s">
        <v>790</v>
      </c>
      <c r="BL305" s="481" t="s">
        <v>791</v>
      </c>
      <c r="BM305" s="125" t="s">
        <v>1611</v>
      </c>
      <c r="BN305" s="177" t="s">
        <v>1673</v>
      </c>
      <c r="BO305" s="125" t="s">
        <v>1681</v>
      </c>
      <c r="BP305" s="129">
        <v>46135</v>
      </c>
      <c r="BQ305" s="18"/>
      <c r="BR305" s="505" t="s">
        <v>1688</v>
      </c>
      <c r="BS305" s="18"/>
      <c r="BT305" s="286" t="s">
        <v>1567</v>
      </c>
      <c r="BU305" s="286" t="s">
        <v>1568</v>
      </c>
      <c r="BV305" s="566" t="s">
        <v>1689</v>
      </c>
      <c r="BW305" s="566" t="s">
        <v>1157</v>
      </c>
      <c r="BX305" s="566" t="s">
        <v>1690</v>
      </c>
      <c r="BY305" s="566">
        <v>46577588</v>
      </c>
      <c r="BZ305" s="177"/>
      <c r="CA305" s="126">
        <v>7500</v>
      </c>
      <c r="CB305" s="128">
        <v>46143</v>
      </c>
      <c r="CC305" s="128">
        <v>46203</v>
      </c>
      <c r="CD305" s="759"/>
      <c r="CE305" s="177">
        <f>AC305</f>
        <v>30</v>
      </c>
      <c r="CF305" s="1019">
        <f>AP305</f>
        <v>7500</v>
      </c>
      <c r="CG305" s="177">
        <v>30</v>
      </c>
      <c r="CH305" s="1019">
        <f>(X305/30)*CG305</f>
        <v>7500</v>
      </c>
      <c r="CI305" s="177">
        <v>30</v>
      </c>
      <c r="CJ305" s="1019">
        <f>(X305/30)*CI305</f>
        <v>7500</v>
      </c>
      <c r="CK305" s="177">
        <f>CF305-CH305</f>
        <v>0</v>
      </c>
      <c r="CL305" s="177">
        <f>CF305-CJ305</f>
        <v>0</v>
      </c>
      <c r="CM305" s="1006"/>
      <c r="CN305" s="177">
        <f>AD305</f>
        <v>30</v>
      </c>
      <c r="CO305" s="1019">
        <f>AQ305</f>
        <v>7500</v>
      </c>
      <c r="CP305" s="177">
        <v>30</v>
      </c>
      <c r="CQ305" s="1019">
        <f>(X305/30)*CP305</f>
        <v>7500</v>
      </c>
      <c r="CR305" s="1032">
        <v>30</v>
      </c>
      <c r="CS305" s="1019">
        <f>(X305/30)*CR305</f>
        <v>7500</v>
      </c>
      <c r="CT305" s="177">
        <f>CO305-CQ305</f>
        <v>0</v>
      </c>
      <c r="CU305" s="177">
        <f>CO305-CS305</f>
        <v>0</v>
      </c>
      <c r="CV305" s="1006"/>
      <c r="CW305" s="1007">
        <f t="shared" si="486"/>
        <v>15000</v>
      </c>
      <c r="CX305" s="486">
        <f t="shared" si="487"/>
        <v>15000</v>
      </c>
      <c r="CY305" s="486">
        <f t="shared" si="488"/>
        <v>15000</v>
      </c>
      <c r="CZ305" s="1007">
        <f t="shared" si="489"/>
        <v>0</v>
      </c>
      <c r="DA305" s="1007">
        <f t="shared" si="490"/>
        <v>0</v>
      </c>
      <c r="DB305" s="126"/>
      <c r="DC305" s="125"/>
    </row>
    <row r="306" spans="1:107" ht="45.75" hidden="1" customHeight="1" x14ac:dyDescent="0.25">
      <c r="A306" s="19">
        <v>2026</v>
      </c>
      <c r="B306" s="20">
        <v>479</v>
      </c>
      <c r="C306" s="21" t="s">
        <v>64</v>
      </c>
      <c r="D306" s="21" t="s">
        <v>65</v>
      </c>
      <c r="E306" s="20">
        <v>125</v>
      </c>
      <c r="F306" s="20">
        <v>3000654</v>
      </c>
      <c r="G306" s="20">
        <v>5005023</v>
      </c>
      <c r="H306" s="20">
        <v>3</v>
      </c>
      <c r="I306" s="20">
        <v>12</v>
      </c>
      <c r="J306" s="20">
        <v>24</v>
      </c>
      <c r="K306" s="20">
        <v>135560</v>
      </c>
      <c r="L306" s="21" t="s">
        <v>98</v>
      </c>
      <c r="M306" s="33" t="s">
        <v>99</v>
      </c>
      <c r="N306" s="19">
        <v>94</v>
      </c>
      <c r="O306" s="2"/>
      <c r="P306" s="2" t="s">
        <v>4</v>
      </c>
      <c r="Q306" s="20" t="s">
        <v>68</v>
      </c>
      <c r="R306" s="25" t="s">
        <v>69</v>
      </c>
      <c r="S306" s="25" t="s">
        <v>137</v>
      </c>
      <c r="T306" s="25"/>
      <c r="U306" s="33" t="s">
        <v>215</v>
      </c>
      <c r="V306" s="25" t="s">
        <v>3</v>
      </c>
      <c r="W306" s="25">
        <v>1</v>
      </c>
      <c r="X306" s="595">
        <v>7500</v>
      </c>
      <c r="Y306" s="619"/>
      <c r="Z306" s="2"/>
      <c r="AA306" s="2"/>
      <c r="AB306" s="620"/>
      <c r="AC306" s="25">
        <v>30</v>
      </c>
      <c r="AD306" s="25">
        <v>30</v>
      </c>
      <c r="AE306" s="619"/>
      <c r="AF306" s="2"/>
      <c r="AG306" s="2"/>
      <c r="AH306" s="2"/>
      <c r="AI306" s="2"/>
      <c r="AJ306" s="621"/>
      <c r="AK306" s="596">
        <v>15000</v>
      </c>
      <c r="AL306" s="29" t="s">
        <v>73</v>
      </c>
      <c r="AM306" s="29" t="s">
        <v>73</v>
      </c>
      <c r="AN306" s="29" t="s">
        <v>73</v>
      </c>
      <c r="AO306" s="29" t="s">
        <v>73</v>
      </c>
      <c r="AP306" s="478">
        <v>7500</v>
      </c>
      <c r="AQ306" s="478">
        <v>7500</v>
      </c>
      <c r="AR306" s="29" t="s">
        <v>73</v>
      </c>
      <c r="AS306" s="29" t="s">
        <v>73</v>
      </c>
      <c r="AT306" s="29" t="s">
        <v>73</v>
      </c>
      <c r="AU306" s="29" t="s">
        <v>73</v>
      </c>
      <c r="AV306" s="29" t="s">
        <v>73</v>
      </c>
      <c r="AW306" s="29" t="s">
        <v>73</v>
      </c>
      <c r="AX306" s="30">
        <v>15000</v>
      </c>
      <c r="AY306" s="597" t="s">
        <v>5</v>
      </c>
      <c r="AZ306" s="2" t="s">
        <v>74</v>
      </c>
      <c r="BA306" s="2"/>
      <c r="BC306" s="504" t="s">
        <v>1691</v>
      </c>
      <c r="BK306" s="147" t="s">
        <v>790</v>
      </c>
      <c r="BL306" s="481" t="s">
        <v>791</v>
      </c>
      <c r="BM306" s="125" t="s">
        <v>1611</v>
      </c>
      <c r="BN306" s="177" t="s">
        <v>1673</v>
      </c>
      <c r="BO306" s="125" t="s">
        <v>1613</v>
      </c>
      <c r="BP306" s="129">
        <v>46135</v>
      </c>
      <c r="BQ306" s="18"/>
      <c r="BR306" s="505" t="s">
        <v>1692</v>
      </c>
      <c r="BS306" s="18"/>
      <c r="BT306" s="286" t="s">
        <v>1567</v>
      </c>
      <c r="BU306" s="286" t="s">
        <v>1568</v>
      </c>
      <c r="BV306" s="566" t="s">
        <v>1693</v>
      </c>
      <c r="BW306" s="566" t="s">
        <v>1694</v>
      </c>
      <c r="BX306" s="566" t="s">
        <v>1695</v>
      </c>
      <c r="BY306" s="566">
        <v>41879580</v>
      </c>
      <c r="BZ306" s="177"/>
      <c r="CA306" s="622">
        <v>7500</v>
      </c>
      <c r="CB306" s="183">
        <v>46143</v>
      </c>
      <c r="CC306" s="183">
        <v>46203</v>
      </c>
      <c r="CD306" s="759"/>
      <c r="CE306" s="177">
        <f t="shared" si="491"/>
        <v>30</v>
      </c>
      <c r="CF306" s="1019">
        <f t="shared" si="492"/>
        <v>7500</v>
      </c>
      <c r="CG306" s="177">
        <v>30</v>
      </c>
      <c r="CH306" s="1019">
        <f t="shared" si="493"/>
        <v>7500</v>
      </c>
      <c r="CI306" s="177">
        <v>30</v>
      </c>
      <c r="CJ306" s="1019">
        <f t="shared" si="494"/>
        <v>7500</v>
      </c>
      <c r="CK306" s="177">
        <f t="shared" si="495"/>
        <v>0</v>
      </c>
      <c r="CL306" s="177">
        <f t="shared" si="496"/>
        <v>0</v>
      </c>
      <c r="CM306" s="1006"/>
      <c r="CN306" s="177">
        <f t="shared" si="497"/>
        <v>30</v>
      </c>
      <c r="CO306" s="1019">
        <f t="shared" si="498"/>
        <v>7500</v>
      </c>
      <c r="CP306" s="177">
        <v>30</v>
      </c>
      <c r="CQ306" s="1019">
        <f t="shared" si="499"/>
        <v>7500</v>
      </c>
      <c r="CR306" s="1032">
        <v>30</v>
      </c>
      <c r="CS306" s="1019">
        <f t="shared" si="500"/>
        <v>7500</v>
      </c>
      <c r="CT306" s="1032">
        <f t="shared" ref="CT306:CT309" si="555">CO306-CQ306</f>
        <v>0</v>
      </c>
      <c r="CU306" s="1032">
        <f t="shared" ref="CU306:CU309" si="556">CO306-CS306</f>
        <v>0</v>
      </c>
      <c r="CV306" s="1006"/>
      <c r="CW306" s="1007">
        <f t="shared" si="486"/>
        <v>15000</v>
      </c>
      <c r="CX306" s="486">
        <f t="shared" si="487"/>
        <v>15000</v>
      </c>
      <c r="CY306" s="486">
        <f t="shared" si="488"/>
        <v>15000</v>
      </c>
      <c r="CZ306" s="1007">
        <f t="shared" si="489"/>
        <v>0</v>
      </c>
      <c r="DA306" s="1007">
        <f t="shared" si="490"/>
        <v>0</v>
      </c>
      <c r="DB306" s="126"/>
      <c r="DC306" s="125"/>
    </row>
    <row r="307" spans="1:107" ht="45.75" hidden="1" customHeight="1" x14ac:dyDescent="0.25">
      <c r="A307" s="19">
        <v>2026</v>
      </c>
      <c r="B307" s="20">
        <v>479</v>
      </c>
      <c r="C307" s="21" t="s">
        <v>64</v>
      </c>
      <c r="D307" s="21" t="s">
        <v>65</v>
      </c>
      <c r="E307" s="20">
        <v>125</v>
      </c>
      <c r="F307" s="20">
        <v>3000654</v>
      </c>
      <c r="G307" s="20">
        <v>5005023</v>
      </c>
      <c r="H307" s="20">
        <v>3</v>
      </c>
      <c r="I307" s="20">
        <v>12</v>
      </c>
      <c r="J307" s="20">
        <v>24</v>
      </c>
      <c r="K307" s="20">
        <v>135560</v>
      </c>
      <c r="L307" s="21" t="s">
        <v>98</v>
      </c>
      <c r="M307" s="33" t="s">
        <v>99</v>
      </c>
      <c r="N307" s="19">
        <v>94</v>
      </c>
      <c r="O307" s="2"/>
      <c r="P307" s="2" t="s">
        <v>4</v>
      </c>
      <c r="Q307" s="20" t="s">
        <v>68</v>
      </c>
      <c r="R307" s="25" t="s">
        <v>69</v>
      </c>
      <c r="S307" s="25" t="s">
        <v>137</v>
      </c>
      <c r="T307" s="25"/>
      <c r="U307" s="33" t="s">
        <v>215</v>
      </c>
      <c r="V307" s="25" t="s">
        <v>3</v>
      </c>
      <c r="W307" s="25">
        <v>1</v>
      </c>
      <c r="X307" s="595">
        <v>7500</v>
      </c>
      <c r="Y307" s="619"/>
      <c r="Z307" s="2"/>
      <c r="AA307" s="2"/>
      <c r="AB307" s="620"/>
      <c r="AC307" s="25">
        <v>30</v>
      </c>
      <c r="AD307" s="25">
        <v>30</v>
      </c>
      <c r="AE307" s="619"/>
      <c r="AF307" s="2"/>
      <c r="AG307" s="2"/>
      <c r="AH307" s="2"/>
      <c r="AI307" s="2"/>
      <c r="AJ307" s="621"/>
      <c r="AK307" s="596">
        <v>15000</v>
      </c>
      <c r="AL307" s="29" t="s">
        <v>73</v>
      </c>
      <c r="AM307" s="29" t="s">
        <v>73</v>
      </c>
      <c r="AN307" s="29" t="s">
        <v>73</v>
      </c>
      <c r="AO307" s="29" t="s">
        <v>73</v>
      </c>
      <c r="AP307" s="478">
        <v>7500</v>
      </c>
      <c r="AQ307" s="478">
        <v>7500</v>
      </c>
      <c r="AR307" s="29" t="s">
        <v>73</v>
      </c>
      <c r="AS307" s="29" t="s">
        <v>73</v>
      </c>
      <c r="AT307" s="29" t="s">
        <v>73</v>
      </c>
      <c r="AU307" s="29" t="s">
        <v>73</v>
      </c>
      <c r="AV307" s="29" t="s">
        <v>73</v>
      </c>
      <c r="AW307" s="29" t="s">
        <v>73</v>
      </c>
      <c r="AX307" s="30">
        <v>15000</v>
      </c>
      <c r="AY307" s="597" t="s">
        <v>5</v>
      </c>
      <c r="AZ307" s="2" t="s">
        <v>74</v>
      </c>
      <c r="BA307" s="2"/>
      <c r="BC307" s="504" t="s">
        <v>1691</v>
      </c>
      <c r="BK307" s="147" t="s">
        <v>790</v>
      </c>
      <c r="BL307" s="481" t="s">
        <v>791</v>
      </c>
      <c r="BM307" s="125" t="s">
        <v>1611</v>
      </c>
      <c r="BN307" s="177" t="s">
        <v>1673</v>
      </c>
      <c r="BO307" s="125" t="s">
        <v>1613</v>
      </c>
      <c r="BP307" s="129">
        <v>46135</v>
      </c>
      <c r="BQ307" s="18"/>
      <c r="BR307" s="505" t="s">
        <v>1696</v>
      </c>
      <c r="BS307" s="18"/>
      <c r="BT307" s="286" t="s">
        <v>1567</v>
      </c>
      <c r="BU307" s="286" t="s">
        <v>1568</v>
      </c>
      <c r="BV307" s="566" t="s">
        <v>1339</v>
      </c>
      <c r="BW307" s="566" t="s">
        <v>1347</v>
      </c>
      <c r="BX307" s="566" t="s">
        <v>1697</v>
      </c>
      <c r="BY307" s="566">
        <v>76826309</v>
      </c>
      <c r="BZ307" s="177"/>
      <c r="CA307" s="622">
        <v>7500</v>
      </c>
      <c r="CB307" s="183">
        <v>46143</v>
      </c>
      <c r="CC307" s="183">
        <v>46203</v>
      </c>
      <c r="CD307" s="759"/>
      <c r="CE307" s="177">
        <f t="shared" ref="CE307" si="557">AC307</f>
        <v>30</v>
      </c>
      <c r="CF307" s="1019">
        <f t="shared" ref="CF307" si="558">AP307</f>
        <v>7500</v>
      </c>
      <c r="CG307" s="177">
        <v>30</v>
      </c>
      <c r="CH307" s="1019">
        <f t="shared" ref="CH307" si="559">(X307/30)*CG307</f>
        <v>7500</v>
      </c>
      <c r="CI307" s="177">
        <v>30</v>
      </c>
      <c r="CJ307" s="1019">
        <f t="shared" ref="CJ307" si="560">(X307/30)*CI307</f>
        <v>7500</v>
      </c>
      <c r="CK307" s="177">
        <f t="shared" ref="CK307" si="561">CF307-CH307</f>
        <v>0</v>
      </c>
      <c r="CL307" s="177">
        <f t="shared" ref="CL307" si="562">CF307-CJ307</f>
        <v>0</v>
      </c>
      <c r="CM307" s="1006"/>
      <c r="CN307" s="177">
        <f t="shared" ref="CN307" si="563">AD307</f>
        <v>30</v>
      </c>
      <c r="CO307" s="1019">
        <f t="shared" ref="CO307" si="564">AQ307</f>
        <v>7500</v>
      </c>
      <c r="CP307" s="177">
        <v>30</v>
      </c>
      <c r="CQ307" s="1019">
        <f t="shared" ref="CQ307" si="565">(X307/30)*CP307</f>
        <v>7500</v>
      </c>
      <c r="CR307" s="1032">
        <v>30</v>
      </c>
      <c r="CS307" s="1019">
        <f t="shared" ref="CS307" si="566">(X307/30)*CR307</f>
        <v>7500</v>
      </c>
      <c r="CT307" s="1032">
        <f t="shared" si="555"/>
        <v>0</v>
      </c>
      <c r="CU307" s="1032">
        <f t="shared" si="556"/>
        <v>0</v>
      </c>
      <c r="CV307" s="1006"/>
      <c r="CW307" s="1007">
        <f t="shared" si="486"/>
        <v>15000</v>
      </c>
      <c r="CX307" s="486">
        <f t="shared" si="487"/>
        <v>15000</v>
      </c>
      <c r="CY307" s="486">
        <f t="shared" si="488"/>
        <v>15000</v>
      </c>
      <c r="CZ307" s="1007">
        <f t="shared" si="489"/>
        <v>0</v>
      </c>
      <c r="DA307" s="1007">
        <f t="shared" si="490"/>
        <v>0</v>
      </c>
      <c r="DB307" s="126"/>
      <c r="DC307" s="125"/>
    </row>
    <row r="308" spans="1:107" ht="45.75" hidden="1" customHeight="1" x14ac:dyDescent="0.25">
      <c r="A308" s="19">
        <v>2026</v>
      </c>
      <c r="B308" s="20">
        <v>479</v>
      </c>
      <c r="C308" s="21" t="s">
        <v>64</v>
      </c>
      <c r="D308" s="21" t="s">
        <v>65</v>
      </c>
      <c r="E308" s="20">
        <v>125</v>
      </c>
      <c r="F308" s="20">
        <v>3000654</v>
      </c>
      <c r="G308" s="20">
        <v>5005023</v>
      </c>
      <c r="H308" s="20">
        <v>3</v>
      </c>
      <c r="I308" s="20">
        <v>12</v>
      </c>
      <c r="J308" s="20">
        <v>24</v>
      </c>
      <c r="K308" s="20">
        <v>135560</v>
      </c>
      <c r="L308" s="21" t="s">
        <v>98</v>
      </c>
      <c r="M308" s="33" t="s">
        <v>99</v>
      </c>
      <c r="N308" s="19">
        <v>94</v>
      </c>
      <c r="O308" s="2"/>
      <c r="P308" s="2" t="s">
        <v>4</v>
      </c>
      <c r="Q308" s="20" t="s">
        <v>68</v>
      </c>
      <c r="R308" s="25" t="s">
        <v>69</v>
      </c>
      <c r="S308" s="25" t="s">
        <v>137</v>
      </c>
      <c r="T308" s="25"/>
      <c r="U308" s="33" t="s">
        <v>215</v>
      </c>
      <c r="V308" s="25" t="s">
        <v>3</v>
      </c>
      <c r="W308" s="25">
        <v>1</v>
      </c>
      <c r="X308" s="595">
        <v>7500</v>
      </c>
      <c r="Y308" s="868"/>
      <c r="Z308" s="200"/>
      <c r="AA308" s="200"/>
      <c r="AB308" s="869"/>
      <c r="AC308" s="25">
        <v>30</v>
      </c>
      <c r="AD308" s="25">
        <v>30</v>
      </c>
      <c r="AE308" s="868"/>
      <c r="AF308" s="200"/>
      <c r="AG308" s="200"/>
      <c r="AH308" s="200"/>
      <c r="AI308" s="200"/>
      <c r="AJ308" s="873"/>
      <c r="AK308" s="596">
        <v>15000</v>
      </c>
      <c r="AL308" s="29" t="s">
        <v>73</v>
      </c>
      <c r="AM308" s="29" t="s">
        <v>73</v>
      </c>
      <c r="AN308" s="29" t="s">
        <v>73</v>
      </c>
      <c r="AO308" s="29" t="s">
        <v>73</v>
      </c>
      <c r="AP308" s="478">
        <v>7500</v>
      </c>
      <c r="AQ308" s="478">
        <v>7500</v>
      </c>
      <c r="AR308" s="29" t="s">
        <v>73</v>
      </c>
      <c r="AS308" s="29" t="s">
        <v>73</v>
      </c>
      <c r="AT308" s="29" t="s">
        <v>73</v>
      </c>
      <c r="AU308" s="29" t="s">
        <v>73</v>
      </c>
      <c r="AV308" s="29" t="s">
        <v>73</v>
      </c>
      <c r="AW308" s="29" t="s">
        <v>73</v>
      </c>
      <c r="AX308" s="30">
        <v>15000</v>
      </c>
      <c r="AY308" s="597" t="s">
        <v>5</v>
      </c>
      <c r="AZ308" s="2" t="s">
        <v>74</v>
      </c>
      <c r="BA308" s="2"/>
      <c r="BC308" s="504" t="s">
        <v>1691</v>
      </c>
      <c r="BK308" s="147" t="s">
        <v>790</v>
      </c>
      <c r="BL308" s="481" t="s">
        <v>791</v>
      </c>
      <c r="BM308" s="125" t="s">
        <v>1698</v>
      </c>
      <c r="BN308" s="177" t="s">
        <v>1699</v>
      </c>
      <c r="BO308" s="125" t="s">
        <v>1700</v>
      </c>
      <c r="BP308" s="129">
        <v>46135</v>
      </c>
      <c r="BQ308" s="18"/>
      <c r="BR308" s="505" t="s">
        <v>1701</v>
      </c>
      <c r="BS308" s="18"/>
      <c r="BT308" s="286" t="s">
        <v>1567</v>
      </c>
      <c r="BU308" s="946" t="s">
        <v>1568</v>
      </c>
      <c r="BV308" s="566" t="s">
        <v>1702</v>
      </c>
      <c r="BW308" s="566" t="s">
        <v>1703</v>
      </c>
      <c r="BX308" s="566" t="s">
        <v>1704</v>
      </c>
      <c r="BY308" s="566">
        <v>47420440</v>
      </c>
      <c r="BZ308" s="623"/>
      <c r="CA308" s="622">
        <v>7500</v>
      </c>
      <c r="CB308" s="183">
        <v>46143</v>
      </c>
      <c r="CC308" s="183">
        <v>46203</v>
      </c>
      <c r="CD308" s="759"/>
      <c r="CE308" s="177">
        <f>AC308</f>
        <v>30</v>
      </c>
      <c r="CF308" s="1019">
        <f>AP308</f>
        <v>7500</v>
      </c>
      <c r="CG308" s="177">
        <v>30</v>
      </c>
      <c r="CH308" s="1019">
        <f>(X308/30)*CG308</f>
        <v>7500</v>
      </c>
      <c r="CI308" s="177">
        <v>30</v>
      </c>
      <c r="CJ308" s="1019">
        <f>(X308/30)*CI308</f>
        <v>7500</v>
      </c>
      <c r="CK308" s="177"/>
      <c r="CL308" s="177"/>
      <c r="CM308" s="1006"/>
      <c r="CN308" s="177">
        <f>AD308</f>
        <v>30</v>
      </c>
      <c r="CO308" s="1019">
        <f>AQ308</f>
        <v>7500</v>
      </c>
      <c r="CP308" s="177">
        <v>30</v>
      </c>
      <c r="CQ308" s="1019">
        <f>(X308/30)*CP308</f>
        <v>7500</v>
      </c>
      <c r="CR308" s="1019">
        <v>30</v>
      </c>
      <c r="CS308" s="1019">
        <f>(X308/30)*CR308</f>
        <v>7500</v>
      </c>
      <c r="CT308" s="1032">
        <f t="shared" si="555"/>
        <v>0</v>
      </c>
      <c r="CU308" s="1032">
        <f t="shared" si="556"/>
        <v>0</v>
      </c>
      <c r="CV308" s="1006"/>
      <c r="CW308" s="1007">
        <f t="shared" si="486"/>
        <v>15000</v>
      </c>
      <c r="CX308" s="486">
        <f t="shared" si="487"/>
        <v>15000</v>
      </c>
      <c r="CY308" s="486">
        <f t="shared" si="488"/>
        <v>15000</v>
      </c>
      <c r="CZ308" s="1007">
        <f t="shared" si="489"/>
        <v>0</v>
      </c>
      <c r="DA308" s="1007">
        <f t="shared" si="490"/>
        <v>0</v>
      </c>
      <c r="DB308" s="126"/>
      <c r="DC308" s="125"/>
    </row>
    <row r="309" spans="1:107" ht="45.75" hidden="1" customHeight="1" x14ac:dyDescent="0.25">
      <c r="A309" s="19">
        <v>2026</v>
      </c>
      <c r="B309" s="20">
        <v>479</v>
      </c>
      <c r="C309" s="21" t="s">
        <v>64</v>
      </c>
      <c r="D309" s="21" t="s">
        <v>65</v>
      </c>
      <c r="E309" s="20">
        <v>125</v>
      </c>
      <c r="F309" s="20">
        <v>3000654</v>
      </c>
      <c r="G309" s="20">
        <v>5005023</v>
      </c>
      <c r="H309" s="20">
        <v>3</v>
      </c>
      <c r="I309" s="20">
        <v>12</v>
      </c>
      <c r="J309" s="20">
        <v>24</v>
      </c>
      <c r="K309" s="20">
        <v>135560</v>
      </c>
      <c r="L309" s="21" t="s">
        <v>98</v>
      </c>
      <c r="M309" s="33" t="s">
        <v>99</v>
      </c>
      <c r="N309" s="19">
        <v>94</v>
      </c>
      <c r="O309" s="2"/>
      <c r="P309" s="2" t="s">
        <v>4</v>
      </c>
      <c r="Q309" s="20" t="s">
        <v>68</v>
      </c>
      <c r="R309" s="25" t="s">
        <v>69</v>
      </c>
      <c r="S309" s="25" t="s">
        <v>137</v>
      </c>
      <c r="T309" s="25"/>
      <c r="U309" s="33" t="s">
        <v>215</v>
      </c>
      <c r="V309" s="25" t="s">
        <v>3</v>
      </c>
      <c r="W309" s="25">
        <v>1</v>
      </c>
      <c r="X309" s="595">
        <v>7500</v>
      </c>
      <c r="Y309" s="868"/>
      <c r="Z309" s="200"/>
      <c r="AA309" s="200"/>
      <c r="AB309" s="869"/>
      <c r="AC309" s="25">
        <v>30</v>
      </c>
      <c r="AD309" s="25">
        <v>30</v>
      </c>
      <c r="AE309" s="868"/>
      <c r="AF309" s="200"/>
      <c r="AG309" s="200"/>
      <c r="AH309" s="200"/>
      <c r="AI309" s="200"/>
      <c r="AJ309" s="873"/>
      <c r="AK309" s="596">
        <v>15000</v>
      </c>
      <c r="AL309" s="29" t="s">
        <v>73</v>
      </c>
      <c r="AM309" s="29" t="s">
        <v>73</v>
      </c>
      <c r="AN309" s="29" t="s">
        <v>73</v>
      </c>
      <c r="AO309" s="29" t="s">
        <v>73</v>
      </c>
      <c r="AP309" s="478">
        <v>7500</v>
      </c>
      <c r="AQ309" s="478">
        <v>7500</v>
      </c>
      <c r="AR309" s="29" t="s">
        <v>73</v>
      </c>
      <c r="AS309" s="29" t="s">
        <v>73</v>
      </c>
      <c r="AT309" s="29" t="s">
        <v>73</v>
      </c>
      <c r="AU309" s="29" t="s">
        <v>73</v>
      </c>
      <c r="AV309" s="29" t="s">
        <v>73</v>
      </c>
      <c r="AW309" s="29" t="s">
        <v>73</v>
      </c>
      <c r="AX309" s="30">
        <v>15000</v>
      </c>
      <c r="AY309" s="597" t="s">
        <v>5</v>
      </c>
      <c r="AZ309" s="2" t="s">
        <v>74</v>
      </c>
      <c r="BA309" s="2"/>
      <c r="BC309" s="504" t="s">
        <v>1691</v>
      </c>
      <c r="BK309" s="147" t="s">
        <v>790</v>
      </c>
      <c r="BL309" s="481" t="s">
        <v>791</v>
      </c>
      <c r="BM309" s="125" t="s">
        <v>1698</v>
      </c>
      <c r="BN309" s="177" t="s">
        <v>1699</v>
      </c>
      <c r="BO309" s="125" t="s">
        <v>1700</v>
      </c>
      <c r="BP309" s="129">
        <v>46135</v>
      </c>
      <c r="BQ309" s="18"/>
      <c r="BR309" s="505" t="s">
        <v>1705</v>
      </c>
      <c r="BS309" s="18"/>
      <c r="BT309" s="286" t="s">
        <v>1567</v>
      </c>
      <c r="BU309" s="946" t="s">
        <v>1568</v>
      </c>
      <c r="BV309" s="566" t="s">
        <v>1706</v>
      </c>
      <c r="BW309" s="566" t="s">
        <v>965</v>
      </c>
      <c r="BX309" s="566" t="s">
        <v>923</v>
      </c>
      <c r="BY309" s="566">
        <v>43707715</v>
      </c>
      <c r="BZ309" s="623"/>
      <c r="CA309" s="622">
        <v>7500</v>
      </c>
      <c r="CB309" s="183">
        <v>46143</v>
      </c>
      <c r="CC309" s="183">
        <v>46203</v>
      </c>
      <c r="CD309" s="759"/>
      <c r="CE309" s="177">
        <f>AC309</f>
        <v>30</v>
      </c>
      <c r="CF309" s="1019">
        <f>AP309</f>
        <v>7500</v>
      </c>
      <c r="CG309" s="177">
        <v>30</v>
      </c>
      <c r="CH309" s="1019">
        <f>(X309/30)*CG309</f>
        <v>7500</v>
      </c>
      <c r="CI309" s="177">
        <v>30</v>
      </c>
      <c r="CJ309" s="1019">
        <f>(X309/30)*CI309</f>
        <v>7500</v>
      </c>
      <c r="CK309" s="177"/>
      <c r="CL309" s="177"/>
      <c r="CM309" s="1006"/>
      <c r="CN309" s="177">
        <f>AD309</f>
        <v>30</v>
      </c>
      <c r="CO309" s="1019">
        <f>AQ309</f>
        <v>7500</v>
      </c>
      <c r="CP309" s="177">
        <v>30</v>
      </c>
      <c r="CQ309" s="1019">
        <f>(X309/30)*CP309</f>
        <v>7500</v>
      </c>
      <c r="CR309" s="1019">
        <v>30</v>
      </c>
      <c r="CS309" s="1019">
        <f>(X309/30)*CR309</f>
        <v>7500</v>
      </c>
      <c r="CT309" s="1032">
        <f t="shared" si="555"/>
        <v>0</v>
      </c>
      <c r="CU309" s="1032">
        <f t="shared" si="556"/>
        <v>0</v>
      </c>
      <c r="CV309" s="1006"/>
      <c r="CW309" s="1007">
        <f t="shared" si="486"/>
        <v>15000</v>
      </c>
      <c r="CX309" s="486">
        <f t="shared" si="487"/>
        <v>15000</v>
      </c>
      <c r="CY309" s="486">
        <f t="shared" si="488"/>
        <v>15000</v>
      </c>
      <c r="CZ309" s="1007">
        <f t="shared" si="489"/>
        <v>0</v>
      </c>
      <c r="DA309" s="1007">
        <f t="shared" si="490"/>
        <v>0</v>
      </c>
      <c r="DB309" s="126"/>
      <c r="DC309" s="125"/>
    </row>
    <row r="310" spans="1:107" ht="36.75" hidden="1" customHeight="1" x14ac:dyDescent="0.25">
      <c r="A310" s="19">
        <v>2026</v>
      </c>
      <c r="B310" s="20">
        <v>479</v>
      </c>
      <c r="C310" s="21" t="s">
        <v>64</v>
      </c>
      <c r="D310" s="21" t="s">
        <v>65</v>
      </c>
      <c r="E310" s="20">
        <v>125</v>
      </c>
      <c r="F310" s="20">
        <v>3000654</v>
      </c>
      <c r="G310" s="20">
        <v>5005023</v>
      </c>
      <c r="H310" s="20">
        <v>3</v>
      </c>
      <c r="I310" s="20">
        <v>12</v>
      </c>
      <c r="J310" s="20">
        <v>24</v>
      </c>
      <c r="K310" s="20">
        <v>135560</v>
      </c>
      <c r="L310" s="21" t="s">
        <v>98</v>
      </c>
      <c r="M310" s="33" t="s">
        <v>99</v>
      </c>
      <c r="N310" s="19">
        <v>94</v>
      </c>
      <c r="O310" s="2"/>
      <c r="P310" s="2" t="s">
        <v>4</v>
      </c>
      <c r="Q310" s="20" t="s">
        <v>68</v>
      </c>
      <c r="R310" s="25" t="s">
        <v>69</v>
      </c>
      <c r="S310" s="25" t="s">
        <v>137</v>
      </c>
      <c r="T310" s="25"/>
      <c r="U310" s="624" t="s">
        <v>1707</v>
      </c>
      <c r="V310" s="25" t="s">
        <v>3</v>
      </c>
      <c r="W310" s="25">
        <v>1</v>
      </c>
      <c r="X310" s="595">
        <v>7500</v>
      </c>
      <c r="Y310" s="619"/>
      <c r="Z310" s="2"/>
      <c r="AA310" s="2"/>
      <c r="AB310" s="620"/>
      <c r="AC310" s="25">
        <v>30</v>
      </c>
      <c r="AD310" s="25">
        <v>30</v>
      </c>
      <c r="AE310" s="619"/>
      <c r="AF310" s="2"/>
      <c r="AG310" s="2"/>
      <c r="AH310" s="2"/>
      <c r="AI310" s="2"/>
      <c r="AJ310" s="621"/>
      <c r="AK310" s="596">
        <v>15000</v>
      </c>
      <c r="AL310" s="29"/>
      <c r="AM310" s="29"/>
      <c r="AN310" s="29"/>
      <c r="AO310" s="29"/>
      <c r="AP310" s="478">
        <v>7500</v>
      </c>
      <c r="AQ310" s="478">
        <v>7500</v>
      </c>
      <c r="AR310" s="29"/>
      <c r="AS310" s="29"/>
      <c r="AT310" s="29"/>
      <c r="AU310" s="29"/>
      <c r="AV310" s="29"/>
      <c r="AW310" s="29"/>
      <c r="AX310" s="30">
        <v>15000</v>
      </c>
      <c r="AY310" s="597" t="s">
        <v>5</v>
      </c>
      <c r="AZ310" s="2" t="s">
        <v>74</v>
      </c>
      <c r="BA310" s="2"/>
      <c r="BC310" s="504" t="s">
        <v>1708</v>
      </c>
      <c r="BK310" s="147" t="s">
        <v>790</v>
      </c>
      <c r="BL310" s="481" t="s">
        <v>791</v>
      </c>
      <c r="BM310" s="125" t="s">
        <v>1611</v>
      </c>
      <c r="BN310" s="177" t="s">
        <v>1673</v>
      </c>
      <c r="BO310" s="125" t="s">
        <v>1613</v>
      </c>
      <c r="BP310" s="129">
        <v>46135</v>
      </c>
      <c r="BQ310" s="18"/>
      <c r="BR310" s="505" t="s">
        <v>1709</v>
      </c>
      <c r="BS310" s="18"/>
      <c r="BT310" s="286" t="s">
        <v>1567</v>
      </c>
      <c r="BU310" s="286" t="s">
        <v>1568</v>
      </c>
      <c r="BV310" s="566" t="s">
        <v>1710</v>
      </c>
      <c r="BW310" s="566" t="s">
        <v>1711</v>
      </c>
      <c r="BX310" s="566" t="s">
        <v>1712</v>
      </c>
      <c r="BY310" s="566">
        <v>40127585</v>
      </c>
      <c r="BZ310" s="177"/>
      <c r="CA310" s="126">
        <v>7500</v>
      </c>
      <c r="CB310" s="128">
        <v>46143</v>
      </c>
      <c r="CC310" s="128">
        <v>46203</v>
      </c>
      <c r="CD310" s="759"/>
      <c r="CE310" s="177">
        <f>AC310</f>
        <v>30</v>
      </c>
      <c r="CF310" s="1019">
        <f>AP310</f>
        <v>7500</v>
      </c>
      <c r="CG310" s="177">
        <v>30</v>
      </c>
      <c r="CH310" s="1019">
        <f>(X310/30)*CG310</f>
        <v>7500</v>
      </c>
      <c r="CI310" s="177">
        <v>30</v>
      </c>
      <c r="CJ310" s="1019">
        <f>(X310/30)*CI310</f>
        <v>7500</v>
      </c>
      <c r="CK310" s="177">
        <f>CF310-CH310</f>
        <v>0</v>
      </c>
      <c r="CL310" s="177">
        <f>CF310-CJ310</f>
        <v>0</v>
      </c>
      <c r="CM310" s="1006"/>
      <c r="CN310" s="177">
        <f>AD310</f>
        <v>30</v>
      </c>
      <c r="CO310" s="1019">
        <f>AQ310</f>
        <v>7500</v>
      </c>
      <c r="CP310" s="177">
        <v>30</v>
      </c>
      <c r="CQ310" s="1019">
        <f>(X310/30)*CP310</f>
        <v>7500</v>
      </c>
      <c r="CR310" s="1032">
        <v>30</v>
      </c>
      <c r="CS310" s="1019">
        <f>(X310/30)*CR310</f>
        <v>7500</v>
      </c>
      <c r="CT310" s="177">
        <f>CO310-CQ310</f>
        <v>0</v>
      </c>
      <c r="CU310" s="177">
        <f>CO310-CS310</f>
        <v>0</v>
      </c>
      <c r="CV310" s="1006"/>
      <c r="CW310" s="1007">
        <f t="shared" si="486"/>
        <v>15000</v>
      </c>
      <c r="CX310" s="486">
        <f t="shared" si="487"/>
        <v>15000</v>
      </c>
      <c r="CY310" s="486">
        <f t="shared" si="488"/>
        <v>15000</v>
      </c>
      <c r="CZ310" s="1007">
        <f t="shared" si="489"/>
        <v>0</v>
      </c>
      <c r="DA310" s="1007">
        <f t="shared" si="490"/>
        <v>0</v>
      </c>
      <c r="DB310" s="126"/>
      <c r="DC310" s="125"/>
    </row>
    <row r="311" spans="1:107" ht="40.5" hidden="1" customHeight="1" x14ac:dyDescent="0.25">
      <c r="A311" s="19">
        <v>2026</v>
      </c>
      <c r="B311" s="20">
        <v>479</v>
      </c>
      <c r="C311" s="21" t="s">
        <v>64</v>
      </c>
      <c r="D311" s="21" t="s">
        <v>65</v>
      </c>
      <c r="E311" s="20">
        <v>125</v>
      </c>
      <c r="F311" s="20">
        <v>3000654</v>
      </c>
      <c r="G311" s="20">
        <v>5005023</v>
      </c>
      <c r="H311" s="20">
        <v>3</v>
      </c>
      <c r="I311" s="20">
        <v>12</v>
      </c>
      <c r="J311" s="20">
        <v>24</v>
      </c>
      <c r="K311" s="20">
        <v>135560</v>
      </c>
      <c r="L311" s="21" t="s">
        <v>98</v>
      </c>
      <c r="M311" s="33" t="s">
        <v>99</v>
      </c>
      <c r="N311" s="19">
        <v>94</v>
      </c>
      <c r="O311" s="2"/>
      <c r="P311" s="2" t="s">
        <v>4</v>
      </c>
      <c r="Q311" s="20" t="s">
        <v>68</v>
      </c>
      <c r="R311" s="25" t="s">
        <v>69</v>
      </c>
      <c r="S311" s="25" t="s">
        <v>137</v>
      </c>
      <c r="T311" s="25"/>
      <c r="U311" s="33" t="s">
        <v>1713</v>
      </c>
      <c r="V311" s="25" t="s">
        <v>3</v>
      </c>
      <c r="W311" s="25">
        <v>1</v>
      </c>
      <c r="X311" s="595">
        <v>7500</v>
      </c>
      <c r="Y311" s="619"/>
      <c r="Z311" s="2"/>
      <c r="AA311" s="2"/>
      <c r="AB311" s="620"/>
      <c r="AC311" s="25">
        <v>30</v>
      </c>
      <c r="AD311" s="25">
        <v>30</v>
      </c>
      <c r="AE311" s="619"/>
      <c r="AF311" s="2"/>
      <c r="AG311" s="2"/>
      <c r="AH311" s="2"/>
      <c r="AI311" s="2"/>
      <c r="AJ311" s="621"/>
      <c r="AK311" s="596">
        <v>15000</v>
      </c>
      <c r="AL311" s="29"/>
      <c r="AM311" s="29"/>
      <c r="AN311" s="29"/>
      <c r="AO311" s="29"/>
      <c r="AP311" s="478">
        <v>7500</v>
      </c>
      <c r="AQ311" s="478">
        <v>7500</v>
      </c>
      <c r="AR311" s="29"/>
      <c r="AS311" s="29"/>
      <c r="AT311" s="29"/>
      <c r="AU311" s="29"/>
      <c r="AV311" s="29"/>
      <c r="AW311" s="29"/>
      <c r="AX311" s="30">
        <v>15000</v>
      </c>
      <c r="AY311" s="597" t="s">
        <v>5</v>
      </c>
      <c r="AZ311" s="2" t="s">
        <v>74</v>
      </c>
      <c r="BA311" s="2"/>
      <c r="BC311" s="504" t="s">
        <v>1708</v>
      </c>
      <c r="BK311" s="147" t="s">
        <v>790</v>
      </c>
      <c r="BL311" s="481" t="s">
        <v>791</v>
      </c>
      <c r="BM311" s="125" t="s">
        <v>1611</v>
      </c>
      <c r="BN311" s="177" t="s">
        <v>1673</v>
      </c>
      <c r="BO311" s="125" t="s">
        <v>1681</v>
      </c>
      <c r="BP311" s="129">
        <v>46135</v>
      </c>
      <c r="BQ311" s="18"/>
      <c r="BR311" s="505" t="s">
        <v>1714</v>
      </c>
      <c r="BS311" s="18"/>
      <c r="BT311" s="286" t="s">
        <v>1567</v>
      </c>
      <c r="BU311" s="286" t="s">
        <v>1568</v>
      </c>
      <c r="BV311" s="566" t="s">
        <v>1715</v>
      </c>
      <c r="BW311" s="566" t="s">
        <v>1716</v>
      </c>
      <c r="BX311" s="566" t="s">
        <v>1717</v>
      </c>
      <c r="BY311" s="566">
        <v>47199889</v>
      </c>
      <c r="BZ311" s="177"/>
      <c r="CA311" s="126">
        <v>7500</v>
      </c>
      <c r="CB311" s="128">
        <v>46143</v>
      </c>
      <c r="CC311" s="128">
        <v>46203</v>
      </c>
      <c r="CD311" s="759"/>
      <c r="CE311" s="177">
        <f>AC311</f>
        <v>30</v>
      </c>
      <c r="CF311" s="1019">
        <f>AP311</f>
        <v>7500</v>
      </c>
      <c r="CG311" s="177">
        <v>30</v>
      </c>
      <c r="CH311" s="1019">
        <f>(X311/30)*CG311</f>
        <v>7500</v>
      </c>
      <c r="CI311" s="177">
        <v>30</v>
      </c>
      <c r="CJ311" s="1019">
        <f>(X311/30)*CI311</f>
        <v>7500</v>
      </c>
      <c r="CK311" s="177">
        <f>CF311-CH311</f>
        <v>0</v>
      </c>
      <c r="CL311" s="177">
        <f>CF311-CJ311</f>
        <v>0</v>
      </c>
      <c r="CM311" s="1006"/>
      <c r="CN311" s="177">
        <f>AD311</f>
        <v>30</v>
      </c>
      <c r="CO311" s="1019">
        <f>AQ311</f>
        <v>7500</v>
      </c>
      <c r="CP311" s="177">
        <v>30</v>
      </c>
      <c r="CQ311" s="1019">
        <f>(X311/30)*CP311</f>
        <v>7500</v>
      </c>
      <c r="CR311" s="1032">
        <v>30</v>
      </c>
      <c r="CS311" s="1019">
        <f>(X311/30)*CR311</f>
        <v>7500</v>
      </c>
      <c r="CT311" s="177">
        <f>CO311-CQ311</f>
        <v>0</v>
      </c>
      <c r="CU311" s="177">
        <f>CO311-CS311</f>
        <v>0</v>
      </c>
      <c r="CV311" s="1006"/>
      <c r="CW311" s="1007">
        <f t="shared" si="486"/>
        <v>15000</v>
      </c>
      <c r="CX311" s="486">
        <f t="shared" si="487"/>
        <v>15000</v>
      </c>
      <c r="CY311" s="486">
        <f t="shared" si="488"/>
        <v>15000</v>
      </c>
      <c r="CZ311" s="1007">
        <f t="shared" si="489"/>
        <v>0</v>
      </c>
      <c r="DA311" s="1007">
        <f t="shared" si="490"/>
        <v>0</v>
      </c>
      <c r="DB311" s="126"/>
      <c r="DC311" s="125"/>
    </row>
    <row r="312" spans="1:107" ht="51" hidden="1" x14ac:dyDescent="0.25">
      <c r="A312" s="19">
        <v>2026</v>
      </c>
      <c r="B312" s="20">
        <v>479</v>
      </c>
      <c r="C312" s="21" t="s">
        <v>64</v>
      </c>
      <c r="D312" s="21" t="s">
        <v>65</v>
      </c>
      <c r="E312" s="20">
        <v>125</v>
      </c>
      <c r="F312" s="20">
        <v>3000654</v>
      </c>
      <c r="G312" s="20">
        <v>5005023</v>
      </c>
      <c r="H312" s="20">
        <v>3</v>
      </c>
      <c r="I312" s="20">
        <v>12</v>
      </c>
      <c r="J312" s="20">
        <v>24</v>
      </c>
      <c r="K312" s="20">
        <v>135560</v>
      </c>
      <c r="L312" s="21" t="s">
        <v>98</v>
      </c>
      <c r="M312" s="33" t="s">
        <v>99</v>
      </c>
      <c r="N312" s="19">
        <v>94</v>
      </c>
      <c r="O312" s="2"/>
      <c r="P312" s="2" t="s">
        <v>4</v>
      </c>
      <c r="Q312" s="20" t="s">
        <v>68</v>
      </c>
      <c r="R312" s="25" t="s">
        <v>69</v>
      </c>
      <c r="S312" s="25" t="s">
        <v>137</v>
      </c>
      <c r="T312" s="25"/>
      <c r="U312" s="33" t="s">
        <v>215</v>
      </c>
      <c r="V312" s="25" t="s">
        <v>3</v>
      </c>
      <c r="W312" s="25">
        <v>1</v>
      </c>
      <c r="X312" s="595">
        <v>7500</v>
      </c>
      <c r="Y312" s="619"/>
      <c r="Z312" s="2"/>
      <c r="AA312" s="2"/>
      <c r="AB312" s="620"/>
      <c r="AC312" s="25">
        <v>30</v>
      </c>
      <c r="AD312" s="25">
        <v>30</v>
      </c>
      <c r="AE312" s="619"/>
      <c r="AF312" s="2"/>
      <c r="AG312" s="2"/>
      <c r="AH312" s="2"/>
      <c r="AI312" s="2"/>
      <c r="AJ312" s="621"/>
      <c r="AK312" s="596">
        <v>15000</v>
      </c>
      <c r="AL312" s="29" t="s">
        <v>73</v>
      </c>
      <c r="AM312" s="29" t="s">
        <v>73</v>
      </c>
      <c r="AN312" s="29" t="s">
        <v>73</v>
      </c>
      <c r="AO312" s="29" t="s">
        <v>73</v>
      </c>
      <c r="AP312" s="478">
        <v>7500</v>
      </c>
      <c r="AQ312" s="478">
        <v>7500</v>
      </c>
      <c r="AR312" s="29" t="s">
        <v>73</v>
      </c>
      <c r="AS312" s="29" t="s">
        <v>73</v>
      </c>
      <c r="AT312" s="29" t="s">
        <v>73</v>
      </c>
      <c r="AU312" s="29" t="s">
        <v>73</v>
      </c>
      <c r="AV312" s="29" t="s">
        <v>73</v>
      </c>
      <c r="AW312" s="29" t="s">
        <v>73</v>
      </c>
      <c r="AX312" s="30">
        <v>15000</v>
      </c>
      <c r="AY312" s="597" t="s">
        <v>5</v>
      </c>
      <c r="AZ312" s="2" t="s">
        <v>74</v>
      </c>
      <c r="BA312" s="2"/>
      <c r="BK312" s="147" t="s">
        <v>790</v>
      </c>
      <c r="BL312" s="481" t="s">
        <v>791</v>
      </c>
      <c r="BM312" s="125" t="s">
        <v>1611</v>
      </c>
      <c r="BN312" s="177" t="s">
        <v>1673</v>
      </c>
      <c r="BO312" s="125" t="s">
        <v>1681</v>
      </c>
      <c r="BP312" s="129">
        <v>46135</v>
      </c>
      <c r="BQ312" s="18"/>
      <c r="BR312" s="505" t="s">
        <v>1718</v>
      </c>
      <c r="BS312" s="18"/>
      <c r="BT312" s="286" t="s">
        <v>1567</v>
      </c>
      <c r="BU312" s="286" t="s">
        <v>1568</v>
      </c>
      <c r="BV312" s="566" t="s">
        <v>836</v>
      </c>
      <c r="BW312" s="566" t="s">
        <v>1719</v>
      </c>
      <c r="BX312" s="566" t="s">
        <v>1720</v>
      </c>
      <c r="BY312" s="566">
        <v>41241819</v>
      </c>
      <c r="BZ312" s="177"/>
      <c r="CA312" s="126">
        <v>7500</v>
      </c>
      <c r="CB312" s="128">
        <v>46143</v>
      </c>
      <c r="CC312" s="128">
        <v>46203</v>
      </c>
      <c r="CD312" s="759"/>
      <c r="CE312" s="177">
        <f t="shared" si="491"/>
        <v>30</v>
      </c>
      <c r="CF312" s="1019">
        <f t="shared" si="492"/>
        <v>7500</v>
      </c>
      <c r="CG312" s="177">
        <v>30</v>
      </c>
      <c r="CH312" s="1019">
        <f t="shared" si="493"/>
        <v>7500</v>
      </c>
      <c r="CI312" s="177">
        <v>30</v>
      </c>
      <c r="CJ312" s="1019">
        <f t="shared" si="494"/>
        <v>7500</v>
      </c>
      <c r="CK312" s="177">
        <f t="shared" si="495"/>
        <v>0</v>
      </c>
      <c r="CL312" s="177">
        <f t="shared" si="496"/>
        <v>0</v>
      </c>
      <c r="CM312" s="1006"/>
      <c r="CN312" s="177">
        <f t="shared" si="497"/>
        <v>30</v>
      </c>
      <c r="CO312" s="1019">
        <f t="shared" si="498"/>
        <v>7500</v>
      </c>
      <c r="CP312" s="177">
        <v>30</v>
      </c>
      <c r="CQ312" s="1019">
        <f t="shared" si="499"/>
        <v>7500</v>
      </c>
      <c r="CR312" s="1032">
        <v>30</v>
      </c>
      <c r="CS312" s="1019">
        <f t="shared" si="500"/>
        <v>7500</v>
      </c>
      <c r="CT312" s="177">
        <f t="shared" si="501"/>
        <v>0</v>
      </c>
      <c r="CU312" s="177">
        <f t="shared" si="502"/>
        <v>0</v>
      </c>
      <c r="CV312" s="1006"/>
      <c r="CW312" s="1007">
        <f t="shared" si="486"/>
        <v>15000</v>
      </c>
      <c r="CX312" s="486">
        <f t="shared" si="487"/>
        <v>15000</v>
      </c>
      <c r="CY312" s="486">
        <f t="shared" si="488"/>
        <v>15000</v>
      </c>
      <c r="CZ312" s="1007">
        <f t="shared" si="489"/>
        <v>0</v>
      </c>
      <c r="DA312" s="1007">
        <f t="shared" si="490"/>
        <v>0</v>
      </c>
      <c r="DB312" s="126"/>
      <c r="DC312" s="125"/>
    </row>
    <row r="313" spans="1:107" ht="51" hidden="1" x14ac:dyDescent="0.25">
      <c r="A313" s="19">
        <v>2026</v>
      </c>
      <c r="B313" s="20">
        <v>479</v>
      </c>
      <c r="C313" s="21" t="s">
        <v>64</v>
      </c>
      <c r="D313" s="21" t="s">
        <v>65</v>
      </c>
      <c r="E313" s="20">
        <v>125</v>
      </c>
      <c r="F313" s="20">
        <v>3000654</v>
      </c>
      <c r="G313" s="20">
        <v>5005023</v>
      </c>
      <c r="H313" s="20">
        <v>3</v>
      </c>
      <c r="I313" s="20">
        <v>12</v>
      </c>
      <c r="J313" s="20">
        <v>24</v>
      </c>
      <c r="K313" s="20">
        <v>135560</v>
      </c>
      <c r="L313" s="21" t="s">
        <v>98</v>
      </c>
      <c r="M313" s="33" t="s">
        <v>99</v>
      </c>
      <c r="N313" s="19">
        <v>94</v>
      </c>
      <c r="O313" s="2"/>
      <c r="P313" s="2" t="s">
        <v>4</v>
      </c>
      <c r="Q313" s="20" t="s">
        <v>68</v>
      </c>
      <c r="R313" s="25" t="s">
        <v>69</v>
      </c>
      <c r="S313" s="25" t="s">
        <v>137</v>
      </c>
      <c r="T313" s="25"/>
      <c r="U313" s="33" t="s">
        <v>215</v>
      </c>
      <c r="V313" s="25" t="s">
        <v>3</v>
      </c>
      <c r="W313" s="25">
        <v>1</v>
      </c>
      <c r="X313" s="595">
        <v>7500</v>
      </c>
      <c r="Y313" s="619"/>
      <c r="Z313" s="2"/>
      <c r="AA313" s="2"/>
      <c r="AB313" s="620"/>
      <c r="AC313" s="25">
        <v>30</v>
      </c>
      <c r="AD313" s="25">
        <v>30</v>
      </c>
      <c r="AE313" s="619"/>
      <c r="AF313" s="2"/>
      <c r="AG313" s="2"/>
      <c r="AH313" s="2"/>
      <c r="AI313" s="2"/>
      <c r="AJ313" s="621"/>
      <c r="AK313" s="596">
        <v>15000</v>
      </c>
      <c r="AL313" s="29" t="s">
        <v>73</v>
      </c>
      <c r="AM313" s="29" t="s">
        <v>73</v>
      </c>
      <c r="AN313" s="29" t="s">
        <v>73</v>
      </c>
      <c r="AO313" s="29" t="s">
        <v>73</v>
      </c>
      <c r="AP313" s="478">
        <v>7500</v>
      </c>
      <c r="AQ313" s="478">
        <v>7500</v>
      </c>
      <c r="AR313" s="29" t="s">
        <v>73</v>
      </c>
      <c r="AS313" s="29" t="s">
        <v>73</v>
      </c>
      <c r="AT313" s="29" t="s">
        <v>73</v>
      </c>
      <c r="AU313" s="29" t="s">
        <v>73</v>
      </c>
      <c r="AV313" s="29" t="s">
        <v>73</v>
      </c>
      <c r="AW313" s="29" t="s">
        <v>73</v>
      </c>
      <c r="AX313" s="30">
        <v>15000</v>
      </c>
      <c r="AY313" s="597" t="s">
        <v>5</v>
      </c>
      <c r="AZ313" s="2" t="s">
        <v>74</v>
      </c>
      <c r="BA313" s="2"/>
      <c r="BK313" s="147" t="s">
        <v>790</v>
      </c>
      <c r="BL313" s="481" t="s">
        <v>791</v>
      </c>
      <c r="BM313" s="125" t="s">
        <v>1611</v>
      </c>
      <c r="BN313" s="177" t="s">
        <v>1673</v>
      </c>
      <c r="BO313" s="125" t="s">
        <v>1681</v>
      </c>
      <c r="BP313" s="129">
        <v>46135</v>
      </c>
      <c r="BQ313" s="18"/>
      <c r="BR313" s="505" t="s">
        <v>1721</v>
      </c>
      <c r="BS313" s="18"/>
      <c r="BT313" s="286" t="s">
        <v>1567</v>
      </c>
      <c r="BU313" s="286" t="s">
        <v>1568</v>
      </c>
      <c r="BV313" s="566" t="s">
        <v>1386</v>
      </c>
      <c r="BW313" s="566" t="s">
        <v>929</v>
      </c>
      <c r="BX313" s="566" t="s">
        <v>1722</v>
      </c>
      <c r="BY313" s="566">
        <v>42052490</v>
      </c>
      <c r="BZ313" s="177"/>
      <c r="CA313" s="126">
        <v>7500</v>
      </c>
      <c r="CB313" s="128">
        <v>46143</v>
      </c>
      <c r="CC313" s="128">
        <v>46203</v>
      </c>
      <c r="CD313" s="759"/>
      <c r="CE313" s="177">
        <f t="shared" si="491"/>
        <v>30</v>
      </c>
      <c r="CF313" s="1019">
        <f t="shared" si="492"/>
        <v>7500</v>
      </c>
      <c r="CG313" s="177">
        <v>30</v>
      </c>
      <c r="CH313" s="1019">
        <f t="shared" ref="CH313:CH321" si="567">(X313/30)*CG313</f>
        <v>7500</v>
      </c>
      <c r="CI313" s="177">
        <v>30</v>
      </c>
      <c r="CJ313" s="1019">
        <f t="shared" ref="CJ313:CJ321" si="568">(X313/30)*CI313</f>
        <v>7500</v>
      </c>
      <c r="CK313" s="177">
        <f t="shared" ref="CK313:CK321" si="569">CF313-CH313</f>
        <v>0</v>
      </c>
      <c r="CL313" s="177">
        <f t="shared" ref="CL313:CL321" si="570">CF313-CJ313</f>
        <v>0</v>
      </c>
      <c r="CM313" s="1006"/>
      <c r="CN313" s="177">
        <f t="shared" si="497"/>
        <v>30</v>
      </c>
      <c r="CO313" s="1019">
        <f t="shared" si="498"/>
        <v>7500</v>
      </c>
      <c r="CP313" s="177">
        <v>30</v>
      </c>
      <c r="CQ313" s="1019">
        <f t="shared" ref="CQ313:CQ321" si="571">(X313/30)*CP313</f>
        <v>7500</v>
      </c>
      <c r="CR313" s="1032">
        <v>30</v>
      </c>
      <c r="CS313" s="1019">
        <f t="shared" ref="CS313:CS321" si="572">(X313/30)*CR313</f>
        <v>7500</v>
      </c>
      <c r="CT313" s="177">
        <f t="shared" ref="CT313:CT321" si="573">CO313-CQ313</f>
        <v>0</v>
      </c>
      <c r="CU313" s="177">
        <f t="shared" ref="CU313:CU321" si="574">CO313-CS313</f>
        <v>0</v>
      </c>
      <c r="CV313" s="1006"/>
      <c r="CW313" s="1007">
        <f t="shared" si="486"/>
        <v>15000</v>
      </c>
      <c r="CX313" s="486">
        <f t="shared" si="487"/>
        <v>15000</v>
      </c>
      <c r="CY313" s="486">
        <f t="shared" si="488"/>
        <v>15000</v>
      </c>
      <c r="CZ313" s="1007">
        <f t="shared" si="489"/>
        <v>0</v>
      </c>
      <c r="DA313" s="1007">
        <f t="shared" si="490"/>
        <v>0</v>
      </c>
      <c r="DB313" s="126"/>
      <c r="DC313" s="125"/>
    </row>
    <row r="314" spans="1:107" ht="51" hidden="1" x14ac:dyDescent="0.25">
      <c r="A314" s="19">
        <v>2026</v>
      </c>
      <c r="B314" s="20">
        <v>479</v>
      </c>
      <c r="C314" s="21" t="s">
        <v>64</v>
      </c>
      <c r="D314" s="21" t="s">
        <v>65</v>
      </c>
      <c r="E314" s="20">
        <v>125</v>
      </c>
      <c r="F314" s="20">
        <v>3000654</v>
      </c>
      <c r="G314" s="20">
        <v>5005023</v>
      </c>
      <c r="H314" s="20">
        <v>3</v>
      </c>
      <c r="I314" s="20">
        <v>12</v>
      </c>
      <c r="J314" s="20">
        <v>24</v>
      </c>
      <c r="K314" s="20">
        <v>135560</v>
      </c>
      <c r="L314" s="21" t="s">
        <v>98</v>
      </c>
      <c r="M314" s="33" t="s">
        <v>99</v>
      </c>
      <c r="N314" s="19">
        <v>94</v>
      </c>
      <c r="O314" s="2"/>
      <c r="P314" s="2" t="s">
        <v>4</v>
      </c>
      <c r="Q314" s="20" t="s">
        <v>68</v>
      </c>
      <c r="R314" s="25" t="s">
        <v>69</v>
      </c>
      <c r="S314" s="25" t="s">
        <v>137</v>
      </c>
      <c r="T314" s="25"/>
      <c r="U314" s="33" t="s">
        <v>215</v>
      </c>
      <c r="V314" s="25" t="s">
        <v>3</v>
      </c>
      <c r="W314" s="25">
        <v>1</v>
      </c>
      <c r="X314" s="595">
        <v>7500</v>
      </c>
      <c r="Y314" s="619"/>
      <c r="Z314" s="2"/>
      <c r="AA314" s="2"/>
      <c r="AB314" s="620"/>
      <c r="AC314" s="25">
        <v>30</v>
      </c>
      <c r="AD314" s="25">
        <v>30</v>
      </c>
      <c r="AE314" s="619"/>
      <c r="AF314" s="2"/>
      <c r="AG314" s="2"/>
      <c r="AH314" s="2"/>
      <c r="AI314" s="2"/>
      <c r="AJ314" s="621"/>
      <c r="AK314" s="596">
        <v>15000</v>
      </c>
      <c r="AL314" s="29" t="s">
        <v>73</v>
      </c>
      <c r="AM314" s="29" t="s">
        <v>73</v>
      </c>
      <c r="AN314" s="29" t="s">
        <v>73</v>
      </c>
      <c r="AO314" s="29" t="s">
        <v>73</v>
      </c>
      <c r="AP314" s="478">
        <v>7500</v>
      </c>
      <c r="AQ314" s="478">
        <v>7500</v>
      </c>
      <c r="AR314" s="29" t="s">
        <v>73</v>
      </c>
      <c r="AS314" s="29" t="s">
        <v>73</v>
      </c>
      <c r="AT314" s="29" t="s">
        <v>73</v>
      </c>
      <c r="AU314" s="29" t="s">
        <v>73</v>
      </c>
      <c r="AV314" s="29" t="s">
        <v>73</v>
      </c>
      <c r="AW314" s="29" t="s">
        <v>73</v>
      </c>
      <c r="AX314" s="30">
        <v>15000</v>
      </c>
      <c r="AY314" s="597" t="s">
        <v>5</v>
      </c>
      <c r="AZ314" s="2" t="s">
        <v>74</v>
      </c>
      <c r="BA314" s="2"/>
      <c r="BK314" s="147" t="s">
        <v>790</v>
      </c>
      <c r="BL314" s="481" t="s">
        <v>791</v>
      </c>
      <c r="BM314" s="125" t="s">
        <v>1611</v>
      </c>
      <c r="BN314" s="177" t="s">
        <v>1673</v>
      </c>
      <c r="BO314" s="125" t="s">
        <v>1681</v>
      </c>
      <c r="BP314" s="129">
        <v>46135</v>
      </c>
      <c r="BQ314" s="18"/>
      <c r="BR314" s="505" t="s">
        <v>1723</v>
      </c>
      <c r="BS314" s="18"/>
      <c r="BT314" s="286" t="s">
        <v>1567</v>
      </c>
      <c r="BU314" s="286" t="s">
        <v>1568</v>
      </c>
      <c r="BV314" s="566" t="s">
        <v>818</v>
      </c>
      <c r="BW314" s="566" t="s">
        <v>909</v>
      </c>
      <c r="BX314" s="566" t="s">
        <v>1724</v>
      </c>
      <c r="BY314" s="566">
        <v>41402390</v>
      </c>
      <c r="BZ314" s="177"/>
      <c r="CA314" s="126">
        <v>7500</v>
      </c>
      <c r="CB314" s="128">
        <v>46143</v>
      </c>
      <c r="CC314" s="128">
        <v>46203</v>
      </c>
      <c r="CD314" s="759"/>
      <c r="CE314" s="177">
        <f t="shared" si="491"/>
        <v>30</v>
      </c>
      <c r="CF314" s="1019">
        <f t="shared" si="492"/>
        <v>7500</v>
      </c>
      <c r="CG314" s="177">
        <v>30</v>
      </c>
      <c r="CH314" s="1019">
        <f t="shared" si="567"/>
        <v>7500</v>
      </c>
      <c r="CI314" s="177">
        <v>30</v>
      </c>
      <c r="CJ314" s="1019">
        <f t="shared" si="568"/>
        <v>7500</v>
      </c>
      <c r="CK314" s="177">
        <f t="shared" si="569"/>
        <v>0</v>
      </c>
      <c r="CL314" s="177">
        <f t="shared" si="570"/>
        <v>0</v>
      </c>
      <c r="CM314" s="1006"/>
      <c r="CN314" s="177">
        <f t="shared" si="497"/>
        <v>30</v>
      </c>
      <c r="CO314" s="1019">
        <f t="shared" si="498"/>
        <v>7500</v>
      </c>
      <c r="CP314" s="177">
        <v>30</v>
      </c>
      <c r="CQ314" s="1019">
        <f t="shared" si="571"/>
        <v>7500</v>
      </c>
      <c r="CR314" s="1032">
        <v>30</v>
      </c>
      <c r="CS314" s="1019">
        <f t="shared" si="572"/>
        <v>7500</v>
      </c>
      <c r="CT314" s="177">
        <f t="shared" si="573"/>
        <v>0</v>
      </c>
      <c r="CU314" s="177">
        <f t="shared" si="574"/>
        <v>0</v>
      </c>
      <c r="CV314" s="1006"/>
      <c r="CW314" s="1007">
        <f t="shared" si="486"/>
        <v>15000</v>
      </c>
      <c r="CX314" s="486">
        <f t="shared" si="487"/>
        <v>15000</v>
      </c>
      <c r="CY314" s="486">
        <f t="shared" si="488"/>
        <v>15000</v>
      </c>
      <c r="CZ314" s="1007">
        <f t="shared" si="489"/>
        <v>0</v>
      </c>
      <c r="DA314" s="1007">
        <f t="shared" si="490"/>
        <v>0</v>
      </c>
      <c r="DB314" s="126"/>
      <c r="DC314" s="125"/>
    </row>
    <row r="315" spans="1:107" ht="51" hidden="1" x14ac:dyDescent="0.25">
      <c r="A315" s="19">
        <v>2026</v>
      </c>
      <c r="B315" s="20">
        <v>479</v>
      </c>
      <c r="C315" s="21" t="s">
        <v>64</v>
      </c>
      <c r="D315" s="21" t="s">
        <v>65</v>
      </c>
      <c r="E315" s="20">
        <v>125</v>
      </c>
      <c r="F315" s="20">
        <v>3000654</v>
      </c>
      <c r="G315" s="20">
        <v>5005023</v>
      </c>
      <c r="H315" s="20">
        <v>3</v>
      </c>
      <c r="I315" s="20">
        <v>12</v>
      </c>
      <c r="J315" s="20">
        <v>24</v>
      </c>
      <c r="K315" s="20">
        <v>135560</v>
      </c>
      <c r="L315" s="21" t="s">
        <v>98</v>
      </c>
      <c r="M315" s="33" t="s">
        <v>99</v>
      </c>
      <c r="N315" s="19">
        <v>94</v>
      </c>
      <c r="O315" s="2"/>
      <c r="P315" s="2" t="s">
        <v>4</v>
      </c>
      <c r="Q315" s="20" t="s">
        <v>68</v>
      </c>
      <c r="R315" s="25" t="s">
        <v>69</v>
      </c>
      <c r="S315" s="25" t="s">
        <v>137</v>
      </c>
      <c r="T315" s="25"/>
      <c r="U315" s="33" t="s">
        <v>215</v>
      </c>
      <c r="V315" s="25" t="s">
        <v>3</v>
      </c>
      <c r="W315" s="25">
        <v>1</v>
      </c>
      <c r="X315" s="595">
        <v>7500</v>
      </c>
      <c r="Y315" s="619"/>
      <c r="Z315" s="2"/>
      <c r="AA315" s="2"/>
      <c r="AB315" s="620"/>
      <c r="AC315" s="25">
        <v>30</v>
      </c>
      <c r="AD315" s="25">
        <v>30</v>
      </c>
      <c r="AE315" s="619"/>
      <c r="AF315" s="2"/>
      <c r="AG315" s="2"/>
      <c r="AH315" s="2"/>
      <c r="AI315" s="2"/>
      <c r="AJ315" s="621"/>
      <c r="AK315" s="596">
        <v>15000</v>
      </c>
      <c r="AL315" s="29" t="s">
        <v>73</v>
      </c>
      <c r="AM315" s="29" t="s">
        <v>73</v>
      </c>
      <c r="AN315" s="29" t="s">
        <v>73</v>
      </c>
      <c r="AO315" s="29" t="s">
        <v>73</v>
      </c>
      <c r="AP315" s="478">
        <v>7500</v>
      </c>
      <c r="AQ315" s="478">
        <v>7500</v>
      </c>
      <c r="AR315" s="29" t="s">
        <v>73</v>
      </c>
      <c r="AS315" s="29" t="s">
        <v>73</v>
      </c>
      <c r="AT315" s="29" t="s">
        <v>73</v>
      </c>
      <c r="AU315" s="29" t="s">
        <v>73</v>
      </c>
      <c r="AV315" s="29" t="s">
        <v>73</v>
      </c>
      <c r="AW315" s="29" t="s">
        <v>73</v>
      </c>
      <c r="AX315" s="30">
        <v>15000</v>
      </c>
      <c r="AY315" s="597" t="s">
        <v>5</v>
      </c>
      <c r="AZ315" s="2" t="s">
        <v>74</v>
      </c>
      <c r="BA315" s="2"/>
      <c r="BK315" s="147" t="s">
        <v>790</v>
      </c>
      <c r="BL315" s="481" t="s">
        <v>791</v>
      </c>
      <c r="BM315" s="125" t="s">
        <v>1611</v>
      </c>
      <c r="BN315" s="177" t="s">
        <v>1673</v>
      </c>
      <c r="BO315" s="125" t="s">
        <v>1681</v>
      </c>
      <c r="BP315" s="129">
        <v>46135</v>
      </c>
      <c r="BQ315" s="18"/>
      <c r="BR315" s="505" t="s">
        <v>1725</v>
      </c>
      <c r="BS315" s="18"/>
      <c r="BT315" s="286" t="s">
        <v>1567</v>
      </c>
      <c r="BU315" s="286" t="s">
        <v>1568</v>
      </c>
      <c r="BV315" s="566" t="s">
        <v>1726</v>
      </c>
      <c r="BW315" s="566" t="s">
        <v>1727</v>
      </c>
      <c r="BX315" s="566" t="s">
        <v>1728</v>
      </c>
      <c r="BY315" s="566">
        <v>46023966</v>
      </c>
      <c r="BZ315" s="177"/>
      <c r="CA315" s="126">
        <v>7500</v>
      </c>
      <c r="CB315" s="128">
        <v>46143</v>
      </c>
      <c r="CC315" s="128">
        <v>46203</v>
      </c>
      <c r="CD315" s="759"/>
      <c r="CE315" s="177">
        <f t="shared" si="491"/>
        <v>30</v>
      </c>
      <c r="CF315" s="1019">
        <f t="shared" si="492"/>
        <v>7500</v>
      </c>
      <c r="CG315" s="177">
        <v>30</v>
      </c>
      <c r="CH315" s="1019">
        <f t="shared" si="567"/>
        <v>7500</v>
      </c>
      <c r="CI315" s="177">
        <v>30</v>
      </c>
      <c r="CJ315" s="1019">
        <f t="shared" si="568"/>
        <v>7500</v>
      </c>
      <c r="CK315" s="177">
        <f t="shared" si="569"/>
        <v>0</v>
      </c>
      <c r="CL315" s="177">
        <f t="shared" si="570"/>
        <v>0</v>
      </c>
      <c r="CM315" s="1006"/>
      <c r="CN315" s="177">
        <f t="shared" si="497"/>
        <v>30</v>
      </c>
      <c r="CO315" s="1019">
        <f t="shared" si="498"/>
        <v>7500</v>
      </c>
      <c r="CP315" s="177">
        <v>30</v>
      </c>
      <c r="CQ315" s="1019">
        <f t="shared" si="571"/>
        <v>7500</v>
      </c>
      <c r="CR315" s="1032">
        <v>30</v>
      </c>
      <c r="CS315" s="1019">
        <f t="shared" si="572"/>
        <v>7500</v>
      </c>
      <c r="CT315" s="177">
        <f t="shared" si="573"/>
        <v>0</v>
      </c>
      <c r="CU315" s="177">
        <f t="shared" si="574"/>
        <v>0</v>
      </c>
      <c r="CV315" s="1006"/>
      <c r="CW315" s="1007">
        <f t="shared" si="486"/>
        <v>15000</v>
      </c>
      <c r="CX315" s="486">
        <f t="shared" si="487"/>
        <v>15000</v>
      </c>
      <c r="CY315" s="486">
        <f t="shared" si="488"/>
        <v>15000</v>
      </c>
      <c r="CZ315" s="1007">
        <f t="shared" si="489"/>
        <v>0</v>
      </c>
      <c r="DA315" s="1007">
        <f t="shared" si="490"/>
        <v>0</v>
      </c>
      <c r="DB315" s="126"/>
      <c r="DC315" s="125"/>
    </row>
    <row r="316" spans="1:107" ht="51" hidden="1" x14ac:dyDescent="0.25">
      <c r="A316" s="19">
        <v>2026</v>
      </c>
      <c r="B316" s="20">
        <v>479</v>
      </c>
      <c r="C316" s="21" t="s">
        <v>64</v>
      </c>
      <c r="D316" s="21" t="s">
        <v>65</v>
      </c>
      <c r="E316" s="20">
        <v>125</v>
      </c>
      <c r="F316" s="20">
        <v>3000654</v>
      </c>
      <c r="G316" s="20">
        <v>5005023</v>
      </c>
      <c r="H316" s="20">
        <v>3</v>
      </c>
      <c r="I316" s="20">
        <v>12</v>
      </c>
      <c r="J316" s="20">
        <v>24</v>
      </c>
      <c r="K316" s="20">
        <v>135560</v>
      </c>
      <c r="L316" s="21" t="s">
        <v>98</v>
      </c>
      <c r="M316" s="33" t="s">
        <v>99</v>
      </c>
      <c r="N316" s="19">
        <v>94</v>
      </c>
      <c r="O316" s="2"/>
      <c r="P316" s="2" t="s">
        <v>4</v>
      </c>
      <c r="Q316" s="20" t="s">
        <v>68</v>
      </c>
      <c r="R316" s="25" t="s">
        <v>69</v>
      </c>
      <c r="S316" s="25" t="s">
        <v>137</v>
      </c>
      <c r="T316" s="25"/>
      <c r="U316" s="33" t="s">
        <v>215</v>
      </c>
      <c r="V316" s="25" t="s">
        <v>3</v>
      </c>
      <c r="W316" s="25">
        <v>1</v>
      </c>
      <c r="X316" s="595">
        <v>7500</v>
      </c>
      <c r="Y316" s="619"/>
      <c r="Z316" s="2"/>
      <c r="AA316" s="2"/>
      <c r="AB316" s="620"/>
      <c r="AC316" s="25">
        <v>30</v>
      </c>
      <c r="AD316" s="25">
        <v>30</v>
      </c>
      <c r="AE316" s="619"/>
      <c r="AF316" s="2"/>
      <c r="AG316" s="2"/>
      <c r="AH316" s="2"/>
      <c r="AI316" s="2"/>
      <c r="AJ316" s="621"/>
      <c r="AK316" s="596">
        <v>15000</v>
      </c>
      <c r="AL316" s="29" t="s">
        <v>73</v>
      </c>
      <c r="AM316" s="29" t="s">
        <v>73</v>
      </c>
      <c r="AN316" s="29" t="s">
        <v>73</v>
      </c>
      <c r="AO316" s="29" t="s">
        <v>73</v>
      </c>
      <c r="AP316" s="478">
        <v>7500</v>
      </c>
      <c r="AQ316" s="478">
        <v>7500</v>
      </c>
      <c r="AR316" s="29" t="s">
        <v>73</v>
      </c>
      <c r="AS316" s="29" t="s">
        <v>73</v>
      </c>
      <c r="AT316" s="29" t="s">
        <v>73</v>
      </c>
      <c r="AU316" s="29" t="s">
        <v>73</v>
      </c>
      <c r="AV316" s="29" t="s">
        <v>73</v>
      </c>
      <c r="AW316" s="29" t="s">
        <v>73</v>
      </c>
      <c r="AX316" s="30">
        <v>15000</v>
      </c>
      <c r="AY316" s="597" t="s">
        <v>5</v>
      </c>
      <c r="AZ316" s="2" t="s">
        <v>74</v>
      </c>
      <c r="BA316" s="2"/>
      <c r="BK316" s="147" t="s">
        <v>790</v>
      </c>
      <c r="BL316" s="481" t="s">
        <v>791</v>
      </c>
      <c r="BM316" s="125" t="s">
        <v>1611</v>
      </c>
      <c r="BN316" s="177" t="s">
        <v>1673</v>
      </c>
      <c r="BO316" s="125" t="s">
        <v>1681</v>
      </c>
      <c r="BP316" s="129">
        <v>46135</v>
      </c>
      <c r="BQ316" s="18"/>
      <c r="BR316" s="505" t="s">
        <v>1729</v>
      </c>
      <c r="BS316" s="18"/>
      <c r="BT316" s="286" t="s">
        <v>1567</v>
      </c>
      <c r="BU316" s="286" t="s">
        <v>1568</v>
      </c>
      <c r="BV316" s="566" t="s">
        <v>918</v>
      </c>
      <c r="BW316" s="566" t="s">
        <v>845</v>
      </c>
      <c r="BX316" s="566" t="s">
        <v>1730</v>
      </c>
      <c r="BY316" s="566">
        <v>42544476</v>
      </c>
      <c r="BZ316" s="177"/>
      <c r="CA316" s="126">
        <v>7500</v>
      </c>
      <c r="CB316" s="128">
        <v>46143</v>
      </c>
      <c r="CC316" s="128">
        <v>46203</v>
      </c>
      <c r="CD316" s="759"/>
      <c r="CE316" s="177">
        <f t="shared" si="491"/>
        <v>30</v>
      </c>
      <c r="CF316" s="1019">
        <f t="shared" si="492"/>
        <v>7500</v>
      </c>
      <c r="CG316" s="177">
        <v>30</v>
      </c>
      <c r="CH316" s="1019">
        <f t="shared" si="567"/>
        <v>7500</v>
      </c>
      <c r="CI316" s="177">
        <v>30</v>
      </c>
      <c r="CJ316" s="1019">
        <f t="shared" si="568"/>
        <v>7500</v>
      </c>
      <c r="CK316" s="177">
        <f t="shared" si="569"/>
        <v>0</v>
      </c>
      <c r="CL316" s="177">
        <f t="shared" si="570"/>
        <v>0</v>
      </c>
      <c r="CM316" s="1006"/>
      <c r="CN316" s="177">
        <f t="shared" si="497"/>
        <v>30</v>
      </c>
      <c r="CO316" s="1019">
        <f t="shared" si="498"/>
        <v>7500</v>
      </c>
      <c r="CP316" s="177">
        <v>30</v>
      </c>
      <c r="CQ316" s="1019">
        <f t="shared" si="571"/>
        <v>7500</v>
      </c>
      <c r="CR316" s="1032">
        <v>30</v>
      </c>
      <c r="CS316" s="1019">
        <f t="shared" si="572"/>
        <v>7500</v>
      </c>
      <c r="CT316" s="177">
        <f t="shared" si="573"/>
        <v>0</v>
      </c>
      <c r="CU316" s="177">
        <f t="shared" si="574"/>
        <v>0</v>
      </c>
      <c r="CV316" s="1006"/>
      <c r="CW316" s="1007">
        <f t="shared" si="486"/>
        <v>15000</v>
      </c>
      <c r="CX316" s="486">
        <f t="shared" si="487"/>
        <v>15000</v>
      </c>
      <c r="CY316" s="486">
        <f t="shared" si="488"/>
        <v>15000</v>
      </c>
      <c r="CZ316" s="1007">
        <f t="shared" si="489"/>
        <v>0</v>
      </c>
      <c r="DA316" s="1007">
        <f t="shared" si="490"/>
        <v>0</v>
      </c>
      <c r="DB316" s="126"/>
      <c r="DC316" s="125"/>
    </row>
    <row r="317" spans="1:107" ht="51" hidden="1" x14ac:dyDescent="0.25">
      <c r="A317" s="19">
        <v>2026</v>
      </c>
      <c r="B317" s="20">
        <v>479</v>
      </c>
      <c r="C317" s="21" t="s">
        <v>64</v>
      </c>
      <c r="D317" s="21" t="s">
        <v>65</v>
      </c>
      <c r="E317" s="20">
        <v>125</v>
      </c>
      <c r="F317" s="20">
        <v>3000654</v>
      </c>
      <c r="G317" s="20">
        <v>5005023</v>
      </c>
      <c r="H317" s="20">
        <v>3</v>
      </c>
      <c r="I317" s="20">
        <v>12</v>
      </c>
      <c r="J317" s="20">
        <v>24</v>
      </c>
      <c r="K317" s="20">
        <v>135560</v>
      </c>
      <c r="L317" s="21" t="s">
        <v>98</v>
      </c>
      <c r="M317" s="33" t="s">
        <v>99</v>
      </c>
      <c r="N317" s="19">
        <v>94</v>
      </c>
      <c r="O317" s="2"/>
      <c r="P317" s="2" t="s">
        <v>4</v>
      </c>
      <c r="Q317" s="20" t="s">
        <v>68</v>
      </c>
      <c r="R317" s="25" t="s">
        <v>69</v>
      </c>
      <c r="S317" s="25" t="s">
        <v>137</v>
      </c>
      <c r="T317" s="25"/>
      <c r="U317" s="33" t="s">
        <v>215</v>
      </c>
      <c r="V317" s="25" t="s">
        <v>3</v>
      </c>
      <c r="W317" s="25">
        <v>1</v>
      </c>
      <c r="X317" s="595">
        <v>7500</v>
      </c>
      <c r="Y317" s="619"/>
      <c r="Z317" s="2"/>
      <c r="AA317" s="2"/>
      <c r="AB317" s="620"/>
      <c r="AC317" s="25">
        <v>30</v>
      </c>
      <c r="AD317" s="25">
        <v>30</v>
      </c>
      <c r="AE317" s="619"/>
      <c r="AF317" s="2"/>
      <c r="AG317" s="2"/>
      <c r="AH317" s="2"/>
      <c r="AI317" s="2"/>
      <c r="AJ317" s="621"/>
      <c r="AK317" s="596">
        <v>15000</v>
      </c>
      <c r="AL317" s="29" t="s">
        <v>73</v>
      </c>
      <c r="AM317" s="29" t="s">
        <v>73</v>
      </c>
      <c r="AN317" s="29" t="s">
        <v>73</v>
      </c>
      <c r="AO317" s="29" t="s">
        <v>73</v>
      </c>
      <c r="AP317" s="478">
        <v>7500</v>
      </c>
      <c r="AQ317" s="478">
        <v>7500</v>
      </c>
      <c r="AR317" s="29" t="s">
        <v>73</v>
      </c>
      <c r="AS317" s="29" t="s">
        <v>73</v>
      </c>
      <c r="AT317" s="29" t="s">
        <v>73</v>
      </c>
      <c r="AU317" s="29" t="s">
        <v>73</v>
      </c>
      <c r="AV317" s="29" t="s">
        <v>73</v>
      </c>
      <c r="AW317" s="29" t="s">
        <v>73</v>
      </c>
      <c r="AX317" s="30">
        <v>15000</v>
      </c>
      <c r="AY317" s="597" t="s">
        <v>5</v>
      </c>
      <c r="AZ317" s="2" t="s">
        <v>74</v>
      </c>
      <c r="BA317" s="2"/>
      <c r="BK317" s="147" t="s">
        <v>790</v>
      </c>
      <c r="BL317" s="481" t="s">
        <v>791</v>
      </c>
      <c r="BM317" s="125" t="s">
        <v>1611</v>
      </c>
      <c r="BN317" s="177" t="s">
        <v>1673</v>
      </c>
      <c r="BO317" s="125" t="s">
        <v>1681</v>
      </c>
      <c r="BP317" s="129">
        <v>46135</v>
      </c>
      <c r="BQ317" s="18"/>
      <c r="BR317" s="505" t="s">
        <v>1731</v>
      </c>
      <c r="BS317" s="18"/>
      <c r="BT317" s="286" t="s">
        <v>1567</v>
      </c>
      <c r="BU317" s="286" t="s">
        <v>1568</v>
      </c>
      <c r="BV317" s="566" t="s">
        <v>1732</v>
      </c>
      <c r="BW317" s="566" t="s">
        <v>1733</v>
      </c>
      <c r="BX317" s="566" t="s">
        <v>1734</v>
      </c>
      <c r="BY317" s="566">
        <v>73804965</v>
      </c>
      <c r="BZ317" s="177"/>
      <c r="CA317" s="126">
        <v>7500</v>
      </c>
      <c r="CB317" s="128">
        <v>46143</v>
      </c>
      <c r="CC317" s="128">
        <v>46203</v>
      </c>
      <c r="CD317" s="759"/>
      <c r="CE317" s="177">
        <f t="shared" si="491"/>
        <v>30</v>
      </c>
      <c r="CF317" s="1019">
        <f t="shared" si="492"/>
        <v>7500</v>
      </c>
      <c r="CG317" s="177">
        <v>30</v>
      </c>
      <c r="CH317" s="1019">
        <f t="shared" si="567"/>
        <v>7500</v>
      </c>
      <c r="CI317" s="177">
        <v>30</v>
      </c>
      <c r="CJ317" s="1019">
        <f t="shared" si="568"/>
        <v>7500</v>
      </c>
      <c r="CK317" s="177">
        <f t="shared" si="569"/>
        <v>0</v>
      </c>
      <c r="CL317" s="177">
        <f t="shared" si="570"/>
        <v>0</v>
      </c>
      <c r="CM317" s="1006"/>
      <c r="CN317" s="177">
        <f t="shared" si="497"/>
        <v>30</v>
      </c>
      <c r="CO317" s="1019">
        <f t="shared" si="498"/>
        <v>7500</v>
      </c>
      <c r="CP317" s="177">
        <v>30</v>
      </c>
      <c r="CQ317" s="1019">
        <f t="shared" si="571"/>
        <v>7500</v>
      </c>
      <c r="CR317" s="1032">
        <v>30</v>
      </c>
      <c r="CS317" s="1019">
        <f t="shared" si="572"/>
        <v>7500</v>
      </c>
      <c r="CT317" s="177">
        <f t="shared" si="573"/>
        <v>0</v>
      </c>
      <c r="CU317" s="177">
        <f t="shared" si="574"/>
        <v>0</v>
      </c>
      <c r="CV317" s="1006"/>
      <c r="CW317" s="1007">
        <f t="shared" si="486"/>
        <v>15000</v>
      </c>
      <c r="CX317" s="486">
        <f t="shared" si="487"/>
        <v>15000</v>
      </c>
      <c r="CY317" s="486">
        <f t="shared" si="488"/>
        <v>15000</v>
      </c>
      <c r="CZ317" s="1007">
        <f t="shared" si="489"/>
        <v>0</v>
      </c>
      <c r="DA317" s="1007">
        <f t="shared" si="490"/>
        <v>0</v>
      </c>
      <c r="DB317" s="126"/>
      <c r="DC317" s="125"/>
    </row>
    <row r="318" spans="1:107" ht="51" hidden="1" x14ac:dyDescent="0.25">
      <c r="A318" s="19">
        <v>2026</v>
      </c>
      <c r="B318" s="20">
        <v>479</v>
      </c>
      <c r="C318" s="21" t="s">
        <v>64</v>
      </c>
      <c r="D318" s="21" t="s">
        <v>65</v>
      </c>
      <c r="E318" s="20">
        <v>125</v>
      </c>
      <c r="F318" s="20">
        <v>3000654</v>
      </c>
      <c r="G318" s="20">
        <v>5005023</v>
      </c>
      <c r="H318" s="20">
        <v>3</v>
      </c>
      <c r="I318" s="20">
        <v>12</v>
      </c>
      <c r="J318" s="20">
        <v>24</v>
      </c>
      <c r="K318" s="20">
        <v>135560</v>
      </c>
      <c r="L318" s="21" t="s">
        <v>98</v>
      </c>
      <c r="M318" s="33" t="s">
        <v>99</v>
      </c>
      <c r="N318" s="19">
        <v>94</v>
      </c>
      <c r="O318" s="2"/>
      <c r="P318" s="2" t="s">
        <v>4</v>
      </c>
      <c r="Q318" s="20" t="s">
        <v>68</v>
      </c>
      <c r="R318" s="25" t="s">
        <v>69</v>
      </c>
      <c r="S318" s="25" t="s">
        <v>137</v>
      </c>
      <c r="T318" s="25"/>
      <c r="U318" s="33" t="s">
        <v>215</v>
      </c>
      <c r="V318" s="25" t="s">
        <v>3</v>
      </c>
      <c r="W318" s="25">
        <v>1</v>
      </c>
      <c r="X318" s="595">
        <v>7500</v>
      </c>
      <c r="Y318" s="619"/>
      <c r="Z318" s="2"/>
      <c r="AA318" s="2"/>
      <c r="AB318" s="620"/>
      <c r="AC318" s="25">
        <v>30</v>
      </c>
      <c r="AD318" s="25">
        <v>30</v>
      </c>
      <c r="AE318" s="619"/>
      <c r="AF318" s="2"/>
      <c r="AG318" s="2"/>
      <c r="AH318" s="2"/>
      <c r="AI318" s="2"/>
      <c r="AJ318" s="621"/>
      <c r="AK318" s="596">
        <v>15000</v>
      </c>
      <c r="AL318" s="29" t="s">
        <v>73</v>
      </c>
      <c r="AM318" s="29" t="s">
        <v>73</v>
      </c>
      <c r="AN318" s="29" t="s">
        <v>73</v>
      </c>
      <c r="AO318" s="29" t="s">
        <v>73</v>
      </c>
      <c r="AP318" s="478">
        <v>7500</v>
      </c>
      <c r="AQ318" s="478">
        <v>7500</v>
      </c>
      <c r="AR318" s="29" t="s">
        <v>73</v>
      </c>
      <c r="AS318" s="29" t="s">
        <v>73</v>
      </c>
      <c r="AT318" s="29" t="s">
        <v>73</v>
      </c>
      <c r="AU318" s="29" t="s">
        <v>73</v>
      </c>
      <c r="AV318" s="29" t="s">
        <v>73</v>
      </c>
      <c r="AW318" s="29" t="s">
        <v>73</v>
      </c>
      <c r="AX318" s="30">
        <v>15000</v>
      </c>
      <c r="AY318" s="597" t="s">
        <v>5</v>
      </c>
      <c r="AZ318" s="2" t="s">
        <v>74</v>
      </c>
      <c r="BA318" s="2"/>
      <c r="BK318" s="147" t="s">
        <v>790</v>
      </c>
      <c r="BL318" s="481" t="s">
        <v>791</v>
      </c>
      <c r="BM318" s="125" t="s">
        <v>1611</v>
      </c>
      <c r="BN318" s="177" t="s">
        <v>1673</v>
      </c>
      <c r="BO318" s="125" t="s">
        <v>1681</v>
      </c>
      <c r="BP318" s="129">
        <v>46135</v>
      </c>
      <c r="BQ318" s="18"/>
      <c r="BR318" s="505" t="s">
        <v>1735</v>
      </c>
      <c r="BS318" s="18"/>
      <c r="BT318" s="286" t="s">
        <v>1567</v>
      </c>
      <c r="BU318" s="286" t="s">
        <v>1568</v>
      </c>
      <c r="BV318" s="566" t="s">
        <v>1736</v>
      </c>
      <c r="BW318" s="566" t="s">
        <v>1737</v>
      </c>
      <c r="BX318" s="566" t="s">
        <v>1738</v>
      </c>
      <c r="BY318" s="566">
        <v>9624364</v>
      </c>
      <c r="BZ318" s="177"/>
      <c r="CA318" s="126">
        <v>7500</v>
      </c>
      <c r="CB318" s="128">
        <v>46143</v>
      </c>
      <c r="CC318" s="128">
        <v>46203</v>
      </c>
      <c r="CD318" s="759"/>
      <c r="CE318" s="177">
        <f t="shared" si="491"/>
        <v>30</v>
      </c>
      <c r="CF318" s="1019">
        <f t="shared" si="492"/>
        <v>7500</v>
      </c>
      <c r="CG318" s="177">
        <v>30</v>
      </c>
      <c r="CH318" s="1019">
        <f t="shared" si="567"/>
        <v>7500</v>
      </c>
      <c r="CI318" s="177">
        <v>30</v>
      </c>
      <c r="CJ318" s="1019">
        <f t="shared" si="568"/>
        <v>7500</v>
      </c>
      <c r="CK318" s="177">
        <f t="shared" si="569"/>
        <v>0</v>
      </c>
      <c r="CL318" s="177">
        <f t="shared" si="570"/>
        <v>0</v>
      </c>
      <c r="CM318" s="1006"/>
      <c r="CN318" s="177">
        <f t="shared" si="497"/>
        <v>30</v>
      </c>
      <c r="CO318" s="1019">
        <f t="shared" si="498"/>
        <v>7500</v>
      </c>
      <c r="CP318" s="177">
        <v>30</v>
      </c>
      <c r="CQ318" s="1019">
        <f t="shared" si="571"/>
        <v>7500</v>
      </c>
      <c r="CR318" s="1032">
        <v>30</v>
      </c>
      <c r="CS318" s="1019">
        <f t="shared" si="572"/>
        <v>7500</v>
      </c>
      <c r="CT318" s="177">
        <f t="shared" si="573"/>
        <v>0</v>
      </c>
      <c r="CU318" s="177">
        <f t="shared" si="574"/>
        <v>0</v>
      </c>
      <c r="CV318" s="1006"/>
      <c r="CW318" s="1007">
        <f t="shared" si="486"/>
        <v>15000</v>
      </c>
      <c r="CX318" s="486">
        <f t="shared" si="487"/>
        <v>15000</v>
      </c>
      <c r="CY318" s="486">
        <f t="shared" si="488"/>
        <v>15000</v>
      </c>
      <c r="CZ318" s="1007">
        <f t="shared" si="489"/>
        <v>0</v>
      </c>
      <c r="DA318" s="1007">
        <f t="shared" si="490"/>
        <v>0</v>
      </c>
      <c r="DB318" s="126"/>
      <c r="DC318" s="125"/>
    </row>
    <row r="319" spans="1:107" ht="51" hidden="1" x14ac:dyDescent="0.25">
      <c r="A319" s="19">
        <v>2026</v>
      </c>
      <c r="B319" s="20">
        <v>479</v>
      </c>
      <c r="C319" s="21" t="s">
        <v>64</v>
      </c>
      <c r="D319" s="21" t="s">
        <v>65</v>
      </c>
      <c r="E319" s="20">
        <v>125</v>
      </c>
      <c r="F319" s="20">
        <v>3000654</v>
      </c>
      <c r="G319" s="20">
        <v>5005023</v>
      </c>
      <c r="H319" s="20">
        <v>3</v>
      </c>
      <c r="I319" s="20">
        <v>12</v>
      </c>
      <c r="J319" s="20">
        <v>24</v>
      </c>
      <c r="K319" s="20">
        <v>135560</v>
      </c>
      <c r="L319" s="21" t="s">
        <v>98</v>
      </c>
      <c r="M319" s="33" t="s">
        <v>99</v>
      </c>
      <c r="N319" s="19">
        <v>94</v>
      </c>
      <c r="O319" s="2"/>
      <c r="P319" s="2" t="s">
        <v>4</v>
      </c>
      <c r="Q319" s="20" t="s">
        <v>68</v>
      </c>
      <c r="R319" s="25" t="s">
        <v>69</v>
      </c>
      <c r="S319" s="25" t="s">
        <v>137</v>
      </c>
      <c r="T319" s="25"/>
      <c r="U319" s="33" t="s">
        <v>215</v>
      </c>
      <c r="V319" s="25" t="s">
        <v>3</v>
      </c>
      <c r="W319" s="25">
        <v>1</v>
      </c>
      <c r="X319" s="595">
        <v>7500</v>
      </c>
      <c r="Y319" s="619"/>
      <c r="Z319" s="2"/>
      <c r="AA319" s="2"/>
      <c r="AB319" s="620"/>
      <c r="AC319" s="25">
        <v>30</v>
      </c>
      <c r="AD319" s="25">
        <v>30</v>
      </c>
      <c r="AE319" s="619"/>
      <c r="AF319" s="2"/>
      <c r="AG319" s="2"/>
      <c r="AH319" s="2"/>
      <c r="AI319" s="2"/>
      <c r="AJ319" s="621"/>
      <c r="AK319" s="596">
        <v>15000</v>
      </c>
      <c r="AL319" s="29" t="s">
        <v>73</v>
      </c>
      <c r="AM319" s="29" t="s">
        <v>73</v>
      </c>
      <c r="AN319" s="29" t="s">
        <v>73</v>
      </c>
      <c r="AO319" s="29" t="s">
        <v>73</v>
      </c>
      <c r="AP319" s="478">
        <v>7500</v>
      </c>
      <c r="AQ319" s="478">
        <v>7500</v>
      </c>
      <c r="AR319" s="29" t="s">
        <v>73</v>
      </c>
      <c r="AS319" s="29" t="s">
        <v>73</v>
      </c>
      <c r="AT319" s="29" t="s">
        <v>73</v>
      </c>
      <c r="AU319" s="29" t="s">
        <v>73</v>
      </c>
      <c r="AV319" s="29" t="s">
        <v>73</v>
      </c>
      <c r="AW319" s="29" t="s">
        <v>73</v>
      </c>
      <c r="AX319" s="30">
        <v>15000</v>
      </c>
      <c r="AY319" s="597" t="s">
        <v>5</v>
      </c>
      <c r="AZ319" s="2" t="s">
        <v>74</v>
      </c>
      <c r="BA319" s="2"/>
      <c r="BK319" s="147" t="s">
        <v>790</v>
      </c>
      <c r="BL319" s="481" t="s">
        <v>791</v>
      </c>
      <c r="BM319" s="125" t="s">
        <v>1611</v>
      </c>
      <c r="BN319" s="177" t="s">
        <v>1673</v>
      </c>
      <c r="BO319" s="125" t="s">
        <v>1681</v>
      </c>
      <c r="BP319" s="129">
        <v>46135</v>
      </c>
      <c r="BQ319" s="18"/>
      <c r="BR319" s="505" t="s">
        <v>1739</v>
      </c>
      <c r="BS319" s="18"/>
      <c r="BT319" s="286" t="s">
        <v>1567</v>
      </c>
      <c r="BU319" s="286" t="s">
        <v>1568</v>
      </c>
      <c r="BV319" s="566" t="s">
        <v>1740</v>
      </c>
      <c r="BW319" s="566" t="s">
        <v>1741</v>
      </c>
      <c r="BX319" s="566" t="s">
        <v>1720</v>
      </c>
      <c r="BY319" s="566">
        <v>47467968</v>
      </c>
      <c r="BZ319" s="177"/>
      <c r="CA319" s="126">
        <v>7500</v>
      </c>
      <c r="CB319" s="128">
        <v>46143</v>
      </c>
      <c r="CC319" s="128">
        <v>46203</v>
      </c>
      <c r="CD319" s="759"/>
      <c r="CE319" s="177">
        <f t="shared" si="491"/>
        <v>30</v>
      </c>
      <c r="CF319" s="1019">
        <f t="shared" si="492"/>
        <v>7500</v>
      </c>
      <c r="CG319" s="177">
        <v>30</v>
      </c>
      <c r="CH319" s="1019">
        <f t="shared" si="567"/>
        <v>7500</v>
      </c>
      <c r="CI319" s="177">
        <v>30</v>
      </c>
      <c r="CJ319" s="1019">
        <f t="shared" si="568"/>
        <v>7500</v>
      </c>
      <c r="CK319" s="177">
        <f t="shared" si="569"/>
        <v>0</v>
      </c>
      <c r="CL319" s="177">
        <f t="shared" si="570"/>
        <v>0</v>
      </c>
      <c r="CM319" s="1006"/>
      <c r="CN319" s="177">
        <f t="shared" si="497"/>
        <v>30</v>
      </c>
      <c r="CO319" s="1019">
        <f t="shared" si="498"/>
        <v>7500</v>
      </c>
      <c r="CP319" s="177">
        <v>30</v>
      </c>
      <c r="CQ319" s="1019">
        <f t="shared" si="571"/>
        <v>7500</v>
      </c>
      <c r="CR319" s="1032">
        <v>30</v>
      </c>
      <c r="CS319" s="1019">
        <f t="shared" si="572"/>
        <v>7500</v>
      </c>
      <c r="CT319" s="177">
        <f t="shared" si="573"/>
        <v>0</v>
      </c>
      <c r="CU319" s="177">
        <f t="shared" si="574"/>
        <v>0</v>
      </c>
      <c r="CV319" s="1006"/>
      <c r="CW319" s="1007">
        <f t="shared" si="486"/>
        <v>15000</v>
      </c>
      <c r="CX319" s="486">
        <f t="shared" si="487"/>
        <v>15000</v>
      </c>
      <c r="CY319" s="486">
        <f t="shared" si="488"/>
        <v>15000</v>
      </c>
      <c r="CZ319" s="1007">
        <f t="shared" si="489"/>
        <v>0</v>
      </c>
      <c r="DA319" s="1007">
        <f t="shared" si="490"/>
        <v>0</v>
      </c>
      <c r="DB319" s="126"/>
      <c r="DC319" s="125"/>
    </row>
    <row r="320" spans="1:107" ht="51" hidden="1" x14ac:dyDescent="0.25">
      <c r="A320" s="19">
        <v>2026</v>
      </c>
      <c r="B320" s="20">
        <v>479</v>
      </c>
      <c r="C320" s="21" t="s">
        <v>64</v>
      </c>
      <c r="D320" s="21" t="s">
        <v>65</v>
      </c>
      <c r="E320" s="20">
        <v>125</v>
      </c>
      <c r="F320" s="20">
        <v>3000654</v>
      </c>
      <c r="G320" s="20">
        <v>5005023</v>
      </c>
      <c r="H320" s="20">
        <v>3</v>
      </c>
      <c r="I320" s="20">
        <v>12</v>
      </c>
      <c r="J320" s="20">
        <v>24</v>
      </c>
      <c r="K320" s="20">
        <v>135560</v>
      </c>
      <c r="L320" s="21" t="s">
        <v>98</v>
      </c>
      <c r="M320" s="33" t="s">
        <v>99</v>
      </c>
      <c r="N320" s="19">
        <v>94</v>
      </c>
      <c r="O320" s="2"/>
      <c r="P320" s="2" t="s">
        <v>4</v>
      </c>
      <c r="Q320" s="20" t="s">
        <v>68</v>
      </c>
      <c r="R320" s="25" t="s">
        <v>69</v>
      </c>
      <c r="S320" s="25" t="s">
        <v>137</v>
      </c>
      <c r="T320" s="25"/>
      <c r="U320" s="33" t="s">
        <v>215</v>
      </c>
      <c r="V320" s="25" t="s">
        <v>3</v>
      </c>
      <c r="W320" s="25">
        <v>1</v>
      </c>
      <c r="X320" s="595">
        <v>7500</v>
      </c>
      <c r="Y320" s="619"/>
      <c r="Z320" s="2"/>
      <c r="AA320" s="2"/>
      <c r="AB320" s="620"/>
      <c r="AC320" s="25">
        <v>30</v>
      </c>
      <c r="AD320" s="25">
        <v>30</v>
      </c>
      <c r="AE320" s="619"/>
      <c r="AF320" s="2"/>
      <c r="AG320" s="2"/>
      <c r="AH320" s="2"/>
      <c r="AI320" s="2"/>
      <c r="AJ320" s="621"/>
      <c r="AK320" s="596">
        <v>15000</v>
      </c>
      <c r="AL320" s="29" t="s">
        <v>73</v>
      </c>
      <c r="AM320" s="29" t="s">
        <v>73</v>
      </c>
      <c r="AN320" s="29" t="s">
        <v>73</v>
      </c>
      <c r="AO320" s="29" t="s">
        <v>73</v>
      </c>
      <c r="AP320" s="478">
        <v>7500</v>
      </c>
      <c r="AQ320" s="478">
        <v>7500</v>
      </c>
      <c r="AR320" s="29" t="s">
        <v>73</v>
      </c>
      <c r="AS320" s="29" t="s">
        <v>73</v>
      </c>
      <c r="AT320" s="29" t="s">
        <v>73</v>
      </c>
      <c r="AU320" s="29" t="s">
        <v>73</v>
      </c>
      <c r="AV320" s="29" t="s">
        <v>73</v>
      </c>
      <c r="AW320" s="29" t="s">
        <v>73</v>
      </c>
      <c r="AX320" s="30">
        <v>15000</v>
      </c>
      <c r="AY320" s="597" t="s">
        <v>5</v>
      </c>
      <c r="AZ320" s="2" t="s">
        <v>74</v>
      </c>
      <c r="BA320" s="2"/>
      <c r="BK320" s="147" t="s">
        <v>790</v>
      </c>
      <c r="BL320" s="481" t="s">
        <v>791</v>
      </c>
      <c r="BM320" s="125" t="s">
        <v>1611</v>
      </c>
      <c r="BN320" s="177" t="s">
        <v>1673</v>
      </c>
      <c r="BO320" s="125" t="s">
        <v>1681</v>
      </c>
      <c r="BP320" s="129">
        <v>46135</v>
      </c>
      <c r="BQ320" s="18"/>
      <c r="BR320" s="505" t="s">
        <v>1742</v>
      </c>
      <c r="BS320" s="18"/>
      <c r="BT320" s="286" t="s">
        <v>1567</v>
      </c>
      <c r="BU320" s="286" t="s">
        <v>1568</v>
      </c>
      <c r="BV320" s="566" t="s">
        <v>1743</v>
      </c>
      <c r="BW320" s="566" t="s">
        <v>1744</v>
      </c>
      <c r="BX320" s="566" t="s">
        <v>1745</v>
      </c>
      <c r="BY320" s="566">
        <v>41326081</v>
      </c>
      <c r="BZ320" s="177"/>
      <c r="CA320" s="126">
        <v>7500</v>
      </c>
      <c r="CB320" s="128">
        <v>46143</v>
      </c>
      <c r="CC320" s="128">
        <v>46203</v>
      </c>
      <c r="CD320" s="759"/>
      <c r="CE320" s="177">
        <f t="shared" si="491"/>
        <v>30</v>
      </c>
      <c r="CF320" s="1019">
        <f t="shared" si="492"/>
        <v>7500</v>
      </c>
      <c r="CG320" s="177">
        <v>30</v>
      </c>
      <c r="CH320" s="1019">
        <f t="shared" si="567"/>
        <v>7500</v>
      </c>
      <c r="CI320" s="177">
        <v>30</v>
      </c>
      <c r="CJ320" s="1019">
        <f t="shared" si="568"/>
        <v>7500</v>
      </c>
      <c r="CK320" s="177">
        <f t="shared" si="569"/>
        <v>0</v>
      </c>
      <c r="CL320" s="177">
        <f t="shared" si="570"/>
        <v>0</v>
      </c>
      <c r="CM320" s="1006"/>
      <c r="CN320" s="177">
        <f t="shared" si="497"/>
        <v>30</v>
      </c>
      <c r="CO320" s="1019">
        <f t="shared" si="498"/>
        <v>7500</v>
      </c>
      <c r="CP320" s="177">
        <v>30</v>
      </c>
      <c r="CQ320" s="1019">
        <f t="shared" si="571"/>
        <v>7500</v>
      </c>
      <c r="CR320" s="1032">
        <v>30</v>
      </c>
      <c r="CS320" s="1019">
        <f t="shared" si="572"/>
        <v>7500</v>
      </c>
      <c r="CT320" s="177">
        <f t="shared" si="573"/>
        <v>0</v>
      </c>
      <c r="CU320" s="177">
        <f t="shared" si="574"/>
        <v>0</v>
      </c>
      <c r="CV320" s="1006"/>
      <c r="CW320" s="1007">
        <f t="shared" si="486"/>
        <v>15000</v>
      </c>
      <c r="CX320" s="486">
        <f t="shared" si="487"/>
        <v>15000</v>
      </c>
      <c r="CY320" s="486">
        <f t="shared" si="488"/>
        <v>15000</v>
      </c>
      <c r="CZ320" s="1007">
        <f t="shared" si="489"/>
        <v>0</v>
      </c>
      <c r="DA320" s="1007">
        <f t="shared" si="490"/>
        <v>0</v>
      </c>
      <c r="DB320" s="126"/>
      <c r="DC320" s="125"/>
    </row>
    <row r="321" spans="1:107" ht="51" hidden="1" x14ac:dyDescent="0.25">
      <c r="A321" s="19">
        <v>2026</v>
      </c>
      <c r="B321" s="20">
        <v>479</v>
      </c>
      <c r="C321" s="21" t="s">
        <v>64</v>
      </c>
      <c r="D321" s="21" t="s">
        <v>65</v>
      </c>
      <c r="E321" s="20">
        <v>125</v>
      </c>
      <c r="F321" s="20">
        <v>3000654</v>
      </c>
      <c r="G321" s="20">
        <v>5005023</v>
      </c>
      <c r="H321" s="20">
        <v>3</v>
      </c>
      <c r="I321" s="20">
        <v>12</v>
      </c>
      <c r="J321" s="20">
        <v>24</v>
      </c>
      <c r="K321" s="20">
        <v>135560</v>
      </c>
      <c r="L321" s="21" t="s">
        <v>98</v>
      </c>
      <c r="M321" s="33" t="s">
        <v>99</v>
      </c>
      <c r="N321" s="19">
        <v>94</v>
      </c>
      <c r="O321" s="2"/>
      <c r="P321" s="2" t="s">
        <v>4</v>
      </c>
      <c r="Q321" s="20" t="s">
        <v>68</v>
      </c>
      <c r="R321" s="25" t="s">
        <v>69</v>
      </c>
      <c r="S321" s="25" t="s">
        <v>137</v>
      </c>
      <c r="T321" s="25"/>
      <c r="U321" s="33" t="s">
        <v>215</v>
      </c>
      <c r="V321" s="25" t="s">
        <v>3</v>
      </c>
      <c r="W321" s="25">
        <v>1</v>
      </c>
      <c r="X321" s="595">
        <v>7500</v>
      </c>
      <c r="Y321" s="619"/>
      <c r="Z321" s="2"/>
      <c r="AA321" s="2"/>
      <c r="AB321" s="620"/>
      <c r="AC321" s="25">
        <v>30</v>
      </c>
      <c r="AD321" s="25">
        <v>30</v>
      </c>
      <c r="AE321" s="619"/>
      <c r="AF321" s="2"/>
      <c r="AG321" s="2"/>
      <c r="AH321" s="2"/>
      <c r="AI321" s="2"/>
      <c r="AJ321" s="621"/>
      <c r="AK321" s="596">
        <v>15000</v>
      </c>
      <c r="AL321" s="29" t="s">
        <v>73</v>
      </c>
      <c r="AM321" s="29" t="s">
        <v>73</v>
      </c>
      <c r="AN321" s="29" t="s">
        <v>73</v>
      </c>
      <c r="AO321" s="29" t="s">
        <v>73</v>
      </c>
      <c r="AP321" s="478">
        <v>7500</v>
      </c>
      <c r="AQ321" s="478">
        <v>7500</v>
      </c>
      <c r="AR321" s="29" t="s">
        <v>73</v>
      </c>
      <c r="AS321" s="29" t="s">
        <v>73</v>
      </c>
      <c r="AT321" s="29" t="s">
        <v>73</v>
      </c>
      <c r="AU321" s="29" t="s">
        <v>73</v>
      </c>
      <c r="AV321" s="29" t="s">
        <v>73</v>
      </c>
      <c r="AW321" s="29" t="s">
        <v>73</v>
      </c>
      <c r="AX321" s="30">
        <v>15000</v>
      </c>
      <c r="AY321" s="597" t="s">
        <v>5</v>
      </c>
      <c r="AZ321" s="2" t="s">
        <v>74</v>
      </c>
      <c r="BA321" s="2"/>
      <c r="BK321" s="147" t="s">
        <v>790</v>
      </c>
      <c r="BL321" s="481" t="s">
        <v>791</v>
      </c>
      <c r="BM321" s="125" t="s">
        <v>1611</v>
      </c>
      <c r="BN321" s="177" t="s">
        <v>1673</v>
      </c>
      <c r="BO321" s="125" t="s">
        <v>1681</v>
      </c>
      <c r="BP321" s="129">
        <v>46135</v>
      </c>
      <c r="BQ321" s="18"/>
      <c r="BR321" s="505" t="s">
        <v>1746</v>
      </c>
      <c r="BS321" s="18"/>
      <c r="BT321" s="286" t="s">
        <v>1567</v>
      </c>
      <c r="BU321" s="286" t="s">
        <v>1568</v>
      </c>
      <c r="BV321" s="566" t="s">
        <v>849</v>
      </c>
      <c r="BW321" s="566" t="s">
        <v>1747</v>
      </c>
      <c r="BX321" s="566" t="s">
        <v>1748</v>
      </c>
      <c r="BY321" s="566">
        <v>40307057</v>
      </c>
      <c r="BZ321" s="177"/>
      <c r="CA321" s="126">
        <v>7500</v>
      </c>
      <c r="CB321" s="128">
        <v>46143</v>
      </c>
      <c r="CC321" s="128">
        <v>46203</v>
      </c>
      <c r="CD321" s="759"/>
      <c r="CE321" s="177">
        <f t="shared" si="491"/>
        <v>30</v>
      </c>
      <c r="CF321" s="1019">
        <f t="shared" si="492"/>
        <v>7500</v>
      </c>
      <c r="CG321" s="177">
        <v>30</v>
      </c>
      <c r="CH321" s="1019">
        <f t="shared" si="567"/>
        <v>7500</v>
      </c>
      <c r="CI321" s="177">
        <v>30</v>
      </c>
      <c r="CJ321" s="1019">
        <f t="shared" si="568"/>
        <v>7500</v>
      </c>
      <c r="CK321" s="177">
        <f t="shared" si="569"/>
        <v>0</v>
      </c>
      <c r="CL321" s="177">
        <f t="shared" si="570"/>
        <v>0</v>
      </c>
      <c r="CM321" s="1006"/>
      <c r="CN321" s="177">
        <f t="shared" si="497"/>
        <v>30</v>
      </c>
      <c r="CO321" s="1019">
        <f t="shared" si="498"/>
        <v>7500</v>
      </c>
      <c r="CP321" s="177">
        <v>30</v>
      </c>
      <c r="CQ321" s="1019">
        <f t="shared" si="571"/>
        <v>7500</v>
      </c>
      <c r="CR321" s="1032">
        <v>30</v>
      </c>
      <c r="CS321" s="1019">
        <f t="shared" si="572"/>
        <v>7500</v>
      </c>
      <c r="CT321" s="177">
        <f t="shared" si="573"/>
        <v>0</v>
      </c>
      <c r="CU321" s="177">
        <f t="shared" si="574"/>
        <v>0</v>
      </c>
      <c r="CV321" s="1006"/>
      <c r="CW321" s="1007">
        <f t="shared" si="486"/>
        <v>15000</v>
      </c>
      <c r="CX321" s="486">
        <f t="shared" si="487"/>
        <v>15000</v>
      </c>
      <c r="CY321" s="486">
        <f t="shared" si="488"/>
        <v>15000</v>
      </c>
      <c r="CZ321" s="1007">
        <f t="shared" si="489"/>
        <v>0</v>
      </c>
      <c r="DA321" s="1007">
        <f t="shared" si="490"/>
        <v>0</v>
      </c>
      <c r="DB321" s="126"/>
      <c r="DC321" s="125"/>
    </row>
    <row r="322" spans="1:107" ht="51" hidden="1" x14ac:dyDescent="0.25">
      <c r="A322" s="19">
        <v>2026</v>
      </c>
      <c r="B322" s="20">
        <v>479</v>
      </c>
      <c r="C322" s="21" t="s">
        <v>64</v>
      </c>
      <c r="D322" s="21" t="s">
        <v>65</v>
      </c>
      <c r="E322" s="20">
        <v>125</v>
      </c>
      <c r="F322" s="20">
        <v>3000654</v>
      </c>
      <c r="G322" s="20">
        <v>5005023</v>
      </c>
      <c r="H322" s="20">
        <v>3</v>
      </c>
      <c r="I322" s="20">
        <v>12</v>
      </c>
      <c r="J322" s="20">
        <v>24</v>
      </c>
      <c r="K322" s="20">
        <v>135560</v>
      </c>
      <c r="L322" s="21" t="s">
        <v>98</v>
      </c>
      <c r="M322" s="33" t="s">
        <v>99</v>
      </c>
      <c r="N322" s="19">
        <v>94</v>
      </c>
      <c r="O322" s="2"/>
      <c r="P322" s="625" t="s">
        <v>4</v>
      </c>
      <c r="Q322" s="20" t="s">
        <v>68</v>
      </c>
      <c r="R322" s="25" t="s">
        <v>69</v>
      </c>
      <c r="S322" s="25" t="s">
        <v>137</v>
      </c>
      <c r="T322" s="25"/>
      <c r="U322" s="33" t="s">
        <v>216</v>
      </c>
      <c r="V322" s="25" t="s">
        <v>3</v>
      </c>
      <c r="W322" s="25">
        <v>1</v>
      </c>
      <c r="X322" s="595">
        <v>6500</v>
      </c>
      <c r="Y322" s="619"/>
      <c r="Z322" s="2"/>
      <c r="AA322" s="2"/>
      <c r="AB322" s="620"/>
      <c r="AC322" s="25">
        <v>30</v>
      </c>
      <c r="AD322" s="25">
        <v>30</v>
      </c>
      <c r="AE322" s="619"/>
      <c r="AF322" s="2"/>
      <c r="AG322" s="2"/>
      <c r="AH322" s="2"/>
      <c r="AI322" s="2"/>
      <c r="AJ322" s="621"/>
      <c r="AK322" s="596">
        <v>13000</v>
      </c>
      <c r="AL322" s="29" t="s">
        <v>73</v>
      </c>
      <c r="AM322" s="29" t="s">
        <v>73</v>
      </c>
      <c r="AN322" s="29" t="s">
        <v>73</v>
      </c>
      <c r="AO322" s="29" t="s">
        <v>73</v>
      </c>
      <c r="AP322" s="478">
        <v>6500</v>
      </c>
      <c r="AQ322" s="478">
        <v>6500</v>
      </c>
      <c r="AR322" s="29" t="s">
        <v>73</v>
      </c>
      <c r="AS322" s="29" t="s">
        <v>73</v>
      </c>
      <c r="AT322" s="29" t="s">
        <v>73</v>
      </c>
      <c r="AU322" s="29" t="s">
        <v>73</v>
      </c>
      <c r="AV322" s="29" t="s">
        <v>73</v>
      </c>
      <c r="AW322" s="29" t="s">
        <v>73</v>
      </c>
      <c r="AX322" s="30">
        <v>13000</v>
      </c>
      <c r="AY322" s="597" t="s">
        <v>5</v>
      </c>
      <c r="AZ322" s="2" t="s">
        <v>74</v>
      </c>
      <c r="BA322" s="2"/>
      <c r="BK322" s="147" t="s">
        <v>790</v>
      </c>
      <c r="BL322" s="481" t="s">
        <v>791</v>
      </c>
      <c r="BM322" s="125" t="s">
        <v>1611</v>
      </c>
      <c r="BN322" s="177" t="s">
        <v>1612</v>
      </c>
      <c r="BO322" s="125" t="s">
        <v>1613</v>
      </c>
      <c r="BP322" s="129">
        <v>46135</v>
      </c>
      <c r="BQ322" s="18"/>
      <c r="BR322" s="505" t="s">
        <v>1749</v>
      </c>
      <c r="BS322" s="18"/>
      <c r="BT322" s="286" t="s">
        <v>1567</v>
      </c>
      <c r="BU322" s="286" t="s">
        <v>1568</v>
      </c>
      <c r="BV322" s="566" t="s">
        <v>1750</v>
      </c>
      <c r="BW322" s="566" t="s">
        <v>1751</v>
      </c>
      <c r="BX322" s="566" t="s">
        <v>1752</v>
      </c>
      <c r="BY322" s="566">
        <v>9849551</v>
      </c>
      <c r="BZ322" s="177"/>
      <c r="CA322" s="622">
        <v>6500</v>
      </c>
      <c r="CB322" s="183">
        <v>46143</v>
      </c>
      <c r="CC322" s="183">
        <v>46203</v>
      </c>
      <c r="CD322" s="759"/>
      <c r="CE322" s="177">
        <f t="shared" si="491"/>
        <v>30</v>
      </c>
      <c r="CF322" s="1019">
        <f t="shared" si="492"/>
        <v>6500</v>
      </c>
      <c r="CG322" s="177">
        <v>30</v>
      </c>
      <c r="CH322" s="1019">
        <f t="shared" si="493"/>
        <v>6500</v>
      </c>
      <c r="CI322" s="177">
        <v>30</v>
      </c>
      <c r="CJ322" s="1019">
        <f t="shared" si="494"/>
        <v>6500</v>
      </c>
      <c r="CK322" s="177">
        <f t="shared" si="495"/>
        <v>0</v>
      </c>
      <c r="CL322" s="177">
        <f t="shared" si="496"/>
        <v>0</v>
      </c>
      <c r="CM322" s="1006"/>
      <c r="CN322" s="177">
        <f t="shared" si="497"/>
        <v>30</v>
      </c>
      <c r="CO322" s="1019">
        <f t="shared" si="498"/>
        <v>6500</v>
      </c>
      <c r="CP322" s="177">
        <v>30</v>
      </c>
      <c r="CQ322" s="1019">
        <f t="shared" si="499"/>
        <v>6500</v>
      </c>
      <c r="CR322" s="177">
        <v>30</v>
      </c>
      <c r="CS322" s="1019">
        <f t="shared" si="500"/>
        <v>6500</v>
      </c>
      <c r="CT322" s="177">
        <f t="shared" si="501"/>
        <v>0</v>
      </c>
      <c r="CU322" s="177">
        <f t="shared" si="502"/>
        <v>0</v>
      </c>
      <c r="CV322" s="1006"/>
      <c r="CW322" s="1007">
        <f t="shared" si="486"/>
        <v>13000</v>
      </c>
      <c r="CX322" s="486">
        <f t="shared" si="487"/>
        <v>13000</v>
      </c>
      <c r="CY322" s="486">
        <f t="shared" si="488"/>
        <v>13000</v>
      </c>
      <c r="CZ322" s="1007">
        <f t="shared" si="489"/>
        <v>0</v>
      </c>
      <c r="DA322" s="1007">
        <f t="shared" si="490"/>
        <v>0</v>
      </c>
      <c r="DB322" s="126"/>
      <c r="DC322" s="125"/>
    </row>
    <row r="323" spans="1:107" ht="51" hidden="1" x14ac:dyDescent="0.25">
      <c r="A323" s="19">
        <v>2026</v>
      </c>
      <c r="B323" s="20">
        <v>479</v>
      </c>
      <c r="C323" s="21" t="s">
        <v>64</v>
      </c>
      <c r="D323" s="21" t="s">
        <v>65</v>
      </c>
      <c r="E323" s="20">
        <v>125</v>
      </c>
      <c r="F323" s="20">
        <v>3000654</v>
      </c>
      <c r="G323" s="20">
        <v>5005023</v>
      </c>
      <c r="H323" s="20">
        <v>3</v>
      </c>
      <c r="I323" s="20">
        <v>12</v>
      </c>
      <c r="J323" s="20">
        <v>24</v>
      </c>
      <c r="K323" s="20">
        <v>135560</v>
      </c>
      <c r="L323" s="21" t="s">
        <v>98</v>
      </c>
      <c r="M323" s="33" t="s">
        <v>99</v>
      </c>
      <c r="N323" s="19">
        <v>94</v>
      </c>
      <c r="O323" s="2"/>
      <c r="P323" s="625" t="s">
        <v>4</v>
      </c>
      <c r="Q323" s="20" t="s">
        <v>68</v>
      </c>
      <c r="R323" s="25" t="s">
        <v>69</v>
      </c>
      <c r="S323" s="25" t="s">
        <v>137</v>
      </c>
      <c r="T323" s="25"/>
      <c r="U323" s="33" t="s">
        <v>216</v>
      </c>
      <c r="V323" s="25" t="s">
        <v>3</v>
      </c>
      <c r="W323" s="25">
        <v>1</v>
      </c>
      <c r="X323" s="595">
        <v>6500</v>
      </c>
      <c r="Y323" s="619"/>
      <c r="Z323" s="2"/>
      <c r="AA323" s="2"/>
      <c r="AB323" s="620"/>
      <c r="AC323" s="25">
        <v>30</v>
      </c>
      <c r="AD323" s="25">
        <v>30</v>
      </c>
      <c r="AE323" s="619"/>
      <c r="AF323" s="2"/>
      <c r="AG323" s="2"/>
      <c r="AH323" s="2"/>
      <c r="AI323" s="2"/>
      <c r="AJ323" s="621"/>
      <c r="AK323" s="596">
        <v>13000</v>
      </c>
      <c r="AL323" s="29" t="s">
        <v>73</v>
      </c>
      <c r="AM323" s="29" t="s">
        <v>73</v>
      </c>
      <c r="AN323" s="29" t="s">
        <v>73</v>
      </c>
      <c r="AO323" s="29" t="s">
        <v>73</v>
      </c>
      <c r="AP323" s="478">
        <v>6500</v>
      </c>
      <c r="AQ323" s="478">
        <v>6500</v>
      </c>
      <c r="AR323" s="29" t="s">
        <v>73</v>
      </c>
      <c r="AS323" s="29" t="s">
        <v>73</v>
      </c>
      <c r="AT323" s="29" t="s">
        <v>73</v>
      </c>
      <c r="AU323" s="29" t="s">
        <v>73</v>
      </c>
      <c r="AV323" s="29" t="s">
        <v>73</v>
      </c>
      <c r="AW323" s="29" t="s">
        <v>73</v>
      </c>
      <c r="AX323" s="30">
        <v>13000</v>
      </c>
      <c r="AY323" s="597" t="s">
        <v>5</v>
      </c>
      <c r="AZ323" s="2" t="s">
        <v>74</v>
      </c>
      <c r="BA323" s="2"/>
      <c r="BK323" s="147" t="s">
        <v>790</v>
      </c>
      <c r="BL323" s="481" t="s">
        <v>791</v>
      </c>
      <c r="BM323" s="125" t="s">
        <v>1611</v>
      </c>
      <c r="BN323" s="177" t="s">
        <v>1612</v>
      </c>
      <c r="BO323" s="125" t="s">
        <v>1613</v>
      </c>
      <c r="BP323" s="129">
        <v>46135</v>
      </c>
      <c r="BQ323" s="18"/>
      <c r="BR323" s="505" t="s">
        <v>1753</v>
      </c>
      <c r="BS323" s="18"/>
      <c r="BT323" s="286" t="s">
        <v>1567</v>
      </c>
      <c r="BU323" s="286" t="s">
        <v>1568</v>
      </c>
      <c r="BV323" s="566" t="s">
        <v>822</v>
      </c>
      <c r="BW323" s="566" t="s">
        <v>1182</v>
      </c>
      <c r="BX323" s="566" t="s">
        <v>1539</v>
      </c>
      <c r="BY323" s="566">
        <v>32926314</v>
      </c>
      <c r="BZ323" s="177"/>
      <c r="CA323" s="622">
        <v>6500</v>
      </c>
      <c r="CB323" s="183">
        <v>46143</v>
      </c>
      <c r="CC323" s="183">
        <v>46203</v>
      </c>
      <c r="CD323" s="759"/>
      <c r="CE323" s="177">
        <f t="shared" si="491"/>
        <v>30</v>
      </c>
      <c r="CF323" s="1019">
        <f t="shared" si="492"/>
        <v>6500</v>
      </c>
      <c r="CG323" s="177">
        <v>30</v>
      </c>
      <c r="CH323" s="1019">
        <f t="shared" si="493"/>
        <v>6500</v>
      </c>
      <c r="CI323" s="177">
        <v>30</v>
      </c>
      <c r="CJ323" s="1019">
        <f t="shared" si="494"/>
        <v>6500</v>
      </c>
      <c r="CK323" s="177">
        <f t="shared" ref="CK323:CK325" si="575">CF323-CH323</f>
        <v>0</v>
      </c>
      <c r="CL323" s="177">
        <f t="shared" ref="CL323:CL325" si="576">CF323-CJ323</f>
        <v>0</v>
      </c>
      <c r="CM323" s="1006"/>
      <c r="CN323" s="177">
        <f t="shared" si="497"/>
        <v>30</v>
      </c>
      <c r="CO323" s="1019">
        <f t="shared" si="498"/>
        <v>6500</v>
      </c>
      <c r="CP323" s="177">
        <v>30</v>
      </c>
      <c r="CQ323" s="1019">
        <f t="shared" si="499"/>
        <v>6500</v>
      </c>
      <c r="CR323" s="177">
        <v>30</v>
      </c>
      <c r="CS323" s="1019">
        <f t="shared" ref="CS323:CS325" si="577">(X323/30)*CR323</f>
        <v>6500</v>
      </c>
      <c r="CT323" s="177">
        <f t="shared" ref="CT323:CT325" si="578">CO323-CQ323</f>
        <v>0</v>
      </c>
      <c r="CU323" s="177">
        <f t="shared" ref="CU323:CU325" si="579">CO323-CS323</f>
        <v>0</v>
      </c>
      <c r="CV323" s="1006"/>
      <c r="CW323" s="1007">
        <f t="shared" si="486"/>
        <v>13000</v>
      </c>
      <c r="CX323" s="486">
        <f t="shared" si="487"/>
        <v>13000</v>
      </c>
      <c r="CY323" s="486">
        <f t="shared" si="488"/>
        <v>13000</v>
      </c>
      <c r="CZ323" s="1007">
        <f t="shared" si="489"/>
        <v>0</v>
      </c>
      <c r="DA323" s="1007">
        <f t="shared" si="490"/>
        <v>0</v>
      </c>
      <c r="DB323" s="126"/>
      <c r="DC323" s="125"/>
    </row>
    <row r="324" spans="1:107" ht="51" hidden="1" x14ac:dyDescent="0.25">
      <c r="A324" s="19">
        <v>2026</v>
      </c>
      <c r="B324" s="20">
        <v>479</v>
      </c>
      <c r="C324" s="21" t="s">
        <v>64</v>
      </c>
      <c r="D324" s="21" t="s">
        <v>65</v>
      </c>
      <c r="E324" s="20">
        <v>125</v>
      </c>
      <c r="F324" s="20">
        <v>3000654</v>
      </c>
      <c r="G324" s="20">
        <v>5005023</v>
      </c>
      <c r="H324" s="20">
        <v>3</v>
      </c>
      <c r="I324" s="20">
        <v>12</v>
      </c>
      <c r="J324" s="20">
        <v>24</v>
      </c>
      <c r="K324" s="20">
        <v>135560</v>
      </c>
      <c r="L324" s="21" t="s">
        <v>98</v>
      </c>
      <c r="M324" s="33" t="s">
        <v>99</v>
      </c>
      <c r="N324" s="19">
        <v>94</v>
      </c>
      <c r="O324" s="2"/>
      <c r="P324" s="625" t="s">
        <v>4</v>
      </c>
      <c r="Q324" s="20" t="s">
        <v>68</v>
      </c>
      <c r="R324" s="25" t="s">
        <v>69</v>
      </c>
      <c r="S324" s="25" t="s">
        <v>137</v>
      </c>
      <c r="T324" s="25"/>
      <c r="U324" s="33" t="s">
        <v>216</v>
      </c>
      <c r="V324" s="25" t="s">
        <v>3</v>
      </c>
      <c r="W324" s="25">
        <v>1</v>
      </c>
      <c r="X324" s="595">
        <v>6500</v>
      </c>
      <c r="Y324" s="619"/>
      <c r="Z324" s="2"/>
      <c r="AA324" s="2"/>
      <c r="AB324" s="620"/>
      <c r="AC324" s="25">
        <v>30</v>
      </c>
      <c r="AD324" s="25">
        <v>30</v>
      </c>
      <c r="AE324" s="619"/>
      <c r="AF324" s="2"/>
      <c r="AG324" s="2"/>
      <c r="AH324" s="2"/>
      <c r="AI324" s="2"/>
      <c r="AJ324" s="621"/>
      <c r="AK324" s="596">
        <v>13000</v>
      </c>
      <c r="AL324" s="29" t="s">
        <v>73</v>
      </c>
      <c r="AM324" s="29" t="s">
        <v>73</v>
      </c>
      <c r="AN324" s="29" t="s">
        <v>73</v>
      </c>
      <c r="AO324" s="29" t="s">
        <v>73</v>
      </c>
      <c r="AP324" s="478">
        <v>6500</v>
      </c>
      <c r="AQ324" s="478">
        <v>6500</v>
      </c>
      <c r="AR324" s="29" t="s">
        <v>73</v>
      </c>
      <c r="AS324" s="29" t="s">
        <v>73</v>
      </c>
      <c r="AT324" s="29" t="s">
        <v>73</v>
      </c>
      <c r="AU324" s="29" t="s">
        <v>73</v>
      </c>
      <c r="AV324" s="29" t="s">
        <v>73</v>
      </c>
      <c r="AW324" s="29" t="s">
        <v>73</v>
      </c>
      <c r="AX324" s="30">
        <v>13000</v>
      </c>
      <c r="AY324" s="597" t="s">
        <v>5</v>
      </c>
      <c r="AZ324" s="2" t="s">
        <v>74</v>
      </c>
      <c r="BA324" s="2"/>
      <c r="BK324" s="147" t="s">
        <v>790</v>
      </c>
      <c r="BL324" s="481" t="s">
        <v>791</v>
      </c>
      <c r="BM324" s="125" t="s">
        <v>1611</v>
      </c>
      <c r="BN324" s="177" t="s">
        <v>1612</v>
      </c>
      <c r="BO324" s="125" t="s">
        <v>1613</v>
      </c>
      <c r="BP324" s="129">
        <v>46135</v>
      </c>
      <c r="BQ324" s="18"/>
      <c r="BR324" s="505" t="s">
        <v>1754</v>
      </c>
      <c r="BS324" s="18"/>
      <c r="BT324" s="286" t="s">
        <v>1567</v>
      </c>
      <c r="BU324" s="286" t="s">
        <v>1568</v>
      </c>
      <c r="BV324" s="566" t="s">
        <v>1755</v>
      </c>
      <c r="BW324" s="566" t="s">
        <v>1134</v>
      </c>
      <c r="BX324" s="566" t="s">
        <v>1756</v>
      </c>
      <c r="BY324" s="566">
        <v>42536723</v>
      </c>
      <c r="BZ324" s="177"/>
      <c r="CA324" s="622">
        <v>6500</v>
      </c>
      <c r="CB324" s="183">
        <v>46143</v>
      </c>
      <c r="CC324" s="183">
        <v>46203</v>
      </c>
      <c r="CD324" s="759"/>
      <c r="CE324" s="177">
        <f t="shared" si="491"/>
        <v>30</v>
      </c>
      <c r="CF324" s="1019">
        <f t="shared" si="492"/>
        <v>6500</v>
      </c>
      <c r="CG324" s="177">
        <v>30</v>
      </c>
      <c r="CH324" s="1019">
        <f t="shared" si="493"/>
        <v>6500</v>
      </c>
      <c r="CI324" s="177">
        <v>30</v>
      </c>
      <c r="CJ324" s="1019">
        <f t="shared" si="494"/>
        <v>6500</v>
      </c>
      <c r="CK324" s="177">
        <f t="shared" si="575"/>
        <v>0</v>
      </c>
      <c r="CL324" s="177">
        <f t="shared" si="576"/>
        <v>0</v>
      </c>
      <c r="CM324" s="1006"/>
      <c r="CN324" s="177">
        <f t="shared" si="497"/>
        <v>30</v>
      </c>
      <c r="CO324" s="1019">
        <f t="shared" si="498"/>
        <v>6500</v>
      </c>
      <c r="CP324" s="177">
        <v>30</v>
      </c>
      <c r="CQ324" s="1019">
        <f t="shared" si="499"/>
        <v>6500</v>
      </c>
      <c r="CR324" s="177">
        <v>30</v>
      </c>
      <c r="CS324" s="1019">
        <f t="shared" si="577"/>
        <v>6500</v>
      </c>
      <c r="CT324" s="177">
        <f t="shared" si="578"/>
        <v>0</v>
      </c>
      <c r="CU324" s="177">
        <f t="shared" si="579"/>
        <v>0</v>
      </c>
      <c r="CV324" s="1006"/>
      <c r="CW324" s="1007">
        <f t="shared" si="486"/>
        <v>13000</v>
      </c>
      <c r="CX324" s="486">
        <f t="shared" si="487"/>
        <v>13000</v>
      </c>
      <c r="CY324" s="486">
        <f t="shared" si="488"/>
        <v>13000</v>
      </c>
      <c r="CZ324" s="1007">
        <f t="shared" si="489"/>
        <v>0</v>
      </c>
      <c r="DA324" s="1007">
        <f t="shared" si="490"/>
        <v>0</v>
      </c>
      <c r="DB324" s="126"/>
      <c r="DC324" s="125"/>
    </row>
    <row r="325" spans="1:107" ht="51" hidden="1" x14ac:dyDescent="0.25">
      <c r="A325" s="19">
        <v>2026</v>
      </c>
      <c r="B325" s="20">
        <v>479</v>
      </c>
      <c r="C325" s="21" t="s">
        <v>64</v>
      </c>
      <c r="D325" s="21" t="s">
        <v>65</v>
      </c>
      <c r="E325" s="20">
        <v>125</v>
      </c>
      <c r="F325" s="20">
        <v>3000654</v>
      </c>
      <c r="G325" s="20">
        <v>5005023</v>
      </c>
      <c r="H325" s="20">
        <v>3</v>
      </c>
      <c r="I325" s="20">
        <v>12</v>
      </c>
      <c r="J325" s="20">
        <v>24</v>
      </c>
      <c r="K325" s="20">
        <v>135560</v>
      </c>
      <c r="L325" s="21" t="s">
        <v>98</v>
      </c>
      <c r="M325" s="33" t="s">
        <v>99</v>
      </c>
      <c r="N325" s="19">
        <v>94</v>
      </c>
      <c r="O325" s="2"/>
      <c r="P325" s="625" t="s">
        <v>4</v>
      </c>
      <c r="Q325" s="20" t="s">
        <v>68</v>
      </c>
      <c r="R325" s="25" t="s">
        <v>69</v>
      </c>
      <c r="S325" s="25" t="s">
        <v>137</v>
      </c>
      <c r="T325" s="25"/>
      <c r="U325" s="33" t="s">
        <v>216</v>
      </c>
      <c r="V325" s="25" t="s">
        <v>3</v>
      </c>
      <c r="W325" s="25">
        <v>1</v>
      </c>
      <c r="X325" s="595">
        <v>6500</v>
      </c>
      <c r="Y325" s="619"/>
      <c r="Z325" s="2"/>
      <c r="AA325" s="2"/>
      <c r="AB325" s="620"/>
      <c r="AC325" s="25">
        <v>30</v>
      </c>
      <c r="AD325" s="25">
        <v>30</v>
      </c>
      <c r="AE325" s="619"/>
      <c r="AF325" s="2"/>
      <c r="AG325" s="2"/>
      <c r="AH325" s="2"/>
      <c r="AI325" s="2"/>
      <c r="AJ325" s="621"/>
      <c r="AK325" s="596">
        <v>13000</v>
      </c>
      <c r="AL325" s="29" t="s">
        <v>73</v>
      </c>
      <c r="AM325" s="29" t="s">
        <v>73</v>
      </c>
      <c r="AN325" s="29" t="s">
        <v>73</v>
      </c>
      <c r="AO325" s="29" t="s">
        <v>73</v>
      </c>
      <c r="AP325" s="478">
        <v>6500</v>
      </c>
      <c r="AQ325" s="478">
        <v>6500</v>
      </c>
      <c r="AR325" s="29" t="s">
        <v>73</v>
      </c>
      <c r="AS325" s="29" t="s">
        <v>73</v>
      </c>
      <c r="AT325" s="29" t="s">
        <v>73</v>
      </c>
      <c r="AU325" s="29" t="s">
        <v>73</v>
      </c>
      <c r="AV325" s="29" t="s">
        <v>73</v>
      </c>
      <c r="AW325" s="29" t="s">
        <v>73</v>
      </c>
      <c r="AX325" s="30">
        <v>13000</v>
      </c>
      <c r="AY325" s="597" t="s">
        <v>5</v>
      </c>
      <c r="AZ325" s="2" t="s">
        <v>74</v>
      </c>
      <c r="BA325" s="2"/>
      <c r="BK325" s="147" t="s">
        <v>790</v>
      </c>
      <c r="BL325" s="481" t="s">
        <v>791</v>
      </c>
      <c r="BM325" s="125" t="s">
        <v>1611</v>
      </c>
      <c r="BN325" s="177" t="s">
        <v>1612</v>
      </c>
      <c r="BO325" s="125" t="s">
        <v>1613</v>
      </c>
      <c r="BP325" s="129">
        <v>46135</v>
      </c>
      <c r="BQ325" s="18"/>
      <c r="BR325" s="505" t="s">
        <v>1757</v>
      </c>
      <c r="BS325" s="18"/>
      <c r="BT325" s="286" t="s">
        <v>1567</v>
      </c>
      <c r="BU325" s="286" t="s">
        <v>1568</v>
      </c>
      <c r="BV325" s="566" t="s">
        <v>1234</v>
      </c>
      <c r="BW325" s="566" t="s">
        <v>1758</v>
      </c>
      <c r="BX325" s="566" t="s">
        <v>1759</v>
      </c>
      <c r="BY325" s="566">
        <v>9334266</v>
      </c>
      <c r="BZ325" s="177"/>
      <c r="CA325" s="622">
        <v>6500</v>
      </c>
      <c r="CB325" s="183">
        <v>46143</v>
      </c>
      <c r="CC325" s="183">
        <v>46203</v>
      </c>
      <c r="CD325" s="759"/>
      <c r="CE325" s="177">
        <f t="shared" si="491"/>
        <v>30</v>
      </c>
      <c r="CF325" s="1019">
        <f t="shared" si="492"/>
        <v>6500</v>
      </c>
      <c r="CG325" s="177">
        <v>30</v>
      </c>
      <c r="CH325" s="1019">
        <f t="shared" si="493"/>
        <v>6500</v>
      </c>
      <c r="CI325" s="177">
        <v>30</v>
      </c>
      <c r="CJ325" s="1019">
        <f t="shared" si="494"/>
        <v>6500</v>
      </c>
      <c r="CK325" s="177">
        <f t="shared" si="575"/>
        <v>0</v>
      </c>
      <c r="CL325" s="177">
        <f t="shared" si="576"/>
        <v>0</v>
      </c>
      <c r="CM325" s="1006"/>
      <c r="CN325" s="177">
        <f t="shared" si="497"/>
        <v>30</v>
      </c>
      <c r="CO325" s="1019">
        <f t="shared" si="498"/>
        <v>6500</v>
      </c>
      <c r="CP325" s="177">
        <v>30</v>
      </c>
      <c r="CQ325" s="1019">
        <f t="shared" si="499"/>
        <v>6500</v>
      </c>
      <c r="CR325" s="177">
        <v>30</v>
      </c>
      <c r="CS325" s="1019">
        <f t="shared" si="577"/>
        <v>6500</v>
      </c>
      <c r="CT325" s="177">
        <f t="shared" si="578"/>
        <v>0</v>
      </c>
      <c r="CU325" s="177">
        <f t="shared" si="579"/>
        <v>0</v>
      </c>
      <c r="CV325" s="1006"/>
      <c r="CW325" s="1007">
        <f t="shared" si="486"/>
        <v>13000</v>
      </c>
      <c r="CX325" s="486">
        <f t="shared" si="487"/>
        <v>13000</v>
      </c>
      <c r="CY325" s="486">
        <f t="shared" si="488"/>
        <v>13000</v>
      </c>
      <c r="CZ325" s="1007">
        <f t="shared" si="489"/>
        <v>0</v>
      </c>
      <c r="DA325" s="1007">
        <f t="shared" si="490"/>
        <v>0</v>
      </c>
      <c r="DB325" s="126"/>
      <c r="DC325" s="125"/>
    </row>
    <row r="326" spans="1:107" ht="51" hidden="1" x14ac:dyDescent="0.25">
      <c r="A326" s="19">
        <v>2026</v>
      </c>
      <c r="B326" s="20">
        <v>479</v>
      </c>
      <c r="C326" s="21" t="s">
        <v>64</v>
      </c>
      <c r="D326" s="21" t="s">
        <v>65</v>
      </c>
      <c r="E326" s="20">
        <v>125</v>
      </c>
      <c r="F326" s="20">
        <v>3000654</v>
      </c>
      <c r="G326" s="20">
        <v>5005023</v>
      </c>
      <c r="H326" s="20">
        <v>3</v>
      </c>
      <c r="I326" s="20">
        <v>12</v>
      </c>
      <c r="J326" s="20">
        <v>24</v>
      </c>
      <c r="K326" s="20">
        <v>135560</v>
      </c>
      <c r="L326" s="21" t="s">
        <v>98</v>
      </c>
      <c r="M326" s="33" t="s">
        <v>99</v>
      </c>
      <c r="N326" s="19">
        <v>94</v>
      </c>
      <c r="O326" s="2"/>
      <c r="P326" s="2" t="s">
        <v>4</v>
      </c>
      <c r="Q326" s="20" t="s">
        <v>68</v>
      </c>
      <c r="R326" s="25" t="s">
        <v>69</v>
      </c>
      <c r="S326" s="25" t="s">
        <v>137</v>
      </c>
      <c r="T326" s="25"/>
      <c r="U326" s="33" t="s">
        <v>216</v>
      </c>
      <c r="V326" s="25" t="s">
        <v>3</v>
      </c>
      <c r="W326" s="25">
        <v>1</v>
      </c>
      <c r="X326" s="595">
        <v>6500</v>
      </c>
      <c r="Y326" s="619"/>
      <c r="Z326" s="2"/>
      <c r="AA326" s="2"/>
      <c r="AB326" s="620"/>
      <c r="AC326" s="25">
        <v>30</v>
      </c>
      <c r="AD326" s="25">
        <v>30</v>
      </c>
      <c r="AE326" s="619"/>
      <c r="AF326" s="2"/>
      <c r="AG326" s="2"/>
      <c r="AH326" s="2"/>
      <c r="AI326" s="2"/>
      <c r="AJ326" s="621"/>
      <c r="AK326" s="596">
        <v>13000</v>
      </c>
      <c r="AL326" s="29" t="s">
        <v>73</v>
      </c>
      <c r="AM326" s="29" t="s">
        <v>73</v>
      </c>
      <c r="AN326" s="29" t="s">
        <v>73</v>
      </c>
      <c r="AO326" s="29" t="s">
        <v>73</v>
      </c>
      <c r="AP326" s="478">
        <v>6500</v>
      </c>
      <c r="AQ326" s="478">
        <v>6500</v>
      </c>
      <c r="AR326" s="29" t="s">
        <v>73</v>
      </c>
      <c r="AS326" s="29" t="s">
        <v>73</v>
      </c>
      <c r="AT326" s="29" t="s">
        <v>73</v>
      </c>
      <c r="AU326" s="29" t="s">
        <v>73</v>
      </c>
      <c r="AV326" s="29">
        <v>0</v>
      </c>
      <c r="AW326" s="29" t="s">
        <v>73</v>
      </c>
      <c r="AX326" s="30">
        <v>13000</v>
      </c>
      <c r="AY326" s="597" t="s">
        <v>5</v>
      </c>
      <c r="AZ326" s="2" t="s">
        <v>74</v>
      </c>
      <c r="BA326" s="2"/>
      <c r="BK326" s="147" t="s">
        <v>790</v>
      </c>
      <c r="BL326" s="481" t="s">
        <v>791</v>
      </c>
      <c r="BM326" s="125" t="s">
        <v>1698</v>
      </c>
      <c r="BN326" s="177" t="s">
        <v>1699</v>
      </c>
      <c r="BO326" s="125" t="s">
        <v>1700</v>
      </c>
      <c r="BP326" s="129">
        <v>46135</v>
      </c>
      <c r="BQ326" s="18"/>
      <c r="BR326" s="505" t="s">
        <v>1760</v>
      </c>
      <c r="BS326" s="18"/>
      <c r="BT326" s="286" t="s">
        <v>1567</v>
      </c>
      <c r="BU326" s="946" t="s">
        <v>1568</v>
      </c>
      <c r="BV326" s="566" t="s">
        <v>1761</v>
      </c>
      <c r="BW326" s="566" t="s">
        <v>1762</v>
      </c>
      <c r="BX326" s="566" t="s">
        <v>1763</v>
      </c>
      <c r="BY326" s="566">
        <v>74368772</v>
      </c>
      <c r="BZ326" s="623"/>
      <c r="CA326" s="622">
        <v>6500</v>
      </c>
      <c r="CB326" s="183">
        <v>46143</v>
      </c>
      <c r="CC326" s="183">
        <v>46203</v>
      </c>
      <c r="CD326" s="759"/>
      <c r="CE326" s="177">
        <f t="shared" ref="CE326" si="580">AC326</f>
        <v>30</v>
      </c>
      <c r="CF326" s="1019">
        <f t="shared" ref="CF326" si="581">AP326</f>
        <v>6500</v>
      </c>
      <c r="CG326" s="177">
        <v>30</v>
      </c>
      <c r="CH326" s="1019">
        <f t="shared" ref="CH326" si="582">(X326/30)*CG326</f>
        <v>6500</v>
      </c>
      <c r="CI326" s="177">
        <v>30</v>
      </c>
      <c r="CJ326" s="1019">
        <f t="shared" ref="CJ326" si="583">(X326/30)*CI326</f>
        <v>6500</v>
      </c>
      <c r="CK326" s="177">
        <f t="shared" ref="CK326" si="584">CF326-CH326</f>
        <v>0</v>
      </c>
      <c r="CL326" s="177">
        <f t="shared" ref="CL326" si="585">CF326-CJ326</f>
        <v>0</v>
      </c>
      <c r="CM326" s="1006"/>
      <c r="CN326" s="177">
        <f t="shared" ref="CN326" si="586">AD326</f>
        <v>30</v>
      </c>
      <c r="CO326" s="1019">
        <f t="shared" ref="CO326" si="587">AQ326</f>
        <v>6500</v>
      </c>
      <c r="CP326" s="177">
        <v>30</v>
      </c>
      <c r="CQ326" s="1019">
        <f t="shared" ref="CQ326" si="588">(X326/30)*CP326</f>
        <v>6500</v>
      </c>
      <c r="CR326" s="177">
        <v>30</v>
      </c>
      <c r="CS326" s="1019">
        <f t="shared" ref="CS326" si="589">(X326/30)*CR326</f>
        <v>6500</v>
      </c>
      <c r="CT326" s="177">
        <f t="shared" ref="CT326" si="590">CO326-CQ326</f>
        <v>0</v>
      </c>
      <c r="CU326" s="177">
        <f t="shared" ref="CU326" si="591">CO326-CS326</f>
        <v>0</v>
      </c>
      <c r="CV326" s="1006"/>
      <c r="CW326" s="1007">
        <f t="shared" si="486"/>
        <v>13000</v>
      </c>
      <c r="CX326" s="486">
        <f t="shared" si="487"/>
        <v>13000</v>
      </c>
      <c r="CY326" s="486">
        <f t="shared" si="488"/>
        <v>13000</v>
      </c>
      <c r="CZ326" s="1007">
        <f t="shared" si="489"/>
        <v>0</v>
      </c>
      <c r="DA326" s="1007">
        <f t="shared" si="490"/>
        <v>0</v>
      </c>
      <c r="DB326" s="126"/>
      <c r="DC326" s="125"/>
    </row>
    <row r="327" spans="1:107" ht="51" hidden="1" x14ac:dyDescent="0.25">
      <c r="A327" s="19">
        <v>2026</v>
      </c>
      <c r="B327" s="20">
        <v>479</v>
      </c>
      <c r="C327" s="21" t="s">
        <v>64</v>
      </c>
      <c r="D327" s="21" t="s">
        <v>65</v>
      </c>
      <c r="E327" s="20">
        <v>125</v>
      </c>
      <c r="F327" s="20">
        <v>3000654</v>
      </c>
      <c r="G327" s="20">
        <v>5005023</v>
      </c>
      <c r="H327" s="20">
        <v>3</v>
      </c>
      <c r="I327" s="20">
        <v>12</v>
      </c>
      <c r="J327" s="20">
        <v>24</v>
      </c>
      <c r="K327" s="20">
        <v>135560</v>
      </c>
      <c r="L327" s="21" t="s">
        <v>98</v>
      </c>
      <c r="M327" s="33" t="s">
        <v>99</v>
      </c>
      <c r="N327" s="19">
        <v>94</v>
      </c>
      <c r="O327" s="2"/>
      <c r="P327" s="2" t="s">
        <v>4</v>
      </c>
      <c r="Q327" s="20" t="s">
        <v>68</v>
      </c>
      <c r="R327" s="25" t="s">
        <v>69</v>
      </c>
      <c r="S327" s="25" t="s">
        <v>137</v>
      </c>
      <c r="T327" s="25"/>
      <c r="U327" s="33" t="s">
        <v>216</v>
      </c>
      <c r="V327" s="25" t="s">
        <v>3</v>
      </c>
      <c r="W327" s="25">
        <v>1</v>
      </c>
      <c r="X327" s="595">
        <v>6500</v>
      </c>
      <c r="Y327" s="619"/>
      <c r="Z327" s="2"/>
      <c r="AA327" s="2"/>
      <c r="AB327" s="620"/>
      <c r="AC327" s="25">
        <v>30</v>
      </c>
      <c r="AD327" s="25">
        <v>30</v>
      </c>
      <c r="AE327" s="619"/>
      <c r="AF327" s="2"/>
      <c r="AG327" s="2"/>
      <c r="AH327" s="2"/>
      <c r="AI327" s="2"/>
      <c r="AJ327" s="621"/>
      <c r="AK327" s="596">
        <v>13000</v>
      </c>
      <c r="AL327" s="29" t="s">
        <v>73</v>
      </c>
      <c r="AM327" s="29" t="s">
        <v>73</v>
      </c>
      <c r="AN327" s="29" t="s">
        <v>73</v>
      </c>
      <c r="AO327" s="29" t="s">
        <v>73</v>
      </c>
      <c r="AP327" s="478">
        <v>6500</v>
      </c>
      <c r="AQ327" s="478">
        <v>6500</v>
      </c>
      <c r="AR327" s="29" t="s">
        <v>73</v>
      </c>
      <c r="AS327" s="29" t="s">
        <v>73</v>
      </c>
      <c r="AT327" s="29" t="s">
        <v>73</v>
      </c>
      <c r="AU327" s="29" t="s">
        <v>73</v>
      </c>
      <c r="AV327" s="29" t="s">
        <v>73</v>
      </c>
      <c r="AW327" s="29" t="s">
        <v>73</v>
      </c>
      <c r="AX327" s="30">
        <v>13000</v>
      </c>
      <c r="AY327" s="597" t="s">
        <v>5</v>
      </c>
      <c r="AZ327" s="2" t="s">
        <v>74</v>
      </c>
      <c r="BA327" s="2"/>
      <c r="BK327" s="147" t="s">
        <v>790</v>
      </c>
      <c r="BL327" s="481" t="s">
        <v>791</v>
      </c>
      <c r="BM327" s="125" t="s">
        <v>1611</v>
      </c>
      <c r="BN327" s="177" t="s">
        <v>1612</v>
      </c>
      <c r="BO327" s="125" t="s">
        <v>1613</v>
      </c>
      <c r="BP327" s="129">
        <v>46135</v>
      </c>
      <c r="BQ327" s="18"/>
      <c r="BR327" s="505" t="s">
        <v>1764</v>
      </c>
      <c r="BS327" s="18"/>
      <c r="BT327" s="286" t="s">
        <v>1567</v>
      </c>
      <c r="BU327" s="286" t="s">
        <v>1568</v>
      </c>
      <c r="BV327" s="566" t="s">
        <v>1439</v>
      </c>
      <c r="BW327" s="566" t="s">
        <v>1765</v>
      </c>
      <c r="BX327" s="566" t="s">
        <v>1766</v>
      </c>
      <c r="BY327" s="566">
        <v>72897606</v>
      </c>
      <c r="BZ327" s="177"/>
      <c r="CA327" s="622">
        <v>6500</v>
      </c>
      <c r="CB327" s="183">
        <v>46143</v>
      </c>
      <c r="CC327" s="183">
        <v>46203</v>
      </c>
      <c r="CD327" s="759"/>
      <c r="CE327" s="177">
        <f t="shared" si="491"/>
        <v>30</v>
      </c>
      <c r="CF327" s="1019">
        <f t="shared" si="492"/>
        <v>6500</v>
      </c>
      <c r="CG327" s="177">
        <v>30</v>
      </c>
      <c r="CH327" s="1019">
        <f t="shared" si="493"/>
        <v>6500</v>
      </c>
      <c r="CI327" s="177">
        <v>30</v>
      </c>
      <c r="CJ327" s="1019">
        <f t="shared" si="494"/>
        <v>6500</v>
      </c>
      <c r="CK327" s="177">
        <f t="shared" si="495"/>
        <v>0</v>
      </c>
      <c r="CL327" s="177">
        <f t="shared" si="496"/>
        <v>0</v>
      </c>
      <c r="CM327" s="1006"/>
      <c r="CN327" s="177">
        <f t="shared" si="497"/>
        <v>30</v>
      </c>
      <c r="CO327" s="1019">
        <f t="shared" si="498"/>
        <v>6500</v>
      </c>
      <c r="CP327" s="177">
        <v>30</v>
      </c>
      <c r="CQ327" s="1019">
        <f t="shared" si="499"/>
        <v>6500</v>
      </c>
      <c r="CR327" s="414">
        <v>30</v>
      </c>
      <c r="CS327" s="1019">
        <f t="shared" si="500"/>
        <v>6500</v>
      </c>
      <c r="CT327" s="177">
        <f t="shared" si="501"/>
        <v>0</v>
      </c>
      <c r="CU327" s="177">
        <f t="shared" si="502"/>
        <v>0</v>
      </c>
      <c r="CV327" s="1006"/>
      <c r="CW327" s="1007">
        <f t="shared" si="486"/>
        <v>13000</v>
      </c>
      <c r="CX327" s="486">
        <f t="shared" si="487"/>
        <v>13000</v>
      </c>
      <c r="CY327" s="486">
        <f t="shared" si="488"/>
        <v>13000</v>
      </c>
      <c r="CZ327" s="1007">
        <f t="shared" si="489"/>
        <v>0</v>
      </c>
      <c r="DA327" s="1007">
        <f t="shared" si="490"/>
        <v>0</v>
      </c>
      <c r="DB327" s="126"/>
      <c r="DC327" s="125"/>
    </row>
    <row r="328" spans="1:107" ht="51" hidden="1" x14ac:dyDescent="0.25">
      <c r="A328" s="19">
        <v>2026</v>
      </c>
      <c r="B328" s="20">
        <v>479</v>
      </c>
      <c r="C328" s="21" t="s">
        <v>64</v>
      </c>
      <c r="D328" s="21" t="s">
        <v>65</v>
      </c>
      <c r="E328" s="20">
        <v>125</v>
      </c>
      <c r="F328" s="20">
        <v>3000654</v>
      </c>
      <c r="G328" s="20">
        <v>5005023</v>
      </c>
      <c r="H328" s="20">
        <v>3</v>
      </c>
      <c r="I328" s="20">
        <v>12</v>
      </c>
      <c r="J328" s="20">
        <v>24</v>
      </c>
      <c r="K328" s="20">
        <v>135560</v>
      </c>
      <c r="L328" s="21" t="s">
        <v>98</v>
      </c>
      <c r="M328" s="33" t="s">
        <v>99</v>
      </c>
      <c r="N328" s="19">
        <v>94</v>
      </c>
      <c r="O328" s="2"/>
      <c r="P328" s="2" t="s">
        <v>4</v>
      </c>
      <c r="Q328" s="20" t="s">
        <v>68</v>
      </c>
      <c r="R328" s="25" t="s">
        <v>69</v>
      </c>
      <c r="S328" s="25" t="s">
        <v>137</v>
      </c>
      <c r="T328" s="25"/>
      <c r="U328" s="33" t="s">
        <v>216</v>
      </c>
      <c r="V328" s="25" t="s">
        <v>3</v>
      </c>
      <c r="W328" s="25">
        <v>1</v>
      </c>
      <c r="X328" s="595">
        <v>6500</v>
      </c>
      <c r="Y328" s="619"/>
      <c r="Z328" s="2"/>
      <c r="AA328" s="2"/>
      <c r="AB328" s="620"/>
      <c r="AC328" s="25">
        <v>30</v>
      </c>
      <c r="AD328" s="25">
        <v>30</v>
      </c>
      <c r="AE328" s="619"/>
      <c r="AF328" s="2"/>
      <c r="AG328" s="2"/>
      <c r="AH328" s="2"/>
      <c r="AI328" s="2"/>
      <c r="AJ328" s="621"/>
      <c r="AK328" s="596">
        <v>13000</v>
      </c>
      <c r="AL328" s="29"/>
      <c r="AM328" s="29"/>
      <c r="AN328" s="29"/>
      <c r="AO328" s="29"/>
      <c r="AP328" s="478">
        <v>6500</v>
      </c>
      <c r="AQ328" s="478">
        <v>6500</v>
      </c>
      <c r="AR328" s="29"/>
      <c r="AS328" s="29"/>
      <c r="AT328" s="29"/>
      <c r="AU328" s="29"/>
      <c r="AV328" s="29"/>
      <c r="AW328" s="29"/>
      <c r="AX328" s="30">
        <v>13000</v>
      </c>
      <c r="AY328" s="597" t="s">
        <v>5</v>
      </c>
      <c r="AZ328" s="2" t="s">
        <v>74</v>
      </c>
      <c r="BA328" s="2"/>
      <c r="BK328" s="147" t="s">
        <v>790</v>
      </c>
      <c r="BL328" s="481" t="s">
        <v>791</v>
      </c>
      <c r="BM328" s="125" t="s">
        <v>1611</v>
      </c>
      <c r="BN328" s="177" t="s">
        <v>1612</v>
      </c>
      <c r="BO328" s="125" t="s">
        <v>1613</v>
      </c>
      <c r="BP328" s="129">
        <v>46135</v>
      </c>
      <c r="BQ328" s="18"/>
      <c r="BR328" s="505" t="s">
        <v>1767</v>
      </c>
      <c r="BS328" s="18"/>
      <c r="BT328" s="286" t="s">
        <v>1567</v>
      </c>
      <c r="BU328" s="286" t="s">
        <v>1568</v>
      </c>
      <c r="BV328" s="566" t="s">
        <v>1768</v>
      </c>
      <c r="BW328" s="566" t="s">
        <v>966</v>
      </c>
      <c r="BX328" s="566" t="s">
        <v>1769</v>
      </c>
      <c r="BY328" s="566">
        <v>42285096</v>
      </c>
      <c r="BZ328" s="177"/>
      <c r="CA328" s="622">
        <v>6500</v>
      </c>
      <c r="CB328" s="183">
        <v>46143</v>
      </c>
      <c r="CC328" s="183">
        <v>46203</v>
      </c>
      <c r="CD328" s="759"/>
      <c r="CE328" s="177">
        <f t="shared" ref="CE328:CE334" si="592">AC328</f>
        <v>30</v>
      </c>
      <c r="CF328" s="1019">
        <f t="shared" ref="CF328:CF334" si="593">AP328</f>
        <v>6500</v>
      </c>
      <c r="CG328" s="177">
        <v>30</v>
      </c>
      <c r="CH328" s="1019">
        <f t="shared" ref="CH328:CH334" si="594">(X328/30)*CG328</f>
        <v>6500</v>
      </c>
      <c r="CI328" s="177">
        <v>30</v>
      </c>
      <c r="CJ328" s="1019">
        <f t="shared" ref="CJ328:CJ334" si="595">(X328/30)*CI328</f>
        <v>6500</v>
      </c>
      <c r="CK328" s="177">
        <f t="shared" ref="CK328:CK334" si="596">CF328-CH328</f>
        <v>0</v>
      </c>
      <c r="CL328" s="177">
        <f t="shared" ref="CL328:CL334" si="597">CF328-CJ328</f>
        <v>0</v>
      </c>
      <c r="CM328" s="1006"/>
      <c r="CN328" s="177">
        <f t="shared" ref="CN328:CN334" si="598">AD328</f>
        <v>30</v>
      </c>
      <c r="CO328" s="1019">
        <f t="shared" ref="CO328:CO334" si="599">AQ328</f>
        <v>6500</v>
      </c>
      <c r="CP328" s="177">
        <v>30</v>
      </c>
      <c r="CQ328" s="1019">
        <f t="shared" ref="CQ328:CQ334" si="600">(X328/30)*CP328</f>
        <v>6500</v>
      </c>
      <c r="CR328" s="414">
        <v>30</v>
      </c>
      <c r="CS328" s="1019">
        <f t="shared" ref="CS328:CS334" si="601">(X328/30)*CR328</f>
        <v>6500</v>
      </c>
      <c r="CT328" s="177">
        <f t="shared" ref="CT328:CT334" si="602">CO328-CQ328</f>
        <v>0</v>
      </c>
      <c r="CU328" s="177">
        <f t="shared" ref="CU328:CU334" si="603">CO328-CS328</f>
        <v>0</v>
      </c>
      <c r="CV328" s="1006"/>
      <c r="CW328" s="1007">
        <f t="shared" si="486"/>
        <v>13000</v>
      </c>
      <c r="CX328" s="486">
        <f t="shared" si="487"/>
        <v>13000</v>
      </c>
      <c r="CY328" s="486">
        <f t="shared" si="488"/>
        <v>13000</v>
      </c>
      <c r="CZ328" s="1007">
        <f t="shared" si="489"/>
        <v>0</v>
      </c>
      <c r="DA328" s="1007">
        <f t="shared" si="490"/>
        <v>0</v>
      </c>
      <c r="DB328" s="126"/>
      <c r="DC328" s="125"/>
    </row>
    <row r="329" spans="1:107" ht="51" hidden="1" x14ac:dyDescent="0.25">
      <c r="A329" s="19">
        <v>2026</v>
      </c>
      <c r="B329" s="20">
        <v>479</v>
      </c>
      <c r="C329" s="21" t="s">
        <v>64</v>
      </c>
      <c r="D329" s="21" t="s">
        <v>65</v>
      </c>
      <c r="E329" s="20">
        <v>125</v>
      </c>
      <c r="F329" s="20">
        <v>3000654</v>
      </c>
      <c r="G329" s="20">
        <v>5005023</v>
      </c>
      <c r="H329" s="20">
        <v>3</v>
      </c>
      <c r="I329" s="20">
        <v>12</v>
      </c>
      <c r="J329" s="20">
        <v>24</v>
      </c>
      <c r="K329" s="20">
        <v>135560</v>
      </c>
      <c r="L329" s="21" t="s">
        <v>98</v>
      </c>
      <c r="M329" s="33" t="s">
        <v>99</v>
      </c>
      <c r="N329" s="19">
        <v>94</v>
      </c>
      <c r="O329" s="2"/>
      <c r="P329" s="2" t="s">
        <v>4</v>
      </c>
      <c r="Q329" s="20" t="s">
        <v>68</v>
      </c>
      <c r="R329" s="25" t="s">
        <v>69</v>
      </c>
      <c r="S329" s="25" t="s">
        <v>137</v>
      </c>
      <c r="T329" s="25"/>
      <c r="U329" s="33" t="s">
        <v>216</v>
      </c>
      <c r="V329" s="25" t="s">
        <v>3</v>
      </c>
      <c r="W329" s="25">
        <v>1</v>
      </c>
      <c r="X329" s="595">
        <v>6500</v>
      </c>
      <c r="Y329" s="619"/>
      <c r="Z329" s="2"/>
      <c r="AA329" s="2"/>
      <c r="AB329" s="620"/>
      <c r="AC329" s="25">
        <v>30</v>
      </c>
      <c r="AD329" s="25">
        <v>30</v>
      </c>
      <c r="AE329" s="619"/>
      <c r="AF329" s="2"/>
      <c r="AG329" s="2"/>
      <c r="AH329" s="2"/>
      <c r="AI329" s="2"/>
      <c r="AJ329" s="621"/>
      <c r="AK329" s="596">
        <v>13000</v>
      </c>
      <c r="AL329" s="29"/>
      <c r="AM329" s="29"/>
      <c r="AN329" s="29"/>
      <c r="AO329" s="29"/>
      <c r="AP329" s="478">
        <v>6500</v>
      </c>
      <c r="AQ329" s="478">
        <v>6500</v>
      </c>
      <c r="AR329" s="29"/>
      <c r="AS329" s="29"/>
      <c r="AT329" s="29"/>
      <c r="AU329" s="29"/>
      <c r="AV329" s="29"/>
      <c r="AW329" s="29"/>
      <c r="AX329" s="30">
        <v>13000</v>
      </c>
      <c r="AY329" s="597" t="s">
        <v>5</v>
      </c>
      <c r="AZ329" s="2" t="s">
        <v>74</v>
      </c>
      <c r="BA329" s="2"/>
      <c r="BK329" s="147" t="s">
        <v>790</v>
      </c>
      <c r="BL329" s="481" t="s">
        <v>791</v>
      </c>
      <c r="BM329" s="125" t="s">
        <v>1611</v>
      </c>
      <c r="BN329" s="177" t="s">
        <v>1612</v>
      </c>
      <c r="BO329" s="125" t="s">
        <v>1613</v>
      </c>
      <c r="BP329" s="129">
        <v>46135</v>
      </c>
      <c r="BQ329" s="18"/>
      <c r="BR329" s="505" t="s">
        <v>1770</v>
      </c>
      <c r="BS329" s="18"/>
      <c r="BT329" s="286" t="s">
        <v>1567</v>
      </c>
      <c r="BU329" s="286" t="s">
        <v>1568</v>
      </c>
      <c r="BV329" s="566" t="s">
        <v>822</v>
      </c>
      <c r="BW329" s="566" t="s">
        <v>849</v>
      </c>
      <c r="BX329" s="566" t="s">
        <v>1771</v>
      </c>
      <c r="BY329" s="566">
        <v>75362915</v>
      </c>
      <c r="BZ329" s="177"/>
      <c r="CA329" s="622">
        <v>6500</v>
      </c>
      <c r="CB329" s="183">
        <v>46143</v>
      </c>
      <c r="CC329" s="183">
        <v>46203</v>
      </c>
      <c r="CD329" s="759"/>
      <c r="CE329" s="177">
        <f t="shared" si="592"/>
        <v>30</v>
      </c>
      <c r="CF329" s="1019">
        <f t="shared" si="593"/>
        <v>6500</v>
      </c>
      <c r="CG329" s="177">
        <v>30</v>
      </c>
      <c r="CH329" s="1019">
        <f t="shared" si="594"/>
        <v>6500</v>
      </c>
      <c r="CI329" s="177">
        <v>30</v>
      </c>
      <c r="CJ329" s="1019">
        <f t="shared" si="595"/>
        <v>6500</v>
      </c>
      <c r="CK329" s="177">
        <f t="shared" si="596"/>
        <v>0</v>
      </c>
      <c r="CL329" s="177">
        <f t="shared" si="597"/>
        <v>0</v>
      </c>
      <c r="CM329" s="1006"/>
      <c r="CN329" s="177">
        <f t="shared" si="598"/>
        <v>30</v>
      </c>
      <c r="CO329" s="1019">
        <f t="shared" si="599"/>
        <v>6500</v>
      </c>
      <c r="CP329" s="177">
        <v>30</v>
      </c>
      <c r="CQ329" s="1019">
        <f t="shared" si="600"/>
        <v>6500</v>
      </c>
      <c r="CR329" s="414">
        <v>30</v>
      </c>
      <c r="CS329" s="1019">
        <f t="shared" si="601"/>
        <v>6500</v>
      </c>
      <c r="CT329" s="177">
        <f t="shared" si="602"/>
        <v>0</v>
      </c>
      <c r="CU329" s="177">
        <f t="shared" si="603"/>
        <v>0</v>
      </c>
      <c r="CV329" s="1006"/>
      <c r="CW329" s="1007">
        <f t="shared" si="486"/>
        <v>13000</v>
      </c>
      <c r="CX329" s="486">
        <f t="shared" si="487"/>
        <v>13000</v>
      </c>
      <c r="CY329" s="486">
        <f t="shared" si="488"/>
        <v>13000</v>
      </c>
      <c r="CZ329" s="1007">
        <f t="shared" si="489"/>
        <v>0</v>
      </c>
      <c r="DA329" s="1007">
        <f t="shared" si="490"/>
        <v>0</v>
      </c>
      <c r="DB329" s="126"/>
      <c r="DC329" s="125"/>
    </row>
    <row r="330" spans="1:107" ht="51" hidden="1" x14ac:dyDescent="0.25">
      <c r="A330" s="19">
        <v>2026</v>
      </c>
      <c r="B330" s="20">
        <v>479</v>
      </c>
      <c r="C330" s="21" t="s">
        <v>64</v>
      </c>
      <c r="D330" s="21" t="s">
        <v>65</v>
      </c>
      <c r="E330" s="20">
        <v>125</v>
      </c>
      <c r="F330" s="20">
        <v>3000654</v>
      </c>
      <c r="G330" s="20">
        <v>5005023</v>
      </c>
      <c r="H330" s="20">
        <v>3</v>
      </c>
      <c r="I330" s="20">
        <v>12</v>
      </c>
      <c r="J330" s="20">
        <v>24</v>
      </c>
      <c r="K330" s="20">
        <v>135560</v>
      </c>
      <c r="L330" s="21" t="s">
        <v>98</v>
      </c>
      <c r="M330" s="33" t="s">
        <v>99</v>
      </c>
      <c r="N330" s="19">
        <v>94</v>
      </c>
      <c r="O330" s="2"/>
      <c r="P330" s="2" t="s">
        <v>4</v>
      </c>
      <c r="Q330" s="20" t="s">
        <v>68</v>
      </c>
      <c r="R330" s="25" t="s">
        <v>69</v>
      </c>
      <c r="S330" s="25" t="s">
        <v>137</v>
      </c>
      <c r="T330" s="25"/>
      <c r="U330" s="33" t="s">
        <v>216</v>
      </c>
      <c r="V330" s="25" t="s">
        <v>3</v>
      </c>
      <c r="W330" s="25">
        <v>1</v>
      </c>
      <c r="X330" s="595">
        <v>6500</v>
      </c>
      <c r="Y330" s="619"/>
      <c r="Z330" s="2"/>
      <c r="AA330" s="2"/>
      <c r="AB330" s="620"/>
      <c r="AC330" s="25">
        <v>30</v>
      </c>
      <c r="AD330" s="25">
        <v>30</v>
      </c>
      <c r="AE330" s="619"/>
      <c r="AF330" s="2"/>
      <c r="AG330" s="2"/>
      <c r="AH330" s="2"/>
      <c r="AI330" s="2"/>
      <c r="AJ330" s="621"/>
      <c r="AK330" s="596">
        <v>13000</v>
      </c>
      <c r="AL330" s="29"/>
      <c r="AM330" s="29"/>
      <c r="AN330" s="29"/>
      <c r="AO330" s="29"/>
      <c r="AP330" s="478">
        <v>6500</v>
      </c>
      <c r="AQ330" s="478">
        <v>6500</v>
      </c>
      <c r="AR330" s="29"/>
      <c r="AS330" s="29"/>
      <c r="AT330" s="29"/>
      <c r="AU330" s="29"/>
      <c r="AV330" s="29"/>
      <c r="AW330" s="29"/>
      <c r="AX330" s="30">
        <v>13000</v>
      </c>
      <c r="AY330" s="597" t="s">
        <v>5</v>
      </c>
      <c r="AZ330" s="2" t="s">
        <v>74</v>
      </c>
      <c r="BA330" s="2"/>
      <c r="BK330" s="147" t="s">
        <v>790</v>
      </c>
      <c r="BL330" s="481" t="s">
        <v>791</v>
      </c>
      <c r="BM330" s="125" t="s">
        <v>1611</v>
      </c>
      <c r="BN330" s="177" t="s">
        <v>1612</v>
      </c>
      <c r="BO330" s="125" t="s">
        <v>1613</v>
      </c>
      <c r="BP330" s="129">
        <v>46135</v>
      </c>
      <c r="BQ330" s="18"/>
      <c r="BR330" s="505" t="s">
        <v>1772</v>
      </c>
      <c r="BS330" s="18"/>
      <c r="BT330" s="286" t="s">
        <v>1567</v>
      </c>
      <c r="BU330" s="946" t="s">
        <v>1568</v>
      </c>
      <c r="BV330" s="566" t="s">
        <v>1773</v>
      </c>
      <c r="BW330" s="566" t="s">
        <v>848</v>
      </c>
      <c r="BX330" s="566" t="s">
        <v>1774</v>
      </c>
      <c r="BY330" s="566">
        <v>15739720</v>
      </c>
      <c r="BZ330" s="177"/>
      <c r="CA330" s="622">
        <v>6500</v>
      </c>
      <c r="CB330" s="183">
        <v>46143</v>
      </c>
      <c r="CC330" s="183">
        <v>46203</v>
      </c>
      <c r="CD330" s="759"/>
      <c r="CE330" s="177">
        <f t="shared" si="592"/>
        <v>30</v>
      </c>
      <c r="CF330" s="1019">
        <f t="shared" si="593"/>
        <v>6500</v>
      </c>
      <c r="CG330" s="177">
        <v>30</v>
      </c>
      <c r="CH330" s="1019">
        <f t="shared" si="594"/>
        <v>6500</v>
      </c>
      <c r="CI330" s="177">
        <v>30</v>
      </c>
      <c r="CJ330" s="1019">
        <f t="shared" si="595"/>
        <v>6500</v>
      </c>
      <c r="CK330" s="177">
        <f t="shared" si="596"/>
        <v>0</v>
      </c>
      <c r="CL330" s="177">
        <f t="shared" si="597"/>
        <v>0</v>
      </c>
      <c r="CM330" s="1006"/>
      <c r="CN330" s="177">
        <f t="shared" si="598"/>
        <v>30</v>
      </c>
      <c r="CO330" s="1019">
        <f t="shared" si="599"/>
        <v>6500</v>
      </c>
      <c r="CP330" s="177">
        <v>30</v>
      </c>
      <c r="CQ330" s="1019">
        <f t="shared" si="600"/>
        <v>6500</v>
      </c>
      <c r="CR330" s="414">
        <v>30</v>
      </c>
      <c r="CS330" s="1019">
        <f t="shared" si="601"/>
        <v>6500</v>
      </c>
      <c r="CT330" s="177">
        <f t="shared" si="602"/>
        <v>0</v>
      </c>
      <c r="CU330" s="177">
        <f t="shared" si="603"/>
        <v>0</v>
      </c>
      <c r="CV330" s="1006"/>
      <c r="CW330" s="1007">
        <f t="shared" si="486"/>
        <v>13000</v>
      </c>
      <c r="CX330" s="486">
        <f t="shared" si="487"/>
        <v>13000</v>
      </c>
      <c r="CY330" s="486">
        <f t="shared" si="488"/>
        <v>13000</v>
      </c>
      <c r="CZ330" s="1007">
        <f t="shared" si="489"/>
        <v>0</v>
      </c>
      <c r="DA330" s="1007">
        <f t="shared" si="490"/>
        <v>0</v>
      </c>
      <c r="DB330" s="126"/>
      <c r="DC330" s="125"/>
    </row>
    <row r="331" spans="1:107" ht="51" hidden="1" x14ac:dyDescent="0.25">
      <c r="A331" s="19">
        <v>2026</v>
      </c>
      <c r="B331" s="20">
        <v>479</v>
      </c>
      <c r="C331" s="21" t="s">
        <v>64</v>
      </c>
      <c r="D331" s="21" t="s">
        <v>65</v>
      </c>
      <c r="E331" s="20">
        <v>125</v>
      </c>
      <c r="F331" s="20">
        <v>3000654</v>
      </c>
      <c r="G331" s="20">
        <v>5005023</v>
      </c>
      <c r="H331" s="20">
        <v>3</v>
      </c>
      <c r="I331" s="20">
        <v>12</v>
      </c>
      <c r="J331" s="20">
        <v>24</v>
      </c>
      <c r="K331" s="20">
        <v>135560</v>
      </c>
      <c r="L331" s="21" t="s">
        <v>98</v>
      </c>
      <c r="M331" s="33" t="s">
        <v>99</v>
      </c>
      <c r="N331" s="19">
        <v>94</v>
      </c>
      <c r="O331" s="2"/>
      <c r="P331" s="2" t="s">
        <v>4</v>
      </c>
      <c r="Q331" s="20" t="s">
        <v>68</v>
      </c>
      <c r="R331" s="25" t="s">
        <v>69</v>
      </c>
      <c r="S331" s="25" t="s">
        <v>137</v>
      </c>
      <c r="T331" s="25"/>
      <c r="U331" s="33" t="s">
        <v>216</v>
      </c>
      <c r="V331" s="25" t="s">
        <v>3</v>
      </c>
      <c r="W331" s="25">
        <v>1</v>
      </c>
      <c r="X331" s="595">
        <v>6500</v>
      </c>
      <c r="Y331" s="619"/>
      <c r="Z331" s="2"/>
      <c r="AA331" s="2"/>
      <c r="AB331" s="620"/>
      <c r="AC331" s="25">
        <v>30</v>
      </c>
      <c r="AD331" s="25">
        <v>30</v>
      </c>
      <c r="AE331" s="619"/>
      <c r="AF331" s="2"/>
      <c r="AG331" s="2"/>
      <c r="AH331" s="2"/>
      <c r="AI331" s="2"/>
      <c r="AJ331" s="621"/>
      <c r="AK331" s="596">
        <v>13000</v>
      </c>
      <c r="AL331" s="29"/>
      <c r="AM331" s="29"/>
      <c r="AN331" s="29"/>
      <c r="AO331" s="29"/>
      <c r="AP331" s="478">
        <v>6500</v>
      </c>
      <c r="AQ331" s="478">
        <v>6500</v>
      </c>
      <c r="AR331" s="29"/>
      <c r="AS331" s="29"/>
      <c r="AT331" s="29"/>
      <c r="AU331" s="29"/>
      <c r="AV331" s="29"/>
      <c r="AW331" s="29"/>
      <c r="AX331" s="30">
        <v>13000</v>
      </c>
      <c r="AY331" s="597" t="s">
        <v>5</v>
      </c>
      <c r="AZ331" s="2" t="s">
        <v>74</v>
      </c>
      <c r="BA331" s="2"/>
      <c r="BK331" s="147" t="s">
        <v>790</v>
      </c>
      <c r="BL331" s="481" t="s">
        <v>791</v>
      </c>
      <c r="BM331" s="125" t="s">
        <v>1611</v>
      </c>
      <c r="BN331" s="177" t="s">
        <v>1612</v>
      </c>
      <c r="BO331" s="125" t="s">
        <v>1613</v>
      </c>
      <c r="BP331" s="129">
        <v>46135</v>
      </c>
      <c r="BQ331" s="18"/>
      <c r="BR331" s="505" t="s">
        <v>1775</v>
      </c>
      <c r="BS331" s="18"/>
      <c r="BT331" s="286" t="s">
        <v>1567</v>
      </c>
      <c r="BU331" s="946" t="s">
        <v>1568</v>
      </c>
      <c r="BV331" s="566" t="s">
        <v>1776</v>
      </c>
      <c r="BW331" s="566" t="s">
        <v>1777</v>
      </c>
      <c r="BX331" s="566" t="s">
        <v>1778</v>
      </c>
      <c r="BY331" s="566">
        <v>41053452</v>
      </c>
      <c r="BZ331" s="177"/>
      <c r="CA331" s="622">
        <v>6500</v>
      </c>
      <c r="CB331" s="183">
        <v>46143</v>
      </c>
      <c r="CC331" s="183">
        <v>46203</v>
      </c>
      <c r="CD331" s="759"/>
      <c r="CE331" s="177">
        <f t="shared" si="592"/>
        <v>30</v>
      </c>
      <c r="CF331" s="1019">
        <f t="shared" si="593"/>
        <v>6500</v>
      </c>
      <c r="CG331" s="177">
        <v>30</v>
      </c>
      <c r="CH331" s="1019">
        <f t="shared" si="594"/>
        <v>6500</v>
      </c>
      <c r="CI331" s="177">
        <v>30</v>
      </c>
      <c r="CJ331" s="1019">
        <f t="shared" si="595"/>
        <v>6500</v>
      </c>
      <c r="CK331" s="177">
        <f t="shared" si="596"/>
        <v>0</v>
      </c>
      <c r="CL331" s="177">
        <f t="shared" si="597"/>
        <v>0</v>
      </c>
      <c r="CM331" s="1006"/>
      <c r="CN331" s="177">
        <f t="shared" si="598"/>
        <v>30</v>
      </c>
      <c r="CO331" s="1019">
        <f t="shared" si="599"/>
        <v>6500</v>
      </c>
      <c r="CP331" s="177">
        <v>30</v>
      </c>
      <c r="CQ331" s="1019">
        <f t="shared" si="600"/>
        <v>6500</v>
      </c>
      <c r="CR331" s="414">
        <v>30</v>
      </c>
      <c r="CS331" s="1019">
        <f t="shared" si="601"/>
        <v>6500</v>
      </c>
      <c r="CT331" s="177">
        <f t="shared" si="602"/>
        <v>0</v>
      </c>
      <c r="CU331" s="177">
        <f t="shared" si="603"/>
        <v>0</v>
      </c>
      <c r="CV331" s="1006"/>
      <c r="CW331" s="1007">
        <f t="shared" si="486"/>
        <v>13000</v>
      </c>
      <c r="CX331" s="486">
        <f t="shared" si="487"/>
        <v>13000</v>
      </c>
      <c r="CY331" s="486">
        <f t="shared" si="488"/>
        <v>13000</v>
      </c>
      <c r="CZ331" s="1007">
        <f t="shared" si="489"/>
        <v>0</v>
      </c>
      <c r="DA331" s="1007">
        <f t="shared" si="490"/>
        <v>0</v>
      </c>
      <c r="DB331" s="126"/>
      <c r="DC331" s="125"/>
    </row>
    <row r="332" spans="1:107" ht="51" hidden="1" x14ac:dyDescent="0.25">
      <c r="A332" s="19">
        <v>2026</v>
      </c>
      <c r="B332" s="20">
        <v>479</v>
      </c>
      <c r="C332" s="21" t="s">
        <v>64</v>
      </c>
      <c r="D332" s="21" t="s">
        <v>65</v>
      </c>
      <c r="E332" s="20">
        <v>125</v>
      </c>
      <c r="F332" s="20">
        <v>3000654</v>
      </c>
      <c r="G332" s="20">
        <v>5005023</v>
      </c>
      <c r="H332" s="20">
        <v>3</v>
      </c>
      <c r="I332" s="20">
        <v>12</v>
      </c>
      <c r="J332" s="20">
        <v>24</v>
      </c>
      <c r="K332" s="20">
        <v>135560</v>
      </c>
      <c r="L332" s="21" t="s">
        <v>98</v>
      </c>
      <c r="M332" s="33" t="s">
        <v>99</v>
      </c>
      <c r="N332" s="19">
        <v>94</v>
      </c>
      <c r="O332" s="2"/>
      <c r="P332" s="2" t="s">
        <v>4</v>
      </c>
      <c r="Q332" s="20" t="s">
        <v>68</v>
      </c>
      <c r="R332" s="25" t="s">
        <v>69</v>
      </c>
      <c r="S332" s="25" t="s">
        <v>137</v>
      </c>
      <c r="T332" s="25"/>
      <c r="U332" s="33" t="s">
        <v>216</v>
      </c>
      <c r="V332" s="25" t="s">
        <v>3</v>
      </c>
      <c r="W332" s="25">
        <v>1</v>
      </c>
      <c r="X332" s="595">
        <v>6500</v>
      </c>
      <c r="Y332" s="619"/>
      <c r="Z332" s="2"/>
      <c r="AA332" s="2"/>
      <c r="AB332" s="620"/>
      <c r="AC332" s="25">
        <v>30</v>
      </c>
      <c r="AD332" s="25">
        <v>30</v>
      </c>
      <c r="AE332" s="619"/>
      <c r="AF332" s="2"/>
      <c r="AG332" s="2"/>
      <c r="AH332" s="2"/>
      <c r="AI332" s="2"/>
      <c r="AJ332" s="621"/>
      <c r="AK332" s="596">
        <v>13000</v>
      </c>
      <c r="AL332" s="29"/>
      <c r="AM332" s="29"/>
      <c r="AN332" s="29"/>
      <c r="AO332" s="29"/>
      <c r="AP332" s="478">
        <v>6500</v>
      </c>
      <c r="AQ332" s="478">
        <v>6500</v>
      </c>
      <c r="AR332" s="29"/>
      <c r="AS332" s="29"/>
      <c r="AT332" s="29"/>
      <c r="AU332" s="29"/>
      <c r="AV332" s="29"/>
      <c r="AW332" s="29"/>
      <c r="AX332" s="30">
        <v>13000</v>
      </c>
      <c r="AY332" s="597" t="s">
        <v>5</v>
      </c>
      <c r="AZ332" s="2" t="s">
        <v>74</v>
      </c>
      <c r="BA332" s="2"/>
      <c r="BK332" s="147" t="s">
        <v>790</v>
      </c>
      <c r="BL332" s="481" t="s">
        <v>791</v>
      </c>
      <c r="BM332" s="125" t="s">
        <v>1611</v>
      </c>
      <c r="BN332" s="177" t="s">
        <v>1612</v>
      </c>
      <c r="BO332" s="125" t="s">
        <v>1613</v>
      </c>
      <c r="BP332" s="129">
        <v>46135</v>
      </c>
      <c r="BQ332" s="18"/>
      <c r="BR332" s="505" t="s">
        <v>1779</v>
      </c>
      <c r="BS332" s="18"/>
      <c r="BT332" s="286" t="s">
        <v>1567</v>
      </c>
      <c r="BU332" s="946" t="s">
        <v>1568</v>
      </c>
      <c r="BV332" s="566" t="s">
        <v>1780</v>
      </c>
      <c r="BW332" s="566" t="s">
        <v>1781</v>
      </c>
      <c r="BX332" s="566" t="s">
        <v>1782</v>
      </c>
      <c r="BY332" s="566">
        <v>33265284</v>
      </c>
      <c r="BZ332" s="177"/>
      <c r="CA332" s="622">
        <v>6500</v>
      </c>
      <c r="CB332" s="183">
        <v>46143</v>
      </c>
      <c r="CC332" s="183">
        <v>46203</v>
      </c>
      <c r="CD332" s="759"/>
      <c r="CE332" s="177">
        <f t="shared" si="592"/>
        <v>30</v>
      </c>
      <c r="CF332" s="1019">
        <f t="shared" si="593"/>
        <v>6500</v>
      </c>
      <c r="CG332" s="177">
        <v>30</v>
      </c>
      <c r="CH332" s="1019">
        <f t="shared" si="594"/>
        <v>6500</v>
      </c>
      <c r="CI332" s="177">
        <v>30</v>
      </c>
      <c r="CJ332" s="1019">
        <f t="shared" si="595"/>
        <v>6500</v>
      </c>
      <c r="CK332" s="177">
        <f t="shared" si="596"/>
        <v>0</v>
      </c>
      <c r="CL332" s="177">
        <f t="shared" si="597"/>
        <v>0</v>
      </c>
      <c r="CM332" s="1006"/>
      <c r="CN332" s="177">
        <f t="shared" si="598"/>
        <v>30</v>
      </c>
      <c r="CO332" s="1019">
        <f t="shared" si="599"/>
        <v>6500</v>
      </c>
      <c r="CP332" s="177">
        <v>30</v>
      </c>
      <c r="CQ332" s="1019">
        <f t="shared" si="600"/>
        <v>6500</v>
      </c>
      <c r="CR332" s="414">
        <v>30</v>
      </c>
      <c r="CS332" s="1019">
        <f t="shared" si="601"/>
        <v>6500</v>
      </c>
      <c r="CT332" s="177">
        <f t="shared" si="602"/>
        <v>0</v>
      </c>
      <c r="CU332" s="177">
        <f t="shared" si="603"/>
        <v>0</v>
      </c>
      <c r="CV332" s="1006"/>
      <c r="CW332" s="1007">
        <f t="shared" si="486"/>
        <v>13000</v>
      </c>
      <c r="CX332" s="486">
        <f t="shared" si="487"/>
        <v>13000</v>
      </c>
      <c r="CY332" s="486">
        <f t="shared" si="488"/>
        <v>13000</v>
      </c>
      <c r="CZ332" s="1007">
        <f t="shared" si="489"/>
        <v>0</v>
      </c>
      <c r="DA332" s="1007">
        <f t="shared" si="490"/>
        <v>0</v>
      </c>
      <c r="DB332" s="126"/>
      <c r="DC332" s="125"/>
    </row>
    <row r="333" spans="1:107" ht="51" hidden="1" x14ac:dyDescent="0.25">
      <c r="A333" s="19">
        <v>2026</v>
      </c>
      <c r="B333" s="20">
        <v>479</v>
      </c>
      <c r="C333" s="21" t="s">
        <v>64</v>
      </c>
      <c r="D333" s="21" t="s">
        <v>65</v>
      </c>
      <c r="E333" s="20">
        <v>125</v>
      </c>
      <c r="F333" s="20">
        <v>3000654</v>
      </c>
      <c r="G333" s="20">
        <v>5005023</v>
      </c>
      <c r="H333" s="20">
        <v>3</v>
      </c>
      <c r="I333" s="20">
        <v>12</v>
      </c>
      <c r="J333" s="20">
        <v>24</v>
      </c>
      <c r="K333" s="20">
        <v>135560</v>
      </c>
      <c r="L333" s="21" t="s">
        <v>98</v>
      </c>
      <c r="M333" s="33" t="s">
        <v>99</v>
      </c>
      <c r="N333" s="19">
        <v>94</v>
      </c>
      <c r="O333" s="2"/>
      <c r="P333" s="2" t="s">
        <v>4</v>
      </c>
      <c r="Q333" s="20" t="s">
        <v>68</v>
      </c>
      <c r="R333" s="25" t="s">
        <v>69</v>
      </c>
      <c r="S333" s="25" t="s">
        <v>137</v>
      </c>
      <c r="T333" s="25"/>
      <c r="U333" s="33" t="s">
        <v>216</v>
      </c>
      <c r="V333" s="25" t="s">
        <v>3</v>
      </c>
      <c r="W333" s="25">
        <v>1</v>
      </c>
      <c r="X333" s="595">
        <v>6500</v>
      </c>
      <c r="Y333" s="619"/>
      <c r="Z333" s="2"/>
      <c r="AA333" s="2"/>
      <c r="AB333" s="620"/>
      <c r="AC333" s="25">
        <v>30</v>
      </c>
      <c r="AD333" s="25">
        <v>30</v>
      </c>
      <c r="AE333" s="619"/>
      <c r="AF333" s="2"/>
      <c r="AG333" s="2"/>
      <c r="AH333" s="2"/>
      <c r="AI333" s="2"/>
      <c r="AJ333" s="621"/>
      <c r="AK333" s="596">
        <v>13000</v>
      </c>
      <c r="AL333" s="29"/>
      <c r="AM333" s="29"/>
      <c r="AN333" s="29"/>
      <c r="AO333" s="29"/>
      <c r="AP333" s="478">
        <v>6500</v>
      </c>
      <c r="AQ333" s="478">
        <v>6500</v>
      </c>
      <c r="AR333" s="29"/>
      <c r="AS333" s="29"/>
      <c r="AT333" s="29"/>
      <c r="AU333" s="29"/>
      <c r="AV333" s="29"/>
      <c r="AW333" s="29"/>
      <c r="AX333" s="30">
        <v>13000</v>
      </c>
      <c r="AY333" s="597" t="s">
        <v>5</v>
      </c>
      <c r="AZ333" s="2" t="s">
        <v>74</v>
      </c>
      <c r="BA333" s="2"/>
      <c r="BK333" s="147" t="s">
        <v>790</v>
      </c>
      <c r="BL333" s="481" t="s">
        <v>791</v>
      </c>
      <c r="BM333" s="125" t="s">
        <v>1611</v>
      </c>
      <c r="BN333" s="177" t="s">
        <v>1612</v>
      </c>
      <c r="BO333" s="125" t="s">
        <v>1613</v>
      </c>
      <c r="BP333" s="129">
        <v>46135</v>
      </c>
      <c r="BQ333" s="18"/>
      <c r="BR333" s="505" t="s">
        <v>1783</v>
      </c>
      <c r="BS333" s="18"/>
      <c r="BT333" s="286" t="s">
        <v>1567</v>
      </c>
      <c r="BU333" s="946" t="s">
        <v>1568</v>
      </c>
      <c r="BV333" s="566" t="s">
        <v>993</v>
      </c>
      <c r="BW333" s="566" t="s">
        <v>1439</v>
      </c>
      <c r="BX333" s="566" t="s">
        <v>1784</v>
      </c>
      <c r="BY333" s="566">
        <v>73028864</v>
      </c>
      <c r="BZ333" s="177"/>
      <c r="CA333" s="622">
        <v>6500</v>
      </c>
      <c r="CB333" s="183">
        <v>46143</v>
      </c>
      <c r="CC333" s="183">
        <v>46203</v>
      </c>
      <c r="CD333" s="759"/>
      <c r="CE333" s="177">
        <f t="shared" si="592"/>
        <v>30</v>
      </c>
      <c r="CF333" s="1019">
        <f t="shared" si="593"/>
        <v>6500</v>
      </c>
      <c r="CG333" s="177">
        <v>30</v>
      </c>
      <c r="CH333" s="1019">
        <f t="shared" si="594"/>
        <v>6500</v>
      </c>
      <c r="CI333" s="177">
        <v>30</v>
      </c>
      <c r="CJ333" s="1019">
        <f t="shared" si="595"/>
        <v>6500</v>
      </c>
      <c r="CK333" s="177">
        <f t="shared" si="596"/>
        <v>0</v>
      </c>
      <c r="CL333" s="177">
        <f t="shared" si="597"/>
        <v>0</v>
      </c>
      <c r="CM333" s="1006"/>
      <c r="CN333" s="177">
        <f t="shared" si="598"/>
        <v>30</v>
      </c>
      <c r="CO333" s="1019">
        <f t="shared" si="599"/>
        <v>6500</v>
      </c>
      <c r="CP333" s="177">
        <v>30</v>
      </c>
      <c r="CQ333" s="1019">
        <f t="shared" si="600"/>
        <v>6500</v>
      </c>
      <c r="CR333" s="414">
        <v>30</v>
      </c>
      <c r="CS333" s="1019">
        <f t="shared" si="601"/>
        <v>6500</v>
      </c>
      <c r="CT333" s="177">
        <f t="shared" si="602"/>
        <v>0</v>
      </c>
      <c r="CU333" s="177">
        <f t="shared" si="603"/>
        <v>0</v>
      </c>
      <c r="CV333" s="1006"/>
      <c r="CW333" s="1007">
        <f t="shared" si="486"/>
        <v>13000</v>
      </c>
      <c r="CX333" s="486">
        <f t="shared" si="487"/>
        <v>13000</v>
      </c>
      <c r="CY333" s="486">
        <f t="shared" si="488"/>
        <v>13000</v>
      </c>
      <c r="CZ333" s="1007">
        <f t="shared" si="489"/>
        <v>0</v>
      </c>
      <c r="DA333" s="1007">
        <f t="shared" si="490"/>
        <v>0</v>
      </c>
      <c r="DB333" s="126"/>
      <c r="DC333" s="125"/>
    </row>
    <row r="334" spans="1:107" ht="51" hidden="1" x14ac:dyDescent="0.25">
      <c r="A334" s="19">
        <v>2026</v>
      </c>
      <c r="B334" s="20">
        <v>479</v>
      </c>
      <c r="C334" s="21" t="s">
        <v>64</v>
      </c>
      <c r="D334" s="21" t="s">
        <v>65</v>
      </c>
      <c r="E334" s="20">
        <v>125</v>
      </c>
      <c r="F334" s="20">
        <v>3000654</v>
      </c>
      <c r="G334" s="20">
        <v>5005023</v>
      </c>
      <c r="H334" s="20">
        <v>3</v>
      </c>
      <c r="I334" s="20">
        <v>12</v>
      </c>
      <c r="J334" s="20">
        <v>24</v>
      </c>
      <c r="K334" s="20">
        <v>135560</v>
      </c>
      <c r="L334" s="21" t="s">
        <v>98</v>
      </c>
      <c r="M334" s="33" t="s">
        <v>99</v>
      </c>
      <c r="N334" s="19">
        <v>94</v>
      </c>
      <c r="O334" s="2"/>
      <c r="P334" s="2" t="s">
        <v>4</v>
      </c>
      <c r="Q334" s="20" t="s">
        <v>68</v>
      </c>
      <c r="R334" s="25" t="s">
        <v>69</v>
      </c>
      <c r="S334" s="25" t="s">
        <v>137</v>
      </c>
      <c r="T334" s="25"/>
      <c r="U334" s="33" t="s">
        <v>216</v>
      </c>
      <c r="V334" s="25" t="s">
        <v>3</v>
      </c>
      <c r="W334" s="25">
        <v>1</v>
      </c>
      <c r="X334" s="595">
        <v>6500</v>
      </c>
      <c r="Y334" s="619"/>
      <c r="Z334" s="2"/>
      <c r="AA334" s="2"/>
      <c r="AB334" s="620"/>
      <c r="AC334" s="25">
        <v>30</v>
      </c>
      <c r="AD334" s="25">
        <v>30</v>
      </c>
      <c r="AE334" s="619"/>
      <c r="AF334" s="2"/>
      <c r="AG334" s="2"/>
      <c r="AH334" s="2"/>
      <c r="AI334" s="2"/>
      <c r="AJ334" s="621"/>
      <c r="AK334" s="596">
        <v>13000</v>
      </c>
      <c r="AL334" s="29"/>
      <c r="AM334" s="29"/>
      <c r="AN334" s="29"/>
      <c r="AO334" s="29"/>
      <c r="AP334" s="478">
        <v>6500</v>
      </c>
      <c r="AQ334" s="478">
        <v>6500</v>
      </c>
      <c r="AR334" s="29"/>
      <c r="AS334" s="29"/>
      <c r="AT334" s="29"/>
      <c r="AU334" s="29"/>
      <c r="AV334" s="29"/>
      <c r="AW334" s="29"/>
      <c r="AX334" s="30">
        <v>13000</v>
      </c>
      <c r="AY334" s="597" t="s">
        <v>5</v>
      </c>
      <c r="AZ334" s="2" t="s">
        <v>74</v>
      </c>
      <c r="BA334" s="2"/>
      <c r="BK334" s="147" t="s">
        <v>790</v>
      </c>
      <c r="BL334" s="481" t="s">
        <v>791</v>
      </c>
      <c r="BM334" s="125" t="s">
        <v>1611</v>
      </c>
      <c r="BN334" s="177" t="s">
        <v>1612</v>
      </c>
      <c r="BO334" s="125" t="s">
        <v>1613</v>
      </c>
      <c r="BP334" s="129">
        <v>46135</v>
      </c>
      <c r="BQ334" s="18"/>
      <c r="BR334" s="505" t="s">
        <v>1785</v>
      </c>
      <c r="BS334" s="18"/>
      <c r="BT334" s="286" t="s">
        <v>1567</v>
      </c>
      <c r="BU334" s="946" t="s">
        <v>1568</v>
      </c>
      <c r="BV334" s="566" t="s">
        <v>1786</v>
      </c>
      <c r="BW334" s="566" t="s">
        <v>1787</v>
      </c>
      <c r="BX334" s="566" t="s">
        <v>1788</v>
      </c>
      <c r="BY334" s="566">
        <v>43435423</v>
      </c>
      <c r="BZ334" s="177"/>
      <c r="CA334" s="622">
        <v>6500</v>
      </c>
      <c r="CB334" s="183">
        <v>46143</v>
      </c>
      <c r="CC334" s="183">
        <v>46203</v>
      </c>
      <c r="CD334" s="759"/>
      <c r="CE334" s="177">
        <f t="shared" si="592"/>
        <v>30</v>
      </c>
      <c r="CF334" s="1019">
        <f t="shared" si="593"/>
        <v>6500</v>
      </c>
      <c r="CG334" s="177">
        <v>30</v>
      </c>
      <c r="CH334" s="1019">
        <f t="shared" si="594"/>
        <v>6500</v>
      </c>
      <c r="CI334" s="177">
        <v>30</v>
      </c>
      <c r="CJ334" s="1019">
        <f t="shared" si="595"/>
        <v>6500</v>
      </c>
      <c r="CK334" s="177">
        <f t="shared" si="596"/>
        <v>0</v>
      </c>
      <c r="CL334" s="177">
        <f t="shared" si="597"/>
        <v>0</v>
      </c>
      <c r="CM334" s="1006"/>
      <c r="CN334" s="177">
        <f t="shared" si="598"/>
        <v>30</v>
      </c>
      <c r="CO334" s="1019">
        <f t="shared" si="599"/>
        <v>6500</v>
      </c>
      <c r="CP334" s="177">
        <v>30</v>
      </c>
      <c r="CQ334" s="1019">
        <f t="shared" si="600"/>
        <v>6500</v>
      </c>
      <c r="CR334" s="414">
        <v>30</v>
      </c>
      <c r="CS334" s="1019">
        <f t="shared" si="601"/>
        <v>6500</v>
      </c>
      <c r="CT334" s="177">
        <f t="shared" si="602"/>
        <v>0</v>
      </c>
      <c r="CU334" s="177">
        <f t="shared" si="603"/>
        <v>0</v>
      </c>
      <c r="CV334" s="1006"/>
      <c r="CW334" s="1007">
        <f t="shared" si="486"/>
        <v>13000</v>
      </c>
      <c r="CX334" s="486">
        <f t="shared" si="487"/>
        <v>13000</v>
      </c>
      <c r="CY334" s="486">
        <f t="shared" si="488"/>
        <v>13000</v>
      </c>
      <c r="CZ334" s="1007">
        <f t="shared" si="489"/>
        <v>0</v>
      </c>
      <c r="DA334" s="1007">
        <f t="shared" si="490"/>
        <v>0</v>
      </c>
      <c r="DB334" s="126"/>
      <c r="DC334" s="125"/>
    </row>
    <row r="335" spans="1:107" ht="51" hidden="1" x14ac:dyDescent="0.25">
      <c r="A335" s="19">
        <v>2026</v>
      </c>
      <c r="B335" s="20">
        <v>479</v>
      </c>
      <c r="C335" s="21" t="s">
        <v>64</v>
      </c>
      <c r="D335" s="21" t="s">
        <v>65</v>
      </c>
      <c r="E335" s="20">
        <v>125</v>
      </c>
      <c r="F335" s="20">
        <v>3000654</v>
      </c>
      <c r="G335" s="20">
        <v>5005023</v>
      </c>
      <c r="H335" s="20">
        <v>3</v>
      </c>
      <c r="I335" s="20">
        <v>12</v>
      </c>
      <c r="J335" s="20">
        <v>24</v>
      </c>
      <c r="K335" s="20">
        <v>135560</v>
      </c>
      <c r="L335" s="21" t="s">
        <v>98</v>
      </c>
      <c r="M335" s="33" t="s">
        <v>99</v>
      </c>
      <c r="N335" s="19">
        <v>94</v>
      </c>
      <c r="O335" s="2"/>
      <c r="P335" s="2" t="s">
        <v>4</v>
      </c>
      <c r="Q335" s="20" t="s">
        <v>68</v>
      </c>
      <c r="R335" s="25" t="s">
        <v>69</v>
      </c>
      <c r="S335" s="25" t="s">
        <v>137</v>
      </c>
      <c r="T335" s="25"/>
      <c r="U335" s="33" t="s">
        <v>217</v>
      </c>
      <c r="V335" s="25" t="s">
        <v>3</v>
      </c>
      <c r="W335" s="25">
        <v>1</v>
      </c>
      <c r="X335" s="595">
        <v>4500</v>
      </c>
      <c r="Y335" s="619"/>
      <c r="Z335" s="2"/>
      <c r="AA335" s="2"/>
      <c r="AB335" s="620"/>
      <c r="AC335" s="25">
        <v>30</v>
      </c>
      <c r="AD335" s="25">
        <v>30</v>
      </c>
      <c r="AE335" s="619"/>
      <c r="AF335" s="2"/>
      <c r="AG335" s="2"/>
      <c r="AH335" s="2"/>
      <c r="AI335" s="2"/>
      <c r="AJ335" s="621"/>
      <c r="AK335" s="596">
        <v>9000</v>
      </c>
      <c r="AL335" s="29" t="s">
        <v>73</v>
      </c>
      <c r="AM335" s="29" t="s">
        <v>73</v>
      </c>
      <c r="AN335" s="29" t="s">
        <v>73</v>
      </c>
      <c r="AO335" s="29" t="s">
        <v>73</v>
      </c>
      <c r="AP335" s="478">
        <v>4500</v>
      </c>
      <c r="AQ335" s="478">
        <v>4500</v>
      </c>
      <c r="AR335" s="29" t="s">
        <v>73</v>
      </c>
      <c r="AS335" s="29" t="s">
        <v>73</v>
      </c>
      <c r="AT335" s="29" t="s">
        <v>73</v>
      </c>
      <c r="AU335" s="29" t="s">
        <v>73</v>
      </c>
      <c r="AV335" s="29" t="s">
        <v>73</v>
      </c>
      <c r="AW335" s="29" t="s">
        <v>73</v>
      </c>
      <c r="AX335" s="30">
        <v>9000</v>
      </c>
      <c r="AY335" s="597" t="s">
        <v>5</v>
      </c>
      <c r="AZ335" s="2" t="s">
        <v>74</v>
      </c>
      <c r="BA335" s="2"/>
      <c r="BK335" s="147" t="s">
        <v>790</v>
      </c>
      <c r="BL335" s="481" t="s">
        <v>791</v>
      </c>
      <c r="BM335" s="125" t="s">
        <v>1611</v>
      </c>
      <c r="BN335" s="177" t="s">
        <v>1612</v>
      </c>
      <c r="BO335" s="125" t="s">
        <v>1613</v>
      </c>
      <c r="BP335" s="129">
        <v>46135</v>
      </c>
      <c r="BQ335" s="18"/>
      <c r="BR335" s="505" t="s">
        <v>1789</v>
      </c>
      <c r="BS335" s="18"/>
      <c r="BT335" s="286" t="s">
        <v>1567</v>
      </c>
      <c r="BU335" s="946" t="s">
        <v>1568</v>
      </c>
      <c r="BV335" s="566" t="s">
        <v>1007</v>
      </c>
      <c r="BW335" s="566" t="s">
        <v>1790</v>
      </c>
      <c r="BX335" s="566" t="s">
        <v>1791</v>
      </c>
      <c r="BY335" s="566">
        <v>73832246</v>
      </c>
      <c r="BZ335" s="177"/>
      <c r="CA335" s="126">
        <v>4500</v>
      </c>
      <c r="CB335" s="183">
        <v>46143</v>
      </c>
      <c r="CC335" s="183">
        <v>46203</v>
      </c>
      <c r="CD335" s="759"/>
      <c r="CE335" s="177">
        <f t="shared" si="491"/>
        <v>30</v>
      </c>
      <c r="CF335" s="1019">
        <f t="shared" si="492"/>
        <v>4500</v>
      </c>
      <c r="CG335" s="177">
        <v>30</v>
      </c>
      <c r="CH335" s="1019">
        <f t="shared" si="493"/>
        <v>4500</v>
      </c>
      <c r="CI335" s="177">
        <v>30</v>
      </c>
      <c r="CJ335" s="1019">
        <f t="shared" si="494"/>
        <v>4500</v>
      </c>
      <c r="CK335" s="177">
        <f t="shared" si="495"/>
        <v>0</v>
      </c>
      <c r="CL335" s="177">
        <f t="shared" si="496"/>
        <v>0</v>
      </c>
      <c r="CM335" s="1006"/>
      <c r="CN335" s="177">
        <f t="shared" si="497"/>
        <v>30</v>
      </c>
      <c r="CO335" s="1019">
        <f t="shared" si="498"/>
        <v>4500</v>
      </c>
      <c r="CP335" s="177">
        <v>30</v>
      </c>
      <c r="CQ335" s="1019">
        <f t="shared" si="499"/>
        <v>4500</v>
      </c>
      <c r="CR335" s="414">
        <v>30</v>
      </c>
      <c r="CS335" s="1019">
        <f t="shared" si="500"/>
        <v>4500</v>
      </c>
      <c r="CT335" s="177">
        <f t="shared" si="501"/>
        <v>0</v>
      </c>
      <c r="CU335" s="177">
        <f t="shared" si="502"/>
        <v>0</v>
      </c>
      <c r="CV335" s="1006"/>
      <c r="CW335" s="1007">
        <f t="shared" si="486"/>
        <v>9000</v>
      </c>
      <c r="CX335" s="486">
        <f t="shared" si="487"/>
        <v>9000</v>
      </c>
      <c r="CY335" s="486">
        <f t="shared" si="488"/>
        <v>9000</v>
      </c>
      <c r="CZ335" s="1007">
        <f t="shared" si="489"/>
        <v>0</v>
      </c>
      <c r="DA335" s="1007">
        <f t="shared" si="490"/>
        <v>0</v>
      </c>
      <c r="DB335" s="126"/>
      <c r="DC335" s="125"/>
    </row>
    <row r="336" spans="1:107" ht="51" hidden="1" x14ac:dyDescent="0.25">
      <c r="A336" s="19">
        <v>2026</v>
      </c>
      <c r="B336" s="20">
        <v>479</v>
      </c>
      <c r="C336" s="21" t="s">
        <v>64</v>
      </c>
      <c r="D336" s="21" t="s">
        <v>65</v>
      </c>
      <c r="E336" s="20">
        <v>125</v>
      </c>
      <c r="F336" s="20">
        <v>3000654</v>
      </c>
      <c r="G336" s="20">
        <v>5005023</v>
      </c>
      <c r="H336" s="20">
        <v>3</v>
      </c>
      <c r="I336" s="20">
        <v>12</v>
      </c>
      <c r="J336" s="20">
        <v>24</v>
      </c>
      <c r="K336" s="20">
        <v>135560</v>
      </c>
      <c r="L336" s="21" t="s">
        <v>98</v>
      </c>
      <c r="M336" s="33" t="s">
        <v>99</v>
      </c>
      <c r="N336" s="19">
        <v>94</v>
      </c>
      <c r="O336" s="2"/>
      <c r="P336" s="2" t="s">
        <v>4</v>
      </c>
      <c r="Q336" s="20" t="s">
        <v>68</v>
      </c>
      <c r="R336" s="25" t="s">
        <v>69</v>
      </c>
      <c r="S336" s="25" t="s">
        <v>137</v>
      </c>
      <c r="T336" s="25"/>
      <c r="U336" s="33" t="s">
        <v>217</v>
      </c>
      <c r="V336" s="25" t="s">
        <v>3</v>
      </c>
      <c r="W336" s="25">
        <v>1</v>
      </c>
      <c r="X336" s="595">
        <v>4500</v>
      </c>
      <c r="Y336" s="619"/>
      <c r="Z336" s="2"/>
      <c r="AA336" s="2"/>
      <c r="AB336" s="620"/>
      <c r="AC336" s="25">
        <v>30</v>
      </c>
      <c r="AD336" s="25">
        <v>30</v>
      </c>
      <c r="AE336" s="619"/>
      <c r="AF336" s="2"/>
      <c r="AG336" s="2"/>
      <c r="AH336" s="2"/>
      <c r="AI336" s="2"/>
      <c r="AJ336" s="621"/>
      <c r="AK336" s="596">
        <v>9000</v>
      </c>
      <c r="AL336" s="29" t="s">
        <v>73</v>
      </c>
      <c r="AM336" s="29" t="s">
        <v>73</v>
      </c>
      <c r="AN336" s="29" t="s">
        <v>73</v>
      </c>
      <c r="AO336" s="29" t="s">
        <v>73</v>
      </c>
      <c r="AP336" s="478">
        <v>4500</v>
      </c>
      <c r="AQ336" s="478">
        <v>4500</v>
      </c>
      <c r="AR336" s="29" t="s">
        <v>73</v>
      </c>
      <c r="AS336" s="29" t="s">
        <v>73</v>
      </c>
      <c r="AT336" s="29" t="s">
        <v>73</v>
      </c>
      <c r="AU336" s="29" t="s">
        <v>73</v>
      </c>
      <c r="AV336" s="29" t="s">
        <v>73</v>
      </c>
      <c r="AW336" s="29" t="s">
        <v>73</v>
      </c>
      <c r="AX336" s="30">
        <v>9000</v>
      </c>
      <c r="AY336" s="597" t="s">
        <v>5</v>
      </c>
      <c r="AZ336" s="2" t="s">
        <v>74</v>
      </c>
      <c r="BA336" s="2"/>
      <c r="BK336" s="147" t="s">
        <v>790</v>
      </c>
      <c r="BL336" s="481" t="s">
        <v>791</v>
      </c>
      <c r="BM336" s="125" t="s">
        <v>1611</v>
      </c>
      <c r="BN336" s="177" t="s">
        <v>1612</v>
      </c>
      <c r="BO336" s="125" t="s">
        <v>1613</v>
      </c>
      <c r="BP336" s="129">
        <v>46135</v>
      </c>
      <c r="BQ336" s="18"/>
      <c r="BR336" s="505" t="s">
        <v>1792</v>
      </c>
      <c r="BS336" s="18"/>
      <c r="BT336" s="286" t="s">
        <v>1567</v>
      </c>
      <c r="BU336" s="946" t="s">
        <v>1568</v>
      </c>
      <c r="BV336" s="566" t="s">
        <v>1793</v>
      </c>
      <c r="BW336" s="566" t="s">
        <v>890</v>
      </c>
      <c r="BX336" s="566" t="s">
        <v>1794</v>
      </c>
      <c r="BY336" s="566">
        <v>45114987</v>
      </c>
      <c r="BZ336" s="177"/>
      <c r="CA336" s="126">
        <v>4500</v>
      </c>
      <c r="CB336" s="183">
        <v>46143</v>
      </c>
      <c r="CC336" s="183">
        <v>46203</v>
      </c>
      <c r="CD336" s="759"/>
      <c r="CE336" s="177">
        <f t="shared" si="491"/>
        <v>30</v>
      </c>
      <c r="CF336" s="1019">
        <f t="shared" si="492"/>
        <v>4500</v>
      </c>
      <c r="CG336" s="177">
        <v>30</v>
      </c>
      <c r="CH336" s="1019">
        <f t="shared" si="493"/>
        <v>4500</v>
      </c>
      <c r="CI336" s="177">
        <v>30</v>
      </c>
      <c r="CJ336" s="1019">
        <f t="shared" si="494"/>
        <v>4500</v>
      </c>
      <c r="CK336" s="177">
        <f t="shared" ref="CK336:CK337" si="604">CF336-CH336</f>
        <v>0</v>
      </c>
      <c r="CL336" s="177">
        <f t="shared" ref="CL336:CL337" si="605">CF336-CJ336</f>
        <v>0</v>
      </c>
      <c r="CM336" s="1006"/>
      <c r="CN336" s="177">
        <f t="shared" si="497"/>
        <v>30</v>
      </c>
      <c r="CO336" s="1019">
        <f t="shared" si="498"/>
        <v>4500</v>
      </c>
      <c r="CP336" s="177">
        <v>30</v>
      </c>
      <c r="CQ336" s="1019">
        <v>4500</v>
      </c>
      <c r="CR336" s="414">
        <v>30</v>
      </c>
      <c r="CS336" s="1019">
        <v>4500</v>
      </c>
      <c r="CT336" s="177">
        <f t="shared" ref="CT336:CT337" si="606">CO336-CQ336</f>
        <v>0</v>
      </c>
      <c r="CU336" s="177">
        <f t="shared" ref="CU336:CU337" si="607">CO336-CS336</f>
        <v>0</v>
      </c>
      <c r="CV336" s="1006"/>
      <c r="CW336" s="1007">
        <f t="shared" si="486"/>
        <v>9000</v>
      </c>
      <c r="CX336" s="486">
        <f t="shared" si="487"/>
        <v>9000</v>
      </c>
      <c r="CY336" s="486">
        <f t="shared" si="488"/>
        <v>9000</v>
      </c>
      <c r="CZ336" s="1007">
        <f t="shared" si="489"/>
        <v>0</v>
      </c>
      <c r="DA336" s="1007">
        <f t="shared" si="490"/>
        <v>0</v>
      </c>
      <c r="DB336" s="126"/>
      <c r="DC336" s="125"/>
    </row>
    <row r="337" spans="1:108" ht="51" hidden="1" x14ac:dyDescent="0.25">
      <c r="A337" s="19">
        <v>2026</v>
      </c>
      <c r="B337" s="20">
        <v>479</v>
      </c>
      <c r="C337" s="21" t="s">
        <v>64</v>
      </c>
      <c r="D337" s="21" t="s">
        <v>65</v>
      </c>
      <c r="E337" s="20">
        <v>125</v>
      </c>
      <c r="F337" s="20">
        <v>3000654</v>
      </c>
      <c r="G337" s="20">
        <v>5005023</v>
      </c>
      <c r="H337" s="20">
        <v>3</v>
      </c>
      <c r="I337" s="20">
        <v>12</v>
      </c>
      <c r="J337" s="20">
        <v>24</v>
      </c>
      <c r="K337" s="20">
        <v>135560</v>
      </c>
      <c r="L337" s="21" t="s">
        <v>98</v>
      </c>
      <c r="M337" s="33" t="s">
        <v>99</v>
      </c>
      <c r="N337" s="19">
        <v>94</v>
      </c>
      <c r="O337" s="2"/>
      <c r="P337" s="2" t="s">
        <v>4</v>
      </c>
      <c r="Q337" s="20" t="s">
        <v>68</v>
      </c>
      <c r="R337" s="25" t="s">
        <v>69</v>
      </c>
      <c r="S337" s="25" t="s">
        <v>137</v>
      </c>
      <c r="T337" s="25"/>
      <c r="U337" s="33" t="s">
        <v>217</v>
      </c>
      <c r="V337" s="25" t="s">
        <v>3</v>
      </c>
      <c r="W337" s="25">
        <v>1</v>
      </c>
      <c r="X337" s="595">
        <v>4500</v>
      </c>
      <c r="Y337" s="619"/>
      <c r="Z337" s="2"/>
      <c r="AA337" s="2"/>
      <c r="AB337" s="620"/>
      <c r="AC337" s="25">
        <v>30</v>
      </c>
      <c r="AD337" s="25">
        <v>30</v>
      </c>
      <c r="AE337" s="619"/>
      <c r="AF337" s="2"/>
      <c r="AG337" s="2"/>
      <c r="AH337" s="2"/>
      <c r="AI337" s="2"/>
      <c r="AJ337" s="621"/>
      <c r="AK337" s="596">
        <v>9000</v>
      </c>
      <c r="AL337" s="29" t="s">
        <v>73</v>
      </c>
      <c r="AM337" s="29" t="s">
        <v>73</v>
      </c>
      <c r="AN337" s="29" t="s">
        <v>73</v>
      </c>
      <c r="AO337" s="29" t="s">
        <v>73</v>
      </c>
      <c r="AP337" s="478">
        <v>4500</v>
      </c>
      <c r="AQ337" s="478">
        <v>4500</v>
      </c>
      <c r="AR337" s="29" t="s">
        <v>73</v>
      </c>
      <c r="AS337" s="29" t="s">
        <v>73</v>
      </c>
      <c r="AT337" s="29" t="s">
        <v>73</v>
      </c>
      <c r="AU337" s="29" t="s">
        <v>73</v>
      </c>
      <c r="AV337" s="29" t="s">
        <v>73</v>
      </c>
      <c r="AW337" s="29" t="s">
        <v>73</v>
      </c>
      <c r="AX337" s="30">
        <v>9000</v>
      </c>
      <c r="AY337" s="597" t="s">
        <v>5</v>
      </c>
      <c r="AZ337" s="2" t="s">
        <v>74</v>
      </c>
      <c r="BA337" s="2"/>
      <c r="BK337" s="147" t="s">
        <v>790</v>
      </c>
      <c r="BL337" s="481" t="s">
        <v>791</v>
      </c>
      <c r="BM337" s="125" t="s">
        <v>1611</v>
      </c>
      <c r="BN337" s="177" t="s">
        <v>1612</v>
      </c>
      <c r="BO337" s="125" t="s">
        <v>1613</v>
      </c>
      <c r="BP337" s="129">
        <v>46135</v>
      </c>
      <c r="BQ337" s="18"/>
      <c r="BR337" s="505" t="s">
        <v>1795</v>
      </c>
      <c r="BS337" s="18"/>
      <c r="BT337" s="286" t="s">
        <v>1567</v>
      </c>
      <c r="BU337" s="946" t="s">
        <v>1568</v>
      </c>
      <c r="BV337" s="566" t="s">
        <v>1796</v>
      </c>
      <c r="BW337" s="566" t="s">
        <v>1797</v>
      </c>
      <c r="BX337" s="566" t="s">
        <v>1798</v>
      </c>
      <c r="BY337" s="566">
        <v>42096698</v>
      </c>
      <c r="BZ337" s="177"/>
      <c r="CA337" s="126">
        <v>4500</v>
      </c>
      <c r="CB337" s="183">
        <v>46143</v>
      </c>
      <c r="CC337" s="183">
        <v>46203</v>
      </c>
      <c r="CD337" s="759"/>
      <c r="CE337" s="177">
        <f t="shared" si="491"/>
        <v>30</v>
      </c>
      <c r="CF337" s="1019">
        <f t="shared" si="492"/>
        <v>4500</v>
      </c>
      <c r="CG337" s="177">
        <v>30</v>
      </c>
      <c r="CH337" s="1019">
        <f t="shared" si="493"/>
        <v>4500</v>
      </c>
      <c r="CI337" s="177">
        <v>30</v>
      </c>
      <c r="CJ337" s="1019">
        <f t="shared" si="494"/>
        <v>4500</v>
      </c>
      <c r="CK337" s="177">
        <f t="shared" si="604"/>
        <v>0</v>
      </c>
      <c r="CL337" s="177">
        <f t="shared" si="605"/>
        <v>0</v>
      </c>
      <c r="CM337" s="1006"/>
      <c r="CN337" s="177">
        <f t="shared" si="497"/>
        <v>30</v>
      </c>
      <c r="CO337" s="1019">
        <f t="shared" si="498"/>
        <v>4500</v>
      </c>
      <c r="CP337" s="177">
        <v>30</v>
      </c>
      <c r="CQ337" s="1019">
        <v>4500</v>
      </c>
      <c r="CR337" s="414">
        <v>30</v>
      </c>
      <c r="CS337" s="1019">
        <v>4500</v>
      </c>
      <c r="CT337" s="177">
        <f t="shared" si="606"/>
        <v>0</v>
      </c>
      <c r="CU337" s="177">
        <f t="shared" si="607"/>
        <v>0</v>
      </c>
      <c r="CV337" s="1006"/>
      <c r="CW337" s="1007">
        <f t="shared" si="486"/>
        <v>9000</v>
      </c>
      <c r="CX337" s="486">
        <f t="shared" si="487"/>
        <v>9000</v>
      </c>
      <c r="CY337" s="486">
        <f t="shared" si="488"/>
        <v>9000</v>
      </c>
      <c r="CZ337" s="1007">
        <f t="shared" si="489"/>
        <v>0</v>
      </c>
      <c r="DA337" s="1007">
        <f t="shared" si="490"/>
        <v>0</v>
      </c>
      <c r="DB337" s="126"/>
      <c r="DC337" s="125"/>
    </row>
    <row r="338" spans="1:108" ht="51" hidden="1" x14ac:dyDescent="0.25">
      <c r="A338" s="19">
        <v>2026</v>
      </c>
      <c r="B338" s="20">
        <v>479</v>
      </c>
      <c r="C338" s="21" t="s">
        <v>64</v>
      </c>
      <c r="D338" s="21" t="s">
        <v>65</v>
      </c>
      <c r="E338" s="20">
        <v>125</v>
      </c>
      <c r="F338" s="20">
        <v>3000654</v>
      </c>
      <c r="G338" s="20">
        <v>5005023</v>
      </c>
      <c r="H338" s="20">
        <v>3</v>
      </c>
      <c r="I338" s="20">
        <v>12</v>
      </c>
      <c r="J338" s="20">
        <v>24</v>
      </c>
      <c r="K338" s="20">
        <v>135560</v>
      </c>
      <c r="L338" s="21" t="s">
        <v>98</v>
      </c>
      <c r="M338" s="33" t="s">
        <v>99</v>
      </c>
      <c r="N338" s="19">
        <v>94</v>
      </c>
      <c r="O338" s="2"/>
      <c r="P338" s="2" t="s">
        <v>4</v>
      </c>
      <c r="Q338" s="20" t="s">
        <v>68</v>
      </c>
      <c r="R338" s="25" t="s">
        <v>69</v>
      </c>
      <c r="S338" s="25" t="s">
        <v>137</v>
      </c>
      <c r="T338" s="25"/>
      <c r="U338" s="33" t="s">
        <v>218</v>
      </c>
      <c r="V338" s="25" t="s">
        <v>3</v>
      </c>
      <c r="W338" s="25">
        <v>1</v>
      </c>
      <c r="X338" s="595">
        <v>8000</v>
      </c>
      <c r="Y338" s="619"/>
      <c r="Z338" s="2"/>
      <c r="AA338" s="2"/>
      <c r="AB338" s="620"/>
      <c r="AC338" s="25">
        <v>30</v>
      </c>
      <c r="AD338" s="25">
        <v>30</v>
      </c>
      <c r="AE338" s="619"/>
      <c r="AF338" s="2"/>
      <c r="AG338" s="2"/>
      <c r="AH338" s="2"/>
      <c r="AI338" s="2"/>
      <c r="AJ338" s="621"/>
      <c r="AK338" s="596">
        <v>16000</v>
      </c>
      <c r="AL338" s="29" t="s">
        <v>73</v>
      </c>
      <c r="AM338" s="29" t="s">
        <v>73</v>
      </c>
      <c r="AN338" s="29" t="s">
        <v>73</v>
      </c>
      <c r="AO338" s="29" t="s">
        <v>73</v>
      </c>
      <c r="AP338" s="478">
        <v>8000</v>
      </c>
      <c r="AQ338" s="478">
        <v>8000</v>
      </c>
      <c r="AR338" s="29" t="s">
        <v>73</v>
      </c>
      <c r="AS338" s="29" t="s">
        <v>73</v>
      </c>
      <c r="AT338" s="29" t="s">
        <v>73</v>
      </c>
      <c r="AU338" s="29" t="s">
        <v>73</v>
      </c>
      <c r="AV338" s="29" t="s">
        <v>73</v>
      </c>
      <c r="AW338" s="29" t="s">
        <v>73</v>
      </c>
      <c r="AX338" s="30">
        <v>16000</v>
      </c>
      <c r="AY338" s="597" t="s">
        <v>5</v>
      </c>
      <c r="AZ338" s="2" t="s">
        <v>74</v>
      </c>
      <c r="BA338" s="2"/>
      <c r="BK338" s="147" t="s">
        <v>790</v>
      </c>
      <c r="BL338" s="481" t="s">
        <v>791</v>
      </c>
      <c r="BM338" s="125" t="s">
        <v>1611</v>
      </c>
      <c r="BN338" s="177" t="s">
        <v>1612</v>
      </c>
      <c r="BO338" s="125" t="s">
        <v>1613</v>
      </c>
      <c r="BP338" s="129">
        <v>46135</v>
      </c>
      <c r="BQ338" s="18"/>
      <c r="BR338" s="505" t="s">
        <v>1799</v>
      </c>
      <c r="BS338" s="18"/>
      <c r="BT338" s="286" t="s">
        <v>1567</v>
      </c>
      <c r="BU338" s="946" t="s">
        <v>1568</v>
      </c>
      <c r="BV338" s="566" t="s">
        <v>1800</v>
      </c>
      <c r="BW338" s="566" t="s">
        <v>1801</v>
      </c>
      <c r="BX338" s="566" t="s">
        <v>1802</v>
      </c>
      <c r="BY338" s="566">
        <v>40605308</v>
      </c>
      <c r="BZ338" s="177"/>
      <c r="CA338" s="126">
        <v>8000</v>
      </c>
      <c r="CB338" s="128">
        <v>46143</v>
      </c>
      <c r="CC338" s="128">
        <v>46203</v>
      </c>
      <c r="CD338" s="759"/>
      <c r="CE338" s="177">
        <f t="shared" si="491"/>
        <v>30</v>
      </c>
      <c r="CF338" s="1019">
        <f t="shared" si="492"/>
        <v>8000</v>
      </c>
      <c r="CG338" s="177">
        <v>30</v>
      </c>
      <c r="CH338" s="1019">
        <f t="shared" si="493"/>
        <v>8000.0000000000009</v>
      </c>
      <c r="CI338" s="177">
        <v>30</v>
      </c>
      <c r="CJ338" s="1019">
        <f t="shared" si="494"/>
        <v>8000.0000000000009</v>
      </c>
      <c r="CK338" s="177">
        <f t="shared" si="495"/>
        <v>0</v>
      </c>
      <c r="CL338" s="177">
        <f t="shared" si="496"/>
        <v>0</v>
      </c>
      <c r="CM338" s="1006"/>
      <c r="CN338" s="177">
        <f t="shared" si="497"/>
        <v>30</v>
      </c>
      <c r="CO338" s="1019">
        <f t="shared" si="498"/>
        <v>8000</v>
      </c>
      <c r="CP338" s="177">
        <v>30</v>
      </c>
      <c r="CQ338" s="1019">
        <f t="shared" si="499"/>
        <v>8000.0000000000009</v>
      </c>
      <c r="CR338" s="1019">
        <v>30</v>
      </c>
      <c r="CS338" s="1019">
        <f t="shared" si="500"/>
        <v>8000.0000000000009</v>
      </c>
      <c r="CT338" s="177">
        <f t="shared" si="501"/>
        <v>0</v>
      </c>
      <c r="CU338" s="177">
        <f t="shared" si="502"/>
        <v>0</v>
      </c>
      <c r="CV338" s="1006"/>
      <c r="CW338" s="1007">
        <f t="shared" ref="CW338:CW401" si="608">AX338</f>
        <v>16000</v>
      </c>
      <c r="CX338" s="486">
        <f t="shared" ref="CX338:CX401" si="609">CH338+CQ338</f>
        <v>16000.000000000002</v>
      </c>
      <c r="CY338" s="486">
        <f t="shared" ref="CY338:CY401" si="610">CJ338+CS338</f>
        <v>16000.000000000002</v>
      </c>
      <c r="CZ338" s="1007">
        <f t="shared" ref="CZ338:CZ401" si="611">CW338-CX338</f>
        <v>0</v>
      </c>
      <c r="DA338" s="1007">
        <f t="shared" ref="DA338:DA401" si="612">CW338-CY338</f>
        <v>0</v>
      </c>
      <c r="DB338" s="126"/>
      <c r="DC338" s="125"/>
    </row>
    <row r="339" spans="1:108" s="245" customFormat="1" ht="61.5" hidden="1" customHeight="1" x14ac:dyDescent="0.25">
      <c r="A339" s="626">
        <v>2026</v>
      </c>
      <c r="B339" s="627">
        <v>479</v>
      </c>
      <c r="C339" s="628" t="s">
        <v>64</v>
      </c>
      <c r="D339" s="628" t="s">
        <v>65</v>
      </c>
      <c r="E339" s="627">
        <v>125</v>
      </c>
      <c r="F339" s="627">
        <v>3000654</v>
      </c>
      <c r="G339" s="627">
        <v>5005023</v>
      </c>
      <c r="H339" s="627">
        <v>3</v>
      </c>
      <c r="I339" s="627">
        <v>12</v>
      </c>
      <c r="J339" s="627">
        <v>24</v>
      </c>
      <c r="K339" s="627">
        <v>135560</v>
      </c>
      <c r="L339" s="628" t="s">
        <v>98</v>
      </c>
      <c r="M339" s="624" t="s">
        <v>99</v>
      </c>
      <c r="N339" s="626">
        <v>94</v>
      </c>
      <c r="O339" s="2"/>
      <c r="P339" s="629" t="s">
        <v>4</v>
      </c>
      <c r="Q339" s="630" t="s">
        <v>68</v>
      </c>
      <c r="R339" s="631" t="s">
        <v>69</v>
      </c>
      <c r="S339" s="632" t="s">
        <v>137</v>
      </c>
      <c r="T339" s="632"/>
      <c r="U339" s="633" t="s">
        <v>219</v>
      </c>
      <c r="V339" s="631" t="s">
        <v>3</v>
      </c>
      <c r="W339" s="631">
        <v>1</v>
      </c>
      <c r="X339" s="634">
        <v>7000</v>
      </c>
      <c r="Y339" s="619"/>
      <c r="Z339" s="2"/>
      <c r="AA339" s="2"/>
      <c r="AB339" s="620"/>
      <c r="AC339" s="631">
        <v>30</v>
      </c>
      <c r="AD339" s="631">
        <v>0</v>
      </c>
      <c r="AE339" s="619"/>
      <c r="AF339" s="2"/>
      <c r="AG339" s="2"/>
      <c r="AH339" s="2"/>
      <c r="AI339" s="2"/>
      <c r="AJ339" s="621"/>
      <c r="AK339" s="635">
        <v>6500</v>
      </c>
      <c r="AL339" s="636" t="s">
        <v>73</v>
      </c>
      <c r="AM339" s="636" t="s">
        <v>73</v>
      </c>
      <c r="AN339" s="636" t="s">
        <v>73</v>
      </c>
      <c r="AO339" s="636" t="s">
        <v>73</v>
      </c>
      <c r="AP339" s="637">
        <v>7000</v>
      </c>
      <c r="AQ339" s="997">
        <v>0</v>
      </c>
      <c r="AR339" s="636" t="s">
        <v>73</v>
      </c>
      <c r="AS339" s="636" t="s">
        <v>73</v>
      </c>
      <c r="AT339" s="636" t="s">
        <v>73</v>
      </c>
      <c r="AU339" s="636" t="s">
        <v>73</v>
      </c>
      <c r="AV339" s="636" t="s">
        <v>73</v>
      </c>
      <c r="AW339" s="636" t="s">
        <v>73</v>
      </c>
      <c r="AX339" s="638">
        <v>7000</v>
      </c>
      <c r="AY339" s="639" t="s">
        <v>6</v>
      </c>
      <c r="AZ339" s="2" t="s">
        <v>74</v>
      </c>
      <c r="BA339" s="2"/>
      <c r="BD339" s="640" t="s">
        <v>1803</v>
      </c>
      <c r="BE339" s="640" t="s">
        <v>1803</v>
      </c>
      <c r="BF339" s="641">
        <v>46140</v>
      </c>
      <c r="BG339" s="640" t="s">
        <v>1804</v>
      </c>
      <c r="BH339" s="641">
        <v>46147</v>
      </c>
      <c r="BI339" s="640"/>
      <c r="BJ339" s="640" t="s">
        <v>1805</v>
      </c>
      <c r="BK339" s="147" t="s">
        <v>790</v>
      </c>
      <c r="BL339" s="481" t="s">
        <v>791</v>
      </c>
      <c r="BM339" s="642" t="s">
        <v>1806</v>
      </c>
      <c r="BN339" s="643" t="s">
        <v>1807</v>
      </c>
      <c r="BO339" s="642" t="s">
        <v>1808</v>
      </c>
      <c r="BP339" s="644">
        <v>46134</v>
      </c>
      <c r="BQ339" s="645"/>
      <c r="BR339" s="287">
        <v>3307</v>
      </c>
      <c r="BS339" s="645"/>
      <c r="BT339" s="286" t="s">
        <v>1809</v>
      </c>
      <c r="BU339" s="645"/>
      <c r="BV339" s="552" t="s">
        <v>1810</v>
      </c>
      <c r="BW339" s="646" t="s">
        <v>1469</v>
      </c>
      <c r="BX339" s="646" t="s">
        <v>1811</v>
      </c>
      <c r="BY339" s="552">
        <v>40455836</v>
      </c>
      <c r="BZ339" s="552">
        <v>10404558361</v>
      </c>
      <c r="CA339" s="126">
        <v>7000</v>
      </c>
      <c r="CB339" s="289">
        <v>46143</v>
      </c>
      <c r="CC339" s="289">
        <v>46173</v>
      </c>
      <c r="CD339" s="759"/>
      <c r="CE339" s="643">
        <f t="shared" si="491"/>
        <v>30</v>
      </c>
      <c r="CF339" s="1036">
        <f t="shared" si="492"/>
        <v>7000</v>
      </c>
      <c r="CG339" s="643">
        <v>30</v>
      </c>
      <c r="CH339" s="1036">
        <f t="shared" si="493"/>
        <v>7000</v>
      </c>
      <c r="CI339" s="643">
        <v>30</v>
      </c>
      <c r="CJ339" s="1036">
        <f t="shared" si="494"/>
        <v>7000</v>
      </c>
      <c r="CK339" s="643">
        <f t="shared" si="495"/>
        <v>0</v>
      </c>
      <c r="CL339" s="643">
        <f t="shared" si="496"/>
        <v>0</v>
      </c>
      <c r="CM339" s="1006"/>
      <c r="CN339" s="643">
        <f t="shared" si="497"/>
        <v>0</v>
      </c>
      <c r="CO339" s="1036">
        <f t="shared" si="498"/>
        <v>0</v>
      </c>
      <c r="CP339" s="643"/>
      <c r="CQ339" s="1036">
        <f t="shared" si="499"/>
        <v>0</v>
      </c>
      <c r="CR339" s="1036"/>
      <c r="CS339" s="1036">
        <f t="shared" si="500"/>
        <v>0</v>
      </c>
      <c r="CT339" s="643">
        <f t="shared" si="501"/>
        <v>0</v>
      </c>
      <c r="CU339" s="643">
        <f t="shared" si="502"/>
        <v>0</v>
      </c>
      <c r="CV339" s="1006"/>
      <c r="CW339" s="1007">
        <f t="shared" si="608"/>
        <v>7000</v>
      </c>
      <c r="CX339" s="486">
        <f t="shared" si="609"/>
        <v>7000</v>
      </c>
      <c r="CY339" s="486">
        <f t="shared" si="610"/>
        <v>7000</v>
      </c>
      <c r="CZ339" s="1007">
        <f t="shared" si="611"/>
        <v>0</v>
      </c>
      <c r="DA339" s="1007">
        <f t="shared" si="612"/>
        <v>0</v>
      </c>
      <c r="DB339" s="647"/>
      <c r="DC339" s="642"/>
    </row>
    <row r="340" spans="1:108" ht="51" hidden="1" x14ac:dyDescent="0.25">
      <c r="A340" s="19">
        <v>2026</v>
      </c>
      <c r="B340" s="20">
        <v>479</v>
      </c>
      <c r="C340" s="21" t="s">
        <v>64</v>
      </c>
      <c r="D340" s="21" t="s">
        <v>65</v>
      </c>
      <c r="E340" s="20">
        <v>125</v>
      </c>
      <c r="F340" s="20">
        <v>3000654</v>
      </c>
      <c r="G340" s="20">
        <v>5005023</v>
      </c>
      <c r="H340" s="20">
        <v>3</v>
      </c>
      <c r="I340" s="20">
        <v>12</v>
      </c>
      <c r="J340" s="20">
        <v>24</v>
      </c>
      <c r="K340" s="20">
        <v>135560</v>
      </c>
      <c r="L340" s="21" t="s">
        <v>220</v>
      </c>
      <c r="M340" s="33" t="s">
        <v>221</v>
      </c>
      <c r="N340" s="19">
        <v>97</v>
      </c>
      <c r="O340" s="2"/>
      <c r="P340" s="2" t="s">
        <v>4</v>
      </c>
      <c r="Q340" s="20" t="s">
        <v>68</v>
      </c>
      <c r="R340" s="25" t="s">
        <v>69</v>
      </c>
      <c r="S340" s="41" t="s">
        <v>137</v>
      </c>
      <c r="T340" s="41"/>
      <c r="U340" s="31" t="s">
        <v>219</v>
      </c>
      <c r="V340" s="25" t="s">
        <v>3</v>
      </c>
      <c r="W340" s="25">
        <v>1</v>
      </c>
      <c r="X340" s="595">
        <v>7000</v>
      </c>
      <c r="Y340" s="619"/>
      <c r="Z340" s="2"/>
      <c r="AA340" s="2"/>
      <c r="AB340" s="620"/>
      <c r="AC340" s="25">
        <v>0</v>
      </c>
      <c r="AD340" s="25">
        <v>30</v>
      </c>
      <c r="AE340" s="619"/>
      <c r="AF340" s="2"/>
      <c r="AG340" s="2"/>
      <c r="AH340" s="2"/>
      <c r="AI340" s="2"/>
      <c r="AJ340" s="621"/>
      <c r="AK340" s="596">
        <v>7000</v>
      </c>
      <c r="AL340" s="29" t="s">
        <v>73</v>
      </c>
      <c r="AM340" s="29" t="s">
        <v>73</v>
      </c>
      <c r="AN340" s="29" t="s">
        <v>73</v>
      </c>
      <c r="AO340" s="29" t="s">
        <v>73</v>
      </c>
      <c r="AP340" s="648">
        <v>0</v>
      </c>
      <c r="AQ340" s="478">
        <v>7000</v>
      </c>
      <c r="AR340" s="29" t="s">
        <v>73</v>
      </c>
      <c r="AS340" s="29" t="s">
        <v>73</v>
      </c>
      <c r="AT340" s="29" t="s">
        <v>73</v>
      </c>
      <c r="AU340" s="29" t="s">
        <v>73</v>
      </c>
      <c r="AV340" s="29" t="s">
        <v>73</v>
      </c>
      <c r="AW340" s="29" t="s">
        <v>73</v>
      </c>
      <c r="AX340" s="30">
        <v>7000</v>
      </c>
      <c r="AY340" s="479" t="s">
        <v>6</v>
      </c>
      <c r="AZ340" s="2" t="s">
        <v>74</v>
      </c>
      <c r="BA340" s="2"/>
      <c r="BK340" s="125" t="s">
        <v>790</v>
      </c>
      <c r="BL340" s="481" t="s">
        <v>791</v>
      </c>
      <c r="BM340" s="125" t="s">
        <v>1812</v>
      </c>
      <c r="BN340" s="177" t="s">
        <v>1813</v>
      </c>
      <c r="BO340" s="125" t="s">
        <v>1814</v>
      </c>
      <c r="BP340" s="129">
        <v>46156</v>
      </c>
      <c r="BQ340" s="18"/>
      <c r="BR340" s="239">
        <v>5012</v>
      </c>
      <c r="BS340" s="18"/>
      <c r="BT340" s="18"/>
      <c r="BU340" s="946" t="s">
        <v>1815</v>
      </c>
      <c r="BV340" s="552" t="s">
        <v>1810</v>
      </c>
      <c r="BW340" s="649" t="s">
        <v>1469</v>
      </c>
      <c r="BX340" s="649" t="s">
        <v>1811</v>
      </c>
      <c r="BY340" s="552">
        <v>40455836</v>
      </c>
      <c r="BZ340" s="552">
        <v>10404558361</v>
      </c>
      <c r="CA340" s="650">
        <v>7000</v>
      </c>
      <c r="CB340" s="289">
        <v>46174</v>
      </c>
      <c r="CC340" s="289">
        <v>46203</v>
      </c>
      <c r="CD340" s="759"/>
      <c r="CE340" s="177">
        <f t="shared" si="491"/>
        <v>0</v>
      </c>
      <c r="CF340" s="1019">
        <f t="shared" si="492"/>
        <v>0</v>
      </c>
      <c r="CG340" s="177"/>
      <c r="CH340" s="1019">
        <f t="shared" si="493"/>
        <v>0</v>
      </c>
      <c r="CI340" s="177"/>
      <c r="CJ340" s="1019">
        <f t="shared" si="494"/>
        <v>0</v>
      </c>
      <c r="CK340" s="177">
        <f t="shared" si="495"/>
        <v>0</v>
      </c>
      <c r="CL340" s="177">
        <f t="shared" si="496"/>
        <v>0</v>
      </c>
      <c r="CM340" s="1006"/>
      <c r="CN340" s="177">
        <f t="shared" si="497"/>
        <v>30</v>
      </c>
      <c r="CO340" s="1019">
        <f t="shared" si="498"/>
        <v>7000</v>
      </c>
      <c r="CP340" s="177">
        <v>30</v>
      </c>
      <c r="CQ340" s="1019">
        <f t="shared" si="499"/>
        <v>7000</v>
      </c>
      <c r="CR340" s="1019">
        <v>30</v>
      </c>
      <c r="CS340" s="1019">
        <f t="shared" si="500"/>
        <v>7000</v>
      </c>
      <c r="CT340" s="177">
        <f t="shared" si="501"/>
        <v>0</v>
      </c>
      <c r="CU340" s="177">
        <f t="shared" si="502"/>
        <v>0</v>
      </c>
      <c r="CV340" s="1006"/>
      <c r="CW340" s="1007">
        <f t="shared" si="608"/>
        <v>7000</v>
      </c>
      <c r="CX340" s="486">
        <f t="shared" si="609"/>
        <v>7000</v>
      </c>
      <c r="CY340" s="486">
        <f t="shared" si="610"/>
        <v>7000</v>
      </c>
      <c r="CZ340" s="1007">
        <f t="shared" si="611"/>
        <v>0</v>
      </c>
      <c r="DA340" s="1007">
        <f t="shared" si="612"/>
        <v>0</v>
      </c>
      <c r="DB340" s="126"/>
      <c r="DC340" s="125"/>
    </row>
    <row r="341" spans="1:108" ht="53.25" hidden="1" customHeight="1" x14ac:dyDescent="0.25">
      <c r="A341" s="19">
        <v>2026</v>
      </c>
      <c r="B341" s="20">
        <v>479</v>
      </c>
      <c r="C341" s="21" t="s">
        <v>64</v>
      </c>
      <c r="D341" s="21" t="s">
        <v>65</v>
      </c>
      <c r="E341" s="20">
        <v>125</v>
      </c>
      <c r="F341" s="20">
        <v>3000654</v>
      </c>
      <c r="G341" s="20">
        <v>5005023</v>
      </c>
      <c r="H341" s="20">
        <v>3</v>
      </c>
      <c r="I341" s="20">
        <v>12</v>
      </c>
      <c r="J341" s="20">
        <v>24</v>
      </c>
      <c r="K341" s="20">
        <v>135560</v>
      </c>
      <c r="L341" s="21" t="s">
        <v>220</v>
      </c>
      <c r="M341" s="33" t="s">
        <v>221</v>
      </c>
      <c r="N341" s="19">
        <v>97</v>
      </c>
      <c r="O341" s="2"/>
      <c r="P341" s="2" t="s">
        <v>4</v>
      </c>
      <c r="Q341" s="20" t="s">
        <v>68</v>
      </c>
      <c r="R341" s="25" t="s">
        <v>69</v>
      </c>
      <c r="S341" s="41" t="s">
        <v>137</v>
      </c>
      <c r="T341" s="41"/>
      <c r="U341" s="31" t="s">
        <v>222</v>
      </c>
      <c r="V341" s="25" t="s">
        <v>3</v>
      </c>
      <c r="W341" s="25">
        <v>1</v>
      </c>
      <c r="X341" s="595">
        <v>7000</v>
      </c>
      <c r="Y341" s="619"/>
      <c r="Z341" s="2"/>
      <c r="AA341" s="2"/>
      <c r="AB341" s="620"/>
      <c r="AC341" s="25">
        <v>30</v>
      </c>
      <c r="AD341" s="25">
        <v>30</v>
      </c>
      <c r="AE341" s="619"/>
      <c r="AF341" s="2"/>
      <c r="AG341" s="2"/>
      <c r="AH341" s="2"/>
      <c r="AI341" s="2"/>
      <c r="AJ341" s="621"/>
      <c r="AK341" s="596">
        <v>14000</v>
      </c>
      <c r="AL341" s="29" t="s">
        <v>73</v>
      </c>
      <c r="AM341" s="29" t="s">
        <v>73</v>
      </c>
      <c r="AN341" s="29" t="s">
        <v>73</v>
      </c>
      <c r="AO341" s="29" t="s">
        <v>73</v>
      </c>
      <c r="AP341" s="478">
        <v>7000</v>
      </c>
      <c r="AQ341" s="478">
        <v>7000</v>
      </c>
      <c r="AR341" s="29" t="s">
        <v>73</v>
      </c>
      <c r="AS341" s="29" t="s">
        <v>73</v>
      </c>
      <c r="AT341" s="29" t="s">
        <v>73</v>
      </c>
      <c r="AU341" s="29" t="s">
        <v>73</v>
      </c>
      <c r="AV341" s="29" t="s">
        <v>73</v>
      </c>
      <c r="AW341" s="29" t="s">
        <v>73</v>
      </c>
      <c r="AX341" s="30">
        <v>14000</v>
      </c>
      <c r="AY341" s="479" t="s">
        <v>6</v>
      </c>
      <c r="AZ341" s="2" t="s">
        <v>74</v>
      </c>
      <c r="BA341" s="2"/>
      <c r="BK341" s="481" t="s">
        <v>790</v>
      </c>
      <c r="BL341" s="481" t="s">
        <v>791</v>
      </c>
      <c r="BM341" s="125" t="s">
        <v>1806</v>
      </c>
      <c r="BN341" s="649" t="s">
        <v>1807</v>
      </c>
      <c r="BO341" s="125" t="s">
        <v>1808</v>
      </c>
      <c r="BP341" s="129">
        <v>46134</v>
      </c>
      <c r="BQ341" s="18"/>
      <c r="BR341" s="505" t="s">
        <v>1816</v>
      </c>
      <c r="BS341" s="18"/>
      <c r="BT341" s="18" t="s">
        <v>1809</v>
      </c>
      <c r="BU341" s="18" t="s">
        <v>1815</v>
      </c>
      <c r="BV341" s="552" t="s">
        <v>1817</v>
      </c>
      <c r="BW341" s="646" t="s">
        <v>1818</v>
      </c>
      <c r="BX341" s="646" t="s">
        <v>1819</v>
      </c>
      <c r="BY341" s="552">
        <v>72077416</v>
      </c>
      <c r="BZ341" s="552">
        <v>10720774165</v>
      </c>
      <c r="CA341" s="126">
        <v>7000</v>
      </c>
      <c r="CB341" s="289">
        <v>46143</v>
      </c>
      <c r="CC341" s="289">
        <v>46203</v>
      </c>
      <c r="CD341" s="759"/>
      <c r="CE341" s="177">
        <f t="shared" si="491"/>
        <v>30</v>
      </c>
      <c r="CF341" s="1019">
        <f t="shared" si="492"/>
        <v>7000</v>
      </c>
      <c r="CG341" s="177">
        <v>30</v>
      </c>
      <c r="CH341" s="1019">
        <f t="shared" si="493"/>
        <v>7000</v>
      </c>
      <c r="CI341" s="177">
        <v>30</v>
      </c>
      <c r="CJ341" s="1019">
        <f t="shared" si="494"/>
        <v>7000</v>
      </c>
      <c r="CK341" s="177">
        <f t="shared" si="495"/>
        <v>0</v>
      </c>
      <c r="CL341" s="177">
        <f t="shared" si="496"/>
        <v>0</v>
      </c>
      <c r="CM341" s="1006"/>
      <c r="CN341" s="177">
        <f t="shared" si="497"/>
        <v>30</v>
      </c>
      <c r="CO341" s="1019">
        <f t="shared" si="498"/>
        <v>7000</v>
      </c>
      <c r="CP341" s="177">
        <v>30</v>
      </c>
      <c r="CQ341" s="1019">
        <f t="shared" si="499"/>
        <v>7000</v>
      </c>
      <c r="CR341" s="1019">
        <v>30</v>
      </c>
      <c r="CS341" s="1019">
        <f t="shared" si="500"/>
        <v>7000</v>
      </c>
      <c r="CT341" s="177">
        <f t="shared" si="501"/>
        <v>0</v>
      </c>
      <c r="CU341" s="177">
        <f t="shared" si="502"/>
        <v>0</v>
      </c>
      <c r="CV341" s="1006"/>
      <c r="CW341" s="1007">
        <f t="shared" si="608"/>
        <v>14000</v>
      </c>
      <c r="CX341" s="486">
        <f t="shared" si="609"/>
        <v>14000</v>
      </c>
      <c r="CY341" s="486">
        <f t="shared" si="610"/>
        <v>14000</v>
      </c>
      <c r="CZ341" s="1007">
        <f t="shared" si="611"/>
        <v>0</v>
      </c>
      <c r="DA341" s="1007">
        <f t="shared" si="612"/>
        <v>0</v>
      </c>
      <c r="DB341" s="126"/>
      <c r="DC341" s="125"/>
    </row>
    <row r="342" spans="1:108" ht="53.25" hidden="1" customHeight="1" x14ac:dyDescent="0.25">
      <c r="A342" s="19">
        <v>2026</v>
      </c>
      <c r="B342" s="20">
        <v>479</v>
      </c>
      <c r="C342" s="21" t="s">
        <v>64</v>
      </c>
      <c r="D342" s="21" t="s">
        <v>65</v>
      </c>
      <c r="E342" s="20">
        <v>125</v>
      </c>
      <c r="F342" s="20">
        <v>3000654</v>
      </c>
      <c r="G342" s="20">
        <v>5005023</v>
      </c>
      <c r="H342" s="20">
        <v>3</v>
      </c>
      <c r="I342" s="20">
        <v>12</v>
      </c>
      <c r="J342" s="20">
        <v>24</v>
      </c>
      <c r="K342" s="20">
        <v>135560</v>
      </c>
      <c r="L342" s="21" t="s">
        <v>98</v>
      </c>
      <c r="M342" s="33" t="s">
        <v>99</v>
      </c>
      <c r="N342" s="19">
        <v>94</v>
      </c>
      <c r="O342" s="2"/>
      <c r="P342" s="2" t="s">
        <v>4</v>
      </c>
      <c r="Q342" s="20" t="s">
        <v>68</v>
      </c>
      <c r="R342" s="25" t="s">
        <v>69</v>
      </c>
      <c r="S342" s="41" t="s">
        <v>137</v>
      </c>
      <c r="T342" s="41"/>
      <c r="U342" s="31" t="s">
        <v>223</v>
      </c>
      <c r="V342" s="25" t="s">
        <v>3</v>
      </c>
      <c r="W342" s="25">
        <v>1</v>
      </c>
      <c r="X342" s="595">
        <v>3500</v>
      </c>
      <c r="Y342" s="619"/>
      <c r="Z342" s="2"/>
      <c r="AA342" s="2"/>
      <c r="AB342" s="620"/>
      <c r="AC342" s="25">
        <v>30</v>
      </c>
      <c r="AD342" s="25">
        <v>0</v>
      </c>
      <c r="AE342" s="619"/>
      <c r="AF342" s="2"/>
      <c r="AG342" s="2"/>
      <c r="AH342" s="2"/>
      <c r="AI342" s="2"/>
      <c r="AJ342" s="621"/>
      <c r="AK342" s="596">
        <v>3500</v>
      </c>
      <c r="AL342" s="29" t="s">
        <v>73</v>
      </c>
      <c r="AM342" s="29" t="s">
        <v>73</v>
      </c>
      <c r="AN342" s="29" t="s">
        <v>73</v>
      </c>
      <c r="AO342" s="29" t="s">
        <v>73</v>
      </c>
      <c r="AP342" s="478">
        <v>3500</v>
      </c>
      <c r="AQ342" s="648">
        <v>0</v>
      </c>
      <c r="AR342" s="29" t="s">
        <v>73</v>
      </c>
      <c r="AS342" s="29" t="s">
        <v>73</v>
      </c>
      <c r="AT342" s="29" t="s">
        <v>73</v>
      </c>
      <c r="AU342" s="29" t="s">
        <v>73</v>
      </c>
      <c r="AV342" s="29" t="s">
        <v>73</v>
      </c>
      <c r="AW342" s="29" t="s">
        <v>73</v>
      </c>
      <c r="AX342" s="30">
        <v>3500</v>
      </c>
      <c r="AY342" s="165" t="s">
        <v>6</v>
      </c>
      <c r="AZ342" s="2" t="s">
        <v>74</v>
      </c>
      <c r="BA342" s="2"/>
      <c r="BK342" s="147" t="s">
        <v>790</v>
      </c>
      <c r="BL342" s="481" t="s">
        <v>791</v>
      </c>
      <c r="BM342" s="125" t="s">
        <v>1806</v>
      </c>
      <c r="BN342" s="649" t="s">
        <v>1807</v>
      </c>
      <c r="BO342" s="125" t="s">
        <v>1808</v>
      </c>
      <c r="BP342" s="129">
        <v>46134</v>
      </c>
      <c r="BQ342" s="18"/>
      <c r="BR342" s="505" t="s">
        <v>1820</v>
      </c>
      <c r="BS342" s="18"/>
      <c r="BT342" s="286" t="s">
        <v>1809</v>
      </c>
      <c r="BU342" s="18"/>
      <c r="BV342" s="552" t="s">
        <v>1821</v>
      </c>
      <c r="BW342" s="646" t="s">
        <v>1822</v>
      </c>
      <c r="BX342" s="646" t="s">
        <v>1823</v>
      </c>
      <c r="BY342" s="552">
        <v>73046143</v>
      </c>
      <c r="BZ342" s="552">
        <v>10730461432</v>
      </c>
      <c r="CA342" s="126">
        <v>3500</v>
      </c>
      <c r="CB342" s="289">
        <v>46143</v>
      </c>
      <c r="CC342" s="289">
        <v>46173</v>
      </c>
      <c r="CD342" s="759"/>
      <c r="CE342" s="177">
        <f t="shared" si="491"/>
        <v>30</v>
      </c>
      <c r="CF342" s="1019">
        <f t="shared" si="492"/>
        <v>3500</v>
      </c>
      <c r="CG342" s="177">
        <v>30</v>
      </c>
      <c r="CH342" s="1019">
        <f t="shared" si="493"/>
        <v>3500</v>
      </c>
      <c r="CI342" s="177">
        <v>30</v>
      </c>
      <c r="CJ342" s="1019">
        <f t="shared" si="494"/>
        <v>3500</v>
      </c>
      <c r="CK342" s="177">
        <f t="shared" si="495"/>
        <v>0</v>
      </c>
      <c r="CL342" s="177">
        <f t="shared" si="496"/>
        <v>0</v>
      </c>
      <c r="CM342" s="1006"/>
      <c r="CN342" s="177">
        <f t="shared" si="497"/>
        <v>0</v>
      </c>
      <c r="CO342" s="1019">
        <f t="shared" si="498"/>
        <v>0</v>
      </c>
      <c r="CP342" s="177"/>
      <c r="CQ342" s="1019">
        <f t="shared" si="499"/>
        <v>0</v>
      </c>
      <c r="CR342" s="1019"/>
      <c r="CS342" s="1019">
        <f t="shared" si="500"/>
        <v>0</v>
      </c>
      <c r="CT342" s="177">
        <f t="shared" si="501"/>
        <v>0</v>
      </c>
      <c r="CU342" s="177">
        <f t="shared" si="502"/>
        <v>0</v>
      </c>
      <c r="CV342" s="1006"/>
      <c r="CW342" s="1007">
        <f t="shared" si="608"/>
        <v>3500</v>
      </c>
      <c r="CX342" s="486">
        <f t="shared" si="609"/>
        <v>3500</v>
      </c>
      <c r="CY342" s="486">
        <f t="shared" si="610"/>
        <v>3500</v>
      </c>
      <c r="CZ342" s="1007">
        <f t="shared" si="611"/>
        <v>0</v>
      </c>
      <c r="DA342" s="1007">
        <f t="shared" si="612"/>
        <v>0</v>
      </c>
      <c r="DB342" s="126"/>
      <c r="DC342" s="125"/>
    </row>
    <row r="343" spans="1:108" ht="51" hidden="1" x14ac:dyDescent="0.25">
      <c r="A343" s="19">
        <v>2026</v>
      </c>
      <c r="B343" s="20">
        <v>479</v>
      </c>
      <c r="C343" s="21" t="s">
        <v>64</v>
      </c>
      <c r="D343" s="21" t="s">
        <v>65</v>
      </c>
      <c r="E343" s="20">
        <v>125</v>
      </c>
      <c r="F343" s="20">
        <v>3000654</v>
      </c>
      <c r="G343" s="20">
        <v>5005023</v>
      </c>
      <c r="H343" s="20">
        <v>3</v>
      </c>
      <c r="I343" s="20">
        <v>12</v>
      </c>
      <c r="J343" s="20">
        <v>24</v>
      </c>
      <c r="K343" s="20">
        <v>135560</v>
      </c>
      <c r="L343" s="21" t="s">
        <v>220</v>
      </c>
      <c r="M343" s="33" t="s">
        <v>221</v>
      </c>
      <c r="N343" s="19">
        <v>97</v>
      </c>
      <c r="O343" s="2"/>
      <c r="P343" s="2" t="s">
        <v>4</v>
      </c>
      <c r="Q343" s="20" t="s">
        <v>68</v>
      </c>
      <c r="R343" s="25" t="s">
        <v>69</v>
      </c>
      <c r="S343" s="41" t="s">
        <v>137</v>
      </c>
      <c r="T343" s="41"/>
      <c r="U343" s="31" t="s">
        <v>223</v>
      </c>
      <c r="V343" s="25" t="s">
        <v>3</v>
      </c>
      <c r="W343" s="25">
        <v>1</v>
      </c>
      <c r="X343" s="595">
        <v>3500</v>
      </c>
      <c r="Y343" s="619"/>
      <c r="Z343" s="2"/>
      <c r="AA343" s="2"/>
      <c r="AB343" s="620"/>
      <c r="AC343" s="25">
        <v>0</v>
      </c>
      <c r="AD343" s="25">
        <v>30</v>
      </c>
      <c r="AE343" s="619"/>
      <c r="AF343" s="2"/>
      <c r="AG343" s="2"/>
      <c r="AH343" s="2"/>
      <c r="AI343" s="2"/>
      <c r="AJ343" s="621"/>
      <c r="AK343" s="596">
        <v>3500</v>
      </c>
      <c r="AL343" s="29" t="s">
        <v>73</v>
      </c>
      <c r="AM343" s="29" t="s">
        <v>73</v>
      </c>
      <c r="AN343" s="29" t="s">
        <v>73</v>
      </c>
      <c r="AO343" s="29" t="s">
        <v>73</v>
      </c>
      <c r="AP343" s="648">
        <v>0</v>
      </c>
      <c r="AQ343" s="478">
        <v>3500</v>
      </c>
      <c r="AR343" s="29" t="s">
        <v>73</v>
      </c>
      <c r="AS343" s="29" t="s">
        <v>73</v>
      </c>
      <c r="AT343" s="29" t="s">
        <v>73</v>
      </c>
      <c r="AU343" s="29" t="s">
        <v>73</v>
      </c>
      <c r="AV343" s="29" t="s">
        <v>73</v>
      </c>
      <c r="AW343" s="29" t="s">
        <v>73</v>
      </c>
      <c r="AX343" s="30">
        <v>3500</v>
      </c>
      <c r="AY343" s="479" t="s">
        <v>6</v>
      </c>
      <c r="AZ343" s="2" t="s">
        <v>74</v>
      </c>
      <c r="BA343" s="2"/>
      <c r="BK343" s="125" t="s">
        <v>790</v>
      </c>
      <c r="BL343" s="481" t="s">
        <v>791</v>
      </c>
      <c r="BM343" s="125" t="s">
        <v>1812</v>
      </c>
      <c r="BN343" s="177" t="s">
        <v>1813</v>
      </c>
      <c r="BO343" s="125" t="s">
        <v>1814</v>
      </c>
      <c r="BP343" s="129">
        <v>46156</v>
      </c>
      <c r="BQ343" s="18"/>
      <c r="BR343" s="239">
        <v>5007</v>
      </c>
      <c r="BS343" s="18"/>
      <c r="BT343" s="18"/>
      <c r="BU343" s="946" t="s">
        <v>1815</v>
      </c>
      <c r="BV343" s="552" t="s">
        <v>1821</v>
      </c>
      <c r="BW343" s="649" t="s">
        <v>1822</v>
      </c>
      <c r="BX343" s="649" t="s">
        <v>1823</v>
      </c>
      <c r="BY343" s="552">
        <v>73046143</v>
      </c>
      <c r="BZ343" s="552">
        <v>10730461432</v>
      </c>
      <c r="CA343" s="650">
        <v>3500</v>
      </c>
      <c r="CB343" s="289">
        <v>46174</v>
      </c>
      <c r="CC343" s="289">
        <v>46203</v>
      </c>
      <c r="CD343" s="759"/>
      <c r="CE343" s="177">
        <f t="shared" si="491"/>
        <v>0</v>
      </c>
      <c r="CF343" s="1019">
        <f t="shared" si="492"/>
        <v>0</v>
      </c>
      <c r="CG343" s="177"/>
      <c r="CH343" s="1019">
        <f t="shared" si="493"/>
        <v>0</v>
      </c>
      <c r="CI343" s="177"/>
      <c r="CJ343" s="1019">
        <f t="shared" si="494"/>
        <v>0</v>
      </c>
      <c r="CK343" s="177">
        <f t="shared" si="495"/>
        <v>0</v>
      </c>
      <c r="CL343" s="177">
        <f t="shared" si="496"/>
        <v>0</v>
      </c>
      <c r="CM343" s="1006"/>
      <c r="CN343" s="177">
        <f t="shared" si="497"/>
        <v>30</v>
      </c>
      <c r="CO343" s="1019">
        <f t="shared" si="498"/>
        <v>3500</v>
      </c>
      <c r="CP343" s="177">
        <v>30</v>
      </c>
      <c r="CQ343" s="1019">
        <f t="shared" si="499"/>
        <v>3500</v>
      </c>
      <c r="CR343" s="1019">
        <v>30</v>
      </c>
      <c r="CS343" s="1019">
        <f t="shared" si="500"/>
        <v>3500</v>
      </c>
      <c r="CT343" s="177">
        <f t="shared" si="501"/>
        <v>0</v>
      </c>
      <c r="CU343" s="177">
        <f t="shared" si="502"/>
        <v>0</v>
      </c>
      <c r="CV343" s="1006"/>
      <c r="CW343" s="1007">
        <f t="shared" si="608"/>
        <v>3500</v>
      </c>
      <c r="CX343" s="486">
        <f t="shared" si="609"/>
        <v>3500</v>
      </c>
      <c r="CY343" s="486">
        <f t="shared" si="610"/>
        <v>3500</v>
      </c>
      <c r="CZ343" s="1007">
        <f t="shared" si="611"/>
        <v>0</v>
      </c>
      <c r="DA343" s="1007">
        <f t="shared" si="612"/>
        <v>0</v>
      </c>
      <c r="DB343" s="126"/>
      <c r="DC343" s="125"/>
    </row>
    <row r="344" spans="1:108" ht="51" hidden="1" x14ac:dyDescent="0.25">
      <c r="A344" s="19">
        <v>2026</v>
      </c>
      <c r="B344" s="20">
        <v>479</v>
      </c>
      <c r="C344" s="21" t="s">
        <v>64</v>
      </c>
      <c r="D344" s="21" t="s">
        <v>65</v>
      </c>
      <c r="E344" s="20">
        <v>125</v>
      </c>
      <c r="F344" s="20">
        <v>3000654</v>
      </c>
      <c r="G344" s="20">
        <v>5005023</v>
      </c>
      <c r="H344" s="20">
        <v>3</v>
      </c>
      <c r="I344" s="20">
        <v>12</v>
      </c>
      <c r="J344" s="20">
        <v>24</v>
      </c>
      <c r="K344" s="20">
        <v>135560</v>
      </c>
      <c r="L344" s="21" t="s">
        <v>220</v>
      </c>
      <c r="M344" s="33" t="s">
        <v>221</v>
      </c>
      <c r="N344" s="19">
        <v>97</v>
      </c>
      <c r="O344" s="2"/>
      <c r="P344" s="2" t="s">
        <v>4</v>
      </c>
      <c r="Q344" s="20" t="s">
        <v>68</v>
      </c>
      <c r="R344" s="25" t="s">
        <v>69</v>
      </c>
      <c r="S344" s="41" t="s">
        <v>137</v>
      </c>
      <c r="T344" s="41"/>
      <c r="U344" s="31" t="s">
        <v>224</v>
      </c>
      <c r="V344" s="25" t="s">
        <v>3</v>
      </c>
      <c r="W344" s="25">
        <v>1</v>
      </c>
      <c r="X344" s="595">
        <v>4500</v>
      </c>
      <c r="Y344" s="619"/>
      <c r="Z344" s="2"/>
      <c r="AA344" s="2"/>
      <c r="AB344" s="620"/>
      <c r="AC344" s="25">
        <v>30</v>
      </c>
      <c r="AD344" s="25">
        <v>30</v>
      </c>
      <c r="AE344" s="619"/>
      <c r="AF344" s="2"/>
      <c r="AG344" s="2"/>
      <c r="AH344" s="2"/>
      <c r="AI344" s="2"/>
      <c r="AJ344" s="621"/>
      <c r="AK344" s="596">
        <v>9000</v>
      </c>
      <c r="AL344" s="29" t="s">
        <v>73</v>
      </c>
      <c r="AM344" s="29" t="s">
        <v>73</v>
      </c>
      <c r="AN344" s="29" t="s">
        <v>73</v>
      </c>
      <c r="AO344" s="29" t="s">
        <v>73</v>
      </c>
      <c r="AP344" s="478">
        <v>4500</v>
      </c>
      <c r="AQ344" s="478">
        <v>4500</v>
      </c>
      <c r="AR344" s="29" t="s">
        <v>73</v>
      </c>
      <c r="AS344" s="29" t="s">
        <v>73</v>
      </c>
      <c r="AT344" s="29" t="s">
        <v>73</v>
      </c>
      <c r="AU344" s="29" t="s">
        <v>73</v>
      </c>
      <c r="AV344" s="29" t="s">
        <v>73</v>
      </c>
      <c r="AW344" s="29" t="s">
        <v>73</v>
      </c>
      <c r="AX344" s="30">
        <v>9000</v>
      </c>
      <c r="AY344" s="479" t="s">
        <v>6</v>
      </c>
      <c r="AZ344" s="2" t="s">
        <v>74</v>
      </c>
      <c r="BA344" s="2"/>
      <c r="BK344" s="125" t="s">
        <v>790</v>
      </c>
      <c r="BL344" s="481" t="s">
        <v>791</v>
      </c>
      <c r="BM344" s="125" t="s">
        <v>1824</v>
      </c>
      <c r="BN344" s="177" t="s">
        <v>1825</v>
      </c>
      <c r="BO344" s="125" t="s">
        <v>1826</v>
      </c>
      <c r="BP344" s="129">
        <v>46149</v>
      </c>
      <c r="BQ344" s="18"/>
      <c r="BR344" s="505">
        <v>3722</v>
      </c>
      <c r="BS344" s="18"/>
      <c r="BT344" s="18" t="s">
        <v>1809</v>
      </c>
      <c r="BU344" s="951" t="s">
        <v>1815</v>
      </c>
      <c r="BV344" s="126" t="s">
        <v>1827</v>
      </c>
      <c r="BW344" s="126" t="s">
        <v>1523</v>
      </c>
      <c r="BX344" s="126" t="s">
        <v>1828</v>
      </c>
      <c r="BY344" s="130">
        <v>63079570</v>
      </c>
      <c r="BZ344" s="130">
        <v>10630795708</v>
      </c>
      <c r="CA344" s="126">
        <v>4500</v>
      </c>
      <c r="CB344" s="289">
        <v>46154</v>
      </c>
      <c r="CC344" s="289">
        <v>46203</v>
      </c>
      <c r="CD344" s="759"/>
      <c r="CE344" s="177">
        <f t="shared" si="491"/>
        <v>30</v>
      </c>
      <c r="CF344" s="1019">
        <f t="shared" si="492"/>
        <v>4500</v>
      </c>
      <c r="CG344" s="177">
        <v>20</v>
      </c>
      <c r="CH344" s="1019">
        <f t="shared" si="493"/>
        <v>3000</v>
      </c>
      <c r="CI344" s="177">
        <v>20</v>
      </c>
      <c r="CJ344" s="1019">
        <f t="shared" si="494"/>
        <v>3000</v>
      </c>
      <c r="CK344" s="177">
        <f t="shared" si="495"/>
        <v>1500</v>
      </c>
      <c r="CL344" s="177">
        <f t="shared" si="496"/>
        <v>1500</v>
      </c>
      <c r="CM344" s="1006"/>
      <c r="CN344" s="177">
        <f t="shared" si="497"/>
        <v>30</v>
      </c>
      <c r="CO344" s="1019">
        <f t="shared" si="498"/>
        <v>4500</v>
      </c>
      <c r="CP344" s="177">
        <v>30</v>
      </c>
      <c r="CQ344" s="1019">
        <f t="shared" si="499"/>
        <v>4500</v>
      </c>
      <c r="CR344" s="1019">
        <v>30</v>
      </c>
      <c r="CS344" s="1019">
        <f t="shared" si="500"/>
        <v>4500</v>
      </c>
      <c r="CT344" s="177">
        <f t="shared" si="501"/>
        <v>0</v>
      </c>
      <c r="CU344" s="177">
        <f t="shared" si="502"/>
        <v>0</v>
      </c>
      <c r="CV344" s="1006"/>
      <c r="CW344" s="1007">
        <f t="shared" si="608"/>
        <v>9000</v>
      </c>
      <c r="CX344" s="486">
        <f t="shared" si="609"/>
        <v>7500</v>
      </c>
      <c r="CY344" s="486">
        <f t="shared" si="610"/>
        <v>7500</v>
      </c>
      <c r="CZ344" s="1007">
        <f t="shared" si="611"/>
        <v>1500</v>
      </c>
      <c r="DA344" s="1007">
        <f t="shared" si="612"/>
        <v>1500</v>
      </c>
      <c r="DB344" s="126"/>
      <c r="DC344" s="125"/>
    </row>
    <row r="345" spans="1:108" ht="51" hidden="1" x14ac:dyDescent="0.25">
      <c r="A345" s="19">
        <v>2026</v>
      </c>
      <c r="B345" s="20">
        <v>479</v>
      </c>
      <c r="C345" s="21" t="s">
        <v>64</v>
      </c>
      <c r="D345" s="21" t="s">
        <v>65</v>
      </c>
      <c r="E345" s="20">
        <v>125</v>
      </c>
      <c r="F345" s="20">
        <v>3000654</v>
      </c>
      <c r="G345" s="20">
        <v>5005023</v>
      </c>
      <c r="H345" s="20">
        <v>3</v>
      </c>
      <c r="I345" s="20">
        <v>12</v>
      </c>
      <c r="J345" s="20">
        <v>24</v>
      </c>
      <c r="K345" s="20">
        <v>135560</v>
      </c>
      <c r="L345" s="21" t="s">
        <v>220</v>
      </c>
      <c r="M345" s="33" t="s">
        <v>221</v>
      </c>
      <c r="N345" s="19">
        <v>97</v>
      </c>
      <c r="O345" s="2"/>
      <c r="P345" s="2" t="s">
        <v>4</v>
      </c>
      <c r="Q345" s="20" t="s">
        <v>68</v>
      </c>
      <c r="R345" s="25" t="s">
        <v>69</v>
      </c>
      <c r="S345" s="41" t="s">
        <v>137</v>
      </c>
      <c r="T345" s="41"/>
      <c r="U345" s="633" t="s">
        <v>1829</v>
      </c>
      <c r="V345" s="25" t="s">
        <v>3</v>
      </c>
      <c r="W345" s="25">
        <v>1</v>
      </c>
      <c r="X345" s="595">
        <v>6000</v>
      </c>
      <c r="Y345" s="619"/>
      <c r="Z345" s="2"/>
      <c r="AA345" s="2"/>
      <c r="AB345" s="620"/>
      <c r="AC345" s="25">
        <v>30</v>
      </c>
      <c r="AD345" s="25">
        <v>30</v>
      </c>
      <c r="AE345" s="619"/>
      <c r="AF345" s="2"/>
      <c r="AG345" s="2"/>
      <c r="AH345" s="2"/>
      <c r="AI345" s="2"/>
      <c r="AJ345" s="621"/>
      <c r="AK345" s="596">
        <v>12000</v>
      </c>
      <c r="AL345" s="29" t="s">
        <v>73</v>
      </c>
      <c r="AM345" s="29" t="s">
        <v>73</v>
      </c>
      <c r="AN345" s="29" t="s">
        <v>73</v>
      </c>
      <c r="AO345" s="29" t="s">
        <v>73</v>
      </c>
      <c r="AP345" s="478">
        <v>6000</v>
      </c>
      <c r="AQ345" s="478">
        <v>6000</v>
      </c>
      <c r="AR345" s="29" t="s">
        <v>73</v>
      </c>
      <c r="AS345" s="29" t="s">
        <v>73</v>
      </c>
      <c r="AT345" s="29" t="s">
        <v>73</v>
      </c>
      <c r="AU345" s="29" t="s">
        <v>73</v>
      </c>
      <c r="AV345" s="29" t="s">
        <v>73</v>
      </c>
      <c r="AW345" s="29" t="s">
        <v>73</v>
      </c>
      <c r="AX345" s="30">
        <v>12000</v>
      </c>
      <c r="AY345" s="479" t="s">
        <v>6</v>
      </c>
      <c r="AZ345" s="2" t="s">
        <v>74</v>
      </c>
      <c r="BA345" s="2"/>
      <c r="BK345" s="481" t="s">
        <v>790</v>
      </c>
      <c r="BL345" s="481" t="s">
        <v>791</v>
      </c>
      <c r="BM345" s="125" t="s">
        <v>1830</v>
      </c>
      <c r="BN345" s="458" t="s">
        <v>1831</v>
      </c>
      <c r="BO345" s="125" t="s">
        <v>1832</v>
      </c>
      <c r="BP345" s="129">
        <v>46175</v>
      </c>
      <c r="BQ345" s="18"/>
      <c r="BR345" s="18"/>
      <c r="BS345" s="18"/>
      <c r="BT345" s="18"/>
      <c r="BU345" s="18"/>
      <c r="BV345" s="481" t="s">
        <v>1687</v>
      </c>
      <c r="BW345" s="481" t="s">
        <v>1833</v>
      </c>
      <c r="BX345" s="481" t="s">
        <v>1834</v>
      </c>
      <c r="BY345" s="284">
        <v>74806132</v>
      </c>
      <c r="BZ345" s="284">
        <v>10748061326</v>
      </c>
      <c r="CA345" s="126">
        <v>5500</v>
      </c>
      <c r="CB345" s="289">
        <v>46178</v>
      </c>
      <c r="CC345" s="289">
        <v>46203</v>
      </c>
      <c r="CD345" s="759"/>
      <c r="CE345" s="177">
        <f t="shared" si="491"/>
        <v>30</v>
      </c>
      <c r="CF345" s="1019">
        <f t="shared" si="492"/>
        <v>6000</v>
      </c>
      <c r="CG345" s="177"/>
      <c r="CH345" s="1019">
        <f t="shared" si="493"/>
        <v>0</v>
      </c>
      <c r="CI345" s="177"/>
      <c r="CJ345" s="1019">
        <f t="shared" si="494"/>
        <v>0</v>
      </c>
      <c r="CK345" s="177">
        <f t="shared" si="495"/>
        <v>6000</v>
      </c>
      <c r="CL345" s="177">
        <f t="shared" si="496"/>
        <v>6000</v>
      </c>
      <c r="CM345" s="1006"/>
      <c r="CN345" s="177">
        <f t="shared" si="497"/>
        <v>30</v>
      </c>
      <c r="CO345" s="1019">
        <f t="shared" si="498"/>
        <v>6000</v>
      </c>
      <c r="CP345" s="177">
        <v>26</v>
      </c>
      <c r="CQ345" s="1019">
        <f>(5500/30)*CP345</f>
        <v>4766.666666666667</v>
      </c>
      <c r="CR345" s="414">
        <v>26</v>
      </c>
      <c r="CS345" s="1019">
        <f>(5500/30)*CR345</f>
        <v>4766.666666666667</v>
      </c>
      <c r="CT345" s="177">
        <f t="shared" si="501"/>
        <v>1233.333333333333</v>
      </c>
      <c r="CU345" s="177">
        <f t="shared" si="502"/>
        <v>1233.333333333333</v>
      </c>
      <c r="CV345" s="1006"/>
      <c r="CW345" s="414">
        <f t="shared" si="608"/>
        <v>12000</v>
      </c>
      <c r="CX345" s="1037">
        <f t="shared" si="609"/>
        <v>4766.666666666667</v>
      </c>
      <c r="CY345" s="414">
        <f t="shared" si="610"/>
        <v>4766.666666666667</v>
      </c>
      <c r="CZ345" s="1037">
        <f t="shared" si="611"/>
        <v>7233.333333333333</v>
      </c>
      <c r="DA345" s="414">
        <f t="shared" si="612"/>
        <v>7233.333333333333</v>
      </c>
      <c r="DB345" s="126"/>
      <c r="DC345" s="125"/>
    </row>
    <row r="346" spans="1:108" ht="51" hidden="1" x14ac:dyDescent="0.25">
      <c r="A346" s="19">
        <v>2026</v>
      </c>
      <c r="B346" s="20">
        <v>479</v>
      </c>
      <c r="C346" s="21" t="s">
        <v>64</v>
      </c>
      <c r="D346" s="21" t="s">
        <v>65</v>
      </c>
      <c r="E346" s="20">
        <v>125</v>
      </c>
      <c r="F346" s="20">
        <v>3000654</v>
      </c>
      <c r="G346" s="20">
        <v>5005023</v>
      </c>
      <c r="H346" s="20">
        <v>3</v>
      </c>
      <c r="I346" s="20">
        <v>12</v>
      </c>
      <c r="J346" s="20">
        <v>24</v>
      </c>
      <c r="K346" s="20">
        <v>135560</v>
      </c>
      <c r="L346" s="21" t="s">
        <v>98</v>
      </c>
      <c r="M346" s="33" t="s">
        <v>99</v>
      </c>
      <c r="N346" s="19">
        <v>94</v>
      </c>
      <c r="O346" s="2"/>
      <c r="P346" s="2" t="s">
        <v>4</v>
      </c>
      <c r="Q346" s="20" t="s">
        <v>68</v>
      </c>
      <c r="R346" s="25" t="s">
        <v>69</v>
      </c>
      <c r="S346" s="41" t="s">
        <v>137</v>
      </c>
      <c r="T346" s="41"/>
      <c r="U346" s="31" t="s">
        <v>226</v>
      </c>
      <c r="V346" s="25" t="s">
        <v>3</v>
      </c>
      <c r="W346" s="25">
        <v>1</v>
      </c>
      <c r="X346" s="595">
        <v>6000</v>
      </c>
      <c r="Y346" s="619"/>
      <c r="Z346" s="2"/>
      <c r="AA346" s="2"/>
      <c r="AB346" s="620"/>
      <c r="AC346" s="25">
        <v>30</v>
      </c>
      <c r="AD346" s="25">
        <v>0</v>
      </c>
      <c r="AE346" s="619"/>
      <c r="AF346" s="2"/>
      <c r="AG346" s="2"/>
      <c r="AH346" s="2"/>
      <c r="AI346" s="2"/>
      <c r="AJ346" s="621"/>
      <c r="AK346" s="596">
        <v>6000</v>
      </c>
      <c r="AL346" s="29" t="s">
        <v>73</v>
      </c>
      <c r="AM346" s="29" t="s">
        <v>73</v>
      </c>
      <c r="AN346" s="29" t="s">
        <v>73</v>
      </c>
      <c r="AO346" s="29" t="s">
        <v>73</v>
      </c>
      <c r="AP346" s="478">
        <v>6000</v>
      </c>
      <c r="AQ346" s="648">
        <v>0</v>
      </c>
      <c r="AR346" s="29" t="s">
        <v>73</v>
      </c>
      <c r="AS346" s="29" t="s">
        <v>73</v>
      </c>
      <c r="AT346" s="29" t="s">
        <v>73</v>
      </c>
      <c r="AU346" s="29" t="s">
        <v>73</v>
      </c>
      <c r="AV346" s="29" t="s">
        <v>73</v>
      </c>
      <c r="AW346" s="29" t="s">
        <v>73</v>
      </c>
      <c r="AX346" s="30">
        <v>6000</v>
      </c>
      <c r="AY346" s="165" t="s">
        <v>6</v>
      </c>
      <c r="AZ346" s="2" t="s">
        <v>74</v>
      </c>
      <c r="BA346" s="2"/>
      <c r="BK346" s="147" t="s">
        <v>790</v>
      </c>
      <c r="BL346" s="481" t="s">
        <v>791</v>
      </c>
      <c r="BM346" s="125" t="s">
        <v>1806</v>
      </c>
      <c r="BN346" s="649" t="s">
        <v>1807</v>
      </c>
      <c r="BO346" s="125" t="s">
        <v>1808</v>
      </c>
      <c r="BP346" s="129">
        <v>46134</v>
      </c>
      <c r="BQ346" s="18"/>
      <c r="BR346" s="505" t="s">
        <v>1835</v>
      </c>
      <c r="BS346" s="18"/>
      <c r="BT346" s="286" t="s">
        <v>1809</v>
      </c>
      <c r="BU346" s="18"/>
      <c r="BV346" s="552" t="s">
        <v>1836</v>
      </c>
      <c r="BW346" s="646" t="s">
        <v>1837</v>
      </c>
      <c r="BX346" s="646" t="s">
        <v>1838</v>
      </c>
      <c r="BY346" s="552">
        <v>25558709</v>
      </c>
      <c r="BZ346" s="552" t="s">
        <v>1839</v>
      </c>
      <c r="CA346" s="126">
        <v>6000</v>
      </c>
      <c r="CB346" s="289">
        <v>46143</v>
      </c>
      <c r="CC346" s="289">
        <v>46173</v>
      </c>
      <c r="CD346" s="759"/>
      <c r="CE346" s="177">
        <f t="shared" si="491"/>
        <v>30</v>
      </c>
      <c r="CF346" s="1019">
        <f t="shared" si="492"/>
        <v>6000</v>
      </c>
      <c r="CG346" s="177">
        <v>30</v>
      </c>
      <c r="CH346" s="1019">
        <f t="shared" si="493"/>
        <v>6000</v>
      </c>
      <c r="CI346" s="177">
        <v>30</v>
      </c>
      <c r="CJ346" s="1019">
        <f t="shared" si="494"/>
        <v>6000</v>
      </c>
      <c r="CK346" s="177">
        <f t="shared" si="495"/>
        <v>0</v>
      </c>
      <c r="CL346" s="177">
        <f t="shared" si="496"/>
        <v>0</v>
      </c>
      <c r="CM346" s="1006"/>
      <c r="CN346" s="177">
        <f t="shared" si="497"/>
        <v>0</v>
      </c>
      <c r="CO346" s="1019">
        <f t="shared" si="498"/>
        <v>0</v>
      </c>
      <c r="CP346" s="177"/>
      <c r="CQ346" s="1019">
        <f t="shared" si="499"/>
        <v>0</v>
      </c>
      <c r="CR346" s="1019"/>
      <c r="CS346" s="1019">
        <f t="shared" si="500"/>
        <v>0</v>
      </c>
      <c r="CT346" s="177">
        <f t="shared" si="501"/>
        <v>0</v>
      </c>
      <c r="CU346" s="177">
        <f t="shared" si="502"/>
        <v>0</v>
      </c>
      <c r="CV346" s="1006"/>
      <c r="CW346" s="1007">
        <f t="shared" si="608"/>
        <v>6000</v>
      </c>
      <c r="CX346" s="486">
        <f t="shared" si="609"/>
        <v>6000</v>
      </c>
      <c r="CY346" s="486">
        <f t="shared" si="610"/>
        <v>6000</v>
      </c>
      <c r="CZ346" s="1007">
        <f t="shared" si="611"/>
        <v>0</v>
      </c>
      <c r="DA346" s="1007">
        <f t="shared" si="612"/>
        <v>0</v>
      </c>
      <c r="DB346" s="126"/>
      <c r="DC346" s="125"/>
    </row>
    <row r="347" spans="1:108" ht="51" hidden="1" x14ac:dyDescent="0.25">
      <c r="A347" s="19">
        <v>2026</v>
      </c>
      <c r="B347" s="20">
        <v>479</v>
      </c>
      <c r="C347" s="21" t="s">
        <v>64</v>
      </c>
      <c r="D347" s="21" t="s">
        <v>65</v>
      </c>
      <c r="E347" s="20">
        <v>125</v>
      </c>
      <c r="F347" s="20">
        <v>3000654</v>
      </c>
      <c r="G347" s="20">
        <v>5005023</v>
      </c>
      <c r="H347" s="20">
        <v>3</v>
      </c>
      <c r="I347" s="20">
        <v>12</v>
      </c>
      <c r="J347" s="20">
        <v>24</v>
      </c>
      <c r="K347" s="20">
        <v>135560</v>
      </c>
      <c r="L347" s="21" t="s">
        <v>220</v>
      </c>
      <c r="M347" s="33" t="s">
        <v>221</v>
      </c>
      <c r="N347" s="19">
        <v>97</v>
      </c>
      <c r="O347" s="2"/>
      <c r="P347" s="2" t="s">
        <v>4</v>
      </c>
      <c r="Q347" s="20" t="s">
        <v>68</v>
      </c>
      <c r="R347" s="25" t="s">
        <v>69</v>
      </c>
      <c r="S347" s="41" t="s">
        <v>137</v>
      </c>
      <c r="T347" s="41"/>
      <c r="U347" s="31" t="s">
        <v>226</v>
      </c>
      <c r="V347" s="25" t="s">
        <v>3</v>
      </c>
      <c r="W347" s="25">
        <v>1</v>
      </c>
      <c r="X347" s="595">
        <v>6000</v>
      </c>
      <c r="Y347" s="619"/>
      <c r="Z347" s="2"/>
      <c r="AA347" s="2"/>
      <c r="AB347" s="620"/>
      <c r="AC347" s="25">
        <v>0</v>
      </c>
      <c r="AD347" s="25">
        <v>30</v>
      </c>
      <c r="AE347" s="619"/>
      <c r="AF347" s="2"/>
      <c r="AG347" s="2"/>
      <c r="AH347" s="2"/>
      <c r="AI347" s="2"/>
      <c r="AJ347" s="621"/>
      <c r="AK347" s="596">
        <v>6000</v>
      </c>
      <c r="AL347" s="29" t="s">
        <v>73</v>
      </c>
      <c r="AM347" s="29" t="s">
        <v>73</v>
      </c>
      <c r="AN347" s="29" t="s">
        <v>73</v>
      </c>
      <c r="AO347" s="29" t="s">
        <v>73</v>
      </c>
      <c r="AP347" s="648">
        <v>0</v>
      </c>
      <c r="AQ347" s="478">
        <v>6000</v>
      </c>
      <c r="AR347" s="29" t="s">
        <v>73</v>
      </c>
      <c r="AS347" s="29" t="s">
        <v>73</v>
      </c>
      <c r="AT347" s="29" t="s">
        <v>73</v>
      </c>
      <c r="AU347" s="29" t="s">
        <v>73</v>
      </c>
      <c r="AV347" s="29" t="s">
        <v>73</v>
      </c>
      <c r="AW347" s="29" t="s">
        <v>73</v>
      </c>
      <c r="AX347" s="30">
        <v>6000</v>
      </c>
      <c r="AY347" s="479" t="s">
        <v>6</v>
      </c>
      <c r="AZ347" s="2" t="s">
        <v>74</v>
      </c>
      <c r="BA347" s="2"/>
      <c r="BK347" s="125" t="s">
        <v>790</v>
      </c>
      <c r="BL347" s="481" t="s">
        <v>791</v>
      </c>
      <c r="BM347" s="125" t="s">
        <v>1812</v>
      </c>
      <c r="BN347" s="177" t="s">
        <v>1813</v>
      </c>
      <c r="BO347" s="125" t="s">
        <v>1814</v>
      </c>
      <c r="BP347" s="129">
        <v>46156</v>
      </c>
      <c r="BQ347" s="18"/>
      <c r="BR347" s="287">
        <v>5009</v>
      </c>
      <c r="BS347" s="18"/>
      <c r="BT347" s="18"/>
      <c r="BU347" s="951" t="s">
        <v>1815</v>
      </c>
      <c r="BV347" s="552" t="s">
        <v>1836</v>
      </c>
      <c r="BW347" s="649" t="s">
        <v>1837</v>
      </c>
      <c r="BX347" s="649" t="s">
        <v>1838</v>
      </c>
      <c r="BY347" s="552">
        <v>25558709</v>
      </c>
      <c r="BZ347" s="552" t="s">
        <v>1839</v>
      </c>
      <c r="CA347" s="650">
        <v>6000</v>
      </c>
      <c r="CB347" s="289">
        <v>46174</v>
      </c>
      <c r="CC347" s="289">
        <v>46203</v>
      </c>
      <c r="CD347" s="759"/>
      <c r="CE347" s="177">
        <f t="shared" si="491"/>
        <v>0</v>
      </c>
      <c r="CF347" s="1019">
        <f t="shared" si="492"/>
        <v>0</v>
      </c>
      <c r="CG347" s="177"/>
      <c r="CH347" s="1019">
        <f t="shared" si="493"/>
        <v>0</v>
      </c>
      <c r="CI347" s="177"/>
      <c r="CJ347" s="1019">
        <f t="shared" si="494"/>
        <v>0</v>
      </c>
      <c r="CK347" s="177">
        <f t="shared" si="495"/>
        <v>0</v>
      </c>
      <c r="CL347" s="177">
        <f t="shared" si="496"/>
        <v>0</v>
      </c>
      <c r="CM347" s="1006"/>
      <c r="CN347" s="177">
        <f t="shared" si="497"/>
        <v>30</v>
      </c>
      <c r="CO347" s="1019">
        <f t="shared" si="498"/>
        <v>6000</v>
      </c>
      <c r="CP347" s="177">
        <v>30</v>
      </c>
      <c r="CQ347" s="1019">
        <f t="shared" si="499"/>
        <v>6000</v>
      </c>
      <c r="CR347" s="1032">
        <v>30</v>
      </c>
      <c r="CS347" s="1019">
        <f t="shared" si="500"/>
        <v>6000</v>
      </c>
      <c r="CT347" s="177">
        <f t="shared" si="501"/>
        <v>0</v>
      </c>
      <c r="CU347" s="177">
        <f t="shared" si="502"/>
        <v>0</v>
      </c>
      <c r="CV347" s="1006"/>
      <c r="CW347" s="1007">
        <f t="shared" si="608"/>
        <v>6000</v>
      </c>
      <c r="CX347" s="486">
        <f t="shared" si="609"/>
        <v>6000</v>
      </c>
      <c r="CY347" s="486">
        <f t="shared" si="610"/>
        <v>6000</v>
      </c>
      <c r="CZ347" s="1007">
        <f t="shared" si="611"/>
        <v>0</v>
      </c>
      <c r="DA347" s="1007">
        <f t="shared" si="612"/>
        <v>0</v>
      </c>
      <c r="DB347" s="126"/>
      <c r="DC347" s="125"/>
    </row>
    <row r="348" spans="1:108" ht="51" hidden="1" x14ac:dyDescent="0.25">
      <c r="A348" s="19">
        <v>2026</v>
      </c>
      <c r="B348" s="20">
        <v>479</v>
      </c>
      <c r="C348" s="21" t="s">
        <v>64</v>
      </c>
      <c r="D348" s="21" t="s">
        <v>65</v>
      </c>
      <c r="E348" s="20">
        <v>125</v>
      </c>
      <c r="F348" s="20">
        <v>3000654</v>
      </c>
      <c r="G348" s="20">
        <v>5005023</v>
      </c>
      <c r="H348" s="20">
        <v>3</v>
      </c>
      <c r="I348" s="20">
        <v>12</v>
      </c>
      <c r="J348" s="20">
        <v>24</v>
      </c>
      <c r="K348" s="20">
        <v>135560</v>
      </c>
      <c r="L348" s="21" t="s">
        <v>220</v>
      </c>
      <c r="M348" s="33" t="s">
        <v>221</v>
      </c>
      <c r="N348" s="19">
        <v>97</v>
      </c>
      <c r="O348" s="2"/>
      <c r="P348" s="2" t="s">
        <v>4</v>
      </c>
      <c r="Q348" s="20" t="s">
        <v>68</v>
      </c>
      <c r="R348" s="25" t="s">
        <v>69</v>
      </c>
      <c r="S348" s="41" t="s">
        <v>137</v>
      </c>
      <c r="T348" s="41"/>
      <c r="U348" s="31" t="s">
        <v>227</v>
      </c>
      <c r="V348" s="25" t="s">
        <v>3</v>
      </c>
      <c r="W348" s="25">
        <v>1</v>
      </c>
      <c r="X348" s="595">
        <v>6000</v>
      </c>
      <c r="Y348" s="619"/>
      <c r="Z348" s="2"/>
      <c r="AA348" s="2"/>
      <c r="AB348" s="620"/>
      <c r="AC348" s="25">
        <v>30</v>
      </c>
      <c r="AD348" s="25">
        <v>30</v>
      </c>
      <c r="AE348" s="619"/>
      <c r="AF348" s="2"/>
      <c r="AG348" s="2"/>
      <c r="AH348" s="2"/>
      <c r="AI348" s="2"/>
      <c r="AJ348" s="621"/>
      <c r="AK348" s="596">
        <v>12000</v>
      </c>
      <c r="AL348" s="29" t="s">
        <v>73</v>
      </c>
      <c r="AM348" s="29" t="s">
        <v>73</v>
      </c>
      <c r="AN348" s="29" t="s">
        <v>73</v>
      </c>
      <c r="AO348" s="29" t="s">
        <v>73</v>
      </c>
      <c r="AP348" s="478">
        <v>6000</v>
      </c>
      <c r="AQ348" s="478">
        <v>6000</v>
      </c>
      <c r="AR348" s="29" t="s">
        <v>73</v>
      </c>
      <c r="AS348" s="29" t="s">
        <v>73</v>
      </c>
      <c r="AT348" s="29" t="s">
        <v>73</v>
      </c>
      <c r="AU348" s="29" t="s">
        <v>73</v>
      </c>
      <c r="AV348" s="29" t="s">
        <v>73</v>
      </c>
      <c r="AW348" s="29" t="s">
        <v>73</v>
      </c>
      <c r="AX348" s="30">
        <v>12000</v>
      </c>
      <c r="AY348" s="479" t="s">
        <v>6</v>
      </c>
      <c r="AZ348" s="629" t="s">
        <v>74</v>
      </c>
      <c r="BA348" s="2"/>
      <c r="BK348" s="481" t="s">
        <v>790</v>
      </c>
      <c r="BL348" s="481" t="s">
        <v>791</v>
      </c>
      <c r="BM348" s="125" t="s">
        <v>1806</v>
      </c>
      <c r="BN348" s="649" t="s">
        <v>1807</v>
      </c>
      <c r="BO348" s="125" t="s">
        <v>1808</v>
      </c>
      <c r="BP348" s="129">
        <v>46134</v>
      </c>
      <c r="BQ348" s="18"/>
      <c r="BR348" s="505" t="s">
        <v>1840</v>
      </c>
      <c r="BS348" s="18"/>
      <c r="BT348" s="656" t="s">
        <v>1809</v>
      </c>
      <c r="BU348" s="947" t="s">
        <v>1841</v>
      </c>
      <c r="BV348" s="552" t="s">
        <v>849</v>
      </c>
      <c r="BW348" s="646" t="s">
        <v>1842</v>
      </c>
      <c r="BX348" s="646" t="s">
        <v>1843</v>
      </c>
      <c r="BY348" s="552">
        <v>44486257</v>
      </c>
      <c r="BZ348" s="552">
        <v>10444862578</v>
      </c>
      <c r="CA348" s="126">
        <v>6000</v>
      </c>
      <c r="CB348" s="289">
        <v>46143</v>
      </c>
      <c r="CC348" s="289">
        <v>46203</v>
      </c>
      <c r="CD348" s="759"/>
      <c r="CE348" s="177">
        <f t="shared" si="491"/>
        <v>30</v>
      </c>
      <c r="CF348" s="1019">
        <f t="shared" si="492"/>
        <v>6000</v>
      </c>
      <c r="CG348" s="177">
        <v>30</v>
      </c>
      <c r="CH348" s="1019">
        <f t="shared" si="493"/>
        <v>6000</v>
      </c>
      <c r="CI348" s="177">
        <v>30</v>
      </c>
      <c r="CJ348" s="1019">
        <f t="shared" si="494"/>
        <v>6000</v>
      </c>
      <c r="CK348" s="177">
        <f t="shared" si="495"/>
        <v>0</v>
      </c>
      <c r="CL348" s="177">
        <f t="shared" si="496"/>
        <v>0</v>
      </c>
      <c r="CM348" s="1006"/>
      <c r="CN348" s="177">
        <f t="shared" si="497"/>
        <v>30</v>
      </c>
      <c r="CO348" s="1019">
        <f t="shared" si="498"/>
        <v>6000</v>
      </c>
      <c r="CP348" s="177">
        <v>30</v>
      </c>
      <c r="CQ348" s="1019">
        <f t="shared" si="499"/>
        <v>6000</v>
      </c>
      <c r="CR348" s="1019">
        <v>30</v>
      </c>
      <c r="CS348" s="1019">
        <f t="shared" si="500"/>
        <v>6000</v>
      </c>
      <c r="CT348" s="177">
        <f t="shared" si="501"/>
        <v>0</v>
      </c>
      <c r="CU348" s="177">
        <f t="shared" si="502"/>
        <v>0</v>
      </c>
      <c r="CV348" s="1006"/>
      <c r="CW348" s="1007">
        <f t="shared" si="608"/>
        <v>12000</v>
      </c>
      <c r="CX348" s="486">
        <f t="shared" si="609"/>
        <v>12000</v>
      </c>
      <c r="CY348" s="486">
        <f t="shared" si="610"/>
        <v>12000</v>
      </c>
      <c r="CZ348" s="1007">
        <f t="shared" si="611"/>
        <v>0</v>
      </c>
      <c r="DA348" s="1007">
        <f t="shared" si="612"/>
        <v>0</v>
      </c>
      <c r="DB348" s="126"/>
      <c r="DC348" s="125"/>
    </row>
    <row r="349" spans="1:108" ht="51" hidden="1" x14ac:dyDescent="0.25">
      <c r="A349" s="19">
        <v>2026</v>
      </c>
      <c r="B349" s="20">
        <v>479</v>
      </c>
      <c r="C349" s="21" t="s">
        <v>64</v>
      </c>
      <c r="D349" s="21" t="s">
        <v>65</v>
      </c>
      <c r="E349" s="20">
        <v>125</v>
      </c>
      <c r="F349" s="20">
        <v>3000654</v>
      </c>
      <c r="G349" s="20">
        <v>5005023</v>
      </c>
      <c r="H349" s="20">
        <v>3</v>
      </c>
      <c r="I349" s="20">
        <v>12</v>
      </c>
      <c r="J349" s="20">
        <v>24</v>
      </c>
      <c r="K349" s="20">
        <v>135560</v>
      </c>
      <c r="L349" s="21" t="s">
        <v>220</v>
      </c>
      <c r="M349" s="33" t="s">
        <v>221</v>
      </c>
      <c r="N349" s="19">
        <v>97</v>
      </c>
      <c r="O349" s="2"/>
      <c r="P349" s="2" t="s">
        <v>4</v>
      </c>
      <c r="Q349" s="20" t="s">
        <v>68</v>
      </c>
      <c r="R349" s="25" t="s">
        <v>69</v>
      </c>
      <c r="S349" s="41" t="s">
        <v>137</v>
      </c>
      <c r="T349" s="41"/>
      <c r="U349" s="31" t="s">
        <v>228</v>
      </c>
      <c r="V349" s="25" t="s">
        <v>3</v>
      </c>
      <c r="W349" s="25">
        <v>1</v>
      </c>
      <c r="X349" s="595">
        <v>6000</v>
      </c>
      <c r="Y349" s="619"/>
      <c r="Z349" s="2"/>
      <c r="AA349" s="2"/>
      <c r="AB349" s="620"/>
      <c r="AC349" s="25">
        <v>30</v>
      </c>
      <c r="AD349" s="25">
        <v>30</v>
      </c>
      <c r="AE349" s="619"/>
      <c r="AF349" s="2"/>
      <c r="AG349" s="2"/>
      <c r="AH349" s="2"/>
      <c r="AI349" s="2"/>
      <c r="AJ349" s="621"/>
      <c r="AK349" s="596">
        <v>12000</v>
      </c>
      <c r="AL349" s="29" t="s">
        <v>73</v>
      </c>
      <c r="AM349" s="29" t="s">
        <v>73</v>
      </c>
      <c r="AN349" s="29" t="s">
        <v>73</v>
      </c>
      <c r="AO349" s="29" t="s">
        <v>73</v>
      </c>
      <c r="AP349" s="478">
        <v>6000</v>
      </c>
      <c r="AQ349" s="478">
        <v>6000</v>
      </c>
      <c r="AR349" s="29" t="s">
        <v>73</v>
      </c>
      <c r="AS349" s="29" t="s">
        <v>73</v>
      </c>
      <c r="AT349" s="29" t="s">
        <v>73</v>
      </c>
      <c r="AU349" s="29" t="s">
        <v>73</v>
      </c>
      <c r="AV349" s="29" t="s">
        <v>73</v>
      </c>
      <c r="AW349" s="29" t="s">
        <v>73</v>
      </c>
      <c r="AX349" s="30">
        <v>12000</v>
      </c>
      <c r="AY349" s="479" t="s">
        <v>6</v>
      </c>
      <c r="AZ349" s="2" t="s">
        <v>74</v>
      </c>
      <c r="BA349" s="2"/>
      <c r="BK349" s="481" t="s">
        <v>790</v>
      </c>
      <c r="BL349" s="481" t="s">
        <v>791</v>
      </c>
      <c r="BM349" s="125" t="s">
        <v>1806</v>
      </c>
      <c r="BN349" s="649" t="s">
        <v>1807</v>
      </c>
      <c r="BO349" s="125" t="s">
        <v>1808</v>
      </c>
      <c r="BP349" s="129">
        <v>46134</v>
      </c>
      <c r="BQ349" s="18"/>
      <c r="BR349" s="505" t="s">
        <v>1844</v>
      </c>
      <c r="BS349" s="18"/>
      <c r="BT349" s="18" t="s">
        <v>1809</v>
      </c>
      <c r="BU349" s="18" t="s">
        <v>1815</v>
      </c>
      <c r="BV349" s="552" t="s">
        <v>1845</v>
      </c>
      <c r="BW349" s="646" t="s">
        <v>1846</v>
      </c>
      <c r="BX349" s="646" t="s">
        <v>1384</v>
      </c>
      <c r="BY349" s="552">
        <v>43515589</v>
      </c>
      <c r="BZ349" s="552">
        <v>10435155893</v>
      </c>
      <c r="CA349" s="126">
        <v>6000</v>
      </c>
      <c r="CB349" s="289">
        <v>46143</v>
      </c>
      <c r="CC349" s="289">
        <v>46203</v>
      </c>
      <c r="CD349" s="759"/>
      <c r="CE349" s="177">
        <f t="shared" si="491"/>
        <v>30</v>
      </c>
      <c r="CF349" s="1019">
        <f t="shared" si="492"/>
        <v>6000</v>
      </c>
      <c r="CG349" s="177">
        <v>30</v>
      </c>
      <c r="CH349" s="1019">
        <f t="shared" si="493"/>
        <v>6000</v>
      </c>
      <c r="CI349" s="177">
        <v>30</v>
      </c>
      <c r="CJ349" s="1019">
        <f t="shared" si="494"/>
        <v>6000</v>
      </c>
      <c r="CK349" s="177">
        <f t="shared" si="495"/>
        <v>0</v>
      </c>
      <c r="CL349" s="177">
        <f t="shared" si="496"/>
        <v>0</v>
      </c>
      <c r="CM349" s="1006"/>
      <c r="CN349" s="177">
        <f t="shared" si="497"/>
        <v>30</v>
      </c>
      <c r="CO349" s="1019">
        <f t="shared" si="498"/>
        <v>6000</v>
      </c>
      <c r="CP349" s="177">
        <v>30</v>
      </c>
      <c r="CQ349" s="1019">
        <f t="shared" si="499"/>
        <v>6000</v>
      </c>
      <c r="CR349" s="1019">
        <v>30</v>
      </c>
      <c r="CS349" s="1019">
        <f t="shared" si="500"/>
        <v>6000</v>
      </c>
      <c r="CT349" s="177">
        <f t="shared" si="501"/>
        <v>0</v>
      </c>
      <c r="CU349" s="177">
        <f t="shared" si="502"/>
        <v>0</v>
      </c>
      <c r="CV349" s="1006"/>
      <c r="CW349" s="1007">
        <f t="shared" si="608"/>
        <v>12000</v>
      </c>
      <c r="CX349" s="486">
        <f t="shared" si="609"/>
        <v>12000</v>
      </c>
      <c r="CY349" s="486">
        <f t="shared" si="610"/>
        <v>12000</v>
      </c>
      <c r="CZ349" s="1007">
        <f t="shared" si="611"/>
        <v>0</v>
      </c>
      <c r="DA349" s="1007">
        <f t="shared" si="612"/>
        <v>0</v>
      </c>
      <c r="DB349" s="126"/>
      <c r="DC349" s="125"/>
    </row>
    <row r="350" spans="1:108" ht="51" hidden="1" x14ac:dyDescent="0.25">
      <c r="A350" s="19">
        <v>2026</v>
      </c>
      <c r="B350" s="20">
        <v>479</v>
      </c>
      <c r="C350" s="21" t="s">
        <v>64</v>
      </c>
      <c r="D350" s="21" t="s">
        <v>65</v>
      </c>
      <c r="E350" s="20">
        <v>125</v>
      </c>
      <c r="F350" s="20">
        <v>3000654</v>
      </c>
      <c r="G350" s="20">
        <v>5005023</v>
      </c>
      <c r="H350" s="20">
        <v>3</v>
      </c>
      <c r="I350" s="20">
        <v>12</v>
      </c>
      <c r="J350" s="20">
        <v>24</v>
      </c>
      <c r="K350" s="20">
        <v>135560</v>
      </c>
      <c r="L350" s="21" t="s">
        <v>220</v>
      </c>
      <c r="M350" s="33" t="s">
        <v>221</v>
      </c>
      <c r="N350" s="19">
        <v>97</v>
      </c>
      <c r="O350" s="2"/>
      <c r="P350" s="2" t="s">
        <v>4</v>
      </c>
      <c r="Q350" s="20" t="s">
        <v>68</v>
      </c>
      <c r="R350" s="25" t="s">
        <v>69</v>
      </c>
      <c r="S350" s="41" t="s">
        <v>137</v>
      </c>
      <c r="T350" s="41"/>
      <c r="U350" s="633" t="s">
        <v>1847</v>
      </c>
      <c r="V350" s="25" t="s">
        <v>3</v>
      </c>
      <c r="W350" s="25">
        <v>1</v>
      </c>
      <c r="X350" s="595">
        <v>6000</v>
      </c>
      <c r="Y350" s="619"/>
      <c r="Z350" s="2"/>
      <c r="AA350" s="2"/>
      <c r="AB350" s="620"/>
      <c r="AC350" s="25">
        <v>30</v>
      </c>
      <c r="AD350" s="25">
        <v>30</v>
      </c>
      <c r="AE350" s="619"/>
      <c r="AF350" s="2"/>
      <c r="AG350" s="2"/>
      <c r="AH350" s="2"/>
      <c r="AI350" s="2"/>
      <c r="AJ350" s="621"/>
      <c r="AK350" s="596">
        <v>12000</v>
      </c>
      <c r="AL350" s="29" t="s">
        <v>73</v>
      </c>
      <c r="AM350" s="29" t="s">
        <v>73</v>
      </c>
      <c r="AN350" s="29" t="s">
        <v>73</v>
      </c>
      <c r="AO350" s="29" t="s">
        <v>73</v>
      </c>
      <c r="AP350" s="478">
        <v>6000</v>
      </c>
      <c r="AQ350" s="478">
        <v>6000</v>
      </c>
      <c r="AR350" s="29" t="s">
        <v>73</v>
      </c>
      <c r="AS350" s="29" t="s">
        <v>73</v>
      </c>
      <c r="AT350" s="29" t="s">
        <v>73</v>
      </c>
      <c r="AU350" s="29" t="s">
        <v>73</v>
      </c>
      <c r="AV350" s="29" t="s">
        <v>73</v>
      </c>
      <c r="AW350" s="29" t="s">
        <v>73</v>
      </c>
      <c r="AX350" s="30">
        <v>12000</v>
      </c>
      <c r="AY350" s="479" t="s">
        <v>6</v>
      </c>
      <c r="AZ350" s="2" t="s">
        <v>74</v>
      </c>
      <c r="BA350" s="2"/>
      <c r="BK350" s="481" t="s">
        <v>790</v>
      </c>
      <c r="BL350" s="481" t="s">
        <v>791</v>
      </c>
      <c r="BM350" s="125" t="s">
        <v>1830</v>
      </c>
      <c r="BN350" s="565" t="s">
        <v>1831</v>
      </c>
      <c r="BO350" s="125" t="s">
        <v>1832</v>
      </c>
      <c r="BP350" s="129">
        <v>46175</v>
      </c>
      <c r="BQ350" s="18"/>
      <c r="BR350" s="18"/>
      <c r="BS350" s="18"/>
      <c r="BT350" s="18"/>
      <c r="BU350" s="18"/>
      <c r="BV350" s="481" t="s">
        <v>1848</v>
      </c>
      <c r="BW350" s="481" t="s">
        <v>1849</v>
      </c>
      <c r="BX350" s="481" t="s">
        <v>1850</v>
      </c>
      <c r="BY350" s="284">
        <v>41053337</v>
      </c>
      <c r="BZ350" s="284">
        <v>10410533371</v>
      </c>
      <c r="CA350" s="126">
        <v>6000</v>
      </c>
      <c r="CB350" s="289">
        <v>46178</v>
      </c>
      <c r="CC350" s="289">
        <v>46203</v>
      </c>
      <c r="CD350" s="759"/>
      <c r="CE350" s="177">
        <f t="shared" si="491"/>
        <v>30</v>
      </c>
      <c r="CF350" s="1019">
        <f t="shared" si="492"/>
        <v>6000</v>
      </c>
      <c r="CG350" s="177"/>
      <c r="CH350" s="1019">
        <v>0</v>
      </c>
      <c r="CI350" s="177"/>
      <c r="CJ350" s="1019">
        <v>0</v>
      </c>
      <c r="CK350" s="177">
        <f t="shared" si="495"/>
        <v>6000</v>
      </c>
      <c r="CL350" s="177">
        <f t="shared" si="496"/>
        <v>6000</v>
      </c>
      <c r="CM350" s="1006"/>
      <c r="CN350" s="177">
        <f t="shared" si="497"/>
        <v>30</v>
      </c>
      <c r="CO350" s="1019">
        <f t="shared" si="498"/>
        <v>6000</v>
      </c>
      <c r="CP350" s="177">
        <v>26</v>
      </c>
      <c r="CQ350" s="1019">
        <f>(X350/30)*CP350</f>
        <v>5200</v>
      </c>
      <c r="CR350" s="177">
        <v>26</v>
      </c>
      <c r="CS350" s="1019">
        <f>(X350/30)*CR350</f>
        <v>5200</v>
      </c>
      <c r="CT350" s="177">
        <f t="shared" si="501"/>
        <v>800</v>
      </c>
      <c r="CU350" s="177">
        <f t="shared" si="502"/>
        <v>800</v>
      </c>
      <c r="CV350" s="1006"/>
      <c r="CW350" s="414">
        <f t="shared" si="608"/>
        <v>12000</v>
      </c>
      <c r="CX350" s="1037">
        <f t="shared" si="609"/>
        <v>5200</v>
      </c>
      <c r="CY350" s="414">
        <f t="shared" si="610"/>
        <v>5200</v>
      </c>
      <c r="CZ350" s="1037">
        <f t="shared" si="611"/>
        <v>6800</v>
      </c>
      <c r="DA350" s="414">
        <f t="shared" si="612"/>
        <v>6800</v>
      </c>
      <c r="DB350" s="126"/>
      <c r="DC350" s="125"/>
      <c r="DD350" t="s">
        <v>1851</v>
      </c>
    </row>
    <row r="351" spans="1:108" ht="51" hidden="1" x14ac:dyDescent="0.25">
      <c r="A351" s="19">
        <v>2026</v>
      </c>
      <c r="B351" s="20">
        <v>479</v>
      </c>
      <c r="C351" s="21" t="s">
        <v>64</v>
      </c>
      <c r="D351" s="21" t="s">
        <v>65</v>
      </c>
      <c r="E351" s="20">
        <v>125</v>
      </c>
      <c r="F351" s="20">
        <v>3000654</v>
      </c>
      <c r="G351" s="20">
        <v>5005023</v>
      </c>
      <c r="H351" s="20">
        <v>3</v>
      </c>
      <c r="I351" s="20">
        <v>12</v>
      </c>
      <c r="J351" s="20">
        <v>24</v>
      </c>
      <c r="K351" s="20">
        <v>135560</v>
      </c>
      <c r="L351" s="21" t="s">
        <v>98</v>
      </c>
      <c r="M351" s="33" t="s">
        <v>99</v>
      </c>
      <c r="N351" s="19">
        <v>94</v>
      </c>
      <c r="O351" s="2"/>
      <c r="P351" s="2" t="s">
        <v>4</v>
      </c>
      <c r="Q351" s="20" t="s">
        <v>68</v>
      </c>
      <c r="R351" s="25" t="s">
        <v>69</v>
      </c>
      <c r="S351" s="41" t="s">
        <v>137</v>
      </c>
      <c r="T351" s="41"/>
      <c r="U351" s="31" t="s">
        <v>231</v>
      </c>
      <c r="V351" s="25" t="s">
        <v>3</v>
      </c>
      <c r="W351" s="25">
        <v>1</v>
      </c>
      <c r="X351" s="595">
        <v>6000</v>
      </c>
      <c r="Y351" s="619"/>
      <c r="Z351" s="2"/>
      <c r="AA351" s="2"/>
      <c r="AB351" s="620"/>
      <c r="AC351" s="25">
        <v>30</v>
      </c>
      <c r="AD351" s="25">
        <v>0</v>
      </c>
      <c r="AE351" s="619"/>
      <c r="AF351" s="2"/>
      <c r="AG351" s="2"/>
      <c r="AH351" s="2"/>
      <c r="AI351" s="2"/>
      <c r="AJ351" s="621"/>
      <c r="AK351" s="596">
        <v>6000</v>
      </c>
      <c r="AL351" s="29" t="s">
        <v>73</v>
      </c>
      <c r="AM351" s="29" t="s">
        <v>73</v>
      </c>
      <c r="AN351" s="29" t="s">
        <v>73</v>
      </c>
      <c r="AO351" s="29" t="s">
        <v>73</v>
      </c>
      <c r="AP351" s="478">
        <v>6000</v>
      </c>
      <c r="AQ351" s="648">
        <v>0</v>
      </c>
      <c r="AR351" s="29" t="s">
        <v>73</v>
      </c>
      <c r="AS351" s="29" t="s">
        <v>73</v>
      </c>
      <c r="AT351" s="29" t="s">
        <v>73</v>
      </c>
      <c r="AU351" s="29" t="s">
        <v>73</v>
      </c>
      <c r="AV351" s="29" t="s">
        <v>73</v>
      </c>
      <c r="AW351" s="29" t="s">
        <v>73</v>
      </c>
      <c r="AX351" s="30">
        <v>6000</v>
      </c>
      <c r="AY351" s="165" t="s">
        <v>6</v>
      </c>
      <c r="AZ351" s="2" t="s">
        <v>74</v>
      </c>
      <c r="BA351" s="2"/>
      <c r="BK351" s="147" t="s">
        <v>790</v>
      </c>
      <c r="BL351" s="481" t="s">
        <v>791</v>
      </c>
      <c r="BM351" s="125" t="s">
        <v>1806</v>
      </c>
      <c r="BN351" s="649" t="s">
        <v>1807</v>
      </c>
      <c r="BO351" s="125" t="s">
        <v>1808</v>
      </c>
      <c r="BP351" s="129">
        <v>46134</v>
      </c>
      <c r="BQ351" s="18"/>
      <c r="BR351" s="505" t="s">
        <v>1852</v>
      </c>
      <c r="BS351" s="18"/>
      <c r="BT351" s="286" t="s">
        <v>1809</v>
      </c>
      <c r="BU351" s="18"/>
      <c r="BV351" s="552" t="s">
        <v>1677</v>
      </c>
      <c r="BW351" s="646" t="s">
        <v>1853</v>
      </c>
      <c r="BX351" s="646" t="s">
        <v>1854</v>
      </c>
      <c r="BY351" s="552">
        <v>41222635</v>
      </c>
      <c r="BZ351" s="552">
        <v>10412226351</v>
      </c>
      <c r="CA351" s="126">
        <v>6000</v>
      </c>
      <c r="CB351" s="289">
        <v>46143</v>
      </c>
      <c r="CC351" s="289">
        <v>46173</v>
      </c>
      <c r="CD351" s="759"/>
      <c r="CE351" s="177">
        <f t="shared" si="491"/>
        <v>30</v>
      </c>
      <c r="CF351" s="1019">
        <f t="shared" si="492"/>
        <v>6000</v>
      </c>
      <c r="CG351" s="177">
        <v>30</v>
      </c>
      <c r="CH351" s="1019">
        <f t="shared" si="493"/>
        <v>6000</v>
      </c>
      <c r="CI351" s="177">
        <v>30</v>
      </c>
      <c r="CJ351" s="1019">
        <f t="shared" si="494"/>
        <v>6000</v>
      </c>
      <c r="CK351" s="177">
        <f t="shared" si="495"/>
        <v>0</v>
      </c>
      <c r="CL351" s="177">
        <f t="shared" si="496"/>
        <v>0</v>
      </c>
      <c r="CM351" s="1006"/>
      <c r="CN351" s="177">
        <f t="shared" si="497"/>
        <v>0</v>
      </c>
      <c r="CO351" s="1019">
        <f t="shared" si="498"/>
        <v>0</v>
      </c>
      <c r="CP351" s="177"/>
      <c r="CQ351" s="1019">
        <f t="shared" si="499"/>
        <v>0</v>
      </c>
      <c r="CR351" s="1019"/>
      <c r="CS351" s="1019">
        <f t="shared" si="500"/>
        <v>0</v>
      </c>
      <c r="CT351" s="177">
        <f t="shared" si="501"/>
        <v>0</v>
      </c>
      <c r="CU351" s="177">
        <f t="shared" si="502"/>
        <v>0</v>
      </c>
      <c r="CV351" s="1006"/>
      <c r="CW351" s="1007">
        <f t="shared" si="608"/>
        <v>6000</v>
      </c>
      <c r="CX351" s="486">
        <f t="shared" si="609"/>
        <v>6000</v>
      </c>
      <c r="CY351" s="486">
        <f t="shared" si="610"/>
        <v>6000</v>
      </c>
      <c r="CZ351" s="1007">
        <f t="shared" si="611"/>
        <v>0</v>
      </c>
      <c r="DA351" s="1007">
        <f t="shared" si="612"/>
        <v>0</v>
      </c>
      <c r="DB351" s="126"/>
      <c r="DC351" s="125"/>
    </row>
    <row r="352" spans="1:108" ht="51" hidden="1" x14ac:dyDescent="0.25">
      <c r="A352" s="19">
        <v>2026</v>
      </c>
      <c r="B352" s="20">
        <v>479</v>
      </c>
      <c r="C352" s="21" t="s">
        <v>64</v>
      </c>
      <c r="D352" s="21" t="s">
        <v>65</v>
      </c>
      <c r="E352" s="20">
        <v>125</v>
      </c>
      <c r="F352" s="20">
        <v>3000654</v>
      </c>
      <c r="G352" s="20">
        <v>5005023</v>
      </c>
      <c r="H352" s="20">
        <v>3</v>
      </c>
      <c r="I352" s="20">
        <v>12</v>
      </c>
      <c r="J352" s="20">
        <v>24</v>
      </c>
      <c r="K352" s="20">
        <v>135560</v>
      </c>
      <c r="L352" s="21" t="s">
        <v>220</v>
      </c>
      <c r="M352" s="33" t="s">
        <v>221</v>
      </c>
      <c r="N352" s="19">
        <v>97</v>
      </c>
      <c r="O352" s="2"/>
      <c r="P352" s="2" t="s">
        <v>4</v>
      </c>
      <c r="Q352" s="20" t="s">
        <v>68</v>
      </c>
      <c r="R352" s="25" t="s">
        <v>69</v>
      </c>
      <c r="S352" s="41" t="s">
        <v>137</v>
      </c>
      <c r="T352" s="41"/>
      <c r="U352" s="31" t="s">
        <v>231</v>
      </c>
      <c r="V352" s="25" t="s">
        <v>3</v>
      </c>
      <c r="W352" s="25">
        <v>1</v>
      </c>
      <c r="X352" s="595">
        <v>6000</v>
      </c>
      <c r="Y352" s="619"/>
      <c r="Z352" s="2"/>
      <c r="AA352" s="2"/>
      <c r="AB352" s="620"/>
      <c r="AC352" s="25">
        <v>0</v>
      </c>
      <c r="AD352" s="25">
        <v>30</v>
      </c>
      <c r="AE352" s="619"/>
      <c r="AF352" s="2"/>
      <c r="AG352" s="2"/>
      <c r="AH352" s="2"/>
      <c r="AI352" s="2"/>
      <c r="AJ352" s="621"/>
      <c r="AK352" s="596">
        <v>6000</v>
      </c>
      <c r="AL352" s="29" t="s">
        <v>73</v>
      </c>
      <c r="AM352" s="29" t="s">
        <v>73</v>
      </c>
      <c r="AN352" s="29" t="s">
        <v>73</v>
      </c>
      <c r="AO352" s="29" t="s">
        <v>73</v>
      </c>
      <c r="AP352" s="648">
        <v>0</v>
      </c>
      <c r="AQ352" s="478">
        <v>6000</v>
      </c>
      <c r="AR352" s="29" t="s">
        <v>73</v>
      </c>
      <c r="AS352" s="29" t="s">
        <v>73</v>
      </c>
      <c r="AT352" s="29" t="s">
        <v>73</v>
      </c>
      <c r="AU352" s="29" t="s">
        <v>73</v>
      </c>
      <c r="AV352" s="29" t="s">
        <v>73</v>
      </c>
      <c r="AW352" s="29" t="s">
        <v>73</v>
      </c>
      <c r="AX352" s="30">
        <v>6000</v>
      </c>
      <c r="AY352" s="479" t="s">
        <v>6</v>
      </c>
      <c r="AZ352" s="2" t="s">
        <v>74</v>
      </c>
      <c r="BA352" s="2"/>
      <c r="BK352" s="125" t="s">
        <v>790</v>
      </c>
      <c r="BL352" s="481" t="s">
        <v>791</v>
      </c>
      <c r="BM352" s="125" t="s">
        <v>1812</v>
      </c>
      <c r="BN352" s="177" t="s">
        <v>1855</v>
      </c>
      <c r="BO352" s="125" t="s">
        <v>1856</v>
      </c>
      <c r="BP352" s="129">
        <v>46156</v>
      </c>
      <c r="BQ352" s="18"/>
      <c r="BR352" s="287">
        <v>5010</v>
      </c>
      <c r="BS352" s="18"/>
      <c r="BT352" s="18"/>
      <c r="BU352" s="947" t="s">
        <v>1815</v>
      </c>
      <c r="BV352" s="552" t="s">
        <v>1677</v>
      </c>
      <c r="BW352" s="649" t="s">
        <v>1853</v>
      </c>
      <c r="BX352" s="649" t="s">
        <v>1854</v>
      </c>
      <c r="BY352" s="552">
        <v>41222635</v>
      </c>
      <c r="BZ352" s="552">
        <v>10412226351</v>
      </c>
      <c r="CA352" s="650">
        <v>6000</v>
      </c>
      <c r="CB352" s="289">
        <v>46174</v>
      </c>
      <c r="CC352" s="289">
        <v>46203</v>
      </c>
      <c r="CD352" s="759"/>
      <c r="CE352" s="177">
        <f t="shared" si="491"/>
        <v>0</v>
      </c>
      <c r="CF352" s="1019">
        <f t="shared" si="492"/>
        <v>0</v>
      </c>
      <c r="CG352" s="177"/>
      <c r="CH352" s="1019">
        <f t="shared" si="493"/>
        <v>0</v>
      </c>
      <c r="CI352" s="177"/>
      <c r="CJ352" s="1019">
        <f t="shared" si="494"/>
        <v>0</v>
      </c>
      <c r="CK352" s="177">
        <f t="shared" si="495"/>
        <v>0</v>
      </c>
      <c r="CL352" s="177">
        <f t="shared" si="496"/>
        <v>0</v>
      </c>
      <c r="CM352" s="1006"/>
      <c r="CN352" s="177">
        <f t="shared" si="497"/>
        <v>30</v>
      </c>
      <c r="CO352" s="1019">
        <f t="shared" si="498"/>
        <v>6000</v>
      </c>
      <c r="CP352" s="177">
        <v>30</v>
      </c>
      <c r="CQ352" s="1019">
        <f t="shared" si="499"/>
        <v>6000</v>
      </c>
      <c r="CR352" s="1019">
        <v>30</v>
      </c>
      <c r="CS352" s="1019">
        <f t="shared" si="500"/>
        <v>6000</v>
      </c>
      <c r="CT352" s="177">
        <f t="shared" si="501"/>
        <v>0</v>
      </c>
      <c r="CU352" s="177">
        <f t="shared" si="502"/>
        <v>0</v>
      </c>
      <c r="CV352" s="1006"/>
      <c r="CW352" s="1007">
        <f t="shared" si="608"/>
        <v>6000</v>
      </c>
      <c r="CX352" s="486">
        <f t="shared" si="609"/>
        <v>6000</v>
      </c>
      <c r="CY352" s="486">
        <f t="shared" si="610"/>
        <v>6000</v>
      </c>
      <c r="CZ352" s="1007">
        <f t="shared" si="611"/>
        <v>0</v>
      </c>
      <c r="DA352" s="1007">
        <f t="shared" si="612"/>
        <v>0</v>
      </c>
      <c r="DB352" s="126"/>
      <c r="DC352" s="125"/>
    </row>
    <row r="353" spans="1:107" ht="51" hidden="1" x14ac:dyDescent="0.25">
      <c r="A353" s="19">
        <v>2026</v>
      </c>
      <c r="B353" s="20">
        <v>479</v>
      </c>
      <c r="C353" s="21" t="s">
        <v>64</v>
      </c>
      <c r="D353" s="21" t="s">
        <v>65</v>
      </c>
      <c r="E353" s="20">
        <v>125</v>
      </c>
      <c r="F353" s="20">
        <v>3000654</v>
      </c>
      <c r="G353" s="20">
        <v>5005023</v>
      </c>
      <c r="H353" s="20">
        <v>3</v>
      </c>
      <c r="I353" s="20">
        <v>12</v>
      </c>
      <c r="J353" s="20">
        <v>24</v>
      </c>
      <c r="K353" s="20">
        <v>135560</v>
      </c>
      <c r="L353" s="21" t="s">
        <v>220</v>
      </c>
      <c r="M353" s="33" t="s">
        <v>221</v>
      </c>
      <c r="N353" s="19">
        <v>97</v>
      </c>
      <c r="O353" s="2"/>
      <c r="P353" s="2" t="s">
        <v>4</v>
      </c>
      <c r="Q353" s="20" t="s">
        <v>68</v>
      </c>
      <c r="R353" s="25" t="s">
        <v>69</v>
      </c>
      <c r="S353" s="41" t="s">
        <v>137</v>
      </c>
      <c r="T353" s="41"/>
      <c r="U353" s="651" t="s">
        <v>1857</v>
      </c>
      <c r="V353" s="25" t="s">
        <v>3</v>
      </c>
      <c r="W353" s="25">
        <v>1</v>
      </c>
      <c r="X353" s="595">
        <v>6000</v>
      </c>
      <c r="Y353" s="619"/>
      <c r="Z353" s="2"/>
      <c r="AA353" s="2"/>
      <c r="AB353" s="620"/>
      <c r="AC353" s="25">
        <v>30</v>
      </c>
      <c r="AD353" s="25">
        <v>30</v>
      </c>
      <c r="AE353" s="619"/>
      <c r="AF353" s="2"/>
      <c r="AG353" s="2"/>
      <c r="AH353" s="2"/>
      <c r="AI353" s="2"/>
      <c r="AJ353" s="621"/>
      <c r="AK353" s="596">
        <v>12000</v>
      </c>
      <c r="AL353" s="29" t="s">
        <v>73</v>
      </c>
      <c r="AM353" s="29" t="s">
        <v>73</v>
      </c>
      <c r="AN353" s="29" t="s">
        <v>73</v>
      </c>
      <c r="AO353" s="29" t="s">
        <v>73</v>
      </c>
      <c r="AP353" s="478">
        <v>6000</v>
      </c>
      <c r="AQ353" s="478">
        <v>6000</v>
      </c>
      <c r="AR353" s="29" t="s">
        <v>73</v>
      </c>
      <c r="AS353" s="29" t="s">
        <v>73</v>
      </c>
      <c r="AT353" s="29" t="s">
        <v>73</v>
      </c>
      <c r="AU353" s="29" t="s">
        <v>73</v>
      </c>
      <c r="AV353" s="29" t="s">
        <v>73</v>
      </c>
      <c r="AW353" s="29" t="s">
        <v>73</v>
      </c>
      <c r="AX353" s="30">
        <v>12000</v>
      </c>
      <c r="AY353" s="479" t="s">
        <v>6</v>
      </c>
      <c r="AZ353" s="2" t="s">
        <v>74</v>
      </c>
      <c r="BA353" s="2"/>
      <c r="BK353" s="481" t="s">
        <v>790</v>
      </c>
      <c r="BL353" s="481" t="s">
        <v>791</v>
      </c>
      <c r="BM353" s="125" t="s">
        <v>1858</v>
      </c>
      <c r="BN353" s="177" t="s">
        <v>1859</v>
      </c>
      <c r="BO353" s="125" t="s">
        <v>1860</v>
      </c>
      <c r="BP353" s="129">
        <v>46162</v>
      </c>
      <c r="BQ353" s="18"/>
      <c r="BR353" s="952">
        <v>4910</v>
      </c>
      <c r="BS353" s="18"/>
      <c r="BT353" s="18"/>
      <c r="BU353" s="18" t="s">
        <v>1815</v>
      </c>
      <c r="BV353" s="552" t="s">
        <v>1861</v>
      </c>
      <c r="BW353" s="649" t="s">
        <v>1862</v>
      </c>
      <c r="BX353" s="649" t="s">
        <v>1863</v>
      </c>
      <c r="BY353" s="552">
        <v>47435983</v>
      </c>
      <c r="BZ353" s="552">
        <v>10474359838</v>
      </c>
      <c r="CA353" s="650">
        <v>6000</v>
      </c>
      <c r="CB353" s="289">
        <v>46174</v>
      </c>
      <c r="CC353" s="289">
        <v>46203</v>
      </c>
      <c r="CD353" s="759"/>
      <c r="CE353" s="177">
        <f t="shared" si="491"/>
        <v>30</v>
      </c>
      <c r="CF353" s="1019">
        <f t="shared" si="492"/>
        <v>6000</v>
      </c>
      <c r="CG353" s="177"/>
      <c r="CH353" s="1019">
        <f t="shared" si="493"/>
        <v>0</v>
      </c>
      <c r="CI353" s="177"/>
      <c r="CJ353" s="1019">
        <f t="shared" si="494"/>
        <v>0</v>
      </c>
      <c r="CK353" s="177">
        <f t="shared" si="495"/>
        <v>6000</v>
      </c>
      <c r="CL353" s="177">
        <f t="shared" si="496"/>
        <v>6000</v>
      </c>
      <c r="CM353" s="1006"/>
      <c r="CN353" s="177">
        <f t="shared" si="497"/>
        <v>30</v>
      </c>
      <c r="CO353" s="1019">
        <f t="shared" si="498"/>
        <v>6000</v>
      </c>
      <c r="CP353" s="177">
        <v>30</v>
      </c>
      <c r="CQ353" s="1019">
        <f t="shared" si="499"/>
        <v>6000</v>
      </c>
      <c r="CR353" s="1019">
        <v>30</v>
      </c>
      <c r="CS353" s="1019">
        <f t="shared" si="500"/>
        <v>6000</v>
      </c>
      <c r="CT353" s="177">
        <f t="shared" si="501"/>
        <v>0</v>
      </c>
      <c r="CU353" s="177">
        <f t="shared" si="502"/>
        <v>0</v>
      </c>
      <c r="CV353" s="1006"/>
      <c r="CW353" s="1007">
        <f t="shared" si="608"/>
        <v>12000</v>
      </c>
      <c r="CX353" s="486">
        <f t="shared" si="609"/>
        <v>6000</v>
      </c>
      <c r="CY353" s="486">
        <f t="shared" si="610"/>
        <v>6000</v>
      </c>
      <c r="CZ353" s="1007">
        <f t="shared" si="611"/>
        <v>6000</v>
      </c>
      <c r="DA353" s="1007">
        <f t="shared" si="612"/>
        <v>6000</v>
      </c>
      <c r="DB353" s="126"/>
      <c r="DC353" s="125"/>
    </row>
    <row r="354" spans="1:107" ht="51" hidden="1" x14ac:dyDescent="0.25">
      <c r="A354" s="19">
        <v>2026</v>
      </c>
      <c r="B354" s="20">
        <v>479</v>
      </c>
      <c r="C354" s="21" t="s">
        <v>64</v>
      </c>
      <c r="D354" s="21" t="s">
        <v>65</v>
      </c>
      <c r="E354" s="20">
        <v>125</v>
      </c>
      <c r="F354" s="20">
        <v>3000654</v>
      </c>
      <c r="G354" s="20">
        <v>5005023</v>
      </c>
      <c r="H354" s="20">
        <v>3</v>
      </c>
      <c r="I354" s="20">
        <v>12</v>
      </c>
      <c r="J354" s="20">
        <v>24</v>
      </c>
      <c r="K354" s="20">
        <v>135560</v>
      </c>
      <c r="L354" s="21" t="s">
        <v>98</v>
      </c>
      <c r="M354" s="33" t="s">
        <v>99</v>
      </c>
      <c r="N354" s="19">
        <v>94</v>
      </c>
      <c r="O354" s="2"/>
      <c r="P354" s="2" t="s">
        <v>4</v>
      </c>
      <c r="Q354" s="20" t="s">
        <v>68</v>
      </c>
      <c r="R354" s="25" t="s">
        <v>69</v>
      </c>
      <c r="S354" s="41" t="s">
        <v>137</v>
      </c>
      <c r="T354" s="41"/>
      <c r="U354" s="31" t="s">
        <v>233</v>
      </c>
      <c r="V354" s="25" t="s">
        <v>3</v>
      </c>
      <c r="W354" s="25">
        <v>1</v>
      </c>
      <c r="X354" s="595">
        <v>5500</v>
      </c>
      <c r="Y354" s="619"/>
      <c r="Z354" s="2"/>
      <c r="AA354" s="2"/>
      <c r="AB354" s="620"/>
      <c r="AC354" s="25">
        <v>30</v>
      </c>
      <c r="AD354" s="25">
        <v>0</v>
      </c>
      <c r="AE354" s="619"/>
      <c r="AF354" s="2"/>
      <c r="AG354" s="2"/>
      <c r="AH354" s="2"/>
      <c r="AI354" s="2"/>
      <c r="AJ354" s="621"/>
      <c r="AK354" s="596">
        <v>5500</v>
      </c>
      <c r="AL354" s="29" t="s">
        <v>73</v>
      </c>
      <c r="AM354" s="29" t="s">
        <v>73</v>
      </c>
      <c r="AN354" s="29" t="s">
        <v>73</v>
      </c>
      <c r="AO354" s="29" t="s">
        <v>73</v>
      </c>
      <c r="AP354" s="478">
        <v>5500</v>
      </c>
      <c r="AQ354" s="648">
        <v>0</v>
      </c>
      <c r="AR354" s="29" t="s">
        <v>73</v>
      </c>
      <c r="AS354" s="29" t="s">
        <v>73</v>
      </c>
      <c r="AT354" s="29" t="s">
        <v>73</v>
      </c>
      <c r="AU354" s="29" t="s">
        <v>73</v>
      </c>
      <c r="AV354" s="29" t="s">
        <v>73</v>
      </c>
      <c r="AW354" s="29" t="s">
        <v>73</v>
      </c>
      <c r="AX354" s="30">
        <v>5500</v>
      </c>
      <c r="AY354" s="165" t="s">
        <v>6</v>
      </c>
      <c r="AZ354" s="2" t="s">
        <v>74</v>
      </c>
      <c r="BA354" s="2"/>
      <c r="BK354" s="147" t="s">
        <v>790</v>
      </c>
      <c r="BL354" s="481" t="s">
        <v>791</v>
      </c>
      <c r="BM354" s="125" t="s">
        <v>1806</v>
      </c>
      <c r="BN354" s="649" t="s">
        <v>1807</v>
      </c>
      <c r="BO354" s="125" t="s">
        <v>1808</v>
      </c>
      <c r="BP354" s="129">
        <v>46134</v>
      </c>
      <c r="BQ354" s="18"/>
      <c r="BR354" s="505" t="s">
        <v>1864</v>
      </c>
      <c r="BS354" s="18"/>
      <c r="BT354" s="286" t="s">
        <v>1809</v>
      </c>
      <c r="BU354" s="18"/>
      <c r="BV354" s="552" t="s">
        <v>1527</v>
      </c>
      <c r="BW354" s="646" t="s">
        <v>1865</v>
      </c>
      <c r="BX354" s="646" t="s">
        <v>1866</v>
      </c>
      <c r="BY354" s="552">
        <v>76444237</v>
      </c>
      <c r="BZ354" s="552">
        <v>10764442372</v>
      </c>
      <c r="CA354" s="126">
        <v>5500</v>
      </c>
      <c r="CB354" s="289">
        <v>46143</v>
      </c>
      <c r="CC354" s="289">
        <v>46173</v>
      </c>
      <c r="CD354" s="759"/>
      <c r="CE354" s="177">
        <f t="shared" si="491"/>
        <v>30</v>
      </c>
      <c r="CF354" s="1019">
        <f t="shared" si="492"/>
        <v>5500</v>
      </c>
      <c r="CG354" s="177">
        <v>30</v>
      </c>
      <c r="CH354" s="1019">
        <f t="shared" si="493"/>
        <v>5500</v>
      </c>
      <c r="CI354" s="177">
        <v>30</v>
      </c>
      <c r="CJ354" s="1019">
        <f t="shared" si="494"/>
        <v>5500</v>
      </c>
      <c r="CK354" s="177">
        <f t="shared" si="495"/>
        <v>0</v>
      </c>
      <c r="CL354" s="177">
        <f t="shared" si="496"/>
        <v>0</v>
      </c>
      <c r="CM354" s="1006"/>
      <c r="CN354" s="177">
        <f t="shared" si="497"/>
        <v>0</v>
      </c>
      <c r="CO354" s="1019">
        <f t="shared" si="498"/>
        <v>0</v>
      </c>
      <c r="CP354" s="177"/>
      <c r="CQ354" s="1019">
        <f t="shared" si="499"/>
        <v>0</v>
      </c>
      <c r="CR354" s="1019"/>
      <c r="CS354" s="1019">
        <f t="shared" si="500"/>
        <v>0</v>
      </c>
      <c r="CT354" s="177">
        <f t="shared" si="501"/>
        <v>0</v>
      </c>
      <c r="CU354" s="177">
        <f t="shared" si="502"/>
        <v>0</v>
      </c>
      <c r="CV354" s="1006"/>
      <c r="CW354" s="1007">
        <f t="shared" si="608"/>
        <v>5500</v>
      </c>
      <c r="CX354" s="486">
        <f t="shared" si="609"/>
        <v>5500</v>
      </c>
      <c r="CY354" s="486">
        <f t="shared" si="610"/>
        <v>5500</v>
      </c>
      <c r="CZ354" s="1007">
        <f t="shared" si="611"/>
        <v>0</v>
      </c>
      <c r="DA354" s="1007">
        <f t="shared" si="612"/>
        <v>0</v>
      </c>
      <c r="DB354" s="126"/>
      <c r="DC354" s="125"/>
    </row>
    <row r="355" spans="1:107" ht="51" hidden="1" x14ac:dyDescent="0.25">
      <c r="A355" s="19">
        <v>2026</v>
      </c>
      <c r="B355" s="20">
        <v>479</v>
      </c>
      <c r="C355" s="21" t="s">
        <v>64</v>
      </c>
      <c r="D355" s="21" t="s">
        <v>65</v>
      </c>
      <c r="E355" s="20">
        <v>125</v>
      </c>
      <c r="F355" s="20">
        <v>3000654</v>
      </c>
      <c r="G355" s="20">
        <v>5005023</v>
      </c>
      <c r="H355" s="20">
        <v>3</v>
      </c>
      <c r="I355" s="20">
        <v>12</v>
      </c>
      <c r="J355" s="20">
        <v>24</v>
      </c>
      <c r="K355" s="20">
        <v>135560</v>
      </c>
      <c r="L355" s="21" t="s">
        <v>220</v>
      </c>
      <c r="M355" s="33" t="s">
        <v>221</v>
      </c>
      <c r="N355" s="19">
        <v>97</v>
      </c>
      <c r="O355" s="2"/>
      <c r="P355" s="2" t="s">
        <v>4</v>
      </c>
      <c r="Q355" s="20" t="s">
        <v>68</v>
      </c>
      <c r="R355" s="25" t="s">
        <v>69</v>
      </c>
      <c r="S355" s="41" t="s">
        <v>137</v>
      </c>
      <c r="T355" s="41"/>
      <c r="U355" s="31" t="s">
        <v>233</v>
      </c>
      <c r="V355" s="25" t="s">
        <v>3</v>
      </c>
      <c r="W355" s="25">
        <v>1</v>
      </c>
      <c r="X355" s="595">
        <v>5500</v>
      </c>
      <c r="Y355" s="619"/>
      <c r="Z355" s="2"/>
      <c r="AA355" s="2"/>
      <c r="AB355" s="620"/>
      <c r="AC355" s="25">
        <v>0</v>
      </c>
      <c r="AD355" s="25">
        <v>30</v>
      </c>
      <c r="AE355" s="619"/>
      <c r="AF355" s="2"/>
      <c r="AG355" s="2"/>
      <c r="AH355" s="2"/>
      <c r="AI355" s="2"/>
      <c r="AJ355" s="621"/>
      <c r="AK355" s="596">
        <v>5500</v>
      </c>
      <c r="AL355" s="29" t="s">
        <v>73</v>
      </c>
      <c r="AM355" s="29" t="s">
        <v>73</v>
      </c>
      <c r="AN355" s="29" t="s">
        <v>73</v>
      </c>
      <c r="AO355" s="29" t="s">
        <v>73</v>
      </c>
      <c r="AP355" s="648">
        <v>0</v>
      </c>
      <c r="AQ355" s="478">
        <v>5500</v>
      </c>
      <c r="AR355" s="29" t="s">
        <v>73</v>
      </c>
      <c r="AS355" s="29" t="s">
        <v>73</v>
      </c>
      <c r="AT355" s="29" t="s">
        <v>73</v>
      </c>
      <c r="AU355" s="29" t="s">
        <v>73</v>
      </c>
      <c r="AV355" s="29" t="s">
        <v>73</v>
      </c>
      <c r="AW355" s="29" t="s">
        <v>73</v>
      </c>
      <c r="AX355" s="30">
        <v>5500</v>
      </c>
      <c r="AY355" s="479" t="s">
        <v>6</v>
      </c>
      <c r="AZ355" s="2" t="s">
        <v>74</v>
      </c>
      <c r="BA355" s="2"/>
      <c r="BK355" s="125" t="s">
        <v>790</v>
      </c>
      <c r="BL355" s="481" t="s">
        <v>791</v>
      </c>
      <c r="BM355" s="125" t="s">
        <v>1812</v>
      </c>
      <c r="BN355" s="177" t="s">
        <v>1813</v>
      </c>
      <c r="BO355" s="125" t="s">
        <v>1814</v>
      </c>
      <c r="BP355" s="129">
        <v>46156</v>
      </c>
      <c r="BQ355" s="18"/>
      <c r="BR355" s="287">
        <v>5011</v>
      </c>
      <c r="BS355" s="18"/>
      <c r="BT355" s="18"/>
      <c r="BU355" s="946" t="s">
        <v>1815</v>
      </c>
      <c r="BV355" s="552" t="s">
        <v>1527</v>
      </c>
      <c r="BW355" s="649" t="s">
        <v>1865</v>
      </c>
      <c r="BX355" s="649" t="s">
        <v>1866</v>
      </c>
      <c r="BY355" s="552">
        <v>76444237</v>
      </c>
      <c r="BZ355" s="552">
        <v>10764442372</v>
      </c>
      <c r="CA355" s="650">
        <v>5500</v>
      </c>
      <c r="CB355" s="289">
        <v>46174</v>
      </c>
      <c r="CC355" s="289">
        <v>46203</v>
      </c>
      <c r="CD355" s="759"/>
      <c r="CE355" s="177">
        <f t="shared" si="491"/>
        <v>0</v>
      </c>
      <c r="CF355" s="1019">
        <f t="shared" si="492"/>
        <v>0</v>
      </c>
      <c r="CG355" s="177"/>
      <c r="CH355" s="1019">
        <f t="shared" si="493"/>
        <v>0</v>
      </c>
      <c r="CI355" s="177"/>
      <c r="CJ355" s="1019">
        <f t="shared" si="494"/>
        <v>0</v>
      </c>
      <c r="CK355" s="177">
        <f t="shared" si="495"/>
        <v>0</v>
      </c>
      <c r="CL355" s="177">
        <f t="shared" si="496"/>
        <v>0</v>
      </c>
      <c r="CM355" s="1006"/>
      <c r="CN355" s="177">
        <f t="shared" si="497"/>
        <v>30</v>
      </c>
      <c r="CO355" s="1019">
        <f t="shared" si="498"/>
        <v>5500</v>
      </c>
      <c r="CP355" s="177">
        <v>30</v>
      </c>
      <c r="CQ355" s="1019">
        <f t="shared" si="499"/>
        <v>5500</v>
      </c>
      <c r="CR355" s="1019">
        <v>30</v>
      </c>
      <c r="CS355" s="1019">
        <f t="shared" si="500"/>
        <v>5500</v>
      </c>
      <c r="CT355" s="177">
        <f t="shared" si="501"/>
        <v>0</v>
      </c>
      <c r="CU355" s="177">
        <f t="shared" si="502"/>
        <v>0</v>
      </c>
      <c r="CV355" s="1006"/>
      <c r="CW355" s="1007">
        <f t="shared" si="608"/>
        <v>5500</v>
      </c>
      <c r="CX355" s="486">
        <f t="shared" si="609"/>
        <v>5500</v>
      </c>
      <c r="CY355" s="486">
        <f t="shared" si="610"/>
        <v>5500</v>
      </c>
      <c r="CZ355" s="1007">
        <f t="shared" si="611"/>
        <v>0</v>
      </c>
      <c r="DA355" s="1007">
        <f t="shared" si="612"/>
        <v>0</v>
      </c>
      <c r="DB355" s="126"/>
      <c r="DC355" s="125"/>
    </row>
    <row r="356" spans="1:107" ht="51" hidden="1" x14ac:dyDescent="0.25">
      <c r="A356" s="19">
        <v>2026</v>
      </c>
      <c r="B356" s="20">
        <v>479</v>
      </c>
      <c r="C356" s="21" t="s">
        <v>64</v>
      </c>
      <c r="D356" s="21" t="s">
        <v>65</v>
      </c>
      <c r="E356" s="20">
        <v>125</v>
      </c>
      <c r="F356" s="20">
        <v>3000654</v>
      </c>
      <c r="G356" s="20">
        <v>5005023</v>
      </c>
      <c r="H356" s="20">
        <v>3</v>
      </c>
      <c r="I356" s="20">
        <v>12</v>
      </c>
      <c r="J356" s="20">
        <v>24</v>
      </c>
      <c r="K356" s="20">
        <v>135560</v>
      </c>
      <c r="L356" s="21" t="s">
        <v>220</v>
      </c>
      <c r="M356" s="33" t="s">
        <v>221</v>
      </c>
      <c r="N356" s="19">
        <v>97</v>
      </c>
      <c r="O356" s="2"/>
      <c r="P356" s="629" t="s">
        <v>4</v>
      </c>
      <c r="Q356" s="178" t="s">
        <v>68</v>
      </c>
      <c r="R356" s="25" t="s">
        <v>69</v>
      </c>
      <c r="S356" s="41" t="s">
        <v>137</v>
      </c>
      <c r="T356" s="41"/>
      <c r="U356" s="31" t="s">
        <v>234</v>
      </c>
      <c r="V356" s="25" t="s">
        <v>3</v>
      </c>
      <c r="W356" s="25">
        <v>1</v>
      </c>
      <c r="X356" s="595">
        <v>6500</v>
      </c>
      <c r="Y356" s="619"/>
      <c r="Z356" s="2"/>
      <c r="AA356" s="2"/>
      <c r="AB356" s="620"/>
      <c r="AC356" s="25">
        <v>30</v>
      </c>
      <c r="AD356" s="25">
        <v>30</v>
      </c>
      <c r="AE356" s="619"/>
      <c r="AF356" s="2"/>
      <c r="AG356" s="2"/>
      <c r="AH356" s="2"/>
      <c r="AI356" s="2"/>
      <c r="AJ356" s="621"/>
      <c r="AK356" s="596">
        <v>13000</v>
      </c>
      <c r="AL356" s="29" t="s">
        <v>73</v>
      </c>
      <c r="AM356" s="29" t="s">
        <v>73</v>
      </c>
      <c r="AN356" s="29" t="s">
        <v>73</v>
      </c>
      <c r="AO356" s="29" t="s">
        <v>73</v>
      </c>
      <c r="AP356" s="478">
        <v>6500</v>
      </c>
      <c r="AQ356" s="478">
        <v>6500</v>
      </c>
      <c r="AR356" s="29" t="s">
        <v>73</v>
      </c>
      <c r="AS356" s="29" t="s">
        <v>73</v>
      </c>
      <c r="AT356" s="29" t="s">
        <v>73</v>
      </c>
      <c r="AU356" s="29" t="s">
        <v>73</v>
      </c>
      <c r="AV356" s="29" t="s">
        <v>73</v>
      </c>
      <c r="AW356" s="29" t="s">
        <v>73</v>
      </c>
      <c r="AX356" s="30">
        <v>13000</v>
      </c>
      <c r="AY356" s="479" t="s">
        <v>6</v>
      </c>
      <c r="AZ356" s="2" t="s">
        <v>74</v>
      </c>
      <c r="BA356" s="2"/>
      <c r="BK356" s="481" t="s">
        <v>790</v>
      </c>
      <c r="BL356" s="481" t="s">
        <v>791</v>
      </c>
      <c r="BM356" s="125" t="s">
        <v>1806</v>
      </c>
      <c r="BN356" s="649" t="s">
        <v>1807</v>
      </c>
      <c r="BO356" s="125" t="s">
        <v>1808</v>
      </c>
      <c r="BP356" s="129">
        <v>46134</v>
      </c>
      <c r="BQ356" s="18"/>
      <c r="BR356" s="505" t="s">
        <v>1867</v>
      </c>
      <c r="BS356" s="18"/>
      <c r="BT356" s="18" t="s">
        <v>1809</v>
      </c>
      <c r="BU356" s="18" t="s">
        <v>1815</v>
      </c>
      <c r="BV356" s="552" t="s">
        <v>1868</v>
      </c>
      <c r="BW356" s="646" t="s">
        <v>1869</v>
      </c>
      <c r="BX356" s="646" t="s">
        <v>1870</v>
      </c>
      <c r="BY356" s="552">
        <v>40546898</v>
      </c>
      <c r="BZ356" s="552">
        <v>10405468986</v>
      </c>
      <c r="CA356" s="126">
        <v>6500</v>
      </c>
      <c r="CB356" s="289">
        <v>46143</v>
      </c>
      <c r="CC356" s="289">
        <v>46203</v>
      </c>
      <c r="CD356" s="759"/>
      <c r="CE356" s="177">
        <f t="shared" si="491"/>
        <v>30</v>
      </c>
      <c r="CF356" s="1019">
        <f t="shared" si="492"/>
        <v>6500</v>
      </c>
      <c r="CG356" s="177">
        <v>30</v>
      </c>
      <c r="CH356" s="1019">
        <f t="shared" si="493"/>
        <v>6500</v>
      </c>
      <c r="CI356" s="177">
        <v>30</v>
      </c>
      <c r="CJ356" s="1019">
        <f t="shared" si="494"/>
        <v>6500</v>
      </c>
      <c r="CK356" s="177">
        <f t="shared" si="495"/>
        <v>0</v>
      </c>
      <c r="CL356" s="177">
        <f t="shared" si="496"/>
        <v>0</v>
      </c>
      <c r="CM356" s="1006"/>
      <c r="CN356" s="177">
        <f t="shared" si="497"/>
        <v>30</v>
      </c>
      <c r="CO356" s="1019">
        <f t="shared" si="498"/>
        <v>6500</v>
      </c>
      <c r="CP356" s="177">
        <v>30</v>
      </c>
      <c r="CQ356" s="1019">
        <f t="shared" si="499"/>
        <v>6500</v>
      </c>
      <c r="CR356" s="1019">
        <v>30</v>
      </c>
      <c r="CS356" s="1019">
        <f t="shared" si="500"/>
        <v>6500</v>
      </c>
      <c r="CT356" s="177">
        <f t="shared" si="501"/>
        <v>0</v>
      </c>
      <c r="CU356" s="177">
        <f t="shared" si="502"/>
        <v>0</v>
      </c>
      <c r="CV356" s="1006"/>
      <c r="CW356" s="1007">
        <f t="shared" si="608"/>
        <v>13000</v>
      </c>
      <c r="CX356" s="486">
        <f t="shared" si="609"/>
        <v>13000</v>
      </c>
      <c r="CY356" s="486">
        <f t="shared" si="610"/>
        <v>13000</v>
      </c>
      <c r="CZ356" s="1007">
        <f t="shared" si="611"/>
        <v>0</v>
      </c>
      <c r="DA356" s="1007">
        <f t="shared" si="612"/>
        <v>0</v>
      </c>
      <c r="DB356" s="126"/>
      <c r="DC356" s="125"/>
    </row>
    <row r="357" spans="1:107" ht="51" hidden="1" x14ac:dyDescent="0.25">
      <c r="A357" s="19">
        <v>2026</v>
      </c>
      <c r="B357" s="20">
        <v>479</v>
      </c>
      <c r="C357" s="21" t="s">
        <v>64</v>
      </c>
      <c r="D357" s="21" t="s">
        <v>65</v>
      </c>
      <c r="E357" s="20">
        <v>125</v>
      </c>
      <c r="F357" s="20">
        <v>3000654</v>
      </c>
      <c r="G357" s="20">
        <v>5005023</v>
      </c>
      <c r="H357" s="20">
        <v>3</v>
      </c>
      <c r="I357" s="20">
        <v>12</v>
      </c>
      <c r="J357" s="20">
        <v>24</v>
      </c>
      <c r="K357" s="20">
        <v>135560</v>
      </c>
      <c r="L357" s="21" t="s">
        <v>220</v>
      </c>
      <c r="M357" s="33" t="s">
        <v>221</v>
      </c>
      <c r="N357" s="19">
        <v>97</v>
      </c>
      <c r="O357" s="2"/>
      <c r="P357" s="2" t="s">
        <v>4</v>
      </c>
      <c r="Q357" s="20" t="s">
        <v>68</v>
      </c>
      <c r="R357" s="25" t="s">
        <v>69</v>
      </c>
      <c r="S357" s="41" t="s">
        <v>137</v>
      </c>
      <c r="T357" s="41"/>
      <c r="U357" s="31" t="s">
        <v>235</v>
      </c>
      <c r="V357" s="25" t="s">
        <v>3</v>
      </c>
      <c r="W357" s="25">
        <v>1</v>
      </c>
      <c r="X357" s="595">
        <v>7000</v>
      </c>
      <c r="Y357" s="619"/>
      <c r="Z357" s="2"/>
      <c r="AA357" s="2"/>
      <c r="AB357" s="620"/>
      <c r="AC357" s="25">
        <v>30</v>
      </c>
      <c r="AD357" s="25">
        <v>30</v>
      </c>
      <c r="AE357" s="619"/>
      <c r="AF357" s="2"/>
      <c r="AG357" s="2"/>
      <c r="AH357" s="2"/>
      <c r="AI357" s="2"/>
      <c r="AJ357" s="621"/>
      <c r="AK357" s="596">
        <v>14000</v>
      </c>
      <c r="AL357" s="29" t="s">
        <v>73</v>
      </c>
      <c r="AM357" s="29" t="s">
        <v>73</v>
      </c>
      <c r="AN357" s="29" t="s">
        <v>73</v>
      </c>
      <c r="AO357" s="29" t="s">
        <v>73</v>
      </c>
      <c r="AP357" s="478">
        <v>7000</v>
      </c>
      <c r="AQ357" s="478">
        <v>7000</v>
      </c>
      <c r="AR357" s="29" t="s">
        <v>73</v>
      </c>
      <c r="AS357" s="29" t="s">
        <v>73</v>
      </c>
      <c r="AT357" s="29" t="s">
        <v>73</v>
      </c>
      <c r="AU357" s="29" t="s">
        <v>73</v>
      </c>
      <c r="AV357" s="29" t="s">
        <v>73</v>
      </c>
      <c r="AW357" s="29" t="s">
        <v>73</v>
      </c>
      <c r="AX357" s="30">
        <v>14000</v>
      </c>
      <c r="AY357" s="479" t="s">
        <v>6</v>
      </c>
      <c r="AZ357" s="2" t="s">
        <v>74</v>
      </c>
      <c r="BA357" s="2"/>
      <c r="BK357" s="481" t="s">
        <v>790</v>
      </c>
      <c r="BL357" s="481" t="s">
        <v>791</v>
      </c>
      <c r="BM357" s="125" t="s">
        <v>1806</v>
      </c>
      <c r="BN357" s="649" t="s">
        <v>1807</v>
      </c>
      <c r="BO357" s="125" t="s">
        <v>1808</v>
      </c>
      <c r="BP357" s="129">
        <v>46134</v>
      </c>
      <c r="BQ357" s="18"/>
      <c r="BR357" s="505" t="s">
        <v>1871</v>
      </c>
      <c r="BS357" s="18"/>
      <c r="BT357" s="264" t="s">
        <v>1809</v>
      </c>
      <c r="BU357" s="18" t="s">
        <v>1841</v>
      </c>
      <c r="BV357" s="552" t="s">
        <v>1872</v>
      </c>
      <c r="BW357" s="646" t="s">
        <v>1873</v>
      </c>
      <c r="BX357" s="646" t="s">
        <v>1346</v>
      </c>
      <c r="BY357" s="552">
        <v>70315387</v>
      </c>
      <c r="BZ357" s="552">
        <v>10703153874</v>
      </c>
      <c r="CA357" s="126">
        <v>7000</v>
      </c>
      <c r="CB357" s="289">
        <v>46143</v>
      </c>
      <c r="CC357" s="289">
        <v>46203</v>
      </c>
      <c r="CD357" s="759"/>
      <c r="CE357" s="177">
        <f t="shared" si="491"/>
        <v>30</v>
      </c>
      <c r="CF357" s="1019">
        <f t="shared" si="492"/>
        <v>7000</v>
      </c>
      <c r="CG357" s="177">
        <v>30</v>
      </c>
      <c r="CH357" s="1019">
        <f t="shared" si="493"/>
        <v>7000</v>
      </c>
      <c r="CI357" s="177">
        <v>30</v>
      </c>
      <c r="CJ357" s="1019">
        <f t="shared" si="494"/>
        <v>7000</v>
      </c>
      <c r="CK357" s="177">
        <f t="shared" si="495"/>
        <v>0</v>
      </c>
      <c r="CL357" s="177">
        <f t="shared" si="496"/>
        <v>0</v>
      </c>
      <c r="CM357" s="1006"/>
      <c r="CN357" s="177">
        <f t="shared" si="497"/>
        <v>30</v>
      </c>
      <c r="CO357" s="1019">
        <f t="shared" si="498"/>
        <v>7000</v>
      </c>
      <c r="CP357" s="177">
        <v>30</v>
      </c>
      <c r="CQ357" s="1019">
        <f t="shared" si="499"/>
        <v>7000</v>
      </c>
      <c r="CR357" s="1019">
        <v>30</v>
      </c>
      <c r="CS357" s="1019">
        <f t="shared" si="500"/>
        <v>7000</v>
      </c>
      <c r="CT357" s="177">
        <f t="shared" si="501"/>
        <v>0</v>
      </c>
      <c r="CU357" s="177">
        <f t="shared" si="502"/>
        <v>0</v>
      </c>
      <c r="CV357" s="1006"/>
      <c r="CW357" s="1007">
        <f t="shared" si="608"/>
        <v>14000</v>
      </c>
      <c r="CX357" s="486">
        <f t="shared" si="609"/>
        <v>14000</v>
      </c>
      <c r="CY357" s="486">
        <f t="shared" si="610"/>
        <v>14000</v>
      </c>
      <c r="CZ357" s="1007">
        <f t="shared" si="611"/>
        <v>0</v>
      </c>
      <c r="DA357" s="1007">
        <f t="shared" si="612"/>
        <v>0</v>
      </c>
      <c r="DB357" s="126"/>
      <c r="DC357" s="125"/>
    </row>
    <row r="358" spans="1:107" ht="51" hidden="1" x14ac:dyDescent="0.25">
      <c r="A358" s="19">
        <v>2026</v>
      </c>
      <c r="B358" s="20">
        <v>479</v>
      </c>
      <c r="C358" s="21" t="s">
        <v>64</v>
      </c>
      <c r="D358" s="21" t="s">
        <v>65</v>
      </c>
      <c r="E358" s="20">
        <v>125</v>
      </c>
      <c r="F358" s="20">
        <v>3000654</v>
      </c>
      <c r="G358" s="20">
        <v>5005023</v>
      </c>
      <c r="H358" s="20">
        <v>3</v>
      </c>
      <c r="I358" s="20">
        <v>12</v>
      </c>
      <c r="J358" s="20">
        <v>24</v>
      </c>
      <c r="K358" s="20">
        <v>135560</v>
      </c>
      <c r="L358" s="21" t="s">
        <v>220</v>
      </c>
      <c r="M358" s="33" t="s">
        <v>221</v>
      </c>
      <c r="N358" s="19">
        <v>97</v>
      </c>
      <c r="O358" s="2"/>
      <c r="P358" s="629" t="s">
        <v>4</v>
      </c>
      <c r="Q358" s="178" t="s">
        <v>68</v>
      </c>
      <c r="R358" s="25" t="s">
        <v>69</v>
      </c>
      <c r="S358" s="41" t="s">
        <v>137</v>
      </c>
      <c r="T358" s="41"/>
      <c r="U358" s="31" t="s">
        <v>236</v>
      </c>
      <c r="V358" s="25" t="s">
        <v>3</v>
      </c>
      <c r="W358" s="25">
        <v>1</v>
      </c>
      <c r="X358" s="595">
        <v>6500</v>
      </c>
      <c r="Y358" s="619"/>
      <c r="Z358" s="2"/>
      <c r="AA358" s="2"/>
      <c r="AB358" s="620"/>
      <c r="AC358" s="25">
        <v>30</v>
      </c>
      <c r="AD358" s="25">
        <v>30</v>
      </c>
      <c r="AE358" s="619"/>
      <c r="AF358" s="2"/>
      <c r="AG358" s="2"/>
      <c r="AH358" s="2"/>
      <c r="AI358" s="2"/>
      <c r="AJ358" s="621"/>
      <c r="AK358" s="596">
        <v>13000</v>
      </c>
      <c r="AL358" s="29" t="s">
        <v>73</v>
      </c>
      <c r="AM358" s="29" t="s">
        <v>73</v>
      </c>
      <c r="AN358" s="29" t="s">
        <v>73</v>
      </c>
      <c r="AO358" s="29" t="s">
        <v>73</v>
      </c>
      <c r="AP358" s="478">
        <v>6500</v>
      </c>
      <c r="AQ358" s="478">
        <v>6500</v>
      </c>
      <c r="AR358" s="29" t="s">
        <v>73</v>
      </c>
      <c r="AS358" s="29" t="s">
        <v>73</v>
      </c>
      <c r="AT358" s="29" t="s">
        <v>73</v>
      </c>
      <c r="AU358" s="29" t="s">
        <v>73</v>
      </c>
      <c r="AV358" s="29" t="s">
        <v>73</v>
      </c>
      <c r="AW358" s="29" t="s">
        <v>73</v>
      </c>
      <c r="AX358" s="30">
        <v>13000</v>
      </c>
      <c r="AY358" s="479" t="s">
        <v>6</v>
      </c>
      <c r="AZ358" s="629" t="s">
        <v>74</v>
      </c>
      <c r="BA358" s="2"/>
      <c r="BK358" s="481" t="s">
        <v>790</v>
      </c>
      <c r="BL358" s="481" t="s">
        <v>791</v>
      </c>
      <c r="BM358" s="125" t="s">
        <v>1806</v>
      </c>
      <c r="BN358" s="649" t="s">
        <v>1807</v>
      </c>
      <c r="BO358" s="125" t="s">
        <v>1808</v>
      </c>
      <c r="BP358" s="129">
        <v>46134</v>
      </c>
      <c r="BQ358" s="18"/>
      <c r="BR358" s="505" t="s">
        <v>1874</v>
      </c>
      <c r="BS358" s="18"/>
      <c r="BT358" s="18" t="s">
        <v>1809</v>
      </c>
      <c r="BU358" s="18" t="s">
        <v>1815</v>
      </c>
      <c r="BV358" s="552" t="s">
        <v>1875</v>
      </c>
      <c r="BW358" s="646" t="s">
        <v>1876</v>
      </c>
      <c r="BX358" s="646" t="s">
        <v>1877</v>
      </c>
      <c r="BY358" s="552">
        <v>70030570</v>
      </c>
      <c r="BZ358" s="552">
        <v>10700305703</v>
      </c>
      <c r="CA358" s="126">
        <v>6500</v>
      </c>
      <c r="CB358" s="289">
        <v>46143</v>
      </c>
      <c r="CC358" s="289">
        <v>46203</v>
      </c>
      <c r="CD358" s="759"/>
      <c r="CE358" s="177">
        <f t="shared" si="491"/>
        <v>30</v>
      </c>
      <c r="CF358" s="1019">
        <f t="shared" si="492"/>
        <v>6500</v>
      </c>
      <c r="CG358" s="177">
        <v>30</v>
      </c>
      <c r="CH358" s="1019">
        <f t="shared" si="493"/>
        <v>6500</v>
      </c>
      <c r="CI358" s="177">
        <v>30</v>
      </c>
      <c r="CJ358" s="1019">
        <f t="shared" si="494"/>
        <v>6500</v>
      </c>
      <c r="CK358" s="177">
        <f t="shared" si="495"/>
        <v>0</v>
      </c>
      <c r="CL358" s="177">
        <f t="shared" si="496"/>
        <v>0</v>
      </c>
      <c r="CM358" s="1006"/>
      <c r="CN358" s="177">
        <f t="shared" si="497"/>
        <v>30</v>
      </c>
      <c r="CO358" s="1019">
        <f t="shared" si="498"/>
        <v>6500</v>
      </c>
      <c r="CP358" s="177">
        <v>30</v>
      </c>
      <c r="CQ358" s="1019">
        <f t="shared" si="499"/>
        <v>6500</v>
      </c>
      <c r="CR358" s="1019">
        <v>30</v>
      </c>
      <c r="CS358" s="1019">
        <f t="shared" si="500"/>
        <v>6500</v>
      </c>
      <c r="CT358" s="177">
        <f t="shared" si="501"/>
        <v>0</v>
      </c>
      <c r="CU358" s="177">
        <f t="shared" si="502"/>
        <v>0</v>
      </c>
      <c r="CV358" s="1006"/>
      <c r="CW358" s="1007">
        <f t="shared" si="608"/>
        <v>13000</v>
      </c>
      <c r="CX358" s="486">
        <f t="shared" si="609"/>
        <v>13000</v>
      </c>
      <c r="CY358" s="486">
        <f t="shared" si="610"/>
        <v>13000</v>
      </c>
      <c r="CZ358" s="1007">
        <f t="shared" si="611"/>
        <v>0</v>
      </c>
      <c r="DA358" s="1007">
        <f t="shared" si="612"/>
        <v>0</v>
      </c>
      <c r="DB358" s="126"/>
      <c r="DC358" s="125"/>
    </row>
    <row r="359" spans="1:107" ht="51" hidden="1" x14ac:dyDescent="0.25">
      <c r="A359" s="19">
        <v>2026</v>
      </c>
      <c r="B359" s="20">
        <v>479</v>
      </c>
      <c r="C359" s="21" t="s">
        <v>64</v>
      </c>
      <c r="D359" s="21" t="s">
        <v>65</v>
      </c>
      <c r="E359" s="20">
        <v>125</v>
      </c>
      <c r="F359" s="20">
        <v>3000654</v>
      </c>
      <c r="G359" s="20">
        <v>5005023</v>
      </c>
      <c r="H359" s="20">
        <v>3</v>
      </c>
      <c r="I359" s="20">
        <v>12</v>
      </c>
      <c r="J359" s="20">
        <v>24</v>
      </c>
      <c r="K359" s="20">
        <v>135560</v>
      </c>
      <c r="L359" s="21" t="s">
        <v>220</v>
      </c>
      <c r="M359" s="33" t="s">
        <v>221</v>
      </c>
      <c r="N359" s="19">
        <v>97</v>
      </c>
      <c r="O359" s="2"/>
      <c r="P359" s="2" t="s">
        <v>4</v>
      </c>
      <c r="Q359" s="178" t="s">
        <v>68</v>
      </c>
      <c r="R359" s="25" t="s">
        <v>69</v>
      </c>
      <c r="S359" s="41" t="s">
        <v>137</v>
      </c>
      <c r="T359" s="41"/>
      <c r="U359" s="31" t="s">
        <v>237</v>
      </c>
      <c r="V359" s="25" t="s">
        <v>3</v>
      </c>
      <c r="W359" s="25">
        <v>1</v>
      </c>
      <c r="X359" s="595">
        <v>6500</v>
      </c>
      <c r="Y359" s="619"/>
      <c r="Z359" s="2"/>
      <c r="AA359" s="2"/>
      <c r="AB359" s="620"/>
      <c r="AC359" s="25">
        <v>30</v>
      </c>
      <c r="AD359" s="25">
        <v>30</v>
      </c>
      <c r="AE359" s="619"/>
      <c r="AF359" s="2"/>
      <c r="AG359" s="2"/>
      <c r="AH359" s="2"/>
      <c r="AI359" s="2"/>
      <c r="AJ359" s="621"/>
      <c r="AK359" s="596">
        <v>13000</v>
      </c>
      <c r="AL359" s="29" t="s">
        <v>73</v>
      </c>
      <c r="AM359" s="29" t="s">
        <v>73</v>
      </c>
      <c r="AN359" s="29" t="s">
        <v>73</v>
      </c>
      <c r="AO359" s="29" t="s">
        <v>73</v>
      </c>
      <c r="AP359" s="478">
        <v>6500</v>
      </c>
      <c r="AQ359" s="478">
        <v>6500</v>
      </c>
      <c r="AR359" s="29" t="s">
        <v>73</v>
      </c>
      <c r="AS359" s="29" t="s">
        <v>73</v>
      </c>
      <c r="AT359" s="29" t="s">
        <v>73</v>
      </c>
      <c r="AU359" s="29" t="s">
        <v>73</v>
      </c>
      <c r="AV359" s="29" t="s">
        <v>73</v>
      </c>
      <c r="AW359" s="29" t="s">
        <v>73</v>
      </c>
      <c r="AX359" s="30">
        <v>13000</v>
      </c>
      <c r="AY359" s="479" t="s">
        <v>6</v>
      </c>
      <c r="AZ359" s="2" t="s">
        <v>74</v>
      </c>
      <c r="BA359" s="2"/>
      <c r="BK359" s="481" t="s">
        <v>790</v>
      </c>
      <c r="BL359" s="481" t="s">
        <v>791</v>
      </c>
      <c r="BM359" s="125" t="s">
        <v>1806</v>
      </c>
      <c r="BN359" s="649" t="s">
        <v>1807</v>
      </c>
      <c r="BO359" s="125" t="s">
        <v>1808</v>
      </c>
      <c r="BP359" s="129">
        <v>46134</v>
      </c>
      <c r="BQ359" s="18"/>
      <c r="BR359" s="505" t="s">
        <v>1878</v>
      </c>
      <c r="BS359" s="18"/>
      <c r="BT359" s="18" t="s">
        <v>1809</v>
      </c>
      <c r="BU359" s="18" t="s">
        <v>1815</v>
      </c>
      <c r="BV359" s="552" t="s">
        <v>1693</v>
      </c>
      <c r="BW359" s="646" t="s">
        <v>845</v>
      </c>
      <c r="BX359" s="646" t="s">
        <v>1879</v>
      </c>
      <c r="BY359" s="552" t="s">
        <v>1880</v>
      </c>
      <c r="BZ359" s="552">
        <v>10760297921</v>
      </c>
      <c r="CA359" s="126">
        <v>6500</v>
      </c>
      <c r="CB359" s="289">
        <v>46143</v>
      </c>
      <c r="CC359" s="289">
        <v>46203</v>
      </c>
      <c r="CD359" s="759"/>
      <c r="CE359" s="177">
        <f t="shared" si="491"/>
        <v>30</v>
      </c>
      <c r="CF359" s="1019">
        <f t="shared" si="492"/>
        <v>6500</v>
      </c>
      <c r="CG359" s="177">
        <v>30</v>
      </c>
      <c r="CH359" s="1019">
        <f t="shared" si="493"/>
        <v>6500</v>
      </c>
      <c r="CI359" s="177">
        <v>30</v>
      </c>
      <c r="CJ359" s="1019">
        <f t="shared" si="494"/>
        <v>6500</v>
      </c>
      <c r="CK359" s="177">
        <f t="shared" si="495"/>
        <v>0</v>
      </c>
      <c r="CL359" s="177">
        <f t="shared" si="496"/>
        <v>0</v>
      </c>
      <c r="CM359" s="1006"/>
      <c r="CN359" s="177">
        <f t="shared" si="497"/>
        <v>30</v>
      </c>
      <c r="CO359" s="1019">
        <f t="shared" si="498"/>
        <v>6500</v>
      </c>
      <c r="CP359" s="177">
        <v>30</v>
      </c>
      <c r="CQ359" s="1019">
        <f t="shared" si="499"/>
        <v>6500</v>
      </c>
      <c r="CR359" s="1019">
        <v>30</v>
      </c>
      <c r="CS359" s="1019">
        <f t="shared" si="500"/>
        <v>6500</v>
      </c>
      <c r="CT359" s="177">
        <f t="shared" si="501"/>
        <v>0</v>
      </c>
      <c r="CU359" s="177">
        <f t="shared" si="502"/>
        <v>0</v>
      </c>
      <c r="CV359" s="1006"/>
      <c r="CW359" s="1007">
        <f t="shared" si="608"/>
        <v>13000</v>
      </c>
      <c r="CX359" s="486">
        <f t="shared" si="609"/>
        <v>13000</v>
      </c>
      <c r="CY359" s="486">
        <f t="shared" si="610"/>
        <v>13000</v>
      </c>
      <c r="CZ359" s="1007">
        <f t="shared" si="611"/>
        <v>0</v>
      </c>
      <c r="DA359" s="1007">
        <f t="shared" si="612"/>
        <v>0</v>
      </c>
      <c r="DB359" s="126"/>
      <c r="DC359" s="125"/>
    </row>
    <row r="360" spans="1:107" ht="51" hidden="1" x14ac:dyDescent="0.25">
      <c r="A360" s="19">
        <v>2026</v>
      </c>
      <c r="B360" s="20">
        <v>479</v>
      </c>
      <c r="C360" s="21" t="s">
        <v>64</v>
      </c>
      <c r="D360" s="21" t="s">
        <v>65</v>
      </c>
      <c r="E360" s="20">
        <v>125</v>
      </c>
      <c r="F360" s="20">
        <v>3000654</v>
      </c>
      <c r="G360" s="20">
        <v>5005023</v>
      </c>
      <c r="H360" s="20">
        <v>3</v>
      </c>
      <c r="I360" s="20">
        <v>12</v>
      </c>
      <c r="J360" s="20">
        <v>24</v>
      </c>
      <c r="K360" s="20">
        <v>135560</v>
      </c>
      <c r="L360" s="21" t="s">
        <v>98</v>
      </c>
      <c r="M360" s="33" t="s">
        <v>99</v>
      </c>
      <c r="N360" s="19">
        <v>94</v>
      </c>
      <c r="O360" s="2"/>
      <c r="P360" s="2" t="s">
        <v>4</v>
      </c>
      <c r="Q360" s="20" t="s">
        <v>68</v>
      </c>
      <c r="R360" s="25" t="s">
        <v>69</v>
      </c>
      <c r="S360" s="41" t="s">
        <v>137</v>
      </c>
      <c r="T360" s="41"/>
      <c r="U360" s="31" t="s">
        <v>238</v>
      </c>
      <c r="V360" s="25" t="s">
        <v>3</v>
      </c>
      <c r="W360" s="25">
        <v>1</v>
      </c>
      <c r="X360" s="595">
        <v>7000</v>
      </c>
      <c r="Y360" s="619"/>
      <c r="Z360" s="2"/>
      <c r="AA360" s="2"/>
      <c r="AB360" s="620"/>
      <c r="AC360" s="25">
        <v>30</v>
      </c>
      <c r="AD360" s="25">
        <v>0</v>
      </c>
      <c r="AE360" s="619"/>
      <c r="AF360" s="2"/>
      <c r="AG360" s="2"/>
      <c r="AH360" s="2"/>
      <c r="AI360" s="2"/>
      <c r="AJ360" s="621"/>
      <c r="AK360" s="596">
        <v>7000</v>
      </c>
      <c r="AL360" s="29" t="s">
        <v>73</v>
      </c>
      <c r="AM360" s="29" t="s">
        <v>73</v>
      </c>
      <c r="AN360" s="29" t="s">
        <v>73</v>
      </c>
      <c r="AO360" s="29" t="s">
        <v>73</v>
      </c>
      <c r="AP360" s="478">
        <v>7000</v>
      </c>
      <c r="AQ360" s="648">
        <v>0</v>
      </c>
      <c r="AR360" s="29" t="s">
        <v>73</v>
      </c>
      <c r="AS360" s="29" t="s">
        <v>73</v>
      </c>
      <c r="AT360" s="29" t="s">
        <v>73</v>
      </c>
      <c r="AU360" s="29" t="s">
        <v>73</v>
      </c>
      <c r="AV360" s="29" t="s">
        <v>73</v>
      </c>
      <c r="AW360" s="29" t="s">
        <v>73</v>
      </c>
      <c r="AX360" s="30">
        <v>7000</v>
      </c>
      <c r="AY360" s="165" t="s">
        <v>6</v>
      </c>
      <c r="AZ360" s="2" t="s">
        <v>74</v>
      </c>
      <c r="BA360" s="2"/>
      <c r="BK360" s="147" t="s">
        <v>790</v>
      </c>
      <c r="BL360" s="481" t="s">
        <v>791</v>
      </c>
      <c r="BM360" s="125" t="s">
        <v>1806</v>
      </c>
      <c r="BN360" s="649" t="s">
        <v>1807</v>
      </c>
      <c r="BO360" s="125" t="s">
        <v>1808</v>
      </c>
      <c r="BP360" s="129">
        <v>46134</v>
      </c>
      <c r="BQ360" s="18"/>
      <c r="BR360" s="505" t="s">
        <v>1881</v>
      </c>
      <c r="BS360" s="18"/>
      <c r="BT360" s="286" t="s">
        <v>1809</v>
      </c>
      <c r="BU360" s="18"/>
      <c r="BV360" s="552" t="s">
        <v>1882</v>
      </c>
      <c r="BW360" s="646" t="s">
        <v>1527</v>
      </c>
      <c r="BX360" s="646" t="s">
        <v>1883</v>
      </c>
      <c r="BY360" s="552">
        <v>10677149</v>
      </c>
      <c r="BZ360" s="552">
        <v>10106771494</v>
      </c>
      <c r="CA360" s="126">
        <v>7000</v>
      </c>
      <c r="CB360" s="289">
        <v>46143</v>
      </c>
      <c r="CC360" s="289">
        <v>46173</v>
      </c>
      <c r="CD360" s="759"/>
      <c r="CE360" s="177">
        <f t="shared" si="491"/>
        <v>30</v>
      </c>
      <c r="CF360" s="1019">
        <f t="shared" si="492"/>
        <v>7000</v>
      </c>
      <c r="CG360" s="177">
        <v>30</v>
      </c>
      <c r="CH360" s="1019">
        <f t="shared" si="493"/>
        <v>7000</v>
      </c>
      <c r="CI360" s="177">
        <v>30</v>
      </c>
      <c r="CJ360" s="1019">
        <f t="shared" si="494"/>
        <v>7000</v>
      </c>
      <c r="CK360" s="177">
        <f t="shared" si="495"/>
        <v>0</v>
      </c>
      <c r="CL360" s="177">
        <f t="shared" si="496"/>
        <v>0</v>
      </c>
      <c r="CM360" s="1006"/>
      <c r="CN360" s="177">
        <f t="shared" si="497"/>
        <v>0</v>
      </c>
      <c r="CO360" s="1019">
        <f t="shared" si="498"/>
        <v>0</v>
      </c>
      <c r="CP360" s="177"/>
      <c r="CQ360" s="1019">
        <f t="shared" si="499"/>
        <v>0</v>
      </c>
      <c r="CR360" s="1019"/>
      <c r="CS360" s="1019">
        <f t="shared" si="500"/>
        <v>0</v>
      </c>
      <c r="CT360" s="177">
        <f t="shared" si="501"/>
        <v>0</v>
      </c>
      <c r="CU360" s="177">
        <f t="shared" si="502"/>
        <v>0</v>
      </c>
      <c r="CV360" s="1006"/>
      <c r="CW360" s="1007">
        <f t="shared" si="608"/>
        <v>7000</v>
      </c>
      <c r="CX360" s="486">
        <f t="shared" si="609"/>
        <v>7000</v>
      </c>
      <c r="CY360" s="486">
        <f t="shared" si="610"/>
        <v>7000</v>
      </c>
      <c r="CZ360" s="1007">
        <f t="shared" si="611"/>
        <v>0</v>
      </c>
      <c r="DA360" s="1007">
        <f t="shared" si="612"/>
        <v>0</v>
      </c>
      <c r="DB360" s="126"/>
      <c r="DC360" s="125"/>
    </row>
    <row r="361" spans="1:107" ht="51" hidden="1" x14ac:dyDescent="0.25">
      <c r="A361" s="19">
        <v>2026</v>
      </c>
      <c r="B361" s="20">
        <v>479</v>
      </c>
      <c r="C361" s="21" t="s">
        <v>64</v>
      </c>
      <c r="D361" s="21" t="s">
        <v>65</v>
      </c>
      <c r="E361" s="20">
        <v>125</v>
      </c>
      <c r="F361" s="20">
        <v>3000654</v>
      </c>
      <c r="G361" s="20">
        <v>5005023</v>
      </c>
      <c r="H361" s="20">
        <v>3</v>
      </c>
      <c r="I361" s="20">
        <v>12</v>
      </c>
      <c r="J361" s="20">
        <v>24</v>
      </c>
      <c r="K361" s="20">
        <v>135560</v>
      </c>
      <c r="L361" s="21" t="s">
        <v>220</v>
      </c>
      <c r="M361" s="33" t="s">
        <v>221</v>
      </c>
      <c r="N361" s="19">
        <v>97</v>
      </c>
      <c r="O361" s="2"/>
      <c r="P361" s="2" t="s">
        <v>4</v>
      </c>
      <c r="Q361" s="20" t="s">
        <v>68</v>
      </c>
      <c r="R361" s="25" t="s">
        <v>69</v>
      </c>
      <c r="S361" s="41" t="s">
        <v>137</v>
      </c>
      <c r="T361" s="41"/>
      <c r="U361" s="31" t="s">
        <v>238</v>
      </c>
      <c r="V361" s="25" t="s">
        <v>3</v>
      </c>
      <c r="W361" s="25">
        <v>1</v>
      </c>
      <c r="X361" s="595">
        <v>7000</v>
      </c>
      <c r="Y361" s="619"/>
      <c r="Z361" s="2"/>
      <c r="AA361" s="2"/>
      <c r="AB361" s="620"/>
      <c r="AC361" s="25">
        <v>0</v>
      </c>
      <c r="AD361" s="25">
        <v>30</v>
      </c>
      <c r="AE361" s="619"/>
      <c r="AF361" s="2"/>
      <c r="AG361" s="2"/>
      <c r="AH361" s="2"/>
      <c r="AI361" s="2"/>
      <c r="AJ361" s="621"/>
      <c r="AK361" s="596">
        <v>7000</v>
      </c>
      <c r="AL361" s="29" t="s">
        <v>73</v>
      </c>
      <c r="AM361" s="29" t="s">
        <v>73</v>
      </c>
      <c r="AN361" s="29" t="s">
        <v>73</v>
      </c>
      <c r="AO361" s="29" t="s">
        <v>73</v>
      </c>
      <c r="AP361" s="648">
        <v>0</v>
      </c>
      <c r="AQ361" s="478">
        <v>7000</v>
      </c>
      <c r="AR361" s="29" t="s">
        <v>73</v>
      </c>
      <c r="AS361" s="29" t="s">
        <v>73</v>
      </c>
      <c r="AT361" s="29" t="s">
        <v>73</v>
      </c>
      <c r="AU361" s="29" t="s">
        <v>73</v>
      </c>
      <c r="AV361" s="29" t="s">
        <v>73</v>
      </c>
      <c r="AW361" s="29" t="s">
        <v>73</v>
      </c>
      <c r="AX361" s="30">
        <v>7000</v>
      </c>
      <c r="AY361" s="479" t="s">
        <v>6</v>
      </c>
      <c r="AZ361" s="2" t="s">
        <v>74</v>
      </c>
      <c r="BA361" s="2"/>
      <c r="BK361" s="125" t="s">
        <v>790</v>
      </c>
      <c r="BL361" s="481" t="s">
        <v>791</v>
      </c>
      <c r="BM361" s="125" t="s">
        <v>1812</v>
      </c>
      <c r="BN361" s="177" t="s">
        <v>1813</v>
      </c>
      <c r="BO361" s="125" t="s">
        <v>1814</v>
      </c>
      <c r="BP361" s="129">
        <v>46156</v>
      </c>
      <c r="BQ361" s="18"/>
      <c r="BR361" s="239">
        <v>5008</v>
      </c>
      <c r="BS361" s="18"/>
      <c r="BT361" s="18"/>
      <c r="BU361" s="18" t="s">
        <v>1815</v>
      </c>
      <c r="BV361" s="552" t="s">
        <v>1882</v>
      </c>
      <c r="BW361" s="649" t="s">
        <v>1527</v>
      </c>
      <c r="BX361" s="649" t="s">
        <v>1883</v>
      </c>
      <c r="BY361" s="552">
        <v>10677149</v>
      </c>
      <c r="BZ361" s="552">
        <v>10106771494</v>
      </c>
      <c r="CA361" s="650">
        <v>7000</v>
      </c>
      <c r="CB361" s="289">
        <v>46174</v>
      </c>
      <c r="CC361" s="289">
        <v>46203</v>
      </c>
      <c r="CD361" s="759"/>
      <c r="CE361" s="177">
        <f t="shared" si="491"/>
        <v>0</v>
      </c>
      <c r="CF361" s="1019">
        <f t="shared" si="492"/>
        <v>0</v>
      </c>
      <c r="CG361" s="177"/>
      <c r="CH361" s="1019">
        <f t="shared" si="493"/>
        <v>0</v>
      </c>
      <c r="CI361" s="177"/>
      <c r="CJ361" s="1019">
        <f t="shared" si="494"/>
        <v>0</v>
      </c>
      <c r="CK361" s="177">
        <f t="shared" si="495"/>
        <v>0</v>
      </c>
      <c r="CL361" s="177">
        <f t="shared" si="496"/>
        <v>0</v>
      </c>
      <c r="CM361" s="1006"/>
      <c r="CN361" s="177">
        <f t="shared" si="497"/>
        <v>30</v>
      </c>
      <c r="CO361" s="1019">
        <f t="shared" si="498"/>
        <v>7000</v>
      </c>
      <c r="CP361" s="177">
        <v>30</v>
      </c>
      <c r="CQ361" s="1019">
        <f t="shared" si="499"/>
        <v>7000</v>
      </c>
      <c r="CR361" s="1019">
        <v>30</v>
      </c>
      <c r="CS361" s="1019">
        <f t="shared" si="500"/>
        <v>7000</v>
      </c>
      <c r="CT361" s="177">
        <f t="shared" si="501"/>
        <v>0</v>
      </c>
      <c r="CU361" s="177">
        <f t="shared" si="502"/>
        <v>0</v>
      </c>
      <c r="CV361" s="1006"/>
      <c r="CW361" s="1007">
        <f t="shared" si="608"/>
        <v>7000</v>
      </c>
      <c r="CX361" s="486">
        <f t="shared" si="609"/>
        <v>7000</v>
      </c>
      <c r="CY361" s="486">
        <f t="shared" si="610"/>
        <v>7000</v>
      </c>
      <c r="CZ361" s="1007">
        <f t="shared" si="611"/>
        <v>0</v>
      </c>
      <c r="DA361" s="1007">
        <f t="shared" si="612"/>
        <v>0</v>
      </c>
      <c r="DB361" s="126"/>
      <c r="DC361" s="125"/>
    </row>
    <row r="362" spans="1:107" ht="51" hidden="1" x14ac:dyDescent="0.25">
      <c r="A362" s="19">
        <v>2026</v>
      </c>
      <c r="B362" s="20">
        <v>479</v>
      </c>
      <c r="C362" s="21" t="s">
        <v>64</v>
      </c>
      <c r="D362" s="21" t="s">
        <v>65</v>
      </c>
      <c r="E362" s="20">
        <v>125</v>
      </c>
      <c r="F362" s="20">
        <v>3000654</v>
      </c>
      <c r="G362" s="20">
        <v>5005023</v>
      </c>
      <c r="H362" s="20">
        <v>3</v>
      </c>
      <c r="I362" s="20">
        <v>12</v>
      </c>
      <c r="J362" s="20">
        <v>24</v>
      </c>
      <c r="K362" s="20">
        <v>135560</v>
      </c>
      <c r="L362" s="21" t="s">
        <v>98</v>
      </c>
      <c r="M362" s="33" t="s">
        <v>99</v>
      </c>
      <c r="N362" s="19">
        <v>94</v>
      </c>
      <c r="O362" s="2"/>
      <c r="P362" s="2" t="s">
        <v>4</v>
      </c>
      <c r="Q362" s="20" t="s">
        <v>68</v>
      </c>
      <c r="R362" s="25" t="s">
        <v>69</v>
      </c>
      <c r="S362" s="41" t="s">
        <v>137</v>
      </c>
      <c r="T362" s="41"/>
      <c r="U362" s="31" t="s">
        <v>239</v>
      </c>
      <c r="V362" s="25" t="s">
        <v>3</v>
      </c>
      <c r="W362" s="25">
        <v>1</v>
      </c>
      <c r="X362" s="595">
        <v>7500</v>
      </c>
      <c r="Y362" s="619"/>
      <c r="Z362" s="2"/>
      <c r="AA362" s="2"/>
      <c r="AB362" s="620"/>
      <c r="AC362" s="25">
        <v>30</v>
      </c>
      <c r="AD362" s="25">
        <v>0</v>
      </c>
      <c r="AE362" s="619"/>
      <c r="AF362" s="2"/>
      <c r="AG362" s="2"/>
      <c r="AH362" s="2"/>
      <c r="AI362" s="2"/>
      <c r="AJ362" s="621"/>
      <c r="AK362" s="596">
        <v>7500</v>
      </c>
      <c r="AL362" s="29" t="s">
        <v>73</v>
      </c>
      <c r="AM362" s="29" t="s">
        <v>73</v>
      </c>
      <c r="AN362" s="29" t="s">
        <v>73</v>
      </c>
      <c r="AO362" s="29" t="s">
        <v>73</v>
      </c>
      <c r="AP362" s="478">
        <v>7500</v>
      </c>
      <c r="AQ362" s="648">
        <v>0</v>
      </c>
      <c r="AR362" s="29" t="s">
        <v>73</v>
      </c>
      <c r="AS362" s="29" t="s">
        <v>73</v>
      </c>
      <c r="AT362" s="29" t="s">
        <v>73</v>
      </c>
      <c r="AU362" s="29" t="s">
        <v>73</v>
      </c>
      <c r="AV362" s="29" t="s">
        <v>73</v>
      </c>
      <c r="AW362" s="29" t="s">
        <v>73</v>
      </c>
      <c r="AX362" s="30">
        <v>7500</v>
      </c>
      <c r="AY362" s="165" t="s">
        <v>6</v>
      </c>
      <c r="AZ362" s="2" t="s">
        <v>74</v>
      </c>
      <c r="BA362" s="2"/>
      <c r="BK362" s="147" t="s">
        <v>790</v>
      </c>
      <c r="BL362" s="481" t="s">
        <v>791</v>
      </c>
      <c r="BM362" s="125" t="s">
        <v>1806</v>
      </c>
      <c r="BN362" s="177" t="s">
        <v>1884</v>
      </c>
      <c r="BO362" s="125" t="s">
        <v>1808</v>
      </c>
      <c r="BP362" s="129">
        <v>46134</v>
      </c>
      <c r="BQ362" s="18"/>
      <c r="BR362" s="505" t="s">
        <v>1885</v>
      </c>
      <c r="BS362" s="18"/>
      <c r="BT362" s="286" t="s">
        <v>1809</v>
      </c>
      <c r="BU362" s="18"/>
      <c r="BV362" s="552" t="s">
        <v>929</v>
      </c>
      <c r="BW362" s="646" t="s">
        <v>1886</v>
      </c>
      <c r="BX362" s="646" t="s">
        <v>1887</v>
      </c>
      <c r="BY362" s="552">
        <v>41532507</v>
      </c>
      <c r="BZ362" s="552">
        <v>10415325075</v>
      </c>
      <c r="CA362" s="126">
        <v>7500</v>
      </c>
      <c r="CB362" s="289">
        <v>46143</v>
      </c>
      <c r="CC362" s="289">
        <v>46173</v>
      </c>
      <c r="CD362" s="759"/>
      <c r="CE362" s="177">
        <f t="shared" si="491"/>
        <v>30</v>
      </c>
      <c r="CF362" s="1019">
        <f t="shared" si="492"/>
        <v>7500</v>
      </c>
      <c r="CG362" s="177">
        <v>30</v>
      </c>
      <c r="CH362" s="1019">
        <f t="shared" si="493"/>
        <v>7500</v>
      </c>
      <c r="CI362" s="177">
        <v>30</v>
      </c>
      <c r="CJ362" s="1019">
        <f t="shared" si="494"/>
        <v>7500</v>
      </c>
      <c r="CK362" s="177">
        <f t="shared" si="495"/>
        <v>0</v>
      </c>
      <c r="CL362" s="177">
        <f t="shared" si="496"/>
        <v>0</v>
      </c>
      <c r="CM362" s="1006"/>
      <c r="CN362" s="177">
        <f t="shared" si="497"/>
        <v>0</v>
      </c>
      <c r="CO362" s="1019">
        <f t="shared" si="498"/>
        <v>0</v>
      </c>
      <c r="CP362" s="177"/>
      <c r="CQ362" s="1019">
        <f t="shared" si="499"/>
        <v>0</v>
      </c>
      <c r="CR362" s="1019"/>
      <c r="CS362" s="1019">
        <f t="shared" si="500"/>
        <v>0</v>
      </c>
      <c r="CT362" s="177">
        <f t="shared" si="501"/>
        <v>0</v>
      </c>
      <c r="CU362" s="177">
        <f t="shared" si="502"/>
        <v>0</v>
      </c>
      <c r="CV362" s="1006"/>
      <c r="CW362" s="1007">
        <f t="shared" si="608"/>
        <v>7500</v>
      </c>
      <c r="CX362" s="486">
        <f t="shared" si="609"/>
        <v>7500</v>
      </c>
      <c r="CY362" s="486">
        <f t="shared" si="610"/>
        <v>7500</v>
      </c>
      <c r="CZ362" s="1007">
        <f t="shared" si="611"/>
        <v>0</v>
      </c>
      <c r="DA362" s="1007">
        <f t="shared" si="612"/>
        <v>0</v>
      </c>
      <c r="DB362" s="126"/>
      <c r="DC362" s="125"/>
    </row>
    <row r="363" spans="1:107" ht="51" hidden="1" x14ac:dyDescent="0.25">
      <c r="A363" s="19">
        <v>2026</v>
      </c>
      <c r="B363" s="20">
        <v>479</v>
      </c>
      <c r="C363" s="21" t="s">
        <v>64</v>
      </c>
      <c r="D363" s="21" t="s">
        <v>65</v>
      </c>
      <c r="E363" s="20">
        <v>125</v>
      </c>
      <c r="F363" s="20">
        <v>3000654</v>
      </c>
      <c r="G363" s="20">
        <v>5005023</v>
      </c>
      <c r="H363" s="20">
        <v>3</v>
      </c>
      <c r="I363" s="20">
        <v>12</v>
      </c>
      <c r="J363" s="20">
        <v>24</v>
      </c>
      <c r="K363" s="20">
        <v>135560</v>
      </c>
      <c r="L363" s="21" t="s">
        <v>220</v>
      </c>
      <c r="M363" s="33" t="s">
        <v>221</v>
      </c>
      <c r="N363" s="19">
        <v>97</v>
      </c>
      <c r="O363" s="2"/>
      <c r="P363" s="2" t="s">
        <v>4</v>
      </c>
      <c r="Q363" s="20" t="s">
        <v>68</v>
      </c>
      <c r="R363" s="25" t="s">
        <v>69</v>
      </c>
      <c r="S363" s="41" t="s">
        <v>137</v>
      </c>
      <c r="T363" s="41"/>
      <c r="U363" s="31" t="s">
        <v>239</v>
      </c>
      <c r="V363" s="25" t="s">
        <v>3</v>
      </c>
      <c r="W363" s="25">
        <v>1</v>
      </c>
      <c r="X363" s="595">
        <v>7500</v>
      </c>
      <c r="Y363" s="619"/>
      <c r="Z363" s="2"/>
      <c r="AA363" s="2"/>
      <c r="AB363" s="620"/>
      <c r="AC363" s="25">
        <v>0</v>
      </c>
      <c r="AD363" s="25">
        <v>30</v>
      </c>
      <c r="AE363" s="619"/>
      <c r="AF363" s="2"/>
      <c r="AG363" s="2"/>
      <c r="AH363" s="2"/>
      <c r="AI363" s="2"/>
      <c r="AJ363" s="621"/>
      <c r="AK363" s="596">
        <v>7500</v>
      </c>
      <c r="AL363" s="29" t="s">
        <v>73</v>
      </c>
      <c r="AM363" s="29" t="s">
        <v>73</v>
      </c>
      <c r="AN363" s="29" t="s">
        <v>73</v>
      </c>
      <c r="AO363" s="29" t="s">
        <v>73</v>
      </c>
      <c r="AP363" s="648">
        <v>0</v>
      </c>
      <c r="AQ363" s="478">
        <v>7500</v>
      </c>
      <c r="AR363" s="29" t="s">
        <v>73</v>
      </c>
      <c r="AS363" s="29" t="s">
        <v>73</v>
      </c>
      <c r="AT363" s="29" t="s">
        <v>73</v>
      </c>
      <c r="AU363" s="29" t="s">
        <v>73</v>
      </c>
      <c r="AV363" s="29" t="s">
        <v>73</v>
      </c>
      <c r="AW363" s="29" t="s">
        <v>73</v>
      </c>
      <c r="AX363" s="30">
        <v>7500</v>
      </c>
      <c r="AY363" s="479" t="s">
        <v>6</v>
      </c>
      <c r="AZ363" s="2" t="s">
        <v>74</v>
      </c>
      <c r="BA363" s="2"/>
      <c r="BK363" s="125" t="s">
        <v>790</v>
      </c>
      <c r="BL363" s="481" t="s">
        <v>791</v>
      </c>
      <c r="BM363" s="125" t="s">
        <v>1812</v>
      </c>
      <c r="BN363" s="177" t="s">
        <v>1813</v>
      </c>
      <c r="BO363" s="125" t="s">
        <v>1814</v>
      </c>
      <c r="BP363" s="129">
        <v>46156</v>
      </c>
      <c r="BQ363" s="18"/>
      <c r="BR363" s="239">
        <v>5006</v>
      </c>
      <c r="BS363" s="18"/>
      <c r="BT363" s="18"/>
      <c r="BU363" s="18" t="s">
        <v>1815</v>
      </c>
      <c r="BV363" s="552" t="s">
        <v>929</v>
      </c>
      <c r="BW363" s="649" t="s">
        <v>1886</v>
      </c>
      <c r="BX363" s="649" t="s">
        <v>1887</v>
      </c>
      <c r="BY363" s="552">
        <v>41532507</v>
      </c>
      <c r="BZ363" s="552">
        <v>10415325075</v>
      </c>
      <c r="CA363" s="650">
        <v>7500</v>
      </c>
      <c r="CB363" s="289">
        <v>46174</v>
      </c>
      <c r="CC363" s="289">
        <v>46203</v>
      </c>
      <c r="CD363" s="759"/>
      <c r="CE363" s="177">
        <f t="shared" si="491"/>
        <v>0</v>
      </c>
      <c r="CF363" s="1019">
        <f t="shared" si="492"/>
        <v>0</v>
      </c>
      <c r="CG363" s="177"/>
      <c r="CH363" s="1019">
        <f t="shared" si="493"/>
        <v>0</v>
      </c>
      <c r="CI363" s="177"/>
      <c r="CJ363" s="1019">
        <f t="shared" si="494"/>
        <v>0</v>
      </c>
      <c r="CK363" s="177">
        <f t="shared" si="495"/>
        <v>0</v>
      </c>
      <c r="CL363" s="177">
        <f t="shared" si="496"/>
        <v>0</v>
      </c>
      <c r="CM363" s="1006"/>
      <c r="CN363" s="177">
        <f t="shared" si="497"/>
        <v>30</v>
      </c>
      <c r="CO363" s="1019">
        <f t="shared" si="498"/>
        <v>7500</v>
      </c>
      <c r="CP363" s="177">
        <v>30</v>
      </c>
      <c r="CQ363" s="1019">
        <f t="shared" si="499"/>
        <v>7500</v>
      </c>
      <c r="CR363" s="1019">
        <v>30</v>
      </c>
      <c r="CS363" s="1019">
        <f t="shared" si="500"/>
        <v>7500</v>
      </c>
      <c r="CT363" s="177">
        <f t="shared" si="501"/>
        <v>0</v>
      </c>
      <c r="CU363" s="177">
        <f t="shared" si="502"/>
        <v>0</v>
      </c>
      <c r="CV363" s="1006"/>
      <c r="CW363" s="1007">
        <f t="shared" si="608"/>
        <v>7500</v>
      </c>
      <c r="CX363" s="486">
        <f t="shared" si="609"/>
        <v>7500</v>
      </c>
      <c r="CY363" s="486">
        <f t="shared" si="610"/>
        <v>7500</v>
      </c>
      <c r="CZ363" s="1007">
        <f t="shared" si="611"/>
        <v>0</v>
      </c>
      <c r="DA363" s="1007">
        <f t="shared" si="612"/>
        <v>0</v>
      </c>
      <c r="DB363" s="126"/>
      <c r="DC363" s="125"/>
    </row>
    <row r="364" spans="1:107" ht="51" hidden="1" x14ac:dyDescent="0.25">
      <c r="A364" s="19">
        <v>2026</v>
      </c>
      <c r="B364" s="20">
        <v>479</v>
      </c>
      <c r="C364" s="21" t="s">
        <v>64</v>
      </c>
      <c r="D364" s="21" t="s">
        <v>65</v>
      </c>
      <c r="E364" s="20">
        <v>125</v>
      </c>
      <c r="F364" s="20">
        <v>3000654</v>
      </c>
      <c r="G364" s="20">
        <v>5005023</v>
      </c>
      <c r="H364" s="20">
        <v>3</v>
      </c>
      <c r="I364" s="20">
        <v>12</v>
      </c>
      <c r="J364" s="20">
        <v>24</v>
      </c>
      <c r="K364" s="20">
        <v>135560</v>
      </c>
      <c r="L364" s="21" t="s">
        <v>98</v>
      </c>
      <c r="M364" s="33" t="s">
        <v>99</v>
      </c>
      <c r="N364" s="19">
        <v>94</v>
      </c>
      <c r="O364" s="2"/>
      <c r="P364" s="2" t="s">
        <v>4</v>
      </c>
      <c r="Q364" s="20" t="s">
        <v>68</v>
      </c>
      <c r="R364" s="25" t="s">
        <v>69</v>
      </c>
      <c r="S364" s="41" t="s">
        <v>137</v>
      </c>
      <c r="T364" s="41"/>
      <c r="U364" s="31" t="s">
        <v>240</v>
      </c>
      <c r="V364" s="25" t="s">
        <v>3</v>
      </c>
      <c r="W364" s="25">
        <v>1</v>
      </c>
      <c r="X364" s="595">
        <v>5500</v>
      </c>
      <c r="Y364" s="619"/>
      <c r="Z364" s="2"/>
      <c r="AA364" s="2"/>
      <c r="AB364" s="620"/>
      <c r="AC364" s="25">
        <v>30</v>
      </c>
      <c r="AD364" s="25">
        <v>0</v>
      </c>
      <c r="AE364" s="619"/>
      <c r="AF364" s="2"/>
      <c r="AG364" s="2"/>
      <c r="AH364" s="2"/>
      <c r="AI364" s="2"/>
      <c r="AJ364" s="621"/>
      <c r="AK364" s="596">
        <v>5500</v>
      </c>
      <c r="AL364" s="29" t="s">
        <v>73</v>
      </c>
      <c r="AM364" s="29" t="s">
        <v>73</v>
      </c>
      <c r="AN364" s="29" t="s">
        <v>73</v>
      </c>
      <c r="AO364" s="29" t="s">
        <v>73</v>
      </c>
      <c r="AP364" s="478">
        <v>5500</v>
      </c>
      <c r="AQ364" s="648">
        <v>0</v>
      </c>
      <c r="AR364" s="29" t="s">
        <v>73</v>
      </c>
      <c r="AS364" s="29" t="s">
        <v>73</v>
      </c>
      <c r="AT364" s="29" t="s">
        <v>73</v>
      </c>
      <c r="AU364" s="29" t="s">
        <v>73</v>
      </c>
      <c r="AV364" s="29" t="s">
        <v>73</v>
      </c>
      <c r="AW364" s="29" t="s">
        <v>73</v>
      </c>
      <c r="AX364" s="30">
        <v>5500</v>
      </c>
      <c r="AY364" s="165" t="s">
        <v>6</v>
      </c>
      <c r="AZ364" s="2" t="s">
        <v>74</v>
      </c>
      <c r="BA364" s="2"/>
      <c r="BK364" s="147" t="s">
        <v>790</v>
      </c>
      <c r="BL364" s="481" t="s">
        <v>791</v>
      </c>
      <c r="BM364" s="125" t="s">
        <v>1806</v>
      </c>
      <c r="BN364" s="177" t="s">
        <v>1884</v>
      </c>
      <c r="BO364" s="125" t="s">
        <v>1808</v>
      </c>
      <c r="BP364" s="129">
        <v>46134</v>
      </c>
      <c r="BQ364" s="18"/>
      <c r="BR364" s="505" t="s">
        <v>1888</v>
      </c>
      <c r="BS364" s="18"/>
      <c r="BT364" s="286" t="s">
        <v>1809</v>
      </c>
      <c r="BU364" s="18"/>
      <c r="BV364" s="552" t="s">
        <v>1889</v>
      </c>
      <c r="BW364" s="646" t="s">
        <v>1890</v>
      </c>
      <c r="BX364" s="646" t="s">
        <v>1891</v>
      </c>
      <c r="BY364" s="552">
        <v>71245407</v>
      </c>
      <c r="BZ364" s="552">
        <v>10712454071</v>
      </c>
      <c r="CA364" s="126">
        <v>5500</v>
      </c>
      <c r="CB364" s="289">
        <v>46143</v>
      </c>
      <c r="CC364" s="289">
        <v>46173</v>
      </c>
      <c r="CD364" s="759"/>
      <c r="CE364" s="177">
        <f t="shared" si="491"/>
        <v>30</v>
      </c>
      <c r="CF364" s="1019">
        <f t="shared" si="492"/>
        <v>5500</v>
      </c>
      <c r="CG364" s="177">
        <v>30</v>
      </c>
      <c r="CH364" s="1019">
        <f t="shared" si="493"/>
        <v>5500</v>
      </c>
      <c r="CI364" s="177">
        <v>30</v>
      </c>
      <c r="CJ364" s="1019">
        <f t="shared" si="494"/>
        <v>5500</v>
      </c>
      <c r="CK364" s="177">
        <f t="shared" si="495"/>
        <v>0</v>
      </c>
      <c r="CL364" s="177">
        <f t="shared" si="496"/>
        <v>0</v>
      </c>
      <c r="CM364" s="1006"/>
      <c r="CN364" s="177">
        <f t="shared" si="497"/>
        <v>0</v>
      </c>
      <c r="CO364" s="1019">
        <f t="shared" si="498"/>
        <v>0</v>
      </c>
      <c r="CP364" s="177"/>
      <c r="CQ364" s="1019">
        <f t="shared" si="499"/>
        <v>0</v>
      </c>
      <c r="CR364" s="1019"/>
      <c r="CS364" s="1019">
        <f t="shared" si="500"/>
        <v>0</v>
      </c>
      <c r="CT364" s="177">
        <f t="shared" si="501"/>
        <v>0</v>
      </c>
      <c r="CU364" s="177">
        <f t="shared" si="502"/>
        <v>0</v>
      </c>
      <c r="CV364" s="1006"/>
      <c r="CW364" s="1007">
        <f t="shared" si="608"/>
        <v>5500</v>
      </c>
      <c r="CX364" s="486">
        <f t="shared" si="609"/>
        <v>5500</v>
      </c>
      <c r="CY364" s="486">
        <f t="shared" si="610"/>
        <v>5500</v>
      </c>
      <c r="CZ364" s="1007">
        <f t="shared" si="611"/>
        <v>0</v>
      </c>
      <c r="DA364" s="1007">
        <f t="shared" si="612"/>
        <v>0</v>
      </c>
      <c r="DB364" s="126"/>
      <c r="DC364" s="125"/>
    </row>
    <row r="365" spans="1:107" ht="51" hidden="1" x14ac:dyDescent="0.25">
      <c r="A365" s="19">
        <v>2026</v>
      </c>
      <c r="B365" s="20">
        <v>479</v>
      </c>
      <c r="C365" s="21" t="s">
        <v>64</v>
      </c>
      <c r="D365" s="21" t="s">
        <v>65</v>
      </c>
      <c r="E365" s="20">
        <v>125</v>
      </c>
      <c r="F365" s="20">
        <v>3000654</v>
      </c>
      <c r="G365" s="20">
        <v>5005023</v>
      </c>
      <c r="H365" s="20">
        <v>3</v>
      </c>
      <c r="I365" s="20">
        <v>12</v>
      </c>
      <c r="J365" s="20">
        <v>24</v>
      </c>
      <c r="K365" s="20">
        <v>135560</v>
      </c>
      <c r="L365" s="21" t="s">
        <v>220</v>
      </c>
      <c r="M365" s="33" t="s">
        <v>221</v>
      </c>
      <c r="N365" s="19">
        <v>97</v>
      </c>
      <c r="O365" s="2"/>
      <c r="P365" s="2" t="s">
        <v>4</v>
      </c>
      <c r="Q365" s="20" t="s">
        <v>68</v>
      </c>
      <c r="R365" s="25" t="s">
        <v>69</v>
      </c>
      <c r="S365" s="41" t="s">
        <v>137</v>
      </c>
      <c r="T365" s="41"/>
      <c r="U365" s="31" t="s">
        <v>240</v>
      </c>
      <c r="V365" s="25" t="s">
        <v>3</v>
      </c>
      <c r="W365" s="25">
        <v>1</v>
      </c>
      <c r="X365" s="595">
        <v>5500</v>
      </c>
      <c r="Y365" s="619"/>
      <c r="Z365" s="2"/>
      <c r="AA365" s="2"/>
      <c r="AB365" s="620"/>
      <c r="AC365" s="25">
        <v>0</v>
      </c>
      <c r="AD365" s="25">
        <v>30</v>
      </c>
      <c r="AE365" s="619"/>
      <c r="AF365" s="2"/>
      <c r="AG365" s="2"/>
      <c r="AH365" s="2"/>
      <c r="AI365" s="2"/>
      <c r="AJ365" s="621"/>
      <c r="AK365" s="596">
        <v>5500</v>
      </c>
      <c r="AL365" s="29" t="s">
        <v>73</v>
      </c>
      <c r="AM365" s="29" t="s">
        <v>73</v>
      </c>
      <c r="AN365" s="29" t="s">
        <v>73</v>
      </c>
      <c r="AO365" s="29" t="s">
        <v>73</v>
      </c>
      <c r="AP365" s="648">
        <v>0</v>
      </c>
      <c r="AQ365" s="478">
        <v>5500</v>
      </c>
      <c r="AR365" s="29" t="s">
        <v>73</v>
      </c>
      <c r="AS365" s="29" t="s">
        <v>73</v>
      </c>
      <c r="AT365" s="29" t="s">
        <v>73</v>
      </c>
      <c r="AU365" s="29" t="s">
        <v>73</v>
      </c>
      <c r="AV365" s="29" t="s">
        <v>73</v>
      </c>
      <c r="AW365" s="29" t="s">
        <v>73</v>
      </c>
      <c r="AX365" s="30">
        <v>5500</v>
      </c>
      <c r="AY365" s="479" t="s">
        <v>6</v>
      </c>
      <c r="AZ365" s="2" t="s">
        <v>74</v>
      </c>
      <c r="BA365" s="2"/>
      <c r="BK365" s="125" t="s">
        <v>790</v>
      </c>
      <c r="BL365" s="481" t="s">
        <v>791</v>
      </c>
      <c r="BM365" s="125" t="s">
        <v>1812</v>
      </c>
      <c r="BN365" s="177" t="s">
        <v>1813</v>
      </c>
      <c r="BO365" s="125" t="s">
        <v>1814</v>
      </c>
      <c r="BP365" s="129">
        <v>46156</v>
      </c>
      <c r="BQ365" s="18"/>
      <c r="BR365" s="239">
        <v>5013</v>
      </c>
      <c r="BS365" s="18"/>
      <c r="BT365" s="18"/>
      <c r="BU365" s="946" t="s">
        <v>1815</v>
      </c>
      <c r="BV365" s="552" t="s">
        <v>1889</v>
      </c>
      <c r="BW365" s="649" t="s">
        <v>1890</v>
      </c>
      <c r="BX365" s="649" t="s">
        <v>1891</v>
      </c>
      <c r="BY365" s="552">
        <v>71245407</v>
      </c>
      <c r="BZ365" s="552">
        <v>10712454071</v>
      </c>
      <c r="CA365" s="650">
        <v>5500</v>
      </c>
      <c r="CB365" s="289">
        <v>46174</v>
      </c>
      <c r="CC365" s="289">
        <v>46203</v>
      </c>
      <c r="CD365" s="759"/>
      <c r="CE365" s="177">
        <f t="shared" si="491"/>
        <v>0</v>
      </c>
      <c r="CF365" s="1019">
        <f>AP365</f>
        <v>0</v>
      </c>
      <c r="CG365" s="177">
        <v>0</v>
      </c>
      <c r="CH365" s="1019">
        <f t="shared" si="493"/>
        <v>0</v>
      </c>
      <c r="CI365" s="177">
        <v>0</v>
      </c>
      <c r="CJ365" s="1019">
        <f t="shared" si="494"/>
        <v>0</v>
      </c>
      <c r="CK365" s="177">
        <f t="shared" si="495"/>
        <v>0</v>
      </c>
      <c r="CL365" s="177">
        <f t="shared" si="496"/>
        <v>0</v>
      </c>
      <c r="CM365" s="1006"/>
      <c r="CN365" s="177">
        <f t="shared" si="497"/>
        <v>30</v>
      </c>
      <c r="CO365" s="1019">
        <f t="shared" si="498"/>
        <v>5500</v>
      </c>
      <c r="CP365" s="177">
        <v>30</v>
      </c>
      <c r="CQ365" s="1019">
        <f t="shared" si="499"/>
        <v>5500</v>
      </c>
      <c r="CR365" s="1019">
        <v>30</v>
      </c>
      <c r="CS365" s="1019">
        <f t="shared" si="500"/>
        <v>5500</v>
      </c>
      <c r="CT365" s="177">
        <f t="shared" si="501"/>
        <v>0</v>
      </c>
      <c r="CU365" s="177">
        <f t="shared" si="502"/>
        <v>0</v>
      </c>
      <c r="CV365" s="1006"/>
      <c r="CW365" s="1007">
        <f t="shared" si="608"/>
        <v>5500</v>
      </c>
      <c r="CX365" s="486">
        <f t="shared" si="609"/>
        <v>5500</v>
      </c>
      <c r="CY365" s="486">
        <f t="shared" si="610"/>
        <v>5500</v>
      </c>
      <c r="CZ365" s="1007">
        <f t="shared" si="611"/>
        <v>0</v>
      </c>
      <c r="DA365" s="1007">
        <f t="shared" si="612"/>
        <v>0</v>
      </c>
      <c r="DB365" s="126"/>
      <c r="DC365" s="125"/>
    </row>
    <row r="366" spans="1:107" ht="51" hidden="1" x14ac:dyDescent="0.25">
      <c r="A366" s="19">
        <v>2026</v>
      </c>
      <c r="B366" s="20">
        <v>479</v>
      </c>
      <c r="C366" s="21" t="s">
        <v>64</v>
      </c>
      <c r="D366" s="21" t="s">
        <v>65</v>
      </c>
      <c r="E366" s="20">
        <v>125</v>
      </c>
      <c r="F366" s="20">
        <v>3000654</v>
      </c>
      <c r="G366" s="20">
        <v>5005023</v>
      </c>
      <c r="H366" s="20">
        <v>3</v>
      </c>
      <c r="I366" s="20">
        <v>12</v>
      </c>
      <c r="J366" s="20">
        <v>24</v>
      </c>
      <c r="K366" s="20">
        <v>135560</v>
      </c>
      <c r="L366" s="21" t="s">
        <v>98</v>
      </c>
      <c r="M366" s="33" t="s">
        <v>99</v>
      </c>
      <c r="N366" s="19">
        <v>94</v>
      </c>
      <c r="O366" s="2"/>
      <c r="P366" s="2" t="s">
        <v>4</v>
      </c>
      <c r="Q366" s="20" t="s">
        <v>68</v>
      </c>
      <c r="R366" s="25" t="s">
        <v>69</v>
      </c>
      <c r="S366" s="41" t="s">
        <v>137</v>
      </c>
      <c r="T366" s="41"/>
      <c r="U366" s="31" t="s">
        <v>241</v>
      </c>
      <c r="V366" s="25" t="s">
        <v>3</v>
      </c>
      <c r="W366" s="25">
        <v>1</v>
      </c>
      <c r="X366" s="595">
        <v>5500</v>
      </c>
      <c r="Y366" s="619"/>
      <c r="Z366" s="2"/>
      <c r="AA366" s="2"/>
      <c r="AB366" s="620"/>
      <c r="AC366" s="25">
        <v>30</v>
      </c>
      <c r="AD366" s="25">
        <v>0</v>
      </c>
      <c r="AE366" s="619"/>
      <c r="AF366" s="2"/>
      <c r="AG366" s="2"/>
      <c r="AH366" s="2"/>
      <c r="AI366" s="2"/>
      <c r="AJ366" s="621"/>
      <c r="AK366" s="596">
        <v>5500</v>
      </c>
      <c r="AL366" s="29" t="s">
        <v>73</v>
      </c>
      <c r="AM366" s="29" t="s">
        <v>73</v>
      </c>
      <c r="AN366" s="29" t="s">
        <v>73</v>
      </c>
      <c r="AO366" s="29" t="s">
        <v>73</v>
      </c>
      <c r="AP366" s="478">
        <v>5500</v>
      </c>
      <c r="AQ366" s="648">
        <v>0</v>
      </c>
      <c r="AR366" s="29" t="s">
        <v>73</v>
      </c>
      <c r="AS366" s="29" t="s">
        <v>73</v>
      </c>
      <c r="AT366" s="29" t="s">
        <v>73</v>
      </c>
      <c r="AU366" s="29" t="s">
        <v>73</v>
      </c>
      <c r="AV366" s="29" t="s">
        <v>73</v>
      </c>
      <c r="AW366" s="29" t="s">
        <v>73</v>
      </c>
      <c r="AX366" s="30">
        <v>5500</v>
      </c>
      <c r="AY366" s="165" t="s">
        <v>6</v>
      </c>
      <c r="AZ366" s="2" t="s">
        <v>74</v>
      </c>
      <c r="BA366" s="2"/>
      <c r="BK366" s="147" t="s">
        <v>790</v>
      </c>
      <c r="BL366" s="481" t="s">
        <v>791</v>
      </c>
      <c r="BM366" s="125" t="s">
        <v>1806</v>
      </c>
      <c r="BN366" s="649" t="s">
        <v>1807</v>
      </c>
      <c r="BO366" s="125" t="s">
        <v>1808</v>
      </c>
      <c r="BP366" s="129">
        <v>46134</v>
      </c>
      <c r="BQ366" s="18"/>
      <c r="BR366" s="505" t="s">
        <v>1892</v>
      </c>
      <c r="BS366" s="18"/>
      <c r="BT366" s="286" t="s">
        <v>1809</v>
      </c>
      <c r="BU366" s="18"/>
      <c r="BV366" s="552" t="s">
        <v>1317</v>
      </c>
      <c r="BW366" s="646" t="s">
        <v>1893</v>
      </c>
      <c r="BX366" s="646" t="s">
        <v>1894</v>
      </c>
      <c r="BY366" s="552">
        <v>73011412</v>
      </c>
      <c r="BZ366" s="552">
        <v>10730114121</v>
      </c>
      <c r="CA366" s="126">
        <v>5500</v>
      </c>
      <c r="CB366" s="289">
        <v>46143</v>
      </c>
      <c r="CC366" s="289">
        <v>46173</v>
      </c>
      <c r="CD366" s="759"/>
      <c r="CE366" s="177">
        <f t="shared" si="491"/>
        <v>30</v>
      </c>
      <c r="CF366" s="1019">
        <f t="shared" si="492"/>
        <v>5500</v>
      </c>
      <c r="CG366" s="177">
        <v>30</v>
      </c>
      <c r="CH366" s="1019">
        <f t="shared" si="493"/>
        <v>5500</v>
      </c>
      <c r="CI366" s="177">
        <v>30</v>
      </c>
      <c r="CJ366" s="1019">
        <f t="shared" si="494"/>
        <v>5500</v>
      </c>
      <c r="CK366" s="177">
        <f t="shared" si="495"/>
        <v>0</v>
      </c>
      <c r="CL366" s="177">
        <f t="shared" si="496"/>
        <v>0</v>
      </c>
      <c r="CM366" s="1006"/>
      <c r="CN366" s="177">
        <f t="shared" si="497"/>
        <v>0</v>
      </c>
      <c r="CO366" s="1019">
        <f t="shared" si="498"/>
        <v>0</v>
      </c>
      <c r="CP366" s="177"/>
      <c r="CQ366" s="1019">
        <f t="shared" si="499"/>
        <v>0</v>
      </c>
      <c r="CR366" s="1019"/>
      <c r="CS366" s="1019">
        <f t="shared" si="500"/>
        <v>0</v>
      </c>
      <c r="CT366" s="177">
        <f t="shared" si="501"/>
        <v>0</v>
      </c>
      <c r="CU366" s="177">
        <f t="shared" si="502"/>
        <v>0</v>
      </c>
      <c r="CV366" s="1006"/>
      <c r="CW366" s="1007">
        <f t="shared" si="608"/>
        <v>5500</v>
      </c>
      <c r="CX366" s="486">
        <f t="shared" si="609"/>
        <v>5500</v>
      </c>
      <c r="CY366" s="486">
        <f t="shared" si="610"/>
        <v>5500</v>
      </c>
      <c r="CZ366" s="1007">
        <f t="shared" si="611"/>
        <v>0</v>
      </c>
      <c r="DA366" s="1007">
        <f t="shared" si="612"/>
        <v>0</v>
      </c>
      <c r="DB366" s="126"/>
      <c r="DC366" s="125"/>
    </row>
    <row r="367" spans="1:107" ht="51" hidden="1" x14ac:dyDescent="0.25">
      <c r="A367" s="19">
        <v>2026</v>
      </c>
      <c r="B367" s="20">
        <v>479</v>
      </c>
      <c r="C367" s="21" t="s">
        <v>64</v>
      </c>
      <c r="D367" s="21" t="s">
        <v>65</v>
      </c>
      <c r="E367" s="20">
        <v>125</v>
      </c>
      <c r="F367" s="20">
        <v>3000654</v>
      </c>
      <c r="G367" s="20">
        <v>5005023</v>
      </c>
      <c r="H367" s="20">
        <v>3</v>
      </c>
      <c r="I367" s="20">
        <v>12</v>
      </c>
      <c r="J367" s="20">
        <v>24</v>
      </c>
      <c r="K367" s="20">
        <v>135560</v>
      </c>
      <c r="L367" s="21" t="s">
        <v>220</v>
      </c>
      <c r="M367" s="33" t="s">
        <v>221</v>
      </c>
      <c r="N367" s="19">
        <v>97</v>
      </c>
      <c r="O367" s="2"/>
      <c r="P367" s="2" t="s">
        <v>4</v>
      </c>
      <c r="Q367" s="20" t="s">
        <v>68</v>
      </c>
      <c r="R367" s="25" t="s">
        <v>69</v>
      </c>
      <c r="S367" s="41" t="s">
        <v>137</v>
      </c>
      <c r="T367" s="41"/>
      <c r="U367" s="31" t="s">
        <v>241</v>
      </c>
      <c r="V367" s="25" t="s">
        <v>3</v>
      </c>
      <c r="W367" s="25">
        <v>1</v>
      </c>
      <c r="X367" s="595">
        <v>5500</v>
      </c>
      <c r="Y367" s="619"/>
      <c r="Z367" s="2"/>
      <c r="AA367" s="2"/>
      <c r="AB367" s="620"/>
      <c r="AC367" s="25">
        <v>0</v>
      </c>
      <c r="AD367" s="25">
        <v>30</v>
      </c>
      <c r="AE367" s="619"/>
      <c r="AF367" s="2"/>
      <c r="AG367" s="2"/>
      <c r="AH367" s="2"/>
      <c r="AI367" s="2"/>
      <c r="AJ367" s="621"/>
      <c r="AK367" s="596">
        <v>5500</v>
      </c>
      <c r="AL367" s="29" t="s">
        <v>73</v>
      </c>
      <c r="AM367" s="29" t="s">
        <v>73</v>
      </c>
      <c r="AN367" s="29" t="s">
        <v>73</v>
      </c>
      <c r="AO367" s="29" t="s">
        <v>73</v>
      </c>
      <c r="AP367" s="648">
        <v>0</v>
      </c>
      <c r="AQ367" s="478">
        <v>5500</v>
      </c>
      <c r="AR367" s="29" t="s">
        <v>73</v>
      </c>
      <c r="AS367" s="29" t="s">
        <v>73</v>
      </c>
      <c r="AT367" s="29" t="s">
        <v>73</v>
      </c>
      <c r="AU367" s="29" t="s">
        <v>73</v>
      </c>
      <c r="AV367" s="29" t="s">
        <v>73</v>
      </c>
      <c r="AW367" s="29" t="s">
        <v>73</v>
      </c>
      <c r="AX367" s="30">
        <v>5500</v>
      </c>
      <c r="AY367" s="479" t="s">
        <v>6</v>
      </c>
      <c r="AZ367" s="2" t="s">
        <v>74</v>
      </c>
      <c r="BA367" s="2"/>
      <c r="BK367" s="125" t="s">
        <v>790</v>
      </c>
      <c r="BL367" s="481" t="s">
        <v>791</v>
      </c>
      <c r="BM367" s="125" t="s">
        <v>1812</v>
      </c>
      <c r="BN367" s="177" t="s">
        <v>1813</v>
      </c>
      <c r="BO367" s="125" t="s">
        <v>1814</v>
      </c>
      <c r="BP367" s="129">
        <v>46156</v>
      </c>
      <c r="BQ367" s="18"/>
      <c r="BR367" s="239">
        <v>5015</v>
      </c>
      <c r="BS367" s="18"/>
      <c r="BT367" s="18"/>
      <c r="BU367" s="946" t="s">
        <v>1815</v>
      </c>
      <c r="BV367" s="552" t="s">
        <v>1317</v>
      </c>
      <c r="BW367" s="649" t="s">
        <v>1893</v>
      </c>
      <c r="BX367" s="649" t="s">
        <v>1894</v>
      </c>
      <c r="BY367" s="552">
        <v>73011412</v>
      </c>
      <c r="BZ367" s="552">
        <v>10730114121</v>
      </c>
      <c r="CA367" s="650">
        <v>5500</v>
      </c>
      <c r="CB367" s="289">
        <v>46174</v>
      </c>
      <c r="CC367" s="289">
        <v>46203</v>
      </c>
      <c r="CD367" s="759"/>
      <c r="CE367" s="177">
        <f t="shared" si="491"/>
        <v>0</v>
      </c>
      <c r="CF367" s="1019">
        <f t="shared" si="492"/>
        <v>0</v>
      </c>
      <c r="CG367" s="177"/>
      <c r="CH367" s="1019">
        <f t="shared" si="493"/>
        <v>0</v>
      </c>
      <c r="CI367" s="177"/>
      <c r="CJ367" s="1019">
        <f t="shared" si="494"/>
        <v>0</v>
      </c>
      <c r="CK367" s="177">
        <f t="shared" si="495"/>
        <v>0</v>
      </c>
      <c r="CL367" s="177">
        <f t="shared" si="496"/>
        <v>0</v>
      </c>
      <c r="CM367" s="1006"/>
      <c r="CN367" s="177">
        <f t="shared" si="497"/>
        <v>30</v>
      </c>
      <c r="CO367" s="1019">
        <f t="shared" si="498"/>
        <v>5500</v>
      </c>
      <c r="CP367" s="177">
        <v>30</v>
      </c>
      <c r="CQ367" s="1019">
        <f t="shared" si="499"/>
        <v>5500</v>
      </c>
      <c r="CR367" s="1019">
        <v>30</v>
      </c>
      <c r="CS367" s="1019">
        <f t="shared" si="500"/>
        <v>5500</v>
      </c>
      <c r="CT367" s="177">
        <f t="shared" si="501"/>
        <v>0</v>
      </c>
      <c r="CU367" s="177">
        <f t="shared" si="502"/>
        <v>0</v>
      </c>
      <c r="CV367" s="1006"/>
      <c r="CW367" s="1007">
        <f t="shared" si="608"/>
        <v>5500</v>
      </c>
      <c r="CX367" s="486">
        <f t="shared" si="609"/>
        <v>5500</v>
      </c>
      <c r="CY367" s="486">
        <f t="shared" si="610"/>
        <v>5500</v>
      </c>
      <c r="CZ367" s="1007">
        <f t="shared" si="611"/>
        <v>0</v>
      </c>
      <c r="DA367" s="1007">
        <f t="shared" si="612"/>
        <v>0</v>
      </c>
      <c r="DB367" s="126"/>
      <c r="DC367" s="125"/>
    </row>
    <row r="368" spans="1:107" ht="51" hidden="1" x14ac:dyDescent="0.25">
      <c r="A368" s="19">
        <v>2026</v>
      </c>
      <c r="B368" s="20">
        <v>479</v>
      </c>
      <c r="C368" s="21" t="s">
        <v>64</v>
      </c>
      <c r="D368" s="21" t="s">
        <v>65</v>
      </c>
      <c r="E368" s="20">
        <v>125</v>
      </c>
      <c r="F368" s="20">
        <v>3000654</v>
      </c>
      <c r="G368" s="20">
        <v>5005023</v>
      </c>
      <c r="H368" s="20">
        <v>3</v>
      </c>
      <c r="I368" s="20">
        <v>12</v>
      </c>
      <c r="J368" s="20">
        <v>24</v>
      </c>
      <c r="K368" s="20">
        <v>135560</v>
      </c>
      <c r="L368" s="21" t="s">
        <v>98</v>
      </c>
      <c r="M368" s="33" t="s">
        <v>99</v>
      </c>
      <c r="N368" s="19">
        <v>94</v>
      </c>
      <c r="O368" s="2"/>
      <c r="P368" s="2" t="s">
        <v>4</v>
      </c>
      <c r="Q368" s="20" t="s">
        <v>68</v>
      </c>
      <c r="R368" s="25" t="s">
        <v>69</v>
      </c>
      <c r="S368" s="41" t="s">
        <v>137</v>
      </c>
      <c r="T368" s="41"/>
      <c r="U368" s="31" t="s">
        <v>242</v>
      </c>
      <c r="V368" s="25" t="s">
        <v>3</v>
      </c>
      <c r="W368" s="25">
        <v>1</v>
      </c>
      <c r="X368" s="595">
        <v>5500</v>
      </c>
      <c r="Y368" s="619"/>
      <c r="Z368" s="2"/>
      <c r="AA368" s="2"/>
      <c r="AB368" s="620"/>
      <c r="AC368" s="25">
        <v>30</v>
      </c>
      <c r="AD368" s="25">
        <v>0</v>
      </c>
      <c r="AE368" s="619"/>
      <c r="AF368" s="2"/>
      <c r="AG368" s="2"/>
      <c r="AH368" s="2"/>
      <c r="AI368" s="2"/>
      <c r="AJ368" s="621"/>
      <c r="AK368" s="596">
        <v>5500</v>
      </c>
      <c r="AL368" s="29" t="s">
        <v>73</v>
      </c>
      <c r="AM368" s="29" t="s">
        <v>73</v>
      </c>
      <c r="AN368" s="29" t="s">
        <v>73</v>
      </c>
      <c r="AO368" s="29" t="s">
        <v>73</v>
      </c>
      <c r="AP368" s="478">
        <v>5500</v>
      </c>
      <c r="AQ368" s="648">
        <v>0</v>
      </c>
      <c r="AR368" s="29" t="s">
        <v>73</v>
      </c>
      <c r="AS368" s="29" t="s">
        <v>73</v>
      </c>
      <c r="AT368" s="29" t="s">
        <v>73</v>
      </c>
      <c r="AU368" s="29" t="s">
        <v>73</v>
      </c>
      <c r="AV368" s="29" t="s">
        <v>73</v>
      </c>
      <c r="AW368" s="29" t="s">
        <v>73</v>
      </c>
      <c r="AX368" s="30">
        <v>5500</v>
      </c>
      <c r="AY368" s="165" t="s">
        <v>6</v>
      </c>
      <c r="AZ368" s="2" t="s">
        <v>74</v>
      </c>
      <c r="BA368" s="2"/>
      <c r="BK368" s="147" t="s">
        <v>790</v>
      </c>
      <c r="BL368" s="481" t="s">
        <v>791</v>
      </c>
      <c r="BM368" s="125" t="s">
        <v>1806</v>
      </c>
      <c r="BN368" s="649" t="s">
        <v>1807</v>
      </c>
      <c r="BO368" s="125" t="s">
        <v>1808</v>
      </c>
      <c r="BP368" s="129">
        <v>46134</v>
      </c>
      <c r="BQ368" s="18"/>
      <c r="BR368" s="505" t="s">
        <v>1895</v>
      </c>
      <c r="BS368" s="18"/>
      <c r="BT368" s="286" t="s">
        <v>1809</v>
      </c>
      <c r="BU368" s="18"/>
      <c r="BV368" s="552" t="s">
        <v>1896</v>
      </c>
      <c r="BW368" s="646" t="s">
        <v>1897</v>
      </c>
      <c r="BX368" s="646" t="s">
        <v>1898</v>
      </c>
      <c r="BY368" s="552">
        <v>44929399</v>
      </c>
      <c r="BZ368" s="552">
        <v>10449293997</v>
      </c>
      <c r="CA368" s="126">
        <v>5500</v>
      </c>
      <c r="CB368" s="289">
        <v>46143</v>
      </c>
      <c r="CC368" s="289">
        <v>46173</v>
      </c>
      <c r="CD368" s="759"/>
      <c r="CE368" s="177">
        <f t="shared" si="491"/>
        <v>30</v>
      </c>
      <c r="CF368" s="1019">
        <f t="shared" si="492"/>
        <v>5500</v>
      </c>
      <c r="CG368" s="177">
        <v>30</v>
      </c>
      <c r="CH368" s="1019">
        <f t="shared" si="493"/>
        <v>5500</v>
      </c>
      <c r="CI368" s="177">
        <v>30</v>
      </c>
      <c r="CJ368" s="1019">
        <f t="shared" si="494"/>
        <v>5500</v>
      </c>
      <c r="CK368" s="177">
        <f t="shared" si="495"/>
        <v>0</v>
      </c>
      <c r="CL368" s="177">
        <f t="shared" si="496"/>
        <v>0</v>
      </c>
      <c r="CM368" s="1006"/>
      <c r="CN368" s="177">
        <f t="shared" si="497"/>
        <v>0</v>
      </c>
      <c r="CO368" s="1019">
        <f t="shared" si="498"/>
        <v>0</v>
      </c>
      <c r="CP368" s="177"/>
      <c r="CQ368" s="1019">
        <f t="shared" si="499"/>
        <v>0</v>
      </c>
      <c r="CR368" s="1019"/>
      <c r="CS368" s="1019">
        <f t="shared" si="500"/>
        <v>0</v>
      </c>
      <c r="CT368" s="177">
        <f t="shared" si="501"/>
        <v>0</v>
      </c>
      <c r="CU368" s="177">
        <f t="shared" si="502"/>
        <v>0</v>
      </c>
      <c r="CV368" s="1006"/>
      <c r="CW368" s="1007">
        <f t="shared" si="608"/>
        <v>5500</v>
      </c>
      <c r="CX368" s="486">
        <f t="shared" si="609"/>
        <v>5500</v>
      </c>
      <c r="CY368" s="486">
        <f t="shared" si="610"/>
        <v>5500</v>
      </c>
      <c r="CZ368" s="1007">
        <f t="shared" si="611"/>
        <v>0</v>
      </c>
      <c r="DA368" s="1007">
        <f t="shared" si="612"/>
        <v>0</v>
      </c>
      <c r="DB368" s="126"/>
      <c r="DC368" s="125"/>
    </row>
    <row r="369" spans="1:108" ht="51" hidden="1" x14ac:dyDescent="0.25">
      <c r="A369" s="19">
        <v>2026</v>
      </c>
      <c r="B369" s="20">
        <v>479</v>
      </c>
      <c r="C369" s="21" t="s">
        <v>64</v>
      </c>
      <c r="D369" s="21" t="s">
        <v>65</v>
      </c>
      <c r="E369" s="20">
        <v>125</v>
      </c>
      <c r="F369" s="20">
        <v>3000654</v>
      </c>
      <c r="G369" s="20">
        <v>5005023</v>
      </c>
      <c r="H369" s="20">
        <v>3</v>
      </c>
      <c r="I369" s="20">
        <v>12</v>
      </c>
      <c r="J369" s="20">
        <v>24</v>
      </c>
      <c r="K369" s="20">
        <v>135560</v>
      </c>
      <c r="L369" s="21" t="s">
        <v>220</v>
      </c>
      <c r="M369" s="33" t="s">
        <v>221</v>
      </c>
      <c r="N369" s="19">
        <v>97</v>
      </c>
      <c r="O369" s="2"/>
      <c r="P369" s="2" t="s">
        <v>4</v>
      </c>
      <c r="Q369" s="20" t="s">
        <v>68</v>
      </c>
      <c r="R369" s="25" t="s">
        <v>69</v>
      </c>
      <c r="S369" s="41" t="s">
        <v>137</v>
      </c>
      <c r="T369" s="41"/>
      <c r="U369" s="31" t="s">
        <v>242</v>
      </c>
      <c r="V369" s="25" t="s">
        <v>3</v>
      </c>
      <c r="W369" s="25">
        <v>1</v>
      </c>
      <c r="X369" s="595">
        <v>5500</v>
      </c>
      <c r="Y369" s="619"/>
      <c r="Z369" s="2"/>
      <c r="AA369" s="2"/>
      <c r="AB369" s="620"/>
      <c r="AC369" s="25">
        <v>0</v>
      </c>
      <c r="AD369" s="25">
        <v>30</v>
      </c>
      <c r="AE369" s="619"/>
      <c r="AF369" s="2"/>
      <c r="AG369" s="2"/>
      <c r="AH369" s="2"/>
      <c r="AI369" s="2"/>
      <c r="AJ369" s="621"/>
      <c r="AK369" s="596">
        <v>5500</v>
      </c>
      <c r="AL369" s="29" t="s">
        <v>73</v>
      </c>
      <c r="AM369" s="29" t="s">
        <v>73</v>
      </c>
      <c r="AN369" s="29" t="s">
        <v>73</v>
      </c>
      <c r="AO369" s="29" t="s">
        <v>73</v>
      </c>
      <c r="AP369" s="648">
        <v>0</v>
      </c>
      <c r="AQ369" s="478">
        <v>5500</v>
      </c>
      <c r="AR369" s="29" t="s">
        <v>73</v>
      </c>
      <c r="AS369" s="29" t="s">
        <v>73</v>
      </c>
      <c r="AT369" s="29" t="s">
        <v>73</v>
      </c>
      <c r="AU369" s="29" t="s">
        <v>73</v>
      </c>
      <c r="AV369" s="29" t="s">
        <v>73</v>
      </c>
      <c r="AW369" s="29" t="s">
        <v>73</v>
      </c>
      <c r="AX369" s="30">
        <v>5500</v>
      </c>
      <c r="AY369" s="479" t="s">
        <v>6</v>
      </c>
      <c r="AZ369" s="2" t="s">
        <v>74</v>
      </c>
      <c r="BA369" s="2"/>
      <c r="BK369" s="125" t="s">
        <v>790</v>
      </c>
      <c r="BL369" s="481" t="s">
        <v>791</v>
      </c>
      <c r="BM369" s="125" t="s">
        <v>1812</v>
      </c>
      <c r="BN369" s="177" t="s">
        <v>1813</v>
      </c>
      <c r="BO369" s="125" t="s">
        <v>1814</v>
      </c>
      <c r="BP369" s="129">
        <v>46156</v>
      </c>
      <c r="BQ369" s="18"/>
      <c r="BR369" s="239">
        <v>5016</v>
      </c>
      <c r="BS369" s="18"/>
      <c r="BT369" s="18"/>
      <c r="BU369" s="946" t="s">
        <v>1815</v>
      </c>
      <c r="BV369" s="552" t="s">
        <v>1896</v>
      </c>
      <c r="BW369" s="649" t="s">
        <v>1897</v>
      </c>
      <c r="BX369" s="649" t="s">
        <v>1898</v>
      </c>
      <c r="BY369" s="552">
        <v>44929399</v>
      </c>
      <c r="BZ369" s="552">
        <v>10449293997</v>
      </c>
      <c r="CA369" s="650">
        <v>5500</v>
      </c>
      <c r="CB369" s="289">
        <v>46174</v>
      </c>
      <c r="CC369" s="289">
        <v>46203</v>
      </c>
      <c r="CD369" s="759"/>
      <c r="CE369" s="177">
        <f t="shared" si="491"/>
        <v>0</v>
      </c>
      <c r="CF369" s="1019">
        <f t="shared" si="492"/>
        <v>0</v>
      </c>
      <c r="CG369" s="177"/>
      <c r="CH369" s="1019">
        <f t="shared" si="493"/>
        <v>0</v>
      </c>
      <c r="CI369" s="177"/>
      <c r="CJ369" s="1019">
        <f t="shared" si="494"/>
        <v>0</v>
      </c>
      <c r="CK369" s="177">
        <f t="shared" si="495"/>
        <v>0</v>
      </c>
      <c r="CL369" s="177">
        <f t="shared" si="496"/>
        <v>0</v>
      </c>
      <c r="CM369" s="1006"/>
      <c r="CN369" s="177">
        <f t="shared" si="497"/>
        <v>30</v>
      </c>
      <c r="CO369" s="1019">
        <f t="shared" si="498"/>
        <v>5500</v>
      </c>
      <c r="CP369" s="177">
        <v>30</v>
      </c>
      <c r="CQ369" s="1019">
        <f t="shared" si="499"/>
        <v>5500</v>
      </c>
      <c r="CR369" s="1019">
        <v>30</v>
      </c>
      <c r="CS369" s="1019">
        <f t="shared" si="500"/>
        <v>5500</v>
      </c>
      <c r="CT369" s="177">
        <f t="shared" si="501"/>
        <v>0</v>
      </c>
      <c r="CU369" s="177">
        <f t="shared" si="502"/>
        <v>0</v>
      </c>
      <c r="CV369" s="1006"/>
      <c r="CW369" s="1007">
        <f t="shared" si="608"/>
        <v>5500</v>
      </c>
      <c r="CX369" s="486">
        <f t="shared" si="609"/>
        <v>5500</v>
      </c>
      <c r="CY369" s="486">
        <f t="shared" si="610"/>
        <v>5500</v>
      </c>
      <c r="CZ369" s="1007">
        <f t="shared" si="611"/>
        <v>0</v>
      </c>
      <c r="DA369" s="1007">
        <f t="shared" si="612"/>
        <v>0</v>
      </c>
      <c r="DB369" s="126"/>
      <c r="DC369" s="125"/>
    </row>
    <row r="370" spans="1:108" ht="51" hidden="1" x14ac:dyDescent="0.25">
      <c r="A370" s="19">
        <v>2026</v>
      </c>
      <c r="B370" s="20">
        <v>479</v>
      </c>
      <c r="C370" s="21" t="s">
        <v>64</v>
      </c>
      <c r="D370" s="21" t="s">
        <v>65</v>
      </c>
      <c r="E370" s="20">
        <v>125</v>
      </c>
      <c r="F370" s="20">
        <v>3000654</v>
      </c>
      <c r="G370" s="20">
        <v>5005023</v>
      </c>
      <c r="H370" s="20">
        <v>3</v>
      </c>
      <c r="I370" s="20">
        <v>12</v>
      </c>
      <c r="J370" s="20">
        <v>24</v>
      </c>
      <c r="K370" s="20">
        <v>135560</v>
      </c>
      <c r="L370" s="21" t="s">
        <v>98</v>
      </c>
      <c r="M370" s="33" t="s">
        <v>99</v>
      </c>
      <c r="N370" s="19">
        <v>94</v>
      </c>
      <c r="O370" s="2"/>
      <c r="P370" s="2" t="s">
        <v>4</v>
      </c>
      <c r="Q370" s="20" t="s">
        <v>68</v>
      </c>
      <c r="R370" s="25" t="s">
        <v>69</v>
      </c>
      <c r="S370" s="41" t="s">
        <v>137</v>
      </c>
      <c r="T370" s="41"/>
      <c r="U370" s="31" t="s">
        <v>243</v>
      </c>
      <c r="V370" s="25" t="s">
        <v>3</v>
      </c>
      <c r="W370" s="25">
        <v>1</v>
      </c>
      <c r="X370" s="595">
        <v>5500</v>
      </c>
      <c r="Y370" s="619"/>
      <c r="Z370" s="2"/>
      <c r="AA370" s="2"/>
      <c r="AB370" s="620"/>
      <c r="AC370" s="25">
        <v>30</v>
      </c>
      <c r="AD370" s="25">
        <v>0</v>
      </c>
      <c r="AE370" s="619"/>
      <c r="AF370" s="2"/>
      <c r="AG370" s="2"/>
      <c r="AH370" s="2"/>
      <c r="AI370" s="2"/>
      <c r="AJ370" s="621"/>
      <c r="AK370" s="596">
        <v>5500</v>
      </c>
      <c r="AL370" s="29" t="s">
        <v>73</v>
      </c>
      <c r="AM370" s="29" t="s">
        <v>73</v>
      </c>
      <c r="AN370" s="29" t="s">
        <v>73</v>
      </c>
      <c r="AO370" s="29" t="s">
        <v>73</v>
      </c>
      <c r="AP370" s="478">
        <v>5500</v>
      </c>
      <c r="AQ370" s="648">
        <v>0</v>
      </c>
      <c r="AR370" s="29" t="s">
        <v>73</v>
      </c>
      <c r="AS370" s="29" t="s">
        <v>73</v>
      </c>
      <c r="AT370" s="29" t="s">
        <v>73</v>
      </c>
      <c r="AU370" s="29" t="s">
        <v>73</v>
      </c>
      <c r="AV370" s="29" t="s">
        <v>73</v>
      </c>
      <c r="AW370" s="29" t="s">
        <v>73</v>
      </c>
      <c r="AX370" s="30">
        <v>5500</v>
      </c>
      <c r="AY370" s="165" t="s">
        <v>6</v>
      </c>
      <c r="AZ370" s="2" t="s">
        <v>74</v>
      </c>
      <c r="BA370" s="2"/>
      <c r="BK370" s="147" t="s">
        <v>790</v>
      </c>
      <c r="BL370" s="481" t="s">
        <v>791</v>
      </c>
      <c r="BM370" s="125" t="s">
        <v>1806</v>
      </c>
      <c r="BN370" s="649" t="s">
        <v>1807</v>
      </c>
      <c r="BO370" s="125" t="s">
        <v>1808</v>
      </c>
      <c r="BP370" s="129">
        <v>46134</v>
      </c>
      <c r="BQ370" s="18"/>
      <c r="BR370" s="505" t="s">
        <v>1899</v>
      </c>
      <c r="BS370" s="18"/>
      <c r="BT370" s="18" t="s">
        <v>1809</v>
      </c>
      <c r="BU370" s="18"/>
      <c r="BV370" s="552" t="s">
        <v>1861</v>
      </c>
      <c r="BW370" s="646" t="s">
        <v>1386</v>
      </c>
      <c r="BX370" s="646" t="s">
        <v>1900</v>
      </c>
      <c r="BY370" s="552">
        <v>41779939</v>
      </c>
      <c r="BZ370" s="552">
        <v>10417799392</v>
      </c>
      <c r="CA370" s="126">
        <v>5500</v>
      </c>
      <c r="CB370" s="289">
        <v>46143</v>
      </c>
      <c r="CC370" s="289">
        <v>46173</v>
      </c>
      <c r="CD370" s="759"/>
      <c r="CE370" s="177">
        <f t="shared" si="491"/>
        <v>30</v>
      </c>
      <c r="CF370" s="1019">
        <f t="shared" si="492"/>
        <v>5500</v>
      </c>
      <c r="CG370" s="177">
        <v>30</v>
      </c>
      <c r="CH370" s="1019">
        <f t="shared" si="493"/>
        <v>5500</v>
      </c>
      <c r="CI370" s="177">
        <v>30</v>
      </c>
      <c r="CJ370" s="1019">
        <f t="shared" si="494"/>
        <v>5500</v>
      </c>
      <c r="CK370" s="177">
        <f t="shared" si="495"/>
        <v>0</v>
      </c>
      <c r="CL370" s="177">
        <f t="shared" si="496"/>
        <v>0</v>
      </c>
      <c r="CM370" s="1006"/>
      <c r="CN370" s="177">
        <f t="shared" si="497"/>
        <v>0</v>
      </c>
      <c r="CO370" s="1019">
        <f t="shared" si="498"/>
        <v>0</v>
      </c>
      <c r="CP370" s="177"/>
      <c r="CQ370" s="1019">
        <f t="shared" si="499"/>
        <v>0</v>
      </c>
      <c r="CR370" s="1019"/>
      <c r="CS370" s="1019">
        <f t="shared" si="500"/>
        <v>0</v>
      </c>
      <c r="CT370" s="177">
        <f t="shared" si="501"/>
        <v>0</v>
      </c>
      <c r="CU370" s="177">
        <f t="shared" si="502"/>
        <v>0</v>
      </c>
      <c r="CV370" s="1006"/>
      <c r="CW370" s="1007">
        <f t="shared" si="608"/>
        <v>5500</v>
      </c>
      <c r="CX370" s="486">
        <f t="shared" si="609"/>
        <v>5500</v>
      </c>
      <c r="CY370" s="486">
        <f t="shared" si="610"/>
        <v>5500</v>
      </c>
      <c r="CZ370" s="1007">
        <f t="shared" si="611"/>
        <v>0</v>
      </c>
      <c r="DA370" s="1007">
        <f t="shared" si="612"/>
        <v>0</v>
      </c>
      <c r="DB370" s="126"/>
      <c r="DC370" s="125"/>
    </row>
    <row r="371" spans="1:108" ht="51" hidden="1" x14ac:dyDescent="0.25">
      <c r="A371" s="19">
        <v>2026</v>
      </c>
      <c r="B371" s="20">
        <v>479</v>
      </c>
      <c r="C371" s="21" t="s">
        <v>64</v>
      </c>
      <c r="D371" s="21" t="s">
        <v>65</v>
      </c>
      <c r="E371" s="20">
        <v>125</v>
      </c>
      <c r="F371" s="20">
        <v>3000654</v>
      </c>
      <c r="G371" s="20">
        <v>5005023</v>
      </c>
      <c r="H371" s="20">
        <v>3</v>
      </c>
      <c r="I371" s="20">
        <v>12</v>
      </c>
      <c r="J371" s="20">
        <v>24</v>
      </c>
      <c r="K371" s="20">
        <v>135560</v>
      </c>
      <c r="L371" s="21" t="s">
        <v>220</v>
      </c>
      <c r="M371" s="33" t="s">
        <v>221</v>
      </c>
      <c r="N371" s="19">
        <v>97</v>
      </c>
      <c r="O371" s="2"/>
      <c r="P371" s="2" t="s">
        <v>4</v>
      </c>
      <c r="Q371" s="20" t="s">
        <v>68</v>
      </c>
      <c r="R371" s="25" t="s">
        <v>69</v>
      </c>
      <c r="S371" s="41" t="s">
        <v>137</v>
      </c>
      <c r="T371" s="41"/>
      <c r="U371" s="31" t="s">
        <v>243</v>
      </c>
      <c r="V371" s="25" t="s">
        <v>3</v>
      </c>
      <c r="W371" s="25">
        <v>1</v>
      </c>
      <c r="X371" s="595">
        <v>5500</v>
      </c>
      <c r="Y371" s="619"/>
      <c r="Z371" s="2"/>
      <c r="AA371" s="2"/>
      <c r="AB371" s="620"/>
      <c r="AC371" s="25">
        <v>0</v>
      </c>
      <c r="AD371" s="25">
        <v>30</v>
      </c>
      <c r="AE371" s="619"/>
      <c r="AF371" s="2"/>
      <c r="AG371" s="2"/>
      <c r="AH371" s="2"/>
      <c r="AI371" s="2"/>
      <c r="AJ371" s="621"/>
      <c r="AK371" s="596">
        <v>5500</v>
      </c>
      <c r="AL371" s="29" t="s">
        <v>73</v>
      </c>
      <c r="AM371" s="29" t="s">
        <v>73</v>
      </c>
      <c r="AN371" s="29" t="s">
        <v>73</v>
      </c>
      <c r="AO371" s="29" t="s">
        <v>73</v>
      </c>
      <c r="AP371" s="648">
        <v>0</v>
      </c>
      <c r="AQ371" s="478">
        <v>5500</v>
      </c>
      <c r="AR371" s="29" t="s">
        <v>73</v>
      </c>
      <c r="AS371" s="29" t="s">
        <v>73</v>
      </c>
      <c r="AT371" s="29" t="s">
        <v>73</v>
      </c>
      <c r="AU371" s="29" t="s">
        <v>73</v>
      </c>
      <c r="AV371" s="29" t="s">
        <v>73</v>
      </c>
      <c r="AW371" s="29" t="s">
        <v>73</v>
      </c>
      <c r="AX371" s="30">
        <v>5500</v>
      </c>
      <c r="AY371" s="479" t="s">
        <v>6</v>
      </c>
      <c r="AZ371" s="2" t="s">
        <v>74</v>
      </c>
      <c r="BA371" s="2"/>
      <c r="BK371" s="125" t="s">
        <v>790</v>
      </c>
      <c r="BL371" s="481" t="s">
        <v>791</v>
      </c>
      <c r="BM371" s="125" t="s">
        <v>1812</v>
      </c>
      <c r="BN371" s="177" t="s">
        <v>1813</v>
      </c>
      <c r="BO371" s="125" t="s">
        <v>1814</v>
      </c>
      <c r="BP371" s="129">
        <v>46156</v>
      </c>
      <c r="BQ371" s="18"/>
      <c r="BR371" s="239">
        <v>5017</v>
      </c>
      <c r="BS371" s="18"/>
      <c r="BT371" s="18"/>
      <c r="BU371" s="18" t="s">
        <v>1815</v>
      </c>
      <c r="BV371" s="552" t="s">
        <v>1861</v>
      </c>
      <c r="BW371" s="649" t="s">
        <v>1386</v>
      </c>
      <c r="BX371" s="649" t="s">
        <v>1900</v>
      </c>
      <c r="BY371" s="552">
        <v>41779939</v>
      </c>
      <c r="BZ371" s="552">
        <v>10417799392</v>
      </c>
      <c r="CA371" s="650">
        <v>5500</v>
      </c>
      <c r="CB371" s="289">
        <v>46174</v>
      </c>
      <c r="CC371" s="289">
        <v>46203</v>
      </c>
      <c r="CD371" s="759"/>
      <c r="CE371" s="177">
        <f t="shared" si="491"/>
        <v>0</v>
      </c>
      <c r="CF371" s="1019">
        <f t="shared" si="492"/>
        <v>0</v>
      </c>
      <c r="CG371" s="177"/>
      <c r="CH371" s="1019">
        <f t="shared" si="493"/>
        <v>0</v>
      </c>
      <c r="CI371" s="177"/>
      <c r="CJ371" s="1019">
        <f t="shared" si="494"/>
        <v>0</v>
      </c>
      <c r="CK371" s="177">
        <f t="shared" si="495"/>
        <v>0</v>
      </c>
      <c r="CL371" s="177">
        <f t="shared" si="496"/>
        <v>0</v>
      </c>
      <c r="CM371" s="1006"/>
      <c r="CN371" s="177">
        <f t="shared" si="497"/>
        <v>30</v>
      </c>
      <c r="CO371" s="1019">
        <f t="shared" si="498"/>
        <v>5500</v>
      </c>
      <c r="CP371" s="177">
        <v>30</v>
      </c>
      <c r="CQ371" s="1019">
        <f t="shared" si="499"/>
        <v>5500</v>
      </c>
      <c r="CR371" s="1019">
        <v>30</v>
      </c>
      <c r="CS371" s="1019">
        <f t="shared" si="500"/>
        <v>5500</v>
      </c>
      <c r="CT371" s="177">
        <f t="shared" si="501"/>
        <v>0</v>
      </c>
      <c r="CU371" s="177">
        <f t="shared" si="502"/>
        <v>0</v>
      </c>
      <c r="CV371" s="1006"/>
      <c r="CW371" s="1007">
        <f t="shared" si="608"/>
        <v>5500</v>
      </c>
      <c r="CX371" s="486">
        <f t="shared" si="609"/>
        <v>5500</v>
      </c>
      <c r="CY371" s="486">
        <f t="shared" si="610"/>
        <v>5500</v>
      </c>
      <c r="CZ371" s="1007">
        <f t="shared" si="611"/>
        <v>0</v>
      </c>
      <c r="DA371" s="1007">
        <f t="shared" si="612"/>
        <v>0</v>
      </c>
      <c r="DB371" s="126"/>
      <c r="DC371" s="125"/>
    </row>
    <row r="372" spans="1:108" ht="51" hidden="1" x14ac:dyDescent="0.25">
      <c r="A372" s="19">
        <v>2026</v>
      </c>
      <c r="B372" s="20">
        <v>479</v>
      </c>
      <c r="C372" s="21" t="s">
        <v>64</v>
      </c>
      <c r="D372" s="21" t="s">
        <v>65</v>
      </c>
      <c r="E372" s="20">
        <v>125</v>
      </c>
      <c r="F372" s="20">
        <v>3000654</v>
      </c>
      <c r="G372" s="20">
        <v>5005023</v>
      </c>
      <c r="H372" s="20">
        <v>3</v>
      </c>
      <c r="I372" s="20">
        <v>12</v>
      </c>
      <c r="J372" s="20">
        <v>24</v>
      </c>
      <c r="K372" s="20">
        <v>135560</v>
      </c>
      <c r="L372" s="21" t="s">
        <v>220</v>
      </c>
      <c r="M372" s="33" t="s">
        <v>221</v>
      </c>
      <c r="N372" s="19">
        <v>97</v>
      </c>
      <c r="O372" s="2"/>
      <c r="P372" s="2" t="s">
        <v>4</v>
      </c>
      <c r="Q372" s="20" t="s">
        <v>68</v>
      </c>
      <c r="R372" s="25" t="s">
        <v>69</v>
      </c>
      <c r="S372" s="41" t="s">
        <v>137</v>
      </c>
      <c r="T372" s="41"/>
      <c r="U372" s="31" t="s">
        <v>244</v>
      </c>
      <c r="V372" s="25" t="s">
        <v>3</v>
      </c>
      <c r="W372" s="25">
        <v>1</v>
      </c>
      <c r="X372" s="595">
        <v>5500</v>
      </c>
      <c r="Y372" s="619"/>
      <c r="Z372" s="2"/>
      <c r="AA372" s="2"/>
      <c r="AB372" s="620"/>
      <c r="AC372" s="25">
        <v>30</v>
      </c>
      <c r="AD372" s="25">
        <v>30</v>
      </c>
      <c r="AE372" s="619"/>
      <c r="AF372" s="2"/>
      <c r="AG372" s="2"/>
      <c r="AH372" s="2"/>
      <c r="AI372" s="2"/>
      <c r="AJ372" s="621"/>
      <c r="AK372" s="596">
        <v>11000</v>
      </c>
      <c r="AL372" s="29" t="s">
        <v>73</v>
      </c>
      <c r="AM372" s="29" t="s">
        <v>73</v>
      </c>
      <c r="AN372" s="29" t="s">
        <v>73</v>
      </c>
      <c r="AO372" s="29" t="s">
        <v>73</v>
      </c>
      <c r="AP372" s="478">
        <v>5500</v>
      </c>
      <c r="AQ372" s="478">
        <v>5500</v>
      </c>
      <c r="AR372" s="29" t="s">
        <v>73</v>
      </c>
      <c r="AS372" s="29" t="s">
        <v>73</v>
      </c>
      <c r="AT372" s="29" t="s">
        <v>73</v>
      </c>
      <c r="AU372" s="29" t="s">
        <v>73</v>
      </c>
      <c r="AV372" s="29" t="s">
        <v>73</v>
      </c>
      <c r="AW372" s="29" t="s">
        <v>73</v>
      </c>
      <c r="AX372" s="30">
        <v>11000</v>
      </c>
      <c r="AY372" s="479" t="s">
        <v>6</v>
      </c>
      <c r="AZ372" s="2" t="s">
        <v>74</v>
      </c>
      <c r="BA372" s="2"/>
      <c r="BK372" s="481" t="s">
        <v>790</v>
      </c>
      <c r="BL372" s="481" t="s">
        <v>791</v>
      </c>
      <c r="BM372" s="125" t="s">
        <v>1806</v>
      </c>
      <c r="BN372" s="649" t="s">
        <v>1807</v>
      </c>
      <c r="BO372" s="125" t="s">
        <v>1808</v>
      </c>
      <c r="BP372" s="129">
        <v>46134</v>
      </c>
      <c r="BQ372" s="18"/>
      <c r="BR372" s="505" t="s">
        <v>1901</v>
      </c>
      <c r="BS372" s="18"/>
      <c r="BT372" s="18" t="s">
        <v>1809</v>
      </c>
      <c r="BU372" s="18" t="s">
        <v>1815</v>
      </c>
      <c r="BV372" s="552" t="s">
        <v>856</v>
      </c>
      <c r="BW372" s="646" t="s">
        <v>1902</v>
      </c>
      <c r="BX372" s="646" t="s">
        <v>1903</v>
      </c>
      <c r="BY372" s="552">
        <v>45792367</v>
      </c>
      <c r="BZ372" s="552">
        <v>10457923673</v>
      </c>
      <c r="CA372" s="126">
        <v>5500</v>
      </c>
      <c r="CB372" s="289">
        <v>46143</v>
      </c>
      <c r="CC372" s="289">
        <v>46203</v>
      </c>
      <c r="CD372" s="759"/>
      <c r="CE372" s="177">
        <f t="shared" si="491"/>
        <v>30</v>
      </c>
      <c r="CF372" s="1019">
        <f t="shared" si="492"/>
        <v>5500</v>
      </c>
      <c r="CG372" s="177">
        <v>30</v>
      </c>
      <c r="CH372" s="1019">
        <f t="shared" si="493"/>
        <v>5500</v>
      </c>
      <c r="CI372" s="177">
        <v>30</v>
      </c>
      <c r="CJ372" s="1019">
        <f t="shared" si="494"/>
        <v>5500</v>
      </c>
      <c r="CK372" s="177">
        <f t="shared" si="495"/>
        <v>0</v>
      </c>
      <c r="CL372" s="177">
        <f t="shared" si="496"/>
        <v>0</v>
      </c>
      <c r="CM372" s="1006"/>
      <c r="CN372" s="177">
        <f t="shared" si="497"/>
        <v>30</v>
      </c>
      <c r="CO372" s="1019">
        <f t="shared" si="498"/>
        <v>5500</v>
      </c>
      <c r="CP372" s="177">
        <v>30</v>
      </c>
      <c r="CQ372" s="1019">
        <f t="shared" si="499"/>
        <v>5500</v>
      </c>
      <c r="CR372" s="1019">
        <v>30</v>
      </c>
      <c r="CS372" s="1019">
        <f t="shared" si="500"/>
        <v>5500</v>
      </c>
      <c r="CT372" s="177">
        <f t="shared" si="501"/>
        <v>0</v>
      </c>
      <c r="CU372" s="177">
        <f t="shared" si="502"/>
        <v>0</v>
      </c>
      <c r="CV372" s="1006"/>
      <c r="CW372" s="1007">
        <f t="shared" si="608"/>
        <v>11000</v>
      </c>
      <c r="CX372" s="486">
        <f t="shared" si="609"/>
        <v>11000</v>
      </c>
      <c r="CY372" s="486">
        <f t="shared" si="610"/>
        <v>11000</v>
      </c>
      <c r="CZ372" s="1007">
        <f t="shared" si="611"/>
        <v>0</v>
      </c>
      <c r="DA372" s="1007">
        <f t="shared" si="612"/>
        <v>0</v>
      </c>
      <c r="DB372" s="126"/>
      <c r="DC372" s="125"/>
    </row>
    <row r="373" spans="1:108" ht="51" hidden="1" x14ac:dyDescent="0.25">
      <c r="A373" s="19">
        <v>2026</v>
      </c>
      <c r="B373" s="20">
        <v>479</v>
      </c>
      <c r="C373" s="21" t="s">
        <v>64</v>
      </c>
      <c r="D373" s="21" t="s">
        <v>65</v>
      </c>
      <c r="E373" s="20">
        <v>125</v>
      </c>
      <c r="F373" s="20">
        <v>3000654</v>
      </c>
      <c r="G373" s="20">
        <v>5005023</v>
      </c>
      <c r="H373" s="20">
        <v>3</v>
      </c>
      <c r="I373" s="20">
        <v>12</v>
      </c>
      <c r="J373" s="20">
        <v>24</v>
      </c>
      <c r="K373" s="20">
        <v>135560</v>
      </c>
      <c r="L373" s="21" t="s">
        <v>220</v>
      </c>
      <c r="M373" s="33" t="s">
        <v>221</v>
      </c>
      <c r="N373" s="19">
        <v>97</v>
      </c>
      <c r="O373" s="2"/>
      <c r="P373" s="2" t="s">
        <v>4</v>
      </c>
      <c r="Q373" s="20" t="s">
        <v>68</v>
      </c>
      <c r="R373" s="25" t="s">
        <v>69</v>
      </c>
      <c r="S373" s="41" t="s">
        <v>137</v>
      </c>
      <c r="T373" s="41"/>
      <c r="U373" s="31" t="s">
        <v>245</v>
      </c>
      <c r="V373" s="25" t="s">
        <v>3</v>
      </c>
      <c r="W373" s="25">
        <v>1</v>
      </c>
      <c r="X373" s="595">
        <v>5500</v>
      </c>
      <c r="Y373" s="619"/>
      <c r="Z373" s="2"/>
      <c r="AA373" s="2"/>
      <c r="AB373" s="620"/>
      <c r="AC373" s="25">
        <v>30</v>
      </c>
      <c r="AD373" s="25">
        <v>30</v>
      </c>
      <c r="AE373" s="619"/>
      <c r="AF373" s="2"/>
      <c r="AG373" s="2"/>
      <c r="AH373" s="2"/>
      <c r="AI373" s="2"/>
      <c r="AJ373" s="621"/>
      <c r="AK373" s="596">
        <v>11000</v>
      </c>
      <c r="AL373" s="29" t="s">
        <v>73</v>
      </c>
      <c r="AM373" s="29" t="s">
        <v>73</v>
      </c>
      <c r="AN373" s="29" t="s">
        <v>73</v>
      </c>
      <c r="AO373" s="29" t="s">
        <v>73</v>
      </c>
      <c r="AP373" s="478">
        <v>5500</v>
      </c>
      <c r="AQ373" s="478">
        <v>5500</v>
      </c>
      <c r="AR373" s="29" t="s">
        <v>73</v>
      </c>
      <c r="AS373" s="29" t="s">
        <v>73</v>
      </c>
      <c r="AT373" s="29" t="s">
        <v>73</v>
      </c>
      <c r="AU373" s="29" t="s">
        <v>73</v>
      </c>
      <c r="AV373" s="29" t="s">
        <v>73</v>
      </c>
      <c r="AW373" s="29" t="s">
        <v>73</v>
      </c>
      <c r="AX373" s="30">
        <v>11000</v>
      </c>
      <c r="AY373" s="479" t="s">
        <v>6</v>
      </c>
      <c r="AZ373" s="2" t="s">
        <v>74</v>
      </c>
      <c r="BA373" s="2"/>
      <c r="BK373" s="481" t="s">
        <v>790</v>
      </c>
      <c r="BL373" s="481" t="s">
        <v>791</v>
      </c>
      <c r="BM373" s="125" t="s">
        <v>1806</v>
      </c>
      <c r="BN373" s="649" t="s">
        <v>1807</v>
      </c>
      <c r="BO373" s="125" t="s">
        <v>1808</v>
      </c>
      <c r="BP373" s="129">
        <v>46134</v>
      </c>
      <c r="BQ373" s="18"/>
      <c r="BR373" s="505" t="s">
        <v>1904</v>
      </c>
      <c r="BS373" s="18"/>
      <c r="BT373" s="18" t="s">
        <v>1809</v>
      </c>
      <c r="BU373" s="18" t="s">
        <v>1815</v>
      </c>
      <c r="BV373" s="552" t="s">
        <v>1905</v>
      </c>
      <c r="BW373" s="646" t="s">
        <v>1906</v>
      </c>
      <c r="BX373" s="646" t="s">
        <v>1907</v>
      </c>
      <c r="BY373" s="552">
        <v>73335251</v>
      </c>
      <c r="BZ373" s="552">
        <v>10733352511</v>
      </c>
      <c r="CA373" s="126">
        <v>5500</v>
      </c>
      <c r="CB373" s="289">
        <v>46143</v>
      </c>
      <c r="CC373" s="289">
        <v>46203</v>
      </c>
      <c r="CD373" s="759"/>
      <c r="CE373" s="177">
        <f t="shared" si="491"/>
        <v>30</v>
      </c>
      <c r="CF373" s="1019">
        <f t="shared" si="492"/>
        <v>5500</v>
      </c>
      <c r="CG373" s="177">
        <v>30</v>
      </c>
      <c r="CH373" s="1019">
        <f t="shared" si="493"/>
        <v>5500</v>
      </c>
      <c r="CI373" s="177">
        <v>30</v>
      </c>
      <c r="CJ373" s="1019">
        <f t="shared" si="494"/>
        <v>5500</v>
      </c>
      <c r="CK373" s="177">
        <f t="shared" si="495"/>
        <v>0</v>
      </c>
      <c r="CL373" s="177">
        <f t="shared" si="496"/>
        <v>0</v>
      </c>
      <c r="CM373" s="1006"/>
      <c r="CN373" s="177">
        <f t="shared" si="497"/>
        <v>30</v>
      </c>
      <c r="CO373" s="1019">
        <f t="shared" si="498"/>
        <v>5500</v>
      </c>
      <c r="CP373" s="177">
        <v>30</v>
      </c>
      <c r="CQ373" s="1019">
        <f t="shared" si="499"/>
        <v>5500</v>
      </c>
      <c r="CR373" s="1019">
        <v>30</v>
      </c>
      <c r="CS373" s="1019">
        <f t="shared" si="500"/>
        <v>5500</v>
      </c>
      <c r="CT373" s="177">
        <f t="shared" si="501"/>
        <v>0</v>
      </c>
      <c r="CU373" s="177">
        <f t="shared" si="502"/>
        <v>0</v>
      </c>
      <c r="CV373" s="1006"/>
      <c r="CW373" s="1007">
        <f t="shared" si="608"/>
        <v>11000</v>
      </c>
      <c r="CX373" s="486">
        <f t="shared" si="609"/>
        <v>11000</v>
      </c>
      <c r="CY373" s="486">
        <f t="shared" si="610"/>
        <v>11000</v>
      </c>
      <c r="CZ373" s="1007">
        <f t="shared" si="611"/>
        <v>0</v>
      </c>
      <c r="DA373" s="1007">
        <f t="shared" si="612"/>
        <v>0</v>
      </c>
      <c r="DB373" s="126"/>
      <c r="DC373" s="125"/>
    </row>
    <row r="374" spans="1:108" ht="51" hidden="1" x14ac:dyDescent="0.25">
      <c r="A374" s="19">
        <v>2026</v>
      </c>
      <c r="B374" s="20">
        <v>479</v>
      </c>
      <c r="C374" s="21" t="s">
        <v>64</v>
      </c>
      <c r="D374" s="21" t="s">
        <v>65</v>
      </c>
      <c r="E374" s="20">
        <v>125</v>
      </c>
      <c r="F374" s="20">
        <v>3000654</v>
      </c>
      <c r="G374" s="20">
        <v>5005023</v>
      </c>
      <c r="H374" s="20">
        <v>3</v>
      </c>
      <c r="I374" s="20">
        <v>12</v>
      </c>
      <c r="J374" s="20">
        <v>24</v>
      </c>
      <c r="K374" s="20">
        <v>135560</v>
      </c>
      <c r="L374" s="21" t="s">
        <v>220</v>
      </c>
      <c r="M374" s="33" t="s">
        <v>221</v>
      </c>
      <c r="N374" s="19">
        <v>97</v>
      </c>
      <c r="O374" s="2"/>
      <c r="P374" s="2" t="s">
        <v>4</v>
      </c>
      <c r="Q374" s="20" t="s">
        <v>68</v>
      </c>
      <c r="R374" s="25" t="s">
        <v>69</v>
      </c>
      <c r="S374" s="41" t="s">
        <v>137</v>
      </c>
      <c r="T374" s="41"/>
      <c r="U374" s="31" t="s">
        <v>246</v>
      </c>
      <c r="V374" s="25" t="s">
        <v>3</v>
      </c>
      <c r="W374" s="25">
        <v>1</v>
      </c>
      <c r="X374" s="595">
        <v>5500</v>
      </c>
      <c r="Y374" s="619"/>
      <c r="Z374" s="2"/>
      <c r="AA374" s="2"/>
      <c r="AB374" s="620"/>
      <c r="AC374" s="25">
        <v>30</v>
      </c>
      <c r="AD374" s="25">
        <v>30</v>
      </c>
      <c r="AE374" s="619"/>
      <c r="AF374" s="2"/>
      <c r="AG374" s="2"/>
      <c r="AH374" s="2"/>
      <c r="AI374" s="2"/>
      <c r="AJ374" s="621"/>
      <c r="AK374" s="596">
        <v>11000</v>
      </c>
      <c r="AL374" s="29" t="s">
        <v>73</v>
      </c>
      <c r="AM374" s="29" t="s">
        <v>73</v>
      </c>
      <c r="AN374" s="29" t="s">
        <v>73</v>
      </c>
      <c r="AO374" s="29" t="s">
        <v>73</v>
      </c>
      <c r="AP374" s="478">
        <v>5500</v>
      </c>
      <c r="AQ374" s="478">
        <v>5500</v>
      </c>
      <c r="AR374" s="29" t="s">
        <v>73</v>
      </c>
      <c r="AS374" s="29" t="s">
        <v>73</v>
      </c>
      <c r="AT374" s="29" t="s">
        <v>73</v>
      </c>
      <c r="AU374" s="29" t="s">
        <v>73</v>
      </c>
      <c r="AV374" s="29" t="s">
        <v>73</v>
      </c>
      <c r="AW374" s="29" t="s">
        <v>73</v>
      </c>
      <c r="AX374" s="30">
        <v>11000</v>
      </c>
      <c r="AY374" s="479" t="s">
        <v>6</v>
      </c>
      <c r="AZ374" s="2" t="s">
        <v>74</v>
      </c>
      <c r="BA374" s="2"/>
      <c r="BK374" s="481" t="s">
        <v>790</v>
      </c>
      <c r="BL374" s="481" t="s">
        <v>791</v>
      </c>
      <c r="BM374" s="125" t="s">
        <v>1806</v>
      </c>
      <c r="BN374" s="649" t="s">
        <v>1807</v>
      </c>
      <c r="BO374" s="125" t="s">
        <v>1808</v>
      </c>
      <c r="BP374" s="129">
        <v>46134</v>
      </c>
      <c r="BQ374" s="18"/>
      <c r="BR374" s="505" t="s">
        <v>1908</v>
      </c>
      <c r="BS374" s="18"/>
      <c r="BT374" s="18" t="s">
        <v>1809</v>
      </c>
      <c r="BU374" s="18" t="s">
        <v>1815</v>
      </c>
      <c r="BV374" s="552" t="s">
        <v>1489</v>
      </c>
      <c r="BW374" s="646" t="s">
        <v>1083</v>
      </c>
      <c r="BX374" s="646" t="s">
        <v>1909</v>
      </c>
      <c r="BY374" s="552" t="s">
        <v>1910</v>
      </c>
      <c r="BZ374" s="552">
        <v>10099024840</v>
      </c>
      <c r="CA374" s="126">
        <v>5500</v>
      </c>
      <c r="CB374" s="289">
        <v>46143</v>
      </c>
      <c r="CC374" s="289">
        <v>46203</v>
      </c>
      <c r="CD374" s="759"/>
      <c r="CE374" s="177">
        <f t="shared" si="491"/>
        <v>30</v>
      </c>
      <c r="CF374" s="1019">
        <f t="shared" si="492"/>
        <v>5500</v>
      </c>
      <c r="CG374" s="177">
        <v>30</v>
      </c>
      <c r="CH374" s="1019">
        <f t="shared" si="493"/>
        <v>5500</v>
      </c>
      <c r="CI374" s="177">
        <v>30</v>
      </c>
      <c r="CJ374" s="1019">
        <f t="shared" si="494"/>
        <v>5500</v>
      </c>
      <c r="CK374" s="177">
        <f t="shared" si="495"/>
        <v>0</v>
      </c>
      <c r="CL374" s="177">
        <f t="shared" si="496"/>
        <v>0</v>
      </c>
      <c r="CM374" s="1006"/>
      <c r="CN374" s="177">
        <f t="shared" si="497"/>
        <v>30</v>
      </c>
      <c r="CO374" s="1019">
        <f t="shared" si="498"/>
        <v>5500</v>
      </c>
      <c r="CP374" s="177">
        <v>30</v>
      </c>
      <c r="CQ374" s="1019">
        <f t="shared" si="499"/>
        <v>5500</v>
      </c>
      <c r="CR374" s="1019">
        <v>30</v>
      </c>
      <c r="CS374" s="1019">
        <f t="shared" si="500"/>
        <v>5500</v>
      </c>
      <c r="CT374" s="177">
        <f t="shared" si="501"/>
        <v>0</v>
      </c>
      <c r="CU374" s="177">
        <f t="shared" si="502"/>
        <v>0</v>
      </c>
      <c r="CV374" s="1006"/>
      <c r="CW374" s="1007">
        <f t="shared" si="608"/>
        <v>11000</v>
      </c>
      <c r="CX374" s="486">
        <f t="shared" si="609"/>
        <v>11000</v>
      </c>
      <c r="CY374" s="486">
        <f t="shared" si="610"/>
        <v>11000</v>
      </c>
      <c r="CZ374" s="1007">
        <f t="shared" si="611"/>
        <v>0</v>
      </c>
      <c r="DA374" s="1007">
        <f t="shared" si="612"/>
        <v>0</v>
      </c>
      <c r="DB374" s="126"/>
      <c r="DC374" s="125"/>
    </row>
    <row r="375" spans="1:108" ht="51" hidden="1" x14ac:dyDescent="0.25">
      <c r="A375" s="19">
        <v>2026</v>
      </c>
      <c r="B375" s="20">
        <v>479</v>
      </c>
      <c r="C375" s="21" t="s">
        <v>64</v>
      </c>
      <c r="D375" s="21" t="s">
        <v>65</v>
      </c>
      <c r="E375" s="20">
        <v>125</v>
      </c>
      <c r="F375" s="20">
        <v>3000654</v>
      </c>
      <c r="G375" s="20">
        <v>5005023</v>
      </c>
      <c r="H375" s="20">
        <v>3</v>
      </c>
      <c r="I375" s="20">
        <v>12</v>
      </c>
      <c r="J375" s="20">
        <v>24</v>
      </c>
      <c r="K375" s="20">
        <v>135560</v>
      </c>
      <c r="L375" s="21" t="s">
        <v>220</v>
      </c>
      <c r="M375" s="33" t="s">
        <v>221</v>
      </c>
      <c r="N375" s="19">
        <v>97</v>
      </c>
      <c r="O375" s="2"/>
      <c r="P375" s="2" t="s">
        <v>4</v>
      </c>
      <c r="Q375" s="20" t="s">
        <v>68</v>
      </c>
      <c r="R375" s="25" t="s">
        <v>69</v>
      </c>
      <c r="S375" s="41" t="s">
        <v>137</v>
      </c>
      <c r="T375" s="41"/>
      <c r="U375" s="31" t="s">
        <v>247</v>
      </c>
      <c r="V375" s="25" t="s">
        <v>3</v>
      </c>
      <c r="W375" s="25">
        <v>1</v>
      </c>
      <c r="X375" s="595">
        <v>5500</v>
      </c>
      <c r="Y375" s="619"/>
      <c r="Z375" s="2"/>
      <c r="AA375" s="2"/>
      <c r="AB375" s="620"/>
      <c r="AC375" s="25">
        <v>30</v>
      </c>
      <c r="AD375" s="25">
        <v>30</v>
      </c>
      <c r="AE375" s="619"/>
      <c r="AF375" s="2"/>
      <c r="AG375" s="2"/>
      <c r="AH375" s="2"/>
      <c r="AI375" s="2"/>
      <c r="AJ375" s="621"/>
      <c r="AK375" s="596">
        <v>11000</v>
      </c>
      <c r="AL375" s="29" t="s">
        <v>73</v>
      </c>
      <c r="AM375" s="29" t="s">
        <v>73</v>
      </c>
      <c r="AN375" s="29" t="s">
        <v>73</v>
      </c>
      <c r="AO375" s="29" t="s">
        <v>73</v>
      </c>
      <c r="AP375" s="478">
        <v>5500</v>
      </c>
      <c r="AQ375" s="478">
        <v>5500</v>
      </c>
      <c r="AR375" s="29" t="s">
        <v>73</v>
      </c>
      <c r="AS375" s="29" t="s">
        <v>73</v>
      </c>
      <c r="AT375" s="29" t="s">
        <v>73</v>
      </c>
      <c r="AU375" s="29" t="s">
        <v>73</v>
      </c>
      <c r="AV375" s="29" t="s">
        <v>73</v>
      </c>
      <c r="AW375" s="29" t="s">
        <v>73</v>
      </c>
      <c r="AX375" s="30">
        <v>11000</v>
      </c>
      <c r="AY375" s="479" t="s">
        <v>6</v>
      </c>
      <c r="AZ375" s="2" t="s">
        <v>74</v>
      </c>
      <c r="BA375" s="2"/>
      <c r="BK375" s="481" t="s">
        <v>790</v>
      </c>
      <c r="BL375" s="481" t="s">
        <v>791</v>
      </c>
      <c r="BM375" s="125" t="s">
        <v>1806</v>
      </c>
      <c r="BN375" s="649" t="s">
        <v>1807</v>
      </c>
      <c r="BO375" s="125" t="s">
        <v>1808</v>
      </c>
      <c r="BP375" s="129">
        <v>46134</v>
      </c>
      <c r="BQ375" s="18"/>
      <c r="BR375" s="505" t="s">
        <v>1911</v>
      </c>
      <c r="BS375" s="18"/>
      <c r="BT375" s="18" t="s">
        <v>1809</v>
      </c>
      <c r="BU375" s="18" t="s">
        <v>1815</v>
      </c>
      <c r="BV375" s="552" t="s">
        <v>798</v>
      </c>
      <c r="BW375" s="646" t="s">
        <v>1912</v>
      </c>
      <c r="BX375" s="646" t="s">
        <v>1913</v>
      </c>
      <c r="BY375" s="552">
        <v>41649134</v>
      </c>
      <c r="BZ375" s="552">
        <v>10416491343</v>
      </c>
      <c r="CA375" s="126">
        <v>5500</v>
      </c>
      <c r="CB375" s="289">
        <v>46143</v>
      </c>
      <c r="CC375" s="289">
        <v>46203</v>
      </c>
      <c r="CD375" s="759"/>
      <c r="CE375" s="177">
        <f t="shared" si="491"/>
        <v>30</v>
      </c>
      <c r="CF375" s="1019">
        <f t="shared" si="492"/>
        <v>5500</v>
      </c>
      <c r="CG375" s="177">
        <v>30</v>
      </c>
      <c r="CH375" s="1019">
        <f t="shared" si="493"/>
        <v>5500</v>
      </c>
      <c r="CI375" s="177">
        <v>30</v>
      </c>
      <c r="CJ375" s="1019">
        <f t="shared" si="494"/>
        <v>5500</v>
      </c>
      <c r="CK375" s="177">
        <f t="shared" si="495"/>
        <v>0</v>
      </c>
      <c r="CL375" s="177">
        <f t="shared" si="496"/>
        <v>0</v>
      </c>
      <c r="CM375" s="1006"/>
      <c r="CN375" s="177">
        <f t="shared" si="497"/>
        <v>30</v>
      </c>
      <c r="CO375" s="1019">
        <f t="shared" si="498"/>
        <v>5500</v>
      </c>
      <c r="CP375" s="177">
        <v>30</v>
      </c>
      <c r="CQ375" s="1019">
        <f t="shared" si="499"/>
        <v>5500</v>
      </c>
      <c r="CR375" s="1019">
        <v>30</v>
      </c>
      <c r="CS375" s="1019">
        <f t="shared" si="500"/>
        <v>5500</v>
      </c>
      <c r="CT375" s="177">
        <f t="shared" si="501"/>
        <v>0</v>
      </c>
      <c r="CU375" s="177">
        <f t="shared" si="502"/>
        <v>0</v>
      </c>
      <c r="CV375" s="1006"/>
      <c r="CW375" s="1007">
        <f t="shared" si="608"/>
        <v>11000</v>
      </c>
      <c r="CX375" s="486">
        <f t="shared" si="609"/>
        <v>11000</v>
      </c>
      <c r="CY375" s="486">
        <f t="shared" si="610"/>
        <v>11000</v>
      </c>
      <c r="CZ375" s="1007">
        <f t="shared" si="611"/>
        <v>0</v>
      </c>
      <c r="DA375" s="1007">
        <f t="shared" si="612"/>
        <v>0</v>
      </c>
      <c r="DB375" s="126"/>
      <c r="DC375" s="125"/>
    </row>
    <row r="376" spans="1:108" ht="51" hidden="1" x14ac:dyDescent="0.25">
      <c r="A376" s="19">
        <v>2026</v>
      </c>
      <c r="B376" s="20">
        <v>479</v>
      </c>
      <c r="C376" s="21" t="s">
        <v>64</v>
      </c>
      <c r="D376" s="21" t="s">
        <v>65</v>
      </c>
      <c r="E376" s="20">
        <v>125</v>
      </c>
      <c r="F376" s="20">
        <v>3000654</v>
      </c>
      <c r="G376" s="20">
        <v>5005023</v>
      </c>
      <c r="H376" s="20">
        <v>3</v>
      </c>
      <c r="I376" s="20">
        <v>12</v>
      </c>
      <c r="J376" s="20">
        <v>24</v>
      </c>
      <c r="K376" s="20">
        <v>135560</v>
      </c>
      <c r="L376" s="21" t="s">
        <v>220</v>
      </c>
      <c r="M376" s="33" t="s">
        <v>221</v>
      </c>
      <c r="N376" s="19">
        <v>97</v>
      </c>
      <c r="O376" s="2"/>
      <c r="P376" s="2" t="s">
        <v>4</v>
      </c>
      <c r="Q376" s="20" t="s">
        <v>68</v>
      </c>
      <c r="R376" s="25" t="s">
        <v>69</v>
      </c>
      <c r="S376" s="41" t="s">
        <v>137</v>
      </c>
      <c r="T376" s="41"/>
      <c r="U376" s="31" t="s">
        <v>248</v>
      </c>
      <c r="V376" s="25" t="s">
        <v>3</v>
      </c>
      <c r="W376" s="25">
        <v>1</v>
      </c>
      <c r="X376" s="595">
        <v>5500</v>
      </c>
      <c r="Y376" s="619"/>
      <c r="Z376" s="2"/>
      <c r="AA376" s="2"/>
      <c r="AB376" s="620"/>
      <c r="AC376" s="25">
        <v>30</v>
      </c>
      <c r="AD376" s="25">
        <v>30</v>
      </c>
      <c r="AE376" s="619"/>
      <c r="AF376" s="2"/>
      <c r="AG376" s="2"/>
      <c r="AH376" s="2"/>
      <c r="AI376" s="2"/>
      <c r="AJ376" s="621"/>
      <c r="AK376" s="596">
        <v>11000</v>
      </c>
      <c r="AL376" s="29" t="s">
        <v>73</v>
      </c>
      <c r="AM376" s="29" t="s">
        <v>73</v>
      </c>
      <c r="AN376" s="29" t="s">
        <v>73</v>
      </c>
      <c r="AO376" s="29" t="s">
        <v>73</v>
      </c>
      <c r="AP376" s="478">
        <v>5500</v>
      </c>
      <c r="AQ376" s="478">
        <v>5500</v>
      </c>
      <c r="AR376" s="29" t="s">
        <v>73</v>
      </c>
      <c r="AS376" s="29" t="s">
        <v>73</v>
      </c>
      <c r="AT376" s="29" t="s">
        <v>73</v>
      </c>
      <c r="AU376" s="29" t="s">
        <v>73</v>
      </c>
      <c r="AV376" s="29" t="s">
        <v>73</v>
      </c>
      <c r="AW376" s="29" t="s">
        <v>73</v>
      </c>
      <c r="AX376" s="30">
        <v>11000</v>
      </c>
      <c r="AY376" s="479" t="s">
        <v>6</v>
      </c>
      <c r="AZ376" s="2" t="s">
        <v>74</v>
      </c>
      <c r="BA376" s="2"/>
      <c r="BK376" s="481" t="s">
        <v>790</v>
      </c>
      <c r="BL376" s="481" t="s">
        <v>791</v>
      </c>
      <c r="BM376" s="125" t="s">
        <v>1806</v>
      </c>
      <c r="BN376" s="649" t="s">
        <v>1807</v>
      </c>
      <c r="BO376" s="125" t="s">
        <v>1808</v>
      </c>
      <c r="BP376" s="129">
        <v>46134</v>
      </c>
      <c r="BQ376" s="18"/>
      <c r="BR376" s="505" t="s">
        <v>1914</v>
      </c>
      <c r="BS376" s="18"/>
      <c r="BT376" s="18" t="s">
        <v>1809</v>
      </c>
      <c r="BU376" s="18" t="s">
        <v>1815</v>
      </c>
      <c r="BV376" s="552" t="s">
        <v>836</v>
      </c>
      <c r="BW376" s="646" t="s">
        <v>1915</v>
      </c>
      <c r="BX376" s="646" t="s">
        <v>1916</v>
      </c>
      <c r="BY376" s="552">
        <v>73676963</v>
      </c>
      <c r="BZ376" s="552">
        <v>10736769633</v>
      </c>
      <c r="CA376" s="126">
        <v>5500</v>
      </c>
      <c r="CB376" s="289">
        <v>46143</v>
      </c>
      <c r="CC376" s="289">
        <v>46203</v>
      </c>
      <c r="CD376" s="759"/>
      <c r="CE376" s="177">
        <f t="shared" si="491"/>
        <v>30</v>
      </c>
      <c r="CF376" s="1019">
        <f t="shared" si="492"/>
        <v>5500</v>
      </c>
      <c r="CG376" s="177">
        <v>30</v>
      </c>
      <c r="CH376" s="1019">
        <f t="shared" si="493"/>
        <v>5500</v>
      </c>
      <c r="CI376" s="177">
        <v>30</v>
      </c>
      <c r="CJ376" s="1019">
        <f t="shared" si="494"/>
        <v>5500</v>
      </c>
      <c r="CK376" s="177">
        <f t="shared" si="495"/>
        <v>0</v>
      </c>
      <c r="CL376" s="177">
        <f t="shared" si="496"/>
        <v>0</v>
      </c>
      <c r="CM376" s="1006"/>
      <c r="CN376" s="177">
        <f t="shared" si="497"/>
        <v>30</v>
      </c>
      <c r="CO376" s="1019">
        <f t="shared" si="498"/>
        <v>5500</v>
      </c>
      <c r="CP376" s="177">
        <v>30</v>
      </c>
      <c r="CQ376" s="1019">
        <f t="shared" si="499"/>
        <v>5500</v>
      </c>
      <c r="CR376" s="1019">
        <v>30</v>
      </c>
      <c r="CS376" s="1019">
        <f t="shared" si="500"/>
        <v>5500</v>
      </c>
      <c r="CT376" s="177">
        <f t="shared" si="501"/>
        <v>0</v>
      </c>
      <c r="CU376" s="177">
        <f t="shared" si="502"/>
        <v>0</v>
      </c>
      <c r="CV376" s="1006"/>
      <c r="CW376" s="1007">
        <f t="shared" si="608"/>
        <v>11000</v>
      </c>
      <c r="CX376" s="486">
        <f t="shared" si="609"/>
        <v>11000</v>
      </c>
      <c r="CY376" s="486">
        <f t="shared" si="610"/>
        <v>11000</v>
      </c>
      <c r="CZ376" s="1007">
        <f t="shared" si="611"/>
        <v>0</v>
      </c>
      <c r="DA376" s="1007">
        <f t="shared" si="612"/>
        <v>0</v>
      </c>
      <c r="DB376" s="126"/>
      <c r="DC376" s="125"/>
    </row>
    <row r="377" spans="1:108" ht="51" hidden="1" x14ac:dyDescent="0.25">
      <c r="A377" s="19">
        <v>2026</v>
      </c>
      <c r="B377" s="20">
        <v>479</v>
      </c>
      <c r="C377" s="21" t="s">
        <v>64</v>
      </c>
      <c r="D377" s="21" t="s">
        <v>65</v>
      </c>
      <c r="E377" s="20">
        <v>125</v>
      </c>
      <c r="F377" s="20">
        <v>3000654</v>
      </c>
      <c r="G377" s="20">
        <v>5005023</v>
      </c>
      <c r="H377" s="20">
        <v>3</v>
      </c>
      <c r="I377" s="20">
        <v>12</v>
      </c>
      <c r="J377" s="20">
        <v>24</v>
      </c>
      <c r="K377" s="20">
        <v>135560</v>
      </c>
      <c r="L377" s="21" t="s">
        <v>98</v>
      </c>
      <c r="M377" s="33" t="s">
        <v>99</v>
      </c>
      <c r="N377" s="19">
        <v>94</v>
      </c>
      <c r="O377" s="2"/>
      <c r="P377" s="2" t="s">
        <v>4</v>
      </c>
      <c r="Q377" s="20" t="s">
        <v>68</v>
      </c>
      <c r="R377" s="25" t="s">
        <v>69</v>
      </c>
      <c r="S377" s="41" t="s">
        <v>137</v>
      </c>
      <c r="T377" s="41"/>
      <c r="U377" s="31" t="s">
        <v>249</v>
      </c>
      <c r="V377" s="25" t="s">
        <v>3</v>
      </c>
      <c r="W377" s="25">
        <v>1</v>
      </c>
      <c r="X377" s="595">
        <v>5500</v>
      </c>
      <c r="Y377" s="619"/>
      <c r="Z377" s="2"/>
      <c r="AA377" s="2"/>
      <c r="AB377" s="620"/>
      <c r="AC377" s="25">
        <v>30</v>
      </c>
      <c r="AD377" s="25">
        <v>0</v>
      </c>
      <c r="AE377" s="619"/>
      <c r="AF377" s="2"/>
      <c r="AG377" s="2"/>
      <c r="AH377" s="2"/>
      <c r="AI377" s="2"/>
      <c r="AJ377" s="621"/>
      <c r="AK377" s="596">
        <v>5500</v>
      </c>
      <c r="AL377" s="29" t="s">
        <v>73</v>
      </c>
      <c r="AM377" s="29" t="s">
        <v>73</v>
      </c>
      <c r="AN377" s="29" t="s">
        <v>73</v>
      </c>
      <c r="AO377" s="29" t="s">
        <v>73</v>
      </c>
      <c r="AP377" s="478">
        <v>5500</v>
      </c>
      <c r="AQ377" s="648">
        <v>0</v>
      </c>
      <c r="AR377" s="29" t="s">
        <v>73</v>
      </c>
      <c r="AS377" s="29" t="s">
        <v>73</v>
      </c>
      <c r="AT377" s="29" t="s">
        <v>73</v>
      </c>
      <c r="AU377" s="29" t="s">
        <v>73</v>
      </c>
      <c r="AV377" s="29" t="s">
        <v>73</v>
      </c>
      <c r="AW377" s="29" t="s">
        <v>73</v>
      </c>
      <c r="AX377" s="30">
        <v>5500</v>
      </c>
      <c r="AY377" s="165" t="s">
        <v>6</v>
      </c>
      <c r="AZ377" s="2" t="s">
        <v>74</v>
      </c>
      <c r="BA377" s="2"/>
      <c r="BK377" s="147" t="s">
        <v>790</v>
      </c>
      <c r="BL377" s="481" t="s">
        <v>791</v>
      </c>
      <c r="BM377" s="125" t="s">
        <v>1806</v>
      </c>
      <c r="BN377" s="649" t="s">
        <v>1807</v>
      </c>
      <c r="BO377" s="125" t="s">
        <v>1808</v>
      </c>
      <c r="BP377" s="129">
        <v>46134</v>
      </c>
      <c r="BQ377" s="18"/>
      <c r="BR377" s="505" t="s">
        <v>1917</v>
      </c>
      <c r="BS377" s="18"/>
      <c r="BT377" s="286" t="s">
        <v>1809</v>
      </c>
      <c r="BU377" s="18"/>
      <c r="BV377" s="552" t="s">
        <v>1918</v>
      </c>
      <c r="BW377" s="646" t="s">
        <v>1919</v>
      </c>
      <c r="BX377" s="646" t="s">
        <v>1920</v>
      </c>
      <c r="BY377" s="552">
        <v>15443532</v>
      </c>
      <c r="BZ377" s="552">
        <v>10154435323</v>
      </c>
      <c r="CA377" s="126">
        <v>5500</v>
      </c>
      <c r="CB377" s="289">
        <v>46143</v>
      </c>
      <c r="CC377" s="289">
        <v>46173</v>
      </c>
      <c r="CD377" s="759"/>
      <c r="CE377" s="177">
        <f t="shared" si="491"/>
        <v>30</v>
      </c>
      <c r="CF377" s="1019">
        <f t="shared" si="492"/>
        <v>5500</v>
      </c>
      <c r="CG377" s="177">
        <v>30</v>
      </c>
      <c r="CH377" s="1019">
        <f t="shared" si="493"/>
        <v>5500</v>
      </c>
      <c r="CI377" s="177">
        <v>30</v>
      </c>
      <c r="CJ377" s="1019">
        <f t="shared" si="494"/>
        <v>5500</v>
      </c>
      <c r="CK377" s="177">
        <f t="shared" si="495"/>
        <v>0</v>
      </c>
      <c r="CL377" s="177">
        <f t="shared" si="496"/>
        <v>0</v>
      </c>
      <c r="CM377" s="1006"/>
      <c r="CN377" s="177">
        <f t="shared" si="497"/>
        <v>0</v>
      </c>
      <c r="CO377" s="1019">
        <f t="shared" si="498"/>
        <v>0</v>
      </c>
      <c r="CP377" s="177"/>
      <c r="CQ377" s="1019">
        <f t="shared" si="499"/>
        <v>0</v>
      </c>
      <c r="CR377" s="1019"/>
      <c r="CS377" s="1019">
        <f t="shared" si="500"/>
        <v>0</v>
      </c>
      <c r="CT377" s="177">
        <f t="shared" si="501"/>
        <v>0</v>
      </c>
      <c r="CU377" s="177">
        <f t="shared" si="502"/>
        <v>0</v>
      </c>
      <c r="CV377" s="1006"/>
      <c r="CW377" s="1007">
        <f t="shared" si="608"/>
        <v>5500</v>
      </c>
      <c r="CX377" s="486">
        <f t="shared" si="609"/>
        <v>5500</v>
      </c>
      <c r="CY377" s="486">
        <f t="shared" si="610"/>
        <v>5500</v>
      </c>
      <c r="CZ377" s="1007">
        <f t="shared" si="611"/>
        <v>0</v>
      </c>
      <c r="DA377" s="1007">
        <f t="shared" si="612"/>
        <v>0</v>
      </c>
      <c r="DB377" s="126"/>
      <c r="DC377" s="125"/>
    </row>
    <row r="378" spans="1:108" ht="51" hidden="1" x14ac:dyDescent="0.25">
      <c r="A378" s="19">
        <v>2026</v>
      </c>
      <c r="B378" s="20">
        <v>479</v>
      </c>
      <c r="C378" s="21" t="s">
        <v>64</v>
      </c>
      <c r="D378" s="21" t="s">
        <v>65</v>
      </c>
      <c r="E378" s="20">
        <v>125</v>
      </c>
      <c r="F378" s="20">
        <v>3000654</v>
      </c>
      <c r="G378" s="20">
        <v>5005023</v>
      </c>
      <c r="H378" s="20">
        <v>3</v>
      </c>
      <c r="I378" s="20">
        <v>12</v>
      </c>
      <c r="J378" s="20">
        <v>24</v>
      </c>
      <c r="K378" s="20">
        <v>135560</v>
      </c>
      <c r="L378" s="21" t="s">
        <v>220</v>
      </c>
      <c r="M378" s="33" t="s">
        <v>221</v>
      </c>
      <c r="N378" s="19">
        <v>97</v>
      </c>
      <c r="O378" s="2"/>
      <c r="P378" s="2" t="s">
        <v>4</v>
      </c>
      <c r="Q378" s="20" t="s">
        <v>68</v>
      </c>
      <c r="R378" s="25" t="s">
        <v>69</v>
      </c>
      <c r="S378" s="41" t="s">
        <v>137</v>
      </c>
      <c r="T378" s="41"/>
      <c r="U378" s="31" t="s">
        <v>249</v>
      </c>
      <c r="V378" s="25" t="s">
        <v>3</v>
      </c>
      <c r="W378" s="25">
        <v>1</v>
      </c>
      <c r="X378" s="595">
        <v>5500</v>
      </c>
      <c r="Y378" s="619"/>
      <c r="Z378" s="2"/>
      <c r="AA378" s="2"/>
      <c r="AB378" s="620"/>
      <c r="AC378" s="25">
        <v>0</v>
      </c>
      <c r="AD378" s="25">
        <v>30</v>
      </c>
      <c r="AE378" s="619"/>
      <c r="AF378" s="2"/>
      <c r="AG378" s="2"/>
      <c r="AH378" s="2"/>
      <c r="AI378" s="2"/>
      <c r="AJ378" s="621"/>
      <c r="AK378" s="596">
        <v>5500</v>
      </c>
      <c r="AL378" s="29" t="s">
        <v>73</v>
      </c>
      <c r="AM378" s="29" t="s">
        <v>73</v>
      </c>
      <c r="AN378" s="29" t="s">
        <v>73</v>
      </c>
      <c r="AO378" s="29" t="s">
        <v>73</v>
      </c>
      <c r="AP378" s="648">
        <v>0</v>
      </c>
      <c r="AQ378" s="478">
        <v>5500</v>
      </c>
      <c r="AR378" s="29" t="s">
        <v>73</v>
      </c>
      <c r="AS378" s="29" t="s">
        <v>73</v>
      </c>
      <c r="AT378" s="29" t="s">
        <v>73</v>
      </c>
      <c r="AU378" s="29" t="s">
        <v>73</v>
      </c>
      <c r="AV378" s="29" t="s">
        <v>73</v>
      </c>
      <c r="AW378" s="29" t="s">
        <v>73</v>
      </c>
      <c r="AX378" s="30">
        <v>5500</v>
      </c>
      <c r="AY378" s="479" t="s">
        <v>6</v>
      </c>
      <c r="AZ378" s="2" t="s">
        <v>74</v>
      </c>
      <c r="BA378" s="2"/>
      <c r="BK378" s="125" t="s">
        <v>790</v>
      </c>
      <c r="BL378" s="481" t="s">
        <v>791</v>
      </c>
      <c r="BM378" s="125" t="s">
        <v>1812</v>
      </c>
      <c r="BN378" s="177" t="s">
        <v>1813</v>
      </c>
      <c r="BO378" s="125" t="s">
        <v>1814</v>
      </c>
      <c r="BP378" s="129">
        <v>46156</v>
      </c>
      <c r="BQ378" s="18"/>
      <c r="BR378" s="239">
        <v>5018</v>
      </c>
      <c r="BS378" s="18"/>
      <c r="BT378" s="18"/>
      <c r="BU378" s="18" t="s">
        <v>1815</v>
      </c>
      <c r="BV378" s="552" t="s">
        <v>1918</v>
      </c>
      <c r="BW378" s="649" t="s">
        <v>1919</v>
      </c>
      <c r="BX378" s="649" t="s">
        <v>1920</v>
      </c>
      <c r="BY378" s="552">
        <v>15443532</v>
      </c>
      <c r="BZ378" s="552">
        <v>10154435323</v>
      </c>
      <c r="CA378" s="650">
        <v>5500</v>
      </c>
      <c r="CB378" s="289">
        <v>46174</v>
      </c>
      <c r="CC378" s="289">
        <v>46203</v>
      </c>
      <c r="CD378" s="759"/>
      <c r="CE378" s="177">
        <f t="shared" si="491"/>
        <v>0</v>
      </c>
      <c r="CF378" s="1019">
        <f t="shared" si="492"/>
        <v>0</v>
      </c>
      <c r="CG378" s="177"/>
      <c r="CH378" s="1019">
        <f t="shared" si="493"/>
        <v>0</v>
      </c>
      <c r="CI378" s="177"/>
      <c r="CJ378" s="1019">
        <f t="shared" si="494"/>
        <v>0</v>
      </c>
      <c r="CK378" s="177">
        <f t="shared" si="495"/>
        <v>0</v>
      </c>
      <c r="CL378" s="177">
        <f t="shared" si="496"/>
        <v>0</v>
      </c>
      <c r="CM378" s="1006"/>
      <c r="CN378" s="177">
        <f t="shared" si="497"/>
        <v>30</v>
      </c>
      <c r="CO378" s="1019">
        <f t="shared" si="498"/>
        <v>5500</v>
      </c>
      <c r="CP378" s="177">
        <v>30</v>
      </c>
      <c r="CQ378" s="1019">
        <f t="shared" si="499"/>
        <v>5500</v>
      </c>
      <c r="CR378" s="1019">
        <v>30</v>
      </c>
      <c r="CS378" s="1019">
        <f t="shared" si="500"/>
        <v>5500</v>
      </c>
      <c r="CT378" s="177">
        <f t="shared" si="501"/>
        <v>0</v>
      </c>
      <c r="CU378" s="177">
        <f t="shared" si="502"/>
        <v>0</v>
      </c>
      <c r="CV378" s="1006"/>
      <c r="CW378" s="1007">
        <f t="shared" si="608"/>
        <v>5500</v>
      </c>
      <c r="CX378" s="486">
        <f t="shared" si="609"/>
        <v>5500</v>
      </c>
      <c r="CY378" s="486">
        <f t="shared" si="610"/>
        <v>5500</v>
      </c>
      <c r="CZ378" s="1007">
        <f t="shared" si="611"/>
        <v>0</v>
      </c>
      <c r="DA378" s="1007">
        <f t="shared" si="612"/>
        <v>0</v>
      </c>
      <c r="DB378" s="126"/>
      <c r="DC378" s="125"/>
    </row>
    <row r="379" spans="1:108" ht="51" hidden="1" x14ac:dyDescent="0.25">
      <c r="A379" s="19">
        <v>2026</v>
      </c>
      <c r="B379" s="20">
        <v>479</v>
      </c>
      <c r="C379" s="21" t="s">
        <v>64</v>
      </c>
      <c r="D379" s="21" t="s">
        <v>65</v>
      </c>
      <c r="E379" s="20">
        <v>125</v>
      </c>
      <c r="F379" s="20">
        <v>3000654</v>
      </c>
      <c r="G379" s="20">
        <v>5005023</v>
      </c>
      <c r="H379" s="20">
        <v>3</v>
      </c>
      <c r="I379" s="20">
        <v>12</v>
      </c>
      <c r="J379" s="20">
        <v>24</v>
      </c>
      <c r="K379" s="20">
        <v>135560</v>
      </c>
      <c r="L379" s="21" t="s">
        <v>220</v>
      </c>
      <c r="M379" s="33" t="s">
        <v>221</v>
      </c>
      <c r="N379" s="19">
        <v>97</v>
      </c>
      <c r="O379" s="2"/>
      <c r="P379" s="2" t="s">
        <v>4</v>
      </c>
      <c r="Q379" s="20" t="s">
        <v>68</v>
      </c>
      <c r="R379" s="25" t="s">
        <v>69</v>
      </c>
      <c r="S379" s="41" t="s">
        <v>137</v>
      </c>
      <c r="T379" s="41"/>
      <c r="U379" s="31" t="s">
        <v>250</v>
      </c>
      <c r="V379" s="25" t="s">
        <v>3</v>
      </c>
      <c r="W379" s="25">
        <v>1</v>
      </c>
      <c r="X379" s="595">
        <v>5500</v>
      </c>
      <c r="Y379" s="619"/>
      <c r="Z379" s="2"/>
      <c r="AA379" s="2"/>
      <c r="AB379" s="620"/>
      <c r="AC379" s="25">
        <v>30</v>
      </c>
      <c r="AD379" s="25">
        <v>30</v>
      </c>
      <c r="AE379" s="619"/>
      <c r="AF379" s="2"/>
      <c r="AG379" s="2"/>
      <c r="AH379" s="2"/>
      <c r="AI379" s="2"/>
      <c r="AJ379" s="621"/>
      <c r="AK379" s="596">
        <v>11000</v>
      </c>
      <c r="AL379" s="29" t="s">
        <v>73</v>
      </c>
      <c r="AM379" s="29" t="s">
        <v>73</v>
      </c>
      <c r="AN379" s="29" t="s">
        <v>73</v>
      </c>
      <c r="AO379" s="29" t="s">
        <v>73</v>
      </c>
      <c r="AP379" s="478">
        <v>5500</v>
      </c>
      <c r="AQ379" s="478">
        <v>5500</v>
      </c>
      <c r="AR379" s="29" t="s">
        <v>73</v>
      </c>
      <c r="AS379" s="29" t="s">
        <v>73</v>
      </c>
      <c r="AT379" s="29" t="s">
        <v>73</v>
      </c>
      <c r="AU379" s="29" t="s">
        <v>73</v>
      </c>
      <c r="AV379" s="29" t="s">
        <v>73</v>
      </c>
      <c r="AW379" s="29" t="s">
        <v>73</v>
      </c>
      <c r="AX379" s="30">
        <v>11000</v>
      </c>
      <c r="AY379" s="479" t="s">
        <v>6</v>
      </c>
      <c r="AZ379" s="2" t="s">
        <v>74</v>
      </c>
      <c r="BA379" s="2"/>
      <c r="BK379" s="481" t="s">
        <v>790</v>
      </c>
      <c r="BL379" s="481" t="s">
        <v>791</v>
      </c>
      <c r="BM379" s="125" t="s">
        <v>1806</v>
      </c>
      <c r="BN379" s="649" t="s">
        <v>1807</v>
      </c>
      <c r="BO379" s="125" t="s">
        <v>1808</v>
      </c>
      <c r="BP379" s="129">
        <v>46134</v>
      </c>
      <c r="BQ379" s="18"/>
      <c r="BR379" s="505" t="s">
        <v>1921</v>
      </c>
      <c r="BS379" s="18"/>
      <c r="BT379" s="18" t="s">
        <v>1809</v>
      </c>
      <c r="BU379" s="18" t="s">
        <v>1815</v>
      </c>
      <c r="BV379" s="552" t="s">
        <v>1635</v>
      </c>
      <c r="BW379" s="646" t="s">
        <v>1481</v>
      </c>
      <c r="BX379" s="646" t="s">
        <v>1922</v>
      </c>
      <c r="BY379" s="552">
        <v>46941575</v>
      </c>
      <c r="BZ379" s="552">
        <v>10469415754</v>
      </c>
      <c r="CA379" s="126">
        <v>5500</v>
      </c>
      <c r="CB379" s="289">
        <v>46143</v>
      </c>
      <c r="CC379" s="289">
        <v>46203</v>
      </c>
      <c r="CD379" s="759"/>
      <c r="CE379" s="177">
        <f t="shared" ref="CE379:CE447" si="613">AC379</f>
        <v>30</v>
      </c>
      <c r="CF379" s="1019">
        <f t="shared" ref="CF379:CF447" si="614">AP379</f>
        <v>5500</v>
      </c>
      <c r="CG379" s="177">
        <v>30</v>
      </c>
      <c r="CH379" s="1019">
        <f t="shared" ref="CH379:CH447" si="615">(X379/30)*CG379</f>
        <v>5500</v>
      </c>
      <c r="CI379" s="177">
        <v>30</v>
      </c>
      <c r="CJ379" s="1019">
        <f>(X379/30)*CI379</f>
        <v>5500</v>
      </c>
      <c r="CK379" s="177">
        <f t="shared" ref="CK379:CK447" si="616">CF379-CH379</f>
        <v>0</v>
      </c>
      <c r="CL379" s="177">
        <f t="shared" ref="CL379:CL447" si="617">CF379-CJ379</f>
        <v>0</v>
      </c>
      <c r="CM379" s="1006"/>
      <c r="CN379" s="177">
        <f t="shared" ref="CN379:CN447" si="618">AD379</f>
        <v>30</v>
      </c>
      <c r="CO379" s="1019">
        <f t="shared" ref="CO379:CO447" si="619">AQ379</f>
        <v>5500</v>
      </c>
      <c r="CP379" s="177">
        <v>30</v>
      </c>
      <c r="CQ379" s="1019">
        <f t="shared" ref="CQ379:CQ447" si="620">(X379/30)*CP379</f>
        <v>5500</v>
      </c>
      <c r="CR379" s="1019">
        <v>30</v>
      </c>
      <c r="CS379" s="1019">
        <f t="shared" ref="CS379:CS447" si="621">(X379/30)*CR379</f>
        <v>5500</v>
      </c>
      <c r="CT379" s="177">
        <f t="shared" ref="CT379:CT447" si="622">CO379-CQ379</f>
        <v>0</v>
      </c>
      <c r="CU379" s="177">
        <f t="shared" ref="CU379:CU447" si="623">CO379-CS379</f>
        <v>0</v>
      </c>
      <c r="CV379" s="1006"/>
      <c r="CW379" s="1007">
        <f t="shared" si="608"/>
        <v>11000</v>
      </c>
      <c r="CX379" s="486">
        <f t="shared" si="609"/>
        <v>11000</v>
      </c>
      <c r="CY379" s="486">
        <f t="shared" si="610"/>
        <v>11000</v>
      </c>
      <c r="CZ379" s="1007">
        <f t="shared" si="611"/>
        <v>0</v>
      </c>
      <c r="DA379" s="1007">
        <f t="shared" si="612"/>
        <v>0</v>
      </c>
      <c r="DB379" s="126"/>
      <c r="DC379" s="125"/>
    </row>
    <row r="380" spans="1:108" ht="51" hidden="1" x14ac:dyDescent="0.25">
      <c r="A380" s="19">
        <v>2026</v>
      </c>
      <c r="B380" s="20">
        <v>479</v>
      </c>
      <c r="C380" s="21" t="s">
        <v>64</v>
      </c>
      <c r="D380" s="21" t="s">
        <v>65</v>
      </c>
      <c r="E380" s="20">
        <v>125</v>
      </c>
      <c r="F380" s="20">
        <v>3000654</v>
      </c>
      <c r="G380" s="20">
        <v>5005023</v>
      </c>
      <c r="H380" s="20">
        <v>3</v>
      </c>
      <c r="I380" s="20">
        <v>12</v>
      </c>
      <c r="J380" s="20">
        <v>24</v>
      </c>
      <c r="K380" s="20">
        <v>135560</v>
      </c>
      <c r="L380" s="21" t="s">
        <v>220</v>
      </c>
      <c r="M380" s="33" t="s">
        <v>221</v>
      </c>
      <c r="N380" s="19">
        <v>97</v>
      </c>
      <c r="O380" s="2"/>
      <c r="P380" s="2" t="s">
        <v>4</v>
      </c>
      <c r="Q380" s="20" t="s">
        <v>68</v>
      </c>
      <c r="R380" s="25" t="s">
        <v>69</v>
      </c>
      <c r="S380" s="41" t="s">
        <v>137</v>
      </c>
      <c r="T380" s="41"/>
      <c r="U380" s="31" t="s">
        <v>251</v>
      </c>
      <c r="V380" s="25" t="s">
        <v>3</v>
      </c>
      <c r="W380" s="25">
        <v>1</v>
      </c>
      <c r="X380" s="595">
        <v>5500</v>
      </c>
      <c r="Y380" s="619"/>
      <c r="Z380" s="2"/>
      <c r="AA380" s="2"/>
      <c r="AB380" s="620"/>
      <c r="AC380" s="25">
        <v>30</v>
      </c>
      <c r="AD380" s="25">
        <v>30</v>
      </c>
      <c r="AE380" s="619"/>
      <c r="AF380" s="2"/>
      <c r="AG380" s="2"/>
      <c r="AH380" s="2"/>
      <c r="AI380" s="2"/>
      <c r="AJ380" s="621"/>
      <c r="AK380" s="596">
        <v>11000</v>
      </c>
      <c r="AL380" s="29" t="s">
        <v>73</v>
      </c>
      <c r="AM380" s="29" t="s">
        <v>73</v>
      </c>
      <c r="AN380" s="29" t="s">
        <v>73</v>
      </c>
      <c r="AO380" s="29" t="s">
        <v>73</v>
      </c>
      <c r="AP380" s="478">
        <v>5500</v>
      </c>
      <c r="AQ380" s="478">
        <v>5500</v>
      </c>
      <c r="AR380" s="29" t="s">
        <v>73</v>
      </c>
      <c r="AS380" s="29" t="s">
        <v>73</v>
      </c>
      <c r="AT380" s="29" t="s">
        <v>73</v>
      </c>
      <c r="AU380" s="29" t="s">
        <v>73</v>
      </c>
      <c r="AV380" s="29" t="s">
        <v>73</v>
      </c>
      <c r="AW380" s="29" t="s">
        <v>73</v>
      </c>
      <c r="AX380" s="30">
        <v>11000</v>
      </c>
      <c r="AY380" s="479" t="s">
        <v>6</v>
      </c>
      <c r="AZ380" s="2" t="s">
        <v>74</v>
      </c>
      <c r="BA380" s="2"/>
      <c r="BK380" s="481" t="s">
        <v>790</v>
      </c>
      <c r="BL380" s="481" t="s">
        <v>791</v>
      </c>
      <c r="BM380" s="125" t="s">
        <v>1806</v>
      </c>
      <c r="BN380" s="649" t="s">
        <v>1807</v>
      </c>
      <c r="BO380" s="125" t="s">
        <v>1808</v>
      </c>
      <c r="BP380" s="129">
        <v>46134</v>
      </c>
      <c r="BQ380" s="18"/>
      <c r="BR380" s="505" t="s">
        <v>1923</v>
      </c>
      <c r="BS380" s="18"/>
      <c r="BT380" s="18" t="s">
        <v>1809</v>
      </c>
      <c r="BU380" s="18" t="s">
        <v>1815</v>
      </c>
      <c r="BV380" s="552" t="s">
        <v>1924</v>
      </c>
      <c r="BW380" s="646" t="s">
        <v>1272</v>
      </c>
      <c r="BX380" s="646" t="s">
        <v>1925</v>
      </c>
      <c r="BY380" s="552">
        <v>41608085</v>
      </c>
      <c r="BZ380" s="552">
        <v>10416080858</v>
      </c>
      <c r="CA380" s="126">
        <v>5500</v>
      </c>
      <c r="CB380" s="289">
        <v>46143</v>
      </c>
      <c r="CC380" s="289">
        <v>46203</v>
      </c>
      <c r="CD380" s="759"/>
      <c r="CE380" s="177">
        <f t="shared" si="613"/>
        <v>30</v>
      </c>
      <c r="CF380" s="1019">
        <f t="shared" si="614"/>
        <v>5500</v>
      </c>
      <c r="CG380" s="177">
        <v>30</v>
      </c>
      <c r="CH380" s="1019">
        <f t="shared" si="615"/>
        <v>5500</v>
      </c>
      <c r="CI380" s="177">
        <v>30</v>
      </c>
      <c r="CJ380" s="1019">
        <f>(X380/30)*CI380</f>
        <v>5500</v>
      </c>
      <c r="CK380" s="177">
        <f t="shared" si="616"/>
        <v>0</v>
      </c>
      <c r="CL380" s="177">
        <f t="shared" si="617"/>
        <v>0</v>
      </c>
      <c r="CM380" s="1006"/>
      <c r="CN380" s="177">
        <f t="shared" si="618"/>
        <v>30</v>
      </c>
      <c r="CO380" s="1019">
        <f t="shared" si="619"/>
        <v>5500</v>
      </c>
      <c r="CP380" s="177">
        <v>30</v>
      </c>
      <c r="CQ380" s="1019">
        <f t="shared" si="620"/>
        <v>5500</v>
      </c>
      <c r="CR380" s="1019">
        <v>30</v>
      </c>
      <c r="CS380" s="1019">
        <f t="shared" si="621"/>
        <v>5500</v>
      </c>
      <c r="CT380" s="177">
        <f t="shared" si="622"/>
        <v>0</v>
      </c>
      <c r="CU380" s="177">
        <f t="shared" si="623"/>
        <v>0</v>
      </c>
      <c r="CV380" s="1006"/>
      <c r="CW380" s="1007">
        <f t="shared" si="608"/>
        <v>11000</v>
      </c>
      <c r="CX380" s="486">
        <f t="shared" si="609"/>
        <v>11000</v>
      </c>
      <c r="CY380" s="486">
        <f t="shared" si="610"/>
        <v>11000</v>
      </c>
      <c r="CZ380" s="1007">
        <f t="shared" si="611"/>
        <v>0</v>
      </c>
      <c r="DA380" s="1007">
        <f t="shared" si="612"/>
        <v>0</v>
      </c>
      <c r="DB380" s="126"/>
      <c r="DC380" s="125"/>
    </row>
    <row r="381" spans="1:108" ht="51" hidden="1" x14ac:dyDescent="0.25">
      <c r="A381" s="19">
        <v>2026</v>
      </c>
      <c r="B381" s="20">
        <v>479</v>
      </c>
      <c r="C381" s="21" t="s">
        <v>64</v>
      </c>
      <c r="D381" s="21" t="s">
        <v>65</v>
      </c>
      <c r="E381" s="20">
        <v>125</v>
      </c>
      <c r="F381" s="20">
        <v>3000654</v>
      </c>
      <c r="G381" s="20">
        <v>5005023</v>
      </c>
      <c r="H381" s="20">
        <v>3</v>
      </c>
      <c r="I381" s="20">
        <v>12</v>
      </c>
      <c r="J381" s="20">
        <v>24</v>
      </c>
      <c r="K381" s="20">
        <v>135560</v>
      </c>
      <c r="L381" s="21" t="s">
        <v>220</v>
      </c>
      <c r="M381" s="33" t="s">
        <v>221</v>
      </c>
      <c r="N381" s="19">
        <v>97</v>
      </c>
      <c r="O381" s="2"/>
      <c r="P381" s="2" t="s">
        <v>4</v>
      </c>
      <c r="Q381" s="20" t="s">
        <v>68</v>
      </c>
      <c r="R381" s="25" t="s">
        <v>69</v>
      </c>
      <c r="S381" s="41" t="s">
        <v>137</v>
      </c>
      <c r="T381" s="41"/>
      <c r="U381" s="31" t="s">
        <v>252</v>
      </c>
      <c r="V381" s="25" t="s">
        <v>3</v>
      </c>
      <c r="W381" s="25">
        <v>1</v>
      </c>
      <c r="X381" s="595">
        <v>5500</v>
      </c>
      <c r="Y381" s="619"/>
      <c r="Z381" s="2"/>
      <c r="AA381" s="2"/>
      <c r="AB381" s="620"/>
      <c r="AC381" s="25">
        <v>30</v>
      </c>
      <c r="AD381" s="25">
        <v>30</v>
      </c>
      <c r="AE381" s="619"/>
      <c r="AF381" s="2"/>
      <c r="AG381" s="2"/>
      <c r="AH381" s="2"/>
      <c r="AI381" s="2"/>
      <c r="AJ381" s="621"/>
      <c r="AK381" s="596">
        <v>11000</v>
      </c>
      <c r="AL381" s="29" t="s">
        <v>73</v>
      </c>
      <c r="AM381" s="29" t="s">
        <v>73</v>
      </c>
      <c r="AN381" s="29" t="s">
        <v>73</v>
      </c>
      <c r="AO381" s="29" t="s">
        <v>73</v>
      </c>
      <c r="AP381" s="478">
        <v>5500</v>
      </c>
      <c r="AQ381" s="478">
        <v>5500</v>
      </c>
      <c r="AR381" s="29" t="s">
        <v>73</v>
      </c>
      <c r="AS381" s="29" t="s">
        <v>73</v>
      </c>
      <c r="AT381" s="29" t="s">
        <v>73</v>
      </c>
      <c r="AU381" s="29" t="s">
        <v>73</v>
      </c>
      <c r="AV381" s="29" t="s">
        <v>73</v>
      </c>
      <c r="AW381" s="29" t="s">
        <v>73</v>
      </c>
      <c r="AX381" s="30">
        <v>11000</v>
      </c>
      <c r="AY381" s="479" t="s">
        <v>6</v>
      </c>
      <c r="AZ381" s="2" t="s">
        <v>74</v>
      </c>
      <c r="BA381" s="2"/>
      <c r="BK381" s="481" t="s">
        <v>790</v>
      </c>
      <c r="BL381" s="481" t="s">
        <v>791</v>
      </c>
      <c r="BM381" s="125" t="s">
        <v>1806</v>
      </c>
      <c r="BN381" s="649" t="s">
        <v>1807</v>
      </c>
      <c r="BO381" s="125" t="s">
        <v>1808</v>
      </c>
      <c r="BP381" s="129">
        <v>46134</v>
      </c>
      <c r="BQ381" s="18"/>
      <c r="BR381" s="505" t="s">
        <v>1926</v>
      </c>
      <c r="BS381" s="18"/>
      <c r="BT381" s="18" t="s">
        <v>1809</v>
      </c>
      <c r="BU381" s="18" t="s">
        <v>1815</v>
      </c>
      <c r="BV381" s="552" t="s">
        <v>929</v>
      </c>
      <c r="BW381" s="646" t="s">
        <v>1927</v>
      </c>
      <c r="BX381" s="646" t="s">
        <v>1928</v>
      </c>
      <c r="BY381" s="552">
        <v>40284016</v>
      </c>
      <c r="BZ381" s="552">
        <v>10402840167</v>
      </c>
      <c r="CA381" s="126">
        <v>5500</v>
      </c>
      <c r="CB381" s="289">
        <v>46143</v>
      </c>
      <c r="CC381" s="289">
        <v>46203</v>
      </c>
      <c r="CD381" s="759"/>
      <c r="CE381" s="177">
        <f t="shared" si="613"/>
        <v>30</v>
      </c>
      <c r="CF381" s="1019">
        <f t="shared" si="614"/>
        <v>5500</v>
      </c>
      <c r="CG381" s="177">
        <v>30</v>
      </c>
      <c r="CH381" s="1019">
        <f t="shared" si="615"/>
        <v>5500</v>
      </c>
      <c r="CI381" s="177">
        <v>30</v>
      </c>
      <c r="CJ381" s="1019">
        <f>(X381/30)*CI381</f>
        <v>5500</v>
      </c>
      <c r="CK381" s="177">
        <f t="shared" si="616"/>
        <v>0</v>
      </c>
      <c r="CL381" s="177">
        <f t="shared" si="617"/>
        <v>0</v>
      </c>
      <c r="CM381" s="1006"/>
      <c r="CN381" s="177">
        <f t="shared" si="618"/>
        <v>30</v>
      </c>
      <c r="CO381" s="1019">
        <f t="shared" si="619"/>
        <v>5500</v>
      </c>
      <c r="CP381" s="177">
        <v>30</v>
      </c>
      <c r="CQ381" s="1019">
        <f t="shared" si="620"/>
        <v>5500</v>
      </c>
      <c r="CR381" s="1019">
        <v>30</v>
      </c>
      <c r="CS381" s="1019">
        <f t="shared" si="621"/>
        <v>5500</v>
      </c>
      <c r="CT381" s="177">
        <f t="shared" si="622"/>
        <v>0</v>
      </c>
      <c r="CU381" s="177">
        <f t="shared" si="623"/>
        <v>0</v>
      </c>
      <c r="CV381" s="1006"/>
      <c r="CW381" s="1007">
        <f t="shared" si="608"/>
        <v>11000</v>
      </c>
      <c r="CX381" s="486">
        <f t="shared" si="609"/>
        <v>11000</v>
      </c>
      <c r="CY381" s="486">
        <f t="shared" si="610"/>
        <v>11000</v>
      </c>
      <c r="CZ381" s="1007">
        <f t="shared" si="611"/>
        <v>0</v>
      </c>
      <c r="DA381" s="1007">
        <f t="shared" si="612"/>
        <v>0</v>
      </c>
      <c r="DB381" s="126"/>
      <c r="DC381" s="125"/>
    </row>
    <row r="382" spans="1:108" ht="24" hidden="1" customHeight="1" x14ac:dyDescent="0.25">
      <c r="A382" s="19">
        <v>2026</v>
      </c>
      <c r="B382" s="20">
        <v>479</v>
      </c>
      <c r="C382" s="21" t="s">
        <v>64</v>
      </c>
      <c r="D382" s="21" t="s">
        <v>65</v>
      </c>
      <c r="E382" s="20">
        <v>125</v>
      </c>
      <c r="F382" s="20">
        <v>3000654</v>
      </c>
      <c r="G382" s="20">
        <v>5005023</v>
      </c>
      <c r="H382" s="20">
        <v>3</v>
      </c>
      <c r="I382" s="20">
        <v>12</v>
      </c>
      <c r="J382" s="20">
        <v>24</v>
      </c>
      <c r="K382" s="20">
        <v>135560</v>
      </c>
      <c r="L382" s="21" t="s">
        <v>220</v>
      </c>
      <c r="M382" s="33" t="s">
        <v>221</v>
      </c>
      <c r="N382" s="19">
        <v>97</v>
      </c>
      <c r="O382" s="2"/>
      <c r="P382" s="2" t="s">
        <v>4</v>
      </c>
      <c r="Q382" s="20" t="s">
        <v>68</v>
      </c>
      <c r="R382" s="25" t="s">
        <v>69</v>
      </c>
      <c r="S382" s="41" t="s">
        <v>137</v>
      </c>
      <c r="T382" s="41"/>
      <c r="U382" s="31" t="s">
        <v>253</v>
      </c>
      <c r="V382" s="25" t="s">
        <v>3</v>
      </c>
      <c r="W382" s="25">
        <v>1</v>
      </c>
      <c r="X382" s="595">
        <v>5500</v>
      </c>
      <c r="Y382" s="619"/>
      <c r="Z382" s="2"/>
      <c r="AA382" s="2"/>
      <c r="AB382" s="620"/>
      <c r="AC382" s="25">
        <v>30</v>
      </c>
      <c r="AD382" s="25">
        <v>30</v>
      </c>
      <c r="AE382" s="619"/>
      <c r="AF382" s="2"/>
      <c r="AG382" s="2"/>
      <c r="AH382" s="2"/>
      <c r="AI382" s="2"/>
      <c r="AJ382" s="621"/>
      <c r="AK382" s="596">
        <v>11000</v>
      </c>
      <c r="AL382" s="29" t="s">
        <v>73</v>
      </c>
      <c r="AM382" s="29" t="s">
        <v>73</v>
      </c>
      <c r="AN382" s="29" t="s">
        <v>73</v>
      </c>
      <c r="AO382" s="29" t="s">
        <v>73</v>
      </c>
      <c r="AP382" s="478">
        <v>5500</v>
      </c>
      <c r="AQ382" s="478">
        <v>5500</v>
      </c>
      <c r="AR382" s="29" t="s">
        <v>73</v>
      </c>
      <c r="AS382" s="29" t="s">
        <v>73</v>
      </c>
      <c r="AT382" s="29" t="s">
        <v>73</v>
      </c>
      <c r="AU382" s="29" t="s">
        <v>73</v>
      </c>
      <c r="AV382" s="29" t="s">
        <v>73</v>
      </c>
      <c r="AW382" s="29" t="s">
        <v>73</v>
      </c>
      <c r="AX382" s="30">
        <v>11000</v>
      </c>
      <c r="AY382" s="479" t="s">
        <v>6</v>
      </c>
      <c r="AZ382" s="2" t="s">
        <v>74</v>
      </c>
      <c r="BA382" s="2"/>
      <c r="BD382" s="125"/>
      <c r="BE382" s="125"/>
      <c r="BF382" s="125"/>
      <c r="BG382" s="125"/>
      <c r="BH382" s="129"/>
      <c r="BI382" s="18"/>
      <c r="BJ382" s="18"/>
      <c r="BK382" s="481" t="s">
        <v>790</v>
      </c>
      <c r="BL382" s="481" t="s">
        <v>791</v>
      </c>
      <c r="BM382" s="125" t="s">
        <v>1806</v>
      </c>
      <c r="BN382" s="649" t="s">
        <v>1807</v>
      </c>
      <c r="BO382" s="125" t="s">
        <v>1808</v>
      </c>
      <c r="BP382" s="129">
        <v>46134</v>
      </c>
      <c r="BQ382" s="125"/>
      <c r="BR382" s="505" t="s">
        <v>1929</v>
      </c>
      <c r="BS382" s="125"/>
      <c r="BT382" s="18" t="s">
        <v>1809</v>
      </c>
      <c r="BU382" s="18" t="s">
        <v>1815</v>
      </c>
      <c r="BV382" s="552" t="s">
        <v>1930</v>
      </c>
      <c r="BW382" s="646" t="s">
        <v>1931</v>
      </c>
      <c r="BX382" s="646" t="s">
        <v>904</v>
      </c>
      <c r="BY382" s="552">
        <v>44350738</v>
      </c>
      <c r="BZ382" s="552">
        <v>10443507383</v>
      </c>
      <c r="CA382" s="126">
        <v>5500</v>
      </c>
      <c r="CB382" s="289">
        <v>46143</v>
      </c>
      <c r="CC382" s="289">
        <v>46203</v>
      </c>
      <c r="CD382" s="759"/>
      <c r="CE382" s="177">
        <v>30</v>
      </c>
      <c r="CF382" s="1019">
        <f>AP382</f>
        <v>5500</v>
      </c>
      <c r="CG382" s="177">
        <v>30</v>
      </c>
      <c r="CH382" s="1019">
        <f t="shared" si="615"/>
        <v>5500</v>
      </c>
      <c r="CI382" s="1019">
        <v>30</v>
      </c>
      <c r="CJ382" s="1019">
        <f t="shared" ref="CJ382:CJ383" si="624">(X382/30)*CI382</f>
        <v>5500</v>
      </c>
      <c r="CK382" s="177">
        <f t="shared" ref="CK382:CK383" si="625">CF382-CH382</f>
        <v>0</v>
      </c>
      <c r="CL382" s="177">
        <f t="shared" ref="CL382:CL383" si="626">CF382-CJ382</f>
        <v>0</v>
      </c>
      <c r="CM382" s="1006"/>
      <c r="CN382" s="177">
        <f>AD382</f>
        <v>30</v>
      </c>
      <c r="CO382" s="1019">
        <f t="shared" ref="CO382" si="627">AQ382</f>
        <v>5500</v>
      </c>
      <c r="CP382" s="177">
        <v>30</v>
      </c>
      <c r="CQ382" s="1019">
        <f t="shared" ref="CQ382:CQ383" si="628">(X382/30)*CP382</f>
        <v>5500</v>
      </c>
      <c r="CR382" s="1019">
        <v>30</v>
      </c>
      <c r="CS382" s="1019">
        <f t="shared" si="621"/>
        <v>5500</v>
      </c>
      <c r="CT382" s="177">
        <f t="shared" si="622"/>
        <v>0</v>
      </c>
      <c r="CU382" s="177">
        <f t="shared" si="623"/>
        <v>0</v>
      </c>
      <c r="CV382" s="1006"/>
      <c r="CW382" s="1007">
        <f t="shared" si="608"/>
        <v>11000</v>
      </c>
      <c r="CX382" s="486">
        <f t="shared" si="609"/>
        <v>11000</v>
      </c>
      <c r="CY382" s="486">
        <f t="shared" si="610"/>
        <v>11000</v>
      </c>
      <c r="CZ382" s="1007">
        <f t="shared" si="611"/>
        <v>0</v>
      </c>
      <c r="DA382" s="1007">
        <f t="shared" si="612"/>
        <v>0</v>
      </c>
      <c r="DB382" s="126"/>
      <c r="DC382" s="125"/>
    </row>
    <row r="383" spans="1:108" ht="30" hidden="1" customHeight="1" x14ac:dyDescent="0.25">
      <c r="A383" s="19">
        <v>2026</v>
      </c>
      <c r="B383" s="20">
        <v>479</v>
      </c>
      <c r="C383" s="21" t="s">
        <v>64</v>
      </c>
      <c r="D383" s="21" t="s">
        <v>65</v>
      </c>
      <c r="E383" s="20">
        <v>125</v>
      </c>
      <c r="F383" s="20">
        <v>3000654</v>
      </c>
      <c r="G383" s="20">
        <v>5005023</v>
      </c>
      <c r="H383" s="20">
        <v>3</v>
      </c>
      <c r="I383" s="20">
        <v>12</v>
      </c>
      <c r="J383" s="20">
        <v>24</v>
      </c>
      <c r="K383" s="20">
        <v>135560</v>
      </c>
      <c r="L383" s="21" t="s">
        <v>220</v>
      </c>
      <c r="M383" s="33" t="s">
        <v>221</v>
      </c>
      <c r="N383" s="19">
        <v>97</v>
      </c>
      <c r="O383" s="2"/>
      <c r="P383" s="2" t="s">
        <v>4</v>
      </c>
      <c r="Q383" s="20" t="s">
        <v>68</v>
      </c>
      <c r="R383" s="25" t="s">
        <v>69</v>
      </c>
      <c r="S383" s="41" t="s">
        <v>137</v>
      </c>
      <c r="T383" s="41"/>
      <c r="U383" s="31" t="s">
        <v>253</v>
      </c>
      <c r="V383" s="25" t="s">
        <v>3</v>
      </c>
      <c r="W383" s="25">
        <v>1</v>
      </c>
      <c r="X383" s="595">
        <v>5500</v>
      </c>
      <c r="Y383" s="619"/>
      <c r="Z383" s="2"/>
      <c r="AA383" s="2"/>
      <c r="AB383" s="620"/>
      <c r="AC383" s="25">
        <v>30</v>
      </c>
      <c r="AD383" s="25">
        <v>30</v>
      </c>
      <c r="AE383" s="619"/>
      <c r="AF383" s="2"/>
      <c r="AG383" s="2"/>
      <c r="AH383" s="2"/>
      <c r="AI383" s="2"/>
      <c r="AJ383" s="621"/>
      <c r="AK383" s="596">
        <v>11000</v>
      </c>
      <c r="AL383" s="29" t="s">
        <v>73</v>
      </c>
      <c r="AM383" s="29" t="s">
        <v>73</v>
      </c>
      <c r="AN383" s="29" t="s">
        <v>73</v>
      </c>
      <c r="AO383" s="29" t="s">
        <v>73</v>
      </c>
      <c r="AP383" s="478">
        <v>5500</v>
      </c>
      <c r="AQ383" s="478">
        <v>5500</v>
      </c>
      <c r="AR383" s="29" t="s">
        <v>73</v>
      </c>
      <c r="AS383" s="29" t="s">
        <v>73</v>
      </c>
      <c r="AT383" s="29" t="s">
        <v>73</v>
      </c>
      <c r="AU383" s="29" t="s">
        <v>73</v>
      </c>
      <c r="AV383" s="29" t="s">
        <v>73</v>
      </c>
      <c r="AW383" s="29" t="s">
        <v>73</v>
      </c>
      <c r="AX383" s="30">
        <v>11000</v>
      </c>
      <c r="AY383" s="479" t="s">
        <v>6</v>
      </c>
      <c r="AZ383" s="2" t="s">
        <v>74</v>
      </c>
      <c r="BA383" s="2"/>
      <c r="BD383" s="125"/>
      <c r="BE383" s="125"/>
      <c r="BF383" s="125"/>
      <c r="BG383" s="125"/>
      <c r="BH383" s="129"/>
      <c r="BI383" s="18"/>
      <c r="BJ383" s="18"/>
      <c r="BK383" s="481" t="s">
        <v>790</v>
      </c>
      <c r="BL383" s="481" t="s">
        <v>791</v>
      </c>
      <c r="BM383" s="125" t="s">
        <v>1806</v>
      </c>
      <c r="BN383" s="649" t="s">
        <v>1807</v>
      </c>
      <c r="BO383" s="125" t="s">
        <v>1808</v>
      </c>
      <c r="BP383" s="129">
        <v>46134</v>
      </c>
      <c r="BQ383" s="125"/>
      <c r="BR383" s="505" t="s">
        <v>1932</v>
      </c>
      <c r="BS383" s="125"/>
      <c r="BT383" s="18" t="s">
        <v>1809</v>
      </c>
      <c r="BU383" s="18" t="s">
        <v>1815</v>
      </c>
      <c r="BV383" s="552" t="s">
        <v>1933</v>
      </c>
      <c r="BW383" s="646" t="s">
        <v>1934</v>
      </c>
      <c r="BX383" s="646" t="s">
        <v>904</v>
      </c>
      <c r="BY383" s="552">
        <v>43721081</v>
      </c>
      <c r="BZ383" s="552">
        <v>10437210816</v>
      </c>
      <c r="CA383" s="126">
        <v>5500</v>
      </c>
      <c r="CB383" s="289">
        <v>46143</v>
      </c>
      <c r="CC383" s="289">
        <v>46203</v>
      </c>
      <c r="CD383" s="759"/>
      <c r="CE383" s="177">
        <v>30</v>
      </c>
      <c r="CF383" s="1019">
        <f>AP383</f>
        <v>5500</v>
      </c>
      <c r="CG383" s="177">
        <v>30</v>
      </c>
      <c r="CH383" s="1019">
        <f t="shared" si="615"/>
        <v>5500</v>
      </c>
      <c r="CI383" s="1019">
        <v>30</v>
      </c>
      <c r="CJ383" s="1019">
        <f t="shared" si="624"/>
        <v>5500</v>
      </c>
      <c r="CK383" s="177">
        <f t="shared" si="625"/>
        <v>0</v>
      </c>
      <c r="CL383" s="177">
        <f t="shared" si="626"/>
        <v>0</v>
      </c>
      <c r="CM383" s="1006"/>
      <c r="CN383" s="177">
        <f>AD383</f>
        <v>30</v>
      </c>
      <c r="CO383" s="1019">
        <f t="shared" ref="CO383" si="629">AQ383</f>
        <v>5500</v>
      </c>
      <c r="CP383" s="177">
        <v>30</v>
      </c>
      <c r="CQ383" s="1019">
        <f t="shared" si="628"/>
        <v>5500</v>
      </c>
      <c r="CR383" s="1019">
        <v>30</v>
      </c>
      <c r="CS383" s="1019">
        <f t="shared" si="621"/>
        <v>5500</v>
      </c>
      <c r="CT383" s="177">
        <f t="shared" si="622"/>
        <v>0</v>
      </c>
      <c r="CU383" s="177">
        <f t="shared" si="623"/>
        <v>0</v>
      </c>
      <c r="CV383" s="1006"/>
      <c r="CW383" s="1007">
        <f t="shared" si="608"/>
        <v>11000</v>
      </c>
      <c r="CX383" s="486">
        <f t="shared" si="609"/>
        <v>11000</v>
      </c>
      <c r="CY383" s="486">
        <f t="shared" si="610"/>
        <v>11000</v>
      </c>
      <c r="CZ383" s="1007">
        <f t="shared" si="611"/>
        <v>0</v>
      </c>
      <c r="DA383" s="1007">
        <f t="shared" si="612"/>
        <v>0</v>
      </c>
      <c r="DB383" s="126"/>
      <c r="DC383" s="125"/>
    </row>
    <row r="384" spans="1:108" s="956" customFormat="1" ht="90" hidden="1" x14ac:dyDescent="0.25">
      <c r="A384" s="509">
        <v>2026</v>
      </c>
      <c r="B384" s="657">
        <v>479</v>
      </c>
      <c r="C384" s="658" t="s">
        <v>64</v>
      </c>
      <c r="D384" s="658" t="s">
        <v>65</v>
      </c>
      <c r="E384" s="657">
        <v>125</v>
      </c>
      <c r="F384" s="657">
        <v>3000654</v>
      </c>
      <c r="G384" s="657">
        <v>5005023</v>
      </c>
      <c r="H384" s="657">
        <v>3</v>
      </c>
      <c r="I384" s="657">
        <v>12</v>
      </c>
      <c r="J384" s="657">
        <v>24</v>
      </c>
      <c r="K384" s="657">
        <v>135560</v>
      </c>
      <c r="L384" s="658" t="s">
        <v>220</v>
      </c>
      <c r="M384" s="659" t="s">
        <v>221</v>
      </c>
      <c r="N384" s="509">
        <v>97</v>
      </c>
      <c r="O384" s="969"/>
      <c r="P384" s="969" t="s">
        <v>4</v>
      </c>
      <c r="Q384" s="657" t="s">
        <v>68</v>
      </c>
      <c r="R384" s="661" t="s">
        <v>69</v>
      </c>
      <c r="S384" s="662" t="s">
        <v>137</v>
      </c>
      <c r="T384" s="662"/>
      <c r="U384" s="663" t="s">
        <v>253</v>
      </c>
      <c r="V384" s="661" t="s">
        <v>3</v>
      </c>
      <c r="W384" s="661">
        <v>1</v>
      </c>
      <c r="X384" s="664">
        <v>5500</v>
      </c>
      <c r="Y384" s="970"/>
      <c r="Z384" s="969"/>
      <c r="AA384" s="969"/>
      <c r="AB384" s="971"/>
      <c r="AC384" s="661">
        <v>30</v>
      </c>
      <c r="AD384" s="661">
        <v>30</v>
      </c>
      <c r="AE384" s="970"/>
      <c r="AF384" s="969"/>
      <c r="AG384" s="969"/>
      <c r="AH384" s="969"/>
      <c r="AI384" s="969"/>
      <c r="AJ384" s="972"/>
      <c r="AK384" s="665">
        <v>11000</v>
      </c>
      <c r="AL384" s="666" t="s">
        <v>73</v>
      </c>
      <c r="AM384" s="666" t="s">
        <v>73</v>
      </c>
      <c r="AN384" s="666" t="s">
        <v>73</v>
      </c>
      <c r="AO384" s="666" t="s">
        <v>73</v>
      </c>
      <c r="AP384" s="967">
        <v>5500</v>
      </c>
      <c r="AQ384" s="967">
        <v>5500</v>
      </c>
      <c r="AR384" s="666" t="s">
        <v>73</v>
      </c>
      <c r="AS384" s="666" t="s">
        <v>73</v>
      </c>
      <c r="AT384" s="666" t="s">
        <v>73</v>
      </c>
      <c r="AU384" s="666" t="s">
        <v>73</v>
      </c>
      <c r="AV384" s="666" t="s">
        <v>73</v>
      </c>
      <c r="AW384" s="666" t="s">
        <v>73</v>
      </c>
      <c r="AX384" s="513">
        <v>11000</v>
      </c>
      <c r="AY384" s="512" t="s">
        <v>6</v>
      </c>
      <c r="AZ384" s="969" t="s">
        <v>74</v>
      </c>
      <c r="BA384" s="969"/>
      <c r="BD384"/>
      <c r="BE384"/>
      <c r="BF384"/>
      <c r="BG384"/>
      <c r="BH384"/>
      <c r="BI384"/>
      <c r="BJ384"/>
      <c r="BK384" s="481" t="s">
        <v>790</v>
      </c>
      <c r="BL384" s="515" t="s">
        <v>1935</v>
      </c>
      <c r="BM384" s="251" t="s">
        <v>1806</v>
      </c>
      <c r="BN384" s="517" t="s">
        <v>1807</v>
      </c>
      <c r="BO384" s="251" t="s">
        <v>1808</v>
      </c>
      <c r="BP384" s="252">
        <v>46134</v>
      </c>
      <c r="BQ384" s="253"/>
      <c r="BR384" s="968" t="s">
        <v>1936</v>
      </c>
      <c r="BS384" s="253"/>
      <c r="BT384" s="253" t="s">
        <v>1809</v>
      </c>
      <c r="BU384" s="253" t="s">
        <v>1937</v>
      </c>
      <c r="BV384" s="516" t="s">
        <v>1177</v>
      </c>
      <c r="BW384" s="926" t="s">
        <v>1938</v>
      </c>
      <c r="BX384" s="926" t="s">
        <v>1939</v>
      </c>
      <c r="BY384" s="516">
        <v>10203296</v>
      </c>
      <c r="BZ384" s="516">
        <v>10102032964</v>
      </c>
      <c r="CA384" s="254">
        <v>5500</v>
      </c>
      <c r="CB384" s="518">
        <v>46143</v>
      </c>
      <c r="CC384" s="518">
        <v>46185</v>
      </c>
      <c r="CD384" s="784"/>
      <c r="CE384" s="1038">
        <f t="shared" si="613"/>
        <v>30</v>
      </c>
      <c r="CF384" s="1039">
        <f>AP384</f>
        <v>5500</v>
      </c>
      <c r="CG384" s="1038">
        <v>30</v>
      </c>
      <c r="CH384" s="1039">
        <f t="shared" si="615"/>
        <v>5500</v>
      </c>
      <c r="CI384" s="1039">
        <v>30</v>
      </c>
      <c r="CJ384" s="1039">
        <f t="shared" ref="CJ384:CJ392" si="630">(X384/30)*CI384</f>
        <v>5500</v>
      </c>
      <c r="CK384" s="1038">
        <f t="shared" si="616"/>
        <v>0</v>
      </c>
      <c r="CL384" s="1038">
        <f t="shared" si="617"/>
        <v>0</v>
      </c>
      <c r="CM384" s="1025"/>
      <c r="CN384" s="1038">
        <f>AD384</f>
        <v>30</v>
      </c>
      <c r="CO384" s="1039">
        <f t="shared" si="619"/>
        <v>5500</v>
      </c>
      <c r="CP384" s="1038">
        <v>30</v>
      </c>
      <c r="CQ384" s="1039">
        <f t="shared" si="620"/>
        <v>5500</v>
      </c>
      <c r="CR384" s="1039">
        <v>12</v>
      </c>
      <c r="CS384" s="1039">
        <f t="shared" si="621"/>
        <v>2200</v>
      </c>
      <c r="CT384" s="1038">
        <f t="shared" si="622"/>
        <v>0</v>
      </c>
      <c r="CU384" s="1038">
        <f t="shared" si="623"/>
        <v>3300</v>
      </c>
      <c r="CV384" s="1025"/>
      <c r="CW384" s="522">
        <f t="shared" si="608"/>
        <v>11000</v>
      </c>
      <c r="CX384" s="955">
        <f t="shared" si="609"/>
        <v>11000</v>
      </c>
      <c r="CY384" s="955">
        <f t="shared" si="610"/>
        <v>7700</v>
      </c>
      <c r="CZ384" s="522">
        <f t="shared" si="611"/>
        <v>0</v>
      </c>
      <c r="DA384" s="522">
        <f t="shared" si="612"/>
        <v>3300</v>
      </c>
      <c r="DB384" s="254"/>
      <c r="DC384" s="251"/>
      <c r="DD384" s="973" t="s">
        <v>1940</v>
      </c>
    </row>
    <row r="385" spans="1:107" ht="51" hidden="1" x14ac:dyDescent="0.25">
      <c r="A385" s="19">
        <v>2026</v>
      </c>
      <c r="B385" s="20">
        <v>479</v>
      </c>
      <c r="C385" s="21" t="s">
        <v>64</v>
      </c>
      <c r="D385" s="21" t="s">
        <v>65</v>
      </c>
      <c r="E385" s="20">
        <v>125</v>
      </c>
      <c r="F385" s="20">
        <v>3000654</v>
      </c>
      <c r="G385" s="20">
        <v>5005023</v>
      </c>
      <c r="H385" s="20">
        <v>3</v>
      </c>
      <c r="I385" s="20">
        <v>12</v>
      </c>
      <c r="J385" s="20">
        <v>24</v>
      </c>
      <c r="K385" s="20">
        <v>135560</v>
      </c>
      <c r="L385" s="21" t="s">
        <v>220</v>
      </c>
      <c r="M385" s="33" t="s">
        <v>221</v>
      </c>
      <c r="N385" s="19">
        <v>97</v>
      </c>
      <c r="O385" s="2"/>
      <c r="P385" s="2" t="s">
        <v>4</v>
      </c>
      <c r="Q385" s="20" t="s">
        <v>68</v>
      </c>
      <c r="R385" s="25" t="s">
        <v>69</v>
      </c>
      <c r="S385" s="41" t="s">
        <v>137</v>
      </c>
      <c r="T385" s="41"/>
      <c r="U385" s="31" t="s">
        <v>254</v>
      </c>
      <c r="V385" s="25" t="s">
        <v>3</v>
      </c>
      <c r="W385" s="25">
        <v>1</v>
      </c>
      <c r="X385" s="595">
        <v>5500</v>
      </c>
      <c r="Y385" s="619"/>
      <c r="Z385" s="2"/>
      <c r="AA385" s="2"/>
      <c r="AB385" s="620"/>
      <c r="AC385" s="25">
        <v>30</v>
      </c>
      <c r="AD385" s="25">
        <v>30</v>
      </c>
      <c r="AE385" s="619"/>
      <c r="AF385" s="2"/>
      <c r="AG385" s="2"/>
      <c r="AH385" s="2"/>
      <c r="AI385" s="2"/>
      <c r="AJ385" s="621"/>
      <c r="AK385" s="596">
        <v>11000</v>
      </c>
      <c r="AL385" s="29" t="s">
        <v>73</v>
      </c>
      <c r="AM385" s="29" t="s">
        <v>73</v>
      </c>
      <c r="AN385" s="29" t="s">
        <v>73</v>
      </c>
      <c r="AO385" s="29" t="s">
        <v>73</v>
      </c>
      <c r="AP385" s="478">
        <v>5500</v>
      </c>
      <c r="AQ385" s="478">
        <v>5500</v>
      </c>
      <c r="AR385" s="29" t="s">
        <v>73</v>
      </c>
      <c r="AS385" s="29" t="s">
        <v>73</v>
      </c>
      <c r="AT385" s="29" t="s">
        <v>73</v>
      </c>
      <c r="AU385" s="29" t="s">
        <v>73</v>
      </c>
      <c r="AV385" s="29" t="s">
        <v>73</v>
      </c>
      <c r="AW385" s="29" t="s">
        <v>73</v>
      </c>
      <c r="AX385" s="30">
        <v>11000</v>
      </c>
      <c r="AY385" s="479" t="s">
        <v>6</v>
      </c>
      <c r="AZ385" s="2" t="s">
        <v>74</v>
      </c>
      <c r="BA385" s="2"/>
      <c r="BK385" s="481" t="s">
        <v>790</v>
      </c>
      <c r="BL385" s="481" t="s">
        <v>791</v>
      </c>
      <c r="BM385" s="125" t="s">
        <v>1806</v>
      </c>
      <c r="BN385" s="649" t="s">
        <v>1807</v>
      </c>
      <c r="BO385" s="125" t="s">
        <v>1808</v>
      </c>
      <c r="BP385" s="129">
        <v>46134</v>
      </c>
      <c r="BQ385" s="18"/>
      <c r="BR385" s="505" t="s">
        <v>1941</v>
      </c>
      <c r="BS385" s="18"/>
      <c r="BT385" s="18" t="s">
        <v>1809</v>
      </c>
      <c r="BU385" s="18" t="s">
        <v>1815</v>
      </c>
      <c r="BV385" s="552" t="s">
        <v>977</v>
      </c>
      <c r="BW385" s="646" t="s">
        <v>845</v>
      </c>
      <c r="BX385" s="646" t="s">
        <v>1942</v>
      </c>
      <c r="BY385" s="552" t="s">
        <v>1943</v>
      </c>
      <c r="BZ385" s="552">
        <v>10334316233</v>
      </c>
      <c r="CA385" s="126">
        <v>5500</v>
      </c>
      <c r="CB385" s="289">
        <v>46143</v>
      </c>
      <c r="CC385" s="289">
        <v>46203</v>
      </c>
      <c r="CD385" s="759"/>
      <c r="CE385" s="177">
        <f t="shared" si="613"/>
        <v>30</v>
      </c>
      <c r="CF385" s="1019">
        <f t="shared" si="614"/>
        <v>5500</v>
      </c>
      <c r="CG385" s="177">
        <v>30</v>
      </c>
      <c r="CH385" s="1019">
        <f t="shared" si="615"/>
        <v>5500</v>
      </c>
      <c r="CI385" s="177">
        <v>30</v>
      </c>
      <c r="CJ385" s="1019">
        <f t="shared" si="630"/>
        <v>5500</v>
      </c>
      <c r="CK385" s="177">
        <f t="shared" si="616"/>
        <v>0</v>
      </c>
      <c r="CL385" s="177">
        <f t="shared" si="617"/>
        <v>0</v>
      </c>
      <c r="CM385" s="1006"/>
      <c r="CN385" s="177">
        <f t="shared" si="618"/>
        <v>30</v>
      </c>
      <c r="CO385" s="1019">
        <f t="shared" si="619"/>
        <v>5500</v>
      </c>
      <c r="CP385" s="177">
        <v>30</v>
      </c>
      <c r="CQ385" s="1019">
        <f t="shared" si="620"/>
        <v>5500</v>
      </c>
      <c r="CR385" s="1019">
        <v>30</v>
      </c>
      <c r="CS385" s="1019">
        <f t="shared" si="621"/>
        <v>5500</v>
      </c>
      <c r="CT385" s="177">
        <f t="shared" si="622"/>
        <v>0</v>
      </c>
      <c r="CU385" s="177">
        <f t="shared" si="623"/>
        <v>0</v>
      </c>
      <c r="CV385" s="1006"/>
      <c r="CW385" s="1007">
        <f t="shared" si="608"/>
        <v>11000</v>
      </c>
      <c r="CX385" s="486">
        <f t="shared" si="609"/>
        <v>11000</v>
      </c>
      <c r="CY385" s="486">
        <f t="shared" si="610"/>
        <v>11000</v>
      </c>
      <c r="CZ385" s="1007">
        <f t="shared" si="611"/>
        <v>0</v>
      </c>
      <c r="DA385" s="1007">
        <f t="shared" si="612"/>
        <v>0</v>
      </c>
      <c r="DB385" s="126"/>
      <c r="DC385" s="125"/>
    </row>
    <row r="386" spans="1:107" ht="51" hidden="1" x14ac:dyDescent="0.25">
      <c r="A386" s="19">
        <v>2026</v>
      </c>
      <c r="B386" s="20">
        <v>479</v>
      </c>
      <c r="C386" s="21" t="s">
        <v>64</v>
      </c>
      <c r="D386" s="21" t="s">
        <v>65</v>
      </c>
      <c r="E386" s="20">
        <v>125</v>
      </c>
      <c r="F386" s="20">
        <v>3000654</v>
      </c>
      <c r="G386" s="20">
        <v>5005023</v>
      </c>
      <c r="H386" s="20">
        <v>3</v>
      </c>
      <c r="I386" s="20">
        <v>12</v>
      </c>
      <c r="J386" s="20">
        <v>24</v>
      </c>
      <c r="K386" s="20">
        <v>135560</v>
      </c>
      <c r="L386" s="21" t="s">
        <v>220</v>
      </c>
      <c r="M386" s="33" t="s">
        <v>221</v>
      </c>
      <c r="N386" s="19">
        <v>97</v>
      </c>
      <c r="O386" s="2"/>
      <c r="P386" s="2" t="s">
        <v>4</v>
      </c>
      <c r="Q386" s="20" t="s">
        <v>68</v>
      </c>
      <c r="R386" s="25" t="s">
        <v>69</v>
      </c>
      <c r="S386" s="41" t="s">
        <v>137</v>
      </c>
      <c r="T386" s="41"/>
      <c r="U386" s="31" t="s">
        <v>255</v>
      </c>
      <c r="V386" s="25" t="s">
        <v>3</v>
      </c>
      <c r="W386" s="25">
        <v>1</v>
      </c>
      <c r="X386" s="595">
        <v>6000</v>
      </c>
      <c r="Y386" s="619"/>
      <c r="Z386" s="2"/>
      <c r="AA386" s="2"/>
      <c r="AB386" s="620"/>
      <c r="AC386" s="25">
        <v>30</v>
      </c>
      <c r="AD386" s="25">
        <v>30</v>
      </c>
      <c r="AE386" s="619"/>
      <c r="AF386" s="2"/>
      <c r="AG386" s="2"/>
      <c r="AH386" s="2"/>
      <c r="AI386" s="2"/>
      <c r="AJ386" s="621"/>
      <c r="AK386" s="596">
        <v>12000</v>
      </c>
      <c r="AL386" s="29" t="s">
        <v>73</v>
      </c>
      <c r="AM386" s="29" t="s">
        <v>73</v>
      </c>
      <c r="AN386" s="29" t="s">
        <v>73</v>
      </c>
      <c r="AO386" s="29" t="s">
        <v>73</v>
      </c>
      <c r="AP386" s="478">
        <v>6000</v>
      </c>
      <c r="AQ386" s="478">
        <v>6000</v>
      </c>
      <c r="AR386" s="29" t="s">
        <v>73</v>
      </c>
      <c r="AS386" s="29" t="s">
        <v>73</v>
      </c>
      <c r="AT386" s="29" t="s">
        <v>73</v>
      </c>
      <c r="AU386" s="29" t="s">
        <v>73</v>
      </c>
      <c r="AV386" s="29" t="s">
        <v>73</v>
      </c>
      <c r="AW386" s="29" t="s">
        <v>73</v>
      </c>
      <c r="AX386" s="30">
        <v>12000</v>
      </c>
      <c r="AY386" s="479" t="s">
        <v>6</v>
      </c>
      <c r="AZ386" s="2" t="s">
        <v>74</v>
      </c>
      <c r="BA386" s="2"/>
      <c r="BK386" s="481" t="s">
        <v>790</v>
      </c>
      <c r="BL386" s="481" t="s">
        <v>791</v>
      </c>
      <c r="BM386" s="125" t="s">
        <v>1806</v>
      </c>
      <c r="BN386" s="649" t="s">
        <v>1807</v>
      </c>
      <c r="BO386" s="125" t="s">
        <v>1808</v>
      </c>
      <c r="BP386" s="129">
        <v>46134</v>
      </c>
      <c r="BQ386" s="18"/>
      <c r="BR386" s="505" t="s">
        <v>1944</v>
      </c>
      <c r="BS386" s="18"/>
      <c r="BT386" s="18" t="s">
        <v>1809</v>
      </c>
      <c r="BU386" s="18" t="s">
        <v>1815</v>
      </c>
      <c r="BV386" s="552" t="s">
        <v>1945</v>
      </c>
      <c r="BW386" s="646" t="s">
        <v>1946</v>
      </c>
      <c r="BX386" s="646" t="s">
        <v>1947</v>
      </c>
      <c r="BY386" s="552">
        <v>42604717</v>
      </c>
      <c r="BZ386" s="552">
        <v>10426047174</v>
      </c>
      <c r="CA386" s="126">
        <v>6000</v>
      </c>
      <c r="CB386" s="289">
        <v>46143</v>
      </c>
      <c r="CC386" s="289">
        <v>46203</v>
      </c>
      <c r="CD386" s="759"/>
      <c r="CE386" s="177">
        <f t="shared" si="613"/>
        <v>30</v>
      </c>
      <c r="CF386" s="1019">
        <f t="shared" si="614"/>
        <v>6000</v>
      </c>
      <c r="CG386" s="177">
        <v>30</v>
      </c>
      <c r="CH386" s="1019">
        <f t="shared" si="615"/>
        <v>6000</v>
      </c>
      <c r="CI386" s="177">
        <v>30</v>
      </c>
      <c r="CJ386" s="1019">
        <f t="shared" si="630"/>
        <v>6000</v>
      </c>
      <c r="CK386" s="177">
        <f t="shared" si="616"/>
        <v>0</v>
      </c>
      <c r="CL386" s="177">
        <f t="shared" si="617"/>
        <v>0</v>
      </c>
      <c r="CM386" s="1006"/>
      <c r="CN386" s="177">
        <f t="shared" si="618"/>
        <v>30</v>
      </c>
      <c r="CO386" s="1019">
        <f t="shared" si="619"/>
        <v>6000</v>
      </c>
      <c r="CP386" s="177">
        <v>30</v>
      </c>
      <c r="CQ386" s="1019">
        <f t="shared" si="620"/>
        <v>6000</v>
      </c>
      <c r="CR386" s="177">
        <v>30</v>
      </c>
      <c r="CS386" s="1019">
        <f t="shared" si="621"/>
        <v>6000</v>
      </c>
      <c r="CT386" s="177">
        <f t="shared" si="622"/>
        <v>0</v>
      </c>
      <c r="CU386" s="177">
        <f t="shared" si="623"/>
        <v>0</v>
      </c>
      <c r="CV386" s="1006"/>
      <c r="CW386" s="177">
        <f t="shared" si="608"/>
        <v>12000</v>
      </c>
      <c r="CX386" s="1019">
        <f t="shared" si="609"/>
        <v>12000</v>
      </c>
      <c r="CY386" s="177">
        <f t="shared" si="610"/>
        <v>12000</v>
      </c>
      <c r="CZ386" s="1019">
        <f t="shared" si="611"/>
        <v>0</v>
      </c>
      <c r="DA386" s="177">
        <f t="shared" si="612"/>
        <v>0</v>
      </c>
      <c r="DB386" s="126"/>
      <c r="DC386" s="125"/>
    </row>
    <row r="387" spans="1:107" ht="51" hidden="1" x14ac:dyDescent="0.25">
      <c r="A387" s="19">
        <v>2026</v>
      </c>
      <c r="B387" s="20">
        <v>479</v>
      </c>
      <c r="C387" s="21" t="s">
        <v>64</v>
      </c>
      <c r="D387" s="21" t="s">
        <v>65</v>
      </c>
      <c r="E387" s="20">
        <v>125</v>
      </c>
      <c r="F387" s="20">
        <v>3000654</v>
      </c>
      <c r="G387" s="20">
        <v>5005023</v>
      </c>
      <c r="H387" s="20">
        <v>3</v>
      </c>
      <c r="I387" s="20">
        <v>12</v>
      </c>
      <c r="J387" s="20">
        <v>24</v>
      </c>
      <c r="K387" s="20">
        <v>135560</v>
      </c>
      <c r="L387" s="21" t="s">
        <v>220</v>
      </c>
      <c r="M387" s="33" t="s">
        <v>221</v>
      </c>
      <c r="N387" s="19">
        <v>97</v>
      </c>
      <c r="O387" s="2"/>
      <c r="P387" s="2" t="s">
        <v>4</v>
      </c>
      <c r="Q387" s="20" t="s">
        <v>68</v>
      </c>
      <c r="R387" s="25" t="s">
        <v>69</v>
      </c>
      <c r="S387" s="41" t="s">
        <v>137</v>
      </c>
      <c r="T387" s="41"/>
      <c r="U387" s="31" t="s">
        <v>256</v>
      </c>
      <c r="V387" s="25" t="s">
        <v>3</v>
      </c>
      <c r="W387" s="25">
        <v>1</v>
      </c>
      <c r="X387" s="595">
        <v>8000</v>
      </c>
      <c r="Y387" s="619"/>
      <c r="Z387" s="2"/>
      <c r="AA387" s="2"/>
      <c r="AB387" s="620"/>
      <c r="AC387" s="25">
        <v>30</v>
      </c>
      <c r="AD387" s="25">
        <v>30</v>
      </c>
      <c r="AE387" s="619"/>
      <c r="AF387" s="2"/>
      <c r="AG387" s="2"/>
      <c r="AH387" s="2"/>
      <c r="AI387" s="2"/>
      <c r="AJ387" s="621"/>
      <c r="AK387" s="596">
        <v>16000</v>
      </c>
      <c r="AL387" s="29" t="s">
        <v>73</v>
      </c>
      <c r="AM387" s="29" t="s">
        <v>73</v>
      </c>
      <c r="AN387" s="29" t="s">
        <v>73</v>
      </c>
      <c r="AO387" s="29" t="s">
        <v>73</v>
      </c>
      <c r="AP387" s="478">
        <v>8000</v>
      </c>
      <c r="AQ387" s="478">
        <v>8000</v>
      </c>
      <c r="AR387" s="29" t="s">
        <v>73</v>
      </c>
      <c r="AS387" s="29" t="s">
        <v>73</v>
      </c>
      <c r="AT387" s="29" t="s">
        <v>73</v>
      </c>
      <c r="AU387" s="29" t="s">
        <v>73</v>
      </c>
      <c r="AV387" s="29" t="s">
        <v>73</v>
      </c>
      <c r="AW387" s="29" t="s">
        <v>73</v>
      </c>
      <c r="AX387" s="30">
        <v>16000</v>
      </c>
      <c r="AY387" s="479" t="s">
        <v>6</v>
      </c>
      <c r="AZ387" s="2" t="s">
        <v>74</v>
      </c>
      <c r="BA387" s="2"/>
      <c r="BK387" s="481" t="s">
        <v>790</v>
      </c>
      <c r="BL387" s="481" t="s">
        <v>791</v>
      </c>
      <c r="BM387" s="125" t="s">
        <v>1806</v>
      </c>
      <c r="BN387" s="649" t="s">
        <v>1807</v>
      </c>
      <c r="BO387" s="125" t="s">
        <v>1808</v>
      </c>
      <c r="BP387" s="129">
        <v>46134</v>
      </c>
      <c r="BQ387" s="18"/>
      <c r="BR387" s="505" t="s">
        <v>1948</v>
      </c>
      <c r="BS387" s="18"/>
      <c r="BT387" s="656" t="s">
        <v>1809</v>
      </c>
      <c r="BU387" s="656" t="s">
        <v>1841</v>
      </c>
      <c r="BV387" s="552" t="s">
        <v>1949</v>
      </c>
      <c r="BW387" s="646" t="s">
        <v>1050</v>
      </c>
      <c r="BX387" s="646" t="s">
        <v>1950</v>
      </c>
      <c r="BY387" s="552">
        <v>43872038</v>
      </c>
      <c r="BZ387" s="552">
        <v>10438720389</v>
      </c>
      <c r="CA387" s="126">
        <v>8000</v>
      </c>
      <c r="CB387" s="289">
        <v>46143</v>
      </c>
      <c r="CC387" s="289">
        <v>46203</v>
      </c>
      <c r="CD387" s="759"/>
      <c r="CE387" s="177">
        <f t="shared" si="613"/>
        <v>30</v>
      </c>
      <c r="CF387" s="1019">
        <f t="shared" si="614"/>
        <v>8000</v>
      </c>
      <c r="CG387" s="177">
        <v>30</v>
      </c>
      <c r="CH387" s="1019">
        <f t="shared" si="615"/>
        <v>8000.0000000000009</v>
      </c>
      <c r="CI387" s="177">
        <v>30</v>
      </c>
      <c r="CJ387" s="1019">
        <f t="shared" si="630"/>
        <v>8000.0000000000009</v>
      </c>
      <c r="CK387" s="177">
        <f t="shared" si="616"/>
        <v>0</v>
      </c>
      <c r="CL387" s="177">
        <f t="shared" si="617"/>
        <v>0</v>
      </c>
      <c r="CM387" s="1006"/>
      <c r="CN387" s="177">
        <f t="shared" si="618"/>
        <v>30</v>
      </c>
      <c r="CO387" s="1019">
        <f t="shared" si="619"/>
        <v>8000</v>
      </c>
      <c r="CP387" s="177">
        <v>30</v>
      </c>
      <c r="CQ387" s="1019">
        <f t="shared" si="620"/>
        <v>8000.0000000000009</v>
      </c>
      <c r="CR387" s="177">
        <v>30</v>
      </c>
      <c r="CS387" s="1019">
        <f t="shared" si="621"/>
        <v>8000.0000000000009</v>
      </c>
      <c r="CT387" s="177">
        <f t="shared" si="622"/>
        <v>0</v>
      </c>
      <c r="CU387" s="177">
        <f t="shared" si="623"/>
        <v>0</v>
      </c>
      <c r="CV387" s="1006"/>
      <c r="CW387" s="177">
        <f t="shared" si="608"/>
        <v>16000</v>
      </c>
      <c r="CX387" s="1019">
        <f t="shared" si="609"/>
        <v>16000.000000000002</v>
      </c>
      <c r="CY387" s="177">
        <f t="shared" si="610"/>
        <v>16000.000000000002</v>
      </c>
      <c r="CZ387" s="1019">
        <f t="shared" si="611"/>
        <v>0</v>
      </c>
      <c r="DA387" s="177">
        <f t="shared" si="612"/>
        <v>0</v>
      </c>
      <c r="DB387" s="126"/>
      <c r="DC387" s="125"/>
    </row>
    <row r="388" spans="1:107" s="836" customFormat="1" ht="38.25" hidden="1" x14ac:dyDescent="0.25">
      <c r="A388" s="824">
        <v>2026</v>
      </c>
      <c r="B388" s="825">
        <v>479</v>
      </c>
      <c r="C388" s="826" t="s">
        <v>64</v>
      </c>
      <c r="D388" s="826" t="s">
        <v>65</v>
      </c>
      <c r="E388" s="825">
        <v>125</v>
      </c>
      <c r="F388" s="825">
        <v>3000654</v>
      </c>
      <c r="G388" s="825">
        <v>5005023</v>
      </c>
      <c r="H388" s="825">
        <v>3</v>
      </c>
      <c r="I388" s="825">
        <v>12</v>
      </c>
      <c r="J388" s="825">
        <v>24</v>
      </c>
      <c r="K388" s="825">
        <v>135560</v>
      </c>
      <c r="L388" s="826" t="s">
        <v>98</v>
      </c>
      <c r="M388" s="827" t="s">
        <v>99</v>
      </c>
      <c r="N388" s="824">
        <v>94</v>
      </c>
      <c r="O388" s="828"/>
      <c r="P388" s="828" t="s">
        <v>4</v>
      </c>
      <c r="Q388" s="825" t="s">
        <v>68</v>
      </c>
      <c r="R388" s="829" t="s">
        <v>69</v>
      </c>
      <c r="S388" s="830" t="s">
        <v>137</v>
      </c>
      <c r="T388" s="830"/>
      <c r="U388" s="831" t="s">
        <v>257</v>
      </c>
      <c r="V388" s="829" t="s">
        <v>3</v>
      </c>
      <c r="W388" s="829">
        <v>1</v>
      </c>
      <c r="X388" s="832">
        <v>7000</v>
      </c>
      <c r="Y388" s="874"/>
      <c r="Z388" s="828"/>
      <c r="AA388" s="828"/>
      <c r="AB388" s="875"/>
      <c r="AC388" s="829">
        <v>30</v>
      </c>
      <c r="AD388" s="829">
        <v>0</v>
      </c>
      <c r="AE388" s="874"/>
      <c r="AF388" s="828"/>
      <c r="AG388" s="828"/>
      <c r="AH388" s="828"/>
      <c r="AI388" s="828"/>
      <c r="AJ388" s="876"/>
      <c r="AK388" s="833">
        <v>7000</v>
      </c>
      <c r="AL388" s="29" t="s">
        <v>73</v>
      </c>
      <c r="AM388" s="29" t="s">
        <v>73</v>
      </c>
      <c r="AN388" s="29" t="s">
        <v>73</v>
      </c>
      <c r="AO388" s="29" t="s">
        <v>73</v>
      </c>
      <c r="AP388" s="478">
        <v>7000</v>
      </c>
      <c r="AQ388" s="648">
        <v>0</v>
      </c>
      <c r="AR388" s="29" t="s">
        <v>73</v>
      </c>
      <c r="AS388" s="29" t="s">
        <v>73</v>
      </c>
      <c r="AT388" s="29" t="s">
        <v>73</v>
      </c>
      <c r="AU388" s="29" t="s">
        <v>73</v>
      </c>
      <c r="AV388" s="29" t="s">
        <v>73</v>
      </c>
      <c r="AW388" s="29" t="s">
        <v>73</v>
      </c>
      <c r="AX388" s="834">
        <v>7000</v>
      </c>
      <c r="AY388" s="835" t="s">
        <v>6</v>
      </c>
      <c r="AZ388" s="828" t="s">
        <v>74</v>
      </c>
      <c r="BA388" s="828"/>
      <c r="BD388"/>
      <c r="BE388"/>
      <c r="BF388"/>
      <c r="BG388"/>
      <c r="BH388"/>
      <c r="BI388"/>
      <c r="BJ388"/>
      <c r="BK388" s="481" t="s">
        <v>802</v>
      </c>
      <c r="BL388" s="837" t="s">
        <v>803</v>
      </c>
      <c r="BM388" s="838"/>
      <c r="BN388" s="839"/>
      <c r="BO388" s="838"/>
      <c r="BP388" s="840"/>
      <c r="BQ388" s="841"/>
      <c r="BR388" s="841"/>
      <c r="BS388" s="841"/>
      <c r="BT388" s="841"/>
      <c r="BU388" s="841"/>
      <c r="BV388" s="125"/>
      <c r="BW388" s="177"/>
      <c r="BX388" s="177"/>
      <c r="BY388" s="125"/>
      <c r="BZ388" s="177"/>
      <c r="CA388" s="126"/>
      <c r="CB388" s="289"/>
      <c r="CC388" s="842"/>
      <c r="CD388" s="759"/>
      <c r="CE388" s="177">
        <f t="shared" si="613"/>
        <v>30</v>
      </c>
      <c r="CF388" s="1019">
        <f t="shared" si="614"/>
        <v>7000</v>
      </c>
      <c r="CG388" s="177"/>
      <c r="CH388" s="1019">
        <f t="shared" si="615"/>
        <v>0</v>
      </c>
      <c r="CI388" s="177"/>
      <c r="CJ388" s="1019">
        <f t="shared" si="630"/>
        <v>0</v>
      </c>
      <c r="CK388" s="177">
        <f t="shared" si="616"/>
        <v>7000</v>
      </c>
      <c r="CL388" s="177">
        <f t="shared" si="617"/>
        <v>7000</v>
      </c>
      <c r="CM388" s="1006"/>
      <c r="CN388" s="177">
        <f t="shared" si="618"/>
        <v>0</v>
      </c>
      <c r="CO388" s="1019">
        <f t="shared" si="619"/>
        <v>0</v>
      </c>
      <c r="CP388" s="177"/>
      <c r="CQ388" s="1019">
        <f t="shared" si="620"/>
        <v>0</v>
      </c>
      <c r="CR388" s="177"/>
      <c r="CS388" s="1019">
        <f t="shared" si="621"/>
        <v>0</v>
      </c>
      <c r="CT388" s="177">
        <f t="shared" si="622"/>
        <v>0</v>
      </c>
      <c r="CU388" s="839">
        <f t="shared" si="623"/>
        <v>0</v>
      </c>
      <c r="CV388" s="1020"/>
      <c r="CW388" s="839">
        <f t="shared" si="608"/>
        <v>7000</v>
      </c>
      <c r="CX388" s="1021">
        <f t="shared" si="609"/>
        <v>0</v>
      </c>
      <c r="CY388" s="839">
        <f t="shared" si="610"/>
        <v>0</v>
      </c>
      <c r="CZ388" s="1019">
        <f t="shared" si="611"/>
        <v>7000</v>
      </c>
      <c r="DA388" s="839">
        <f t="shared" si="612"/>
        <v>7000</v>
      </c>
      <c r="DB388" s="843"/>
      <c r="DC388" s="838"/>
    </row>
    <row r="389" spans="1:107" ht="51" hidden="1" x14ac:dyDescent="0.25">
      <c r="A389" s="19">
        <v>2026</v>
      </c>
      <c r="B389" s="20">
        <v>479</v>
      </c>
      <c r="C389" s="21" t="s">
        <v>64</v>
      </c>
      <c r="D389" s="21" t="s">
        <v>65</v>
      </c>
      <c r="E389" s="20">
        <v>125</v>
      </c>
      <c r="F389" s="20">
        <v>3000654</v>
      </c>
      <c r="G389" s="20">
        <v>5005023</v>
      </c>
      <c r="H389" s="20">
        <v>3</v>
      </c>
      <c r="I389" s="20">
        <v>12</v>
      </c>
      <c r="J389" s="20">
        <v>24</v>
      </c>
      <c r="K389" s="20">
        <v>135560</v>
      </c>
      <c r="L389" s="21" t="s">
        <v>220</v>
      </c>
      <c r="M389" s="33" t="s">
        <v>221</v>
      </c>
      <c r="N389" s="19">
        <v>97</v>
      </c>
      <c r="O389" s="2"/>
      <c r="P389" s="2" t="s">
        <v>4</v>
      </c>
      <c r="Q389" s="20" t="s">
        <v>68</v>
      </c>
      <c r="R389" s="25" t="s">
        <v>69</v>
      </c>
      <c r="S389" s="41" t="s">
        <v>137</v>
      </c>
      <c r="T389" s="41"/>
      <c r="U389" s="31" t="s">
        <v>257</v>
      </c>
      <c r="V389" s="25" t="s">
        <v>3</v>
      </c>
      <c r="W389" s="25">
        <v>1</v>
      </c>
      <c r="X389" s="595">
        <v>7000</v>
      </c>
      <c r="Y389" s="619"/>
      <c r="Z389" s="2"/>
      <c r="AA389" s="2"/>
      <c r="AB389" s="620"/>
      <c r="AC389" s="25">
        <v>0</v>
      </c>
      <c r="AD389" s="25">
        <v>30</v>
      </c>
      <c r="AE389" s="619"/>
      <c r="AF389" s="2"/>
      <c r="AG389" s="2"/>
      <c r="AH389" s="2"/>
      <c r="AI389" s="2"/>
      <c r="AJ389" s="621"/>
      <c r="AK389" s="596">
        <v>7000</v>
      </c>
      <c r="AL389" s="29" t="s">
        <v>73</v>
      </c>
      <c r="AM389" s="29" t="s">
        <v>73</v>
      </c>
      <c r="AN389" s="29" t="s">
        <v>73</v>
      </c>
      <c r="AO389" s="29" t="s">
        <v>73</v>
      </c>
      <c r="AP389" s="648">
        <v>0</v>
      </c>
      <c r="AQ389" s="478">
        <v>7000</v>
      </c>
      <c r="AR389" s="29" t="s">
        <v>73</v>
      </c>
      <c r="AS389" s="29" t="s">
        <v>73</v>
      </c>
      <c r="AT389" s="29" t="s">
        <v>73</v>
      </c>
      <c r="AU389" s="29" t="s">
        <v>73</v>
      </c>
      <c r="AV389" s="29" t="s">
        <v>73</v>
      </c>
      <c r="AW389" s="29" t="s">
        <v>73</v>
      </c>
      <c r="AX389" s="30">
        <v>7000</v>
      </c>
      <c r="AY389" s="479" t="s">
        <v>6</v>
      </c>
      <c r="AZ389" s="2" t="s">
        <v>74</v>
      </c>
      <c r="BA389" s="2"/>
      <c r="BK389" s="481" t="s">
        <v>790</v>
      </c>
      <c r="BL389" s="481" t="s">
        <v>791</v>
      </c>
      <c r="BM389" s="125" t="s">
        <v>1951</v>
      </c>
      <c r="BN389" s="177" t="s">
        <v>1952</v>
      </c>
      <c r="BO389" s="125" t="s">
        <v>1953</v>
      </c>
      <c r="BP389" s="129">
        <v>46174</v>
      </c>
      <c r="BQ389" s="18"/>
      <c r="BR389" s="18"/>
      <c r="BS389" s="18"/>
      <c r="BT389" s="18"/>
      <c r="BU389" s="18"/>
      <c r="BV389" s="125" t="s">
        <v>1954</v>
      </c>
      <c r="BW389" s="125" t="s">
        <v>1149</v>
      </c>
      <c r="BX389" s="125" t="s">
        <v>1955</v>
      </c>
      <c r="BY389" s="125">
        <v>72885337</v>
      </c>
      <c r="BZ389" s="125">
        <v>10728853374</v>
      </c>
      <c r="CA389" s="126">
        <v>6000</v>
      </c>
      <c r="CB389" s="289">
        <v>46175</v>
      </c>
      <c r="CC389" s="289">
        <v>46203</v>
      </c>
      <c r="CD389" s="759"/>
      <c r="CE389" s="177">
        <f t="shared" si="613"/>
        <v>0</v>
      </c>
      <c r="CF389" s="1019">
        <f t="shared" si="614"/>
        <v>0</v>
      </c>
      <c r="CG389" s="177"/>
      <c r="CH389" s="1019">
        <f t="shared" si="615"/>
        <v>0</v>
      </c>
      <c r="CI389" s="177"/>
      <c r="CJ389" s="1019">
        <f t="shared" si="630"/>
        <v>0</v>
      </c>
      <c r="CK389" s="177">
        <f t="shared" si="616"/>
        <v>0</v>
      </c>
      <c r="CL389" s="177">
        <f t="shared" si="617"/>
        <v>0</v>
      </c>
      <c r="CM389" s="1006"/>
      <c r="CN389" s="177">
        <f t="shared" si="618"/>
        <v>30</v>
      </c>
      <c r="CO389" s="1019">
        <v>7000</v>
      </c>
      <c r="CP389" s="177">
        <v>29</v>
      </c>
      <c r="CQ389" s="1019">
        <f>(6000/30)*CP389</f>
        <v>5800</v>
      </c>
      <c r="CR389" s="177">
        <v>29</v>
      </c>
      <c r="CS389" s="1019">
        <f>(6000/30)*CR389</f>
        <v>5800</v>
      </c>
      <c r="CT389" s="1040">
        <f t="shared" si="622"/>
        <v>1200</v>
      </c>
      <c r="CU389" s="177">
        <f t="shared" si="623"/>
        <v>1200</v>
      </c>
      <c r="CV389" s="1006"/>
      <c r="CW389" s="177">
        <f t="shared" si="608"/>
        <v>7000</v>
      </c>
      <c r="CX389" s="1019">
        <f t="shared" si="609"/>
        <v>5800</v>
      </c>
      <c r="CY389" s="177">
        <f t="shared" si="610"/>
        <v>5800</v>
      </c>
      <c r="CZ389" s="1019">
        <f t="shared" si="611"/>
        <v>1200</v>
      </c>
      <c r="DA389" s="177">
        <f t="shared" si="612"/>
        <v>1200</v>
      </c>
      <c r="DB389" s="126"/>
      <c r="DC389" s="125"/>
    </row>
    <row r="390" spans="1:107" ht="51" hidden="1" x14ac:dyDescent="0.25">
      <c r="A390" s="19">
        <v>2026</v>
      </c>
      <c r="B390" s="20">
        <v>479</v>
      </c>
      <c r="C390" s="21" t="s">
        <v>64</v>
      </c>
      <c r="D390" s="21" t="s">
        <v>65</v>
      </c>
      <c r="E390" s="20">
        <v>125</v>
      </c>
      <c r="F390" s="20">
        <v>3000654</v>
      </c>
      <c r="G390" s="20">
        <v>5005023</v>
      </c>
      <c r="H390" s="20">
        <v>3</v>
      </c>
      <c r="I390" s="20">
        <v>12</v>
      </c>
      <c r="J390" s="20">
        <v>24</v>
      </c>
      <c r="K390" s="20">
        <v>135560</v>
      </c>
      <c r="L390" s="21" t="s">
        <v>220</v>
      </c>
      <c r="M390" s="33" t="s">
        <v>221</v>
      </c>
      <c r="N390" s="19">
        <v>97</v>
      </c>
      <c r="O390" s="2"/>
      <c r="P390" s="2" t="s">
        <v>4</v>
      </c>
      <c r="Q390" s="20" t="s">
        <v>68</v>
      </c>
      <c r="R390" s="25" t="s">
        <v>69</v>
      </c>
      <c r="S390" s="41" t="s">
        <v>137</v>
      </c>
      <c r="T390" s="41"/>
      <c r="U390" s="31" t="s">
        <v>258</v>
      </c>
      <c r="V390" s="25" t="s">
        <v>3</v>
      </c>
      <c r="W390" s="25">
        <v>1</v>
      </c>
      <c r="X390" s="595">
        <v>7000</v>
      </c>
      <c r="Y390" s="619"/>
      <c r="Z390" s="2"/>
      <c r="AA390" s="2"/>
      <c r="AB390" s="620"/>
      <c r="AC390" s="25">
        <v>30</v>
      </c>
      <c r="AD390" s="25">
        <v>30</v>
      </c>
      <c r="AE390" s="619"/>
      <c r="AF390" s="2"/>
      <c r="AG390" s="2"/>
      <c r="AH390" s="2"/>
      <c r="AI390" s="2"/>
      <c r="AJ390" s="621"/>
      <c r="AK390" s="596">
        <v>14000</v>
      </c>
      <c r="AL390" s="29" t="s">
        <v>73</v>
      </c>
      <c r="AM390" s="29" t="s">
        <v>73</v>
      </c>
      <c r="AN390" s="29" t="s">
        <v>73</v>
      </c>
      <c r="AO390" s="29" t="s">
        <v>73</v>
      </c>
      <c r="AP390" s="478">
        <v>7000</v>
      </c>
      <c r="AQ390" s="478">
        <v>7000</v>
      </c>
      <c r="AR390" s="29" t="s">
        <v>73</v>
      </c>
      <c r="AS390" s="29" t="s">
        <v>73</v>
      </c>
      <c r="AT390" s="29" t="s">
        <v>73</v>
      </c>
      <c r="AU390" s="29" t="s">
        <v>73</v>
      </c>
      <c r="AV390" s="29" t="s">
        <v>73</v>
      </c>
      <c r="AW390" s="29" t="s">
        <v>73</v>
      </c>
      <c r="AX390" s="30">
        <v>14000</v>
      </c>
      <c r="AY390" s="479" t="s">
        <v>6</v>
      </c>
      <c r="AZ390" s="2" t="s">
        <v>74</v>
      </c>
      <c r="BA390" s="2"/>
      <c r="BK390" s="481" t="s">
        <v>790</v>
      </c>
      <c r="BL390" s="481" t="s">
        <v>791</v>
      </c>
      <c r="BM390" s="125" t="s">
        <v>1806</v>
      </c>
      <c r="BN390" s="649" t="s">
        <v>1807</v>
      </c>
      <c r="BO390" s="125" t="s">
        <v>1808</v>
      </c>
      <c r="BP390" s="129">
        <v>46134</v>
      </c>
      <c r="BQ390" s="18"/>
      <c r="BR390" s="505" t="s">
        <v>1956</v>
      </c>
      <c r="BS390" s="18"/>
      <c r="BT390" s="264" t="s">
        <v>1809</v>
      </c>
      <c r="BU390" s="18" t="s">
        <v>1815</v>
      </c>
      <c r="BV390" s="552" t="s">
        <v>894</v>
      </c>
      <c r="BW390" s="646" t="s">
        <v>1957</v>
      </c>
      <c r="BX390" s="646" t="s">
        <v>1958</v>
      </c>
      <c r="BY390" s="552">
        <v>70915333</v>
      </c>
      <c r="BZ390" s="552">
        <v>10709153337</v>
      </c>
      <c r="CA390" s="126">
        <v>7000</v>
      </c>
      <c r="CB390" s="289">
        <v>46143</v>
      </c>
      <c r="CC390" s="289">
        <v>46203</v>
      </c>
      <c r="CD390" s="759"/>
      <c r="CE390" s="177">
        <f t="shared" si="613"/>
        <v>30</v>
      </c>
      <c r="CF390" s="1019">
        <f t="shared" si="614"/>
        <v>7000</v>
      </c>
      <c r="CG390" s="177">
        <v>30</v>
      </c>
      <c r="CH390" s="1019">
        <f t="shared" si="615"/>
        <v>7000</v>
      </c>
      <c r="CI390" s="177">
        <v>30</v>
      </c>
      <c r="CJ390" s="1019">
        <f t="shared" si="630"/>
        <v>7000</v>
      </c>
      <c r="CK390" s="177">
        <f t="shared" si="616"/>
        <v>0</v>
      </c>
      <c r="CL390" s="177">
        <f t="shared" si="617"/>
        <v>0</v>
      </c>
      <c r="CM390" s="1006"/>
      <c r="CN390" s="177">
        <f t="shared" si="618"/>
        <v>30</v>
      </c>
      <c r="CO390" s="1019">
        <f t="shared" si="619"/>
        <v>7000</v>
      </c>
      <c r="CP390" s="177">
        <v>30</v>
      </c>
      <c r="CQ390" s="1019">
        <f t="shared" si="620"/>
        <v>7000</v>
      </c>
      <c r="CR390" s="177">
        <v>30</v>
      </c>
      <c r="CS390" s="1019">
        <f t="shared" si="621"/>
        <v>7000</v>
      </c>
      <c r="CT390" s="177">
        <f t="shared" si="622"/>
        <v>0</v>
      </c>
      <c r="CU390" s="177">
        <f t="shared" si="623"/>
        <v>0</v>
      </c>
      <c r="CV390" s="1006"/>
      <c r="CW390" s="177">
        <f t="shared" si="608"/>
        <v>14000</v>
      </c>
      <c r="CX390" s="1019">
        <f t="shared" si="609"/>
        <v>14000</v>
      </c>
      <c r="CY390" s="177">
        <f t="shared" si="610"/>
        <v>14000</v>
      </c>
      <c r="CZ390" s="1019">
        <f t="shared" si="611"/>
        <v>0</v>
      </c>
      <c r="DA390" s="177">
        <f t="shared" si="612"/>
        <v>0</v>
      </c>
      <c r="DB390" s="126"/>
      <c r="DC390" s="125"/>
    </row>
    <row r="391" spans="1:107" ht="51" hidden="1" x14ac:dyDescent="0.25">
      <c r="A391" s="19">
        <v>2026</v>
      </c>
      <c r="B391" s="20">
        <v>479</v>
      </c>
      <c r="C391" s="21" t="s">
        <v>64</v>
      </c>
      <c r="D391" s="21" t="s">
        <v>65</v>
      </c>
      <c r="E391" s="20">
        <v>125</v>
      </c>
      <c r="F391" s="20">
        <v>3000654</v>
      </c>
      <c r="G391" s="20">
        <v>5005023</v>
      </c>
      <c r="H391" s="20">
        <v>3</v>
      </c>
      <c r="I391" s="20">
        <v>12</v>
      </c>
      <c r="J391" s="20">
        <v>24</v>
      </c>
      <c r="K391" s="20">
        <v>135560</v>
      </c>
      <c r="L391" s="21" t="s">
        <v>220</v>
      </c>
      <c r="M391" s="33" t="s">
        <v>221</v>
      </c>
      <c r="N391" s="19">
        <v>97</v>
      </c>
      <c r="O391" s="2"/>
      <c r="P391" s="2" t="s">
        <v>4</v>
      </c>
      <c r="Q391" s="20" t="s">
        <v>68</v>
      </c>
      <c r="R391" s="25" t="s">
        <v>69</v>
      </c>
      <c r="S391" s="41" t="s">
        <v>137</v>
      </c>
      <c r="T391" s="41"/>
      <c r="U391" s="31" t="s">
        <v>259</v>
      </c>
      <c r="V391" s="25" t="s">
        <v>3</v>
      </c>
      <c r="W391" s="25">
        <v>1</v>
      </c>
      <c r="X391" s="595">
        <v>7000</v>
      </c>
      <c r="Y391" s="619"/>
      <c r="Z391" s="2"/>
      <c r="AA391" s="2"/>
      <c r="AB391" s="620"/>
      <c r="AC391" s="25">
        <v>30</v>
      </c>
      <c r="AD391" s="25">
        <v>30</v>
      </c>
      <c r="AE391" s="619"/>
      <c r="AF391" s="2"/>
      <c r="AG391" s="2"/>
      <c r="AH391" s="2"/>
      <c r="AI391" s="2"/>
      <c r="AJ391" s="621"/>
      <c r="AK391" s="596">
        <v>14000</v>
      </c>
      <c r="AL391" s="29" t="s">
        <v>73</v>
      </c>
      <c r="AM391" s="29" t="s">
        <v>73</v>
      </c>
      <c r="AN391" s="29" t="s">
        <v>73</v>
      </c>
      <c r="AO391" s="29" t="s">
        <v>73</v>
      </c>
      <c r="AP391" s="478">
        <v>7000</v>
      </c>
      <c r="AQ391" s="478">
        <v>7000</v>
      </c>
      <c r="AR391" s="29" t="s">
        <v>73</v>
      </c>
      <c r="AS391" s="29" t="s">
        <v>73</v>
      </c>
      <c r="AT391" s="29" t="s">
        <v>73</v>
      </c>
      <c r="AU391" s="29" t="s">
        <v>73</v>
      </c>
      <c r="AV391" s="29" t="s">
        <v>73</v>
      </c>
      <c r="AW391" s="29" t="s">
        <v>73</v>
      </c>
      <c r="AX391" s="30">
        <v>14000</v>
      </c>
      <c r="AY391" s="479" t="s">
        <v>6</v>
      </c>
      <c r="AZ391" s="2" t="s">
        <v>74</v>
      </c>
      <c r="BA391" s="2"/>
      <c r="BK391" s="481" t="s">
        <v>790</v>
      </c>
      <c r="BL391" s="481" t="s">
        <v>791</v>
      </c>
      <c r="BM391" s="125" t="s">
        <v>1806</v>
      </c>
      <c r="BN391" s="649" t="s">
        <v>1959</v>
      </c>
      <c r="BO391" s="125" t="s">
        <v>1808</v>
      </c>
      <c r="BP391" s="129">
        <v>46134</v>
      </c>
      <c r="BQ391" s="18"/>
      <c r="BR391" s="505" t="s">
        <v>1960</v>
      </c>
      <c r="BS391" s="18"/>
      <c r="BT391" s="264" t="s">
        <v>1809</v>
      </c>
      <c r="BU391" s="18" t="s">
        <v>1815</v>
      </c>
      <c r="BV391" s="552" t="s">
        <v>1961</v>
      </c>
      <c r="BW391" s="646" t="s">
        <v>1962</v>
      </c>
      <c r="BX391" s="646" t="s">
        <v>1963</v>
      </c>
      <c r="BY391" s="552">
        <v>46121251</v>
      </c>
      <c r="BZ391" s="552">
        <v>10461212510</v>
      </c>
      <c r="CA391" s="126">
        <v>7000</v>
      </c>
      <c r="CB391" s="289">
        <v>46143</v>
      </c>
      <c r="CC391" s="289">
        <v>46203</v>
      </c>
      <c r="CD391" s="759"/>
      <c r="CE391" s="177">
        <f t="shared" si="613"/>
        <v>30</v>
      </c>
      <c r="CF391" s="1019">
        <f t="shared" si="614"/>
        <v>7000</v>
      </c>
      <c r="CG391" s="177">
        <v>30</v>
      </c>
      <c r="CH391" s="1019">
        <f t="shared" si="615"/>
        <v>7000</v>
      </c>
      <c r="CI391" s="177">
        <v>30</v>
      </c>
      <c r="CJ391" s="1019">
        <f t="shared" si="630"/>
        <v>7000</v>
      </c>
      <c r="CK391" s="177">
        <f t="shared" si="616"/>
        <v>0</v>
      </c>
      <c r="CL391" s="177">
        <f t="shared" si="617"/>
        <v>0</v>
      </c>
      <c r="CM391" s="1006"/>
      <c r="CN391" s="177">
        <f t="shared" si="618"/>
        <v>30</v>
      </c>
      <c r="CO391" s="1019">
        <f t="shared" si="619"/>
        <v>7000</v>
      </c>
      <c r="CP391" s="177">
        <v>30</v>
      </c>
      <c r="CQ391" s="1019">
        <f t="shared" si="620"/>
        <v>7000</v>
      </c>
      <c r="CR391" s="177">
        <v>30</v>
      </c>
      <c r="CS391" s="1019">
        <f t="shared" si="621"/>
        <v>7000</v>
      </c>
      <c r="CT391" s="177">
        <f t="shared" si="622"/>
        <v>0</v>
      </c>
      <c r="CU391" s="177">
        <f t="shared" si="623"/>
        <v>0</v>
      </c>
      <c r="CV391" s="1006"/>
      <c r="CW391" s="177">
        <f t="shared" si="608"/>
        <v>14000</v>
      </c>
      <c r="CX391" s="1019">
        <f t="shared" si="609"/>
        <v>14000</v>
      </c>
      <c r="CY391" s="177">
        <f t="shared" si="610"/>
        <v>14000</v>
      </c>
      <c r="CZ391" s="1019">
        <f t="shared" si="611"/>
        <v>0</v>
      </c>
      <c r="DA391" s="177">
        <f t="shared" si="612"/>
        <v>0</v>
      </c>
      <c r="DB391" s="126"/>
      <c r="DC391" s="125"/>
    </row>
    <row r="392" spans="1:107" s="80" customFormat="1" ht="51" hidden="1" x14ac:dyDescent="0.25">
      <c r="A392" s="472">
        <v>2026</v>
      </c>
      <c r="B392" s="21">
        <v>479</v>
      </c>
      <c r="C392" s="21" t="s">
        <v>64</v>
      </c>
      <c r="D392" s="21" t="s">
        <v>65</v>
      </c>
      <c r="E392" s="21">
        <v>125</v>
      </c>
      <c r="F392" s="21">
        <v>3000654</v>
      </c>
      <c r="G392" s="21">
        <v>5005023</v>
      </c>
      <c r="H392" s="21">
        <v>3</v>
      </c>
      <c r="I392" s="21">
        <v>12</v>
      </c>
      <c r="J392" s="21">
        <v>24</v>
      </c>
      <c r="K392" s="21">
        <v>135560</v>
      </c>
      <c r="L392" s="21" t="s">
        <v>220</v>
      </c>
      <c r="M392" s="33" t="s">
        <v>221</v>
      </c>
      <c r="N392" s="472">
        <v>97</v>
      </c>
      <c r="O392" s="652"/>
      <c r="P392" s="652" t="s">
        <v>4</v>
      </c>
      <c r="Q392" s="21" t="s">
        <v>68</v>
      </c>
      <c r="R392" s="653" t="s">
        <v>69</v>
      </c>
      <c r="S392" s="33" t="s">
        <v>137</v>
      </c>
      <c r="T392" s="33"/>
      <c r="U392" s="654" t="s">
        <v>1964</v>
      </c>
      <c r="V392" s="653" t="s">
        <v>3</v>
      </c>
      <c r="W392" s="25">
        <v>1</v>
      </c>
      <c r="X392" s="595">
        <v>7000</v>
      </c>
      <c r="Y392" s="855"/>
      <c r="Z392" s="652"/>
      <c r="AA392" s="652"/>
      <c r="AB392" s="856"/>
      <c r="AC392" s="653">
        <v>30</v>
      </c>
      <c r="AD392" s="653">
        <v>30</v>
      </c>
      <c r="AE392" s="855"/>
      <c r="AF392" s="652"/>
      <c r="AG392" s="652"/>
      <c r="AH392" s="652"/>
      <c r="AI392" s="652"/>
      <c r="AJ392" s="857"/>
      <c r="AK392" s="596">
        <v>14000</v>
      </c>
      <c r="AL392" s="472" t="s">
        <v>73</v>
      </c>
      <c r="AM392" s="472" t="s">
        <v>73</v>
      </c>
      <c r="AN392" s="472" t="s">
        <v>73</v>
      </c>
      <c r="AO392" s="472" t="s">
        <v>73</v>
      </c>
      <c r="AP392" s="478">
        <v>7000</v>
      </c>
      <c r="AQ392" s="478">
        <v>7000</v>
      </c>
      <c r="AR392" s="472" t="s">
        <v>73</v>
      </c>
      <c r="AS392" s="472" t="s">
        <v>73</v>
      </c>
      <c r="AT392" s="472" t="s">
        <v>73</v>
      </c>
      <c r="AU392" s="472" t="s">
        <v>73</v>
      </c>
      <c r="AV392" s="472" t="s">
        <v>73</v>
      </c>
      <c r="AW392" s="472" t="s">
        <v>73</v>
      </c>
      <c r="AX392" s="479">
        <v>14000</v>
      </c>
      <c r="AY392" s="479" t="s">
        <v>6</v>
      </c>
      <c r="AZ392" s="652" t="s">
        <v>74</v>
      </c>
      <c r="BA392" s="652"/>
      <c r="BK392" s="481" t="s">
        <v>790</v>
      </c>
      <c r="BL392" s="481" t="s">
        <v>791</v>
      </c>
      <c r="BM392" s="125" t="s">
        <v>1965</v>
      </c>
      <c r="BN392" s="177" t="s">
        <v>1966</v>
      </c>
      <c r="BO392" s="125" t="s">
        <v>1967</v>
      </c>
      <c r="BP392" s="129">
        <v>46154</v>
      </c>
      <c r="BQ392" s="482"/>
      <c r="BR392" s="287">
        <v>4349</v>
      </c>
      <c r="BS392" s="482"/>
      <c r="BT392" s="482" t="s">
        <v>1968</v>
      </c>
      <c r="BU392" s="951" t="s">
        <v>1815</v>
      </c>
      <c r="BV392" s="284" t="s">
        <v>1364</v>
      </c>
      <c r="BW392" s="284" t="s">
        <v>993</v>
      </c>
      <c r="BX392" s="284" t="s">
        <v>1969</v>
      </c>
      <c r="BY392" s="284">
        <v>74762208</v>
      </c>
      <c r="BZ392" s="284">
        <v>10747622081</v>
      </c>
      <c r="CA392" s="288">
        <v>7000</v>
      </c>
      <c r="CB392" s="289">
        <v>46160</v>
      </c>
      <c r="CC392" s="289">
        <v>46203</v>
      </c>
      <c r="CD392" s="759"/>
      <c r="CE392" s="177">
        <f t="shared" si="613"/>
        <v>30</v>
      </c>
      <c r="CF392" s="1019">
        <f>AP392</f>
        <v>7000</v>
      </c>
      <c r="CG392" s="177">
        <v>14</v>
      </c>
      <c r="CH392" s="1019">
        <f t="shared" si="615"/>
        <v>3266.666666666667</v>
      </c>
      <c r="CI392" s="177">
        <v>14</v>
      </c>
      <c r="CJ392" s="1019">
        <f t="shared" si="630"/>
        <v>3266.666666666667</v>
      </c>
      <c r="CK392" s="1041">
        <f t="shared" si="616"/>
        <v>3733.333333333333</v>
      </c>
      <c r="CL392" s="1041">
        <f t="shared" si="617"/>
        <v>3733.333333333333</v>
      </c>
      <c r="CM392" s="1006"/>
      <c r="CN392" s="177">
        <f t="shared" si="618"/>
        <v>30</v>
      </c>
      <c r="CO392" s="1019">
        <f t="shared" si="619"/>
        <v>7000</v>
      </c>
      <c r="CP392" s="177">
        <v>30</v>
      </c>
      <c r="CQ392" s="1019">
        <f t="shared" si="620"/>
        <v>7000</v>
      </c>
      <c r="CR392" s="177">
        <v>30</v>
      </c>
      <c r="CS392" s="1019">
        <f t="shared" si="621"/>
        <v>7000</v>
      </c>
      <c r="CT392" s="177">
        <f t="shared" si="622"/>
        <v>0</v>
      </c>
      <c r="CU392" s="177">
        <f t="shared" si="623"/>
        <v>0</v>
      </c>
      <c r="CV392" s="1006"/>
      <c r="CW392" s="177">
        <f>AX392</f>
        <v>14000</v>
      </c>
      <c r="CX392" s="1019">
        <f t="shared" si="609"/>
        <v>10266.666666666668</v>
      </c>
      <c r="CY392" s="177">
        <f t="shared" si="610"/>
        <v>10266.666666666668</v>
      </c>
      <c r="CZ392" s="1019">
        <f t="shared" si="611"/>
        <v>3733.3333333333321</v>
      </c>
      <c r="DA392" s="177">
        <f t="shared" si="612"/>
        <v>3733.3333333333321</v>
      </c>
      <c r="DB392" s="249"/>
      <c r="DC392" s="241"/>
    </row>
    <row r="393" spans="1:107" ht="51" hidden="1" x14ac:dyDescent="0.25">
      <c r="A393" s="19">
        <v>2026</v>
      </c>
      <c r="B393" s="20">
        <v>479</v>
      </c>
      <c r="C393" s="21" t="s">
        <v>64</v>
      </c>
      <c r="D393" s="21" t="s">
        <v>65</v>
      </c>
      <c r="E393" s="20">
        <v>125</v>
      </c>
      <c r="F393" s="20">
        <v>3000654</v>
      </c>
      <c r="G393" s="20">
        <v>5005023</v>
      </c>
      <c r="H393" s="20">
        <v>3</v>
      </c>
      <c r="I393" s="20">
        <v>12</v>
      </c>
      <c r="J393" s="20">
        <v>24</v>
      </c>
      <c r="K393" s="20">
        <v>135560</v>
      </c>
      <c r="L393" s="21" t="s">
        <v>220</v>
      </c>
      <c r="M393" s="33" t="s">
        <v>221</v>
      </c>
      <c r="N393" s="19">
        <v>97</v>
      </c>
      <c r="O393" s="2"/>
      <c r="P393" s="2" t="s">
        <v>4</v>
      </c>
      <c r="Q393" s="20" t="s">
        <v>68</v>
      </c>
      <c r="R393" s="25" t="s">
        <v>69</v>
      </c>
      <c r="S393" s="41" t="s">
        <v>137</v>
      </c>
      <c r="T393" s="41"/>
      <c r="U393" s="651" t="s">
        <v>1970</v>
      </c>
      <c r="V393" s="25" t="s">
        <v>3</v>
      </c>
      <c r="W393" s="25">
        <v>1</v>
      </c>
      <c r="X393" s="595">
        <v>7000</v>
      </c>
      <c r="Y393" s="619"/>
      <c r="Z393" s="2"/>
      <c r="AA393" s="2"/>
      <c r="AB393" s="620"/>
      <c r="AC393" s="25">
        <v>30</v>
      </c>
      <c r="AD393" s="25">
        <v>30</v>
      </c>
      <c r="AE393" s="619"/>
      <c r="AF393" s="2"/>
      <c r="AG393" s="2"/>
      <c r="AH393" s="2"/>
      <c r="AI393" s="2"/>
      <c r="AJ393" s="621"/>
      <c r="AK393" s="596">
        <v>14000</v>
      </c>
      <c r="AL393" s="29" t="s">
        <v>73</v>
      </c>
      <c r="AM393" s="29" t="s">
        <v>73</v>
      </c>
      <c r="AN393" s="29" t="s">
        <v>73</v>
      </c>
      <c r="AO393" s="29" t="s">
        <v>73</v>
      </c>
      <c r="AP393" s="478">
        <v>7000</v>
      </c>
      <c r="AQ393" s="478">
        <v>7000</v>
      </c>
      <c r="AR393" s="29" t="s">
        <v>73</v>
      </c>
      <c r="AS393" s="29" t="s">
        <v>73</v>
      </c>
      <c r="AT393" s="29" t="s">
        <v>73</v>
      </c>
      <c r="AU393" s="29" t="s">
        <v>73</v>
      </c>
      <c r="AV393" s="29" t="s">
        <v>73</v>
      </c>
      <c r="AW393" s="29" t="s">
        <v>73</v>
      </c>
      <c r="AX393" s="30">
        <v>14000</v>
      </c>
      <c r="AY393" s="479" t="s">
        <v>6</v>
      </c>
      <c r="AZ393" s="2" t="s">
        <v>74</v>
      </c>
      <c r="BA393" s="2"/>
      <c r="BK393" s="481" t="s">
        <v>790</v>
      </c>
      <c r="BL393" s="481" t="s">
        <v>791</v>
      </c>
      <c r="BM393" s="125" t="s">
        <v>1830</v>
      </c>
      <c r="BN393" s="565" t="s">
        <v>1831</v>
      </c>
      <c r="BO393" s="125" t="s">
        <v>1832</v>
      </c>
      <c r="BP393" s="129">
        <v>46175</v>
      </c>
      <c r="BQ393" s="18"/>
      <c r="BR393" s="18"/>
      <c r="BS393" s="18"/>
      <c r="BT393" s="18"/>
      <c r="BU393" s="18"/>
      <c r="BV393" s="481" t="s">
        <v>1971</v>
      </c>
      <c r="BW393" s="481" t="s">
        <v>1972</v>
      </c>
      <c r="BX393" s="481" t="s">
        <v>1973</v>
      </c>
      <c r="BY393" s="284">
        <v>44083457</v>
      </c>
      <c r="BZ393" s="284">
        <v>10440834570</v>
      </c>
      <c r="CA393" s="126">
        <v>7000</v>
      </c>
      <c r="CB393" s="289">
        <v>46178</v>
      </c>
      <c r="CC393" s="289">
        <v>46203</v>
      </c>
      <c r="CD393" s="759"/>
      <c r="CE393" s="177">
        <v>30</v>
      </c>
      <c r="CF393" s="1019">
        <f>AP393</f>
        <v>7000</v>
      </c>
      <c r="CG393" s="177"/>
      <c r="CH393" s="1019">
        <v>0</v>
      </c>
      <c r="CI393" s="177"/>
      <c r="CJ393" s="1019">
        <v>0</v>
      </c>
      <c r="CK393" s="177">
        <f>CF393-CH393</f>
        <v>7000</v>
      </c>
      <c r="CL393" s="177">
        <f>CF393-CJ393</f>
        <v>7000</v>
      </c>
      <c r="CM393" s="1006"/>
      <c r="CN393" s="177">
        <v>30</v>
      </c>
      <c r="CO393" s="1019">
        <f>AQ393</f>
        <v>7000</v>
      </c>
      <c r="CP393" s="177">
        <v>26</v>
      </c>
      <c r="CQ393" s="1019">
        <f>(X393/30)*CP393</f>
        <v>6066.666666666667</v>
      </c>
      <c r="CR393" s="414">
        <v>26</v>
      </c>
      <c r="CS393" s="1019">
        <f>(X393/30)*CR393</f>
        <v>6066.666666666667</v>
      </c>
      <c r="CT393" s="414">
        <f>CO393-CQ393</f>
        <v>933.33333333333303</v>
      </c>
      <c r="CU393" s="177">
        <f>CO393-CS393</f>
        <v>933.33333333333303</v>
      </c>
      <c r="CV393" s="1006"/>
      <c r="CW393" s="177">
        <f t="shared" si="608"/>
        <v>14000</v>
      </c>
      <c r="CX393" s="1019">
        <f t="shared" si="609"/>
        <v>6066.666666666667</v>
      </c>
      <c r="CY393" s="177">
        <f t="shared" si="610"/>
        <v>6066.666666666667</v>
      </c>
      <c r="CZ393" s="1019">
        <f t="shared" si="611"/>
        <v>7933.333333333333</v>
      </c>
      <c r="DA393" s="177">
        <f t="shared" si="612"/>
        <v>7933.333333333333</v>
      </c>
      <c r="DB393" s="126"/>
      <c r="DC393" s="125"/>
    </row>
    <row r="394" spans="1:107" ht="51" hidden="1" x14ac:dyDescent="0.25">
      <c r="A394" s="19">
        <v>2026</v>
      </c>
      <c r="B394" s="20">
        <v>479</v>
      </c>
      <c r="C394" s="21" t="s">
        <v>64</v>
      </c>
      <c r="D394" s="21" t="s">
        <v>65</v>
      </c>
      <c r="E394" s="20">
        <v>125</v>
      </c>
      <c r="F394" s="20">
        <v>3000654</v>
      </c>
      <c r="G394" s="20">
        <v>5005023</v>
      </c>
      <c r="H394" s="20">
        <v>3</v>
      </c>
      <c r="I394" s="20">
        <v>12</v>
      </c>
      <c r="J394" s="20">
        <v>24</v>
      </c>
      <c r="K394" s="20">
        <v>135560</v>
      </c>
      <c r="L394" s="21" t="s">
        <v>220</v>
      </c>
      <c r="M394" s="33" t="s">
        <v>221</v>
      </c>
      <c r="N394" s="19">
        <v>97</v>
      </c>
      <c r="O394" s="2"/>
      <c r="P394" s="2" t="s">
        <v>4</v>
      </c>
      <c r="Q394" s="20" t="s">
        <v>68</v>
      </c>
      <c r="R394" s="25" t="s">
        <v>69</v>
      </c>
      <c r="S394" s="41" t="s">
        <v>137</v>
      </c>
      <c r="T394" s="41"/>
      <c r="U394" s="31" t="s">
        <v>261</v>
      </c>
      <c r="V394" s="25" t="s">
        <v>3</v>
      </c>
      <c r="W394" s="25">
        <v>1</v>
      </c>
      <c r="X394" s="595">
        <v>7000</v>
      </c>
      <c r="Y394" s="619"/>
      <c r="Z394" s="2"/>
      <c r="AA394" s="2"/>
      <c r="AB394" s="620"/>
      <c r="AC394" s="25">
        <v>30</v>
      </c>
      <c r="AD394" s="25">
        <v>30</v>
      </c>
      <c r="AE394" s="619"/>
      <c r="AF394" s="2"/>
      <c r="AG394" s="2"/>
      <c r="AH394" s="2"/>
      <c r="AI394" s="2"/>
      <c r="AJ394" s="621"/>
      <c r="AK394" s="596">
        <v>14000</v>
      </c>
      <c r="AL394" s="29" t="s">
        <v>73</v>
      </c>
      <c r="AM394" s="29" t="s">
        <v>73</v>
      </c>
      <c r="AN394" s="29" t="s">
        <v>73</v>
      </c>
      <c r="AO394" s="29" t="s">
        <v>73</v>
      </c>
      <c r="AP394" s="478">
        <v>7000</v>
      </c>
      <c r="AQ394" s="478">
        <v>7000</v>
      </c>
      <c r="AR394" s="29" t="s">
        <v>73</v>
      </c>
      <c r="AS394" s="29" t="s">
        <v>73</v>
      </c>
      <c r="AT394" s="29" t="s">
        <v>73</v>
      </c>
      <c r="AU394" s="29" t="s">
        <v>73</v>
      </c>
      <c r="AV394" s="29" t="s">
        <v>73</v>
      </c>
      <c r="AW394" s="29" t="s">
        <v>73</v>
      </c>
      <c r="AX394" s="30">
        <v>14000</v>
      </c>
      <c r="AY394" s="479" t="s">
        <v>6</v>
      </c>
      <c r="AZ394" s="2" t="s">
        <v>74</v>
      </c>
      <c r="BA394" s="2"/>
      <c r="BK394" s="481" t="s">
        <v>790</v>
      </c>
      <c r="BL394" s="481" t="s">
        <v>791</v>
      </c>
      <c r="BM394" s="125" t="s">
        <v>1974</v>
      </c>
      <c r="BN394" s="177" t="s">
        <v>1975</v>
      </c>
      <c r="BO394" s="125" t="s">
        <v>1976</v>
      </c>
      <c r="BP394" s="129">
        <v>46140</v>
      </c>
      <c r="BQ394" s="18"/>
      <c r="BR394" s="505">
        <v>3362</v>
      </c>
      <c r="BS394" s="18"/>
      <c r="BT394" s="264" t="s">
        <v>1809</v>
      </c>
      <c r="BU394" s="951" t="s">
        <v>1815</v>
      </c>
      <c r="BV394" s="284" t="s">
        <v>1977</v>
      </c>
      <c r="BW394" s="284" t="s">
        <v>1978</v>
      </c>
      <c r="BX394" s="284" t="s">
        <v>1979</v>
      </c>
      <c r="BY394" s="284">
        <v>42212180</v>
      </c>
      <c r="BZ394" s="284">
        <v>10422121809</v>
      </c>
      <c r="CA394" s="126">
        <v>7000</v>
      </c>
      <c r="CB394" s="289">
        <v>46144</v>
      </c>
      <c r="CC394" s="289">
        <v>46203</v>
      </c>
      <c r="CD394" s="759"/>
      <c r="CE394" s="177">
        <f t="shared" si="613"/>
        <v>30</v>
      </c>
      <c r="CF394" s="1019">
        <f t="shared" si="614"/>
        <v>7000</v>
      </c>
      <c r="CG394" s="177">
        <v>30</v>
      </c>
      <c r="CH394" s="1019">
        <v>7000</v>
      </c>
      <c r="CI394" s="1019">
        <v>30</v>
      </c>
      <c r="CJ394" s="1019">
        <f t="shared" ref="CJ394:CJ404" si="631">(X394/30)*CI394</f>
        <v>7000</v>
      </c>
      <c r="CK394" s="177">
        <f t="shared" si="616"/>
        <v>0</v>
      </c>
      <c r="CL394" s="177">
        <f t="shared" si="617"/>
        <v>0</v>
      </c>
      <c r="CM394" s="1006"/>
      <c r="CN394" s="177">
        <f t="shared" si="618"/>
        <v>30</v>
      </c>
      <c r="CO394" s="1019">
        <f t="shared" si="619"/>
        <v>7000</v>
      </c>
      <c r="CP394" s="177">
        <v>30</v>
      </c>
      <c r="CQ394" s="1019">
        <f t="shared" si="620"/>
        <v>7000</v>
      </c>
      <c r="CR394" s="1019">
        <v>30</v>
      </c>
      <c r="CS394" s="1019">
        <f t="shared" si="621"/>
        <v>7000</v>
      </c>
      <c r="CT394" s="177">
        <f t="shared" si="622"/>
        <v>0</v>
      </c>
      <c r="CU394" s="177">
        <f t="shared" si="623"/>
        <v>0</v>
      </c>
      <c r="CV394" s="1006"/>
      <c r="CW394" s="177">
        <f t="shared" si="608"/>
        <v>14000</v>
      </c>
      <c r="CX394" s="1019">
        <f t="shared" si="609"/>
        <v>14000</v>
      </c>
      <c r="CY394" s="177">
        <f t="shared" si="610"/>
        <v>14000</v>
      </c>
      <c r="CZ394" s="1019">
        <f t="shared" si="611"/>
        <v>0</v>
      </c>
      <c r="DA394" s="177">
        <f t="shared" si="612"/>
        <v>0</v>
      </c>
      <c r="DB394" s="126"/>
      <c r="DC394" s="125"/>
    </row>
    <row r="395" spans="1:107" ht="51" hidden="1" x14ac:dyDescent="0.25">
      <c r="A395" s="19">
        <v>2026</v>
      </c>
      <c r="B395" s="20">
        <v>479</v>
      </c>
      <c r="C395" s="21" t="s">
        <v>64</v>
      </c>
      <c r="D395" s="21" t="s">
        <v>65</v>
      </c>
      <c r="E395" s="20">
        <v>125</v>
      </c>
      <c r="F395" s="20">
        <v>3000654</v>
      </c>
      <c r="G395" s="20">
        <v>5005023</v>
      </c>
      <c r="H395" s="20">
        <v>3</v>
      </c>
      <c r="I395" s="20">
        <v>12</v>
      </c>
      <c r="J395" s="20">
        <v>24</v>
      </c>
      <c r="K395" s="20">
        <v>135560</v>
      </c>
      <c r="L395" s="21" t="s">
        <v>98</v>
      </c>
      <c r="M395" s="33" t="s">
        <v>99</v>
      </c>
      <c r="N395" s="19">
        <v>94</v>
      </c>
      <c r="O395" s="2"/>
      <c r="P395" s="2" t="s">
        <v>4</v>
      </c>
      <c r="Q395" s="20" t="s">
        <v>68</v>
      </c>
      <c r="R395" s="25" t="s">
        <v>69</v>
      </c>
      <c r="S395" s="41" t="s">
        <v>137</v>
      </c>
      <c r="T395" s="41"/>
      <c r="U395" s="651" t="s">
        <v>1980</v>
      </c>
      <c r="V395" s="25" t="s">
        <v>3</v>
      </c>
      <c r="W395" s="25">
        <v>1</v>
      </c>
      <c r="X395" s="595">
        <v>7000</v>
      </c>
      <c r="Y395" s="619"/>
      <c r="Z395" s="2"/>
      <c r="AA395" s="2"/>
      <c r="AB395" s="620"/>
      <c r="AC395" s="25">
        <v>30</v>
      </c>
      <c r="AD395" s="25">
        <v>0</v>
      </c>
      <c r="AE395" s="619"/>
      <c r="AF395" s="2"/>
      <c r="AG395" s="2"/>
      <c r="AH395" s="2"/>
      <c r="AI395" s="2"/>
      <c r="AJ395" s="621"/>
      <c r="AK395" s="596">
        <v>7000</v>
      </c>
      <c r="AL395" s="29" t="s">
        <v>73</v>
      </c>
      <c r="AM395" s="29" t="s">
        <v>73</v>
      </c>
      <c r="AN395" s="29" t="s">
        <v>73</v>
      </c>
      <c r="AO395" s="29" t="s">
        <v>73</v>
      </c>
      <c r="AP395" s="478">
        <v>7000</v>
      </c>
      <c r="AQ395" s="648">
        <v>0</v>
      </c>
      <c r="AR395" s="29" t="s">
        <v>73</v>
      </c>
      <c r="AS395" s="29" t="s">
        <v>73</v>
      </c>
      <c r="AT395" s="29" t="s">
        <v>73</v>
      </c>
      <c r="AU395" s="29" t="s">
        <v>73</v>
      </c>
      <c r="AV395" s="29" t="s">
        <v>73</v>
      </c>
      <c r="AW395" s="29" t="s">
        <v>73</v>
      </c>
      <c r="AX395" s="30">
        <v>7000</v>
      </c>
      <c r="AY395" s="165" t="s">
        <v>6</v>
      </c>
      <c r="AZ395" s="2" t="s">
        <v>74</v>
      </c>
      <c r="BA395" s="2"/>
      <c r="BK395" s="147" t="s">
        <v>790</v>
      </c>
      <c r="BL395" s="481" t="s">
        <v>791</v>
      </c>
      <c r="BM395" s="125" t="s">
        <v>1806</v>
      </c>
      <c r="BN395" s="649" t="s">
        <v>1807</v>
      </c>
      <c r="BO395" s="125" t="s">
        <v>1808</v>
      </c>
      <c r="BP395" s="129">
        <v>46134</v>
      </c>
      <c r="BQ395" s="18"/>
      <c r="BR395" s="505" t="s">
        <v>1981</v>
      </c>
      <c r="BS395" s="18"/>
      <c r="BT395" s="264" t="s">
        <v>1809</v>
      </c>
      <c r="BU395" s="18"/>
      <c r="BV395" s="552" t="s">
        <v>798</v>
      </c>
      <c r="BW395" s="646" t="s">
        <v>1058</v>
      </c>
      <c r="BX395" s="646" t="s">
        <v>1982</v>
      </c>
      <c r="BY395" s="552">
        <v>73696074</v>
      </c>
      <c r="BZ395" s="552">
        <v>10736960741</v>
      </c>
      <c r="CA395" s="126">
        <v>7000</v>
      </c>
      <c r="CB395" s="289">
        <v>46143</v>
      </c>
      <c r="CC395" s="289">
        <v>46173</v>
      </c>
      <c r="CD395" s="759"/>
      <c r="CE395" s="177">
        <f t="shared" si="613"/>
        <v>30</v>
      </c>
      <c r="CF395" s="1019">
        <f t="shared" si="614"/>
        <v>7000</v>
      </c>
      <c r="CG395" s="177">
        <v>30</v>
      </c>
      <c r="CH395" s="1019">
        <f t="shared" si="615"/>
        <v>7000</v>
      </c>
      <c r="CI395" s="177">
        <v>30</v>
      </c>
      <c r="CJ395" s="1019">
        <f t="shared" si="631"/>
        <v>7000</v>
      </c>
      <c r="CK395" s="177">
        <f t="shared" si="616"/>
        <v>0</v>
      </c>
      <c r="CL395" s="177">
        <f t="shared" si="617"/>
        <v>0</v>
      </c>
      <c r="CM395" s="1006"/>
      <c r="CN395" s="177">
        <f t="shared" si="618"/>
        <v>0</v>
      </c>
      <c r="CO395" s="1019">
        <f t="shared" si="619"/>
        <v>0</v>
      </c>
      <c r="CP395" s="177"/>
      <c r="CQ395" s="1019">
        <f t="shared" si="620"/>
        <v>0</v>
      </c>
      <c r="CR395" s="1019"/>
      <c r="CS395" s="1019">
        <f t="shared" si="621"/>
        <v>0</v>
      </c>
      <c r="CT395" s="177">
        <f t="shared" si="622"/>
        <v>0</v>
      </c>
      <c r="CU395" s="177">
        <f t="shared" si="623"/>
        <v>0</v>
      </c>
      <c r="CV395" s="1006"/>
      <c r="CW395" s="177">
        <f t="shared" si="608"/>
        <v>7000</v>
      </c>
      <c r="CX395" s="1019">
        <f t="shared" si="609"/>
        <v>7000</v>
      </c>
      <c r="CY395" s="177">
        <f t="shared" si="610"/>
        <v>7000</v>
      </c>
      <c r="CZ395" s="1019">
        <f t="shared" si="611"/>
        <v>0</v>
      </c>
      <c r="DA395" s="177">
        <f t="shared" si="612"/>
        <v>0</v>
      </c>
      <c r="DB395" s="126"/>
      <c r="DC395" s="125"/>
    </row>
    <row r="396" spans="1:107" ht="51" hidden="1" x14ac:dyDescent="0.25">
      <c r="A396" s="19">
        <v>2026</v>
      </c>
      <c r="B396" s="20">
        <v>479</v>
      </c>
      <c r="C396" s="21" t="s">
        <v>64</v>
      </c>
      <c r="D396" s="21" t="s">
        <v>65</v>
      </c>
      <c r="E396" s="20">
        <v>125</v>
      </c>
      <c r="F396" s="20">
        <v>3000654</v>
      </c>
      <c r="G396" s="20">
        <v>5005023</v>
      </c>
      <c r="H396" s="20">
        <v>3</v>
      </c>
      <c r="I396" s="20">
        <v>12</v>
      </c>
      <c r="J396" s="20">
        <v>24</v>
      </c>
      <c r="K396" s="20">
        <v>135560</v>
      </c>
      <c r="L396" s="21" t="s">
        <v>220</v>
      </c>
      <c r="M396" s="33" t="s">
        <v>221</v>
      </c>
      <c r="N396" s="19">
        <v>97</v>
      </c>
      <c r="O396" s="2"/>
      <c r="P396" s="2" t="s">
        <v>4</v>
      </c>
      <c r="Q396" s="20" t="s">
        <v>68</v>
      </c>
      <c r="R396" s="25" t="s">
        <v>69</v>
      </c>
      <c r="S396" s="41" t="s">
        <v>137</v>
      </c>
      <c r="T396" s="41"/>
      <c r="U396" s="651" t="s">
        <v>1980</v>
      </c>
      <c r="V396" s="25" t="s">
        <v>3</v>
      </c>
      <c r="W396" s="25">
        <v>1</v>
      </c>
      <c r="X396" s="595">
        <v>7000</v>
      </c>
      <c r="Y396" s="619"/>
      <c r="Z396" s="2"/>
      <c r="AA396" s="2"/>
      <c r="AB396" s="620"/>
      <c r="AC396" s="25">
        <v>0</v>
      </c>
      <c r="AD396" s="25">
        <v>30</v>
      </c>
      <c r="AE396" s="619"/>
      <c r="AF396" s="2"/>
      <c r="AG396" s="2"/>
      <c r="AH396" s="2"/>
      <c r="AI396" s="2"/>
      <c r="AJ396" s="621"/>
      <c r="AK396" s="596">
        <v>7000</v>
      </c>
      <c r="AL396" s="29" t="s">
        <v>73</v>
      </c>
      <c r="AM396" s="29" t="s">
        <v>73</v>
      </c>
      <c r="AN396" s="29" t="s">
        <v>73</v>
      </c>
      <c r="AO396" s="29" t="s">
        <v>73</v>
      </c>
      <c r="AP396" s="648">
        <v>0</v>
      </c>
      <c r="AQ396" s="478">
        <v>7000</v>
      </c>
      <c r="AR396" s="29" t="s">
        <v>73</v>
      </c>
      <c r="AS396" s="29" t="s">
        <v>73</v>
      </c>
      <c r="AT396" s="29" t="s">
        <v>73</v>
      </c>
      <c r="AU396" s="29" t="s">
        <v>73</v>
      </c>
      <c r="AV396" s="29" t="s">
        <v>73</v>
      </c>
      <c r="AW396" s="29" t="s">
        <v>73</v>
      </c>
      <c r="AX396" s="30">
        <v>7000</v>
      </c>
      <c r="AY396" s="479" t="s">
        <v>6</v>
      </c>
      <c r="AZ396" s="2" t="s">
        <v>74</v>
      </c>
      <c r="BA396" s="2"/>
      <c r="BK396" s="125" t="s">
        <v>790</v>
      </c>
      <c r="BL396" s="481" t="s">
        <v>791</v>
      </c>
      <c r="BM396" s="125" t="s">
        <v>1812</v>
      </c>
      <c r="BN396" s="177" t="s">
        <v>1813</v>
      </c>
      <c r="BO396" s="125" t="s">
        <v>1814</v>
      </c>
      <c r="BP396" s="129">
        <v>46156</v>
      </c>
      <c r="BQ396" s="18"/>
      <c r="BR396" s="952">
        <v>5020</v>
      </c>
      <c r="BS396" s="18"/>
      <c r="BT396" s="18"/>
      <c r="BU396" s="18" t="s">
        <v>1815</v>
      </c>
      <c r="BV396" s="552" t="s">
        <v>798</v>
      </c>
      <c r="BW396" s="649" t="s">
        <v>1058</v>
      </c>
      <c r="BX396" s="649" t="s">
        <v>1982</v>
      </c>
      <c r="BY396" s="552">
        <v>73696074</v>
      </c>
      <c r="BZ396" s="552">
        <v>10736960741</v>
      </c>
      <c r="CA396" s="650">
        <v>7000</v>
      </c>
      <c r="CB396" s="289">
        <v>46174</v>
      </c>
      <c r="CC396" s="289">
        <v>46203</v>
      </c>
      <c r="CD396" s="759"/>
      <c r="CE396" s="177">
        <f t="shared" si="613"/>
        <v>0</v>
      </c>
      <c r="CF396" s="1019">
        <f t="shared" si="614"/>
        <v>0</v>
      </c>
      <c r="CG396" s="177"/>
      <c r="CH396" s="1019">
        <f t="shared" si="615"/>
        <v>0</v>
      </c>
      <c r="CI396" s="177"/>
      <c r="CJ396" s="1019">
        <f t="shared" si="631"/>
        <v>0</v>
      </c>
      <c r="CK396" s="177">
        <f t="shared" si="616"/>
        <v>0</v>
      </c>
      <c r="CL396" s="177">
        <f t="shared" si="617"/>
        <v>0</v>
      </c>
      <c r="CM396" s="1006"/>
      <c r="CN396" s="177">
        <f t="shared" si="618"/>
        <v>30</v>
      </c>
      <c r="CO396" s="1019">
        <f t="shared" si="619"/>
        <v>7000</v>
      </c>
      <c r="CP396" s="177">
        <v>30</v>
      </c>
      <c r="CQ396" s="1019">
        <f t="shared" si="620"/>
        <v>7000</v>
      </c>
      <c r="CR396" s="1019">
        <v>30</v>
      </c>
      <c r="CS396" s="1019">
        <f t="shared" si="621"/>
        <v>7000</v>
      </c>
      <c r="CT396" s="177">
        <f t="shared" si="622"/>
        <v>0</v>
      </c>
      <c r="CU396" s="177">
        <f t="shared" si="623"/>
        <v>0</v>
      </c>
      <c r="CV396" s="1006"/>
      <c r="CW396" s="177">
        <f t="shared" si="608"/>
        <v>7000</v>
      </c>
      <c r="CX396" s="1019">
        <f t="shared" si="609"/>
        <v>7000</v>
      </c>
      <c r="CY396" s="177">
        <f t="shared" si="610"/>
        <v>7000</v>
      </c>
      <c r="CZ396" s="1019">
        <f t="shared" si="611"/>
        <v>0</v>
      </c>
      <c r="DA396" s="177">
        <f t="shared" si="612"/>
        <v>0</v>
      </c>
      <c r="DB396" s="126"/>
      <c r="DC396" s="125"/>
    </row>
    <row r="397" spans="1:107" ht="51" hidden="1" x14ac:dyDescent="0.25">
      <c r="A397" s="19">
        <v>2026</v>
      </c>
      <c r="B397" s="20">
        <v>479</v>
      </c>
      <c r="C397" s="21" t="s">
        <v>64</v>
      </c>
      <c r="D397" s="21" t="s">
        <v>65</v>
      </c>
      <c r="E397" s="20">
        <v>125</v>
      </c>
      <c r="F397" s="20">
        <v>3000654</v>
      </c>
      <c r="G397" s="20">
        <v>5005023</v>
      </c>
      <c r="H397" s="20">
        <v>3</v>
      </c>
      <c r="I397" s="20">
        <v>12</v>
      </c>
      <c r="J397" s="20">
        <v>24</v>
      </c>
      <c r="K397" s="20">
        <v>135560</v>
      </c>
      <c r="L397" s="21" t="s">
        <v>98</v>
      </c>
      <c r="M397" s="33" t="s">
        <v>99</v>
      </c>
      <c r="N397" s="19">
        <v>94</v>
      </c>
      <c r="O397" s="2"/>
      <c r="P397" s="2" t="s">
        <v>4</v>
      </c>
      <c r="Q397" s="20" t="s">
        <v>68</v>
      </c>
      <c r="R397" s="25" t="s">
        <v>69</v>
      </c>
      <c r="S397" s="41" t="s">
        <v>137</v>
      </c>
      <c r="T397" s="41"/>
      <c r="U397" s="31" t="s">
        <v>263</v>
      </c>
      <c r="V397" s="25" t="s">
        <v>3</v>
      </c>
      <c r="W397" s="25">
        <v>1</v>
      </c>
      <c r="X397" s="595">
        <v>7000</v>
      </c>
      <c r="Y397" s="619"/>
      <c r="Z397" s="2"/>
      <c r="AA397" s="2"/>
      <c r="AB397" s="620"/>
      <c r="AC397" s="25">
        <v>30</v>
      </c>
      <c r="AD397" s="25">
        <v>0</v>
      </c>
      <c r="AE397" s="619"/>
      <c r="AF397" s="2"/>
      <c r="AG397" s="2"/>
      <c r="AH397" s="2"/>
      <c r="AI397" s="2"/>
      <c r="AJ397" s="621"/>
      <c r="AK397" s="596">
        <v>7000</v>
      </c>
      <c r="AL397" s="29" t="s">
        <v>73</v>
      </c>
      <c r="AM397" s="29" t="s">
        <v>73</v>
      </c>
      <c r="AN397" s="29" t="s">
        <v>73</v>
      </c>
      <c r="AO397" s="29" t="s">
        <v>73</v>
      </c>
      <c r="AP397" s="478">
        <v>7000</v>
      </c>
      <c r="AQ397" s="648">
        <v>0</v>
      </c>
      <c r="AR397" s="29" t="s">
        <v>73</v>
      </c>
      <c r="AS397" s="29" t="s">
        <v>73</v>
      </c>
      <c r="AT397" s="29" t="s">
        <v>73</v>
      </c>
      <c r="AU397" s="29" t="s">
        <v>73</v>
      </c>
      <c r="AV397" s="29" t="s">
        <v>73</v>
      </c>
      <c r="AW397" s="29" t="s">
        <v>73</v>
      </c>
      <c r="AX397" s="30">
        <v>7000</v>
      </c>
      <c r="AY397" s="165" t="s">
        <v>6</v>
      </c>
      <c r="AZ397" s="2" t="s">
        <v>74</v>
      </c>
      <c r="BA397" s="2"/>
      <c r="BK397" s="147" t="s">
        <v>790</v>
      </c>
      <c r="BL397" s="481" t="s">
        <v>791</v>
      </c>
      <c r="BM397" s="125" t="s">
        <v>1806</v>
      </c>
      <c r="BN397" s="649" t="s">
        <v>1807</v>
      </c>
      <c r="BO397" s="125" t="s">
        <v>1808</v>
      </c>
      <c r="BP397" s="129">
        <v>46134</v>
      </c>
      <c r="BQ397" s="18"/>
      <c r="BR397" s="505" t="s">
        <v>1983</v>
      </c>
      <c r="BS397" s="18"/>
      <c r="BT397" s="264" t="s">
        <v>1809</v>
      </c>
      <c r="BU397" s="18"/>
      <c r="BV397" s="552" t="s">
        <v>1984</v>
      </c>
      <c r="BW397" s="646" t="s">
        <v>830</v>
      </c>
      <c r="BX397" s="646" t="s">
        <v>923</v>
      </c>
      <c r="BY397" s="552" t="s">
        <v>1985</v>
      </c>
      <c r="BZ397" s="552">
        <v>10434824163</v>
      </c>
      <c r="CA397" s="126">
        <v>7000</v>
      </c>
      <c r="CB397" s="289">
        <v>46143</v>
      </c>
      <c r="CC397" s="289">
        <v>46173</v>
      </c>
      <c r="CD397" s="759"/>
      <c r="CE397" s="177">
        <f t="shared" si="613"/>
        <v>30</v>
      </c>
      <c r="CF397" s="1019">
        <f t="shared" si="614"/>
        <v>7000</v>
      </c>
      <c r="CG397" s="177">
        <v>30</v>
      </c>
      <c r="CH397" s="1019">
        <f t="shared" si="615"/>
        <v>7000</v>
      </c>
      <c r="CI397" s="177">
        <v>30</v>
      </c>
      <c r="CJ397" s="1019">
        <f t="shared" si="631"/>
        <v>7000</v>
      </c>
      <c r="CK397" s="177">
        <f t="shared" si="616"/>
        <v>0</v>
      </c>
      <c r="CL397" s="177">
        <f t="shared" si="617"/>
        <v>0</v>
      </c>
      <c r="CM397" s="1006"/>
      <c r="CN397" s="177">
        <f t="shared" si="618"/>
        <v>0</v>
      </c>
      <c r="CO397" s="1019">
        <f t="shared" si="619"/>
        <v>0</v>
      </c>
      <c r="CP397" s="177"/>
      <c r="CQ397" s="1019">
        <f t="shared" si="620"/>
        <v>0</v>
      </c>
      <c r="CR397" s="1019"/>
      <c r="CS397" s="1019">
        <f t="shared" si="621"/>
        <v>0</v>
      </c>
      <c r="CT397" s="177">
        <f t="shared" si="622"/>
        <v>0</v>
      </c>
      <c r="CU397" s="177">
        <f t="shared" si="623"/>
        <v>0</v>
      </c>
      <c r="CV397" s="1006"/>
      <c r="CW397" s="177">
        <f t="shared" si="608"/>
        <v>7000</v>
      </c>
      <c r="CX397" s="1019">
        <f t="shared" si="609"/>
        <v>7000</v>
      </c>
      <c r="CY397" s="177">
        <f t="shared" si="610"/>
        <v>7000</v>
      </c>
      <c r="CZ397" s="1019">
        <f t="shared" si="611"/>
        <v>0</v>
      </c>
      <c r="DA397" s="177">
        <f t="shared" si="612"/>
        <v>0</v>
      </c>
      <c r="DB397" s="126"/>
      <c r="DC397" s="125"/>
    </row>
    <row r="398" spans="1:107" ht="51" hidden="1" x14ac:dyDescent="0.25">
      <c r="A398" s="19">
        <v>2026</v>
      </c>
      <c r="B398" s="20">
        <v>479</v>
      </c>
      <c r="C398" s="21" t="s">
        <v>64</v>
      </c>
      <c r="D398" s="21" t="s">
        <v>65</v>
      </c>
      <c r="E398" s="20">
        <v>125</v>
      </c>
      <c r="F398" s="20">
        <v>3000654</v>
      </c>
      <c r="G398" s="20">
        <v>5005023</v>
      </c>
      <c r="H398" s="20">
        <v>3</v>
      </c>
      <c r="I398" s="20">
        <v>12</v>
      </c>
      <c r="J398" s="20">
        <v>24</v>
      </c>
      <c r="K398" s="20">
        <v>135560</v>
      </c>
      <c r="L398" s="21" t="s">
        <v>220</v>
      </c>
      <c r="M398" s="33" t="s">
        <v>221</v>
      </c>
      <c r="N398" s="19">
        <v>97</v>
      </c>
      <c r="O398" s="2"/>
      <c r="P398" s="2" t="s">
        <v>4</v>
      </c>
      <c r="Q398" s="20" t="s">
        <v>68</v>
      </c>
      <c r="R398" s="25" t="s">
        <v>69</v>
      </c>
      <c r="S398" s="41" t="s">
        <v>137</v>
      </c>
      <c r="T398" s="41"/>
      <c r="U398" s="31" t="s">
        <v>263</v>
      </c>
      <c r="V398" s="25" t="s">
        <v>3</v>
      </c>
      <c r="W398" s="25">
        <v>1</v>
      </c>
      <c r="X398" s="595">
        <v>7000</v>
      </c>
      <c r="Y398" s="619"/>
      <c r="Z398" s="2"/>
      <c r="AA398" s="2"/>
      <c r="AB398" s="620"/>
      <c r="AC398" s="25">
        <v>0</v>
      </c>
      <c r="AD398" s="25">
        <v>30</v>
      </c>
      <c r="AE398" s="619"/>
      <c r="AF398" s="2"/>
      <c r="AG398" s="2"/>
      <c r="AH398" s="2"/>
      <c r="AI398" s="2"/>
      <c r="AJ398" s="621"/>
      <c r="AK398" s="596">
        <v>7000</v>
      </c>
      <c r="AL398" s="29" t="s">
        <v>73</v>
      </c>
      <c r="AM398" s="29" t="s">
        <v>73</v>
      </c>
      <c r="AN398" s="29" t="s">
        <v>73</v>
      </c>
      <c r="AO398" s="29" t="s">
        <v>73</v>
      </c>
      <c r="AP398" s="648">
        <v>0</v>
      </c>
      <c r="AQ398" s="478">
        <v>7000</v>
      </c>
      <c r="AR398" s="29" t="s">
        <v>73</v>
      </c>
      <c r="AS398" s="29" t="s">
        <v>73</v>
      </c>
      <c r="AT398" s="29" t="s">
        <v>73</v>
      </c>
      <c r="AU398" s="29" t="s">
        <v>73</v>
      </c>
      <c r="AV398" s="29" t="s">
        <v>73</v>
      </c>
      <c r="AW398" s="29" t="s">
        <v>73</v>
      </c>
      <c r="AX398" s="30">
        <v>7000</v>
      </c>
      <c r="AY398" s="479" t="s">
        <v>6</v>
      </c>
      <c r="AZ398" s="2" t="s">
        <v>74</v>
      </c>
      <c r="BA398" s="2"/>
      <c r="BK398" s="125" t="s">
        <v>790</v>
      </c>
      <c r="BL398" s="481" t="s">
        <v>791</v>
      </c>
      <c r="BM398" s="125" t="s">
        <v>1812</v>
      </c>
      <c r="BN398" s="177" t="s">
        <v>1813</v>
      </c>
      <c r="BO398" s="125" t="s">
        <v>1814</v>
      </c>
      <c r="BP398" s="129">
        <v>46156</v>
      </c>
      <c r="BQ398" s="18"/>
      <c r="BR398" s="239">
        <v>5021</v>
      </c>
      <c r="BS398" s="18"/>
      <c r="BT398" s="18"/>
      <c r="BU398" s="18" t="s">
        <v>1815</v>
      </c>
      <c r="BV398" s="552" t="s">
        <v>1984</v>
      </c>
      <c r="BW398" s="649" t="s">
        <v>830</v>
      </c>
      <c r="BX398" s="649" t="s">
        <v>923</v>
      </c>
      <c r="BY398" s="552" t="s">
        <v>1985</v>
      </c>
      <c r="BZ398" s="552">
        <v>10434824163</v>
      </c>
      <c r="CA398" s="650">
        <v>7000</v>
      </c>
      <c r="CB398" s="289">
        <v>46174</v>
      </c>
      <c r="CC398" s="289">
        <v>46203</v>
      </c>
      <c r="CD398" s="759"/>
      <c r="CE398" s="177">
        <f t="shared" si="613"/>
        <v>0</v>
      </c>
      <c r="CF398" s="1019">
        <f t="shared" si="614"/>
        <v>0</v>
      </c>
      <c r="CG398" s="177"/>
      <c r="CH398" s="1019">
        <f t="shared" si="615"/>
        <v>0</v>
      </c>
      <c r="CI398" s="177"/>
      <c r="CJ398" s="1019">
        <f t="shared" si="631"/>
        <v>0</v>
      </c>
      <c r="CK398" s="177">
        <f t="shared" si="616"/>
        <v>0</v>
      </c>
      <c r="CL398" s="177">
        <f t="shared" si="617"/>
        <v>0</v>
      </c>
      <c r="CM398" s="1006"/>
      <c r="CN398" s="177">
        <f t="shared" si="618"/>
        <v>30</v>
      </c>
      <c r="CO398" s="1019">
        <f t="shared" si="619"/>
        <v>7000</v>
      </c>
      <c r="CP398" s="177">
        <v>30</v>
      </c>
      <c r="CQ398" s="1019">
        <f t="shared" si="620"/>
        <v>7000</v>
      </c>
      <c r="CR398" s="1019">
        <v>30</v>
      </c>
      <c r="CS398" s="1019">
        <f t="shared" si="621"/>
        <v>7000</v>
      </c>
      <c r="CT398" s="177">
        <f t="shared" si="622"/>
        <v>0</v>
      </c>
      <c r="CU398" s="177">
        <f t="shared" si="623"/>
        <v>0</v>
      </c>
      <c r="CV398" s="1006"/>
      <c r="CW398" s="177">
        <f t="shared" si="608"/>
        <v>7000</v>
      </c>
      <c r="CX398" s="1019">
        <f t="shared" si="609"/>
        <v>7000</v>
      </c>
      <c r="CY398" s="177">
        <f t="shared" si="610"/>
        <v>7000</v>
      </c>
      <c r="CZ398" s="1019">
        <f t="shared" si="611"/>
        <v>0</v>
      </c>
      <c r="DA398" s="177">
        <f t="shared" si="612"/>
        <v>0</v>
      </c>
      <c r="DB398" s="126"/>
      <c r="DC398" s="125"/>
    </row>
    <row r="399" spans="1:107" ht="51" hidden="1" x14ac:dyDescent="0.25">
      <c r="A399" s="19">
        <v>2026</v>
      </c>
      <c r="B399" s="20">
        <v>479</v>
      </c>
      <c r="C399" s="21" t="s">
        <v>64</v>
      </c>
      <c r="D399" s="21" t="s">
        <v>65</v>
      </c>
      <c r="E399" s="20">
        <v>125</v>
      </c>
      <c r="F399" s="20">
        <v>3000654</v>
      </c>
      <c r="G399" s="20">
        <v>5005023</v>
      </c>
      <c r="H399" s="20">
        <v>3</v>
      </c>
      <c r="I399" s="20">
        <v>12</v>
      </c>
      <c r="J399" s="20">
        <v>24</v>
      </c>
      <c r="K399" s="20">
        <v>135560</v>
      </c>
      <c r="L399" s="21" t="s">
        <v>98</v>
      </c>
      <c r="M399" s="33" t="s">
        <v>99</v>
      </c>
      <c r="N399" s="19">
        <v>94</v>
      </c>
      <c r="O399" s="2"/>
      <c r="P399" s="2" t="s">
        <v>4</v>
      </c>
      <c r="Q399" s="20" t="s">
        <v>68</v>
      </c>
      <c r="R399" s="25" t="s">
        <v>69</v>
      </c>
      <c r="S399" s="41" t="s">
        <v>137</v>
      </c>
      <c r="T399" s="41"/>
      <c r="U399" s="31" t="s">
        <v>264</v>
      </c>
      <c r="V399" s="25" t="s">
        <v>3</v>
      </c>
      <c r="W399" s="25">
        <v>1</v>
      </c>
      <c r="X399" s="595">
        <v>7000</v>
      </c>
      <c r="Y399" s="619"/>
      <c r="Z399" s="2"/>
      <c r="AA399" s="2"/>
      <c r="AB399" s="620"/>
      <c r="AC399" s="25">
        <v>30</v>
      </c>
      <c r="AD399" s="25">
        <v>0</v>
      </c>
      <c r="AE399" s="619"/>
      <c r="AF399" s="2"/>
      <c r="AG399" s="2"/>
      <c r="AH399" s="2"/>
      <c r="AI399" s="2"/>
      <c r="AJ399" s="621"/>
      <c r="AK399" s="596">
        <v>7000</v>
      </c>
      <c r="AL399" s="29" t="s">
        <v>73</v>
      </c>
      <c r="AM399" s="29" t="s">
        <v>73</v>
      </c>
      <c r="AN399" s="29" t="s">
        <v>73</v>
      </c>
      <c r="AO399" s="29" t="s">
        <v>73</v>
      </c>
      <c r="AP399" s="478">
        <v>7000</v>
      </c>
      <c r="AQ399" s="648">
        <v>0</v>
      </c>
      <c r="AR399" s="29" t="s">
        <v>73</v>
      </c>
      <c r="AS399" s="29" t="s">
        <v>73</v>
      </c>
      <c r="AT399" s="29" t="s">
        <v>73</v>
      </c>
      <c r="AU399" s="29" t="s">
        <v>73</v>
      </c>
      <c r="AV399" s="29" t="s">
        <v>73</v>
      </c>
      <c r="AW399" s="29" t="s">
        <v>73</v>
      </c>
      <c r="AX399" s="30">
        <v>7000</v>
      </c>
      <c r="AY399" s="165" t="s">
        <v>6</v>
      </c>
      <c r="AZ399" s="2" t="s">
        <v>74</v>
      </c>
      <c r="BA399" s="2"/>
      <c r="BK399" s="147" t="s">
        <v>790</v>
      </c>
      <c r="BL399" s="481" t="s">
        <v>791</v>
      </c>
      <c r="BM399" s="125" t="s">
        <v>1806</v>
      </c>
      <c r="BN399" s="649" t="s">
        <v>1807</v>
      </c>
      <c r="BO399" s="125" t="s">
        <v>1808</v>
      </c>
      <c r="BP399" s="129">
        <v>46134</v>
      </c>
      <c r="BQ399" s="18"/>
      <c r="BR399" s="505" t="s">
        <v>1986</v>
      </c>
      <c r="BS399" s="18"/>
      <c r="BT399" s="264" t="s">
        <v>1809</v>
      </c>
      <c r="BU399" s="18"/>
      <c r="BV399" s="552" t="s">
        <v>1213</v>
      </c>
      <c r="BW399" s="646" t="s">
        <v>1987</v>
      </c>
      <c r="BX399" s="646" t="s">
        <v>1988</v>
      </c>
      <c r="BY399" s="552" t="s">
        <v>1989</v>
      </c>
      <c r="BZ399" s="552">
        <v>10709820678</v>
      </c>
      <c r="CA399" s="126">
        <v>7000</v>
      </c>
      <c r="CB399" s="289">
        <v>46143</v>
      </c>
      <c r="CC399" s="289">
        <v>46173</v>
      </c>
      <c r="CD399" s="759"/>
      <c r="CE399" s="177">
        <f t="shared" si="613"/>
        <v>30</v>
      </c>
      <c r="CF399" s="1019">
        <f t="shared" si="614"/>
        <v>7000</v>
      </c>
      <c r="CG399" s="177">
        <v>30</v>
      </c>
      <c r="CH399" s="1019">
        <f t="shared" si="615"/>
        <v>7000</v>
      </c>
      <c r="CI399" s="177">
        <v>30</v>
      </c>
      <c r="CJ399" s="1019">
        <f t="shared" si="631"/>
        <v>7000</v>
      </c>
      <c r="CK399" s="177">
        <f t="shared" si="616"/>
        <v>0</v>
      </c>
      <c r="CL399" s="177">
        <f t="shared" si="617"/>
        <v>0</v>
      </c>
      <c r="CM399" s="1042"/>
      <c r="CN399" s="177">
        <f t="shared" si="618"/>
        <v>0</v>
      </c>
      <c r="CO399" s="1019">
        <f t="shared" si="619"/>
        <v>0</v>
      </c>
      <c r="CP399" s="177"/>
      <c r="CQ399" s="1019">
        <f t="shared" si="620"/>
        <v>0</v>
      </c>
      <c r="CR399" s="1019"/>
      <c r="CS399" s="1019">
        <f t="shared" si="621"/>
        <v>0</v>
      </c>
      <c r="CT399" s="177">
        <f t="shared" si="622"/>
        <v>0</v>
      </c>
      <c r="CU399" s="177">
        <f t="shared" si="623"/>
        <v>0</v>
      </c>
      <c r="CV399" s="1006"/>
      <c r="CW399" s="177">
        <f t="shared" si="608"/>
        <v>7000</v>
      </c>
      <c r="CX399" s="1019">
        <f t="shared" si="609"/>
        <v>7000</v>
      </c>
      <c r="CY399" s="177">
        <f t="shared" si="610"/>
        <v>7000</v>
      </c>
      <c r="CZ399" s="1019">
        <f t="shared" si="611"/>
        <v>0</v>
      </c>
      <c r="DA399" s="177">
        <f t="shared" si="612"/>
        <v>0</v>
      </c>
      <c r="DB399" s="126"/>
      <c r="DC399" s="125"/>
    </row>
    <row r="400" spans="1:107" ht="51" hidden="1" x14ac:dyDescent="0.25">
      <c r="A400" s="19">
        <v>2026</v>
      </c>
      <c r="B400" s="20">
        <v>479</v>
      </c>
      <c r="C400" s="21" t="s">
        <v>64</v>
      </c>
      <c r="D400" s="21" t="s">
        <v>65</v>
      </c>
      <c r="E400" s="20">
        <v>125</v>
      </c>
      <c r="F400" s="20">
        <v>3000654</v>
      </c>
      <c r="G400" s="20">
        <v>5005023</v>
      </c>
      <c r="H400" s="20">
        <v>3</v>
      </c>
      <c r="I400" s="20">
        <v>12</v>
      </c>
      <c r="J400" s="20">
        <v>24</v>
      </c>
      <c r="K400" s="20">
        <v>135560</v>
      </c>
      <c r="L400" s="21" t="s">
        <v>220</v>
      </c>
      <c r="M400" s="33" t="s">
        <v>221</v>
      </c>
      <c r="N400" s="19">
        <v>97</v>
      </c>
      <c r="O400" s="2"/>
      <c r="P400" s="2" t="s">
        <v>4</v>
      </c>
      <c r="Q400" s="20" t="s">
        <v>68</v>
      </c>
      <c r="R400" s="25" t="s">
        <v>69</v>
      </c>
      <c r="S400" s="41" t="s">
        <v>137</v>
      </c>
      <c r="T400" s="41"/>
      <c r="U400" s="31" t="s">
        <v>264</v>
      </c>
      <c r="V400" s="25" t="s">
        <v>3</v>
      </c>
      <c r="W400" s="25">
        <v>1</v>
      </c>
      <c r="X400" s="595">
        <v>7000</v>
      </c>
      <c r="Y400" s="619"/>
      <c r="Z400" s="2"/>
      <c r="AA400" s="2"/>
      <c r="AB400" s="620"/>
      <c r="AC400" s="25">
        <v>0</v>
      </c>
      <c r="AD400" s="25">
        <v>30</v>
      </c>
      <c r="AE400" s="619"/>
      <c r="AF400" s="2"/>
      <c r="AG400" s="2"/>
      <c r="AH400" s="2"/>
      <c r="AI400" s="2"/>
      <c r="AJ400" s="621"/>
      <c r="AK400" s="596">
        <v>7000</v>
      </c>
      <c r="AL400" s="29" t="s">
        <v>73</v>
      </c>
      <c r="AM400" s="29" t="s">
        <v>73</v>
      </c>
      <c r="AN400" s="29" t="s">
        <v>73</v>
      </c>
      <c r="AO400" s="29" t="s">
        <v>73</v>
      </c>
      <c r="AP400" s="648">
        <v>0</v>
      </c>
      <c r="AQ400" s="478">
        <v>7000</v>
      </c>
      <c r="AR400" s="29" t="s">
        <v>73</v>
      </c>
      <c r="AS400" s="29" t="s">
        <v>73</v>
      </c>
      <c r="AT400" s="29" t="s">
        <v>73</v>
      </c>
      <c r="AU400" s="29" t="s">
        <v>73</v>
      </c>
      <c r="AV400" s="29" t="s">
        <v>73</v>
      </c>
      <c r="AW400" s="29" t="s">
        <v>73</v>
      </c>
      <c r="AX400" s="30">
        <v>7000</v>
      </c>
      <c r="AY400" s="479" t="s">
        <v>6</v>
      </c>
      <c r="AZ400" s="2" t="s">
        <v>74</v>
      </c>
      <c r="BA400" s="2"/>
      <c r="BK400" s="125" t="s">
        <v>790</v>
      </c>
      <c r="BL400" s="481" t="s">
        <v>791</v>
      </c>
      <c r="BM400" s="125" t="s">
        <v>1812</v>
      </c>
      <c r="BN400" s="177" t="s">
        <v>1813</v>
      </c>
      <c r="BO400" s="125" t="s">
        <v>1814</v>
      </c>
      <c r="BP400" s="129">
        <v>46156</v>
      </c>
      <c r="BQ400" s="18"/>
      <c r="BR400" s="952">
        <v>5022</v>
      </c>
      <c r="BS400" s="18"/>
      <c r="BT400" s="18"/>
      <c r="BU400" s="18" t="s">
        <v>1815</v>
      </c>
      <c r="BV400" s="552" t="s">
        <v>1213</v>
      </c>
      <c r="BW400" s="649" t="s">
        <v>1987</v>
      </c>
      <c r="BX400" s="649" t="s">
        <v>1988</v>
      </c>
      <c r="BY400" s="552" t="s">
        <v>1989</v>
      </c>
      <c r="BZ400" s="552">
        <v>10709820678</v>
      </c>
      <c r="CA400" s="650">
        <v>7000</v>
      </c>
      <c r="CB400" s="289">
        <v>46174</v>
      </c>
      <c r="CC400" s="289">
        <v>46203</v>
      </c>
      <c r="CD400" s="759"/>
      <c r="CE400" s="177">
        <f t="shared" si="613"/>
        <v>0</v>
      </c>
      <c r="CF400" s="1019">
        <f t="shared" si="614"/>
        <v>0</v>
      </c>
      <c r="CG400" s="177"/>
      <c r="CH400" s="1019">
        <f t="shared" si="615"/>
        <v>0</v>
      </c>
      <c r="CI400" s="177"/>
      <c r="CJ400" s="1019">
        <f t="shared" si="631"/>
        <v>0</v>
      </c>
      <c r="CK400" s="177">
        <f t="shared" si="616"/>
        <v>0</v>
      </c>
      <c r="CL400" s="177">
        <f t="shared" si="617"/>
        <v>0</v>
      </c>
      <c r="CM400" s="1022"/>
      <c r="CN400" s="177">
        <f t="shared" si="618"/>
        <v>30</v>
      </c>
      <c r="CO400" s="1019">
        <f t="shared" si="619"/>
        <v>7000</v>
      </c>
      <c r="CP400" s="177">
        <v>30</v>
      </c>
      <c r="CQ400" s="1019">
        <f t="shared" si="620"/>
        <v>7000</v>
      </c>
      <c r="CR400" s="1019">
        <v>30</v>
      </c>
      <c r="CS400" s="1019">
        <f t="shared" si="621"/>
        <v>7000</v>
      </c>
      <c r="CT400" s="177">
        <f t="shared" si="622"/>
        <v>0</v>
      </c>
      <c r="CU400" s="177">
        <f t="shared" si="623"/>
        <v>0</v>
      </c>
      <c r="CV400" s="1006"/>
      <c r="CW400" s="177">
        <f t="shared" si="608"/>
        <v>7000</v>
      </c>
      <c r="CX400" s="1019">
        <f t="shared" si="609"/>
        <v>7000</v>
      </c>
      <c r="CY400" s="177">
        <f t="shared" si="610"/>
        <v>7000</v>
      </c>
      <c r="CZ400" s="1019">
        <f t="shared" si="611"/>
        <v>0</v>
      </c>
      <c r="DA400" s="177">
        <f t="shared" si="612"/>
        <v>0</v>
      </c>
      <c r="DB400" s="126"/>
      <c r="DC400" s="125"/>
    </row>
    <row r="401" spans="1:108" ht="51" hidden="1" x14ac:dyDescent="0.25">
      <c r="A401" s="19">
        <v>2026</v>
      </c>
      <c r="B401" s="20">
        <v>479</v>
      </c>
      <c r="C401" s="21" t="s">
        <v>64</v>
      </c>
      <c r="D401" s="21" t="s">
        <v>65</v>
      </c>
      <c r="E401" s="20">
        <v>125</v>
      </c>
      <c r="F401" s="20">
        <v>3000654</v>
      </c>
      <c r="G401" s="20">
        <v>5005023</v>
      </c>
      <c r="H401" s="20">
        <v>3</v>
      </c>
      <c r="I401" s="20">
        <v>12</v>
      </c>
      <c r="J401" s="20">
        <v>24</v>
      </c>
      <c r="K401" s="20">
        <v>135560</v>
      </c>
      <c r="L401" s="21" t="s">
        <v>220</v>
      </c>
      <c r="M401" s="33" t="s">
        <v>221</v>
      </c>
      <c r="N401" s="19">
        <v>97</v>
      </c>
      <c r="O401" s="2"/>
      <c r="P401" s="2" t="s">
        <v>4</v>
      </c>
      <c r="Q401" s="20" t="s">
        <v>68</v>
      </c>
      <c r="R401" s="25" t="s">
        <v>69</v>
      </c>
      <c r="S401" s="41" t="s">
        <v>137</v>
      </c>
      <c r="T401" s="41"/>
      <c r="U401" s="31" t="s">
        <v>265</v>
      </c>
      <c r="V401" s="25" t="s">
        <v>3</v>
      </c>
      <c r="W401" s="25">
        <v>1</v>
      </c>
      <c r="X401" s="595">
        <v>7000</v>
      </c>
      <c r="Y401" s="619"/>
      <c r="Z401" s="2"/>
      <c r="AA401" s="2"/>
      <c r="AB401" s="620"/>
      <c r="AC401" s="25">
        <v>30</v>
      </c>
      <c r="AD401" s="25">
        <v>30</v>
      </c>
      <c r="AE401" s="619"/>
      <c r="AF401" s="2"/>
      <c r="AG401" s="2"/>
      <c r="AH401" s="2"/>
      <c r="AI401" s="2"/>
      <c r="AJ401" s="621"/>
      <c r="AK401" s="596">
        <v>14000</v>
      </c>
      <c r="AL401" s="29" t="s">
        <v>73</v>
      </c>
      <c r="AM401" s="29" t="s">
        <v>73</v>
      </c>
      <c r="AN401" s="29" t="s">
        <v>73</v>
      </c>
      <c r="AO401" s="29" t="s">
        <v>73</v>
      </c>
      <c r="AP401" s="478">
        <v>7000</v>
      </c>
      <c r="AQ401" s="478">
        <v>7000</v>
      </c>
      <c r="AR401" s="29" t="s">
        <v>73</v>
      </c>
      <c r="AS401" s="29" t="s">
        <v>73</v>
      </c>
      <c r="AT401" s="29" t="s">
        <v>73</v>
      </c>
      <c r="AU401" s="29" t="s">
        <v>73</v>
      </c>
      <c r="AV401" s="29" t="s">
        <v>73</v>
      </c>
      <c r="AW401" s="29" t="s">
        <v>73</v>
      </c>
      <c r="AX401" s="30">
        <v>14000</v>
      </c>
      <c r="AY401" s="479" t="s">
        <v>6</v>
      </c>
      <c r="AZ401" s="2" t="s">
        <v>74</v>
      </c>
      <c r="BA401" s="2"/>
      <c r="BK401" s="481" t="s">
        <v>790</v>
      </c>
      <c r="BL401" s="481" t="s">
        <v>791</v>
      </c>
      <c r="BM401" s="125" t="s">
        <v>1951</v>
      </c>
      <c r="BN401" s="177" t="s">
        <v>1952</v>
      </c>
      <c r="BO401" s="125" t="s">
        <v>1953</v>
      </c>
      <c r="BP401" s="129">
        <v>46174</v>
      </c>
      <c r="BQ401" s="18"/>
      <c r="BR401" s="18"/>
      <c r="BS401" s="18"/>
      <c r="BT401" s="18"/>
      <c r="BU401" s="18"/>
      <c r="BV401" s="125" t="s">
        <v>1990</v>
      </c>
      <c r="BW401" s="125" t="s">
        <v>1061</v>
      </c>
      <c r="BX401" s="125" t="s">
        <v>1991</v>
      </c>
      <c r="BY401" s="125">
        <v>74279615</v>
      </c>
      <c r="BZ401" s="125">
        <v>10742796154</v>
      </c>
      <c r="CA401" s="126">
        <v>7000</v>
      </c>
      <c r="CB401" s="289">
        <v>46175</v>
      </c>
      <c r="CC401" s="289">
        <v>46203</v>
      </c>
      <c r="CD401" s="759"/>
      <c r="CE401" s="177">
        <f t="shared" si="613"/>
        <v>30</v>
      </c>
      <c r="CF401" s="1019">
        <f t="shared" si="614"/>
        <v>7000</v>
      </c>
      <c r="CG401" s="177"/>
      <c r="CH401" s="1019">
        <f t="shared" si="615"/>
        <v>0</v>
      </c>
      <c r="CI401" s="177"/>
      <c r="CJ401" s="1019">
        <f t="shared" si="631"/>
        <v>0</v>
      </c>
      <c r="CK401" s="177">
        <f t="shared" si="616"/>
        <v>7000</v>
      </c>
      <c r="CL401" s="177">
        <f t="shared" si="617"/>
        <v>7000</v>
      </c>
      <c r="CM401" s="1006"/>
      <c r="CN401" s="177">
        <f t="shared" si="618"/>
        <v>30</v>
      </c>
      <c r="CO401" s="1019">
        <f t="shared" si="619"/>
        <v>7000</v>
      </c>
      <c r="CP401" s="177">
        <v>29</v>
      </c>
      <c r="CQ401" s="1019">
        <f t="shared" si="620"/>
        <v>6766.666666666667</v>
      </c>
      <c r="CR401" s="177">
        <v>29</v>
      </c>
      <c r="CS401" s="1019">
        <f t="shared" si="621"/>
        <v>6766.666666666667</v>
      </c>
      <c r="CT401" s="1040">
        <f t="shared" si="622"/>
        <v>233.33333333333303</v>
      </c>
      <c r="CU401" s="1019">
        <f>CO401-CS401</f>
        <v>233.33333333333303</v>
      </c>
      <c r="CV401" s="1006"/>
      <c r="CW401" s="177">
        <f t="shared" si="608"/>
        <v>14000</v>
      </c>
      <c r="CX401" s="1019">
        <f t="shared" si="609"/>
        <v>6766.666666666667</v>
      </c>
      <c r="CY401" s="177">
        <f t="shared" si="610"/>
        <v>6766.666666666667</v>
      </c>
      <c r="CZ401" s="1019">
        <f t="shared" si="611"/>
        <v>7233.333333333333</v>
      </c>
      <c r="DA401" s="177">
        <f t="shared" si="612"/>
        <v>7233.333333333333</v>
      </c>
      <c r="DB401" s="126"/>
      <c r="DC401" s="125"/>
    </row>
    <row r="402" spans="1:108" ht="51" hidden="1" x14ac:dyDescent="0.25">
      <c r="A402" s="19">
        <v>2026</v>
      </c>
      <c r="B402" s="20">
        <v>479</v>
      </c>
      <c r="C402" s="21" t="s">
        <v>64</v>
      </c>
      <c r="D402" s="21" t="s">
        <v>65</v>
      </c>
      <c r="E402" s="20">
        <v>125</v>
      </c>
      <c r="F402" s="20">
        <v>3000654</v>
      </c>
      <c r="G402" s="20">
        <v>5005023</v>
      </c>
      <c r="H402" s="20">
        <v>3</v>
      </c>
      <c r="I402" s="20">
        <v>12</v>
      </c>
      <c r="J402" s="20">
        <v>24</v>
      </c>
      <c r="K402" s="20">
        <v>135560</v>
      </c>
      <c r="L402" s="21" t="s">
        <v>220</v>
      </c>
      <c r="M402" s="33" t="s">
        <v>221</v>
      </c>
      <c r="N402" s="19">
        <v>97</v>
      </c>
      <c r="O402" s="2"/>
      <c r="P402" s="2" t="s">
        <v>4</v>
      </c>
      <c r="Q402" s="20" t="s">
        <v>68</v>
      </c>
      <c r="R402" s="25" t="s">
        <v>69</v>
      </c>
      <c r="S402" s="41" t="s">
        <v>137</v>
      </c>
      <c r="T402" s="41"/>
      <c r="U402" s="31" t="s">
        <v>266</v>
      </c>
      <c r="V402" s="25" t="s">
        <v>3</v>
      </c>
      <c r="W402" s="25">
        <v>1</v>
      </c>
      <c r="X402" s="595">
        <v>7000</v>
      </c>
      <c r="Y402" s="619"/>
      <c r="Z402" s="2"/>
      <c r="AA402" s="2"/>
      <c r="AB402" s="620"/>
      <c r="AC402" s="25">
        <v>30</v>
      </c>
      <c r="AD402" s="25">
        <v>30</v>
      </c>
      <c r="AE402" s="619"/>
      <c r="AF402" s="2"/>
      <c r="AG402" s="2"/>
      <c r="AH402" s="2"/>
      <c r="AI402" s="2"/>
      <c r="AJ402" s="621"/>
      <c r="AK402" s="596">
        <v>14000</v>
      </c>
      <c r="AL402" s="29" t="s">
        <v>73</v>
      </c>
      <c r="AM402" s="29" t="s">
        <v>73</v>
      </c>
      <c r="AN402" s="29" t="s">
        <v>73</v>
      </c>
      <c r="AO402" s="29" t="s">
        <v>73</v>
      </c>
      <c r="AP402" s="478">
        <v>7000</v>
      </c>
      <c r="AQ402" s="478">
        <v>7000</v>
      </c>
      <c r="AR402" s="29" t="s">
        <v>73</v>
      </c>
      <c r="AS402" s="29" t="s">
        <v>73</v>
      </c>
      <c r="AT402" s="29" t="s">
        <v>73</v>
      </c>
      <c r="AU402" s="29" t="s">
        <v>73</v>
      </c>
      <c r="AV402" s="29" t="s">
        <v>73</v>
      </c>
      <c r="AW402" s="29" t="s">
        <v>73</v>
      </c>
      <c r="AX402" s="30">
        <v>14000</v>
      </c>
      <c r="AY402" s="479" t="s">
        <v>6</v>
      </c>
      <c r="AZ402" s="2" t="s">
        <v>74</v>
      </c>
      <c r="BA402" s="2"/>
      <c r="BK402" s="481" t="s">
        <v>790</v>
      </c>
      <c r="BL402" s="481" t="s">
        <v>791</v>
      </c>
      <c r="BM402" s="125" t="s">
        <v>1806</v>
      </c>
      <c r="BN402" s="649" t="s">
        <v>1807</v>
      </c>
      <c r="BO402" s="125" t="s">
        <v>1808</v>
      </c>
      <c r="BP402" s="129">
        <v>46134</v>
      </c>
      <c r="BQ402" s="18"/>
      <c r="BR402" s="505" t="s">
        <v>1992</v>
      </c>
      <c r="BS402" s="18"/>
      <c r="BT402" s="264" t="s">
        <v>1809</v>
      </c>
      <c r="BU402" s="18" t="s">
        <v>1815</v>
      </c>
      <c r="BV402" s="125" t="s">
        <v>1479</v>
      </c>
      <c r="BW402" s="125" t="s">
        <v>956</v>
      </c>
      <c r="BX402" s="125" t="s">
        <v>1993</v>
      </c>
      <c r="BY402" s="125">
        <v>47638903</v>
      </c>
      <c r="BZ402" s="125">
        <v>10476389033</v>
      </c>
      <c r="CA402" s="126">
        <v>7000</v>
      </c>
      <c r="CB402" s="289">
        <v>46143</v>
      </c>
      <c r="CC402" s="289">
        <v>46203</v>
      </c>
      <c r="CD402" s="759"/>
      <c r="CE402" s="177">
        <f t="shared" si="613"/>
        <v>30</v>
      </c>
      <c r="CF402" s="1019">
        <f t="shared" si="614"/>
        <v>7000</v>
      </c>
      <c r="CG402" s="177">
        <v>30</v>
      </c>
      <c r="CH402" s="1019">
        <f t="shared" si="615"/>
        <v>7000</v>
      </c>
      <c r="CI402" s="177">
        <v>30</v>
      </c>
      <c r="CJ402" s="1019">
        <f t="shared" si="631"/>
        <v>7000</v>
      </c>
      <c r="CK402" s="177">
        <f t="shared" si="616"/>
        <v>0</v>
      </c>
      <c r="CL402" s="177">
        <f t="shared" si="617"/>
        <v>0</v>
      </c>
      <c r="CM402" s="1006"/>
      <c r="CN402" s="177">
        <f t="shared" si="618"/>
        <v>30</v>
      </c>
      <c r="CO402" s="1019">
        <f t="shared" si="619"/>
        <v>7000</v>
      </c>
      <c r="CP402" s="177">
        <v>30</v>
      </c>
      <c r="CQ402" s="1019">
        <f t="shared" si="620"/>
        <v>7000</v>
      </c>
      <c r="CR402" s="1019">
        <v>30</v>
      </c>
      <c r="CS402" s="1019">
        <f t="shared" si="621"/>
        <v>7000</v>
      </c>
      <c r="CT402" s="177">
        <f t="shared" si="622"/>
        <v>0</v>
      </c>
      <c r="CU402" s="177">
        <f t="shared" si="623"/>
        <v>0</v>
      </c>
      <c r="CV402" s="1006"/>
      <c r="CW402" s="177">
        <f t="shared" ref="CW402:CW465" si="632">AX402</f>
        <v>14000</v>
      </c>
      <c r="CX402" s="1019">
        <f t="shared" ref="CX402:CX465" si="633">CH402+CQ402</f>
        <v>14000</v>
      </c>
      <c r="CY402" s="177">
        <f t="shared" ref="CY402:CY465" si="634">CJ402+CS402</f>
        <v>14000</v>
      </c>
      <c r="CZ402" s="1019">
        <f t="shared" ref="CZ402:CZ465" si="635">CW402-CX402</f>
        <v>0</v>
      </c>
      <c r="DA402" s="177">
        <f t="shared" ref="DA402:DA465" si="636">CW402-CY402</f>
        <v>0</v>
      </c>
      <c r="DB402" s="126"/>
      <c r="DC402" s="125"/>
    </row>
    <row r="403" spans="1:108" ht="51" hidden="1" x14ac:dyDescent="0.25">
      <c r="A403" s="19">
        <v>2026</v>
      </c>
      <c r="B403" s="20">
        <v>479</v>
      </c>
      <c r="C403" s="21" t="s">
        <v>64</v>
      </c>
      <c r="D403" s="21" t="s">
        <v>65</v>
      </c>
      <c r="E403" s="20">
        <v>125</v>
      </c>
      <c r="F403" s="20">
        <v>3000654</v>
      </c>
      <c r="G403" s="20">
        <v>5005023</v>
      </c>
      <c r="H403" s="20">
        <v>3</v>
      </c>
      <c r="I403" s="20">
        <v>12</v>
      </c>
      <c r="J403" s="20">
        <v>24</v>
      </c>
      <c r="K403" s="20">
        <v>135560</v>
      </c>
      <c r="L403" s="21" t="s">
        <v>220</v>
      </c>
      <c r="M403" s="33" t="s">
        <v>221</v>
      </c>
      <c r="N403" s="19">
        <v>97</v>
      </c>
      <c r="O403" s="2"/>
      <c r="P403" s="2" t="s">
        <v>4</v>
      </c>
      <c r="Q403" s="20" t="s">
        <v>68</v>
      </c>
      <c r="R403" s="25" t="s">
        <v>69</v>
      </c>
      <c r="S403" s="41" t="s">
        <v>137</v>
      </c>
      <c r="T403" s="41"/>
      <c r="U403" s="31" t="s">
        <v>267</v>
      </c>
      <c r="V403" s="25" t="s">
        <v>3</v>
      </c>
      <c r="W403" s="25">
        <v>1</v>
      </c>
      <c r="X403" s="595">
        <v>7000</v>
      </c>
      <c r="Y403" s="619"/>
      <c r="Z403" s="2"/>
      <c r="AA403" s="2"/>
      <c r="AB403" s="620"/>
      <c r="AC403" s="25">
        <v>30</v>
      </c>
      <c r="AD403" s="25">
        <v>30</v>
      </c>
      <c r="AE403" s="619"/>
      <c r="AF403" s="2"/>
      <c r="AG403" s="2"/>
      <c r="AH403" s="2"/>
      <c r="AI403" s="2"/>
      <c r="AJ403" s="621"/>
      <c r="AK403" s="596">
        <v>14000</v>
      </c>
      <c r="AL403" s="29" t="s">
        <v>73</v>
      </c>
      <c r="AM403" s="29" t="s">
        <v>73</v>
      </c>
      <c r="AN403" s="29" t="s">
        <v>73</v>
      </c>
      <c r="AO403" s="29" t="s">
        <v>73</v>
      </c>
      <c r="AP403" s="478">
        <v>7000</v>
      </c>
      <c r="AQ403" s="478">
        <v>7000</v>
      </c>
      <c r="AR403" s="29" t="s">
        <v>73</v>
      </c>
      <c r="AS403" s="29" t="s">
        <v>73</v>
      </c>
      <c r="AT403" s="29" t="s">
        <v>73</v>
      </c>
      <c r="AU403" s="29" t="s">
        <v>73</v>
      </c>
      <c r="AV403" s="29" t="s">
        <v>73</v>
      </c>
      <c r="AW403" s="29" t="s">
        <v>73</v>
      </c>
      <c r="AX403" s="30">
        <v>14000</v>
      </c>
      <c r="AY403" s="479" t="s">
        <v>6</v>
      </c>
      <c r="AZ403" s="2" t="s">
        <v>74</v>
      </c>
      <c r="BA403" s="2"/>
      <c r="BK403" s="481" t="s">
        <v>790</v>
      </c>
      <c r="BL403" s="481" t="s">
        <v>791</v>
      </c>
      <c r="BM403" s="125" t="s">
        <v>1806</v>
      </c>
      <c r="BN403" s="649" t="s">
        <v>1807</v>
      </c>
      <c r="BO403" s="125" t="s">
        <v>1808</v>
      </c>
      <c r="BP403" s="129">
        <v>46134</v>
      </c>
      <c r="BQ403" s="18"/>
      <c r="BR403" s="505" t="s">
        <v>1994</v>
      </c>
      <c r="BS403" s="18"/>
      <c r="BT403" s="264" t="s">
        <v>1809</v>
      </c>
      <c r="BU403" s="18" t="s">
        <v>1815</v>
      </c>
      <c r="BV403" s="125" t="s">
        <v>1995</v>
      </c>
      <c r="BW403" s="125" t="s">
        <v>1996</v>
      </c>
      <c r="BX403" s="125" t="s">
        <v>1997</v>
      </c>
      <c r="BY403" s="125">
        <v>40031767</v>
      </c>
      <c r="BZ403" s="125">
        <v>10400317670</v>
      </c>
      <c r="CA403" s="126">
        <v>7000</v>
      </c>
      <c r="CB403" s="289">
        <v>46143</v>
      </c>
      <c r="CC403" s="289">
        <v>46203</v>
      </c>
      <c r="CD403" s="759"/>
      <c r="CE403" s="177">
        <f t="shared" si="613"/>
        <v>30</v>
      </c>
      <c r="CF403" s="1019">
        <f t="shared" si="614"/>
        <v>7000</v>
      </c>
      <c r="CG403" s="177">
        <v>30</v>
      </c>
      <c r="CH403" s="1019">
        <f t="shared" si="615"/>
        <v>7000</v>
      </c>
      <c r="CI403" s="177">
        <v>30</v>
      </c>
      <c r="CJ403" s="1019">
        <f t="shared" si="631"/>
        <v>7000</v>
      </c>
      <c r="CK403" s="177">
        <f t="shared" si="616"/>
        <v>0</v>
      </c>
      <c r="CL403" s="177">
        <f t="shared" si="617"/>
        <v>0</v>
      </c>
      <c r="CM403" s="1006"/>
      <c r="CN403" s="177">
        <f t="shared" si="618"/>
        <v>30</v>
      </c>
      <c r="CO403" s="1019">
        <f t="shared" si="619"/>
        <v>7000</v>
      </c>
      <c r="CP403" s="177">
        <v>30</v>
      </c>
      <c r="CQ403" s="1019">
        <f t="shared" si="620"/>
        <v>7000</v>
      </c>
      <c r="CR403" s="1019">
        <v>30</v>
      </c>
      <c r="CS403" s="1019">
        <f t="shared" si="621"/>
        <v>7000</v>
      </c>
      <c r="CT403" s="177">
        <f t="shared" si="622"/>
        <v>0</v>
      </c>
      <c r="CU403" s="177">
        <f t="shared" si="623"/>
        <v>0</v>
      </c>
      <c r="CV403" s="1006"/>
      <c r="CW403" s="177">
        <f t="shared" si="632"/>
        <v>14000</v>
      </c>
      <c r="CX403" s="1019">
        <f t="shared" si="633"/>
        <v>14000</v>
      </c>
      <c r="CY403" s="177">
        <f t="shared" si="634"/>
        <v>14000</v>
      </c>
      <c r="CZ403" s="1019">
        <f t="shared" si="635"/>
        <v>0</v>
      </c>
      <c r="DA403" s="177">
        <f t="shared" si="636"/>
        <v>0</v>
      </c>
      <c r="DB403" s="126"/>
      <c r="DC403" s="125"/>
    </row>
    <row r="404" spans="1:108" ht="51" hidden="1" x14ac:dyDescent="0.25">
      <c r="A404" s="19">
        <v>2026</v>
      </c>
      <c r="B404" s="20">
        <v>479</v>
      </c>
      <c r="C404" s="21" t="s">
        <v>64</v>
      </c>
      <c r="D404" s="21" t="s">
        <v>65</v>
      </c>
      <c r="E404" s="20">
        <v>125</v>
      </c>
      <c r="F404" s="20">
        <v>3000654</v>
      </c>
      <c r="G404" s="20">
        <v>5005023</v>
      </c>
      <c r="H404" s="20">
        <v>3</v>
      </c>
      <c r="I404" s="20">
        <v>12</v>
      </c>
      <c r="J404" s="20">
        <v>24</v>
      </c>
      <c r="K404" s="20">
        <v>135560</v>
      </c>
      <c r="L404" s="21" t="s">
        <v>220</v>
      </c>
      <c r="M404" s="33" t="s">
        <v>221</v>
      </c>
      <c r="N404" s="19">
        <v>97</v>
      </c>
      <c r="O404" s="2"/>
      <c r="P404" s="2" t="s">
        <v>4</v>
      </c>
      <c r="Q404" s="20" t="s">
        <v>68</v>
      </c>
      <c r="R404" s="25" t="s">
        <v>69</v>
      </c>
      <c r="S404" s="41" t="s">
        <v>137</v>
      </c>
      <c r="T404" s="41"/>
      <c r="U404" s="31" t="s">
        <v>268</v>
      </c>
      <c r="V404" s="25" t="s">
        <v>3</v>
      </c>
      <c r="W404" s="25">
        <v>1</v>
      </c>
      <c r="X404" s="595">
        <v>7500</v>
      </c>
      <c r="Y404" s="619"/>
      <c r="Z404" s="2"/>
      <c r="AA404" s="2"/>
      <c r="AB404" s="620"/>
      <c r="AC404" s="25">
        <v>30</v>
      </c>
      <c r="AD404" s="25">
        <v>30</v>
      </c>
      <c r="AE404" s="619"/>
      <c r="AF404" s="2"/>
      <c r="AG404" s="2"/>
      <c r="AH404" s="2"/>
      <c r="AI404" s="2"/>
      <c r="AJ404" s="621"/>
      <c r="AK404" s="596">
        <v>15000</v>
      </c>
      <c r="AL404" s="29" t="s">
        <v>73</v>
      </c>
      <c r="AM404" s="29" t="s">
        <v>73</v>
      </c>
      <c r="AN404" s="29" t="s">
        <v>73</v>
      </c>
      <c r="AO404" s="29" t="s">
        <v>73</v>
      </c>
      <c r="AP404" s="478">
        <v>7500</v>
      </c>
      <c r="AQ404" s="478">
        <v>7500</v>
      </c>
      <c r="AR404" s="29" t="s">
        <v>73</v>
      </c>
      <c r="AS404" s="29" t="s">
        <v>73</v>
      </c>
      <c r="AT404" s="29" t="s">
        <v>73</v>
      </c>
      <c r="AU404" s="29" t="s">
        <v>73</v>
      </c>
      <c r="AV404" s="29" t="s">
        <v>73</v>
      </c>
      <c r="AW404" s="29" t="s">
        <v>73</v>
      </c>
      <c r="AX404" s="30">
        <v>15000</v>
      </c>
      <c r="AY404" s="479" t="s">
        <v>6</v>
      </c>
      <c r="AZ404" s="2" t="s">
        <v>74</v>
      </c>
      <c r="BA404" s="2"/>
      <c r="BK404" s="481" t="s">
        <v>790</v>
      </c>
      <c r="BL404" s="481" t="s">
        <v>791</v>
      </c>
      <c r="BM404" s="125" t="s">
        <v>1998</v>
      </c>
      <c r="BN404" s="177" t="s">
        <v>1999</v>
      </c>
      <c r="BO404" s="125" t="s">
        <v>2000</v>
      </c>
      <c r="BP404" s="129">
        <v>46134</v>
      </c>
      <c r="BQ404" s="18"/>
      <c r="BR404" s="505" t="s">
        <v>2001</v>
      </c>
      <c r="BS404" s="18"/>
      <c r="BT404" s="264" t="s">
        <v>2002</v>
      </c>
      <c r="BU404" s="947" t="s">
        <v>1841</v>
      </c>
      <c r="BV404" s="125" t="s">
        <v>2003</v>
      </c>
      <c r="BW404" s="125" t="s">
        <v>2004</v>
      </c>
      <c r="BX404" s="125" t="s">
        <v>2005</v>
      </c>
      <c r="BY404" s="125">
        <v>7198103</v>
      </c>
      <c r="BZ404" s="125">
        <v>10071981032</v>
      </c>
      <c r="CA404" s="126" t="s">
        <v>2006</v>
      </c>
      <c r="CB404" s="289">
        <v>46143</v>
      </c>
      <c r="CC404" s="289">
        <v>46203</v>
      </c>
      <c r="CD404" s="759"/>
      <c r="CE404" s="177">
        <f t="shared" si="613"/>
        <v>30</v>
      </c>
      <c r="CF404" s="1019">
        <f t="shared" si="614"/>
        <v>7500</v>
      </c>
      <c r="CG404" s="177">
        <v>30</v>
      </c>
      <c r="CH404" s="1019">
        <f t="shared" si="615"/>
        <v>7500</v>
      </c>
      <c r="CI404" s="177">
        <v>30</v>
      </c>
      <c r="CJ404" s="1019">
        <f t="shared" si="631"/>
        <v>7500</v>
      </c>
      <c r="CK404" s="177">
        <f t="shared" si="616"/>
        <v>0</v>
      </c>
      <c r="CL404" s="177">
        <f t="shared" si="617"/>
        <v>0</v>
      </c>
      <c r="CM404" s="1006"/>
      <c r="CN404" s="177">
        <f t="shared" si="618"/>
        <v>30</v>
      </c>
      <c r="CO404" s="1019">
        <f t="shared" si="619"/>
        <v>7500</v>
      </c>
      <c r="CP404" s="177">
        <v>30</v>
      </c>
      <c r="CQ404" s="1019">
        <f t="shared" si="620"/>
        <v>7500</v>
      </c>
      <c r="CR404" s="1019">
        <v>30</v>
      </c>
      <c r="CS404" s="1019">
        <f t="shared" si="621"/>
        <v>7500</v>
      </c>
      <c r="CT404" s="177">
        <f t="shared" si="622"/>
        <v>0</v>
      </c>
      <c r="CU404" s="177">
        <f t="shared" si="623"/>
        <v>0</v>
      </c>
      <c r="CV404" s="1006"/>
      <c r="CW404" s="177">
        <f t="shared" si="632"/>
        <v>15000</v>
      </c>
      <c r="CX404" s="1019">
        <f t="shared" si="633"/>
        <v>15000</v>
      </c>
      <c r="CY404" s="177">
        <f t="shared" si="634"/>
        <v>15000</v>
      </c>
      <c r="CZ404" s="1019">
        <f t="shared" si="635"/>
        <v>0</v>
      </c>
      <c r="DA404" s="177">
        <f t="shared" si="636"/>
        <v>0</v>
      </c>
      <c r="DB404" s="126"/>
      <c r="DC404" s="125"/>
    </row>
    <row r="405" spans="1:108" ht="51" hidden="1" x14ac:dyDescent="0.25">
      <c r="A405" s="19">
        <v>2026</v>
      </c>
      <c r="B405" s="20">
        <v>479</v>
      </c>
      <c r="C405" s="21" t="s">
        <v>64</v>
      </c>
      <c r="D405" s="21" t="s">
        <v>65</v>
      </c>
      <c r="E405" s="20">
        <v>125</v>
      </c>
      <c r="F405" s="20">
        <v>3000654</v>
      </c>
      <c r="G405" s="20">
        <v>5005023</v>
      </c>
      <c r="H405" s="20">
        <v>3</v>
      </c>
      <c r="I405" s="20">
        <v>12</v>
      </c>
      <c r="J405" s="20">
        <v>24</v>
      </c>
      <c r="K405" s="20">
        <v>135560</v>
      </c>
      <c r="L405" s="21" t="s">
        <v>220</v>
      </c>
      <c r="M405" s="33" t="s">
        <v>221</v>
      </c>
      <c r="N405" s="19">
        <v>97</v>
      </c>
      <c r="O405" s="2"/>
      <c r="P405" s="2" t="s">
        <v>4</v>
      </c>
      <c r="Q405" s="20" t="s">
        <v>68</v>
      </c>
      <c r="R405" s="25" t="s">
        <v>69</v>
      </c>
      <c r="S405" s="41" t="s">
        <v>137</v>
      </c>
      <c r="T405" s="41"/>
      <c r="U405" s="31" t="s">
        <v>269</v>
      </c>
      <c r="V405" s="25" t="s">
        <v>3</v>
      </c>
      <c r="W405" s="25">
        <v>1</v>
      </c>
      <c r="X405" s="595">
        <v>8000</v>
      </c>
      <c r="Y405" s="619"/>
      <c r="Z405" s="2"/>
      <c r="AA405" s="2"/>
      <c r="AB405" s="620"/>
      <c r="AC405" s="25">
        <v>30</v>
      </c>
      <c r="AD405" s="25">
        <v>30</v>
      </c>
      <c r="AE405" s="619"/>
      <c r="AF405" s="2"/>
      <c r="AG405" s="2"/>
      <c r="AH405" s="2"/>
      <c r="AI405" s="2"/>
      <c r="AJ405" s="621"/>
      <c r="AK405" s="596">
        <v>16000</v>
      </c>
      <c r="AL405" s="29" t="s">
        <v>73</v>
      </c>
      <c r="AM405" s="29" t="s">
        <v>73</v>
      </c>
      <c r="AN405" s="29" t="s">
        <v>73</v>
      </c>
      <c r="AO405" s="29" t="s">
        <v>73</v>
      </c>
      <c r="AP405" s="478">
        <v>8000</v>
      </c>
      <c r="AQ405" s="478">
        <v>8000</v>
      </c>
      <c r="AR405" s="29" t="s">
        <v>73</v>
      </c>
      <c r="AS405" s="29" t="s">
        <v>73</v>
      </c>
      <c r="AT405" s="29" t="s">
        <v>73</v>
      </c>
      <c r="AU405" s="29" t="s">
        <v>73</v>
      </c>
      <c r="AV405" s="29" t="s">
        <v>73</v>
      </c>
      <c r="AW405" s="29" t="s">
        <v>73</v>
      </c>
      <c r="AX405" s="30">
        <v>16000</v>
      </c>
      <c r="AY405" s="479" t="s">
        <v>6</v>
      </c>
      <c r="AZ405" s="2" t="s">
        <v>74</v>
      </c>
      <c r="BA405" s="2"/>
      <c r="BK405" s="481" t="s">
        <v>790</v>
      </c>
      <c r="BL405" s="481" t="s">
        <v>791</v>
      </c>
      <c r="BM405" s="125" t="s">
        <v>1998</v>
      </c>
      <c r="BN405" s="177" t="s">
        <v>1999</v>
      </c>
      <c r="BO405" s="125" t="s">
        <v>2000</v>
      </c>
      <c r="BP405" s="129">
        <v>46134</v>
      </c>
      <c r="BQ405" s="18"/>
      <c r="BR405" s="505" t="s">
        <v>2007</v>
      </c>
      <c r="BS405" s="18"/>
      <c r="BT405" s="264" t="s">
        <v>2002</v>
      </c>
      <c r="BU405" s="947" t="s">
        <v>1841</v>
      </c>
      <c r="BV405" s="125" t="s">
        <v>2008</v>
      </c>
      <c r="BW405" s="125" t="s">
        <v>2009</v>
      </c>
      <c r="BX405" s="125" t="s">
        <v>2010</v>
      </c>
      <c r="BY405" s="125">
        <v>45021409</v>
      </c>
      <c r="BZ405" s="125">
        <v>10450214090</v>
      </c>
      <c r="CA405" s="126" t="s">
        <v>2011</v>
      </c>
      <c r="CB405" s="289">
        <v>46143</v>
      </c>
      <c r="CC405" s="289">
        <v>46203</v>
      </c>
      <c r="CD405" s="759"/>
      <c r="CE405" s="177">
        <f t="shared" si="613"/>
        <v>30</v>
      </c>
      <c r="CF405" s="1019">
        <f t="shared" si="614"/>
        <v>8000</v>
      </c>
      <c r="CG405" s="177">
        <v>30</v>
      </c>
      <c r="CH405" s="1019">
        <f t="shared" ref="CH405" si="637">(X405/30)*CG405</f>
        <v>8000.0000000000009</v>
      </c>
      <c r="CI405" s="177">
        <v>31</v>
      </c>
      <c r="CJ405" s="1019">
        <v>8000</v>
      </c>
      <c r="CK405" s="177">
        <f t="shared" si="616"/>
        <v>0</v>
      </c>
      <c r="CL405" s="177">
        <f t="shared" si="617"/>
        <v>0</v>
      </c>
      <c r="CM405" s="1006"/>
      <c r="CN405" s="177">
        <f t="shared" si="618"/>
        <v>30</v>
      </c>
      <c r="CO405" s="1019">
        <f t="shared" si="619"/>
        <v>8000</v>
      </c>
      <c r="CP405" s="177">
        <v>30</v>
      </c>
      <c r="CQ405" s="1019">
        <f t="shared" si="620"/>
        <v>8000.0000000000009</v>
      </c>
      <c r="CR405" s="1019">
        <v>30</v>
      </c>
      <c r="CS405" s="1019">
        <f t="shared" si="621"/>
        <v>8000.0000000000009</v>
      </c>
      <c r="CT405" s="177">
        <f t="shared" si="622"/>
        <v>0</v>
      </c>
      <c r="CU405" s="177">
        <f t="shared" si="623"/>
        <v>0</v>
      </c>
      <c r="CV405" s="1006"/>
      <c r="CW405" s="177">
        <f t="shared" si="632"/>
        <v>16000</v>
      </c>
      <c r="CX405" s="1019">
        <f t="shared" si="633"/>
        <v>16000.000000000002</v>
      </c>
      <c r="CY405" s="177">
        <f t="shared" si="634"/>
        <v>16000</v>
      </c>
      <c r="CZ405" s="1019">
        <f t="shared" si="635"/>
        <v>0</v>
      </c>
      <c r="DA405" s="177">
        <f t="shared" si="636"/>
        <v>0</v>
      </c>
      <c r="DB405" s="126"/>
      <c r="DC405" s="125"/>
    </row>
    <row r="406" spans="1:108" ht="51" hidden="1" x14ac:dyDescent="0.25">
      <c r="A406" s="19">
        <v>2026</v>
      </c>
      <c r="B406" s="20">
        <v>479</v>
      </c>
      <c r="C406" s="21" t="s">
        <v>64</v>
      </c>
      <c r="D406" s="21" t="s">
        <v>65</v>
      </c>
      <c r="E406" s="20">
        <v>125</v>
      </c>
      <c r="F406" s="20">
        <v>3000654</v>
      </c>
      <c r="G406" s="20">
        <v>5005023</v>
      </c>
      <c r="H406" s="20">
        <v>3</v>
      </c>
      <c r="I406" s="20">
        <v>12</v>
      </c>
      <c r="J406" s="20">
        <v>24</v>
      </c>
      <c r="K406" s="20">
        <v>135560</v>
      </c>
      <c r="L406" s="21" t="s">
        <v>220</v>
      </c>
      <c r="M406" s="33" t="s">
        <v>221</v>
      </c>
      <c r="N406" s="19">
        <v>97</v>
      </c>
      <c r="O406" s="2"/>
      <c r="P406" s="2" t="s">
        <v>4</v>
      </c>
      <c r="Q406" s="20" t="s">
        <v>68</v>
      </c>
      <c r="R406" s="25" t="s">
        <v>69</v>
      </c>
      <c r="S406" s="41" t="s">
        <v>137</v>
      </c>
      <c r="T406" s="41"/>
      <c r="U406" s="31" t="s">
        <v>270</v>
      </c>
      <c r="V406" s="25" t="s">
        <v>3</v>
      </c>
      <c r="W406" s="25">
        <v>1</v>
      </c>
      <c r="X406" s="595">
        <v>8000</v>
      </c>
      <c r="Y406" s="619"/>
      <c r="Z406" s="2"/>
      <c r="AA406" s="2"/>
      <c r="AB406" s="620"/>
      <c r="AC406" s="25">
        <v>30</v>
      </c>
      <c r="AD406" s="25">
        <v>30</v>
      </c>
      <c r="AE406" s="619"/>
      <c r="AF406" s="2"/>
      <c r="AG406" s="2"/>
      <c r="AH406" s="2"/>
      <c r="AI406" s="2"/>
      <c r="AJ406" s="621"/>
      <c r="AK406" s="596">
        <v>16000</v>
      </c>
      <c r="AL406" s="29" t="s">
        <v>73</v>
      </c>
      <c r="AM406" s="29" t="s">
        <v>73</v>
      </c>
      <c r="AN406" s="29" t="s">
        <v>73</v>
      </c>
      <c r="AO406" s="29" t="s">
        <v>73</v>
      </c>
      <c r="AP406" s="478">
        <v>8000</v>
      </c>
      <c r="AQ406" s="478">
        <v>8000</v>
      </c>
      <c r="AR406" s="29" t="s">
        <v>73</v>
      </c>
      <c r="AS406" s="29" t="s">
        <v>73</v>
      </c>
      <c r="AT406" s="29" t="s">
        <v>73</v>
      </c>
      <c r="AU406" s="29" t="s">
        <v>73</v>
      </c>
      <c r="AV406" s="29" t="s">
        <v>73</v>
      </c>
      <c r="AW406" s="29" t="s">
        <v>73</v>
      </c>
      <c r="AX406" s="30">
        <v>16000</v>
      </c>
      <c r="AY406" s="479" t="s">
        <v>6</v>
      </c>
      <c r="AZ406" s="2" t="s">
        <v>74</v>
      </c>
      <c r="BA406" s="2"/>
      <c r="BK406" s="481" t="s">
        <v>790</v>
      </c>
      <c r="BL406" s="481" t="s">
        <v>791</v>
      </c>
      <c r="BM406" s="125" t="s">
        <v>1998</v>
      </c>
      <c r="BN406" s="177" t="s">
        <v>1999</v>
      </c>
      <c r="BO406" s="125" t="s">
        <v>2000</v>
      </c>
      <c r="BP406" s="129">
        <v>46134</v>
      </c>
      <c r="BQ406" s="18"/>
      <c r="BR406" s="505" t="s">
        <v>2012</v>
      </c>
      <c r="BS406" s="18"/>
      <c r="BT406" s="264" t="s">
        <v>2002</v>
      </c>
      <c r="BU406" s="947" t="s">
        <v>1841</v>
      </c>
      <c r="BV406" s="125" t="s">
        <v>2013</v>
      </c>
      <c r="BW406" s="125" t="s">
        <v>936</v>
      </c>
      <c r="BX406" s="125" t="s">
        <v>2014</v>
      </c>
      <c r="BY406" s="125">
        <v>8167457</v>
      </c>
      <c r="BZ406" s="125">
        <v>10081674570</v>
      </c>
      <c r="CA406" s="126" t="s">
        <v>2011</v>
      </c>
      <c r="CB406" s="289">
        <v>46143</v>
      </c>
      <c r="CC406" s="289">
        <v>46203</v>
      </c>
      <c r="CD406" s="759"/>
      <c r="CE406" s="177">
        <f t="shared" si="613"/>
        <v>30</v>
      </c>
      <c r="CF406" s="1019">
        <f t="shared" si="614"/>
        <v>8000</v>
      </c>
      <c r="CG406" s="177">
        <v>30</v>
      </c>
      <c r="CH406" s="1019">
        <f t="shared" si="615"/>
        <v>8000.0000000000009</v>
      </c>
      <c r="CI406" s="177">
        <v>30</v>
      </c>
      <c r="CJ406" s="1019">
        <f>(X406/30)*CI406</f>
        <v>8000.0000000000009</v>
      </c>
      <c r="CK406" s="177">
        <f t="shared" si="616"/>
        <v>0</v>
      </c>
      <c r="CL406" s="177">
        <f t="shared" si="617"/>
        <v>0</v>
      </c>
      <c r="CM406" s="1006"/>
      <c r="CN406" s="177">
        <f t="shared" si="618"/>
        <v>30</v>
      </c>
      <c r="CO406" s="1019">
        <f t="shared" si="619"/>
        <v>8000</v>
      </c>
      <c r="CP406" s="177">
        <v>30</v>
      </c>
      <c r="CQ406" s="1019">
        <f t="shared" si="620"/>
        <v>8000.0000000000009</v>
      </c>
      <c r="CR406" s="1019">
        <v>30</v>
      </c>
      <c r="CS406" s="1019">
        <f t="shared" si="621"/>
        <v>8000.0000000000009</v>
      </c>
      <c r="CT406" s="177">
        <f t="shared" si="622"/>
        <v>0</v>
      </c>
      <c r="CU406" s="177">
        <f t="shared" si="623"/>
        <v>0</v>
      </c>
      <c r="CV406" s="1006"/>
      <c r="CW406" s="177">
        <f t="shared" si="632"/>
        <v>16000</v>
      </c>
      <c r="CX406" s="1019">
        <f t="shared" si="633"/>
        <v>16000.000000000002</v>
      </c>
      <c r="CY406" s="177">
        <f t="shared" si="634"/>
        <v>16000.000000000002</v>
      </c>
      <c r="CZ406" s="1019">
        <f t="shared" si="635"/>
        <v>0</v>
      </c>
      <c r="DA406" s="177">
        <f t="shared" si="636"/>
        <v>0</v>
      </c>
      <c r="DB406" s="126"/>
      <c r="DC406" s="125"/>
    </row>
    <row r="407" spans="1:108" ht="51" hidden="1" x14ac:dyDescent="0.25">
      <c r="A407" s="19">
        <v>2026</v>
      </c>
      <c r="B407" s="20">
        <v>479</v>
      </c>
      <c r="C407" s="21" t="s">
        <v>64</v>
      </c>
      <c r="D407" s="21" t="s">
        <v>65</v>
      </c>
      <c r="E407" s="20">
        <v>125</v>
      </c>
      <c r="F407" s="20">
        <v>3000654</v>
      </c>
      <c r="G407" s="20">
        <v>5005023</v>
      </c>
      <c r="H407" s="20">
        <v>3</v>
      </c>
      <c r="I407" s="20">
        <v>12</v>
      </c>
      <c r="J407" s="20">
        <v>24</v>
      </c>
      <c r="K407" s="20">
        <v>135560</v>
      </c>
      <c r="L407" s="21" t="s">
        <v>220</v>
      </c>
      <c r="M407" s="33" t="s">
        <v>221</v>
      </c>
      <c r="N407" s="19">
        <v>97</v>
      </c>
      <c r="O407" s="2"/>
      <c r="P407" s="2" t="s">
        <v>4</v>
      </c>
      <c r="Q407" s="20" t="s">
        <v>68</v>
      </c>
      <c r="R407" s="25" t="s">
        <v>69</v>
      </c>
      <c r="S407" s="41" t="s">
        <v>137</v>
      </c>
      <c r="T407" s="41"/>
      <c r="U407" s="31" t="s">
        <v>271</v>
      </c>
      <c r="V407" s="25" t="s">
        <v>3</v>
      </c>
      <c r="W407" s="25">
        <v>1</v>
      </c>
      <c r="X407" s="595">
        <v>5500</v>
      </c>
      <c r="Y407" s="619"/>
      <c r="Z407" s="2"/>
      <c r="AA407" s="2"/>
      <c r="AB407" s="620"/>
      <c r="AC407" s="25">
        <v>30</v>
      </c>
      <c r="AD407" s="25">
        <v>30</v>
      </c>
      <c r="AE407" s="619"/>
      <c r="AF407" s="2"/>
      <c r="AG407" s="2"/>
      <c r="AH407" s="2"/>
      <c r="AI407" s="2"/>
      <c r="AJ407" s="621"/>
      <c r="AK407" s="596">
        <v>11000</v>
      </c>
      <c r="AL407" s="29" t="s">
        <v>73</v>
      </c>
      <c r="AM407" s="29" t="s">
        <v>73</v>
      </c>
      <c r="AN407" s="29" t="s">
        <v>73</v>
      </c>
      <c r="AO407" s="29" t="s">
        <v>73</v>
      </c>
      <c r="AP407" s="478">
        <v>5500</v>
      </c>
      <c r="AQ407" s="478">
        <v>5500</v>
      </c>
      <c r="AR407" s="29" t="s">
        <v>73</v>
      </c>
      <c r="AS407" s="29" t="s">
        <v>73</v>
      </c>
      <c r="AT407" s="29" t="s">
        <v>73</v>
      </c>
      <c r="AU407" s="29" t="s">
        <v>73</v>
      </c>
      <c r="AV407" s="29" t="s">
        <v>73</v>
      </c>
      <c r="AW407" s="29" t="s">
        <v>73</v>
      </c>
      <c r="AX407" s="30">
        <v>11000</v>
      </c>
      <c r="AY407" s="479" t="s">
        <v>6</v>
      </c>
      <c r="AZ407" s="2" t="s">
        <v>74</v>
      </c>
      <c r="BA407" s="2"/>
      <c r="BK407" s="481" t="s">
        <v>790</v>
      </c>
      <c r="BL407" s="481" t="s">
        <v>791</v>
      </c>
      <c r="BM407" s="125" t="s">
        <v>1806</v>
      </c>
      <c r="BN407" s="649" t="s">
        <v>1807</v>
      </c>
      <c r="BO407" s="125" t="s">
        <v>1808</v>
      </c>
      <c r="BP407" s="129">
        <v>46134</v>
      </c>
      <c r="BQ407" s="18"/>
      <c r="BR407" s="505" t="s">
        <v>2015</v>
      </c>
      <c r="BS407" s="18"/>
      <c r="BT407" s="264" t="s">
        <v>1809</v>
      </c>
      <c r="BU407" s="18" t="s">
        <v>1815</v>
      </c>
      <c r="BV407" s="125" t="s">
        <v>2016</v>
      </c>
      <c r="BW407" s="125" t="s">
        <v>2017</v>
      </c>
      <c r="BX407" s="125" t="s">
        <v>2018</v>
      </c>
      <c r="BY407" s="125" t="s">
        <v>2019</v>
      </c>
      <c r="BZ407" s="125">
        <v>10430686807</v>
      </c>
      <c r="CA407" s="126">
        <v>5500</v>
      </c>
      <c r="CB407" s="289">
        <v>46143</v>
      </c>
      <c r="CC407" s="289">
        <v>46203</v>
      </c>
      <c r="CD407" s="759"/>
      <c r="CE407" s="177">
        <f t="shared" si="613"/>
        <v>30</v>
      </c>
      <c r="CF407" s="1019">
        <f t="shared" si="614"/>
        <v>5500</v>
      </c>
      <c r="CG407" s="177">
        <v>30</v>
      </c>
      <c r="CH407" s="1019">
        <f t="shared" si="615"/>
        <v>5500</v>
      </c>
      <c r="CI407" s="177">
        <v>30</v>
      </c>
      <c r="CJ407" s="1019">
        <f>(X407/30)*CI407</f>
        <v>5500</v>
      </c>
      <c r="CK407" s="177">
        <f t="shared" si="616"/>
        <v>0</v>
      </c>
      <c r="CL407" s="177">
        <f t="shared" si="617"/>
        <v>0</v>
      </c>
      <c r="CM407" s="1006"/>
      <c r="CN407" s="177">
        <f t="shared" si="618"/>
        <v>30</v>
      </c>
      <c r="CO407" s="1019">
        <f t="shared" si="619"/>
        <v>5500</v>
      </c>
      <c r="CP407" s="177">
        <v>30</v>
      </c>
      <c r="CQ407" s="1019">
        <f t="shared" si="620"/>
        <v>5500</v>
      </c>
      <c r="CR407" s="1019">
        <v>30</v>
      </c>
      <c r="CS407" s="1019">
        <f t="shared" si="621"/>
        <v>5500</v>
      </c>
      <c r="CT407" s="177">
        <f t="shared" si="622"/>
        <v>0</v>
      </c>
      <c r="CU407" s="177">
        <f t="shared" si="623"/>
        <v>0</v>
      </c>
      <c r="CV407" s="1006"/>
      <c r="CW407" s="177">
        <f t="shared" si="632"/>
        <v>11000</v>
      </c>
      <c r="CX407" s="1019">
        <f t="shared" si="633"/>
        <v>11000</v>
      </c>
      <c r="CY407" s="177">
        <f t="shared" si="634"/>
        <v>11000</v>
      </c>
      <c r="CZ407" s="1019">
        <f t="shared" si="635"/>
        <v>0</v>
      </c>
      <c r="DA407" s="177">
        <f t="shared" si="636"/>
        <v>0</v>
      </c>
      <c r="DB407" s="126"/>
      <c r="DC407" s="125"/>
    </row>
    <row r="408" spans="1:108" ht="51" hidden="1" x14ac:dyDescent="0.25">
      <c r="A408" s="19">
        <v>2026</v>
      </c>
      <c r="B408" s="20">
        <v>479</v>
      </c>
      <c r="C408" s="21" t="s">
        <v>64</v>
      </c>
      <c r="D408" s="21" t="s">
        <v>65</v>
      </c>
      <c r="E408" s="20">
        <v>125</v>
      </c>
      <c r="F408" s="20">
        <v>3000654</v>
      </c>
      <c r="G408" s="20">
        <v>5005023</v>
      </c>
      <c r="H408" s="20">
        <v>3</v>
      </c>
      <c r="I408" s="20">
        <v>12</v>
      </c>
      <c r="J408" s="20">
        <v>24</v>
      </c>
      <c r="K408" s="20">
        <v>135560</v>
      </c>
      <c r="L408" s="21" t="s">
        <v>220</v>
      </c>
      <c r="M408" s="33" t="s">
        <v>221</v>
      </c>
      <c r="N408" s="19">
        <v>97</v>
      </c>
      <c r="O408" s="2"/>
      <c r="P408" s="2" t="s">
        <v>4</v>
      </c>
      <c r="Q408" s="20" t="s">
        <v>68</v>
      </c>
      <c r="R408" s="25" t="s">
        <v>69</v>
      </c>
      <c r="S408" s="41" t="s">
        <v>137</v>
      </c>
      <c r="T408" s="41"/>
      <c r="U408" s="31" t="s">
        <v>272</v>
      </c>
      <c r="V408" s="25" t="s">
        <v>3</v>
      </c>
      <c r="W408" s="25">
        <v>1</v>
      </c>
      <c r="X408" s="595">
        <v>6000</v>
      </c>
      <c r="Y408" s="619"/>
      <c r="Z408" s="2"/>
      <c r="AA408" s="2"/>
      <c r="AB408" s="620"/>
      <c r="AC408" s="25">
        <v>30</v>
      </c>
      <c r="AD408" s="25">
        <v>30</v>
      </c>
      <c r="AE408" s="619"/>
      <c r="AF408" s="2"/>
      <c r="AG408" s="2"/>
      <c r="AH408" s="2"/>
      <c r="AI408" s="2"/>
      <c r="AJ408" s="621"/>
      <c r="AK408" s="596">
        <v>12000</v>
      </c>
      <c r="AL408" s="29" t="s">
        <v>73</v>
      </c>
      <c r="AM408" s="29" t="s">
        <v>73</v>
      </c>
      <c r="AN408" s="29" t="s">
        <v>73</v>
      </c>
      <c r="AO408" s="29" t="s">
        <v>73</v>
      </c>
      <c r="AP408" s="478">
        <v>6000</v>
      </c>
      <c r="AQ408" s="478">
        <v>6000</v>
      </c>
      <c r="AR408" s="29" t="s">
        <v>73</v>
      </c>
      <c r="AS408" s="29" t="s">
        <v>73</v>
      </c>
      <c r="AT408" s="29" t="s">
        <v>73</v>
      </c>
      <c r="AU408" s="29" t="s">
        <v>73</v>
      </c>
      <c r="AV408" s="29" t="s">
        <v>73</v>
      </c>
      <c r="AW408" s="29" t="s">
        <v>73</v>
      </c>
      <c r="AX408" s="30">
        <v>12000</v>
      </c>
      <c r="AY408" s="479" t="s">
        <v>6</v>
      </c>
      <c r="AZ408" s="2" t="s">
        <v>74</v>
      </c>
      <c r="BA408" s="2"/>
      <c r="BK408" s="481" t="s">
        <v>790</v>
      </c>
      <c r="BL408" s="481" t="s">
        <v>791</v>
      </c>
      <c r="BM408" s="125" t="s">
        <v>1806</v>
      </c>
      <c r="BN408" s="649" t="s">
        <v>1807</v>
      </c>
      <c r="BO408" s="125" t="s">
        <v>1808</v>
      </c>
      <c r="BP408" s="129">
        <v>46134</v>
      </c>
      <c r="BQ408" s="18"/>
      <c r="BR408" s="505" t="s">
        <v>2020</v>
      </c>
      <c r="BS408" s="18"/>
      <c r="BT408" s="264" t="s">
        <v>1809</v>
      </c>
      <c r="BU408" s="18" t="s">
        <v>1815</v>
      </c>
      <c r="BV408" s="125" t="s">
        <v>1630</v>
      </c>
      <c r="BW408" s="125" t="s">
        <v>2021</v>
      </c>
      <c r="BX408" s="125" t="s">
        <v>2022</v>
      </c>
      <c r="BY408" s="125">
        <v>47547119</v>
      </c>
      <c r="BZ408" s="125">
        <v>10475471194</v>
      </c>
      <c r="CA408" s="126">
        <v>6000</v>
      </c>
      <c r="CB408" s="289">
        <v>46143</v>
      </c>
      <c r="CC408" s="289">
        <v>46203</v>
      </c>
      <c r="CD408" s="759"/>
      <c r="CE408" s="177">
        <v>30</v>
      </c>
      <c r="CF408" s="1019">
        <f t="shared" ref="CF408" si="638">AP408</f>
        <v>6000</v>
      </c>
      <c r="CG408" s="177">
        <v>30</v>
      </c>
      <c r="CH408" s="1019">
        <f>(X408/30)*CG408</f>
        <v>6000</v>
      </c>
      <c r="CI408" s="177">
        <v>30</v>
      </c>
      <c r="CJ408" s="1019">
        <f t="shared" ref="CJ408" si="639">(X408/30)*CI408</f>
        <v>6000</v>
      </c>
      <c r="CK408" s="177">
        <f t="shared" ref="CK408" si="640">CF408-CH408</f>
        <v>0</v>
      </c>
      <c r="CL408" s="177">
        <f t="shared" ref="CL408" si="641">CF408-CJ408</f>
        <v>0</v>
      </c>
      <c r="CM408" s="1006"/>
      <c r="CN408" s="177">
        <f t="shared" ref="CN408" si="642">AD408</f>
        <v>30</v>
      </c>
      <c r="CO408" s="1019">
        <f t="shared" ref="CO408" si="643">AQ408</f>
        <v>6000</v>
      </c>
      <c r="CP408" s="177">
        <v>30</v>
      </c>
      <c r="CQ408" s="1019">
        <f t="shared" ref="CQ408" si="644">(X408/30)*CP408</f>
        <v>6000</v>
      </c>
      <c r="CR408" s="1019">
        <v>30</v>
      </c>
      <c r="CS408" s="1019">
        <f t="shared" ref="CS408" si="645">(X408/30)*CR408</f>
        <v>6000</v>
      </c>
      <c r="CT408" s="177">
        <f t="shared" ref="CT408" si="646">CO408-CQ408</f>
        <v>0</v>
      </c>
      <c r="CU408" s="177">
        <f t="shared" ref="CU408" si="647">CO408-CS408</f>
        <v>0</v>
      </c>
      <c r="CV408" s="1006"/>
      <c r="CW408" s="177">
        <f t="shared" si="632"/>
        <v>12000</v>
      </c>
      <c r="CX408" s="1019">
        <f t="shared" si="633"/>
        <v>12000</v>
      </c>
      <c r="CY408" s="177">
        <f t="shared" si="634"/>
        <v>12000</v>
      </c>
      <c r="CZ408" s="1019">
        <f t="shared" si="635"/>
        <v>0</v>
      </c>
      <c r="DA408" s="177">
        <f t="shared" si="636"/>
        <v>0</v>
      </c>
      <c r="DB408" s="126"/>
      <c r="DC408" s="125"/>
    </row>
    <row r="409" spans="1:108" ht="51" hidden="1" x14ac:dyDescent="0.25">
      <c r="A409" s="19">
        <v>2026</v>
      </c>
      <c r="B409" s="20">
        <v>479</v>
      </c>
      <c r="C409" s="21" t="s">
        <v>64</v>
      </c>
      <c r="D409" s="21" t="s">
        <v>65</v>
      </c>
      <c r="E409" s="20">
        <v>125</v>
      </c>
      <c r="F409" s="20">
        <v>3000654</v>
      </c>
      <c r="G409" s="20">
        <v>5005023</v>
      </c>
      <c r="H409" s="20">
        <v>3</v>
      </c>
      <c r="I409" s="20">
        <v>12</v>
      </c>
      <c r="J409" s="20">
        <v>24</v>
      </c>
      <c r="K409" s="20">
        <v>135560</v>
      </c>
      <c r="L409" s="21" t="s">
        <v>220</v>
      </c>
      <c r="M409" s="33" t="s">
        <v>221</v>
      </c>
      <c r="N409" s="19">
        <v>97</v>
      </c>
      <c r="O409" s="2"/>
      <c r="P409" s="2" t="s">
        <v>4</v>
      </c>
      <c r="Q409" s="20" t="s">
        <v>68</v>
      </c>
      <c r="R409" s="25" t="s">
        <v>69</v>
      </c>
      <c r="S409" s="41" t="s">
        <v>137</v>
      </c>
      <c r="T409" s="41"/>
      <c r="U409" s="31" t="s">
        <v>272</v>
      </c>
      <c r="V409" s="25" t="s">
        <v>3</v>
      </c>
      <c r="W409" s="25">
        <v>1</v>
      </c>
      <c r="X409" s="595">
        <v>6000</v>
      </c>
      <c r="Y409" s="619"/>
      <c r="Z409" s="2"/>
      <c r="AA409" s="2"/>
      <c r="AB409" s="620"/>
      <c r="AC409" s="25">
        <v>30</v>
      </c>
      <c r="AD409" s="25">
        <v>30</v>
      </c>
      <c r="AE409" s="619"/>
      <c r="AF409" s="2"/>
      <c r="AG409" s="2"/>
      <c r="AH409" s="2"/>
      <c r="AI409" s="2"/>
      <c r="AJ409" s="621"/>
      <c r="AK409" s="596">
        <v>12000</v>
      </c>
      <c r="AL409" s="29" t="s">
        <v>73</v>
      </c>
      <c r="AM409" s="29" t="s">
        <v>73</v>
      </c>
      <c r="AN409" s="29" t="s">
        <v>73</v>
      </c>
      <c r="AO409" s="29" t="s">
        <v>73</v>
      </c>
      <c r="AP409" s="478">
        <v>6000</v>
      </c>
      <c r="AQ409" s="478">
        <v>6000</v>
      </c>
      <c r="AR409" s="29" t="s">
        <v>73</v>
      </c>
      <c r="AS409" s="29" t="s">
        <v>73</v>
      </c>
      <c r="AT409" s="29" t="s">
        <v>73</v>
      </c>
      <c r="AU409" s="29" t="s">
        <v>73</v>
      </c>
      <c r="AV409" s="29" t="s">
        <v>73</v>
      </c>
      <c r="AW409" s="29" t="s">
        <v>73</v>
      </c>
      <c r="AX409" s="30">
        <v>12000</v>
      </c>
      <c r="AY409" s="479" t="s">
        <v>6</v>
      </c>
      <c r="AZ409" s="2" t="s">
        <v>74</v>
      </c>
      <c r="BA409" s="2"/>
      <c r="BK409" s="481" t="s">
        <v>790</v>
      </c>
      <c r="BL409" s="481" t="s">
        <v>791</v>
      </c>
      <c r="BM409" s="125" t="s">
        <v>1806</v>
      </c>
      <c r="BN409" s="649" t="s">
        <v>1807</v>
      </c>
      <c r="BO409" s="125" t="s">
        <v>1808</v>
      </c>
      <c r="BP409" s="129">
        <v>46134</v>
      </c>
      <c r="BQ409" s="18"/>
      <c r="BR409" s="505" t="s">
        <v>2023</v>
      </c>
      <c r="BS409" s="18"/>
      <c r="BT409" s="264" t="s">
        <v>1809</v>
      </c>
      <c r="BU409" s="18" t="s">
        <v>1815</v>
      </c>
      <c r="BV409" s="125" t="s">
        <v>9</v>
      </c>
      <c r="BW409" s="125" t="s">
        <v>910</v>
      </c>
      <c r="BX409" s="125" t="s">
        <v>2024</v>
      </c>
      <c r="BY409" s="125">
        <v>41681836</v>
      </c>
      <c r="BZ409" s="125">
        <v>10416818369</v>
      </c>
      <c r="CA409" s="126">
        <v>6000</v>
      </c>
      <c r="CB409" s="289">
        <v>46143</v>
      </c>
      <c r="CC409" s="289">
        <v>46203</v>
      </c>
      <c r="CD409" s="759"/>
      <c r="CE409" s="177">
        <f t="shared" si="613"/>
        <v>30</v>
      </c>
      <c r="CF409" s="1019">
        <f t="shared" si="614"/>
        <v>6000</v>
      </c>
      <c r="CG409" s="177">
        <v>30</v>
      </c>
      <c r="CH409" s="1019">
        <f t="shared" si="615"/>
        <v>6000</v>
      </c>
      <c r="CI409" s="177">
        <v>30</v>
      </c>
      <c r="CJ409" s="1019">
        <f>(X409/30)*CI409</f>
        <v>6000</v>
      </c>
      <c r="CK409" s="177">
        <f t="shared" si="616"/>
        <v>0</v>
      </c>
      <c r="CL409" s="177">
        <f t="shared" si="617"/>
        <v>0</v>
      </c>
      <c r="CM409" s="1006"/>
      <c r="CN409" s="177">
        <f t="shared" si="618"/>
        <v>30</v>
      </c>
      <c r="CO409" s="1019">
        <f t="shared" si="619"/>
        <v>6000</v>
      </c>
      <c r="CP409" s="177">
        <v>30</v>
      </c>
      <c r="CQ409" s="1019">
        <f t="shared" si="620"/>
        <v>6000</v>
      </c>
      <c r="CR409" s="1019">
        <v>30</v>
      </c>
      <c r="CS409" s="1019">
        <f t="shared" si="621"/>
        <v>6000</v>
      </c>
      <c r="CT409" s="177">
        <f t="shared" si="622"/>
        <v>0</v>
      </c>
      <c r="CU409" s="177">
        <f t="shared" si="623"/>
        <v>0</v>
      </c>
      <c r="CV409" s="1006"/>
      <c r="CW409" s="177">
        <f t="shared" si="632"/>
        <v>12000</v>
      </c>
      <c r="CX409" s="1019">
        <f t="shared" si="633"/>
        <v>12000</v>
      </c>
      <c r="CY409" s="177">
        <f t="shared" si="634"/>
        <v>12000</v>
      </c>
      <c r="CZ409" s="1019">
        <f t="shared" si="635"/>
        <v>0</v>
      </c>
      <c r="DA409" s="177">
        <f t="shared" si="636"/>
        <v>0</v>
      </c>
      <c r="DB409" s="126"/>
      <c r="DC409" s="125"/>
    </row>
    <row r="410" spans="1:108" ht="51" hidden="1" x14ac:dyDescent="0.25">
      <c r="A410" s="19">
        <v>2026</v>
      </c>
      <c r="B410" s="20">
        <v>479</v>
      </c>
      <c r="C410" s="21" t="s">
        <v>64</v>
      </c>
      <c r="D410" s="21" t="s">
        <v>65</v>
      </c>
      <c r="E410" s="20">
        <v>125</v>
      </c>
      <c r="F410" s="20">
        <v>3000654</v>
      </c>
      <c r="G410" s="20">
        <v>5005023</v>
      </c>
      <c r="H410" s="20">
        <v>3</v>
      </c>
      <c r="I410" s="20">
        <v>12</v>
      </c>
      <c r="J410" s="20">
        <v>24</v>
      </c>
      <c r="K410" s="20">
        <v>135560</v>
      </c>
      <c r="L410" s="21" t="s">
        <v>98</v>
      </c>
      <c r="M410" s="33" t="s">
        <v>99</v>
      </c>
      <c r="N410" s="19">
        <v>94</v>
      </c>
      <c r="O410" s="2"/>
      <c r="P410" s="2" t="s">
        <v>4</v>
      </c>
      <c r="Q410" s="20" t="s">
        <v>68</v>
      </c>
      <c r="R410" s="25" t="s">
        <v>69</v>
      </c>
      <c r="S410" s="41" t="s">
        <v>137</v>
      </c>
      <c r="T410" s="41"/>
      <c r="U410" s="31" t="s">
        <v>273</v>
      </c>
      <c r="V410" s="25" t="s">
        <v>3</v>
      </c>
      <c r="W410" s="25">
        <v>1</v>
      </c>
      <c r="X410" s="595">
        <v>6000</v>
      </c>
      <c r="Y410" s="619"/>
      <c r="Z410" s="2"/>
      <c r="AA410" s="2"/>
      <c r="AB410" s="620"/>
      <c r="AC410" s="25">
        <v>30</v>
      </c>
      <c r="AD410" s="25">
        <v>0</v>
      </c>
      <c r="AE410" s="619"/>
      <c r="AF410" s="2"/>
      <c r="AG410" s="2"/>
      <c r="AH410" s="2"/>
      <c r="AI410" s="2"/>
      <c r="AJ410" s="621"/>
      <c r="AK410" s="596">
        <v>6000</v>
      </c>
      <c r="AL410" s="29" t="s">
        <v>73</v>
      </c>
      <c r="AM410" s="29" t="s">
        <v>73</v>
      </c>
      <c r="AN410" s="29" t="s">
        <v>73</v>
      </c>
      <c r="AO410" s="29" t="s">
        <v>73</v>
      </c>
      <c r="AP410" s="478">
        <v>6000</v>
      </c>
      <c r="AQ410" s="648">
        <v>0</v>
      </c>
      <c r="AR410" s="29" t="s">
        <v>73</v>
      </c>
      <c r="AS410" s="29" t="s">
        <v>73</v>
      </c>
      <c r="AT410" s="29" t="s">
        <v>73</v>
      </c>
      <c r="AU410" s="29" t="s">
        <v>73</v>
      </c>
      <c r="AV410" s="29" t="s">
        <v>73</v>
      </c>
      <c r="AW410" s="29" t="s">
        <v>73</v>
      </c>
      <c r="AX410" s="30">
        <v>6000</v>
      </c>
      <c r="AY410" s="165" t="s">
        <v>6</v>
      </c>
      <c r="AZ410" s="2" t="s">
        <v>74</v>
      </c>
      <c r="BA410" s="2"/>
      <c r="BK410" s="147" t="s">
        <v>790</v>
      </c>
      <c r="BL410" s="481" t="s">
        <v>791</v>
      </c>
      <c r="BM410" s="125" t="s">
        <v>1806</v>
      </c>
      <c r="BN410" s="649" t="s">
        <v>1807</v>
      </c>
      <c r="BO410" s="125" t="s">
        <v>1808</v>
      </c>
      <c r="BP410" s="129">
        <v>46134</v>
      </c>
      <c r="BQ410" s="18"/>
      <c r="BR410" s="505" t="s">
        <v>2025</v>
      </c>
      <c r="BS410" s="18"/>
      <c r="BT410" s="264" t="s">
        <v>1809</v>
      </c>
      <c r="BU410" s="18"/>
      <c r="BV410" s="125" t="s">
        <v>2026</v>
      </c>
      <c r="BW410" s="125" t="s">
        <v>2027</v>
      </c>
      <c r="BX410" s="125" t="s">
        <v>2028</v>
      </c>
      <c r="BY410" s="125">
        <v>70243392</v>
      </c>
      <c r="BZ410" s="125">
        <v>10702433920</v>
      </c>
      <c r="CA410" s="126">
        <v>6000</v>
      </c>
      <c r="CB410" s="289">
        <v>46143</v>
      </c>
      <c r="CC410" s="289">
        <v>46173</v>
      </c>
      <c r="CD410" s="759"/>
      <c r="CE410" s="177">
        <f t="shared" si="613"/>
        <v>30</v>
      </c>
      <c r="CF410" s="1019">
        <f t="shared" si="614"/>
        <v>6000</v>
      </c>
      <c r="CG410" s="177">
        <v>30</v>
      </c>
      <c r="CH410" s="1019">
        <f t="shared" si="615"/>
        <v>6000</v>
      </c>
      <c r="CI410" s="177">
        <v>30</v>
      </c>
      <c r="CJ410" s="1019">
        <f>(X410/30)*CI410</f>
        <v>6000</v>
      </c>
      <c r="CK410" s="177">
        <f t="shared" si="616"/>
        <v>0</v>
      </c>
      <c r="CL410" s="177">
        <f t="shared" si="617"/>
        <v>0</v>
      </c>
      <c r="CM410" s="1006"/>
      <c r="CN410" s="177">
        <f t="shared" si="618"/>
        <v>0</v>
      </c>
      <c r="CO410" s="1019">
        <f t="shared" si="619"/>
        <v>0</v>
      </c>
      <c r="CP410" s="177"/>
      <c r="CQ410" s="1019">
        <f t="shared" si="620"/>
        <v>0</v>
      </c>
      <c r="CR410" s="1019"/>
      <c r="CS410" s="1019">
        <f t="shared" si="621"/>
        <v>0</v>
      </c>
      <c r="CT410" s="177">
        <f t="shared" si="622"/>
        <v>0</v>
      </c>
      <c r="CU410" s="177">
        <f t="shared" si="623"/>
        <v>0</v>
      </c>
      <c r="CV410" s="1006"/>
      <c r="CW410" s="177">
        <f t="shared" si="632"/>
        <v>6000</v>
      </c>
      <c r="CX410" s="1019">
        <f t="shared" si="633"/>
        <v>6000</v>
      </c>
      <c r="CY410" s="177">
        <f t="shared" si="634"/>
        <v>6000</v>
      </c>
      <c r="CZ410" s="1019">
        <f t="shared" si="635"/>
        <v>0</v>
      </c>
      <c r="DA410" s="177">
        <f t="shared" si="636"/>
        <v>0</v>
      </c>
      <c r="DB410" s="126"/>
      <c r="DC410" s="125"/>
    </row>
    <row r="411" spans="1:108" ht="51" hidden="1" x14ac:dyDescent="0.25">
      <c r="A411" s="19">
        <v>2026</v>
      </c>
      <c r="B411" s="20">
        <v>479</v>
      </c>
      <c r="C411" s="21" t="s">
        <v>64</v>
      </c>
      <c r="D411" s="21" t="s">
        <v>65</v>
      </c>
      <c r="E411" s="20">
        <v>125</v>
      </c>
      <c r="F411" s="20">
        <v>3000654</v>
      </c>
      <c r="G411" s="20">
        <v>5005023</v>
      </c>
      <c r="H411" s="20">
        <v>3</v>
      </c>
      <c r="I411" s="20">
        <v>12</v>
      </c>
      <c r="J411" s="20">
        <v>24</v>
      </c>
      <c r="K411" s="20">
        <v>135560</v>
      </c>
      <c r="L411" s="21" t="s">
        <v>220</v>
      </c>
      <c r="M411" s="33" t="s">
        <v>221</v>
      </c>
      <c r="N411" s="19">
        <v>97</v>
      </c>
      <c r="O411" s="2"/>
      <c r="P411" s="2" t="s">
        <v>4</v>
      </c>
      <c r="Q411" s="20" t="s">
        <v>68</v>
      </c>
      <c r="R411" s="25" t="s">
        <v>69</v>
      </c>
      <c r="S411" s="41" t="s">
        <v>137</v>
      </c>
      <c r="T411" s="41"/>
      <c r="U411" s="31" t="s">
        <v>273</v>
      </c>
      <c r="V411" s="25" t="s">
        <v>3</v>
      </c>
      <c r="W411" s="25">
        <v>1</v>
      </c>
      <c r="X411" s="595">
        <v>6000</v>
      </c>
      <c r="Y411" s="619"/>
      <c r="Z411" s="2"/>
      <c r="AA411" s="2"/>
      <c r="AB411" s="620"/>
      <c r="AC411" s="25">
        <v>0</v>
      </c>
      <c r="AD411" s="25">
        <v>30</v>
      </c>
      <c r="AE411" s="619"/>
      <c r="AF411" s="2"/>
      <c r="AG411" s="2"/>
      <c r="AH411" s="2"/>
      <c r="AI411" s="2"/>
      <c r="AJ411" s="621"/>
      <c r="AK411" s="596">
        <v>6000</v>
      </c>
      <c r="AL411" s="29" t="s">
        <v>73</v>
      </c>
      <c r="AM411" s="29" t="s">
        <v>73</v>
      </c>
      <c r="AN411" s="29" t="s">
        <v>73</v>
      </c>
      <c r="AO411" s="29" t="s">
        <v>73</v>
      </c>
      <c r="AP411" s="648">
        <v>0</v>
      </c>
      <c r="AQ411" s="478">
        <v>6000</v>
      </c>
      <c r="AR411" s="29" t="s">
        <v>73</v>
      </c>
      <c r="AS411" s="29" t="s">
        <v>73</v>
      </c>
      <c r="AT411" s="29" t="s">
        <v>73</v>
      </c>
      <c r="AU411" s="29" t="s">
        <v>73</v>
      </c>
      <c r="AV411" s="29" t="s">
        <v>73</v>
      </c>
      <c r="AW411" s="29" t="s">
        <v>73</v>
      </c>
      <c r="AX411" s="30">
        <v>6000</v>
      </c>
      <c r="AY411" s="479" t="s">
        <v>6</v>
      </c>
      <c r="AZ411" s="2" t="s">
        <v>74</v>
      </c>
      <c r="BA411" s="2"/>
      <c r="BK411" s="125" t="s">
        <v>790</v>
      </c>
      <c r="BL411" s="481" t="s">
        <v>791</v>
      </c>
      <c r="BM411" s="125" t="s">
        <v>1812</v>
      </c>
      <c r="BN411" s="177" t="s">
        <v>1813</v>
      </c>
      <c r="BO411" s="125" t="s">
        <v>1814</v>
      </c>
      <c r="BP411" s="129">
        <v>46156</v>
      </c>
      <c r="BQ411" s="18"/>
      <c r="BR411" s="239">
        <v>5024</v>
      </c>
      <c r="BS411" s="18"/>
      <c r="BT411" s="264"/>
      <c r="BU411" s="18" t="s">
        <v>1815</v>
      </c>
      <c r="BV411" s="125" t="s">
        <v>2026</v>
      </c>
      <c r="BW411" s="125" t="s">
        <v>2027</v>
      </c>
      <c r="BX411" s="125" t="s">
        <v>2028</v>
      </c>
      <c r="BY411" s="125">
        <v>70243392</v>
      </c>
      <c r="BZ411" s="125">
        <v>10702433920</v>
      </c>
      <c r="CA411" s="126">
        <v>6000</v>
      </c>
      <c r="CB411" s="289">
        <v>46174</v>
      </c>
      <c r="CC411" s="289">
        <v>46203</v>
      </c>
      <c r="CD411" s="759"/>
      <c r="CE411" s="177">
        <f t="shared" si="613"/>
        <v>0</v>
      </c>
      <c r="CF411" s="1019">
        <f t="shared" si="614"/>
        <v>0</v>
      </c>
      <c r="CG411" s="177"/>
      <c r="CH411" s="1019">
        <f t="shared" si="615"/>
        <v>0</v>
      </c>
      <c r="CI411" s="177"/>
      <c r="CJ411" s="1019">
        <f>(X411/30)*CI411</f>
        <v>0</v>
      </c>
      <c r="CK411" s="177">
        <f t="shared" si="616"/>
        <v>0</v>
      </c>
      <c r="CL411" s="177">
        <f t="shared" si="617"/>
        <v>0</v>
      </c>
      <c r="CM411" s="1006"/>
      <c r="CN411" s="177">
        <f t="shared" si="618"/>
        <v>30</v>
      </c>
      <c r="CO411" s="1019">
        <f t="shared" si="619"/>
        <v>6000</v>
      </c>
      <c r="CP411" s="177">
        <v>30</v>
      </c>
      <c r="CQ411" s="1019">
        <f t="shared" si="620"/>
        <v>6000</v>
      </c>
      <c r="CR411" s="1019">
        <v>30</v>
      </c>
      <c r="CS411" s="1019">
        <f t="shared" si="621"/>
        <v>6000</v>
      </c>
      <c r="CT411" s="177">
        <f t="shared" si="622"/>
        <v>0</v>
      </c>
      <c r="CU411" s="177">
        <f t="shared" si="623"/>
        <v>0</v>
      </c>
      <c r="CV411" s="1006"/>
      <c r="CW411" s="177">
        <f t="shared" si="632"/>
        <v>6000</v>
      </c>
      <c r="CX411" s="1019">
        <f t="shared" si="633"/>
        <v>6000</v>
      </c>
      <c r="CY411" s="177">
        <f t="shared" si="634"/>
        <v>6000</v>
      </c>
      <c r="CZ411" s="1019">
        <f t="shared" si="635"/>
        <v>0</v>
      </c>
      <c r="DA411" s="177">
        <f t="shared" si="636"/>
        <v>0</v>
      </c>
      <c r="DB411" s="126"/>
      <c r="DC411" s="125"/>
    </row>
    <row r="412" spans="1:108" s="142" customFormat="1" ht="51" hidden="1" x14ac:dyDescent="0.25">
      <c r="A412" s="19">
        <v>2026</v>
      </c>
      <c r="B412" s="20">
        <v>479</v>
      </c>
      <c r="C412" s="21" t="s">
        <v>64</v>
      </c>
      <c r="D412" s="21" t="s">
        <v>65</v>
      </c>
      <c r="E412" s="20">
        <v>125</v>
      </c>
      <c r="F412" s="20">
        <v>3000654</v>
      </c>
      <c r="G412" s="20">
        <v>5005023</v>
      </c>
      <c r="H412" s="20">
        <v>3</v>
      </c>
      <c r="I412" s="20">
        <v>12</v>
      </c>
      <c r="J412" s="20">
        <v>24</v>
      </c>
      <c r="K412" s="20">
        <v>135560</v>
      </c>
      <c r="L412" s="21" t="s">
        <v>220</v>
      </c>
      <c r="M412" s="33" t="s">
        <v>221</v>
      </c>
      <c r="N412" s="19">
        <v>97</v>
      </c>
      <c r="O412" s="629"/>
      <c r="P412" s="629" t="s">
        <v>4</v>
      </c>
      <c r="Q412" s="20" t="s">
        <v>68</v>
      </c>
      <c r="R412" s="25" t="s">
        <v>69</v>
      </c>
      <c r="S412" s="41" t="s">
        <v>137</v>
      </c>
      <c r="T412" s="41"/>
      <c r="U412" s="31" t="s">
        <v>2029</v>
      </c>
      <c r="V412" s="25" t="s">
        <v>3</v>
      </c>
      <c r="W412" s="25">
        <v>1</v>
      </c>
      <c r="X412" s="595">
        <v>6000</v>
      </c>
      <c r="Y412" s="858"/>
      <c r="Z412" s="629"/>
      <c r="AA412" s="629"/>
      <c r="AB412" s="859"/>
      <c r="AC412" s="25">
        <v>30</v>
      </c>
      <c r="AD412" s="25">
        <v>30</v>
      </c>
      <c r="AE412" s="858"/>
      <c r="AF412" s="629"/>
      <c r="AG412" s="629"/>
      <c r="AH412" s="629"/>
      <c r="AI412" s="629"/>
      <c r="AJ412" s="860"/>
      <c r="AK412" s="596">
        <v>12000</v>
      </c>
      <c r="AL412" s="29" t="s">
        <v>73</v>
      </c>
      <c r="AM412" s="29" t="s">
        <v>73</v>
      </c>
      <c r="AN412" s="29" t="s">
        <v>73</v>
      </c>
      <c r="AO412" s="29" t="s">
        <v>73</v>
      </c>
      <c r="AP412" s="478">
        <v>6000</v>
      </c>
      <c r="AQ412" s="478">
        <v>6000</v>
      </c>
      <c r="AR412" s="29" t="s">
        <v>73</v>
      </c>
      <c r="AS412" s="29" t="s">
        <v>73</v>
      </c>
      <c r="AT412" s="29" t="s">
        <v>73</v>
      </c>
      <c r="AU412" s="29" t="s">
        <v>73</v>
      </c>
      <c r="AV412" s="29" t="s">
        <v>73</v>
      </c>
      <c r="AW412" s="29" t="s">
        <v>73</v>
      </c>
      <c r="AX412" s="30">
        <v>12000</v>
      </c>
      <c r="AY412" s="479" t="s">
        <v>6</v>
      </c>
      <c r="AZ412" s="629" t="s">
        <v>74</v>
      </c>
      <c r="BA412" s="629"/>
      <c r="BD412"/>
      <c r="BE412"/>
      <c r="BF412"/>
      <c r="BG412"/>
      <c r="BH412"/>
      <c r="BI412"/>
      <c r="BJ412" t="s">
        <v>2030</v>
      </c>
      <c r="BK412" s="125" t="s">
        <v>790</v>
      </c>
      <c r="BL412" s="481" t="s">
        <v>791</v>
      </c>
      <c r="BM412" s="125" t="s">
        <v>1998</v>
      </c>
      <c r="BN412" s="177" t="s">
        <v>1999</v>
      </c>
      <c r="BO412" s="125" t="s">
        <v>2000</v>
      </c>
      <c r="BP412" s="129">
        <v>46134</v>
      </c>
      <c r="BQ412" s="18"/>
      <c r="BR412" s="505" t="s">
        <v>2031</v>
      </c>
      <c r="BS412" s="18"/>
      <c r="BT412" s="264" t="s">
        <v>2002</v>
      </c>
      <c r="BU412" s="947" t="s">
        <v>1841</v>
      </c>
      <c r="BV412" s="125" t="s">
        <v>822</v>
      </c>
      <c r="BW412" s="125" t="s">
        <v>1337</v>
      </c>
      <c r="BX412" s="125" t="s">
        <v>2032</v>
      </c>
      <c r="BY412" s="125">
        <v>76636482</v>
      </c>
      <c r="BZ412" s="125">
        <v>10766364824</v>
      </c>
      <c r="CA412" s="126">
        <v>6000</v>
      </c>
      <c r="CB412" s="289">
        <v>46143</v>
      </c>
      <c r="CC412" s="289">
        <v>46203</v>
      </c>
      <c r="CD412" s="759"/>
      <c r="CE412" s="177">
        <f t="shared" si="613"/>
        <v>30</v>
      </c>
      <c r="CF412" s="1019">
        <f t="shared" si="614"/>
        <v>6000</v>
      </c>
      <c r="CG412" s="177">
        <v>30</v>
      </c>
      <c r="CH412" s="1019">
        <f t="shared" si="615"/>
        <v>6000</v>
      </c>
      <c r="CI412" s="177">
        <v>30</v>
      </c>
      <c r="CJ412" s="1019">
        <f>(X412/30)*CI412</f>
        <v>6000</v>
      </c>
      <c r="CK412" s="177">
        <f t="shared" si="616"/>
        <v>0</v>
      </c>
      <c r="CL412" s="177">
        <f t="shared" si="617"/>
        <v>0</v>
      </c>
      <c r="CM412" s="1006"/>
      <c r="CN412" s="177">
        <f t="shared" si="618"/>
        <v>30</v>
      </c>
      <c r="CO412" s="1019">
        <f t="shared" si="619"/>
        <v>6000</v>
      </c>
      <c r="CP412" s="177">
        <v>30</v>
      </c>
      <c r="CQ412" s="1019">
        <f t="shared" si="620"/>
        <v>6000</v>
      </c>
      <c r="CR412" s="1019">
        <v>30</v>
      </c>
      <c r="CS412" s="1019">
        <f t="shared" si="621"/>
        <v>6000</v>
      </c>
      <c r="CT412" s="177">
        <f t="shared" si="622"/>
        <v>0</v>
      </c>
      <c r="CU412" s="177">
        <f t="shared" si="623"/>
        <v>0</v>
      </c>
      <c r="CV412" s="1006"/>
      <c r="CW412" s="177">
        <f t="shared" si="632"/>
        <v>12000</v>
      </c>
      <c r="CX412" s="1019">
        <f t="shared" si="633"/>
        <v>12000</v>
      </c>
      <c r="CY412" s="177">
        <f t="shared" si="634"/>
        <v>12000</v>
      </c>
      <c r="CZ412" s="1019">
        <f t="shared" si="635"/>
        <v>0</v>
      </c>
      <c r="DA412" s="177">
        <f t="shared" si="636"/>
        <v>0</v>
      </c>
      <c r="DB412" s="126"/>
      <c r="DC412" s="125"/>
    </row>
    <row r="413" spans="1:108" ht="51" hidden="1" x14ac:dyDescent="0.25">
      <c r="A413" s="19">
        <v>2026</v>
      </c>
      <c r="B413" s="20">
        <v>479</v>
      </c>
      <c r="C413" s="21" t="s">
        <v>64</v>
      </c>
      <c r="D413" s="21" t="s">
        <v>65</v>
      </c>
      <c r="E413" s="20">
        <v>125</v>
      </c>
      <c r="F413" s="20">
        <v>3000654</v>
      </c>
      <c r="G413" s="20">
        <v>5005023</v>
      </c>
      <c r="H413" s="20">
        <v>3</v>
      </c>
      <c r="I413" s="20">
        <v>12</v>
      </c>
      <c r="J413" s="20">
        <v>24</v>
      </c>
      <c r="K413" s="20">
        <v>135560</v>
      </c>
      <c r="L413" s="21" t="s">
        <v>220</v>
      </c>
      <c r="M413" s="33" t="s">
        <v>221</v>
      </c>
      <c r="N413" s="19">
        <v>97</v>
      </c>
      <c r="O413" s="2"/>
      <c r="P413" s="2" t="s">
        <v>4</v>
      </c>
      <c r="Q413" s="20" t="s">
        <v>68</v>
      </c>
      <c r="R413" s="25" t="s">
        <v>69</v>
      </c>
      <c r="S413" s="41" t="s">
        <v>137</v>
      </c>
      <c r="T413" s="41"/>
      <c r="U413" s="31" t="s">
        <v>274</v>
      </c>
      <c r="V413" s="25" t="s">
        <v>3</v>
      </c>
      <c r="W413" s="25">
        <v>1</v>
      </c>
      <c r="X413" s="595">
        <v>6000</v>
      </c>
      <c r="Y413" s="619"/>
      <c r="Z413" s="2"/>
      <c r="AA413" s="2"/>
      <c r="AB413" s="620"/>
      <c r="AC413" s="25">
        <v>30</v>
      </c>
      <c r="AD413" s="25">
        <v>30</v>
      </c>
      <c r="AE413" s="619"/>
      <c r="AF413" s="2"/>
      <c r="AG413" s="2"/>
      <c r="AH413" s="2"/>
      <c r="AI413" s="2"/>
      <c r="AJ413" s="621"/>
      <c r="AK413" s="596">
        <v>12000</v>
      </c>
      <c r="AL413" s="29" t="s">
        <v>73</v>
      </c>
      <c r="AM413" s="29" t="s">
        <v>73</v>
      </c>
      <c r="AN413" s="29" t="s">
        <v>73</v>
      </c>
      <c r="AO413" s="29" t="s">
        <v>73</v>
      </c>
      <c r="AP413" s="478">
        <v>6000</v>
      </c>
      <c r="AQ413" s="478">
        <v>6000</v>
      </c>
      <c r="AR413" s="29" t="s">
        <v>73</v>
      </c>
      <c r="AS413" s="29" t="s">
        <v>73</v>
      </c>
      <c r="AT413" s="29" t="s">
        <v>73</v>
      </c>
      <c r="AU413" s="29" t="s">
        <v>73</v>
      </c>
      <c r="AV413" s="29" t="s">
        <v>73</v>
      </c>
      <c r="AW413" s="29" t="s">
        <v>73</v>
      </c>
      <c r="AX413" s="30">
        <v>12000</v>
      </c>
      <c r="AY413" s="479" t="s">
        <v>6</v>
      </c>
      <c r="AZ413" s="2" t="s">
        <v>74</v>
      </c>
      <c r="BA413" s="2"/>
      <c r="BK413" s="481" t="s">
        <v>790</v>
      </c>
      <c r="BL413" s="481" t="s">
        <v>791</v>
      </c>
      <c r="BM413" s="125" t="s">
        <v>2033</v>
      </c>
      <c r="BN413" s="649" t="s">
        <v>2034</v>
      </c>
      <c r="BO413" s="125" t="s">
        <v>2035</v>
      </c>
      <c r="BP413" s="129">
        <v>46147</v>
      </c>
      <c r="BQ413" s="18"/>
      <c r="BR413" s="505">
        <v>3365</v>
      </c>
      <c r="BS413" s="18"/>
      <c r="BT413" s="264" t="s">
        <v>1809</v>
      </c>
      <c r="BU413" s="951" t="s">
        <v>1815</v>
      </c>
      <c r="BV413" s="125" t="s">
        <v>2036</v>
      </c>
      <c r="BW413" s="125" t="s">
        <v>1677</v>
      </c>
      <c r="BX413" s="125" t="s">
        <v>2037</v>
      </c>
      <c r="BY413" s="125">
        <v>46939996</v>
      </c>
      <c r="BZ413" s="125">
        <v>10469399961</v>
      </c>
      <c r="CA413" s="126">
        <v>6000</v>
      </c>
      <c r="CB413" s="289">
        <v>46148</v>
      </c>
      <c r="CC413" s="289">
        <v>46203</v>
      </c>
      <c r="CD413" s="759"/>
      <c r="CE413" s="177">
        <f t="shared" ref="CE413" si="648">AC413</f>
        <v>30</v>
      </c>
      <c r="CF413" s="1019">
        <f t="shared" ref="CF413" si="649">AP413</f>
        <v>6000</v>
      </c>
      <c r="CG413" s="177">
        <v>30</v>
      </c>
      <c r="CH413" s="1019">
        <f t="shared" ref="CH413" si="650">(X413/30)*CG413</f>
        <v>6000</v>
      </c>
      <c r="CI413" s="177">
        <v>30</v>
      </c>
      <c r="CJ413" s="1019">
        <f t="shared" ref="CJ413" si="651">(X413/30)*CI413</f>
        <v>6000</v>
      </c>
      <c r="CK413" s="177">
        <f t="shared" ref="CK413" si="652">CF413-CH413</f>
        <v>0</v>
      </c>
      <c r="CL413" s="177">
        <f t="shared" ref="CL413" si="653">CF413-CJ413</f>
        <v>0</v>
      </c>
      <c r="CM413" s="1006"/>
      <c r="CN413" s="177">
        <f t="shared" ref="CN413" si="654">AD413</f>
        <v>30</v>
      </c>
      <c r="CO413" s="1019">
        <f t="shared" ref="CO413" si="655">AQ413</f>
        <v>6000</v>
      </c>
      <c r="CP413" s="177">
        <v>30</v>
      </c>
      <c r="CQ413" s="1019">
        <f t="shared" ref="CQ413" si="656">(X413/30)*CP413</f>
        <v>6000</v>
      </c>
      <c r="CR413" s="1019">
        <v>30</v>
      </c>
      <c r="CS413" s="1019">
        <f t="shared" ref="CS413" si="657">(X413/30)*CR413</f>
        <v>6000</v>
      </c>
      <c r="CT413" s="177">
        <f t="shared" ref="CT413" si="658">CO413-CQ413</f>
        <v>0</v>
      </c>
      <c r="CU413" s="177">
        <f t="shared" ref="CU413" si="659">CO413-CS413</f>
        <v>0</v>
      </c>
      <c r="CV413" s="1006"/>
      <c r="CW413" s="177">
        <f t="shared" si="632"/>
        <v>12000</v>
      </c>
      <c r="CX413" s="1019">
        <f t="shared" si="633"/>
        <v>12000</v>
      </c>
      <c r="CY413" s="177">
        <f t="shared" si="634"/>
        <v>12000</v>
      </c>
      <c r="CZ413" s="1019">
        <f t="shared" si="635"/>
        <v>0</v>
      </c>
      <c r="DA413" s="177">
        <f t="shared" si="636"/>
        <v>0</v>
      </c>
      <c r="DB413" s="126"/>
      <c r="DC413" s="125"/>
      <c r="DD413" t="s">
        <v>2038</v>
      </c>
    </row>
    <row r="414" spans="1:108" ht="51" hidden="1" x14ac:dyDescent="0.25">
      <c r="A414" s="19">
        <v>2026</v>
      </c>
      <c r="B414" s="20">
        <v>479</v>
      </c>
      <c r="C414" s="21" t="s">
        <v>64</v>
      </c>
      <c r="D414" s="21" t="s">
        <v>65</v>
      </c>
      <c r="E414" s="20">
        <v>125</v>
      </c>
      <c r="F414" s="20">
        <v>3000654</v>
      </c>
      <c r="G414" s="20">
        <v>5005023</v>
      </c>
      <c r="H414" s="20">
        <v>3</v>
      </c>
      <c r="I414" s="20">
        <v>12</v>
      </c>
      <c r="J414" s="20">
        <v>24</v>
      </c>
      <c r="K414" s="20">
        <v>135560</v>
      </c>
      <c r="L414" s="21" t="s">
        <v>220</v>
      </c>
      <c r="M414" s="33" t="s">
        <v>221</v>
      </c>
      <c r="N414" s="19">
        <v>97</v>
      </c>
      <c r="O414" s="2"/>
      <c r="P414" s="2" t="s">
        <v>4</v>
      </c>
      <c r="Q414" s="20" t="s">
        <v>68</v>
      </c>
      <c r="R414" s="25" t="s">
        <v>69</v>
      </c>
      <c r="S414" s="41" t="s">
        <v>137</v>
      </c>
      <c r="T414" s="41"/>
      <c r="U414" s="31" t="s">
        <v>275</v>
      </c>
      <c r="V414" s="25" t="s">
        <v>3</v>
      </c>
      <c r="W414" s="25">
        <v>1</v>
      </c>
      <c r="X414" s="595">
        <v>6000</v>
      </c>
      <c r="Y414" s="619"/>
      <c r="Z414" s="2"/>
      <c r="AA414" s="2"/>
      <c r="AB414" s="620"/>
      <c r="AC414" s="25">
        <v>30</v>
      </c>
      <c r="AD414" s="25">
        <v>30</v>
      </c>
      <c r="AE414" s="619"/>
      <c r="AF414" s="2"/>
      <c r="AG414" s="2"/>
      <c r="AH414" s="2"/>
      <c r="AI414" s="2"/>
      <c r="AJ414" s="621"/>
      <c r="AK414" s="596">
        <v>12000</v>
      </c>
      <c r="AL414" s="29" t="s">
        <v>73</v>
      </c>
      <c r="AM414" s="29" t="s">
        <v>73</v>
      </c>
      <c r="AN414" s="29" t="s">
        <v>73</v>
      </c>
      <c r="AO414" s="29" t="s">
        <v>73</v>
      </c>
      <c r="AP414" s="478">
        <v>6000</v>
      </c>
      <c r="AQ414" s="478">
        <v>6000</v>
      </c>
      <c r="AR414" s="29" t="s">
        <v>73</v>
      </c>
      <c r="AS414" s="29" t="s">
        <v>73</v>
      </c>
      <c r="AT414" s="29" t="s">
        <v>73</v>
      </c>
      <c r="AU414" s="29" t="s">
        <v>73</v>
      </c>
      <c r="AV414" s="29" t="s">
        <v>73</v>
      </c>
      <c r="AW414" s="29" t="s">
        <v>73</v>
      </c>
      <c r="AX414" s="30">
        <v>12000</v>
      </c>
      <c r="AY414" s="479" t="s">
        <v>6</v>
      </c>
      <c r="AZ414" s="2" t="s">
        <v>74</v>
      </c>
      <c r="BA414" s="2"/>
      <c r="BK414" s="481" t="s">
        <v>790</v>
      </c>
      <c r="BL414" s="481" t="s">
        <v>791</v>
      </c>
      <c r="BM414" s="125" t="s">
        <v>1806</v>
      </c>
      <c r="BN414" s="649" t="s">
        <v>1807</v>
      </c>
      <c r="BO414" s="125" t="s">
        <v>1808</v>
      </c>
      <c r="BP414" s="129">
        <v>46134</v>
      </c>
      <c r="BQ414" s="18"/>
      <c r="BR414" s="505" t="s">
        <v>2039</v>
      </c>
      <c r="BS414" s="18"/>
      <c r="BT414" s="264" t="s">
        <v>1809</v>
      </c>
      <c r="BU414" s="951" t="s">
        <v>1815</v>
      </c>
      <c r="BV414" s="125" t="s">
        <v>2040</v>
      </c>
      <c r="BW414" s="125" t="s">
        <v>1142</v>
      </c>
      <c r="BX414" s="125" t="s">
        <v>1111</v>
      </c>
      <c r="BY414" s="125">
        <v>47652585</v>
      </c>
      <c r="BZ414" s="125">
        <v>10476525859</v>
      </c>
      <c r="CA414" s="126">
        <v>6000</v>
      </c>
      <c r="CB414" s="289">
        <v>46143</v>
      </c>
      <c r="CC414" s="289">
        <v>46203</v>
      </c>
      <c r="CD414" s="759"/>
      <c r="CE414" s="177">
        <f t="shared" si="613"/>
        <v>30</v>
      </c>
      <c r="CF414" s="1019">
        <f t="shared" si="614"/>
        <v>6000</v>
      </c>
      <c r="CG414" s="177">
        <v>30</v>
      </c>
      <c r="CH414" s="1019">
        <f t="shared" si="615"/>
        <v>6000</v>
      </c>
      <c r="CI414" s="177">
        <v>30</v>
      </c>
      <c r="CJ414" s="1019">
        <f t="shared" ref="CJ414:CJ447" si="660">(X414/30)*CI414</f>
        <v>6000</v>
      </c>
      <c r="CK414" s="177">
        <f t="shared" si="616"/>
        <v>0</v>
      </c>
      <c r="CL414" s="177">
        <f t="shared" si="617"/>
        <v>0</v>
      </c>
      <c r="CM414" s="1006"/>
      <c r="CN414" s="177">
        <f t="shared" si="618"/>
        <v>30</v>
      </c>
      <c r="CO414" s="1019">
        <f t="shared" si="619"/>
        <v>6000</v>
      </c>
      <c r="CP414" s="177">
        <v>30</v>
      </c>
      <c r="CQ414" s="1019">
        <f t="shared" si="620"/>
        <v>6000</v>
      </c>
      <c r="CR414" s="1019">
        <v>30</v>
      </c>
      <c r="CS414" s="1019">
        <f t="shared" si="621"/>
        <v>6000</v>
      </c>
      <c r="CT414" s="177">
        <f t="shared" si="622"/>
        <v>0</v>
      </c>
      <c r="CU414" s="177">
        <f t="shared" si="623"/>
        <v>0</v>
      </c>
      <c r="CV414" s="1006"/>
      <c r="CW414" s="177">
        <f t="shared" si="632"/>
        <v>12000</v>
      </c>
      <c r="CX414" s="1019">
        <f t="shared" si="633"/>
        <v>12000</v>
      </c>
      <c r="CY414" s="177">
        <f t="shared" si="634"/>
        <v>12000</v>
      </c>
      <c r="CZ414" s="1019">
        <f t="shared" si="635"/>
        <v>0</v>
      </c>
      <c r="DA414" s="177">
        <f t="shared" si="636"/>
        <v>0</v>
      </c>
      <c r="DB414" s="126"/>
      <c r="DC414" s="125"/>
    </row>
    <row r="415" spans="1:108" s="142" customFormat="1" ht="51" hidden="1" x14ac:dyDescent="0.25">
      <c r="A415" s="19">
        <v>2026</v>
      </c>
      <c r="B415" s="20">
        <v>479</v>
      </c>
      <c r="C415" s="21" t="s">
        <v>64</v>
      </c>
      <c r="D415" s="21" t="s">
        <v>65</v>
      </c>
      <c r="E415" s="20">
        <v>125</v>
      </c>
      <c r="F415" s="20">
        <v>3000654</v>
      </c>
      <c r="G415" s="20">
        <v>5005023</v>
      </c>
      <c r="H415" s="20">
        <v>3</v>
      </c>
      <c r="I415" s="20">
        <v>12</v>
      </c>
      <c r="J415" s="20">
        <v>24</v>
      </c>
      <c r="K415" s="20">
        <v>135560</v>
      </c>
      <c r="L415" s="21" t="s">
        <v>220</v>
      </c>
      <c r="M415" s="33" t="s">
        <v>221</v>
      </c>
      <c r="N415" s="19">
        <v>97</v>
      </c>
      <c r="O415" s="629"/>
      <c r="P415" s="629" t="s">
        <v>4</v>
      </c>
      <c r="Q415" s="20" t="s">
        <v>68</v>
      </c>
      <c r="R415" s="25" t="s">
        <v>69</v>
      </c>
      <c r="S415" s="41" t="s">
        <v>137</v>
      </c>
      <c r="T415" s="41"/>
      <c r="U415" s="31" t="s">
        <v>276</v>
      </c>
      <c r="V415" s="25" t="s">
        <v>3</v>
      </c>
      <c r="W415" s="25">
        <v>1</v>
      </c>
      <c r="X415" s="595">
        <v>6000</v>
      </c>
      <c r="Y415" s="858"/>
      <c r="Z415" s="629"/>
      <c r="AA415" s="629"/>
      <c r="AB415" s="859"/>
      <c r="AC415" s="25">
        <v>30</v>
      </c>
      <c r="AD415" s="25">
        <v>30</v>
      </c>
      <c r="AE415" s="858"/>
      <c r="AF415" s="629"/>
      <c r="AG415" s="629"/>
      <c r="AH415" s="629"/>
      <c r="AI415" s="629"/>
      <c r="AJ415" s="860"/>
      <c r="AK415" s="596">
        <v>12000</v>
      </c>
      <c r="AL415" s="29" t="s">
        <v>73</v>
      </c>
      <c r="AM415" s="29" t="s">
        <v>73</v>
      </c>
      <c r="AN415" s="29" t="s">
        <v>73</v>
      </c>
      <c r="AO415" s="29" t="s">
        <v>73</v>
      </c>
      <c r="AP415" s="478">
        <v>6000</v>
      </c>
      <c r="AQ415" s="478">
        <v>6000</v>
      </c>
      <c r="AR415" s="29" t="s">
        <v>73</v>
      </c>
      <c r="AS415" s="29" t="s">
        <v>73</v>
      </c>
      <c r="AT415" s="29" t="s">
        <v>73</v>
      </c>
      <c r="AU415" s="29" t="s">
        <v>73</v>
      </c>
      <c r="AV415" s="29" t="s">
        <v>73</v>
      </c>
      <c r="AW415" s="29" t="s">
        <v>73</v>
      </c>
      <c r="AX415" s="30">
        <v>12000</v>
      </c>
      <c r="AY415" s="479" t="s">
        <v>6</v>
      </c>
      <c r="AZ415" s="629" t="s">
        <v>74</v>
      </c>
      <c r="BA415" s="629"/>
      <c r="BD415"/>
      <c r="BE415"/>
      <c r="BF415"/>
      <c r="BG415"/>
      <c r="BH415"/>
      <c r="BI415"/>
      <c r="BJ415"/>
      <c r="BK415" s="481" t="s">
        <v>790</v>
      </c>
      <c r="BL415" s="481" t="s">
        <v>791</v>
      </c>
      <c r="BM415" s="125" t="s">
        <v>1806</v>
      </c>
      <c r="BN415" s="649" t="s">
        <v>1807</v>
      </c>
      <c r="BO415" s="125" t="s">
        <v>1808</v>
      </c>
      <c r="BP415" s="129">
        <v>46134</v>
      </c>
      <c r="BQ415" s="18"/>
      <c r="BR415" s="505" t="s">
        <v>2041</v>
      </c>
      <c r="BS415" s="18"/>
      <c r="BT415" s="264" t="s">
        <v>1809</v>
      </c>
      <c r="BU415" s="951" t="s">
        <v>1815</v>
      </c>
      <c r="BV415" s="125" t="s">
        <v>2042</v>
      </c>
      <c r="BW415" s="125" t="s">
        <v>977</v>
      </c>
      <c r="BX415" s="125" t="s">
        <v>2043</v>
      </c>
      <c r="BY415" s="125" t="s">
        <v>2044</v>
      </c>
      <c r="BZ415" s="125">
        <v>10436463265</v>
      </c>
      <c r="CA415" s="126">
        <v>6000</v>
      </c>
      <c r="CB415" s="289">
        <v>46143</v>
      </c>
      <c r="CC415" s="289">
        <v>46203</v>
      </c>
      <c r="CD415" s="759"/>
      <c r="CE415" s="177">
        <f t="shared" si="613"/>
        <v>30</v>
      </c>
      <c r="CF415" s="1019">
        <f t="shared" si="614"/>
        <v>6000</v>
      </c>
      <c r="CG415" s="177">
        <v>30</v>
      </c>
      <c r="CH415" s="1019">
        <f t="shared" si="615"/>
        <v>6000</v>
      </c>
      <c r="CI415" s="177">
        <v>30</v>
      </c>
      <c r="CJ415" s="1019">
        <f t="shared" si="660"/>
        <v>6000</v>
      </c>
      <c r="CK415" s="177">
        <f t="shared" si="616"/>
        <v>0</v>
      </c>
      <c r="CL415" s="177">
        <f t="shared" si="617"/>
        <v>0</v>
      </c>
      <c r="CM415" s="1006"/>
      <c r="CN415" s="177">
        <f t="shared" si="618"/>
        <v>30</v>
      </c>
      <c r="CO415" s="1019">
        <f t="shared" si="619"/>
        <v>6000</v>
      </c>
      <c r="CP415" s="177">
        <v>30</v>
      </c>
      <c r="CQ415" s="1019">
        <f t="shared" si="620"/>
        <v>6000</v>
      </c>
      <c r="CR415" s="1019">
        <v>30</v>
      </c>
      <c r="CS415" s="1019">
        <f t="shared" si="621"/>
        <v>6000</v>
      </c>
      <c r="CT415" s="177">
        <f t="shared" si="622"/>
        <v>0</v>
      </c>
      <c r="CU415" s="177">
        <f t="shared" si="623"/>
        <v>0</v>
      </c>
      <c r="CV415" s="1006"/>
      <c r="CW415" s="177">
        <f t="shared" si="632"/>
        <v>12000</v>
      </c>
      <c r="CX415" s="1019">
        <f t="shared" si="633"/>
        <v>12000</v>
      </c>
      <c r="CY415" s="177">
        <f t="shared" si="634"/>
        <v>12000</v>
      </c>
      <c r="CZ415" s="1019">
        <f t="shared" si="635"/>
        <v>0</v>
      </c>
      <c r="DA415" s="177">
        <f t="shared" si="636"/>
        <v>0</v>
      </c>
      <c r="DB415" s="126"/>
      <c r="DC415" s="125"/>
    </row>
    <row r="416" spans="1:108" ht="51" hidden="1" x14ac:dyDescent="0.25">
      <c r="A416" s="19">
        <v>2026</v>
      </c>
      <c r="B416" s="20">
        <v>479</v>
      </c>
      <c r="C416" s="21" t="s">
        <v>64</v>
      </c>
      <c r="D416" s="21" t="s">
        <v>65</v>
      </c>
      <c r="E416" s="20">
        <v>125</v>
      </c>
      <c r="F416" s="20">
        <v>3000654</v>
      </c>
      <c r="G416" s="20">
        <v>5005023</v>
      </c>
      <c r="H416" s="20">
        <v>3</v>
      </c>
      <c r="I416" s="20">
        <v>12</v>
      </c>
      <c r="J416" s="20">
        <v>24</v>
      </c>
      <c r="K416" s="20">
        <v>135560</v>
      </c>
      <c r="L416" s="21" t="s">
        <v>220</v>
      </c>
      <c r="M416" s="33" t="s">
        <v>221</v>
      </c>
      <c r="N416" s="19">
        <v>97</v>
      </c>
      <c r="O416" s="2"/>
      <c r="P416" s="2" t="s">
        <v>4</v>
      </c>
      <c r="Q416" s="20" t="s">
        <v>68</v>
      </c>
      <c r="R416" s="25" t="s">
        <v>69</v>
      </c>
      <c r="S416" s="41" t="s">
        <v>137</v>
      </c>
      <c r="T416" s="41"/>
      <c r="U416" s="31" t="s">
        <v>277</v>
      </c>
      <c r="V416" s="25" t="s">
        <v>3</v>
      </c>
      <c r="W416" s="25">
        <v>1</v>
      </c>
      <c r="X416" s="595">
        <v>6000</v>
      </c>
      <c r="Y416" s="619"/>
      <c r="Z416" s="2"/>
      <c r="AA416" s="2"/>
      <c r="AB416" s="620"/>
      <c r="AC416" s="25">
        <v>30</v>
      </c>
      <c r="AD416" s="25">
        <v>30</v>
      </c>
      <c r="AE416" s="619"/>
      <c r="AF416" s="2"/>
      <c r="AG416" s="2"/>
      <c r="AH416" s="2"/>
      <c r="AI416" s="2"/>
      <c r="AJ416" s="621"/>
      <c r="AK416" s="596">
        <v>12000</v>
      </c>
      <c r="AL416" s="29" t="s">
        <v>73</v>
      </c>
      <c r="AM416" s="29" t="s">
        <v>73</v>
      </c>
      <c r="AN416" s="29" t="s">
        <v>73</v>
      </c>
      <c r="AO416" s="29" t="s">
        <v>73</v>
      </c>
      <c r="AP416" s="478">
        <v>6000</v>
      </c>
      <c r="AQ416" s="478">
        <v>6000</v>
      </c>
      <c r="AR416" s="29" t="s">
        <v>73</v>
      </c>
      <c r="AS416" s="29" t="s">
        <v>73</v>
      </c>
      <c r="AT416" s="29" t="s">
        <v>73</v>
      </c>
      <c r="AU416" s="29" t="s">
        <v>73</v>
      </c>
      <c r="AV416" s="29" t="s">
        <v>73</v>
      </c>
      <c r="AW416" s="29" t="s">
        <v>73</v>
      </c>
      <c r="AX416" s="30">
        <v>12000</v>
      </c>
      <c r="AY416" s="479" t="s">
        <v>6</v>
      </c>
      <c r="AZ416" s="2" t="s">
        <v>74</v>
      </c>
      <c r="BA416" s="2"/>
      <c r="BK416" s="481" t="s">
        <v>790</v>
      </c>
      <c r="BL416" s="481" t="s">
        <v>791</v>
      </c>
      <c r="BM416" s="125" t="s">
        <v>1806</v>
      </c>
      <c r="BN416" s="649" t="s">
        <v>1807</v>
      </c>
      <c r="BO416" s="125" t="s">
        <v>1808</v>
      </c>
      <c r="BP416" s="129">
        <v>46134</v>
      </c>
      <c r="BQ416" s="18"/>
      <c r="BR416" s="505" t="s">
        <v>2045</v>
      </c>
      <c r="BS416" s="18"/>
      <c r="BT416" s="264" t="s">
        <v>1809</v>
      </c>
      <c r="BU416" s="951" t="s">
        <v>1815</v>
      </c>
      <c r="BV416" s="125" t="s">
        <v>2046</v>
      </c>
      <c r="BW416" s="125" t="s">
        <v>871</v>
      </c>
      <c r="BX416" s="125" t="s">
        <v>2047</v>
      </c>
      <c r="BY416" s="125" t="s">
        <v>2048</v>
      </c>
      <c r="BZ416" s="125">
        <v>10724315301</v>
      </c>
      <c r="CA416" s="126">
        <v>6000</v>
      </c>
      <c r="CB416" s="289">
        <v>46143</v>
      </c>
      <c r="CC416" s="289">
        <v>46203</v>
      </c>
      <c r="CD416" s="759"/>
      <c r="CE416" s="177">
        <f t="shared" si="613"/>
        <v>30</v>
      </c>
      <c r="CF416" s="1019">
        <f t="shared" si="614"/>
        <v>6000</v>
      </c>
      <c r="CG416" s="177">
        <v>30</v>
      </c>
      <c r="CH416" s="1019">
        <f t="shared" si="615"/>
        <v>6000</v>
      </c>
      <c r="CI416" s="177">
        <v>30</v>
      </c>
      <c r="CJ416" s="1019">
        <f t="shared" si="660"/>
        <v>6000</v>
      </c>
      <c r="CK416" s="177">
        <f t="shared" si="616"/>
        <v>0</v>
      </c>
      <c r="CL416" s="177">
        <f t="shared" si="617"/>
        <v>0</v>
      </c>
      <c r="CM416" s="1006"/>
      <c r="CN416" s="177">
        <f t="shared" si="618"/>
        <v>30</v>
      </c>
      <c r="CO416" s="1019">
        <f t="shared" si="619"/>
        <v>6000</v>
      </c>
      <c r="CP416" s="177">
        <v>30</v>
      </c>
      <c r="CQ416" s="1019">
        <f t="shared" si="620"/>
        <v>6000</v>
      </c>
      <c r="CR416" s="1019">
        <v>30</v>
      </c>
      <c r="CS416" s="1019">
        <f t="shared" si="621"/>
        <v>6000</v>
      </c>
      <c r="CT416" s="177">
        <f t="shared" si="622"/>
        <v>0</v>
      </c>
      <c r="CU416" s="177">
        <f t="shared" si="623"/>
        <v>0</v>
      </c>
      <c r="CV416" s="1006"/>
      <c r="CW416" s="177">
        <f t="shared" si="632"/>
        <v>12000</v>
      </c>
      <c r="CX416" s="1019">
        <f t="shared" si="633"/>
        <v>12000</v>
      </c>
      <c r="CY416" s="177">
        <f t="shared" si="634"/>
        <v>12000</v>
      </c>
      <c r="CZ416" s="1019">
        <f t="shared" si="635"/>
        <v>0</v>
      </c>
      <c r="DA416" s="177">
        <f t="shared" si="636"/>
        <v>0</v>
      </c>
      <c r="DB416" s="126"/>
      <c r="DC416" s="125"/>
    </row>
    <row r="417" spans="1:108" ht="51" hidden="1" x14ac:dyDescent="0.25">
      <c r="A417" s="19">
        <v>2026</v>
      </c>
      <c r="B417" s="20">
        <v>479</v>
      </c>
      <c r="C417" s="21" t="s">
        <v>64</v>
      </c>
      <c r="D417" s="21" t="s">
        <v>65</v>
      </c>
      <c r="E417" s="20">
        <v>125</v>
      </c>
      <c r="F417" s="20">
        <v>3000654</v>
      </c>
      <c r="G417" s="20">
        <v>5005023</v>
      </c>
      <c r="H417" s="20">
        <v>3</v>
      </c>
      <c r="I417" s="20">
        <v>12</v>
      </c>
      <c r="J417" s="20">
        <v>24</v>
      </c>
      <c r="K417" s="20">
        <v>135560</v>
      </c>
      <c r="L417" s="21" t="s">
        <v>220</v>
      </c>
      <c r="M417" s="33" t="s">
        <v>221</v>
      </c>
      <c r="N417" s="19">
        <v>97</v>
      </c>
      <c r="O417" s="2"/>
      <c r="P417" s="2" t="s">
        <v>4</v>
      </c>
      <c r="Q417" s="20" t="s">
        <v>68</v>
      </c>
      <c r="R417" s="25" t="s">
        <v>69</v>
      </c>
      <c r="S417" s="41" t="s">
        <v>137</v>
      </c>
      <c r="T417" s="41"/>
      <c r="U417" s="31" t="s">
        <v>278</v>
      </c>
      <c r="V417" s="25" t="s">
        <v>3</v>
      </c>
      <c r="W417" s="25">
        <v>1</v>
      </c>
      <c r="X417" s="595">
        <v>6000</v>
      </c>
      <c r="Y417" s="619"/>
      <c r="Z417" s="2"/>
      <c r="AA417" s="2"/>
      <c r="AB417" s="620"/>
      <c r="AC417" s="25">
        <v>30</v>
      </c>
      <c r="AD417" s="25">
        <v>30</v>
      </c>
      <c r="AE417" s="619"/>
      <c r="AF417" s="2"/>
      <c r="AG417" s="2"/>
      <c r="AH417" s="2"/>
      <c r="AI417" s="2"/>
      <c r="AJ417" s="621"/>
      <c r="AK417" s="596">
        <v>12000</v>
      </c>
      <c r="AL417" s="29" t="s">
        <v>73</v>
      </c>
      <c r="AM417" s="29" t="s">
        <v>73</v>
      </c>
      <c r="AN417" s="29" t="s">
        <v>73</v>
      </c>
      <c r="AO417" s="29" t="s">
        <v>73</v>
      </c>
      <c r="AP417" s="478">
        <v>6000</v>
      </c>
      <c r="AQ417" s="478">
        <v>6000</v>
      </c>
      <c r="AR417" s="29" t="s">
        <v>73</v>
      </c>
      <c r="AS417" s="29" t="s">
        <v>73</v>
      </c>
      <c r="AT417" s="29" t="s">
        <v>73</v>
      </c>
      <c r="AU417" s="29" t="s">
        <v>73</v>
      </c>
      <c r="AV417" s="29" t="s">
        <v>73</v>
      </c>
      <c r="AW417" s="29" t="s">
        <v>73</v>
      </c>
      <c r="AX417" s="30">
        <v>12000</v>
      </c>
      <c r="AY417" s="479" t="s">
        <v>6</v>
      </c>
      <c r="AZ417" s="2" t="s">
        <v>74</v>
      </c>
      <c r="BA417" s="2"/>
      <c r="BK417" s="481" t="s">
        <v>790</v>
      </c>
      <c r="BL417" s="481" t="s">
        <v>791</v>
      </c>
      <c r="BM417" s="125" t="s">
        <v>1806</v>
      </c>
      <c r="BN417" s="649" t="s">
        <v>1807</v>
      </c>
      <c r="BO417" s="125" t="s">
        <v>1808</v>
      </c>
      <c r="BP417" s="129">
        <v>46134</v>
      </c>
      <c r="BQ417" s="18"/>
      <c r="BR417" s="505" t="s">
        <v>2049</v>
      </c>
      <c r="BS417" s="18"/>
      <c r="BT417" s="264" t="s">
        <v>1809</v>
      </c>
      <c r="BU417" s="951" t="s">
        <v>1815</v>
      </c>
      <c r="BV417" s="125" t="s">
        <v>2050</v>
      </c>
      <c r="BW417" s="125" t="s">
        <v>2051</v>
      </c>
      <c r="BX417" s="125" t="s">
        <v>2052</v>
      </c>
      <c r="BY417" s="125" t="s">
        <v>2053</v>
      </c>
      <c r="BZ417" s="125">
        <v>10406520167</v>
      </c>
      <c r="CA417" s="126">
        <v>6000</v>
      </c>
      <c r="CB417" s="289">
        <v>46143</v>
      </c>
      <c r="CC417" s="289">
        <v>46203</v>
      </c>
      <c r="CD417" s="759"/>
      <c r="CE417" s="177">
        <f t="shared" si="613"/>
        <v>30</v>
      </c>
      <c r="CF417" s="1019">
        <f t="shared" si="614"/>
        <v>6000</v>
      </c>
      <c r="CG417" s="177">
        <v>30</v>
      </c>
      <c r="CH417" s="1019">
        <f t="shared" si="615"/>
        <v>6000</v>
      </c>
      <c r="CI417" s="177">
        <v>30</v>
      </c>
      <c r="CJ417" s="1019">
        <f t="shared" si="660"/>
        <v>6000</v>
      </c>
      <c r="CK417" s="177">
        <f t="shared" si="616"/>
        <v>0</v>
      </c>
      <c r="CL417" s="177">
        <f t="shared" si="617"/>
        <v>0</v>
      </c>
      <c r="CM417" s="1006"/>
      <c r="CN417" s="177">
        <f t="shared" si="618"/>
        <v>30</v>
      </c>
      <c r="CO417" s="1019">
        <f>AQ417</f>
        <v>6000</v>
      </c>
      <c r="CP417" s="177">
        <v>30</v>
      </c>
      <c r="CQ417" s="1019">
        <f t="shared" si="620"/>
        <v>6000</v>
      </c>
      <c r="CR417" s="1019">
        <v>30</v>
      </c>
      <c r="CS417" s="1019">
        <f t="shared" si="621"/>
        <v>6000</v>
      </c>
      <c r="CT417" s="177">
        <f t="shared" si="622"/>
        <v>0</v>
      </c>
      <c r="CU417" s="177">
        <f t="shared" si="623"/>
        <v>0</v>
      </c>
      <c r="CV417" s="1006"/>
      <c r="CW417" s="177">
        <f t="shared" si="632"/>
        <v>12000</v>
      </c>
      <c r="CX417" s="1019">
        <f t="shared" si="633"/>
        <v>12000</v>
      </c>
      <c r="CY417" s="177">
        <f t="shared" si="634"/>
        <v>12000</v>
      </c>
      <c r="CZ417" s="1019">
        <f t="shared" si="635"/>
        <v>0</v>
      </c>
      <c r="DA417" s="177">
        <f t="shared" si="636"/>
        <v>0</v>
      </c>
      <c r="DB417" s="126"/>
      <c r="DC417" s="125"/>
    </row>
    <row r="418" spans="1:108" ht="51" hidden="1" x14ac:dyDescent="0.25">
      <c r="A418" s="19">
        <v>2026</v>
      </c>
      <c r="B418" s="20">
        <v>479</v>
      </c>
      <c r="C418" s="21" t="s">
        <v>64</v>
      </c>
      <c r="D418" s="21" t="s">
        <v>65</v>
      </c>
      <c r="E418" s="20">
        <v>125</v>
      </c>
      <c r="F418" s="20">
        <v>3000654</v>
      </c>
      <c r="G418" s="20">
        <v>5005023</v>
      </c>
      <c r="H418" s="20">
        <v>3</v>
      </c>
      <c r="I418" s="20">
        <v>12</v>
      </c>
      <c r="J418" s="20">
        <v>24</v>
      </c>
      <c r="K418" s="20">
        <v>135560</v>
      </c>
      <c r="L418" s="21" t="s">
        <v>98</v>
      </c>
      <c r="M418" s="33" t="s">
        <v>99</v>
      </c>
      <c r="N418" s="19">
        <v>94</v>
      </c>
      <c r="O418" s="2"/>
      <c r="P418" s="2" t="s">
        <v>4</v>
      </c>
      <c r="Q418" s="20" t="s">
        <v>68</v>
      </c>
      <c r="R418" s="25" t="s">
        <v>69</v>
      </c>
      <c r="S418" s="41" t="s">
        <v>137</v>
      </c>
      <c r="T418" s="41"/>
      <c r="U418" s="31" t="s">
        <v>279</v>
      </c>
      <c r="V418" s="25" t="s">
        <v>3</v>
      </c>
      <c r="W418" s="25">
        <v>1</v>
      </c>
      <c r="X418" s="595">
        <v>6000</v>
      </c>
      <c r="Y418" s="619"/>
      <c r="Z418" s="2"/>
      <c r="AA418" s="2"/>
      <c r="AB418" s="620"/>
      <c r="AC418" s="25">
        <v>30</v>
      </c>
      <c r="AD418" s="25">
        <v>0</v>
      </c>
      <c r="AE418" s="619"/>
      <c r="AF418" s="2"/>
      <c r="AG418" s="2"/>
      <c r="AH418" s="2"/>
      <c r="AI418" s="2"/>
      <c r="AJ418" s="621"/>
      <c r="AK418" s="596">
        <v>6000</v>
      </c>
      <c r="AL418" s="29" t="s">
        <v>73</v>
      </c>
      <c r="AM418" s="29" t="s">
        <v>73</v>
      </c>
      <c r="AN418" s="29" t="s">
        <v>73</v>
      </c>
      <c r="AO418" s="29" t="s">
        <v>73</v>
      </c>
      <c r="AP418" s="478">
        <v>6000</v>
      </c>
      <c r="AQ418" s="648">
        <v>0</v>
      </c>
      <c r="AR418" s="29" t="s">
        <v>73</v>
      </c>
      <c r="AS418" s="29" t="s">
        <v>73</v>
      </c>
      <c r="AT418" s="29" t="s">
        <v>73</v>
      </c>
      <c r="AU418" s="29" t="s">
        <v>73</v>
      </c>
      <c r="AV418" s="29" t="s">
        <v>73</v>
      </c>
      <c r="AW418" s="29" t="s">
        <v>73</v>
      </c>
      <c r="AX418" s="30">
        <v>6000</v>
      </c>
      <c r="AY418" s="165" t="s">
        <v>6</v>
      </c>
      <c r="AZ418" s="2" t="s">
        <v>74</v>
      </c>
      <c r="BA418" s="2"/>
      <c r="BK418" s="147" t="s">
        <v>790</v>
      </c>
      <c r="BL418" s="481" t="s">
        <v>791</v>
      </c>
      <c r="BM418" s="125" t="s">
        <v>1806</v>
      </c>
      <c r="BN418" s="649" t="s">
        <v>1807</v>
      </c>
      <c r="BO418" s="125" t="s">
        <v>1808</v>
      </c>
      <c r="BP418" s="129">
        <v>46134</v>
      </c>
      <c r="BQ418" s="18"/>
      <c r="BR418" s="505" t="s">
        <v>2054</v>
      </c>
      <c r="BS418" s="18"/>
      <c r="BT418" s="264" t="s">
        <v>1809</v>
      </c>
      <c r="BU418" s="18"/>
      <c r="BV418" s="125" t="s">
        <v>1846</v>
      </c>
      <c r="BW418" s="125" t="s">
        <v>2055</v>
      </c>
      <c r="BX418" s="125" t="s">
        <v>2056</v>
      </c>
      <c r="BY418" s="125">
        <v>75548766</v>
      </c>
      <c r="BZ418" s="125">
        <v>10755487665</v>
      </c>
      <c r="CA418" s="126">
        <v>6000</v>
      </c>
      <c r="CB418" s="289">
        <v>46143</v>
      </c>
      <c r="CC418" s="289">
        <v>46173</v>
      </c>
      <c r="CD418" s="759"/>
      <c r="CE418" s="177">
        <f t="shared" si="613"/>
        <v>30</v>
      </c>
      <c r="CF418" s="1019">
        <f t="shared" si="614"/>
        <v>6000</v>
      </c>
      <c r="CG418" s="177">
        <v>30</v>
      </c>
      <c r="CH418" s="1019">
        <f t="shared" si="615"/>
        <v>6000</v>
      </c>
      <c r="CI418" s="177">
        <v>30</v>
      </c>
      <c r="CJ418" s="1019">
        <f t="shared" si="660"/>
        <v>6000</v>
      </c>
      <c r="CK418" s="177">
        <f t="shared" si="616"/>
        <v>0</v>
      </c>
      <c r="CL418" s="177">
        <f t="shared" si="617"/>
        <v>0</v>
      </c>
      <c r="CM418" s="1006"/>
      <c r="CN418" s="177">
        <f t="shared" si="618"/>
        <v>0</v>
      </c>
      <c r="CO418" s="1019">
        <f t="shared" si="619"/>
        <v>0</v>
      </c>
      <c r="CP418" s="177"/>
      <c r="CQ418" s="1019">
        <f t="shared" si="620"/>
        <v>0</v>
      </c>
      <c r="CR418" s="1019"/>
      <c r="CS418" s="1019">
        <f t="shared" si="621"/>
        <v>0</v>
      </c>
      <c r="CT418" s="177">
        <f t="shared" si="622"/>
        <v>0</v>
      </c>
      <c r="CU418" s="177">
        <f t="shared" si="623"/>
        <v>0</v>
      </c>
      <c r="CV418" s="1006"/>
      <c r="CW418" s="177">
        <f t="shared" si="632"/>
        <v>6000</v>
      </c>
      <c r="CX418" s="1019">
        <f t="shared" si="633"/>
        <v>6000</v>
      </c>
      <c r="CY418" s="177">
        <f t="shared" si="634"/>
        <v>6000</v>
      </c>
      <c r="CZ418" s="1019">
        <f t="shared" si="635"/>
        <v>0</v>
      </c>
      <c r="DA418" s="177">
        <f t="shared" si="636"/>
        <v>0</v>
      </c>
      <c r="DB418" s="126"/>
      <c r="DC418" s="125"/>
    </row>
    <row r="419" spans="1:108" ht="51" hidden="1" x14ac:dyDescent="0.25">
      <c r="A419" s="19">
        <v>2026</v>
      </c>
      <c r="B419" s="20">
        <v>479</v>
      </c>
      <c r="C419" s="21" t="s">
        <v>64</v>
      </c>
      <c r="D419" s="21" t="s">
        <v>65</v>
      </c>
      <c r="E419" s="20">
        <v>125</v>
      </c>
      <c r="F419" s="20">
        <v>3000654</v>
      </c>
      <c r="G419" s="20">
        <v>5005023</v>
      </c>
      <c r="H419" s="20">
        <v>3</v>
      </c>
      <c r="I419" s="20">
        <v>12</v>
      </c>
      <c r="J419" s="20">
        <v>24</v>
      </c>
      <c r="K419" s="20">
        <v>135560</v>
      </c>
      <c r="L419" s="21" t="s">
        <v>220</v>
      </c>
      <c r="M419" s="33" t="s">
        <v>221</v>
      </c>
      <c r="N419" s="19">
        <v>97</v>
      </c>
      <c r="O419" s="2"/>
      <c r="P419" s="2" t="s">
        <v>4</v>
      </c>
      <c r="Q419" s="20" t="s">
        <v>68</v>
      </c>
      <c r="R419" s="25" t="s">
        <v>69</v>
      </c>
      <c r="S419" s="41" t="s">
        <v>137</v>
      </c>
      <c r="T419" s="41"/>
      <c r="U419" s="31" t="s">
        <v>279</v>
      </c>
      <c r="V419" s="25" t="s">
        <v>3</v>
      </c>
      <c r="W419" s="25">
        <v>1</v>
      </c>
      <c r="X419" s="595">
        <v>6000</v>
      </c>
      <c r="Y419" s="619"/>
      <c r="Z419" s="2"/>
      <c r="AA419" s="2"/>
      <c r="AB419" s="620"/>
      <c r="AC419" s="25">
        <v>0</v>
      </c>
      <c r="AD419" s="25">
        <v>30</v>
      </c>
      <c r="AE419" s="619"/>
      <c r="AF419" s="2"/>
      <c r="AG419" s="2"/>
      <c r="AH419" s="2"/>
      <c r="AI419" s="2"/>
      <c r="AJ419" s="621"/>
      <c r="AK419" s="596">
        <v>6000</v>
      </c>
      <c r="AL419" s="29" t="s">
        <v>73</v>
      </c>
      <c r="AM419" s="29" t="s">
        <v>73</v>
      </c>
      <c r="AN419" s="29" t="s">
        <v>73</v>
      </c>
      <c r="AO419" s="29" t="s">
        <v>73</v>
      </c>
      <c r="AP419" s="648">
        <v>0</v>
      </c>
      <c r="AQ419" s="478">
        <v>6000</v>
      </c>
      <c r="AR419" s="29" t="s">
        <v>73</v>
      </c>
      <c r="AS419" s="29" t="s">
        <v>73</v>
      </c>
      <c r="AT419" s="29" t="s">
        <v>73</v>
      </c>
      <c r="AU419" s="29" t="s">
        <v>73</v>
      </c>
      <c r="AV419" s="29" t="s">
        <v>73</v>
      </c>
      <c r="AW419" s="29" t="s">
        <v>73</v>
      </c>
      <c r="AX419" s="30">
        <v>6000</v>
      </c>
      <c r="AY419" s="479" t="s">
        <v>6</v>
      </c>
      <c r="AZ419" s="2" t="s">
        <v>74</v>
      </c>
      <c r="BA419" s="2"/>
      <c r="BK419" s="125" t="s">
        <v>790</v>
      </c>
      <c r="BL419" s="481" t="s">
        <v>791</v>
      </c>
      <c r="BM419" s="125" t="s">
        <v>1812</v>
      </c>
      <c r="BN419" s="177" t="s">
        <v>1813</v>
      </c>
      <c r="BO419" s="125" t="s">
        <v>1814</v>
      </c>
      <c r="BP419" s="129">
        <v>46156</v>
      </c>
      <c r="BQ419" s="18"/>
      <c r="BR419" s="239">
        <v>5026</v>
      </c>
      <c r="BS419" s="18"/>
      <c r="BT419" s="264"/>
      <c r="BU419" s="18" t="s">
        <v>1815</v>
      </c>
      <c r="BV419" s="125" t="s">
        <v>1846</v>
      </c>
      <c r="BW419" s="125" t="s">
        <v>2055</v>
      </c>
      <c r="BX419" s="125" t="s">
        <v>2056</v>
      </c>
      <c r="BY419" s="125">
        <v>75548766</v>
      </c>
      <c r="BZ419" s="125">
        <v>10755487665</v>
      </c>
      <c r="CA419" s="126">
        <v>6000</v>
      </c>
      <c r="CB419" s="289">
        <v>46174</v>
      </c>
      <c r="CC419" s="289">
        <v>46203</v>
      </c>
      <c r="CD419" s="759"/>
      <c r="CE419" s="177">
        <f t="shared" si="613"/>
        <v>0</v>
      </c>
      <c r="CF419" s="1019">
        <f t="shared" si="614"/>
        <v>0</v>
      </c>
      <c r="CG419" s="177"/>
      <c r="CH419" s="1019">
        <f t="shared" si="615"/>
        <v>0</v>
      </c>
      <c r="CI419" s="177"/>
      <c r="CJ419" s="1019">
        <f t="shared" si="660"/>
        <v>0</v>
      </c>
      <c r="CK419" s="177">
        <f t="shared" si="616"/>
        <v>0</v>
      </c>
      <c r="CL419" s="177">
        <f t="shared" si="617"/>
        <v>0</v>
      </c>
      <c r="CM419" s="1006"/>
      <c r="CN419" s="177">
        <f t="shared" si="618"/>
        <v>30</v>
      </c>
      <c r="CO419" s="1019">
        <f t="shared" si="619"/>
        <v>6000</v>
      </c>
      <c r="CP419" s="177">
        <v>30</v>
      </c>
      <c r="CQ419" s="1019">
        <f t="shared" si="620"/>
        <v>6000</v>
      </c>
      <c r="CR419" s="1019">
        <v>30</v>
      </c>
      <c r="CS419" s="1019">
        <f t="shared" si="621"/>
        <v>6000</v>
      </c>
      <c r="CT419" s="177">
        <f t="shared" si="622"/>
        <v>0</v>
      </c>
      <c r="CU419" s="177">
        <f t="shared" si="623"/>
        <v>0</v>
      </c>
      <c r="CV419" s="1006"/>
      <c r="CW419" s="177">
        <f t="shared" si="632"/>
        <v>6000</v>
      </c>
      <c r="CX419" s="1019">
        <f t="shared" si="633"/>
        <v>6000</v>
      </c>
      <c r="CY419" s="177">
        <f t="shared" si="634"/>
        <v>6000</v>
      </c>
      <c r="CZ419" s="1019">
        <f t="shared" si="635"/>
        <v>0</v>
      </c>
      <c r="DA419" s="177">
        <f t="shared" si="636"/>
        <v>0</v>
      </c>
      <c r="DB419" s="126"/>
      <c r="DC419" s="125"/>
    </row>
    <row r="420" spans="1:108" ht="51" hidden="1" x14ac:dyDescent="0.25">
      <c r="A420" s="19">
        <v>2026</v>
      </c>
      <c r="B420" s="20">
        <v>479</v>
      </c>
      <c r="C420" s="21" t="s">
        <v>64</v>
      </c>
      <c r="D420" s="21" t="s">
        <v>65</v>
      </c>
      <c r="E420" s="20">
        <v>125</v>
      </c>
      <c r="F420" s="20">
        <v>3000654</v>
      </c>
      <c r="G420" s="20">
        <v>5005023</v>
      </c>
      <c r="H420" s="20">
        <v>3</v>
      </c>
      <c r="I420" s="20">
        <v>12</v>
      </c>
      <c r="J420" s="20">
        <v>24</v>
      </c>
      <c r="K420" s="20">
        <v>135560</v>
      </c>
      <c r="L420" s="21" t="s">
        <v>220</v>
      </c>
      <c r="M420" s="33" t="s">
        <v>221</v>
      </c>
      <c r="N420" s="19">
        <v>97</v>
      </c>
      <c r="O420" s="2"/>
      <c r="P420" s="2" t="s">
        <v>4</v>
      </c>
      <c r="Q420" s="20" t="s">
        <v>68</v>
      </c>
      <c r="R420" s="25" t="s">
        <v>69</v>
      </c>
      <c r="S420" s="41" t="s">
        <v>137</v>
      </c>
      <c r="T420" s="41"/>
      <c r="U420" s="31" t="s">
        <v>280</v>
      </c>
      <c r="V420" s="25" t="s">
        <v>3</v>
      </c>
      <c r="W420" s="25">
        <v>1</v>
      </c>
      <c r="X420" s="595">
        <v>6000</v>
      </c>
      <c r="Y420" s="619"/>
      <c r="Z420" s="2"/>
      <c r="AA420" s="2"/>
      <c r="AB420" s="620"/>
      <c r="AC420" s="25">
        <v>30</v>
      </c>
      <c r="AD420" s="25">
        <v>30</v>
      </c>
      <c r="AE420" s="619"/>
      <c r="AF420" s="2"/>
      <c r="AG420" s="2"/>
      <c r="AH420" s="2"/>
      <c r="AI420" s="2"/>
      <c r="AJ420" s="621"/>
      <c r="AK420" s="596">
        <v>12000</v>
      </c>
      <c r="AL420" s="29" t="s">
        <v>73</v>
      </c>
      <c r="AM420" s="29" t="s">
        <v>73</v>
      </c>
      <c r="AN420" s="29" t="s">
        <v>73</v>
      </c>
      <c r="AO420" s="29" t="s">
        <v>73</v>
      </c>
      <c r="AP420" s="478">
        <v>6000</v>
      </c>
      <c r="AQ420" s="478">
        <v>6000</v>
      </c>
      <c r="AR420" s="29" t="s">
        <v>73</v>
      </c>
      <c r="AS420" s="29" t="s">
        <v>73</v>
      </c>
      <c r="AT420" s="29" t="s">
        <v>73</v>
      </c>
      <c r="AU420" s="29" t="s">
        <v>73</v>
      </c>
      <c r="AV420" s="29" t="s">
        <v>73</v>
      </c>
      <c r="AW420" s="29" t="s">
        <v>73</v>
      </c>
      <c r="AX420" s="30">
        <v>12000</v>
      </c>
      <c r="AY420" s="479" t="s">
        <v>6</v>
      </c>
      <c r="AZ420" s="2" t="s">
        <v>74</v>
      </c>
      <c r="BA420" s="2"/>
      <c r="BK420" s="125" t="s">
        <v>790</v>
      </c>
      <c r="BL420" s="481" t="s">
        <v>791</v>
      </c>
      <c r="BM420" s="125" t="s">
        <v>2057</v>
      </c>
      <c r="BN420" s="655" t="s">
        <v>2058</v>
      </c>
      <c r="BO420" s="481" t="s">
        <v>2059</v>
      </c>
      <c r="BP420" s="129">
        <v>46134</v>
      </c>
      <c r="BQ420" s="18"/>
      <c r="BR420" s="505" t="s">
        <v>2060</v>
      </c>
      <c r="BS420" s="18"/>
      <c r="BT420" s="264" t="s">
        <v>2002</v>
      </c>
      <c r="BU420" s="947" t="s">
        <v>1841</v>
      </c>
      <c r="BV420" s="125" t="s">
        <v>1367</v>
      </c>
      <c r="BW420" s="125" t="s">
        <v>2061</v>
      </c>
      <c r="BX420" s="125" t="s">
        <v>2062</v>
      </c>
      <c r="BY420" s="125" t="s">
        <v>2063</v>
      </c>
      <c r="BZ420" s="125">
        <v>10742076313</v>
      </c>
      <c r="CA420" s="126">
        <v>6000</v>
      </c>
      <c r="CB420" s="289">
        <v>46143</v>
      </c>
      <c r="CC420" s="289">
        <v>46203</v>
      </c>
      <c r="CD420" s="759"/>
      <c r="CE420" s="177">
        <f t="shared" si="613"/>
        <v>30</v>
      </c>
      <c r="CF420" s="1019">
        <f t="shared" si="614"/>
        <v>6000</v>
      </c>
      <c r="CG420" s="177">
        <v>30</v>
      </c>
      <c r="CH420" s="1019">
        <f t="shared" si="615"/>
        <v>6000</v>
      </c>
      <c r="CI420" s="177">
        <v>30</v>
      </c>
      <c r="CJ420" s="1019">
        <f t="shared" si="660"/>
        <v>6000</v>
      </c>
      <c r="CK420" s="177">
        <f t="shared" si="616"/>
        <v>0</v>
      </c>
      <c r="CL420" s="177">
        <f t="shared" si="617"/>
        <v>0</v>
      </c>
      <c r="CM420" s="1006"/>
      <c r="CN420" s="177">
        <f t="shared" si="618"/>
        <v>30</v>
      </c>
      <c r="CO420" s="1019">
        <f t="shared" si="619"/>
        <v>6000</v>
      </c>
      <c r="CP420" s="177">
        <v>30</v>
      </c>
      <c r="CQ420" s="1019">
        <f t="shared" si="620"/>
        <v>6000</v>
      </c>
      <c r="CR420" s="1019">
        <v>30</v>
      </c>
      <c r="CS420" s="1019">
        <f t="shared" si="621"/>
        <v>6000</v>
      </c>
      <c r="CT420" s="177">
        <f t="shared" si="622"/>
        <v>0</v>
      </c>
      <c r="CU420" s="177">
        <f t="shared" si="623"/>
        <v>0</v>
      </c>
      <c r="CV420" s="1006"/>
      <c r="CW420" s="177">
        <f t="shared" si="632"/>
        <v>12000</v>
      </c>
      <c r="CX420" s="1019">
        <f t="shared" si="633"/>
        <v>12000</v>
      </c>
      <c r="CY420" s="177">
        <f t="shared" si="634"/>
        <v>12000</v>
      </c>
      <c r="CZ420" s="1019">
        <f t="shared" si="635"/>
        <v>0</v>
      </c>
      <c r="DA420" s="177">
        <f t="shared" si="636"/>
        <v>0</v>
      </c>
      <c r="DB420" s="126"/>
      <c r="DC420" s="125"/>
    </row>
    <row r="421" spans="1:108" ht="51" hidden="1" x14ac:dyDescent="0.25">
      <c r="A421" s="19">
        <v>2026</v>
      </c>
      <c r="B421" s="20">
        <v>479</v>
      </c>
      <c r="C421" s="21" t="s">
        <v>64</v>
      </c>
      <c r="D421" s="21" t="s">
        <v>65</v>
      </c>
      <c r="E421" s="20">
        <v>125</v>
      </c>
      <c r="F421" s="20">
        <v>3000654</v>
      </c>
      <c r="G421" s="20">
        <v>5005023</v>
      </c>
      <c r="H421" s="20">
        <v>3</v>
      </c>
      <c r="I421" s="20">
        <v>12</v>
      </c>
      <c r="J421" s="20">
        <v>24</v>
      </c>
      <c r="K421" s="20">
        <v>135560</v>
      </c>
      <c r="L421" s="21" t="s">
        <v>98</v>
      </c>
      <c r="M421" s="33" t="s">
        <v>99</v>
      </c>
      <c r="N421" s="19">
        <v>94</v>
      </c>
      <c r="O421" s="2"/>
      <c r="P421" s="2" t="s">
        <v>4</v>
      </c>
      <c r="Q421" s="20" t="s">
        <v>68</v>
      </c>
      <c r="R421" s="25" t="s">
        <v>69</v>
      </c>
      <c r="S421" s="41" t="s">
        <v>137</v>
      </c>
      <c r="T421" s="41"/>
      <c r="U421" s="31" t="s">
        <v>281</v>
      </c>
      <c r="V421" s="25" t="s">
        <v>3</v>
      </c>
      <c r="W421" s="25">
        <v>1</v>
      </c>
      <c r="X421" s="595">
        <v>6000</v>
      </c>
      <c r="Y421" s="619"/>
      <c r="Z421" s="2"/>
      <c r="AA421" s="2"/>
      <c r="AB421" s="620"/>
      <c r="AC421" s="25">
        <v>30</v>
      </c>
      <c r="AD421" s="25">
        <v>0</v>
      </c>
      <c r="AE421" s="619"/>
      <c r="AF421" s="2"/>
      <c r="AG421" s="2"/>
      <c r="AH421" s="2"/>
      <c r="AI421" s="2"/>
      <c r="AJ421" s="621"/>
      <c r="AK421" s="596">
        <v>6000</v>
      </c>
      <c r="AL421" s="29" t="s">
        <v>73</v>
      </c>
      <c r="AM421" s="29" t="s">
        <v>73</v>
      </c>
      <c r="AN421" s="29" t="s">
        <v>73</v>
      </c>
      <c r="AO421" s="29" t="s">
        <v>73</v>
      </c>
      <c r="AP421" s="478">
        <v>6000</v>
      </c>
      <c r="AQ421" s="648">
        <v>0</v>
      </c>
      <c r="AR421" s="29" t="s">
        <v>73</v>
      </c>
      <c r="AS421" s="29" t="s">
        <v>73</v>
      </c>
      <c r="AT421" s="29" t="s">
        <v>73</v>
      </c>
      <c r="AU421" s="29" t="s">
        <v>73</v>
      </c>
      <c r="AV421" s="29" t="s">
        <v>73</v>
      </c>
      <c r="AW421" s="29" t="s">
        <v>73</v>
      </c>
      <c r="AX421" s="30">
        <v>6000</v>
      </c>
      <c r="AY421" s="165" t="s">
        <v>6</v>
      </c>
      <c r="AZ421" s="2" t="s">
        <v>74</v>
      </c>
      <c r="BA421" s="2"/>
      <c r="BK421" s="147" t="s">
        <v>790</v>
      </c>
      <c r="BL421" s="481" t="s">
        <v>791</v>
      </c>
      <c r="BM421" s="125" t="s">
        <v>2064</v>
      </c>
      <c r="BN421" s="177" t="s">
        <v>2065</v>
      </c>
      <c r="BO421" s="125" t="s">
        <v>2066</v>
      </c>
      <c r="BP421" s="129">
        <v>46147</v>
      </c>
      <c r="BQ421" s="18"/>
      <c r="BR421" s="505">
        <v>3697</v>
      </c>
      <c r="BS421" s="18"/>
      <c r="BT421" s="264" t="s">
        <v>1809</v>
      </c>
      <c r="BU421" s="18"/>
      <c r="BV421" s="125" t="s">
        <v>814</v>
      </c>
      <c r="BW421" s="125" t="s">
        <v>822</v>
      </c>
      <c r="BX421" s="125" t="s">
        <v>2067</v>
      </c>
      <c r="BY421" s="125">
        <v>76070593</v>
      </c>
      <c r="BZ421" s="125">
        <v>10760705930</v>
      </c>
      <c r="CA421" s="126">
        <v>6000</v>
      </c>
      <c r="CB421" s="289">
        <v>46153</v>
      </c>
      <c r="CC421" s="289">
        <v>46173</v>
      </c>
      <c r="CD421" s="759"/>
      <c r="CE421" s="177">
        <f t="shared" si="613"/>
        <v>30</v>
      </c>
      <c r="CF421" s="1019">
        <f t="shared" si="614"/>
        <v>6000</v>
      </c>
      <c r="CG421" s="177">
        <v>21</v>
      </c>
      <c r="CH421" s="1019">
        <f t="shared" si="615"/>
        <v>4200</v>
      </c>
      <c r="CI421" s="177">
        <v>21</v>
      </c>
      <c r="CJ421" s="1019">
        <f t="shared" si="660"/>
        <v>4200</v>
      </c>
      <c r="CK421" s="177">
        <f t="shared" si="616"/>
        <v>1800</v>
      </c>
      <c r="CL421" s="177">
        <f t="shared" si="617"/>
        <v>1800</v>
      </c>
      <c r="CM421" s="1006"/>
      <c r="CN421" s="177">
        <f t="shared" si="618"/>
        <v>0</v>
      </c>
      <c r="CO421" s="1019">
        <f t="shared" si="619"/>
        <v>0</v>
      </c>
      <c r="CP421" s="177"/>
      <c r="CQ421" s="1019">
        <f t="shared" si="620"/>
        <v>0</v>
      </c>
      <c r="CR421" s="1019"/>
      <c r="CS421" s="1019">
        <f t="shared" si="621"/>
        <v>0</v>
      </c>
      <c r="CT421" s="177">
        <f t="shared" si="622"/>
        <v>0</v>
      </c>
      <c r="CU421" s="177">
        <f t="shared" si="623"/>
        <v>0</v>
      </c>
      <c r="CV421" s="1006"/>
      <c r="CW421" s="177">
        <f t="shared" si="632"/>
        <v>6000</v>
      </c>
      <c r="CX421" s="1019">
        <f t="shared" si="633"/>
        <v>4200</v>
      </c>
      <c r="CY421" s="177">
        <f t="shared" si="634"/>
        <v>4200</v>
      </c>
      <c r="CZ421" s="1019">
        <f t="shared" si="635"/>
        <v>1800</v>
      </c>
      <c r="DA421" s="177">
        <f t="shared" si="636"/>
        <v>1800</v>
      </c>
      <c r="DB421" s="126"/>
      <c r="DC421" s="125"/>
    </row>
    <row r="422" spans="1:108" ht="51" hidden="1" x14ac:dyDescent="0.25">
      <c r="A422" s="19">
        <v>2026</v>
      </c>
      <c r="B422" s="20">
        <v>479</v>
      </c>
      <c r="C422" s="21" t="s">
        <v>64</v>
      </c>
      <c r="D422" s="21" t="s">
        <v>65</v>
      </c>
      <c r="E422" s="20">
        <v>125</v>
      </c>
      <c r="F422" s="20">
        <v>3000654</v>
      </c>
      <c r="G422" s="20">
        <v>5005023</v>
      </c>
      <c r="H422" s="20">
        <v>3</v>
      </c>
      <c r="I422" s="20">
        <v>12</v>
      </c>
      <c r="J422" s="20">
        <v>24</v>
      </c>
      <c r="K422" s="20">
        <v>135560</v>
      </c>
      <c r="L422" s="21" t="s">
        <v>220</v>
      </c>
      <c r="M422" s="33" t="s">
        <v>221</v>
      </c>
      <c r="N422" s="19">
        <v>97</v>
      </c>
      <c r="O422" s="2"/>
      <c r="P422" s="2" t="s">
        <v>4</v>
      </c>
      <c r="Q422" s="20" t="s">
        <v>68</v>
      </c>
      <c r="R422" s="25" t="s">
        <v>69</v>
      </c>
      <c r="S422" s="41" t="s">
        <v>137</v>
      </c>
      <c r="T422" s="41"/>
      <c r="U422" s="31" t="s">
        <v>281</v>
      </c>
      <c r="V422" s="25" t="s">
        <v>3</v>
      </c>
      <c r="W422" s="25">
        <v>1</v>
      </c>
      <c r="X422" s="595">
        <v>6000</v>
      </c>
      <c r="Y422" s="619"/>
      <c r="Z422" s="2"/>
      <c r="AA422" s="2"/>
      <c r="AB422" s="620"/>
      <c r="AC422" s="25">
        <v>0</v>
      </c>
      <c r="AD422" s="25">
        <v>30</v>
      </c>
      <c r="AE422" s="619"/>
      <c r="AF422" s="2"/>
      <c r="AG422" s="2"/>
      <c r="AH422" s="2"/>
      <c r="AI422" s="2"/>
      <c r="AJ422" s="621"/>
      <c r="AK422" s="596">
        <v>6000</v>
      </c>
      <c r="AL422" s="29" t="s">
        <v>73</v>
      </c>
      <c r="AM422" s="29" t="s">
        <v>73</v>
      </c>
      <c r="AN422" s="29" t="s">
        <v>73</v>
      </c>
      <c r="AO422" s="29" t="s">
        <v>73</v>
      </c>
      <c r="AP422" s="648">
        <v>0</v>
      </c>
      <c r="AQ422" s="478">
        <v>6000</v>
      </c>
      <c r="AR422" s="29" t="s">
        <v>73</v>
      </c>
      <c r="AS422" s="29" t="s">
        <v>73</v>
      </c>
      <c r="AT422" s="29" t="s">
        <v>73</v>
      </c>
      <c r="AU422" s="29" t="s">
        <v>73</v>
      </c>
      <c r="AV422" s="29" t="s">
        <v>73</v>
      </c>
      <c r="AW422" s="29" t="s">
        <v>73</v>
      </c>
      <c r="AX422" s="30">
        <v>6000</v>
      </c>
      <c r="AY422" s="479" t="s">
        <v>6</v>
      </c>
      <c r="AZ422" s="2" t="s">
        <v>74</v>
      </c>
      <c r="BA422" s="2"/>
      <c r="BK422" s="125" t="s">
        <v>790</v>
      </c>
      <c r="BL422" s="481" t="s">
        <v>791</v>
      </c>
      <c r="BM422" s="125" t="s">
        <v>1812</v>
      </c>
      <c r="BN422" s="177" t="s">
        <v>1813</v>
      </c>
      <c r="BO422" s="125" t="s">
        <v>1814</v>
      </c>
      <c r="BP422" s="129">
        <v>46156</v>
      </c>
      <c r="BQ422" s="18"/>
      <c r="BR422" s="262">
        <v>3697</v>
      </c>
      <c r="BS422" s="18"/>
      <c r="BT422" s="264"/>
      <c r="BU422" s="18"/>
      <c r="BV422" s="125" t="s">
        <v>814</v>
      </c>
      <c r="BW422" s="125" t="s">
        <v>822</v>
      </c>
      <c r="BX422" s="125" t="s">
        <v>2067</v>
      </c>
      <c r="BY422" s="125">
        <v>76070593</v>
      </c>
      <c r="BZ422" s="125">
        <v>10760705930</v>
      </c>
      <c r="CA422" s="126">
        <v>6000</v>
      </c>
      <c r="CB422" s="289">
        <v>46174</v>
      </c>
      <c r="CC422" s="289">
        <v>46203</v>
      </c>
      <c r="CD422" s="759"/>
      <c r="CE422" s="177">
        <f t="shared" si="613"/>
        <v>0</v>
      </c>
      <c r="CF422" s="1019">
        <f t="shared" si="614"/>
        <v>0</v>
      </c>
      <c r="CG422" s="177"/>
      <c r="CH422" s="1019">
        <f t="shared" si="615"/>
        <v>0</v>
      </c>
      <c r="CI422" s="177"/>
      <c r="CJ422" s="1019">
        <f t="shared" si="660"/>
        <v>0</v>
      </c>
      <c r="CK422" s="177">
        <f t="shared" si="616"/>
        <v>0</v>
      </c>
      <c r="CL422" s="177">
        <f t="shared" si="617"/>
        <v>0</v>
      </c>
      <c r="CM422" s="1006"/>
      <c r="CN422" s="177">
        <f t="shared" si="618"/>
        <v>30</v>
      </c>
      <c r="CO422" s="1019">
        <f t="shared" si="619"/>
        <v>6000</v>
      </c>
      <c r="CP422" s="177">
        <v>30</v>
      </c>
      <c r="CQ422" s="1019">
        <f t="shared" si="620"/>
        <v>6000</v>
      </c>
      <c r="CR422" s="1019">
        <v>30</v>
      </c>
      <c r="CS422" s="1019">
        <f t="shared" si="621"/>
        <v>6000</v>
      </c>
      <c r="CT422" s="177">
        <f t="shared" si="622"/>
        <v>0</v>
      </c>
      <c r="CU422" s="177">
        <f t="shared" si="623"/>
        <v>0</v>
      </c>
      <c r="CV422" s="1006"/>
      <c r="CW422" s="177">
        <f t="shared" si="632"/>
        <v>6000</v>
      </c>
      <c r="CX422" s="1019">
        <f t="shared" si="633"/>
        <v>6000</v>
      </c>
      <c r="CY422" s="177">
        <f t="shared" si="634"/>
        <v>6000</v>
      </c>
      <c r="CZ422" s="1019">
        <f t="shared" si="635"/>
        <v>0</v>
      </c>
      <c r="DA422" s="177">
        <f t="shared" si="636"/>
        <v>0</v>
      </c>
      <c r="DB422" s="126"/>
      <c r="DC422" s="125"/>
    </row>
    <row r="423" spans="1:108" ht="51" hidden="1" x14ac:dyDescent="0.25">
      <c r="A423" s="19">
        <v>2026</v>
      </c>
      <c r="B423" s="20">
        <v>479</v>
      </c>
      <c r="C423" s="21" t="s">
        <v>64</v>
      </c>
      <c r="D423" s="21" t="s">
        <v>65</v>
      </c>
      <c r="E423" s="20">
        <v>125</v>
      </c>
      <c r="F423" s="20">
        <v>3000654</v>
      </c>
      <c r="G423" s="20">
        <v>5005023</v>
      </c>
      <c r="H423" s="20">
        <v>3</v>
      </c>
      <c r="I423" s="20">
        <v>12</v>
      </c>
      <c r="J423" s="20">
        <v>24</v>
      </c>
      <c r="K423" s="20">
        <v>135560</v>
      </c>
      <c r="L423" s="21" t="s">
        <v>220</v>
      </c>
      <c r="M423" s="33" t="s">
        <v>221</v>
      </c>
      <c r="N423" s="19">
        <v>97</v>
      </c>
      <c r="O423" s="2"/>
      <c r="P423" s="2" t="s">
        <v>4</v>
      </c>
      <c r="Q423" s="20" t="s">
        <v>68</v>
      </c>
      <c r="R423" s="25" t="s">
        <v>69</v>
      </c>
      <c r="S423" s="41" t="s">
        <v>137</v>
      </c>
      <c r="T423" s="41"/>
      <c r="U423" s="31" t="s">
        <v>282</v>
      </c>
      <c r="V423" s="25" t="s">
        <v>3</v>
      </c>
      <c r="W423" s="25">
        <v>1</v>
      </c>
      <c r="X423" s="595">
        <v>6000</v>
      </c>
      <c r="Y423" s="619"/>
      <c r="Z423" s="2"/>
      <c r="AA423" s="2"/>
      <c r="AB423" s="620"/>
      <c r="AC423" s="25">
        <v>30</v>
      </c>
      <c r="AD423" s="25">
        <v>30</v>
      </c>
      <c r="AE423" s="619"/>
      <c r="AF423" s="2"/>
      <c r="AG423" s="2"/>
      <c r="AH423" s="2"/>
      <c r="AI423" s="2"/>
      <c r="AJ423" s="621"/>
      <c r="AK423" s="596">
        <v>12000</v>
      </c>
      <c r="AL423" s="29" t="s">
        <v>73</v>
      </c>
      <c r="AM423" s="29" t="s">
        <v>73</v>
      </c>
      <c r="AN423" s="29" t="s">
        <v>73</v>
      </c>
      <c r="AO423" s="29" t="s">
        <v>73</v>
      </c>
      <c r="AP423" s="478">
        <v>6000</v>
      </c>
      <c r="AQ423" s="478">
        <v>6000</v>
      </c>
      <c r="AR423" s="29" t="s">
        <v>73</v>
      </c>
      <c r="AS423" s="29" t="s">
        <v>73</v>
      </c>
      <c r="AT423" s="29" t="s">
        <v>73</v>
      </c>
      <c r="AU423" s="29" t="s">
        <v>73</v>
      </c>
      <c r="AV423" s="29" t="s">
        <v>73</v>
      </c>
      <c r="AW423" s="29" t="s">
        <v>73</v>
      </c>
      <c r="AX423" s="30">
        <v>12000</v>
      </c>
      <c r="AY423" s="479" t="s">
        <v>6</v>
      </c>
      <c r="AZ423" s="2" t="s">
        <v>74</v>
      </c>
      <c r="BA423" s="2"/>
      <c r="BK423" s="125" t="s">
        <v>790</v>
      </c>
      <c r="BL423" s="481" t="s">
        <v>791</v>
      </c>
      <c r="BM423" s="125" t="s">
        <v>2057</v>
      </c>
      <c r="BN423" s="655" t="s">
        <v>2058</v>
      </c>
      <c r="BO423" s="284" t="s">
        <v>1808</v>
      </c>
      <c r="BP423" s="129">
        <v>46134</v>
      </c>
      <c r="BQ423" s="18"/>
      <c r="BR423" s="505" t="s">
        <v>2068</v>
      </c>
      <c r="BS423" s="18"/>
      <c r="BT423" s="264" t="s">
        <v>2002</v>
      </c>
      <c r="BU423" s="947" t="s">
        <v>1841</v>
      </c>
      <c r="BV423" s="125" t="s">
        <v>883</v>
      </c>
      <c r="BW423" s="125" t="s">
        <v>2069</v>
      </c>
      <c r="BX423" s="125" t="s">
        <v>2070</v>
      </c>
      <c r="BY423" s="125">
        <v>75365615</v>
      </c>
      <c r="BZ423" s="125">
        <v>10753656150</v>
      </c>
      <c r="CA423" s="126">
        <v>6000</v>
      </c>
      <c r="CB423" s="289">
        <v>46143</v>
      </c>
      <c r="CC423" s="289">
        <v>46203</v>
      </c>
      <c r="CD423" s="759"/>
      <c r="CE423" s="177">
        <f t="shared" si="613"/>
        <v>30</v>
      </c>
      <c r="CF423" s="1019">
        <f t="shared" si="614"/>
        <v>6000</v>
      </c>
      <c r="CG423" s="177">
        <v>30</v>
      </c>
      <c r="CH423" s="1019">
        <f t="shared" si="615"/>
        <v>6000</v>
      </c>
      <c r="CI423" s="177">
        <v>30</v>
      </c>
      <c r="CJ423" s="1019">
        <f t="shared" si="660"/>
        <v>6000</v>
      </c>
      <c r="CK423" s="177">
        <f t="shared" si="616"/>
        <v>0</v>
      </c>
      <c r="CL423" s="177">
        <f t="shared" si="617"/>
        <v>0</v>
      </c>
      <c r="CM423" s="1006"/>
      <c r="CN423" s="177">
        <f t="shared" si="618"/>
        <v>30</v>
      </c>
      <c r="CO423" s="1019">
        <f t="shared" si="619"/>
        <v>6000</v>
      </c>
      <c r="CP423" s="177">
        <v>30</v>
      </c>
      <c r="CQ423" s="1019">
        <f t="shared" si="620"/>
        <v>6000</v>
      </c>
      <c r="CR423" s="1019">
        <v>30</v>
      </c>
      <c r="CS423" s="1019">
        <f t="shared" si="621"/>
        <v>6000</v>
      </c>
      <c r="CT423" s="177">
        <f t="shared" si="622"/>
        <v>0</v>
      </c>
      <c r="CU423" s="177">
        <f t="shared" si="623"/>
        <v>0</v>
      </c>
      <c r="CV423" s="1006"/>
      <c r="CW423" s="177">
        <f t="shared" si="632"/>
        <v>12000</v>
      </c>
      <c r="CX423" s="1019">
        <f t="shared" si="633"/>
        <v>12000</v>
      </c>
      <c r="CY423" s="177">
        <f t="shared" si="634"/>
        <v>12000</v>
      </c>
      <c r="CZ423" s="1019">
        <f t="shared" si="635"/>
        <v>0</v>
      </c>
      <c r="DA423" s="177">
        <f t="shared" si="636"/>
        <v>0</v>
      </c>
      <c r="DB423" s="126"/>
      <c r="DC423" s="125"/>
    </row>
    <row r="424" spans="1:108" ht="51" hidden="1" x14ac:dyDescent="0.25">
      <c r="A424" s="19">
        <v>2026</v>
      </c>
      <c r="B424" s="20">
        <v>479</v>
      </c>
      <c r="C424" s="21" t="s">
        <v>64</v>
      </c>
      <c r="D424" s="21" t="s">
        <v>65</v>
      </c>
      <c r="E424" s="20">
        <v>125</v>
      </c>
      <c r="F424" s="20">
        <v>3000654</v>
      </c>
      <c r="G424" s="20">
        <v>5005023</v>
      </c>
      <c r="H424" s="20">
        <v>3</v>
      </c>
      <c r="I424" s="20">
        <v>12</v>
      </c>
      <c r="J424" s="20">
        <v>24</v>
      </c>
      <c r="K424" s="20">
        <v>135560</v>
      </c>
      <c r="L424" s="21" t="s">
        <v>220</v>
      </c>
      <c r="M424" s="33" t="s">
        <v>221</v>
      </c>
      <c r="N424" s="19">
        <v>97</v>
      </c>
      <c r="O424" s="2"/>
      <c r="P424" s="2" t="s">
        <v>4</v>
      </c>
      <c r="Q424" s="20" t="s">
        <v>68</v>
      </c>
      <c r="R424" s="25" t="s">
        <v>69</v>
      </c>
      <c r="S424" s="41" t="s">
        <v>137</v>
      </c>
      <c r="T424" s="41"/>
      <c r="U424" s="31" t="s">
        <v>283</v>
      </c>
      <c r="V424" s="25" t="s">
        <v>3</v>
      </c>
      <c r="W424" s="25">
        <v>1</v>
      </c>
      <c r="X424" s="595">
        <v>6000</v>
      </c>
      <c r="Y424" s="619"/>
      <c r="Z424" s="2"/>
      <c r="AA424" s="2"/>
      <c r="AB424" s="620"/>
      <c r="AC424" s="25">
        <v>30</v>
      </c>
      <c r="AD424" s="25">
        <v>30</v>
      </c>
      <c r="AE424" s="619"/>
      <c r="AF424" s="2"/>
      <c r="AG424" s="2"/>
      <c r="AH424" s="2"/>
      <c r="AI424" s="2"/>
      <c r="AJ424" s="621"/>
      <c r="AK424" s="596">
        <v>12000</v>
      </c>
      <c r="AL424" s="29" t="s">
        <v>73</v>
      </c>
      <c r="AM424" s="29" t="s">
        <v>73</v>
      </c>
      <c r="AN424" s="29" t="s">
        <v>73</v>
      </c>
      <c r="AO424" s="29" t="s">
        <v>73</v>
      </c>
      <c r="AP424" s="478">
        <v>6000</v>
      </c>
      <c r="AQ424" s="478">
        <v>6000</v>
      </c>
      <c r="AR424" s="29" t="s">
        <v>73</v>
      </c>
      <c r="AS424" s="29" t="s">
        <v>73</v>
      </c>
      <c r="AT424" s="29" t="s">
        <v>73</v>
      </c>
      <c r="AU424" s="29" t="s">
        <v>73</v>
      </c>
      <c r="AV424" s="29" t="s">
        <v>73</v>
      </c>
      <c r="AW424" s="29" t="s">
        <v>73</v>
      </c>
      <c r="AX424" s="30">
        <v>12000</v>
      </c>
      <c r="AY424" s="479" t="s">
        <v>6</v>
      </c>
      <c r="AZ424" s="2" t="s">
        <v>74</v>
      </c>
      <c r="BA424" s="2"/>
      <c r="BK424" s="125" t="s">
        <v>790</v>
      </c>
      <c r="BL424" s="481" t="s">
        <v>791</v>
      </c>
      <c r="BM424" s="125" t="s">
        <v>2057</v>
      </c>
      <c r="BN424" s="655" t="s">
        <v>2058</v>
      </c>
      <c r="BO424" s="284" t="s">
        <v>1808</v>
      </c>
      <c r="BP424" s="129">
        <v>46134</v>
      </c>
      <c r="BQ424" s="18"/>
      <c r="BR424" s="505" t="s">
        <v>2071</v>
      </c>
      <c r="BS424" s="18"/>
      <c r="BT424" s="264" t="s">
        <v>2002</v>
      </c>
      <c r="BU424" s="947" t="s">
        <v>1841</v>
      </c>
      <c r="BV424" s="125" t="s">
        <v>1243</v>
      </c>
      <c r="BW424" s="125" t="s">
        <v>1244</v>
      </c>
      <c r="BX424" s="125" t="s">
        <v>945</v>
      </c>
      <c r="BY424" s="125">
        <v>42842533</v>
      </c>
      <c r="BZ424" s="125">
        <v>10428425338</v>
      </c>
      <c r="CA424" s="126">
        <v>6000</v>
      </c>
      <c r="CB424" s="289">
        <v>46143</v>
      </c>
      <c r="CC424" s="289">
        <v>46203</v>
      </c>
      <c r="CD424" s="759"/>
      <c r="CE424" s="177">
        <f t="shared" si="613"/>
        <v>30</v>
      </c>
      <c r="CF424" s="1019">
        <f t="shared" si="614"/>
        <v>6000</v>
      </c>
      <c r="CG424" s="177">
        <v>30</v>
      </c>
      <c r="CH424" s="1019">
        <f t="shared" si="615"/>
        <v>6000</v>
      </c>
      <c r="CI424" s="177">
        <v>30</v>
      </c>
      <c r="CJ424" s="1019">
        <f t="shared" si="660"/>
        <v>6000</v>
      </c>
      <c r="CK424" s="177">
        <f t="shared" si="616"/>
        <v>0</v>
      </c>
      <c r="CL424" s="177">
        <f t="shared" si="617"/>
        <v>0</v>
      </c>
      <c r="CM424" s="1006"/>
      <c r="CN424" s="177">
        <f t="shared" si="618"/>
        <v>30</v>
      </c>
      <c r="CO424" s="1019">
        <f t="shared" si="619"/>
        <v>6000</v>
      </c>
      <c r="CP424" s="177">
        <v>30</v>
      </c>
      <c r="CQ424" s="1019">
        <f t="shared" si="620"/>
        <v>6000</v>
      </c>
      <c r="CR424" s="1019">
        <v>30</v>
      </c>
      <c r="CS424" s="1019">
        <f t="shared" si="621"/>
        <v>6000</v>
      </c>
      <c r="CT424" s="177">
        <f t="shared" si="622"/>
        <v>0</v>
      </c>
      <c r="CU424" s="177">
        <f t="shared" si="623"/>
        <v>0</v>
      </c>
      <c r="CV424" s="1006"/>
      <c r="CW424" s="177">
        <f t="shared" si="632"/>
        <v>12000</v>
      </c>
      <c r="CX424" s="1019">
        <f t="shared" si="633"/>
        <v>12000</v>
      </c>
      <c r="CY424" s="177">
        <f t="shared" si="634"/>
        <v>12000</v>
      </c>
      <c r="CZ424" s="1019">
        <f t="shared" si="635"/>
        <v>0</v>
      </c>
      <c r="DA424" s="177">
        <f t="shared" si="636"/>
        <v>0</v>
      </c>
      <c r="DB424" s="126"/>
      <c r="DC424" s="125"/>
    </row>
    <row r="425" spans="1:108" ht="51" hidden="1" x14ac:dyDescent="0.25">
      <c r="A425" s="19">
        <v>2026</v>
      </c>
      <c r="B425" s="20">
        <v>479</v>
      </c>
      <c r="C425" s="21" t="s">
        <v>64</v>
      </c>
      <c r="D425" s="21" t="s">
        <v>65</v>
      </c>
      <c r="E425" s="20">
        <v>125</v>
      </c>
      <c r="F425" s="20">
        <v>3000654</v>
      </c>
      <c r="G425" s="20">
        <v>5005023</v>
      </c>
      <c r="H425" s="20">
        <v>3</v>
      </c>
      <c r="I425" s="20">
        <v>12</v>
      </c>
      <c r="J425" s="20">
        <v>24</v>
      </c>
      <c r="K425" s="20">
        <v>135560</v>
      </c>
      <c r="L425" s="21" t="s">
        <v>220</v>
      </c>
      <c r="M425" s="33" t="s">
        <v>221</v>
      </c>
      <c r="N425" s="19">
        <v>97</v>
      </c>
      <c r="O425" s="2"/>
      <c r="P425" s="2" t="s">
        <v>4</v>
      </c>
      <c r="Q425" s="20" t="s">
        <v>68</v>
      </c>
      <c r="R425" s="25" t="s">
        <v>69</v>
      </c>
      <c r="S425" s="41" t="s">
        <v>137</v>
      </c>
      <c r="T425" s="41"/>
      <c r="U425" s="31" t="s">
        <v>284</v>
      </c>
      <c r="V425" s="25" t="s">
        <v>3</v>
      </c>
      <c r="W425" s="25">
        <v>1</v>
      </c>
      <c r="X425" s="595">
        <v>6000</v>
      </c>
      <c r="Y425" s="619"/>
      <c r="Z425" s="2"/>
      <c r="AA425" s="2"/>
      <c r="AB425" s="620"/>
      <c r="AC425" s="25">
        <v>30</v>
      </c>
      <c r="AD425" s="25">
        <v>30</v>
      </c>
      <c r="AE425" s="619"/>
      <c r="AF425" s="2"/>
      <c r="AG425" s="2"/>
      <c r="AH425" s="2"/>
      <c r="AI425" s="2"/>
      <c r="AJ425" s="621"/>
      <c r="AK425" s="596">
        <v>12000</v>
      </c>
      <c r="AL425" s="29" t="s">
        <v>73</v>
      </c>
      <c r="AM425" s="29" t="s">
        <v>73</v>
      </c>
      <c r="AN425" s="29" t="s">
        <v>73</v>
      </c>
      <c r="AO425" s="29" t="s">
        <v>73</v>
      </c>
      <c r="AP425" s="478">
        <v>6000</v>
      </c>
      <c r="AQ425" s="478">
        <v>6000</v>
      </c>
      <c r="AR425" s="29" t="s">
        <v>73</v>
      </c>
      <c r="AS425" s="29" t="s">
        <v>73</v>
      </c>
      <c r="AT425" s="29" t="s">
        <v>73</v>
      </c>
      <c r="AU425" s="29" t="s">
        <v>73</v>
      </c>
      <c r="AV425" s="29" t="s">
        <v>73</v>
      </c>
      <c r="AW425" s="29" t="s">
        <v>73</v>
      </c>
      <c r="AX425" s="30">
        <v>12000</v>
      </c>
      <c r="AY425" s="479" t="s">
        <v>6</v>
      </c>
      <c r="AZ425" s="2" t="s">
        <v>74</v>
      </c>
      <c r="BA425" s="2"/>
      <c r="BK425" s="125" t="s">
        <v>790</v>
      </c>
      <c r="BL425" s="481" t="s">
        <v>791</v>
      </c>
      <c r="BM425" s="125" t="s">
        <v>2057</v>
      </c>
      <c r="BN425" s="655" t="s">
        <v>2058</v>
      </c>
      <c r="BO425" s="284" t="s">
        <v>1808</v>
      </c>
      <c r="BP425" s="129">
        <v>46134</v>
      </c>
      <c r="BQ425" s="18"/>
      <c r="BR425" s="505" t="s">
        <v>2072</v>
      </c>
      <c r="BS425" s="18"/>
      <c r="BT425" s="264" t="s">
        <v>2002</v>
      </c>
      <c r="BU425" s="947" t="s">
        <v>1841</v>
      </c>
      <c r="BV425" s="125" t="s">
        <v>1469</v>
      </c>
      <c r="BW425" s="125" t="s">
        <v>2073</v>
      </c>
      <c r="BX425" s="125" t="s">
        <v>2074</v>
      </c>
      <c r="BY425" s="125" t="s">
        <v>2075</v>
      </c>
      <c r="BZ425" s="125">
        <v>10704127630</v>
      </c>
      <c r="CA425" s="126">
        <v>6000</v>
      </c>
      <c r="CB425" s="289">
        <v>46143</v>
      </c>
      <c r="CC425" s="289">
        <v>46203</v>
      </c>
      <c r="CD425" s="759"/>
      <c r="CE425" s="177">
        <f t="shared" si="613"/>
        <v>30</v>
      </c>
      <c r="CF425" s="1019">
        <f t="shared" si="614"/>
        <v>6000</v>
      </c>
      <c r="CG425" s="177">
        <v>30</v>
      </c>
      <c r="CH425" s="1019">
        <f t="shared" si="615"/>
        <v>6000</v>
      </c>
      <c r="CI425" s="177">
        <v>30</v>
      </c>
      <c r="CJ425" s="1019">
        <f t="shared" si="660"/>
        <v>6000</v>
      </c>
      <c r="CK425" s="177">
        <f t="shared" si="616"/>
        <v>0</v>
      </c>
      <c r="CL425" s="177">
        <f t="shared" si="617"/>
        <v>0</v>
      </c>
      <c r="CM425" s="1006"/>
      <c r="CN425" s="177">
        <f t="shared" si="618"/>
        <v>30</v>
      </c>
      <c r="CO425" s="1019">
        <f t="shared" si="619"/>
        <v>6000</v>
      </c>
      <c r="CP425" s="177">
        <v>30</v>
      </c>
      <c r="CQ425" s="1019">
        <f t="shared" si="620"/>
        <v>6000</v>
      </c>
      <c r="CR425" s="1019">
        <v>30</v>
      </c>
      <c r="CS425" s="1019">
        <f t="shared" si="621"/>
        <v>6000</v>
      </c>
      <c r="CT425" s="177">
        <f t="shared" si="622"/>
        <v>0</v>
      </c>
      <c r="CU425" s="177">
        <f t="shared" si="623"/>
        <v>0</v>
      </c>
      <c r="CV425" s="1006"/>
      <c r="CW425" s="177">
        <f t="shared" si="632"/>
        <v>12000</v>
      </c>
      <c r="CX425" s="1019">
        <f t="shared" si="633"/>
        <v>12000</v>
      </c>
      <c r="CY425" s="177">
        <f t="shared" si="634"/>
        <v>12000</v>
      </c>
      <c r="CZ425" s="1019">
        <f t="shared" si="635"/>
        <v>0</v>
      </c>
      <c r="DA425" s="177">
        <f t="shared" si="636"/>
        <v>0</v>
      </c>
      <c r="DB425" s="126"/>
      <c r="DC425" s="125"/>
    </row>
    <row r="426" spans="1:108" ht="51" hidden="1" x14ac:dyDescent="0.25">
      <c r="A426" s="19">
        <v>2026</v>
      </c>
      <c r="B426" s="20">
        <v>479</v>
      </c>
      <c r="C426" s="21" t="s">
        <v>64</v>
      </c>
      <c r="D426" s="21" t="s">
        <v>65</v>
      </c>
      <c r="E426" s="20">
        <v>125</v>
      </c>
      <c r="F426" s="20">
        <v>3000654</v>
      </c>
      <c r="G426" s="20">
        <v>5005023</v>
      </c>
      <c r="H426" s="20">
        <v>3</v>
      </c>
      <c r="I426" s="20">
        <v>12</v>
      </c>
      <c r="J426" s="20">
        <v>24</v>
      </c>
      <c r="K426" s="20">
        <v>135560</v>
      </c>
      <c r="L426" s="21" t="s">
        <v>98</v>
      </c>
      <c r="M426" s="33" t="s">
        <v>99</v>
      </c>
      <c r="N426" s="19">
        <v>94</v>
      </c>
      <c r="O426" s="2"/>
      <c r="P426" s="2" t="s">
        <v>4</v>
      </c>
      <c r="Q426" s="20" t="s">
        <v>68</v>
      </c>
      <c r="R426" s="25" t="s">
        <v>69</v>
      </c>
      <c r="S426" s="41" t="s">
        <v>137</v>
      </c>
      <c r="T426" s="41"/>
      <c r="U426" s="31" t="s">
        <v>285</v>
      </c>
      <c r="V426" s="25" t="s">
        <v>3</v>
      </c>
      <c r="W426" s="25">
        <v>1</v>
      </c>
      <c r="X426" s="595">
        <v>6000</v>
      </c>
      <c r="Y426" s="619"/>
      <c r="Z426" s="2"/>
      <c r="AA426" s="2"/>
      <c r="AB426" s="620"/>
      <c r="AC426" s="25">
        <v>30</v>
      </c>
      <c r="AD426" s="25">
        <v>0</v>
      </c>
      <c r="AE426" s="619"/>
      <c r="AF426" s="2"/>
      <c r="AG426" s="2"/>
      <c r="AH426" s="2"/>
      <c r="AI426" s="2"/>
      <c r="AJ426" s="621"/>
      <c r="AK426" s="596">
        <v>6000</v>
      </c>
      <c r="AL426" s="29" t="s">
        <v>73</v>
      </c>
      <c r="AM426" s="29" t="s">
        <v>73</v>
      </c>
      <c r="AN426" s="29" t="s">
        <v>73</v>
      </c>
      <c r="AO426" s="29" t="s">
        <v>73</v>
      </c>
      <c r="AP426" s="478">
        <v>6000</v>
      </c>
      <c r="AQ426" s="648">
        <v>0</v>
      </c>
      <c r="AR426" s="29" t="s">
        <v>73</v>
      </c>
      <c r="AS426" s="29" t="s">
        <v>73</v>
      </c>
      <c r="AT426" s="29" t="s">
        <v>73</v>
      </c>
      <c r="AU426" s="29" t="s">
        <v>73</v>
      </c>
      <c r="AV426" s="29" t="s">
        <v>73</v>
      </c>
      <c r="AW426" s="29" t="s">
        <v>73</v>
      </c>
      <c r="AX426" s="30">
        <v>6000</v>
      </c>
      <c r="AY426" s="165" t="s">
        <v>6</v>
      </c>
      <c r="AZ426" s="2" t="s">
        <v>74</v>
      </c>
      <c r="BA426" s="2"/>
      <c r="BK426" s="147" t="s">
        <v>790</v>
      </c>
      <c r="BL426" s="481" t="s">
        <v>791</v>
      </c>
      <c r="BM426" s="125" t="s">
        <v>2057</v>
      </c>
      <c r="BN426" s="655" t="s">
        <v>2058</v>
      </c>
      <c r="BO426" s="284" t="s">
        <v>1808</v>
      </c>
      <c r="BP426" s="129">
        <v>46134</v>
      </c>
      <c r="BQ426" s="18"/>
      <c r="BR426" s="505" t="s">
        <v>2076</v>
      </c>
      <c r="BS426" s="18"/>
      <c r="BT426" s="264" t="s">
        <v>1809</v>
      </c>
      <c r="BU426" s="18"/>
      <c r="BV426" s="125" t="s">
        <v>856</v>
      </c>
      <c r="BW426" s="125" t="s">
        <v>1527</v>
      </c>
      <c r="BX426" s="125" t="s">
        <v>2077</v>
      </c>
      <c r="BY426" s="125">
        <v>71283906</v>
      </c>
      <c r="BZ426" s="125">
        <v>10712839061</v>
      </c>
      <c r="CA426" s="126">
        <v>6000</v>
      </c>
      <c r="CB426" s="289">
        <v>46143</v>
      </c>
      <c r="CC426" s="289">
        <v>46158</v>
      </c>
      <c r="CD426" s="759"/>
      <c r="CE426" s="177">
        <f t="shared" si="613"/>
        <v>30</v>
      </c>
      <c r="CF426" s="1019">
        <f t="shared" si="614"/>
        <v>6000</v>
      </c>
      <c r="CG426" s="177">
        <v>30</v>
      </c>
      <c r="CH426" s="1019">
        <f t="shared" si="615"/>
        <v>6000</v>
      </c>
      <c r="CI426" s="177">
        <v>30</v>
      </c>
      <c r="CJ426" s="1019">
        <f t="shared" si="660"/>
        <v>6000</v>
      </c>
      <c r="CK426" s="177">
        <f t="shared" si="616"/>
        <v>0</v>
      </c>
      <c r="CL426" s="177">
        <f t="shared" si="617"/>
        <v>0</v>
      </c>
      <c r="CM426" s="1006"/>
      <c r="CN426" s="177">
        <f t="shared" si="618"/>
        <v>0</v>
      </c>
      <c r="CO426" s="1019">
        <f t="shared" si="619"/>
        <v>0</v>
      </c>
      <c r="CP426" s="177"/>
      <c r="CQ426" s="1019">
        <f t="shared" si="620"/>
        <v>0</v>
      </c>
      <c r="CR426" s="1019"/>
      <c r="CS426" s="1019">
        <f t="shared" si="621"/>
        <v>0</v>
      </c>
      <c r="CT426" s="177">
        <f t="shared" si="622"/>
        <v>0</v>
      </c>
      <c r="CU426" s="177">
        <f t="shared" si="623"/>
        <v>0</v>
      </c>
      <c r="CV426" s="1006"/>
      <c r="CW426" s="177">
        <f t="shared" si="632"/>
        <v>6000</v>
      </c>
      <c r="CX426" s="1019">
        <f t="shared" si="633"/>
        <v>6000</v>
      </c>
      <c r="CY426" s="177">
        <f t="shared" si="634"/>
        <v>6000</v>
      </c>
      <c r="CZ426" s="1019">
        <f t="shared" si="635"/>
        <v>0</v>
      </c>
      <c r="DA426" s="177">
        <f t="shared" si="636"/>
        <v>0</v>
      </c>
      <c r="DB426" s="126"/>
      <c r="DC426" s="125"/>
    </row>
    <row r="427" spans="1:108" ht="51" hidden="1" x14ac:dyDescent="0.25">
      <c r="A427" s="19">
        <v>2026</v>
      </c>
      <c r="B427" s="20">
        <v>479</v>
      </c>
      <c r="C427" s="21" t="s">
        <v>64</v>
      </c>
      <c r="D427" s="21" t="s">
        <v>65</v>
      </c>
      <c r="E427" s="20">
        <v>125</v>
      </c>
      <c r="F427" s="20">
        <v>3000654</v>
      </c>
      <c r="G427" s="20">
        <v>5005023</v>
      </c>
      <c r="H427" s="20">
        <v>3</v>
      </c>
      <c r="I427" s="20">
        <v>12</v>
      </c>
      <c r="J427" s="20">
        <v>24</v>
      </c>
      <c r="K427" s="20">
        <v>135560</v>
      </c>
      <c r="L427" s="21" t="s">
        <v>220</v>
      </c>
      <c r="M427" s="33" t="s">
        <v>221</v>
      </c>
      <c r="N427" s="19">
        <v>97</v>
      </c>
      <c r="O427" s="2"/>
      <c r="P427" s="2" t="s">
        <v>4</v>
      </c>
      <c r="Q427" s="20" t="s">
        <v>68</v>
      </c>
      <c r="R427" s="25" t="s">
        <v>69</v>
      </c>
      <c r="S427" s="41" t="s">
        <v>137</v>
      </c>
      <c r="T427" s="41"/>
      <c r="U427" s="31" t="s">
        <v>285</v>
      </c>
      <c r="V427" s="25" t="s">
        <v>3</v>
      </c>
      <c r="W427" s="25">
        <v>1</v>
      </c>
      <c r="X427" s="595">
        <v>6000</v>
      </c>
      <c r="Y427" s="619"/>
      <c r="Z427" s="2"/>
      <c r="AA427" s="2"/>
      <c r="AB427" s="620"/>
      <c r="AC427" s="25">
        <v>0</v>
      </c>
      <c r="AD427" s="25">
        <v>30</v>
      </c>
      <c r="AE427" s="619"/>
      <c r="AF427" s="2"/>
      <c r="AG427" s="2"/>
      <c r="AH427" s="2"/>
      <c r="AI427" s="2"/>
      <c r="AJ427" s="621"/>
      <c r="AK427" s="596">
        <v>6000</v>
      </c>
      <c r="AL427" s="29" t="s">
        <v>73</v>
      </c>
      <c r="AM427" s="29" t="s">
        <v>73</v>
      </c>
      <c r="AN427" s="29" t="s">
        <v>73</v>
      </c>
      <c r="AO427" s="29" t="s">
        <v>73</v>
      </c>
      <c r="AP427" s="648">
        <v>0</v>
      </c>
      <c r="AQ427" s="478">
        <v>6000</v>
      </c>
      <c r="AR427" s="29" t="s">
        <v>73</v>
      </c>
      <c r="AS427" s="29" t="s">
        <v>73</v>
      </c>
      <c r="AT427" s="29" t="s">
        <v>73</v>
      </c>
      <c r="AU427" s="29" t="s">
        <v>73</v>
      </c>
      <c r="AV427" s="29" t="s">
        <v>73</v>
      </c>
      <c r="AW427" s="29" t="s">
        <v>73</v>
      </c>
      <c r="AX427" s="30">
        <v>6000</v>
      </c>
      <c r="AY427" s="479" t="s">
        <v>6</v>
      </c>
      <c r="AZ427" s="2" t="s">
        <v>74</v>
      </c>
      <c r="BA427" s="2"/>
      <c r="BK427" s="125" t="s">
        <v>790</v>
      </c>
      <c r="BL427" s="481" t="s">
        <v>791</v>
      </c>
      <c r="BM427" s="125" t="s">
        <v>1812</v>
      </c>
      <c r="BN427" s="177" t="s">
        <v>1813</v>
      </c>
      <c r="BO427" s="125" t="s">
        <v>1814</v>
      </c>
      <c r="BP427" s="129">
        <v>46156</v>
      </c>
      <c r="BQ427" s="18"/>
      <c r="BR427" s="239">
        <v>5027</v>
      </c>
      <c r="BS427" s="18"/>
      <c r="BT427" s="264"/>
      <c r="BU427" s="18" t="s">
        <v>1815</v>
      </c>
      <c r="BV427" s="125" t="s">
        <v>856</v>
      </c>
      <c r="BW427" s="125" t="s">
        <v>1527</v>
      </c>
      <c r="BX427" s="125" t="s">
        <v>2077</v>
      </c>
      <c r="BY427" s="125">
        <v>71283906</v>
      </c>
      <c r="BZ427" s="125">
        <v>10712839061</v>
      </c>
      <c r="CA427" s="126">
        <v>6000</v>
      </c>
      <c r="CB427" s="289">
        <v>46174</v>
      </c>
      <c r="CC427" s="289">
        <v>46203</v>
      </c>
      <c r="CD427" s="759"/>
      <c r="CE427" s="177">
        <f t="shared" si="613"/>
        <v>0</v>
      </c>
      <c r="CF427" s="1019">
        <f t="shared" si="614"/>
        <v>0</v>
      </c>
      <c r="CG427" s="177"/>
      <c r="CH427" s="1019">
        <f t="shared" si="615"/>
        <v>0</v>
      </c>
      <c r="CI427" s="177"/>
      <c r="CJ427" s="1019">
        <f t="shared" si="660"/>
        <v>0</v>
      </c>
      <c r="CK427" s="177">
        <f t="shared" si="616"/>
        <v>0</v>
      </c>
      <c r="CL427" s="177">
        <f t="shared" si="617"/>
        <v>0</v>
      </c>
      <c r="CM427" s="1006"/>
      <c r="CN427" s="177">
        <f t="shared" si="618"/>
        <v>30</v>
      </c>
      <c r="CO427" s="1019">
        <f t="shared" si="619"/>
        <v>6000</v>
      </c>
      <c r="CP427" s="177">
        <v>30</v>
      </c>
      <c r="CQ427" s="1019">
        <f t="shared" si="620"/>
        <v>6000</v>
      </c>
      <c r="CR427" s="1019">
        <v>30</v>
      </c>
      <c r="CS427" s="1019">
        <f t="shared" si="621"/>
        <v>6000</v>
      </c>
      <c r="CT427" s="177">
        <f t="shared" si="622"/>
        <v>0</v>
      </c>
      <c r="CU427" s="177">
        <f t="shared" si="623"/>
        <v>0</v>
      </c>
      <c r="CV427" s="1006"/>
      <c r="CW427" s="177">
        <f t="shared" si="632"/>
        <v>6000</v>
      </c>
      <c r="CX427" s="1019">
        <f t="shared" si="633"/>
        <v>6000</v>
      </c>
      <c r="CY427" s="177">
        <f t="shared" si="634"/>
        <v>6000</v>
      </c>
      <c r="CZ427" s="1019">
        <f t="shared" si="635"/>
        <v>0</v>
      </c>
      <c r="DA427" s="177">
        <f t="shared" si="636"/>
        <v>0</v>
      </c>
      <c r="DB427" s="126"/>
      <c r="DC427" s="125"/>
    </row>
    <row r="428" spans="1:108" ht="51" hidden="1" x14ac:dyDescent="0.25">
      <c r="A428" s="19">
        <v>2026</v>
      </c>
      <c r="B428" s="20">
        <v>479</v>
      </c>
      <c r="C428" s="21" t="s">
        <v>64</v>
      </c>
      <c r="D428" s="21" t="s">
        <v>65</v>
      </c>
      <c r="E428" s="20">
        <v>125</v>
      </c>
      <c r="F428" s="20">
        <v>3000654</v>
      </c>
      <c r="G428" s="20">
        <v>5005023</v>
      </c>
      <c r="H428" s="20">
        <v>3</v>
      </c>
      <c r="I428" s="20">
        <v>12</v>
      </c>
      <c r="J428" s="20">
        <v>24</v>
      </c>
      <c r="K428" s="20">
        <v>135560</v>
      </c>
      <c r="L428" s="21" t="s">
        <v>220</v>
      </c>
      <c r="M428" s="33" t="s">
        <v>221</v>
      </c>
      <c r="N428" s="19">
        <v>97</v>
      </c>
      <c r="O428" s="2"/>
      <c r="P428" s="2" t="s">
        <v>4</v>
      </c>
      <c r="Q428" s="20" t="s">
        <v>68</v>
      </c>
      <c r="R428" s="25" t="s">
        <v>69</v>
      </c>
      <c r="S428" s="41" t="s">
        <v>137</v>
      </c>
      <c r="T428" s="41"/>
      <c r="U428" s="31" t="s">
        <v>286</v>
      </c>
      <c r="V428" s="25" t="s">
        <v>3</v>
      </c>
      <c r="W428" s="25">
        <v>1</v>
      </c>
      <c r="X428" s="595">
        <v>6000</v>
      </c>
      <c r="Y428" s="619"/>
      <c r="Z428" s="2"/>
      <c r="AA428" s="2"/>
      <c r="AB428" s="620"/>
      <c r="AC428" s="25">
        <v>30</v>
      </c>
      <c r="AD428" s="25">
        <v>30</v>
      </c>
      <c r="AE428" s="619"/>
      <c r="AF428" s="2"/>
      <c r="AG428" s="2"/>
      <c r="AH428" s="2"/>
      <c r="AI428" s="2"/>
      <c r="AJ428" s="621"/>
      <c r="AK428" s="596">
        <v>12000</v>
      </c>
      <c r="AL428" s="29" t="s">
        <v>73</v>
      </c>
      <c r="AM428" s="29" t="s">
        <v>73</v>
      </c>
      <c r="AN428" s="29" t="s">
        <v>73</v>
      </c>
      <c r="AO428" s="29" t="s">
        <v>73</v>
      </c>
      <c r="AP428" s="478">
        <v>6000</v>
      </c>
      <c r="AQ428" s="478">
        <v>6000</v>
      </c>
      <c r="AR428" s="29" t="s">
        <v>73</v>
      </c>
      <c r="AS428" s="29" t="s">
        <v>73</v>
      </c>
      <c r="AT428" s="29" t="s">
        <v>73</v>
      </c>
      <c r="AU428" s="29" t="s">
        <v>73</v>
      </c>
      <c r="AV428" s="29" t="s">
        <v>73</v>
      </c>
      <c r="AW428" s="29" t="s">
        <v>73</v>
      </c>
      <c r="AX428" s="30">
        <v>12000</v>
      </c>
      <c r="AY428" s="479" t="s">
        <v>6</v>
      </c>
      <c r="AZ428" s="2" t="s">
        <v>74</v>
      </c>
      <c r="BA428" s="2"/>
      <c r="BK428" s="125" t="s">
        <v>790</v>
      </c>
      <c r="BL428" s="481" t="s">
        <v>791</v>
      </c>
      <c r="BM428" s="125" t="s">
        <v>2057</v>
      </c>
      <c r="BN428" s="655" t="s">
        <v>2058</v>
      </c>
      <c r="BO428" s="284" t="s">
        <v>1808</v>
      </c>
      <c r="BP428" s="129">
        <v>46134</v>
      </c>
      <c r="BQ428" s="18"/>
      <c r="BR428" s="505" t="s">
        <v>2078</v>
      </c>
      <c r="BS428" s="18"/>
      <c r="BT428" s="264" t="s">
        <v>2002</v>
      </c>
      <c r="BU428" s="947" t="s">
        <v>1841</v>
      </c>
      <c r="BV428" s="125" t="s">
        <v>1244</v>
      </c>
      <c r="BW428" s="125" t="s">
        <v>2079</v>
      </c>
      <c r="BX428" s="125" t="s">
        <v>2080</v>
      </c>
      <c r="BY428" s="125">
        <v>71483791</v>
      </c>
      <c r="BZ428" s="125">
        <v>10714837911</v>
      </c>
      <c r="CA428" s="126">
        <v>6000</v>
      </c>
      <c r="CB428" s="289">
        <v>46143</v>
      </c>
      <c r="CC428" s="289">
        <v>46203</v>
      </c>
      <c r="CD428" s="759"/>
      <c r="CE428" s="177">
        <f t="shared" si="613"/>
        <v>30</v>
      </c>
      <c r="CF428" s="1019">
        <f t="shared" si="614"/>
        <v>6000</v>
      </c>
      <c r="CG428" s="177">
        <v>30</v>
      </c>
      <c r="CH428" s="1019">
        <f t="shared" si="615"/>
        <v>6000</v>
      </c>
      <c r="CI428" s="177">
        <v>30</v>
      </c>
      <c r="CJ428" s="1019">
        <f t="shared" si="660"/>
        <v>6000</v>
      </c>
      <c r="CK428" s="177">
        <f t="shared" si="616"/>
        <v>0</v>
      </c>
      <c r="CL428" s="177">
        <f t="shared" si="617"/>
        <v>0</v>
      </c>
      <c r="CM428" s="1006"/>
      <c r="CN428" s="177">
        <f t="shared" si="618"/>
        <v>30</v>
      </c>
      <c r="CO428" s="1019">
        <f t="shared" si="619"/>
        <v>6000</v>
      </c>
      <c r="CP428" s="177">
        <v>30</v>
      </c>
      <c r="CQ428" s="1019">
        <f t="shared" si="620"/>
        <v>6000</v>
      </c>
      <c r="CR428" s="1019">
        <v>30</v>
      </c>
      <c r="CS428" s="1019">
        <f t="shared" si="621"/>
        <v>6000</v>
      </c>
      <c r="CT428" s="177">
        <f t="shared" si="622"/>
        <v>0</v>
      </c>
      <c r="CU428" s="177">
        <f t="shared" si="623"/>
        <v>0</v>
      </c>
      <c r="CV428" s="1006"/>
      <c r="CW428" s="177">
        <f t="shared" si="632"/>
        <v>12000</v>
      </c>
      <c r="CX428" s="1019">
        <f t="shared" si="633"/>
        <v>12000</v>
      </c>
      <c r="CY428" s="177">
        <f t="shared" si="634"/>
        <v>12000</v>
      </c>
      <c r="CZ428" s="1019">
        <f t="shared" si="635"/>
        <v>0</v>
      </c>
      <c r="DA428" s="177">
        <f t="shared" si="636"/>
        <v>0</v>
      </c>
      <c r="DB428" s="126"/>
      <c r="DC428" s="125"/>
    </row>
    <row r="429" spans="1:108" ht="51" hidden="1" x14ac:dyDescent="0.25">
      <c r="A429" s="19">
        <v>2026</v>
      </c>
      <c r="B429" s="20">
        <v>479</v>
      </c>
      <c r="C429" s="21" t="s">
        <v>64</v>
      </c>
      <c r="D429" s="21" t="s">
        <v>65</v>
      </c>
      <c r="E429" s="20">
        <v>125</v>
      </c>
      <c r="F429" s="20">
        <v>3000654</v>
      </c>
      <c r="G429" s="20">
        <v>5005023</v>
      </c>
      <c r="H429" s="20">
        <v>3</v>
      </c>
      <c r="I429" s="20">
        <v>12</v>
      </c>
      <c r="J429" s="20">
        <v>24</v>
      </c>
      <c r="K429" s="20">
        <v>135560</v>
      </c>
      <c r="L429" s="21" t="s">
        <v>220</v>
      </c>
      <c r="M429" s="33" t="s">
        <v>221</v>
      </c>
      <c r="N429" s="19">
        <v>97</v>
      </c>
      <c r="O429" s="2"/>
      <c r="P429" s="2" t="s">
        <v>4</v>
      </c>
      <c r="Q429" s="20" t="s">
        <v>68</v>
      </c>
      <c r="R429" s="25" t="s">
        <v>69</v>
      </c>
      <c r="S429" s="41" t="s">
        <v>137</v>
      </c>
      <c r="T429" s="41"/>
      <c r="U429" s="31" t="s">
        <v>287</v>
      </c>
      <c r="V429" s="25" t="s">
        <v>3</v>
      </c>
      <c r="W429" s="25">
        <v>1</v>
      </c>
      <c r="X429" s="595">
        <v>6000</v>
      </c>
      <c r="Y429" s="619"/>
      <c r="Z429" s="2"/>
      <c r="AA429" s="2"/>
      <c r="AB429" s="620"/>
      <c r="AC429" s="25">
        <v>30</v>
      </c>
      <c r="AD429" s="25">
        <v>30</v>
      </c>
      <c r="AE429" s="619"/>
      <c r="AF429" s="2"/>
      <c r="AG429" s="2"/>
      <c r="AH429" s="2"/>
      <c r="AI429" s="2"/>
      <c r="AJ429" s="621"/>
      <c r="AK429" s="596">
        <v>12000</v>
      </c>
      <c r="AL429" s="29" t="s">
        <v>73</v>
      </c>
      <c r="AM429" s="29" t="s">
        <v>73</v>
      </c>
      <c r="AN429" s="29" t="s">
        <v>73</v>
      </c>
      <c r="AO429" s="29" t="s">
        <v>73</v>
      </c>
      <c r="AP429" s="478">
        <v>6000</v>
      </c>
      <c r="AQ429" s="478">
        <v>6000</v>
      </c>
      <c r="AR429" s="29" t="s">
        <v>73</v>
      </c>
      <c r="AS429" s="29" t="s">
        <v>73</v>
      </c>
      <c r="AT429" s="29" t="s">
        <v>73</v>
      </c>
      <c r="AU429" s="29" t="s">
        <v>73</v>
      </c>
      <c r="AV429" s="29" t="s">
        <v>73</v>
      </c>
      <c r="AW429" s="29" t="s">
        <v>73</v>
      </c>
      <c r="AX429" s="30">
        <v>12000</v>
      </c>
      <c r="AY429" s="479" t="s">
        <v>6</v>
      </c>
      <c r="AZ429" s="2" t="s">
        <v>74</v>
      </c>
      <c r="BA429" s="2"/>
      <c r="BK429" s="125" t="s">
        <v>790</v>
      </c>
      <c r="BL429" s="481" t="s">
        <v>791</v>
      </c>
      <c r="BM429" s="125" t="s">
        <v>2057</v>
      </c>
      <c r="BN429" s="655" t="s">
        <v>2058</v>
      </c>
      <c r="BO429" s="284" t="s">
        <v>1808</v>
      </c>
      <c r="BP429" s="129">
        <v>46134</v>
      </c>
      <c r="BQ429" s="18"/>
      <c r="BR429" s="505" t="s">
        <v>2081</v>
      </c>
      <c r="BS429" s="18"/>
      <c r="BT429" s="264" t="s">
        <v>2002</v>
      </c>
      <c r="BU429" s="947" t="s">
        <v>1841</v>
      </c>
      <c r="BV429" s="125" t="s">
        <v>1000</v>
      </c>
      <c r="BW429" s="125" t="s">
        <v>1554</v>
      </c>
      <c r="BX429" s="125" t="s">
        <v>2082</v>
      </c>
      <c r="BY429" s="125" t="s">
        <v>2083</v>
      </c>
      <c r="BZ429" s="125">
        <v>10443462169</v>
      </c>
      <c r="CA429" s="126">
        <v>6000</v>
      </c>
      <c r="CB429" s="289">
        <v>46143</v>
      </c>
      <c r="CC429" s="289">
        <v>46203</v>
      </c>
      <c r="CD429" s="759"/>
      <c r="CE429" s="177">
        <f t="shared" si="613"/>
        <v>30</v>
      </c>
      <c r="CF429" s="1019">
        <f t="shared" si="614"/>
        <v>6000</v>
      </c>
      <c r="CG429" s="177">
        <v>30</v>
      </c>
      <c r="CH429" s="1019">
        <f>(X429/30)*CG429</f>
        <v>6000</v>
      </c>
      <c r="CI429" s="177">
        <v>30</v>
      </c>
      <c r="CJ429" s="1019">
        <f t="shared" si="660"/>
        <v>6000</v>
      </c>
      <c r="CK429" s="177">
        <f t="shared" si="616"/>
        <v>0</v>
      </c>
      <c r="CL429" s="177">
        <f t="shared" si="617"/>
        <v>0</v>
      </c>
      <c r="CM429" s="1006"/>
      <c r="CN429" s="177">
        <f t="shared" si="618"/>
        <v>30</v>
      </c>
      <c r="CO429" s="1019">
        <f t="shared" si="619"/>
        <v>6000</v>
      </c>
      <c r="CP429" s="177">
        <v>30</v>
      </c>
      <c r="CQ429" s="1019">
        <f t="shared" si="620"/>
        <v>6000</v>
      </c>
      <c r="CR429" s="1019">
        <v>30</v>
      </c>
      <c r="CS429" s="1019">
        <f t="shared" si="621"/>
        <v>6000</v>
      </c>
      <c r="CT429" s="177">
        <f t="shared" si="622"/>
        <v>0</v>
      </c>
      <c r="CU429" s="177">
        <f t="shared" si="623"/>
        <v>0</v>
      </c>
      <c r="CV429" s="1006"/>
      <c r="CW429" s="177">
        <f t="shared" si="632"/>
        <v>12000</v>
      </c>
      <c r="CX429" s="1019">
        <f t="shared" si="633"/>
        <v>12000</v>
      </c>
      <c r="CY429" s="177">
        <f t="shared" si="634"/>
        <v>12000</v>
      </c>
      <c r="CZ429" s="1019">
        <f t="shared" si="635"/>
        <v>0</v>
      </c>
      <c r="DA429" s="177">
        <f t="shared" si="636"/>
        <v>0</v>
      </c>
      <c r="DB429" s="126"/>
      <c r="DC429" s="125"/>
    </row>
    <row r="430" spans="1:108" ht="51" hidden="1" x14ac:dyDescent="0.25">
      <c r="A430" s="19">
        <v>2026</v>
      </c>
      <c r="B430" s="20">
        <v>479</v>
      </c>
      <c r="C430" s="21" t="s">
        <v>64</v>
      </c>
      <c r="D430" s="21" t="s">
        <v>65</v>
      </c>
      <c r="E430" s="20">
        <v>125</v>
      </c>
      <c r="F430" s="20">
        <v>3000654</v>
      </c>
      <c r="G430" s="20">
        <v>5005023</v>
      </c>
      <c r="H430" s="20">
        <v>3</v>
      </c>
      <c r="I430" s="20">
        <v>12</v>
      </c>
      <c r="J430" s="20">
        <v>24</v>
      </c>
      <c r="K430" s="20">
        <v>135560</v>
      </c>
      <c r="L430" s="21" t="s">
        <v>220</v>
      </c>
      <c r="M430" s="33" t="s">
        <v>221</v>
      </c>
      <c r="N430" s="19">
        <v>97</v>
      </c>
      <c r="O430" s="2"/>
      <c r="P430" s="2" t="s">
        <v>4</v>
      </c>
      <c r="Q430" s="20" t="s">
        <v>68</v>
      </c>
      <c r="R430" s="25" t="s">
        <v>69</v>
      </c>
      <c r="S430" s="41" t="s">
        <v>137</v>
      </c>
      <c r="T430" s="41"/>
      <c r="U430" s="31" t="s">
        <v>288</v>
      </c>
      <c r="V430" s="25" t="s">
        <v>3</v>
      </c>
      <c r="W430" s="25">
        <v>1</v>
      </c>
      <c r="X430" s="595">
        <v>6000</v>
      </c>
      <c r="Y430" s="619"/>
      <c r="Z430" s="2"/>
      <c r="AA430" s="2"/>
      <c r="AB430" s="620"/>
      <c r="AC430" s="25">
        <v>30</v>
      </c>
      <c r="AD430" s="25">
        <v>30</v>
      </c>
      <c r="AE430" s="619"/>
      <c r="AF430" s="2"/>
      <c r="AG430" s="2"/>
      <c r="AH430" s="2"/>
      <c r="AI430" s="2"/>
      <c r="AJ430" s="621"/>
      <c r="AK430" s="596">
        <v>12000</v>
      </c>
      <c r="AL430" s="29" t="s">
        <v>73</v>
      </c>
      <c r="AM430" s="29" t="s">
        <v>73</v>
      </c>
      <c r="AN430" s="29" t="s">
        <v>73</v>
      </c>
      <c r="AO430" s="29" t="s">
        <v>73</v>
      </c>
      <c r="AP430" s="478">
        <v>6000</v>
      </c>
      <c r="AQ430" s="478">
        <v>6000</v>
      </c>
      <c r="AR430" s="29" t="s">
        <v>73</v>
      </c>
      <c r="AS430" s="29" t="s">
        <v>73</v>
      </c>
      <c r="AT430" s="29" t="s">
        <v>73</v>
      </c>
      <c r="AU430" s="29" t="s">
        <v>73</v>
      </c>
      <c r="AV430" s="29" t="s">
        <v>73</v>
      </c>
      <c r="AW430" s="29" t="s">
        <v>73</v>
      </c>
      <c r="AX430" s="30">
        <v>12000</v>
      </c>
      <c r="AY430" s="479" t="s">
        <v>6</v>
      </c>
      <c r="AZ430" s="2" t="s">
        <v>74</v>
      </c>
      <c r="BA430" s="2"/>
      <c r="BK430" s="125" t="s">
        <v>790</v>
      </c>
      <c r="BL430" s="481" t="s">
        <v>791</v>
      </c>
      <c r="BM430" s="125" t="s">
        <v>2057</v>
      </c>
      <c r="BN430" s="655" t="s">
        <v>2058</v>
      </c>
      <c r="BO430" s="284" t="s">
        <v>1808</v>
      </c>
      <c r="BP430" s="129">
        <v>46134</v>
      </c>
      <c r="BQ430" s="18"/>
      <c r="BR430" s="505" t="s">
        <v>2084</v>
      </c>
      <c r="BS430" s="18"/>
      <c r="BT430" s="264" t="s">
        <v>2002</v>
      </c>
      <c r="BU430" s="947" t="s">
        <v>1841</v>
      </c>
      <c r="BV430" s="125" t="s">
        <v>1092</v>
      </c>
      <c r="BW430" s="125" t="s">
        <v>1092</v>
      </c>
      <c r="BX430" s="125" t="s">
        <v>2085</v>
      </c>
      <c r="BY430" s="125">
        <v>46970797</v>
      </c>
      <c r="BZ430" s="125">
        <v>10469707976</v>
      </c>
      <c r="CA430" s="126">
        <v>6000</v>
      </c>
      <c r="CB430" s="289">
        <v>46143</v>
      </c>
      <c r="CC430" s="289">
        <v>46203</v>
      </c>
      <c r="CD430" s="759"/>
      <c r="CE430" s="177">
        <f t="shared" si="613"/>
        <v>30</v>
      </c>
      <c r="CF430" s="1019">
        <f t="shared" si="614"/>
        <v>6000</v>
      </c>
      <c r="CG430" s="177">
        <v>30</v>
      </c>
      <c r="CH430" s="1019">
        <f t="shared" si="615"/>
        <v>6000</v>
      </c>
      <c r="CI430" s="177">
        <v>30</v>
      </c>
      <c r="CJ430" s="1019">
        <f t="shared" si="660"/>
        <v>6000</v>
      </c>
      <c r="CK430" s="177">
        <f t="shared" si="616"/>
        <v>0</v>
      </c>
      <c r="CL430" s="177">
        <f t="shared" si="617"/>
        <v>0</v>
      </c>
      <c r="CM430" s="1006"/>
      <c r="CN430" s="177">
        <f t="shared" si="618"/>
        <v>30</v>
      </c>
      <c r="CO430" s="1019">
        <f t="shared" si="619"/>
        <v>6000</v>
      </c>
      <c r="CP430" s="177">
        <v>30</v>
      </c>
      <c r="CQ430" s="1019">
        <f t="shared" si="620"/>
        <v>6000</v>
      </c>
      <c r="CR430" s="1019">
        <v>30</v>
      </c>
      <c r="CS430" s="1019">
        <f t="shared" si="621"/>
        <v>6000</v>
      </c>
      <c r="CT430" s="177">
        <f t="shared" si="622"/>
        <v>0</v>
      </c>
      <c r="CU430" s="177">
        <f t="shared" si="623"/>
        <v>0</v>
      </c>
      <c r="CV430" s="1006"/>
      <c r="CW430" s="177">
        <f t="shared" si="632"/>
        <v>12000</v>
      </c>
      <c r="CX430" s="1019">
        <f t="shared" si="633"/>
        <v>12000</v>
      </c>
      <c r="CY430" s="177">
        <f t="shared" si="634"/>
        <v>12000</v>
      </c>
      <c r="CZ430" s="1019">
        <f t="shared" si="635"/>
        <v>0</v>
      </c>
      <c r="DA430" s="177">
        <f t="shared" si="636"/>
        <v>0</v>
      </c>
      <c r="DB430" s="126"/>
      <c r="DC430" s="125"/>
    </row>
    <row r="431" spans="1:108" s="836" customFormat="1" ht="45" hidden="1" x14ac:dyDescent="0.25">
      <c r="A431" s="824">
        <v>2026</v>
      </c>
      <c r="B431" s="825">
        <v>479</v>
      </c>
      <c r="C431" s="826" t="s">
        <v>64</v>
      </c>
      <c r="D431" s="826" t="s">
        <v>65</v>
      </c>
      <c r="E431" s="825">
        <v>125</v>
      </c>
      <c r="F431" s="825">
        <v>3000654</v>
      </c>
      <c r="G431" s="825">
        <v>5005023</v>
      </c>
      <c r="H431" s="825">
        <v>3</v>
      </c>
      <c r="I431" s="825">
        <v>12</v>
      </c>
      <c r="J431" s="825">
        <v>24</v>
      </c>
      <c r="K431" s="825">
        <v>135560</v>
      </c>
      <c r="L431" s="826" t="s">
        <v>98</v>
      </c>
      <c r="M431" s="827" t="s">
        <v>99</v>
      </c>
      <c r="N431" s="824">
        <v>94</v>
      </c>
      <c r="O431" s="828"/>
      <c r="P431" s="828" t="s">
        <v>4</v>
      </c>
      <c r="Q431" s="825" t="s">
        <v>68</v>
      </c>
      <c r="R431" s="829" t="s">
        <v>69</v>
      </c>
      <c r="S431" s="830" t="s">
        <v>137</v>
      </c>
      <c r="T431" s="830"/>
      <c r="U431" s="831" t="s">
        <v>289</v>
      </c>
      <c r="V431" s="829" t="s">
        <v>3</v>
      </c>
      <c r="W431" s="829">
        <v>1</v>
      </c>
      <c r="X431" s="832">
        <v>8000</v>
      </c>
      <c r="Y431" s="874"/>
      <c r="Z431" s="828"/>
      <c r="AA431" s="828"/>
      <c r="AB431" s="875"/>
      <c r="AC431" s="829">
        <v>30</v>
      </c>
      <c r="AD431" s="829">
        <v>0</v>
      </c>
      <c r="AE431" s="874"/>
      <c r="AF431" s="828"/>
      <c r="AG431" s="828"/>
      <c r="AH431" s="828"/>
      <c r="AI431" s="828"/>
      <c r="AJ431" s="876"/>
      <c r="AK431" s="833">
        <v>8000</v>
      </c>
      <c r="AL431" s="29" t="s">
        <v>73</v>
      </c>
      <c r="AM431" s="29" t="s">
        <v>73</v>
      </c>
      <c r="AN431" s="29" t="s">
        <v>73</v>
      </c>
      <c r="AO431" s="29" t="s">
        <v>73</v>
      </c>
      <c r="AP431" s="478">
        <v>8000</v>
      </c>
      <c r="AQ431" s="648">
        <v>0</v>
      </c>
      <c r="AR431" s="29" t="s">
        <v>73</v>
      </c>
      <c r="AS431" s="29" t="s">
        <v>73</v>
      </c>
      <c r="AT431" s="29" t="s">
        <v>73</v>
      </c>
      <c r="AU431" s="29" t="s">
        <v>73</v>
      </c>
      <c r="AV431" s="29" t="s">
        <v>73</v>
      </c>
      <c r="AW431" s="29" t="s">
        <v>73</v>
      </c>
      <c r="AX431" s="834">
        <v>8000</v>
      </c>
      <c r="AY431" s="835" t="s">
        <v>6</v>
      </c>
      <c r="AZ431" s="828" t="s">
        <v>74</v>
      </c>
      <c r="BA431" s="828"/>
      <c r="BD431"/>
      <c r="BE431"/>
      <c r="BF431"/>
      <c r="BG431"/>
      <c r="BH431"/>
      <c r="BI431"/>
      <c r="BJ431"/>
      <c r="BK431" s="481" t="s">
        <v>802</v>
      </c>
      <c r="BL431" s="837" t="s">
        <v>803</v>
      </c>
      <c r="BM431" s="838"/>
      <c r="BN431" s="844"/>
      <c r="BO431" s="845"/>
      <c r="BP431" s="840"/>
      <c r="BQ431" s="841"/>
      <c r="BR431" s="846"/>
      <c r="BS431" s="841"/>
      <c r="BT431" s="847"/>
      <c r="BU431" s="841"/>
      <c r="BV431" s="125"/>
      <c r="BW431" s="125"/>
      <c r="BX431" s="125"/>
      <c r="BY431" s="125"/>
      <c r="BZ431" s="125"/>
      <c r="CA431" s="126"/>
      <c r="CB431" s="289"/>
      <c r="CC431" s="842"/>
      <c r="CD431" s="759"/>
      <c r="CE431" s="177">
        <f t="shared" si="613"/>
        <v>30</v>
      </c>
      <c r="CF431" s="1019">
        <f t="shared" si="614"/>
        <v>8000</v>
      </c>
      <c r="CG431" s="177"/>
      <c r="CH431" s="1019">
        <f t="shared" si="615"/>
        <v>0</v>
      </c>
      <c r="CI431" s="177"/>
      <c r="CJ431" s="1019">
        <f t="shared" si="660"/>
        <v>0</v>
      </c>
      <c r="CK431" s="177">
        <f t="shared" si="616"/>
        <v>8000</v>
      </c>
      <c r="CL431" s="177">
        <f t="shared" si="617"/>
        <v>8000</v>
      </c>
      <c r="CM431" s="1006"/>
      <c r="CN431" s="177">
        <f t="shared" si="618"/>
        <v>0</v>
      </c>
      <c r="CO431" s="1019">
        <f t="shared" si="619"/>
        <v>0</v>
      </c>
      <c r="CP431" s="177"/>
      <c r="CQ431" s="1019">
        <f t="shared" si="620"/>
        <v>0</v>
      </c>
      <c r="CR431" s="1019"/>
      <c r="CS431" s="1019">
        <f t="shared" si="621"/>
        <v>0</v>
      </c>
      <c r="CT431" s="177">
        <f t="shared" si="622"/>
        <v>0</v>
      </c>
      <c r="CU431" s="839">
        <f t="shared" si="623"/>
        <v>0</v>
      </c>
      <c r="CV431" s="1020"/>
      <c r="CW431" s="839">
        <f t="shared" si="632"/>
        <v>8000</v>
      </c>
      <c r="CX431" s="1021">
        <f t="shared" si="633"/>
        <v>0</v>
      </c>
      <c r="CY431" s="839">
        <f t="shared" si="634"/>
        <v>0</v>
      </c>
      <c r="CZ431" s="1019">
        <f t="shared" si="635"/>
        <v>8000</v>
      </c>
      <c r="DA431" s="839">
        <f t="shared" si="636"/>
        <v>8000</v>
      </c>
      <c r="DB431" s="843"/>
      <c r="DC431" s="838"/>
      <c r="DD431" s="848" t="s">
        <v>2086</v>
      </c>
    </row>
    <row r="432" spans="1:108" ht="51" hidden="1" x14ac:dyDescent="0.25">
      <c r="A432" s="19">
        <v>2026</v>
      </c>
      <c r="B432" s="20">
        <v>479</v>
      </c>
      <c r="C432" s="21" t="s">
        <v>64</v>
      </c>
      <c r="D432" s="21" t="s">
        <v>65</v>
      </c>
      <c r="E432" s="20">
        <v>125</v>
      </c>
      <c r="F432" s="20">
        <v>3000654</v>
      </c>
      <c r="G432" s="20">
        <v>5005023</v>
      </c>
      <c r="H432" s="20">
        <v>3</v>
      </c>
      <c r="I432" s="20">
        <v>12</v>
      </c>
      <c r="J432" s="20">
        <v>24</v>
      </c>
      <c r="K432" s="20">
        <v>135560</v>
      </c>
      <c r="L432" s="21" t="s">
        <v>220</v>
      </c>
      <c r="M432" s="33" t="s">
        <v>221</v>
      </c>
      <c r="N432" s="19">
        <v>97</v>
      </c>
      <c r="O432" s="2"/>
      <c r="P432" s="2" t="s">
        <v>4</v>
      </c>
      <c r="Q432" s="20" t="s">
        <v>68</v>
      </c>
      <c r="R432" s="25" t="s">
        <v>69</v>
      </c>
      <c r="S432" s="41" t="s">
        <v>137</v>
      </c>
      <c r="T432" s="41"/>
      <c r="U432" s="31" t="s">
        <v>2087</v>
      </c>
      <c r="V432" s="25" t="s">
        <v>3</v>
      </c>
      <c r="W432" s="25">
        <v>1</v>
      </c>
      <c r="X432" s="595">
        <v>8000</v>
      </c>
      <c r="Y432" s="619"/>
      <c r="Z432" s="2"/>
      <c r="AA432" s="2"/>
      <c r="AB432" s="620"/>
      <c r="AC432" s="25">
        <v>0</v>
      </c>
      <c r="AD432" s="25">
        <v>30</v>
      </c>
      <c r="AE432" s="619"/>
      <c r="AF432" s="2"/>
      <c r="AG432" s="2"/>
      <c r="AH432" s="2"/>
      <c r="AI432" s="2"/>
      <c r="AJ432" s="621"/>
      <c r="AK432" s="596">
        <v>8000</v>
      </c>
      <c r="AL432" s="29" t="s">
        <v>73</v>
      </c>
      <c r="AM432" s="29" t="s">
        <v>73</v>
      </c>
      <c r="AN432" s="29" t="s">
        <v>73</v>
      </c>
      <c r="AO432" s="29" t="s">
        <v>73</v>
      </c>
      <c r="AP432" s="648">
        <v>0</v>
      </c>
      <c r="AQ432" s="478">
        <v>8000</v>
      </c>
      <c r="AR432" s="29" t="s">
        <v>73</v>
      </c>
      <c r="AS432" s="29" t="s">
        <v>73</v>
      </c>
      <c r="AT432" s="29" t="s">
        <v>73</v>
      </c>
      <c r="AU432" s="29" t="s">
        <v>73</v>
      </c>
      <c r="AV432" s="29" t="s">
        <v>73</v>
      </c>
      <c r="AW432" s="29" t="s">
        <v>73</v>
      </c>
      <c r="AX432" s="30">
        <v>8000</v>
      </c>
      <c r="AY432" s="479" t="s">
        <v>6</v>
      </c>
      <c r="AZ432" s="2" t="s">
        <v>74</v>
      </c>
      <c r="BA432" s="2"/>
      <c r="BK432" s="481" t="s">
        <v>790</v>
      </c>
      <c r="BL432" s="481" t="s">
        <v>791</v>
      </c>
      <c r="BM432" s="125" t="s">
        <v>2088</v>
      </c>
      <c r="BN432" s="655" t="s">
        <v>2089</v>
      </c>
      <c r="BO432" s="284" t="s">
        <v>2090</v>
      </c>
      <c r="BP432" s="129">
        <v>46171</v>
      </c>
      <c r="BQ432" s="18"/>
      <c r="BR432" s="18"/>
      <c r="BS432" s="18"/>
      <c r="BT432" s="264"/>
      <c r="BU432" s="18"/>
      <c r="BV432" s="125" t="s">
        <v>2091</v>
      </c>
      <c r="BW432" s="125" t="s">
        <v>2092</v>
      </c>
      <c r="BX432" s="125" t="s">
        <v>2093</v>
      </c>
      <c r="BY432" s="125">
        <v>75015118</v>
      </c>
      <c r="BZ432" s="125">
        <v>10750151189</v>
      </c>
      <c r="CA432" s="126">
        <v>8000</v>
      </c>
      <c r="CB432" s="289">
        <v>46174</v>
      </c>
      <c r="CC432" s="289">
        <v>46203</v>
      </c>
      <c r="CD432" s="759"/>
      <c r="CE432" s="177">
        <f t="shared" si="613"/>
        <v>0</v>
      </c>
      <c r="CF432" s="1019">
        <f t="shared" si="614"/>
        <v>0</v>
      </c>
      <c r="CG432" s="177"/>
      <c r="CH432" s="1019">
        <f t="shared" si="615"/>
        <v>0</v>
      </c>
      <c r="CI432" s="177"/>
      <c r="CJ432" s="1019">
        <f t="shared" si="660"/>
        <v>0</v>
      </c>
      <c r="CK432" s="177">
        <f t="shared" si="616"/>
        <v>0</v>
      </c>
      <c r="CL432" s="177">
        <f t="shared" si="617"/>
        <v>0</v>
      </c>
      <c r="CM432" s="1006"/>
      <c r="CN432" s="177">
        <f t="shared" si="618"/>
        <v>30</v>
      </c>
      <c r="CO432" s="1019">
        <f t="shared" si="619"/>
        <v>8000</v>
      </c>
      <c r="CP432" s="177">
        <v>30</v>
      </c>
      <c r="CQ432" s="1019">
        <f t="shared" si="620"/>
        <v>8000.0000000000009</v>
      </c>
      <c r="CR432" s="1019">
        <v>30</v>
      </c>
      <c r="CS432" s="1019">
        <f t="shared" si="621"/>
        <v>8000.0000000000009</v>
      </c>
      <c r="CT432" s="177">
        <f t="shared" si="622"/>
        <v>0</v>
      </c>
      <c r="CU432" s="177">
        <f t="shared" si="623"/>
        <v>0</v>
      </c>
      <c r="CV432" s="1006"/>
      <c r="CW432" s="177">
        <f t="shared" si="632"/>
        <v>8000</v>
      </c>
      <c r="CX432" s="1019">
        <f t="shared" si="633"/>
        <v>8000.0000000000009</v>
      </c>
      <c r="CY432" s="177">
        <f t="shared" si="634"/>
        <v>8000.0000000000009</v>
      </c>
      <c r="CZ432" s="1019">
        <f t="shared" si="635"/>
        <v>0</v>
      </c>
      <c r="DA432" s="177">
        <f t="shared" si="636"/>
        <v>0</v>
      </c>
      <c r="DB432" s="126"/>
      <c r="DC432" s="125"/>
      <c r="DD432" t="s">
        <v>2094</v>
      </c>
    </row>
    <row r="433" spans="1:107" ht="51" hidden="1" x14ac:dyDescent="0.25">
      <c r="A433" s="19">
        <v>2026</v>
      </c>
      <c r="B433" s="20">
        <v>479</v>
      </c>
      <c r="C433" s="21" t="s">
        <v>64</v>
      </c>
      <c r="D433" s="21" t="s">
        <v>65</v>
      </c>
      <c r="E433" s="20">
        <v>125</v>
      </c>
      <c r="F433" s="20">
        <v>3000654</v>
      </c>
      <c r="G433" s="20">
        <v>5005023</v>
      </c>
      <c r="H433" s="20">
        <v>3</v>
      </c>
      <c r="I433" s="20">
        <v>12</v>
      </c>
      <c r="J433" s="20">
        <v>24</v>
      </c>
      <c r="K433" s="20">
        <v>135560</v>
      </c>
      <c r="L433" s="21" t="s">
        <v>98</v>
      </c>
      <c r="M433" s="33" t="s">
        <v>99</v>
      </c>
      <c r="N433" s="19">
        <v>94</v>
      </c>
      <c r="O433" s="2"/>
      <c r="P433" s="2" t="s">
        <v>4</v>
      </c>
      <c r="Q433" s="20" t="s">
        <v>68</v>
      </c>
      <c r="R433" s="25" t="s">
        <v>69</v>
      </c>
      <c r="S433" s="41" t="s">
        <v>137</v>
      </c>
      <c r="T433" s="41"/>
      <c r="U433" s="31" t="s">
        <v>290</v>
      </c>
      <c r="V433" s="25" t="s">
        <v>3</v>
      </c>
      <c r="W433" s="25">
        <v>1</v>
      </c>
      <c r="X433" s="595">
        <v>8000</v>
      </c>
      <c r="Y433" s="619"/>
      <c r="Z433" s="2"/>
      <c r="AA433" s="2"/>
      <c r="AB433" s="620"/>
      <c r="AC433" s="25">
        <v>30</v>
      </c>
      <c r="AD433" s="25">
        <v>0</v>
      </c>
      <c r="AE433" s="619"/>
      <c r="AF433" s="2"/>
      <c r="AG433" s="2"/>
      <c r="AH433" s="2"/>
      <c r="AI433" s="2"/>
      <c r="AJ433" s="621"/>
      <c r="AK433" s="596">
        <v>8000</v>
      </c>
      <c r="AL433" s="29" t="s">
        <v>73</v>
      </c>
      <c r="AM433" s="29" t="s">
        <v>73</v>
      </c>
      <c r="AN433" s="29" t="s">
        <v>73</v>
      </c>
      <c r="AO433" s="29" t="s">
        <v>73</v>
      </c>
      <c r="AP433" s="478">
        <v>8000</v>
      </c>
      <c r="AQ433" s="648">
        <v>0</v>
      </c>
      <c r="AR433" s="29" t="s">
        <v>73</v>
      </c>
      <c r="AS433" s="29" t="s">
        <v>73</v>
      </c>
      <c r="AT433" s="29" t="s">
        <v>73</v>
      </c>
      <c r="AU433" s="29" t="s">
        <v>73</v>
      </c>
      <c r="AV433" s="29" t="s">
        <v>73</v>
      </c>
      <c r="AW433" s="29" t="s">
        <v>73</v>
      </c>
      <c r="AX433" s="30">
        <v>8000</v>
      </c>
      <c r="AY433" s="165" t="s">
        <v>6</v>
      </c>
      <c r="AZ433" s="2" t="s">
        <v>74</v>
      </c>
      <c r="BA433" s="2"/>
      <c r="BK433" s="147" t="s">
        <v>790</v>
      </c>
      <c r="BL433" s="481" t="s">
        <v>791</v>
      </c>
      <c r="BM433" s="125" t="s">
        <v>2057</v>
      </c>
      <c r="BN433" s="655" t="s">
        <v>2058</v>
      </c>
      <c r="BO433" s="284" t="s">
        <v>1808</v>
      </c>
      <c r="BP433" s="129">
        <v>46134</v>
      </c>
      <c r="BQ433" s="18"/>
      <c r="BR433" s="505" t="s">
        <v>2095</v>
      </c>
      <c r="BS433" s="18"/>
      <c r="BT433" s="264" t="s">
        <v>2002</v>
      </c>
      <c r="BU433" s="18"/>
      <c r="BV433" s="125" t="s">
        <v>841</v>
      </c>
      <c r="BW433" s="125" t="s">
        <v>2096</v>
      </c>
      <c r="BX433" s="125" t="s">
        <v>2097</v>
      </c>
      <c r="BY433" s="125">
        <v>70213603</v>
      </c>
      <c r="BZ433" s="125">
        <v>10702136038</v>
      </c>
      <c r="CA433" s="126">
        <v>8000</v>
      </c>
      <c r="CB433" s="289">
        <v>46143</v>
      </c>
      <c r="CC433" s="289">
        <v>46173</v>
      </c>
      <c r="CD433" s="759"/>
      <c r="CE433" s="177">
        <f t="shared" si="613"/>
        <v>30</v>
      </c>
      <c r="CF433" s="1019">
        <f t="shared" si="614"/>
        <v>8000</v>
      </c>
      <c r="CG433" s="177">
        <v>30</v>
      </c>
      <c r="CH433" s="1019">
        <f t="shared" si="615"/>
        <v>8000.0000000000009</v>
      </c>
      <c r="CI433" s="177">
        <v>30</v>
      </c>
      <c r="CJ433" s="1019">
        <f t="shared" si="660"/>
        <v>8000.0000000000009</v>
      </c>
      <c r="CK433" s="177">
        <f t="shared" si="616"/>
        <v>0</v>
      </c>
      <c r="CL433" s="177">
        <f t="shared" si="617"/>
        <v>0</v>
      </c>
      <c r="CM433" s="1006"/>
      <c r="CN433" s="177">
        <f t="shared" si="618"/>
        <v>0</v>
      </c>
      <c r="CO433" s="1019">
        <f t="shared" si="619"/>
        <v>0</v>
      </c>
      <c r="CP433" s="177"/>
      <c r="CQ433" s="1019">
        <f t="shared" si="620"/>
        <v>0</v>
      </c>
      <c r="CR433" s="1019"/>
      <c r="CS433" s="1019">
        <f t="shared" si="621"/>
        <v>0</v>
      </c>
      <c r="CT433" s="177">
        <f t="shared" si="622"/>
        <v>0</v>
      </c>
      <c r="CU433" s="177">
        <f t="shared" si="623"/>
        <v>0</v>
      </c>
      <c r="CV433" s="1006"/>
      <c r="CW433" s="177">
        <f t="shared" si="632"/>
        <v>8000</v>
      </c>
      <c r="CX433" s="1019">
        <f t="shared" si="633"/>
        <v>8000.0000000000009</v>
      </c>
      <c r="CY433" s="177">
        <f t="shared" si="634"/>
        <v>8000.0000000000009</v>
      </c>
      <c r="CZ433" s="1019">
        <f t="shared" si="635"/>
        <v>0</v>
      </c>
      <c r="DA433" s="177">
        <f t="shared" si="636"/>
        <v>0</v>
      </c>
      <c r="DB433" s="126"/>
      <c r="DC433" s="125"/>
    </row>
    <row r="434" spans="1:107" ht="51" hidden="1" x14ac:dyDescent="0.25">
      <c r="A434" s="19">
        <v>2026</v>
      </c>
      <c r="B434" s="20">
        <v>479</v>
      </c>
      <c r="C434" s="21" t="s">
        <v>64</v>
      </c>
      <c r="D434" s="21" t="s">
        <v>65</v>
      </c>
      <c r="E434" s="20">
        <v>125</v>
      </c>
      <c r="F434" s="20">
        <v>3000654</v>
      </c>
      <c r="G434" s="20">
        <v>5005023</v>
      </c>
      <c r="H434" s="20">
        <v>3</v>
      </c>
      <c r="I434" s="20">
        <v>12</v>
      </c>
      <c r="J434" s="20">
        <v>24</v>
      </c>
      <c r="K434" s="20">
        <v>135560</v>
      </c>
      <c r="L434" s="21" t="s">
        <v>220</v>
      </c>
      <c r="M434" s="33" t="s">
        <v>221</v>
      </c>
      <c r="N434" s="19">
        <v>97</v>
      </c>
      <c r="O434" s="2"/>
      <c r="P434" s="2" t="s">
        <v>4</v>
      </c>
      <c r="Q434" s="20" t="s">
        <v>68</v>
      </c>
      <c r="R434" s="25" t="s">
        <v>69</v>
      </c>
      <c r="S434" s="41" t="s">
        <v>137</v>
      </c>
      <c r="T434" s="41"/>
      <c r="U434" s="31" t="s">
        <v>290</v>
      </c>
      <c r="V434" s="25" t="s">
        <v>3</v>
      </c>
      <c r="W434" s="25">
        <v>1</v>
      </c>
      <c r="X434" s="595">
        <v>8000</v>
      </c>
      <c r="Y434" s="619"/>
      <c r="Z434" s="2"/>
      <c r="AA434" s="2"/>
      <c r="AB434" s="620"/>
      <c r="AC434" s="25">
        <v>0</v>
      </c>
      <c r="AD434" s="25">
        <v>30</v>
      </c>
      <c r="AE434" s="619"/>
      <c r="AF434" s="2"/>
      <c r="AG434" s="2"/>
      <c r="AH434" s="2"/>
      <c r="AI434" s="2"/>
      <c r="AJ434" s="621"/>
      <c r="AK434" s="596">
        <v>8000</v>
      </c>
      <c r="AL434" s="29" t="s">
        <v>73</v>
      </c>
      <c r="AM434" s="29" t="s">
        <v>73</v>
      </c>
      <c r="AN434" s="29" t="s">
        <v>73</v>
      </c>
      <c r="AO434" s="29" t="s">
        <v>73</v>
      </c>
      <c r="AP434" s="648">
        <v>0</v>
      </c>
      <c r="AQ434" s="478">
        <v>8000</v>
      </c>
      <c r="AR434" s="29" t="s">
        <v>73</v>
      </c>
      <c r="AS434" s="29" t="s">
        <v>73</v>
      </c>
      <c r="AT434" s="29" t="s">
        <v>73</v>
      </c>
      <c r="AU434" s="29" t="s">
        <v>73</v>
      </c>
      <c r="AV434" s="29" t="s">
        <v>73</v>
      </c>
      <c r="AW434" s="29" t="s">
        <v>73</v>
      </c>
      <c r="AX434" s="30">
        <v>8000</v>
      </c>
      <c r="AY434" s="479" t="s">
        <v>6</v>
      </c>
      <c r="AZ434" s="2" t="s">
        <v>74</v>
      </c>
      <c r="BA434" s="2"/>
      <c r="BK434" s="125" t="s">
        <v>790</v>
      </c>
      <c r="BL434" s="481" t="s">
        <v>791</v>
      </c>
      <c r="BM434" s="125" t="s">
        <v>1812</v>
      </c>
      <c r="BN434" s="177" t="s">
        <v>1813</v>
      </c>
      <c r="BO434" s="125" t="s">
        <v>1814</v>
      </c>
      <c r="BP434" s="129">
        <v>46156</v>
      </c>
      <c r="BQ434" s="18"/>
      <c r="BR434" s="239">
        <v>5028</v>
      </c>
      <c r="BS434" s="18"/>
      <c r="BT434" s="264"/>
      <c r="BU434" s="18" t="s">
        <v>1815</v>
      </c>
      <c r="BV434" s="125" t="s">
        <v>841</v>
      </c>
      <c r="BW434" s="125" t="s">
        <v>2096</v>
      </c>
      <c r="BX434" s="125" t="s">
        <v>2097</v>
      </c>
      <c r="BY434" s="125">
        <v>70213603</v>
      </c>
      <c r="BZ434" s="125">
        <v>10702136038</v>
      </c>
      <c r="CA434" s="126">
        <v>8000</v>
      </c>
      <c r="CB434" s="289">
        <v>46174</v>
      </c>
      <c r="CC434" s="289">
        <v>46203</v>
      </c>
      <c r="CD434" s="759"/>
      <c r="CE434" s="177">
        <f t="shared" si="613"/>
        <v>0</v>
      </c>
      <c r="CF434" s="1019">
        <f t="shared" si="614"/>
        <v>0</v>
      </c>
      <c r="CG434" s="177"/>
      <c r="CH434" s="1019">
        <f t="shared" si="615"/>
        <v>0</v>
      </c>
      <c r="CI434" s="177"/>
      <c r="CJ434" s="1019">
        <f t="shared" si="660"/>
        <v>0</v>
      </c>
      <c r="CK434" s="177">
        <f t="shared" si="616"/>
        <v>0</v>
      </c>
      <c r="CL434" s="177">
        <f t="shared" si="617"/>
        <v>0</v>
      </c>
      <c r="CM434" s="1006"/>
      <c r="CN434" s="177">
        <f t="shared" si="618"/>
        <v>30</v>
      </c>
      <c r="CO434" s="1019">
        <f t="shared" si="619"/>
        <v>8000</v>
      </c>
      <c r="CP434" s="177">
        <v>30</v>
      </c>
      <c r="CQ434" s="1019">
        <f t="shared" si="620"/>
        <v>8000.0000000000009</v>
      </c>
      <c r="CR434" s="1019">
        <v>30</v>
      </c>
      <c r="CS434" s="1019">
        <f t="shared" si="621"/>
        <v>8000.0000000000009</v>
      </c>
      <c r="CT434" s="177">
        <f t="shared" si="622"/>
        <v>0</v>
      </c>
      <c r="CU434" s="177">
        <f t="shared" si="623"/>
        <v>0</v>
      </c>
      <c r="CV434" s="1006"/>
      <c r="CW434" s="177">
        <f t="shared" si="632"/>
        <v>8000</v>
      </c>
      <c r="CX434" s="1019">
        <f t="shared" si="633"/>
        <v>8000.0000000000009</v>
      </c>
      <c r="CY434" s="177">
        <f t="shared" si="634"/>
        <v>8000.0000000000009</v>
      </c>
      <c r="CZ434" s="1019">
        <f t="shared" si="635"/>
        <v>0</v>
      </c>
      <c r="DA434" s="177">
        <f t="shared" si="636"/>
        <v>0</v>
      </c>
      <c r="DB434" s="126"/>
      <c r="DC434" s="125"/>
    </row>
    <row r="435" spans="1:107" ht="51" hidden="1" x14ac:dyDescent="0.25">
      <c r="A435" s="19">
        <v>2026</v>
      </c>
      <c r="B435" s="20">
        <v>479</v>
      </c>
      <c r="C435" s="21" t="s">
        <v>64</v>
      </c>
      <c r="D435" s="21" t="s">
        <v>65</v>
      </c>
      <c r="E435" s="20">
        <v>125</v>
      </c>
      <c r="F435" s="20">
        <v>3000654</v>
      </c>
      <c r="G435" s="20">
        <v>5005023</v>
      </c>
      <c r="H435" s="20">
        <v>3</v>
      </c>
      <c r="I435" s="20">
        <v>12</v>
      </c>
      <c r="J435" s="20">
        <v>24</v>
      </c>
      <c r="K435" s="20">
        <v>135560</v>
      </c>
      <c r="L435" s="21" t="s">
        <v>98</v>
      </c>
      <c r="M435" s="33" t="s">
        <v>99</v>
      </c>
      <c r="N435" s="19">
        <v>94</v>
      </c>
      <c r="O435" s="2"/>
      <c r="P435" s="2" t="s">
        <v>4</v>
      </c>
      <c r="Q435" s="20" t="s">
        <v>68</v>
      </c>
      <c r="R435" s="25" t="s">
        <v>69</v>
      </c>
      <c r="S435" s="41" t="s">
        <v>137</v>
      </c>
      <c r="T435" s="41"/>
      <c r="U435" s="31" t="s">
        <v>291</v>
      </c>
      <c r="V435" s="25" t="s">
        <v>3</v>
      </c>
      <c r="W435" s="25">
        <v>1</v>
      </c>
      <c r="X435" s="595">
        <v>8000</v>
      </c>
      <c r="Y435" s="619"/>
      <c r="Z435" s="2"/>
      <c r="AA435" s="2"/>
      <c r="AB435" s="620"/>
      <c r="AC435" s="25">
        <v>30</v>
      </c>
      <c r="AD435" s="25">
        <v>0</v>
      </c>
      <c r="AE435" s="619"/>
      <c r="AF435" s="2"/>
      <c r="AG435" s="2"/>
      <c r="AH435" s="2"/>
      <c r="AI435" s="2"/>
      <c r="AJ435" s="621"/>
      <c r="AK435" s="596">
        <v>8000</v>
      </c>
      <c r="AL435" s="29" t="s">
        <v>73</v>
      </c>
      <c r="AM435" s="29" t="s">
        <v>73</v>
      </c>
      <c r="AN435" s="29" t="s">
        <v>73</v>
      </c>
      <c r="AO435" s="29" t="s">
        <v>73</v>
      </c>
      <c r="AP435" s="478">
        <v>8000</v>
      </c>
      <c r="AQ435" s="648">
        <v>0</v>
      </c>
      <c r="AR435" s="29" t="s">
        <v>73</v>
      </c>
      <c r="AS435" s="29" t="s">
        <v>73</v>
      </c>
      <c r="AT435" s="29" t="s">
        <v>73</v>
      </c>
      <c r="AU435" s="29" t="s">
        <v>73</v>
      </c>
      <c r="AV435" s="29" t="s">
        <v>73</v>
      </c>
      <c r="AW435" s="29" t="s">
        <v>73</v>
      </c>
      <c r="AX435" s="30">
        <v>8000</v>
      </c>
      <c r="AY435" s="165" t="s">
        <v>6</v>
      </c>
      <c r="AZ435" s="2" t="s">
        <v>74</v>
      </c>
      <c r="BA435" s="2"/>
      <c r="BK435" s="147" t="s">
        <v>790</v>
      </c>
      <c r="BL435" s="481" t="s">
        <v>791</v>
      </c>
      <c r="BM435" s="125" t="s">
        <v>2057</v>
      </c>
      <c r="BN435" s="655" t="s">
        <v>2058</v>
      </c>
      <c r="BO435" s="284" t="s">
        <v>1808</v>
      </c>
      <c r="BP435" s="129">
        <v>46134</v>
      </c>
      <c r="BQ435" s="18"/>
      <c r="BR435" s="505" t="s">
        <v>2098</v>
      </c>
      <c r="BS435" s="18"/>
      <c r="BT435" s="264" t="s">
        <v>2002</v>
      </c>
      <c r="BU435" s="18"/>
      <c r="BV435" s="125" t="s">
        <v>2099</v>
      </c>
      <c r="BW435" s="125" t="s">
        <v>2100</v>
      </c>
      <c r="BX435" s="125" t="s">
        <v>2101</v>
      </c>
      <c r="BY435" s="125">
        <v>46485570</v>
      </c>
      <c r="BZ435" s="125">
        <v>10464855705</v>
      </c>
      <c r="CA435" s="126">
        <v>8000</v>
      </c>
      <c r="CB435" s="289">
        <v>46143</v>
      </c>
      <c r="CC435" s="289">
        <v>46173</v>
      </c>
      <c r="CD435" s="759"/>
      <c r="CE435" s="177">
        <f t="shared" si="613"/>
        <v>30</v>
      </c>
      <c r="CF435" s="1019">
        <f t="shared" si="614"/>
        <v>8000</v>
      </c>
      <c r="CG435" s="177">
        <v>30</v>
      </c>
      <c r="CH435" s="1019">
        <f t="shared" si="615"/>
        <v>8000.0000000000009</v>
      </c>
      <c r="CI435" s="177">
        <v>30</v>
      </c>
      <c r="CJ435" s="1019">
        <f t="shared" si="660"/>
        <v>8000.0000000000009</v>
      </c>
      <c r="CK435" s="177">
        <f t="shared" si="616"/>
        <v>0</v>
      </c>
      <c r="CL435" s="177">
        <f t="shared" si="617"/>
        <v>0</v>
      </c>
      <c r="CM435" s="1006"/>
      <c r="CN435" s="177">
        <f t="shared" si="618"/>
        <v>0</v>
      </c>
      <c r="CO435" s="1019">
        <f t="shared" si="619"/>
        <v>0</v>
      </c>
      <c r="CP435" s="177"/>
      <c r="CQ435" s="1019">
        <f t="shared" si="620"/>
        <v>0</v>
      </c>
      <c r="CR435" s="1019"/>
      <c r="CS435" s="1019">
        <f t="shared" si="621"/>
        <v>0</v>
      </c>
      <c r="CT435" s="177">
        <f t="shared" si="622"/>
        <v>0</v>
      </c>
      <c r="CU435" s="177">
        <f t="shared" si="623"/>
        <v>0</v>
      </c>
      <c r="CV435" s="1006"/>
      <c r="CW435" s="177">
        <f t="shared" si="632"/>
        <v>8000</v>
      </c>
      <c r="CX435" s="1019">
        <f t="shared" si="633"/>
        <v>8000.0000000000009</v>
      </c>
      <c r="CY435" s="177">
        <f t="shared" si="634"/>
        <v>8000.0000000000009</v>
      </c>
      <c r="CZ435" s="1019">
        <f t="shared" si="635"/>
        <v>0</v>
      </c>
      <c r="DA435" s="177">
        <f t="shared" si="636"/>
        <v>0</v>
      </c>
      <c r="DB435" s="126"/>
      <c r="DC435" s="125"/>
    </row>
    <row r="436" spans="1:107" ht="51" hidden="1" x14ac:dyDescent="0.25">
      <c r="A436" s="19">
        <v>2026</v>
      </c>
      <c r="B436" s="20">
        <v>479</v>
      </c>
      <c r="C436" s="21" t="s">
        <v>64</v>
      </c>
      <c r="D436" s="21" t="s">
        <v>65</v>
      </c>
      <c r="E436" s="20">
        <v>125</v>
      </c>
      <c r="F436" s="20">
        <v>3000654</v>
      </c>
      <c r="G436" s="20">
        <v>5005023</v>
      </c>
      <c r="H436" s="20">
        <v>3</v>
      </c>
      <c r="I436" s="20">
        <v>12</v>
      </c>
      <c r="J436" s="20">
        <v>24</v>
      </c>
      <c r="K436" s="20">
        <v>135560</v>
      </c>
      <c r="L436" s="21" t="s">
        <v>220</v>
      </c>
      <c r="M436" s="33" t="s">
        <v>221</v>
      </c>
      <c r="N436" s="19">
        <v>97</v>
      </c>
      <c r="O436" s="2"/>
      <c r="P436" s="2" t="s">
        <v>4</v>
      </c>
      <c r="Q436" s="20" t="s">
        <v>68</v>
      </c>
      <c r="R436" s="25" t="s">
        <v>69</v>
      </c>
      <c r="S436" s="41" t="s">
        <v>137</v>
      </c>
      <c r="T436" s="41"/>
      <c r="U436" s="31" t="s">
        <v>291</v>
      </c>
      <c r="V436" s="25" t="s">
        <v>3</v>
      </c>
      <c r="W436" s="25">
        <v>1</v>
      </c>
      <c r="X436" s="595">
        <v>8000</v>
      </c>
      <c r="Y436" s="619"/>
      <c r="Z436" s="2"/>
      <c r="AA436" s="2"/>
      <c r="AB436" s="620"/>
      <c r="AC436" s="25">
        <v>0</v>
      </c>
      <c r="AD436" s="25">
        <v>30</v>
      </c>
      <c r="AE436" s="619"/>
      <c r="AF436" s="2"/>
      <c r="AG436" s="2"/>
      <c r="AH436" s="2"/>
      <c r="AI436" s="2"/>
      <c r="AJ436" s="621"/>
      <c r="AK436" s="596">
        <v>8000</v>
      </c>
      <c r="AL436" s="29" t="s">
        <v>73</v>
      </c>
      <c r="AM436" s="29" t="s">
        <v>73</v>
      </c>
      <c r="AN436" s="29" t="s">
        <v>73</v>
      </c>
      <c r="AO436" s="29" t="s">
        <v>73</v>
      </c>
      <c r="AP436" s="648">
        <v>0</v>
      </c>
      <c r="AQ436" s="478">
        <v>8000</v>
      </c>
      <c r="AR436" s="29" t="s">
        <v>73</v>
      </c>
      <c r="AS436" s="29" t="s">
        <v>73</v>
      </c>
      <c r="AT436" s="29" t="s">
        <v>73</v>
      </c>
      <c r="AU436" s="29" t="s">
        <v>73</v>
      </c>
      <c r="AV436" s="29" t="s">
        <v>73</v>
      </c>
      <c r="AW436" s="29" t="s">
        <v>73</v>
      </c>
      <c r="AX436" s="30">
        <v>8000</v>
      </c>
      <c r="AY436" s="479" t="s">
        <v>6</v>
      </c>
      <c r="AZ436" s="2" t="s">
        <v>74</v>
      </c>
      <c r="BA436" s="2"/>
      <c r="BK436" s="125" t="s">
        <v>790</v>
      </c>
      <c r="BL436" s="481" t="s">
        <v>791</v>
      </c>
      <c r="BM436" s="125" t="s">
        <v>1812</v>
      </c>
      <c r="BN436" s="177" t="s">
        <v>1813</v>
      </c>
      <c r="BO436" s="125" t="s">
        <v>1814</v>
      </c>
      <c r="BP436" s="129">
        <v>46156</v>
      </c>
      <c r="BQ436" s="18"/>
      <c r="BR436" s="239">
        <v>5029</v>
      </c>
      <c r="BS436" s="18"/>
      <c r="BT436" s="264"/>
      <c r="BU436" s="18" t="s">
        <v>1815</v>
      </c>
      <c r="BV436" s="125" t="s">
        <v>2099</v>
      </c>
      <c r="BW436" s="125" t="s">
        <v>2100</v>
      </c>
      <c r="BX436" s="125" t="s">
        <v>2101</v>
      </c>
      <c r="BY436" s="125">
        <v>46485570</v>
      </c>
      <c r="BZ436" s="125">
        <v>10464855705</v>
      </c>
      <c r="CA436" s="126">
        <v>8000</v>
      </c>
      <c r="CB436" s="289">
        <v>46174</v>
      </c>
      <c r="CC436" s="289">
        <v>46203</v>
      </c>
      <c r="CD436" s="759"/>
      <c r="CE436" s="177">
        <f t="shared" si="613"/>
        <v>0</v>
      </c>
      <c r="CF436" s="1019">
        <f t="shared" si="614"/>
        <v>0</v>
      </c>
      <c r="CG436" s="177"/>
      <c r="CH436" s="1019">
        <f t="shared" si="615"/>
        <v>0</v>
      </c>
      <c r="CI436" s="177"/>
      <c r="CJ436" s="1019">
        <f t="shared" si="660"/>
        <v>0</v>
      </c>
      <c r="CK436" s="177">
        <f t="shared" si="616"/>
        <v>0</v>
      </c>
      <c r="CL436" s="177">
        <f t="shared" si="617"/>
        <v>0</v>
      </c>
      <c r="CM436" s="1006"/>
      <c r="CN436" s="177">
        <f t="shared" si="618"/>
        <v>30</v>
      </c>
      <c r="CO436" s="1019">
        <f t="shared" si="619"/>
        <v>8000</v>
      </c>
      <c r="CP436" s="177">
        <v>30</v>
      </c>
      <c r="CQ436" s="1019">
        <f t="shared" si="620"/>
        <v>8000.0000000000009</v>
      </c>
      <c r="CR436" s="1019">
        <v>30</v>
      </c>
      <c r="CS436" s="1019">
        <f t="shared" si="621"/>
        <v>8000.0000000000009</v>
      </c>
      <c r="CT436" s="177">
        <f t="shared" si="622"/>
        <v>0</v>
      </c>
      <c r="CU436" s="177">
        <f t="shared" si="623"/>
        <v>0</v>
      </c>
      <c r="CV436" s="1006"/>
      <c r="CW436" s="177">
        <f t="shared" si="632"/>
        <v>8000</v>
      </c>
      <c r="CX436" s="1019">
        <f t="shared" si="633"/>
        <v>8000.0000000000009</v>
      </c>
      <c r="CY436" s="177">
        <f t="shared" si="634"/>
        <v>8000.0000000000009</v>
      </c>
      <c r="CZ436" s="1019">
        <f t="shared" si="635"/>
        <v>0</v>
      </c>
      <c r="DA436" s="177">
        <f t="shared" si="636"/>
        <v>0</v>
      </c>
      <c r="DB436" s="126"/>
      <c r="DC436" s="125"/>
    </row>
    <row r="437" spans="1:107" ht="51" hidden="1" x14ac:dyDescent="0.25">
      <c r="A437" s="19">
        <v>2026</v>
      </c>
      <c r="B437" s="20">
        <v>479</v>
      </c>
      <c r="C437" s="21" t="s">
        <v>64</v>
      </c>
      <c r="D437" s="21" t="s">
        <v>65</v>
      </c>
      <c r="E437" s="20">
        <v>125</v>
      </c>
      <c r="F437" s="20">
        <v>3000654</v>
      </c>
      <c r="G437" s="20">
        <v>5005023</v>
      </c>
      <c r="H437" s="20">
        <v>3</v>
      </c>
      <c r="I437" s="20">
        <v>12</v>
      </c>
      <c r="J437" s="20">
        <v>24</v>
      </c>
      <c r="K437" s="20">
        <v>135560</v>
      </c>
      <c r="L437" s="21" t="s">
        <v>98</v>
      </c>
      <c r="M437" s="33" t="s">
        <v>99</v>
      </c>
      <c r="N437" s="19">
        <v>94</v>
      </c>
      <c r="O437" s="2"/>
      <c r="P437" s="2" t="s">
        <v>4</v>
      </c>
      <c r="Q437" s="20" t="s">
        <v>68</v>
      </c>
      <c r="R437" s="25" t="s">
        <v>69</v>
      </c>
      <c r="S437" s="41" t="s">
        <v>137</v>
      </c>
      <c r="T437" s="41"/>
      <c r="U437" s="31" t="s">
        <v>292</v>
      </c>
      <c r="V437" s="25" t="s">
        <v>3</v>
      </c>
      <c r="W437" s="25">
        <v>1</v>
      </c>
      <c r="X437" s="595">
        <v>8000</v>
      </c>
      <c r="Y437" s="619"/>
      <c r="Z437" s="2"/>
      <c r="AA437" s="2"/>
      <c r="AB437" s="620"/>
      <c r="AC437" s="25">
        <v>30</v>
      </c>
      <c r="AD437" s="25">
        <v>0</v>
      </c>
      <c r="AE437" s="619"/>
      <c r="AF437" s="2"/>
      <c r="AG437" s="2"/>
      <c r="AH437" s="2"/>
      <c r="AI437" s="2"/>
      <c r="AJ437" s="621"/>
      <c r="AK437" s="596">
        <v>8000</v>
      </c>
      <c r="AL437" s="29" t="s">
        <v>73</v>
      </c>
      <c r="AM437" s="29" t="s">
        <v>73</v>
      </c>
      <c r="AN437" s="29" t="s">
        <v>73</v>
      </c>
      <c r="AO437" s="29" t="s">
        <v>73</v>
      </c>
      <c r="AP437" s="478">
        <v>8000</v>
      </c>
      <c r="AQ437" s="648">
        <v>0</v>
      </c>
      <c r="AR437" s="29" t="s">
        <v>73</v>
      </c>
      <c r="AS437" s="29" t="s">
        <v>73</v>
      </c>
      <c r="AT437" s="29" t="s">
        <v>73</v>
      </c>
      <c r="AU437" s="29" t="s">
        <v>73</v>
      </c>
      <c r="AV437" s="29" t="s">
        <v>73</v>
      </c>
      <c r="AW437" s="29" t="s">
        <v>73</v>
      </c>
      <c r="AX437" s="30">
        <v>8000</v>
      </c>
      <c r="AY437" s="165" t="s">
        <v>6</v>
      </c>
      <c r="AZ437" s="2" t="s">
        <v>74</v>
      </c>
      <c r="BA437" s="2"/>
      <c r="BK437" s="147" t="s">
        <v>790</v>
      </c>
      <c r="BL437" s="481" t="s">
        <v>791</v>
      </c>
      <c r="BM437" s="125" t="s">
        <v>2057</v>
      </c>
      <c r="BN437" s="655" t="s">
        <v>2058</v>
      </c>
      <c r="BO437" s="284" t="s">
        <v>1808</v>
      </c>
      <c r="BP437" s="129">
        <v>46134</v>
      </c>
      <c r="BQ437" s="18"/>
      <c r="BR437" s="505" t="s">
        <v>2102</v>
      </c>
      <c r="BS437" s="18"/>
      <c r="BT437" s="264" t="s">
        <v>2002</v>
      </c>
      <c r="BU437" s="18"/>
      <c r="BV437" s="125" t="s">
        <v>894</v>
      </c>
      <c r="BW437" s="125" t="s">
        <v>996</v>
      </c>
      <c r="BX437" s="125" t="s">
        <v>2103</v>
      </c>
      <c r="BY437" s="125">
        <v>45592486</v>
      </c>
      <c r="BZ437" s="125">
        <v>10455924869</v>
      </c>
      <c r="CA437" s="126">
        <v>8000</v>
      </c>
      <c r="CB437" s="289">
        <v>46143</v>
      </c>
      <c r="CC437" s="289">
        <v>46173</v>
      </c>
      <c r="CD437" s="759"/>
      <c r="CE437" s="177">
        <f t="shared" si="613"/>
        <v>30</v>
      </c>
      <c r="CF437" s="1019">
        <f t="shared" si="614"/>
        <v>8000</v>
      </c>
      <c r="CG437" s="177">
        <v>30</v>
      </c>
      <c r="CH437" s="1019">
        <f t="shared" si="615"/>
        <v>8000.0000000000009</v>
      </c>
      <c r="CI437" s="177">
        <v>30</v>
      </c>
      <c r="CJ437" s="1019">
        <f t="shared" si="660"/>
        <v>8000.0000000000009</v>
      </c>
      <c r="CK437" s="177">
        <f t="shared" si="616"/>
        <v>0</v>
      </c>
      <c r="CL437" s="177">
        <f t="shared" si="617"/>
        <v>0</v>
      </c>
      <c r="CM437" s="1006"/>
      <c r="CN437" s="177">
        <f t="shared" si="618"/>
        <v>0</v>
      </c>
      <c r="CO437" s="1019">
        <f t="shared" si="619"/>
        <v>0</v>
      </c>
      <c r="CP437" s="177"/>
      <c r="CQ437" s="1019">
        <f t="shared" si="620"/>
        <v>0</v>
      </c>
      <c r="CR437" s="1019"/>
      <c r="CS437" s="1019">
        <f t="shared" si="621"/>
        <v>0</v>
      </c>
      <c r="CT437" s="177">
        <f t="shared" si="622"/>
        <v>0</v>
      </c>
      <c r="CU437" s="177">
        <f t="shared" si="623"/>
        <v>0</v>
      </c>
      <c r="CV437" s="1006"/>
      <c r="CW437" s="177">
        <f t="shared" si="632"/>
        <v>8000</v>
      </c>
      <c r="CX437" s="1019">
        <f t="shared" si="633"/>
        <v>8000.0000000000009</v>
      </c>
      <c r="CY437" s="177">
        <f t="shared" si="634"/>
        <v>8000.0000000000009</v>
      </c>
      <c r="CZ437" s="1019">
        <f t="shared" si="635"/>
        <v>0</v>
      </c>
      <c r="DA437" s="177">
        <f t="shared" si="636"/>
        <v>0</v>
      </c>
      <c r="DB437" s="126"/>
      <c r="DC437" s="125"/>
    </row>
    <row r="438" spans="1:107" ht="51" hidden="1" x14ac:dyDescent="0.25">
      <c r="A438" s="19">
        <v>2026</v>
      </c>
      <c r="B438" s="20">
        <v>479</v>
      </c>
      <c r="C438" s="21" t="s">
        <v>64</v>
      </c>
      <c r="D438" s="21" t="s">
        <v>65</v>
      </c>
      <c r="E438" s="20">
        <v>125</v>
      </c>
      <c r="F438" s="20">
        <v>3000654</v>
      </c>
      <c r="G438" s="20">
        <v>5005023</v>
      </c>
      <c r="H438" s="20">
        <v>3</v>
      </c>
      <c r="I438" s="20">
        <v>12</v>
      </c>
      <c r="J438" s="20">
        <v>24</v>
      </c>
      <c r="K438" s="20">
        <v>135560</v>
      </c>
      <c r="L438" s="21" t="s">
        <v>220</v>
      </c>
      <c r="M438" s="33" t="s">
        <v>221</v>
      </c>
      <c r="N438" s="19">
        <v>97</v>
      </c>
      <c r="O438" s="2"/>
      <c r="P438" s="2" t="s">
        <v>4</v>
      </c>
      <c r="Q438" s="20" t="s">
        <v>68</v>
      </c>
      <c r="R438" s="25" t="s">
        <v>69</v>
      </c>
      <c r="S438" s="41" t="s">
        <v>137</v>
      </c>
      <c r="T438" s="41"/>
      <c r="U438" s="31" t="s">
        <v>292</v>
      </c>
      <c r="V438" s="25" t="s">
        <v>3</v>
      </c>
      <c r="W438" s="25">
        <v>1</v>
      </c>
      <c r="X438" s="595">
        <v>8000</v>
      </c>
      <c r="Y438" s="619"/>
      <c r="Z438" s="2"/>
      <c r="AA438" s="2"/>
      <c r="AB438" s="620"/>
      <c r="AC438" s="25">
        <v>0</v>
      </c>
      <c r="AD438" s="25">
        <v>30</v>
      </c>
      <c r="AE438" s="619"/>
      <c r="AF438" s="2"/>
      <c r="AG438" s="2"/>
      <c r="AH438" s="2"/>
      <c r="AI438" s="2"/>
      <c r="AJ438" s="621"/>
      <c r="AK438" s="596">
        <v>8000</v>
      </c>
      <c r="AL438" s="29" t="s">
        <v>73</v>
      </c>
      <c r="AM438" s="29" t="s">
        <v>73</v>
      </c>
      <c r="AN438" s="29" t="s">
        <v>73</v>
      </c>
      <c r="AO438" s="29" t="s">
        <v>73</v>
      </c>
      <c r="AP438" s="648">
        <v>0</v>
      </c>
      <c r="AQ438" s="478">
        <v>8000</v>
      </c>
      <c r="AR438" s="29" t="s">
        <v>73</v>
      </c>
      <c r="AS438" s="29" t="s">
        <v>73</v>
      </c>
      <c r="AT438" s="29" t="s">
        <v>73</v>
      </c>
      <c r="AU438" s="29" t="s">
        <v>73</v>
      </c>
      <c r="AV438" s="29" t="s">
        <v>73</v>
      </c>
      <c r="AW438" s="29" t="s">
        <v>73</v>
      </c>
      <c r="AX438" s="30">
        <v>8000</v>
      </c>
      <c r="AY438" s="479" t="s">
        <v>6</v>
      </c>
      <c r="AZ438" s="2" t="s">
        <v>74</v>
      </c>
      <c r="BA438" s="2"/>
      <c r="BK438" s="125" t="s">
        <v>790</v>
      </c>
      <c r="BL438" s="481" t="s">
        <v>791</v>
      </c>
      <c r="BM438" s="125" t="s">
        <v>1812</v>
      </c>
      <c r="BN438" s="177" t="s">
        <v>1813</v>
      </c>
      <c r="BO438" s="125" t="s">
        <v>1814</v>
      </c>
      <c r="BP438" s="129">
        <v>46156</v>
      </c>
      <c r="BQ438" s="18"/>
      <c r="BR438" s="239">
        <v>5030</v>
      </c>
      <c r="BS438" s="18"/>
      <c r="BT438" s="264"/>
      <c r="BU438" s="18" t="s">
        <v>1815</v>
      </c>
      <c r="BV438" s="125" t="s">
        <v>894</v>
      </c>
      <c r="BW438" s="125" t="s">
        <v>996</v>
      </c>
      <c r="BX438" s="125" t="s">
        <v>2103</v>
      </c>
      <c r="BY438" s="125">
        <v>45592486</v>
      </c>
      <c r="BZ438" s="125">
        <v>10455924869</v>
      </c>
      <c r="CA438" s="126">
        <v>8000</v>
      </c>
      <c r="CB438" s="289">
        <v>46174</v>
      </c>
      <c r="CC438" s="289">
        <v>46203</v>
      </c>
      <c r="CD438" s="759"/>
      <c r="CE438" s="177">
        <f t="shared" si="613"/>
        <v>0</v>
      </c>
      <c r="CF438" s="1019">
        <f t="shared" si="614"/>
        <v>0</v>
      </c>
      <c r="CG438" s="177"/>
      <c r="CH438" s="1019">
        <f t="shared" si="615"/>
        <v>0</v>
      </c>
      <c r="CI438" s="177"/>
      <c r="CJ438" s="1019">
        <f t="shared" si="660"/>
        <v>0</v>
      </c>
      <c r="CK438" s="177">
        <f t="shared" si="616"/>
        <v>0</v>
      </c>
      <c r="CL438" s="177">
        <f t="shared" si="617"/>
        <v>0</v>
      </c>
      <c r="CM438" s="1006"/>
      <c r="CN438" s="177">
        <f t="shared" si="618"/>
        <v>30</v>
      </c>
      <c r="CO438" s="1019">
        <f t="shared" si="619"/>
        <v>8000</v>
      </c>
      <c r="CP438" s="177">
        <v>30</v>
      </c>
      <c r="CQ438" s="1019">
        <f t="shared" si="620"/>
        <v>8000.0000000000009</v>
      </c>
      <c r="CR438" s="1019">
        <v>30</v>
      </c>
      <c r="CS438" s="1019">
        <f t="shared" si="621"/>
        <v>8000.0000000000009</v>
      </c>
      <c r="CT438" s="177">
        <f t="shared" si="622"/>
        <v>0</v>
      </c>
      <c r="CU438" s="177">
        <f t="shared" si="623"/>
        <v>0</v>
      </c>
      <c r="CV438" s="1006"/>
      <c r="CW438" s="177">
        <f t="shared" si="632"/>
        <v>8000</v>
      </c>
      <c r="CX438" s="1019">
        <f t="shared" si="633"/>
        <v>8000.0000000000009</v>
      </c>
      <c r="CY438" s="177">
        <f t="shared" si="634"/>
        <v>8000.0000000000009</v>
      </c>
      <c r="CZ438" s="1019">
        <f t="shared" si="635"/>
        <v>0</v>
      </c>
      <c r="DA438" s="177">
        <f t="shared" si="636"/>
        <v>0</v>
      </c>
      <c r="DB438" s="126"/>
      <c r="DC438" s="125"/>
    </row>
    <row r="439" spans="1:107" ht="51" hidden="1" x14ac:dyDescent="0.25">
      <c r="A439" s="19">
        <v>2026</v>
      </c>
      <c r="B439" s="20">
        <v>479</v>
      </c>
      <c r="C439" s="21" t="s">
        <v>64</v>
      </c>
      <c r="D439" s="21" t="s">
        <v>65</v>
      </c>
      <c r="E439" s="20">
        <v>125</v>
      </c>
      <c r="F439" s="20">
        <v>3000654</v>
      </c>
      <c r="G439" s="20">
        <v>5005023</v>
      </c>
      <c r="H439" s="20">
        <v>3</v>
      </c>
      <c r="I439" s="20">
        <v>12</v>
      </c>
      <c r="J439" s="20">
        <v>24</v>
      </c>
      <c r="K439" s="20">
        <v>135560</v>
      </c>
      <c r="L439" s="21" t="s">
        <v>98</v>
      </c>
      <c r="M439" s="33" t="s">
        <v>99</v>
      </c>
      <c r="N439" s="19">
        <v>94</v>
      </c>
      <c r="O439" s="2"/>
      <c r="P439" s="2" t="s">
        <v>4</v>
      </c>
      <c r="Q439" s="20" t="s">
        <v>68</v>
      </c>
      <c r="R439" s="25" t="s">
        <v>69</v>
      </c>
      <c r="S439" s="41" t="s">
        <v>137</v>
      </c>
      <c r="T439" s="41"/>
      <c r="U439" s="31" t="s">
        <v>293</v>
      </c>
      <c r="V439" s="25" t="s">
        <v>3</v>
      </c>
      <c r="W439" s="25">
        <v>1</v>
      </c>
      <c r="X439" s="595">
        <v>8000</v>
      </c>
      <c r="Y439" s="619"/>
      <c r="Z439" s="2"/>
      <c r="AA439" s="2"/>
      <c r="AB439" s="620"/>
      <c r="AC439" s="25">
        <v>30</v>
      </c>
      <c r="AD439" s="25">
        <v>0</v>
      </c>
      <c r="AE439" s="619"/>
      <c r="AF439" s="2"/>
      <c r="AG439" s="2"/>
      <c r="AH439" s="2"/>
      <c r="AI439" s="2"/>
      <c r="AJ439" s="621"/>
      <c r="AK439" s="596">
        <v>8000</v>
      </c>
      <c r="AL439" s="29" t="s">
        <v>73</v>
      </c>
      <c r="AM439" s="29" t="s">
        <v>73</v>
      </c>
      <c r="AN439" s="29" t="s">
        <v>73</v>
      </c>
      <c r="AO439" s="29" t="s">
        <v>73</v>
      </c>
      <c r="AP439" s="478">
        <v>8000</v>
      </c>
      <c r="AQ439" s="648">
        <v>0</v>
      </c>
      <c r="AR439" s="29" t="s">
        <v>73</v>
      </c>
      <c r="AS439" s="29" t="s">
        <v>73</v>
      </c>
      <c r="AT439" s="29" t="s">
        <v>73</v>
      </c>
      <c r="AU439" s="29" t="s">
        <v>73</v>
      </c>
      <c r="AV439" s="29" t="s">
        <v>73</v>
      </c>
      <c r="AW439" s="29" t="s">
        <v>73</v>
      </c>
      <c r="AX439" s="30">
        <v>8000</v>
      </c>
      <c r="AY439" s="165" t="s">
        <v>6</v>
      </c>
      <c r="AZ439" s="2" t="s">
        <v>74</v>
      </c>
      <c r="BA439" s="2"/>
      <c r="BK439" s="147" t="s">
        <v>790</v>
      </c>
      <c r="BL439" s="481" t="s">
        <v>791</v>
      </c>
      <c r="BM439" s="125" t="s">
        <v>2057</v>
      </c>
      <c r="BN439" s="655" t="s">
        <v>2058</v>
      </c>
      <c r="BO439" s="284" t="s">
        <v>1808</v>
      </c>
      <c r="BP439" s="129">
        <v>46134</v>
      </c>
      <c r="BQ439" s="18"/>
      <c r="BR439" s="505" t="s">
        <v>2104</v>
      </c>
      <c r="BS439" s="18"/>
      <c r="BT439" s="264" t="s">
        <v>1809</v>
      </c>
      <c r="BU439" s="18"/>
      <c r="BV439" s="125" t="s">
        <v>2105</v>
      </c>
      <c r="BW439" s="125" t="s">
        <v>993</v>
      </c>
      <c r="BX439" s="125" t="s">
        <v>2106</v>
      </c>
      <c r="BY439" s="125">
        <v>72222464</v>
      </c>
      <c r="BZ439" s="125">
        <v>10722224642</v>
      </c>
      <c r="CA439" s="126">
        <v>8000</v>
      </c>
      <c r="CB439" s="289">
        <v>46143</v>
      </c>
      <c r="CC439" s="289">
        <v>46158</v>
      </c>
      <c r="CD439" s="759"/>
      <c r="CE439" s="177">
        <f t="shared" si="613"/>
        <v>30</v>
      </c>
      <c r="CF439" s="1019">
        <f t="shared" si="614"/>
        <v>8000</v>
      </c>
      <c r="CG439" s="177">
        <v>30</v>
      </c>
      <c r="CH439" s="1019">
        <f t="shared" si="615"/>
        <v>8000.0000000000009</v>
      </c>
      <c r="CI439" s="177">
        <v>30</v>
      </c>
      <c r="CJ439" s="1019">
        <f t="shared" si="660"/>
        <v>8000.0000000000009</v>
      </c>
      <c r="CK439" s="177">
        <f t="shared" si="616"/>
        <v>0</v>
      </c>
      <c r="CL439" s="177">
        <f t="shared" si="617"/>
        <v>0</v>
      </c>
      <c r="CM439" s="1006"/>
      <c r="CN439" s="177">
        <f t="shared" si="618"/>
        <v>0</v>
      </c>
      <c r="CO439" s="1019">
        <f t="shared" si="619"/>
        <v>0</v>
      </c>
      <c r="CP439" s="177"/>
      <c r="CQ439" s="1019">
        <f t="shared" si="620"/>
        <v>0</v>
      </c>
      <c r="CR439" s="1019"/>
      <c r="CS439" s="1019">
        <f t="shared" si="621"/>
        <v>0</v>
      </c>
      <c r="CT439" s="177">
        <f t="shared" si="622"/>
        <v>0</v>
      </c>
      <c r="CU439" s="177">
        <f t="shared" si="623"/>
        <v>0</v>
      </c>
      <c r="CV439" s="1006"/>
      <c r="CW439" s="177">
        <f t="shared" si="632"/>
        <v>8000</v>
      </c>
      <c r="CX439" s="1019">
        <f t="shared" si="633"/>
        <v>8000.0000000000009</v>
      </c>
      <c r="CY439" s="177">
        <f t="shared" si="634"/>
        <v>8000.0000000000009</v>
      </c>
      <c r="CZ439" s="1019">
        <f t="shared" si="635"/>
        <v>0</v>
      </c>
      <c r="DA439" s="177">
        <f t="shared" si="636"/>
        <v>0</v>
      </c>
      <c r="DB439" s="126"/>
      <c r="DC439" s="125"/>
    </row>
    <row r="440" spans="1:107" ht="51" hidden="1" x14ac:dyDescent="0.25">
      <c r="A440" s="19">
        <v>2026</v>
      </c>
      <c r="B440" s="20">
        <v>479</v>
      </c>
      <c r="C440" s="21" t="s">
        <v>64</v>
      </c>
      <c r="D440" s="21" t="s">
        <v>65</v>
      </c>
      <c r="E440" s="20">
        <v>125</v>
      </c>
      <c r="F440" s="20">
        <v>3000654</v>
      </c>
      <c r="G440" s="20">
        <v>5005023</v>
      </c>
      <c r="H440" s="20">
        <v>3</v>
      </c>
      <c r="I440" s="20">
        <v>12</v>
      </c>
      <c r="J440" s="20">
        <v>24</v>
      </c>
      <c r="K440" s="20">
        <v>135560</v>
      </c>
      <c r="L440" s="21" t="s">
        <v>220</v>
      </c>
      <c r="M440" s="33" t="s">
        <v>221</v>
      </c>
      <c r="N440" s="19">
        <v>97</v>
      </c>
      <c r="O440" s="2"/>
      <c r="P440" s="2" t="s">
        <v>4</v>
      </c>
      <c r="Q440" s="20" t="s">
        <v>68</v>
      </c>
      <c r="R440" s="25" t="s">
        <v>69</v>
      </c>
      <c r="S440" s="41" t="s">
        <v>137</v>
      </c>
      <c r="T440" s="41"/>
      <c r="U440" s="31" t="s">
        <v>293</v>
      </c>
      <c r="V440" s="25" t="s">
        <v>3</v>
      </c>
      <c r="W440" s="25">
        <v>1</v>
      </c>
      <c r="X440" s="595">
        <v>8000</v>
      </c>
      <c r="Y440" s="619"/>
      <c r="Z440" s="2"/>
      <c r="AA440" s="2"/>
      <c r="AB440" s="620"/>
      <c r="AC440" s="25">
        <v>0</v>
      </c>
      <c r="AD440" s="25">
        <v>30</v>
      </c>
      <c r="AE440" s="619"/>
      <c r="AF440" s="2"/>
      <c r="AG440" s="2"/>
      <c r="AH440" s="2"/>
      <c r="AI440" s="2"/>
      <c r="AJ440" s="621"/>
      <c r="AK440" s="596">
        <v>8000</v>
      </c>
      <c r="AL440" s="29" t="s">
        <v>73</v>
      </c>
      <c r="AM440" s="29" t="s">
        <v>73</v>
      </c>
      <c r="AN440" s="29" t="s">
        <v>73</v>
      </c>
      <c r="AO440" s="29" t="s">
        <v>73</v>
      </c>
      <c r="AP440" s="648">
        <v>0</v>
      </c>
      <c r="AQ440" s="478">
        <v>8000</v>
      </c>
      <c r="AR440" s="29" t="s">
        <v>73</v>
      </c>
      <c r="AS440" s="29" t="s">
        <v>73</v>
      </c>
      <c r="AT440" s="29" t="s">
        <v>73</v>
      </c>
      <c r="AU440" s="29" t="s">
        <v>73</v>
      </c>
      <c r="AV440" s="29" t="s">
        <v>73</v>
      </c>
      <c r="AW440" s="29" t="s">
        <v>73</v>
      </c>
      <c r="AX440" s="30">
        <v>8000</v>
      </c>
      <c r="AY440" s="479" t="s">
        <v>6</v>
      </c>
      <c r="AZ440" s="2" t="s">
        <v>74</v>
      </c>
      <c r="BA440" s="2"/>
      <c r="BK440" s="125" t="s">
        <v>790</v>
      </c>
      <c r="BL440" s="481" t="s">
        <v>791</v>
      </c>
      <c r="BM440" s="125" t="s">
        <v>1812</v>
      </c>
      <c r="BN440" s="177" t="s">
        <v>1813</v>
      </c>
      <c r="BO440" s="125" t="s">
        <v>1814</v>
      </c>
      <c r="BP440" s="129">
        <v>46156</v>
      </c>
      <c r="BQ440" s="18"/>
      <c r="BR440" s="952">
        <v>5031</v>
      </c>
      <c r="BS440" s="18"/>
      <c r="BT440" s="264"/>
      <c r="BU440" s="18" t="s">
        <v>1815</v>
      </c>
      <c r="BV440" s="125" t="s">
        <v>2105</v>
      </c>
      <c r="BW440" s="125" t="s">
        <v>993</v>
      </c>
      <c r="BX440" s="125" t="s">
        <v>2106</v>
      </c>
      <c r="BY440" s="125">
        <v>72222464</v>
      </c>
      <c r="BZ440" s="125">
        <v>10722224642</v>
      </c>
      <c r="CA440" s="126">
        <v>8000</v>
      </c>
      <c r="CB440" s="289">
        <v>46174</v>
      </c>
      <c r="CC440" s="289">
        <v>46203</v>
      </c>
      <c r="CD440" s="759"/>
      <c r="CE440" s="177">
        <f t="shared" si="613"/>
        <v>0</v>
      </c>
      <c r="CF440" s="1019">
        <f t="shared" si="614"/>
        <v>0</v>
      </c>
      <c r="CG440" s="177"/>
      <c r="CH440" s="1019">
        <f t="shared" si="615"/>
        <v>0</v>
      </c>
      <c r="CI440" s="177"/>
      <c r="CJ440" s="1019">
        <f t="shared" si="660"/>
        <v>0</v>
      </c>
      <c r="CK440" s="177">
        <f t="shared" si="616"/>
        <v>0</v>
      </c>
      <c r="CL440" s="177">
        <f t="shared" si="617"/>
        <v>0</v>
      </c>
      <c r="CM440" s="1006"/>
      <c r="CN440" s="177">
        <f t="shared" si="618"/>
        <v>30</v>
      </c>
      <c r="CO440" s="1019">
        <f t="shared" si="619"/>
        <v>8000</v>
      </c>
      <c r="CP440" s="177">
        <v>30</v>
      </c>
      <c r="CQ440" s="1019">
        <f t="shared" si="620"/>
        <v>8000.0000000000009</v>
      </c>
      <c r="CR440" s="1019">
        <v>30</v>
      </c>
      <c r="CS440" s="1019">
        <f t="shared" si="621"/>
        <v>8000.0000000000009</v>
      </c>
      <c r="CT440" s="177">
        <f t="shared" si="622"/>
        <v>0</v>
      </c>
      <c r="CU440" s="177">
        <f t="shared" si="623"/>
        <v>0</v>
      </c>
      <c r="CV440" s="1006"/>
      <c r="CW440" s="177">
        <f t="shared" si="632"/>
        <v>8000</v>
      </c>
      <c r="CX440" s="1019">
        <f t="shared" si="633"/>
        <v>8000.0000000000009</v>
      </c>
      <c r="CY440" s="177">
        <f t="shared" si="634"/>
        <v>8000.0000000000009</v>
      </c>
      <c r="CZ440" s="1019">
        <f t="shared" si="635"/>
        <v>0</v>
      </c>
      <c r="DA440" s="177">
        <f t="shared" si="636"/>
        <v>0</v>
      </c>
      <c r="DB440" s="126"/>
      <c r="DC440" s="125"/>
    </row>
    <row r="441" spans="1:107" ht="51" hidden="1" x14ac:dyDescent="0.25">
      <c r="A441" s="19">
        <v>2026</v>
      </c>
      <c r="B441" s="20">
        <v>479</v>
      </c>
      <c r="C441" s="21" t="s">
        <v>64</v>
      </c>
      <c r="D441" s="21" t="s">
        <v>65</v>
      </c>
      <c r="E441" s="20">
        <v>125</v>
      </c>
      <c r="F441" s="20">
        <v>3000654</v>
      </c>
      <c r="G441" s="20">
        <v>5005023</v>
      </c>
      <c r="H441" s="20">
        <v>3</v>
      </c>
      <c r="I441" s="20">
        <v>12</v>
      </c>
      <c r="J441" s="20">
        <v>24</v>
      </c>
      <c r="K441" s="20">
        <v>135560</v>
      </c>
      <c r="L441" s="21" t="s">
        <v>220</v>
      </c>
      <c r="M441" s="33" t="s">
        <v>221</v>
      </c>
      <c r="N441" s="19">
        <v>97</v>
      </c>
      <c r="O441" s="2"/>
      <c r="P441" s="2" t="s">
        <v>4</v>
      </c>
      <c r="Q441" s="20" t="s">
        <v>68</v>
      </c>
      <c r="R441" s="25" t="s">
        <v>69</v>
      </c>
      <c r="S441" s="41" t="s">
        <v>137</v>
      </c>
      <c r="T441" s="41"/>
      <c r="U441" s="31" t="s">
        <v>294</v>
      </c>
      <c r="V441" s="25" t="s">
        <v>3</v>
      </c>
      <c r="W441" s="25">
        <v>1</v>
      </c>
      <c r="X441" s="595">
        <v>8000</v>
      </c>
      <c r="Y441" s="619"/>
      <c r="Z441" s="2"/>
      <c r="AA441" s="2"/>
      <c r="AB441" s="620"/>
      <c r="AC441" s="25">
        <v>30</v>
      </c>
      <c r="AD441" s="25">
        <v>30</v>
      </c>
      <c r="AE441" s="619"/>
      <c r="AF441" s="2"/>
      <c r="AG441" s="2"/>
      <c r="AH441" s="2"/>
      <c r="AI441" s="2"/>
      <c r="AJ441" s="621"/>
      <c r="AK441" s="596">
        <v>16000</v>
      </c>
      <c r="AL441" s="29" t="s">
        <v>73</v>
      </c>
      <c r="AM441" s="29" t="s">
        <v>73</v>
      </c>
      <c r="AN441" s="29" t="s">
        <v>73</v>
      </c>
      <c r="AO441" s="29" t="s">
        <v>73</v>
      </c>
      <c r="AP441" s="478">
        <v>8000</v>
      </c>
      <c r="AQ441" s="478">
        <v>8000</v>
      </c>
      <c r="AR441" s="29" t="s">
        <v>73</v>
      </c>
      <c r="AS441" s="29" t="s">
        <v>73</v>
      </c>
      <c r="AT441" s="29" t="s">
        <v>73</v>
      </c>
      <c r="AU441" s="29" t="s">
        <v>73</v>
      </c>
      <c r="AV441" s="29" t="s">
        <v>73</v>
      </c>
      <c r="AW441" s="29" t="s">
        <v>73</v>
      </c>
      <c r="AX441" s="30">
        <v>16000</v>
      </c>
      <c r="AY441" s="479" t="s">
        <v>6</v>
      </c>
      <c r="AZ441" s="2" t="s">
        <v>74</v>
      </c>
      <c r="BA441" s="2"/>
      <c r="BK441" s="125" t="s">
        <v>790</v>
      </c>
      <c r="BL441" s="481" t="s">
        <v>791</v>
      </c>
      <c r="BM441" s="125" t="s">
        <v>2057</v>
      </c>
      <c r="BN441" s="655" t="s">
        <v>2058</v>
      </c>
      <c r="BO441" s="284" t="s">
        <v>1808</v>
      </c>
      <c r="BP441" s="129">
        <v>46134</v>
      </c>
      <c r="BQ441" s="18"/>
      <c r="BR441" s="505" t="s">
        <v>2107</v>
      </c>
      <c r="BS441" s="18"/>
      <c r="BT441" s="264" t="s">
        <v>2002</v>
      </c>
      <c r="BU441" s="264" t="s">
        <v>1841</v>
      </c>
      <c r="BV441" s="125" t="s">
        <v>1349</v>
      </c>
      <c r="BW441" s="125" t="s">
        <v>1514</v>
      </c>
      <c r="BX441" s="125" t="s">
        <v>2108</v>
      </c>
      <c r="BY441" s="125">
        <v>45435377</v>
      </c>
      <c r="BZ441" s="125">
        <v>10454353779</v>
      </c>
      <c r="CA441" s="126">
        <v>8000</v>
      </c>
      <c r="CB441" s="289">
        <v>46143</v>
      </c>
      <c r="CC441" s="289">
        <v>46203</v>
      </c>
      <c r="CD441" s="759"/>
      <c r="CE441" s="177">
        <f t="shared" si="613"/>
        <v>30</v>
      </c>
      <c r="CF441" s="1019">
        <f t="shared" si="614"/>
        <v>8000</v>
      </c>
      <c r="CG441" s="177">
        <v>30</v>
      </c>
      <c r="CH441" s="1019">
        <f t="shared" si="615"/>
        <v>8000.0000000000009</v>
      </c>
      <c r="CI441" s="177">
        <v>30</v>
      </c>
      <c r="CJ441" s="1019">
        <f t="shared" si="660"/>
        <v>8000.0000000000009</v>
      </c>
      <c r="CK441" s="177">
        <f t="shared" si="616"/>
        <v>0</v>
      </c>
      <c r="CL441" s="177">
        <f t="shared" si="617"/>
        <v>0</v>
      </c>
      <c r="CM441" s="1006"/>
      <c r="CN441" s="177">
        <f t="shared" si="618"/>
        <v>30</v>
      </c>
      <c r="CO441" s="1019">
        <f t="shared" si="619"/>
        <v>8000</v>
      </c>
      <c r="CP441" s="177">
        <v>30</v>
      </c>
      <c r="CQ441" s="1019">
        <f t="shared" si="620"/>
        <v>8000.0000000000009</v>
      </c>
      <c r="CR441" s="1019">
        <v>30</v>
      </c>
      <c r="CS441" s="1019">
        <f t="shared" si="621"/>
        <v>8000.0000000000009</v>
      </c>
      <c r="CT441" s="177">
        <f t="shared" si="622"/>
        <v>0</v>
      </c>
      <c r="CU441" s="177">
        <f t="shared" si="623"/>
        <v>0</v>
      </c>
      <c r="CV441" s="1006"/>
      <c r="CW441" s="177">
        <f t="shared" si="632"/>
        <v>16000</v>
      </c>
      <c r="CX441" s="1019">
        <f t="shared" si="633"/>
        <v>16000.000000000002</v>
      </c>
      <c r="CY441" s="177">
        <f t="shared" si="634"/>
        <v>16000.000000000002</v>
      </c>
      <c r="CZ441" s="1019">
        <f t="shared" si="635"/>
        <v>0</v>
      </c>
      <c r="DA441" s="177">
        <f t="shared" si="636"/>
        <v>0</v>
      </c>
      <c r="DB441" s="126"/>
      <c r="DC441" s="125"/>
    </row>
    <row r="442" spans="1:107" ht="51" hidden="1" x14ac:dyDescent="0.25">
      <c r="A442" s="19">
        <v>2026</v>
      </c>
      <c r="B442" s="20">
        <v>479</v>
      </c>
      <c r="C442" s="21" t="s">
        <v>64</v>
      </c>
      <c r="D442" s="21" t="s">
        <v>65</v>
      </c>
      <c r="E442" s="20">
        <v>125</v>
      </c>
      <c r="F442" s="20">
        <v>3000654</v>
      </c>
      <c r="G442" s="20">
        <v>5005023</v>
      </c>
      <c r="H442" s="20">
        <v>3</v>
      </c>
      <c r="I442" s="20">
        <v>12</v>
      </c>
      <c r="J442" s="20">
        <v>24</v>
      </c>
      <c r="K442" s="20">
        <v>135560</v>
      </c>
      <c r="L442" s="21" t="s">
        <v>220</v>
      </c>
      <c r="M442" s="33" t="s">
        <v>221</v>
      </c>
      <c r="N442" s="19">
        <v>97</v>
      </c>
      <c r="O442" s="2"/>
      <c r="P442" s="2" t="s">
        <v>4</v>
      </c>
      <c r="Q442" s="20" t="s">
        <v>68</v>
      </c>
      <c r="R442" s="25" t="s">
        <v>69</v>
      </c>
      <c r="S442" s="41" t="s">
        <v>137</v>
      </c>
      <c r="T442" s="41"/>
      <c r="U442" s="31" t="s">
        <v>295</v>
      </c>
      <c r="V442" s="25" t="s">
        <v>3</v>
      </c>
      <c r="W442" s="25">
        <v>1</v>
      </c>
      <c r="X442" s="595">
        <v>8000</v>
      </c>
      <c r="Y442" s="619"/>
      <c r="Z442" s="2"/>
      <c r="AA442" s="2"/>
      <c r="AB442" s="620"/>
      <c r="AC442" s="25">
        <v>30</v>
      </c>
      <c r="AD442" s="25">
        <v>30</v>
      </c>
      <c r="AE442" s="619"/>
      <c r="AF442" s="2"/>
      <c r="AG442" s="2"/>
      <c r="AH442" s="2"/>
      <c r="AI442" s="2"/>
      <c r="AJ442" s="621"/>
      <c r="AK442" s="596">
        <v>16000</v>
      </c>
      <c r="AL442" s="29" t="s">
        <v>73</v>
      </c>
      <c r="AM442" s="29" t="s">
        <v>73</v>
      </c>
      <c r="AN442" s="29" t="s">
        <v>73</v>
      </c>
      <c r="AO442" s="29" t="s">
        <v>73</v>
      </c>
      <c r="AP442" s="478">
        <v>8000</v>
      </c>
      <c r="AQ442" s="478">
        <v>8000</v>
      </c>
      <c r="AR442" s="29" t="s">
        <v>73</v>
      </c>
      <c r="AS442" s="29" t="s">
        <v>73</v>
      </c>
      <c r="AT442" s="29" t="s">
        <v>73</v>
      </c>
      <c r="AU442" s="29" t="s">
        <v>73</v>
      </c>
      <c r="AV442" s="29" t="s">
        <v>73</v>
      </c>
      <c r="AW442" s="29" t="s">
        <v>73</v>
      </c>
      <c r="AX442" s="30">
        <v>16000</v>
      </c>
      <c r="AY442" s="479" t="s">
        <v>6</v>
      </c>
      <c r="AZ442" s="2" t="s">
        <v>74</v>
      </c>
      <c r="BA442" s="2"/>
      <c r="BK442" s="125" t="s">
        <v>790</v>
      </c>
      <c r="BL442" s="481" t="s">
        <v>791</v>
      </c>
      <c r="BM442" s="125" t="s">
        <v>2057</v>
      </c>
      <c r="BN442" s="655" t="s">
        <v>2058</v>
      </c>
      <c r="BO442" s="284" t="s">
        <v>1808</v>
      </c>
      <c r="BP442" s="129">
        <v>46134</v>
      </c>
      <c r="BQ442" s="18"/>
      <c r="BR442" s="505" t="s">
        <v>2109</v>
      </c>
      <c r="BS442" s="18"/>
      <c r="BT442" s="264" t="s">
        <v>2002</v>
      </c>
      <c r="BU442" s="264" t="s">
        <v>1841</v>
      </c>
      <c r="BV442" s="125" t="s">
        <v>1715</v>
      </c>
      <c r="BW442" s="125" t="s">
        <v>910</v>
      </c>
      <c r="BX442" s="125" t="s">
        <v>904</v>
      </c>
      <c r="BY442" s="125">
        <v>42003709</v>
      </c>
      <c r="BZ442" s="125">
        <v>10420037096</v>
      </c>
      <c r="CA442" s="126">
        <v>8000</v>
      </c>
      <c r="CB442" s="289">
        <v>46143</v>
      </c>
      <c r="CC442" s="289">
        <v>46203</v>
      </c>
      <c r="CD442" s="759"/>
      <c r="CE442" s="177">
        <f t="shared" si="613"/>
        <v>30</v>
      </c>
      <c r="CF442" s="1019">
        <f t="shared" si="614"/>
        <v>8000</v>
      </c>
      <c r="CG442" s="177">
        <v>30</v>
      </c>
      <c r="CH442" s="1019">
        <f t="shared" si="615"/>
        <v>8000.0000000000009</v>
      </c>
      <c r="CI442" s="177">
        <v>30</v>
      </c>
      <c r="CJ442" s="1019">
        <f t="shared" si="660"/>
        <v>8000.0000000000009</v>
      </c>
      <c r="CK442" s="177">
        <f t="shared" si="616"/>
        <v>0</v>
      </c>
      <c r="CL442" s="177">
        <f t="shared" si="617"/>
        <v>0</v>
      </c>
      <c r="CM442" s="1006"/>
      <c r="CN442" s="177">
        <f t="shared" si="618"/>
        <v>30</v>
      </c>
      <c r="CO442" s="1019">
        <f t="shared" si="619"/>
        <v>8000</v>
      </c>
      <c r="CP442" s="177">
        <v>30</v>
      </c>
      <c r="CQ442" s="1019">
        <f t="shared" si="620"/>
        <v>8000.0000000000009</v>
      </c>
      <c r="CR442" s="1019">
        <v>30</v>
      </c>
      <c r="CS442" s="1019">
        <f t="shared" si="621"/>
        <v>8000.0000000000009</v>
      </c>
      <c r="CT442" s="177">
        <f t="shared" si="622"/>
        <v>0</v>
      </c>
      <c r="CU442" s="177">
        <f t="shared" si="623"/>
        <v>0</v>
      </c>
      <c r="CV442" s="1006"/>
      <c r="CW442" s="177">
        <f t="shared" si="632"/>
        <v>16000</v>
      </c>
      <c r="CX442" s="1019">
        <f t="shared" si="633"/>
        <v>16000.000000000002</v>
      </c>
      <c r="CY442" s="177">
        <f t="shared" si="634"/>
        <v>16000.000000000002</v>
      </c>
      <c r="CZ442" s="1019">
        <f t="shared" si="635"/>
        <v>0</v>
      </c>
      <c r="DA442" s="177">
        <f t="shared" si="636"/>
        <v>0</v>
      </c>
      <c r="DB442" s="126"/>
      <c r="DC442" s="125"/>
    </row>
    <row r="443" spans="1:107" ht="51" hidden="1" x14ac:dyDescent="0.25">
      <c r="A443" s="19">
        <v>2026</v>
      </c>
      <c r="B443" s="20">
        <v>479</v>
      </c>
      <c r="C443" s="21" t="s">
        <v>64</v>
      </c>
      <c r="D443" s="21" t="s">
        <v>65</v>
      </c>
      <c r="E443" s="20">
        <v>125</v>
      </c>
      <c r="F443" s="20">
        <v>3000654</v>
      </c>
      <c r="G443" s="20">
        <v>5005023</v>
      </c>
      <c r="H443" s="20">
        <v>3</v>
      </c>
      <c r="I443" s="20">
        <v>12</v>
      </c>
      <c r="J443" s="20">
        <v>24</v>
      </c>
      <c r="K443" s="20">
        <v>135560</v>
      </c>
      <c r="L443" s="21" t="s">
        <v>220</v>
      </c>
      <c r="M443" s="33" t="s">
        <v>221</v>
      </c>
      <c r="N443" s="19">
        <v>97</v>
      </c>
      <c r="O443" s="2"/>
      <c r="P443" s="2" t="s">
        <v>4</v>
      </c>
      <c r="Q443" s="20" t="s">
        <v>68</v>
      </c>
      <c r="R443" s="25" t="s">
        <v>69</v>
      </c>
      <c r="S443" s="41" t="s">
        <v>137</v>
      </c>
      <c r="T443" s="41"/>
      <c r="U443" s="31" t="s">
        <v>296</v>
      </c>
      <c r="V443" s="25" t="s">
        <v>3</v>
      </c>
      <c r="W443" s="25">
        <v>1</v>
      </c>
      <c r="X443" s="595">
        <v>8000</v>
      </c>
      <c r="Y443" s="619"/>
      <c r="Z443" s="2"/>
      <c r="AA443" s="2"/>
      <c r="AB443" s="620"/>
      <c r="AC443" s="25">
        <v>30</v>
      </c>
      <c r="AD443" s="25">
        <v>30</v>
      </c>
      <c r="AE443" s="619"/>
      <c r="AF443" s="2"/>
      <c r="AG443" s="2"/>
      <c r="AH443" s="2"/>
      <c r="AI443" s="2"/>
      <c r="AJ443" s="621"/>
      <c r="AK443" s="596">
        <v>16000</v>
      </c>
      <c r="AL443" s="29" t="s">
        <v>73</v>
      </c>
      <c r="AM443" s="29" t="s">
        <v>73</v>
      </c>
      <c r="AN443" s="29" t="s">
        <v>73</v>
      </c>
      <c r="AO443" s="29" t="s">
        <v>73</v>
      </c>
      <c r="AP443" s="478">
        <v>8000</v>
      </c>
      <c r="AQ443" s="478">
        <v>8000</v>
      </c>
      <c r="AR443" s="29" t="s">
        <v>73</v>
      </c>
      <c r="AS443" s="29" t="s">
        <v>73</v>
      </c>
      <c r="AT443" s="29" t="s">
        <v>73</v>
      </c>
      <c r="AU443" s="29" t="s">
        <v>73</v>
      </c>
      <c r="AV443" s="29" t="s">
        <v>73</v>
      </c>
      <c r="AW443" s="29" t="s">
        <v>73</v>
      </c>
      <c r="AX443" s="30">
        <v>16000</v>
      </c>
      <c r="AY443" s="479" t="s">
        <v>6</v>
      </c>
      <c r="AZ443" s="2" t="s">
        <v>74</v>
      </c>
      <c r="BA443" s="2"/>
      <c r="BK443" s="125" t="s">
        <v>790</v>
      </c>
      <c r="BL443" s="481" t="s">
        <v>791</v>
      </c>
      <c r="BM443" s="125" t="s">
        <v>2057</v>
      </c>
      <c r="BN443" s="655" t="s">
        <v>2058</v>
      </c>
      <c r="BO443" s="284" t="s">
        <v>1808</v>
      </c>
      <c r="BP443" s="129">
        <v>46134</v>
      </c>
      <c r="BQ443" s="18"/>
      <c r="BR443" s="505" t="s">
        <v>2110</v>
      </c>
      <c r="BS443" s="18"/>
      <c r="BT443" s="264" t="s">
        <v>2002</v>
      </c>
      <c r="BU443" s="264" t="s">
        <v>1841</v>
      </c>
      <c r="BV443" s="125" t="s">
        <v>2111</v>
      </c>
      <c r="BW443" s="125" t="s">
        <v>849</v>
      </c>
      <c r="BX443" s="125" t="s">
        <v>2112</v>
      </c>
      <c r="BY443" s="125">
        <v>45694176</v>
      </c>
      <c r="BZ443" s="125">
        <v>10456941767</v>
      </c>
      <c r="CA443" s="126">
        <v>8000</v>
      </c>
      <c r="CB443" s="289">
        <v>46143</v>
      </c>
      <c r="CC443" s="289">
        <v>46203</v>
      </c>
      <c r="CD443" s="759"/>
      <c r="CE443" s="177">
        <f t="shared" si="613"/>
        <v>30</v>
      </c>
      <c r="CF443" s="1019">
        <f t="shared" si="614"/>
        <v>8000</v>
      </c>
      <c r="CG443" s="177">
        <v>30</v>
      </c>
      <c r="CH443" s="1019">
        <f t="shared" si="615"/>
        <v>8000.0000000000009</v>
      </c>
      <c r="CI443" s="177">
        <v>30</v>
      </c>
      <c r="CJ443" s="1019">
        <f t="shared" si="660"/>
        <v>8000.0000000000009</v>
      </c>
      <c r="CK443" s="177">
        <f t="shared" si="616"/>
        <v>0</v>
      </c>
      <c r="CL443" s="177">
        <f t="shared" si="617"/>
        <v>0</v>
      </c>
      <c r="CM443" s="1006"/>
      <c r="CN443" s="177">
        <f t="shared" si="618"/>
        <v>30</v>
      </c>
      <c r="CO443" s="1019">
        <f t="shared" si="619"/>
        <v>8000</v>
      </c>
      <c r="CP443" s="177">
        <v>30</v>
      </c>
      <c r="CQ443" s="1019">
        <f t="shared" si="620"/>
        <v>8000.0000000000009</v>
      </c>
      <c r="CR443" s="1019">
        <v>30</v>
      </c>
      <c r="CS443" s="1019">
        <f t="shared" si="621"/>
        <v>8000.0000000000009</v>
      </c>
      <c r="CT443" s="177">
        <f t="shared" si="622"/>
        <v>0</v>
      </c>
      <c r="CU443" s="177">
        <f t="shared" si="623"/>
        <v>0</v>
      </c>
      <c r="CV443" s="1006"/>
      <c r="CW443" s="177">
        <f t="shared" si="632"/>
        <v>16000</v>
      </c>
      <c r="CX443" s="1019">
        <f t="shared" si="633"/>
        <v>16000.000000000002</v>
      </c>
      <c r="CY443" s="177">
        <f t="shared" si="634"/>
        <v>16000.000000000002</v>
      </c>
      <c r="CZ443" s="1019">
        <f t="shared" si="635"/>
        <v>0</v>
      </c>
      <c r="DA443" s="177">
        <f t="shared" si="636"/>
        <v>0</v>
      </c>
      <c r="DB443" s="126"/>
      <c r="DC443" s="125"/>
    </row>
    <row r="444" spans="1:107" ht="51" hidden="1" x14ac:dyDescent="0.25">
      <c r="A444" s="19">
        <v>2026</v>
      </c>
      <c r="B444" s="20">
        <v>479</v>
      </c>
      <c r="C444" s="21" t="s">
        <v>64</v>
      </c>
      <c r="D444" s="21" t="s">
        <v>65</v>
      </c>
      <c r="E444" s="20">
        <v>125</v>
      </c>
      <c r="F444" s="20">
        <v>3000654</v>
      </c>
      <c r="G444" s="20">
        <v>5005023</v>
      </c>
      <c r="H444" s="20">
        <v>3</v>
      </c>
      <c r="I444" s="20">
        <v>12</v>
      </c>
      <c r="J444" s="20">
        <v>24</v>
      </c>
      <c r="K444" s="20">
        <v>135560</v>
      </c>
      <c r="L444" s="21" t="s">
        <v>220</v>
      </c>
      <c r="M444" s="33" t="s">
        <v>221</v>
      </c>
      <c r="N444" s="19">
        <v>97</v>
      </c>
      <c r="O444" s="2"/>
      <c r="P444" s="2" t="s">
        <v>4</v>
      </c>
      <c r="Q444" s="20" t="s">
        <v>68</v>
      </c>
      <c r="R444" s="25" t="s">
        <v>69</v>
      </c>
      <c r="S444" s="41" t="s">
        <v>137</v>
      </c>
      <c r="T444" s="41"/>
      <c r="U444" s="31" t="s">
        <v>297</v>
      </c>
      <c r="V444" s="25" t="s">
        <v>3</v>
      </c>
      <c r="W444" s="25">
        <v>1</v>
      </c>
      <c r="X444" s="595">
        <v>8000</v>
      </c>
      <c r="Y444" s="619"/>
      <c r="Z444" s="2"/>
      <c r="AA444" s="2"/>
      <c r="AB444" s="620"/>
      <c r="AC444" s="25">
        <v>30</v>
      </c>
      <c r="AD444" s="25">
        <v>30</v>
      </c>
      <c r="AE444" s="619"/>
      <c r="AF444" s="2"/>
      <c r="AG444" s="2"/>
      <c r="AH444" s="2"/>
      <c r="AI444" s="2"/>
      <c r="AJ444" s="621"/>
      <c r="AK444" s="596">
        <v>16000</v>
      </c>
      <c r="AL444" s="29" t="s">
        <v>73</v>
      </c>
      <c r="AM444" s="29" t="s">
        <v>73</v>
      </c>
      <c r="AN444" s="29" t="s">
        <v>73</v>
      </c>
      <c r="AO444" s="29" t="s">
        <v>73</v>
      </c>
      <c r="AP444" s="478">
        <v>8000</v>
      </c>
      <c r="AQ444" s="478">
        <v>8000</v>
      </c>
      <c r="AR444" s="29" t="s">
        <v>73</v>
      </c>
      <c r="AS444" s="29" t="s">
        <v>73</v>
      </c>
      <c r="AT444" s="29" t="s">
        <v>73</v>
      </c>
      <c r="AU444" s="29" t="s">
        <v>73</v>
      </c>
      <c r="AV444" s="29" t="s">
        <v>73</v>
      </c>
      <c r="AW444" s="29" t="s">
        <v>73</v>
      </c>
      <c r="AX444" s="30">
        <v>16000</v>
      </c>
      <c r="AY444" s="479" t="s">
        <v>6</v>
      </c>
      <c r="AZ444" s="2" t="s">
        <v>74</v>
      </c>
      <c r="BA444" s="2"/>
      <c r="BK444" s="125" t="s">
        <v>790</v>
      </c>
      <c r="BL444" s="481" t="s">
        <v>791</v>
      </c>
      <c r="BM444" s="125" t="s">
        <v>2057</v>
      </c>
      <c r="BN444" s="655" t="s">
        <v>2058</v>
      </c>
      <c r="BO444" s="284" t="s">
        <v>1808</v>
      </c>
      <c r="BP444" s="129">
        <v>46134</v>
      </c>
      <c r="BQ444" s="18"/>
      <c r="BR444" s="505" t="s">
        <v>2113</v>
      </c>
      <c r="BS444" s="18"/>
      <c r="BT444" s="264" t="s">
        <v>2002</v>
      </c>
      <c r="BU444" s="264" t="s">
        <v>1841</v>
      </c>
      <c r="BV444" s="125" t="s">
        <v>2114</v>
      </c>
      <c r="BW444" s="125" t="s">
        <v>1386</v>
      </c>
      <c r="BX444" s="125" t="s">
        <v>2115</v>
      </c>
      <c r="BY444" s="125">
        <v>47696276</v>
      </c>
      <c r="BZ444" s="125">
        <v>10476962761</v>
      </c>
      <c r="CA444" s="126">
        <v>8000</v>
      </c>
      <c r="CB444" s="289">
        <v>46143</v>
      </c>
      <c r="CC444" s="289">
        <v>46203</v>
      </c>
      <c r="CD444" s="759"/>
      <c r="CE444" s="177">
        <f t="shared" si="613"/>
        <v>30</v>
      </c>
      <c r="CF444" s="1019">
        <f t="shared" si="614"/>
        <v>8000</v>
      </c>
      <c r="CG444" s="177">
        <v>30</v>
      </c>
      <c r="CH444" s="1019">
        <f t="shared" si="615"/>
        <v>8000.0000000000009</v>
      </c>
      <c r="CI444" s="177">
        <v>30</v>
      </c>
      <c r="CJ444" s="1019">
        <f t="shared" si="660"/>
        <v>8000.0000000000009</v>
      </c>
      <c r="CK444" s="177">
        <f t="shared" si="616"/>
        <v>0</v>
      </c>
      <c r="CL444" s="177">
        <f t="shared" si="617"/>
        <v>0</v>
      </c>
      <c r="CM444" s="1006"/>
      <c r="CN444" s="177">
        <f t="shared" si="618"/>
        <v>30</v>
      </c>
      <c r="CO444" s="1019">
        <f t="shared" si="619"/>
        <v>8000</v>
      </c>
      <c r="CP444" s="177">
        <v>30</v>
      </c>
      <c r="CQ444" s="1019">
        <f t="shared" si="620"/>
        <v>8000.0000000000009</v>
      </c>
      <c r="CR444" s="1019">
        <v>30</v>
      </c>
      <c r="CS444" s="1019">
        <f t="shared" si="621"/>
        <v>8000.0000000000009</v>
      </c>
      <c r="CT444" s="177">
        <f t="shared" si="622"/>
        <v>0</v>
      </c>
      <c r="CU444" s="177">
        <f t="shared" si="623"/>
        <v>0</v>
      </c>
      <c r="CV444" s="1006"/>
      <c r="CW444" s="177">
        <f t="shared" si="632"/>
        <v>16000</v>
      </c>
      <c r="CX444" s="1019">
        <f t="shared" si="633"/>
        <v>16000.000000000002</v>
      </c>
      <c r="CY444" s="177">
        <f t="shared" si="634"/>
        <v>16000.000000000002</v>
      </c>
      <c r="CZ444" s="1019">
        <f t="shared" si="635"/>
        <v>0</v>
      </c>
      <c r="DA444" s="177">
        <f t="shared" si="636"/>
        <v>0</v>
      </c>
      <c r="DB444" s="126"/>
      <c r="DC444" s="125"/>
    </row>
    <row r="445" spans="1:107" ht="51" hidden="1" x14ac:dyDescent="0.25">
      <c r="A445" s="19">
        <v>2026</v>
      </c>
      <c r="B445" s="20">
        <v>479</v>
      </c>
      <c r="C445" s="21" t="s">
        <v>64</v>
      </c>
      <c r="D445" s="21" t="s">
        <v>65</v>
      </c>
      <c r="E445" s="20">
        <v>125</v>
      </c>
      <c r="F445" s="20">
        <v>3000654</v>
      </c>
      <c r="G445" s="20">
        <v>5005023</v>
      </c>
      <c r="H445" s="20">
        <v>3</v>
      </c>
      <c r="I445" s="20">
        <v>12</v>
      </c>
      <c r="J445" s="20">
        <v>24</v>
      </c>
      <c r="K445" s="20">
        <v>135560</v>
      </c>
      <c r="L445" s="21" t="s">
        <v>220</v>
      </c>
      <c r="M445" s="33" t="s">
        <v>221</v>
      </c>
      <c r="N445" s="19">
        <v>97</v>
      </c>
      <c r="O445" s="2"/>
      <c r="P445" s="2" t="s">
        <v>4</v>
      </c>
      <c r="Q445" s="20" t="s">
        <v>68</v>
      </c>
      <c r="R445" s="25" t="s">
        <v>69</v>
      </c>
      <c r="S445" s="41" t="s">
        <v>137</v>
      </c>
      <c r="T445" s="41"/>
      <c r="U445" s="31" t="s">
        <v>298</v>
      </c>
      <c r="V445" s="25" t="s">
        <v>3</v>
      </c>
      <c r="W445" s="25">
        <v>1</v>
      </c>
      <c r="X445" s="595">
        <v>8000</v>
      </c>
      <c r="Y445" s="619"/>
      <c r="Z445" s="2"/>
      <c r="AA445" s="2"/>
      <c r="AB445" s="620"/>
      <c r="AC445" s="25">
        <v>30</v>
      </c>
      <c r="AD445" s="25">
        <v>30</v>
      </c>
      <c r="AE445" s="619"/>
      <c r="AF445" s="2"/>
      <c r="AG445" s="2"/>
      <c r="AH445" s="2"/>
      <c r="AI445" s="2"/>
      <c r="AJ445" s="621"/>
      <c r="AK445" s="596">
        <v>16000</v>
      </c>
      <c r="AL445" s="29" t="s">
        <v>73</v>
      </c>
      <c r="AM445" s="29" t="s">
        <v>73</v>
      </c>
      <c r="AN445" s="29" t="s">
        <v>73</v>
      </c>
      <c r="AO445" s="29" t="s">
        <v>73</v>
      </c>
      <c r="AP445" s="478">
        <v>8000</v>
      </c>
      <c r="AQ445" s="478">
        <v>8000</v>
      </c>
      <c r="AR445" s="29" t="s">
        <v>73</v>
      </c>
      <c r="AS445" s="29" t="s">
        <v>73</v>
      </c>
      <c r="AT445" s="29" t="s">
        <v>73</v>
      </c>
      <c r="AU445" s="29" t="s">
        <v>73</v>
      </c>
      <c r="AV445" s="29" t="s">
        <v>73</v>
      </c>
      <c r="AW445" s="29" t="s">
        <v>73</v>
      </c>
      <c r="AX445" s="30">
        <v>16000</v>
      </c>
      <c r="AY445" s="479" t="s">
        <v>6</v>
      </c>
      <c r="AZ445" s="2" t="s">
        <v>74</v>
      </c>
      <c r="BA445" s="2"/>
      <c r="BK445" s="125" t="s">
        <v>790</v>
      </c>
      <c r="BL445" s="481" t="s">
        <v>791</v>
      </c>
      <c r="BM445" s="125" t="s">
        <v>2057</v>
      </c>
      <c r="BN445" s="655" t="s">
        <v>2058</v>
      </c>
      <c r="BO445" s="284" t="s">
        <v>1808</v>
      </c>
      <c r="BP445" s="129">
        <v>46134</v>
      </c>
      <c r="BQ445" s="18"/>
      <c r="BR445" s="505" t="s">
        <v>2116</v>
      </c>
      <c r="BS445" s="18"/>
      <c r="BT445" s="264" t="s">
        <v>2002</v>
      </c>
      <c r="BU445" s="264" t="s">
        <v>1841</v>
      </c>
      <c r="BV445" s="125" t="s">
        <v>2117</v>
      </c>
      <c r="BW445" s="125" t="s">
        <v>1651</v>
      </c>
      <c r="BX445" s="125" t="s">
        <v>1135</v>
      </c>
      <c r="BY445" s="125">
        <v>72686317</v>
      </c>
      <c r="BZ445" s="125">
        <v>10726863178</v>
      </c>
      <c r="CA445" s="126">
        <v>8000</v>
      </c>
      <c r="CB445" s="289">
        <v>46143</v>
      </c>
      <c r="CC445" s="289">
        <v>46203</v>
      </c>
      <c r="CD445" s="759"/>
      <c r="CE445" s="177">
        <f t="shared" si="613"/>
        <v>30</v>
      </c>
      <c r="CF445" s="1019">
        <f t="shared" si="614"/>
        <v>8000</v>
      </c>
      <c r="CG445" s="177">
        <v>30</v>
      </c>
      <c r="CH445" s="1019">
        <f t="shared" si="615"/>
        <v>8000.0000000000009</v>
      </c>
      <c r="CI445" s="177">
        <v>30</v>
      </c>
      <c r="CJ445" s="1019">
        <f t="shared" si="660"/>
        <v>8000.0000000000009</v>
      </c>
      <c r="CK445" s="177">
        <f t="shared" si="616"/>
        <v>0</v>
      </c>
      <c r="CL445" s="177">
        <f t="shared" si="617"/>
        <v>0</v>
      </c>
      <c r="CM445" s="1006"/>
      <c r="CN445" s="177">
        <f t="shared" si="618"/>
        <v>30</v>
      </c>
      <c r="CO445" s="1019">
        <f t="shared" si="619"/>
        <v>8000</v>
      </c>
      <c r="CP445" s="177">
        <v>30</v>
      </c>
      <c r="CQ445" s="1019">
        <f t="shared" si="620"/>
        <v>8000.0000000000009</v>
      </c>
      <c r="CR445" s="1019">
        <v>30</v>
      </c>
      <c r="CS445" s="1019">
        <f t="shared" si="621"/>
        <v>8000.0000000000009</v>
      </c>
      <c r="CT445" s="177">
        <f t="shared" si="622"/>
        <v>0</v>
      </c>
      <c r="CU445" s="177">
        <f t="shared" si="623"/>
        <v>0</v>
      </c>
      <c r="CV445" s="1006"/>
      <c r="CW445" s="177">
        <f t="shared" si="632"/>
        <v>16000</v>
      </c>
      <c r="CX445" s="1019">
        <f t="shared" si="633"/>
        <v>16000.000000000002</v>
      </c>
      <c r="CY445" s="177">
        <f t="shared" si="634"/>
        <v>16000.000000000002</v>
      </c>
      <c r="CZ445" s="1019">
        <f t="shared" si="635"/>
        <v>0</v>
      </c>
      <c r="DA445" s="177">
        <f t="shared" si="636"/>
        <v>0</v>
      </c>
      <c r="DB445" s="126"/>
      <c r="DC445" s="125"/>
    </row>
    <row r="446" spans="1:107" ht="51" hidden="1" x14ac:dyDescent="0.25">
      <c r="A446" s="19">
        <v>2026</v>
      </c>
      <c r="B446" s="20">
        <v>479</v>
      </c>
      <c r="C446" s="21" t="s">
        <v>64</v>
      </c>
      <c r="D446" s="21" t="s">
        <v>65</v>
      </c>
      <c r="E446" s="20">
        <v>125</v>
      </c>
      <c r="F446" s="20">
        <v>3000654</v>
      </c>
      <c r="G446" s="20">
        <v>5005023</v>
      </c>
      <c r="H446" s="20">
        <v>3</v>
      </c>
      <c r="I446" s="20">
        <v>12</v>
      </c>
      <c r="J446" s="20">
        <v>24</v>
      </c>
      <c r="K446" s="20">
        <v>135560</v>
      </c>
      <c r="L446" s="21" t="s">
        <v>220</v>
      </c>
      <c r="M446" s="33" t="s">
        <v>221</v>
      </c>
      <c r="N446" s="19">
        <v>97</v>
      </c>
      <c r="O446" s="2"/>
      <c r="P446" s="2" t="s">
        <v>4</v>
      </c>
      <c r="Q446" s="20" t="s">
        <v>68</v>
      </c>
      <c r="R446" s="25" t="s">
        <v>69</v>
      </c>
      <c r="S446" s="41" t="s">
        <v>137</v>
      </c>
      <c r="T446" s="41"/>
      <c r="U446" s="31" t="s">
        <v>299</v>
      </c>
      <c r="V446" s="25" t="s">
        <v>3</v>
      </c>
      <c r="W446" s="25">
        <v>1</v>
      </c>
      <c r="X446" s="595">
        <v>8000</v>
      </c>
      <c r="Y446" s="619"/>
      <c r="Z446" s="2"/>
      <c r="AA446" s="2"/>
      <c r="AB446" s="620"/>
      <c r="AC446" s="25">
        <v>30</v>
      </c>
      <c r="AD446" s="25">
        <v>30</v>
      </c>
      <c r="AE446" s="619"/>
      <c r="AF446" s="2"/>
      <c r="AG446" s="2"/>
      <c r="AH446" s="2"/>
      <c r="AI446" s="2"/>
      <c r="AJ446" s="621"/>
      <c r="AK446" s="596">
        <v>16000</v>
      </c>
      <c r="AL446" s="29" t="s">
        <v>73</v>
      </c>
      <c r="AM446" s="29" t="s">
        <v>73</v>
      </c>
      <c r="AN446" s="29" t="s">
        <v>73</v>
      </c>
      <c r="AO446" s="29" t="s">
        <v>73</v>
      </c>
      <c r="AP446" s="478">
        <v>8000</v>
      </c>
      <c r="AQ446" s="478">
        <v>8000</v>
      </c>
      <c r="AR446" s="29" t="s">
        <v>73</v>
      </c>
      <c r="AS446" s="29" t="s">
        <v>73</v>
      </c>
      <c r="AT446" s="29" t="s">
        <v>73</v>
      </c>
      <c r="AU446" s="29" t="s">
        <v>73</v>
      </c>
      <c r="AV446" s="29" t="s">
        <v>73</v>
      </c>
      <c r="AW446" s="29" t="s">
        <v>73</v>
      </c>
      <c r="AX446" s="30">
        <v>16000</v>
      </c>
      <c r="AY446" s="479" t="s">
        <v>6</v>
      </c>
      <c r="AZ446" s="2" t="s">
        <v>74</v>
      </c>
      <c r="BA446" s="2"/>
      <c r="BK446" s="125" t="s">
        <v>790</v>
      </c>
      <c r="BL446" s="481" t="s">
        <v>791</v>
      </c>
      <c r="BM446" s="125" t="s">
        <v>2057</v>
      </c>
      <c r="BN446" s="655" t="s">
        <v>2058</v>
      </c>
      <c r="BO446" s="284" t="s">
        <v>1808</v>
      </c>
      <c r="BP446" s="129">
        <v>46134</v>
      </c>
      <c r="BQ446" s="18"/>
      <c r="BR446" s="505" t="s">
        <v>2118</v>
      </c>
      <c r="BS446" s="18"/>
      <c r="BT446" s="264" t="s">
        <v>2002</v>
      </c>
      <c r="BU446" s="264" t="s">
        <v>1841</v>
      </c>
      <c r="BV446" s="125" t="s">
        <v>2119</v>
      </c>
      <c r="BW446" s="125" t="s">
        <v>2120</v>
      </c>
      <c r="BX446" s="125" t="s">
        <v>2121</v>
      </c>
      <c r="BY446" s="125">
        <v>45210221</v>
      </c>
      <c r="BZ446" s="125">
        <v>10452102213</v>
      </c>
      <c r="CA446" s="126">
        <v>8000</v>
      </c>
      <c r="CB446" s="289">
        <v>46143</v>
      </c>
      <c r="CC446" s="289">
        <v>46203</v>
      </c>
      <c r="CD446" s="759"/>
      <c r="CE446" s="177">
        <f t="shared" si="613"/>
        <v>30</v>
      </c>
      <c r="CF446" s="1019">
        <f t="shared" si="614"/>
        <v>8000</v>
      </c>
      <c r="CG446" s="177">
        <v>30</v>
      </c>
      <c r="CH446" s="1019">
        <f t="shared" si="615"/>
        <v>8000.0000000000009</v>
      </c>
      <c r="CI446" s="177">
        <v>30</v>
      </c>
      <c r="CJ446" s="1019">
        <f t="shared" si="660"/>
        <v>8000.0000000000009</v>
      </c>
      <c r="CK446" s="177">
        <f t="shared" si="616"/>
        <v>0</v>
      </c>
      <c r="CL446" s="177">
        <f t="shared" si="617"/>
        <v>0</v>
      </c>
      <c r="CM446" s="1006"/>
      <c r="CN446" s="177">
        <f t="shared" si="618"/>
        <v>30</v>
      </c>
      <c r="CO446" s="1019">
        <f t="shared" si="619"/>
        <v>8000</v>
      </c>
      <c r="CP446" s="177">
        <v>30</v>
      </c>
      <c r="CQ446" s="1019">
        <f t="shared" si="620"/>
        <v>8000.0000000000009</v>
      </c>
      <c r="CR446" s="1019">
        <v>30</v>
      </c>
      <c r="CS446" s="1019">
        <f t="shared" si="621"/>
        <v>8000.0000000000009</v>
      </c>
      <c r="CT446" s="177">
        <f t="shared" si="622"/>
        <v>0</v>
      </c>
      <c r="CU446" s="177">
        <f t="shared" si="623"/>
        <v>0</v>
      </c>
      <c r="CV446" s="1006"/>
      <c r="CW446" s="177">
        <f t="shared" si="632"/>
        <v>16000</v>
      </c>
      <c r="CX446" s="1019">
        <f t="shared" si="633"/>
        <v>16000.000000000002</v>
      </c>
      <c r="CY446" s="177">
        <f t="shared" si="634"/>
        <v>16000.000000000002</v>
      </c>
      <c r="CZ446" s="1019">
        <f t="shared" si="635"/>
        <v>0</v>
      </c>
      <c r="DA446" s="177">
        <f t="shared" si="636"/>
        <v>0</v>
      </c>
      <c r="DB446" s="126"/>
      <c r="DC446" s="125"/>
    </row>
    <row r="447" spans="1:107" ht="51" hidden="1" x14ac:dyDescent="0.25">
      <c r="A447" s="19">
        <v>2026</v>
      </c>
      <c r="B447" s="20">
        <v>479</v>
      </c>
      <c r="C447" s="21" t="s">
        <v>64</v>
      </c>
      <c r="D447" s="21" t="s">
        <v>65</v>
      </c>
      <c r="E447" s="20">
        <v>125</v>
      </c>
      <c r="F447" s="20">
        <v>3000654</v>
      </c>
      <c r="G447" s="20">
        <v>5005023</v>
      </c>
      <c r="H447" s="20">
        <v>3</v>
      </c>
      <c r="I447" s="20">
        <v>12</v>
      </c>
      <c r="J447" s="20">
        <v>24</v>
      </c>
      <c r="K447" s="20">
        <v>135560</v>
      </c>
      <c r="L447" s="21" t="s">
        <v>220</v>
      </c>
      <c r="M447" s="33" t="s">
        <v>221</v>
      </c>
      <c r="N447" s="19">
        <v>97</v>
      </c>
      <c r="O447" s="2"/>
      <c r="P447" s="2" t="s">
        <v>4</v>
      </c>
      <c r="Q447" s="20" t="s">
        <v>68</v>
      </c>
      <c r="R447" s="25" t="s">
        <v>69</v>
      </c>
      <c r="S447" s="41" t="s">
        <v>137</v>
      </c>
      <c r="T447" s="41"/>
      <c r="U447" s="31" t="s">
        <v>300</v>
      </c>
      <c r="V447" s="25" t="s">
        <v>3</v>
      </c>
      <c r="W447" s="25">
        <v>1</v>
      </c>
      <c r="X447" s="595">
        <v>8000</v>
      </c>
      <c r="Y447" s="619"/>
      <c r="Z447" s="2"/>
      <c r="AA447" s="2"/>
      <c r="AB447" s="620"/>
      <c r="AC447" s="25">
        <v>30</v>
      </c>
      <c r="AD447" s="25">
        <v>30</v>
      </c>
      <c r="AE447" s="619"/>
      <c r="AF447" s="2"/>
      <c r="AG447" s="2"/>
      <c r="AH447" s="2"/>
      <c r="AI447" s="2"/>
      <c r="AJ447" s="621"/>
      <c r="AK447" s="596">
        <v>16000</v>
      </c>
      <c r="AL447" s="29" t="s">
        <v>73</v>
      </c>
      <c r="AM447" s="29" t="s">
        <v>73</v>
      </c>
      <c r="AN447" s="29" t="s">
        <v>73</v>
      </c>
      <c r="AO447" s="29" t="s">
        <v>73</v>
      </c>
      <c r="AP447" s="478">
        <v>8000</v>
      </c>
      <c r="AQ447" s="478">
        <v>8000</v>
      </c>
      <c r="AR447" s="29" t="s">
        <v>73</v>
      </c>
      <c r="AS447" s="29" t="s">
        <v>73</v>
      </c>
      <c r="AT447" s="29" t="s">
        <v>73</v>
      </c>
      <c r="AU447" s="29" t="s">
        <v>73</v>
      </c>
      <c r="AV447" s="29" t="s">
        <v>73</v>
      </c>
      <c r="AW447" s="29" t="s">
        <v>73</v>
      </c>
      <c r="AX447" s="30">
        <v>16000</v>
      </c>
      <c r="AY447" s="479" t="s">
        <v>6</v>
      </c>
      <c r="AZ447" s="2" t="s">
        <v>74</v>
      </c>
      <c r="BA447" s="2"/>
      <c r="BK447" s="125" t="s">
        <v>790</v>
      </c>
      <c r="BL447" s="481" t="s">
        <v>791</v>
      </c>
      <c r="BM447" s="125" t="s">
        <v>2057</v>
      </c>
      <c r="BN447" s="655" t="s">
        <v>2058</v>
      </c>
      <c r="BO447" s="284" t="s">
        <v>1808</v>
      </c>
      <c r="BP447" s="129">
        <v>46134</v>
      </c>
      <c r="BQ447" s="18"/>
      <c r="BR447" s="505" t="s">
        <v>2122</v>
      </c>
      <c r="BS447" s="18"/>
      <c r="BT447" s="264" t="s">
        <v>2002</v>
      </c>
      <c r="BU447" s="264" t="s">
        <v>1841</v>
      </c>
      <c r="BV447" s="125" t="s">
        <v>2123</v>
      </c>
      <c r="BW447" s="125" t="s">
        <v>2124</v>
      </c>
      <c r="BX447" s="125" t="s">
        <v>2125</v>
      </c>
      <c r="BY447" s="125">
        <v>41716347</v>
      </c>
      <c r="BZ447" s="125">
        <v>10417163471</v>
      </c>
      <c r="CA447" s="126">
        <v>8000</v>
      </c>
      <c r="CB447" s="289">
        <v>46143</v>
      </c>
      <c r="CC447" s="289">
        <v>46203</v>
      </c>
      <c r="CD447" s="759"/>
      <c r="CE447" s="177">
        <f t="shared" si="613"/>
        <v>30</v>
      </c>
      <c r="CF447" s="1019">
        <f t="shared" si="614"/>
        <v>8000</v>
      </c>
      <c r="CG447" s="177">
        <v>30</v>
      </c>
      <c r="CH447" s="1019">
        <f t="shared" si="615"/>
        <v>8000.0000000000009</v>
      </c>
      <c r="CI447" s="177">
        <v>30</v>
      </c>
      <c r="CJ447" s="1019">
        <f t="shared" si="660"/>
        <v>8000.0000000000009</v>
      </c>
      <c r="CK447" s="177">
        <f t="shared" si="616"/>
        <v>0</v>
      </c>
      <c r="CL447" s="177">
        <f t="shared" si="617"/>
        <v>0</v>
      </c>
      <c r="CM447" s="1006"/>
      <c r="CN447" s="177">
        <f t="shared" si="618"/>
        <v>30</v>
      </c>
      <c r="CO447" s="1019">
        <f t="shared" si="619"/>
        <v>8000</v>
      </c>
      <c r="CP447" s="177">
        <v>30</v>
      </c>
      <c r="CQ447" s="1019">
        <f t="shared" si="620"/>
        <v>8000.0000000000009</v>
      </c>
      <c r="CR447" s="1019">
        <v>30</v>
      </c>
      <c r="CS447" s="1019">
        <f t="shared" si="621"/>
        <v>8000.0000000000009</v>
      </c>
      <c r="CT447" s="177">
        <f t="shared" si="622"/>
        <v>0</v>
      </c>
      <c r="CU447" s="177">
        <f t="shared" si="623"/>
        <v>0</v>
      </c>
      <c r="CV447" s="1006"/>
      <c r="CW447" s="177">
        <f t="shared" si="632"/>
        <v>16000</v>
      </c>
      <c r="CX447" s="1019">
        <f t="shared" si="633"/>
        <v>16000.000000000002</v>
      </c>
      <c r="CY447" s="177">
        <f t="shared" si="634"/>
        <v>16000.000000000002</v>
      </c>
      <c r="CZ447" s="1019">
        <f t="shared" si="635"/>
        <v>0</v>
      </c>
      <c r="DA447" s="177">
        <f t="shared" si="636"/>
        <v>0</v>
      </c>
      <c r="DB447" s="126"/>
      <c r="DC447" s="125"/>
    </row>
    <row r="448" spans="1:107" ht="51" hidden="1" x14ac:dyDescent="0.25">
      <c r="A448" s="19">
        <v>2026</v>
      </c>
      <c r="B448" s="20">
        <v>479</v>
      </c>
      <c r="C448" s="21" t="s">
        <v>64</v>
      </c>
      <c r="D448" s="21" t="s">
        <v>65</v>
      </c>
      <c r="E448" s="20">
        <v>125</v>
      </c>
      <c r="F448" s="20">
        <v>3000654</v>
      </c>
      <c r="G448" s="20">
        <v>5005023</v>
      </c>
      <c r="H448" s="20">
        <v>3</v>
      </c>
      <c r="I448" s="20">
        <v>12</v>
      </c>
      <c r="J448" s="20">
        <v>24</v>
      </c>
      <c r="K448" s="20">
        <v>135560</v>
      </c>
      <c r="L448" s="21" t="s">
        <v>98</v>
      </c>
      <c r="M448" s="33" t="s">
        <v>99</v>
      </c>
      <c r="N448" s="19">
        <v>94</v>
      </c>
      <c r="O448" s="2"/>
      <c r="P448" s="2" t="s">
        <v>4</v>
      </c>
      <c r="Q448" s="20" t="s">
        <v>68</v>
      </c>
      <c r="R448" s="25" t="s">
        <v>69</v>
      </c>
      <c r="S448" s="41" t="s">
        <v>137</v>
      </c>
      <c r="T448" s="41"/>
      <c r="U448" s="31" t="s">
        <v>301</v>
      </c>
      <c r="V448" s="25" t="s">
        <v>3</v>
      </c>
      <c r="W448" s="25">
        <v>1</v>
      </c>
      <c r="X448" s="595">
        <v>8000</v>
      </c>
      <c r="Y448" s="619"/>
      <c r="Z448" s="2"/>
      <c r="AA448" s="2"/>
      <c r="AB448" s="620"/>
      <c r="AC448" s="25">
        <v>30</v>
      </c>
      <c r="AD448" s="25">
        <v>0</v>
      </c>
      <c r="AE448" s="619"/>
      <c r="AF448" s="2"/>
      <c r="AG448" s="2"/>
      <c r="AH448" s="2"/>
      <c r="AI448" s="2"/>
      <c r="AJ448" s="621"/>
      <c r="AK448" s="596">
        <v>8000</v>
      </c>
      <c r="AL448" s="29" t="s">
        <v>73</v>
      </c>
      <c r="AM448" s="29" t="s">
        <v>73</v>
      </c>
      <c r="AN448" s="29" t="s">
        <v>73</v>
      </c>
      <c r="AO448" s="29" t="s">
        <v>73</v>
      </c>
      <c r="AP448" s="478">
        <v>8000</v>
      </c>
      <c r="AQ448" s="648">
        <v>0</v>
      </c>
      <c r="AR448" s="29" t="s">
        <v>73</v>
      </c>
      <c r="AS448" s="29" t="s">
        <v>73</v>
      </c>
      <c r="AT448" s="29" t="s">
        <v>73</v>
      </c>
      <c r="AU448" s="29" t="s">
        <v>73</v>
      </c>
      <c r="AV448" s="29" t="s">
        <v>73</v>
      </c>
      <c r="AW448" s="29" t="s">
        <v>73</v>
      </c>
      <c r="AX448" s="30">
        <v>8000</v>
      </c>
      <c r="AY448" s="165" t="s">
        <v>6</v>
      </c>
      <c r="AZ448" s="2" t="s">
        <v>74</v>
      </c>
      <c r="BA448" s="2"/>
      <c r="BK448" s="147" t="s">
        <v>790</v>
      </c>
      <c r="BL448" s="481" t="s">
        <v>791</v>
      </c>
      <c r="BM448" s="125" t="s">
        <v>2057</v>
      </c>
      <c r="BN448" s="655" t="s">
        <v>2058</v>
      </c>
      <c r="BO448" s="284" t="s">
        <v>1808</v>
      </c>
      <c r="BP448" s="129">
        <v>46134</v>
      </c>
      <c r="BQ448" s="18"/>
      <c r="BR448" s="505" t="s">
        <v>2126</v>
      </c>
      <c r="BS448" s="18"/>
      <c r="BT448" s="264" t="s">
        <v>2002</v>
      </c>
      <c r="BU448" s="18"/>
      <c r="BV448" s="125" t="s">
        <v>2127</v>
      </c>
      <c r="BW448" s="125" t="s">
        <v>2128</v>
      </c>
      <c r="BX448" s="125" t="s">
        <v>1089</v>
      </c>
      <c r="BY448" s="125">
        <v>47341348</v>
      </c>
      <c r="BZ448" s="125">
        <v>10473413481</v>
      </c>
      <c r="CA448" s="126">
        <v>8000</v>
      </c>
      <c r="CB448" s="289">
        <v>46143</v>
      </c>
      <c r="CC448" s="289">
        <v>46173</v>
      </c>
      <c r="CD448" s="759"/>
      <c r="CE448" s="177">
        <f t="shared" ref="CE448:CE514" si="661">AC448</f>
        <v>30</v>
      </c>
      <c r="CF448" s="1019">
        <f t="shared" ref="CF448:CF514" si="662">AP448</f>
        <v>8000</v>
      </c>
      <c r="CG448" s="177">
        <v>30</v>
      </c>
      <c r="CH448" s="1019">
        <f t="shared" ref="CH448:CH514" si="663">(X448/30)*CG448</f>
        <v>8000.0000000000009</v>
      </c>
      <c r="CI448" s="177">
        <v>30</v>
      </c>
      <c r="CJ448" s="1019">
        <f t="shared" ref="CJ448:CJ514" si="664">(X448/30)*CI448</f>
        <v>8000.0000000000009</v>
      </c>
      <c r="CK448" s="177">
        <f t="shared" ref="CK448:CK514" si="665">CF448-CH448</f>
        <v>0</v>
      </c>
      <c r="CL448" s="177">
        <f t="shared" ref="CL448:CL514" si="666">CF448-CJ448</f>
        <v>0</v>
      </c>
      <c r="CM448" s="1006"/>
      <c r="CN448" s="177">
        <f t="shared" ref="CN448:CN514" si="667">AD448</f>
        <v>0</v>
      </c>
      <c r="CO448" s="1019">
        <f t="shared" ref="CO448:CO514" si="668">AQ448</f>
        <v>0</v>
      </c>
      <c r="CP448" s="177"/>
      <c r="CQ448" s="1019">
        <f t="shared" ref="CQ448:CQ514" si="669">(X448/30)*CP448</f>
        <v>0</v>
      </c>
      <c r="CR448" s="1019"/>
      <c r="CS448" s="1019">
        <f t="shared" ref="CS448:CS514" si="670">(X448/30)*CR448</f>
        <v>0</v>
      </c>
      <c r="CT448" s="177">
        <f t="shared" ref="CT448:CT514" si="671">CO448-CQ448</f>
        <v>0</v>
      </c>
      <c r="CU448" s="177">
        <f t="shared" ref="CU448:CU514" si="672">CO448-CS448</f>
        <v>0</v>
      </c>
      <c r="CV448" s="1006"/>
      <c r="CW448" s="177">
        <f t="shared" si="632"/>
        <v>8000</v>
      </c>
      <c r="CX448" s="1019">
        <f t="shared" si="633"/>
        <v>8000.0000000000009</v>
      </c>
      <c r="CY448" s="177">
        <f t="shared" si="634"/>
        <v>8000.0000000000009</v>
      </c>
      <c r="CZ448" s="1019">
        <f t="shared" si="635"/>
        <v>0</v>
      </c>
      <c r="DA448" s="177">
        <f t="shared" si="636"/>
        <v>0</v>
      </c>
      <c r="DB448" s="126"/>
      <c r="DC448" s="125"/>
    </row>
    <row r="449" spans="1:107" ht="51" hidden="1" x14ac:dyDescent="0.25">
      <c r="A449" s="19">
        <v>2026</v>
      </c>
      <c r="B449" s="20">
        <v>479</v>
      </c>
      <c r="C449" s="21" t="s">
        <v>64</v>
      </c>
      <c r="D449" s="21" t="s">
        <v>65</v>
      </c>
      <c r="E449" s="20">
        <v>125</v>
      </c>
      <c r="F449" s="20">
        <v>3000654</v>
      </c>
      <c r="G449" s="20">
        <v>5005023</v>
      </c>
      <c r="H449" s="20">
        <v>3</v>
      </c>
      <c r="I449" s="20">
        <v>12</v>
      </c>
      <c r="J449" s="20">
        <v>24</v>
      </c>
      <c r="K449" s="20">
        <v>135560</v>
      </c>
      <c r="L449" s="21" t="s">
        <v>220</v>
      </c>
      <c r="M449" s="33" t="s">
        <v>221</v>
      </c>
      <c r="N449" s="19">
        <v>97</v>
      </c>
      <c r="O449" s="2"/>
      <c r="P449" s="2" t="s">
        <v>4</v>
      </c>
      <c r="Q449" s="20" t="s">
        <v>68</v>
      </c>
      <c r="R449" s="25" t="s">
        <v>69</v>
      </c>
      <c r="S449" s="41" t="s">
        <v>137</v>
      </c>
      <c r="T449" s="41"/>
      <c r="U449" s="31" t="s">
        <v>301</v>
      </c>
      <c r="V449" s="25" t="s">
        <v>3</v>
      </c>
      <c r="W449" s="25">
        <v>1</v>
      </c>
      <c r="X449" s="595">
        <v>8000</v>
      </c>
      <c r="Y449" s="619"/>
      <c r="Z449" s="2"/>
      <c r="AA449" s="2"/>
      <c r="AB449" s="620"/>
      <c r="AC449" s="25">
        <v>0</v>
      </c>
      <c r="AD449" s="25">
        <v>30</v>
      </c>
      <c r="AE449" s="619"/>
      <c r="AF449" s="2"/>
      <c r="AG449" s="2"/>
      <c r="AH449" s="2"/>
      <c r="AI449" s="2"/>
      <c r="AJ449" s="621"/>
      <c r="AK449" s="596">
        <v>8000</v>
      </c>
      <c r="AL449" s="29" t="s">
        <v>73</v>
      </c>
      <c r="AM449" s="29" t="s">
        <v>73</v>
      </c>
      <c r="AN449" s="29" t="s">
        <v>73</v>
      </c>
      <c r="AO449" s="29" t="s">
        <v>73</v>
      </c>
      <c r="AP449" s="648">
        <v>0</v>
      </c>
      <c r="AQ449" s="478">
        <v>8000</v>
      </c>
      <c r="AR449" s="29" t="s">
        <v>73</v>
      </c>
      <c r="AS449" s="29" t="s">
        <v>73</v>
      </c>
      <c r="AT449" s="29" t="s">
        <v>73</v>
      </c>
      <c r="AU449" s="29" t="s">
        <v>73</v>
      </c>
      <c r="AV449" s="29" t="s">
        <v>73</v>
      </c>
      <c r="AW449" s="29" t="s">
        <v>73</v>
      </c>
      <c r="AX449" s="30">
        <v>8000</v>
      </c>
      <c r="AY449" s="479" t="s">
        <v>6</v>
      </c>
      <c r="AZ449" s="2" t="s">
        <v>74</v>
      </c>
      <c r="BA449" s="2"/>
      <c r="BK449" s="125" t="s">
        <v>790</v>
      </c>
      <c r="BL449" s="481" t="s">
        <v>791</v>
      </c>
      <c r="BM449" s="125" t="s">
        <v>1812</v>
      </c>
      <c r="BN449" s="177" t="s">
        <v>1813</v>
      </c>
      <c r="BO449" s="125" t="s">
        <v>1814</v>
      </c>
      <c r="BP449" s="129">
        <v>46156</v>
      </c>
      <c r="BQ449" s="18"/>
      <c r="BR449" s="239">
        <v>5032</v>
      </c>
      <c r="BS449" s="18"/>
      <c r="BT449" s="264"/>
      <c r="BU449" s="18" t="s">
        <v>1815</v>
      </c>
      <c r="BV449" s="125" t="s">
        <v>2127</v>
      </c>
      <c r="BW449" s="125" t="s">
        <v>2128</v>
      </c>
      <c r="BX449" s="125" t="s">
        <v>1089</v>
      </c>
      <c r="BY449" s="125">
        <v>47341348</v>
      </c>
      <c r="BZ449" s="125">
        <v>10473413481</v>
      </c>
      <c r="CA449" s="126">
        <v>8000</v>
      </c>
      <c r="CB449" s="289">
        <v>46174</v>
      </c>
      <c r="CC449" s="289">
        <v>46203</v>
      </c>
      <c r="CD449" s="759"/>
      <c r="CE449" s="177">
        <f t="shared" si="661"/>
        <v>0</v>
      </c>
      <c r="CF449" s="1019">
        <f t="shared" si="662"/>
        <v>0</v>
      </c>
      <c r="CG449" s="177"/>
      <c r="CH449" s="1019">
        <f t="shared" si="663"/>
        <v>0</v>
      </c>
      <c r="CI449" s="177"/>
      <c r="CJ449" s="1019">
        <f t="shared" si="664"/>
        <v>0</v>
      </c>
      <c r="CK449" s="177">
        <f t="shared" si="665"/>
        <v>0</v>
      </c>
      <c r="CL449" s="177">
        <f t="shared" si="666"/>
        <v>0</v>
      </c>
      <c r="CM449" s="1006"/>
      <c r="CN449" s="177">
        <f t="shared" si="667"/>
        <v>30</v>
      </c>
      <c r="CO449" s="1019">
        <f t="shared" si="668"/>
        <v>8000</v>
      </c>
      <c r="CP449" s="177">
        <v>30</v>
      </c>
      <c r="CQ449" s="1019">
        <f t="shared" si="669"/>
        <v>8000.0000000000009</v>
      </c>
      <c r="CR449" s="1019">
        <v>30</v>
      </c>
      <c r="CS449" s="1019">
        <f t="shared" si="670"/>
        <v>8000.0000000000009</v>
      </c>
      <c r="CT449" s="177">
        <f t="shared" si="671"/>
        <v>0</v>
      </c>
      <c r="CU449" s="177">
        <f t="shared" si="672"/>
        <v>0</v>
      </c>
      <c r="CV449" s="1006"/>
      <c r="CW449" s="177">
        <f t="shared" si="632"/>
        <v>8000</v>
      </c>
      <c r="CX449" s="1019">
        <f t="shared" si="633"/>
        <v>8000.0000000000009</v>
      </c>
      <c r="CY449" s="177">
        <f t="shared" si="634"/>
        <v>8000.0000000000009</v>
      </c>
      <c r="CZ449" s="1019">
        <f t="shared" si="635"/>
        <v>0</v>
      </c>
      <c r="DA449" s="177">
        <f t="shared" si="636"/>
        <v>0</v>
      </c>
      <c r="DB449" s="126"/>
      <c r="DC449" s="125"/>
    </row>
    <row r="450" spans="1:107" ht="51" hidden="1" x14ac:dyDescent="0.25">
      <c r="A450" s="19">
        <v>2026</v>
      </c>
      <c r="B450" s="20">
        <v>479</v>
      </c>
      <c r="C450" s="21" t="s">
        <v>64</v>
      </c>
      <c r="D450" s="21" t="s">
        <v>65</v>
      </c>
      <c r="E450" s="20">
        <v>125</v>
      </c>
      <c r="F450" s="20">
        <v>3000654</v>
      </c>
      <c r="G450" s="20">
        <v>5005023</v>
      </c>
      <c r="H450" s="20">
        <v>3</v>
      </c>
      <c r="I450" s="20">
        <v>12</v>
      </c>
      <c r="J450" s="20">
        <v>24</v>
      </c>
      <c r="K450" s="20">
        <v>135560</v>
      </c>
      <c r="L450" s="21" t="s">
        <v>98</v>
      </c>
      <c r="M450" s="33" t="s">
        <v>99</v>
      </c>
      <c r="N450" s="19">
        <v>94</v>
      </c>
      <c r="O450" s="2"/>
      <c r="P450" s="2" t="s">
        <v>4</v>
      </c>
      <c r="Q450" s="20" t="s">
        <v>68</v>
      </c>
      <c r="R450" s="25" t="s">
        <v>69</v>
      </c>
      <c r="S450" s="41" t="s">
        <v>137</v>
      </c>
      <c r="T450" s="41"/>
      <c r="U450" s="31" t="s">
        <v>302</v>
      </c>
      <c r="V450" s="25" t="s">
        <v>3</v>
      </c>
      <c r="W450" s="25">
        <v>1</v>
      </c>
      <c r="X450" s="595">
        <v>8000</v>
      </c>
      <c r="Y450" s="619"/>
      <c r="Z450" s="2"/>
      <c r="AA450" s="2"/>
      <c r="AB450" s="620"/>
      <c r="AC450" s="25">
        <v>30</v>
      </c>
      <c r="AD450" s="25">
        <v>0</v>
      </c>
      <c r="AE450" s="619"/>
      <c r="AF450" s="2"/>
      <c r="AG450" s="2"/>
      <c r="AH450" s="2"/>
      <c r="AI450" s="2"/>
      <c r="AJ450" s="621"/>
      <c r="AK450" s="596">
        <v>8000</v>
      </c>
      <c r="AL450" s="29" t="s">
        <v>73</v>
      </c>
      <c r="AM450" s="29" t="s">
        <v>73</v>
      </c>
      <c r="AN450" s="29" t="s">
        <v>73</v>
      </c>
      <c r="AO450" s="29" t="s">
        <v>73</v>
      </c>
      <c r="AP450" s="478">
        <v>8000</v>
      </c>
      <c r="AQ450" s="648">
        <v>0</v>
      </c>
      <c r="AR450" s="29" t="s">
        <v>73</v>
      </c>
      <c r="AS450" s="29" t="s">
        <v>73</v>
      </c>
      <c r="AT450" s="29" t="s">
        <v>73</v>
      </c>
      <c r="AU450" s="29" t="s">
        <v>73</v>
      </c>
      <c r="AV450" s="29" t="s">
        <v>73</v>
      </c>
      <c r="AW450" s="29" t="s">
        <v>73</v>
      </c>
      <c r="AX450" s="30">
        <v>8000</v>
      </c>
      <c r="AY450" s="165" t="s">
        <v>6</v>
      </c>
      <c r="AZ450" s="2" t="s">
        <v>74</v>
      </c>
      <c r="BA450" s="2"/>
      <c r="BK450" s="147" t="s">
        <v>790</v>
      </c>
      <c r="BL450" s="481" t="s">
        <v>791</v>
      </c>
      <c r="BM450" s="125" t="s">
        <v>2057</v>
      </c>
      <c r="BN450" s="655" t="s">
        <v>2058</v>
      </c>
      <c r="BO450" s="284" t="s">
        <v>1808</v>
      </c>
      <c r="BP450" s="129">
        <v>46134</v>
      </c>
      <c r="BQ450" s="18"/>
      <c r="BR450" s="505" t="s">
        <v>2129</v>
      </c>
      <c r="BS450" s="18"/>
      <c r="BT450" s="264" t="s">
        <v>2002</v>
      </c>
      <c r="BU450" s="18"/>
      <c r="BV450" s="125" t="s">
        <v>932</v>
      </c>
      <c r="BW450" s="125" t="s">
        <v>1435</v>
      </c>
      <c r="BX450" s="125" t="s">
        <v>2130</v>
      </c>
      <c r="BY450" s="125">
        <v>46752638</v>
      </c>
      <c r="BZ450" s="125">
        <v>10467526389</v>
      </c>
      <c r="CA450" s="126">
        <v>8000</v>
      </c>
      <c r="CB450" s="289">
        <v>46143</v>
      </c>
      <c r="CC450" s="289">
        <v>46173</v>
      </c>
      <c r="CD450" s="759"/>
      <c r="CE450" s="177">
        <f t="shared" si="661"/>
        <v>30</v>
      </c>
      <c r="CF450" s="1019">
        <f t="shared" si="662"/>
        <v>8000</v>
      </c>
      <c r="CG450" s="177">
        <v>30</v>
      </c>
      <c r="CH450" s="1019">
        <f t="shared" si="663"/>
        <v>8000.0000000000009</v>
      </c>
      <c r="CI450" s="177">
        <v>30</v>
      </c>
      <c r="CJ450" s="1019">
        <f t="shared" si="664"/>
        <v>8000.0000000000009</v>
      </c>
      <c r="CK450" s="177">
        <f t="shared" si="665"/>
        <v>0</v>
      </c>
      <c r="CL450" s="177">
        <f t="shared" si="666"/>
        <v>0</v>
      </c>
      <c r="CM450" s="1006"/>
      <c r="CN450" s="177">
        <f t="shared" si="667"/>
        <v>0</v>
      </c>
      <c r="CO450" s="1019">
        <f t="shared" si="668"/>
        <v>0</v>
      </c>
      <c r="CP450" s="177"/>
      <c r="CQ450" s="1019">
        <f t="shared" si="669"/>
        <v>0</v>
      </c>
      <c r="CR450" s="1019"/>
      <c r="CS450" s="1019">
        <f t="shared" si="670"/>
        <v>0</v>
      </c>
      <c r="CT450" s="177">
        <f t="shared" si="671"/>
        <v>0</v>
      </c>
      <c r="CU450" s="177">
        <f t="shared" si="672"/>
        <v>0</v>
      </c>
      <c r="CV450" s="1006"/>
      <c r="CW450" s="177">
        <f t="shared" si="632"/>
        <v>8000</v>
      </c>
      <c r="CX450" s="1019">
        <f t="shared" si="633"/>
        <v>8000.0000000000009</v>
      </c>
      <c r="CY450" s="177">
        <f t="shared" si="634"/>
        <v>8000.0000000000009</v>
      </c>
      <c r="CZ450" s="1019">
        <f t="shared" si="635"/>
        <v>0</v>
      </c>
      <c r="DA450" s="177">
        <f t="shared" si="636"/>
        <v>0</v>
      </c>
      <c r="DB450" s="126"/>
      <c r="DC450" s="125"/>
    </row>
    <row r="451" spans="1:107" ht="51" hidden="1" x14ac:dyDescent="0.25">
      <c r="A451" s="19">
        <v>2026</v>
      </c>
      <c r="B451" s="20">
        <v>479</v>
      </c>
      <c r="C451" s="21" t="s">
        <v>64</v>
      </c>
      <c r="D451" s="21" t="s">
        <v>65</v>
      </c>
      <c r="E451" s="20">
        <v>125</v>
      </c>
      <c r="F451" s="20">
        <v>3000654</v>
      </c>
      <c r="G451" s="20">
        <v>5005023</v>
      </c>
      <c r="H451" s="20">
        <v>3</v>
      </c>
      <c r="I451" s="20">
        <v>12</v>
      </c>
      <c r="J451" s="20">
        <v>24</v>
      </c>
      <c r="K451" s="20">
        <v>135560</v>
      </c>
      <c r="L451" s="21" t="s">
        <v>220</v>
      </c>
      <c r="M451" s="33" t="s">
        <v>221</v>
      </c>
      <c r="N451" s="19">
        <v>97</v>
      </c>
      <c r="O451" s="2"/>
      <c r="P451" s="2" t="s">
        <v>4</v>
      </c>
      <c r="Q451" s="20" t="s">
        <v>68</v>
      </c>
      <c r="R451" s="25" t="s">
        <v>69</v>
      </c>
      <c r="S451" s="41" t="s">
        <v>137</v>
      </c>
      <c r="T451" s="41"/>
      <c r="U451" s="31" t="s">
        <v>302</v>
      </c>
      <c r="V451" s="25" t="s">
        <v>3</v>
      </c>
      <c r="W451" s="25">
        <v>1</v>
      </c>
      <c r="X451" s="595">
        <v>8000</v>
      </c>
      <c r="Y451" s="619"/>
      <c r="Z451" s="2"/>
      <c r="AA451" s="2"/>
      <c r="AB451" s="620"/>
      <c r="AC451" s="25">
        <v>0</v>
      </c>
      <c r="AD451" s="25">
        <v>30</v>
      </c>
      <c r="AE451" s="619"/>
      <c r="AF451" s="2"/>
      <c r="AG451" s="2"/>
      <c r="AH451" s="2"/>
      <c r="AI451" s="2"/>
      <c r="AJ451" s="621"/>
      <c r="AK451" s="596">
        <v>8000</v>
      </c>
      <c r="AL451" s="29" t="s">
        <v>73</v>
      </c>
      <c r="AM451" s="29" t="s">
        <v>73</v>
      </c>
      <c r="AN451" s="29" t="s">
        <v>73</v>
      </c>
      <c r="AO451" s="29" t="s">
        <v>73</v>
      </c>
      <c r="AP451" s="648">
        <v>0</v>
      </c>
      <c r="AQ451" s="478">
        <v>8000</v>
      </c>
      <c r="AR451" s="29" t="s">
        <v>73</v>
      </c>
      <c r="AS451" s="29" t="s">
        <v>73</v>
      </c>
      <c r="AT451" s="29" t="s">
        <v>73</v>
      </c>
      <c r="AU451" s="29" t="s">
        <v>73</v>
      </c>
      <c r="AV451" s="29" t="s">
        <v>73</v>
      </c>
      <c r="AW451" s="29" t="s">
        <v>73</v>
      </c>
      <c r="AX451" s="30">
        <v>8000</v>
      </c>
      <c r="AY451" s="479" t="s">
        <v>6</v>
      </c>
      <c r="AZ451" s="2" t="s">
        <v>74</v>
      </c>
      <c r="BA451" s="2"/>
      <c r="BK451" s="125" t="s">
        <v>790</v>
      </c>
      <c r="BL451" s="481" t="s">
        <v>791</v>
      </c>
      <c r="BM451" s="125" t="s">
        <v>1812</v>
      </c>
      <c r="BN451" s="177" t="s">
        <v>1813</v>
      </c>
      <c r="BO451" s="125" t="s">
        <v>1814</v>
      </c>
      <c r="BP451" s="129">
        <v>46156</v>
      </c>
      <c r="BQ451" s="18"/>
      <c r="BR451" s="287">
        <v>5033</v>
      </c>
      <c r="BS451" s="18"/>
      <c r="BT451" s="264"/>
      <c r="BU451" s="18" t="s">
        <v>1815</v>
      </c>
      <c r="BV451" s="125" t="s">
        <v>932</v>
      </c>
      <c r="BW451" s="125" t="s">
        <v>1435</v>
      </c>
      <c r="BX451" s="125" t="s">
        <v>2130</v>
      </c>
      <c r="BY451" s="125">
        <v>46752638</v>
      </c>
      <c r="BZ451" s="125">
        <v>10467526389</v>
      </c>
      <c r="CA451" s="126">
        <v>8000</v>
      </c>
      <c r="CB451" s="289">
        <v>46174</v>
      </c>
      <c r="CC451" s="289">
        <v>46203</v>
      </c>
      <c r="CD451" s="759"/>
      <c r="CE451" s="177">
        <f t="shared" si="661"/>
        <v>0</v>
      </c>
      <c r="CF451" s="1019">
        <f t="shared" si="662"/>
        <v>0</v>
      </c>
      <c r="CG451" s="177"/>
      <c r="CH451" s="1019">
        <f t="shared" si="663"/>
        <v>0</v>
      </c>
      <c r="CI451" s="177"/>
      <c r="CJ451" s="1019">
        <f t="shared" si="664"/>
        <v>0</v>
      </c>
      <c r="CK451" s="177">
        <f t="shared" si="665"/>
        <v>0</v>
      </c>
      <c r="CL451" s="177">
        <f t="shared" si="666"/>
        <v>0</v>
      </c>
      <c r="CM451" s="1006"/>
      <c r="CN451" s="177">
        <f t="shared" si="667"/>
        <v>30</v>
      </c>
      <c r="CO451" s="1019">
        <f t="shared" si="668"/>
        <v>8000</v>
      </c>
      <c r="CP451" s="177">
        <v>30</v>
      </c>
      <c r="CQ451" s="1019">
        <f t="shared" si="669"/>
        <v>8000.0000000000009</v>
      </c>
      <c r="CR451" s="1019">
        <v>30</v>
      </c>
      <c r="CS451" s="1019">
        <f t="shared" si="670"/>
        <v>8000.0000000000009</v>
      </c>
      <c r="CT451" s="177">
        <f t="shared" si="671"/>
        <v>0</v>
      </c>
      <c r="CU451" s="177">
        <f t="shared" si="672"/>
        <v>0</v>
      </c>
      <c r="CV451" s="1006"/>
      <c r="CW451" s="177">
        <f t="shared" si="632"/>
        <v>8000</v>
      </c>
      <c r="CX451" s="1019">
        <f t="shared" si="633"/>
        <v>8000.0000000000009</v>
      </c>
      <c r="CY451" s="177">
        <f t="shared" si="634"/>
        <v>8000.0000000000009</v>
      </c>
      <c r="CZ451" s="1019">
        <f t="shared" si="635"/>
        <v>0</v>
      </c>
      <c r="DA451" s="177">
        <f t="shared" si="636"/>
        <v>0</v>
      </c>
      <c r="DB451" s="126"/>
      <c r="DC451" s="125"/>
    </row>
    <row r="452" spans="1:107" ht="51" hidden="1" x14ac:dyDescent="0.25">
      <c r="A452" s="19">
        <v>2026</v>
      </c>
      <c r="B452" s="20">
        <v>479</v>
      </c>
      <c r="C452" s="21" t="s">
        <v>64</v>
      </c>
      <c r="D452" s="21" t="s">
        <v>65</v>
      </c>
      <c r="E452" s="20">
        <v>125</v>
      </c>
      <c r="F452" s="20">
        <v>3000654</v>
      </c>
      <c r="G452" s="20">
        <v>5005023</v>
      </c>
      <c r="H452" s="20">
        <v>3</v>
      </c>
      <c r="I452" s="20">
        <v>12</v>
      </c>
      <c r="J452" s="20">
        <v>24</v>
      </c>
      <c r="K452" s="20">
        <v>135560</v>
      </c>
      <c r="L452" s="21" t="s">
        <v>220</v>
      </c>
      <c r="M452" s="33" t="s">
        <v>221</v>
      </c>
      <c r="N452" s="19">
        <v>97</v>
      </c>
      <c r="O452" s="2"/>
      <c r="P452" s="2" t="s">
        <v>4</v>
      </c>
      <c r="Q452" s="20" t="s">
        <v>68</v>
      </c>
      <c r="R452" s="25" t="s">
        <v>69</v>
      </c>
      <c r="S452" s="41" t="s">
        <v>137</v>
      </c>
      <c r="T452" s="41"/>
      <c r="U452" s="31" t="s">
        <v>303</v>
      </c>
      <c r="V452" s="25" t="s">
        <v>3</v>
      </c>
      <c r="W452" s="25">
        <v>1</v>
      </c>
      <c r="X452" s="595">
        <v>8000</v>
      </c>
      <c r="Y452" s="619"/>
      <c r="Z452" s="2"/>
      <c r="AA452" s="2"/>
      <c r="AB452" s="620"/>
      <c r="AC452" s="25">
        <v>30</v>
      </c>
      <c r="AD452" s="25">
        <v>30</v>
      </c>
      <c r="AE452" s="619"/>
      <c r="AF452" s="2"/>
      <c r="AG452" s="2"/>
      <c r="AH452" s="2"/>
      <c r="AI452" s="2"/>
      <c r="AJ452" s="621"/>
      <c r="AK452" s="596">
        <v>16000</v>
      </c>
      <c r="AL452" s="29" t="s">
        <v>73</v>
      </c>
      <c r="AM452" s="29" t="s">
        <v>73</v>
      </c>
      <c r="AN452" s="29" t="s">
        <v>73</v>
      </c>
      <c r="AO452" s="29" t="s">
        <v>73</v>
      </c>
      <c r="AP452" s="478">
        <v>8000</v>
      </c>
      <c r="AQ452" s="478">
        <v>8000</v>
      </c>
      <c r="AR452" s="29" t="s">
        <v>73</v>
      </c>
      <c r="AS452" s="29" t="s">
        <v>73</v>
      </c>
      <c r="AT452" s="29" t="s">
        <v>73</v>
      </c>
      <c r="AU452" s="29" t="s">
        <v>73</v>
      </c>
      <c r="AV452" s="29" t="s">
        <v>73</v>
      </c>
      <c r="AW452" s="29" t="s">
        <v>73</v>
      </c>
      <c r="AX452" s="30">
        <v>16000</v>
      </c>
      <c r="AY452" s="479" t="s">
        <v>6</v>
      </c>
      <c r="AZ452" s="2" t="s">
        <v>74</v>
      </c>
      <c r="BA452" s="2"/>
      <c r="BK452" s="125" t="s">
        <v>790</v>
      </c>
      <c r="BL452" s="481" t="s">
        <v>791</v>
      </c>
      <c r="BM452" s="125" t="s">
        <v>2057</v>
      </c>
      <c r="BN452" s="655" t="s">
        <v>2058</v>
      </c>
      <c r="BO452" s="284" t="s">
        <v>1808</v>
      </c>
      <c r="BP452" s="129">
        <v>46134</v>
      </c>
      <c r="BQ452" s="18"/>
      <c r="BR452" s="505" t="s">
        <v>2131</v>
      </c>
      <c r="BS452" s="18"/>
      <c r="BT452" s="264" t="s">
        <v>2002</v>
      </c>
      <c r="BU452" s="264" t="s">
        <v>1841</v>
      </c>
      <c r="BV452" s="125" t="s">
        <v>2132</v>
      </c>
      <c r="BW452" s="125" t="s">
        <v>2133</v>
      </c>
      <c r="BX452" s="125" t="s">
        <v>2134</v>
      </c>
      <c r="BY452" s="125">
        <v>47114614</v>
      </c>
      <c r="BZ452" s="125">
        <v>10471146141</v>
      </c>
      <c r="CA452" s="126">
        <v>8000</v>
      </c>
      <c r="CB452" s="289">
        <v>46143</v>
      </c>
      <c r="CC452" s="289">
        <v>46203</v>
      </c>
      <c r="CD452" s="759"/>
      <c r="CE452" s="177">
        <f t="shared" si="661"/>
        <v>30</v>
      </c>
      <c r="CF452" s="1019">
        <f t="shared" si="662"/>
        <v>8000</v>
      </c>
      <c r="CG452" s="177">
        <v>30</v>
      </c>
      <c r="CH452" s="1019">
        <f t="shared" si="663"/>
        <v>8000.0000000000009</v>
      </c>
      <c r="CI452" s="177">
        <v>30</v>
      </c>
      <c r="CJ452" s="1019">
        <f t="shared" si="664"/>
        <v>8000.0000000000009</v>
      </c>
      <c r="CK452" s="177">
        <f t="shared" si="665"/>
        <v>0</v>
      </c>
      <c r="CL452" s="177">
        <f t="shared" si="666"/>
        <v>0</v>
      </c>
      <c r="CM452" s="1006"/>
      <c r="CN452" s="177">
        <f t="shared" si="667"/>
        <v>30</v>
      </c>
      <c r="CO452" s="1019">
        <f t="shared" si="668"/>
        <v>8000</v>
      </c>
      <c r="CP452" s="177">
        <v>30</v>
      </c>
      <c r="CQ452" s="1019">
        <f t="shared" si="669"/>
        <v>8000.0000000000009</v>
      </c>
      <c r="CR452" s="1019">
        <v>30</v>
      </c>
      <c r="CS452" s="1019">
        <f t="shared" si="670"/>
        <v>8000.0000000000009</v>
      </c>
      <c r="CT452" s="177">
        <f t="shared" si="671"/>
        <v>0</v>
      </c>
      <c r="CU452" s="177">
        <f t="shared" si="672"/>
        <v>0</v>
      </c>
      <c r="CV452" s="1006"/>
      <c r="CW452" s="177">
        <f t="shared" si="632"/>
        <v>16000</v>
      </c>
      <c r="CX452" s="1019">
        <f t="shared" si="633"/>
        <v>16000.000000000002</v>
      </c>
      <c r="CY452" s="177">
        <f t="shared" si="634"/>
        <v>16000.000000000002</v>
      </c>
      <c r="CZ452" s="1019">
        <f t="shared" si="635"/>
        <v>0</v>
      </c>
      <c r="DA452" s="177">
        <f t="shared" si="636"/>
        <v>0</v>
      </c>
      <c r="DB452" s="126"/>
      <c r="DC452" s="125"/>
    </row>
    <row r="453" spans="1:107" ht="51" hidden="1" x14ac:dyDescent="0.25">
      <c r="A453" s="19">
        <v>2026</v>
      </c>
      <c r="B453" s="20">
        <v>479</v>
      </c>
      <c r="C453" s="21" t="s">
        <v>64</v>
      </c>
      <c r="D453" s="21" t="s">
        <v>65</v>
      </c>
      <c r="E453" s="20">
        <v>125</v>
      </c>
      <c r="F453" s="20">
        <v>3000654</v>
      </c>
      <c r="G453" s="20">
        <v>5005023</v>
      </c>
      <c r="H453" s="20">
        <v>3</v>
      </c>
      <c r="I453" s="20">
        <v>12</v>
      </c>
      <c r="J453" s="20">
        <v>24</v>
      </c>
      <c r="K453" s="20">
        <v>135560</v>
      </c>
      <c r="L453" s="21" t="s">
        <v>220</v>
      </c>
      <c r="M453" s="33" t="s">
        <v>221</v>
      </c>
      <c r="N453" s="19">
        <v>97</v>
      </c>
      <c r="O453" s="2"/>
      <c r="P453" s="2" t="s">
        <v>4</v>
      </c>
      <c r="Q453" s="20" t="s">
        <v>68</v>
      </c>
      <c r="R453" s="25" t="s">
        <v>69</v>
      </c>
      <c r="S453" s="41" t="s">
        <v>137</v>
      </c>
      <c r="T453" s="41"/>
      <c r="U453" s="31" t="s">
        <v>304</v>
      </c>
      <c r="V453" s="25" t="s">
        <v>3</v>
      </c>
      <c r="W453" s="25">
        <v>1</v>
      </c>
      <c r="X453" s="595">
        <v>8000</v>
      </c>
      <c r="Y453" s="619"/>
      <c r="Z453" s="2"/>
      <c r="AA453" s="2"/>
      <c r="AB453" s="620"/>
      <c r="AC453" s="25">
        <v>30</v>
      </c>
      <c r="AD453" s="25">
        <v>30</v>
      </c>
      <c r="AE453" s="619"/>
      <c r="AF453" s="2"/>
      <c r="AG453" s="2"/>
      <c r="AH453" s="2"/>
      <c r="AI453" s="2"/>
      <c r="AJ453" s="621"/>
      <c r="AK453" s="596">
        <v>16000</v>
      </c>
      <c r="AL453" s="29" t="s">
        <v>73</v>
      </c>
      <c r="AM453" s="29" t="s">
        <v>73</v>
      </c>
      <c r="AN453" s="29" t="s">
        <v>73</v>
      </c>
      <c r="AO453" s="29" t="s">
        <v>73</v>
      </c>
      <c r="AP453" s="478">
        <v>8000</v>
      </c>
      <c r="AQ453" s="478">
        <v>8000</v>
      </c>
      <c r="AR453" s="29" t="s">
        <v>73</v>
      </c>
      <c r="AS453" s="29" t="s">
        <v>73</v>
      </c>
      <c r="AT453" s="29" t="s">
        <v>73</v>
      </c>
      <c r="AU453" s="29" t="s">
        <v>73</v>
      </c>
      <c r="AV453" s="29" t="s">
        <v>73</v>
      </c>
      <c r="AW453" s="29" t="s">
        <v>73</v>
      </c>
      <c r="AX453" s="30">
        <v>16000</v>
      </c>
      <c r="AY453" s="479" t="s">
        <v>6</v>
      </c>
      <c r="AZ453" s="2" t="s">
        <v>74</v>
      </c>
      <c r="BA453" s="2"/>
      <c r="BK453" s="125" t="s">
        <v>790</v>
      </c>
      <c r="BL453" s="481" t="s">
        <v>791</v>
      </c>
      <c r="BM453" s="125" t="s">
        <v>2057</v>
      </c>
      <c r="BN453" s="655" t="s">
        <v>2058</v>
      </c>
      <c r="BO453" s="284" t="s">
        <v>1808</v>
      </c>
      <c r="BP453" s="129">
        <v>46134</v>
      </c>
      <c r="BQ453" s="18"/>
      <c r="BR453" s="505" t="s">
        <v>2135</v>
      </c>
      <c r="BS453" s="18"/>
      <c r="BT453" s="264" t="s">
        <v>2002</v>
      </c>
      <c r="BU453" s="264" t="s">
        <v>1841</v>
      </c>
      <c r="BV453" s="125" t="s">
        <v>1115</v>
      </c>
      <c r="BW453" s="125" t="s">
        <v>2136</v>
      </c>
      <c r="BX453" s="125" t="s">
        <v>2137</v>
      </c>
      <c r="BY453" s="125">
        <v>72417179</v>
      </c>
      <c r="BZ453" s="125">
        <v>10724171791</v>
      </c>
      <c r="CA453" s="126">
        <v>8000</v>
      </c>
      <c r="CB453" s="289">
        <v>46143</v>
      </c>
      <c r="CC453" s="289">
        <v>46203</v>
      </c>
      <c r="CD453" s="759"/>
      <c r="CE453" s="177">
        <f t="shared" si="661"/>
        <v>30</v>
      </c>
      <c r="CF453" s="1019">
        <f t="shared" si="662"/>
        <v>8000</v>
      </c>
      <c r="CG453" s="177">
        <v>30</v>
      </c>
      <c r="CH453" s="1019">
        <f t="shared" si="663"/>
        <v>8000.0000000000009</v>
      </c>
      <c r="CI453" s="177">
        <v>30</v>
      </c>
      <c r="CJ453" s="1019">
        <f t="shared" si="664"/>
        <v>8000.0000000000009</v>
      </c>
      <c r="CK453" s="177">
        <f t="shared" si="665"/>
        <v>0</v>
      </c>
      <c r="CL453" s="177">
        <f t="shared" si="666"/>
        <v>0</v>
      </c>
      <c r="CM453" s="1006"/>
      <c r="CN453" s="177">
        <f t="shared" si="667"/>
        <v>30</v>
      </c>
      <c r="CO453" s="1019">
        <f t="shared" si="668"/>
        <v>8000</v>
      </c>
      <c r="CP453" s="177">
        <v>30</v>
      </c>
      <c r="CQ453" s="1019">
        <f t="shared" si="669"/>
        <v>8000.0000000000009</v>
      </c>
      <c r="CR453" s="1019">
        <v>30</v>
      </c>
      <c r="CS453" s="1019">
        <f t="shared" si="670"/>
        <v>8000.0000000000009</v>
      </c>
      <c r="CT453" s="177">
        <f t="shared" si="671"/>
        <v>0</v>
      </c>
      <c r="CU453" s="177">
        <f t="shared" si="672"/>
        <v>0</v>
      </c>
      <c r="CV453" s="1006"/>
      <c r="CW453" s="177">
        <f t="shared" si="632"/>
        <v>16000</v>
      </c>
      <c r="CX453" s="1019">
        <f t="shared" si="633"/>
        <v>16000.000000000002</v>
      </c>
      <c r="CY453" s="177">
        <f t="shared" si="634"/>
        <v>16000.000000000002</v>
      </c>
      <c r="CZ453" s="1019">
        <f t="shared" si="635"/>
        <v>0</v>
      </c>
      <c r="DA453" s="177">
        <f t="shared" si="636"/>
        <v>0</v>
      </c>
      <c r="DB453" s="126"/>
      <c r="DC453" s="125"/>
    </row>
    <row r="454" spans="1:107" ht="51" hidden="1" x14ac:dyDescent="0.25">
      <c r="A454" s="19">
        <v>2026</v>
      </c>
      <c r="B454" s="20">
        <v>479</v>
      </c>
      <c r="C454" s="21" t="s">
        <v>64</v>
      </c>
      <c r="D454" s="21" t="s">
        <v>65</v>
      </c>
      <c r="E454" s="20">
        <v>125</v>
      </c>
      <c r="F454" s="20">
        <v>3000654</v>
      </c>
      <c r="G454" s="20">
        <v>5005023</v>
      </c>
      <c r="H454" s="20">
        <v>3</v>
      </c>
      <c r="I454" s="20">
        <v>12</v>
      </c>
      <c r="J454" s="20">
        <v>24</v>
      </c>
      <c r="K454" s="20">
        <v>135560</v>
      </c>
      <c r="L454" s="21" t="s">
        <v>98</v>
      </c>
      <c r="M454" s="33" t="s">
        <v>99</v>
      </c>
      <c r="N454" s="19">
        <v>94</v>
      </c>
      <c r="O454" s="2"/>
      <c r="P454" s="2" t="s">
        <v>4</v>
      </c>
      <c r="Q454" s="20" t="s">
        <v>68</v>
      </c>
      <c r="R454" s="25" t="s">
        <v>69</v>
      </c>
      <c r="S454" s="41" t="s">
        <v>137</v>
      </c>
      <c r="T454" s="41"/>
      <c r="U454" s="31" t="s">
        <v>305</v>
      </c>
      <c r="V454" s="25" t="s">
        <v>3</v>
      </c>
      <c r="W454" s="25">
        <v>1</v>
      </c>
      <c r="X454" s="595">
        <v>8000</v>
      </c>
      <c r="Y454" s="619"/>
      <c r="Z454" s="2"/>
      <c r="AA454" s="2"/>
      <c r="AB454" s="620"/>
      <c r="AC454" s="25">
        <v>30</v>
      </c>
      <c r="AD454" s="25">
        <v>0</v>
      </c>
      <c r="AE454" s="619"/>
      <c r="AF454" s="2"/>
      <c r="AG454" s="2"/>
      <c r="AH454" s="2"/>
      <c r="AI454" s="2"/>
      <c r="AJ454" s="621"/>
      <c r="AK454" s="596">
        <v>8000</v>
      </c>
      <c r="AL454" s="29" t="s">
        <v>73</v>
      </c>
      <c r="AM454" s="29" t="s">
        <v>73</v>
      </c>
      <c r="AN454" s="29" t="s">
        <v>73</v>
      </c>
      <c r="AO454" s="29" t="s">
        <v>73</v>
      </c>
      <c r="AP454" s="478">
        <v>8000</v>
      </c>
      <c r="AQ454" s="648">
        <v>0</v>
      </c>
      <c r="AR454" s="29" t="s">
        <v>73</v>
      </c>
      <c r="AS454" s="29" t="s">
        <v>73</v>
      </c>
      <c r="AT454" s="29" t="s">
        <v>73</v>
      </c>
      <c r="AU454" s="29" t="s">
        <v>73</v>
      </c>
      <c r="AV454" s="29" t="s">
        <v>73</v>
      </c>
      <c r="AW454" s="29" t="s">
        <v>73</v>
      </c>
      <c r="AX454" s="30">
        <v>8000</v>
      </c>
      <c r="AY454" s="165" t="s">
        <v>6</v>
      </c>
      <c r="AZ454" s="2" t="s">
        <v>74</v>
      </c>
      <c r="BA454" s="2"/>
      <c r="BK454" s="147" t="s">
        <v>790</v>
      </c>
      <c r="BL454" s="481" t="s">
        <v>791</v>
      </c>
      <c r="BM454" s="125" t="s">
        <v>2057</v>
      </c>
      <c r="BN454" s="655" t="s">
        <v>2058</v>
      </c>
      <c r="BO454" s="284" t="s">
        <v>1808</v>
      </c>
      <c r="BP454" s="129">
        <v>46134</v>
      </c>
      <c r="BQ454" s="18"/>
      <c r="BR454" s="505" t="s">
        <v>2138</v>
      </c>
      <c r="BS454" s="18"/>
      <c r="BT454" s="264" t="s">
        <v>2002</v>
      </c>
      <c r="BU454" s="18"/>
      <c r="BV454" s="125" t="s">
        <v>2139</v>
      </c>
      <c r="BW454" s="125" t="s">
        <v>2140</v>
      </c>
      <c r="BX454" s="125" t="s">
        <v>2141</v>
      </c>
      <c r="BY454" s="125">
        <v>46435523</v>
      </c>
      <c r="BZ454" s="125">
        <v>10464355231</v>
      </c>
      <c r="CA454" s="126">
        <v>8000</v>
      </c>
      <c r="CB454" s="289">
        <v>46143</v>
      </c>
      <c r="CC454" s="289">
        <v>46173</v>
      </c>
      <c r="CD454" s="759"/>
      <c r="CE454" s="177">
        <f t="shared" si="661"/>
        <v>30</v>
      </c>
      <c r="CF454" s="1019">
        <f t="shared" si="662"/>
        <v>8000</v>
      </c>
      <c r="CG454" s="177">
        <v>30</v>
      </c>
      <c r="CH454" s="1019">
        <f t="shared" si="663"/>
        <v>8000.0000000000009</v>
      </c>
      <c r="CI454" s="177">
        <v>30</v>
      </c>
      <c r="CJ454" s="1019">
        <f t="shared" si="664"/>
        <v>8000.0000000000009</v>
      </c>
      <c r="CK454" s="177">
        <f t="shared" si="665"/>
        <v>0</v>
      </c>
      <c r="CL454" s="177">
        <f t="shared" si="666"/>
        <v>0</v>
      </c>
      <c r="CM454" s="1006"/>
      <c r="CN454" s="177">
        <f t="shared" si="667"/>
        <v>0</v>
      </c>
      <c r="CO454" s="1019">
        <f t="shared" si="668"/>
        <v>0</v>
      </c>
      <c r="CP454" s="177"/>
      <c r="CQ454" s="1019">
        <f t="shared" si="669"/>
        <v>0</v>
      </c>
      <c r="CR454" s="1019"/>
      <c r="CS454" s="1019">
        <f t="shared" si="670"/>
        <v>0</v>
      </c>
      <c r="CT454" s="177">
        <f t="shared" si="671"/>
        <v>0</v>
      </c>
      <c r="CU454" s="177">
        <f t="shared" si="672"/>
        <v>0</v>
      </c>
      <c r="CV454" s="1006"/>
      <c r="CW454" s="177">
        <f t="shared" si="632"/>
        <v>8000</v>
      </c>
      <c r="CX454" s="1019">
        <f t="shared" si="633"/>
        <v>8000.0000000000009</v>
      </c>
      <c r="CY454" s="177">
        <f t="shared" si="634"/>
        <v>8000.0000000000009</v>
      </c>
      <c r="CZ454" s="1019">
        <f t="shared" si="635"/>
        <v>0</v>
      </c>
      <c r="DA454" s="177">
        <f t="shared" si="636"/>
        <v>0</v>
      </c>
      <c r="DB454" s="126"/>
      <c r="DC454" s="125"/>
    </row>
    <row r="455" spans="1:107" ht="51" hidden="1" x14ac:dyDescent="0.25">
      <c r="A455" s="19">
        <v>2026</v>
      </c>
      <c r="B455" s="20">
        <v>479</v>
      </c>
      <c r="C455" s="21" t="s">
        <v>64</v>
      </c>
      <c r="D455" s="21" t="s">
        <v>65</v>
      </c>
      <c r="E455" s="20">
        <v>125</v>
      </c>
      <c r="F455" s="20">
        <v>3000654</v>
      </c>
      <c r="G455" s="20">
        <v>5005023</v>
      </c>
      <c r="H455" s="20">
        <v>3</v>
      </c>
      <c r="I455" s="20">
        <v>12</v>
      </c>
      <c r="J455" s="20">
        <v>24</v>
      </c>
      <c r="K455" s="20">
        <v>135560</v>
      </c>
      <c r="L455" s="21" t="s">
        <v>220</v>
      </c>
      <c r="M455" s="33" t="s">
        <v>221</v>
      </c>
      <c r="N455" s="19">
        <v>97</v>
      </c>
      <c r="O455" s="2"/>
      <c r="P455" s="2" t="s">
        <v>4</v>
      </c>
      <c r="Q455" s="20" t="s">
        <v>68</v>
      </c>
      <c r="R455" s="25" t="s">
        <v>69</v>
      </c>
      <c r="S455" s="41" t="s">
        <v>137</v>
      </c>
      <c r="T455" s="41"/>
      <c r="U455" s="31" t="s">
        <v>305</v>
      </c>
      <c r="V455" s="25" t="s">
        <v>3</v>
      </c>
      <c r="W455" s="25">
        <v>1</v>
      </c>
      <c r="X455" s="595">
        <v>8000</v>
      </c>
      <c r="Y455" s="619"/>
      <c r="Z455" s="2"/>
      <c r="AA455" s="2"/>
      <c r="AB455" s="620"/>
      <c r="AC455" s="25">
        <v>0</v>
      </c>
      <c r="AD455" s="25">
        <v>30</v>
      </c>
      <c r="AE455" s="619"/>
      <c r="AF455" s="2"/>
      <c r="AG455" s="2"/>
      <c r="AH455" s="2"/>
      <c r="AI455" s="2"/>
      <c r="AJ455" s="621"/>
      <c r="AK455" s="596">
        <v>8000</v>
      </c>
      <c r="AL455" s="29" t="s">
        <v>73</v>
      </c>
      <c r="AM455" s="29" t="s">
        <v>73</v>
      </c>
      <c r="AN455" s="29" t="s">
        <v>73</v>
      </c>
      <c r="AO455" s="29" t="s">
        <v>73</v>
      </c>
      <c r="AP455" s="648">
        <v>0</v>
      </c>
      <c r="AQ455" s="478">
        <v>8000</v>
      </c>
      <c r="AR455" s="29" t="s">
        <v>73</v>
      </c>
      <c r="AS455" s="29" t="s">
        <v>73</v>
      </c>
      <c r="AT455" s="29" t="s">
        <v>73</v>
      </c>
      <c r="AU455" s="29" t="s">
        <v>73</v>
      </c>
      <c r="AV455" s="29" t="s">
        <v>73</v>
      </c>
      <c r="AW455" s="29" t="s">
        <v>73</v>
      </c>
      <c r="AX455" s="30">
        <v>8000</v>
      </c>
      <c r="AY455" s="479" t="s">
        <v>6</v>
      </c>
      <c r="AZ455" s="2" t="s">
        <v>74</v>
      </c>
      <c r="BA455" s="2"/>
      <c r="BK455" s="125" t="s">
        <v>790</v>
      </c>
      <c r="BL455" s="481" t="s">
        <v>791</v>
      </c>
      <c r="BM455" s="125" t="s">
        <v>1812</v>
      </c>
      <c r="BN455" s="177" t="s">
        <v>1813</v>
      </c>
      <c r="BO455" s="125" t="s">
        <v>1814</v>
      </c>
      <c r="BP455" s="129">
        <v>46156</v>
      </c>
      <c r="BQ455" s="18"/>
      <c r="BR455" s="239">
        <v>5034</v>
      </c>
      <c r="BS455" s="18"/>
      <c r="BT455" s="264"/>
      <c r="BU455" s="18" t="s">
        <v>1815</v>
      </c>
      <c r="BV455" s="125" t="s">
        <v>2139</v>
      </c>
      <c r="BW455" s="125" t="s">
        <v>2140</v>
      </c>
      <c r="BX455" s="125" t="s">
        <v>2141</v>
      </c>
      <c r="BY455" s="125">
        <v>46435523</v>
      </c>
      <c r="BZ455" s="125">
        <v>10464355231</v>
      </c>
      <c r="CA455" s="126">
        <v>8000</v>
      </c>
      <c r="CB455" s="289">
        <v>46174</v>
      </c>
      <c r="CC455" s="289">
        <v>46203</v>
      </c>
      <c r="CD455" s="759"/>
      <c r="CE455" s="177">
        <f t="shared" si="661"/>
        <v>0</v>
      </c>
      <c r="CF455" s="1019">
        <f t="shared" si="662"/>
        <v>0</v>
      </c>
      <c r="CG455" s="177"/>
      <c r="CH455" s="1019">
        <f t="shared" si="663"/>
        <v>0</v>
      </c>
      <c r="CI455" s="177"/>
      <c r="CJ455" s="1019">
        <f t="shared" si="664"/>
        <v>0</v>
      </c>
      <c r="CK455" s="177">
        <f t="shared" si="665"/>
        <v>0</v>
      </c>
      <c r="CL455" s="177">
        <f t="shared" si="666"/>
        <v>0</v>
      </c>
      <c r="CM455" s="1006"/>
      <c r="CN455" s="177">
        <f t="shared" si="667"/>
        <v>30</v>
      </c>
      <c r="CO455" s="1019">
        <f t="shared" si="668"/>
        <v>8000</v>
      </c>
      <c r="CP455" s="177">
        <v>30</v>
      </c>
      <c r="CQ455" s="1019">
        <f t="shared" si="669"/>
        <v>8000.0000000000009</v>
      </c>
      <c r="CR455" s="1019">
        <v>30</v>
      </c>
      <c r="CS455" s="1019">
        <f t="shared" si="670"/>
        <v>8000.0000000000009</v>
      </c>
      <c r="CT455" s="177">
        <f t="shared" si="671"/>
        <v>0</v>
      </c>
      <c r="CU455" s="177">
        <f t="shared" si="672"/>
        <v>0</v>
      </c>
      <c r="CV455" s="1006"/>
      <c r="CW455" s="177">
        <f t="shared" si="632"/>
        <v>8000</v>
      </c>
      <c r="CX455" s="1019">
        <f t="shared" si="633"/>
        <v>8000.0000000000009</v>
      </c>
      <c r="CY455" s="177">
        <f t="shared" si="634"/>
        <v>8000.0000000000009</v>
      </c>
      <c r="CZ455" s="1019">
        <f t="shared" si="635"/>
        <v>0</v>
      </c>
      <c r="DA455" s="177">
        <f t="shared" si="636"/>
        <v>0</v>
      </c>
      <c r="DB455" s="126"/>
      <c r="DC455" s="125"/>
    </row>
    <row r="456" spans="1:107" ht="51" hidden="1" x14ac:dyDescent="0.25">
      <c r="A456" s="19">
        <v>2026</v>
      </c>
      <c r="B456" s="20">
        <v>479</v>
      </c>
      <c r="C456" s="21" t="s">
        <v>64</v>
      </c>
      <c r="D456" s="21" t="s">
        <v>65</v>
      </c>
      <c r="E456" s="20">
        <v>125</v>
      </c>
      <c r="F456" s="20">
        <v>3000654</v>
      </c>
      <c r="G456" s="20">
        <v>5005023</v>
      </c>
      <c r="H456" s="20">
        <v>3</v>
      </c>
      <c r="I456" s="20">
        <v>12</v>
      </c>
      <c r="J456" s="20">
        <v>24</v>
      </c>
      <c r="K456" s="20">
        <v>135560</v>
      </c>
      <c r="L456" s="21" t="s">
        <v>98</v>
      </c>
      <c r="M456" s="33" t="s">
        <v>99</v>
      </c>
      <c r="N456" s="19">
        <v>94</v>
      </c>
      <c r="O456" s="2"/>
      <c r="P456" s="2" t="s">
        <v>4</v>
      </c>
      <c r="Q456" s="20" t="s">
        <v>68</v>
      </c>
      <c r="R456" s="25" t="s">
        <v>69</v>
      </c>
      <c r="S456" s="41" t="s">
        <v>137</v>
      </c>
      <c r="T456" s="41"/>
      <c r="U456" s="31" t="s">
        <v>306</v>
      </c>
      <c r="V456" s="25" t="s">
        <v>3</v>
      </c>
      <c r="W456" s="25">
        <v>1</v>
      </c>
      <c r="X456" s="595">
        <v>3500</v>
      </c>
      <c r="Y456" s="619"/>
      <c r="Z456" s="2"/>
      <c r="AA456" s="2"/>
      <c r="AB456" s="620"/>
      <c r="AC456" s="25">
        <v>30</v>
      </c>
      <c r="AD456" s="25">
        <v>0</v>
      </c>
      <c r="AE456" s="619"/>
      <c r="AF456" s="2"/>
      <c r="AG456" s="2"/>
      <c r="AH456" s="2"/>
      <c r="AI456" s="2"/>
      <c r="AJ456" s="621"/>
      <c r="AK456" s="596">
        <v>3500</v>
      </c>
      <c r="AL456" s="29" t="s">
        <v>73</v>
      </c>
      <c r="AM456" s="29" t="s">
        <v>73</v>
      </c>
      <c r="AN456" s="29" t="s">
        <v>73</v>
      </c>
      <c r="AO456" s="29" t="s">
        <v>73</v>
      </c>
      <c r="AP456" s="478">
        <v>3500</v>
      </c>
      <c r="AQ456" s="648">
        <v>0</v>
      </c>
      <c r="AR456" s="29" t="s">
        <v>73</v>
      </c>
      <c r="AS456" s="29" t="s">
        <v>73</v>
      </c>
      <c r="AT456" s="29" t="s">
        <v>73</v>
      </c>
      <c r="AU456" s="29" t="s">
        <v>73</v>
      </c>
      <c r="AV456" s="29" t="s">
        <v>73</v>
      </c>
      <c r="AW456" s="29" t="s">
        <v>73</v>
      </c>
      <c r="AX456" s="30">
        <v>3500</v>
      </c>
      <c r="AY456" s="165" t="s">
        <v>6</v>
      </c>
      <c r="AZ456" s="2" t="s">
        <v>74</v>
      </c>
      <c r="BA456" s="2"/>
      <c r="BK456" s="147" t="s">
        <v>790</v>
      </c>
      <c r="BL456" s="481" t="s">
        <v>791</v>
      </c>
      <c r="BM456" s="125" t="s">
        <v>2057</v>
      </c>
      <c r="BN456" s="655" t="s">
        <v>2058</v>
      </c>
      <c r="BO456" s="284" t="s">
        <v>1808</v>
      </c>
      <c r="BP456" s="129">
        <v>46134</v>
      </c>
      <c r="BQ456" s="18"/>
      <c r="BR456" s="505" t="s">
        <v>2142</v>
      </c>
      <c r="BS456" s="18"/>
      <c r="BT456" s="264" t="s">
        <v>1809</v>
      </c>
      <c r="BU456" s="18"/>
      <c r="BV456" s="125" t="s">
        <v>1339</v>
      </c>
      <c r="BW456" s="125" t="s">
        <v>910</v>
      </c>
      <c r="BX456" s="125" t="s">
        <v>2143</v>
      </c>
      <c r="BY456" s="125">
        <v>72758321</v>
      </c>
      <c r="BZ456" s="125">
        <v>10727583217</v>
      </c>
      <c r="CA456" s="126">
        <v>3500</v>
      </c>
      <c r="CB456" s="289">
        <v>46143</v>
      </c>
      <c r="CC456" s="289">
        <v>46158</v>
      </c>
      <c r="CD456" s="759"/>
      <c r="CE456" s="177">
        <f t="shared" si="661"/>
        <v>30</v>
      </c>
      <c r="CF456" s="1019">
        <f t="shared" si="662"/>
        <v>3500</v>
      </c>
      <c r="CG456" s="177">
        <v>30</v>
      </c>
      <c r="CH456" s="1019">
        <f t="shared" si="663"/>
        <v>3500</v>
      </c>
      <c r="CI456" s="177">
        <v>30</v>
      </c>
      <c r="CJ456" s="1019">
        <f t="shared" si="664"/>
        <v>3500</v>
      </c>
      <c r="CK456" s="177">
        <f t="shared" si="665"/>
        <v>0</v>
      </c>
      <c r="CL456" s="177">
        <f t="shared" si="666"/>
        <v>0</v>
      </c>
      <c r="CM456" s="1006"/>
      <c r="CN456" s="177">
        <f t="shared" si="667"/>
        <v>0</v>
      </c>
      <c r="CO456" s="1019">
        <f t="shared" si="668"/>
        <v>0</v>
      </c>
      <c r="CP456" s="177"/>
      <c r="CQ456" s="1019">
        <f t="shared" si="669"/>
        <v>0</v>
      </c>
      <c r="CR456" s="1019"/>
      <c r="CS456" s="1019">
        <f t="shared" si="670"/>
        <v>0</v>
      </c>
      <c r="CT456" s="177">
        <f t="shared" si="671"/>
        <v>0</v>
      </c>
      <c r="CU456" s="177">
        <f t="shared" si="672"/>
        <v>0</v>
      </c>
      <c r="CV456" s="1006"/>
      <c r="CW456" s="177">
        <f t="shared" si="632"/>
        <v>3500</v>
      </c>
      <c r="CX456" s="1019">
        <f t="shared" si="633"/>
        <v>3500</v>
      </c>
      <c r="CY456" s="177">
        <f t="shared" si="634"/>
        <v>3500</v>
      </c>
      <c r="CZ456" s="1019">
        <f t="shared" si="635"/>
        <v>0</v>
      </c>
      <c r="DA456" s="177">
        <f t="shared" si="636"/>
        <v>0</v>
      </c>
      <c r="DB456" s="126"/>
      <c r="DC456" s="125"/>
    </row>
    <row r="457" spans="1:107" ht="51" hidden="1" x14ac:dyDescent="0.25">
      <c r="A457" s="19">
        <v>2026</v>
      </c>
      <c r="B457" s="20">
        <v>479</v>
      </c>
      <c r="C457" s="21" t="s">
        <v>64</v>
      </c>
      <c r="D457" s="21" t="s">
        <v>65</v>
      </c>
      <c r="E457" s="20">
        <v>125</v>
      </c>
      <c r="F457" s="20">
        <v>3000654</v>
      </c>
      <c r="G457" s="20">
        <v>5005023</v>
      </c>
      <c r="H457" s="20">
        <v>3</v>
      </c>
      <c r="I457" s="20">
        <v>12</v>
      </c>
      <c r="J457" s="20">
        <v>24</v>
      </c>
      <c r="K457" s="20">
        <v>135560</v>
      </c>
      <c r="L457" s="21" t="s">
        <v>220</v>
      </c>
      <c r="M457" s="33" t="s">
        <v>221</v>
      </c>
      <c r="N457" s="19">
        <v>97</v>
      </c>
      <c r="O457" s="2"/>
      <c r="P457" s="2" t="s">
        <v>4</v>
      </c>
      <c r="Q457" s="20" t="s">
        <v>68</v>
      </c>
      <c r="R457" s="25" t="s">
        <v>69</v>
      </c>
      <c r="S457" s="41" t="s">
        <v>137</v>
      </c>
      <c r="T457" s="41"/>
      <c r="U457" s="31" t="s">
        <v>306</v>
      </c>
      <c r="V457" s="25" t="s">
        <v>3</v>
      </c>
      <c r="W457" s="25">
        <v>1</v>
      </c>
      <c r="X457" s="595">
        <v>3500</v>
      </c>
      <c r="Y457" s="619"/>
      <c r="Z457" s="2"/>
      <c r="AA457" s="2"/>
      <c r="AB457" s="620"/>
      <c r="AC457" s="25">
        <v>0</v>
      </c>
      <c r="AD457" s="25">
        <v>30</v>
      </c>
      <c r="AE457" s="619"/>
      <c r="AF457" s="2"/>
      <c r="AG457" s="2"/>
      <c r="AH457" s="2"/>
      <c r="AI457" s="2"/>
      <c r="AJ457" s="621"/>
      <c r="AK457" s="596">
        <v>3500</v>
      </c>
      <c r="AL457" s="29" t="s">
        <v>73</v>
      </c>
      <c r="AM457" s="29" t="s">
        <v>73</v>
      </c>
      <c r="AN457" s="29" t="s">
        <v>73</v>
      </c>
      <c r="AO457" s="29" t="s">
        <v>73</v>
      </c>
      <c r="AP457" s="648">
        <v>0</v>
      </c>
      <c r="AQ457" s="478">
        <v>3500</v>
      </c>
      <c r="AR457" s="29" t="s">
        <v>73</v>
      </c>
      <c r="AS457" s="29" t="s">
        <v>73</v>
      </c>
      <c r="AT457" s="29" t="s">
        <v>73</v>
      </c>
      <c r="AU457" s="29" t="s">
        <v>73</v>
      </c>
      <c r="AV457" s="29" t="s">
        <v>73</v>
      </c>
      <c r="AW457" s="29" t="s">
        <v>73</v>
      </c>
      <c r="AX457" s="30">
        <v>3500</v>
      </c>
      <c r="AY457" s="479" t="s">
        <v>6</v>
      </c>
      <c r="AZ457" s="2" t="s">
        <v>74</v>
      </c>
      <c r="BA457" s="2"/>
      <c r="BK457" s="125" t="s">
        <v>790</v>
      </c>
      <c r="BL457" s="481" t="s">
        <v>791</v>
      </c>
      <c r="BM457" s="125" t="s">
        <v>1812</v>
      </c>
      <c r="BN457" s="177" t="s">
        <v>1813</v>
      </c>
      <c r="BO457" s="125" t="s">
        <v>1814</v>
      </c>
      <c r="BP457" s="129">
        <v>46156</v>
      </c>
      <c r="BQ457" s="18"/>
      <c r="BR457" s="952">
        <v>5035</v>
      </c>
      <c r="BS457" s="18"/>
      <c r="BT457" s="264"/>
      <c r="BU457" s="18" t="s">
        <v>1815</v>
      </c>
      <c r="BV457" s="125" t="s">
        <v>1339</v>
      </c>
      <c r="BW457" s="125" t="s">
        <v>910</v>
      </c>
      <c r="BX457" s="125" t="s">
        <v>2143</v>
      </c>
      <c r="BY457" s="125">
        <v>72758321</v>
      </c>
      <c r="BZ457" s="125">
        <v>10727583217</v>
      </c>
      <c r="CA457" s="126">
        <v>3500</v>
      </c>
      <c r="CB457" s="289">
        <v>46174</v>
      </c>
      <c r="CC457" s="289">
        <v>46203</v>
      </c>
      <c r="CD457" s="759"/>
      <c r="CE457" s="177">
        <f t="shared" si="661"/>
        <v>0</v>
      </c>
      <c r="CF457" s="1019">
        <f t="shared" si="662"/>
        <v>0</v>
      </c>
      <c r="CG457" s="177"/>
      <c r="CH457" s="1019">
        <f t="shared" si="663"/>
        <v>0</v>
      </c>
      <c r="CI457" s="177"/>
      <c r="CJ457" s="1019">
        <f t="shared" si="664"/>
        <v>0</v>
      </c>
      <c r="CK457" s="177">
        <f t="shared" si="665"/>
        <v>0</v>
      </c>
      <c r="CL457" s="177">
        <f t="shared" si="666"/>
        <v>0</v>
      </c>
      <c r="CM457" s="1006"/>
      <c r="CN457" s="177">
        <f t="shared" si="667"/>
        <v>30</v>
      </c>
      <c r="CO457" s="1019">
        <f t="shared" si="668"/>
        <v>3500</v>
      </c>
      <c r="CP457" s="177">
        <v>30</v>
      </c>
      <c r="CQ457" s="1019">
        <f t="shared" si="669"/>
        <v>3500</v>
      </c>
      <c r="CR457" s="1019">
        <v>30</v>
      </c>
      <c r="CS457" s="1019">
        <f t="shared" si="670"/>
        <v>3500</v>
      </c>
      <c r="CT457" s="177">
        <f t="shared" si="671"/>
        <v>0</v>
      </c>
      <c r="CU457" s="177">
        <f t="shared" si="672"/>
        <v>0</v>
      </c>
      <c r="CV457" s="1006"/>
      <c r="CW457" s="177">
        <f t="shared" si="632"/>
        <v>3500</v>
      </c>
      <c r="CX457" s="1019">
        <f t="shared" si="633"/>
        <v>3500</v>
      </c>
      <c r="CY457" s="177">
        <f t="shared" si="634"/>
        <v>3500</v>
      </c>
      <c r="CZ457" s="1019">
        <f t="shared" si="635"/>
        <v>0</v>
      </c>
      <c r="DA457" s="177">
        <f t="shared" si="636"/>
        <v>0</v>
      </c>
      <c r="DB457" s="126"/>
      <c r="DC457" s="125"/>
    </row>
    <row r="458" spans="1:107" ht="51" hidden="1" x14ac:dyDescent="0.25">
      <c r="A458" s="19">
        <v>2026</v>
      </c>
      <c r="B458" s="20">
        <v>479</v>
      </c>
      <c r="C458" s="21" t="s">
        <v>64</v>
      </c>
      <c r="D458" s="21" t="s">
        <v>65</v>
      </c>
      <c r="E458" s="20">
        <v>125</v>
      </c>
      <c r="F458" s="20">
        <v>3000654</v>
      </c>
      <c r="G458" s="20">
        <v>5005023</v>
      </c>
      <c r="H458" s="20">
        <v>3</v>
      </c>
      <c r="I458" s="20">
        <v>12</v>
      </c>
      <c r="J458" s="20">
        <v>24</v>
      </c>
      <c r="K458" s="20">
        <v>135560</v>
      </c>
      <c r="L458" s="21" t="s">
        <v>220</v>
      </c>
      <c r="M458" s="33" t="s">
        <v>221</v>
      </c>
      <c r="N458" s="19">
        <v>97</v>
      </c>
      <c r="O458" s="2"/>
      <c r="P458" s="2" t="s">
        <v>4</v>
      </c>
      <c r="Q458" s="20" t="s">
        <v>68</v>
      </c>
      <c r="R458" s="25" t="s">
        <v>69</v>
      </c>
      <c r="S458" s="41" t="s">
        <v>137</v>
      </c>
      <c r="T458" s="41"/>
      <c r="U458" s="31" t="s">
        <v>307</v>
      </c>
      <c r="V458" s="25" t="s">
        <v>3</v>
      </c>
      <c r="W458" s="25">
        <v>1</v>
      </c>
      <c r="X458" s="595">
        <v>3500</v>
      </c>
      <c r="Y458" s="619"/>
      <c r="Z458" s="2"/>
      <c r="AA458" s="2"/>
      <c r="AB458" s="620"/>
      <c r="AC458" s="25">
        <v>30</v>
      </c>
      <c r="AD458" s="25">
        <v>30</v>
      </c>
      <c r="AE458" s="619"/>
      <c r="AF458" s="2"/>
      <c r="AG458" s="2"/>
      <c r="AH458" s="2"/>
      <c r="AI458" s="2"/>
      <c r="AJ458" s="621"/>
      <c r="AK458" s="596">
        <v>7000</v>
      </c>
      <c r="AL458" s="29" t="s">
        <v>73</v>
      </c>
      <c r="AM458" s="29" t="s">
        <v>73</v>
      </c>
      <c r="AN458" s="29" t="s">
        <v>73</v>
      </c>
      <c r="AO458" s="29" t="s">
        <v>73</v>
      </c>
      <c r="AP458" s="478">
        <v>3500</v>
      </c>
      <c r="AQ458" s="478">
        <v>3500</v>
      </c>
      <c r="AR458" s="29" t="s">
        <v>73</v>
      </c>
      <c r="AS458" s="29" t="s">
        <v>73</v>
      </c>
      <c r="AT458" s="29" t="s">
        <v>73</v>
      </c>
      <c r="AU458" s="29" t="s">
        <v>73</v>
      </c>
      <c r="AV458" s="29" t="s">
        <v>73</v>
      </c>
      <c r="AW458" s="29" t="s">
        <v>73</v>
      </c>
      <c r="AX458" s="30">
        <v>7000</v>
      </c>
      <c r="AY458" s="479" t="s">
        <v>6</v>
      </c>
      <c r="AZ458" s="2" t="s">
        <v>74</v>
      </c>
      <c r="BA458" s="2"/>
      <c r="BK458" s="125" t="s">
        <v>790</v>
      </c>
      <c r="BL458" s="481" t="s">
        <v>791</v>
      </c>
      <c r="BM458" s="125" t="s">
        <v>2057</v>
      </c>
      <c r="BN458" s="655" t="s">
        <v>2058</v>
      </c>
      <c r="BO458" s="284" t="s">
        <v>1808</v>
      </c>
      <c r="BP458" s="129">
        <v>46134</v>
      </c>
      <c r="BQ458" s="18"/>
      <c r="BR458" s="505" t="s">
        <v>2144</v>
      </c>
      <c r="BS458" s="18"/>
      <c r="BT458" s="264" t="s">
        <v>2002</v>
      </c>
      <c r="BU458" s="264" t="s">
        <v>1841</v>
      </c>
      <c r="BV458" s="125" t="s">
        <v>929</v>
      </c>
      <c r="BW458" s="125" t="s">
        <v>1886</v>
      </c>
      <c r="BX458" s="125" t="s">
        <v>842</v>
      </c>
      <c r="BY458" s="125">
        <v>70025761</v>
      </c>
      <c r="BZ458" s="125" t="s">
        <v>2145</v>
      </c>
      <c r="CA458" s="126">
        <v>3500</v>
      </c>
      <c r="CB458" s="289">
        <v>46143</v>
      </c>
      <c r="CC458" s="289">
        <v>46203</v>
      </c>
      <c r="CD458" s="759"/>
      <c r="CE458" s="177">
        <f t="shared" si="661"/>
        <v>30</v>
      </c>
      <c r="CF458" s="1019">
        <f t="shared" si="662"/>
        <v>3500</v>
      </c>
      <c r="CG458" s="177">
        <v>30</v>
      </c>
      <c r="CH458" s="1019">
        <f t="shared" si="663"/>
        <v>3500</v>
      </c>
      <c r="CI458" s="177">
        <v>30</v>
      </c>
      <c r="CJ458" s="1019">
        <f t="shared" si="664"/>
        <v>3500</v>
      </c>
      <c r="CK458" s="177">
        <f t="shared" si="665"/>
        <v>0</v>
      </c>
      <c r="CL458" s="177">
        <f t="shared" si="666"/>
        <v>0</v>
      </c>
      <c r="CM458" s="1006"/>
      <c r="CN458" s="177">
        <f t="shared" si="667"/>
        <v>30</v>
      </c>
      <c r="CO458" s="1019">
        <f t="shared" si="668"/>
        <v>3500</v>
      </c>
      <c r="CP458" s="177">
        <v>30</v>
      </c>
      <c r="CQ458" s="1019">
        <f t="shared" si="669"/>
        <v>3500</v>
      </c>
      <c r="CR458" s="1019">
        <v>30</v>
      </c>
      <c r="CS458" s="1019">
        <f t="shared" si="670"/>
        <v>3500</v>
      </c>
      <c r="CT458" s="177">
        <f t="shared" si="671"/>
        <v>0</v>
      </c>
      <c r="CU458" s="177">
        <f t="shared" si="672"/>
        <v>0</v>
      </c>
      <c r="CV458" s="1006"/>
      <c r="CW458" s="177">
        <f t="shared" si="632"/>
        <v>7000</v>
      </c>
      <c r="CX458" s="1019">
        <f t="shared" si="633"/>
        <v>7000</v>
      </c>
      <c r="CY458" s="177">
        <f t="shared" si="634"/>
        <v>7000</v>
      </c>
      <c r="CZ458" s="1019">
        <f t="shared" si="635"/>
        <v>0</v>
      </c>
      <c r="DA458" s="177">
        <f t="shared" si="636"/>
        <v>0</v>
      </c>
      <c r="DB458" s="126"/>
      <c r="DC458" s="125"/>
    </row>
    <row r="459" spans="1:107" ht="51" hidden="1" x14ac:dyDescent="0.25">
      <c r="A459" s="19">
        <v>2026</v>
      </c>
      <c r="B459" s="20">
        <v>479</v>
      </c>
      <c r="C459" s="21" t="s">
        <v>64</v>
      </c>
      <c r="D459" s="21" t="s">
        <v>65</v>
      </c>
      <c r="E459" s="20">
        <v>125</v>
      </c>
      <c r="F459" s="20">
        <v>3000654</v>
      </c>
      <c r="G459" s="20">
        <v>5005023</v>
      </c>
      <c r="H459" s="20">
        <v>3</v>
      </c>
      <c r="I459" s="20">
        <v>12</v>
      </c>
      <c r="J459" s="20">
        <v>24</v>
      </c>
      <c r="K459" s="20">
        <v>135560</v>
      </c>
      <c r="L459" s="21" t="s">
        <v>220</v>
      </c>
      <c r="M459" s="33" t="s">
        <v>221</v>
      </c>
      <c r="N459" s="19">
        <v>97</v>
      </c>
      <c r="O459" s="2"/>
      <c r="P459" s="2" t="s">
        <v>4</v>
      </c>
      <c r="Q459" s="20" t="s">
        <v>68</v>
      </c>
      <c r="R459" s="25" t="s">
        <v>69</v>
      </c>
      <c r="S459" s="41" t="s">
        <v>137</v>
      </c>
      <c r="T459" s="41"/>
      <c r="U459" s="31" t="s">
        <v>308</v>
      </c>
      <c r="V459" s="25" t="s">
        <v>3</v>
      </c>
      <c r="W459" s="25">
        <v>1</v>
      </c>
      <c r="X459" s="595">
        <v>3500</v>
      </c>
      <c r="Y459" s="619"/>
      <c r="Z459" s="2"/>
      <c r="AA459" s="2"/>
      <c r="AB459" s="620"/>
      <c r="AC459" s="25">
        <v>30</v>
      </c>
      <c r="AD459" s="25">
        <v>30</v>
      </c>
      <c r="AE459" s="619"/>
      <c r="AF459" s="2"/>
      <c r="AG459" s="2"/>
      <c r="AH459" s="2"/>
      <c r="AI459" s="2"/>
      <c r="AJ459" s="621"/>
      <c r="AK459" s="596">
        <v>7000</v>
      </c>
      <c r="AL459" s="29" t="s">
        <v>73</v>
      </c>
      <c r="AM459" s="29" t="s">
        <v>73</v>
      </c>
      <c r="AN459" s="29" t="s">
        <v>73</v>
      </c>
      <c r="AO459" s="29" t="s">
        <v>73</v>
      </c>
      <c r="AP459" s="478">
        <v>3500</v>
      </c>
      <c r="AQ459" s="478">
        <v>3500</v>
      </c>
      <c r="AR459" s="29" t="s">
        <v>73</v>
      </c>
      <c r="AS459" s="29" t="s">
        <v>73</v>
      </c>
      <c r="AT459" s="29" t="s">
        <v>73</v>
      </c>
      <c r="AU459" s="29" t="s">
        <v>73</v>
      </c>
      <c r="AV459" s="29" t="s">
        <v>73</v>
      </c>
      <c r="AW459" s="29" t="s">
        <v>73</v>
      </c>
      <c r="AX459" s="30">
        <v>7000</v>
      </c>
      <c r="AY459" s="479" t="s">
        <v>6</v>
      </c>
      <c r="AZ459" s="2" t="s">
        <v>74</v>
      </c>
      <c r="BA459" s="2"/>
      <c r="BK459" s="125" t="s">
        <v>790</v>
      </c>
      <c r="BL459" s="481" t="s">
        <v>791</v>
      </c>
      <c r="BM459" s="125" t="s">
        <v>2057</v>
      </c>
      <c r="BN459" s="655" t="s">
        <v>2058</v>
      </c>
      <c r="BO459" s="284" t="s">
        <v>1808</v>
      </c>
      <c r="BP459" s="129">
        <v>46134</v>
      </c>
      <c r="BQ459" s="18"/>
      <c r="BR459" s="505" t="s">
        <v>2146</v>
      </c>
      <c r="BS459" s="18"/>
      <c r="BT459" s="264" t="s">
        <v>2002</v>
      </c>
      <c r="BU459" s="264" t="s">
        <v>1841</v>
      </c>
      <c r="BV459" s="125" t="s">
        <v>1715</v>
      </c>
      <c r="BW459" s="125" t="s">
        <v>2136</v>
      </c>
      <c r="BX459" s="125" t="s">
        <v>1100</v>
      </c>
      <c r="BY459" s="125">
        <v>71231054</v>
      </c>
      <c r="BZ459" s="125">
        <v>10712310541</v>
      </c>
      <c r="CA459" s="126">
        <v>3500</v>
      </c>
      <c r="CB459" s="289">
        <v>46143</v>
      </c>
      <c r="CC459" s="289">
        <v>46203</v>
      </c>
      <c r="CD459" s="759"/>
      <c r="CE459" s="177">
        <f t="shared" si="661"/>
        <v>30</v>
      </c>
      <c r="CF459" s="1019">
        <f t="shared" si="662"/>
        <v>3500</v>
      </c>
      <c r="CG459" s="177">
        <v>30</v>
      </c>
      <c r="CH459" s="1019">
        <f t="shared" si="663"/>
        <v>3500</v>
      </c>
      <c r="CI459" s="177">
        <v>30</v>
      </c>
      <c r="CJ459" s="1019">
        <f t="shared" si="664"/>
        <v>3500</v>
      </c>
      <c r="CK459" s="177">
        <f t="shared" si="665"/>
        <v>0</v>
      </c>
      <c r="CL459" s="177">
        <f t="shared" si="666"/>
        <v>0</v>
      </c>
      <c r="CM459" s="1006"/>
      <c r="CN459" s="177">
        <f t="shared" si="667"/>
        <v>30</v>
      </c>
      <c r="CO459" s="1019">
        <f t="shared" si="668"/>
        <v>3500</v>
      </c>
      <c r="CP459" s="177">
        <v>30</v>
      </c>
      <c r="CQ459" s="1019">
        <f t="shared" si="669"/>
        <v>3500</v>
      </c>
      <c r="CR459" s="1019">
        <v>30</v>
      </c>
      <c r="CS459" s="1019">
        <f t="shared" si="670"/>
        <v>3500</v>
      </c>
      <c r="CT459" s="177">
        <f t="shared" si="671"/>
        <v>0</v>
      </c>
      <c r="CU459" s="177">
        <f t="shared" si="672"/>
        <v>0</v>
      </c>
      <c r="CV459" s="1006"/>
      <c r="CW459" s="177">
        <f t="shared" si="632"/>
        <v>7000</v>
      </c>
      <c r="CX459" s="1019">
        <f t="shared" si="633"/>
        <v>7000</v>
      </c>
      <c r="CY459" s="177">
        <f t="shared" si="634"/>
        <v>7000</v>
      </c>
      <c r="CZ459" s="1019">
        <f t="shared" si="635"/>
        <v>0</v>
      </c>
      <c r="DA459" s="177">
        <f t="shared" si="636"/>
        <v>0</v>
      </c>
      <c r="DB459" s="126"/>
      <c r="DC459" s="125"/>
    </row>
    <row r="460" spans="1:107" ht="51" hidden="1" x14ac:dyDescent="0.25">
      <c r="A460" s="19">
        <v>2026</v>
      </c>
      <c r="B460" s="20">
        <v>479</v>
      </c>
      <c r="C460" s="21" t="s">
        <v>64</v>
      </c>
      <c r="D460" s="21" t="s">
        <v>65</v>
      </c>
      <c r="E460" s="20">
        <v>125</v>
      </c>
      <c r="F460" s="20">
        <v>3000654</v>
      </c>
      <c r="G460" s="20">
        <v>5005023</v>
      </c>
      <c r="H460" s="20">
        <v>3</v>
      </c>
      <c r="I460" s="20">
        <v>12</v>
      </c>
      <c r="J460" s="20">
        <v>24</v>
      </c>
      <c r="K460" s="20">
        <v>135560</v>
      </c>
      <c r="L460" s="21" t="s">
        <v>220</v>
      </c>
      <c r="M460" s="33" t="s">
        <v>221</v>
      </c>
      <c r="N460" s="19">
        <v>97</v>
      </c>
      <c r="O460" s="2"/>
      <c r="P460" s="2" t="s">
        <v>4</v>
      </c>
      <c r="Q460" s="20" t="s">
        <v>68</v>
      </c>
      <c r="R460" s="25" t="s">
        <v>69</v>
      </c>
      <c r="S460" s="41" t="s">
        <v>137</v>
      </c>
      <c r="T460" s="41"/>
      <c r="U460" s="31" t="s">
        <v>309</v>
      </c>
      <c r="V460" s="25" t="s">
        <v>3</v>
      </c>
      <c r="W460" s="25">
        <v>1</v>
      </c>
      <c r="X460" s="595">
        <v>3500</v>
      </c>
      <c r="Y460" s="619"/>
      <c r="Z460" s="2"/>
      <c r="AA460" s="2"/>
      <c r="AB460" s="620"/>
      <c r="AC460" s="25">
        <v>30</v>
      </c>
      <c r="AD460" s="25">
        <v>30</v>
      </c>
      <c r="AE460" s="619"/>
      <c r="AF460" s="2"/>
      <c r="AG460" s="2"/>
      <c r="AH460" s="2"/>
      <c r="AI460" s="2"/>
      <c r="AJ460" s="621"/>
      <c r="AK460" s="596">
        <v>7000</v>
      </c>
      <c r="AL460" s="29" t="s">
        <v>73</v>
      </c>
      <c r="AM460" s="29" t="s">
        <v>73</v>
      </c>
      <c r="AN460" s="29" t="s">
        <v>73</v>
      </c>
      <c r="AO460" s="29" t="s">
        <v>73</v>
      </c>
      <c r="AP460" s="478">
        <v>3500</v>
      </c>
      <c r="AQ460" s="478">
        <v>3500</v>
      </c>
      <c r="AR460" s="29" t="s">
        <v>73</v>
      </c>
      <c r="AS460" s="29" t="s">
        <v>73</v>
      </c>
      <c r="AT460" s="29" t="s">
        <v>73</v>
      </c>
      <c r="AU460" s="29" t="s">
        <v>73</v>
      </c>
      <c r="AV460" s="29" t="s">
        <v>73</v>
      </c>
      <c r="AW460" s="29" t="s">
        <v>73</v>
      </c>
      <c r="AX460" s="30">
        <v>7000</v>
      </c>
      <c r="AY460" s="479" t="s">
        <v>6</v>
      </c>
      <c r="AZ460" s="2" t="s">
        <v>74</v>
      </c>
      <c r="BA460" s="2"/>
      <c r="BK460" s="125" t="s">
        <v>790</v>
      </c>
      <c r="BL460" s="481" t="s">
        <v>791</v>
      </c>
      <c r="BM460" s="125" t="s">
        <v>2057</v>
      </c>
      <c r="BN460" s="655" t="s">
        <v>2058</v>
      </c>
      <c r="BO460" s="284" t="s">
        <v>1808</v>
      </c>
      <c r="BP460" s="129">
        <v>46134</v>
      </c>
      <c r="BQ460" s="18"/>
      <c r="BR460" s="505" t="s">
        <v>2147</v>
      </c>
      <c r="BS460" s="18"/>
      <c r="BT460" s="264" t="s">
        <v>2002</v>
      </c>
      <c r="BU460" s="264" t="s">
        <v>1841</v>
      </c>
      <c r="BV460" s="125" t="s">
        <v>817</v>
      </c>
      <c r="BW460" s="125" t="s">
        <v>1137</v>
      </c>
      <c r="BX460" s="125" t="s">
        <v>2148</v>
      </c>
      <c r="BY460" s="125">
        <v>72540564</v>
      </c>
      <c r="BZ460" s="125">
        <v>10725405648</v>
      </c>
      <c r="CA460" s="126">
        <v>3500</v>
      </c>
      <c r="CB460" s="289">
        <v>46143</v>
      </c>
      <c r="CC460" s="289">
        <v>46203</v>
      </c>
      <c r="CD460" s="759"/>
      <c r="CE460" s="177">
        <f t="shared" si="661"/>
        <v>30</v>
      </c>
      <c r="CF460" s="1019">
        <f t="shared" si="662"/>
        <v>3500</v>
      </c>
      <c r="CG460" s="177">
        <v>30</v>
      </c>
      <c r="CH460" s="1019">
        <f t="shared" si="663"/>
        <v>3500</v>
      </c>
      <c r="CI460" s="177">
        <v>30</v>
      </c>
      <c r="CJ460" s="1019">
        <f t="shared" si="664"/>
        <v>3500</v>
      </c>
      <c r="CK460" s="177">
        <f t="shared" si="665"/>
        <v>0</v>
      </c>
      <c r="CL460" s="177">
        <f t="shared" si="666"/>
        <v>0</v>
      </c>
      <c r="CM460" s="1006"/>
      <c r="CN460" s="177">
        <f t="shared" si="667"/>
        <v>30</v>
      </c>
      <c r="CO460" s="1019">
        <f t="shared" si="668"/>
        <v>3500</v>
      </c>
      <c r="CP460" s="177">
        <v>30</v>
      </c>
      <c r="CQ460" s="1019">
        <f t="shared" si="669"/>
        <v>3500</v>
      </c>
      <c r="CR460" s="1019">
        <v>30</v>
      </c>
      <c r="CS460" s="1019">
        <f t="shared" si="670"/>
        <v>3500</v>
      </c>
      <c r="CT460" s="177">
        <f t="shared" si="671"/>
        <v>0</v>
      </c>
      <c r="CU460" s="177">
        <f t="shared" si="672"/>
        <v>0</v>
      </c>
      <c r="CV460" s="1006"/>
      <c r="CW460" s="177">
        <f t="shared" si="632"/>
        <v>7000</v>
      </c>
      <c r="CX460" s="1019">
        <f t="shared" si="633"/>
        <v>7000</v>
      </c>
      <c r="CY460" s="177">
        <f t="shared" si="634"/>
        <v>7000</v>
      </c>
      <c r="CZ460" s="1019">
        <f t="shared" si="635"/>
        <v>0</v>
      </c>
      <c r="DA460" s="177">
        <f t="shared" si="636"/>
        <v>0</v>
      </c>
      <c r="DB460" s="126"/>
      <c r="DC460" s="125"/>
    </row>
    <row r="461" spans="1:107" ht="51" hidden="1" x14ac:dyDescent="0.25">
      <c r="A461" s="19">
        <v>2026</v>
      </c>
      <c r="B461" s="20">
        <v>479</v>
      </c>
      <c r="C461" s="21" t="s">
        <v>64</v>
      </c>
      <c r="D461" s="21" t="s">
        <v>65</v>
      </c>
      <c r="E461" s="20">
        <v>125</v>
      </c>
      <c r="F461" s="20">
        <v>3000654</v>
      </c>
      <c r="G461" s="20">
        <v>5005023</v>
      </c>
      <c r="H461" s="20">
        <v>3</v>
      </c>
      <c r="I461" s="20">
        <v>12</v>
      </c>
      <c r="J461" s="20">
        <v>24</v>
      </c>
      <c r="K461" s="20">
        <v>135560</v>
      </c>
      <c r="L461" s="21" t="s">
        <v>220</v>
      </c>
      <c r="M461" s="33" t="s">
        <v>221</v>
      </c>
      <c r="N461" s="19">
        <v>97</v>
      </c>
      <c r="O461" s="2"/>
      <c r="P461" s="2" t="s">
        <v>4</v>
      </c>
      <c r="Q461" s="20" t="s">
        <v>68</v>
      </c>
      <c r="R461" s="25" t="s">
        <v>69</v>
      </c>
      <c r="S461" s="41" t="s">
        <v>137</v>
      </c>
      <c r="T461" s="41"/>
      <c r="U461" s="31" t="s">
        <v>310</v>
      </c>
      <c r="V461" s="25" t="s">
        <v>3</v>
      </c>
      <c r="W461" s="25">
        <v>1</v>
      </c>
      <c r="X461" s="595">
        <v>7000</v>
      </c>
      <c r="Y461" s="619"/>
      <c r="Z461" s="2"/>
      <c r="AA461" s="2"/>
      <c r="AB461" s="620"/>
      <c r="AC461" s="25">
        <v>30</v>
      </c>
      <c r="AD461" s="25">
        <v>30</v>
      </c>
      <c r="AE461" s="619"/>
      <c r="AF461" s="2"/>
      <c r="AG461" s="2"/>
      <c r="AH461" s="2"/>
      <c r="AI461" s="2"/>
      <c r="AJ461" s="621"/>
      <c r="AK461" s="596">
        <v>14000</v>
      </c>
      <c r="AL461" s="29" t="s">
        <v>73</v>
      </c>
      <c r="AM461" s="29" t="s">
        <v>73</v>
      </c>
      <c r="AN461" s="29" t="s">
        <v>73</v>
      </c>
      <c r="AO461" s="29" t="s">
        <v>73</v>
      </c>
      <c r="AP461" s="478">
        <v>7000</v>
      </c>
      <c r="AQ461" s="478">
        <v>7000</v>
      </c>
      <c r="AR461" s="29" t="s">
        <v>73</v>
      </c>
      <c r="AS461" s="29" t="s">
        <v>73</v>
      </c>
      <c r="AT461" s="29" t="s">
        <v>73</v>
      </c>
      <c r="AU461" s="29" t="s">
        <v>73</v>
      </c>
      <c r="AV461" s="29" t="s">
        <v>73</v>
      </c>
      <c r="AW461" s="29" t="s">
        <v>73</v>
      </c>
      <c r="AX461" s="30">
        <v>14000</v>
      </c>
      <c r="AY461" s="479" t="s">
        <v>6</v>
      </c>
      <c r="AZ461" s="2" t="s">
        <v>74</v>
      </c>
      <c r="BA461" s="2"/>
      <c r="BK461" s="125" t="s">
        <v>790</v>
      </c>
      <c r="BL461" s="481" t="s">
        <v>791</v>
      </c>
      <c r="BM461" s="125" t="s">
        <v>2057</v>
      </c>
      <c r="BN461" s="655" t="s">
        <v>2058</v>
      </c>
      <c r="BO461" s="284" t="s">
        <v>1808</v>
      </c>
      <c r="BP461" s="129">
        <v>46134</v>
      </c>
      <c r="BQ461" s="18"/>
      <c r="BR461" s="505" t="s">
        <v>2149</v>
      </c>
      <c r="BS461" s="18"/>
      <c r="BT461" s="264" t="s">
        <v>2002</v>
      </c>
      <c r="BU461" s="264" t="s">
        <v>1841</v>
      </c>
      <c r="BV461" s="125" t="s">
        <v>1244</v>
      </c>
      <c r="BW461" s="125" t="s">
        <v>2150</v>
      </c>
      <c r="BX461" s="125" t="s">
        <v>2151</v>
      </c>
      <c r="BY461" s="125">
        <v>45011476</v>
      </c>
      <c r="BZ461" s="125">
        <v>10450114761</v>
      </c>
      <c r="CA461" s="126">
        <v>7000</v>
      </c>
      <c r="CB461" s="289">
        <v>46143</v>
      </c>
      <c r="CC461" s="289">
        <v>46203</v>
      </c>
      <c r="CD461" s="759"/>
      <c r="CE461" s="177">
        <f t="shared" si="661"/>
        <v>30</v>
      </c>
      <c r="CF461" s="1019">
        <f t="shared" si="662"/>
        <v>7000</v>
      </c>
      <c r="CG461" s="177">
        <v>30</v>
      </c>
      <c r="CH461" s="1019">
        <f t="shared" si="663"/>
        <v>7000</v>
      </c>
      <c r="CI461" s="177">
        <v>30</v>
      </c>
      <c r="CJ461" s="1019">
        <f t="shared" si="664"/>
        <v>7000</v>
      </c>
      <c r="CK461" s="177">
        <f t="shared" si="665"/>
        <v>0</v>
      </c>
      <c r="CL461" s="177">
        <f t="shared" si="666"/>
        <v>0</v>
      </c>
      <c r="CM461" s="1006"/>
      <c r="CN461" s="177">
        <f t="shared" si="667"/>
        <v>30</v>
      </c>
      <c r="CO461" s="1019">
        <f t="shared" si="668"/>
        <v>7000</v>
      </c>
      <c r="CP461" s="177">
        <v>30</v>
      </c>
      <c r="CQ461" s="1019">
        <f t="shared" si="669"/>
        <v>7000</v>
      </c>
      <c r="CR461" s="1019">
        <v>30</v>
      </c>
      <c r="CS461" s="1019">
        <f t="shared" si="670"/>
        <v>7000</v>
      </c>
      <c r="CT461" s="177">
        <f t="shared" si="671"/>
        <v>0</v>
      </c>
      <c r="CU461" s="177">
        <f t="shared" si="672"/>
        <v>0</v>
      </c>
      <c r="CV461" s="1006"/>
      <c r="CW461" s="177">
        <f t="shared" si="632"/>
        <v>14000</v>
      </c>
      <c r="CX461" s="1019">
        <f t="shared" si="633"/>
        <v>14000</v>
      </c>
      <c r="CY461" s="177">
        <f t="shared" si="634"/>
        <v>14000</v>
      </c>
      <c r="CZ461" s="1019">
        <f t="shared" si="635"/>
        <v>0</v>
      </c>
      <c r="DA461" s="177">
        <f t="shared" si="636"/>
        <v>0</v>
      </c>
      <c r="DB461" s="126"/>
      <c r="DC461" s="125"/>
    </row>
    <row r="462" spans="1:107" ht="51" hidden="1" x14ac:dyDescent="0.25">
      <c r="A462" s="19">
        <v>2026</v>
      </c>
      <c r="B462" s="20">
        <v>479</v>
      </c>
      <c r="C462" s="21" t="s">
        <v>64</v>
      </c>
      <c r="D462" s="21" t="s">
        <v>65</v>
      </c>
      <c r="E462" s="20">
        <v>125</v>
      </c>
      <c r="F462" s="20">
        <v>3000654</v>
      </c>
      <c r="G462" s="20">
        <v>5005023</v>
      </c>
      <c r="H462" s="20">
        <v>3</v>
      </c>
      <c r="I462" s="20">
        <v>12</v>
      </c>
      <c r="J462" s="20">
        <v>24</v>
      </c>
      <c r="K462" s="20">
        <v>135560</v>
      </c>
      <c r="L462" s="21" t="s">
        <v>98</v>
      </c>
      <c r="M462" s="33" t="s">
        <v>99</v>
      </c>
      <c r="N462" s="19">
        <v>94</v>
      </c>
      <c r="O462" s="2"/>
      <c r="P462" s="2" t="s">
        <v>4</v>
      </c>
      <c r="Q462" s="20" t="s">
        <v>68</v>
      </c>
      <c r="R462" s="25" t="s">
        <v>69</v>
      </c>
      <c r="S462" s="41" t="s">
        <v>137</v>
      </c>
      <c r="T462" s="41"/>
      <c r="U462" s="31" t="s">
        <v>311</v>
      </c>
      <c r="V462" s="25" t="s">
        <v>3</v>
      </c>
      <c r="W462" s="25">
        <v>1</v>
      </c>
      <c r="X462" s="595">
        <v>7000</v>
      </c>
      <c r="Y462" s="619"/>
      <c r="Z462" s="2"/>
      <c r="AA462" s="2"/>
      <c r="AB462" s="620"/>
      <c r="AC462" s="25">
        <v>30</v>
      </c>
      <c r="AD462" s="25">
        <v>0</v>
      </c>
      <c r="AE462" s="619"/>
      <c r="AF462" s="2"/>
      <c r="AG462" s="2"/>
      <c r="AH462" s="2"/>
      <c r="AI462" s="2"/>
      <c r="AJ462" s="621"/>
      <c r="AK462" s="596">
        <v>7000</v>
      </c>
      <c r="AL462" s="29" t="s">
        <v>73</v>
      </c>
      <c r="AM462" s="29" t="s">
        <v>73</v>
      </c>
      <c r="AN462" s="29" t="s">
        <v>73</v>
      </c>
      <c r="AO462" s="29" t="s">
        <v>73</v>
      </c>
      <c r="AP462" s="478">
        <v>7000</v>
      </c>
      <c r="AQ462" s="648">
        <v>0</v>
      </c>
      <c r="AR462" s="29" t="s">
        <v>73</v>
      </c>
      <c r="AS462" s="29" t="s">
        <v>73</v>
      </c>
      <c r="AT462" s="29" t="s">
        <v>73</v>
      </c>
      <c r="AU462" s="29" t="s">
        <v>73</v>
      </c>
      <c r="AV462" s="29" t="s">
        <v>73</v>
      </c>
      <c r="AW462" s="29" t="s">
        <v>73</v>
      </c>
      <c r="AX462" s="30">
        <v>7000</v>
      </c>
      <c r="AY462" s="165" t="s">
        <v>6</v>
      </c>
      <c r="AZ462" s="2" t="s">
        <v>74</v>
      </c>
      <c r="BA462" s="2"/>
      <c r="BK462" s="147" t="s">
        <v>790</v>
      </c>
      <c r="BL462" s="481" t="s">
        <v>791</v>
      </c>
      <c r="BM462" s="125" t="s">
        <v>2057</v>
      </c>
      <c r="BN462" s="655" t="s">
        <v>2058</v>
      </c>
      <c r="BO462" s="284" t="s">
        <v>1808</v>
      </c>
      <c r="BP462" s="129">
        <v>46134</v>
      </c>
      <c r="BQ462" s="18"/>
      <c r="BR462" s="505" t="s">
        <v>2152</v>
      </c>
      <c r="BS462" s="18"/>
      <c r="BT462" s="264" t="s">
        <v>2002</v>
      </c>
      <c r="BU462" s="18"/>
      <c r="BV462" s="125" t="s">
        <v>2153</v>
      </c>
      <c r="BW462" s="125" t="s">
        <v>2154</v>
      </c>
      <c r="BX462" s="125" t="s">
        <v>2155</v>
      </c>
      <c r="BY462" s="125">
        <v>70409180</v>
      </c>
      <c r="BZ462" s="125">
        <v>10704091805</v>
      </c>
      <c r="CA462" s="126">
        <v>7000</v>
      </c>
      <c r="CB462" s="289">
        <v>46143</v>
      </c>
      <c r="CC462" s="289">
        <v>46173</v>
      </c>
      <c r="CD462" s="759"/>
      <c r="CE462" s="177">
        <f t="shared" si="661"/>
        <v>30</v>
      </c>
      <c r="CF462" s="1019">
        <f t="shared" si="662"/>
        <v>7000</v>
      </c>
      <c r="CG462" s="177">
        <v>30</v>
      </c>
      <c r="CH462" s="1019">
        <f t="shared" si="663"/>
        <v>7000</v>
      </c>
      <c r="CI462" s="177">
        <v>30</v>
      </c>
      <c r="CJ462" s="1019">
        <f t="shared" si="664"/>
        <v>7000</v>
      </c>
      <c r="CK462" s="177">
        <f t="shared" si="665"/>
        <v>0</v>
      </c>
      <c r="CL462" s="177">
        <f t="shared" si="666"/>
        <v>0</v>
      </c>
      <c r="CM462" s="1006"/>
      <c r="CN462" s="177">
        <f t="shared" si="667"/>
        <v>0</v>
      </c>
      <c r="CO462" s="1019">
        <f t="shared" si="668"/>
        <v>0</v>
      </c>
      <c r="CP462" s="177"/>
      <c r="CQ462" s="1019">
        <f t="shared" si="669"/>
        <v>0</v>
      </c>
      <c r="CR462" s="1019"/>
      <c r="CS462" s="1019">
        <f t="shared" si="670"/>
        <v>0</v>
      </c>
      <c r="CT462" s="177">
        <f t="shared" si="671"/>
        <v>0</v>
      </c>
      <c r="CU462" s="177">
        <f t="shared" si="672"/>
        <v>0</v>
      </c>
      <c r="CV462" s="1006"/>
      <c r="CW462" s="177">
        <f t="shared" si="632"/>
        <v>7000</v>
      </c>
      <c r="CX462" s="1019">
        <f t="shared" si="633"/>
        <v>7000</v>
      </c>
      <c r="CY462" s="177">
        <f t="shared" si="634"/>
        <v>7000</v>
      </c>
      <c r="CZ462" s="1019">
        <f t="shared" si="635"/>
        <v>0</v>
      </c>
      <c r="DA462" s="177">
        <f t="shared" si="636"/>
        <v>0</v>
      </c>
      <c r="DB462" s="126"/>
      <c r="DC462" s="125"/>
    </row>
    <row r="463" spans="1:107" ht="51" hidden="1" x14ac:dyDescent="0.25">
      <c r="A463" s="19">
        <v>2026</v>
      </c>
      <c r="B463" s="20">
        <v>479</v>
      </c>
      <c r="C463" s="21" t="s">
        <v>64</v>
      </c>
      <c r="D463" s="21" t="s">
        <v>65</v>
      </c>
      <c r="E463" s="20">
        <v>125</v>
      </c>
      <c r="F463" s="20">
        <v>3000654</v>
      </c>
      <c r="G463" s="20">
        <v>5005023</v>
      </c>
      <c r="H463" s="20">
        <v>3</v>
      </c>
      <c r="I463" s="20">
        <v>12</v>
      </c>
      <c r="J463" s="20">
        <v>24</v>
      </c>
      <c r="K463" s="20">
        <v>135560</v>
      </c>
      <c r="L463" s="21" t="s">
        <v>220</v>
      </c>
      <c r="M463" s="33" t="s">
        <v>221</v>
      </c>
      <c r="N463" s="19">
        <v>97</v>
      </c>
      <c r="O463" s="2"/>
      <c r="P463" s="2" t="s">
        <v>4</v>
      </c>
      <c r="Q463" s="20" t="s">
        <v>68</v>
      </c>
      <c r="R463" s="25" t="s">
        <v>69</v>
      </c>
      <c r="S463" s="41" t="s">
        <v>137</v>
      </c>
      <c r="T463" s="41"/>
      <c r="U463" s="31" t="s">
        <v>311</v>
      </c>
      <c r="V463" s="25" t="s">
        <v>3</v>
      </c>
      <c r="W463" s="25">
        <v>1</v>
      </c>
      <c r="X463" s="595">
        <v>7000</v>
      </c>
      <c r="Y463" s="619"/>
      <c r="Z463" s="2"/>
      <c r="AA463" s="2"/>
      <c r="AB463" s="620"/>
      <c r="AC463" s="25">
        <v>0</v>
      </c>
      <c r="AD463" s="25">
        <v>30</v>
      </c>
      <c r="AE463" s="619"/>
      <c r="AF463" s="2"/>
      <c r="AG463" s="2"/>
      <c r="AH463" s="2"/>
      <c r="AI463" s="2"/>
      <c r="AJ463" s="621"/>
      <c r="AK463" s="596">
        <v>7000</v>
      </c>
      <c r="AL463" s="29" t="s">
        <v>73</v>
      </c>
      <c r="AM463" s="29" t="s">
        <v>73</v>
      </c>
      <c r="AN463" s="29" t="s">
        <v>73</v>
      </c>
      <c r="AO463" s="29" t="s">
        <v>73</v>
      </c>
      <c r="AP463" s="648">
        <v>0</v>
      </c>
      <c r="AQ463" s="478">
        <v>7000</v>
      </c>
      <c r="AR463" s="29" t="s">
        <v>73</v>
      </c>
      <c r="AS463" s="29" t="s">
        <v>73</v>
      </c>
      <c r="AT463" s="29" t="s">
        <v>73</v>
      </c>
      <c r="AU463" s="29" t="s">
        <v>73</v>
      </c>
      <c r="AV463" s="29" t="s">
        <v>73</v>
      </c>
      <c r="AW463" s="29" t="s">
        <v>73</v>
      </c>
      <c r="AX463" s="30">
        <v>7000</v>
      </c>
      <c r="AY463" s="479" t="s">
        <v>6</v>
      </c>
      <c r="AZ463" s="2" t="s">
        <v>74</v>
      </c>
      <c r="BA463" s="2"/>
      <c r="BK463" s="125" t="s">
        <v>790</v>
      </c>
      <c r="BL463" s="481" t="s">
        <v>791</v>
      </c>
      <c r="BM463" s="125" t="s">
        <v>1812</v>
      </c>
      <c r="BN463" s="177" t="s">
        <v>1813</v>
      </c>
      <c r="BO463" s="125" t="s">
        <v>1814</v>
      </c>
      <c r="BP463" s="129">
        <v>46156</v>
      </c>
      <c r="BQ463" s="18"/>
      <c r="BR463" s="287">
        <v>5036</v>
      </c>
      <c r="BS463" s="18"/>
      <c r="BT463" s="18"/>
      <c r="BU463" s="18" t="s">
        <v>1815</v>
      </c>
      <c r="BV463" s="125" t="s">
        <v>2153</v>
      </c>
      <c r="BW463" s="125" t="s">
        <v>2154</v>
      </c>
      <c r="BX463" s="125" t="s">
        <v>2155</v>
      </c>
      <c r="BY463" s="125">
        <v>70409180</v>
      </c>
      <c r="BZ463" s="125">
        <v>10704091805</v>
      </c>
      <c r="CA463" s="126">
        <v>7000</v>
      </c>
      <c r="CB463" s="289">
        <v>46174</v>
      </c>
      <c r="CC463" s="289">
        <v>46203</v>
      </c>
      <c r="CD463" s="759"/>
      <c r="CE463" s="177">
        <f t="shared" si="661"/>
        <v>0</v>
      </c>
      <c r="CF463" s="1019">
        <f t="shared" si="662"/>
        <v>0</v>
      </c>
      <c r="CG463" s="177"/>
      <c r="CH463" s="1019">
        <f t="shared" si="663"/>
        <v>0</v>
      </c>
      <c r="CI463" s="177"/>
      <c r="CJ463" s="1019">
        <f t="shared" si="664"/>
        <v>0</v>
      </c>
      <c r="CK463" s="177">
        <f t="shared" si="665"/>
        <v>0</v>
      </c>
      <c r="CL463" s="177">
        <f t="shared" si="666"/>
        <v>0</v>
      </c>
      <c r="CM463" s="1006"/>
      <c r="CN463" s="177">
        <f t="shared" si="667"/>
        <v>30</v>
      </c>
      <c r="CO463" s="1019">
        <f t="shared" si="668"/>
        <v>7000</v>
      </c>
      <c r="CP463" s="177">
        <v>30</v>
      </c>
      <c r="CQ463" s="1019">
        <f t="shared" si="669"/>
        <v>7000</v>
      </c>
      <c r="CR463" s="1019">
        <v>30</v>
      </c>
      <c r="CS463" s="1019">
        <f t="shared" si="670"/>
        <v>7000</v>
      </c>
      <c r="CT463" s="177">
        <f t="shared" si="671"/>
        <v>0</v>
      </c>
      <c r="CU463" s="177">
        <f t="shared" si="672"/>
        <v>0</v>
      </c>
      <c r="CV463" s="1006"/>
      <c r="CW463" s="177">
        <f t="shared" si="632"/>
        <v>7000</v>
      </c>
      <c r="CX463" s="1019">
        <f t="shared" si="633"/>
        <v>7000</v>
      </c>
      <c r="CY463" s="177">
        <f t="shared" si="634"/>
        <v>7000</v>
      </c>
      <c r="CZ463" s="1019">
        <f t="shared" si="635"/>
        <v>0</v>
      </c>
      <c r="DA463" s="177">
        <f t="shared" si="636"/>
        <v>0</v>
      </c>
      <c r="DB463" s="126"/>
      <c r="DC463" s="125"/>
    </row>
    <row r="464" spans="1:107" ht="51" hidden="1" x14ac:dyDescent="0.25">
      <c r="A464" s="19">
        <v>2026</v>
      </c>
      <c r="B464" s="20">
        <v>479</v>
      </c>
      <c r="C464" s="21" t="s">
        <v>64</v>
      </c>
      <c r="D464" s="21" t="s">
        <v>65</v>
      </c>
      <c r="E464" s="20">
        <v>125</v>
      </c>
      <c r="F464" s="20">
        <v>3000654</v>
      </c>
      <c r="G464" s="20">
        <v>5005023</v>
      </c>
      <c r="H464" s="20">
        <v>3</v>
      </c>
      <c r="I464" s="20">
        <v>12</v>
      </c>
      <c r="J464" s="20">
        <v>24</v>
      </c>
      <c r="K464" s="20">
        <v>135560</v>
      </c>
      <c r="L464" s="21" t="s">
        <v>98</v>
      </c>
      <c r="M464" s="33" t="s">
        <v>99</v>
      </c>
      <c r="N464" s="19">
        <v>94</v>
      </c>
      <c r="O464" s="2"/>
      <c r="P464" s="2" t="s">
        <v>4</v>
      </c>
      <c r="Q464" s="20" t="s">
        <v>68</v>
      </c>
      <c r="R464" s="25" t="s">
        <v>69</v>
      </c>
      <c r="S464" s="41" t="s">
        <v>137</v>
      </c>
      <c r="T464" s="41"/>
      <c r="U464" s="31" t="s">
        <v>312</v>
      </c>
      <c r="V464" s="25" t="s">
        <v>3</v>
      </c>
      <c r="W464" s="25">
        <v>1</v>
      </c>
      <c r="X464" s="595">
        <v>7000</v>
      </c>
      <c r="Y464" s="619"/>
      <c r="Z464" s="2"/>
      <c r="AA464" s="2"/>
      <c r="AB464" s="620"/>
      <c r="AC464" s="25">
        <v>30</v>
      </c>
      <c r="AD464" s="25">
        <v>0</v>
      </c>
      <c r="AE464" s="619"/>
      <c r="AF464" s="2"/>
      <c r="AG464" s="2"/>
      <c r="AH464" s="2"/>
      <c r="AI464" s="2"/>
      <c r="AJ464" s="621"/>
      <c r="AK464" s="596">
        <v>7000</v>
      </c>
      <c r="AL464" s="29" t="s">
        <v>73</v>
      </c>
      <c r="AM464" s="29" t="s">
        <v>73</v>
      </c>
      <c r="AN464" s="29" t="s">
        <v>73</v>
      </c>
      <c r="AO464" s="29" t="s">
        <v>73</v>
      </c>
      <c r="AP464" s="478">
        <v>7000</v>
      </c>
      <c r="AQ464" s="648">
        <v>0</v>
      </c>
      <c r="AR464" s="29" t="s">
        <v>73</v>
      </c>
      <c r="AS464" s="29" t="s">
        <v>73</v>
      </c>
      <c r="AT464" s="29" t="s">
        <v>73</v>
      </c>
      <c r="AU464" s="29" t="s">
        <v>73</v>
      </c>
      <c r="AV464" s="29" t="s">
        <v>73</v>
      </c>
      <c r="AW464" s="29" t="s">
        <v>73</v>
      </c>
      <c r="AX464" s="30">
        <v>7000</v>
      </c>
      <c r="AY464" s="165" t="s">
        <v>6</v>
      </c>
      <c r="AZ464" s="2" t="s">
        <v>74</v>
      </c>
      <c r="BA464" s="2"/>
      <c r="BK464" s="147" t="s">
        <v>790</v>
      </c>
      <c r="BL464" s="481" t="s">
        <v>791</v>
      </c>
      <c r="BM464" s="125" t="s">
        <v>2057</v>
      </c>
      <c r="BN464" s="655" t="s">
        <v>2058</v>
      </c>
      <c r="BO464" s="284" t="s">
        <v>1808</v>
      </c>
      <c r="BP464" s="129">
        <v>46134</v>
      </c>
      <c r="BQ464" s="18"/>
      <c r="BR464" s="505" t="s">
        <v>2156</v>
      </c>
      <c r="BS464" s="18"/>
      <c r="BT464" s="18" t="s">
        <v>1809</v>
      </c>
      <c r="BU464" s="18"/>
      <c r="BV464" s="125" t="s">
        <v>2157</v>
      </c>
      <c r="BW464" s="125" t="s">
        <v>2158</v>
      </c>
      <c r="BX464" s="125" t="s">
        <v>2159</v>
      </c>
      <c r="BY464" s="125">
        <v>75596254</v>
      </c>
      <c r="BZ464" s="125">
        <v>10755962541</v>
      </c>
      <c r="CA464" s="126">
        <v>7000</v>
      </c>
      <c r="CB464" s="289">
        <v>46143</v>
      </c>
      <c r="CC464" s="289">
        <v>46158</v>
      </c>
      <c r="CD464" s="759"/>
      <c r="CE464" s="177">
        <f t="shared" si="661"/>
        <v>30</v>
      </c>
      <c r="CF464" s="1019">
        <f t="shared" si="662"/>
        <v>7000</v>
      </c>
      <c r="CG464" s="177">
        <v>30</v>
      </c>
      <c r="CH464" s="1019">
        <f t="shared" si="663"/>
        <v>7000</v>
      </c>
      <c r="CI464" s="177">
        <v>30</v>
      </c>
      <c r="CJ464" s="1019">
        <f t="shared" si="664"/>
        <v>7000</v>
      </c>
      <c r="CK464" s="177">
        <f t="shared" si="665"/>
        <v>0</v>
      </c>
      <c r="CL464" s="177">
        <f t="shared" si="666"/>
        <v>0</v>
      </c>
      <c r="CM464" s="1006"/>
      <c r="CN464" s="177">
        <f t="shared" si="667"/>
        <v>0</v>
      </c>
      <c r="CO464" s="1019">
        <f t="shared" si="668"/>
        <v>0</v>
      </c>
      <c r="CP464" s="177"/>
      <c r="CQ464" s="1019">
        <f t="shared" si="669"/>
        <v>0</v>
      </c>
      <c r="CR464" s="1019"/>
      <c r="CS464" s="1019">
        <f t="shared" si="670"/>
        <v>0</v>
      </c>
      <c r="CT464" s="177">
        <f t="shared" si="671"/>
        <v>0</v>
      </c>
      <c r="CU464" s="177">
        <f t="shared" si="672"/>
        <v>0</v>
      </c>
      <c r="CV464" s="1006"/>
      <c r="CW464" s="177">
        <f t="shared" si="632"/>
        <v>7000</v>
      </c>
      <c r="CX464" s="1019">
        <f t="shared" si="633"/>
        <v>7000</v>
      </c>
      <c r="CY464" s="177">
        <f t="shared" si="634"/>
        <v>7000</v>
      </c>
      <c r="CZ464" s="1019">
        <f t="shared" si="635"/>
        <v>0</v>
      </c>
      <c r="DA464" s="177">
        <f t="shared" si="636"/>
        <v>0</v>
      </c>
      <c r="DB464" s="126"/>
      <c r="DC464" s="125"/>
    </row>
    <row r="465" spans="1:108" ht="51" hidden="1" x14ac:dyDescent="0.25">
      <c r="A465" s="19">
        <v>2026</v>
      </c>
      <c r="B465" s="20">
        <v>479</v>
      </c>
      <c r="C465" s="21" t="s">
        <v>64</v>
      </c>
      <c r="D465" s="21" t="s">
        <v>65</v>
      </c>
      <c r="E465" s="20">
        <v>125</v>
      </c>
      <c r="F465" s="20">
        <v>3000654</v>
      </c>
      <c r="G465" s="20">
        <v>5005023</v>
      </c>
      <c r="H465" s="20">
        <v>3</v>
      </c>
      <c r="I465" s="20">
        <v>12</v>
      </c>
      <c r="J465" s="20">
        <v>24</v>
      </c>
      <c r="K465" s="20">
        <v>135560</v>
      </c>
      <c r="L465" s="21" t="s">
        <v>220</v>
      </c>
      <c r="M465" s="33" t="s">
        <v>221</v>
      </c>
      <c r="N465" s="19">
        <v>97</v>
      </c>
      <c r="O465" s="2"/>
      <c r="P465" s="2" t="s">
        <v>4</v>
      </c>
      <c r="Q465" s="20" t="s">
        <v>68</v>
      </c>
      <c r="R465" s="25" t="s">
        <v>69</v>
      </c>
      <c r="S465" s="41" t="s">
        <v>137</v>
      </c>
      <c r="T465" s="41"/>
      <c r="U465" s="31" t="s">
        <v>312</v>
      </c>
      <c r="V465" s="25" t="s">
        <v>3</v>
      </c>
      <c r="W465" s="25">
        <v>1</v>
      </c>
      <c r="X465" s="595">
        <v>7000</v>
      </c>
      <c r="Y465" s="619"/>
      <c r="Z465" s="2"/>
      <c r="AA465" s="2"/>
      <c r="AB465" s="620"/>
      <c r="AC465" s="25">
        <v>0</v>
      </c>
      <c r="AD465" s="25">
        <v>30</v>
      </c>
      <c r="AE465" s="619"/>
      <c r="AF465" s="2"/>
      <c r="AG465" s="2"/>
      <c r="AH465" s="2"/>
      <c r="AI465" s="2"/>
      <c r="AJ465" s="621"/>
      <c r="AK465" s="596">
        <v>7000</v>
      </c>
      <c r="AL465" s="29" t="s">
        <v>73</v>
      </c>
      <c r="AM465" s="29" t="s">
        <v>73</v>
      </c>
      <c r="AN465" s="29" t="s">
        <v>73</v>
      </c>
      <c r="AO465" s="29" t="s">
        <v>73</v>
      </c>
      <c r="AP465" s="648">
        <v>0</v>
      </c>
      <c r="AQ465" s="478">
        <v>7000</v>
      </c>
      <c r="AR465" s="29" t="s">
        <v>73</v>
      </c>
      <c r="AS465" s="29" t="s">
        <v>73</v>
      </c>
      <c r="AT465" s="29" t="s">
        <v>73</v>
      </c>
      <c r="AU465" s="29" t="s">
        <v>73</v>
      </c>
      <c r="AV465" s="29" t="s">
        <v>73</v>
      </c>
      <c r="AW465" s="29" t="s">
        <v>73</v>
      </c>
      <c r="AX465" s="30">
        <v>7000</v>
      </c>
      <c r="AY465" s="479" t="s">
        <v>6</v>
      </c>
      <c r="AZ465" s="2" t="s">
        <v>74</v>
      </c>
      <c r="BA465" s="2"/>
      <c r="BK465" s="125" t="s">
        <v>790</v>
      </c>
      <c r="BL465" s="481" t="s">
        <v>791</v>
      </c>
      <c r="BM465" s="125" t="s">
        <v>1812</v>
      </c>
      <c r="BN465" s="177" t="s">
        <v>1813</v>
      </c>
      <c r="BO465" s="125" t="s">
        <v>1814</v>
      </c>
      <c r="BP465" s="129">
        <v>46156</v>
      </c>
      <c r="BQ465" s="18"/>
      <c r="BR465" s="287">
        <v>5038</v>
      </c>
      <c r="BS465" s="18"/>
      <c r="BT465" s="18"/>
      <c r="BU465" s="18" t="s">
        <v>1815</v>
      </c>
      <c r="BV465" s="125" t="s">
        <v>2157</v>
      </c>
      <c r="BW465" s="125" t="s">
        <v>2158</v>
      </c>
      <c r="BX465" s="125" t="s">
        <v>2159</v>
      </c>
      <c r="BY465" s="125">
        <v>75596254</v>
      </c>
      <c r="BZ465" s="125">
        <v>10755962541</v>
      </c>
      <c r="CA465" s="126">
        <v>7000</v>
      </c>
      <c r="CB465" s="289">
        <v>46174</v>
      </c>
      <c r="CC465" s="289">
        <v>46203</v>
      </c>
      <c r="CD465" s="759"/>
      <c r="CE465" s="177">
        <f t="shared" si="661"/>
        <v>0</v>
      </c>
      <c r="CF465" s="1019">
        <f t="shared" si="662"/>
        <v>0</v>
      </c>
      <c r="CG465" s="177"/>
      <c r="CH465" s="1019">
        <f t="shared" si="663"/>
        <v>0</v>
      </c>
      <c r="CI465" s="177"/>
      <c r="CJ465" s="1019">
        <f t="shared" si="664"/>
        <v>0</v>
      </c>
      <c r="CK465" s="177">
        <f t="shared" si="665"/>
        <v>0</v>
      </c>
      <c r="CL465" s="177">
        <f t="shared" si="666"/>
        <v>0</v>
      </c>
      <c r="CM465" s="1006"/>
      <c r="CN465" s="177">
        <f t="shared" si="667"/>
        <v>30</v>
      </c>
      <c r="CO465" s="1019">
        <f t="shared" si="668"/>
        <v>7000</v>
      </c>
      <c r="CP465" s="177">
        <v>30</v>
      </c>
      <c r="CQ465" s="1019">
        <f t="shared" si="669"/>
        <v>7000</v>
      </c>
      <c r="CR465" s="1019">
        <v>30</v>
      </c>
      <c r="CS465" s="1019">
        <f t="shared" si="670"/>
        <v>7000</v>
      </c>
      <c r="CT465" s="177">
        <f t="shared" si="671"/>
        <v>0</v>
      </c>
      <c r="CU465" s="177">
        <f t="shared" si="672"/>
        <v>0</v>
      </c>
      <c r="CV465" s="1006"/>
      <c r="CW465" s="177">
        <f t="shared" si="632"/>
        <v>7000</v>
      </c>
      <c r="CX465" s="1019">
        <f t="shared" si="633"/>
        <v>7000</v>
      </c>
      <c r="CY465" s="177">
        <f t="shared" si="634"/>
        <v>7000</v>
      </c>
      <c r="CZ465" s="1019">
        <f t="shared" si="635"/>
        <v>0</v>
      </c>
      <c r="DA465" s="177">
        <f t="shared" si="636"/>
        <v>0</v>
      </c>
      <c r="DB465" s="126"/>
      <c r="DC465" s="125"/>
    </row>
    <row r="466" spans="1:108" ht="51" hidden="1" x14ac:dyDescent="0.25">
      <c r="A466" s="19">
        <v>2026</v>
      </c>
      <c r="B466" s="20">
        <v>479</v>
      </c>
      <c r="C466" s="21" t="s">
        <v>64</v>
      </c>
      <c r="D466" s="21" t="s">
        <v>65</v>
      </c>
      <c r="E466" s="20">
        <v>125</v>
      </c>
      <c r="F466" s="20">
        <v>3000654</v>
      </c>
      <c r="G466" s="20">
        <v>5005023</v>
      </c>
      <c r="H466" s="20">
        <v>3</v>
      </c>
      <c r="I466" s="20">
        <v>12</v>
      </c>
      <c r="J466" s="20">
        <v>24</v>
      </c>
      <c r="K466" s="20">
        <v>135560</v>
      </c>
      <c r="L466" s="21" t="s">
        <v>98</v>
      </c>
      <c r="M466" s="33" t="s">
        <v>99</v>
      </c>
      <c r="N466" s="19">
        <v>94</v>
      </c>
      <c r="O466" s="2"/>
      <c r="P466" s="2" t="s">
        <v>4</v>
      </c>
      <c r="Q466" s="20" t="s">
        <v>68</v>
      </c>
      <c r="R466" s="25" t="s">
        <v>69</v>
      </c>
      <c r="S466" s="41" t="s">
        <v>137</v>
      </c>
      <c r="T466" s="41"/>
      <c r="U466" s="31" t="s">
        <v>313</v>
      </c>
      <c r="V466" s="25" t="s">
        <v>3</v>
      </c>
      <c r="W466" s="25">
        <v>1</v>
      </c>
      <c r="X466" s="595">
        <v>7000</v>
      </c>
      <c r="Y466" s="619"/>
      <c r="Z466" s="2"/>
      <c r="AA466" s="2"/>
      <c r="AB466" s="620"/>
      <c r="AC466" s="25">
        <v>30</v>
      </c>
      <c r="AD466" s="25">
        <v>0</v>
      </c>
      <c r="AE466" s="619"/>
      <c r="AF466" s="2"/>
      <c r="AG466" s="2"/>
      <c r="AH466" s="2"/>
      <c r="AI466" s="2"/>
      <c r="AJ466" s="621"/>
      <c r="AK466" s="596">
        <v>7000</v>
      </c>
      <c r="AL466" s="29" t="s">
        <v>73</v>
      </c>
      <c r="AM466" s="29" t="s">
        <v>73</v>
      </c>
      <c r="AN466" s="29" t="s">
        <v>73</v>
      </c>
      <c r="AO466" s="29" t="s">
        <v>73</v>
      </c>
      <c r="AP466" s="478">
        <v>7000</v>
      </c>
      <c r="AQ466" s="648">
        <v>0</v>
      </c>
      <c r="AR466" s="29" t="s">
        <v>73</v>
      </c>
      <c r="AS466" s="29" t="s">
        <v>73</v>
      </c>
      <c r="AT466" s="29" t="s">
        <v>73</v>
      </c>
      <c r="AU466" s="29" t="s">
        <v>73</v>
      </c>
      <c r="AV466" s="29" t="s">
        <v>73</v>
      </c>
      <c r="AW466" s="29" t="s">
        <v>73</v>
      </c>
      <c r="AX466" s="30">
        <v>7000</v>
      </c>
      <c r="AY466" s="165" t="s">
        <v>6</v>
      </c>
      <c r="AZ466" s="2" t="s">
        <v>74</v>
      </c>
      <c r="BA466" s="2"/>
      <c r="BK466" s="147" t="s">
        <v>790</v>
      </c>
      <c r="BL466" s="481" t="s">
        <v>791</v>
      </c>
      <c r="BM466" s="125" t="s">
        <v>2057</v>
      </c>
      <c r="BN466" s="655" t="s">
        <v>2058</v>
      </c>
      <c r="BO466" s="284" t="s">
        <v>1808</v>
      </c>
      <c r="BP466" s="129">
        <v>46134</v>
      </c>
      <c r="BQ466" s="18"/>
      <c r="BR466" s="505" t="s">
        <v>2160</v>
      </c>
      <c r="BS466" s="18"/>
      <c r="BT466" s="18" t="s">
        <v>2002</v>
      </c>
      <c r="BU466" s="18"/>
      <c r="BV466" s="125" t="s">
        <v>2161</v>
      </c>
      <c r="BW466" s="125" t="s">
        <v>1260</v>
      </c>
      <c r="BX466" s="125" t="s">
        <v>2162</v>
      </c>
      <c r="BY466" s="125">
        <v>46837236</v>
      </c>
      <c r="BZ466" s="125">
        <v>10468372369</v>
      </c>
      <c r="CA466" s="126">
        <v>7000</v>
      </c>
      <c r="CB466" s="289">
        <v>46143</v>
      </c>
      <c r="CC466" s="289">
        <v>46173</v>
      </c>
      <c r="CD466" s="759"/>
      <c r="CE466" s="177">
        <f t="shared" si="661"/>
        <v>30</v>
      </c>
      <c r="CF466" s="1019">
        <f t="shared" si="662"/>
        <v>7000</v>
      </c>
      <c r="CG466" s="177">
        <v>30</v>
      </c>
      <c r="CH466" s="1019">
        <f t="shared" si="663"/>
        <v>7000</v>
      </c>
      <c r="CI466" s="177">
        <v>30</v>
      </c>
      <c r="CJ466" s="1019">
        <f t="shared" si="664"/>
        <v>7000</v>
      </c>
      <c r="CK466" s="177">
        <f t="shared" si="665"/>
        <v>0</v>
      </c>
      <c r="CL466" s="177">
        <f t="shared" si="666"/>
        <v>0</v>
      </c>
      <c r="CM466" s="1006"/>
      <c r="CN466" s="177">
        <f t="shared" si="667"/>
        <v>0</v>
      </c>
      <c r="CO466" s="1019">
        <f t="shared" si="668"/>
        <v>0</v>
      </c>
      <c r="CP466" s="177"/>
      <c r="CQ466" s="1019">
        <f t="shared" si="669"/>
        <v>0</v>
      </c>
      <c r="CR466" s="1019"/>
      <c r="CS466" s="1019">
        <f t="shared" si="670"/>
        <v>0</v>
      </c>
      <c r="CT466" s="177">
        <f t="shared" si="671"/>
        <v>0</v>
      </c>
      <c r="CU466" s="177">
        <f t="shared" si="672"/>
        <v>0</v>
      </c>
      <c r="CV466" s="1006"/>
      <c r="CW466" s="177">
        <f t="shared" ref="CW466:CW529" si="673">AX466</f>
        <v>7000</v>
      </c>
      <c r="CX466" s="1019">
        <f t="shared" ref="CX466:CX529" si="674">CH466+CQ466</f>
        <v>7000</v>
      </c>
      <c r="CY466" s="177">
        <f t="shared" ref="CY466:CY529" si="675">CJ466+CS466</f>
        <v>7000</v>
      </c>
      <c r="CZ466" s="1019">
        <f t="shared" ref="CZ466:CZ529" si="676">CW466-CX466</f>
        <v>0</v>
      </c>
      <c r="DA466" s="177">
        <f t="shared" ref="DA466:DA529" si="677">CW466-CY466</f>
        <v>0</v>
      </c>
      <c r="DB466" s="126"/>
      <c r="DC466" s="125"/>
    </row>
    <row r="467" spans="1:108" ht="51" hidden="1" x14ac:dyDescent="0.25">
      <c r="A467" s="19">
        <v>2026</v>
      </c>
      <c r="B467" s="20">
        <v>479</v>
      </c>
      <c r="C467" s="21" t="s">
        <v>64</v>
      </c>
      <c r="D467" s="21" t="s">
        <v>65</v>
      </c>
      <c r="E467" s="20">
        <v>125</v>
      </c>
      <c r="F467" s="20">
        <v>3000654</v>
      </c>
      <c r="G467" s="20">
        <v>5005023</v>
      </c>
      <c r="H467" s="20">
        <v>3</v>
      </c>
      <c r="I467" s="20">
        <v>12</v>
      </c>
      <c r="J467" s="20">
        <v>24</v>
      </c>
      <c r="K467" s="20">
        <v>135560</v>
      </c>
      <c r="L467" s="21" t="s">
        <v>220</v>
      </c>
      <c r="M467" s="33" t="s">
        <v>221</v>
      </c>
      <c r="N467" s="19">
        <v>97</v>
      </c>
      <c r="O467" s="2"/>
      <c r="P467" s="2" t="s">
        <v>4</v>
      </c>
      <c r="Q467" s="20" t="s">
        <v>68</v>
      </c>
      <c r="R467" s="25" t="s">
        <v>69</v>
      </c>
      <c r="S467" s="41" t="s">
        <v>137</v>
      </c>
      <c r="T467" s="41"/>
      <c r="U467" s="31" t="s">
        <v>313</v>
      </c>
      <c r="V467" s="25" t="s">
        <v>3</v>
      </c>
      <c r="W467" s="25">
        <v>1</v>
      </c>
      <c r="X467" s="595">
        <v>7000</v>
      </c>
      <c r="Y467" s="619"/>
      <c r="Z467" s="2"/>
      <c r="AA467" s="2"/>
      <c r="AB467" s="620"/>
      <c r="AC467" s="25">
        <v>0</v>
      </c>
      <c r="AD467" s="25">
        <v>30</v>
      </c>
      <c r="AE467" s="619"/>
      <c r="AF467" s="2"/>
      <c r="AG467" s="2"/>
      <c r="AH467" s="2"/>
      <c r="AI467" s="2"/>
      <c r="AJ467" s="621"/>
      <c r="AK467" s="596">
        <v>7000</v>
      </c>
      <c r="AL467" s="29" t="s">
        <v>73</v>
      </c>
      <c r="AM467" s="29" t="s">
        <v>73</v>
      </c>
      <c r="AN467" s="29" t="s">
        <v>73</v>
      </c>
      <c r="AO467" s="29" t="s">
        <v>73</v>
      </c>
      <c r="AP467" s="648">
        <v>0</v>
      </c>
      <c r="AQ467" s="478">
        <v>7000</v>
      </c>
      <c r="AR467" s="29" t="s">
        <v>73</v>
      </c>
      <c r="AS467" s="29" t="s">
        <v>73</v>
      </c>
      <c r="AT467" s="29" t="s">
        <v>73</v>
      </c>
      <c r="AU467" s="29" t="s">
        <v>73</v>
      </c>
      <c r="AV467" s="29" t="s">
        <v>73</v>
      </c>
      <c r="AW467" s="29" t="s">
        <v>73</v>
      </c>
      <c r="AX467" s="30">
        <v>7000</v>
      </c>
      <c r="AY467" s="479" t="s">
        <v>6</v>
      </c>
      <c r="AZ467" s="2" t="s">
        <v>74</v>
      </c>
      <c r="BA467" s="2"/>
      <c r="BK467" s="125" t="s">
        <v>790</v>
      </c>
      <c r="BL467" s="481" t="s">
        <v>791</v>
      </c>
      <c r="BM467" s="125" t="s">
        <v>1812</v>
      </c>
      <c r="BN467" s="177" t="s">
        <v>1813</v>
      </c>
      <c r="BO467" s="125" t="s">
        <v>1814</v>
      </c>
      <c r="BP467" s="129">
        <v>46156</v>
      </c>
      <c r="BQ467" s="18"/>
      <c r="BR467" s="287">
        <v>5039</v>
      </c>
      <c r="BS467" s="18"/>
      <c r="BT467" s="18"/>
      <c r="BU467" s="18" t="s">
        <v>1815</v>
      </c>
      <c r="BV467" s="125" t="s">
        <v>2161</v>
      </c>
      <c r="BW467" s="125" t="s">
        <v>1260</v>
      </c>
      <c r="BX467" s="125" t="s">
        <v>2162</v>
      </c>
      <c r="BY467" s="125">
        <v>46837236</v>
      </c>
      <c r="BZ467" s="125">
        <v>10468372369</v>
      </c>
      <c r="CA467" s="126">
        <v>7000</v>
      </c>
      <c r="CB467" s="289">
        <v>46174</v>
      </c>
      <c r="CC467" s="289">
        <v>46203</v>
      </c>
      <c r="CD467" s="759"/>
      <c r="CE467" s="177">
        <f t="shared" si="661"/>
        <v>0</v>
      </c>
      <c r="CF467" s="1019">
        <f t="shared" si="662"/>
        <v>0</v>
      </c>
      <c r="CG467" s="177"/>
      <c r="CH467" s="1019">
        <f t="shared" si="663"/>
        <v>0</v>
      </c>
      <c r="CI467" s="177"/>
      <c r="CJ467" s="1019">
        <f t="shared" si="664"/>
        <v>0</v>
      </c>
      <c r="CK467" s="177">
        <f t="shared" si="665"/>
        <v>0</v>
      </c>
      <c r="CL467" s="177">
        <f t="shared" si="666"/>
        <v>0</v>
      </c>
      <c r="CM467" s="1006"/>
      <c r="CN467" s="177">
        <f t="shared" si="667"/>
        <v>30</v>
      </c>
      <c r="CO467" s="1019">
        <f t="shared" si="668"/>
        <v>7000</v>
      </c>
      <c r="CP467" s="177">
        <v>30</v>
      </c>
      <c r="CQ467" s="1019">
        <f t="shared" si="669"/>
        <v>7000</v>
      </c>
      <c r="CR467" s="1019">
        <v>30</v>
      </c>
      <c r="CS467" s="1019">
        <f t="shared" si="670"/>
        <v>7000</v>
      </c>
      <c r="CT467" s="177">
        <f t="shared" si="671"/>
        <v>0</v>
      </c>
      <c r="CU467" s="177">
        <f t="shared" si="672"/>
        <v>0</v>
      </c>
      <c r="CV467" s="1006"/>
      <c r="CW467" s="177">
        <f t="shared" si="673"/>
        <v>7000</v>
      </c>
      <c r="CX467" s="1019">
        <f t="shared" si="674"/>
        <v>7000</v>
      </c>
      <c r="CY467" s="177">
        <f t="shared" si="675"/>
        <v>7000</v>
      </c>
      <c r="CZ467" s="1019">
        <f t="shared" si="676"/>
        <v>0</v>
      </c>
      <c r="DA467" s="177">
        <f t="shared" si="677"/>
        <v>0</v>
      </c>
      <c r="DB467" s="126"/>
      <c r="DC467" s="125"/>
    </row>
    <row r="468" spans="1:108" ht="51" hidden="1" x14ac:dyDescent="0.25">
      <c r="A468" s="19">
        <v>2026</v>
      </c>
      <c r="B468" s="20">
        <v>479</v>
      </c>
      <c r="C468" s="21" t="s">
        <v>64</v>
      </c>
      <c r="D468" s="21" t="s">
        <v>65</v>
      </c>
      <c r="E468" s="20">
        <v>125</v>
      </c>
      <c r="F468" s="20">
        <v>3000654</v>
      </c>
      <c r="G468" s="20">
        <v>5005023</v>
      </c>
      <c r="H468" s="20">
        <v>3</v>
      </c>
      <c r="I468" s="20">
        <v>12</v>
      </c>
      <c r="J468" s="20">
        <v>24</v>
      </c>
      <c r="K468" s="20">
        <v>135560</v>
      </c>
      <c r="L468" s="21" t="s">
        <v>98</v>
      </c>
      <c r="M468" s="33" t="s">
        <v>99</v>
      </c>
      <c r="N468" s="19">
        <v>94</v>
      </c>
      <c r="O468" s="2"/>
      <c r="P468" s="2" t="s">
        <v>4</v>
      </c>
      <c r="Q468" s="20" t="s">
        <v>68</v>
      </c>
      <c r="R468" s="25" t="s">
        <v>69</v>
      </c>
      <c r="S468" s="41" t="s">
        <v>137</v>
      </c>
      <c r="T468" s="41"/>
      <c r="U468" s="31" t="s">
        <v>314</v>
      </c>
      <c r="V468" s="25" t="s">
        <v>3</v>
      </c>
      <c r="W468" s="25">
        <v>1</v>
      </c>
      <c r="X468" s="595">
        <v>7000</v>
      </c>
      <c r="Y468" s="619"/>
      <c r="Z468" s="2"/>
      <c r="AA468" s="2"/>
      <c r="AB468" s="620"/>
      <c r="AC468" s="25">
        <v>30</v>
      </c>
      <c r="AD468" s="25">
        <v>0</v>
      </c>
      <c r="AE468" s="619"/>
      <c r="AF468" s="2"/>
      <c r="AG468" s="2"/>
      <c r="AH468" s="2"/>
      <c r="AI468" s="2"/>
      <c r="AJ468" s="621"/>
      <c r="AK468" s="596">
        <v>7000</v>
      </c>
      <c r="AL468" s="29" t="s">
        <v>73</v>
      </c>
      <c r="AM468" s="29" t="s">
        <v>73</v>
      </c>
      <c r="AN468" s="29" t="s">
        <v>73</v>
      </c>
      <c r="AO468" s="29" t="s">
        <v>73</v>
      </c>
      <c r="AP468" s="478">
        <v>7000</v>
      </c>
      <c r="AQ468" s="648">
        <v>0</v>
      </c>
      <c r="AR468" s="29" t="s">
        <v>73</v>
      </c>
      <c r="AS468" s="29" t="s">
        <v>73</v>
      </c>
      <c r="AT468" s="29" t="s">
        <v>73</v>
      </c>
      <c r="AU468" s="29" t="s">
        <v>73</v>
      </c>
      <c r="AV468" s="29" t="s">
        <v>73</v>
      </c>
      <c r="AW468" s="29" t="s">
        <v>73</v>
      </c>
      <c r="AX468" s="30">
        <v>7000</v>
      </c>
      <c r="AY468" s="165" t="s">
        <v>6</v>
      </c>
      <c r="AZ468" s="2" t="s">
        <v>74</v>
      </c>
      <c r="BA468" s="2"/>
      <c r="BK468" s="147" t="s">
        <v>790</v>
      </c>
      <c r="BL468" s="481" t="s">
        <v>791</v>
      </c>
      <c r="BM468" s="125" t="s">
        <v>2057</v>
      </c>
      <c r="BN468" s="655" t="s">
        <v>2058</v>
      </c>
      <c r="BO468" s="284" t="s">
        <v>1808</v>
      </c>
      <c r="BP468" s="129">
        <v>46134</v>
      </c>
      <c r="BQ468" s="18"/>
      <c r="BR468" s="505" t="s">
        <v>2163</v>
      </c>
      <c r="BS468" s="656"/>
      <c r="BT468" s="656" t="s">
        <v>2002</v>
      </c>
      <c r="BU468" s="18"/>
      <c r="BV468" s="125" t="s">
        <v>1233</v>
      </c>
      <c r="BW468" s="125" t="s">
        <v>2164</v>
      </c>
      <c r="BX468" s="125" t="s">
        <v>2165</v>
      </c>
      <c r="BY468" s="125">
        <v>47564486</v>
      </c>
      <c r="BZ468" s="125">
        <v>10475644862</v>
      </c>
      <c r="CA468" s="126">
        <v>7000</v>
      </c>
      <c r="CB468" s="289">
        <v>46143</v>
      </c>
      <c r="CC468" s="289">
        <v>46173</v>
      </c>
      <c r="CD468" s="759"/>
      <c r="CE468" s="177">
        <f t="shared" si="661"/>
        <v>30</v>
      </c>
      <c r="CF468" s="1019">
        <f t="shared" si="662"/>
        <v>7000</v>
      </c>
      <c r="CG468" s="177">
        <v>30</v>
      </c>
      <c r="CH468" s="1019">
        <f t="shared" si="663"/>
        <v>7000</v>
      </c>
      <c r="CI468" s="177">
        <v>30</v>
      </c>
      <c r="CJ468" s="1019">
        <f t="shared" si="664"/>
        <v>7000</v>
      </c>
      <c r="CK468" s="177">
        <f t="shared" si="665"/>
        <v>0</v>
      </c>
      <c r="CL468" s="177">
        <f t="shared" si="666"/>
        <v>0</v>
      </c>
      <c r="CM468" s="1006"/>
      <c r="CN468" s="177">
        <f t="shared" si="667"/>
        <v>0</v>
      </c>
      <c r="CO468" s="1019">
        <f t="shared" si="668"/>
        <v>0</v>
      </c>
      <c r="CP468" s="177"/>
      <c r="CQ468" s="1019">
        <f t="shared" si="669"/>
        <v>0</v>
      </c>
      <c r="CR468" s="1019"/>
      <c r="CS468" s="1019">
        <f t="shared" si="670"/>
        <v>0</v>
      </c>
      <c r="CT468" s="177">
        <f t="shared" si="671"/>
        <v>0</v>
      </c>
      <c r="CU468" s="177">
        <f t="shared" si="672"/>
        <v>0</v>
      </c>
      <c r="CV468" s="1006"/>
      <c r="CW468" s="177">
        <f t="shared" si="673"/>
        <v>7000</v>
      </c>
      <c r="CX468" s="1019">
        <f t="shared" si="674"/>
        <v>7000</v>
      </c>
      <c r="CY468" s="177">
        <f t="shared" si="675"/>
        <v>7000</v>
      </c>
      <c r="CZ468" s="1019">
        <f t="shared" si="676"/>
        <v>0</v>
      </c>
      <c r="DA468" s="177">
        <f t="shared" si="677"/>
        <v>0</v>
      </c>
      <c r="DB468" s="126"/>
      <c r="DC468" s="125"/>
    </row>
    <row r="469" spans="1:108" ht="51" hidden="1" x14ac:dyDescent="0.25">
      <c r="A469" s="19">
        <v>2026</v>
      </c>
      <c r="B469" s="20">
        <v>479</v>
      </c>
      <c r="C469" s="21" t="s">
        <v>64</v>
      </c>
      <c r="D469" s="21" t="s">
        <v>65</v>
      </c>
      <c r="E469" s="20">
        <v>125</v>
      </c>
      <c r="F469" s="20">
        <v>3000654</v>
      </c>
      <c r="G469" s="20">
        <v>5005023</v>
      </c>
      <c r="H469" s="20">
        <v>3</v>
      </c>
      <c r="I469" s="20">
        <v>12</v>
      </c>
      <c r="J469" s="20">
        <v>24</v>
      </c>
      <c r="K469" s="20">
        <v>135560</v>
      </c>
      <c r="L469" s="21" t="s">
        <v>220</v>
      </c>
      <c r="M469" s="33" t="s">
        <v>221</v>
      </c>
      <c r="N469" s="19">
        <v>97</v>
      </c>
      <c r="O469" s="2"/>
      <c r="P469" s="2" t="s">
        <v>4</v>
      </c>
      <c r="Q469" s="20" t="s">
        <v>68</v>
      </c>
      <c r="R469" s="25" t="s">
        <v>69</v>
      </c>
      <c r="S469" s="41" t="s">
        <v>137</v>
      </c>
      <c r="T469" s="41"/>
      <c r="U469" s="31" t="s">
        <v>314</v>
      </c>
      <c r="V469" s="25" t="s">
        <v>3</v>
      </c>
      <c r="W469" s="25">
        <v>1</v>
      </c>
      <c r="X469" s="595">
        <v>7000</v>
      </c>
      <c r="Y469" s="619"/>
      <c r="Z469" s="2"/>
      <c r="AA469" s="2"/>
      <c r="AB469" s="620"/>
      <c r="AC469" s="25">
        <v>0</v>
      </c>
      <c r="AD469" s="25">
        <v>30</v>
      </c>
      <c r="AE469" s="619"/>
      <c r="AF469" s="2"/>
      <c r="AG469" s="2"/>
      <c r="AH469" s="2"/>
      <c r="AI469" s="2"/>
      <c r="AJ469" s="621"/>
      <c r="AK469" s="596">
        <v>7000</v>
      </c>
      <c r="AL469" s="29" t="s">
        <v>73</v>
      </c>
      <c r="AM469" s="29" t="s">
        <v>73</v>
      </c>
      <c r="AN469" s="29" t="s">
        <v>73</v>
      </c>
      <c r="AO469" s="29" t="s">
        <v>73</v>
      </c>
      <c r="AP469" s="648">
        <v>0</v>
      </c>
      <c r="AQ469" s="478">
        <v>7000</v>
      </c>
      <c r="AR469" s="29" t="s">
        <v>73</v>
      </c>
      <c r="AS469" s="29" t="s">
        <v>73</v>
      </c>
      <c r="AT469" s="29" t="s">
        <v>73</v>
      </c>
      <c r="AU469" s="29" t="s">
        <v>73</v>
      </c>
      <c r="AV469" s="29" t="s">
        <v>73</v>
      </c>
      <c r="AW469" s="29" t="s">
        <v>73</v>
      </c>
      <c r="AX469" s="30">
        <v>7000</v>
      </c>
      <c r="AY469" s="479" t="s">
        <v>6</v>
      </c>
      <c r="AZ469" s="2" t="s">
        <v>74</v>
      </c>
      <c r="BA469" s="2"/>
      <c r="BK469" s="125" t="s">
        <v>790</v>
      </c>
      <c r="BL469" s="481" t="s">
        <v>791</v>
      </c>
      <c r="BM469" s="125" t="s">
        <v>1812</v>
      </c>
      <c r="BN469" s="177" t="s">
        <v>1813</v>
      </c>
      <c r="BO469" s="125" t="s">
        <v>1814</v>
      </c>
      <c r="BP469" s="129">
        <v>46156</v>
      </c>
      <c r="BQ469" s="18"/>
      <c r="BR469" s="287">
        <v>5040</v>
      </c>
      <c r="BS469" s="18"/>
      <c r="BT469" s="18"/>
      <c r="BU469" s="18" t="s">
        <v>1815</v>
      </c>
      <c r="BV469" s="125" t="s">
        <v>1233</v>
      </c>
      <c r="BW469" s="125" t="s">
        <v>2164</v>
      </c>
      <c r="BX469" s="125" t="s">
        <v>2165</v>
      </c>
      <c r="BY469" s="125">
        <v>47564486</v>
      </c>
      <c r="BZ469" s="125">
        <v>10475644862</v>
      </c>
      <c r="CA469" s="126">
        <v>7000</v>
      </c>
      <c r="CB469" s="289">
        <v>46174</v>
      </c>
      <c r="CC469" s="289">
        <v>46203</v>
      </c>
      <c r="CD469" s="759"/>
      <c r="CE469" s="177">
        <f t="shared" si="661"/>
        <v>0</v>
      </c>
      <c r="CF469" s="1019">
        <f t="shared" si="662"/>
        <v>0</v>
      </c>
      <c r="CG469" s="177"/>
      <c r="CH469" s="1019">
        <f t="shared" si="663"/>
        <v>0</v>
      </c>
      <c r="CI469" s="177"/>
      <c r="CJ469" s="1019">
        <f t="shared" si="664"/>
        <v>0</v>
      </c>
      <c r="CK469" s="177">
        <f t="shared" si="665"/>
        <v>0</v>
      </c>
      <c r="CL469" s="177">
        <f t="shared" si="666"/>
        <v>0</v>
      </c>
      <c r="CM469" s="1006"/>
      <c r="CN469" s="177">
        <f t="shared" si="667"/>
        <v>30</v>
      </c>
      <c r="CO469" s="1019">
        <f t="shared" si="668"/>
        <v>7000</v>
      </c>
      <c r="CP469" s="177">
        <v>30</v>
      </c>
      <c r="CQ469" s="1019">
        <f t="shared" si="669"/>
        <v>7000</v>
      </c>
      <c r="CR469" s="1019">
        <v>30</v>
      </c>
      <c r="CS469" s="1019">
        <f t="shared" si="670"/>
        <v>7000</v>
      </c>
      <c r="CT469" s="177">
        <f t="shared" si="671"/>
        <v>0</v>
      </c>
      <c r="CU469" s="177">
        <f t="shared" si="672"/>
        <v>0</v>
      </c>
      <c r="CV469" s="1006"/>
      <c r="CW469" s="177">
        <f t="shared" si="673"/>
        <v>7000</v>
      </c>
      <c r="CX469" s="1019">
        <f t="shared" si="674"/>
        <v>7000</v>
      </c>
      <c r="CY469" s="177">
        <f t="shared" si="675"/>
        <v>7000</v>
      </c>
      <c r="CZ469" s="1019">
        <f t="shared" si="676"/>
        <v>0</v>
      </c>
      <c r="DA469" s="177">
        <f t="shared" si="677"/>
        <v>0</v>
      </c>
      <c r="DB469" s="126"/>
      <c r="DC469" s="125"/>
    </row>
    <row r="470" spans="1:108" s="228" customFormat="1" ht="45" hidden="1" x14ac:dyDescent="0.25">
      <c r="A470" s="509">
        <v>2026</v>
      </c>
      <c r="B470" s="657">
        <v>479</v>
      </c>
      <c r="C470" s="658" t="s">
        <v>64</v>
      </c>
      <c r="D470" s="658" t="s">
        <v>65</v>
      </c>
      <c r="E470" s="657">
        <v>125</v>
      </c>
      <c r="F470" s="657">
        <v>3000654</v>
      </c>
      <c r="G470" s="657">
        <v>5005023</v>
      </c>
      <c r="H470" s="657">
        <v>3</v>
      </c>
      <c r="I470" s="657">
        <v>12</v>
      </c>
      <c r="J470" s="657">
        <v>24</v>
      </c>
      <c r="K470" s="657">
        <v>135560</v>
      </c>
      <c r="L470" s="658" t="s">
        <v>220</v>
      </c>
      <c r="M470" s="659" t="s">
        <v>221</v>
      </c>
      <c r="N470" s="509">
        <v>97</v>
      </c>
      <c r="O470" s="660"/>
      <c r="P470" s="660" t="s">
        <v>4</v>
      </c>
      <c r="Q470" s="657" t="s">
        <v>68</v>
      </c>
      <c r="R470" s="661" t="s">
        <v>69</v>
      </c>
      <c r="S470" s="662" t="s">
        <v>137</v>
      </c>
      <c r="T470" s="662"/>
      <c r="U470" s="663" t="s">
        <v>315</v>
      </c>
      <c r="V470" s="661" t="s">
        <v>3</v>
      </c>
      <c r="W470" s="661">
        <v>1</v>
      </c>
      <c r="X470" s="664">
        <v>7000</v>
      </c>
      <c r="Y470" s="877"/>
      <c r="Z470" s="660"/>
      <c r="AA470" s="660"/>
      <c r="AB470" s="878"/>
      <c r="AC470" s="661">
        <v>30</v>
      </c>
      <c r="AD470" s="661"/>
      <c r="AE470" s="877"/>
      <c r="AF470" s="660"/>
      <c r="AG470" s="660"/>
      <c r="AH470" s="660"/>
      <c r="AI470" s="660"/>
      <c r="AJ470" s="879"/>
      <c r="AK470" s="665">
        <v>7000</v>
      </c>
      <c r="AL470" s="666" t="s">
        <v>73</v>
      </c>
      <c r="AM470" s="666" t="s">
        <v>73</v>
      </c>
      <c r="AN470" s="666" t="s">
        <v>73</v>
      </c>
      <c r="AO470" s="666" t="s">
        <v>73</v>
      </c>
      <c r="AP470" s="511">
        <v>7000</v>
      </c>
      <c r="AQ470" s="967">
        <v>0</v>
      </c>
      <c r="AR470" s="666" t="s">
        <v>73</v>
      </c>
      <c r="AS470" s="666" t="s">
        <v>73</v>
      </c>
      <c r="AT470" s="666" t="s">
        <v>73</v>
      </c>
      <c r="AU470" s="666" t="s">
        <v>73</v>
      </c>
      <c r="AV470" s="666" t="s">
        <v>73</v>
      </c>
      <c r="AW470" s="666" t="s">
        <v>73</v>
      </c>
      <c r="AX470" s="513">
        <v>7000</v>
      </c>
      <c r="AY470" s="512" t="s">
        <v>6</v>
      </c>
      <c r="AZ470" s="660" t="s">
        <v>74</v>
      </c>
      <c r="BA470" s="660"/>
      <c r="BK470" s="481" t="s">
        <v>790</v>
      </c>
      <c r="BL470" s="515" t="s">
        <v>1935</v>
      </c>
      <c r="BM470" s="251" t="s">
        <v>2057</v>
      </c>
      <c r="BN470" s="667" t="s">
        <v>2058</v>
      </c>
      <c r="BO470" s="516" t="s">
        <v>1808</v>
      </c>
      <c r="BP470" s="252">
        <v>46134</v>
      </c>
      <c r="BQ470" s="253"/>
      <c r="BR470" s="505" t="s">
        <v>2166</v>
      </c>
      <c r="BS470" s="253"/>
      <c r="BT470" s="668" t="s">
        <v>2002</v>
      </c>
      <c r="BU470" s="253"/>
      <c r="BV470" s="251" t="s">
        <v>2167</v>
      </c>
      <c r="BW470" s="251" t="s">
        <v>2168</v>
      </c>
      <c r="BX470" s="125" t="s">
        <v>2169</v>
      </c>
      <c r="BY470" s="125">
        <v>47195955</v>
      </c>
      <c r="BZ470" s="125">
        <v>10471959559</v>
      </c>
      <c r="CA470" s="254">
        <v>7000</v>
      </c>
      <c r="CB470" s="518">
        <v>46143</v>
      </c>
      <c r="CC470" s="518">
        <v>46157</v>
      </c>
      <c r="CD470" s="759"/>
      <c r="CE470" s="1038">
        <f t="shared" si="661"/>
        <v>30</v>
      </c>
      <c r="CF470" s="1039">
        <f>AP470</f>
        <v>7000</v>
      </c>
      <c r="CG470" s="1038">
        <v>15</v>
      </c>
      <c r="CH470" s="1039">
        <f>(X470/30)*CG470</f>
        <v>3500</v>
      </c>
      <c r="CI470" s="1038">
        <v>15</v>
      </c>
      <c r="CJ470" s="1039">
        <f>(X470/30)*CI470</f>
        <v>3500</v>
      </c>
      <c r="CK470" s="1038">
        <f t="shared" si="665"/>
        <v>3500</v>
      </c>
      <c r="CL470" s="1038">
        <f t="shared" si="666"/>
        <v>3500</v>
      </c>
      <c r="CM470" s="1006"/>
      <c r="CN470" s="1038">
        <f t="shared" si="667"/>
        <v>0</v>
      </c>
      <c r="CO470" s="1039">
        <f t="shared" si="668"/>
        <v>0</v>
      </c>
      <c r="CP470" s="1038"/>
      <c r="CQ470" s="1039">
        <f t="shared" si="669"/>
        <v>0</v>
      </c>
      <c r="CR470" s="1039"/>
      <c r="CS470" s="1039">
        <f t="shared" si="670"/>
        <v>0</v>
      </c>
      <c r="CT470" s="1038">
        <f t="shared" si="671"/>
        <v>0</v>
      </c>
      <c r="CU470" s="1038">
        <f t="shared" si="672"/>
        <v>0</v>
      </c>
      <c r="CV470" s="1006"/>
      <c r="CW470" s="1038">
        <f t="shared" si="673"/>
        <v>7000</v>
      </c>
      <c r="CX470" s="1039">
        <f t="shared" si="674"/>
        <v>3500</v>
      </c>
      <c r="CY470" s="1038">
        <f t="shared" si="675"/>
        <v>3500</v>
      </c>
      <c r="CZ470" s="1039">
        <f t="shared" si="676"/>
        <v>3500</v>
      </c>
      <c r="DA470" s="1038">
        <f t="shared" si="677"/>
        <v>3500</v>
      </c>
      <c r="DB470" s="254"/>
      <c r="DC470" s="251"/>
      <c r="DD470" s="523" t="s">
        <v>2170</v>
      </c>
    </row>
    <row r="471" spans="1:108" s="682" customFormat="1" ht="51" hidden="1" x14ac:dyDescent="0.25">
      <c r="A471" s="669">
        <v>2026</v>
      </c>
      <c r="B471" s="670">
        <v>479</v>
      </c>
      <c r="C471" s="671" t="s">
        <v>64</v>
      </c>
      <c r="D471" s="671" t="s">
        <v>65</v>
      </c>
      <c r="E471" s="670">
        <v>125</v>
      </c>
      <c r="F471" s="670">
        <v>3000654</v>
      </c>
      <c r="G471" s="670">
        <v>5005023</v>
      </c>
      <c r="H471" s="670">
        <v>3</v>
      </c>
      <c r="I471" s="670">
        <v>12</v>
      </c>
      <c r="J471" s="670">
        <v>24</v>
      </c>
      <c r="K471" s="670">
        <v>135560</v>
      </c>
      <c r="L471" s="671" t="s">
        <v>220</v>
      </c>
      <c r="M471" s="672" t="s">
        <v>221</v>
      </c>
      <c r="N471" s="669">
        <v>97</v>
      </c>
      <c r="O471" s="673"/>
      <c r="P471" s="673" t="s">
        <v>4</v>
      </c>
      <c r="Q471" s="670" t="s">
        <v>68</v>
      </c>
      <c r="R471" s="674" t="s">
        <v>69</v>
      </c>
      <c r="S471" s="675" t="s">
        <v>137</v>
      </c>
      <c r="T471" s="675"/>
      <c r="U471" s="676" t="s">
        <v>315</v>
      </c>
      <c r="V471" s="674" t="s">
        <v>3</v>
      </c>
      <c r="W471" s="674">
        <v>1</v>
      </c>
      <c r="X471" s="677">
        <v>7000</v>
      </c>
      <c r="Y471" s="880"/>
      <c r="Z471" s="881"/>
      <c r="AA471" s="881"/>
      <c r="AB471" s="882"/>
      <c r="AC471" s="674"/>
      <c r="AD471" s="674">
        <v>30</v>
      </c>
      <c r="AE471" s="880"/>
      <c r="AF471" s="881"/>
      <c r="AG471" s="881"/>
      <c r="AH471" s="881"/>
      <c r="AI471" s="881"/>
      <c r="AJ471" s="883"/>
      <c r="AK471" s="678">
        <v>7000</v>
      </c>
      <c r="AL471" s="679" t="s">
        <v>73</v>
      </c>
      <c r="AM471" s="679" t="s">
        <v>73</v>
      </c>
      <c r="AN471" s="679" t="s">
        <v>73</v>
      </c>
      <c r="AO471" s="679" t="s">
        <v>73</v>
      </c>
      <c r="AP471" s="910">
        <v>0</v>
      </c>
      <c r="AQ471" s="994">
        <v>7000</v>
      </c>
      <c r="AR471" s="679" t="s">
        <v>73</v>
      </c>
      <c r="AS471" s="679" t="s">
        <v>73</v>
      </c>
      <c r="AT471" s="679" t="s">
        <v>73</v>
      </c>
      <c r="AU471" s="679" t="s">
        <v>73</v>
      </c>
      <c r="AV471" s="679" t="s">
        <v>73</v>
      </c>
      <c r="AW471" s="679" t="s">
        <v>73</v>
      </c>
      <c r="AX471" s="680">
        <v>7000</v>
      </c>
      <c r="AY471" s="681" t="s">
        <v>6</v>
      </c>
      <c r="AZ471" s="673" t="s">
        <v>74</v>
      </c>
      <c r="BA471" s="673"/>
      <c r="BK471" s="290" t="s">
        <v>790</v>
      </c>
      <c r="BL471" s="481" t="s">
        <v>791</v>
      </c>
      <c r="BM471" s="683" t="s">
        <v>1858</v>
      </c>
      <c r="BN471" s="684" t="s">
        <v>2171</v>
      </c>
      <c r="BO471" s="683" t="s">
        <v>2172</v>
      </c>
      <c r="BP471" s="685">
        <v>46162</v>
      </c>
      <c r="BQ471" s="291"/>
      <c r="BR471" s="768">
        <v>4911</v>
      </c>
      <c r="BS471" s="291"/>
      <c r="BT471" s="291"/>
      <c r="BU471" s="946" t="s">
        <v>1815</v>
      </c>
      <c r="BV471" s="125" t="s">
        <v>1339</v>
      </c>
      <c r="BW471" s="125" t="s">
        <v>818</v>
      </c>
      <c r="BX471" s="125" t="s">
        <v>2173</v>
      </c>
      <c r="BY471" s="125">
        <v>47305984</v>
      </c>
      <c r="BZ471" s="125">
        <v>10473059849</v>
      </c>
      <c r="CA471" s="126">
        <v>7000</v>
      </c>
      <c r="CB471" s="289">
        <v>46174</v>
      </c>
      <c r="CC471" s="289">
        <v>46203</v>
      </c>
      <c r="CD471" s="759"/>
      <c r="CE471" s="1043">
        <v>0</v>
      </c>
      <c r="CF471" s="1044">
        <f>AP471</f>
        <v>0</v>
      </c>
      <c r="CG471" s="1043">
        <v>0</v>
      </c>
      <c r="CH471" s="1044">
        <f>(X471/30)*CG471</f>
        <v>0</v>
      </c>
      <c r="CI471" s="1043">
        <v>0</v>
      </c>
      <c r="CJ471" s="1044">
        <f>(X471/30)*CI471</f>
        <v>0</v>
      </c>
      <c r="CK471" s="1043">
        <f>CF471-CH471</f>
        <v>0</v>
      </c>
      <c r="CL471" s="1043">
        <f>CF471-CJ471</f>
        <v>0</v>
      </c>
      <c r="CM471" s="1006"/>
      <c r="CN471" s="1043">
        <f>AD471</f>
        <v>30</v>
      </c>
      <c r="CO471" s="1044">
        <f>AQ471</f>
        <v>7000</v>
      </c>
      <c r="CP471" s="1043">
        <v>30</v>
      </c>
      <c r="CQ471" s="1044">
        <f>(X471/30)*CP471</f>
        <v>7000</v>
      </c>
      <c r="CR471" s="1044">
        <v>30</v>
      </c>
      <c r="CS471" s="1044">
        <f>(X471/30)*CR471</f>
        <v>7000</v>
      </c>
      <c r="CT471" s="1043">
        <f>CO471-CQ471</f>
        <v>0</v>
      </c>
      <c r="CU471" s="1043">
        <f>CO471-CS471</f>
        <v>0</v>
      </c>
      <c r="CV471" s="1006"/>
      <c r="CW471" s="177">
        <f t="shared" si="673"/>
        <v>7000</v>
      </c>
      <c r="CX471" s="1019">
        <f t="shared" si="674"/>
        <v>7000</v>
      </c>
      <c r="CY471" s="177">
        <f t="shared" si="675"/>
        <v>7000</v>
      </c>
      <c r="CZ471" s="1019">
        <f t="shared" si="676"/>
        <v>0</v>
      </c>
      <c r="DA471" s="177">
        <f t="shared" si="677"/>
        <v>0</v>
      </c>
      <c r="DB471" s="292"/>
      <c r="DC471" s="290"/>
      <c r="DD471" s="687" t="s">
        <v>2170</v>
      </c>
    </row>
    <row r="472" spans="1:108" ht="51" hidden="1" x14ac:dyDescent="0.25">
      <c r="A472" s="19">
        <v>2026</v>
      </c>
      <c r="B472" s="20">
        <v>479</v>
      </c>
      <c r="C472" s="21" t="s">
        <v>64</v>
      </c>
      <c r="D472" s="21" t="s">
        <v>65</v>
      </c>
      <c r="E472" s="20">
        <v>125</v>
      </c>
      <c r="F472" s="20">
        <v>3000654</v>
      </c>
      <c r="G472" s="20">
        <v>5005023</v>
      </c>
      <c r="H472" s="20">
        <v>3</v>
      </c>
      <c r="I472" s="20">
        <v>12</v>
      </c>
      <c r="J472" s="20">
        <v>24</v>
      </c>
      <c r="K472" s="20">
        <v>135560</v>
      </c>
      <c r="L472" s="21" t="s">
        <v>220</v>
      </c>
      <c r="M472" s="33" t="s">
        <v>221</v>
      </c>
      <c r="N472" s="19">
        <v>97</v>
      </c>
      <c r="O472" s="2"/>
      <c r="P472" s="2" t="s">
        <v>4</v>
      </c>
      <c r="Q472" s="20" t="s">
        <v>68</v>
      </c>
      <c r="R472" s="25" t="s">
        <v>69</v>
      </c>
      <c r="S472" s="41" t="s">
        <v>137</v>
      </c>
      <c r="T472" s="41"/>
      <c r="U472" s="31" t="s">
        <v>316</v>
      </c>
      <c r="V472" s="25" t="s">
        <v>3</v>
      </c>
      <c r="W472" s="25">
        <v>1</v>
      </c>
      <c r="X472" s="595">
        <v>7000</v>
      </c>
      <c r="Y472" s="619"/>
      <c r="Z472" s="2"/>
      <c r="AA472" s="2"/>
      <c r="AB472" s="620"/>
      <c r="AC472" s="25">
        <v>30</v>
      </c>
      <c r="AD472" s="25">
        <v>30</v>
      </c>
      <c r="AE472" s="619"/>
      <c r="AF472" s="2"/>
      <c r="AG472" s="2"/>
      <c r="AH472" s="2"/>
      <c r="AI472" s="2"/>
      <c r="AJ472" s="621"/>
      <c r="AK472" s="596">
        <v>14000</v>
      </c>
      <c r="AL472" s="29" t="s">
        <v>73</v>
      </c>
      <c r="AM472" s="29" t="s">
        <v>73</v>
      </c>
      <c r="AN472" s="29" t="s">
        <v>73</v>
      </c>
      <c r="AO472" s="29" t="s">
        <v>73</v>
      </c>
      <c r="AP472" s="478">
        <v>7000</v>
      </c>
      <c r="AQ472" s="478">
        <v>7000</v>
      </c>
      <c r="AR472" s="29" t="s">
        <v>73</v>
      </c>
      <c r="AS472" s="29" t="s">
        <v>73</v>
      </c>
      <c r="AT472" s="29" t="s">
        <v>73</v>
      </c>
      <c r="AU472" s="29" t="s">
        <v>73</v>
      </c>
      <c r="AV472" s="29" t="s">
        <v>73</v>
      </c>
      <c r="AW472" s="29" t="s">
        <v>73</v>
      </c>
      <c r="AX472" s="30">
        <v>14000</v>
      </c>
      <c r="AY472" s="479" t="s">
        <v>6</v>
      </c>
      <c r="AZ472" s="2" t="s">
        <v>74</v>
      </c>
      <c r="BA472" s="2"/>
      <c r="BK472" s="125" t="s">
        <v>790</v>
      </c>
      <c r="BL472" s="481" t="s">
        <v>791</v>
      </c>
      <c r="BM472" s="125" t="s">
        <v>2057</v>
      </c>
      <c r="BN472" s="655" t="s">
        <v>2058</v>
      </c>
      <c r="BO472" s="284" t="s">
        <v>1808</v>
      </c>
      <c r="BP472" s="129">
        <v>46134</v>
      </c>
      <c r="BQ472" s="18"/>
      <c r="BR472" s="505" t="s">
        <v>2174</v>
      </c>
      <c r="BS472" s="18"/>
      <c r="BT472" s="656" t="s">
        <v>2002</v>
      </c>
      <c r="BU472" s="264" t="s">
        <v>1841</v>
      </c>
      <c r="BV472" s="125" t="s">
        <v>1083</v>
      </c>
      <c r="BW472" s="125" t="s">
        <v>2175</v>
      </c>
      <c r="BX472" s="125" t="s">
        <v>2176</v>
      </c>
      <c r="BY472" s="125">
        <v>70814308</v>
      </c>
      <c r="BZ472" s="125">
        <v>10708143087</v>
      </c>
      <c r="CA472" s="126">
        <v>7000</v>
      </c>
      <c r="CB472" s="289">
        <v>46143</v>
      </c>
      <c r="CC472" s="289">
        <v>46203</v>
      </c>
      <c r="CD472" s="759"/>
      <c r="CE472" s="177">
        <f t="shared" si="661"/>
        <v>30</v>
      </c>
      <c r="CF472" s="1019">
        <f t="shared" si="662"/>
        <v>7000</v>
      </c>
      <c r="CG472" s="177">
        <v>30</v>
      </c>
      <c r="CH472" s="1019">
        <f t="shared" si="663"/>
        <v>7000</v>
      </c>
      <c r="CI472" s="177">
        <v>30</v>
      </c>
      <c r="CJ472" s="1019">
        <f t="shared" si="664"/>
        <v>7000</v>
      </c>
      <c r="CK472" s="177">
        <f t="shared" si="665"/>
        <v>0</v>
      </c>
      <c r="CL472" s="177">
        <f t="shared" si="666"/>
        <v>0</v>
      </c>
      <c r="CM472" s="1006"/>
      <c r="CN472" s="177">
        <f t="shared" si="667"/>
        <v>30</v>
      </c>
      <c r="CO472" s="1019">
        <f t="shared" si="668"/>
        <v>7000</v>
      </c>
      <c r="CP472" s="177">
        <v>30</v>
      </c>
      <c r="CQ472" s="1019">
        <f t="shared" si="669"/>
        <v>7000</v>
      </c>
      <c r="CR472" s="1019">
        <v>30</v>
      </c>
      <c r="CS472" s="1045">
        <f t="shared" si="670"/>
        <v>7000</v>
      </c>
      <c r="CT472" s="177">
        <f t="shared" si="671"/>
        <v>0</v>
      </c>
      <c r="CU472" s="177">
        <f t="shared" si="672"/>
        <v>0</v>
      </c>
      <c r="CV472" s="1006"/>
      <c r="CW472" s="177">
        <f t="shared" si="673"/>
        <v>14000</v>
      </c>
      <c r="CX472" s="1019">
        <f t="shared" si="674"/>
        <v>14000</v>
      </c>
      <c r="CY472" s="177">
        <f t="shared" si="675"/>
        <v>14000</v>
      </c>
      <c r="CZ472" s="1019">
        <f t="shared" si="676"/>
        <v>0</v>
      </c>
      <c r="DA472" s="177">
        <f t="shared" si="677"/>
        <v>0</v>
      </c>
      <c r="DB472" s="126"/>
      <c r="DC472" s="125"/>
    </row>
    <row r="473" spans="1:108" ht="51" hidden="1" x14ac:dyDescent="0.25">
      <c r="A473" s="19">
        <v>2026</v>
      </c>
      <c r="B473" s="20">
        <v>479</v>
      </c>
      <c r="C473" s="21" t="s">
        <v>64</v>
      </c>
      <c r="D473" s="21" t="s">
        <v>65</v>
      </c>
      <c r="E473" s="20">
        <v>125</v>
      </c>
      <c r="F473" s="20">
        <v>3000654</v>
      </c>
      <c r="G473" s="20">
        <v>5005023</v>
      </c>
      <c r="H473" s="20">
        <v>3</v>
      </c>
      <c r="I473" s="20">
        <v>12</v>
      </c>
      <c r="J473" s="20">
        <v>24</v>
      </c>
      <c r="K473" s="20">
        <v>135560</v>
      </c>
      <c r="L473" s="21" t="s">
        <v>220</v>
      </c>
      <c r="M473" s="33" t="s">
        <v>221</v>
      </c>
      <c r="N473" s="19">
        <v>97</v>
      </c>
      <c r="O473" s="2"/>
      <c r="P473" s="2" t="s">
        <v>4</v>
      </c>
      <c r="Q473" s="20" t="s">
        <v>68</v>
      </c>
      <c r="R473" s="25" t="s">
        <v>69</v>
      </c>
      <c r="S473" s="41" t="s">
        <v>137</v>
      </c>
      <c r="T473" s="41"/>
      <c r="U473" s="31" t="s">
        <v>317</v>
      </c>
      <c r="V473" s="25" t="s">
        <v>3</v>
      </c>
      <c r="W473" s="25">
        <v>1</v>
      </c>
      <c r="X473" s="595">
        <v>7000</v>
      </c>
      <c r="Y473" s="619"/>
      <c r="Z473" s="2"/>
      <c r="AA473" s="2"/>
      <c r="AB473" s="620"/>
      <c r="AC473" s="25">
        <v>30</v>
      </c>
      <c r="AD473" s="25">
        <v>30</v>
      </c>
      <c r="AE473" s="619"/>
      <c r="AF473" s="2"/>
      <c r="AG473" s="2"/>
      <c r="AH473" s="2"/>
      <c r="AI473" s="2"/>
      <c r="AJ473" s="621"/>
      <c r="AK473" s="596">
        <v>14000</v>
      </c>
      <c r="AL473" s="29" t="s">
        <v>73</v>
      </c>
      <c r="AM473" s="29" t="s">
        <v>73</v>
      </c>
      <c r="AN473" s="29" t="s">
        <v>73</v>
      </c>
      <c r="AO473" s="29" t="s">
        <v>73</v>
      </c>
      <c r="AP473" s="478">
        <v>7000</v>
      </c>
      <c r="AQ473" s="478">
        <v>7000</v>
      </c>
      <c r="AR473" s="29" t="s">
        <v>73</v>
      </c>
      <c r="AS473" s="29" t="s">
        <v>73</v>
      </c>
      <c r="AT473" s="29" t="s">
        <v>73</v>
      </c>
      <c r="AU473" s="29" t="s">
        <v>73</v>
      </c>
      <c r="AV473" s="29" t="s">
        <v>73</v>
      </c>
      <c r="AW473" s="29" t="s">
        <v>73</v>
      </c>
      <c r="AX473" s="30">
        <v>14000</v>
      </c>
      <c r="AY473" s="479" t="s">
        <v>6</v>
      </c>
      <c r="AZ473" s="2" t="s">
        <v>74</v>
      </c>
      <c r="BA473" s="2"/>
      <c r="BK473" s="125" t="s">
        <v>790</v>
      </c>
      <c r="BL473" s="481" t="s">
        <v>791</v>
      </c>
      <c r="BM473" s="125" t="s">
        <v>2057</v>
      </c>
      <c r="BN473" s="655" t="s">
        <v>2058</v>
      </c>
      <c r="BO473" s="284" t="s">
        <v>1808</v>
      </c>
      <c r="BP473" s="129">
        <v>46134</v>
      </c>
      <c r="BQ473" s="18"/>
      <c r="BR473" s="505" t="s">
        <v>2177</v>
      </c>
      <c r="BS473" s="18"/>
      <c r="BT473" s="656" t="s">
        <v>2002</v>
      </c>
      <c r="BU473" s="264" t="s">
        <v>1841</v>
      </c>
      <c r="BV473" s="125" t="s">
        <v>2178</v>
      </c>
      <c r="BW473" s="125" t="s">
        <v>2179</v>
      </c>
      <c r="BX473" s="125" t="s">
        <v>1155</v>
      </c>
      <c r="BY473" s="125">
        <v>74066783</v>
      </c>
      <c r="BZ473" s="125">
        <v>10740667837</v>
      </c>
      <c r="CA473" s="126">
        <v>7000</v>
      </c>
      <c r="CB473" s="289">
        <v>46143</v>
      </c>
      <c r="CC473" s="289">
        <v>46203</v>
      </c>
      <c r="CD473" s="759"/>
      <c r="CE473" s="177">
        <f t="shared" si="661"/>
        <v>30</v>
      </c>
      <c r="CF473" s="1019">
        <f t="shared" si="662"/>
        <v>7000</v>
      </c>
      <c r="CG473" s="177">
        <v>30</v>
      </c>
      <c r="CH473" s="1019">
        <f t="shared" si="663"/>
        <v>7000</v>
      </c>
      <c r="CI473" s="177">
        <v>30</v>
      </c>
      <c r="CJ473" s="1019">
        <f t="shared" si="664"/>
        <v>7000</v>
      </c>
      <c r="CK473" s="177">
        <f t="shared" si="665"/>
        <v>0</v>
      </c>
      <c r="CL473" s="177">
        <f t="shared" si="666"/>
        <v>0</v>
      </c>
      <c r="CM473" s="1006"/>
      <c r="CN473" s="177">
        <f t="shared" si="667"/>
        <v>30</v>
      </c>
      <c r="CO473" s="1019">
        <f t="shared" si="668"/>
        <v>7000</v>
      </c>
      <c r="CP473" s="177">
        <v>30</v>
      </c>
      <c r="CQ473" s="1019">
        <f t="shared" si="669"/>
        <v>7000</v>
      </c>
      <c r="CR473" s="1019">
        <v>30</v>
      </c>
      <c r="CS473" s="1019">
        <f t="shared" si="670"/>
        <v>7000</v>
      </c>
      <c r="CT473" s="177">
        <f t="shared" si="671"/>
        <v>0</v>
      </c>
      <c r="CU473" s="177">
        <f t="shared" si="672"/>
        <v>0</v>
      </c>
      <c r="CV473" s="1006"/>
      <c r="CW473" s="177">
        <f t="shared" si="673"/>
        <v>14000</v>
      </c>
      <c r="CX473" s="1019">
        <f t="shared" si="674"/>
        <v>14000</v>
      </c>
      <c r="CY473" s="177">
        <f t="shared" si="675"/>
        <v>14000</v>
      </c>
      <c r="CZ473" s="1019">
        <f t="shared" si="676"/>
        <v>0</v>
      </c>
      <c r="DA473" s="177">
        <f t="shared" si="677"/>
        <v>0</v>
      </c>
      <c r="DB473" s="126"/>
      <c r="DC473" s="125"/>
    </row>
    <row r="474" spans="1:108" ht="51" hidden="1" x14ac:dyDescent="0.25">
      <c r="A474" s="19">
        <v>2026</v>
      </c>
      <c r="B474" s="20">
        <v>479</v>
      </c>
      <c r="C474" s="21" t="s">
        <v>64</v>
      </c>
      <c r="D474" s="21" t="s">
        <v>65</v>
      </c>
      <c r="E474" s="20">
        <v>125</v>
      </c>
      <c r="F474" s="20">
        <v>3000654</v>
      </c>
      <c r="G474" s="20">
        <v>5005023</v>
      </c>
      <c r="H474" s="20">
        <v>3</v>
      </c>
      <c r="I474" s="20">
        <v>12</v>
      </c>
      <c r="J474" s="20">
        <v>24</v>
      </c>
      <c r="K474" s="20">
        <v>135560</v>
      </c>
      <c r="L474" s="21" t="s">
        <v>220</v>
      </c>
      <c r="M474" s="33" t="s">
        <v>221</v>
      </c>
      <c r="N474" s="19">
        <v>97</v>
      </c>
      <c r="O474" s="2"/>
      <c r="P474" s="2" t="s">
        <v>4</v>
      </c>
      <c r="Q474" s="20" t="s">
        <v>68</v>
      </c>
      <c r="R474" s="25" t="s">
        <v>69</v>
      </c>
      <c r="S474" s="41" t="s">
        <v>137</v>
      </c>
      <c r="T474" s="41"/>
      <c r="U474" s="31" t="s">
        <v>318</v>
      </c>
      <c r="V474" s="25" t="s">
        <v>3</v>
      </c>
      <c r="W474" s="25">
        <v>1</v>
      </c>
      <c r="X474" s="595">
        <v>7000</v>
      </c>
      <c r="Y474" s="619"/>
      <c r="Z474" s="2"/>
      <c r="AA474" s="2"/>
      <c r="AB474" s="620"/>
      <c r="AC474" s="25">
        <v>30</v>
      </c>
      <c r="AD474" s="25">
        <v>30</v>
      </c>
      <c r="AE474" s="619"/>
      <c r="AF474" s="2"/>
      <c r="AG474" s="2"/>
      <c r="AH474" s="2"/>
      <c r="AI474" s="2"/>
      <c r="AJ474" s="621"/>
      <c r="AK474" s="596">
        <v>14000</v>
      </c>
      <c r="AL474" s="29" t="s">
        <v>73</v>
      </c>
      <c r="AM474" s="29" t="s">
        <v>73</v>
      </c>
      <c r="AN474" s="29" t="s">
        <v>73</v>
      </c>
      <c r="AO474" s="29" t="s">
        <v>73</v>
      </c>
      <c r="AP474" s="478">
        <v>7000</v>
      </c>
      <c r="AQ474" s="478">
        <v>7000</v>
      </c>
      <c r="AR474" s="29" t="s">
        <v>73</v>
      </c>
      <c r="AS474" s="29" t="s">
        <v>73</v>
      </c>
      <c r="AT474" s="29" t="s">
        <v>73</v>
      </c>
      <c r="AU474" s="29" t="s">
        <v>73</v>
      </c>
      <c r="AV474" s="29" t="s">
        <v>73</v>
      </c>
      <c r="AW474" s="29" t="s">
        <v>73</v>
      </c>
      <c r="AX474" s="30">
        <v>14000</v>
      </c>
      <c r="AY474" s="479" t="s">
        <v>6</v>
      </c>
      <c r="AZ474" s="2" t="s">
        <v>74</v>
      </c>
      <c r="BA474" s="2"/>
      <c r="BK474" s="125" t="s">
        <v>790</v>
      </c>
      <c r="BL474" s="481" t="s">
        <v>791</v>
      </c>
      <c r="BM474" s="125" t="s">
        <v>2057</v>
      </c>
      <c r="BN474" s="655" t="s">
        <v>2058</v>
      </c>
      <c r="BO474" s="284" t="s">
        <v>1808</v>
      </c>
      <c r="BP474" s="129">
        <v>46134</v>
      </c>
      <c r="BQ474" s="18"/>
      <c r="BR474" s="505" t="s">
        <v>2180</v>
      </c>
      <c r="BS474" s="18"/>
      <c r="BT474" s="656" t="s">
        <v>1809</v>
      </c>
      <c r="BU474" s="264" t="s">
        <v>1841</v>
      </c>
      <c r="BV474" s="125" t="s">
        <v>2181</v>
      </c>
      <c r="BW474" s="125" t="s">
        <v>856</v>
      </c>
      <c r="BX474" s="125" t="s">
        <v>2182</v>
      </c>
      <c r="BY474" s="125">
        <v>70614114</v>
      </c>
      <c r="BZ474" s="125">
        <v>10706141141</v>
      </c>
      <c r="CA474" s="126">
        <v>7000</v>
      </c>
      <c r="CB474" s="289">
        <v>46143</v>
      </c>
      <c r="CC474" s="289">
        <v>46203</v>
      </c>
      <c r="CD474" s="759"/>
      <c r="CE474" s="177">
        <f t="shared" si="661"/>
        <v>30</v>
      </c>
      <c r="CF474" s="1019">
        <f t="shared" si="662"/>
        <v>7000</v>
      </c>
      <c r="CG474" s="177">
        <v>30</v>
      </c>
      <c r="CH474" s="1019">
        <f t="shared" si="663"/>
        <v>7000</v>
      </c>
      <c r="CI474" s="177">
        <v>30</v>
      </c>
      <c r="CJ474" s="1019">
        <f t="shared" si="664"/>
        <v>7000</v>
      </c>
      <c r="CK474" s="177">
        <f t="shared" si="665"/>
        <v>0</v>
      </c>
      <c r="CL474" s="177">
        <f t="shared" si="666"/>
        <v>0</v>
      </c>
      <c r="CM474" s="1006"/>
      <c r="CN474" s="177">
        <f t="shared" si="667"/>
        <v>30</v>
      </c>
      <c r="CO474" s="1019">
        <f t="shared" si="668"/>
        <v>7000</v>
      </c>
      <c r="CP474" s="177">
        <v>30</v>
      </c>
      <c r="CQ474" s="1019">
        <f t="shared" si="669"/>
        <v>7000</v>
      </c>
      <c r="CR474" s="1019">
        <v>30</v>
      </c>
      <c r="CS474" s="1019">
        <f t="shared" si="670"/>
        <v>7000</v>
      </c>
      <c r="CT474" s="177">
        <f t="shared" si="671"/>
        <v>0</v>
      </c>
      <c r="CU474" s="177">
        <f t="shared" si="672"/>
        <v>0</v>
      </c>
      <c r="CV474" s="1006"/>
      <c r="CW474" s="177">
        <f t="shared" si="673"/>
        <v>14000</v>
      </c>
      <c r="CX474" s="1019">
        <f t="shared" si="674"/>
        <v>14000</v>
      </c>
      <c r="CY474" s="177">
        <f t="shared" si="675"/>
        <v>14000</v>
      </c>
      <c r="CZ474" s="1019">
        <f t="shared" si="676"/>
        <v>0</v>
      </c>
      <c r="DA474" s="177">
        <f t="shared" si="677"/>
        <v>0</v>
      </c>
      <c r="DB474" s="126"/>
      <c r="DC474" s="125"/>
    </row>
    <row r="475" spans="1:108" ht="51" hidden="1" x14ac:dyDescent="0.25">
      <c r="A475" s="19">
        <v>2026</v>
      </c>
      <c r="B475" s="20">
        <v>479</v>
      </c>
      <c r="C475" s="21" t="s">
        <v>64</v>
      </c>
      <c r="D475" s="21" t="s">
        <v>65</v>
      </c>
      <c r="E475" s="20">
        <v>125</v>
      </c>
      <c r="F475" s="20">
        <v>3000654</v>
      </c>
      <c r="G475" s="20">
        <v>5005023</v>
      </c>
      <c r="H475" s="20">
        <v>3</v>
      </c>
      <c r="I475" s="20">
        <v>12</v>
      </c>
      <c r="J475" s="20">
        <v>24</v>
      </c>
      <c r="K475" s="20">
        <v>135560</v>
      </c>
      <c r="L475" s="21" t="s">
        <v>220</v>
      </c>
      <c r="M475" s="33" t="s">
        <v>221</v>
      </c>
      <c r="N475" s="19">
        <v>97</v>
      </c>
      <c r="O475" s="2"/>
      <c r="P475" s="2" t="s">
        <v>4</v>
      </c>
      <c r="Q475" s="20" t="s">
        <v>68</v>
      </c>
      <c r="R475" s="25" t="s">
        <v>69</v>
      </c>
      <c r="S475" s="41" t="s">
        <v>137</v>
      </c>
      <c r="T475" s="41"/>
      <c r="U475" s="31" t="s">
        <v>319</v>
      </c>
      <c r="V475" s="25" t="s">
        <v>3</v>
      </c>
      <c r="W475" s="25">
        <v>1</v>
      </c>
      <c r="X475" s="595">
        <v>7000</v>
      </c>
      <c r="Y475" s="619"/>
      <c r="Z475" s="2"/>
      <c r="AA475" s="2"/>
      <c r="AB475" s="620"/>
      <c r="AC475" s="25">
        <v>30</v>
      </c>
      <c r="AD475" s="25">
        <v>30</v>
      </c>
      <c r="AE475" s="619"/>
      <c r="AF475" s="2"/>
      <c r="AG475" s="2"/>
      <c r="AH475" s="2"/>
      <c r="AI475" s="2"/>
      <c r="AJ475" s="621"/>
      <c r="AK475" s="596">
        <v>14000</v>
      </c>
      <c r="AL475" s="29" t="s">
        <v>73</v>
      </c>
      <c r="AM475" s="29" t="s">
        <v>73</v>
      </c>
      <c r="AN475" s="29" t="s">
        <v>73</v>
      </c>
      <c r="AO475" s="29" t="s">
        <v>73</v>
      </c>
      <c r="AP475" s="478">
        <v>7000</v>
      </c>
      <c r="AQ475" s="478">
        <v>7000</v>
      </c>
      <c r="AR475" s="29" t="s">
        <v>73</v>
      </c>
      <c r="AS475" s="29" t="s">
        <v>73</v>
      </c>
      <c r="AT475" s="29" t="s">
        <v>73</v>
      </c>
      <c r="AU475" s="29" t="s">
        <v>73</v>
      </c>
      <c r="AV475" s="29" t="s">
        <v>73</v>
      </c>
      <c r="AW475" s="29" t="s">
        <v>73</v>
      </c>
      <c r="AX475" s="30">
        <v>14000</v>
      </c>
      <c r="AY475" s="479" t="s">
        <v>6</v>
      </c>
      <c r="AZ475" s="2" t="s">
        <v>74</v>
      </c>
      <c r="BA475" s="2"/>
      <c r="BK475" s="125" t="s">
        <v>790</v>
      </c>
      <c r="BL475" s="481" t="s">
        <v>791</v>
      </c>
      <c r="BM475" s="125" t="s">
        <v>2057</v>
      </c>
      <c r="BN475" s="655" t="s">
        <v>2058</v>
      </c>
      <c r="BO475" s="284" t="s">
        <v>1808</v>
      </c>
      <c r="BP475" s="129">
        <v>46134</v>
      </c>
      <c r="BQ475" s="18"/>
      <c r="BR475" s="505" t="s">
        <v>2183</v>
      </c>
      <c r="BS475" s="18"/>
      <c r="BT475" s="656" t="s">
        <v>1809</v>
      </c>
      <c r="BU475" s="264" t="s">
        <v>1841</v>
      </c>
      <c r="BV475" s="125" t="s">
        <v>1469</v>
      </c>
      <c r="BW475" s="125" t="s">
        <v>817</v>
      </c>
      <c r="BX475" s="125" t="s">
        <v>2184</v>
      </c>
      <c r="BY475" s="125">
        <v>73790981</v>
      </c>
      <c r="BZ475" s="125">
        <v>10737909811</v>
      </c>
      <c r="CA475" s="126">
        <v>7000</v>
      </c>
      <c r="CB475" s="289">
        <v>46143</v>
      </c>
      <c r="CC475" s="289">
        <v>46203</v>
      </c>
      <c r="CD475" s="759"/>
      <c r="CE475" s="177">
        <f t="shared" si="661"/>
        <v>30</v>
      </c>
      <c r="CF475" s="1019">
        <f t="shared" si="662"/>
        <v>7000</v>
      </c>
      <c r="CG475" s="177">
        <v>30</v>
      </c>
      <c r="CH475" s="1019">
        <f t="shared" si="663"/>
        <v>7000</v>
      </c>
      <c r="CI475" s="177">
        <v>30</v>
      </c>
      <c r="CJ475" s="1019">
        <f t="shared" si="664"/>
        <v>7000</v>
      </c>
      <c r="CK475" s="177">
        <f t="shared" si="665"/>
        <v>0</v>
      </c>
      <c r="CL475" s="177">
        <f t="shared" si="666"/>
        <v>0</v>
      </c>
      <c r="CM475" s="1006"/>
      <c r="CN475" s="177">
        <f t="shared" si="667"/>
        <v>30</v>
      </c>
      <c r="CO475" s="1019">
        <f t="shared" si="668"/>
        <v>7000</v>
      </c>
      <c r="CP475" s="177">
        <v>30</v>
      </c>
      <c r="CQ475" s="1019">
        <f t="shared" si="669"/>
        <v>7000</v>
      </c>
      <c r="CR475" s="1019">
        <v>30</v>
      </c>
      <c r="CS475" s="1019">
        <f t="shared" si="670"/>
        <v>7000</v>
      </c>
      <c r="CT475" s="177">
        <f t="shared" si="671"/>
        <v>0</v>
      </c>
      <c r="CU475" s="177">
        <f t="shared" si="672"/>
        <v>0</v>
      </c>
      <c r="CV475" s="1006"/>
      <c r="CW475" s="177">
        <f t="shared" si="673"/>
        <v>14000</v>
      </c>
      <c r="CX475" s="1019">
        <f t="shared" si="674"/>
        <v>14000</v>
      </c>
      <c r="CY475" s="177">
        <f t="shared" si="675"/>
        <v>14000</v>
      </c>
      <c r="CZ475" s="1019">
        <f t="shared" si="676"/>
        <v>0</v>
      </c>
      <c r="DA475" s="177">
        <f t="shared" si="677"/>
        <v>0</v>
      </c>
      <c r="DB475" s="126"/>
      <c r="DC475" s="125"/>
    </row>
    <row r="476" spans="1:108" ht="51" hidden="1" x14ac:dyDescent="0.25">
      <c r="A476" s="19">
        <v>2026</v>
      </c>
      <c r="B476" s="20">
        <v>479</v>
      </c>
      <c r="C476" s="21" t="s">
        <v>64</v>
      </c>
      <c r="D476" s="21" t="s">
        <v>65</v>
      </c>
      <c r="E476" s="20">
        <v>125</v>
      </c>
      <c r="F476" s="20">
        <v>3000654</v>
      </c>
      <c r="G476" s="20">
        <v>5005023</v>
      </c>
      <c r="H476" s="20">
        <v>3</v>
      </c>
      <c r="I476" s="20">
        <v>12</v>
      </c>
      <c r="J476" s="20">
        <v>24</v>
      </c>
      <c r="K476" s="20">
        <v>135560</v>
      </c>
      <c r="L476" s="21" t="s">
        <v>220</v>
      </c>
      <c r="M476" s="33" t="s">
        <v>221</v>
      </c>
      <c r="N476" s="19">
        <v>97</v>
      </c>
      <c r="O476" s="2"/>
      <c r="P476" s="2" t="s">
        <v>4</v>
      </c>
      <c r="Q476" s="20" t="s">
        <v>68</v>
      </c>
      <c r="R476" s="25" t="s">
        <v>69</v>
      </c>
      <c r="S476" s="41" t="s">
        <v>137</v>
      </c>
      <c r="T476" s="41"/>
      <c r="U476" s="31" t="s">
        <v>320</v>
      </c>
      <c r="V476" s="25" t="s">
        <v>3</v>
      </c>
      <c r="W476" s="25">
        <v>1</v>
      </c>
      <c r="X476" s="595">
        <v>7000</v>
      </c>
      <c r="Y476" s="619"/>
      <c r="Z476" s="2"/>
      <c r="AA476" s="2"/>
      <c r="AB476" s="620"/>
      <c r="AC476" s="25">
        <v>30</v>
      </c>
      <c r="AD476" s="25">
        <v>30</v>
      </c>
      <c r="AE476" s="619"/>
      <c r="AF476" s="2"/>
      <c r="AG476" s="2"/>
      <c r="AH476" s="2"/>
      <c r="AI476" s="2"/>
      <c r="AJ476" s="621"/>
      <c r="AK476" s="596">
        <v>14000</v>
      </c>
      <c r="AL476" s="29" t="s">
        <v>73</v>
      </c>
      <c r="AM476" s="29" t="s">
        <v>73</v>
      </c>
      <c r="AN476" s="29" t="s">
        <v>73</v>
      </c>
      <c r="AO476" s="29" t="s">
        <v>73</v>
      </c>
      <c r="AP476" s="478">
        <v>7000</v>
      </c>
      <c r="AQ476" s="478">
        <v>7000</v>
      </c>
      <c r="AR476" s="29" t="s">
        <v>73</v>
      </c>
      <c r="AS476" s="29" t="s">
        <v>73</v>
      </c>
      <c r="AT476" s="29" t="s">
        <v>73</v>
      </c>
      <c r="AU476" s="29" t="s">
        <v>73</v>
      </c>
      <c r="AV476" s="29" t="s">
        <v>73</v>
      </c>
      <c r="AW476" s="29" t="s">
        <v>73</v>
      </c>
      <c r="AX476" s="30">
        <v>14000</v>
      </c>
      <c r="AY476" s="479" t="s">
        <v>6</v>
      </c>
      <c r="AZ476" s="2" t="s">
        <v>74</v>
      </c>
      <c r="BA476" s="2"/>
      <c r="BK476" s="125" t="s">
        <v>790</v>
      </c>
      <c r="BL476" s="481" t="s">
        <v>791</v>
      </c>
      <c r="BM476" s="125" t="s">
        <v>2057</v>
      </c>
      <c r="BN476" s="655" t="s">
        <v>2058</v>
      </c>
      <c r="BO476" s="284" t="s">
        <v>1808</v>
      </c>
      <c r="BP476" s="129">
        <v>46134</v>
      </c>
      <c r="BQ476" s="18"/>
      <c r="BR476" s="505" t="s">
        <v>2185</v>
      </c>
      <c r="BS476" s="18"/>
      <c r="BT476" s="656" t="s">
        <v>1809</v>
      </c>
      <c r="BU476" s="264" t="s">
        <v>1841</v>
      </c>
      <c r="BV476" s="125" t="s">
        <v>845</v>
      </c>
      <c r="BW476" s="125" t="s">
        <v>2186</v>
      </c>
      <c r="BX476" s="125" t="s">
        <v>2187</v>
      </c>
      <c r="BY476" s="125">
        <v>45672213</v>
      </c>
      <c r="BZ476" s="125">
        <v>10456722135</v>
      </c>
      <c r="CA476" s="126">
        <v>7000</v>
      </c>
      <c r="CB476" s="289">
        <v>46143</v>
      </c>
      <c r="CC476" s="289">
        <v>46203</v>
      </c>
      <c r="CD476" s="759"/>
      <c r="CE476" s="177">
        <f t="shared" si="661"/>
        <v>30</v>
      </c>
      <c r="CF476" s="1019">
        <f t="shared" si="662"/>
        <v>7000</v>
      </c>
      <c r="CG476" s="177">
        <v>30</v>
      </c>
      <c r="CH476" s="1019">
        <f t="shared" si="663"/>
        <v>7000</v>
      </c>
      <c r="CI476" s="177">
        <v>30</v>
      </c>
      <c r="CJ476" s="1019">
        <f t="shared" si="664"/>
        <v>7000</v>
      </c>
      <c r="CK476" s="177">
        <f t="shared" si="665"/>
        <v>0</v>
      </c>
      <c r="CL476" s="177">
        <f t="shared" si="666"/>
        <v>0</v>
      </c>
      <c r="CM476" s="1006"/>
      <c r="CN476" s="177">
        <f t="shared" si="667"/>
        <v>30</v>
      </c>
      <c r="CO476" s="1019">
        <f t="shared" si="668"/>
        <v>7000</v>
      </c>
      <c r="CP476" s="177">
        <v>30</v>
      </c>
      <c r="CQ476" s="1019">
        <f t="shared" si="669"/>
        <v>7000</v>
      </c>
      <c r="CR476" s="1019">
        <v>30</v>
      </c>
      <c r="CS476" s="1019">
        <f t="shared" si="670"/>
        <v>7000</v>
      </c>
      <c r="CT476" s="177">
        <f t="shared" si="671"/>
        <v>0</v>
      </c>
      <c r="CU476" s="177">
        <f t="shared" si="672"/>
        <v>0</v>
      </c>
      <c r="CV476" s="1006"/>
      <c r="CW476" s="177">
        <f t="shared" si="673"/>
        <v>14000</v>
      </c>
      <c r="CX476" s="1019">
        <f t="shared" si="674"/>
        <v>14000</v>
      </c>
      <c r="CY476" s="177">
        <f t="shared" si="675"/>
        <v>14000</v>
      </c>
      <c r="CZ476" s="1019">
        <f t="shared" si="676"/>
        <v>0</v>
      </c>
      <c r="DA476" s="177">
        <f t="shared" si="677"/>
        <v>0</v>
      </c>
      <c r="DB476" s="126"/>
      <c r="DC476" s="125"/>
    </row>
    <row r="477" spans="1:108" ht="51" hidden="1" x14ac:dyDescent="0.25">
      <c r="A477" s="19">
        <v>2026</v>
      </c>
      <c r="B477" s="20">
        <v>479</v>
      </c>
      <c r="C477" s="21" t="s">
        <v>64</v>
      </c>
      <c r="D477" s="21" t="s">
        <v>65</v>
      </c>
      <c r="E477" s="20">
        <v>125</v>
      </c>
      <c r="F477" s="20">
        <v>3000654</v>
      </c>
      <c r="G477" s="20">
        <v>5005023</v>
      </c>
      <c r="H477" s="20">
        <v>3</v>
      </c>
      <c r="I477" s="20">
        <v>12</v>
      </c>
      <c r="J477" s="20">
        <v>24</v>
      </c>
      <c r="K477" s="20">
        <v>135560</v>
      </c>
      <c r="L477" s="21" t="s">
        <v>220</v>
      </c>
      <c r="M477" s="33" t="s">
        <v>221</v>
      </c>
      <c r="N477" s="19">
        <v>97</v>
      </c>
      <c r="O477" s="2"/>
      <c r="P477" s="2" t="s">
        <v>4</v>
      </c>
      <c r="Q477" s="20" t="s">
        <v>68</v>
      </c>
      <c r="R477" s="25" t="s">
        <v>69</v>
      </c>
      <c r="S477" s="41" t="s">
        <v>137</v>
      </c>
      <c r="T477" s="41"/>
      <c r="U477" s="31" t="s">
        <v>321</v>
      </c>
      <c r="V477" s="25" t="s">
        <v>3</v>
      </c>
      <c r="W477" s="25">
        <v>1</v>
      </c>
      <c r="X477" s="595">
        <v>7000</v>
      </c>
      <c r="Y477" s="619"/>
      <c r="Z477" s="2"/>
      <c r="AA477" s="2"/>
      <c r="AB477" s="620"/>
      <c r="AC477" s="25">
        <v>30</v>
      </c>
      <c r="AD477" s="25">
        <v>30</v>
      </c>
      <c r="AE477" s="619"/>
      <c r="AF477" s="2"/>
      <c r="AG477" s="2"/>
      <c r="AH477" s="2"/>
      <c r="AI477" s="2"/>
      <c r="AJ477" s="621"/>
      <c r="AK477" s="596">
        <v>14000</v>
      </c>
      <c r="AL477" s="29" t="s">
        <v>73</v>
      </c>
      <c r="AM477" s="29" t="s">
        <v>73</v>
      </c>
      <c r="AN477" s="29" t="s">
        <v>73</v>
      </c>
      <c r="AO477" s="29" t="s">
        <v>73</v>
      </c>
      <c r="AP477" s="478">
        <v>7000</v>
      </c>
      <c r="AQ477" s="478">
        <v>7000</v>
      </c>
      <c r="AR477" s="29" t="s">
        <v>73</v>
      </c>
      <c r="AS477" s="29" t="s">
        <v>73</v>
      </c>
      <c r="AT477" s="29" t="s">
        <v>73</v>
      </c>
      <c r="AU477" s="29" t="s">
        <v>73</v>
      </c>
      <c r="AV477" s="29" t="s">
        <v>73</v>
      </c>
      <c r="AW477" s="29" t="s">
        <v>73</v>
      </c>
      <c r="AX477" s="30">
        <v>14000</v>
      </c>
      <c r="AY477" s="479" t="s">
        <v>6</v>
      </c>
      <c r="AZ477" s="2" t="s">
        <v>74</v>
      </c>
      <c r="BA477" s="2"/>
      <c r="BK477" s="125" t="s">
        <v>790</v>
      </c>
      <c r="BL477" s="481" t="s">
        <v>791</v>
      </c>
      <c r="BM477" s="125" t="s">
        <v>2057</v>
      </c>
      <c r="BN477" s="655" t="s">
        <v>2058</v>
      </c>
      <c r="BO477" s="284" t="s">
        <v>1808</v>
      </c>
      <c r="BP477" s="129">
        <v>46134</v>
      </c>
      <c r="BQ477" s="18"/>
      <c r="BR477" s="505" t="s">
        <v>2188</v>
      </c>
      <c r="BS477" s="18"/>
      <c r="BT477" s="656" t="s">
        <v>1809</v>
      </c>
      <c r="BU477" s="656" t="s">
        <v>1841</v>
      </c>
      <c r="BV477" s="125" t="s">
        <v>2189</v>
      </c>
      <c r="BW477" s="125" t="s">
        <v>2190</v>
      </c>
      <c r="BX477" s="125" t="s">
        <v>2191</v>
      </c>
      <c r="BY477" s="125">
        <v>46066411</v>
      </c>
      <c r="BZ477" s="125">
        <v>10460664115</v>
      </c>
      <c r="CA477" s="126">
        <v>7000</v>
      </c>
      <c r="CB477" s="289">
        <v>46143</v>
      </c>
      <c r="CC477" s="289">
        <v>46203</v>
      </c>
      <c r="CD477" s="759"/>
      <c r="CE477" s="177">
        <f t="shared" si="661"/>
        <v>30</v>
      </c>
      <c r="CF477" s="1019">
        <f t="shared" si="662"/>
        <v>7000</v>
      </c>
      <c r="CG477" s="177">
        <v>30</v>
      </c>
      <c r="CH477" s="1019">
        <f t="shared" si="663"/>
        <v>7000</v>
      </c>
      <c r="CI477" s="177">
        <v>30</v>
      </c>
      <c r="CJ477" s="1019">
        <f t="shared" si="664"/>
        <v>7000</v>
      </c>
      <c r="CK477" s="177">
        <f t="shared" si="665"/>
        <v>0</v>
      </c>
      <c r="CL477" s="177">
        <f t="shared" si="666"/>
        <v>0</v>
      </c>
      <c r="CM477" s="1006"/>
      <c r="CN477" s="177">
        <f t="shared" si="667"/>
        <v>30</v>
      </c>
      <c r="CO477" s="1019">
        <f t="shared" si="668"/>
        <v>7000</v>
      </c>
      <c r="CP477" s="177">
        <v>30</v>
      </c>
      <c r="CQ477" s="1019">
        <f t="shared" si="669"/>
        <v>7000</v>
      </c>
      <c r="CR477" s="1019">
        <v>30</v>
      </c>
      <c r="CS477" s="1019">
        <f t="shared" si="670"/>
        <v>7000</v>
      </c>
      <c r="CT477" s="177">
        <f t="shared" si="671"/>
        <v>0</v>
      </c>
      <c r="CU477" s="177">
        <f t="shared" si="672"/>
        <v>0</v>
      </c>
      <c r="CV477" s="1006"/>
      <c r="CW477" s="177">
        <f t="shared" si="673"/>
        <v>14000</v>
      </c>
      <c r="CX477" s="1019">
        <f t="shared" si="674"/>
        <v>14000</v>
      </c>
      <c r="CY477" s="177">
        <f t="shared" si="675"/>
        <v>14000</v>
      </c>
      <c r="CZ477" s="1019">
        <f t="shared" si="676"/>
        <v>0</v>
      </c>
      <c r="DA477" s="177">
        <f t="shared" si="677"/>
        <v>0</v>
      </c>
      <c r="DB477" s="126"/>
      <c r="DC477" s="125"/>
    </row>
    <row r="478" spans="1:108" ht="51" hidden="1" x14ac:dyDescent="0.25">
      <c r="A478" s="19">
        <v>2026</v>
      </c>
      <c r="B478" s="20">
        <v>479</v>
      </c>
      <c r="C478" s="21" t="s">
        <v>64</v>
      </c>
      <c r="D478" s="21" t="s">
        <v>65</v>
      </c>
      <c r="E478" s="20">
        <v>125</v>
      </c>
      <c r="F478" s="20">
        <v>3000654</v>
      </c>
      <c r="G478" s="20">
        <v>5005023</v>
      </c>
      <c r="H478" s="20">
        <v>3</v>
      </c>
      <c r="I478" s="20">
        <v>12</v>
      </c>
      <c r="J478" s="20">
        <v>24</v>
      </c>
      <c r="K478" s="20">
        <v>135560</v>
      </c>
      <c r="L478" s="21" t="s">
        <v>98</v>
      </c>
      <c r="M478" s="33" t="s">
        <v>99</v>
      </c>
      <c r="N478" s="19">
        <v>94</v>
      </c>
      <c r="O478" s="2"/>
      <c r="P478" s="2" t="s">
        <v>4</v>
      </c>
      <c r="Q478" s="20" t="s">
        <v>68</v>
      </c>
      <c r="R478" s="25" t="s">
        <v>69</v>
      </c>
      <c r="S478" s="41" t="s">
        <v>137</v>
      </c>
      <c r="T478" s="41"/>
      <c r="U478" s="31" t="s">
        <v>322</v>
      </c>
      <c r="V478" s="25" t="s">
        <v>3</v>
      </c>
      <c r="W478" s="25">
        <v>1</v>
      </c>
      <c r="X478" s="595">
        <v>7000</v>
      </c>
      <c r="Y478" s="619"/>
      <c r="Z478" s="2"/>
      <c r="AA478" s="2"/>
      <c r="AB478" s="620"/>
      <c r="AC478" s="25">
        <v>30</v>
      </c>
      <c r="AD478" s="25">
        <v>0</v>
      </c>
      <c r="AE478" s="619"/>
      <c r="AF478" s="2"/>
      <c r="AG478" s="2"/>
      <c r="AH478" s="2"/>
      <c r="AI478" s="2"/>
      <c r="AJ478" s="621"/>
      <c r="AK478" s="596">
        <v>7000</v>
      </c>
      <c r="AL478" s="29" t="s">
        <v>73</v>
      </c>
      <c r="AM478" s="29" t="s">
        <v>73</v>
      </c>
      <c r="AN478" s="29" t="s">
        <v>73</v>
      </c>
      <c r="AO478" s="29" t="s">
        <v>73</v>
      </c>
      <c r="AP478" s="478">
        <v>7000</v>
      </c>
      <c r="AQ478" s="648">
        <v>0</v>
      </c>
      <c r="AR478" s="29" t="s">
        <v>73</v>
      </c>
      <c r="AS478" s="29" t="s">
        <v>73</v>
      </c>
      <c r="AT478" s="29" t="s">
        <v>73</v>
      </c>
      <c r="AU478" s="29" t="s">
        <v>73</v>
      </c>
      <c r="AV478" s="29" t="s">
        <v>73</v>
      </c>
      <c r="AW478" s="29" t="s">
        <v>73</v>
      </c>
      <c r="AX478" s="30">
        <v>7000</v>
      </c>
      <c r="AY478" s="165" t="s">
        <v>6</v>
      </c>
      <c r="AZ478" s="2" t="s">
        <v>74</v>
      </c>
      <c r="BA478" s="2"/>
      <c r="BK478" s="147" t="s">
        <v>790</v>
      </c>
      <c r="BL478" s="481" t="s">
        <v>791</v>
      </c>
      <c r="BM478" s="125" t="s">
        <v>2057</v>
      </c>
      <c r="BN478" s="655" t="s">
        <v>2058</v>
      </c>
      <c r="BO478" s="284" t="s">
        <v>1808</v>
      </c>
      <c r="BP478" s="129">
        <v>46134</v>
      </c>
      <c r="BQ478" s="18"/>
      <c r="BR478" s="505" t="s">
        <v>2192</v>
      </c>
      <c r="BS478" s="18"/>
      <c r="BT478" s="656" t="s">
        <v>1809</v>
      </c>
      <c r="BU478" s="18"/>
      <c r="BV478" s="125" t="s">
        <v>993</v>
      </c>
      <c r="BW478" s="125" t="s">
        <v>1675</v>
      </c>
      <c r="BX478" s="125" t="s">
        <v>2193</v>
      </c>
      <c r="BY478" s="125">
        <v>41447921</v>
      </c>
      <c r="BZ478" s="125">
        <v>10414479214</v>
      </c>
      <c r="CA478" s="126">
        <v>7000</v>
      </c>
      <c r="CB478" s="289">
        <v>46143</v>
      </c>
      <c r="CC478" s="289">
        <v>46173</v>
      </c>
      <c r="CD478" s="759"/>
      <c r="CE478" s="177">
        <f t="shared" si="661"/>
        <v>30</v>
      </c>
      <c r="CF478" s="1019">
        <f t="shared" si="662"/>
        <v>7000</v>
      </c>
      <c r="CG478" s="177">
        <v>30</v>
      </c>
      <c r="CH478" s="1019">
        <f t="shared" si="663"/>
        <v>7000</v>
      </c>
      <c r="CI478" s="177">
        <v>30</v>
      </c>
      <c r="CJ478" s="1019">
        <f t="shared" si="664"/>
        <v>7000</v>
      </c>
      <c r="CK478" s="177">
        <f t="shared" si="665"/>
        <v>0</v>
      </c>
      <c r="CL478" s="177">
        <f t="shared" si="666"/>
        <v>0</v>
      </c>
      <c r="CM478" s="1006"/>
      <c r="CN478" s="177">
        <f t="shared" si="667"/>
        <v>0</v>
      </c>
      <c r="CO478" s="1019">
        <f t="shared" si="668"/>
        <v>0</v>
      </c>
      <c r="CP478" s="177"/>
      <c r="CQ478" s="1019">
        <f t="shared" si="669"/>
        <v>0</v>
      </c>
      <c r="CR478" s="1019"/>
      <c r="CS478" s="1019">
        <f t="shared" si="670"/>
        <v>0</v>
      </c>
      <c r="CT478" s="177">
        <f t="shared" si="671"/>
        <v>0</v>
      </c>
      <c r="CU478" s="177">
        <f t="shared" si="672"/>
        <v>0</v>
      </c>
      <c r="CV478" s="1006"/>
      <c r="CW478" s="177">
        <f t="shared" si="673"/>
        <v>7000</v>
      </c>
      <c r="CX478" s="1019">
        <f t="shared" si="674"/>
        <v>7000</v>
      </c>
      <c r="CY478" s="177">
        <f t="shared" si="675"/>
        <v>7000</v>
      </c>
      <c r="CZ478" s="1019">
        <f t="shared" si="676"/>
        <v>0</v>
      </c>
      <c r="DA478" s="177">
        <f t="shared" si="677"/>
        <v>0</v>
      </c>
      <c r="DB478" s="126"/>
      <c r="DC478" s="125"/>
    </row>
    <row r="479" spans="1:108" ht="51" hidden="1" x14ac:dyDescent="0.25">
      <c r="A479" s="19">
        <v>2026</v>
      </c>
      <c r="B479" s="20">
        <v>479</v>
      </c>
      <c r="C479" s="21" t="s">
        <v>64</v>
      </c>
      <c r="D479" s="21" t="s">
        <v>65</v>
      </c>
      <c r="E479" s="20">
        <v>125</v>
      </c>
      <c r="F479" s="20">
        <v>3000654</v>
      </c>
      <c r="G479" s="20">
        <v>5005023</v>
      </c>
      <c r="H479" s="20">
        <v>3</v>
      </c>
      <c r="I479" s="20">
        <v>12</v>
      </c>
      <c r="J479" s="20">
        <v>24</v>
      </c>
      <c r="K479" s="20">
        <v>135560</v>
      </c>
      <c r="L479" s="21" t="s">
        <v>220</v>
      </c>
      <c r="M479" s="33" t="s">
        <v>221</v>
      </c>
      <c r="N479" s="19">
        <v>97</v>
      </c>
      <c r="O479" s="2"/>
      <c r="P479" s="2" t="s">
        <v>4</v>
      </c>
      <c r="Q479" s="20" t="s">
        <v>68</v>
      </c>
      <c r="R479" s="25" t="s">
        <v>69</v>
      </c>
      <c r="S479" s="41" t="s">
        <v>137</v>
      </c>
      <c r="T479" s="41"/>
      <c r="U479" s="31" t="s">
        <v>322</v>
      </c>
      <c r="V479" s="25" t="s">
        <v>3</v>
      </c>
      <c r="W479" s="25">
        <v>1</v>
      </c>
      <c r="X479" s="595">
        <v>7000</v>
      </c>
      <c r="Y479" s="619"/>
      <c r="Z479" s="2"/>
      <c r="AA479" s="2"/>
      <c r="AB479" s="620"/>
      <c r="AC479" s="25">
        <v>0</v>
      </c>
      <c r="AD479" s="25">
        <v>30</v>
      </c>
      <c r="AE479" s="619"/>
      <c r="AF479" s="2"/>
      <c r="AG479" s="2"/>
      <c r="AH479" s="2"/>
      <c r="AI479" s="2"/>
      <c r="AJ479" s="621"/>
      <c r="AK479" s="596">
        <v>7000</v>
      </c>
      <c r="AL479" s="29" t="s">
        <v>73</v>
      </c>
      <c r="AM479" s="29" t="s">
        <v>73</v>
      </c>
      <c r="AN479" s="29" t="s">
        <v>73</v>
      </c>
      <c r="AO479" s="29" t="s">
        <v>73</v>
      </c>
      <c r="AP479" s="648">
        <v>0</v>
      </c>
      <c r="AQ479" s="478">
        <v>7000</v>
      </c>
      <c r="AR479" s="29" t="s">
        <v>73</v>
      </c>
      <c r="AS479" s="29" t="s">
        <v>73</v>
      </c>
      <c r="AT479" s="29" t="s">
        <v>73</v>
      </c>
      <c r="AU479" s="29" t="s">
        <v>73</v>
      </c>
      <c r="AV479" s="29" t="s">
        <v>73</v>
      </c>
      <c r="AW479" s="29" t="s">
        <v>73</v>
      </c>
      <c r="AX479" s="30">
        <v>7000</v>
      </c>
      <c r="AY479" s="479" t="s">
        <v>6</v>
      </c>
      <c r="AZ479" s="2" t="s">
        <v>74</v>
      </c>
      <c r="BA479" s="2"/>
      <c r="BK479" s="125" t="s">
        <v>790</v>
      </c>
      <c r="BL479" s="481" t="s">
        <v>791</v>
      </c>
      <c r="BM479" s="125" t="s">
        <v>1812</v>
      </c>
      <c r="BN479" s="177" t="s">
        <v>1813</v>
      </c>
      <c r="BO479" s="125" t="s">
        <v>1814</v>
      </c>
      <c r="BP479" s="129">
        <v>46156</v>
      </c>
      <c r="BQ479" s="18"/>
      <c r="BR479" s="287">
        <v>5041</v>
      </c>
      <c r="BS479" s="18"/>
      <c r="BT479" s="18"/>
      <c r="BU479" s="18" t="s">
        <v>1815</v>
      </c>
      <c r="BV479" s="125" t="s">
        <v>993</v>
      </c>
      <c r="BW479" s="125" t="s">
        <v>1675</v>
      </c>
      <c r="BX479" s="125" t="s">
        <v>2193</v>
      </c>
      <c r="BY479" s="125">
        <v>41447921</v>
      </c>
      <c r="BZ479" s="125">
        <v>10414479214</v>
      </c>
      <c r="CA479" s="126">
        <v>7000</v>
      </c>
      <c r="CB479" s="289">
        <v>46174</v>
      </c>
      <c r="CC479" s="289">
        <v>46203</v>
      </c>
      <c r="CD479" s="759"/>
      <c r="CE479" s="177">
        <f t="shared" si="661"/>
        <v>0</v>
      </c>
      <c r="CF479" s="1019">
        <f t="shared" si="662"/>
        <v>0</v>
      </c>
      <c r="CG479" s="177"/>
      <c r="CH479" s="1019">
        <f t="shared" si="663"/>
        <v>0</v>
      </c>
      <c r="CI479" s="177"/>
      <c r="CJ479" s="1019">
        <f t="shared" si="664"/>
        <v>0</v>
      </c>
      <c r="CK479" s="177">
        <f t="shared" si="665"/>
        <v>0</v>
      </c>
      <c r="CL479" s="177">
        <f t="shared" si="666"/>
        <v>0</v>
      </c>
      <c r="CM479" s="1006"/>
      <c r="CN479" s="177">
        <f t="shared" si="667"/>
        <v>30</v>
      </c>
      <c r="CO479" s="1019">
        <f t="shared" si="668"/>
        <v>7000</v>
      </c>
      <c r="CP479" s="177">
        <v>30</v>
      </c>
      <c r="CQ479" s="1019">
        <f t="shared" si="669"/>
        <v>7000</v>
      </c>
      <c r="CR479" s="1019">
        <v>30</v>
      </c>
      <c r="CS479" s="1019">
        <f t="shared" si="670"/>
        <v>7000</v>
      </c>
      <c r="CT479" s="177">
        <f t="shared" si="671"/>
        <v>0</v>
      </c>
      <c r="CU479" s="177">
        <f t="shared" si="672"/>
        <v>0</v>
      </c>
      <c r="CV479" s="1006"/>
      <c r="CW479" s="177">
        <f t="shared" si="673"/>
        <v>7000</v>
      </c>
      <c r="CX479" s="1019">
        <f t="shared" si="674"/>
        <v>7000</v>
      </c>
      <c r="CY479" s="177">
        <f t="shared" si="675"/>
        <v>7000</v>
      </c>
      <c r="CZ479" s="1019">
        <f t="shared" si="676"/>
        <v>0</v>
      </c>
      <c r="DA479" s="177">
        <f t="shared" si="677"/>
        <v>0</v>
      </c>
      <c r="DB479" s="126"/>
      <c r="DC479" s="125"/>
    </row>
    <row r="480" spans="1:108" ht="51" hidden="1" x14ac:dyDescent="0.25">
      <c r="A480" s="19">
        <v>2026</v>
      </c>
      <c r="B480" s="20">
        <v>479</v>
      </c>
      <c r="C480" s="21" t="s">
        <v>64</v>
      </c>
      <c r="D480" s="21" t="s">
        <v>65</v>
      </c>
      <c r="E480" s="20">
        <v>125</v>
      </c>
      <c r="F480" s="20">
        <v>3000654</v>
      </c>
      <c r="G480" s="20">
        <v>5005023</v>
      </c>
      <c r="H480" s="20">
        <v>3</v>
      </c>
      <c r="I480" s="20">
        <v>12</v>
      </c>
      <c r="J480" s="20">
        <v>24</v>
      </c>
      <c r="K480" s="20">
        <v>135560</v>
      </c>
      <c r="L480" s="21" t="s">
        <v>98</v>
      </c>
      <c r="M480" s="33" t="s">
        <v>99</v>
      </c>
      <c r="N480" s="19">
        <v>94</v>
      </c>
      <c r="O480" s="2"/>
      <c r="P480" s="2" t="s">
        <v>4</v>
      </c>
      <c r="Q480" s="20" t="s">
        <v>68</v>
      </c>
      <c r="R480" s="25" t="s">
        <v>69</v>
      </c>
      <c r="S480" s="41" t="s">
        <v>137</v>
      </c>
      <c r="T480" s="41"/>
      <c r="U480" s="31" t="s">
        <v>323</v>
      </c>
      <c r="V480" s="25" t="s">
        <v>3</v>
      </c>
      <c r="W480" s="25">
        <v>1</v>
      </c>
      <c r="X480" s="595">
        <v>7000</v>
      </c>
      <c r="Y480" s="619"/>
      <c r="Z480" s="2"/>
      <c r="AA480" s="2"/>
      <c r="AB480" s="620"/>
      <c r="AC480" s="25">
        <v>30</v>
      </c>
      <c r="AD480" s="25">
        <v>0</v>
      </c>
      <c r="AE480" s="619"/>
      <c r="AF480" s="2"/>
      <c r="AG480" s="2"/>
      <c r="AH480" s="2"/>
      <c r="AI480" s="2"/>
      <c r="AJ480" s="621"/>
      <c r="AK480" s="596">
        <v>7000</v>
      </c>
      <c r="AL480" s="29" t="s">
        <v>73</v>
      </c>
      <c r="AM480" s="29" t="s">
        <v>73</v>
      </c>
      <c r="AN480" s="29" t="s">
        <v>73</v>
      </c>
      <c r="AO480" s="29" t="s">
        <v>73</v>
      </c>
      <c r="AP480" s="478">
        <v>7000</v>
      </c>
      <c r="AQ480" s="648">
        <v>0</v>
      </c>
      <c r="AR480" s="29" t="s">
        <v>73</v>
      </c>
      <c r="AS480" s="29" t="s">
        <v>73</v>
      </c>
      <c r="AT480" s="29" t="s">
        <v>73</v>
      </c>
      <c r="AU480" s="29" t="s">
        <v>73</v>
      </c>
      <c r="AV480" s="29" t="s">
        <v>73</v>
      </c>
      <c r="AW480" s="29" t="s">
        <v>73</v>
      </c>
      <c r="AX480" s="30">
        <v>7000</v>
      </c>
      <c r="AY480" s="165" t="s">
        <v>6</v>
      </c>
      <c r="AZ480" s="2" t="s">
        <v>74</v>
      </c>
      <c r="BA480" s="2"/>
      <c r="BK480" s="147" t="s">
        <v>790</v>
      </c>
      <c r="BL480" s="481" t="s">
        <v>791</v>
      </c>
      <c r="BM480" s="125" t="s">
        <v>2057</v>
      </c>
      <c r="BN480" s="655" t="s">
        <v>2058</v>
      </c>
      <c r="BO480" s="284" t="s">
        <v>1808</v>
      </c>
      <c r="BP480" s="129">
        <v>46134</v>
      </c>
      <c r="BQ480" s="18"/>
      <c r="BR480" s="505" t="s">
        <v>2194</v>
      </c>
      <c r="BS480" s="18"/>
      <c r="BT480" s="656" t="s">
        <v>1809</v>
      </c>
      <c r="BU480" s="18"/>
      <c r="BV480" s="125" t="s">
        <v>2195</v>
      </c>
      <c r="BW480" s="125" t="s">
        <v>2196</v>
      </c>
      <c r="BX480" s="125" t="s">
        <v>2197</v>
      </c>
      <c r="BY480" s="125">
        <v>46126107</v>
      </c>
      <c r="BZ480" s="125">
        <v>10461261073</v>
      </c>
      <c r="CA480" s="126">
        <v>7000</v>
      </c>
      <c r="CB480" s="289">
        <v>46143</v>
      </c>
      <c r="CC480" s="289">
        <v>46173</v>
      </c>
      <c r="CD480" s="759"/>
      <c r="CE480" s="177">
        <f t="shared" si="661"/>
        <v>30</v>
      </c>
      <c r="CF480" s="1019">
        <f t="shared" si="662"/>
        <v>7000</v>
      </c>
      <c r="CG480" s="177">
        <v>30</v>
      </c>
      <c r="CH480" s="1019">
        <f t="shared" si="663"/>
        <v>7000</v>
      </c>
      <c r="CI480" s="177">
        <v>30</v>
      </c>
      <c r="CJ480" s="1019">
        <f t="shared" si="664"/>
        <v>7000</v>
      </c>
      <c r="CK480" s="177">
        <f t="shared" si="665"/>
        <v>0</v>
      </c>
      <c r="CL480" s="177">
        <f t="shared" si="666"/>
        <v>0</v>
      </c>
      <c r="CM480" s="1006"/>
      <c r="CN480" s="177">
        <f t="shared" si="667"/>
        <v>0</v>
      </c>
      <c r="CO480" s="1019">
        <f t="shared" si="668"/>
        <v>0</v>
      </c>
      <c r="CP480" s="177"/>
      <c r="CQ480" s="1019">
        <f t="shared" si="669"/>
        <v>0</v>
      </c>
      <c r="CR480" s="1019"/>
      <c r="CS480" s="1019">
        <f t="shared" si="670"/>
        <v>0</v>
      </c>
      <c r="CT480" s="177">
        <f t="shared" si="671"/>
        <v>0</v>
      </c>
      <c r="CU480" s="177">
        <f t="shared" si="672"/>
        <v>0</v>
      </c>
      <c r="CV480" s="1006"/>
      <c r="CW480" s="177">
        <f t="shared" si="673"/>
        <v>7000</v>
      </c>
      <c r="CX480" s="1019">
        <f t="shared" si="674"/>
        <v>7000</v>
      </c>
      <c r="CY480" s="177">
        <f t="shared" si="675"/>
        <v>7000</v>
      </c>
      <c r="CZ480" s="1019">
        <f t="shared" si="676"/>
        <v>0</v>
      </c>
      <c r="DA480" s="177">
        <f t="shared" si="677"/>
        <v>0</v>
      </c>
      <c r="DB480" s="126"/>
      <c r="DC480" s="125"/>
    </row>
    <row r="481" spans="1:108" ht="51" hidden="1" x14ac:dyDescent="0.25">
      <c r="A481" s="19">
        <v>2026</v>
      </c>
      <c r="B481" s="20">
        <v>479</v>
      </c>
      <c r="C481" s="21" t="s">
        <v>64</v>
      </c>
      <c r="D481" s="21" t="s">
        <v>65</v>
      </c>
      <c r="E481" s="20">
        <v>125</v>
      </c>
      <c r="F481" s="20">
        <v>3000654</v>
      </c>
      <c r="G481" s="20">
        <v>5005023</v>
      </c>
      <c r="H481" s="20">
        <v>3</v>
      </c>
      <c r="I481" s="20">
        <v>12</v>
      </c>
      <c r="J481" s="20">
        <v>24</v>
      </c>
      <c r="K481" s="20">
        <v>135560</v>
      </c>
      <c r="L481" s="21" t="s">
        <v>220</v>
      </c>
      <c r="M481" s="33" t="s">
        <v>221</v>
      </c>
      <c r="N481" s="19">
        <v>97</v>
      </c>
      <c r="O481" s="2"/>
      <c r="P481" s="2" t="s">
        <v>4</v>
      </c>
      <c r="Q481" s="20" t="s">
        <v>68</v>
      </c>
      <c r="R481" s="25" t="s">
        <v>69</v>
      </c>
      <c r="S481" s="41" t="s">
        <v>137</v>
      </c>
      <c r="T481" s="41"/>
      <c r="U481" s="31" t="s">
        <v>323</v>
      </c>
      <c r="V481" s="25" t="s">
        <v>3</v>
      </c>
      <c r="W481" s="25">
        <v>1</v>
      </c>
      <c r="X481" s="595">
        <v>7000</v>
      </c>
      <c r="Y481" s="619"/>
      <c r="Z481" s="2"/>
      <c r="AA481" s="2"/>
      <c r="AB481" s="620"/>
      <c r="AC481" s="25">
        <v>0</v>
      </c>
      <c r="AD481" s="25">
        <v>30</v>
      </c>
      <c r="AE481" s="619"/>
      <c r="AF481" s="2"/>
      <c r="AG481" s="2"/>
      <c r="AH481" s="2"/>
      <c r="AI481" s="2"/>
      <c r="AJ481" s="621"/>
      <c r="AK481" s="596">
        <v>7000</v>
      </c>
      <c r="AL481" s="29" t="s">
        <v>73</v>
      </c>
      <c r="AM481" s="29" t="s">
        <v>73</v>
      </c>
      <c r="AN481" s="29" t="s">
        <v>73</v>
      </c>
      <c r="AO481" s="29" t="s">
        <v>73</v>
      </c>
      <c r="AP481" s="648">
        <v>0</v>
      </c>
      <c r="AQ481" s="478">
        <v>7000</v>
      </c>
      <c r="AR481" s="29" t="s">
        <v>73</v>
      </c>
      <c r="AS481" s="29" t="s">
        <v>73</v>
      </c>
      <c r="AT481" s="29" t="s">
        <v>73</v>
      </c>
      <c r="AU481" s="29" t="s">
        <v>73</v>
      </c>
      <c r="AV481" s="29" t="s">
        <v>73</v>
      </c>
      <c r="AW481" s="29" t="s">
        <v>73</v>
      </c>
      <c r="AX481" s="30">
        <v>7000</v>
      </c>
      <c r="AY481" s="479" t="s">
        <v>6</v>
      </c>
      <c r="AZ481" s="2" t="s">
        <v>74</v>
      </c>
      <c r="BA481" s="2"/>
      <c r="BK481" s="125" t="s">
        <v>790</v>
      </c>
      <c r="BL481" s="481" t="s">
        <v>791</v>
      </c>
      <c r="BM481" s="125" t="s">
        <v>1812</v>
      </c>
      <c r="BN481" s="177" t="s">
        <v>1813</v>
      </c>
      <c r="BO481" s="125" t="s">
        <v>1814</v>
      </c>
      <c r="BP481" s="129">
        <v>46156</v>
      </c>
      <c r="BQ481" s="18"/>
      <c r="BR481" s="287">
        <v>5042</v>
      </c>
      <c r="BS481" s="18"/>
      <c r="BT481" s="18"/>
      <c r="BU481" s="18" t="s">
        <v>1815</v>
      </c>
      <c r="BV481" s="125" t="s">
        <v>2195</v>
      </c>
      <c r="BW481" s="125" t="s">
        <v>2196</v>
      </c>
      <c r="BX481" s="125" t="s">
        <v>2197</v>
      </c>
      <c r="BY481" s="125">
        <v>46126107</v>
      </c>
      <c r="BZ481" s="125">
        <v>10461261073</v>
      </c>
      <c r="CA481" s="126">
        <v>7000</v>
      </c>
      <c r="CB481" s="289">
        <v>46174</v>
      </c>
      <c r="CC481" s="289">
        <v>46203</v>
      </c>
      <c r="CD481" s="759"/>
      <c r="CE481" s="177">
        <f t="shared" si="661"/>
        <v>0</v>
      </c>
      <c r="CF481" s="1019">
        <f t="shared" si="662"/>
        <v>0</v>
      </c>
      <c r="CG481" s="177"/>
      <c r="CH481" s="1019">
        <f t="shared" si="663"/>
        <v>0</v>
      </c>
      <c r="CI481" s="177"/>
      <c r="CJ481" s="1019">
        <f t="shared" si="664"/>
        <v>0</v>
      </c>
      <c r="CK481" s="177">
        <f t="shared" si="665"/>
        <v>0</v>
      </c>
      <c r="CL481" s="177">
        <f t="shared" si="666"/>
        <v>0</v>
      </c>
      <c r="CM481" s="1006"/>
      <c r="CN481" s="177">
        <f t="shared" si="667"/>
        <v>30</v>
      </c>
      <c r="CO481" s="1019">
        <f t="shared" si="668"/>
        <v>7000</v>
      </c>
      <c r="CP481" s="177">
        <v>30</v>
      </c>
      <c r="CQ481" s="1019">
        <f t="shared" si="669"/>
        <v>7000</v>
      </c>
      <c r="CR481" s="1019">
        <v>30</v>
      </c>
      <c r="CS481" s="1019">
        <f t="shared" si="670"/>
        <v>7000</v>
      </c>
      <c r="CT481" s="177">
        <f t="shared" si="671"/>
        <v>0</v>
      </c>
      <c r="CU481" s="177">
        <f t="shared" si="672"/>
        <v>0</v>
      </c>
      <c r="CV481" s="1006"/>
      <c r="CW481" s="177">
        <f t="shared" si="673"/>
        <v>7000</v>
      </c>
      <c r="CX481" s="1019">
        <f t="shared" si="674"/>
        <v>7000</v>
      </c>
      <c r="CY481" s="177">
        <f t="shared" si="675"/>
        <v>7000</v>
      </c>
      <c r="CZ481" s="1019">
        <f t="shared" si="676"/>
        <v>0</v>
      </c>
      <c r="DA481" s="177">
        <f t="shared" si="677"/>
        <v>0</v>
      </c>
      <c r="DB481" s="126"/>
      <c r="DC481" s="125"/>
    </row>
    <row r="482" spans="1:108" ht="51" hidden="1" x14ac:dyDescent="0.25">
      <c r="A482" s="19">
        <v>2026</v>
      </c>
      <c r="B482" s="20">
        <v>479</v>
      </c>
      <c r="C482" s="21" t="s">
        <v>64</v>
      </c>
      <c r="D482" s="21" t="s">
        <v>65</v>
      </c>
      <c r="E482" s="20">
        <v>125</v>
      </c>
      <c r="F482" s="20">
        <v>3000654</v>
      </c>
      <c r="G482" s="20">
        <v>5005023</v>
      </c>
      <c r="H482" s="20">
        <v>3</v>
      </c>
      <c r="I482" s="20">
        <v>12</v>
      </c>
      <c r="J482" s="20">
        <v>24</v>
      </c>
      <c r="K482" s="20">
        <v>135560</v>
      </c>
      <c r="L482" s="21" t="s">
        <v>98</v>
      </c>
      <c r="M482" s="33" t="s">
        <v>99</v>
      </c>
      <c r="N482" s="19">
        <v>94</v>
      </c>
      <c r="O482" s="2"/>
      <c r="P482" s="2" t="s">
        <v>4</v>
      </c>
      <c r="Q482" s="20" t="s">
        <v>68</v>
      </c>
      <c r="R482" s="25" t="s">
        <v>69</v>
      </c>
      <c r="S482" s="41" t="s">
        <v>137</v>
      </c>
      <c r="T482" s="41"/>
      <c r="U482" s="31" t="s">
        <v>324</v>
      </c>
      <c r="V482" s="25" t="s">
        <v>3</v>
      </c>
      <c r="W482" s="25">
        <v>1</v>
      </c>
      <c r="X482" s="595">
        <v>7000</v>
      </c>
      <c r="Y482" s="619"/>
      <c r="Z482" s="2"/>
      <c r="AA482" s="2"/>
      <c r="AB482" s="620"/>
      <c r="AC482" s="25">
        <v>30</v>
      </c>
      <c r="AD482" s="25">
        <v>0</v>
      </c>
      <c r="AE482" s="619"/>
      <c r="AF482" s="2"/>
      <c r="AG482" s="2"/>
      <c r="AH482" s="2"/>
      <c r="AI482" s="2"/>
      <c r="AJ482" s="621"/>
      <c r="AK482" s="596">
        <v>7000</v>
      </c>
      <c r="AL482" s="29" t="s">
        <v>73</v>
      </c>
      <c r="AM482" s="29" t="s">
        <v>73</v>
      </c>
      <c r="AN482" s="29" t="s">
        <v>73</v>
      </c>
      <c r="AO482" s="29" t="s">
        <v>73</v>
      </c>
      <c r="AP482" s="478">
        <v>7000</v>
      </c>
      <c r="AQ482" s="648">
        <v>0</v>
      </c>
      <c r="AR482" s="29" t="s">
        <v>73</v>
      </c>
      <c r="AS482" s="29" t="s">
        <v>73</v>
      </c>
      <c r="AT482" s="29" t="s">
        <v>73</v>
      </c>
      <c r="AU482" s="29" t="s">
        <v>73</v>
      </c>
      <c r="AV482" s="29" t="s">
        <v>73</v>
      </c>
      <c r="AW482" s="29" t="s">
        <v>73</v>
      </c>
      <c r="AX482" s="30">
        <v>7000</v>
      </c>
      <c r="AY482" s="165" t="s">
        <v>6</v>
      </c>
      <c r="AZ482" s="2" t="s">
        <v>74</v>
      </c>
      <c r="BA482" s="2"/>
      <c r="BK482" s="147" t="s">
        <v>790</v>
      </c>
      <c r="BL482" s="481" t="s">
        <v>791</v>
      </c>
      <c r="BM482" s="125" t="s">
        <v>2057</v>
      </c>
      <c r="BN482" s="655" t="s">
        <v>2058</v>
      </c>
      <c r="BO482" s="284" t="s">
        <v>1808</v>
      </c>
      <c r="BP482" s="129">
        <v>46134</v>
      </c>
      <c r="BQ482" s="18"/>
      <c r="BR482" s="505" t="s">
        <v>2198</v>
      </c>
      <c r="BS482" s="18"/>
      <c r="BT482" s="656" t="s">
        <v>1809</v>
      </c>
      <c r="BU482" s="18"/>
      <c r="BV482" s="125" t="s">
        <v>1000</v>
      </c>
      <c r="BW482" s="125" t="s">
        <v>2199</v>
      </c>
      <c r="BX482" s="125" t="s">
        <v>2200</v>
      </c>
      <c r="BY482" s="125">
        <v>72459743</v>
      </c>
      <c r="BZ482" s="125">
        <v>10724597438</v>
      </c>
      <c r="CA482" s="126">
        <v>7000</v>
      </c>
      <c r="CB482" s="289">
        <v>46143</v>
      </c>
      <c r="CC482" s="289">
        <v>46173</v>
      </c>
      <c r="CD482" s="759"/>
      <c r="CE482" s="177">
        <f t="shared" si="661"/>
        <v>30</v>
      </c>
      <c r="CF482" s="1019">
        <f t="shared" si="662"/>
        <v>7000</v>
      </c>
      <c r="CG482" s="177">
        <v>30</v>
      </c>
      <c r="CH482" s="1019">
        <f t="shared" si="663"/>
        <v>7000</v>
      </c>
      <c r="CI482" s="177">
        <v>30</v>
      </c>
      <c r="CJ482" s="1019">
        <f t="shared" si="664"/>
        <v>7000</v>
      </c>
      <c r="CK482" s="177">
        <f t="shared" si="665"/>
        <v>0</v>
      </c>
      <c r="CL482" s="177">
        <f t="shared" si="666"/>
        <v>0</v>
      </c>
      <c r="CM482" s="1006"/>
      <c r="CN482" s="177">
        <f t="shared" si="667"/>
        <v>0</v>
      </c>
      <c r="CO482" s="1019">
        <f t="shared" si="668"/>
        <v>0</v>
      </c>
      <c r="CP482" s="177"/>
      <c r="CQ482" s="1019">
        <f t="shared" si="669"/>
        <v>0</v>
      </c>
      <c r="CR482" s="1019"/>
      <c r="CS482" s="1019">
        <f t="shared" si="670"/>
        <v>0</v>
      </c>
      <c r="CT482" s="177">
        <f t="shared" si="671"/>
        <v>0</v>
      </c>
      <c r="CU482" s="177">
        <f t="shared" si="672"/>
        <v>0</v>
      </c>
      <c r="CV482" s="1006"/>
      <c r="CW482" s="177">
        <f t="shared" si="673"/>
        <v>7000</v>
      </c>
      <c r="CX482" s="1019">
        <f t="shared" si="674"/>
        <v>7000</v>
      </c>
      <c r="CY482" s="177">
        <f t="shared" si="675"/>
        <v>7000</v>
      </c>
      <c r="CZ482" s="1019">
        <f t="shared" si="676"/>
        <v>0</v>
      </c>
      <c r="DA482" s="177">
        <f t="shared" si="677"/>
        <v>0</v>
      </c>
      <c r="DB482" s="126"/>
      <c r="DC482" s="125"/>
    </row>
    <row r="483" spans="1:108" ht="51" hidden="1" x14ac:dyDescent="0.25">
      <c r="A483" s="19">
        <v>2026</v>
      </c>
      <c r="B483" s="20">
        <v>479</v>
      </c>
      <c r="C483" s="21" t="s">
        <v>64</v>
      </c>
      <c r="D483" s="21" t="s">
        <v>65</v>
      </c>
      <c r="E483" s="20">
        <v>125</v>
      </c>
      <c r="F483" s="20">
        <v>3000654</v>
      </c>
      <c r="G483" s="20">
        <v>5005023</v>
      </c>
      <c r="H483" s="20">
        <v>3</v>
      </c>
      <c r="I483" s="20">
        <v>12</v>
      </c>
      <c r="J483" s="20">
        <v>24</v>
      </c>
      <c r="K483" s="20">
        <v>135560</v>
      </c>
      <c r="L483" s="21" t="s">
        <v>220</v>
      </c>
      <c r="M483" s="33" t="s">
        <v>221</v>
      </c>
      <c r="N483" s="19">
        <v>97</v>
      </c>
      <c r="O483" s="2"/>
      <c r="P483" s="2" t="s">
        <v>4</v>
      </c>
      <c r="Q483" s="20" t="s">
        <v>68</v>
      </c>
      <c r="R483" s="25" t="s">
        <v>69</v>
      </c>
      <c r="S483" s="41" t="s">
        <v>137</v>
      </c>
      <c r="T483" s="41"/>
      <c r="U483" s="31" t="s">
        <v>324</v>
      </c>
      <c r="V483" s="25" t="s">
        <v>3</v>
      </c>
      <c r="W483" s="25">
        <v>1</v>
      </c>
      <c r="X483" s="595">
        <v>7000</v>
      </c>
      <c r="Y483" s="619"/>
      <c r="Z483" s="2"/>
      <c r="AA483" s="2"/>
      <c r="AB483" s="620"/>
      <c r="AC483" s="25">
        <v>0</v>
      </c>
      <c r="AD483" s="25">
        <v>30</v>
      </c>
      <c r="AE483" s="619"/>
      <c r="AF483" s="2"/>
      <c r="AG483" s="2"/>
      <c r="AH483" s="2"/>
      <c r="AI483" s="2"/>
      <c r="AJ483" s="621"/>
      <c r="AK483" s="596">
        <v>7000</v>
      </c>
      <c r="AL483" s="29" t="s">
        <v>73</v>
      </c>
      <c r="AM483" s="29" t="s">
        <v>73</v>
      </c>
      <c r="AN483" s="29" t="s">
        <v>73</v>
      </c>
      <c r="AO483" s="29" t="s">
        <v>73</v>
      </c>
      <c r="AP483" s="648">
        <v>0</v>
      </c>
      <c r="AQ483" s="478">
        <v>7000</v>
      </c>
      <c r="AR483" s="29" t="s">
        <v>73</v>
      </c>
      <c r="AS483" s="29" t="s">
        <v>73</v>
      </c>
      <c r="AT483" s="29" t="s">
        <v>73</v>
      </c>
      <c r="AU483" s="29" t="s">
        <v>73</v>
      </c>
      <c r="AV483" s="29" t="s">
        <v>73</v>
      </c>
      <c r="AW483" s="29" t="s">
        <v>73</v>
      </c>
      <c r="AX483" s="30">
        <v>7000</v>
      </c>
      <c r="AY483" s="479" t="s">
        <v>6</v>
      </c>
      <c r="AZ483" s="2" t="s">
        <v>74</v>
      </c>
      <c r="BA483" s="2"/>
      <c r="BK483" s="125" t="s">
        <v>790</v>
      </c>
      <c r="BL483" s="481" t="s">
        <v>791</v>
      </c>
      <c r="BM483" s="125" t="s">
        <v>1812</v>
      </c>
      <c r="BN483" s="177" t="s">
        <v>1813</v>
      </c>
      <c r="BO483" s="125" t="s">
        <v>1814</v>
      </c>
      <c r="BP483" s="129">
        <v>46156</v>
      </c>
      <c r="BQ483" s="18"/>
      <c r="BR483" s="287">
        <v>5043</v>
      </c>
      <c r="BS483" s="18"/>
      <c r="BT483" s="18"/>
      <c r="BU483" s="18" t="s">
        <v>1815</v>
      </c>
      <c r="BV483" s="125" t="s">
        <v>1000</v>
      </c>
      <c r="BW483" s="125" t="s">
        <v>2199</v>
      </c>
      <c r="BX483" s="125" t="s">
        <v>2200</v>
      </c>
      <c r="BY483" s="125">
        <v>72459743</v>
      </c>
      <c r="BZ483" s="125">
        <v>10724597438</v>
      </c>
      <c r="CA483" s="126">
        <v>7000</v>
      </c>
      <c r="CB483" s="289">
        <v>46174</v>
      </c>
      <c r="CC483" s="289">
        <v>46203</v>
      </c>
      <c r="CD483" s="759"/>
      <c r="CE483" s="177">
        <f t="shared" si="661"/>
        <v>0</v>
      </c>
      <c r="CF483" s="1019">
        <f t="shared" si="662"/>
        <v>0</v>
      </c>
      <c r="CG483" s="177"/>
      <c r="CH483" s="1019">
        <f t="shared" si="663"/>
        <v>0</v>
      </c>
      <c r="CI483" s="177"/>
      <c r="CJ483" s="1019">
        <f t="shared" si="664"/>
        <v>0</v>
      </c>
      <c r="CK483" s="177">
        <f t="shared" si="665"/>
        <v>0</v>
      </c>
      <c r="CL483" s="177">
        <f t="shared" si="666"/>
        <v>0</v>
      </c>
      <c r="CM483" s="1006"/>
      <c r="CN483" s="177">
        <f t="shared" si="667"/>
        <v>30</v>
      </c>
      <c r="CO483" s="1019">
        <f t="shared" si="668"/>
        <v>7000</v>
      </c>
      <c r="CP483" s="177">
        <v>30</v>
      </c>
      <c r="CQ483" s="1019">
        <f t="shared" si="669"/>
        <v>7000</v>
      </c>
      <c r="CR483" s="1019">
        <v>30</v>
      </c>
      <c r="CS483" s="1019">
        <f t="shared" si="670"/>
        <v>7000</v>
      </c>
      <c r="CT483" s="177">
        <f t="shared" si="671"/>
        <v>0</v>
      </c>
      <c r="CU483" s="177">
        <f t="shared" si="672"/>
        <v>0</v>
      </c>
      <c r="CV483" s="1006"/>
      <c r="CW483" s="177">
        <f t="shared" si="673"/>
        <v>7000</v>
      </c>
      <c r="CX483" s="1019">
        <f t="shared" si="674"/>
        <v>7000</v>
      </c>
      <c r="CY483" s="177">
        <f t="shared" si="675"/>
        <v>7000</v>
      </c>
      <c r="CZ483" s="1019">
        <f t="shared" si="676"/>
        <v>0</v>
      </c>
      <c r="DA483" s="177">
        <f t="shared" si="677"/>
        <v>0</v>
      </c>
      <c r="DB483" s="126"/>
      <c r="DC483" s="125"/>
    </row>
    <row r="484" spans="1:108" ht="51" hidden="1" x14ac:dyDescent="0.25">
      <c r="A484" s="19">
        <v>2026</v>
      </c>
      <c r="B484" s="20">
        <v>479</v>
      </c>
      <c r="C484" s="21" t="s">
        <v>64</v>
      </c>
      <c r="D484" s="21" t="s">
        <v>65</v>
      </c>
      <c r="E484" s="20">
        <v>125</v>
      </c>
      <c r="F484" s="20">
        <v>3000654</v>
      </c>
      <c r="G484" s="20">
        <v>5005023</v>
      </c>
      <c r="H484" s="20">
        <v>3</v>
      </c>
      <c r="I484" s="20">
        <v>12</v>
      </c>
      <c r="J484" s="20">
        <v>24</v>
      </c>
      <c r="K484" s="20">
        <v>135560</v>
      </c>
      <c r="L484" s="21" t="s">
        <v>98</v>
      </c>
      <c r="M484" s="33" t="s">
        <v>99</v>
      </c>
      <c r="N484" s="19">
        <v>94</v>
      </c>
      <c r="O484" s="2"/>
      <c r="P484" s="2" t="s">
        <v>4</v>
      </c>
      <c r="Q484" s="20" t="s">
        <v>68</v>
      </c>
      <c r="R484" s="25" t="s">
        <v>69</v>
      </c>
      <c r="S484" s="41" t="s">
        <v>137</v>
      </c>
      <c r="T484" s="41"/>
      <c r="U484" s="31" t="s">
        <v>325</v>
      </c>
      <c r="V484" s="25" t="s">
        <v>3</v>
      </c>
      <c r="W484" s="25">
        <v>1</v>
      </c>
      <c r="X484" s="595">
        <v>7000</v>
      </c>
      <c r="Y484" s="619"/>
      <c r="Z484" s="2"/>
      <c r="AA484" s="2"/>
      <c r="AB484" s="620"/>
      <c r="AC484" s="25">
        <v>30</v>
      </c>
      <c r="AD484" s="25">
        <v>0</v>
      </c>
      <c r="AE484" s="619"/>
      <c r="AF484" s="2"/>
      <c r="AG484" s="2"/>
      <c r="AH484" s="2"/>
      <c r="AI484" s="2"/>
      <c r="AJ484" s="621"/>
      <c r="AK484" s="596">
        <v>7000</v>
      </c>
      <c r="AL484" s="29" t="s">
        <v>73</v>
      </c>
      <c r="AM484" s="29" t="s">
        <v>73</v>
      </c>
      <c r="AN484" s="29" t="s">
        <v>73</v>
      </c>
      <c r="AO484" s="29" t="s">
        <v>73</v>
      </c>
      <c r="AP484" s="478">
        <v>7000</v>
      </c>
      <c r="AQ484" s="648">
        <v>0</v>
      </c>
      <c r="AR484" s="29" t="s">
        <v>73</v>
      </c>
      <c r="AS484" s="29" t="s">
        <v>73</v>
      </c>
      <c r="AT484" s="29" t="s">
        <v>73</v>
      </c>
      <c r="AU484" s="29" t="s">
        <v>73</v>
      </c>
      <c r="AV484" s="29" t="s">
        <v>73</v>
      </c>
      <c r="AW484" s="29" t="s">
        <v>73</v>
      </c>
      <c r="AX484" s="30">
        <v>7000</v>
      </c>
      <c r="AY484" s="165" t="s">
        <v>6</v>
      </c>
      <c r="AZ484" s="2" t="s">
        <v>74</v>
      </c>
      <c r="BA484" s="2"/>
      <c r="BK484" s="147" t="s">
        <v>790</v>
      </c>
      <c r="BL484" s="481" t="s">
        <v>791</v>
      </c>
      <c r="BM484" s="125" t="s">
        <v>2057</v>
      </c>
      <c r="BN484" s="655" t="s">
        <v>2058</v>
      </c>
      <c r="BO484" s="284" t="s">
        <v>1808</v>
      </c>
      <c r="BP484" s="129">
        <v>46134</v>
      </c>
      <c r="BQ484" s="18"/>
      <c r="BR484" s="505" t="s">
        <v>2201</v>
      </c>
      <c r="BS484" s="18"/>
      <c r="BT484" s="656" t="s">
        <v>1809</v>
      </c>
      <c r="BU484" s="18"/>
      <c r="BV484" s="125" t="s">
        <v>2202</v>
      </c>
      <c r="BW484" s="125" t="s">
        <v>2203</v>
      </c>
      <c r="BX484" s="125" t="s">
        <v>2204</v>
      </c>
      <c r="BY484" s="125">
        <v>46875253</v>
      </c>
      <c r="BZ484" s="125">
        <v>10468752536</v>
      </c>
      <c r="CA484" s="126">
        <v>7000</v>
      </c>
      <c r="CB484" s="289">
        <v>46143</v>
      </c>
      <c r="CC484" s="289">
        <v>46173</v>
      </c>
      <c r="CD484" s="759"/>
      <c r="CE484" s="177">
        <f t="shared" si="661"/>
        <v>30</v>
      </c>
      <c r="CF484" s="1019">
        <f t="shared" si="662"/>
        <v>7000</v>
      </c>
      <c r="CG484" s="177">
        <v>30</v>
      </c>
      <c r="CH484" s="1019">
        <f t="shared" si="663"/>
        <v>7000</v>
      </c>
      <c r="CI484" s="177">
        <v>30</v>
      </c>
      <c r="CJ484" s="1019">
        <f t="shared" si="664"/>
        <v>7000</v>
      </c>
      <c r="CK484" s="177">
        <f t="shared" si="665"/>
        <v>0</v>
      </c>
      <c r="CL484" s="177">
        <f t="shared" si="666"/>
        <v>0</v>
      </c>
      <c r="CM484" s="1006"/>
      <c r="CN484" s="177">
        <f t="shared" si="667"/>
        <v>0</v>
      </c>
      <c r="CO484" s="1019">
        <f t="shared" si="668"/>
        <v>0</v>
      </c>
      <c r="CP484" s="177"/>
      <c r="CQ484" s="1019">
        <f t="shared" si="669"/>
        <v>0</v>
      </c>
      <c r="CR484" s="1019"/>
      <c r="CS484" s="1019">
        <f t="shared" si="670"/>
        <v>0</v>
      </c>
      <c r="CT484" s="177">
        <f t="shared" si="671"/>
        <v>0</v>
      </c>
      <c r="CU484" s="177">
        <f t="shared" si="672"/>
        <v>0</v>
      </c>
      <c r="CV484" s="1006"/>
      <c r="CW484" s="177">
        <f t="shared" si="673"/>
        <v>7000</v>
      </c>
      <c r="CX484" s="1019">
        <f t="shared" si="674"/>
        <v>7000</v>
      </c>
      <c r="CY484" s="177">
        <f t="shared" si="675"/>
        <v>7000</v>
      </c>
      <c r="CZ484" s="1019">
        <f t="shared" si="676"/>
        <v>0</v>
      </c>
      <c r="DA484" s="177">
        <f t="shared" si="677"/>
        <v>0</v>
      </c>
      <c r="DB484" s="126"/>
      <c r="DC484" s="125"/>
    </row>
    <row r="485" spans="1:108" ht="51" hidden="1" x14ac:dyDescent="0.25">
      <c r="A485" s="19">
        <v>2026</v>
      </c>
      <c r="B485" s="20">
        <v>479</v>
      </c>
      <c r="C485" s="21" t="s">
        <v>64</v>
      </c>
      <c r="D485" s="21" t="s">
        <v>65</v>
      </c>
      <c r="E485" s="20">
        <v>125</v>
      </c>
      <c r="F485" s="20">
        <v>3000654</v>
      </c>
      <c r="G485" s="20">
        <v>5005023</v>
      </c>
      <c r="H485" s="20">
        <v>3</v>
      </c>
      <c r="I485" s="20">
        <v>12</v>
      </c>
      <c r="J485" s="20">
        <v>24</v>
      </c>
      <c r="K485" s="20">
        <v>135560</v>
      </c>
      <c r="L485" s="21" t="s">
        <v>220</v>
      </c>
      <c r="M485" s="33" t="s">
        <v>221</v>
      </c>
      <c r="N485" s="19">
        <v>97</v>
      </c>
      <c r="O485" s="2"/>
      <c r="P485" s="2" t="s">
        <v>4</v>
      </c>
      <c r="Q485" s="20" t="s">
        <v>68</v>
      </c>
      <c r="R485" s="25" t="s">
        <v>69</v>
      </c>
      <c r="S485" s="41" t="s">
        <v>137</v>
      </c>
      <c r="T485" s="41"/>
      <c r="U485" s="31" t="s">
        <v>325</v>
      </c>
      <c r="V485" s="25" t="s">
        <v>3</v>
      </c>
      <c r="W485" s="25">
        <v>1</v>
      </c>
      <c r="X485" s="595">
        <v>7000</v>
      </c>
      <c r="Y485" s="619"/>
      <c r="Z485" s="2"/>
      <c r="AA485" s="2"/>
      <c r="AB485" s="620"/>
      <c r="AC485" s="25">
        <v>0</v>
      </c>
      <c r="AD485" s="25">
        <v>30</v>
      </c>
      <c r="AE485" s="619"/>
      <c r="AF485" s="2"/>
      <c r="AG485" s="2"/>
      <c r="AH485" s="2"/>
      <c r="AI485" s="2"/>
      <c r="AJ485" s="621"/>
      <c r="AK485" s="596">
        <v>7000</v>
      </c>
      <c r="AL485" s="29" t="s">
        <v>73</v>
      </c>
      <c r="AM485" s="29" t="s">
        <v>73</v>
      </c>
      <c r="AN485" s="29" t="s">
        <v>73</v>
      </c>
      <c r="AO485" s="29" t="s">
        <v>73</v>
      </c>
      <c r="AP485" s="648">
        <v>0</v>
      </c>
      <c r="AQ485" s="478">
        <v>7000</v>
      </c>
      <c r="AR485" s="29" t="s">
        <v>73</v>
      </c>
      <c r="AS485" s="29" t="s">
        <v>73</v>
      </c>
      <c r="AT485" s="29" t="s">
        <v>73</v>
      </c>
      <c r="AU485" s="29" t="s">
        <v>73</v>
      </c>
      <c r="AV485" s="29" t="s">
        <v>73</v>
      </c>
      <c r="AW485" s="29" t="s">
        <v>73</v>
      </c>
      <c r="AX485" s="30">
        <v>7000</v>
      </c>
      <c r="AY485" s="479" t="s">
        <v>6</v>
      </c>
      <c r="AZ485" s="2" t="s">
        <v>74</v>
      </c>
      <c r="BA485" s="2"/>
      <c r="BK485" s="125" t="s">
        <v>790</v>
      </c>
      <c r="BL485" s="481" t="s">
        <v>791</v>
      </c>
      <c r="BM485" s="125" t="s">
        <v>1812</v>
      </c>
      <c r="BN485" s="177" t="s">
        <v>1813</v>
      </c>
      <c r="BO485" s="125" t="s">
        <v>1814</v>
      </c>
      <c r="BP485" s="129">
        <v>46156</v>
      </c>
      <c r="BQ485" s="18"/>
      <c r="BR485" s="287">
        <v>5044</v>
      </c>
      <c r="BS485" s="18"/>
      <c r="BT485" s="18"/>
      <c r="BU485" s="18" t="s">
        <v>1815</v>
      </c>
      <c r="BV485" s="125" t="s">
        <v>2202</v>
      </c>
      <c r="BW485" s="125" t="s">
        <v>2203</v>
      </c>
      <c r="BX485" s="125" t="s">
        <v>2204</v>
      </c>
      <c r="BY485" s="125">
        <v>46875253</v>
      </c>
      <c r="BZ485" s="125">
        <v>10468752536</v>
      </c>
      <c r="CA485" s="126">
        <v>7000</v>
      </c>
      <c r="CB485" s="289">
        <v>46174</v>
      </c>
      <c r="CC485" s="289">
        <v>46203</v>
      </c>
      <c r="CD485" s="759"/>
      <c r="CE485" s="177">
        <f t="shared" si="661"/>
        <v>0</v>
      </c>
      <c r="CF485" s="1019">
        <f t="shared" si="662"/>
        <v>0</v>
      </c>
      <c r="CG485" s="177"/>
      <c r="CH485" s="1019">
        <f t="shared" si="663"/>
        <v>0</v>
      </c>
      <c r="CI485" s="177"/>
      <c r="CJ485" s="1019">
        <f t="shared" si="664"/>
        <v>0</v>
      </c>
      <c r="CK485" s="177">
        <f t="shared" si="665"/>
        <v>0</v>
      </c>
      <c r="CL485" s="177">
        <f t="shared" si="666"/>
        <v>0</v>
      </c>
      <c r="CM485" s="1006"/>
      <c r="CN485" s="177">
        <f t="shared" si="667"/>
        <v>30</v>
      </c>
      <c r="CO485" s="1019">
        <f t="shared" si="668"/>
        <v>7000</v>
      </c>
      <c r="CP485" s="177">
        <v>30</v>
      </c>
      <c r="CQ485" s="1019">
        <f t="shared" si="669"/>
        <v>7000</v>
      </c>
      <c r="CR485" s="1019">
        <v>30</v>
      </c>
      <c r="CS485" s="1019">
        <f t="shared" si="670"/>
        <v>7000</v>
      </c>
      <c r="CT485" s="177">
        <f t="shared" si="671"/>
        <v>0</v>
      </c>
      <c r="CU485" s="177">
        <f t="shared" si="672"/>
        <v>0</v>
      </c>
      <c r="CV485" s="1006"/>
      <c r="CW485" s="177">
        <f t="shared" si="673"/>
        <v>7000</v>
      </c>
      <c r="CX485" s="1019">
        <f t="shared" si="674"/>
        <v>7000</v>
      </c>
      <c r="CY485" s="177">
        <f t="shared" si="675"/>
        <v>7000</v>
      </c>
      <c r="CZ485" s="1019">
        <f t="shared" si="676"/>
        <v>0</v>
      </c>
      <c r="DA485" s="177">
        <f t="shared" si="677"/>
        <v>0</v>
      </c>
      <c r="DB485" s="126"/>
      <c r="DC485" s="125"/>
    </row>
    <row r="486" spans="1:108" ht="51" hidden="1" x14ac:dyDescent="0.25">
      <c r="A486" s="19">
        <v>2026</v>
      </c>
      <c r="B486" s="20">
        <v>479</v>
      </c>
      <c r="C486" s="21" t="s">
        <v>64</v>
      </c>
      <c r="D486" s="21" t="s">
        <v>65</v>
      </c>
      <c r="E486" s="20">
        <v>125</v>
      </c>
      <c r="F486" s="20">
        <v>3000654</v>
      </c>
      <c r="G486" s="20">
        <v>5005023</v>
      </c>
      <c r="H486" s="20">
        <v>3</v>
      </c>
      <c r="I486" s="20">
        <v>12</v>
      </c>
      <c r="J486" s="20">
        <v>24</v>
      </c>
      <c r="K486" s="20">
        <v>135560</v>
      </c>
      <c r="L486" s="21" t="s">
        <v>98</v>
      </c>
      <c r="M486" s="33" t="s">
        <v>99</v>
      </c>
      <c r="N486" s="19">
        <v>94</v>
      </c>
      <c r="O486" s="2"/>
      <c r="P486" s="2" t="s">
        <v>4</v>
      </c>
      <c r="Q486" s="20" t="s">
        <v>68</v>
      </c>
      <c r="R486" s="25" t="s">
        <v>69</v>
      </c>
      <c r="S486" s="41" t="s">
        <v>137</v>
      </c>
      <c r="T486" s="41"/>
      <c r="U486" s="31" t="s">
        <v>326</v>
      </c>
      <c r="V486" s="25" t="s">
        <v>3</v>
      </c>
      <c r="W486" s="25">
        <v>1</v>
      </c>
      <c r="X486" s="595">
        <v>7000</v>
      </c>
      <c r="Y486" s="619"/>
      <c r="Z486" s="2"/>
      <c r="AA486" s="2"/>
      <c r="AB486" s="620"/>
      <c r="AC486" s="25">
        <v>30</v>
      </c>
      <c r="AD486" s="25">
        <v>0</v>
      </c>
      <c r="AE486" s="619"/>
      <c r="AF486" s="2"/>
      <c r="AG486" s="2"/>
      <c r="AH486" s="2"/>
      <c r="AI486" s="2"/>
      <c r="AJ486" s="621"/>
      <c r="AK486" s="596">
        <v>7000</v>
      </c>
      <c r="AL486" s="29" t="s">
        <v>73</v>
      </c>
      <c r="AM486" s="29" t="s">
        <v>73</v>
      </c>
      <c r="AN486" s="29" t="s">
        <v>73</v>
      </c>
      <c r="AO486" s="29" t="s">
        <v>73</v>
      </c>
      <c r="AP486" s="478">
        <v>7000</v>
      </c>
      <c r="AQ486" s="648">
        <v>0</v>
      </c>
      <c r="AR486" s="29" t="s">
        <v>73</v>
      </c>
      <c r="AS486" s="29" t="s">
        <v>73</v>
      </c>
      <c r="AT486" s="29" t="s">
        <v>73</v>
      </c>
      <c r="AU486" s="29" t="s">
        <v>73</v>
      </c>
      <c r="AV486" s="29" t="s">
        <v>73</v>
      </c>
      <c r="AW486" s="29" t="s">
        <v>73</v>
      </c>
      <c r="AX486" s="30">
        <v>7000</v>
      </c>
      <c r="AY486" s="165" t="s">
        <v>6</v>
      </c>
      <c r="AZ486" s="2" t="s">
        <v>74</v>
      </c>
      <c r="BA486" s="2"/>
      <c r="BK486" s="147" t="s">
        <v>790</v>
      </c>
      <c r="BL486" s="481" t="s">
        <v>791</v>
      </c>
      <c r="BM486" s="125" t="s">
        <v>2057</v>
      </c>
      <c r="BN486" s="655" t="s">
        <v>2058</v>
      </c>
      <c r="BO486" s="284" t="s">
        <v>1808</v>
      </c>
      <c r="BP486" s="129">
        <v>46134</v>
      </c>
      <c r="BQ486" s="18"/>
      <c r="BR486" s="505" t="s">
        <v>2205</v>
      </c>
      <c r="BS486" s="18"/>
      <c r="BT486" s="656" t="s">
        <v>1809</v>
      </c>
      <c r="BU486" s="18"/>
      <c r="BV486" s="125" t="s">
        <v>2206</v>
      </c>
      <c r="BW486" s="125" t="s">
        <v>1272</v>
      </c>
      <c r="BX486" s="125" t="s">
        <v>2207</v>
      </c>
      <c r="BY486" s="125">
        <v>45962109</v>
      </c>
      <c r="BZ486" s="125">
        <v>10459621097</v>
      </c>
      <c r="CA486" s="126">
        <v>7000</v>
      </c>
      <c r="CB486" s="289">
        <v>46143</v>
      </c>
      <c r="CC486" s="289">
        <v>46173</v>
      </c>
      <c r="CD486" s="759"/>
      <c r="CE486" s="177">
        <f t="shared" si="661"/>
        <v>30</v>
      </c>
      <c r="CF486" s="1019">
        <f t="shared" si="662"/>
        <v>7000</v>
      </c>
      <c r="CG486" s="177">
        <v>30</v>
      </c>
      <c r="CH486" s="1019">
        <f t="shared" si="663"/>
        <v>7000</v>
      </c>
      <c r="CI486" s="177">
        <v>30</v>
      </c>
      <c r="CJ486" s="1019">
        <f t="shared" si="664"/>
        <v>7000</v>
      </c>
      <c r="CK486" s="177">
        <f t="shared" si="665"/>
        <v>0</v>
      </c>
      <c r="CL486" s="177">
        <f t="shared" si="666"/>
        <v>0</v>
      </c>
      <c r="CM486" s="1006"/>
      <c r="CN486" s="177">
        <f t="shared" si="667"/>
        <v>0</v>
      </c>
      <c r="CO486" s="1019">
        <f t="shared" si="668"/>
        <v>0</v>
      </c>
      <c r="CP486" s="177"/>
      <c r="CQ486" s="1019">
        <f t="shared" si="669"/>
        <v>0</v>
      </c>
      <c r="CR486" s="1019"/>
      <c r="CS486" s="1019">
        <f t="shared" si="670"/>
        <v>0</v>
      </c>
      <c r="CT486" s="177">
        <f t="shared" si="671"/>
        <v>0</v>
      </c>
      <c r="CU486" s="177">
        <f t="shared" si="672"/>
        <v>0</v>
      </c>
      <c r="CV486" s="1006"/>
      <c r="CW486" s="177">
        <f t="shared" si="673"/>
        <v>7000</v>
      </c>
      <c r="CX486" s="1019">
        <f t="shared" si="674"/>
        <v>7000</v>
      </c>
      <c r="CY486" s="177">
        <f t="shared" si="675"/>
        <v>7000</v>
      </c>
      <c r="CZ486" s="1019">
        <f t="shared" si="676"/>
        <v>0</v>
      </c>
      <c r="DA486" s="177">
        <f t="shared" si="677"/>
        <v>0</v>
      </c>
      <c r="DB486" s="126"/>
      <c r="DC486" s="125"/>
    </row>
    <row r="487" spans="1:108" ht="51" hidden="1" x14ac:dyDescent="0.25">
      <c r="A487" s="19">
        <v>2026</v>
      </c>
      <c r="B487" s="20">
        <v>479</v>
      </c>
      <c r="C487" s="21" t="s">
        <v>64</v>
      </c>
      <c r="D487" s="21" t="s">
        <v>65</v>
      </c>
      <c r="E487" s="20">
        <v>125</v>
      </c>
      <c r="F487" s="20">
        <v>3000654</v>
      </c>
      <c r="G487" s="20">
        <v>5005023</v>
      </c>
      <c r="H487" s="20">
        <v>3</v>
      </c>
      <c r="I487" s="20">
        <v>12</v>
      </c>
      <c r="J487" s="20">
        <v>24</v>
      </c>
      <c r="K487" s="20">
        <v>135560</v>
      </c>
      <c r="L487" s="21" t="s">
        <v>220</v>
      </c>
      <c r="M487" s="33" t="s">
        <v>221</v>
      </c>
      <c r="N487" s="19">
        <v>97</v>
      </c>
      <c r="O487" s="2"/>
      <c r="P487" s="2" t="s">
        <v>4</v>
      </c>
      <c r="Q487" s="20" t="s">
        <v>68</v>
      </c>
      <c r="R487" s="25" t="s">
        <v>69</v>
      </c>
      <c r="S487" s="41" t="s">
        <v>137</v>
      </c>
      <c r="T487" s="41"/>
      <c r="U487" s="31" t="s">
        <v>326</v>
      </c>
      <c r="V487" s="25" t="s">
        <v>3</v>
      </c>
      <c r="W487" s="25">
        <v>1</v>
      </c>
      <c r="X487" s="595">
        <v>7000</v>
      </c>
      <c r="Y487" s="619"/>
      <c r="Z487" s="2"/>
      <c r="AA487" s="2"/>
      <c r="AB487" s="620"/>
      <c r="AC487" s="25">
        <v>0</v>
      </c>
      <c r="AD487" s="25">
        <v>30</v>
      </c>
      <c r="AE487" s="619"/>
      <c r="AF487" s="2"/>
      <c r="AG487" s="2"/>
      <c r="AH487" s="2"/>
      <c r="AI487" s="2"/>
      <c r="AJ487" s="621"/>
      <c r="AK487" s="596">
        <v>7000</v>
      </c>
      <c r="AL487" s="29" t="s">
        <v>73</v>
      </c>
      <c r="AM487" s="29" t="s">
        <v>73</v>
      </c>
      <c r="AN487" s="29" t="s">
        <v>73</v>
      </c>
      <c r="AO487" s="29" t="s">
        <v>73</v>
      </c>
      <c r="AP487" s="648">
        <v>0</v>
      </c>
      <c r="AQ487" s="478">
        <v>7000</v>
      </c>
      <c r="AR487" s="29" t="s">
        <v>73</v>
      </c>
      <c r="AS487" s="29" t="s">
        <v>73</v>
      </c>
      <c r="AT487" s="29" t="s">
        <v>73</v>
      </c>
      <c r="AU487" s="29" t="s">
        <v>73</v>
      </c>
      <c r="AV487" s="29" t="s">
        <v>73</v>
      </c>
      <c r="AW487" s="29" t="s">
        <v>73</v>
      </c>
      <c r="AX487" s="30">
        <v>7000</v>
      </c>
      <c r="AY487" s="479" t="s">
        <v>6</v>
      </c>
      <c r="AZ487" s="2" t="s">
        <v>74</v>
      </c>
      <c r="BA487" s="2"/>
      <c r="BK487" s="125" t="s">
        <v>790</v>
      </c>
      <c r="BL487" s="481" t="s">
        <v>791</v>
      </c>
      <c r="BM487" s="125" t="s">
        <v>1812</v>
      </c>
      <c r="BN487" s="177" t="s">
        <v>1813</v>
      </c>
      <c r="BO487" s="125" t="s">
        <v>1814</v>
      </c>
      <c r="BP487" s="129">
        <v>46156</v>
      </c>
      <c r="BQ487" s="18"/>
      <c r="BR487" s="505">
        <v>5045</v>
      </c>
      <c r="BS487" s="18"/>
      <c r="BT487" s="18"/>
      <c r="BU487" s="18" t="s">
        <v>1815</v>
      </c>
      <c r="BV487" s="125" t="s">
        <v>2206</v>
      </c>
      <c r="BW487" s="125" t="s">
        <v>1272</v>
      </c>
      <c r="BX487" s="125" t="s">
        <v>2207</v>
      </c>
      <c r="BY487" s="125">
        <v>45962109</v>
      </c>
      <c r="BZ487" s="125">
        <v>10459621097</v>
      </c>
      <c r="CA487" s="126">
        <v>7000</v>
      </c>
      <c r="CB487" s="289">
        <v>46174</v>
      </c>
      <c r="CC487" s="289">
        <v>46203</v>
      </c>
      <c r="CD487" s="759"/>
      <c r="CE487" s="177">
        <f t="shared" si="661"/>
        <v>0</v>
      </c>
      <c r="CF487" s="1019">
        <f t="shared" si="662"/>
        <v>0</v>
      </c>
      <c r="CG487" s="177"/>
      <c r="CH487" s="1019">
        <f t="shared" si="663"/>
        <v>0</v>
      </c>
      <c r="CI487" s="177"/>
      <c r="CJ487" s="1019">
        <f t="shared" si="664"/>
        <v>0</v>
      </c>
      <c r="CK487" s="177">
        <f t="shared" si="665"/>
        <v>0</v>
      </c>
      <c r="CL487" s="177">
        <f t="shared" si="666"/>
        <v>0</v>
      </c>
      <c r="CM487" s="1006"/>
      <c r="CN487" s="177">
        <f t="shared" si="667"/>
        <v>30</v>
      </c>
      <c r="CO487" s="1019">
        <f t="shared" si="668"/>
        <v>7000</v>
      </c>
      <c r="CP487" s="177">
        <v>30</v>
      </c>
      <c r="CQ487" s="1019">
        <f t="shared" si="669"/>
        <v>7000</v>
      </c>
      <c r="CR487" s="1019">
        <v>30</v>
      </c>
      <c r="CS487" s="1019">
        <f t="shared" si="670"/>
        <v>7000</v>
      </c>
      <c r="CT487" s="177">
        <f t="shared" si="671"/>
        <v>0</v>
      </c>
      <c r="CU487" s="177">
        <f t="shared" si="672"/>
        <v>0</v>
      </c>
      <c r="CV487" s="1006"/>
      <c r="CW487" s="177">
        <f t="shared" si="673"/>
        <v>7000</v>
      </c>
      <c r="CX487" s="1019">
        <f t="shared" si="674"/>
        <v>7000</v>
      </c>
      <c r="CY487" s="177">
        <f t="shared" si="675"/>
        <v>7000</v>
      </c>
      <c r="CZ487" s="1019">
        <f t="shared" si="676"/>
        <v>0</v>
      </c>
      <c r="DA487" s="177">
        <f t="shared" si="677"/>
        <v>0</v>
      </c>
      <c r="DB487" s="126"/>
      <c r="DC487" s="125"/>
    </row>
    <row r="488" spans="1:108" ht="51" hidden="1" x14ac:dyDescent="0.25">
      <c r="A488" s="19">
        <v>2026</v>
      </c>
      <c r="B488" s="20">
        <v>479</v>
      </c>
      <c r="C488" s="21" t="s">
        <v>64</v>
      </c>
      <c r="D488" s="21" t="s">
        <v>65</v>
      </c>
      <c r="E488" s="20">
        <v>125</v>
      </c>
      <c r="F488" s="20">
        <v>3000654</v>
      </c>
      <c r="G488" s="20">
        <v>5005023</v>
      </c>
      <c r="H488" s="20">
        <v>3</v>
      </c>
      <c r="I488" s="20">
        <v>12</v>
      </c>
      <c r="J488" s="20">
        <v>24</v>
      </c>
      <c r="K488" s="20">
        <v>135560</v>
      </c>
      <c r="L488" s="21" t="s">
        <v>220</v>
      </c>
      <c r="M488" s="33" t="s">
        <v>221</v>
      </c>
      <c r="N488" s="19">
        <v>97</v>
      </c>
      <c r="O488" s="2"/>
      <c r="P488" s="2" t="s">
        <v>4</v>
      </c>
      <c r="Q488" s="20" t="s">
        <v>68</v>
      </c>
      <c r="R488" s="25" t="s">
        <v>69</v>
      </c>
      <c r="S488" s="41" t="s">
        <v>137</v>
      </c>
      <c r="T488" s="41"/>
      <c r="U488" s="31" t="s">
        <v>327</v>
      </c>
      <c r="V488" s="25" t="s">
        <v>3</v>
      </c>
      <c r="W488" s="25">
        <v>1</v>
      </c>
      <c r="X488" s="595">
        <v>7000</v>
      </c>
      <c r="Y488" s="619"/>
      <c r="Z488" s="2"/>
      <c r="AA488" s="2"/>
      <c r="AB488" s="620"/>
      <c r="AC488" s="25">
        <v>30</v>
      </c>
      <c r="AD488" s="25">
        <v>30</v>
      </c>
      <c r="AE488" s="619"/>
      <c r="AF488" s="2"/>
      <c r="AG488" s="2"/>
      <c r="AH488" s="2"/>
      <c r="AI488" s="2"/>
      <c r="AJ488" s="621"/>
      <c r="AK488" s="596">
        <v>14000</v>
      </c>
      <c r="AL488" s="29" t="s">
        <v>73</v>
      </c>
      <c r="AM488" s="29" t="s">
        <v>73</v>
      </c>
      <c r="AN488" s="29" t="s">
        <v>73</v>
      </c>
      <c r="AO488" s="29" t="s">
        <v>73</v>
      </c>
      <c r="AP488" s="478">
        <v>7000</v>
      </c>
      <c r="AQ488" s="478">
        <v>7000</v>
      </c>
      <c r="AR488" s="29" t="s">
        <v>73</v>
      </c>
      <c r="AS488" s="29" t="s">
        <v>73</v>
      </c>
      <c r="AT488" s="29" t="s">
        <v>73</v>
      </c>
      <c r="AU488" s="29" t="s">
        <v>73</v>
      </c>
      <c r="AV488" s="29" t="s">
        <v>73</v>
      </c>
      <c r="AW488" s="29" t="s">
        <v>73</v>
      </c>
      <c r="AX488" s="30">
        <v>14000</v>
      </c>
      <c r="AY488" s="479" t="s">
        <v>6</v>
      </c>
      <c r="AZ488" s="2" t="s">
        <v>74</v>
      </c>
      <c r="BA488" s="2"/>
      <c r="BK488" s="125" t="s">
        <v>790</v>
      </c>
      <c r="BL488" s="481" t="s">
        <v>791</v>
      </c>
      <c r="BM488" s="125" t="s">
        <v>2057</v>
      </c>
      <c r="BN488" s="655" t="s">
        <v>2058</v>
      </c>
      <c r="BO488" s="284" t="s">
        <v>1808</v>
      </c>
      <c r="BP488" s="129">
        <v>46134</v>
      </c>
      <c r="BQ488" s="18"/>
      <c r="BR488" s="505" t="s">
        <v>2208</v>
      </c>
      <c r="BS488" s="18"/>
      <c r="BT488" s="656" t="s">
        <v>1809</v>
      </c>
      <c r="BU488" s="656" t="s">
        <v>1841</v>
      </c>
      <c r="BV488" s="125" t="s">
        <v>2209</v>
      </c>
      <c r="BW488" s="125" t="s">
        <v>1080</v>
      </c>
      <c r="BX488" s="125" t="s">
        <v>1607</v>
      </c>
      <c r="BY488" s="125">
        <v>73130710</v>
      </c>
      <c r="BZ488" s="125">
        <v>10731307101</v>
      </c>
      <c r="CA488" s="126">
        <v>7000</v>
      </c>
      <c r="CB488" s="289">
        <v>46143</v>
      </c>
      <c r="CC488" s="289">
        <v>46203</v>
      </c>
      <c r="CD488" s="759"/>
      <c r="CE488" s="177">
        <f t="shared" si="661"/>
        <v>30</v>
      </c>
      <c r="CF488" s="1019">
        <f t="shared" si="662"/>
        <v>7000</v>
      </c>
      <c r="CG488" s="177">
        <v>30</v>
      </c>
      <c r="CH488" s="1019">
        <f t="shared" si="663"/>
        <v>7000</v>
      </c>
      <c r="CI488" s="177">
        <v>30</v>
      </c>
      <c r="CJ488" s="1019">
        <f t="shared" si="664"/>
        <v>7000</v>
      </c>
      <c r="CK488" s="177">
        <f t="shared" si="665"/>
        <v>0</v>
      </c>
      <c r="CL488" s="177">
        <f t="shared" si="666"/>
        <v>0</v>
      </c>
      <c r="CM488" s="1006"/>
      <c r="CN488" s="177">
        <f t="shared" si="667"/>
        <v>30</v>
      </c>
      <c r="CO488" s="1019">
        <f t="shared" si="668"/>
        <v>7000</v>
      </c>
      <c r="CP488" s="177">
        <v>30</v>
      </c>
      <c r="CQ488" s="1019">
        <f t="shared" si="669"/>
        <v>7000</v>
      </c>
      <c r="CR488" s="1019">
        <v>30</v>
      </c>
      <c r="CS488" s="1019">
        <f t="shared" si="670"/>
        <v>7000</v>
      </c>
      <c r="CT488" s="177">
        <f t="shared" si="671"/>
        <v>0</v>
      </c>
      <c r="CU488" s="177">
        <f t="shared" si="672"/>
        <v>0</v>
      </c>
      <c r="CV488" s="1006"/>
      <c r="CW488" s="177">
        <f t="shared" si="673"/>
        <v>14000</v>
      </c>
      <c r="CX488" s="1019">
        <f t="shared" si="674"/>
        <v>14000</v>
      </c>
      <c r="CY488" s="177">
        <f t="shared" si="675"/>
        <v>14000</v>
      </c>
      <c r="CZ488" s="1019">
        <f t="shared" si="676"/>
        <v>0</v>
      </c>
      <c r="DA488" s="177">
        <f t="shared" si="677"/>
        <v>0</v>
      </c>
      <c r="DB488" s="126"/>
      <c r="DC488" s="125"/>
    </row>
    <row r="489" spans="1:108" ht="51" hidden="1" x14ac:dyDescent="0.25">
      <c r="A489" s="19">
        <v>2026</v>
      </c>
      <c r="B489" s="20">
        <v>479</v>
      </c>
      <c r="C489" s="21" t="s">
        <v>64</v>
      </c>
      <c r="D489" s="21" t="s">
        <v>65</v>
      </c>
      <c r="E489" s="20">
        <v>125</v>
      </c>
      <c r="F489" s="20">
        <v>3000654</v>
      </c>
      <c r="G489" s="20">
        <v>5005023</v>
      </c>
      <c r="H489" s="20">
        <v>3</v>
      </c>
      <c r="I489" s="20">
        <v>12</v>
      </c>
      <c r="J489" s="20">
        <v>24</v>
      </c>
      <c r="K489" s="20">
        <v>135560</v>
      </c>
      <c r="L489" s="21" t="s">
        <v>220</v>
      </c>
      <c r="M489" s="33" t="s">
        <v>221</v>
      </c>
      <c r="N489" s="19">
        <v>97</v>
      </c>
      <c r="O489" s="2"/>
      <c r="P489" s="2" t="s">
        <v>4</v>
      </c>
      <c r="Q489" s="20" t="s">
        <v>68</v>
      </c>
      <c r="R489" s="25" t="s">
        <v>69</v>
      </c>
      <c r="S489" s="41" t="s">
        <v>137</v>
      </c>
      <c r="T489" s="41"/>
      <c r="U489" s="31" t="s">
        <v>328</v>
      </c>
      <c r="V489" s="25" t="s">
        <v>3</v>
      </c>
      <c r="W489" s="25">
        <v>1</v>
      </c>
      <c r="X489" s="595">
        <v>7000</v>
      </c>
      <c r="Y489" s="619"/>
      <c r="Z489" s="2"/>
      <c r="AA489" s="2"/>
      <c r="AB489" s="620"/>
      <c r="AC489" s="25">
        <v>30</v>
      </c>
      <c r="AD489" s="25">
        <v>30</v>
      </c>
      <c r="AE489" s="619"/>
      <c r="AF489" s="2"/>
      <c r="AG489" s="2"/>
      <c r="AH489" s="2"/>
      <c r="AI489" s="2"/>
      <c r="AJ489" s="621"/>
      <c r="AK489" s="596">
        <v>14000</v>
      </c>
      <c r="AL489" s="29" t="s">
        <v>73</v>
      </c>
      <c r="AM489" s="29" t="s">
        <v>73</v>
      </c>
      <c r="AN489" s="29" t="s">
        <v>73</v>
      </c>
      <c r="AO489" s="29" t="s">
        <v>73</v>
      </c>
      <c r="AP489" s="478">
        <v>7000</v>
      </c>
      <c r="AQ489" s="478">
        <v>7000</v>
      </c>
      <c r="AR489" s="29" t="s">
        <v>73</v>
      </c>
      <c r="AS489" s="29" t="s">
        <v>73</v>
      </c>
      <c r="AT489" s="29" t="s">
        <v>73</v>
      </c>
      <c r="AU489" s="29" t="s">
        <v>73</v>
      </c>
      <c r="AV489" s="29" t="s">
        <v>73</v>
      </c>
      <c r="AW489" s="29" t="s">
        <v>73</v>
      </c>
      <c r="AX489" s="30">
        <v>14000</v>
      </c>
      <c r="AY489" s="479" t="s">
        <v>6</v>
      </c>
      <c r="AZ489" s="2" t="s">
        <v>74</v>
      </c>
      <c r="BA489" s="2"/>
      <c r="BK489" s="125" t="s">
        <v>790</v>
      </c>
      <c r="BL489" s="481" t="s">
        <v>791</v>
      </c>
      <c r="BM489" s="125" t="s">
        <v>2057</v>
      </c>
      <c r="BN489" s="655" t="s">
        <v>2058</v>
      </c>
      <c r="BO489" s="284" t="s">
        <v>1808</v>
      </c>
      <c r="BP489" s="129">
        <v>46134</v>
      </c>
      <c r="BQ489" s="18"/>
      <c r="BR489" s="505" t="s">
        <v>2210</v>
      </c>
      <c r="BS489" s="18"/>
      <c r="BT489" s="656" t="s">
        <v>1809</v>
      </c>
      <c r="BU489" s="656" t="s">
        <v>1841</v>
      </c>
      <c r="BV489" s="125" t="s">
        <v>2211</v>
      </c>
      <c r="BW489" s="125" t="s">
        <v>841</v>
      </c>
      <c r="BX489" s="125" t="s">
        <v>2212</v>
      </c>
      <c r="BY489" s="125">
        <v>70185806</v>
      </c>
      <c r="BZ489" s="125">
        <v>10701858064</v>
      </c>
      <c r="CA489" s="126">
        <v>7000</v>
      </c>
      <c r="CB489" s="289">
        <v>46143</v>
      </c>
      <c r="CC489" s="289">
        <v>46203</v>
      </c>
      <c r="CD489" s="759"/>
      <c r="CE489" s="177">
        <f t="shared" si="661"/>
        <v>30</v>
      </c>
      <c r="CF489" s="1019">
        <f t="shared" si="662"/>
        <v>7000</v>
      </c>
      <c r="CG489" s="177">
        <v>30</v>
      </c>
      <c r="CH489" s="1019">
        <f t="shared" si="663"/>
        <v>7000</v>
      </c>
      <c r="CI489" s="177">
        <v>30</v>
      </c>
      <c r="CJ489" s="1019">
        <f t="shared" si="664"/>
        <v>7000</v>
      </c>
      <c r="CK489" s="177">
        <f t="shared" si="665"/>
        <v>0</v>
      </c>
      <c r="CL489" s="177">
        <f t="shared" si="666"/>
        <v>0</v>
      </c>
      <c r="CM489" s="1006"/>
      <c r="CN489" s="177">
        <f t="shared" si="667"/>
        <v>30</v>
      </c>
      <c r="CO489" s="1019">
        <f t="shared" si="668"/>
        <v>7000</v>
      </c>
      <c r="CP489" s="177">
        <v>30</v>
      </c>
      <c r="CQ489" s="1019">
        <f t="shared" si="669"/>
        <v>7000</v>
      </c>
      <c r="CR489" s="1019">
        <v>30</v>
      </c>
      <c r="CS489" s="1019">
        <f t="shared" si="670"/>
        <v>7000</v>
      </c>
      <c r="CT489" s="177">
        <f t="shared" si="671"/>
        <v>0</v>
      </c>
      <c r="CU489" s="177">
        <f t="shared" si="672"/>
        <v>0</v>
      </c>
      <c r="CV489" s="1006"/>
      <c r="CW489" s="177">
        <f t="shared" si="673"/>
        <v>14000</v>
      </c>
      <c r="CX489" s="1019">
        <f t="shared" si="674"/>
        <v>14000</v>
      </c>
      <c r="CY489" s="177">
        <f t="shared" si="675"/>
        <v>14000</v>
      </c>
      <c r="CZ489" s="1019">
        <f t="shared" si="676"/>
        <v>0</v>
      </c>
      <c r="DA489" s="177">
        <f t="shared" si="677"/>
        <v>0</v>
      </c>
      <c r="DB489" s="126"/>
      <c r="DC489" s="125"/>
    </row>
    <row r="490" spans="1:108" ht="51" hidden="1" x14ac:dyDescent="0.25">
      <c r="A490" s="19">
        <v>2026</v>
      </c>
      <c r="B490" s="20">
        <v>479</v>
      </c>
      <c r="C490" s="21" t="s">
        <v>64</v>
      </c>
      <c r="D490" s="21" t="s">
        <v>65</v>
      </c>
      <c r="E490" s="20">
        <v>125</v>
      </c>
      <c r="F490" s="20">
        <v>3000654</v>
      </c>
      <c r="G490" s="20">
        <v>5005023</v>
      </c>
      <c r="H490" s="20">
        <v>3</v>
      </c>
      <c r="I490" s="20">
        <v>12</v>
      </c>
      <c r="J490" s="20">
        <v>24</v>
      </c>
      <c r="K490" s="20">
        <v>135560</v>
      </c>
      <c r="L490" s="21" t="s">
        <v>220</v>
      </c>
      <c r="M490" s="33" t="s">
        <v>221</v>
      </c>
      <c r="N490" s="19">
        <v>97</v>
      </c>
      <c r="O490" s="2"/>
      <c r="P490" s="2" t="s">
        <v>4</v>
      </c>
      <c r="Q490" s="20" t="s">
        <v>68</v>
      </c>
      <c r="R490" s="25" t="s">
        <v>69</v>
      </c>
      <c r="S490" s="41" t="s">
        <v>137</v>
      </c>
      <c r="T490" s="41"/>
      <c r="U490" s="31" t="s">
        <v>329</v>
      </c>
      <c r="V490" s="25" t="s">
        <v>3</v>
      </c>
      <c r="W490" s="25">
        <v>1</v>
      </c>
      <c r="X490" s="595">
        <v>7000</v>
      </c>
      <c r="Y490" s="619"/>
      <c r="Z490" s="2"/>
      <c r="AA490" s="2"/>
      <c r="AB490" s="620"/>
      <c r="AC490" s="25">
        <v>30</v>
      </c>
      <c r="AD490" s="25">
        <v>30</v>
      </c>
      <c r="AE490" s="619"/>
      <c r="AF490" s="2"/>
      <c r="AG490" s="2"/>
      <c r="AH490" s="2"/>
      <c r="AI490" s="2"/>
      <c r="AJ490" s="621"/>
      <c r="AK490" s="596">
        <v>14000</v>
      </c>
      <c r="AL490" s="29" t="s">
        <v>73</v>
      </c>
      <c r="AM490" s="29" t="s">
        <v>73</v>
      </c>
      <c r="AN490" s="29" t="s">
        <v>73</v>
      </c>
      <c r="AO490" s="29" t="s">
        <v>73</v>
      </c>
      <c r="AP490" s="478">
        <v>7000</v>
      </c>
      <c r="AQ490" s="478">
        <v>7000</v>
      </c>
      <c r="AR490" s="29" t="s">
        <v>73</v>
      </c>
      <c r="AS490" s="29" t="s">
        <v>73</v>
      </c>
      <c r="AT490" s="29" t="s">
        <v>73</v>
      </c>
      <c r="AU490" s="29" t="s">
        <v>73</v>
      </c>
      <c r="AV490" s="29" t="s">
        <v>73</v>
      </c>
      <c r="AW490" s="29" t="s">
        <v>73</v>
      </c>
      <c r="AX490" s="30">
        <v>14000</v>
      </c>
      <c r="AY490" s="479" t="s">
        <v>6</v>
      </c>
      <c r="AZ490" s="2" t="s">
        <v>74</v>
      </c>
      <c r="BA490" s="2"/>
      <c r="BK490" s="125" t="s">
        <v>790</v>
      </c>
      <c r="BL490" s="481" t="s">
        <v>791</v>
      </c>
      <c r="BM490" s="125" t="s">
        <v>2057</v>
      </c>
      <c r="BN490" s="655" t="s">
        <v>2058</v>
      </c>
      <c r="BO490" s="284" t="s">
        <v>1808</v>
      </c>
      <c r="BP490" s="129">
        <v>46134</v>
      </c>
      <c r="BQ490" s="18"/>
      <c r="BR490" s="505" t="s">
        <v>2213</v>
      </c>
      <c r="BS490" s="18"/>
      <c r="BT490" s="656" t="s">
        <v>1809</v>
      </c>
      <c r="BU490" s="656" t="s">
        <v>1841</v>
      </c>
      <c r="BV490" s="125" t="s">
        <v>2214</v>
      </c>
      <c r="BW490" s="125" t="s">
        <v>2215</v>
      </c>
      <c r="BX490" s="125" t="s">
        <v>1539</v>
      </c>
      <c r="BY490" s="125">
        <v>44815985</v>
      </c>
      <c r="BZ490" s="125">
        <v>10448159855</v>
      </c>
      <c r="CA490" s="126">
        <v>7000</v>
      </c>
      <c r="CB490" s="289">
        <v>46143</v>
      </c>
      <c r="CC490" s="289">
        <v>46203</v>
      </c>
      <c r="CD490" s="759"/>
      <c r="CE490" s="177">
        <f t="shared" si="661"/>
        <v>30</v>
      </c>
      <c r="CF490" s="1019">
        <f t="shared" si="662"/>
        <v>7000</v>
      </c>
      <c r="CG490" s="177">
        <v>30</v>
      </c>
      <c r="CH490" s="1019">
        <f t="shared" si="663"/>
        <v>7000</v>
      </c>
      <c r="CI490" s="177">
        <v>30</v>
      </c>
      <c r="CJ490" s="1019">
        <f t="shared" si="664"/>
        <v>7000</v>
      </c>
      <c r="CK490" s="177">
        <f t="shared" si="665"/>
        <v>0</v>
      </c>
      <c r="CL490" s="177">
        <f t="shared" si="666"/>
        <v>0</v>
      </c>
      <c r="CM490" s="1006"/>
      <c r="CN490" s="177">
        <f t="shared" si="667"/>
        <v>30</v>
      </c>
      <c r="CO490" s="1019">
        <f t="shared" si="668"/>
        <v>7000</v>
      </c>
      <c r="CP490" s="177">
        <v>30</v>
      </c>
      <c r="CQ490" s="1019">
        <f t="shared" si="669"/>
        <v>7000</v>
      </c>
      <c r="CR490" s="1019">
        <v>30</v>
      </c>
      <c r="CS490" s="1019">
        <f t="shared" si="670"/>
        <v>7000</v>
      </c>
      <c r="CT490" s="177">
        <f t="shared" si="671"/>
        <v>0</v>
      </c>
      <c r="CU490" s="177">
        <f t="shared" si="672"/>
        <v>0</v>
      </c>
      <c r="CV490" s="1006"/>
      <c r="CW490" s="177">
        <f t="shared" si="673"/>
        <v>14000</v>
      </c>
      <c r="CX490" s="1019">
        <f t="shared" si="674"/>
        <v>14000</v>
      </c>
      <c r="CY490" s="177">
        <f t="shared" si="675"/>
        <v>14000</v>
      </c>
      <c r="CZ490" s="1019">
        <f t="shared" si="676"/>
        <v>0</v>
      </c>
      <c r="DA490" s="177">
        <f t="shared" si="677"/>
        <v>0</v>
      </c>
      <c r="DB490" s="126"/>
      <c r="DC490" s="125"/>
    </row>
    <row r="491" spans="1:108" ht="51" hidden="1" x14ac:dyDescent="0.25">
      <c r="A491" s="19">
        <v>2026</v>
      </c>
      <c r="B491" s="20">
        <v>479</v>
      </c>
      <c r="C491" s="21" t="s">
        <v>64</v>
      </c>
      <c r="D491" s="21" t="s">
        <v>65</v>
      </c>
      <c r="E491" s="20">
        <v>125</v>
      </c>
      <c r="F491" s="20">
        <v>3000654</v>
      </c>
      <c r="G491" s="20">
        <v>5005023</v>
      </c>
      <c r="H491" s="20">
        <v>3</v>
      </c>
      <c r="I491" s="20">
        <v>12</v>
      </c>
      <c r="J491" s="20">
        <v>24</v>
      </c>
      <c r="K491" s="20">
        <v>135560</v>
      </c>
      <c r="L491" s="21" t="s">
        <v>220</v>
      </c>
      <c r="M491" s="33" t="s">
        <v>221</v>
      </c>
      <c r="N491" s="19">
        <v>97</v>
      </c>
      <c r="O491" s="2"/>
      <c r="P491" s="2" t="s">
        <v>4</v>
      </c>
      <c r="Q491" s="20" t="s">
        <v>68</v>
      </c>
      <c r="R491" s="25" t="s">
        <v>69</v>
      </c>
      <c r="S491" s="41" t="s">
        <v>137</v>
      </c>
      <c r="T491" s="41"/>
      <c r="U491" s="31" t="s">
        <v>330</v>
      </c>
      <c r="V491" s="25" t="s">
        <v>3</v>
      </c>
      <c r="W491" s="25">
        <v>1</v>
      </c>
      <c r="X491" s="595">
        <v>7000</v>
      </c>
      <c r="Y491" s="619"/>
      <c r="Z491" s="2"/>
      <c r="AA491" s="2"/>
      <c r="AB491" s="620"/>
      <c r="AC491" s="25">
        <v>30</v>
      </c>
      <c r="AD491" s="25">
        <v>30</v>
      </c>
      <c r="AE491" s="619"/>
      <c r="AF491" s="2"/>
      <c r="AG491" s="2"/>
      <c r="AH491" s="2"/>
      <c r="AI491" s="2"/>
      <c r="AJ491" s="621"/>
      <c r="AK491" s="596">
        <v>14000</v>
      </c>
      <c r="AL491" s="29" t="s">
        <v>73</v>
      </c>
      <c r="AM491" s="29" t="s">
        <v>73</v>
      </c>
      <c r="AN491" s="29" t="s">
        <v>73</v>
      </c>
      <c r="AO491" s="29" t="s">
        <v>73</v>
      </c>
      <c r="AP491" s="478">
        <v>7000</v>
      </c>
      <c r="AQ491" s="478">
        <v>7000</v>
      </c>
      <c r="AR491" s="29" t="s">
        <v>73</v>
      </c>
      <c r="AS491" s="29" t="s">
        <v>73</v>
      </c>
      <c r="AT491" s="29" t="s">
        <v>73</v>
      </c>
      <c r="AU491" s="29" t="s">
        <v>73</v>
      </c>
      <c r="AV491" s="29" t="s">
        <v>73</v>
      </c>
      <c r="AW491" s="29" t="s">
        <v>73</v>
      </c>
      <c r="AX491" s="30">
        <v>14000</v>
      </c>
      <c r="AY491" s="479" t="s">
        <v>6</v>
      </c>
      <c r="AZ491" s="2" t="s">
        <v>74</v>
      </c>
      <c r="BA491" s="2"/>
      <c r="BK491" s="125" t="s">
        <v>790</v>
      </c>
      <c r="BL491" s="481" t="s">
        <v>791</v>
      </c>
      <c r="BM491" s="125" t="s">
        <v>2057</v>
      </c>
      <c r="BN491" s="655" t="s">
        <v>2058</v>
      </c>
      <c r="BO491" s="284" t="s">
        <v>1808</v>
      </c>
      <c r="BP491" s="129">
        <v>46134</v>
      </c>
      <c r="BQ491" s="18"/>
      <c r="BR491" s="505" t="s">
        <v>2216</v>
      </c>
      <c r="BS491" s="18"/>
      <c r="BT491" s="656" t="s">
        <v>1809</v>
      </c>
      <c r="BU491" s="656" t="s">
        <v>1841</v>
      </c>
      <c r="BV491" s="125" t="s">
        <v>880</v>
      </c>
      <c r="BW491" s="125" t="s">
        <v>2217</v>
      </c>
      <c r="BX491" s="125" t="s">
        <v>2218</v>
      </c>
      <c r="BY491" s="125">
        <v>46130246</v>
      </c>
      <c r="BZ491" s="125">
        <v>10461302462</v>
      </c>
      <c r="CA491" s="126">
        <v>7000</v>
      </c>
      <c r="CB491" s="289">
        <v>46143</v>
      </c>
      <c r="CC491" s="289">
        <v>46203</v>
      </c>
      <c r="CD491" s="759"/>
      <c r="CE491" s="177">
        <f t="shared" si="661"/>
        <v>30</v>
      </c>
      <c r="CF491" s="1019">
        <f t="shared" si="662"/>
        <v>7000</v>
      </c>
      <c r="CG491" s="177">
        <v>30</v>
      </c>
      <c r="CH491" s="1019">
        <f t="shared" si="663"/>
        <v>7000</v>
      </c>
      <c r="CI491" s="177">
        <v>30</v>
      </c>
      <c r="CJ491" s="1019">
        <f t="shared" si="664"/>
        <v>7000</v>
      </c>
      <c r="CK491" s="177">
        <f t="shared" si="665"/>
        <v>0</v>
      </c>
      <c r="CL491" s="177">
        <f t="shared" si="666"/>
        <v>0</v>
      </c>
      <c r="CM491" s="1006"/>
      <c r="CN491" s="177">
        <f t="shared" si="667"/>
        <v>30</v>
      </c>
      <c r="CO491" s="1019">
        <f t="shared" si="668"/>
        <v>7000</v>
      </c>
      <c r="CP491" s="177">
        <v>30</v>
      </c>
      <c r="CQ491" s="1019">
        <f t="shared" si="669"/>
        <v>7000</v>
      </c>
      <c r="CR491" s="1019">
        <v>30</v>
      </c>
      <c r="CS491" s="1019">
        <f t="shared" si="670"/>
        <v>7000</v>
      </c>
      <c r="CT491" s="177">
        <f t="shared" si="671"/>
        <v>0</v>
      </c>
      <c r="CU491" s="177">
        <f t="shared" si="672"/>
        <v>0</v>
      </c>
      <c r="CV491" s="1006"/>
      <c r="CW491" s="177">
        <f t="shared" si="673"/>
        <v>14000</v>
      </c>
      <c r="CX491" s="1019">
        <f t="shared" si="674"/>
        <v>14000</v>
      </c>
      <c r="CY491" s="177">
        <f t="shared" si="675"/>
        <v>14000</v>
      </c>
      <c r="CZ491" s="1019">
        <f t="shared" si="676"/>
        <v>0</v>
      </c>
      <c r="DA491" s="177">
        <f t="shared" si="677"/>
        <v>0</v>
      </c>
      <c r="DB491" s="126"/>
      <c r="DC491" s="125"/>
    </row>
    <row r="492" spans="1:108" ht="51" hidden="1" x14ac:dyDescent="0.25">
      <c r="A492" s="19">
        <v>2026</v>
      </c>
      <c r="B492" s="20">
        <v>479</v>
      </c>
      <c r="C492" s="21" t="s">
        <v>64</v>
      </c>
      <c r="D492" s="21" t="s">
        <v>65</v>
      </c>
      <c r="E492" s="20">
        <v>125</v>
      </c>
      <c r="F492" s="20">
        <v>3000654</v>
      </c>
      <c r="G492" s="20">
        <v>5005023</v>
      </c>
      <c r="H492" s="20">
        <v>3</v>
      </c>
      <c r="I492" s="20">
        <v>12</v>
      </c>
      <c r="J492" s="20">
        <v>24</v>
      </c>
      <c r="K492" s="20">
        <v>135560</v>
      </c>
      <c r="L492" s="21" t="s">
        <v>220</v>
      </c>
      <c r="M492" s="33" t="s">
        <v>221</v>
      </c>
      <c r="N492" s="19">
        <v>97</v>
      </c>
      <c r="O492" s="2"/>
      <c r="P492" s="2" t="s">
        <v>4</v>
      </c>
      <c r="Q492" s="20" t="s">
        <v>68</v>
      </c>
      <c r="R492" s="25" t="s">
        <v>69</v>
      </c>
      <c r="S492" s="41" t="s">
        <v>137</v>
      </c>
      <c r="T492" s="41"/>
      <c r="U492" s="31" t="s">
        <v>331</v>
      </c>
      <c r="V492" s="25" t="s">
        <v>3</v>
      </c>
      <c r="W492" s="25">
        <v>1</v>
      </c>
      <c r="X492" s="595">
        <v>7000</v>
      </c>
      <c r="Y492" s="619"/>
      <c r="Z492" s="2"/>
      <c r="AA492" s="2"/>
      <c r="AB492" s="620"/>
      <c r="AC492" s="25">
        <v>30</v>
      </c>
      <c r="AD492" s="25">
        <v>30</v>
      </c>
      <c r="AE492" s="619"/>
      <c r="AF492" s="2"/>
      <c r="AG492" s="2"/>
      <c r="AH492" s="2"/>
      <c r="AI492" s="2"/>
      <c r="AJ492" s="621"/>
      <c r="AK492" s="596">
        <v>14000</v>
      </c>
      <c r="AL492" s="29" t="s">
        <v>73</v>
      </c>
      <c r="AM492" s="29" t="s">
        <v>73</v>
      </c>
      <c r="AN492" s="29" t="s">
        <v>73</v>
      </c>
      <c r="AO492" s="29" t="s">
        <v>73</v>
      </c>
      <c r="AP492" s="478">
        <v>7000</v>
      </c>
      <c r="AQ492" s="478">
        <v>7000</v>
      </c>
      <c r="AR492" s="29" t="s">
        <v>73</v>
      </c>
      <c r="AS492" s="29" t="s">
        <v>73</v>
      </c>
      <c r="AT492" s="29" t="s">
        <v>73</v>
      </c>
      <c r="AU492" s="29" t="s">
        <v>73</v>
      </c>
      <c r="AV492" s="29" t="s">
        <v>73</v>
      </c>
      <c r="AW492" s="29" t="s">
        <v>73</v>
      </c>
      <c r="AX492" s="30">
        <v>14000</v>
      </c>
      <c r="AY492" s="479" t="s">
        <v>6</v>
      </c>
      <c r="AZ492" s="2" t="s">
        <v>74</v>
      </c>
      <c r="BA492" s="2"/>
      <c r="BK492" s="125" t="s">
        <v>790</v>
      </c>
      <c r="BL492" s="481" t="s">
        <v>791</v>
      </c>
      <c r="BM492" s="125" t="s">
        <v>2057</v>
      </c>
      <c r="BN492" s="655" t="s">
        <v>2058</v>
      </c>
      <c r="BO492" s="284" t="s">
        <v>1808</v>
      </c>
      <c r="BP492" s="129">
        <v>46134</v>
      </c>
      <c r="BQ492" s="18"/>
      <c r="BR492" s="505" t="s">
        <v>2219</v>
      </c>
      <c r="BS492" s="18"/>
      <c r="BT492" s="656" t="s">
        <v>1809</v>
      </c>
      <c r="BU492" s="656" t="s">
        <v>1841</v>
      </c>
      <c r="BV492" s="125" t="s">
        <v>1510</v>
      </c>
      <c r="BW492" s="125" t="s">
        <v>2220</v>
      </c>
      <c r="BX492" s="125" t="s">
        <v>2221</v>
      </c>
      <c r="BY492" s="125">
        <v>74306745</v>
      </c>
      <c r="BZ492" s="125">
        <v>10743067458</v>
      </c>
      <c r="CA492" s="126">
        <v>7000</v>
      </c>
      <c r="CB492" s="289">
        <v>46143</v>
      </c>
      <c r="CC492" s="289">
        <v>46203</v>
      </c>
      <c r="CD492" s="759"/>
      <c r="CE492" s="177">
        <f t="shared" si="661"/>
        <v>30</v>
      </c>
      <c r="CF492" s="1019">
        <f t="shared" si="662"/>
        <v>7000</v>
      </c>
      <c r="CG492" s="177">
        <v>30</v>
      </c>
      <c r="CH492" s="1019">
        <f t="shared" si="663"/>
        <v>7000</v>
      </c>
      <c r="CI492" s="177">
        <v>30</v>
      </c>
      <c r="CJ492" s="1019">
        <f t="shared" si="664"/>
        <v>7000</v>
      </c>
      <c r="CK492" s="177">
        <f t="shared" si="665"/>
        <v>0</v>
      </c>
      <c r="CL492" s="177">
        <f t="shared" si="666"/>
        <v>0</v>
      </c>
      <c r="CM492" s="1006"/>
      <c r="CN492" s="177">
        <f t="shared" si="667"/>
        <v>30</v>
      </c>
      <c r="CO492" s="1019">
        <f t="shared" si="668"/>
        <v>7000</v>
      </c>
      <c r="CP492" s="177">
        <v>30</v>
      </c>
      <c r="CQ492" s="1019">
        <f t="shared" si="669"/>
        <v>7000</v>
      </c>
      <c r="CR492" s="1019">
        <v>30</v>
      </c>
      <c r="CS492" s="1019">
        <f t="shared" si="670"/>
        <v>7000</v>
      </c>
      <c r="CT492" s="177">
        <f t="shared" si="671"/>
        <v>0</v>
      </c>
      <c r="CU492" s="177">
        <f t="shared" si="672"/>
        <v>0</v>
      </c>
      <c r="CV492" s="1006"/>
      <c r="CW492" s="177">
        <f t="shared" si="673"/>
        <v>14000</v>
      </c>
      <c r="CX492" s="1019">
        <f t="shared" si="674"/>
        <v>14000</v>
      </c>
      <c r="CY492" s="177">
        <f t="shared" si="675"/>
        <v>14000</v>
      </c>
      <c r="CZ492" s="1019">
        <f t="shared" si="676"/>
        <v>0</v>
      </c>
      <c r="DA492" s="177">
        <f t="shared" si="677"/>
        <v>0</v>
      </c>
      <c r="DB492" s="126"/>
      <c r="DC492" s="125"/>
    </row>
    <row r="493" spans="1:108" ht="51" hidden="1" x14ac:dyDescent="0.25">
      <c r="A493" s="19">
        <v>2026</v>
      </c>
      <c r="B493" s="20">
        <v>479</v>
      </c>
      <c r="C493" s="21" t="s">
        <v>64</v>
      </c>
      <c r="D493" s="21" t="s">
        <v>65</v>
      </c>
      <c r="E493" s="20">
        <v>125</v>
      </c>
      <c r="F493" s="20">
        <v>3000654</v>
      </c>
      <c r="G493" s="20">
        <v>5005023</v>
      </c>
      <c r="H493" s="20">
        <v>3</v>
      </c>
      <c r="I493" s="20">
        <v>12</v>
      </c>
      <c r="J493" s="20">
        <v>24</v>
      </c>
      <c r="K493" s="20">
        <v>135560</v>
      </c>
      <c r="L493" s="21" t="s">
        <v>220</v>
      </c>
      <c r="M493" s="33" t="s">
        <v>221</v>
      </c>
      <c r="N493" s="19">
        <v>97</v>
      </c>
      <c r="O493" s="2"/>
      <c r="P493" s="2" t="s">
        <v>4</v>
      </c>
      <c r="Q493" s="20" t="s">
        <v>68</v>
      </c>
      <c r="R493" s="25" t="s">
        <v>69</v>
      </c>
      <c r="S493" s="41" t="s">
        <v>137</v>
      </c>
      <c r="T493" s="41"/>
      <c r="U493" s="31" t="s">
        <v>332</v>
      </c>
      <c r="V493" s="25" t="s">
        <v>3</v>
      </c>
      <c r="W493" s="25">
        <v>1</v>
      </c>
      <c r="X493" s="595">
        <v>7000</v>
      </c>
      <c r="Y493" s="619"/>
      <c r="Z493" s="2"/>
      <c r="AA493" s="2"/>
      <c r="AB493" s="620"/>
      <c r="AC493" s="25">
        <v>30</v>
      </c>
      <c r="AD493" s="25">
        <v>30</v>
      </c>
      <c r="AE493" s="619"/>
      <c r="AF493" s="2"/>
      <c r="AG493" s="2"/>
      <c r="AH493" s="2"/>
      <c r="AI493" s="2"/>
      <c r="AJ493" s="621"/>
      <c r="AK493" s="596">
        <v>14000</v>
      </c>
      <c r="AL493" s="29" t="s">
        <v>73</v>
      </c>
      <c r="AM493" s="29" t="s">
        <v>73</v>
      </c>
      <c r="AN493" s="29" t="s">
        <v>73</v>
      </c>
      <c r="AO493" s="29" t="s">
        <v>73</v>
      </c>
      <c r="AP493" s="478">
        <v>7000</v>
      </c>
      <c r="AQ493" s="478">
        <v>7000</v>
      </c>
      <c r="AR493" s="29" t="s">
        <v>73</v>
      </c>
      <c r="AS493" s="29" t="s">
        <v>73</v>
      </c>
      <c r="AT493" s="29" t="s">
        <v>73</v>
      </c>
      <c r="AU493" s="29" t="s">
        <v>73</v>
      </c>
      <c r="AV493" s="29" t="s">
        <v>73</v>
      </c>
      <c r="AW493" s="29" t="s">
        <v>73</v>
      </c>
      <c r="AX493" s="30">
        <v>14000</v>
      </c>
      <c r="AY493" s="479" t="s">
        <v>6</v>
      </c>
      <c r="AZ493" s="2" t="s">
        <v>74</v>
      </c>
      <c r="BA493" s="2"/>
      <c r="BK493" s="125" t="s">
        <v>790</v>
      </c>
      <c r="BL493" s="481" t="s">
        <v>791</v>
      </c>
      <c r="BM493" s="125" t="s">
        <v>2057</v>
      </c>
      <c r="BN493" s="655" t="s">
        <v>2058</v>
      </c>
      <c r="BO493" s="284" t="s">
        <v>1808</v>
      </c>
      <c r="BP493" s="129">
        <v>46134</v>
      </c>
      <c r="BQ493" s="18"/>
      <c r="BR493" s="505" t="s">
        <v>2222</v>
      </c>
      <c r="BS493" s="18"/>
      <c r="BT493" s="656" t="s">
        <v>1809</v>
      </c>
      <c r="BU493" s="656" t="s">
        <v>1841</v>
      </c>
      <c r="BV493" s="125" t="s">
        <v>2223</v>
      </c>
      <c r="BW493" s="125" t="s">
        <v>2224</v>
      </c>
      <c r="BX493" s="125" t="s">
        <v>2225</v>
      </c>
      <c r="BY493" s="125">
        <v>41667046</v>
      </c>
      <c r="BZ493" s="125">
        <v>10416670469</v>
      </c>
      <c r="CA493" s="126">
        <v>7000</v>
      </c>
      <c r="CB493" s="289">
        <v>46143</v>
      </c>
      <c r="CC493" s="289">
        <v>46203</v>
      </c>
      <c r="CD493" s="759"/>
      <c r="CE493" s="177">
        <f t="shared" si="661"/>
        <v>30</v>
      </c>
      <c r="CF493" s="1019">
        <f t="shared" si="662"/>
        <v>7000</v>
      </c>
      <c r="CG493" s="177">
        <v>30</v>
      </c>
      <c r="CH493" s="1019">
        <f t="shared" si="663"/>
        <v>7000</v>
      </c>
      <c r="CI493" s="177">
        <v>30</v>
      </c>
      <c r="CJ493" s="1019">
        <f t="shared" si="664"/>
        <v>7000</v>
      </c>
      <c r="CK493" s="177">
        <f t="shared" si="665"/>
        <v>0</v>
      </c>
      <c r="CL493" s="177">
        <f t="shared" si="666"/>
        <v>0</v>
      </c>
      <c r="CM493" s="1006"/>
      <c r="CN493" s="177">
        <f t="shared" si="667"/>
        <v>30</v>
      </c>
      <c r="CO493" s="1019">
        <f t="shared" si="668"/>
        <v>7000</v>
      </c>
      <c r="CP493" s="177">
        <v>30</v>
      </c>
      <c r="CQ493" s="1019">
        <f t="shared" si="669"/>
        <v>7000</v>
      </c>
      <c r="CR493" s="1019">
        <v>30</v>
      </c>
      <c r="CS493" s="1019">
        <f t="shared" si="670"/>
        <v>7000</v>
      </c>
      <c r="CT493" s="177">
        <f t="shared" si="671"/>
        <v>0</v>
      </c>
      <c r="CU493" s="177">
        <f t="shared" si="672"/>
        <v>0</v>
      </c>
      <c r="CV493" s="1006"/>
      <c r="CW493" s="177">
        <f t="shared" si="673"/>
        <v>14000</v>
      </c>
      <c r="CX493" s="1019">
        <f t="shared" si="674"/>
        <v>14000</v>
      </c>
      <c r="CY493" s="177">
        <f t="shared" si="675"/>
        <v>14000</v>
      </c>
      <c r="CZ493" s="1019">
        <f t="shared" si="676"/>
        <v>0</v>
      </c>
      <c r="DA493" s="177">
        <f t="shared" si="677"/>
        <v>0</v>
      </c>
      <c r="DB493" s="126"/>
      <c r="DC493" s="125"/>
    </row>
    <row r="494" spans="1:108" s="81" customFormat="1" ht="60" hidden="1" x14ac:dyDescent="0.25">
      <c r="A494" s="166">
        <v>2026</v>
      </c>
      <c r="B494" s="167">
        <v>479</v>
      </c>
      <c r="C494" s="168" t="s">
        <v>64</v>
      </c>
      <c r="D494" s="168" t="s">
        <v>65</v>
      </c>
      <c r="E494" s="167">
        <v>125</v>
      </c>
      <c r="F494" s="167">
        <v>3000654</v>
      </c>
      <c r="G494" s="167">
        <v>5005023</v>
      </c>
      <c r="H494" s="167">
        <v>3</v>
      </c>
      <c r="I494" s="167">
        <v>12</v>
      </c>
      <c r="J494" s="167">
        <v>24</v>
      </c>
      <c r="K494" s="167">
        <v>135560</v>
      </c>
      <c r="L494" s="168" t="s">
        <v>220</v>
      </c>
      <c r="M494" s="169" t="s">
        <v>221</v>
      </c>
      <c r="N494" s="166">
        <v>97</v>
      </c>
      <c r="O494" s="170"/>
      <c r="P494" s="170" t="s">
        <v>4</v>
      </c>
      <c r="Q494" s="167" t="s">
        <v>68</v>
      </c>
      <c r="R494" s="37" t="s">
        <v>69</v>
      </c>
      <c r="S494" s="171" t="s">
        <v>137</v>
      </c>
      <c r="T494" s="171"/>
      <c r="U494" s="688" t="s">
        <v>2226</v>
      </c>
      <c r="V494" s="37" t="s">
        <v>3</v>
      </c>
      <c r="W494" s="37">
        <v>1</v>
      </c>
      <c r="X494" s="689">
        <v>6000</v>
      </c>
      <c r="Y494" s="619"/>
      <c r="Z494" s="2"/>
      <c r="AA494" s="2"/>
      <c r="AB494" s="620"/>
      <c r="AC494" s="25">
        <v>30</v>
      </c>
      <c r="AD494" s="25">
        <v>30</v>
      </c>
      <c r="AE494" s="619"/>
      <c r="AF494" s="2"/>
      <c r="AG494" s="2"/>
      <c r="AH494" s="2"/>
      <c r="AI494" s="2"/>
      <c r="AJ494" s="621"/>
      <c r="AK494" s="596">
        <v>12000</v>
      </c>
      <c r="AL494" s="29" t="s">
        <v>73</v>
      </c>
      <c r="AM494" s="29" t="s">
        <v>73</v>
      </c>
      <c r="AN494" s="29" t="s">
        <v>73</v>
      </c>
      <c r="AO494" s="29" t="s">
        <v>73</v>
      </c>
      <c r="AP494" s="478">
        <v>6000</v>
      </c>
      <c r="AQ494" s="478">
        <v>6000</v>
      </c>
      <c r="AR494" s="29" t="s">
        <v>73</v>
      </c>
      <c r="AS494" s="29" t="s">
        <v>73</v>
      </c>
      <c r="AT494" s="29" t="s">
        <v>73</v>
      </c>
      <c r="AU494" s="29" t="s">
        <v>73</v>
      </c>
      <c r="AV494" s="29" t="s">
        <v>73</v>
      </c>
      <c r="AW494" s="29" t="s">
        <v>73</v>
      </c>
      <c r="AX494" s="30">
        <v>12000</v>
      </c>
      <c r="AY494" s="503" t="s">
        <v>6</v>
      </c>
      <c r="AZ494" s="2" t="s">
        <v>74</v>
      </c>
      <c r="BA494" s="2"/>
      <c r="BB494"/>
      <c r="BC494"/>
      <c r="BD494"/>
      <c r="BE494"/>
      <c r="BF494"/>
      <c r="BG494"/>
      <c r="BH494"/>
      <c r="BI494"/>
      <c r="BJ494"/>
      <c r="BK494" s="284" t="s">
        <v>790</v>
      </c>
      <c r="BL494" s="481" t="s">
        <v>791</v>
      </c>
      <c r="BM494" s="125" t="s">
        <v>2227</v>
      </c>
      <c r="BN494" s="177" t="s">
        <v>2228</v>
      </c>
      <c r="BO494" s="125" t="s">
        <v>2229</v>
      </c>
      <c r="BP494" s="129">
        <v>46174</v>
      </c>
      <c r="BQ494" s="175"/>
      <c r="BR494" s="262"/>
      <c r="BS494" s="175"/>
      <c r="BT494" s="175"/>
      <c r="BU494" s="175"/>
      <c r="BV494" s="125" t="s">
        <v>2230</v>
      </c>
      <c r="BW494" s="125" t="s">
        <v>2231</v>
      </c>
      <c r="BX494" s="125" t="s">
        <v>2232</v>
      </c>
      <c r="BY494" s="125">
        <v>40900336</v>
      </c>
      <c r="BZ494" s="125">
        <v>10409003368</v>
      </c>
      <c r="CA494" s="126">
        <v>6000</v>
      </c>
      <c r="CB494" s="289">
        <v>46175</v>
      </c>
      <c r="CC494" s="289">
        <v>46203</v>
      </c>
      <c r="CD494" s="759"/>
      <c r="CE494" s="177">
        <f>AC494</f>
        <v>30</v>
      </c>
      <c r="CF494" s="1019">
        <f>AP494</f>
        <v>6000</v>
      </c>
      <c r="CG494" s="177"/>
      <c r="CH494" s="1019">
        <f>(X494/30)*CG494</f>
        <v>0</v>
      </c>
      <c r="CI494" s="177"/>
      <c r="CJ494" s="1019">
        <f>(X494/30)*CI494</f>
        <v>0</v>
      </c>
      <c r="CK494" s="177">
        <f>CF494-CH494</f>
        <v>6000</v>
      </c>
      <c r="CL494" s="177">
        <f>CF494-CJ494</f>
        <v>6000</v>
      </c>
      <c r="CM494" s="1006"/>
      <c r="CN494" s="177">
        <f>AD494</f>
        <v>30</v>
      </c>
      <c r="CO494" s="1019">
        <f>AQ494</f>
        <v>6000</v>
      </c>
      <c r="CP494" s="177">
        <v>29</v>
      </c>
      <c r="CQ494" s="1019">
        <f>(X494/30)*CP494</f>
        <v>5800</v>
      </c>
      <c r="CR494" s="1019">
        <v>30</v>
      </c>
      <c r="CS494" s="1019">
        <f>(X494/30)*CR494</f>
        <v>6000</v>
      </c>
      <c r="CT494" s="177">
        <f>CO494-CQ494</f>
        <v>200</v>
      </c>
      <c r="CU494" s="1046">
        <f>CO494-CS494</f>
        <v>0</v>
      </c>
      <c r="CV494" s="1006"/>
      <c r="CW494" s="177">
        <f t="shared" si="673"/>
        <v>12000</v>
      </c>
      <c r="CX494" s="1019">
        <f t="shared" si="674"/>
        <v>5800</v>
      </c>
      <c r="CY494" s="177">
        <f t="shared" si="675"/>
        <v>6000</v>
      </c>
      <c r="CZ494" s="1019">
        <f t="shared" si="676"/>
        <v>6200</v>
      </c>
      <c r="DA494" s="177">
        <f t="shared" si="677"/>
        <v>6000</v>
      </c>
      <c r="DB494" s="248"/>
      <c r="DC494" s="239"/>
      <c r="DD494" s="82" t="s">
        <v>2233</v>
      </c>
    </row>
    <row r="495" spans="1:108" ht="51" hidden="1" x14ac:dyDescent="0.25">
      <c r="A495" s="19">
        <v>2026</v>
      </c>
      <c r="B495" s="20">
        <v>479</v>
      </c>
      <c r="C495" s="21" t="s">
        <v>64</v>
      </c>
      <c r="D495" s="21" t="s">
        <v>65</v>
      </c>
      <c r="E495" s="20">
        <v>125</v>
      </c>
      <c r="F495" s="20">
        <v>3000654</v>
      </c>
      <c r="G495" s="20">
        <v>5005023</v>
      </c>
      <c r="H495" s="20">
        <v>3</v>
      </c>
      <c r="I495" s="20">
        <v>12</v>
      </c>
      <c r="J495" s="20">
        <v>24</v>
      </c>
      <c r="K495" s="20">
        <v>135560</v>
      </c>
      <c r="L495" s="21" t="s">
        <v>220</v>
      </c>
      <c r="M495" s="33" t="s">
        <v>221</v>
      </c>
      <c r="N495" s="19">
        <v>97</v>
      </c>
      <c r="O495" s="2"/>
      <c r="P495" s="2" t="s">
        <v>4</v>
      </c>
      <c r="Q495" s="20" t="s">
        <v>68</v>
      </c>
      <c r="R495" s="25" t="s">
        <v>69</v>
      </c>
      <c r="S495" s="41" t="s">
        <v>137</v>
      </c>
      <c r="T495" s="41"/>
      <c r="U495" s="31" t="s">
        <v>2234</v>
      </c>
      <c r="V495" s="25" t="s">
        <v>3</v>
      </c>
      <c r="W495" s="25">
        <v>1</v>
      </c>
      <c r="X495" s="595">
        <v>7000</v>
      </c>
      <c r="Y495" s="619"/>
      <c r="Z495" s="2"/>
      <c r="AA495" s="2"/>
      <c r="AB495" s="620"/>
      <c r="AC495" s="25">
        <v>30</v>
      </c>
      <c r="AD495" s="25">
        <v>30</v>
      </c>
      <c r="AE495" s="619"/>
      <c r="AF495" s="2"/>
      <c r="AG495" s="2"/>
      <c r="AH495" s="2"/>
      <c r="AI495" s="2"/>
      <c r="AJ495" s="621"/>
      <c r="AK495" s="596">
        <v>14000</v>
      </c>
      <c r="AL495" s="29" t="s">
        <v>73</v>
      </c>
      <c r="AM495" s="29" t="s">
        <v>73</v>
      </c>
      <c r="AN495" s="29" t="s">
        <v>73</v>
      </c>
      <c r="AO495" s="29" t="s">
        <v>73</v>
      </c>
      <c r="AP495" s="478">
        <v>7000</v>
      </c>
      <c r="AQ495" s="478">
        <v>7000</v>
      </c>
      <c r="AR495" s="29" t="s">
        <v>73</v>
      </c>
      <c r="AS495" s="29" t="s">
        <v>73</v>
      </c>
      <c r="AT495" s="29" t="s">
        <v>73</v>
      </c>
      <c r="AU495" s="29" t="s">
        <v>73</v>
      </c>
      <c r="AV495" s="29" t="s">
        <v>73</v>
      </c>
      <c r="AW495" s="29" t="s">
        <v>73</v>
      </c>
      <c r="AX495" s="30">
        <v>14000</v>
      </c>
      <c r="AY495" s="479" t="s">
        <v>6</v>
      </c>
      <c r="AZ495" s="2" t="s">
        <v>74</v>
      </c>
      <c r="BA495" s="2"/>
      <c r="BJ495" t="s">
        <v>2030</v>
      </c>
      <c r="BK495" s="125" t="s">
        <v>790</v>
      </c>
      <c r="BL495" s="481" t="s">
        <v>791</v>
      </c>
      <c r="BM495" s="125" t="s">
        <v>1998</v>
      </c>
      <c r="BN495" s="177" t="s">
        <v>1999</v>
      </c>
      <c r="BO495" s="125" t="s">
        <v>1808</v>
      </c>
      <c r="BP495" s="129">
        <v>46134</v>
      </c>
      <c r="BQ495" s="18"/>
      <c r="BR495" s="505" t="s">
        <v>2235</v>
      </c>
      <c r="BS495" s="18"/>
      <c r="BT495" s="656" t="s">
        <v>2002</v>
      </c>
      <c r="BU495" s="947" t="s">
        <v>1841</v>
      </c>
      <c r="BV495" s="125" t="s">
        <v>2236</v>
      </c>
      <c r="BW495" s="125" t="s">
        <v>2237</v>
      </c>
      <c r="BX495" s="125" t="s">
        <v>2238</v>
      </c>
      <c r="BY495" s="125">
        <v>72487448</v>
      </c>
      <c r="BZ495" s="125">
        <v>10724874482</v>
      </c>
      <c r="CA495" s="126">
        <v>7000</v>
      </c>
      <c r="CB495" s="289">
        <v>46143</v>
      </c>
      <c r="CC495" s="289">
        <v>46203</v>
      </c>
      <c r="CD495" s="759"/>
      <c r="CE495" s="177">
        <f t="shared" si="661"/>
        <v>30</v>
      </c>
      <c r="CF495" s="1019">
        <f t="shared" si="662"/>
        <v>7000</v>
      </c>
      <c r="CG495" s="177">
        <v>30</v>
      </c>
      <c r="CH495" s="1019">
        <f t="shared" si="663"/>
        <v>7000</v>
      </c>
      <c r="CI495" s="177">
        <v>30</v>
      </c>
      <c r="CJ495" s="1019">
        <f t="shared" si="664"/>
        <v>7000</v>
      </c>
      <c r="CK495" s="177">
        <f t="shared" si="665"/>
        <v>0</v>
      </c>
      <c r="CL495" s="177">
        <f t="shared" si="666"/>
        <v>0</v>
      </c>
      <c r="CM495" s="1006"/>
      <c r="CN495" s="177">
        <f t="shared" si="667"/>
        <v>30</v>
      </c>
      <c r="CO495" s="1019">
        <f t="shared" si="668"/>
        <v>7000</v>
      </c>
      <c r="CP495" s="177">
        <v>30</v>
      </c>
      <c r="CQ495" s="1019">
        <f t="shared" si="669"/>
        <v>7000</v>
      </c>
      <c r="CR495" s="1019">
        <v>30</v>
      </c>
      <c r="CS495" s="1019">
        <f t="shared" si="670"/>
        <v>7000</v>
      </c>
      <c r="CT495" s="177">
        <f t="shared" si="671"/>
        <v>0</v>
      </c>
      <c r="CU495" s="177">
        <f t="shared" si="672"/>
        <v>0</v>
      </c>
      <c r="CV495" s="1006"/>
      <c r="CW495" s="177">
        <f t="shared" si="673"/>
        <v>14000</v>
      </c>
      <c r="CX495" s="1019">
        <f t="shared" si="674"/>
        <v>14000</v>
      </c>
      <c r="CY495" s="177">
        <f t="shared" si="675"/>
        <v>14000</v>
      </c>
      <c r="CZ495" s="1019">
        <f t="shared" si="676"/>
        <v>0</v>
      </c>
      <c r="DA495" s="177">
        <f t="shared" si="677"/>
        <v>0</v>
      </c>
      <c r="DB495" s="126"/>
      <c r="DC495" s="125"/>
    </row>
    <row r="496" spans="1:108" ht="51" hidden="1" x14ac:dyDescent="0.25">
      <c r="A496" s="19">
        <v>2026</v>
      </c>
      <c r="B496" s="20">
        <v>479</v>
      </c>
      <c r="C496" s="21" t="s">
        <v>64</v>
      </c>
      <c r="D496" s="21" t="s">
        <v>65</v>
      </c>
      <c r="E496" s="20">
        <v>125</v>
      </c>
      <c r="F496" s="20">
        <v>3000654</v>
      </c>
      <c r="G496" s="20">
        <v>5005023</v>
      </c>
      <c r="H496" s="20">
        <v>3</v>
      </c>
      <c r="I496" s="20">
        <v>12</v>
      </c>
      <c r="J496" s="20">
        <v>24</v>
      </c>
      <c r="K496" s="20">
        <v>135560</v>
      </c>
      <c r="L496" s="21" t="s">
        <v>220</v>
      </c>
      <c r="M496" s="33" t="s">
        <v>221</v>
      </c>
      <c r="N496" s="19">
        <v>97</v>
      </c>
      <c r="O496" s="2"/>
      <c r="P496" s="2" t="s">
        <v>4</v>
      </c>
      <c r="Q496" s="20" t="s">
        <v>68</v>
      </c>
      <c r="R496" s="25" t="s">
        <v>69</v>
      </c>
      <c r="S496" s="41" t="s">
        <v>137</v>
      </c>
      <c r="T496" s="41"/>
      <c r="U496" s="31" t="s">
        <v>333</v>
      </c>
      <c r="V496" s="25" t="s">
        <v>3</v>
      </c>
      <c r="W496" s="25">
        <v>1</v>
      </c>
      <c r="X496" s="595">
        <v>7000</v>
      </c>
      <c r="Y496" s="619"/>
      <c r="Z496" s="2"/>
      <c r="AA496" s="2"/>
      <c r="AB496" s="620"/>
      <c r="AC496" s="25">
        <v>30</v>
      </c>
      <c r="AD496" s="25">
        <v>30</v>
      </c>
      <c r="AE496" s="619"/>
      <c r="AF496" s="2"/>
      <c r="AG496" s="2"/>
      <c r="AH496" s="2"/>
      <c r="AI496" s="2"/>
      <c r="AJ496" s="621"/>
      <c r="AK496" s="596">
        <v>14000</v>
      </c>
      <c r="AL496" s="29" t="s">
        <v>73</v>
      </c>
      <c r="AM496" s="29" t="s">
        <v>73</v>
      </c>
      <c r="AN496" s="29" t="s">
        <v>73</v>
      </c>
      <c r="AO496" s="29" t="s">
        <v>73</v>
      </c>
      <c r="AP496" s="478">
        <v>7000</v>
      </c>
      <c r="AQ496" s="478">
        <v>7000</v>
      </c>
      <c r="AR496" s="29" t="s">
        <v>73</v>
      </c>
      <c r="AS496" s="29" t="s">
        <v>73</v>
      </c>
      <c r="AT496" s="29" t="s">
        <v>73</v>
      </c>
      <c r="AU496" s="29" t="s">
        <v>73</v>
      </c>
      <c r="AV496" s="29" t="s">
        <v>73</v>
      </c>
      <c r="AW496" s="29" t="s">
        <v>73</v>
      </c>
      <c r="AX496" s="30">
        <v>14000</v>
      </c>
      <c r="AY496" s="479" t="s">
        <v>6</v>
      </c>
      <c r="AZ496" s="2" t="s">
        <v>74</v>
      </c>
      <c r="BA496" s="2"/>
      <c r="BK496" s="125" t="s">
        <v>790</v>
      </c>
      <c r="BL496" s="481" t="s">
        <v>791</v>
      </c>
      <c r="BM496" s="125" t="s">
        <v>2057</v>
      </c>
      <c r="BN496" s="655" t="s">
        <v>2058</v>
      </c>
      <c r="BO496" s="284" t="s">
        <v>1808</v>
      </c>
      <c r="BP496" s="129">
        <v>46134</v>
      </c>
      <c r="BQ496" s="18"/>
      <c r="BR496" s="505" t="s">
        <v>2239</v>
      </c>
      <c r="BS496" s="18"/>
      <c r="BT496" s="656" t="s">
        <v>1809</v>
      </c>
      <c r="BU496" s="656" t="s">
        <v>1841</v>
      </c>
      <c r="BV496" s="125" t="s">
        <v>2240</v>
      </c>
      <c r="BW496" s="125" t="s">
        <v>2241</v>
      </c>
      <c r="BX496" s="125" t="s">
        <v>2242</v>
      </c>
      <c r="BY496" s="125">
        <v>72845524</v>
      </c>
      <c r="BZ496" s="125">
        <v>10728455247</v>
      </c>
      <c r="CA496" s="126">
        <v>7000</v>
      </c>
      <c r="CB496" s="289">
        <v>46143</v>
      </c>
      <c r="CC496" s="289">
        <v>46203</v>
      </c>
      <c r="CD496" s="759"/>
      <c r="CE496" s="177">
        <f t="shared" ref="CE496" si="678">AC496</f>
        <v>30</v>
      </c>
      <c r="CF496" s="1019">
        <f t="shared" ref="CF496" si="679">AP496</f>
        <v>7000</v>
      </c>
      <c r="CG496" s="177">
        <v>30</v>
      </c>
      <c r="CH496" s="1019">
        <f t="shared" ref="CH496" si="680">(X496/30)*CG496</f>
        <v>7000</v>
      </c>
      <c r="CI496" s="177">
        <v>30</v>
      </c>
      <c r="CJ496" s="1019">
        <f t="shared" ref="CJ496" si="681">(X496/30)*CI496</f>
        <v>7000</v>
      </c>
      <c r="CK496" s="177">
        <f t="shared" ref="CK496" si="682">CF496-CH496</f>
        <v>0</v>
      </c>
      <c r="CL496" s="177">
        <f t="shared" ref="CL496" si="683">CF496-CJ496</f>
        <v>0</v>
      </c>
      <c r="CM496" s="1006"/>
      <c r="CN496" s="177">
        <f t="shared" ref="CN496" si="684">AD496</f>
        <v>30</v>
      </c>
      <c r="CO496" s="1019">
        <f t="shared" ref="CO496" si="685">AQ496</f>
        <v>7000</v>
      </c>
      <c r="CP496" s="177">
        <v>30</v>
      </c>
      <c r="CQ496" s="1019">
        <f t="shared" ref="CQ496" si="686">(X496/30)*CP496</f>
        <v>7000</v>
      </c>
      <c r="CR496" s="1019">
        <v>30</v>
      </c>
      <c r="CS496" s="1019">
        <f t="shared" ref="CS496" si="687">(X496/30)*CR496</f>
        <v>7000</v>
      </c>
      <c r="CT496" s="177">
        <f t="shared" ref="CT496" si="688">CO496-CQ496</f>
        <v>0</v>
      </c>
      <c r="CU496" s="177">
        <v>0</v>
      </c>
      <c r="CV496" s="1006"/>
      <c r="CW496" s="177">
        <f t="shared" si="673"/>
        <v>14000</v>
      </c>
      <c r="CX496" s="1019">
        <f t="shared" si="674"/>
        <v>14000</v>
      </c>
      <c r="CY496" s="177">
        <f t="shared" si="675"/>
        <v>14000</v>
      </c>
      <c r="CZ496" s="1019">
        <f t="shared" si="676"/>
        <v>0</v>
      </c>
      <c r="DA496" s="177">
        <f t="shared" si="677"/>
        <v>0</v>
      </c>
      <c r="DB496" s="126"/>
      <c r="DC496" s="125"/>
    </row>
    <row r="497" spans="1:107" ht="51" hidden="1" x14ac:dyDescent="0.25">
      <c r="A497" s="19">
        <v>2026</v>
      </c>
      <c r="B497" s="20">
        <v>479</v>
      </c>
      <c r="C497" s="21" t="s">
        <v>64</v>
      </c>
      <c r="D497" s="21" t="s">
        <v>65</v>
      </c>
      <c r="E497" s="20">
        <v>125</v>
      </c>
      <c r="F497" s="20">
        <v>3000654</v>
      </c>
      <c r="G497" s="20">
        <v>5005023</v>
      </c>
      <c r="H497" s="20">
        <v>3</v>
      </c>
      <c r="I497" s="20">
        <v>12</v>
      </c>
      <c r="J497" s="20">
        <v>24</v>
      </c>
      <c r="K497" s="20">
        <v>135560</v>
      </c>
      <c r="L497" s="21" t="s">
        <v>220</v>
      </c>
      <c r="M497" s="33" t="s">
        <v>221</v>
      </c>
      <c r="N497" s="19">
        <v>97</v>
      </c>
      <c r="O497" s="2"/>
      <c r="P497" s="2" t="s">
        <v>4</v>
      </c>
      <c r="Q497" s="20" t="s">
        <v>68</v>
      </c>
      <c r="R497" s="25" t="s">
        <v>69</v>
      </c>
      <c r="S497" s="41" t="s">
        <v>137</v>
      </c>
      <c r="T497" s="41"/>
      <c r="U497" s="31" t="s">
        <v>334</v>
      </c>
      <c r="V497" s="25" t="s">
        <v>3</v>
      </c>
      <c r="W497" s="25">
        <v>1</v>
      </c>
      <c r="X497" s="595">
        <v>7000</v>
      </c>
      <c r="Y497" s="619"/>
      <c r="Z497" s="2"/>
      <c r="AA497" s="2"/>
      <c r="AB497" s="620"/>
      <c r="AC497" s="25">
        <v>30</v>
      </c>
      <c r="AD497" s="25">
        <v>30</v>
      </c>
      <c r="AE497" s="619"/>
      <c r="AF497" s="2"/>
      <c r="AG497" s="2"/>
      <c r="AH497" s="2"/>
      <c r="AI497" s="2"/>
      <c r="AJ497" s="621"/>
      <c r="AK497" s="596">
        <v>14000</v>
      </c>
      <c r="AL497" s="29" t="s">
        <v>73</v>
      </c>
      <c r="AM497" s="29" t="s">
        <v>73</v>
      </c>
      <c r="AN497" s="29" t="s">
        <v>73</v>
      </c>
      <c r="AO497" s="29" t="s">
        <v>73</v>
      </c>
      <c r="AP497" s="478">
        <v>7000</v>
      </c>
      <c r="AQ497" s="478">
        <v>7000</v>
      </c>
      <c r="AR497" s="29" t="s">
        <v>73</v>
      </c>
      <c r="AS497" s="29" t="s">
        <v>73</v>
      </c>
      <c r="AT497" s="29" t="s">
        <v>73</v>
      </c>
      <c r="AU497" s="29" t="s">
        <v>73</v>
      </c>
      <c r="AV497" s="29" t="s">
        <v>73</v>
      </c>
      <c r="AW497" s="29" t="s">
        <v>73</v>
      </c>
      <c r="AX497" s="30">
        <v>14000</v>
      </c>
      <c r="AY497" s="479" t="s">
        <v>6</v>
      </c>
      <c r="AZ497" s="2" t="s">
        <v>74</v>
      </c>
      <c r="BA497" s="2"/>
      <c r="BK497" s="125" t="s">
        <v>790</v>
      </c>
      <c r="BL497" s="481" t="s">
        <v>791</v>
      </c>
      <c r="BM497" s="125" t="s">
        <v>2057</v>
      </c>
      <c r="BN497" s="655" t="s">
        <v>2058</v>
      </c>
      <c r="BO497" s="284" t="s">
        <v>1808</v>
      </c>
      <c r="BP497" s="129">
        <v>46134</v>
      </c>
      <c r="BQ497" s="18"/>
      <c r="BR497" s="505" t="s">
        <v>2243</v>
      </c>
      <c r="BS497" s="18"/>
      <c r="BT497" s="656" t="s">
        <v>1809</v>
      </c>
      <c r="BU497" s="656" t="s">
        <v>1841</v>
      </c>
      <c r="BV497" s="125" t="s">
        <v>1476</v>
      </c>
      <c r="BW497" s="125" t="s">
        <v>2244</v>
      </c>
      <c r="BX497" s="125" t="s">
        <v>2245</v>
      </c>
      <c r="BY497" s="125">
        <v>47588145</v>
      </c>
      <c r="BZ497" s="125">
        <v>10475881457</v>
      </c>
      <c r="CA497" s="126">
        <v>7000</v>
      </c>
      <c r="CB497" s="289">
        <v>46143</v>
      </c>
      <c r="CC497" s="289">
        <v>46203</v>
      </c>
      <c r="CD497" s="759"/>
      <c r="CE497" s="177">
        <f t="shared" si="661"/>
        <v>30</v>
      </c>
      <c r="CF497" s="1019">
        <f t="shared" si="662"/>
        <v>7000</v>
      </c>
      <c r="CG497" s="177">
        <v>30</v>
      </c>
      <c r="CH497" s="1019">
        <f t="shared" si="663"/>
        <v>7000</v>
      </c>
      <c r="CI497" s="177">
        <v>30</v>
      </c>
      <c r="CJ497" s="1019">
        <f t="shared" si="664"/>
        <v>7000</v>
      </c>
      <c r="CK497" s="177">
        <f t="shared" si="665"/>
        <v>0</v>
      </c>
      <c r="CL497" s="177">
        <f t="shared" si="666"/>
        <v>0</v>
      </c>
      <c r="CM497" s="1006"/>
      <c r="CN497" s="177">
        <f t="shared" si="667"/>
        <v>30</v>
      </c>
      <c r="CO497" s="1019">
        <f t="shared" si="668"/>
        <v>7000</v>
      </c>
      <c r="CP497" s="177">
        <v>30</v>
      </c>
      <c r="CQ497" s="1019">
        <f t="shared" si="669"/>
        <v>7000</v>
      </c>
      <c r="CR497" s="1019">
        <v>30</v>
      </c>
      <c r="CS497" s="1019">
        <f t="shared" si="670"/>
        <v>7000</v>
      </c>
      <c r="CT497" s="177">
        <f t="shared" si="671"/>
        <v>0</v>
      </c>
      <c r="CU497" s="177">
        <f t="shared" si="672"/>
        <v>0</v>
      </c>
      <c r="CV497" s="1006"/>
      <c r="CW497" s="177">
        <f t="shared" si="673"/>
        <v>14000</v>
      </c>
      <c r="CX497" s="1019">
        <f t="shared" si="674"/>
        <v>14000</v>
      </c>
      <c r="CY497" s="177">
        <f t="shared" si="675"/>
        <v>14000</v>
      </c>
      <c r="CZ497" s="1019">
        <f t="shared" si="676"/>
        <v>0</v>
      </c>
      <c r="DA497" s="177">
        <f t="shared" si="677"/>
        <v>0</v>
      </c>
      <c r="DB497" s="126"/>
      <c r="DC497" s="125"/>
    </row>
    <row r="498" spans="1:107" ht="51" hidden="1" x14ac:dyDescent="0.25">
      <c r="A498" s="19">
        <v>2026</v>
      </c>
      <c r="B498" s="20">
        <v>479</v>
      </c>
      <c r="C498" s="21" t="s">
        <v>64</v>
      </c>
      <c r="D498" s="21" t="s">
        <v>65</v>
      </c>
      <c r="E498" s="20">
        <v>125</v>
      </c>
      <c r="F498" s="20">
        <v>3000654</v>
      </c>
      <c r="G498" s="20">
        <v>5005023</v>
      </c>
      <c r="H498" s="20">
        <v>3</v>
      </c>
      <c r="I498" s="20">
        <v>12</v>
      </c>
      <c r="J498" s="20">
        <v>24</v>
      </c>
      <c r="K498" s="20">
        <v>135560</v>
      </c>
      <c r="L498" s="21" t="s">
        <v>220</v>
      </c>
      <c r="M498" s="33" t="s">
        <v>221</v>
      </c>
      <c r="N498" s="19">
        <v>97</v>
      </c>
      <c r="O498" s="2"/>
      <c r="P498" s="2" t="s">
        <v>4</v>
      </c>
      <c r="Q498" s="20" t="s">
        <v>68</v>
      </c>
      <c r="R498" s="25" t="s">
        <v>69</v>
      </c>
      <c r="S498" s="41" t="s">
        <v>137</v>
      </c>
      <c r="T498" s="41"/>
      <c r="U498" s="31" t="s">
        <v>335</v>
      </c>
      <c r="V498" s="25" t="s">
        <v>3</v>
      </c>
      <c r="W498" s="25">
        <v>1</v>
      </c>
      <c r="X498" s="595">
        <v>7000</v>
      </c>
      <c r="Y498" s="619"/>
      <c r="Z498" s="2"/>
      <c r="AA498" s="2"/>
      <c r="AB498" s="620"/>
      <c r="AC498" s="25">
        <v>30</v>
      </c>
      <c r="AD498" s="25">
        <v>30</v>
      </c>
      <c r="AE498" s="619"/>
      <c r="AF498" s="2"/>
      <c r="AG498" s="2"/>
      <c r="AH498" s="2"/>
      <c r="AI498" s="2"/>
      <c r="AJ498" s="621"/>
      <c r="AK498" s="596">
        <v>14000</v>
      </c>
      <c r="AL498" s="29" t="s">
        <v>73</v>
      </c>
      <c r="AM498" s="29" t="s">
        <v>73</v>
      </c>
      <c r="AN498" s="29" t="s">
        <v>73</v>
      </c>
      <c r="AO498" s="29" t="s">
        <v>73</v>
      </c>
      <c r="AP498" s="478">
        <v>7000</v>
      </c>
      <c r="AQ498" s="478">
        <v>7000</v>
      </c>
      <c r="AR498" s="29" t="s">
        <v>73</v>
      </c>
      <c r="AS498" s="29" t="s">
        <v>73</v>
      </c>
      <c r="AT498" s="29" t="s">
        <v>73</v>
      </c>
      <c r="AU498" s="29" t="s">
        <v>73</v>
      </c>
      <c r="AV498" s="29" t="s">
        <v>73</v>
      </c>
      <c r="AW498" s="29" t="s">
        <v>73</v>
      </c>
      <c r="AX498" s="30">
        <v>14000</v>
      </c>
      <c r="AY498" s="479" t="s">
        <v>6</v>
      </c>
      <c r="AZ498" s="2" t="s">
        <v>74</v>
      </c>
      <c r="BA498" s="2"/>
      <c r="BK498" s="125" t="s">
        <v>790</v>
      </c>
      <c r="BL498" s="481" t="s">
        <v>791</v>
      </c>
      <c r="BM498" s="125" t="s">
        <v>2057</v>
      </c>
      <c r="BN498" s="655" t="s">
        <v>2058</v>
      </c>
      <c r="BO498" s="284" t="s">
        <v>1808</v>
      </c>
      <c r="BP498" s="129">
        <v>46134</v>
      </c>
      <c r="BQ498" s="18"/>
      <c r="BR498" s="505" t="s">
        <v>2246</v>
      </c>
      <c r="BS498" s="18"/>
      <c r="BT498" s="656" t="s">
        <v>1809</v>
      </c>
      <c r="BU498" s="656" t="s">
        <v>1841</v>
      </c>
      <c r="BV498" s="125" t="s">
        <v>936</v>
      </c>
      <c r="BW498" s="125" t="s">
        <v>2247</v>
      </c>
      <c r="BX498" s="125" t="s">
        <v>2248</v>
      </c>
      <c r="BY498" s="125">
        <v>75017048</v>
      </c>
      <c r="BZ498" s="125">
        <v>10750170485</v>
      </c>
      <c r="CA498" s="126">
        <v>7000</v>
      </c>
      <c r="CB498" s="289">
        <v>46143</v>
      </c>
      <c r="CC498" s="289">
        <v>46203</v>
      </c>
      <c r="CD498" s="759"/>
      <c r="CE498" s="177">
        <f t="shared" si="661"/>
        <v>30</v>
      </c>
      <c r="CF498" s="1019">
        <f t="shared" si="662"/>
        <v>7000</v>
      </c>
      <c r="CG498" s="177">
        <v>30</v>
      </c>
      <c r="CH498" s="1019">
        <f t="shared" si="663"/>
        <v>7000</v>
      </c>
      <c r="CI498" s="177">
        <v>30</v>
      </c>
      <c r="CJ498" s="1019">
        <f t="shared" si="664"/>
        <v>7000</v>
      </c>
      <c r="CK498" s="177">
        <f t="shared" si="665"/>
        <v>0</v>
      </c>
      <c r="CL498" s="177">
        <f t="shared" si="666"/>
        <v>0</v>
      </c>
      <c r="CM498" s="1006"/>
      <c r="CN498" s="177">
        <f t="shared" si="667"/>
        <v>30</v>
      </c>
      <c r="CO498" s="1019">
        <f t="shared" si="668"/>
        <v>7000</v>
      </c>
      <c r="CP498" s="177">
        <v>30</v>
      </c>
      <c r="CQ498" s="1019">
        <f t="shared" si="669"/>
        <v>7000</v>
      </c>
      <c r="CR498" s="1019">
        <v>30</v>
      </c>
      <c r="CS498" s="1019">
        <f t="shared" si="670"/>
        <v>7000</v>
      </c>
      <c r="CT498" s="177">
        <f t="shared" si="671"/>
        <v>0</v>
      </c>
      <c r="CU498" s="177">
        <f t="shared" si="672"/>
        <v>0</v>
      </c>
      <c r="CV498" s="1006"/>
      <c r="CW498" s="177">
        <f t="shared" si="673"/>
        <v>14000</v>
      </c>
      <c r="CX498" s="1019">
        <f t="shared" si="674"/>
        <v>14000</v>
      </c>
      <c r="CY498" s="177">
        <f t="shared" si="675"/>
        <v>14000</v>
      </c>
      <c r="CZ498" s="1019">
        <f t="shared" si="676"/>
        <v>0</v>
      </c>
      <c r="DA498" s="177">
        <f t="shared" si="677"/>
        <v>0</v>
      </c>
      <c r="DB498" s="126"/>
      <c r="DC498" s="125"/>
    </row>
    <row r="499" spans="1:107" ht="51" hidden="1" x14ac:dyDescent="0.25">
      <c r="A499" s="19">
        <v>2026</v>
      </c>
      <c r="B499" s="20">
        <v>479</v>
      </c>
      <c r="C499" s="21" t="s">
        <v>64</v>
      </c>
      <c r="D499" s="21" t="s">
        <v>65</v>
      </c>
      <c r="E499" s="20">
        <v>125</v>
      </c>
      <c r="F499" s="20">
        <v>3000654</v>
      </c>
      <c r="G499" s="20">
        <v>5005023</v>
      </c>
      <c r="H499" s="20">
        <v>3</v>
      </c>
      <c r="I499" s="20">
        <v>12</v>
      </c>
      <c r="J499" s="20">
        <v>24</v>
      </c>
      <c r="K499" s="20">
        <v>135560</v>
      </c>
      <c r="L499" s="21" t="s">
        <v>220</v>
      </c>
      <c r="M499" s="33" t="s">
        <v>221</v>
      </c>
      <c r="N499" s="19">
        <v>97</v>
      </c>
      <c r="O499" s="2"/>
      <c r="P499" s="2" t="s">
        <v>4</v>
      </c>
      <c r="Q499" s="20" t="s">
        <v>68</v>
      </c>
      <c r="R499" s="25" t="s">
        <v>69</v>
      </c>
      <c r="S499" s="41" t="s">
        <v>137</v>
      </c>
      <c r="T499" s="41"/>
      <c r="U499" s="31" t="s">
        <v>336</v>
      </c>
      <c r="V499" s="25" t="s">
        <v>3</v>
      </c>
      <c r="W499" s="25">
        <v>1</v>
      </c>
      <c r="X499" s="595">
        <v>7000</v>
      </c>
      <c r="Y499" s="619"/>
      <c r="Z499" s="2"/>
      <c r="AA499" s="2"/>
      <c r="AB499" s="620"/>
      <c r="AC499" s="25">
        <v>30</v>
      </c>
      <c r="AD499" s="25">
        <v>30</v>
      </c>
      <c r="AE499" s="619"/>
      <c r="AF499" s="2"/>
      <c r="AG499" s="2"/>
      <c r="AH499" s="2"/>
      <c r="AI499" s="2"/>
      <c r="AJ499" s="621"/>
      <c r="AK499" s="596">
        <v>14000</v>
      </c>
      <c r="AL499" s="29" t="s">
        <v>73</v>
      </c>
      <c r="AM499" s="29" t="s">
        <v>73</v>
      </c>
      <c r="AN499" s="29" t="s">
        <v>73</v>
      </c>
      <c r="AO499" s="29" t="s">
        <v>73</v>
      </c>
      <c r="AP499" s="478">
        <v>7000</v>
      </c>
      <c r="AQ499" s="478">
        <v>7000</v>
      </c>
      <c r="AR499" s="29" t="s">
        <v>73</v>
      </c>
      <c r="AS499" s="29" t="s">
        <v>73</v>
      </c>
      <c r="AT499" s="29" t="s">
        <v>73</v>
      </c>
      <c r="AU499" s="29" t="s">
        <v>73</v>
      </c>
      <c r="AV499" s="29" t="s">
        <v>73</v>
      </c>
      <c r="AW499" s="29" t="s">
        <v>73</v>
      </c>
      <c r="AX499" s="30">
        <v>14000</v>
      </c>
      <c r="AY499" s="479" t="s">
        <v>6</v>
      </c>
      <c r="AZ499" s="2" t="s">
        <v>74</v>
      </c>
      <c r="BA499" s="2"/>
      <c r="BK499" s="125" t="s">
        <v>790</v>
      </c>
      <c r="BL499" s="481" t="s">
        <v>791</v>
      </c>
      <c r="BM499" s="125" t="s">
        <v>2057</v>
      </c>
      <c r="BN499" s="655" t="s">
        <v>2058</v>
      </c>
      <c r="BO499" s="284" t="s">
        <v>1808</v>
      </c>
      <c r="BP499" s="129">
        <v>46134</v>
      </c>
      <c r="BQ499" s="18"/>
      <c r="BR499" s="505" t="s">
        <v>2249</v>
      </c>
      <c r="BS499" s="18"/>
      <c r="BT499" s="656" t="s">
        <v>1809</v>
      </c>
      <c r="BU499" s="656" t="s">
        <v>1841</v>
      </c>
      <c r="BV499" s="125" t="s">
        <v>823</v>
      </c>
      <c r="BW499" s="125" t="s">
        <v>1439</v>
      </c>
      <c r="BX499" s="125" t="s">
        <v>2250</v>
      </c>
      <c r="BY499" s="125">
        <v>48494303</v>
      </c>
      <c r="BZ499" s="125">
        <v>10484943031</v>
      </c>
      <c r="CA499" s="126">
        <v>7000</v>
      </c>
      <c r="CB499" s="289">
        <v>46143</v>
      </c>
      <c r="CC499" s="289">
        <v>46203</v>
      </c>
      <c r="CD499" s="759"/>
      <c r="CE499" s="177">
        <f t="shared" si="661"/>
        <v>30</v>
      </c>
      <c r="CF499" s="1019">
        <f t="shared" si="662"/>
        <v>7000</v>
      </c>
      <c r="CG499" s="177">
        <v>30</v>
      </c>
      <c r="CH499" s="1019">
        <f t="shared" si="663"/>
        <v>7000</v>
      </c>
      <c r="CI499" s="177">
        <v>30</v>
      </c>
      <c r="CJ499" s="1019">
        <f t="shared" si="664"/>
        <v>7000</v>
      </c>
      <c r="CK499" s="177">
        <f t="shared" si="665"/>
        <v>0</v>
      </c>
      <c r="CL499" s="177">
        <f t="shared" si="666"/>
        <v>0</v>
      </c>
      <c r="CM499" s="1006"/>
      <c r="CN499" s="177">
        <f t="shared" si="667"/>
        <v>30</v>
      </c>
      <c r="CO499" s="1019">
        <f t="shared" si="668"/>
        <v>7000</v>
      </c>
      <c r="CP499" s="177">
        <v>30</v>
      </c>
      <c r="CQ499" s="1019">
        <f t="shared" si="669"/>
        <v>7000</v>
      </c>
      <c r="CR499" s="1019">
        <v>30</v>
      </c>
      <c r="CS499" s="1019">
        <f t="shared" si="670"/>
        <v>7000</v>
      </c>
      <c r="CT499" s="177">
        <f t="shared" si="671"/>
        <v>0</v>
      </c>
      <c r="CU499" s="177">
        <f t="shared" si="672"/>
        <v>0</v>
      </c>
      <c r="CV499" s="1006"/>
      <c r="CW499" s="177">
        <f t="shared" si="673"/>
        <v>14000</v>
      </c>
      <c r="CX499" s="1019">
        <f t="shared" si="674"/>
        <v>14000</v>
      </c>
      <c r="CY499" s="177">
        <f t="shared" si="675"/>
        <v>14000</v>
      </c>
      <c r="CZ499" s="1019">
        <f t="shared" si="676"/>
        <v>0</v>
      </c>
      <c r="DA499" s="177">
        <f t="shared" si="677"/>
        <v>0</v>
      </c>
      <c r="DB499" s="126"/>
      <c r="DC499" s="125"/>
    </row>
    <row r="500" spans="1:107" ht="51" hidden="1" x14ac:dyDescent="0.25">
      <c r="A500" s="19">
        <v>2026</v>
      </c>
      <c r="B500" s="20">
        <v>479</v>
      </c>
      <c r="C500" s="21" t="s">
        <v>64</v>
      </c>
      <c r="D500" s="21" t="s">
        <v>65</v>
      </c>
      <c r="E500" s="20">
        <v>125</v>
      </c>
      <c r="F500" s="20">
        <v>3000654</v>
      </c>
      <c r="G500" s="20">
        <v>5005023</v>
      </c>
      <c r="H500" s="20">
        <v>3</v>
      </c>
      <c r="I500" s="20">
        <v>12</v>
      </c>
      <c r="J500" s="20">
        <v>24</v>
      </c>
      <c r="K500" s="20">
        <v>135560</v>
      </c>
      <c r="L500" s="21" t="s">
        <v>220</v>
      </c>
      <c r="M500" s="33" t="s">
        <v>221</v>
      </c>
      <c r="N500" s="19">
        <v>97</v>
      </c>
      <c r="O500" s="2"/>
      <c r="P500" s="2" t="s">
        <v>4</v>
      </c>
      <c r="Q500" s="20" t="s">
        <v>68</v>
      </c>
      <c r="R500" s="25" t="s">
        <v>69</v>
      </c>
      <c r="S500" s="41" t="s">
        <v>137</v>
      </c>
      <c r="T500" s="41"/>
      <c r="U500" s="31" t="s">
        <v>337</v>
      </c>
      <c r="V500" s="25" t="s">
        <v>3</v>
      </c>
      <c r="W500" s="25">
        <v>1</v>
      </c>
      <c r="X500" s="595">
        <v>7000</v>
      </c>
      <c r="Y500" s="619"/>
      <c r="Z500" s="2"/>
      <c r="AA500" s="2"/>
      <c r="AB500" s="620"/>
      <c r="AC500" s="25">
        <v>30</v>
      </c>
      <c r="AD500" s="25">
        <v>30</v>
      </c>
      <c r="AE500" s="619"/>
      <c r="AF500" s="2"/>
      <c r="AG500" s="2"/>
      <c r="AH500" s="2"/>
      <c r="AI500" s="2"/>
      <c r="AJ500" s="621"/>
      <c r="AK500" s="596">
        <v>14000</v>
      </c>
      <c r="AL500" s="29" t="s">
        <v>73</v>
      </c>
      <c r="AM500" s="29" t="s">
        <v>73</v>
      </c>
      <c r="AN500" s="29" t="s">
        <v>73</v>
      </c>
      <c r="AO500" s="29" t="s">
        <v>73</v>
      </c>
      <c r="AP500" s="478">
        <v>7000</v>
      </c>
      <c r="AQ500" s="478">
        <v>7000</v>
      </c>
      <c r="AR500" s="29" t="s">
        <v>73</v>
      </c>
      <c r="AS500" s="29" t="s">
        <v>73</v>
      </c>
      <c r="AT500" s="29" t="s">
        <v>73</v>
      </c>
      <c r="AU500" s="29" t="s">
        <v>73</v>
      </c>
      <c r="AV500" s="29" t="s">
        <v>73</v>
      </c>
      <c r="AW500" s="29" t="s">
        <v>73</v>
      </c>
      <c r="AX500" s="30">
        <v>14000</v>
      </c>
      <c r="AY500" s="479" t="s">
        <v>6</v>
      </c>
      <c r="AZ500" s="2" t="s">
        <v>74</v>
      </c>
      <c r="BA500" s="2"/>
      <c r="BK500" s="125" t="s">
        <v>790</v>
      </c>
      <c r="BL500" s="481" t="s">
        <v>791</v>
      </c>
      <c r="BM500" s="125" t="s">
        <v>2057</v>
      </c>
      <c r="BN500" s="655" t="s">
        <v>2058</v>
      </c>
      <c r="BO500" s="284" t="s">
        <v>1808</v>
      </c>
      <c r="BP500" s="129">
        <v>46134</v>
      </c>
      <c r="BQ500" s="18"/>
      <c r="BR500" s="505" t="s">
        <v>2251</v>
      </c>
      <c r="BS500" s="18"/>
      <c r="BT500" s="656" t="s">
        <v>1809</v>
      </c>
      <c r="BU500" s="656" t="s">
        <v>1841</v>
      </c>
      <c r="BV500" s="125" t="s">
        <v>1918</v>
      </c>
      <c r="BW500" s="125" t="s">
        <v>2252</v>
      </c>
      <c r="BX500" s="125" t="s">
        <v>2253</v>
      </c>
      <c r="BY500" s="125">
        <v>45590974</v>
      </c>
      <c r="BZ500" s="125">
        <v>10455909746</v>
      </c>
      <c r="CA500" s="126">
        <v>7000</v>
      </c>
      <c r="CB500" s="289">
        <v>46143</v>
      </c>
      <c r="CC500" s="289">
        <v>46203</v>
      </c>
      <c r="CD500" s="759"/>
      <c r="CE500" s="177">
        <f t="shared" si="661"/>
        <v>30</v>
      </c>
      <c r="CF500" s="1019">
        <f t="shared" si="662"/>
        <v>7000</v>
      </c>
      <c r="CG500" s="177">
        <v>30</v>
      </c>
      <c r="CH500" s="1019">
        <f t="shared" si="663"/>
        <v>7000</v>
      </c>
      <c r="CI500" s="177">
        <v>30</v>
      </c>
      <c r="CJ500" s="1019">
        <f t="shared" si="664"/>
        <v>7000</v>
      </c>
      <c r="CK500" s="177">
        <f t="shared" si="665"/>
        <v>0</v>
      </c>
      <c r="CL500" s="177">
        <f t="shared" si="666"/>
        <v>0</v>
      </c>
      <c r="CM500" s="1006"/>
      <c r="CN500" s="177">
        <f t="shared" si="667"/>
        <v>30</v>
      </c>
      <c r="CO500" s="1019">
        <f t="shared" si="668"/>
        <v>7000</v>
      </c>
      <c r="CP500" s="177">
        <v>30</v>
      </c>
      <c r="CQ500" s="1019">
        <f t="shared" si="669"/>
        <v>7000</v>
      </c>
      <c r="CR500" s="1019">
        <v>30</v>
      </c>
      <c r="CS500" s="1019">
        <f t="shared" si="670"/>
        <v>7000</v>
      </c>
      <c r="CT500" s="177">
        <f t="shared" si="671"/>
        <v>0</v>
      </c>
      <c r="CU500" s="177">
        <f t="shared" si="672"/>
        <v>0</v>
      </c>
      <c r="CV500" s="1006"/>
      <c r="CW500" s="177">
        <f t="shared" si="673"/>
        <v>14000</v>
      </c>
      <c r="CX500" s="1019">
        <f t="shared" si="674"/>
        <v>14000</v>
      </c>
      <c r="CY500" s="177">
        <f t="shared" si="675"/>
        <v>14000</v>
      </c>
      <c r="CZ500" s="1019">
        <f t="shared" si="676"/>
        <v>0</v>
      </c>
      <c r="DA500" s="177">
        <f t="shared" si="677"/>
        <v>0</v>
      </c>
      <c r="DB500" s="126"/>
      <c r="DC500" s="125"/>
    </row>
    <row r="501" spans="1:107" ht="51" hidden="1" x14ac:dyDescent="0.25">
      <c r="A501" s="19">
        <v>2026</v>
      </c>
      <c r="B501" s="20">
        <v>479</v>
      </c>
      <c r="C501" s="21" t="s">
        <v>64</v>
      </c>
      <c r="D501" s="21" t="s">
        <v>65</v>
      </c>
      <c r="E501" s="20">
        <v>125</v>
      </c>
      <c r="F501" s="20">
        <v>3000654</v>
      </c>
      <c r="G501" s="20">
        <v>5005023</v>
      </c>
      <c r="H501" s="20">
        <v>3</v>
      </c>
      <c r="I501" s="20">
        <v>12</v>
      </c>
      <c r="J501" s="20">
        <v>24</v>
      </c>
      <c r="K501" s="20">
        <v>135560</v>
      </c>
      <c r="L501" s="21" t="s">
        <v>98</v>
      </c>
      <c r="M501" s="33" t="s">
        <v>99</v>
      </c>
      <c r="N501" s="19">
        <v>94</v>
      </c>
      <c r="O501" s="2"/>
      <c r="P501" s="2" t="s">
        <v>4</v>
      </c>
      <c r="Q501" s="20" t="s">
        <v>68</v>
      </c>
      <c r="R501" s="25" t="s">
        <v>69</v>
      </c>
      <c r="S501" s="41" t="s">
        <v>137</v>
      </c>
      <c r="T501" s="41"/>
      <c r="U501" s="31" t="s">
        <v>338</v>
      </c>
      <c r="V501" s="25" t="s">
        <v>3</v>
      </c>
      <c r="W501" s="25">
        <v>1</v>
      </c>
      <c r="X501" s="595">
        <v>7000</v>
      </c>
      <c r="Y501" s="619"/>
      <c r="Z501" s="2"/>
      <c r="AA501" s="2"/>
      <c r="AB501" s="620"/>
      <c r="AC501" s="25">
        <v>30</v>
      </c>
      <c r="AD501" s="25">
        <v>0</v>
      </c>
      <c r="AE501" s="619"/>
      <c r="AF501" s="2"/>
      <c r="AG501" s="2"/>
      <c r="AH501" s="2"/>
      <c r="AI501" s="2"/>
      <c r="AJ501" s="621"/>
      <c r="AK501" s="596">
        <v>7000</v>
      </c>
      <c r="AL501" s="29" t="s">
        <v>73</v>
      </c>
      <c r="AM501" s="29" t="s">
        <v>73</v>
      </c>
      <c r="AN501" s="29" t="s">
        <v>73</v>
      </c>
      <c r="AO501" s="29" t="s">
        <v>73</v>
      </c>
      <c r="AP501" s="478">
        <v>7000</v>
      </c>
      <c r="AQ501" s="648">
        <v>0</v>
      </c>
      <c r="AR501" s="29" t="s">
        <v>73</v>
      </c>
      <c r="AS501" s="29" t="s">
        <v>73</v>
      </c>
      <c r="AT501" s="29" t="s">
        <v>73</v>
      </c>
      <c r="AU501" s="29" t="s">
        <v>73</v>
      </c>
      <c r="AV501" s="29" t="s">
        <v>73</v>
      </c>
      <c r="AW501" s="29" t="s">
        <v>73</v>
      </c>
      <c r="AX501" s="30">
        <v>7000</v>
      </c>
      <c r="AY501" s="165" t="s">
        <v>6</v>
      </c>
      <c r="AZ501" s="2" t="s">
        <v>74</v>
      </c>
      <c r="BA501" s="2"/>
      <c r="BK501" s="147" t="s">
        <v>790</v>
      </c>
      <c r="BL501" s="481" t="s">
        <v>791</v>
      </c>
      <c r="BM501" s="284" t="s">
        <v>2057</v>
      </c>
      <c r="BN501" s="655" t="s">
        <v>2058</v>
      </c>
      <c r="BO501" s="284" t="s">
        <v>1808</v>
      </c>
      <c r="BP501" s="129">
        <v>46134</v>
      </c>
      <c r="BQ501" s="18"/>
      <c r="BR501" s="505" t="s">
        <v>2254</v>
      </c>
      <c r="BS501" s="18"/>
      <c r="BT501" s="656" t="s">
        <v>1809</v>
      </c>
      <c r="BU501" s="18"/>
      <c r="BV501" s="125" t="s">
        <v>2255</v>
      </c>
      <c r="BW501" s="125" t="s">
        <v>2256</v>
      </c>
      <c r="BX501" s="125" t="s">
        <v>2257</v>
      </c>
      <c r="BY501" s="125">
        <v>43128117</v>
      </c>
      <c r="BZ501" s="125">
        <v>10431281177</v>
      </c>
      <c r="CA501" s="126">
        <v>7000</v>
      </c>
      <c r="CB501" s="289">
        <v>46143</v>
      </c>
      <c r="CC501" s="289">
        <v>46158</v>
      </c>
      <c r="CD501" s="759"/>
      <c r="CE501" s="177">
        <f t="shared" si="661"/>
        <v>30</v>
      </c>
      <c r="CF501" s="1019">
        <f t="shared" si="662"/>
        <v>7000</v>
      </c>
      <c r="CG501" s="177">
        <v>30</v>
      </c>
      <c r="CH501" s="1019">
        <f t="shared" si="663"/>
        <v>7000</v>
      </c>
      <c r="CI501" s="177">
        <v>30</v>
      </c>
      <c r="CJ501" s="1019">
        <f t="shared" si="664"/>
        <v>7000</v>
      </c>
      <c r="CK501" s="177">
        <f t="shared" si="665"/>
        <v>0</v>
      </c>
      <c r="CL501" s="177">
        <f t="shared" si="666"/>
        <v>0</v>
      </c>
      <c r="CM501" s="1006"/>
      <c r="CN501" s="177">
        <f t="shared" si="667"/>
        <v>0</v>
      </c>
      <c r="CO501" s="1019">
        <f t="shared" si="668"/>
        <v>0</v>
      </c>
      <c r="CP501" s="177"/>
      <c r="CQ501" s="1019">
        <f t="shared" si="669"/>
        <v>0</v>
      </c>
      <c r="CR501" s="1019"/>
      <c r="CS501" s="1019">
        <f t="shared" si="670"/>
        <v>0</v>
      </c>
      <c r="CT501" s="177">
        <f t="shared" si="671"/>
        <v>0</v>
      </c>
      <c r="CU501" s="177">
        <f t="shared" si="672"/>
        <v>0</v>
      </c>
      <c r="CV501" s="1006"/>
      <c r="CW501" s="177">
        <f t="shared" si="673"/>
        <v>7000</v>
      </c>
      <c r="CX501" s="1019">
        <f t="shared" si="674"/>
        <v>7000</v>
      </c>
      <c r="CY501" s="177">
        <f t="shared" si="675"/>
        <v>7000</v>
      </c>
      <c r="CZ501" s="1019">
        <f t="shared" si="676"/>
        <v>0</v>
      </c>
      <c r="DA501" s="177">
        <f t="shared" si="677"/>
        <v>0</v>
      </c>
      <c r="DB501" s="126"/>
      <c r="DC501" s="125"/>
    </row>
    <row r="502" spans="1:107" ht="51" hidden="1" x14ac:dyDescent="0.25">
      <c r="A502" s="19">
        <v>2026</v>
      </c>
      <c r="B502" s="20">
        <v>479</v>
      </c>
      <c r="C502" s="21" t="s">
        <v>64</v>
      </c>
      <c r="D502" s="21" t="s">
        <v>65</v>
      </c>
      <c r="E502" s="20">
        <v>125</v>
      </c>
      <c r="F502" s="20">
        <v>3000654</v>
      </c>
      <c r="G502" s="20">
        <v>5005023</v>
      </c>
      <c r="H502" s="20">
        <v>3</v>
      </c>
      <c r="I502" s="20">
        <v>12</v>
      </c>
      <c r="J502" s="20">
        <v>24</v>
      </c>
      <c r="K502" s="20">
        <v>135560</v>
      </c>
      <c r="L502" s="21" t="s">
        <v>220</v>
      </c>
      <c r="M502" s="33" t="s">
        <v>221</v>
      </c>
      <c r="N502" s="19">
        <v>97</v>
      </c>
      <c r="O502" s="2"/>
      <c r="P502" s="2" t="s">
        <v>4</v>
      </c>
      <c r="Q502" s="20" t="s">
        <v>68</v>
      </c>
      <c r="R502" s="25" t="s">
        <v>69</v>
      </c>
      <c r="S502" s="41" t="s">
        <v>137</v>
      </c>
      <c r="T502" s="41"/>
      <c r="U502" s="31" t="s">
        <v>338</v>
      </c>
      <c r="V502" s="25" t="s">
        <v>3</v>
      </c>
      <c r="W502" s="25">
        <v>1</v>
      </c>
      <c r="X502" s="595">
        <v>7000</v>
      </c>
      <c r="Y502" s="619"/>
      <c r="Z502" s="2"/>
      <c r="AA502" s="2"/>
      <c r="AB502" s="620"/>
      <c r="AC502" s="25">
        <v>0</v>
      </c>
      <c r="AD502" s="25">
        <v>30</v>
      </c>
      <c r="AE502" s="619"/>
      <c r="AF502" s="2"/>
      <c r="AG502" s="2"/>
      <c r="AH502" s="2"/>
      <c r="AI502" s="2"/>
      <c r="AJ502" s="621"/>
      <c r="AK502" s="596">
        <v>7000</v>
      </c>
      <c r="AL502" s="29" t="s">
        <v>73</v>
      </c>
      <c r="AM502" s="29" t="s">
        <v>73</v>
      </c>
      <c r="AN502" s="29" t="s">
        <v>73</v>
      </c>
      <c r="AO502" s="29" t="s">
        <v>73</v>
      </c>
      <c r="AP502" s="648">
        <v>0</v>
      </c>
      <c r="AQ502" s="478">
        <v>7000</v>
      </c>
      <c r="AR502" s="29" t="s">
        <v>73</v>
      </c>
      <c r="AS502" s="29" t="s">
        <v>73</v>
      </c>
      <c r="AT502" s="29" t="s">
        <v>73</v>
      </c>
      <c r="AU502" s="29" t="s">
        <v>73</v>
      </c>
      <c r="AV502" s="29" t="s">
        <v>73</v>
      </c>
      <c r="AW502" s="29" t="s">
        <v>73</v>
      </c>
      <c r="AX502" s="30">
        <v>7000</v>
      </c>
      <c r="AY502" s="479" t="s">
        <v>6</v>
      </c>
      <c r="AZ502" s="2" t="s">
        <v>74</v>
      </c>
      <c r="BA502" s="2"/>
      <c r="BK502" s="125" t="s">
        <v>790</v>
      </c>
      <c r="BL502" s="481" t="s">
        <v>791</v>
      </c>
      <c r="BM502" s="125" t="s">
        <v>1812</v>
      </c>
      <c r="BN502" s="177" t="s">
        <v>1813</v>
      </c>
      <c r="BO502" s="125" t="s">
        <v>1814</v>
      </c>
      <c r="BP502" s="129">
        <v>46156</v>
      </c>
      <c r="BQ502" s="18"/>
      <c r="BR502" s="18"/>
      <c r="BS502" s="18"/>
      <c r="BT502" s="18"/>
      <c r="BU502" s="18" t="s">
        <v>1815</v>
      </c>
      <c r="BV502" s="125" t="s">
        <v>2255</v>
      </c>
      <c r="BW502" s="125" t="s">
        <v>2256</v>
      </c>
      <c r="BX502" s="125" t="s">
        <v>2257</v>
      </c>
      <c r="BY502" s="125">
        <v>43128117</v>
      </c>
      <c r="BZ502" s="125">
        <v>10431281177</v>
      </c>
      <c r="CA502" s="126">
        <v>7000</v>
      </c>
      <c r="CB502" s="289">
        <v>46174</v>
      </c>
      <c r="CC502" s="289">
        <v>46203</v>
      </c>
      <c r="CD502" s="759"/>
      <c r="CE502" s="177">
        <f t="shared" si="661"/>
        <v>0</v>
      </c>
      <c r="CF502" s="1019">
        <f t="shared" si="662"/>
        <v>0</v>
      </c>
      <c r="CG502" s="177"/>
      <c r="CH502" s="1019">
        <f t="shared" si="663"/>
        <v>0</v>
      </c>
      <c r="CI502" s="177"/>
      <c r="CJ502" s="1019">
        <f t="shared" si="664"/>
        <v>0</v>
      </c>
      <c r="CK502" s="177">
        <f t="shared" si="665"/>
        <v>0</v>
      </c>
      <c r="CL502" s="177">
        <f t="shared" si="666"/>
        <v>0</v>
      </c>
      <c r="CM502" s="1006"/>
      <c r="CN502" s="177">
        <f t="shared" si="667"/>
        <v>30</v>
      </c>
      <c r="CO502" s="1019">
        <f t="shared" si="668"/>
        <v>7000</v>
      </c>
      <c r="CP502" s="177">
        <v>30</v>
      </c>
      <c r="CQ502" s="1019">
        <f t="shared" si="669"/>
        <v>7000</v>
      </c>
      <c r="CR502" s="1019">
        <v>30</v>
      </c>
      <c r="CS502" s="1019">
        <f t="shared" si="670"/>
        <v>7000</v>
      </c>
      <c r="CT502" s="177">
        <f t="shared" si="671"/>
        <v>0</v>
      </c>
      <c r="CU502" s="177">
        <f t="shared" si="672"/>
        <v>0</v>
      </c>
      <c r="CV502" s="1006"/>
      <c r="CW502" s="177">
        <f t="shared" si="673"/>
        <v>7000</v>
      </c>
      <c r="CX502" s="1019">
        <f t="shared" si="674"/>
        <v>7000</v>
      </c>
      <c r="CY502" s="177">
        <f t="shared" si="675"/>
        <v>7000</v>
      </c>
      <c r="CZ502" s="1019">
        <f t="shared" si="676"/>
        <v>0</v>
      </c>
      <c r="DA502" s="177">
        <f t="shared" si="677"/>
        <v>0</v>
      </c>
      <c r="DB502" s="126"/>
      <c r="DC502" s="125"/>
    </row>
    <row r="503" spans="1:107" ht="51" hidden="1" x14ac:dyDescent="0.25">
      <c r="A503" s="19">
        <v>2026</v>
      </c>
      <c r="B503" s="20">
        <v>479</v>
      </c>
      <c r="C503" s="21" t="s">
        <v>64</v>
      </c>
      <c r="D503" s="21" t="s">
        <v>65</v>
      </c>
      <c r="E503" s="20">
        <v>125</v>
      </c>
      <c r="F503" s="20">
        <v>3000654</v>
      </c>
      <c r="G503" s="20">
        <v>5005023</v>
      </c>
      <c r="H503" s="20">
        <v>3</v>
      </c>
      <c r="I503" s="20">
        <v>12</v>
      </c>
      <c r="J503" s="20">
        <v>24</v>
      </c>
      <c r="K503" s="20">
        <v>135560</v>
      </c>
      <c r="L503" s="21" t="s">
        <v>220</v>
      </c>
      <c r="M503" s="33" t="s">
        <v>221</v>
      </c>
      <c r="N503" s="19">
        <v>97</v>
      </c>
      <c r="O503" s="2"/>
      <c r="P503" s="2" t="s">
        <v>4</v>
      </c>
      <c r="Q503" s="20" t="s">
        <v>68</v>
      </c>
      <c r="R503" s="25" t="s">
        <v>69</v>
      </c>
      <c r="S503" s="41" t="s">
        <v>137</v>
      </c>
      <c r="T503" s="41"/>
      <c r="U503" s="31" t="s">
        <v>339</v>
      </c>
      <c r="V503" s="25" t="s">
        <v>3</v>
      </c>
      <c r="W503" s="25">
        <v>1</v>
      </c>
      <c r="X503" s="595">
        <v>7000</v>
      </c>
      <c r="Y503" s="619"/>
      <c r="Z503" s="2"/>
      <c r="AA503" s="2"/>
      <c r="AB503" s="620"/>
      <c r="AC503" s="25">
        <v>30</v>
      </c>
      <c r="AD503" s="25">
        <v>30</v>
      </c>
      <c r="AE503" s="619"/>
      <c r="AF503" s="2"/>
      <c r="AG503" s="2"/>
      <c r="AH503" s="2"/>
      <c r="AI503" s="2"/>
      <c r="AJ503" s="621"/>
      <c r="AK503" s="596">
        <v>14000</v>
      </c>
      <c r="AL503" s="29" t="s">
        <v>73</v>
      </c>
      <c r="AM503" s="29" t="s">
        <v>73</v>
      </c>
      <c r="AN503" s="29" t="s">
        <v>73</v>
      </c>
      <c r="AO503" s="29" t="s">
        <v>73</v>
      </c>
      <c r="AP503" s="478">
        <v>7000</v>
      </c>
      <c r="AQ503" s="478">
        <v>7000</v>
      </c>
      <c r="AR503" s="29" t="s">
        <v>73</v>
      </c>
      <c r="AS503" s="29" t="s">
        <v>73</v>
      </c>
      <c r="AT503" s="29" t="s">
        <v>73</v>
      </c>
      <c r="AU503" s="29" t="s">
        <v>73</v>
      </c>
      <c r="AV503" s="29" t="s">
        <v>73</v>
      </c>
      <c r="AW503" s="29" t="s">
        <v>73</v>
      </c>
      <c r="AX503" s="30">
        <v>14000</v>
      </c>
      <c r="AY503" s="479" t="s">
        <v>6</v>
      </c>
      <c r="AZ503" s="2" t="s">
        <v>74</v>
      </c>
      <c r="BA503" s="2"/>
      <c r="BK503" s="125" t="s">
        <v>790</v>
      </c>
      <c r="BL503" s="481" t="s">
        <v>791</v>
      </c>
      <c r="BM503" s="125" t="s">
        <v>2057</v>
      </c>
      <c r="BN503" s="655" t="s">
        <v>2058</v>
      </c>
      <c r="BO503" s="284" t="s">
        <v>1808</v>
      </c>
      <c r="BP503" s="129">
        <v>46134</v>
      </c>
      <c r="BQ503" s="18"/>
      <c r="BR503" s="505" t="s">
        <v>2258</v>
      </c>
      <c r="BS503" s="18"/>
      <c r="BT503" s="656" t="s">
        <v>1809</v>
      </c>
      <c r="BU503" s="656" t="s">
        <v>1841</v>
      </c>
      <c r="BV503" s="125" t="s">
        <v>2259</v>
      </c>
      <c r="BW503" s="125" t="s">
        <v>918</v>
      </c>
      <c r="BX503" s="125" t="s">
        <v>2260</v>
      </c>
      <c r="BY503" s="125">
        <v>42105837</v>
      </c>
      <c r="BZ503" s="125">
        <v>10421058372</v>
      </c>
      <c r="CA503" s="126">
        <v>7000</v>
      </c>
      <c r="CB503" s="289">
        <v>46143</v>
      </c>
      <c r="CC503" s="289">
        <v>46203</v>
      </c>
      <c r="CD503" s="759"/>
      <c r="CE503" s="177">
        <f t="shared" si="661"/>
        <v>30</v>
      </c>
      <c r="CF503" s="1019">
        <f t="shared" si="662"/>
        <v>7000</v>
      </c>
      <c r="CG503" s="177">
        <v>30</v>
      </c>
      <c r="CH503" s="1019">
        <f t="shared" si="663"/>
        <v>7000</v>
      </c>
      <c r="CI503" s="177">
        <v>30</v>
      </c>
      <c r="CJ503" s="1019">
        <f t="shared" si="664"/>
        <v>7000</v>
      </c>
      <c r="CK503" s="177">
        <f t="shared" si="665"/>
        <v>0</v>
      </c>
      <c r="CL503" s="177">
        <f t="shared" si="666"/>
        <v>0</v>
      </c>
      <c r="CM503" s="1006"/>
      <c r="CN503" s="177">
        <f t="shared" si="667"/>
        <v>30</v>
      </c>
      <c r="CO503" s="1019">
        <f t="shared" si="668"/>
        <v>7000</v>
      </c>
      <c r="CP503" s="177">
        <v>30</v>
      </c>
      <c r="CQ503" s="1019">
        <f t="shared" si="669"/>
        <v>7000</v>
      </c>
      <c r="CR503" s="1019">
        <v>30</v>
      </c>
      <c r="CS503" s="1019">
        <f t="shared" si="670"/>
        <v>7000</v>
      </c>
      <c r="CT503" s="177">
        <f t="shared" si="671"/>
        <v>0</v>
      </c>
      <c r="CU503" s="177">
        <f t="shared" si="672"/>
        <v>0</v>
      </c>
      <c r="CV503" s="1006"/>
      <c r="CW503" s="177">
        <f t="shared" si="673"/>
        <v>14000</v>
      </c>
      <c r="CX503" s="1019">
        <f t="shared" si="674"/>
        <v>14000</v>
      </c>
      <c r="CY503" s="177">
        <f t="shared" si="675"/>
        <v>14000</v>
      </c>
      <c r="CZ503" s="1019">
        <f t="shared" si="676"/>
        <v>0</v>
      </c>
      <c r="DA503" s="177">
        <f t="shared" si="677"/>
        <v>0</v>
      </c>
      <c r="DB503" s="126"/>
      <c r="DC503" s="125"/>
    </row>
    <row r="504" spans="1:107" ht="51" hidden="1" x14ac:dyDescent="0.25">
      <c r="A504" s="19">
        <v>2026</v>
      </c>
      <c r="B504" s="20">
        <v>479</v>
      </c>
      <c r="C504" s="21" t="s">
        <v>64</v>
      </c>
      <c r="D504" s="21" t="s">
        <v>65</v>
      </c>
      <c r="E504" s="20">
        <v>125</v>
      </c>
      <c r="F504" s="20">
        <v>3000654</v>
      </c>
      <c r="G504" s="20">
        <v>5005023</v>
      </c>
      <c r="H504" s="20">
        <v>3</v>
      </c>
      <c r="I504" s="20">
        <v>12</v>
      </c>
      <c r="J504" s="20">
        <v>24</v>
      </c>
      <c r="K504" s="20">
        <v>135560</v>
      </c>
      <c r="L504" s="21" t="s">
        <v>220</v>
      </c>
      <c r="M504" s="33" t="s">
        <v>221</v>
      </c>
      <c r="N504" s="19">
        <v>97</v>
      </c>
      <c r="O504" s="2"/>
      <c r="P504" s="2" t="s">
        <v>4</v>
      </c>
      <c r="Q504" s="20" t="s">
        <v>68</v>
      </c>
      <c r="R504" s="25" t="s">
        <v>69</v>
      </c>
      <c r="S504" s="41" t="s">
        <v>137</v>
      </c>
      <c r="T504" s="41"/>
      <c r="U504" s="31" t="s">
        <v>340</v>
      </c>
      <c r="V504" s="25" t="s">
        <v>3</v>
      </c>
      <c r="W504" s="25">
        <v>1</v>
      </c>
      <c r="X504" s="595">
        <v>7000</v>
      </c>
      <c r="Y504" s="619"/>
      <c r="Z504" s="2"/>
      <c r="AA504" s="2"/>
      <c r="AB504" s="620"/>
      <c r="AC504" s="25">
        <v>30</v>
      </c>
      <c r="AD504" s="25">
        <v>30</v>
      </c>
      <c r="AE504" s="619"/>
      <c r="AF504" s="2"/>
      <c r="AG504" s="2"/>
      <c r="AH504" s="2"/>
      <c r="AI504" s="2"/>
      <c r="AJ504" s="621"/>
      <c r="AK504" s="596">
        <v>14000</v>
      </c>
      <c r="AL504" s="29" t="s">
        <v>73</v>
      </c>
      <c r="AM504" s="29" t="s">
        <v>73</v>
      </c>
      <c r="AN504" s="29" t="s">
        <v>73</v>
      </c>
      <c r="AO504" s="29" t="s">
        <v>73</v>
      </c>
      <c r="AP504" s="478">
        <v>7000</v>
      </c>
      <c r="AQ504" s="478">
        <v>7000</v>
      </c>
      <c r="AR504" s="29" t="s">
        <v>73</v>
      </c>
      <c r="AS504" s="29" t="s">
        <v>73</v>
      </c>
      <c r="AT504" s="29" t="s">
        <v>73</v>
      </c>
      <c r="AU504" s="29" t="s">
        <v>73</v>
      </c>
      <c r="AV504" s="29" t="s">
        <v>73</v>
      </c>
      <c r="AW504" s="29" t="s">
        <v>73</v>
      </c>
      <c r="AX504" s="30">
        <v>14000</v>
      </c>
      <c r="AY504" s="479" t="s">
        <v>6</v>
      </c>
      <c r="AZ504" s="2" t="s">
        <v>74</v>
      </c>
      <c r="BA504" s="2"/>
      <c r="BK504" s="125" t="s">
        <v>790</v>
      </c>
      <c r="BL504" s="481" t="s">
        <v>791</v>
      </c>
      <c r="BM504" s="125" t="s">
        <v>2261</v>
      </c>
      <c r="BN504" s="177" t="s">
        <v>2262</v>
      </c>
      <c r="BO504" s="125" t="s">
        <v>2263</v>
      </c>
      <c r="BP504" s="129">
        <v>46140</v>
      </c>
      <c r="BQ504" s="18"/>
      <c r="BR504" s="505">
        <v>3319</v>
      </c>
      <c r="BS504" s="18"/>
      <c r="BT504" s="656" t="s">
        <v>1809</v>
      </c>
      <c r="BU504" s="951" t="s">
        <v>1815</v>
      </c>
      <c r="BV504" s="125" t="s">
        <v>830</v>
      </c>
      <c r="BW504" s="125" t="s">
        <v>798</v>
      </c>
      <c r="BX504" s="125" t="s">
        <v>2264</v>
      </c>
      <c r="BY504" s="125">
        <v>47958210</v>
      </c>
      <c r="BZ504" s="125">
        <v>10479582101</v>
      </c>
      <c r="CA504" s="126">
        <v>7000</v>
      </c>
      <c r="CB504" s="289">
        <v>46146</v>
      </c>
      <c r="CC504" s="289">
        <v>46203</v>
      </c>
      <c r="CD504" s="759"/>
      <c r="CE504" s="177">
        <f t="shared" si="661"/>
        <v>30</v>
      </c>
      <c r="CF504" s="1019">
        <f t="shared" si="662"/>
        <v>7000</v>
      </c>
      <c r="CG504" s="177">
        <v>28</v>
      </c>
      <c r="CH504" s="1019">
        <f t="shared" si="663"/>
        <v>6533.3333333333339</v>
      </c>
      <c r="CI504" s="177">
        <v>28</v>
      </c>
      <c r="CJ504" s="1019">
        <f t="shared" si="664"/>
        <v>6533.3333333333339</v>
      </c>
      <c r="CK504" s="177">
        <f t="shared" si="665"/>
        <v>466.66666666666606</v>
      </c>
      <c r="CL504" s="177">
        <f t="shared" si="666"/>
        <v>466.66666666666606</v>
      </c>
      <c r="CM504" s="1006"/>
      <c r="CN504" s="177">
        <f t="shared" si="667"/>
        <v>30</v>
      </c>
      <c r="CO504" s="1019">
        <f t="shared" si="668"/>
        <v>7000</v>
      </c>
      <c r="CP504" s="177">
        <v>30</v>
      </c>
      <c r="CQ504" s="1019">
        <f t="shared" si="669"/>
        <v>7000</v>
      </c>
      <c r="CR504" s="1019">
        <v>30</v>
      </c>
      <c r="CS504" s="1019">
        <f t="shared" si="670"/>
        <v>7000</v>
      </c>
      <c r="CT504" s="177">
        <f t="shared" si="671"/>
        <v>0</v>
      </c>
      <c r="CU504" s="177">
        <f t="shared" si="672"/>
        <v>0</v>
      </c>
      <c r="CV504" s="1006"/>
      <c r="CW504" s="177">
        <f t="shared" si="673"/>
        <v>14000</v>
      </c>
      <c r="CX504" s="1019">
        <f t="shared" si="674"/>
        <v>13533.333333333334</v>
      </c>
      <c r="CY504" s="177">
        <f t="shared" si="675"/>
        <v>13533.333333333334</v>
      </c>
      <c r="CZ504" s="1019">
        <f t="shared" si="676"/>
        <v>466.66666666666606</v>
      </c>
      <c r="DA504" s="177">
        <f t="shared" si="677"/>
        <v>466.66666666666606</v>
      </c>
      <c r="DB504" s="126"/>
      <c r="DC504" s="125"/>
    </row>
    <row r="505" spans="1:107" ht="51" hidden="1" x14ac:dyDescent="0.25">
      <c r="A505" s="19">
        <v>2026</v>
      </c>
      <c r="B505" s="20">
        <v>479</v>
      </c>
      <c r="C505" s="21" t="s">
        <v>64</v>
      </c>
      <c r="D505" s="21" t="s">
        <v>65</v>
      </c>
      <c r="E505" s="20">
        <v>125</v>
      </c>
      <c r="F505" s="20">
        <v>3000654</v>
      </c>
      <c r="G505" s="20">
        <v>5005023</v>
      </c>
      <c r="H505" s="20">
        <v>3</v>
      </c>
      <c r="I505" s="20">
        <v>12</v>
      </c>
      <c r="J505" s="20">
        <v>24</v>
      </c>
      <c r="K505" s="20">
        <v>135560</v>
      </c>
      <c r="L505" s="21" t="s">
        <v>98</v>
      </c>
      <c r="M505" s="33" t="s">
        <v>99</v>
      </c>
      <c r="N505" s="19">
        <v>94</v>
      </c>
      <c r="O505" s="2"/>
      <c r="P505" s="2" t="s">
        <v>4</v>
      </c>
      <c r="Q505" s="20" t="s">
        <v>68</v>
      </c>
      <c r="R505" s="25" t="s">
        <v>69</v>
      </c>
      <c r="S505" s="41" t="s">
        <v>137</v>
      </c>
      <c r="T505" s="41"/>
      <c r="U505" s="31" t="s">
        <v>341</v>
      </c>
      <c r="V505" s="25" t="s">
        <v>3</v>
      </c>
      <c r="W505" s="25">
        <v>1</v>
      </c>
      <c r="X505" s="595">
        <v>5000</v>
      </c>
      <c r="Y505" s="619"/>
      <c r="Z505" s="2"/>
      <c r="AA505" s="2"/>
      <c r="AB505" s="620"/>
      <c r="AC505" s="25">
        <v>30</v>
      </c>
      <c r="AD505" s="25">
        <v>0</v>
      </c>
      <c r="AE505" s="619"/>
      <c r="AF505" s="2"/>
      <c r="AG505" s="2"/>
      <c r="AH505" s="2"/>
      <c r="AI505" s="2"/>
      <c r="AJ505" s="621"/>
      <c r="AK505" s="596">
        <v>5000</v>
      </c>
      <c r="AL505" s="29" t="s">
        <v>73</v>
      </c>
      <c r="AM505" s="29" t="s">
        <v>73</v>
      </c>
      <c r="AN505" s="29" t="s">
        <v>73</v>
      </c>
      <c r="AO505" s="29" t="s">
        <v>73</v>
      </c>
      <c r="AP505" s="478">
        <v>5000</v>
      </c>
      <c r="AQ505" s="648">
        <v>0</v>
      </c>
      <c r="AR505" s="29" t="s">
        <v>73</v>
      </c>
      <c r="AS505" s="29" t="s">
        <v>73</v>
      </c>
      <c r="AT505" s="29" t="s">
        <v>73</v>
      </c>
      <c r="AU505" s="29" t="s">
        <v>73</v>
      </c>
      <c r="AV505" s="29" t="s">
        <v>73</v>
      </c>
      <c r="AW505" s="29" t="s">
        <v>73</v>
      </c>
      <c r="AX505" s="30">
        <v>5000</v>
      </c>
      <c r="AY505" s="165" t="s">
        <v>6</v>
      </c>
      <c r="AZ505" s="2" t="s">
        <v>74</v>
      </c>
      <c r="BA505" s="2"/>
      <c r="BK505" s="147" t="s">
        <v>790</v>
      </c>
      <c r="BL505" s="481" t="s">
        <v>791</v>
      </c>
      <c r="BM505" s="125" t="s">
        <v>1998</v>
      </c>
      <c r="BN505" s="177" t="s">
        <v>1999</v>
      </c>
      <c r="BO505" s="125" t="s">
        <v>2000</v>
      </c>
      <c r="BP505" s="129">
        <v>46134</v>
      </c>
      <c r="BQ505" s="18"/>
      <c r="BR505" s="505" t="s">
        <v>2265</v>
      </c>
      <c r="BS505" s="18"/>
      <c r="BT505" s="656" t="s">
        <v>2002</v>
      </c>
      <c r="BU505" s="18"/>
      <c r="BV505" s="125" t="s">
        <v>2266</v>
      </c>
      <c r="BW505" s="125" t="s">
        <v>1364</v>
      </c>
      <c r="BX505" s="125" t="s">
        <v>2267</v>
      </c>
      <c r="BY505" s="125">
        <v>72728538</v>
      </c>
      <c r="BZ505" s="125">
        <v>10727285381</v>
      </c>
      <c r="CA505" s="126">
        <v>5000</v>
      </c>
      <c r="CB505" s="289">
        <v>46143</v>
      </c>
      <c r="CC505" s="289">
        <v>46173</v>
      </c>
      <c r="CD505" s="759"/>
      <c r="CE505" s="177">
        <f t="shared" si="661"/>
        <v>30</v>
      </c>
      <c r="CF505" s="1019">
        <f t="shared" si="662"/>
        <v>5000</v>
      </c>
      <c r="CG505" s="177">
        <v>30</v>
      </c>
      <c r="CH505" s="1019">
        <f t="shared" si="663"/>
        <v>5000</v>
      </c>
      <c r="CI505" s="177">
        <v>30</v>
      </c>
      <c r="CJ505" s="1019">
        <f t="shared" si="664"/>
        <v>5000</v>
      </c>
      <c r="CK505" s="177">
        <f t="shared" si="665"/>
        <v>0</v>
      </c>
      <c r="CL505" s="177">
        <f t="shared" si="666"/>
        <v>0</v>
      </c>
      <c r="CM505" s="1006"/>
      <c r="CN505" s="177">
        <f t="shared" si="667"/>
        <v>0</v>
      </c>
      <c r="CO505" s="1019">
        <f t="shared" si="668"/>
        <v>0</v>
      </c>
      <c r="CP505" s="177"/>
      <c r="CQ505" s="1019">
        <f t="shared" si="669"/>
        <v>0</v>
      </c>
      <c r="CR505" s="1019"/>
      <c r="CS505" s="1019">
        <f t="shared" si="670"/>
        <v>0</v>
      </c>
      <c r="CT505" s="177">
        <f t="shared" si="671"/>
        <v>0</v>
      </c>
      <c r="CU505" s="177">
        <f t="shared" si="672"/>
        <v>0</v>
      </c>
      <c r="CV505" s="1006"/>
      <c r="CW505" s="177">
        <f t="shared" si="673"/>
        <v>5000</v>
      </c>
      <c r="CX505" s="1019">
        <f t="shared" si="674"/>
        <v>5000</v>
      </c>
      <c r="CY505" s="177">
        <f t="shared" si="675"/>
        <v>5000</v>
      </c>
      <c r="CZ505" s="1019">
        <f t="shared" si="676"/>
        <v>0</v>
      </c>
      <c r="DA505" s="177">
        <f t="shared" si="677"/>
        <v>0</v>
      </c>
      <c r="DB505" s="126"/>
      <c r="DC505" s="125"/>
    </row>
    <row r="506" spans="1:107" ht="51" hidden="1" x14ac:dyDescent="0.25">
      <c r="A506" s="19">
        <v>2026</v>
      </c>
      <c r="B506" s="20">
        <v>479</v>
      </c>
      <c r="C506" s="21" t="s">
        <v>64</v>
      </c>
      <c r="D506" s="21" t="s">
        <v>65</v>
      </c>
      <c r="E506" s="20">
        <v>125</v>
      </c>
      <c r="F506" s="20">
        <v>3000654</v>
      </c>
      <c r="G506" s="20">
        <v>5005023</v>
      </c>
      <c r="H506" s="20">
        <v>3</v>
      </c>
      <c r="I506" s="20">
        <v>12</v>
      </c>
      <c r="J506" s="20">
        <v>24</v>
      </c>
      <c r="K506" s="20">
        <v>135560</v>
      </c>
      <c r="L506" s="21" t="s">
        <v>220</v>
      </c>
      <c r="M506" s="33" t="s">
        <v>221</v>
      </c>
      <c r="N506" s="19">
        <v>97</v>
      </c>
      <c r="O506" s="2"/>
      <c r="P506" s="2" t="s">
        <v>4</v>
      </c>
      <c r="Q506" s="20" t="s">
        <v>68</v>
      </c>
      <c r="R506" s="25" t="s">
        <v>69</v>
      </c>
      <c r="S506" s="41" t="s">
        <v>137</v>
      </c>
      <c r="T506" s="41"/>
      <c r="U506" s="31" t="s">
        <v>341</v>
      </c>
      <c r="V506" s="25" t="s">
        <v>3</v>
      </c>
      <c r="W506" s="25">
        <v>1</v>
      </c>
      <c r="X506" s="595">
        <v>5000</v>
      </c>
      <c r="Y506" s="619"/>
      <c r="Z506" s="2"/>
      <c r="AA506" s="2"/>
      <c r="AB506" s="620"/>
      <c r="AC506" s="25">
        <v>0</v>
      </c>
      <c r="AD506" s="25">
        <v>30</v>
      </c>
      <c r="AE506" s="619"/>
      <c r="AF506" s="2"/>
      <c r="AG506" s="2"/>
      <c r="AH506" s="2"/>
      <c r="AI506" s="2"/>
      <c r="AJ506" s="621"/>
      <c r="AK506" s="596">
        <v>5000</v>
      </c>
      <c r="AL506" s="29" t="s">
        <v>73</v>
      </c>
      <c r="AM506" s="29" t="s">
        <v>73</v>
      </c>
      <c r="AN506" s="29" t="s">
        <v>73</v>
      </c>
      <c r="AO506" s="29" t="s">
        <v>73</v>
      </c>
      <c r="AP506" s="648">
        <v>0</v>
      </c>
      <c r="AQ506" s="478">
        <v>5000</v>
      </c>
      <c r="AR506" s="29" t="s">
        <v>73</v>
      </c>
      <c r="AS506" s="29" t="s">
        <v>73</v>
      </c>
      <c r="AT506" s="29" t="s">
        <v>73</v>
      </c>
      <c r="AU506" s="29" t="s">
        <v>73</v>
      </c>
      <c r="AV506" s="29" t="s">
        <v>73</v>
      </c>
      <c r="AW506" s="29" t="s">
        <v>73</v>
      </c>
      <c r="AX506" s="30">
        <v>5000</v>
      </c>
      <c r="AY506" s="479" t="s">
        <v>6</v>
      </c>
      <c r="AZ506" s="2" t="s">
        <v>74</v>
      </c>
      <c r="BA506" s="2"/>
      <c r="BK506" s="125" t="s">
        <v>790</v>
      </c>
      <c r="BL506" s="481" t="s">
        <v>791</v>
      </c>
      <c r="BM506" s="125" t="s">
        <v>1812</v>
      </c>
      <c r="BN506" s="177" t="s">
        <v>1813</v>
      </c>
      <c r="BO506" s="125" t="s">
        <v>1814</v>
      </c>
      <c r="BP506" s="129">
        <v>46156</v>
      </c>
      <c r="BQ506" s="18"/>
      <c r="BR506" s="262">
        <v>5050</v>
      </c>
      <c r="BS506" s="18"/>
      <c r="BT506" s="18"/>
      <c r="BU506" s="18" t="s">
        <v>1815</v>
      </c>
      <c r="BV506" s="125" t="s">
        <v>2266</v>
      </c>
      <c r="BW506" s="125" t="s">
        <v>1364</v>
      </c>
      <c r="BX506" s="125" t="s">
        <v>2267</v>
      </c>
      <c r="BY506" s="125">
        <v>72728538</v>
      </c>
      <c r="BZ506" s="125">
        <v>10727285381</v>
      </c>
      <c r="CA506" s="126">
        <v>5000</v>
      </c>
      <c r="CB506" s="289">
        <v>46174</v>
      </c>
      <c r="CC506" s="289">
        <v>46203</v>
      </c>
      <c r="CD506" s="759"/>
      <c r="CE506" s="177">
        <f t="shared" si="661"/>
        <v>0</v>
      </c>
      <c r="CF506" s="1019">
        <f t="shared" si="662"/>
        <v>0</v>
      </c>
      <c r="CG506" s="177"/>
      <c r="CH506" s="1019">
        <f t="shared" si="663"/>
        <v>0</v>
      </c>
      <c r="CI506" s="177"/>
      <c r="CJ506" s="1019">
        <f t="shared" si="664"/>
        <v>0</v>
      </c>
      <c r="CK506" s="177">
        <f t="shared" si="665"/>
        <v>0</v>
      </c>
      <c r="CL506" s="177">
        <f t="shared" si="666"/>
        <v>0</v>
      </c>
      <c r="CM506" s="1006"/>
      <c r="CN506" s="177">
        <f t="shared" si="667"/>
        <v>30</v>
      </c>
      <c r="CO506" s="1019">
        <f t="shared" si="668"/>
        <v>5000</v>
      </c>
      <c r="CP506" s="177">
        <v>30</v>
      </c>
      <c r="CQ506" s="1019">
        <f t="shared" si="669"/>
        <v>5000</v>
      </c>
      <c r="CR506" s="1019">
        <v>30</v>
      </c>
      <c r="CS506" s="1019">
        <f t="shared" si="670"/>
        <v>5000</v>
      </c>
      <c r="CT506" s="177">
        <f t="shared" si="671"/>
        <v>0</v>
      </c>
      <c r="CU506" s="177">
        <f t="shared" si="672"/>
        <v>0</v>
      </c>
      <c r="CV506" s="1006"/>
      <c r="CW506" s="177">
        <f t="shared" si="673"/>
        <v>5000</v>
      </c>
      <c r="CX506" s="1019">
        <f t="shared" si="674"/>
        <v>5000</v>
      </c>
      <c r="CY506" s="177">
        <f t="shared" si="675"/>
        <v>5000</v>
      </c>
      <c r="CZ506" s="1019">
        <f t="shared" si="676"/>
        <v>0</v>
      </c>
      <c r="DA506" s="177">
        <f t="shared" si="677"/>
        <v>0</v>
      </c>
      <c r="DB506" s="126"/>
      <c r="DC506" s="125"/>
    </row>
    <row r="507" spans="1:107" ht="51" hidden="1" x14ac:dyDescent="0.25">
      <c r="A507" s="19">
        <v>2026</v>
      </c>
      <c r="B507" s="20">
        <v>479</v>
      </c>
      <c r="C507" s="21" t="s">
        <v>64</v>
      </c>
      <c r="D507" s="21" t="s">
        <v>65</v>
      </c>
      <c r="E507" s="20">
        <v>125</v>
      </c>
      <c r="F507" s="20">
        <v>3000654</v>
      </c>
      <c r="G507" s="20">
        <v>5005023</v>
      </c>
      <c r="H507" s="20">
        <v>3</v>
      </c>
      <c r="I507" s="20">
        <v>12</v>
      </c>
      <c r="J507" s="20">
        <v>24</v>
      </c>
      <c r="K507" s="20">
        <v>135560</v>
      </c>
      <c r="L507" s="21" t="s">
        <v>220</v>
      </c>
      <c r="M507" s="33" t="s">
        <v>221</v>
      </c>
      <c r="N507" s="19">
        <v>97</v>
      </c>
      <c r="O507" s="2"/>
      <c r="P507" s="2" t="s">
        <v>4</v>
      </c>
      <c r="Q507" s="20" t="s">
        <v>68</v>
      </c>
      <c r="R507" s="25" t="s">
        <v>69</v>
      </c>
      <c r="S507" s="41" t="s">
        <v>137</v>
      </c>
      <c r="T507" s="41"/>
      <c r="U507" s="31" t="s">
        <v>342</v>
      </c>
      <c r="V507" s="25" t="s">
        <v>3</v>
      </c>
      <c r="W507" s="25">
        <v>1</v>
      </c>
      <c r="X507" s="595">
        <v>7500</v>
      </c>
      <c r="Y507" s="619"/>
      <c r="Z507" s="2"/>
      <c r="AA507" s="2"/>
      <c r="AB507" s="620"/>
      <c r="AC507" s="25">
        <v>30</v>
      </c>
      <c r="AD507" s="25">
        <v>30</v>
      </c>
      <c r="AE507" s="619"/>
      <c r="AF507" s="2"/>
      <c r="AG507" s="2"/>
      <c r="AH507" s="2"/>
      <c r="AI507" s="2"/>
      <c r="AJ507" s="621"/>
      <c r="AK507" s="596">
        <v>15000</v>
      </c>
      <c r="AL507" s="29" t="s">
        <v>73</v>
      </c>
      <c r="AM507" s="29" t="s">
        <v>73</v>
      </c>
      <c r="AN507" s="29" t="s">
        <v>73</v>
      </c>
      <c r="AO507" s="29" t="s">
        <v>73</v>
      </c>
      <c r="AP507" s="478">
        <v>7500</v>
      </c>
      <c r="AQ507" s="478">
        <v>7500</v>
      </c>
      <c r="AR507" s="29" t="s">
        <v>73</v>
      </c>
      <c r="AS507" s="29" t="s">
        <v>73</v>
      </c>
      <c r="AT507" s="29" t="s">
        <v>73</v>
      </c>
      <c r="AU507" s="29" t="s">
        <v>73</v>
      </c>
      <c r="AV507" s="29" t="s">
        <v>73</v>
      </c>
      <c r="AW507" s="29" t="s">
        <v>73</v>
      </c>
      <c r="AX507" s="30">
        <v>15000</v>
      </c>
      <c r="AY507" s="479" t="s">
        <v>6</v>
      </c>
      <c r="AZ507" s="2" t="s">
        <v>74</v>
      </c>
      <c r="BA507" s="2"/>
      <c r="BK507" s="125" t="s">
        <v>790</v>
      </c>
      <c r="BL507" s="481" t="s">
        <v>791</v>
      </c>
      <c r="BM507" s="125" t="s">
        <v>1998</v>
      </c>
      <c r="BN507" s="177" t="s">
        <v>1999</v>
      </c>
      <c r="BO507" s="125" t="s">
        <v>2000</v>
      </c>
      <c r="BP507" s="129">
        <v>46134</v>
      </c>
      <c r="BQ507" s="18"/>
      <c r="BR507" s="505" t="s">
        <v>2268</v>
      </c>
      <c r="BS507" s="18"/>
      <c r="BT507" s="656" t="s">
        <v>2002</v>
      </c>
      <c r="BU507" s="264" t="s">
        <v>1841</v>
      </c>
      <c r="BV507" s="125" t="s">
        <v>2073</v>
      </c>
      <c r="BW507" s="125" t="s">
        <v>2269</v>
      </c>
      <c r="BX507" s="125" t="s">
        <v>1299</v>
      </c>
      <c r="BY507" s="125">
        <v>43611128</v>
      </c>
      <c r="BZ507" s="125">
        <v>10436111288</v>
      </c>
      <c r="CA507" s="126">
        <v>7500</v>
      </c>
      <c r="CB507" s="289">
        <v>46143</v>
      </c>
      <c r="CC507" s="289">
        <v>46203</v>
      </c>
      <c r="CD507" s="759"/>
      <c r="CE507" s="177">
        <f t="shared" si="661"/>
        <v>30</v>
      </c>
      <c r="CF507" s="1019">
        <f t="shared" si="662"/>
        <v>7500</v>
      </c>
      <c r="CG507" s="177">
        <v>30</v>
      </c>
      <c r="CH507" s="1019">
        <f t="shared" si="663"/>
        <v>7500</v>
      </c>
      <c r="CI507" s="177">
        <v>30</v>
      </c>
      <c r="CJ507" s="1019">
        <f t="shared" si="664"/>
        <v>7500</v>
      </c>
      <c r="CK507" s="177">
        <f t="shared" si="665"/>
        <v>0</v>
      </c>
      <c r="CL507" s="177">
        <f t="shared" si="666"/>
        <v>0</v>
      </c>
      <c r="CM507" s="1006"/>
      <c r="CN507" s="177">
        <f t="shared" si="667"/>
        <v>30</v>
      </c>
      <c r="CO507" s="1019">
        <f t="shared" si="668"/>
        <v>7500</v>
      </c>
      <c r="CP507" s="177">
        <v>30</v>
      </c>
      <c r="CQ507" s="1019">
        <f t="shared" si="669"/>
        <v>7500</v>
      </c>
      <c r="CR507" s="1019">
        <v>30</v>
      </c>
      <c r="CS507" s="1019">
        <f t="shared" si="670"/>
        <v>7500</v>
      </c>
      <c r="CT507" s="177">
        <f t="shared" si="671"/>
        <v>0</v>
      </c>
      <c r="CU507" s="177">
        <f t="shared" si="672"/>
        <v>0</v>
      </c>
      <c r="CV507" s="1006"/>
      <c r="CW507" s="177">
        <f t="shared" si="673"/>
        <v>15000</v>
      </c>
      <c r="CX507" s="1019">
        <f t="shared" si="674"/>
        <v>15000</v>
      </c>
      <c r="CY507" s="177">
        <f t="shared" si="675"/>
        <v>15000</v>
      </c>
      <c r="CZ507" s="1019">
        <f t="shared" si="676"/>
        <v>0</v>
      </c>
      <c r="DA507" s="177">
        <f t="shared" si="677"/>
        <v>0</v>
      </c>
      <c r="DB507" s="126"/>
      <c r="DC507" s="125"/>
    </row>
    <row r="508" spans="1:107" ht="51" hidden="1" x14ac:dyDescent="0.25">
      <c r="A508" s="19">
        <v>2026</v>
      </c>
      <c r="B508" s="20">
        <v>479</v>
      </c>
      <c r="C508" s="21" t="s">
        <v>64</v>
      </c>
      <c r="D508" s="21" t="s">
        <v>65</v>
      </c>
      <c r="E508" s="20">
        <v>125</v>
      </c>
      <c r="F508" s="20">
        <v>3000654</v>
      </c>
      <c r="G508" s="20">
        <v>5005023</v>
      </c>
      <c r="H508" s="20">
        <v>3</v>
      </c>
      <c r="I508" s="20">
        <v>12</v>
      </c>
      <c r="J508" s="20">
        <v>24</v>
      </c>
      <c r="K508" s="20">
        <v>135560</v>
      </c>
      <c r="L508" s="21" t="s">
        <v>98</v>
      </c>
      <c r="M508" s="33" t="s">
        <v>99</v>
      </c>
      <c r="N508" s="19">
        <v>94</v>
      </c>
      <c r="O508" s="2"/>
      <c r="P508" s="2" t="s">
        <v>4</v>
      </c>
      <c r="Q508" s="20" t="s">
        <v>68</v>
      </c>
      <c r="R508" s="25" t="s">
        <v>69</v>
      </c>
      <c r="S508" s="41" t="s">
        <v>137</v>
      </c>
      <c r="T508" s="41"/>
      <c r="U508" s="31" t="s">
        <v>343</v>
      </c>
      <c r="V508" s="25" t="s">
        <v>3</v>
      </c>
      <c r="W508" s="25">
        <v>1</v>
      </c>
      <c r="X508" s="595">
        <v>6500</v>
      </c>
      <c r="Y508" s="619"/>
      <c r="Z508" s="2"/>
      <c r="AA508" s="2"/>
      <c r="AB508" s="620"/>
      <c r="AC508" s="25">
        <v>30</v>
      </c>
      <c r="AD508" s="25">
        <v>0</v>
      </c>
      <c r="AE508" s="619"/>
      <c r="AF508" s="2"/>
      <c r="AG508" s="2"/>
      <c r="AH508" s="2"/>
      <c r="AI508" s="2"/>
      <c r="AJ508" s="621"/>
      <c r="AK508" s="596">
        <v>6500</v>
      </c>
      <c r="AL508" s="29" t="s">
        <v>73</v>
      </c>
      <c r="AM508" s="29" t="s">
        <v>73</v>
      </c>
      <c r="AN508" s="29" t="s">
        <v>73</v>
      </c>
      <c r="AO508" s="29" t="s">
        <v>73</v>
      </c>
      <c r="AP508" s="478">
        <v>6500</v>
      </c>
      <c r="AQ508" s="648">
        <v>0</v>
      </c>
      <c r="AR508" s="29" t="s">
        <v>73</v>
      </c>
      <c r="AS508" s="29" t="s">
        <v>73</v>
      </c>
      <c r="AT508" s="29" t="s">
        <v>73</v>
      </c>
      <c r="AU508" s="29" t="s">
        <v>73</v>
      </c>
      <c r="AV508" s="29" t="s">
        <v>73</v>
      </c>
      <c r="AW508" s="29" t="s">
        <v>73</v>
      </c>
      <c r="AX508" s="30">
        <v>6500</v>
      </c>
      <c r="AY508" s="165" t="s">
        <v>6</v>
      </c>
      <c r="AZ508" s="2" t="s">
        <v>74</v>
      </c>
      <c r="BA508" s="2"/>
      <c r="BK508" s="147" t="s">
        <v>790</v>
      </c>
      <c r="BL508" s="481" t="s">
        <v>791</v>
      </c>
      <c r="BM508" s="125" t="s">
        <v>1998</v>
      </c>
      <c r="BN508" s="177" t="s">
        <v>1999</v>
      </c>
      <c r="BO508" s="125" t="s">
        <v>2000</v>
      </c>
      <c r="BP508" s="129">
        <v>46134</v>
      </c>
      <c r="BQ508" s="18"/>
      <c r="BR508" s="505" t="s">
        <v>2270</v>
      </c>
      <c r="BS508" s="18"/>
      <c r="BT508" s="656" t="s">
        <v>2002</v>
      </c>
      <c r="BU508" s="18"/>
      <c r="BV508" s="125" t="s">
        <v>2271</v>
      </c>
      <c r="BW508" s="125" t="s">
        <v>993</v>
      </c>
      <c r="BX508" s="125" t="s">
        <v>2272</v>
      </c>
      <c r="BY508" s="125">
        <v>46062502</v>
      </c>
      <c r="BZ508" s="125">
        <v>10460625021</v>
      </c>
      <c r="CA508" s="126">
        <v>6500</v>
      </c>
      <c r="CB508" s="289">
        <v>46143</v>
      </c>
      <c r="CC508" s="289">
        <v>46173</v>
      </c>
      <c r="CD508" s="759"/>
      <c r="CE508" s="177">
        <f t="shared" si="661"/>
        <v>30</v>
      </c>
      <c r="CF508" s="1019">
        <f t="shared" si="662"/>
        <v>6500</v>
      </c>
      <c r="CG508" s="177">
        <v>30</v>
      </c>
      <c r="CH508" s="1019">
        <f t="shared" si="663"/>
        <v>6500</v>
      </c>
      <c r="CI508" s="177">
        <v>30</v>
      </c>
      <c r="CJ508" s="1019">
        <f t="shared" si="664"/>
        <v>6500</v>
      </c>
      <c r="CK508" s="177">
        <f t="shared" si="665"/>
        <v>0</v>
      </c>
      <c r="CL508" s="177">
        <f t="shared" si="666"/>
        <v>0</v>
      </c>
      <c r="CM508" s="1006"/>
      <c r="CN508" s="177">
        <f t="shared" si="667"/>
        <v>0</v>
      </c>
      <c r="CO508" s="1019">
        <f t="shared" si="668"/>
        <v>0</v>
      </c>
      <c r="CP508" s="177"/>
      <c r="CQ508" s="1019">
        <f t="shared" si="669"/>
        <v>0</v>
      </c>
      <c r="CR508" s="1019"/>
      <c r="CS508" s="1019">
        <f t="shared" si="670"/>
        <v>0</v>
      </c>
      <c r="CT508" s="177">
        <f t="shared" si="671"/>
        <v>0</v>
      </c>
      <c r="CU508" s="177">
        <f t="shared" si="672"/>
        <v>0</v>
      </c>
      <c r="CV508" s="1006"/>
      <c r="CW508" s="177">
        <f t="shared" si="673"/>
        <v>6500</v>
      </c>
      <c r="CX508" s="1019">
        <f t="shared" si="674"/>
        <v>6500</v>
      </c>
      <c r="CY508" s="177">
        <f t="shared" si="675"/>
        <v>6500</v>
      </c>
      <c r="CZ508" s="1019">
        <f t="shared" si="676"/>
        <v>0</v>
      </c>
      <c r="DA508" s="177">
        <f t="shared" si="677"/>
        <v>0</v>
      </c>
      <c r="DB508" s="126"/>
      <c r="DC508" s="125"/>
    </row>
    <row r="509" spans="1:107" ht="51" hidden="1" x14ac:dyDescent="0.25">
      <c r="A509" s="19">
        <v>2026</v>
      </c>
      <c r="B509" s="20">
        <v>479</v>
      </c>
      <c r="C509" s="21" t="s">
        <v>64</v>
      </c>
      <c r="D509" s="21" t="s">
        <v>65</v>
      </c>
      <c r="E509" s="20">
        <v>125</v>
      </c>
      <c r="F509" s="20">
        <v>3000654</v>
      </c>
      <c r="G509" s="20">
        <v>5005023</v>
      </c>
      <c r="H509" s="20">
        <v>3</v>
      </c>
      <c r="I509" s="20">
        <v>12</v>
      </c>
      <c r="J509" s="20">
        <v>24</v>
      </c>
      <c r="K509" s="20">
        <v>135560</v>
      </c>
      <c r="L509" s="21" t="s">
        <v>220</v>
      </c>
      <c r="M509" s="33" t="s">
        <v>221</v>
      </c>
      <c r="N509" s="19">
        <v>97</v>
      </c>
      <c r="O509" s="2"/>
      <c r="P509" s="2" t="s">
        <v>4</v>
      </c>
      <c r="Q509" s="20" t="s">
        <v>68</v>
      </c>
      <c r="R509" s="25" t="s">
        <v>69</v>
      </c>
      <c r="S509" s="41" t="s">
        <v>137</v>
      </c>
      <c r="T509" s="41"/>
      <c r="U509" s="31" t="s">
        <v>343</v>
      </c>
      <c r="V509" s="25" t="s">
        <v>3</v>
      </c>
      <c r="W509" s="25">
        <v>1</v>
      </c>
      <c r="X509" s="595">
        <v>6500</v>
      </c>
      <c r="Y509" s="619"/>
      <c r="Z509" s="2"/>
      <c r="AA509" s="2"/>
      <c r="AB509" s="620"/>
      <c r="AC509" s="25">
        <v>0</v>
      </c>
      <c r="AD509" s="25">
        <v>30</v>
      </c>
      <c r="AE509" s="619"/>
      <c r="AF509" s="2"/>
      <c r="AG509" s="2"/>
      <c r="AH509" s="2"/>
      <c r="AI509" s="2"/>
      <c r="AJ509" s="621"/>
      <c r="AK509" s="596">
        <v>6500</v>
      </c>
      <c r="AL509" s="29" t="s">
        <v>73</v>
      </c>
      <c r="AM509" s="29" t="s">
        <v>73</v>
      </c>
      <c r="AN509" s="29" t="s">
        <v>73</v>
      </c>
      <c r="AO509" s="29" t="s">
        <v>73</v>
      </c>
      <c r="AP509" s="648">
        <v>0</v>
      </c>
      <c r="AQ509" s="478">
        <v>6500</v>
      </c>
      <c r="AR509" s="29" t="s">
        <v>73</v>
      </c>
      <c r="AS509" s="29" t="s">
        <v>73</v>
      </c>
      <c r="AT509" s="29" t="s">
        <v>73</v>
      </c>
      <c r="AU509" s="29" t="s">
        <v>73</v>
      </c>
      <c r="AV509" s="29" t="s">
        <v>73</v>
      </c>
      <c r="AW509" s="29" t="s">
        <v>73</v>
      </c>
      <c r="AX509" s="30">
        <v>6500</v>
      </c>
      <c r="AY509" s="479" t="s">
        <v>6</v>
      </c>
      <c r="AZ509" s="2" t="s">
        <v>74</v>
      </c>
      <c r="BA509" s="2"/>
      <c r="BK509" s="125" t="s">
        <v>790</v>
      </c>
      <c r="BL509" s="481" t="s">
        <v>791</v>
      </c>
      <c r="BM509" s="125" t="s">
        <v>1812</v>
      </c>
      <c r="BN509" s="177" t="s">
        <v>1813</v>
      </c>
      <c r="BO509" s="125" t="s">
        <v>1814</v>
      </c>
      <c r="BP509" s="129">
        <v>46156</v>
      </c>
      <c r="BQ509" s="18"/>
      <c r="BR509" s="262">
        <v>5051</v>
      </c>
      <c r="BS509" s="18"/>
      <c r="BT509" s="18"/>
      <c r="BU509" s="18" t="s">
        <v>1815</v>
      </c>
      <c r="BV509" s="125" t="s">
        <v>2271</v>
      </c>
      <c r="BW509" s="125" t="s">
        <v>993</v>
      </c>
      <c r="BX509" s="125" t="s">
        <v>2272</v>
      </c>
      <c r="BY509" s="125">
        <v>46062502</v>
      </c>
      <c r="BZ509" s="125">
        <v>10460625021</v>
      </c>
      <c r="CA509" s="126">
        <v>6500</v>
      </c>
      <c r="CB509" s="289">
        <v>46174</v>
      </c>
      <c r="CC509" s="289">
        <v>46203</v>
      </c>
      <c r="CD509" s="759"/>
      <c r="CE509" s="177">
        <f t="shared" si="661"/>
        <v>0</v>
      </c>
      <c r="CF509" s="1019">
        <f t="shared" si="662"/>
        <v>0</v>
      </c>
      <c r="CG509" s="177"/>
      <c r="CH509" s="1019">
        <f t="shared" si="663"/>
        <v>0</v>
      </c>
      <c r="CI509" s="177"/>
      <c r="CJ509" s="1019">
        <f t="shared" si="664"/>
        <v>0</v>
      </c>
      <c r="CK509" s="177">
        <f t="shared" si="665"/>
        <v>0</v>
      </c>
      <c r="CL509" s="177">
        <f t="shared" si="666"/>
        <v>0</v>
      </c>
      <c r="CM509" s="1006"/>
      <c r="CN509" s="177">
        <f t="shared" si="667"/>
        <v>30</v>
      </c>
      <c r="CO509" s="1019">
        <f t="shared" si="668"/>
        <v>6500</v>
      </c>
      <c r="CP509" s="177">
        <v>30</v>
      </c>
      <c r="CQ509" s="1019">
        <f t="shared" si="669"/>
        <v>6500</v>
      </c>
      <c r="CR509" s="1019">
        <v>30</v>
      </c>
      <c r="CS509" s="1019">
        <f t="shared" si="670"/>
        <v>6500</v>
      </c>
      <c r="CT509" s="177">
        <f t="shared" si="671"/>
        <v>0</v>
      </c>
      <c r="CU509" s="177">
        <f t="shared" si="672"/>
        <v>0</v>
      </c>
      <c r="CV509" s="1006"/>
      <c r="CW509" s="177">
        <f t="shared" si="673"/>
        <v>6500</v>
      </c>
      <c r="CX509" s="1019">
        <f t="shared" si="674"/>
        <v>6500</v>
      </c>
      <c r="CY509" s="177">
        <f t="shared" si="675"/>
        <v>6500</v>
      </c>
      <c r="CZ509" s="1019">
        <f t="shared" si="676"/>
        <v>0</v>
      </c>
      <c r="DA509" s="177">
        <f t="shared" si="677"/>
        <v>0</v>
      </c>
      <c r="DB509" s="126"/>
      <c r="DC509" s="125"/>
    </row>
    <row r="510" spans="1:107" s="142" customFormat="1" ht="51" hidden="1" x14ac:dyDescent="0.25">
      <c r="A510" s="19">
        <v>2026</v>
      </c>
      <c r="B510" s="20">
        <v>479</v>
      </c>
      <c r="C510" s="21" t="s">
        <v>64</v>
      </c>
      <c r="D510" s="21" t="s">
        <v>65</v>
      </c>
      <c r="E510" s="20">
        <v>125</v>
      </c>
      <c r="F510" s="20">
        <v>3000654</v>
      </c>
      <c r="G510" s="20">
        <v>5005023</v>
      </c>
      <c r="H510" s="20">
        <v>3</v>
      </c>
      <c r="I510" s="20">
        <v>12</v>
      </c>
      <c r="J510" s="20">
        <v>24</v>
      </c>
      <c r="K510" s="20">
        <v>135560</v>
      </c>
      <c r="L510" s="21" t="s">
        <v>220</v>
      </c>
      <c r="M510" s="33" t="s">
        <v>221</v>
      </c>
      <c r="N510" s="19">
        <v>97</v>
      </c>
      <c r="O510" s="629"/>
      <c r="P510" s="629" t="s">
        <v>4</v>
      </c>
      <c r="Q510" s="20" t="s">
        <v>68</v>
      </c>
      <c r="R510" s="25" t="s">
        <v>69</v>
      </c>
      <c r="S510" s="41" t="s">
        <v>137</v>
      </c>
      <c r="T510" s="41"/>
      <c r="U510" s="633" t="s">
        <v>2273</v>
      </c>
      <c r="V510" s="25" t="s">
        <v>3</v>
      </c>
      <c r="W510" s="25">
        <v>1</v>
      </c>
      <c r="X510" s="595">
        <v>6500</v>
      </c>
      <c r="Y510" s="858"/>
      <c r="Z510" s="629"/>
      <c r="AA510" s="629"/>
      <c r="AB510" s="859"/>
      <c r="AC510" s="25">
        <v>30</v>
      </c>
      <c r="AD510" s="25">
        <v>30</v>
      </c>
      <c r="AE510" s="858"/>
      <c r="AF510" s="629"/>
      <c r="AG510" s="629"/>
      <c r="AH510" s="629"/>
      <c r="AI510" s="629"/>
      <c r="AJ510" s="860"/>
      <c r="AK510" s="596">
        <v>13000</v>
      </c>
      <c r="AL510" s="29" t="s">
        <v>73</v>
      </c>
      <c r="AM510" s="29" t="s">
        <v>73</v>
      </c>
      <c r="AN510" s="29" t="s">
        <v>73</v>
      </c>
      <c r="AO510" s="29" t="s">
        <v>73</v>
      </c>
      <c r="AP510" s="478">
        <v>6500</v>
      </c>
      <c r="AQ510" s="478">
        <v>6500</v>
      </c>
      <c r="AR510" s="29" t="s">
        <v>73</v>
      </c>
      <c r="AS510" s="29" t="s">
        <v>73</v>
      </c>
      <c r="AT510" s="29" t="s">
        <v>73</v>
      </c>
      <c r="AU510" s="29" t="s">
        <v>73</v>
      </c>
      <c r="AV510" s="29" t="s">
        <v>73</v>
      </c>
      <c r="AW510" s="29" t="s">
        <v>73</v>
      </c>
      <c r="AX510" s="30">
        <v>13000</v>
      </c>
      <c r="AY510" s="479" t="s">
        <v>6</v>
      </c>
      <c r="AZ510" s="629" t="s">
        <v>74</v>
      </c>
      <c r="BA510" s="629"/>
      <c r="BK510" s="481" t="s">
        <v>790</v>
      </c>
      <c r="BL510" s="481" t="s">
        <v>791</v>
      </c>
      <c r="BM510" s="125" t="s">
        <v>2274</v>
      </c>
      <c r="BN510" s="177" t="s">
        <v>2275</v>
      </c>
      <c r="BO510" s="125" t="s">
        <v>2276</v>
      </c>
      <c r="BP510" s="129">
        <v>46176</v>
      </c>
      <c r="BQ510" s="18"/>
      <c r="BR510" s="239"/>
      <c r="BS510" s="18"/>
      <c r="BT510" s="18"/>
      <c r="BU510" s="18"/>
      <c r="BV510" s="794" t="s">
        <v>993</v>
      </c>
      <c r="BW510" s="795" t="s">
        <v>2277</v>
      </c>
      <c r="BX510" s="795" t="s">
        <v>2278</v>
      </c>
      <c r="BY510" s="796">
        <v>42993410</v>
      </c>
      <c r="BZ510" s="797">
        <v>10429934104</v>
      </c>
      <c r="CA510" s="126">
        <v>6000</v>
      </c>
      <c r="CB510" s="792">
        <v>46181</v>
      </c>
      <c r="CC510" s="793">
        <v>46203</v>
      </c>
      <c r="CD510" s="759"/>
      <c r="CE510" s="177">
        <f t="shared" si="661"/>
        <v>30</v>
      </c>
      <c r="CF510" s="1019">
        <f t="shared" si="662"/>
        <v>6500</v>
      </c>
      <c r="CG510" s="177"/>
      <c r="CH510" s="1019">
        <f t="shared" si="663"/>
        <v>0</v>
      </c>
      <c r="CI510" s="177"/>
      <c r="CJ510" s="1019">
        <f t="shared" si="664"/>
        <v>0</v>
      </c>
      <c r="CK510" s="177">
        <f t="shared" si="665"/>
        <v>6500</v>
      </c>
      <c r="CL510" s="177">
        <f t="shared" si="666"/>
        <v>6500</v>
      </c>
      <c r="CM510" s="1006"/>
      <c r="CN510" s="177">
        <f t="shared" si="667"/>
        <v>30</v>
      </c>
      <c r="CO510" s="1019">
        <f t="shared" si="668"/>
        <v>6500</v>
      </c>
      <c r="CP510" s="177">
        <v>23</v>
      </c>
      <c r="CQ510" s="1019">
        <f>(6000/30)*CP510</f>
        <v>4600</v>
      </c>
      <c r="CR510" s="1019">
        <v>23</v>
      </c>
      <c r="CS510" s="1019">
        <f>(6000/30)*CR510</f>
        <v>4600</v>
      </c>
      <c r="CT510" s="177">
        <f t="shared" si="671"/>
        <v>1900</v>
      </c>
      <c r="CU510" s="177">
        <f t="shared" si="672"/>
        <v>1900</v>
      </c>
      <c r="CV510" s="1006"/>
      <c r="CW510" s="177">
        <f t="shared" si="673"/>
        <v>13000</v>
      </c>
      <c r="CX510" s="1019">
        <f t="shared" si="674"/>
        <v>4600</v>
      </c>
      <c r="CY510" s="177">
        <f t="shared" si="675"/>
        <v>4600</v>
      </c>
      <c r="CZ510" s="1019">
        <f t="shared" si="676"/>
        <v>8400</v>
      </c>
      <c r="DA510" s="177">
        <f t="shared" si="677"/>
        <v>8400</v>
      </c>
      <c r="DB510" s="126"/>
      <c r="DC510" s="125"/>
    </row>
    <row r="511" spans="1:107" ht="51" hidden="1" x14ac:dyDescent="0.25">
      <c r="A511" s="19">
        <v>2026</v>
      </c>
      <c r="B511" s="20">
        <v>479</v>
      </c>
      <c r="C511" s="21" t="s">
        <v>64</v>
      </c>
      <c r="D511" s="21" t="s">
        <v>65</v>
      </c>
      <c r="E511" s="20">
        <v>125</v>
      </c>
      <c r="F511" s="20">
        <v>3000654</v>
      </c>
      <c r="G511" s="20">
        <v>5005023</v>
      </c>
      <c r="H511" s="20">
        <v>3</v>
      </c>
      <c r="I511" s="20">
        <v>12</v>
      </c>
      <c r="J511" s="20">
        <v>24</v>
      </c>
      <c r="K511" s="20">
        <v>135560</v>
      </c>
      <c r="L511" s="21" t="s">
        <v>220</v>
      </c>
      <c r="M511" s="33" t="s">
        <v>221</v>
      </c>
      <c r="N511" s="19">
        <v>97</v>
      </c>
      <c r="O511" s="2"/>
      <c r="P511" s="2" t="s">
        <v>4</v>
      </c>
      <c r="Q511" s="20" t="s">
        <v>68</v>
      </c>
      <c r="R511" s="25" t="s">
        <v>69</v>
      </c>
      <c r="S511" s="41" t="s">
        <v>137</v>
      </c>
      <c r="T511" s="41"/>
      <c r="U511" s="31" t="s">
        <v>345</v>
      </c>
      <c r="V511" s="25" t="s">
        <v>3</v>
      </c>
      <c r="W511" s="25">
        <v>1</v>
      </c>
      <c r="X511" s="595">
        <v>6500</v>
      </c>
      <c r="Y511" s="619"/>
      <c r="Z511" s="2"/>
      <c r="AA511" s="2"/>
      <c r="AB511" s="620"/>
      <c r="AC511" s="25">
        <v>30</v>
      </c>
      <c r="AD511" s="25">
        <v>30</v>
      </c>
      <c r="AE511" s="619"/>
      <c r="AF511" s="2"/>
      <c r="AG511" s="2"/>
      <c r="AH511" s="2"/>
      <c r="AI511" s="2"/>
      <c r="AJ511" s="621"/>
      <c r="AK511" s="596">
        <v>13000</v>
      </c>
      <c r="AL511" s="29" t="s">
        <v>73</v>
      </c>
      <c r="AM511" s="29" t="s">
        <v>73</v>
      </c>
      <c r="AN511" s="29" t="s">
        <v>73</v>
      </c>
      <c r="AO511" s="29" t="s">
        <v>73</v>
      </c>
      <c r="AP511" s="478">
        <v>6500</v>
      </c>
      <c r="AQ511" s="478">
        <v>6500</v>
      </c>
      <c r="AR511" s="29" t="s">
        <v>73</v>
      </c>
      <c r="AS511" s="29" t="s">
        <v>73</v>
      </c>
      <c r="AT511" s="29" t="s">
        <v>73</v>
      </c>
      <c r="AU511" s="29" t="s">
        <v>73</v>
      </c>
      <c r="AV511" s="29" t="s">
        <v>73</v>
      </c>
      <c r="AW511" s="29" t="s">
        <v>73</v>
      </c>
      <c r="AX511" s="30">
        <v>13000</v>
      </c>
      <c r="AY511" s="479" t="s">
        <v>6</v>
      </c>
      <c r="AZ511" s="2" t="s">
        <v>74</v>
      </c>
      <c r="BA511" s="2"/>
      <c r="BK511" s="125" t="s">
        <v>790</v>
      </c>
      <c r="BL511" s="481" t="s">
        <v>791</v>
      </c>
      <c r="BM511" s="125" t="s">
        <v>1998</v>
      </c>
      <c r="BN511" s="177" t="s">
        <v>1999</v>
      </c>
      <c r="BO511" s="125" t="s">
        <v>2000</v>
      </c>
      <c r="BP511" s="129">
        <v>46134</v>
      </c>
      <c r="BQ511" s="18"/>
      <c r="BR511" s="505" t="s">
        <v>2279</v>
      </c>
      <c r="BS511" s="18"/>
      <c r="BT511" s="656" t="s">
        <v>2002</v>
      </c>
      <c r="BU511" s="947" t="s">
        <v>1841</v>
      </c>
      <c r="BV511" s="125" t="s">
        <v>1165</v>
      </c>
      <c r="BW511" s="125" t="s">
        <v>2280</v>
      </c>
      <c r="BX511" s="125" t="s">
        <v>2281</v>
      </c>
      <c r="BY511" s="125">
        <v>77796795</v>
      </c>
      <c r="BZ511" s="125">
        <v>10777967954</v>
      </c>
      <c r="CA511" s="126">
        <v>6500</v>
      </c>
      <c r="CB511" s="289">
        <v>46143</v>
      </c>
      <c r="CC511" s="289">
        <v>46203</v>
      </c>
      <c r="CD511" s="759"/>
      <c r="CE511" s="177">
        <f t="shared" si="661"/>
        <v>30</v>
      </c>
      <c r="CF511" s="1019">
        <f t="shared" si="662"/>
        <v>6500</v>
      </c>
      <c r="CG511" s="177">
        <v>30</v>
      </c>
      <c r="CH511" s="1019">
        <f t="shared" si="663"/>
        <v>6500</v>
      </c>
      <c r="CI511" s="177">
        <v>30</v>
      </c>
      <c r="CJ511" s="1019">
        <f t="shared" si="664"/>
        <v>6500</v>
      </c>
      <c r="CK511" s="177">
        <f t="shared" si="665"/>
        <v>0</v>
      </c>
      <c r="CL511" s="177">
        <f t="shared" si="666"/>
        <v>0</v>
      </c>
      <c r="CM511" s="1006"/>
      <c r="CN511" s="177">
        <f t="shared" si="667"/>
        <v>30</v>
      </c>
      <c r="CO511" s="1019">
        <f t="shared" si="668"/>
        <v>6500</v>
      </c>
      <c r="CP511" s="177">
        <v>30</v>
      </c>
      <c r="CQ511" s="1019">
        <f t="shared" si="669"/>
        <v>6500</v>
      </c>
      <c r="CR511" s="1019">
        <v>30</v>
      </c>
      <c r="CS511" s="1019">
        <f t="shared" si="670"/>
        <v>6500</v>
      </c>
      <c r="CT511" s="177">
        <f t="shared" si="671"/>
        <v>0</v>
      </c>
      <c r="CU511" s="177">
        <f t="shared" si="672"/>
        <v>0</v>
      </c>
      <c r="CV511" s="1006"/>
      <c r="CW511" s="177">
        <f t="shared" si="673"/>
        <v>13000</v>
      </c>
      <c r="CX511" s="1019">
        <f t="shared" si="674"/>
        <v>13000</v>
      </c>
      <c r="CY511" s="177">
        <f t="shared" si="675"/>
        <v>13000</v>
      </c>
      <c r="CZ511" s="1019">
        <f t="shared" si="676"/>
        <v>0</v>
      </c>
      <c r="DA511" s="177">
        <f t="shared" si="677"/>
        <v>0</v>
      </c>
      <c r="DB511" s="126"/>
      <c r="DC511" s="125"/>
    </row>
    <row r="512" spans="1:107" s="704" customFormat="1" ht="51" hidden="1" x14ac:dyDescent="0.25">
      <c r="A512" s="690">
        <v>2026</v>
      </c>
      <c r="B512" s="691">
        <v>479</v>
      </c>
      <c r="C512" s="692" t="s">
        <v>64</v>
      </c>
      <c r="D512" s="692" t="s">
        <v>65</v>
      </c>
      <c r="E512" s="691">
        <v>125</v>
      </c>
      <c r="F512" s="691">
        <v>3000654</v>
      </c>
      <c r="G512" s="691">
        <v>5005023</v>
      </c>
      <c r="H512" s="691">
        <v>3</v>
      </c>
      <c r="I512" s="691">
        <v>12</v>
      </c>
      <c r="J512" s="691">
        <v>24</v>
      </c>
      <c r="K512" s="691">
        <v>135560</v>
      </c>
      <c r="L512" s="692" t="s">
        <v>220</v>
      </c>
      <c r="M512" s="693" t="s">
        <v>221</v>
      </c>
      <c r="N512" s="690">
        <v>97</v>
      </c>
      <c r="O512" s="694"/>
      <c r="P512" s="694" t="s">
        <v>4</v>
      </c>
      <c r="Q512" s="691" t="s">
        <v>68</v>
      </c>
      <c r="R512" s="695" t="s">
        <v>69</v>
      </c>
      <c r="S512" s="696" t="s">
        <v>137</v>
      </c>
      <c r="T512" s="696"/>
      <c r="U512" s="697" t="s">
        <v>2282</v>
      </c>
      <c r="V512" s="695" t="s">
        <v>3</v>
      </c>
      <c r="W512" s="695">
        <v>1</v>
      </c>
      <c r="X512" s="698">
        <v>6000</v>
      </c>
      <c r="Y512" s="884"/>
      <c r="Z512" s="694"/>
      <c r="AA512" s="694"/>
      <c r="AB512" s="885"/>
      <c r="AC512" s="695">
        <v>30</v>
      </c>
      <c r="AD512" s="695">
        <v>30</v>
      </c>
      <c r="AE512" s="884"/>
      <c r="AF512" s="694"/>
      <c r="AG512" s="694"/>
      <c r="AH512" s="694"/>
      <c r="AI512" s="694"/>
      <c r="AJ512" s="886"/>
      <c r="AK512" s="699">
        <v>12000</v>
      </c>
      <c r="AL512" s="700" t="s">
        <v>73</v>
      </c>
      <c r="AM512" s="700" t="s">
        <v>73</v>
      </c>
      <c r="AN512" s="700" t="s">
        <v>73</v>
      </c>
      <c r="AO512" s="700" t="s">
        <v>73</v>
      </c>
      <c r="AP512" s="701">
        <v>6000</v>
      </c>
      <c r="AQ512" s="701">
        <v>6000</v>
      </c>
      <c r="AR512" s="700" t="s">
        <v>73</v>
      </c>
      <c r="AS512" s="700" t="s">
        <v>73</v>
      </c>
      <c r="AT512" s="700" t="s">
        <v>73</v>
      </c>
      <c r="AU512" s="700" t="s">
        <v>73</v>
      </c>
      <c r="AV512" s="700" t="s">
        <v>73</v>
      </c>
      <c r="AW512" s="700" t="s">
        <v>73</v>
      </c>
      <c r="AX512" s="702">
        <v>12000</v>
      </c>
      <c r="AY512" s="703" t="s">
        <v>6</v>
      </c>
      <c r="AZ512" s="694" t="s">
        <v>74</v>
      </c>
      <c r="BA512" s="694"/>
      <c r="BD512" s="705"/>
      <c r="BE512" s="705"/>
      <c r="BF512" s="705"/>
      <c r="BG512" s="705"/>
      <c r="BH512" s="705"/>
      <c r="BI512" s="705"/>
      <c r="BJ512" s="705"/>
      <c r="BK512" s="706" t="s">
        <v>790</v>
      </c>
      <c r="BL512" s="707" t="s">
        <v>791</v>
      </c>
      <c r="BM512" s="396" t="s">
        <v>2283</v>
      </c>
      <c r="BN512" s="413" t="s">
        <v>2284</v>
      </c>
      <c r="BO512" s="396" t="s">
        <v>2285</v>
      </c>
      <c r="BP512" s="397">
        <v>46168</v>
      </c>
      <c r="BQ512" s="398"/>
      <c r="BR512" s="952">
        <v>4908</v>
      </c>
      <c r="BS512" s="398"/>
      <c r="BT512" s="398"/>
      <c r="BU512" s="946" t="s">
        <v>1815</v>
      </c>
      <c r="BV512" s="399" t="s">
        <v>856</v>
      </c>
      <c r="BW512" s="399" t="s">
        <v>2286</v>
      </c>
      <c r="BX512" s="399" t="s">
        <v>2287</v>
      </c>
      <c r="BY512" s="399">
        <v>72300067</v>
      </c>
      <c r="BZ512" s="399">
        <v>10723000675</v>
      </c>
      <c r="CA512" s="400">
        <v>5500</v>
      </c>
      <c r="CB512" s="708">
        <v>46174</v>
      </c>
      <c r="CC512" s="708">
        <v>46203</v>
      </c>
      <c r="CD512" s="759"/>
      <c r="CE512" s="1047">
        <f t="shared" si="661"/>
        <v>30</v>
      </c>
      <c r="CF512" s="1048">
        <f>AP512</f>
        <v>6000</v>
      </c>
      <c r="CG512" s="1047"/>
      <c r="CH512" s="1048">
        <f t="shared" si="663"/>
        <v>0</v>
      </c>
      <c r="CI512" s="1047"/>
      <c r="CJ512" s="1048">
        <f t="shared" si="664"/>
        <v>0</v>
      </c>
      <c r="CK512" s="1047">
        <f t="shared" si="665"/>
        <v>6000</v>
      </c>
      <c r="CL512" s="1047">
        <f t="shared" si="666"/>
        <v>6000</v>
      </c>
      <c r="CM512" s="1006"/>
      <c r="CN512" s="413">
        <f t="shared" si="667"/>
        <v>30</v>
      </c>
      <c r="CO512" s="1049">
        <f>AQ512</f>
        <v>6000</v>
      </c>
      <c r="CP512" s="413">
        <v>30</v>
      </c>
      <c r="CQ512" s="1049">
        <f>(5500/30)*CP512</f>
        <v>5500</v>
      </c>
      <c r="CR512" s="1049">
        <v>30</v>
      </c>
      <c r="CS512" s="1049">
        <f>(5500/30)*CR512</f>
        <v>5500</v>
      </c>
      <c r="CT512" s="413">
        <f t="shared" si="671"/>
        <v>500</v>
      </c>
      <c r="CU512" s="413">
        <f t="shared" si="672"/>
        <v>500</v>
      </c>
      <c r="CV512" s="1006"/>
      <c r="CW512" s="177">
        <f t="shared" si="673"/>
        <v>12000</v>
      </c>
      <c r="CX512" s="1019">
        <f t="shared" si="674"/>
        <v>5500</v>
      </c>
      <c r="CY512" s="177">
        <f t="shared" si="675"/>
        <v>5500</v>
      </c>
      <c r="CZ512" s="1019">
        <f t="shared" si="676"/>
        <v>6500</v>
      </c>
      <c r="DA512" s="177">
        <f t="shared" si="677"/>
        <v>6500</v>
      </c>
      <c r="DB512" s="401"/>
      <c r="DC512" s="396"/>
    </row>
    <row r="513" spans="1:107" ht="51" hidden="1" x14ac:dyDescent="0.25">
      <c r="A513" s="19">
        <v>2026</v>
      </c>
      <c r="B513" s="20">
        <v>479</v>
      </c>
      <c r="C513" s="21" t="s">
        <v>64</v>
      </c>
      <c r="D513" s="21" t="s">
        <v>65</v>
      </c>
      <c r="E513" s="20">
        <v>125</v>
      </c>
      <c r="F513" s="20">
        <v>3000654</v>
      </c>
      <c r="G513" s="20">
        <v>5005023</v>
      </c>
      <c r="H513" s="20">
        <v>3</v>
      </c>
      <c r="I513" s="20">
        <v>12</v>
      </c>
      <c r="J513" s="20">
        <v>24</v>
      </c>
      <c r="K513" s="20">
        <v>135560</v>
      </c>
      <c r="L513" s="21" t="s">
        <v>220</v>
      </c>
      <c r="M513" s="33" t="s">
        <v>221</v>
      </c>
      <c r="N513" s="19">
        <v>97</v>
      </c>
      <c r="O513" s="2"/>
      <c r="P513" s="2" t="s">
        <v>4</v>
      </c>
      <c r="Q513" s="20" t="s">
        <v>68</v>
      </c>
      <c r="R513" s="25" t="s">
        <v>69</v>
      </c>
      <c r="S513" s="41" t="s">
        <v>137</v>
      </c>
      <c r="T513" s="41"/>
      <c r="U513" s="651" t="s">
        <v>2288</v>
      </c>
      <c r="V513" s="25" t="s">
        <v>3</v>
      </c>
      <c r="W513" s="25">
        <v>1</v>
      </c>
      <c r="X513" s="595">
        <v>6000</v>
      </c>
      <c r="Y513" s="619"/>
      <c r="Z513" s="2"/>
      <c r="AA513" s="2"/>
      <c r="AB513" s="620"/>
      <c r="AC513" s="25">
        <v>30</v>
      </c>
      <c r="AD513" s="25">
        <v>30</v>
      </c>
      <c r="AE513" s="619"/>
      <c r="AF513" s="2"/>
      <c r="AG513" s="2"/>
      <c r="AH513" s="2"/>
      <c r="AI513" s="2"/>
      <c r="AJ513" s="621"/>
      <c r="AK513" s="596">
        <v>12000</v>
      </c>
      <c r="AL513" s="29" t="s">
        <v>73</v>
      </c>
      <c r="AM513" s="29" t="s">
        <v>73</v>
      </c>
      <c r="AN513" s="29" t="s">
        <v>73</v>
      </c>
      <c r="AO513" s="29" t="s">
        <v>73</v>
      </c>
      <c r="AP513" s="478">
        <v>6000</v>
      </c>
      <c r="AQ513" s="478">
        <v>6000</v>
      </c>
      <c r="AR513" s="29" t="s">
        <v>73</v>
      </c>
      <c r="AS513" s="29" t="s">
        <v>73</v>
      </c>
      <c r="AT513" s="29" t="s">
        <v>73</v>
      </c>
      <c r="AU513" s="29" t="s">
        <v>73</v>
      </c>
      <c r="AV513" s="29" t="s">
        <v>73</v>
      </c>
      <c r="AW513" s="29" t="s">
        <v>73</v>
      </c>
      <c r="AX513" s="30">
        <v>12000</v>
      </c>
      <c r="AY513" s="479" t="s">
        <v>6</v>
      </c>
      <c r="AZ513" s="2" t="s">
        <v>74</v>
      </c>
      <c r="BA513" s="2"/>
      <c r="BK513" s="481" t="s">
        <v>790</v>
      </c>
      <c r="BL513" s="481" t="s">
        <v>791</v>
      </c>
      <c r="BM513" s="125" t="s">
        <v>1951</v>
      </c>
      <c r="BN513" s="177" t="s">
        <v>1952</v>
      </c>
      <c r="BO513" s="125" t="s">
        <v>1953</v>
      </c>
      <c r="BP513" s="129">
        <v>46174</v>
      </c>
      <c r="BQ513" s="18"/>
      <c r="BR513" s="18"/>
      <c r="BS513" s="18"/>
      <c r="BT513" s="18"/>
      <c r="BU513" s="18"/>
      <c r="BV513" s="125" t="s">
        <v>2289</v>
      </c>
      <c r="BW513" s="125" t="s">
        <v>2290</v>
      </c>
      <c r="BX513" s="125" t="s">
        <v>2291</v>
      </c>
      <c r="BY513" s="125">
        <v>70305766</v>
      </c>
      <c r="BZ513" s="125">
        <v>10703057662</v>
      </c>
      <c r="CA513" s="126">
        <v>6000</v>
      </c>
      <c r="CB513" s="289">
        <v>46175</v>
      </c>
      <c r="CC513" s="289">
        <v>46203</v>
      </c>
      <c r="CD513" s="759"/>
      <c r="CE513" s="177">
        <f t="shared" si="661"/>
        <v>30</v>
      </c>
      <c r="CF513" s="1019">
        <f t="shared" si="662"/>
        <v>6000</v>
      </c>
      <c r="CG513" s="177"/>
      <c r="CH513" s="1019">
        <f t="shared" si="663"/>
        <v>0</v>
      </c>
      <c r="CI513" s="177"/>
      <c r="CJ513" s="1019">
        <f t="shared" si="664"/>
        <v>0</v>
      </c>
      <c r="CK513" s="177">
        <f t="shared" si="665"/>
        <v>6000</v>
      </c>
      <c r="CL513" s="177">
        <f t="shared" si="666"/>
        <v>6000</v>
      </c>
      <c r="CM513" s="1006"/>
      <c r="CN513" s="177">
        <f t="shared" si="667"/>
        <v>30</v>
      </c>
      <c r="CO513" s="1019">
        <f t="shared" si="668"/>
        <v>6000</v>
      </c>
      <c r="CP513" s="177">
        <v>29</v>
      </c>
      <c r="CQ513" s="1019">
        <f t="shared" si="669"/>
        <v>5800</v>
      </c>
      <c r="CR513" s="177">
        <v>29</v>
      </c>
      <c r="CS513" s="1019">
        <f t="shared" si="670"/>
        <v>5800</v>
      </c>
      <c r="CT513" s="1040">
        <f t="shared" si="671"/>
        <v>200</v>
      </c>
      <c r="CU513" s="177">
        <f t="shared" si="672"/>
        <v>200</v>
      </c>
      <c r="CV513" s="1006"/>
      <c r="CW513" s="177">
        <f t="shared" si="673"/>
        <v>12000</v>
      </c>
      <c r="CX513" s="1019">
        <f t="shared" si="674"/>
        <v>5800</v>
      </c>
      <c r="CY513" s="177">
        <f t="shared" si="675"/>
        <v>5800</v>
      </c>
      <c r="CZ513" s="1019">
        <f t="shared" si="676"/>
        <v>6200</v>
      </c>
      <c r="DA513" s="177">
        <f t="shared" si="677"/>
        <v>6200</v>
      </c>
      <c r="DB513" s="126"/>
      <c r="DC513" s="125"/>
    </row>
    <row r="514" spans="1:107" ht="51" hidden="1" x14ac:dyDescent="0.25">
      <c r="A514" s="19">
        <v>2026</v>
      </c>
      <c r="B514" s="20">
        <v>479</v>
      </c>
      <c r="C514" s="21" t="s">
        <v>64</v>
      </c>
      <c r="D514" s="21" t="s">
        <v>65</v>
      </c>
      <c r="E514" s="20">
        <v>125</v>
      </c>
      <c r="F514" s="20">
        <v>3000654</v>
      </c>
      <c r="G514" s="20">
        <v>5005023</v>
      </c>
      <c r="H514" s="20">
        <v>3</v>
      </c>
      <c r="I514" s="20">
        <v>12</v>
      </c>
      <c r="J514" s="20">
        <v>24</v>
      </c>
      <c r="K514" s="20">
        <v>135560</v>
      </c>
      <c r="L514" s="21" t="s">
        <v>220</v>
      </c>
      <c r="M514" s="33" t="s">
        <v>221</v>
      </c>
      <c r="N514" s="19">
        <v>97</v>
      </c>
      <c r="O514" s="2"/>
      <c r="P514" s="2" t="s">
        <v>4</v>
      </c>
      <c r="Q514" s="20" t="s">
        <v>68</v>
      </c>
      <c r="R514" s="25" t="s">
        <v>69</v>
      </c>
      <c r="S514" s="41" t="s">
        <v>137</v>
      </c>
      <c r="T514" s="41"/>
      <c r="U514" s="31" t="s">
        <v>348</v>
      </c>
      <c r="V514" s="25" t="s">
        <v>3</v>
      </c>
      <c r="W514" s="25">
        <v>1</v>
      </c>
      <c r="X514" s="595">
        <v>6000</v>
      </c>
      <c r="Y514" s="619"/>
      <c r="Z514" s="2"/>
      <c r="AA514" s="2"/>
      <c r="AB514" s="620"/>
      <c r="AC514" s="25">
        <v>30</v>
      </c>
      <c r="AD514" s="25">
        <v>30</v>
      </c>
      <c r="AE514" s="619"/>
      <c r="AF514" s="2"/>
      <c r="AG514" s="2"/>
      <c r="AH514" s="2"/>
      <c r="AI514" s="2"/>
      <c r="AJ514" s="621"/>
      <c r="AK514" s="596">
        <v>12000</v>
      </c>
      <c r="AL514" s="29" t="s">
        <v>73</v>
      </c>
      <c r="AM514" s="29" t="s">
        <v>73</v>
      </c>
      <c r="AN514" s="29" t="s">
        <v>73</v>
      </c>
      <c r="AO514" s="29" t="s">
        <v>73</v>
      </c>
      <c r="AP514" s="478">
        <v>6000</v>
      </c>
      <c r="AQ514" s="478">
        <v>6000</v>
      </c>
      <c r="AR514" s="29" t="s">
        <v>73</v>
      </c>
      <c r="AS514" s="29" t="s">
        <v>73</v>
      </c>
      <c r="AT514" s="29" t="s">
        <v>73</v>
      </c>
      <c r="AU514" s="29" t="s">
        <v>73</v>
      </c>
      <c r="AV514" s="29" t="s">
        <v>73</v>
      </c>
      <c r="AW514" s="29" t="s">
        <v>73</v>
      </c>
      <c r="AX514" s="30">
        <v>12000</v>
      </c>
      <c r="AY514" s="479" t="s">
        <v>6</v>
      </c>
      <c r="AZ514" s="2" t="s">
        <v>74</v>
      </c>
      <c r="BA514" s="2"/>
      <c r="BK514" s="125" t="s">
        <v>790</v>
      </c>
      <c r="BL514" s="481" t="s">
        <v>791</v>
      </c>
      <c r="BM514" s="125" t="s">
        <v>1998</v>
      </c>
      <c r="BN514" s="177" t="s">
        <v>1999</v>
      </c>
      <c r="BO514" s="125" t="s">
        <v>2000</v>
      </c>
      <c r="BP514" s="129">
        <v>46134</v>
      </c>
      <c r="BQ514" s="18"/>
      <c r="BR514" s="505" t="s">
        <v>2292</v>
      </c>
      <c r="BS514" s="18"/>
      <c r="BT514" s="656" t="s">
        <v>2002</v>
      </c>
      <c r="BU514" s="947" t="s">
        <v>1841</v>
      </c>
      <c r="BV514" s="125" t="s">
        <v>2293</v>
      </c>
      <c r="BW514" s="125" t="s">
        <v>1148</v>
      </c>
      <c r="BX514" s="125" t="s">
        <v>2294</v>
      </c>
      <c r="BY514" s="125">
        <v>40664846</v>
      </c>
      <c r="BZ514" s="125">
        <v>10406648465</v>
      </c>
      <c r="CA514" s="126">
        <v>6000</v>
      </c>
      <c r="CB514" s="289">
        <v>46143</v>
      </c>
      <c r="CC514" s="289">
        <v>46203</v>
      </c>
      <c r="CD514" s="759"/>
      <c r="CE514" s="177">
        <f t="shared" si="661"/>
        <v>30</v>
      </c>
      <c r="CF514" s="1019">
        <f t="shared" si="662"/>
        <v>6000</v>
      </c>
      <c r="CG514" s="177">
        <v>30</v>
      </c>
      <c r="CH514" s="1019">
        <f t="shared" si="663"/>
        <v>6000</v>
      </c>
      <c r="CI514" s="177">
        <v>30</v>
      </c>
      <c r="CJ514" s="1019">
        <f t="shared" si="664"/>
        <v>6000</v>
      </c>
      <c r="CK514" s="177">
        <f t="shared" si="665"/>
        <v>0</v>
      </c>
      <c r="CL514" s="177">
        <f t="shared" si="666"/>
        <v>0</v>
      </c>
      <c r="CM514" s="1006"/>
      <c r="CN514" s="177">
        <f t="shared" si="667"/>
        <v>30</v>
      </c>
      <c r="CO514" s="1019">
        <f t="shared" si="668"/>
        <v>6000</v>
      </c>
      <c r="CP514" s="177">
        <v>30</v>
      </c>
      <c r="CQ514" s="1019">
        <f t="shared" si="669"/>
        <v>6000</v>
      </c>
      <c r="CR514" s="1019">
        <v>30</v>
      </c>
      <c r="CS514" s="1019">
        <f t="shared" si="670"/>
        <v>6000</v>
      </c>
      <c r="CT514" s="177">
        <f t="shared" si="671"/>
        <v>0</v>
      </c>
      <c r="CU514" s="177">
        <f t="shared" si="672"/>
        <v>0</v>
      </c>
      <c r="CV514" s="1006"/>
      <c r="CW514" s="177">
        <f t="shared" si="673"/>
        <v>12000</v>
      </c>
      <c r="CX514" s="1019">
        <f t="shared" si="674"/>
        <v>12000</v>
      </c>
      <c r="CY514" s="177">
        <f t="shared" si="675"/>
        <v>12000</v>
      </c>
      <c r="CZ514" s="1019">
        <f t="shared" si="676"/>
        <v>0</v>
      </c>
      <c r="DA514" s="177">
        <f t="shared" si="677"/>
        <v>0</v>
      </c>
      <c r="DB514" s="126"/>
      <c r="DC514" s="125"/>
    </row>
    <row r="515" spans="1:107" ht="51" hidden="1" x14ac:dyDescent="0.25">
      <c r="A515" s="19">
        <v>2026</v>
      </c>
      <c r="B515" s="20">
        <v>479</v>
      </c>
      <c r="C515" s="21" t="s">
        <v>64</v>
      </c>
      <c r="D515" s="21" t="s">
        <v>65</v>
      </c>
      <c r="E515" s="20">
        <v>125</v>
      </c>
      <c r="F515" s="20">
        <v>3000654</v>
      </c>
      <c r="G515" s="20">
        <v>5005023</v>
      </c>
      <c r="H515" s="20">
        <v>3</v>
      </c>
      <c r="I515" s="20">
        <v>12</v>
      </c>
      <c r="J515" s="20">
        <v>24</v>
      </c>
      <c r="K515" s="20">
        <v>135560</v>
      </c>
      <c r="L515" s="21" t="s">
        <v>220</v>
      </c>
      <c r="M515" s="33" t="s">
        <v>221</v>
      </c>
      <c r="N515" s="19">
        <v>97</v>
      </c>
      <c r="O515" s="2"/>
      <c r="P515" s="2" t="s">
        <v>4</v>
      </c>
      <c r="Q515" s="20" t="s">
        <v>68</v>
      </c>
      <c r="R515" s="25" t="s">
        <v>69</v>
      </c>
      <c r="S515" s="41" t="s">
        <v>137</v>
      </c>
      <c r="T515" s="41"/>
      <c r="U515" s="31" t="s">
        <v>349</v>
      </c>
      <c r="V515" s="25" t="s">
        <v>3</v>
      </c>
      <c r="W515" s="25">
        <v>1</v>
      </c>
      <c r="X515" s="595">
        <v>6000</v>
      </c>
      <c r="Y515" s="619"/>
      <c r="Z515" s="2"/>
      <c r="AA515" s="2"/>
      <c r="AB515" s="620"/>
      <c r="AC515" s="25">
        <v>30</v>
      </c>
      <c r="AD515" s="25">
        <v>30</v>
      </c>
      <c r="AE515" s="619"/>
      <c r="AF515" s="2"/>
      <c r="AG515" s="2"/>
      <c r="AH515" s="2"/>
      <c r="AI515" s="2"/>
      <c r="AJ515" s="621"/>
      <c r="AK515" s="596">
        <v>12000</v>
      </c>
      <c r="AL515" s="29" t="s">
        <v>73</v>
      </c>
      <c r="AM515" s="29" t="s">
        <v>73</v>
      </c>
      <c r="AN515" s="29" t="s">
        <v>73</v>
      </c>
      <c r="AO515" s="29" t="s">
        <v>73</v>
      </c>
      <c r="AP515" s="478">
        <v>6000</v>
      </c>
      <c r="AQ515" s="478">
        <v>6000</v>
      </c>
      <c r="AR515" s="29" t="s">
        <v>73</v>
      </c>
      <c r="AS515" s="29" t="s">
        <v>73</v>
      </c>
      <c r="AT515" s="29" t="s">
        <v>73</v>
      </c>
      <c r="AU515" s="29" t="s">
        <v>73</v>
      </c>
      <c r="AV515" s="29" t="s">
        <v>73</v>
      </c>
      <c r="AW515" s="29" t="s">
        <v>73</v>
      </c>
      <c r="AX515" s="30">
        <v>12000</v>
      </c>
      <c r="AY515" s="479" t="s">
        <v>6</v>
      </c>
      <c r="AZ515" s="2" t="s">
        <v>74</v>
      </c>
      <c r="BA515" s="2"/>
      <c r="BK515" s="125" t="s">
        <v>790</v>
      </c>
      <c r="BL515" s="481" t="s">
        <v>791</v>
      </c>
      <c r="BM515" s="125" t="s">
        <v>1998</v>
      </c>
      <c r="BN515" s="177" t="s">
        <v>1999</v>
      </c>
      <c r="BO515" s="125" t="s">
        <v>2000</v>
      </c>
      <c r="BP515" s="129">
        <v>46134</v>
      </c>
      <c r="BQ515" s="18"/>
      <c r="BR515" s="505" t="s">
        <v>2295</v>
      </c>
      <c r="BS515" s="18"/>
      <c r="BT515" s="656" t="s">
        <v>2002</v>
      </c>
      <c r="BU515" s="947" t="s">
        <v>1841</v>
      </c>
      <c r="BV515" s="125" t="s">
        <v>2296</v>
      </c>
      <c r="BW515" s="125" t="s">
        <v>1758</v>
      </c>
      <c r="BX515" s="125" t="s">
        <v>2297</v>
      </c>
      <c r="BY515" s="125">
        <v>46312677</v>
      </c>
      <c r="BZ515" s="125">
        <v>10463126777</v>
      </c>
      <c r="CA515" s="126">
        <v>6000</v>
      </c>
      <c r="CB515" s="289">
        <v>46143</v>
      </c>
      <c r="CC515" s="289">
        <v>46203</v>
      </c>
      <c r="CD515" s="759"/>
      <c r="CE515" s="177">
        <f t="shared" ref="CE515:CE588" si="689">AC515</f>
        <v>30</v>
      </c>
      <c r="CF515" s="1019">
        <f t="shared" ref="CF515:CF588" si="690">AP515</f>
        <v>6000</v>
      </c>
      <c r="CG515" s="177">
        <v>30</v>
      </c>
      <c r="CH515" s="1019">
        <f t="shared" ref="CH515:CH588" si="691">(X515/30)*CG515</f>
        <v>6000</v>
      </c>
      <c r="CI515" s="177">
        <v>30</v>
      </c>
      <c r="CJ515" s="1019">
        <f t="shared" ref="CJ515:CJ588" si="692">(X515/30)*CI515</f>
        <v>6000</v>
      </c>
      <c r="CK515" s="177">
        <f t="shared" ref="CK515:CK588" si="693">CF515-CH515</f>
        <v>0</v>
      </c>
      <c r="CL515" s="177">
        <f t="shared" ref="CL515:CL588" si="694">CF515-CJ515</f>
        <v>0</v>
      </c>
      <c r="CM515" s="1006"/>
      <c r="CN515" s="177">
        <f t="shared" ref="CN515:CN588" si="695">AD515</f>
        <v>30</v>
      </c>
      <c r="CO515" s="1019">
        <f t="shared" ref="CO515:CO588" si="696">AQ515</f>
        <v>6000</v>
      </c>
      <c r="CP515" s="177">
        <v>30</v>
      </c>
      <c r="CQ515" s="1019">
        <f t="shared" ref="CQ515:CQ588" si="697">(X515/30)*CP515</f>
        <v>6000</v>
      </c>
      <c r="CR515" s="1019">
        <v>30</v>
      </c>
      <c r="CS515" s="1019">
        <f t="shared" ref="CS515:CS588" si="698">(X515/30)*CR515</f>
        <v>6000</v>
      </c>
      <c r="CT515" s="177">
        <f t="shared" ref="CT515:CT588" si="699">CO515-CQ515</f>
        <v>0</v>
      </c>
      <c r="CU515" s="177">
        <f t="shared" ref="CU515:CU588" si="700">CO515-CS515</f>
        <v>0</v>
      </c>
      <c r="CV515" s="1006"/>
      <c r="CW515" s="177">
        <f t="shared" si="673"/>
        <v>12000</v>
      </c>
      <c r="CX515" s="1019">
        <f t="shared" si="674"/>
        <v>12000</v>
      </c>
      <c r="CY515" s="177">
        <f t="shared" si="675"/>
        <v>12000</v>
      </c>
      <c r="CZ515" s="1019">
        <f t="shared" si="676"/>
        <v>0</v>
      </c>
      <c r="DA515" s="177">
        <f t="shared" si="677"/>
        <v>0</v>
      </c>
      <c r="DB515" s="126"/>
      <c r="DC515" s="125"/>
    </row>
    <row r="516" spans="1:107" ht="51" hidden="1" x14ac:dyDescent="0.25">
      <c r="A516" s="19">
        <v>2026</v>
      </c>
      <c r="B516" s="20">
        <v>479</v>
      </c>
      <c r="C516" s="21" t="s">
        <v>64</v>
      </c>
      <c r="D516" s="21" t="s">
        <v>65</v>
      </c>
      <c r="E516" s="20">
        <v>125</v>
      </c>
      <c r="F516" s="20">
        <v>3000654</v>
      </c>
      <c r="G516" s="20">
        <v>5005023</v>
      </c>
      <c r="H516" s="20">
        <v>3</v>
      </c>
      <c r="I516" s="20">
        <v>12</v>
      </c>
      <c r="J516" s="20">
        <v>24</v>
      </c>
      <c r="K516" s="20">
        <v>135560</v>
      </c>
      <c r="L516" s="21" t="s">
        <v>220</v>
      </c>
      <c r="M516" s="33" t="s">
        <v>221</v>
      </c>
      <c r="N516" s="19">
        <v>97</v>
      </c>
      <c r="O516" s="2"/>
      <c r="P516" s="2" t="s">
        <v>4</v>
      </c>
      <c r="Q516" s="20" t="s">
        <v>68</v>
      </c>
      <c r="R516" s="25" t="s">
        <v>69</v>
      </c>
      <c r="S516" s="41" t="s">
        <v>137</v>
      </c>
      <c r="T516" s="41"/>
      <c r="U516" s="31" t="s">
        <v>350</v>
      </c>
      <c r="V516" s="25" t="s">
        <v>3</v>
      </c>
      <c r="W516" s="25">
        <v>1</v>
      </c>
      <c r="X516" s="595">
        <v>10000</v>
      </c>
      <c r="Y516" s="619"/>
      <c r="Z516" s="2"/>
      <c r="AA516" s="2"/>
      <c r="AB516" s="620"/>
      <c r="AC516" s="25">
        <v>30</v>
      </c>
      <c r="AD516" s="25">
        <v>30</v>
      </c>
      <c r="AE516" s="619"/>
      <c r="AF516" s="2"/>
      <c r="AG516" s="2"/>
      <c r="AH516" s="2"/>
      <c r="AI516" s="2"/>
      <c r="AJ516" s="621"/>
      <c r="AK516" s="596">
        <v>20000</v>
      </c>
      <c r="AL516" s="29" t="s">
        <v>73</v>
      </c>
      <c r="AM516" s="29" t="s">
        <v>73</v>
      </c>
      <c r="AN516" s="29" t="s">
        <v>73</v>
      </c>
      <c r="AO516" s="29" t="s">
        <v>73</v>
      </c>
      <c r="AP516" s="478">
        <v>10000</v>
      </c>
      <c r="AQ516" s="478">
        <v>10000</v>
      </c>
      <c r="AR516" s="29" t="s">
        <v>73</v>
      </c>
      <c r="AS516" s="29" t="s">
        <v>73</v>
      </c>
      <c r="AT516" s="29" t="s">
        <v>73</v>
      </c>
      <c r="AU516" s="29" t="s">
        <v>73</v>
      </c>
      <c r="AV516" s="29" t="s">
        <v>73</v>
      </c>
      <c r="AW516" s="29" t="s">
        <v>73</v>
      </c>
      <c r="AX516" s="30">
        <v>20000</v>
      </c>
      <c r="AY516" s="479" t="s">
        <v>6</v>
      </c>
      <c r="AZ516" s="2" t="s">
        <v>74</v>
      </c>
      <c r="BA516" s="2"/>
      <c r="BK516" s="125" t="s">
        <v>790</v>
      </c>
      <c r="BL516" s="481" t="s">
        <v>791</v>
      </c>
      <c r="BM516" s="125" t="s">
        <v>1998</v>
      </c>
      <c r="BN516" s="177" t="s">
        <v>1999</v>
      </c>
      <c r="BO516" s="125" t="s">
        <v>2000</v>
      </c>
      <c r="BP516" s="129">
        <v>46134</v>
      </c>
      <c r="BQ516" s="18"/>
      <c r="BR516" s="505" t="s">
        <v>2298</v>
      </c>
      <c r="BS516" s="18"/>
      <c r="BT516" s="656" t="s">
        <v>2002</v>
      </c>
      <c r="BU516" s="947" t="s">
        <v>1841</v>
      </c>
      <c r="BV516" s="125" t="s">
        <v>2299</v>
      </c>
      <c r="BW516" s="125" t="s">
        <v>2300</v>
      </c>
      <c r="BX516" s="125" t="s">
        <v>2301</v>
      </c>
      <c r="BY516" s="125">
        <v>77154215</v>
      </c>
      <c r="BZ516" s="125">
        <v>10771542153</v>
      </c>
      <c r="CA516" s="126">
        <v>10000</v>
      </c>
      <c r="CB516" s="289">
        <v>46143</v>
      </c>
      <c r="CC516" s="289">
        <v>46203</v>
      </c>
      <c r="CD516" s="759"/>
      <c r="CE516" s="177">
        <f t="shared" si="689"/>
        <v>30</v>
      </c>
      <c r="CF516" s="1019">
        <f t="shared" si="690"/>
        <v>10000</v>
      </c>
      <c r="CG516" s="177">
        <v>30</v>
      </c>
      <c r="CH516" s="1019">
        <f t="shared" si="691"/>
        <v>10000</v>
      </c>
      <c r="CI516" s="177">
        <v>3</v>
      </c>
      <c r="CJ516" s="1019">
        <v>10000</v>
      </c>
      <c r="CK516" s="177">
        <f t="shared" si="693"/>
        <v>0</v>
      </c>
      <c r="CL516" s="177">
        <f t="shared" si="694"/>
        <v>0</v>
      </c>
      <c r="CM516" s="1006"/>
      <c r="CN516" s="177">
        <f t="shared" si="695"/>
        <v>30</v>
      </c>
      <c r="CO516" s="1019">
        <f t="shared" si="696"/>
        <v>10000</v>
      </c>
      <c r="CP516" s="177">
        <v>30</v>
      </c>
      <c r="CQ516" s="1019">
        <f t="shared" si="697"/>
        <v>10000</v>
      </c>
      <c r="CR516" s="1019">
        <v>30</v>
      </c>
      <c r="CS516" s="1019">
        <f t="shared" si="698"/>
        <v>10000</v>
      </c>
      <c r="CT516" s="177">
        <f t="shared" si="699"/>
        <v>0</v>
      </c>
      <c r="CU516" s="177">
        <f t="shared" si="700"/>
        <v>0</v>
      </c>
      <c r="CV516" s="1006"/>
      <c r="CW516" s="177">
        <f t="shared" si="673"/>
        <v>20000</v>
      </c>
      <c r="CX516" s="1019">
        <f t="shared" si="674"/>
        <v>20000</v>
      </c>
      <c r="CY516" s="177">
        <f t="shared" si="675"/>
        <v>20000</v>
      </c>
      <c r="CZ516" s="1019">
        <f t="shared" si="676"/>
        <v>0</v>
      </c>
      <c r="DA516" s="177">
        <f t="shared" si="677"/>
        <v>0</v>
      </c>
      <c r="DB516" s="126"/>
      <c r="DC516" s="125"/>
    </row>
    <row r="517" spans="1:107" ht="51" hidden="1" x14ac:dyDescent="0.25">
      <c r="A517" s="19">
        <v>2026</v>
      </c>
      <c r="B517" s="20">
        <v>479</v>
      </c>
      <c r="C517" s="21" t="s">
        <v>64</v>
      </c>
      <c r="D517" s="21" t="s">
        <v>65</v>
      </c>
      <c r="E517" s="20">
        <v>125</v>
      </c>
      <c r="F517" s="20">
        <v>3000654</v>
      </c>
      <c r="G517" s="20">
        <v>5005023</v>
      </c>
      <c r="H517" s="20">
        <v>3</v>
      </c>
      <c r="I517" s="20">
        <v>12</v>
      </c>
      <c r="J517" s="20">
        <v>24</v>
      </c>
      <c r="K517" s="20">
        <v>135560</v>
      </c>
      <c r="L517" s="21" t="s">
        <v>220</v>
      </c>
      <c r="M517" s="33" t="s">
        <v>221</v>
      </c>
      <c r="N517" s="19">
        <v>97</v>
      </c>
      <c r="O517" s="2"/>
      <c r="P517" s="2" t="s">
        <v>4</v>
      </c>
      <c r="Q517" s="20" t="s">
        <v>68</v>
      </c>
      <c r="R517" s="25" t="s">
        <v>69</v>
      </c>
      <c r="S517" s="41" t="s">
        <v>137</v>
      </c>
      <c r="T517" s="41"/>
      <c r="U517" s="31" t="s">
        <v>351</v>
      </c>
      <c r="V517" s="25" t="s">
        <v>3</v>
      </c>
      <c r="W517" s="25">
        <v>1</v>
      </c>
      <c r="X517" s="595">
        <v>10000</v>
      </c>
      <c r="Y517" s="619"/>
      <c r="Z517" s="2"/>
      <c r="AA517" s="2"/>
      <c r="AB517" s="620"/>
      <c r="AC517" s="25">
        <v>30</v>
      </c>
      <c r="AD517" s="25">
        <v>30</v>
      </c>
      <c r="AE517" s="619"/>
      <c r="AF517" s="2"/>
      <c r="AG517" s="2"/>
      <c r="AH517" s="2"/>
      <c r="AI517" s="2"/>
      <c r="AJ517" s="621"/>
      <c r="AK517" s="596">
        <v>20000</v>
      </c>
      <c r="AL517" s="29" t="s">
        <v>73</v>
      </c>
      <c r="AM517" s="29" t="s">
        <v>73</v>
      </c>
      <c r="AN517" s="29" t="s">
        <v>73</v>
      </c>
      <c r="AO517" s="29" t="s">
        <v>73</v>
      </c>
      <c r="AP517" s="478">
        <v>10000</v>
      </c>
      <c r="AQ517" s="478">
        <v>10000</v>
      </c>
      <c r="AR517" s="29" t="s">
        <v>73</v>
      </c>
      <c r="AS517" s="29" t="s">
        <v>73</v>
      </c>
      <c r="AT517" s="29" t="s">
        <v>73</v>
      </c>
      <c r="AU517" s="29" t="s">
        <v>73</v>
      </c>
      <c r="AV517" s="29" t="s">
        <v>73</v>
      </c>
      <c r="AW517" s="29" t="s">
        <v>73</v>
      </c>
      <c r="AX517" s="30">
        <v>20000</v>
      </c>
      <c r="AY517" s="479" t="s">
        <v>6</v>
      </c>
      <c r="AZ517" s="2" t="s">
        <v>74</v>
      </c>
      <c r="BA517" s="2"/>
      <c r="BK517" s="125" t="s">
        <v>790</v>
      </c>
      <c r="BL517" s="481" t="s">
        <v>791</v>
      </c>
      <c r="BM517" s="125" t="s">
        <v>1998</v>
      </c>
      <c r="BN517" s="177" t="s">
        <v>1999</v>
      </c>
      <c r="BO517" s="125" t="s">
        <v>2000</v>
      </c>
      <c r="BP517" s="129">
        <v>46134</v>
      </c>
      <c r="BQ517" s="18"/>
      <c r="BR517" s="505" t="s">
        <v>2302</v>
      </c>
      <c r="BS517" s="18"/>
      <c r="BT517" s="656" t="s">
        <v>2002</v>
      </c>
      <c r="BU517" s="947" t="s">
        <v>1841</v>
      </c>
      <c r="BV517" s="125" t="s">
        <v>2303</v>
      </c>
      <c r="BW517" s="125" t="s">
        <v>2009</v>
      </c>
      <c r="BX517" s="125" t="s">
        <v>2304</v>
      </c>
      <c r="BY517" s="125">
        <v>25705517</v>
      </c>
      <c r="BZ517" s="125">
        <v>10257055171</v>
      </c>
      <c r="CA517" s="126">
        <v>10000</v>
      </c>
      <c r="CB517" s="289">
        <v>46143</v>
      </c>
      <c r="CC517" s="289">
        <v>46203</v>
      </c>
      <c r="CD517" s="759"/>
      <c r="CE517" s="177">
        <f t="shared" si="689"/>
        <v>30</v>
      </c>
      <c r="CF517" s="1019">
        <f t="shared" si="690"/>
        <v>10000</v>
      </c>
      <c r="CG517" s="177">
        <v>30</v>
      </c>
      <c r="CH517" s="1019">
        <f t="shared" si="691"/>
        <v>10000</v>
      </c>
      <c r="CI517" s="177">
        <v>30</v>
      </c>
      <c r="CJ517" s="1019">
        <f t="shared" si="692"/>
        <v>10000</v>
      </c>
      <c r="CK517" s="177">
        <f t="shared" si="693"/>
        <v>0</v>
      </c>
      <c r="CL517" s="177">
        <f t="shared" si="694"/>
        <v>0</v>
      </c>
      <c r="CM517" s="1006"/>
      <c r="CN517" s="177">
        <f t="shared" si="695"/>
        <v>30</v>
      </c>
      <c r="CO517" s="1019">
        <f t="shared" si="696"/>
        <v>10000</v>
      </c>
      <c r="CP517" s="177">
        <v>30</v>
      </c>
      <c r="CQ517" s="1019">
        <f t="shared" si="697"/>
        <v>10000</v>
      </c>
      <c r="CR517" s="1019">
        <v>30</v>
      </c>
      <c r="CS517" s="1019">
        <f t="shared" si="698"/>
        <v>10000</v>
      </c>
      <c r="CT517" s="177">
        <f t="shared" si="699"/>
        <v>0</v>
      </c>
      <c r="CU517" s="177">
        <f t="shared" si="700"/>
        <v>0</v>
      </c>
      <c r="CV517" s="1006"/>
      <c r="CW517" s="177">
        <f t="shared" si="673"/>
        <v>20000</v>
      </c>
      <c r="CX517" s="1019">
        <f t="shared" si="674"/>
        <v>20000</v>
      </c>
      <c r="CY517" s="177">
        <f t="shared" si="675"/>
        <v>20000</v>
      </c>
      <c r="CZ517" s="1019">
        <f t="shared" si="676"/>
        <v>0</v>
      </c>
      <c r="DA517" s="177">
        <f t="shared" si="677"/>
        <v>0</v>
      </c>
      <c r="DB517" s="126"/>
      <c r="DC517" s="125"/>
    </row>
    <row r="518" spans="1:107" ht="51" hidden="1" x14ac:dyDescent="0.25">
      <c r="A518" s="19">
        <v>2026</v>
      </c>
      <c r="B518" s="20">
        <v>479</v>
      </c>
      <c r="C518" s="21" t="s">
        <v>64</v>
      </c>
      <c r="D518" s="21" t="s">
        <v>65</v>
      </c>
      <c r="E518" s="20">
        <v>125</v>
      </c>
      <c r="F518" s="20">
        <v>3000654</v>
      </c>
      <c r="G518" s="20">
        <v>5005023</v>
      </c>
      <c r="H518" s="20">
        <v>3</v>
      </c>
      <c r="I518" s="20">
        <v>12</v>
      </c>
      <c r="J518" s="20">
        <v>24</v>
      </c>
      <c r="K518" s="20">
        <v>135560</v>
      </c>
      <c r="L518" s="21" t="s">
        <v>220</v>
      </c>
      <c r="M518" s="33" t="s">
        <v>221</v>
      </c>
      <c r="N518" s="19">
        <v>97</v>
      </c>
      <c r="O518" s="2"/>
      <c r="P518" s="2" t="s">
        <v>4</v>
      </c>
      <c r="Q518" s="20" t="s">
        <v>68</v>
      </c>
      <c r="R518" s="25" t="s">
        <v>69</v>
      </c>
      <c r="S518" s="41" t="s">
        <v>137</v>
      </c>
      <c r="T518" s="41"/>
      <c r="U518" s="31" t="s">
        <v>352</v>
      </c>
      <c r="V518" s="25" t="s">
        <v>3</v>
      </c>
      <c r="W518" s="25">
        <v>1</v>
      </c>
      <c r="X518" s="595">
        <v>10000</v>
      </c>
      <c r="Y518" s="619"/>
      <c r="Z518" s="2"/>
      <c r="AA518" s="2"/>
      <c r="AB518" s="620"/>
      <c r="AC518" s="25">
        <v>30</v>
      </c>
      <c r="AD518" s="25">
        <v>30</v>
      </c>
      <c r="AE518" s="619"/>
      <c r="AF518" s="2"/>
      <c r="AG518" s="2"/>
      <c r="AH518" s="2"/>
      <c r="AI518" s="2"/>
      <c r="AJ518" s="621"/>
      <c r="AK518" s="596">
        <v>20000</v>
      </c>
      <c r="AL518" s="29" t="s">
        <v>73</v>
      </c>
      <c r="AM518" s="29" t="s">
        <v>73</v>
      </c>
      <c r="AN518" s="29" t="s">
        <v>73</v>
      </c>
      <c r="AO518" s="29" t="s">
        <v>73</v>
      </c>
      <c r="AP518" s="478">
        <v>10000</v>
      </c>
      <c r="AQ518" s="478">
        <v>10000</v>
      </c>
      <c r="AR518" s="29" t="s">
        <v>73</v>
      </c>
      <c r="AS518" s="29" t="s">
        <v>73</v>
      </c>
      <c r="AT518" s="29" t="s">
        <v>73</v>
      </c>
      <c r="AU518" s="29" t="s">
        <v>73</v>
      </c>
      <c r="AV518" s="29" t="s">
        <v>73</v>
      </c>
      <c r="AW518" s="29" t="s">
        <v>73</v>
      </c>
      <c r="AX518" s="30">
        <v>20000</v>
      </c>
      <c r="AY518" s="479" t="s">
        <v>6</v>
      </c>
      <c r="AZ518" s="2" t="s">
        <v>74</v>
      </c>
      <c r="BA518" s="2"/>
      <c r="BK518" s="125" t="s">
        <v>790</v>
      </c>
      <c r="BL518" s="481" t="s">
        <v>791</v>
      </c>
      <c r="BM518" s="125" t="s">
        <v>1998</v>
      </c>
      <c r="BN518" s="177" t="s">
        <v>1999</v>
      </c>
      <c r="BO518" s="125" t="s">
        <v>2000</v>
      </c>
      <c r="BP518" s="129">
        <v>46134</v>
      </c>
      <c r="BQ518" s="18"/>
      <c r="BR518" s="505" t="s">
        <v>2305</v>
      </c>
      <c r="BS518" s="18"/>
      <c r="BT518" s="656" t="s">
        <v>2002</v>
      </c>
      <c r="BU518" s="947" t="s">
        <v>1841</v>
      </c>
      <c r="BV518" s="125" t="s">
        <v>2306</v>
      </c>
      <c r="BW518" s="125" t="s">
        <v>2307</v>
      </c>
      <c r="BX518" s="125" t="s">
        <v>989</v>
      </c>
      <c r="BY518" s="125">
        <v>72873519</v>
      </c>
      <c r="BZ518" s="125">
        <v>10728735193</v>
      </c>
      <c r="CA518" s="126">
        <v>10000</v>
      </c>
      <c r="CB518" s="289">
        <v>46143</v>
      </c>
      <c r="CC518" s="289">
        <v>46203</v>
      </c>
      <c r="CD518" s="759"/>
      <c r="CE518" s="177">
        <f t="shared" si="689"/>
        <v>30</v>
      </c>
      <c r="CF518" s="1019">
        <f t="shared" si="690"/>
        <v>10000</v>
      </c>
      <c r="CG518" s="177">
        <v>30</v>
      </c>
      <c r="CH518" s="1019">
        <f t="shared" si="691"/>
        <v>10000</v>
      </c>
      <c r="CI518" s="177">
        <v>30</v>
      </c>
      <c r="CJ518" s="1019">
        <f t="shared" si="692"/>
        <v>10000</v>
      </c>
      <c r="CK518" s="177">
        <f t="shared" si="693"/>
        <v>0</v>
      </c>
      <c r="CL518" s="177">
        <f t="shared" si="694"/>
        <v>0</v>
      </c>
      <c r="CM518" s="1006"/>
      <c r="CN518" s="177">
        <f t="shared" si="695"/>
        <v>30</v>
      </c>
      <c r="CO518" s="1019">
        <f t="shared" si="696"/>
        <v>10000</v>
      </c>
      <c r="CP518" s="177">
        <v>30</v>
      </c>
      <c r="CQ518" s="1019">
        <f t="shared" si="697"/>
        <v>10000</v>
      </c>
      <c r="CR518" s="1019">
        <v>30</v>
      </c>
      <c r="CS518" s="1019">
        <f t="shared" si="698"/>
        <v>10000</v>
      </c>
      <c r="CT518" s="177">
        <f t="shared" si="699"/>
        <v>0</v>
      </c>
      <c r="CU518" s="177">
        <f t="shared" si="700"/>
        <v>0</v>
      </c>
      <c r="CV518" s="1006"/>
      <c r="CW518" s="177">
        <f t="shared" si="673"/>
        <v>20000</v>
      </c>
      <c r="CX518" s="1019">
        <f t="shared" si="674"/>
        <v>20000</v>
      </c>
      <c r="CY518" s="177">
        <f t="shared" si="675"/>
        <v>20000</v>
      </c>
      <c r="CZ518" s="1019">
        <f t="shared" si="676"/>
        <v>0</v>
      </c>
      <c r="DA518" s="177">
        <f t="shared" si="677"/>
        <v>0</v>
      </c>
      <c r="DB518" s="126"/>
      <c r="DC518" s="125"/>
    </row>
    <row r="519" spans="1:107" ht="51" hidden="1" x14ac:dyDescent="0.25">
      <c r="A519" s="19">
        <v>2026</v>
      </c>
      <c r="B519" s="20">
        <v>479</v>
      </c>
      <c r="C519" s="21" t="s">
        <v>64</v>
      </c>
      <c r="D519" s="21" t="s">
        <v>65</v>
      </c>
      <c r="E519" s="20">
        <v>125</v>
      </c>
      <c r="F519" s="20">
        <v>3000654</v>
      </c>
      <c r="G519" s="20">
        <v>5005023</v>
      </c>
      <c r="H519" s="20">
        <v>3</v>
      </c>
      <c r="I519" s="20">
        <v>12</v>
      </c>
      <c r="J519" s="20">
        <v>24</v>
      </c>
      <c r="K519" s="20">
        <v>135560</v>
      </c>
      <c r="L519" s="21" t="s">
        <v>98</v>
      </c>
      <c r="M519" s="33" t="s">
        <v>99</v>
      </c>
      <c r="N519" s="19">
        <v>94</v>
      </c>
      <c r="O519" s="2"/>
      <c r="P519" s="2" t="s">
        <v>4</v>
      </c>
      <c r="Q519" s="20" t="s">
        <v>68</v>
      </c>
      <c r="R519" s="25" t="s">
        <v>69</v>
      </c>
      <c r="S519" s="41" t="s">
        <v>137</v>
      </c>
      <c r="T519" s="41"/>
      <c r="U519" s="31" t="s">
        <v>353</v>
      </c>
      <c r="V519" s="25" t="s">
        <v>3</v>
      </c>
      <c r="W519" s="25">
        <v>1</v>
      </c>
      <c r="X519" s="595">
        <v>9000</v>
      </c>
      <c r="Y519" s="619"/>
      <c r="Z519" s="2"/>
      <c r="AA519" s="2"/>
      <c r="AB519" s="620"/>
      <c r="AC519" s="25">
        <v>30</v>
      </c>
      <c r="AD519" s="25">
        <v>0</v>
      </c>
      <c r="AE519" s="619"/>
      <c r="AF519" s="2"/>
      <c r="AG519" s="2"/>
      <c r="AH519" s="2"/>
      <c r="AI519" s="2"/>
      <c r="AJ519" s="621"/>
      <c r="AK519" s="596">
        <v>9000</v>
      </c>
      <c r="AL519" s="29" t="s">
        <v>73</v>
      </c>
      <c r="AM519" s="29" t="s">
        <v>73</v>
      </c>
      <c r="AN519" s="29" t="s">
        <v>73</v>
      </c>
      <c r="AO519" s="29" t="s">
        <v>73</v>
      </c>
      <c r="AP519" s="478">
        <v>9000</v>
      </c>
      <c r="AQ519" s="648">
        <v>0</v>
      </c>
      <c r="AR519" s="29" t="s">
        <v>73</v>
      </c>
      <c r="AS519" s="29" t="s">
        <v>73</v>
      </c>
      <c r="AT519" s="29" t="s">
        <v>73</v>
      </c>
      <c r="AU519" s="29" t="s">
        <v>73</v>
      </c>
      <c r="AV519" s="29" t="s">
        <v>73</v>
      </c>
      <c r="AW519" s="29" t="s">
        <v>73</v>
      </c>
      <c r="AX519" s="30">
        <v>9000</v>
      </c>
      <c r="AY519" s="165" t="s">
        <v>6</v>
      </c>
      <c r="AZ519" s="2" t="s">
        <v>74</v>
      </c>
      <c r="BA519" s="2"/>
      <c r="BK519" s="147" t="s">
        <v>790</v>
      </c>
      <c r="BL519" s="481" t="s">
        <v>791</v>
      </c>
      <c r="BM519" s="125" t="s">
        <v>1998</v>
      </c>
      <c r="BN519" s="177" t="s">
        <v>1999</v>
      </c>
      <c r="BO519" s="125" t="s">
        <v>2000</v>
      </c>
      <c r="BP519" s="129">
        <v>46134</v>
      </c>
      <c r="BQ519" s="18"/>
      <c r="BR519" s="505" t="s">
        <v>2308</v>
      </c>
      <c r="BS519" s="18"/>
      <c r="BT519" s="656" t="s">
        <v>2002</v>
      </c>
      <c r="BU519" s="18"/>
      <c r="BV519" s="125" t="s">
        <v>822</v>
      </c>
      <c r="BW519" s="125" t="s">
        <v>871</v>
      </c>
      <c r="BX519" s="125" t="s">
        <v>2309</v>
      </c>
      <c r="BY519" s="125">
        <v>47816158</v>
      </c>
      <c r="BZ519" s="125">
        <v>10478161587</v>
      </c>
      <c r="CA519" s="126">
        <v>9000</v>
      </c>
      <c r="CB519" s="289">
        <v>46143</v>
      </c>
      <c r="CC519" s="289">
        <v>46173</v>
      </c>
      <c r="CD519" s="759"/>
      <c r="CE519" s="177">
        <f t="shared" si="689"/>
        <v>30</v>
      </c>
      <c r="CF519" s="1019">
        <f t="shared" si="690"/>
        <v>9000</v>
      </c>
      <c r="CG519" s="177">
        <v>30</v>
      </c>
      <c r="CH519" s="1019">
        <f t="shared" si="691"/>
        <v>9000</v>
      </c>
      <c r="CI519" s="177">
        <v>30</v>
      </c>
      <c r="CJ519" s="1019">
        <f t="shared" si="692"/>
        <v>9000</v>
      </c>
      <c r="CK519" s="177">
        <f t="shared" si="693"/>
        <v>0</v>
      </c>
      <c r="CL519" s="177">
        <f t="shared" si="694"/>
        <v>0</v>
      </c>
      <c r="CM519" s="1006"/>
      <c r="CN519" s="177">
        <f t="shared" si="695"/>
        <v>0</v>
      </c>
      <c r="CO519" s="1019">
        <f t="shared" si="696"/>
        <v>0</v>
      </c>
      <c r="CP519" s="177"/>
      <c r="CQ519" s="1019">
        <f t="shared" si="697"/>
        <v>0</v>
      </c>
      <c r="CR519" s="1019"/>
      <c r="CS519" s="1019">
        <f t="shared" si="698"/>
        <v>0</v>
      </c>
      <c r="CT519" s="177">
        <f t="shared" si="699"/>
        <v>0</v>
      </c>
      <c r="CU519" s="177">
        <f t="shared" si="700"/>
        <v>0</v>
      </c>
      <c r="CV519" s="1006"/>
      <c r="CW519" s="177">
        <f t="shared" si="673"/>
        <v>9000</v>
      </c>
      <c r="CX519" s="1019">
        <f t="shared" si="674"/>
        <v>9000</v>
      </c>
      <c r="CY519" s="177">
        <f t="shared" si="675"/>
        <v>9000</v>
      </c>
      <c r="CZ519" s="1019">
        <f t="shared" si="676"/>
        <v>0</v>
      </c>
      <c r="DA519" s="177">
        <f t="shared" si="677"/>
        <v>0</v>
      </c>
      <c r="DB519" s="126"/>
      <c r="DC519" s="125"/>
    </row>
    <row r="520" spans="1:107" ht="51" hidden="1" x14ac:dyDescent="0.25">
      <c r="A520" s="19">
        <v>2026</v>
      </c>
      <c r="B520" s="20">
        <v>479</v>
      </c>
      <c r="C520" s="21" t="s">
        <v>64</v>
      </c>
      <c r="D520" s="21" t="s">
        <v>65</v>
      </c>
      <c r="E520" s="20">
        <v>125</v>
      </c>
      <c r="F520" s="20">
        <v>3000654</v>
      </c>
      <c r="G520" s="20">
        <v>5005023</v>
      </c>
      <c r="H520" s="20">
        <v>3</v>
      </c>
      <c r="I520" s="20">
        <v>12</v>
      </c>
      <c r="J520" s="20">
        <v>24</v>
      </c>
      <c r="K520" s="20">
        <v>135560</v>
      </c>
      <c r="L520" s="21" t="s">
        <v>220</v>
      </c>
      <c r="M520" s="33" t="s">
        <v>221</v>
      </c>
      <c r="N520" s="19">
        <v>97</v>
      </c>
      <c r="O520" s="2"/>
      <c r="P520" s="2" t="s">
        <v>4</v>
      </c>
      <c r="Q520" s="20" t="s">
        <v>68</v>
      </c>
      <c r="R520" s="25" t="s">
        <v>69</v>
      </c>
      <c r="S520" s="41" t="s">
        <v>137</v>
      </c>
      <c r="T520" s="41"/>
      <c r="U520" s="31" t="s">
        <v>353</v>
      </c>
      <c r="V520" s="25" t="s">
        <v>3</v>
      </c>
      <c r="W520" s="25">
        <v>1</v>
      </c>
      <c r="X520" s="595">
        <v>9000</v>
      </c>
      <c r="Y520" s="619"/>
      <c r="Z520" s="2"/>
      <c r="AA520" s="2"/>
      <c r="AB520" s="620"/>
      <c r="AC520" s="25">
        <v>0</v>
      </c>
      <c r="AD520" s="25">
        <v>30</v>
      </c>
      <c r="AE520" s="619"/>
      <c r="AF520" s="2"/>
      <c r="AG520" s="2"/>
      <c r="AH520" s="2"/>
      <c r="AI520" s="2"/>
      <c r="AJ520" s="621"/>
      <c r="AK520" s="596">
        <v>9000</v>
      </c>
      <c r="AL520" s="29" t="s">
        <v>73</v>
      </c>
      <c r="AM520" s="29" t="s">
        <v>73</v>
      </c>
      <c r="AN520" s="29" t="s">
        <v>73</v>
      </c>
      <c r="AO520" s="29" t="s">
        <v>73</v>
      </c>
      <c r="AP520" s="648">
        <v>0</v>
      </c>
      <c r="AQ520" s="478">
        <v>9000</v>
      </c>
      <c r="AR520" s="29" t="s">
        <v>73</v>
      </c>
      <c r="AS520" s="29" t="s">
        <v>73</v>
      </c>
      <c r="AT520" s="29" t="s">
        <v>73</v>
      </c>
      <c r="AU520" s="29" t="s">
        <v>73</v>
      </c>
      <c r="AV520" s="29" t="s">
        <v>73</v>
      </c>
      <c r="AW520" s="29" t="s">
        <v>73</v>
      </c>
      <c r="AX520" s="30">
        <v>9000</v>
      </c>
      <c r="AY520" s="479" t="s">
        <v>6</v>
      </c>
      <c r="AZ520" s="2" t="s">
        <v>74</v>
      </c>
      <c r="BA520" s="2"/>
      <c r="BK520" s="125" t="s">
        <v>790</v>
      </c>
      <c r="BL520" s="481" t="s">
        <v>791</v>
      </c>
      <c r="BM520" s="125" t="s">
        <v>1812</v>
      </c>
      <c r="BN520" s="177" t="s">
        <v>1813</v>
      </c>
      <c r="BO520" s="125" t="s">
        <v>1814</v>
      </c>
      <c r="BP520" s="129">
        <v>46156</v>
      </c>
      <c r="BQ520" s="18"/>
      <c r="BR520" s="262">
        <v>5048</v>
      </c>
      <c r="BS520" s="18"/>
      <c r="BT520" s="18"/>
      <c r="BU520" s="18" t="s">
        <v>1815</v>
      </c>
      <c r="BV520" s="125" t="s">
        <v>822</v>
      </c>
      <c r="BW520" s="177" t="s">
        <v>871</v>
      </c>
      <c r="BX520" s="177" t="s">
        <v>2309</v>
      </c>
      <c r="BY520" s="125">
        <v>47816158</v>
      </c>
      <c r="BZ520" s="125">
        <v>10478161587</v>
      </c>
      <c r="CA520" s="261">
        <v>9000</v>
      </c>
      <c r="CB520" s="289">
        <v>46174</v>
      </c>
      <c r="CC520" s="289">
        <v>46203</v>
      </c>
      <c r="CD520" s="759"/>
      <c r="CE520" s="177">
        <f t="shared" si="689"/>
        <v>0</v>
      </c>
      <c r="CF520" s="1019">
        <f t="shared" si="690"/>
        <v>0</v>
      </c>
      <c r="CG520" s="177"/>
      <c r="CH520" s="1019">
        <f t="shared" si="691"/>
        <v>0</v>
      </c>
      <c r="CI520" s="177"/>
      <c r="CJ520" s="1019">
        <f t="shared" si="692"/>
        <v>0</v>
      </c>
      <c r="CK520" s="177">
        <f t="shared" si="693"/>
        <v>0</v>
      </c>
      <c r="CL520" s="177">
        <f t="shared" si="694"/>
        <v>0</v>
      </c>
      <c r="CM520" s="1006"/>
      <c r="CN520" s="177">
        <f t="shared" si="695"/>
        <v>30</v>
      </c>
      <c r="CO520" s="1019">
        <f t="shared" si="696"/>
        <v>9000</v>
      </c>
      <c r="CP520" s="177">
        <v>30</v>
      </c>
      <c r="CQ520" s="1019">
        <f t="shared" si="697"/>
        <v>9000</v>
      </c>
      <c r="CR520" s="1019">
        <v>30</v>
      </c>
      <c r="CS520" s="1019">
        <f t="shared" si="698"/>
        <v>9000</v>
      </c>
      <c r="CT520" s="177">
        <f t="shared" si="699"/>
        <v>0</v>
      </c>
      <c r="CU520" s="177">
        <f t="shared" si="700"/>
        <v>0</v>
      </c>
      <c r="CV520" s="1006"/>
      <c r="CW520" s="177">
        <f t="shared" si="673"/>
        <v>9000</v>
      </c>
      <c r="CX520" s="1019">
        <f t="shared" si="674"/>
        <v>9000</v>
      </c>
      <c r="CY520" s="177">
        <f t="shared" si="675"/>
        <v>9000</v>
      </c>
      <c r="CZ520" s="1019">
        <f t="shared" si="676"/>
        <v>0</v>
      </c>
      <c r="DA520" s="177">
        <f t="shared" si="677"/>
        <v>0</v>
      </c>
      <c r="DB520" s="126"/>
      <c r="DC520" s="125"/>
    </row>
    <row r="521" spans="1:107" ht="51" hidden="1" x14ac:dyDescent="0.25">
      <c r="A521" s="19">
        <v>2026</v>
      </c>
      <c r="B521" s="20">
        <v>479</v>
      </c>
      <c r="C521" s="21" t="s">
        <v>64</v>
      </c>
      <c r="D521" s="21" t="s">
        <v>65</v>
      </c>
      <c r="E521" s="20">
        <v>125</v>
      </c>
      <c r="F521" s="20">
        <v>3000654</v>
      </c>
      <c r="G521" s="20">
        <v>5005023</v>
      </c>
      <c r="H521" s="20">
        <v>3</v>
      </c>
      <c r="I521" s="20">
        <v>12</v>
      </c>
      <c r="J521" s="20">
        <v>24</v>
      </c>
      <c r="K521" s="20">
        <v>135560</v>
      </c>
      <c r="L521" s="21" t="s">
        <v>220</v>
      </c>
      <c r="M521" s="33" t="s">
        <v>221</v>
      </c>
      <c r="N521" s="19">
        <v>97</v>
      </c>
      <c r="O521" s="2"/>
      <c r="P521" s="2" t="s">
        <v>4</v>
      </c>
      <c r="Q521" s="20" t="s">
        <v>68</v>
      </c>
      <c r="R521" s="25" t="s">
        <v>69</v>
      </c>
      <c r="S521" s="41" t="s">
        <v>137</v>
      </c>
      <c r="T521" s="41"/>
      <c r="U521" s="31" t="s">
        <v>354</v>
      </c>
      <c r="V521" s="25" t="s">
        <v>3</v>
      </c>
      <c r="W521" s="25">
        <v>1</v>
      </c>
      <c r="X521" s="595">
        <v>4500</v>
      </c>
      <c r="Y521" s="619"/>
      <c r="Z521" s="2"/>
      <c r="AA521" s="2"/>
      <c r="AB521" s="620"/>
      <c r="AC521" s="25">
        <v>30</v>
      </c>
      <c r="AD521" s="25">
        <v>30</v>
      </c>
      <c r="AE521" s="619"/>
      <c r="AF521" s="2"/>
      <c r="AG521" s="2"/>
      <c r="AH521" s="2"/>
      <c r="AI521" s="2"/>
      <c r="AJ521" s="621"/>
      <c r="AK521" s="596">
        <v>9000</v>
      </c>
      <c r="AL521" s="29" t="s">
        <v>73</v>
      </c>
      <c r="AM521" s="29" t="s">
        <v>73</v>
      </c>
      <c r="AN521" s="29" t="s">
        <v>73</v>
      </c>
      <c r="AO521" s="29" t="s">
        <v>73</v>
      </c>
      <c r="AP521" s="478">
        <v>4500</v>
      </c>
      <c r="AQ521" s="478">
        <v>4500</v>
      </c>
      <c r="AR521" s="29" t="s">
        <v>73</v>
      </c>
      <c r="AS521" s="29" t="s">
        <v>73</v>
      </c>
      <c r="AT521" s="29" t="s">
        <v>73</v>
      </c>
      <c r="AU521" s="29" t="s">
        <v>73</v>
      </c>
      <c r="AV521" s="29" t="s">
        <v>73</v>
      </c>
      <c r="AW521" s="29" t="s">
        <v>73</v>
      </c>
      <c r="AX521" s="30">
        <v>9000</v>
      </c>
      <c r="AY521" s="479" t="s">
        <v>6</v>
      </c>
      <c r="AZ521" s="2" t="s">
        <v>74</v>
      </c>
      <c r="BA521" s="2"/>
      <c r="BK521" s="125" t="s">
        <v>790</v>
      </c>
      <c r="BL521" s="481" t="s">
        <v>791</v>
      </c>
      <c r="BM521" s="125" t="s">
        <v>1806</v>
      </c>
      <c r="BN521" s="649" t="s">
        <v>1807</v>
      </c>
      <c r="BO521" s="125" t="s">
        <v>1808</v>
      </c>
      <c r="BP521" s="129">
        <v>46134</v>
      </c>
      <c r="BQ521" s="18"/>
      <c r="BR521" s="505" t="s">
        <v>2310</v>
      </c>
      <c r="BS521" s="18"/>
      <c r="BT521" s="656" t="s">
        <v>1809</v>
      </c>
      <c r="BU521" s="656" t="s">
        <v>1841</v>
      </c>
      <c r="BV521" s="552" t="s">
        <v>895</v>
      </c>
      <c r="BW521" s="646" t="s">
        <v>910</v>
      </c>
      <c r="BX521" s="646" t="s">
        <v>2311</v>
      </c>
      <c r="BY521" s="552">
        <v>43216000</v>
      </c>
      <c r="BZ521" s="552">
        <v>10432160004</v>
      </c>
      <c r="CA521" s="126">
        <v>4500</v>
      </c>
      <c r="CB521" s="289">
        <v>46143</v>
      </c>
      <c r="CC521" s="289">
        <v>46203</v>
      </c>
      <c r="CD521" s="759"/>
      <c r="CE521" s="177">
        <f t="shared" si="689"/>
        <v>30</v>
      </c>
      <c r="CF521" s="1019">
        <f t="shared" si="690"/>
        <v>4500</v>
      </c>
      <c r="CG521" s="177">
        <v>30</v>
      </c>
      <c r="CH521" s="1019">
        <f t="shared" si="691"/>
        <v>4500</v>
      </c>
      <c r="CI521" s="177">
        <v>30</v>
      </c>
      <c r="CJ521" s="1019">
        <f t="shared" si="692"/>
        <v>4500</v>
      </c>
      <c r="CK521" s="177">
        <f t="shared" si="693"/>
        <v>0</v>
      </c>
      <c r="CL521" s="177">
        <f t="shared" si="694"/>
        <v>0</v>
      </c>
      <c r="CM521" s="1006"/>
      <c r="CN521" s="177">
        <f t="shared" si="695"/>
        <v>30</v>
      </c>
      <c r="CO521" s="1019">
        <f t="shared" si="696"/>
        <v>4500</v>
      </c>
      <c r="CP521" s="177">
        <v>30</v>
      </c>
      <c r="CQ521" s="1019">
        <f t="shared" si="697"/>
        <v>4500</v>
      </c>
      <c r="CR521" s="1019">
        <v>30</v>
      </c>
      <c r="CS521" s="1019">
        <f t="shared" si="698"/>
        <v>4500</v>
      </c>
      <c r="CT521" s="177">
        <f t="shared" si="699"/>
        <v>0</v>
      </c>
      <c r="CU521" s="177">
        <f t="shared" si="700"/>
        <v>0</v>
      </c>
      <c r="CV521" s="1006"/>
      <c r="CW521" s="177">
        <f t="shared" si="673"/>
        <v>9000</v>
      </c>
      <c r="CX521" s="1019">
        <f t="shared" si="674"/>
        <v>9000</v>
      </c>
      <c r="CY521" s="177">
        <f t="shared" si="675"/>
        <v>9000</v>
      </c>
      <c r="CZ521" s="1019">
        <f t="shared" si="676"/>
        <v>0</v>
      </c>
      <c r="DA521" s="177">
        <f t="shared" si="677"/>
        <v>0</v>
      </c>
      <c r="DB521" s="126"/>
      <c r="DC521" s="125"/>
    </row>
    <row r="522" spans="1:107" ht="51" hidden="1" x14ac:dyDescent="0.25">
      <c r="A522" s="19">
        <v>2026</v>
      </c>
      <c r="B522" s="20">
        <v>479</v>
      </c>
      <c r="C522" s="21" t="s">
        <v>64</v>
      </c>
      <c r="D522" s="21" t="s">
        <v>65</v>
      </c>
      <c r="E522" s="20">
        <v>125</v>
      </c>
      <c r="F522" s="20">
        <v>3000654</v>
      </c>
      <c r="G522" s="20">
        <v>5005023</v>
      </c>
      <c r="H522" s="20">
        <v>3</v>
      </c>
      <c r="I522" s="20">
        <v>12</v>
      </c>
      <c r="J522" s="20">
        <v>24</v>
      </c>
      <c r="K522" s="20">
        <v>135560</v>
      </c>
      <c r="L522" s="21" t="s">
        <v>220</v>
      </c>
      <c r="M522" s="33" t="s">
        <v>221</v>
      </c>
      <c r="N522" s="19">
        <v>97</v>
      </c>
      <c r="O522" s="2"/>
      <c r="P522" s="2" t="s">
        <v>4</v>
      </c>
      <c r="Q522" s="20" t="s">
        <v>68</v>
      </c>
      <c r="R522" s="25" t="s">
        <v>69</v>
      </c>
      <c r="S522" s="41" t="s">
        <v>137</v>
      </c>
      <c r="T522" s="41"/>
      <c r="U522" s="31" t="s">
        <v>355</v>
      </c>
      <c r="V522" s="25" t="s">
        <v>3</v>
      </c>
      <c r="W522" s="25">
        <v>1</v>
      </c>
      <c r="X522" s="595">
        <v>5000</v>
      </c>
      <c r="Y522" s="619"/>
      <c r="Z522" s="2"/>
      <c r="AA522" s="2"/>
      <c r="AB522" s="620"/>
      <c r="AC522" s="25">
        <v>30</v>
      </c>
      <c r="AD522" s="25">
        <v>30</v>
      </c>
      <c r="AE522" s="619"/>
      <c r="AF522" s="2"/>
      <c r="AG522" s="2"/>
      <c r="AH522" s="2"/>
      <c r="AI522" s="2"/>
      <c r="AJ522" s="621"/>
      <c r="AK522" s="596">
        <v>10000</v>
      </c>
      <c r="AL522" s="29" t="s">
        <v>73</v>
      </c>
      <c r="AM522" s="29" t="s">
        <v>73</v>
      </c>
      <c r="AN522" s="29" t="s">
        <v>73</v>
      </c>
      <c r="AO522" s="29" t="s">
        <v>73</v>
      </c>
      <c r="AP522" s="478">
        <v>5000</v>
      </c>
      <c r="AQ522" s="478">
        <v>5000</v>
      </c>
      <c r="AR522" s="29" t="s">
        <v>73</v>
      </c>
      <c r="AS522" s="29" t="s">
        <v>73</v>
      </c>
      <c r="AT522" s="29" t="s">
        <v>73</v>
      </c>
      <c r="AU522" s="29" t="s">
        <v>73</v>
      </c>
      <c r="AV522" s="29" t="s">
        <v>73</v>
      </c>
      <c r="AW522" s="29" t="s">
        <v>73</v>
      </c>
      <c r="AX522" s="30">
        <v>10000</v>
      </c>
      <c r="AY522" s="479" t="s">
        <v>6</v>
      </c>
      <c r="AZ522" s="2" t="s">
        <v>74</v>
      </c>
      <c r="BA522" s="2"/>
      <c r="BK522" s="125" t="s">
        <v>790</v>
      </c>
      <c r="BL522" s="481" t="s">
        <v>791</v>
      </c>
      <c r="BM522" s="125" t="s">
        <v>1806</v>
      </c>
      <c r="BN522" s="649" t="s">
        <v>1807</v>
      </c>
      <c r="BO522" s="125" t="s">
        <v>1808</v>
      </c>
      <c r="BP522" s="129">
        <v>46134</v>
      </c>
      <c r="BQ522" s="18"/>
      <c r="BR522" s="505" t="s">
        <v>2312</v>
      </c>
      <c r="BS522" s="18"/>
      <c r="BT522" s="656" t="s">
        <v>1809</v>
      </c>
      <c r="BU522" s="656" t="s">
        <v>1841</v>
      </c>
      <c r="BV522" s="552" t="s">
        <v>2313</v>
      </c>
      <c r="BW522" s="646" t="s">
        <v>1325</v>
      </c>
      <c r="BX522" s="646" t="s">
        <v>2314</v>
      </c>
      <c r="BY522" s="552">
        <v>70548308</v>
      </c>
      <c r="BZ522" s="552">
        <v>10705483081</v>
      </c>
      <c r="CA522" s="126">
        <v>5000</v>
      </c>
      <c r="CB522" s="289">
        <v>46143</v>
      </c>
      <c r="CC522" s="289">
        <v>46203</v>
      </c>
      <c r="CD522" s="759"/>
      <c r="CE522" s="177">
        <f t="shared" si="689"/>
        <v>30</v>
      </c>
      <c r="CF522" s="1019">
        <f t="shared" si="690"/>
        <v>5000</v>
      </c>
      <c r="CG522" s="177">
        <v>30</v>
      </c>
      <c r="CH522" s="1019">
        <f t="shared" si="691"/>
        <v>5000</v>
      </c>
      <c r="CI522" s="177">
        <v>30</v>
      </c>
      <c r="CJ522" s="1019">
        <f t="shared" si="692"/>
        <v>5000</v>
      </c>
      <c r="CK522" s="177">
        <f t="shared" si="693"/>
        <v>0</v>
      </c>
      <c r="CL522" s="177">
        <f t="shared" si="694"/>
        <v>0</v>
      </c>
      <c r="CM522" s="1006"/>
      <c r="CN522" s="177">
        <f t="shared" si="695"/>
        <v>30</v>
      </c>
      <c r="CO522" s="1019">
        <f t="shared" si="696"/>
        <v>5000</v>
      </c>
      <c r="CP522" s="177">
        <v>30</v>
      </c>
      <c r="CQ522" s="1019">
        <f t="shared" si="697"/>
        <v>5000</v>
      </c>
      <c r="CR522" s="1019">
        <v>30</v>
      </c>
      <c r="CS522" s="1019">
        <f t="shared" si="698"/>
        <v>5000</v>
      </c>
      <c r="CT522" s="177">
        <f t="shared" si="699"/>
        <v>0</v>
      </c>
      <c r="CU522" s="177">
        <f t="shared" si="700"/>
        <v>0</v>
      </c>
      <c r="CV522" s="1006"/>
      <c r="CW522" s="177">
        <f t="shared" si="673"/>
        <v>10000</v>
      </c>
      <c r="CX522" s="1019">
        <f t="shared" si="674"/>
        <v>10000</v>
      </c>
      <c r="CY522" s="177">
        <f t="shared" si="675"/>
        <v>10000</v>
      </c>
      <c r="CZ522" s="1019">
        <f t="shared" si="676"/>
        <v>0</v>
      </c>
      <c r="DA522" s="177">
        <f t="shared" si="677"/>
        <v>0</v>
      </c>
      <c r="DB522" s="126"/>
      <c r="DC522" s="125"/>
    </row>
    <row r="523" spans="1:107" ht="51" hidden="1" x14ac:dyDescent="0.25">
      <c r="A523" s="19">
        <v>2026</v>
      </c>
      <c r="B523" s="20">
        <v>479</v>
      </c>
      <c r="C523" s="21" t="s">
        <v>64</v>
      </c>
      <c r="D523" s="21" t="s">
        <v>65</v>
      </c>
      <c r="E523" s="20">
        <v>125</v>
      </c>
      <c r="F523" s="20">
        <v>3000654</v>
      </c>
      <c r="G523" s="20">
        <v>5005023</v>
      </c>
      <c r="H523" s="20">
        <v>3</v>
      </c>
      <c r="I523" s="20">
        <v>12</v>
      </c>
      <c r="J523" s="20">
        <v>24</v>
      </c>
      <c r="K523" s="20">
        <v>135560</v>
      </c>
      <c r="L523" s="21" t="s">
        <v>220</v>
      </c>
      <c r="M523" s="33" t="s">
        <v>221</v>
      </c>
      <c r="N523" s="19">
        <v>97</v>
      </c>
      <c r="O523" s="2"/>
      <c r="P523" s="2" t="s">
        <v>4</v>
      </c>
      <c r="Q523" s="20" t="s">
        <v>68</v>
      </c>
      <c r="R523" s="25" t="s">
        <v>69</v>
      </c>
      <c r="S523" s="41" t="s">
        <v>137</v>
      </c>
      <c r="T523" s="41"/>
      <c r="U523" s="31" t="s">
        <v>356</v>
      </c>
      <c r="V523" s="25" t="s">
        <v>3</v>
      </c>
      <c r="W523" s="25">
        <v>1</v>
      </c>
      <c r="X523" s="595">
        <v>5500</v>
      </c>
      <c r="Y523" s="619"/>
      <c r="Z523" s="2"/>
      <c r="AA523" s="2"/>
      <c r="AB523" s="620"/>
      <c r="AC523" s="25">
        <v>30</v>
      </c>
      <c r="AD523" s="25">
        <v>30</v>
      </c>
      <c r="AE523" s="619"/>
      <c r="AF523" s="2"/>
      <c r="AG523" s="2"/>
      <c r="AH523" s="2"/>
      <c r="AI523" s="2"/>
      <c r="AJ523" s="621"/>
      <c r="AK523" s="596">
        <v>11000</v>
      </c>
      <c r="AL523" s="29" t="s">
        <v>73</v>
      </c>
      <c r="AM523" s="29" t="s">
        <v>73</v>
      </c>
      <c r="AN523" s="29" t="s">
        <v>73</v>
      </c>
      <c r="AO523" s="29" t="s">
        <v>73</v>
      </c>
      <c r="AP523" s="478">
        <v>5500</v>
      </c>
      <c r="AQ523" s="478">
        <v>5500</v>
      </c>
      <c r="AR523" s="29" t="s">
        <v>73</v>
      </c>
      <c r="AS523" s="29" t="s">
        <v>73</v>
      </c>
      <c r="AT523" s="29" t="s">
        <v>73</v>
      </c>
      <c r="AU523" s="29" t="s">
        <v>73</v>
      </c>
      <c r="AV523" s="29" t="s">
        <v>73</v>
      </c>
      <c r="AW523" s="29" t="s">
        <v>73</v>
      </c>
      <c r="AX523" s="30">
        <v>11000</v>
      </c>
      <c r="AY523" s="479" t="s">
        <v>6</v>
      </c>
      <c r="AZ523" s="2" t="s">
        <v>74</v>
      </c>
      <c r="BA523" s="2"/>
      <c r="BK523" s="125" t="s">
        <v>790</v>
      </c>
      <c r="BL523" s="481" t="s">
        <v>791</v>
      </c>
      <c r="BM523" s="125" t="s">
        <v>1806</v>
      </c>
      <c r="BN523" s="649" t="s">
        <v>1807</v>
      </c>
      <c r="BO523" s="125" t="s">
        <v>1808</v>
      </c>
      <c r="BP523" s="129">
        <v>46134</v>
      </c>
      <c r="BQ523" s="18"/>
      <c r="BR523" s="505" t="s">
        <v>2315</v>
      </c>
      <c r="BS523" s="18"/>
      <c r="BT523" s="656" t="s">
        <v>1809</v>
      </c>
      <c r="BU523" s="656" t="s">
        <v>1841</v>
      </c>
      <c r="BV523" s="552" t="s">
        <v>2316</v>
      </c>
      <c r="BW523" s="646" t="s">
        <v>2317</v>
      </c>
      <c r="BX523" s="646" t="s">
        <v>2318</v>
      </c>
      <c r="BY523" s="552">
        <v>73771409</v>
      </c>
      <c r="BZ523" s="552">
        <v>10737714093</v>
      </c>
      <c r="CA523" s="126">
        <v>5500</v>
      </c>
      <c r="CB523" s="289">
        <v>46143</v>
      </c>
      <c r="CC523" s="289">
        <v>46203</v>
      </c>
      <c r="CD523" s="759"/>
      <c r="CE523" s="177">
        <f t="shared" si="689"/>
        <v>30</v>
      </c>
      <c r="CF523" s="1019">
        <f t="shared" si="690"/>
        <v>5500</v>
      </c>
      <c r="CG523" s="177">
        <v>30</v>
      </c>
      <c r="CH523" s="1019">
        <f t="shared" si="691"/>
        <v>5500</v>
      </c>
      <c r="CI523" s="177">
        <v>30</v>
      </c>
      <c r="CJ523" s="1019">
        <f t="shared" si="692"/>
        <v>5500</v>
      </c>
      <c r="CK523" s="177">
        <f t="shared" si="693"/>
        <v>0</v>
      </c>
      <c r="CL523" s="177">
        <f t="shared" si="694"/>
        <v>0</v>
      </c>
      <c r="CM523" s="1006"/>
      <c r="CN523" s="177">
        <f t="shared" si="695"/>
        <v>30</v>
      </c>
      <c r="CO523" s="1019">
        <f t="shared" si="696"/>
        <v>5500</v>
      </c>
      <c r="CP523" s="177">
        <v>30</v>
      </c>
      <c r="CQ523" s="1019">
        <f t="shared" si="697"/>
        <v>5500</v>
      </c>
      <c r="CR523" s="1019">
        <v>30</v>
      </c>
      <c r="CS523" s="1019">
        <f t="shared" si="698"/>
        <v>5500</v>
      </c>
      <c r="CT523" s="177">
        <f t="shared" si="699"/>
        <v>0</v>
      </c>
      <c r="CU523" s="177">
        <f t="shared" si="700"/>
        <v>0</v>
      </c>
      <c r="CV523" s="1006"/>
      <c r="CW523" s="177">
        <f t="shared" si="673"/>
        <v>11000</v>
      </c>
      <c r="CX523" s="1019">
        <f t="shared" si="674"/>
        <v>11000</v>
      </c>
      <c r="CY523" s="177">
        <f t="shared" si="675"/>
        <v>11000</v>
      </c>
      <c r="CZ523" s="1019">
        <f t="shared" si="676"/>
        <v>0</v>
      </c>
      <c r="DA523" s="177">
        <f t="shared" si="677"/>
        <v>0</v>
      </c>
      <c r="DB523" s="126"/>
      <c r="DC523" s="125"/>
    </row>
    <row r="524" spans="1:107" ht="51" hidden="1" x14ac:dyDescent="0.25">
      <c r="A524" s="19">
        <v>2026</v>
      </c>
      <c r="B524" s="20">
        <v>479</v>
      </c>
      <c r="C524" s="21" t="s">
        <v>64</v>
      </c>
      <c r="D524" s="21" t="s">
        <v>65</v>
      </c>
      <c r="E524" s="20">
        <v>125</v>
      </c>
      <c r="F524" s="20">
        <v>3000654</v>
      </c>
      <c r="G524" s="20">
        <v>5005023</v>
      </c>
      <c r="H524" s="20">
        <v>3</v>
      </c>
      <c r="I524" s="20">
        <v>12</v>
      </c>
      <c r="J524" s="20">
        <v>24</v>
      </c>
      <c r="K524" s="20">
        <v>135560</v>
      </c>
      <c r="L524" s="21" t="s">
        <v>220</v>
      </c>
      <c r="M524" s="33" t="s">
        <v>221</v>
      </c>
      <c r="N524" s="19">
        <v>97</v>
      </c>
      <c r="O524" s="2"/>
      <c r="P524" s="2" t="s">
        <v>4</v>
      </c>
      <c r="Q524" s="20" t="s">
        <v>68</v>
      </c>
      <c r="R524" s="25" t="s">
        <v>69</v>
      </c>
      <c r="S524" s="41" t="s">
        <v>137</v>
      </c>
      <c r="T524" s="41"/>
      <c r="U524" s="31" t="s">
        <v>357</v>
      </c>
      <c r="V524" s="25" t="s">
        <v>3</v>
      </c>
      <c r="W524" s="25">
        <v>1</v>
      </c>
      <c r="X524" s="595">
        <v>5500</v>
      </c>
      <c r="Y524" s="619"/>
      <c r="Z524" s="2"/>
      <c r="AA524" s="2"/>
      <c r="AB524" s="620"/>
      <c r="AC524" s="25">
        <v>30</v>
      </c>
      <c r="AD524" s="25">
        <v>30</v>
      </c>
      <c r="AE524" s="619"/>
      <c r="AF524" s="2"/>
      <c r="AG524" s="2"/>
      <c r="AH524" s="2"/>
      <c r="AI524" s="2"/>
      <c r="AJ524" s="621"/>
      <c r="AK524" s="596">
        <v>11000</v>
      </c>
      <c r="AL524" s="29" t="s">
        <v>73</v>
      </c>
      <c r="AM524" s="29" t="s">
        <v>73</v>
      </c>
      <c r="AN524" s="29" t="s">
        <v>73</v>
      </c>
      <c r="AO524" s="29" t="s">
        <v>73</v>
      </c>
      <c r="AP524" s="478">
        <v>5500</v>
      </c>
      <c r="AQ524" s="478">
        <v>5500</v>
      </c>
      <c r="AR524" s="29" t="s">
        <v>73</v>
      </c>
      <c r="AS524" s="29" t="s">
        <v>73</v>
      </c>
      <c r="AT524" s="29" t="s">
        <v>73</v>
      </c>
      <c r="AU524" s="29" t="s">
        <v>73</v>
      </c>
      <c r="AV524" s="29" t="s">
        <v>73</v>
      </c>
      <c r="AW524" s="29" t="s">
        <v>73</v>
      </c>
      <c r="AX524" s="30">
        <v>11000</v>
      </c>
      <c r="AY524" s="479" t="s">
        <v>6</v>
      </c>
      <c r="AZ524" s="2" t="s">
        <v>74</v>
      </c>
      <c r="BA524" s="2"/>
      <c r="BK524" s="125" t="s">
        <v>790</v>
      </c>
      <c r="BL524" s="481" t="s">
        <v>791</v>
      </c>
      <c r="BM524" s="125" t="s">
        <v>1806</v>
      </c>
      <c r="BN524" s="649" t="s">
        <v>1807</v>
      </c>
      <c r="BO524" s="125" t="s">
        <v>1808</v>
      </c>
      <c r="BP524" s="129">
        <v>46134</v>
      </c>
      <c r="BQ524" s="18"/>
      <c r="BR524" s="505" t="s">
        <v>2319</v>
      </c>
      <c r="BS524" s="18"/>
      <c r="BT524" s="656" t="s">
        <v>1809</v>
      </c>
      <c r="BU524" s="656" t="s">
        <v>1841</v>
      </c>
      <c r="BV524" s="552" t="s">
        <v>2320</v>
      </c>
      <c r="BW524" s="646" t="s">
        <v>1234</v>
      </c>
      <c r="BX524" s="646" t="s">
        <v>2321</v>
      </c>
      <c r="BY524" s="552" t="s">
        <v>2322</v>
      </c>
      <c r="BZ524" s="552">
        <v>10723071483</v>
      </c>
      <c r="CA524" s="126">
        <v>5500</v>
      </c>
      <c r="CB524" s="289">
        <v>46143</v>
      </c>
      <c r="CC524" s="289">
        <v>46203</v>
      </c>
      <c r="CD524" s="759"/>
      <c r="CE524" s="177">
        <f t="shared" si="689"/>
        <v>30</v>
      </c>
      <c r="CF524" s="1019">
        <f t="shared" si="690"/>
        <v>5500</v>
      </c>
      <c r="CG524" s="177">
        <v>30</v>
      </c>
      <c r="CH524" s="1019">
        <f t="shared" si="691"/>
        <v>5500</v>
      </c>
      <c r="CI524" s="177">
        <v>30</v>
      </c>
      <c r="CJ524" s="1019">
        <f t="shared" si="692"/>
        <v>5500</v>
      </c>
      <c r="CK524" s="177">
        <f t="shared" si="693"/>
        <v>0</v>
      </c>
      <c r="CL524" s="177">
        <f t="shared" si="694"/>
        <v>0</v>
      </c>
      <c r="CM524" s="1006"/>
      <c r="CN524" s="177">
        <f t="shared" si="695"/>
        <v>30</v>
      </c>
      <c r="CO524" s="1019">
        <f t="shared" si="696"/>
        <v>5500</v>
      </c>
      <c r="CP524" s="177">
        <v>30</v>
      </c>
      <c r="CQ524" s="1019">
        <f t="shared" si="697"/>
        <v>5500</v>
      </c>
      <c r="CR524" s="1019">
        <v>30</v>
      </c>
      <c r="CS524" s="1019">
        <f t="shared" si="698"/>
        <v>5500</v>
      </c>
      <c r="CT524" s="177">
        <f t="shared" si="699"/>
        <v>0</v>
      </c>
      <c r="CU524" s="177">
        <f t="shared" si="700"/>
        <v>0</v>
      </c>
      <c r="CV524" s="1006"/>
      <c r="CW524" s="177">
        <f t="shared" si="673"/>
        <v>11000</v>
      </c>
      <c r="CX524" s="1019">
        <f t="shared" si="674"/>
        <v>11000</v>
      </c>
      <c r="CY524" s="177">
        <f t="shared" si="675"/>
        <v>11000</v>
      </c>
      <c r="CZ524" s="1019">
        <f t="shared" si="676"/>
        <v>0</v>
      </c>
      <c r="DA524" s="177">
        <f t="shared" si="677"/>
        <v>0</v>
      </c>
      <c r="DB524" s="126"/>
      <c r="DC524" s="125"/>
    </row>
    <row r="525" spans="1:107" ht="51" hidden="1" x14ac:dyDescent="0.25">
      <c r="A525" s="19">
        <v>2026</v>
      </c>
      <c r="B525" s="20">
        <v>479</v>
      </c>
      <c r="C525" s="21" t="s">
        <v>64</v>
      </c>
      <c r="D525" s="21" t="s">
        <v>65</v>
      </c>
      <c r="E525" s="20">
        <v>125</v>
      </c>
      <c r="F525" s="20">
        <v>3000654</v>
      </c>
      <c r="G525" s="20">
        <v>5005023</v>
      </c>
      <c r="H525" s="20">
        <v>3</v>
      </c>
      <c r="I525" s="20">
        <v>12</v>
      </c>
      <c r="J525" s="20">
        <v>24</v>
      </c>
      <c r="K525" s="20">
        <v>135560</v>
      </c>
      <c r="L525" s="21" t="s">
        <v>220</v>
      </c>
      <c r="M525" s="33" t="s">
        <v>221</v>
      </c>
      <c r="N525" s="19">
        <v>97</v>
      </c>
      <c r="O525" s="2"/>
      <c r="P525" s="2" t="s">
        <v>4</v>
      </c>
      <c r="Q525" s="20" t="s">
        <v>68</v>
      </c>
      <c r="R525" s="25" t="s">
        <v>69</v>
      </c>
      <c r="S525" s="41" t="s">
        <v>137</v>
      </c>
      <c r="T525" s="41"/>
      <c r="U525" s="31" t="s">
        <v>358</v>
      </c>
      <c r="V525" s="25" t="s">
        <v>3</v>
      </c>
      <c r="W525" s="25">
        <v>1</v>
      </c>
      <c r="X525" s="595">
        <v>5500</v>
      </c>
      <c r="Y525" s="619"/>
      <c r="Z525" s="2"/>
      <c r="AA525" s="2"/>
      <c r="AB525" s="620"/>
      <c r="AC525" s="25">
        <v>30</v>
      </c>
      <c r="AD525" s="25">
        <v>30</v>
      </c>
      <c r="AE525" s="619"/>
      <c r="AF525" s="2"/>
      <c r="AG525" s="2"/>
      <c r="AH525" s="2"/>
      <c r="AI525" s="2"/>
      <c r="AJ525" s="621"/>
      <c r="AK525" s="596">
        <v>11000</v>
      </c>
      <c r="AL525" s="29" t="s">
        <v>73</v>
      </c>
      <c r="AM525" s="29" t="s">
        <v>73</v>
      </c>
      <c r="AN525" s="29" t="s">
        <v>73</v>
      </c>
      <c r="AO525" s="29" t="s">
        <v>73</v>
      </c>
      <c r="AP525" s="478">
        <v>5500</v>
      </c>
      <c r="AQ525" s="478">
        <v>5500</v>
      </c>
      <c r="AR525" s="29" t="s">
        <v>73</v>
      </c>
      <c r="AS525" s="29" t="s">
        <v>73</v>
      </c>
      <c r="AT525" s="29" t="s">
        <v>73</v>
      </c>
      <c r="AU525" s="29" t="s">
        <v>73</v>
      </c>
      <c r="AV525" s="29" t="s">
        <v>73</v>
      </c>
      <c r="AW525" s="29" t="s">
        <v>73</v>
      </c>
      <c r="AX525" s="30">
        <v>11000</v>
      </c>
      <c r="AY525" s="479" t="s">
        <v>6</v>
      </c>
      <c r="AZ525" s="2" t="s">
        <v>74</v>
      </c>
      <c r="BA525" s="2"/>
      <c r="BK525" s="125" t="s">
        <v>790</v>
      </c>
      <c r="BL525" s="481" t="s">
        <v>791</v>
      </c>
      <c r="BM525" s="125" t="s">
        <v>1806</v>
      </c>
      <c r="BN525" s="649" t="s">
        <v>1807</v>
      </c>
      <c r="BO525" s="125" t="s">
        <v>1808</v>
      </c>
      <c r="BP525" s="129">
        <v>46134</v>
      </c>
      <c r="BQ525" s="18"/>
      <c r="BR525" s="505" t="s">
        <v>2323</v>
      </c>
      <c r="BS525" s="18"/>
      <c r="BT525" s="656" t="s">
        <v>1809</v>
      </c>
      <c r="BU525" s="656" t="s">
        <v>1841</v>
      </c>
      <c r="BV525" s="284" t="s">
        <v>845</v>
      </c>
      <c r="BW525" s="566" t="s">
        <v>845</v>
      </c>
      <c r="BX525" s="566" t="s">
        <v>923</v>
      </c>
      <c r="BY525" s="552">
        <v>46143</v>
      </c>
      <c r="BZ525" s="552">
        <v>46203</v>
      </c>
      <c r="CA525" s="126">
        <v>5500</v>
      </c>
      <c r="CB525" s="289">
        <v>46143</v>
      </c>
      <c r="CC525" s="289">
        <v>46203</v>
      </c>
      <c r="CD525" s="759"/>
      <c r="CE525" s="177">
        <f t="shared" si="689"/>
        <v>30</v>
      </c>
      <c r="CF525" s="1019">
        <f t="shared" si="690"/>
        <v>5500</v>
      </c>
      <c r="CG525" s="177">
        <v>30</v>
      </c>
      <c r="CH525" s="1019">
        <f t="shared" si="691"/>
        <v>5500</v>
      </c>
      <c r="CI525" s="177">
        <v>30</v>
      </c>
      <c r="CJ525" s="1019">
        <f t="shared" si="692"/>
        <v>5500</v>
      </c>
      <c r="CK525" s="177">
        <f t="shared" si="693"/>
        <v>0</v>
      </c>
      <c r="CL525" s="177">
        <f t="shared" si="694"/>
        <v>0</v>
      </c>
      <c r="CM525" s="1006"/>
      <c r="CN525" s="177">
        <f t="shared" si="695"/>
        <v>30</v>
      </c>
      <c r="CO525" s="1019">
        <f t="shared" si="696"/>
        <v>5500</v>
      </c>
      <c r="CP525" s="177">
        <v>30</v>
      </c>
      <c r="CQ525" s="1019">
        <f t="shared" si="697"/>
        <v>5500</v>
      </c>
      <c r="CR525" s="1019">
        <v>30</v>
      </c>
      <c r="CS525" s="1019">
        <f t="shared" si="698"/>
        <v>5500</v>
      </c>
      <c r="CT525" s="177">
        <f t="shared" si="699"/>
        <v>0</v>
      </c>
      <c r="CU525" s="177">
        <f t="shared" si="700"/>
        <v>0</v>
      </c>
      <c r="CV525" s="1006"/>
      <c r="CW525" s="177">
        <f t="shared" si="673"/>
        <v>11000</v>
      </c>
      <c r="CX525" s="1019">
        <f t="shared" si="674"/>
        <v>11000</v>
      </c>
      <c r="CY525" s="177">
        <f t="shared" si="675"/>
        <v>11000</v>
      </c>
      <c r="CZ525" s="1019">
        <f t="shared" si="676"/>
        <v>0</v>
      </c>
      <c r="DA525" s="177">
        <f t="shared" si="677"/>
        <v>0</v>
      </c>
      <c r="DB525" s="126"/>
      <c r="DC525" s="125"/>
    </row>
    <row r="526" spans="1:107" ht="51" hidden="1" x14ac:dyDescent="0.25">
      <c r="A526" s="19">
        <v>2026</v>
      </c>
      <c r="B526" s="20">
        <v>479</v>
      </c>
      <c r="C526" s="21" t="s">
        <v>64</v>
      </c>
      <c r="D526" s="21" t="s">
        <v>65</v>
      </c>
      <c r="E526" s="20">
        <v>125</v>
      </c>
      <c r="F526" s="20">
        <v>3000654</v>
      </c>
      <c r="G526" s="20">
        <v>5005023</v>
      </c>
      <c r="H526" s="20">
        <v>3</v>
      </c>
      <c r="I526" s="20">
        <v>12</v>
      </c>
      <c r="J526" s="20">
        <v>24</v>
      </c>
      <c r="K526" s="20">
        <v>135560</v>
      </c>
      <c r="L526" s="21" t="s">
        <v>98</v>
      </c>
      <c r="M526" s="33" t="s">
        <v>99</v>
      </c>
      <c r="N526" s="19">
        <v>94</v>
      </c>
      <c r="O526" s="2"/>
      <c r="P526" s="2" t="s">
        <v>4</v>
      </c>
      <c r="Q526" s="178" t="s">
        <v>68</v>
      </c>
      <c r="R526" s="25" t="s">
        <v>69</v>
      </c>
      <c r="S526" s="41" t="s">
        <v>137</v>
      </c>
      <c r="T526" s="41"/>
      <c r="U526" s="31" t="s">
        <v>359</v>
      </c>
      <c r="V526" s="25" t="s">
        <v>3</v>
      </c>
      <c r="W526" s="25">
        <v>1</v>
      </c>
      <c r="X526" s="595">
        <v>6500</v>
      </c>
      <c r="Y526" s="619"/>
      <c r="Z526" s="2"/>
      <c r="AA526" s="2"/>
      <c r="AB526" s="620"/>
      <c r="AC526" s="25">
        <v>30</v>
      </c>
      <c r="AD526" s="25">
        <v>0</v>
      </c>
      <c r="AE526" s="619"/>
      <c r="AF526" s="2"/>
      <c r="AG526" s="2"/>
      <c r="AH526" s="2"/>
      <c r="AI526" s="2"/>
      <c r="AJ526" s="621"/>
      <c r="AK526" s="596">
        <v>6500</v>
      </c>
      <c r="AL526" s="29" t="s">
        <v>73</v>
      </c>
      <c r="AM526" s="29" t="s">
        <v>73</v>
      </c>
      <c r="AN526" s="29" t="s">
        <v>73</v>
      </c>
      <c r="AO526" s="29" t="s">
        <v>73</v>
      </c>
      <c r="AP526" s="478">
        <v>6500</v>
      </c>
      <c r="AQ526" s="648">
        <v>0</v>
      </c>
      <c r="AR526" s="29" t="s">
        <v>73</v>
      </c>
      <c r="AS526" s="29" t="s">
        <v>73</v>
      </c>
      <c r="AT526" s="29" t="s">
        <v>73</v>
      </c>
      <c r="AU526" s="29" t="s">
        <v>73</v>
      </c>
      <c r="AV526" s="29" t="s">
        <v>73</v>
      </c>
      <c r="AW526" s="29" t="s">
        <v>73</v>
      </c>
      <c r="AX526" s="30">
        <v>6500</v>
      </c>
      <c r="AY526" s="165" t="s">
        <v>6</v>
      </c>
      <c r="AZ526" s="2" t="s">
        <v>74</v>
      </c>
      <c r="BA526" s="2"/>
      <c r="BK526" s="147" t="s">
        <v>790</v>
      </c>
      <c r="BL526" s="481" t="s">
        <v>791</v>
      </c>
      <c r="BM526" s="125" t="s">
        <v>1806</v>
      </c>
      <c r="BN526" s="649" t="s">
        <v>1807</v>
      </c>
      <c r="BO526" s="125" t="s">
        <v>1808</v>
      </c>
      <c r="BP526" s="129">
        <v>46134</v>
      </c>
      <c r="BQ526" s="18"/>
      <c r="BR526" s="505" t="s">
        <v>2324</v>
      </c>
      <c r="BS526" s="18"/>
      <c r="BT526" s="656" t="s">
        <v>1809</v>
      </c>
      <c r="BU526" s="18"/>
      <c r="BV526" s="552" t="s">
        <v>2325</v>
      </c>
      <c r="BW526" s="646" t="s">
        <v>2326</v>
      </c>
      <c r="BX526" s="646" t="s">
        <v>2327</v>
      </c>
      <c r="BY526" s="552">
        <v>41846729</v>
      </c>
      <c r="BZ526" s="552">
        <v>10418467296</v>
      </c>
      <c r="CA526" s="126">
        <v>6500</v>
      </c>
      <c r="CB526" s="289">
        <v>46143</v>
      </c>
      <c r="CC526" s="289">
        <v>46173</v>
      </c>
      <c r="CD526" s="759"/>
      <c r="CE526" s="177">
        <f t="shared" si="689"/>
        <v>30</v>
      </c>
      <c r="CF526" s="1019">
        <f t="shared" si="690"/>
        <v>6500</v>
      </c>
      <c r="CG526" s="177">
        <v>30</v>
      </c>
      <c r="CH526" s="1019">
        <f t="shared" si="691"/>
        <v>6500</v>
      </c>
      <c r="CI526" s="177">
        <v>30</v>
      </c>
      <c r="CJ526" s="1019">
        <f t="shared" si="692"/>
        <v>6500</v>
      </c>
      <c r="CK526" s="177">
        <f t="shared" si="693"/>
        <v>0</v>
      </c>
      <c r="CL526" s="177">
        <f t="shared" si="694"/>
        <v>0</v>
      </c>
      <c r="CM526" s="1006"/>
      <c r="CN526" s="177">
        <f t="shared" si="695"/>
        <v>0</v>
      </c>
      <c r="CO526" s="1019">
        <f t="shared" si="696"/>
        <v>0</v>
      </c>
      <c r="CP526" s="177"/>
      <c r="CQ526" s="1019">
        <f t="shared" si="697"/>
        <v>0</v>
      </c>
      <c r="CR526" s="1019"/>
      <c r="CS526" s="1019">
        <f t="shared" si="698"/>
        <v>0</v>
      </c>
      <c r="CT526" s="177">
        <f t="shared" si="699"/>
        <v>0</v>
      </c>
      <c r="CU526" s="177">
        <f t="shared" si="700"/>
        <v>0</v>
      </c>
      <c r="CV526" s="1006"/>
      <c r="CW526" s="177">
        <f t="shared" si="673"/>
        <v>6500</v>
      </c>
      <c r="CX526" s="1019">
        <f t="shared" si="674"/>
        <v>6500</v>
      </c>
      <c r="CY526" s="177">
        <f t="shared" si="675"/>
        <v>6500</v>
      </c>
      <c r="CZ526" s="1019">
        <f t="shared" si="676"/>
        <v>0</v>
      </c>
      <c r="DA526" s="177">
        <f t="shared" si="677"/>
        <v>0</v>
      </c>
      <c r="DB526" s="126"/>
      <c r="DC526" s="125"/>
    </row>
    <row r="527" spans="1:107" ht="51" hidden="1" x14ac:dyDescent="0.25">
      <c r="A527" s="19">
        <v>2026</v>
      </c>
      <c r="B527" s="20">
        <v>479</v>
      </c>
      <c r="C527" s="21" t="s">
        <v>64</v>
      </c>
      <c r="D527" s="21" t="s">
        <v>65</v>
      </c>
      <c r="E527" s="20">
        <v>125</v>
      </c>
      <c r="F527" s="20">
        <v>3000654</v>
      </c>
      <c r="G527" s="20">
        <v>5005023</v>
      </c>
      <c r="H527" s="20">
        <v>3</v>
      </c>
      <c r="I527" s="20">
        <v>12</v>
      </c>
      <c r="J527" s="20">
        <v>24</v>
      </c>
      <c r="K527" s="20">
        <v>135560</v>
      </c>
      <c r="L527" s="21" t="s">
        <v>220</v>
      </c>
      <c r="M527" s="33" t="s">
        <v>221</v>
      </c>
      <c r="N527" s="19">
        <v>97</v>
      </c>
      <c r="O527" s="2"/>
      <c r="P527" s="2" t="s">
        <v>4</v>
      </c>
      <c r="Q527" s="20" t="s">
        <v>68</v>
      </c>
      <c r="R527" s="25" t="s">
        <v>69</v>
      </c>
      <c r="S527" s="41" t="s">
        <v>137</v>
      </c>
      <c r="T527" s="41"/>
      <c r="U527" s="31" t="s">
        <v>359</v>
      </c>
      <c r="V527" s="25" t="s">
        <v>3</v>
      </c>
      <c r="W527" s="25">
        <v>1</v>
      </c>
      <c r="X527" s="595">
        <v>6500</v>
      </c>
      <c r="Y527" s="619"/>
      <c r="Z527" s="2"/>
      <c r="AA527" s="2"/>
      <c r="AB527" s="620"/>
      <c r="AC527" s="25">
        <v>0</v>
      </c>
      <c r="AD527" s="25">
        <v>30</v>
      </c>
      <c r="AE527" s="619"/>
      <c r="AF527" s="2"/>
      <c r="AG527" s="2"/>
      <c r="AH527" s="2"/>
      <c r="AI527" s="2"/>
      <c r="AJ527" s="621"/>
      <c r="AK527" s="596">
        <v>6500</v>
      </c>
      <c r="AL527" s="29" t="s">
        <v>73</v>
      </c>
      <c r="AM527" s="29" t="s">
        <v>73</v>
      </c>
      <c r="AN527" s="29" t="s">
        <v>73</v>
      </c>
      <c r="AO527" s="29" t="s">
        <v>73</v>
      </c>
      <c r="AP527" s="648">
        <v>0</v>
      </c>
      <c r="AQ527" s="478">
        <v>6500</v>
      </c>
      <c r="AR527" s="29" t="s">
        <v>73</v>
      </c>
      <c r="AS527" s="29" t="s">
        <v>73</v>
      </c>
      <c r="AT527" s="29" t="s">
        <v>73</v>
      </c>
      <c r="AU527" s="29" t="s">
        <v>73</v>
      </c>
      <c r="AV527" s="29" t="s">
        <v>73</v>
      </c>
      <c r="AW527" s="29" t="s">
        <v>73</v>
      </c>
      <c r="AX527" s="30">
        <v>6500</v>
      </c>
      <c r="AY527" s="479" t="s">
        <v>6</v>
      </c>
      <c r="AZ527" s="2" t="s">
        <v>74</v>
      </c>
      <c r="BA527" s="2"/>
      <c r="BK527" s="125" t="s">
        <v>790</v>
      </c>
      <c r="BL527" s="481" t="s">
        <v>791</v>
      </c>
      <c r="BM527" s="125" t="s">
        <v>1812</v>
      </c>
      <c r="BN527" s="177" t="s">
        <v>1813</v>
      </c>
      <c r="BO527" s="125" t="s">
        <v>1814</v>
      </c>
      <c r="BP527" s="129">
        <v>46156</v>
      </c>
      <c r="BQ527" s="18"/>
      <c r="BR527" s="287">
        <v>5004</v>
      </c>
      <c r="BS527" s="18"/>
      <c r="BT527" s="18"/>
      <c r="BU527" s="947" t="s">
        <v>1815</v>
      </c>
      <c r="BV527" s="552" t="s">
        <v>2325</v>
      </c>
      <c r="BW527" s="649" t="s">
        <v>2326</v>
      </c>
      <c r="BX527" s="649" t="s">
        <v>2327</v>
      </c>
      <c r="BY527" s="552">
        <v>41846729</v>
      </c>
      <c r="BZ527" s="552">
        <v>10418467296</v>
      </c>
      <c r="CA527" s="650">
        <v>6500</v>
      </c>
      <c r="CB527" s="289">
        <v>46174</v>
      </c>
      <c r="CC527" s="289">
        <v>46203</v>
      </c>
      <c r="CD527" s="759"/>
      <c r="CE527" s="177">
        <v>0</v>
      </c>
      <c r="CF527" s="1019">
        <f t="shared" si="690"/>
        <v>0</v>
      </c>
      <c r="CG527" s="177"/>
      <c r="CH527" s="1019">
        <f t="shared" si="691"/>
        <v>0</v>
      </c>
      <c r="CI527" s="177"/>
      <c r="CJ527" s="1019">
        <f t="shared" si="692"/>
        <v>0</v>
      </c>
      <c r="CK527" s="177">
        <f t="shared" si="693"/>
        <v>0</v>
      </c>
      <c r="CL527" s="177">
        <f t="shared" si="694"/>
        <v>0</v>
      </c>
      <c r="CM527" s="1006"/>
      <c r="CN527" s="177">
        <f t="shared" si="695"/>
        <v>30</v>
      </c>
      <c r="CO527" s="1019">
        <f t="shared" si="696"/>
        <v>6500</v>
      </c>
      <c r="CP527" s="177">
        <v>30</v>
      </c>
      <c r="CQ527" s="1019">
        <f t="shared" si="697"/>
        <v>6500</v>
      </c>
      <c r="CR527" s="1019">
        <v>30</v>
      </c>
      <c r="CS527" s="1019">
        <f t="shared" si="698"/>
        <v>6500</v>
      </c>
      <c r="CT527" s="177">
        <f t="shared" si="699"/>
        <v>0</v>
      </c>
      <c r="CU527" s="177">
        <f t="shared" si="700"/>
        <v>0</v>
      </c>
      <c r="CV527" s="1006"/>
      <c r="CW527" s="177">
        <f t="shared" si="673"/>
        <v>6500</v>
      </c>
      <c r="CX527" s="1019">
        <f t="shared" si="674"/>
        <v>6500</v>
      </c>
      <c r="CY527" s="177">
        <f t="shared" si="675"/>
        <v>6500</v>
      </c>
      <c r="CZ527" s="1019">
        <f t="shared" si="676"/>
        <v>0</v>
      </c>
      <c r="DA527" s="177">
        <f t="shared" si="677"/>
        <v>0</v>
      </c>
      <c r="DB527" s="126"/>
      <c r="DC527" s="125"/>
    </row>
    <row r="528" spans="1:107" ht="51" hidden="1" x14ac:dyDescent="0.25">
      <c r="A528" s="19">
        <v>2026</v>
      </c>
      <c r="B528" s="20">
        <v>479</v>
      </c>
      <c r="C528" s="21" t="s">
        <v>64</v>
      </c>
      <c r="D528" s="21" t="s">
        <v>65</v>
      </c>
      <c r="E528" s="20">
        <v>125</v>
      </c>
      <c r="F528" s="20">
        <v>3000654</v>
      </c>
      <c r="G528" s="20">
        <v>5005023</v>
      </c>
      <c r="H528" s="20">
        <v>3</v>
      </c>
      <c r="I528" s="20">
        <v>12</v>
      </c>
      <c r="J528" s="20">
        <v>24</v>
      </c>
      <c r="K528" s="20">
        <v>135560</v>
      </c>
      <c r="L528" s="21" t="s">
        <v>220</v>
      </c>
      <c r="M528" s="33" t="s">
        <v>221</v>
      </c>
      <c r="N528" s="19">
        <v>97</v>
      </c>
      <c r="O528" s="2"/>
      <c r="P528" s="2" t="s">
        <v>4</v>
      </c>
      <c r="Q528" s="20" t="s">
        <v>68</v>
      </c>
      <c r="R528" s="25" t="s">
        <v>69</v>
      </c>
      <c r="S528" s="41" t="s">
        <v>137</v>
      </c>
      <c r="T528" s="41"/>
      <c r="U528" s="31" t="s">
        <v>360</v>
      </c>
      <c r="V528" s="25" t="s">
        <v>3</v>
      </c>
      <c r="W528" s="25">
        <v>1</v>
      </c>
      <c r="X528" s="595">
        <v>9000</v>
      </c>
      <c r="Y528" s="619"/>
      <c r="Z528" s="2"/>
      <c r="AA528" s="2"/>
      <c r="AB528" s="620"/>
      <c r="AC528" s="25">
        <v>30</v>
      </c>
      <c r="AD528" s="25">
        <v>30</v>
      </c>
      <c r="AE528" s="619"/>
      <c r="AF528" s="2"/>
      <c r="AG528" s="2"/>
      <c r="AH528" s="2"/>
      <c r="AI528" s="2"/>
      <c r="AJ528" s="621"/>
      <c r="AK528" s="596">
        <v>18000</v>
      </c>
      <c r="AL528" s="29" t="s">
        <v>73</v>
      </c>
      <c r="AM528" s="29" t="s">
        <v>73</v>
      </c>
      <c r="AN528" s="29" t="s">
        <v>73</v>
      </c>
      <c r="AO528" s="29" t="s">
        <v>73</v>
      </c>
      <c r="AP528" s="478">
        <v>9000</v>
      </c>
      <c r="AQ528" s="478">
        <v>9000</v>
      </c>
      <c r="AR528" s="29" t="s">
        <v>73</v>
      </c>
      <c r="AS528" s="29" t="s">
        <v>73</v>
      </c>
      <c r="AT528" s="29" t="s">
        <v>73</v>
      </c>
      <c r="AU528" s="29" t="s">
        <v>73</v>
      </c>
      <c r="AV528" s="29" t="s">
        <v>73</v>
      </c>
      <c r="AW528" s="29" t="s">
        <v>73</v>
      </c>
      <c r="AX528" s="30">
        <v>18000</v>
      </c>
      <c r="AY528" s="479" t="s">
        <v>6</v>
      </c>
      <c r="AZ528" s="2" t="s">
        <v>74</v>
      </c>
      <c r="BA528" s="2"/>
      <c r="BK528" s="481" t="s">
        <v>790</v>
      </c>
      <c r="BL528" s="481" t="s">
        <v>791</v>
      </c>
      <c r="BM528" s="125" t="s">
        <v>1951</v>
      </c>
      <c r="BN528" s="177" t="s">
        <v>1952</v>
      </c>
      <c r="BO528" s="125" t="s">
        <v>1953</v>
      </c>
      <c r="BP528" s="129">
        <v>46174</v>
      </c>
      <c r="BQ528" s="18"/>
      <c r="BR528" s="175"/>
      <c r="BS528" s="18"/>
      <c r="BT528" s="18"/>
      <c r="BU528" s="18"/>
      <c r="BV528" s="125" t="s">
        <v>917</v>
      </c>
      <c r="BW528" s="125" t="s">
        <v>2328</v>
      </c>
      <c r="BX528" s="125" t="s">
        <v>2329</v>
      </c>
      <c r="BY528" s="125" t="s">
        <v>2330</v>
      </c>
      <c r="BZ528" s="125">
        <v>10081447646</v>
      </c>
      <c r="CA528" s="126">
        <v>9000</v>
      </c>
      <c r="CB528" s="289">
        <v>46175</v>
      </c>
      <c r="CC528" s="289">
        <v>46203</v>
      </c>
      <c r="CD528" s="759"/>
      <c r="CE528" s="177">
        <f t="shared" si="689"/>
        <v>30</v>
      </c>
      <c r="CF528" s="1019">
        <f t="shared" si="690"/>
        <v>9000</v>
      </c>
      <c r="CG528" s="177"/>
      <c r="CH528" s="1019">
        <f t="shared" si="691"/>
        <v>0</v>
      </c>
      <c r="CI528" s="177"/>
      <c r="CJ528" s="1019">
        <f t="shared" si="692"/>
        <v>0</v>
      </c>
      <c r="CK528" s="177">
        <f t="shared" si="693"/>
        <v>9000</v>
      </c>
      <c r="CL528" s="177">
        <f t="shared" si="694"/>
        <v>9000</v>
      </c>
      <c r="CM528" s="1006"/>
      <c r="CN528" s="177">
        <f t="shared" si="695"/>
        <v>30</v>
      </c>
      <c r="CO528" s="1019">
        <f t="shared" si="696"/>
        <v>9000</v>
      </c>
      <c r="CP528" s="177">
        <v>29</v>
      </c>
      <c r="CQ528" s="1019">
        <f t="shared" si="697"/>
        <v>8700</v>
      </c>
      <c r="CR528" s="177">
        <v>29</v>
      </c>
      <c r="CS528" s="1019">
        <f t="shared" si="698"/>
        <v>8700</v>
      </c>
      <c r="CT528" s="1040">
        <f t="shared" si="699"/>
        <v>300</v>
      </c>
      <c r="CU528" s="177">
        <f t="shared" si="700"/>
        <v>300</v>
      </c>
      <c r="CV528" s="1006"/>
      <c r="CW528" s="177">
        <f t="shared" si="673"/>
        <v>18000</v>
      </c>
      <c r="CX528" s="1019">
        <f t="shared" si="674"/>
        <v>8700</v>
      </c>
      <c r="CY528" s="177">
        <f t="shared" si="675"/>
        <v>8700</v>
      </c>
      <c r="CZ528" s="1019">
        <f t="shared" si="676"/>
        <v>9300</v>
      </c>
      <c r="DA528" s="177">
        <f t="shared" si="677"/>
        <v>9300</v>
      </c>
      <c r="DB528" s="126"/>
      <c r="DC528" s="125"/>
    </row>
    <row r="529" spans="1:107" ht="51" hidden="1" x14ac:dyDescent="0.25">
      <c r="A529" s="19">
        <v>2026</v>
      </c>
      <c r="B529" s="20">
        <v>479</v>
      </c>
      <c r="C529" s="21" t="s">
        <v>64</v>
      </c>
      <c r="D529" s="21" t="s">
        <v>65</v>
      </c>
      <c r="E529" s="20">
        <v>125</v>
      </c>
      <c r="F529" s="20">
        <v>3000654</v>
      </c>
      <c r="G529" s="20">
        <v>5005023</v>
      </c>
      <c r="H529" s="20">
        <v>3</v>
      </c>
      <c r="I529" s="20">
        <v>12</v>
      </c>
      <c r="J529" s="20">
        <v>24</v>
      </c>
      <c r="K529" s="20">
        <v>135560</v>
      </c>
      <c r="L529" s="21" t="s">
        <v>220</v>
      </c>
      <c r="M529" s="33" t="s">
        <v>221</v>
      </c>
      <c r="N529" s="19">
        <v>97</v>
      </c>
      <c r="O529" s="2"/>
      <c r="P529" s="2" t="s">
        <v>4</v>
      </c>
      <c r="Q529" s="20" t="s">
        <v>68</v>
      </c>
      <c r="R529" s="25" t="s">
        <v>69</v>
      </c>
      <c r="S529" s="41" t="s">
        <v>137</v>
      </c>
      <c r="T529" s="41"/>
      <c r="U529" s="38" t="s">
        <v>361</v>
      </c>
      <c r="V529" s="25" t="s">
        <v>3</v>
      </c>
      <c r="W529" s="25">
        <v>1</v>
      </c>
      <c r="X529" s="595">
        <v>8500</v>
      </c>
      <c r="Y529" s="619"/>
      <c r="Z529" s="2"/>
      <c r="AA529" s="2"/>
      <c r="AB529" s="620"/>
      <c r="AC529" s="25">
        <v>30</v>
      </c>
      <c r="AD529" s="25">
        <v>30</v>
      </c>
      <c r="AE529" s="619"/>
      <c r="AF529" s="2"/>
      <c r="AG529" s="2"/>
      <c r="AH529" s="2"/>
      <c r="AI529" s="2"/>
      <c r="AJ529" s="621"/>
      <c r="AK529" s="596">
        <v>17000</v>
      </c>
      <c r="AL529" s="29" t="s">
        <v>73</v>
      </c>
      <c r="AM529" s="29" t="s">
        <v>73</v>
      </c>
      <c r="AN529" s="29" t="s">
        <v>73</v>
      </c>
      <c r="AO529" s="29" t="s">
        <v>73</v>
      </c>
      <c r="AP529" s="478">
        <v>8500</v>
      </c>
      <c r="AQ529" s="478">
        <v>8500</v>
      </c>
      <c r="AR529" s="29" t="s">
        <v>73</v>
      </c>
      <c r="AS529" s="29" t="s">
        <v>73</v>
      </c>
      <c r="AT529" s="29" t="s">
        <v>73</v>
      </c>
      <c r="AU529" s="29" t="s">
        <v>73</v>
      </c>
      <c r="AV529" s="29" t="s">
        <v>73</v>
      </c>
      <c r="AW529" s="29" t="s">
        <v>73</v>
      </c>
      <c r="AX529" s="30">
        <v>17000</v>
      </c>
      <c r="AY529" s="479" t="s">
        <v>6</v>
      </c>
      <c r="AZ529" s="2" t="s">
        <v>74</v>
      </c>
      <c r="BA529" s="2"/>
      <c r="BK529" s="125" t="s">
        <v>790</v>
      </c>
      <c r="BL529" s="481" t="s">
        <v>791</v>
      </c>
      <c r="BM529" s="125" t="s">
        <v>1998</v>
      </c>
      <c r="BN529" s="177" t="s">
        <v>1999</v>
      </c>
      <c r="BO529" s="125" t="s">
        <v>2000</v>
      </c>
      <c r="BP529" s="129">
        <v>46134</v>
      </c>
      <c r="BQ529" s="18"/>
      <c r="BR529" s="505" t="s">
        <v>2331</v>
      </c>
      <c r="BS529" s="18"/>
      <c r="BT529" s="656" t="s">
        <v>2002</v>
      </c>
      <c r="BU529" s="947" t="s">
        <v>1841</v>
      </c>
      <c r="BV529" s="125" t="s">
        <v>872</v>
      </c>
      <c r="BW529" s="125" t="s">
        <v>2332</v>
      </c>
      <c r="BX529" s="125" t="s">
        <v>2333</v>
      </c>
      <c r="BY529" s="125">
        <v>43515206</v>
      </c>
      <c r="BZ529" s="125">
        <v>10435152061</v>
      </c>
      <c r="CA529" s="126">
        <v>8500</v>
      </c>
      <c r="CB529" s="289">
        <v>46143</v>
      </c>
      <c r="CC529" s="289">
        <v>46203</v>
      </c>
      <c r="CD529" s="759"/>
      <c r="CE529" s="177">
        <f t="shared" si="689"/>
        <v>30</v>
      </c>
      <c r="CF529" s="1019">
        <f t="shared" si="690"/>
        <v>8500</v>
      </c>
      <c r="CG529" s="177">
        <v>30</v>
      </c>
      <c r="CH529" s="1019">
        <f t="shared" si="691"/>
        <v>8500</v>
      </c>
      <c r="CI529" s="177">
        <v>30</v>
      </c>
      <c r="CJ529" s="1019">
        <f t="shared" si="692"/>
        <v>8500</v>
      </c>
      <c r="CK529" s="177">
        <f t="shared" si="693"/>
        <v>0</v>
      </c>
      <c r="CL529" s="177">
        <f t="shared" si="694"/>
        <v>0</v>
      </c>
      <c r="CM529" s="1006"/>
      <c r="CN529" s="177">
        <f t="shared" si="695"/>
        <v>30</v>
      </c>
      <c r="CO529" s="1019">
        <f t="shared" si="696"/>
        <v>8500</v>
      </c>
      <c r="CP529" s="177">
        <v>30</v>
      </c>
      <c r="CQ529" s="1019">
        <f t="shared" si="697"/>
        <v>8500</v>
      </c>
      <c r="CR529" s="1019">
        <v>30</v>
      </c>
      <c r="CS529" s="1019">
        <f t="shared" si="698"/>
        <v>8500</v>
      </c>
      <c r="CT529" s="177">
        <f t="shared" si="699"/>
        <v>0</v>
      </c>
      <c r="CU529" s="177">
        <f t="shared" si="700"/>
        <v>0</v>
      </c>
      <c r="CV529" s="1006"/>
      <c r="CW529" s="177">
        <f t="shared" si="673"/>
        <v>17000</v>
      </c>
      <c r="CX529" s="1019">
        <f t="shared" si="674"/>
        <v>17000</v>
      </c>
      <c r="CY529" s="177">
        <f t="shared" si="675"/>
        <v>17000</v>
      </c>
      <c r="CZ529" s="1019">
        <f t="shared" si="676"/>
        <v>0</v>
      </c>
      <c r="DA529" s="177">
        <f t="shared" si="677"/>
        <v>0</v>
      </c>
      <c r="DB529" s="126"/>
      <c r="DC529" s="125"/>
    </row>
    <row r="530" spans="1:107" ht="51" hidden="1" x14ac:dyDescent="0.25">
      <c r="A530" s="19">
        <v>2026</v>
      </c>
      <c r="B530" s="20">
        <v>479</v>
      </c>
      <c r="C530" s="21" t="s">
        <v>64</v>
      </c>
      <c r="D530" s="21" t="s">
        <v>65</v>
      </c>
      <c r="E530" s="20">
        <v>125</v>
      </c>
      <c r="F530" s="20">
        <v>3000654</v>
      </c>
      <c r="G530" s="20">
        <v>5005023</v>
      </c>
      <c r="H530" s="20">
        <v>3</v>
      </c>
      <c r="I530" s="20">
        <v>12</v>
      </c>
      <c r="J530" s="20">
        <v>24</v>
      </c>
      <c r="K530" s="20">
        <v>135560</v>
      </c>
      <c r="L530" s="21" t="s">
        <v>98</v>
      </c>
      <c r="M530" s="33" t="s">
        <v>99</v>
      </c>
      <c r="N530" s="19">
        <v>94</v>
      </c>
      <c r="O530" s="2"/>
      <c r="P530" s="2" t="s">
        <v>4</v>
      </c>
      <c r="Q530" s="20" t="s">
        <v>68</v>
      </c>
      <c r="R530" s="25" t="s">
        <v>69</v>
      </c>
      <c r="S530" s="41" t="s">
        <v>137</v>
      </c>
      <c r="T530" s="41"/>
      <c r="U530" s="31" t="s">
        <v>362</v>
      </c>
      <c r="V530" s="25" t="s">
        <v>3</v>
      </c>
      <c r="W530" s="25">
        <v>1</v>
      </c>
      <c r="X530" s="595">
        <v>8500</v>
      </c>
      <c r="Y530" s="619"/>
      <c r="Z530" s="2"/>
      <c r="AA530" s="2"/>
      <c r="AB530" s="620"/>
      <c r="AC530" s="25">
        <v>30</v>
      </c>
      <c r="AD530" s="25">
        <v>0</v>
      </c>
      <c r="AE530" s="619"/>
      <c r="AF530" s="2"/>
      <c r="AG530" s="2"/>
      <c r="AH530" s="2"/>
      <c r="AI530" s="2"/>
      <c r="AJ530" s="621"/>
      <c r="AK530" s="596">
        <v>8500</v>
      </c>
      <c r="AL530" s="29" t="s">
        <v>73</v>
      </c>
      <c r="AM530" s="29" t="s">
        <v>73</v>
      </c>
      <c r="AN530" s="29" t="s">
        <v>73</v>
      </c>
      <c r="AO530" s="29" t="s">
        <v>73</v>
      </c>
      <c r="AP530" s="478">
        <v>8500</v>
      </c>
      <c r="AQ530" s="648">
        <v>0</v>
      </c>
      <c r="AR530" s="29" t="s">
        <v>73</v>
      </c>
      <c r="AS530" s="29" t="s">
        <v>73</v>
      </c>
      <c r="AT530" s="29" t="s">
        <v>73</v>
      </c>
      <c r="AU530" s="29" t="s">
        <v>73</v>
      </c>
      <c r="AV530" s="29" t="s">
        <v>73</v>
      </c>
      <c r="AW530" s="29" t="s">
        <v>73</v>
      </c>
      <c r="AX530" s="30">
        <v>8500</v>
      </c>
      <c r="AY530" s="165" t="s">
        <v>6</v>
      </c>
      <c r="AZ530" s="2" t="s">
        <v>74</v>
      </c>
      <c r="BA530" s="2"/>
      <c r="BK530" s="147" t="s">
        <v>790</v>
      </c>
      <c r="BL530" s="481" t="s">
        <v>791</v>
      </c>
      <c r="BM530" s="125" t="s">
        <v>1998</v>
      </c>
      <c r="BN530" s="177" t="s">
        <v>1999</v>
      </c>
      <c r="BO530" s="125" t="s">
        <v>2000</v>
      </c>
      <c r="BP530" s="129">
        <v>46134</v>
      </c>
      <c r="BQ530" s="18"/>
      <c r="BR530" s="505" t="s">
        <v>2334</v>
      </c>
      <c r="BS530" s="18"/>
      <c r="BT530" s="656" t="s">
        <v>2002</v>
      </c>
      <c r="BU530" s="18"/>
      <c r="BV530" s="125" t="s">
        <v>2335</v>
      </c>
      <c r="BW530" s="125" t="s">
        <v>1489</v>
      </c>
      <c r="BX530" s="125" t="s">
        <v>2336</v>
      </c>
      <c r="BY530" s="125">
        <v>41212885</v>
      </c>
      <c r="BZ530" s="125">
        <v>10412128856</v>
      </c>
      <c r="CA530" s="126">
        <v>8500</v>
      </c>
      <c r="CB530" s="289">
        <v>46143</v>
      </c>
      <c r="CC530" s="289">
        <v>46173</v>
      </c>
      <c r="CD530" s="759"/>
      <c r="CE530" s="177">
        <f t="shared" si="689"/>
        <v>30</v>
      </c>
      <c r="CF530" s="1019">
        <f t="shared" si="690"/>
        <v>8500</v>
      </c>
      <c r="CG530" s="177">
        <v>30</v>
      </c>
      <c r="CH530" s="1019">
        <f t="shared" si="691"/>
        <v>8500</v>
      </c>
      <c r="CI530" s="177">
        <v>30</v>
      </c>
      <c r="CJ530" s="1019">
        <f t="shared" si="692"/>
        <v>8500</v>
      </c>
      <c r="CK530" s="177">
        <f t="shared" si="693"/>
        <v>0</v>
      </c>
      <c r="CL530" s="177">
        <f t="shared" si="694"/>
        <v>0</v>
      </c>
      <c r="CM530" s="1006"/>
      <c r="CN530" s="177">
        <v>0</v>
      </c>
      <c r="CO530" s="1019">
        <f t="shared" si="696"/>
        <v>0</v>
      </c>
      <c r="CP530" s="177"/>
      <c r="CQ530" s="1019">
        <f t="shared" si="697"/>
        <v>0</v>
      </c>
      <c r="CR530" s="1019"/>
      <c r="CS530" s="1019">
        <f t="shared" si="698"/>
        <v>0</v>
      </c>
      <c r="CT530" s="177">
        <f t="shared" si="699"/>
        <v>0</v>
      </c>
      <c r="CU530" s="177">
        <f t="shared" si="700"/>
        <v>0</v>
      </c>
      <c r="CV530" s="1006"/>
      <c r="CW530" s="177">
        <f t="shared" ref="CW530:CW593" si="701">AX530</f>
        <v>8500</v>
      </c>
      <c r="CX530" s="1019">
        <f t="shared" ref="CX530:CX593" si="702">CH530+CQ530</f>
        <v>8500</v>
      </c>
      <c r="CY530" s="177">
        <f t="shared" ref="CY530:CY593" si="703">CJ530+CS530</f>
        <v>8500</v>
      </c>
      <c r="CZ530" s="1019">
        <f t="shared" ref="CZ530:CZ593" si="704">CW530-CX530</f>
        <v>0</v>
      </c>
      <c r="DA530" s="177">
        <f t="shared" ref="DA530:DA593" si="705">CW530-CY530</f>
        <v>0</v>
      </c>
      <c r="DB530" s="126"/>
      <c r="DC530" s="125"/>
    </row>
    <row r="531" spans="1:107" ht="51" hidden="1" x14ac:dyDescent="0.25">
      <c r="A531" s="19">
        <v>2026</v>
      </c>
      <c r="B531" s="20">
        <v>479</v>
      </c>
      <c r="C531" s="21" t="s">
        <v>64</v>
      </c>
      <c r="D531" s="21" t="s">
        <v>65</v>
      </c>
      <c r="E531" s="20">
        <v>125</v>
      </c>
      <c r="F531" s="20">
        <v>3000654</v>
      </c>
      <c r="G531" s="20">
        <v>5005023</v>
      </c>
      <c r="H531" s="20">
        <v>3</v>
      </c>
      <c r="I531" s="20">
        <v>12</v>
      </c>
      <c r="J531" s="20">
        <v>24</v>
      </c>
      <c r="K531" s="20">
        <v>135560</v>
      </c>
      <c r="L531" s="21" t="s">
        <v>220</v>
      </c>
      <c r="M531" s="33" t="s">
        <v>221</v>
      </c>
      <c r="N531" s="19">
        <v>97</v>
      </c>
      <c r="O531" s="2"/>
      <c r="P531" s="2" t="s">
        <v>4</v>
      </c>
      <c r="Q531" s="20" t="s">
        <v>68</v>
      </c>
      <c r="R531" s="25" t="s">
        <v>69</v>
      </c>
      <c r="S531" s="41" t="s">
        <v>137</v>
      </c>
      <c r="T531" s="41"/>
      <c r="U531" s="31" t="s">
        <v>362</v>
      </c>
      <c r="V531" s="25" t="s">
        <v>3</v>
      </c>
      <c r="W531" s="25">
        <v>1</v>
      </c>
      <c r="X531" s="595">
        <v>8500</v>
      </c>
      <c r="Y531" s="619"/>
      <c r="Z531" s="2"/>
      <c r="AA531" s="2"/>
      <c r="AB531" s="620"/>
      <c r="AC531" s="25">
        <v>0</v>
      </c>
      <c r="AD531" s="25">
        <v>30</v>
      </c>
      <c r="AE531" s="619"/>
      <c r="AF531" s="2"/>
      <c r="AG531" s="2"/>
      <c r="AH531" s="2"/>
      <c r="AI531" s="2"/>
      <c r="AJ531" s="621"/>
      <c r="AK531" s="596">
        <v>8500</v>
      </c>
      <c r="AL531" s="29" t="s">
        <v>73</v>
      </c>
      <c r="AM531" s="29" t="s">
        <v>73</v>
      </c>
      <c r="AN531" s="29" t="s">
        <v>73</v>
      </c>
      <c r="AO531" s="29" t="s">
        <v>73</v>
      </c>
      <c r="AP531" s="648">
        <v>0</v>
      </c>
      <c r="AQ531" s="478">
        <v>8500</v>
      </c>
      <c r="AR531" s="29" t="s">
        <v>73</v>
      </c>
      <c r="AS531" s="29" t="s">
        <v>73</v>
      </c>
      <c r="AT531" s="29" t="s">
        <v>73</v>
      </c>
      <c r="AU531" s="29" t="s">
        <v>73</v>
      </c>
      <c r="AV531" s="29" t="s">
        <v>73</v>
      </c>
      <c r="AW531" s="29" t="s">
        <v>73</v>
      </c>
      <c r="AX531" s="30">
        <v>8500</v>
      </c>
      <c r="AY531" s="479" t="s">
        <v>6</v>
      </c>
      <c r="AZ531" s="2" t="s">
        <v>74</v>
      </c>
      <c r="BA531" s="2"/>
      <c r="BK531" s="125" t="s">
        <v>790</v>
      </c>
      <c r="BL531" s="481" t="s">
        <v>791</v>
      </c>
      <c r="BM531" s="125" t="s">
        <v>1812</v>
      </c>
      <c r="BN531" s="177" t="s">
        <v>1813</v>
      </c>
      <c r="BO531" s="125" t="s">
        <v>1814</v>
      </c>
      <c r="BP531" s="129">
        <v>46156</v>
      </c>
      <c r="BQ531" s="18"/>
      <c r="BR531" s="262" t="s">
        <v>2334</v>
      </c>
      <c r="BS531" s="18"/>
      <c r="BT531" s="18"/>
      <c r="BU531" s="18"/>
      <c r="BV531" s="284" t="s">
        <v>2335</v>
      </c>
      <c r="BW531" s="284" t="s">
        <v>1489</v>
      </c>
      <c r="BX531" s="284" t="s">
        <v>2336</v>
      </c>
      <c r="BY531" s="284">
        <v>41212885</v>
      </c>
      <c r="BZ531" s="284">
        <v>10412128856</v>
      </c>
      <c r="CA531" s="288">
        <v>8500</v>
      </c>
      <c r="CB531" s="289">
        <v>46174</v>
      </c>
      <c r="CC531" s="289">
        <v>46203</v>
      </c>
      <c r="CD531" s="759"/>
      <c r="CE531" s="177">
        <f t="shared" si="689"/>
        <v>0</v>
      </c>
      <c r="CF531" s="1019">
        <f t="shared" si="690"/>
        <v>0</v>
      </c>
      <c r="CG531" s="177"/>
      <c r="CH531" s="1019">
        <f t="shared" si="691"/>
        <v>0</v>
      </c>
      <c r="CI531" s="177"/>
      <c r="CJ531" s="1019">
        <f t="shared" si="692"/>
        <v>0</v>
      </c>
      <c r="CK531" s="177">
        <f t="shared" si="693"/>
        <v>0</v>
      </c>
      <c r="CL531" s="177">
        <f t="shared" si="694"/>
        <v>0</v>
      </c>
      <c r="CM531" s="1006"/>
      <c r="CN531" s="177">
        <f t="shared" si="695"/>
        <v>30</v>
      </c>
      <c r="CO531" s="1019">
        <f t="shared" si="696"/>
        <v>8500</v>
      </c>
      <c r="CP531" s="177">
        <v>30</v>
      </c>
      <c r="CQ531" s="1019">
        <f t="shared" si="697"/>
        <v>8500</v>
      </c>
      <c r="CR531" s="1019">
        <v>30</v>
      </c>
      <c r="CS531" s="1019">
        <f t="shared" si="698"/>
        <v>8500</v>
      </c>
      <c r="CT531" s="177">
        <f t="shared" si="699"/>
        <v>0</v>
      </c>
      <c r="CU531" s="177">
        <f t="shared" si="700"/>
        <v>0</v>
      </c>
      <c r="CV531" s="1006"/>
      <c r="CW531" s="177">
        <f t="shared" si="701"/>
        <v>8500</v>
      </c>
      <c r="CX531" s="1019">
        <f t="shared" si="702"/>
        <v>8500</v>
      </c>
      <c r="CY531" s="177">
        <f t="shared" si="703"/>
        <v>8500</v>
      </c>
      <c r="CZ531" s="1019">
        <f t="shared" si="704"/>
        <v>0</v>
      </c>
      <c r="DA531" s="177">
        <f t="shared" si="705"/>
        <v>0</v>
      </c>
      <c r="DB531" s="126"/>
      <c r="DC531" s="125"/>
    </row>
    <row r="532" spans="1:107" ht="51" hidden="1" x14ac:dyDescent="0.25">
      <c r="A532" s="19">
        <v>2026</v>
      </c>
      <c r="B532" s="20">
        <v>479</v>
      </c>
      <c r="C532" s="21" t="s">
        <v>64</v>
      </c>
      <c r="D532" s="21" t="s">
        <v>65</v>
      </c>
      <c r="E532" s="20">
        <v>125</v>
      </c>
      <c r="F532" s="20">
        <v>3000654</v>
      </c>
      <c r="G532" s="20">
        <v>5005023</v>
      </c>
      <c r="H532" s="20">
        <v>3</v>
      </c>
      <c r="I532" s="20">
        <v>12</v>
      </c>
      <c r="J532" s="20">
        <v>24</v>
      </c>
      <c r="K532" s="20">
        <v>135560</v>
      </c>
      <c r="L532" s="21" t="s">
        <v>220</v>
      </c>
      <c r="M532" s="33" t="s">
        <v>221</v>
      </c>
      <c r="N532" s="19">
        <v>97</v>
      </c>
      <c r="O532" s="2"/>
      <c r="P532" s="2" t="s">
        <v>4</v>
      </c>
      <c r="Q532" s="20" t="s">
        <v>68</v>
      </c>
      <c r="R532" s="25" t="s">
        <v>69</v>
      </c>
      <c r="S532" s="41" t="s">
        <v>137</v>
      </c>
      <c r="T532" s="41"/>
      <c r="U532" s="31" t="s">
        <v>363</v>
      </c>
      <c r="V532" s="25" t="s">
        <v>3</v>
      </c>
      <c r="W532" s="25">
        <v>1</v>
      </c>
      <c r="X532" s="595">
        <v>9000</v>
      </c>
      <c r="Y532" s="619"/>
      <c r="Z532" s="2"/>
      <c r="AA532" s="2"/>
      <c r="AB532" s="620"/>
      <c r="AC532" s="25">
        <v>30</v>
      </c>
      <c r="AD532" s="25">
        <v>30</v>
      </c>
      <c r="AE532" s="619"/>
      <c r="AF532" s="2"/>
      <c r="AG532" s="2"/>
      <c r="AH532" s="2"/>
      <c r="AI532" s="2"/>
      <c r="AJ532" s="621"/>
      <c r="AK532" s="596">
        <v>18000</v>
      </c>
      <c r="AL532" s="29" t="s">
        <v>73</v>
      </c>
      <c r="AM532" s="29" t="s">
        <v>73</v>
      </c>
      <c r="AN532" s="29" t="s">
        <v>73</v>
      </c>
      <c r="AO532" s="29" t="s">
        <v>73</v>
      </c>
      <c r="AP532" s="478">
        <v>9000</v>
      </c>
      <c r="AQ532" s="478">
        <v>9000</v>
      </c>
      <c r="AR532" s="29" t="s">
        <v>73</v>
      </c>
      <c r="AS532" s="29" t="s">
        <v>73</v>
      </c>
      <c r="AT532" s="29" t="s">
        <v>73</v>
      </c>
      <c r="AU532" s="29" t="s">
        <v>73</v>
      </c>
      <c r="AV532" s="29" t="s">
        <v>73</v>
      </c>
      <c r="AW532" s="29" t="s">
        <v>73</v>
      </c>
      <c r="AX532" s="30">
        <v>18000</v>
      </c>
      <c r="AY532" s="479" t="s">
        <v>6</v>
      </c>
      <c r="AZ532" s="2" t="s">
        <v>74</v>
      </c>
      <c r="BA532" s="2"/>
      <c r="BK532" s="481" t="s">
        <v>790</v>
      </c>
      <c r="BL532" s="481" t="s">
        <v>791</v>
      </c>
      <c r="BM532" s="125" t="s">
        <v>2337</v>
      </c>
      <c r="BN532" s="177" t="s">
        <v>2338</v>
      </c>
      <c r="BO532" s="125" t="s">
        <v>2339</v>
      </c>
      <c r="BP532" s="129">
        <v>46155</v>
      </c>
      <c r="BQ532" s="18"/>
      <c r="BR532" s="287">
        <v>4561</v>
      </c>
      <c r="BS532" s="18"/>
      <c r="BT532" s="656"/>
      <c r="BU532" s="951" t="s">
        <v>1815</v>
      </c>
      <c r="BV532" s="284" t="s">
        <v>2340</v>
      </c>
      <c r="BW532" s="284" t="s">
        <v>2341</v>
      </c>
      <c r="BX532" s="284" t="s">
        <v>904</v>
      </c>
      <c r="BY532" s="284">
        <v>73130609</v>
      </c>
      <c r="BZ532" s="284">
        <v>10731306091</v>
      </c>
      <c r="CA532" s="288">
        <v>9000</v>
      </c>
      <c r="CB532" s="289">
        <v>46160</v>
      </c>
      <c r="CC532" s="289">
        <v>46203</v>
      </c>
      <c r="CD532" s="759"/>
      <c r="CE532" s="177">
        <f t="shared" si="689"/>
        <v>30</v>
      </c>
      <c r="CF532" s="1019">
        <f t="shared" si="690"/>
        <v>9000</v>
      </c>
      <c r="CG532" s="177">
        <v>14</v>
      </c>
      <c r="CH532" s="1019">
        <f t="shared" si="691"/>
        <v>4200</v>
      </c>
      <c r="CI532" s="177">
        <v>14</v>
      </c>
      <c r="CJ532" s="1019">
        <f t="shared" si="692"/>
        <v>4200</v>
      </c>
      <c r="CK532" s="177">
        <f t="shared" si="693"/>
        <v>4800</v>
      </c>
      <c r="CL532" s="177">
        <f t="shared" si="694"/>
        <v>4800</v>
      </c>
      <c r="CM532" s="1006"/>
      <c r="CN532" s="177">
        <f t="shared" si="695"/>
        <v>30</v>
      </c>
      <c r="CO532" s="1019">
        <f t="shared" si="696"/>
        <v>9000</v>
      </c>
      <c r="CP532" s="177">
        <v>30</v>
      </c>
      <c r="CQ532" s="1019">
        <f t="shared" si="697"/>
        <v>9000</v>
      </c>
      <c r="CR532" s="1019">
        <v>30</v>
      </c>
      <c r="CS532" s="1019">
        <f t="shared" si="698"/>
        <v>9000</v>
      </c>
      <c r="CT532" s="177">
        <f t="shared" si="699"/>
        <v>0</v>
      </c>
      <c r="CU532" s="177">
        <f t="shared" si="700"/>
        <v>0</v>
      </c>
      <c r="CV532" s="1006"/>
      <c r="CW532" s="177">
        <f t="shared" si="701"/>
        <v>18000</v>
      </c>
      <c r="CX532" s="1019">
        <f t="shared" si="702"/>
        <v>13200</v>
      </c>
      <c r="CY532" s="177">
        <f t="shared" si="703"/>
        <v>13200</v>
      </c>
      <c r="CZ532" s="1019">
        <f t="shared" si="704"/>
        <v>4800</v>
      </c>
      <c r="DA532" s="177">
        <f t="shared" si="705"/>
        <v>4800</v>
      </c>
      <c r="DB532" s="126"/>
      <c r="DC532" s="125"/>
    </row>
    <row r="533" spans="1:107" ht="51" hidden="1" x14ac:dyDescent="0.25">
      <c r="A533" s="19">
        <v>2026</v>
      </c>
      <c r="B533" s="20">
        <v>479</v>
      </c>
      <c r="C533" s="21" t="s">
        <v>64</v>
      </c>
      <c r="D533" s="21" t="s">
        <v>65</v>
      </c>
      <c r="E533" s="20">
        <v>125</v>
      </c>
      <c r="F533" s="20">
        <v>3000654</v>
      </c>
      <c r="G533" s="20">
        <v>5005023</v>
      </c>
      <c r="H533" s="20">
        <v>3</v>
      </c>
      <c r="I533" s="20">
        <v>12</v>
      </c>
      <c r="J533" s="20">
        <v>24</v>
      </c>
      <c r="K533" s="20">
        <v>135560</v>
      </c>
      <c r="L533" s="21" t="s">
        <v>220</v>
      </c>
      <c r="M533" s="33" t="s">
        <v>221</v>
      </c>
      <c r="N533" s="19">
        <v>97</v>
      </c>
      <c r="O533" s="2"/>
      <c r="P533" s="2" t="s">
        <v>4</v>
      </c>
      <c r="Q533" s="20" t="s">
        <v>68</v>
      </c>
      <c r="R533" s="25" t="s">
        <v>69</v>
      </c>
      <c r="S533" s="41" t="s">
        <v>137</v>
      </c>
      <c r="T533" s="41"/>
      <c r="U533" s="38" t="s">
        <v>364</v>
      </c>
      <c r="V533" s="25" t="s">
        <v>3</v>
      </c>
      <c r="W533" s="25">
        <v>1</v>
      </c>
      <c r="X533" s="595">
        <v>9000</v>
      </c>
      <c r="Y533" s="619"/>
      <c r="Z533" s="2"/>
      <c r="AA533" s="2"/>
      <c r="AB533" s="620"/>
      <c r="AC533" s="25">
        <v>30</v>
      </c>
      <c r="AD533" s="25">
        <v>30</v>
      </c>
      <c r="AE533" s="619"/>
      <c r="AF533" s="2"/>
      <c r="AG533" s="2"/>
      <c r="AH533" s="2"/>
      <c r="AI533" s="2"/>
      <c r="AJ533" s="621"/>
      <c r="AK533" s="596">
        <v>18000</v>
      </c>
      <c r="AL533" s="29" t="s">
        <v>73</v>
      </c>
      <c r="AM533" s="29" t="s">
        <v>73</v>
      </c>
      <c r="AN533" s="29" t="s">
        <v>73</v>
      </c>
      <c r="AO533" s="29" t="s">
        <v>73</v>
      </c>
      <c r="AP533" s="478">
        <v>9000</v>
      </c>
      <c r="AQ533" s="478">
        <v>9000</v>
      </c>
      <c r="AR533" s="29" t="s">
        <v>73</v>
      </c>
      <c r="AS533" s="29" t="s">
        <v>73</v>
      </c>
      <c r="AT533" s="29" t="s">
        <v>73</v>
      </c>
      <c r="AU533" s="29" t="s">
        <v>73</v>
      </c>
      <c r="AV533" s="29" t="s">
        <v>73</v>
      </c>
      <c r="AW533" s="29" t="s">
        <v>73</v>
      </c>
      <c r="AX533" s="30">
        <v>18000</v>
      </c>
      <c r="AY533" s="479" t="s">
        <v>6</v>
      </c>
      <c r="AZ533" s="2" t="s">
        <v>74</v>
      </c>
      <c r="BA533" s="2"/>
      <c r="BK533" s="125" t="s">
        <v>790</v>
      </c>
      <c r="BL533" s="481" t="s">
        <v>791</v>
      </c>
      <c r="BM533" s="125" t="s">
        <v>1998</v>
      </c>
      <c r="BN533" s="177" t="s">
        <v>1999</v>
      </c>
      <c r="BO533" s="125" t="s">
        <v>2000</v>
      </c>
      <c r="BP533" s="129">
        <v>46134</v>
      </c>
      <c r="BQ533" s="18"/>
      <c r="BR533" s="505" t="s">
        <v>2342</v>
      </c>
      <c r="BS533" s="18"/>
      <c r="BT533" s="656" t="s">
        <v>2002</v>
      </c>
      <c r="BU533" s="947" t="s">
        <v>1841</v>
      </c>
      <c r="BV533" s="284" t="s">
        <v>1244</v>
      </c>
      <c r="BW533" s="566" t="s">
        <v>2343</v>
      </c>
      <c r="BX533" s="566" t="s">
        <v>2344</v>
      </c>
      <c r="BY533" s="125">
        <v>9907890</v>
      </c>
      <c r="BZ533" s="125">
        <v>10099078907</v>
      </c>
      <c r="CA533" s="126">
        <v>9000</v>
      </c>
      <c r="CB533" s="289">
        <v>46143</v>
      </c>
      <c r="CC533" s="289">
        <v>46203</v>
      </c>
      <c r="CD533" s="759"/>
      <c r="CE533" s="177">
        <f t="shared" si="689"/>
        <v>30</v>
      </c>
      <c r="CF533" s="1019">
        <f t="shared" si="690"/>
        <v>9000</v>
      </c>
      <c r="CG533" s="177">
        <v>30</v>
      </c>
      <c r="CH533" s="1019">
        <f t="shared" si="691"/>
        <v>9000</v>
      </c>
      <c r="CI533" s="177">
        <v>30</v>
      </c>
      <c r="CJ533" s="1019">
        <f t="shared" si="692"/>
        <v>9000</v>
      </c>
      <c r="CK533" s="177">
        <f t="shared" si="693"/>
        <v>0</v>
      </c>
      <c r="CL533" s="177">
        <f t="shared" si="694"/>
        <v>0</v>
      </c>
      <c r="CM533" s="1006"/>
      <c r="CN533" s="177">
        <f t="shared" si="695"/>
        <v>30</v>
      </c>
      <c r="CO533" s="1019">
        <f t="shared" si="696"/>
        <v>9000</v>
      </c>
      <c r="CP533" s="177">
        <v>30</v>
      </c>
      <c r="CQ533" s="1019">
        <f t="shared" si="697"/>
        <v>9000</v>
      </c>
      <c r="CR533" s="1019">
        <v>30</v>
      </c>
      <c r="CS533" s="1019">
        <f t="shared" si="698"/>
        <v>9000</v>
      </c>
      <c r="CT533" s="177">
        <f t="shared" si="699"/>
        <v>0</v>
      </c>
      <c r="CU533" s="177">
        <f t="shared" si="700"/>
        <v>0</v>
      </c>
      <c r="CV533" s="1006"/>
      <c r="CW533" s="177">
        <f t="shared" si="701"/>
        <v>18000</v>
      </c>
      <c r="CX533" s="1019">
        <f t="shared" si="702"/>
        <v>18000</v>
      </c>
      <c r="CY533" s="177">
        <f t="shared" si="703"/>
        <v>18000</v>
      </c>
      <c r="CZ533" s="1019">
        <f t="shared" si="704"/>
        <v>0</v>
      </c>
      <c r="DA533" s="177">
        <f t="shared" si="705"/>
        <v>0</v>
      </c>
      <c r="DB533" s="126"/>
      <c r="DC533" s="125"/>
    </row>
    <row r="534" spans="1:107" s="142" customFormat="1" ht="51" hidden="1" x14ac:dyDescent="0.25">
      <c r="A534" s="19">
        <v>2026</v>
      </c>
      <c r="B534" s="20">
        <v>479</v>
      </c>
      <c r="C534" s="21" t="s">
        <v>64</v>
      </c>
      <c r="D534" s="21" t="s">
        <v>65</v>
      </c>
      <c r="E534" s="20">
        <v>125</v>
      </c>
      <c r="F534" s="20">
        <v>3000654</v>
      </c>
      <c r="G534" s="20">
        <v>5005023</v>
      </c>
      <c r="H534" s="20">
        <v>3</v>
      </c>
      <c r="I534" s="20">
        <v>12</v>
      </c>
      <c r="J534" s="20">
        <v>24</v>
      </c>
      <c r="K534" s="20">
        <v>135560</v>
      </c>
      <c r="L534" s="21" t="s">
        <v>220</v>
      </c>
      <c r="M534" s="33" t="s">
        <v>221</v>
      </c>
      <c r="N534" s="19">
        <v>97</v>
      </c>
      <c r="O534" s="629"/>
      <c r="P534" s="629" t="s">
        <v>4</v>
      </c>
      <c r="Q534" s="20" t="s">
        <v>68</v>
      </c>
      <c r="R534" s="25" t="s">
        <v>69</v>
      </c>
      <c r="S534" s="41" t="s">
        <v>137</v>
      </c>
      <c r="T534" s="41"/>
      <c r="U534" s="31" t="s">
        <v>365</v>
      </c>
      <c r="V534" s="25" t="s">
        <v>3</v>
      </c>
      <c r="W534" s="25">
        <v>1</v>
      </c>
      <c r="X534" s="595">
        <v>10000</v>
      </c>
      <c r="Y534" s="858"/>
      <c r="Z534" s="629"/>
      <c r="AA534" s="629"/>
      <c r="AB534" s="859"/>
      <c r="AC534" s="25">
        <v>30</v>
      </c>
      <c r="AD534" s="25">
        <v>30</v>
      </c>
      <c r="AE534" s="858"/>
      <c r="AF534" s="629"/>
      <c r="AG534" s="629"/>
      <c r="AH534" s="629"/>
      <c r="AI534" s="629"/>
      <c r="AJ534" s="860"/>
      <c r="AK534" s="596">
        <v>20000</v>
      </c>
      <c r="AL534" s="29" t="s">
        <v>73</v>
      </c>
      <c r="AM534" s="29" t="s">
        <v>73</v>
      </c>
      <c r="AN534" s="29" t="s">
        <v>73</v>
      </c>
      <c r="AO534" s="29" t="s">
        <v>73</v>
      </c>
      <c r="AP534" s="478">
        <v>10000</v>
      </c>
      <c r="AQ534" s="478">
        <v>10000</v>
      </c>
      <c r="AR534" s="29" t="s">
        <v>73</v>
      </c>
      <c r="AS534" s="29" t="s">
        <v>73</v>
      </c>
      <c r="AT534" s="29" t="s">
        <v>73</v>
      </c>
      <c r="AU534" s="29" t="s">
        <v>73</v>
      </c>
      <c r="AV534" s="29" t="s">
        <v>73</v>
      </c>
      <c r="AW534" s="29" t="s">
        <v>73</v>
      </c>
      <c r="AX534" s="30">
        <v>20000</v>
      </c>
      <c r="AY534" s="479" t="s">
        <v>6</v>
      </c>
      <c r="AZ534" s="629" t="s">
        <v>74</v>
      </c>
      <c r="BA534" s="629"/>
      <c r="BK534" s="481" t="s">
        <v>790</v>
      </c>
      <c r="BL534" s="481" t="s">
        <v>791</v>
      </c>
      <c r="BM534" s="125" t="s">
        <v>2345</v>
      </c>
      <c r="BN534" s="177" t="s">
        <v>2346</v>
      </c>
      <c r="BO534" s="125" t="s">
        <v>2347</v>
      </c>
      <c r="BP534" s="129">
        <v>46169</v>
      </c>
      <c r="BQ534" s="18"/>
      <c r="BR534" s="952">
        <v>4909</v>
      </c>
      <c r="BS534" s="18"/>
      <c r="BT534" s="18"/>
      <c r="BU534" s="18" t="s">
        <v>1815</v>
      </c>
      <c r="BV534" s="709" t="s">
        <v>856</v>
      </c>
      <c r="BW534" s="710" t="s">
        <v>895</v>
      </c>
      <c r="BX534" s="710" t="s">
        <v>842</v>
      </c>
      <c r="BY534" s="709">
        <v>42881238</v>
      </c>
      <c r="BZ534" s="710">
        <v>10428812382</v>
      </c>
      <c r="CA534" s="249">
        <v>10000</v>
      </c>
      <c r="CB534" s="711">
        <v>46174</v>
      </c>
      <c r="CC534" s="712">
        <v>46203</v>
      </c>
      <c r="CD534" s="759"/>
      <c r="CE534" s="177">
        <f t="shared" si="689"/>
        <v>30</v>
      </c>
      <c r="CF534" s="1019">
        <f t="shared" si="690"/>
        <v>10000</v>
      </c>
      <c r="CG534" s="177"/>
      <c r="CH534" s="1019">
        <f t="shared" si="691"/>
        <v>0</v>
      </c>
      <c r="CI534" s="177"/>
      <c r="CJ534" s="1019">
        <f t="shared" si="692"/>
        <v>0</v>
      </c>
      <c r="CK534" s="177">
        <f t="shared" si="693"/>
        <v>10000</v>
      </c>
      <c r="CL534" s="177">
        <f t="shared" si="694"/>
        <v>10000</v>
      </c>
      <c r="CM534" s="1006"/>
      <c r="CN534" s="177">
        <f t="shared" si="695"/>
        <v>30</v>
      </c>
      <c r="CO534" s="1019">
        <f t="shared" si="696"/>
        <v>10000</v>
      </c>
      <c r="CP534" s="177">
        <v>30</v>
      </c>
      <c r="CQ534" s="1019">
        <f t="shared" si="697"/>
        <v>10000</v>
      </c>
      <c r="CR534" s="1019">
        <v>30</v>
      </c>
      <c r="CS534" s="1019">
        <f t="shared" si="698"/>
        <v>10000</v>
      </c>
      <c r="CT534" s="177">
        <f t="shared" si="699"/>
        <v>0</v>
      </c>
      <c r="CU534" s="177">
        <f t="shared" si="700"/>
        <v>0</v>
      </c>
      <c r="CV534" s="1006"/>
      <c r="CW534" s="177">
        <f t="shared" si="701"/>
        <v>20000</v>
      </c>
      <c r="CX534" s="1019">
        <f t="shared" si="702"/>
        <v>10000</v>
      </c>
      <c r="CY534" s="177">
        <f t="shared" si="703"/>
        <v>10000</v>
      </c>
      <c r="CZ534" s="1019">
        <f t="shared" si="704"/>
        <v>10000</v>
      </c>
      <c r="DA534" s="177">
        <f t="shared" si="705"/>
        <v>10000</v>
      </c>
      <c r="DB534" s="126"/>
      <c r="DC534" s="125"/>
    </row>
    <row r="535" spans="1:107" ht="51" hidden="1" x14ac:dyDescent="0.25">
      <c r="A535" s="19">
        <v>2026</v>
      </c>
      <c r="B535" s="20">
        <v>479</v>
      </c>
      <c r="C535" s="21" t="s">
        <v>64</v>
      </c>
      <c r="D535" s="21" t="s">
        <v>65</v>
      </c>
      <c r="E535" s="20">
        <v>125</v>
      </c>
      <c r="F535" s="20">
        <v>3000654</v>
      </c>
      <c r="G535" s="20">
        <v>5005023</v>
      </c>
      <c r="H535" s="20">
        <v>3</v>
      </c>
      <c r="I535" s="20">
        <v>12</v>
      </c>
      <c r="J535" s="20">
        <v>24</v>
      </c>
      <c r="K535" s="20">
        <v>135560</v>
      </c>
      <c r="L535" s="21" t="s">
        <v>98</v>
      </c>
      <c r="M535" s="33" t="s">
        <v>99</v>
      </c>
      <c r="N535" s="19">
        <v>94</v>
      </c>
      <c r="O535" s="2"/>
      <c r="P535" s="2" t="s">
        <v>4</v>
      </c>
      <c r="Q535" s="20" t="s">
        <v>68</v>
      </c>
      <c r="R535" s="25" t="s">
        <v>69</v>
      </c>
      <c r="S535" s="41" t="s">
        <v>137</v>
      </c>
      <c r="T535" s="41"/>
      <c r="U535" s="31" t="s">
        <v>366</v>
      </c>
      <c r="V535" s="25" t="s">
        <v>3</v>
      </c>
      <c r="W535" s="25">
        <v>1</v>
      </c>
      <c r="X535" s="595">
        <v>8500</v>
      </c>
      <c r="Y535" s="619"/>
      <c r="Z535" s="2"/>
      <c r="AA535" s="2"/>
      <c r="AB535" s="620"/>
      <c r="AC535" s="25">
        <v>30</v>
      </c>
      <c r="AD535" s="25">
        <v>0</v>
      </c>
      <c r="AE535" s="619"/>
      <c r="AF535" s="2"/>
      <c r="AG535" s="2"/>
      <c r="AH535" s="2"/>
      <c r="AI535" s="2"/>
      <c r="AJ535" s="621"/>
      <c r="AK535" s="596">
        <v>8500</v>
      </c>
      <c r="AL535" s="29" t="s">
        <v>73</v>
      </c>
      <c r="AM535" s="29" t="s">
        <v>73</v>
      </c>
      <c r="AN535" s="29" t="s">
        <v>73</v>
      </c>
      <c r="AO535" s="29" t="s">
        <v>73</v>
      </c>
      <c r="AP535" s="478">
        <v>8500</v>
      </c>
      <c r="AQ535" s="648">
        <v>0</v>
      </c>
      <c r="AR535" s="29" t="s">
        <v>73</v>
      </c>
      <c r="AS535" s="29" t="s">
        <v>73</v>
      </c>
      <c r="AT535" s="29" t="s">
        <v>73</v>
      </c>
      <c r="AU535" s="29" t="s">
        <v>73</v>
      </c>
      <c r="AV535" s="29" t="s">
        <v>73</v>
      </c>
      <c r="AW535" s="29" t="s">
        <v>73</v>
      </c>
      <c r="AX535" s="30">
        <v>8500</v>
      </c>
      <c r="AY535" s="165" t="s">
        <v>6</v>
      </c>
      <c r="AZ535" s="2" t="s">
        <v>74</v>
      </c>
      <c r="BA535" s="2"/>
      <c r="BK535" s="147" t="s">
        <v>790</v>
      </c>
      <c r="BL535" s="481" t="s">
        <v>791</v>
      </c>
      <c r="BM535" s="125" t="s">
        <v>1806</v>
      </c>
      <c r="BN535" s="649" t="s">
        <v>1807</v>
      </c>
      <c r="BO535" s="125" t="s">
        <v>1808</v>
      </c>
      <c r="BP535" s="129">
        <v>46134</v>
      </c>
      <c r="BQ535" s="18"/>
      <c r="BR535" s="505" t="s">
        <v>2348</v>
      </c>
      <c r="BS535" s="18"/>
      <c r="BT535" s="656" t="s">
        <v>1809</v>
      </c>
      <c r="BU535" s="18"/>
      <c r="BV535" s="552" t="s">
        <v>2349</v>
      </c>
      <c r="BW535" s="552" t="s">
        <v>2350</v>
      </c>
      <c r="BX535" s="552" t="s">
        <v>2351</v>
      </c>
      <c r="BY535" s="552">
        <v>47318665</v>
      </c>
      <c r="BZ535" s="552">
        <v>10473186654</v>
      </c>
      <c r="CA535" s="126">
        <v>8500</v>
      </c>
      <c r="CB535" s="289">
        <v>46143</v>
      </c>
      <c r="CC535" s="289">
        <v>46173</v>
      </c>
      <c r="CD535" s="759"/>
      <c r="CE535" s="177">
        <f t="shared" si="689"/>
        <v>30</v>
      </c>
      <c r="CF535" s="1019">
        <f t="shared" si="690"/>
        <v>8500</v>
      </c>
      <c r="CG535" s="177">
        <v>30</v>
      </c>
      <c r="CH535" s="1019">
        <f t="shared" si="691"/>
        <v>8500</v>
      </c>
      <c r="CI535" s="177">
        <v>30</v>
      </c>
      <c r="CJ535" s="1019">
        <f t="shared" si="692"/>
        <v>8500</v>
      </c>
      <c r="CK535" s="177">
        <f t="shared" si="693"/>
        <v>0</v>
      </c>
      <c r="CL535" s="177">
        <f t="shared" si="694"/>
        <v>0</v>
      </c>
      <c r="CM535" s="1006"/>
      <c r="CN535" s="177">
        <f t="shared" si="695"/>
        <v>0</v>
      </c>
      <c r="CO535" s="1019">
        <f t="shared" si="696"/>
        <v>0</v>
      </c>
      <c r="CP535" s="177"/>
      <c r="CQ535" s="1019">
        <f t="shared" si="697"/>
        <v>0</v>
      </c>
      <c r="CR535" s="1019"/>
      <c r="CS535" s="1019">
        <f t="shared" si="698"/>
        <v>0</v>
      </c>
      <c r="CT535" s="177">
        <f t="shared" si="699"/>
        <v>0</v>
      </c>
      <c r="CU535" s="177">
        <f t="shared" si="700"/>
        <v>0</v>
      </c>
      <c r="CV535" s="1006"/>
      <c r="CW535" s="177">
        <f t="shared" si="701"/>
        <v>8500</v>
      </c>
      <c r="CX535" s="1019">
        <f t="shared" si="702"/>
        <v>8500</v>
      </c>
      <c r="CY535" s="177">
        <f t="shared" si="703"/>
        <v>8500</v>
      </c>
      <c r="CZ535" s="1019">
        <f t="shared" si="704"/>
        <v>0</v>
      </c>
      <c r="DA535" s="177">
        <f t="shared" si="705"/>
        <v>0</v>
      </c>
      <c r="DB535" s="126"/>
      <c r="DC535" s="125"/>
    </row>
    <row r="536" spans="1:107" ht="51" hidden="1" x14ac:dyDescent="0.25">
      <c r="A536" s="19">
        <v>2026</v>
      </c>
      <c r="B536" s="20">
        <v>479</v>
      </c>
      <c r="C536" s="21" t="s">
        <v>64</v>
      </c>
      <c r="D536" s="21" t="s">
        <v>65</v>
      </c>
      <c r="E536" s="20">
        <v>125</v>
      </c>
      <c r="F536" s="20">
        <v>3000654</v>
      </c>
      <c r="G536" s="20">
        <v>5005023</v>
      </c>
      <c r="H536" s="20">
        <v>3</v>
      </c>
      <c r="I536" s="20">
        <v>12</v>
      </c>
      <c r="J536" s="20">
        <v>24</v>
      </c>
      <c r="K536" s="20">
        <v>135560</v>
      </c>
      <c r="L536" s="21" t="s">
        <v>220</v>
      </c>
      <c r="M536" s="33" t="s">
        <v>221</v>
      </c>
      <c r="N536" s="19">
        <v>97</v>
      </c>
      <c r="O536" s="2"/>
      <c r="P536" s="2" t="s">
        <v>4</v>
      </c>
      <c r="Q536" s="20" t="s">
        <v>68</v>
      </c>
      <c r="R536" s="25" t="s">
        <v>69</v>
      </c>
      <c r="S536" s="41" t="s">
        <v>137</v>
      </c>
      <c r="T536" s="41"/>
      <c r="U536" s="31" t="s">
        <v>366</v>
      </c>
      <c r="V536" s="25" t="s">
        <v>3</v>
      </c>
      <c r="W536" s="25">
        <v>1</v>
      </c>
      <c r="X536" s="595">
        <v>8500</v>
      </c>
      <c r="Y536" s="619"/>
      <c r="Z536" s="2"/>
      <c r="AA536" s="2"/>
      <c r="AB536" s="620"/>
      <c r="AC536" s="25">
        <v>0</v>
      </c>
      <c r="AD536" s="25">
        <v>30</v>
      </c>
      <c r="AE536" s="619"/>
      <c r="AF536" s="2"/>
      <c r="AG536" s="2"/>
      <c r="AH536" s="2"/>
      <c r="AI536" s="2"/>
      <c r="AJ536" s="621"/>
      <c r="AK536" s="596">
        <v>8500</v>
      </c>
      <c r="AL536" s="29" t="s">
        <v>73</v>
      </c>
      <c r="AM536" s="29" t="s">
        <v>73</v>
      </c>
      <c r="AN536" s="29" t="s">
        <v>73</v>
      </c>
      <c r="AO536" s="29" t="s">
        <v>73</v>
      </c>
      <c r="AP536" s="648">
        <v>0</v>
      </c>
      <c r="AQ536" s="478">
        <v>8500</v>
      </c>
      <c r="AR536" s="29" t="s">
        <v>73</v>
      </c>
      <c r="AS536" s="29" t="s">
        <v>73</v>
      </c>
      <c r="AT536" s="29" t="s">
        <v>73</v>
      </c>
      <c r="AU536" s="29" t="s">
        <v>73</v>
      </c>
      <c r="AV536" s="29" t="s">
        <v>73</v>
      </c>
      <c r="AW536" s="29" t="s">
        <v>73</v>
      </c>
      <c r="AX536" s="30">
        <v>8500</v>
      </c>
      <c r="AY536" s="479" t="s">
        <v>6</v>
      </c>
      <c r="AZ536" s="2" t="s">
        <v>74</v>
      </c>
      <c r="BA536" s="2"/>
      <c r="BK536" s="125" t="s">
        <v>790</v>
      </c>
      <c r="BL536" s="481" t="s">
        <v>791</v>
      </c>
      <c r="BM536" s="125" t="s">
        <v>1812</v>
      </c>
      <c r="BN536" s="177" t="s">
        <v>1813</v>
      </c>
      <c r="BO536" s="125" t="s">
        <v>1814</v>
      </c>
      <c r="BP536" s="129">
        <v>46156</v>
      </c>
      <c r="BQ536" s="18"/>
      <c r="BR536" s="505" t="s">
        <v>2348</v>
      </c>
      <c r="BS536" s="18"/>
      <c r="BT536" s="18"/>
      <c r="BU536" s="18"/>
      <c r="BV536" s="552" t="s">
        <v>2349</v>
      </c>
      <c r="BW536" s="552" t="s">
        <v>2350</v>
      </c>
      <c r="BX536" s="552" t="s">
        <v>2351</v>
      </c>
      <c r="BY536" s="552">
        <v>47318665</v>
      </c>
      <c r="BZ536" s="552">
        <v>10473186654</v>
      </c>
      <c r="CA536" s="650">
        <v>8500</v>
      </c>
      <c r="CB536" s="289">
        <v>46174</v>
      </c>
      <c r="CC536" s="289">
        <v>46203</v>
      </c>
      <c r="CD536" s="759"/>
      <c r="CE536" s="177">
        <f t="shared" si="689"/>
        <v>0</v>
      </c>
      <c r="CF536" s="1019">
        <f t="shared" si="690"/>
        <v>0</v>
      </c>
      <c r="CG536" s="177"/>
      <c r="CH536" s="1019">
        <f t="shared" si="691"/>
        <v>0</v>
      </c>
      <c r="CI536" s="177"/>
      <c r="CJ536" s="1019">
        <f t="shared" si="692"/>
        <v>0</v>
      </c>
      <c r="CK536" s="177">
        <f t="shared" si="693"/>
        <v>0</v>
      </c>
      <c r="CL536" s="177">
        <f t="shared" si="694"/>
        <v>0</v>
      </c>
      <c r="CM536" s="1006"/>
      <c r="CN536" s="177">
        <f t="shared" si="695"/>
        <v>30</v>
      </c>
      <c r="CO536" s="1019">
        <f t="shared" si="696"/>
        <v>8500</v>
      </c>
      <c r="CP536" s="177">
        <v>30</v>
      </c>
      <c r="CQ536" s="1019">
        <f t="shared" si="697"/>
        <v>8500</v>
      </c>
      <c r="CR536" s="1019">
        <v>30</v>
      </c>
      <c r="CS536" s="1019">
        <f t="shared" si="698"/>
        <v>8500</v>
      </c>
      <c r="CT536" s="177">
        <f t="shared" si="699"/>
        <v>0</v>
      </c>
      <c r="CU536" s="177">
        <f t="shared" si="700"/>
        <v>0</v>
      </c>
      <c r="CV536" s="1006"/>
      <c r="CW536" s="177">
        <f t="shared" si="701"/>
        <v>8500</v>
      </c>
      <c r="CX536" s="1019">
        <f t="shared" si="702"/>
        <v>8500</v>
      </c>
      <c r="CY536" s="177">
        <f t="shared" si="703"/>
        <v>8500</v>
      </c>
      <c r="CZ536" s="1019">
        <f t="shared" si="704"/>
        <v>0</v>
      </c>
      <c r="DA536" s="177">
        <f t="shared" si="705"/>
        <v>0</v>
      </c>
      <c r="DB536" s="126"/>
      <c r="DC536" s="125"/>
    </row>
    <row r="537" spans="1:107" ht="51" hidden="1" x14ac:dyDescent="0.25">
      <c r="A537" s="19">
        <v>2026</v>
      </c>
      <c r="B537" s="20">
        <v>479</v>
      </c>
      <c r="C537" s="21" t="s">
        <v>64</v>
      </c>
      <c r="D537" s="21" t="s">
        <v>65</v>
      </c>
      <c r="E537" s="20">
        <v>125</v>
      </c>
      <c r="F537" s="20">
        <v>3000654</v>
      </c>
      <c r="G537" s="20">
        <v>5005023</v>
      </c>
      <c r="H537" s="20">
        <v>3</v>
      </c>
      <c r="I537" s="20">
        <v>12</v>
      </c>
      <c r="J537" s="20">
        <v>24</v>
      </c>
      <c r="K537" s="20">
        <v>135560</v>
      </c>
      <c r="L537" s="21" t="s">
        <v>98</v>
      </c>
      <c r="M537" s="33" t="s">
        <v>99</v>
      </c>
      <c r="N537" s="19">
        <v>94</v>
      </c>
      <c r="O537" s="2"/>
      <c r="P537" s="2" t="s">
        <v>4</v>
      </c>
      <c r="Q537" s="20" t="s">
        <v>68</v>
      </c>
      <c r="R537" s="25" t="s">
        <v>69</v>
      </c>
      <c r="S537" s="41" t="s">
        <v>137</v>
      </c>
      <c r="T537" s="41"/>
      <c r="U537" s="31" t="s">
        <v>367</v>
      </c>
      <c r="V537" s="25" t="s">
        <v>3</v>
      </c>
      <c r="W537" s="25">
        <v>1</v>
      </c>
      <c r="X537" s="595">
        <v>8000</v>
      </c>
      <c r="Y537" s="619"/>
      <c r="Z537" s="2"/>
      <c r="AA537" s="2"/>
      <c r="AB537" s="620"/>
      <c r="AC537" s="25">
        <v>30</v>
      </c>
      <c r="AD537" s="25">
        <v>0</v>
      </c>
      <c r="AE537" s="619"/>
      <c r="AF537" s="2"/>
      <c r="AG537" s="2"/>
      <c r="AH537" s="2"/>
      <c r="AI537" s="2"/>
      <c r="AJ537" s="621"/>
      <c r="AK537" s="596">
        <v>8000</v>
      </c>
      <c r="AL537" s="29" t="s">
        <v>73</v>
      </c>
      <c r="AM537" s="29" t="s">
        <v>73</v>
      </c>
      <c r="AN537" s="29" t="s">
        <v>73</v>
      </c>
      <c r="AO537" s="29" t="s">
        <v>73</v>
      </c>
      <c r="AP537" s="478">
        <v>8000</v>
      </c>
      <c r="AQ537" s="648">
        <v>0</v>
      </c>
      <c r="AR537" s="29" t="s">
        <v>73</v>
      </c>
      <c r="AS537" s="29" t="s">
        <v>73</v>
      </c>
      <c r="AT537" s="29" t="s">
        <v>73</v>
      </c>
      <c r="AU537" s="29" t="s">
        <v>73</v>
      </c>
      <c r="AV537" s="29" t="s">
        <v>73</v>
      </c>
      <c r="AW537" s="29" t="s">
        <v>73</v>
      </c>
      <c r="AX537" s="30">
        <v>8000</v>
      </c>
      <c r="AY537" s="165" t="s">
        <v>6</v>
      </c>
      <c r="AZ537" s="2" t="s">
        <v>74</v>
      </c>
      <c r="BA537" s="2"/>
      <c r="BK537" s="147" t="s">
        <v>790</v>
      </c>
      <c r="BL537" s="481" t="s">
        <v>791</v>
      </c>
      <c r="BM537" s="125" t="s">
        <v>1998</v>
      </c>
      <c r="BN537" s="177" t="s">
        <v>1999</v>
      </c>
      <c r="BO537" s="125" t="s">
        <v>2000</v>
      </c>
      <c r="BP537" s="129">
        <v>46134</v>
      </c>
      <c r="BQ537" s="18"/>
      <c r="BR537" s="505" t="s">
        <v>2352</v>
      </c>
      <c r="BS537" s="18"/>
      <c r="BT537" s="656" t="s">
        <v>2002</v>
      </c>
      <c r="BU537" s="18"/>
      <c r="BV537" s="125" t="s">
        <v>1358</v>
      </c>
      <c r="BW537" s="125" t="s">
        <v>1733</v>
      </c>
      <c r="BX537" s="125" t="s">
        <v>989</v>
      </c>
      <c r="BY537" s="125">
        <v>43446209</v>
      </c>
      <c r="BZ537" s="125">
        <v>10434462091</v>
      </c>
      <c r="CA537" s="126">
        <v>8000</v>
      </c>
      <c r="CB537" s="289">
        <v>46143</v>
      </c>
      <c r="CC537" s="289">
        <v>46173</v>
      </c>
      <c r="CD537" s="759"/>
      <c r="CE537" s="177">
        <f t="shared" si="689"/>
        <v>30</v>
      </c>
      <c r="CF537" s="1019">
        <f t="shared" si="690"/>
        <v>8000</v>
      </c>
      <c r="CG537" s="177">
        <v>30</v>
      </c>
      <c r="CH537" s="1019">
        <f t="shared" si="691"/>
        <v>8000.0000000000009</v>
      </c>
      <c r="CI537" s="177">
        <v>30</v>
      </c>
      <c r="CJ537" s="1019">
        <f t="shared" si="692"/>
        <v>8000.0000000000009</v>
      </c>
      <c r="CK537" s="177">
        <f t="shared" si="693"/>
        <v>0</v>
      </c>
      <c r="CL537" s="177">
        <f t="shared" si="694"/>
        <v>0</v>
      </c>
      <c r="CM537" s="1006"/>
      <c r="CN537" s="177">
        <f t="shared" si="695"/>
        <v>0</v>
      </c>
      <c r="CO537" s="1019">
        <f t="shared" si="696"/>
        <v>0</v>
      </c>
      <c r="CP537" s="177"/>
      <c r="CQ537" s="1019">
        <f t="shared" si="697"/>
        <v>0</v>
      </c>
      <c r="CR537" s="1019"/>
      <c r="CS537" s="1019">
        <f t="shared" si="698"/>
        <v>0</v>
      </c>
      <c r="CT537" s="177">
        <f t="shared" si="699"/>
        <v>0</v>
      </c>
      <c r="CU537" s="177">
        <f t="shared" si="700"/>
        <v>0</v>
      </c>
      <c r="CV537" s="1006"/>
      <c r="CW537" s="177">
        <f t="shared" si="701"/>
        <v>8000</v>
      </c>
      <c r="CX537" s="1019">
        <f t="shared" si="702"/>
        <v>8000.0000000000009</v>
      </c>
      <c r="CY537" s="177">
        <f t="shared" si="703"/>
        <v>8000.0000000000009</v>
      </c>
      <c r="CZ537" s="1019">
        <f t="shared" si="704"/>
        <v>0</v>
      </c>
      <c r="DA537" s="177">
        <f t="shared" si="705"/>
        <v>0</v>
      </c>
      <c r="DB537" s="126"/>
      <c r="DC537" s="125"/>
    </row>
    <row r="538" spans="1:107" ht="51" hidden="1" x14ac:dyDescent="0.25">
      <c r="A538" s="19">
        <v>2026</v>
      </c>
      <c r="B538" s="20">
        <v>479</v>
      </c>
      <c r="C538" s="21" t="s">
        <v>64</v>
      </c>
      <c r="D538" s="21" t="s">
        <v>65</v>
      </c>
      <c r="E538" s="20">
        <v>125</v>
      </c>
      <c r="F538" s="20">
        <v>3000654</v>
      </c>
      <c r="G538" s="20">
        <v>5005023</v>
      </c>
      <c r="H538" s="20">
        <v>3</v>
      </c>
      <c r="I538" s="20">
        <v>12</v>
      </c>
      <c r="J538" s="20">
        <v>24</v>
      </c>
      <c r="K538" s="20">
        <v>135560</v>
      </c>
      <c r="L538" s="21" t="s">
        <v>220</v>
      </c>
      <c r="M538" s="33" t="s">
        <v>221</v>
      </c>
      <c r="N538" s="19">
        <v>97</v>
      </c>
      <c r="O538" s="2"/>
      <c r="P538" s="2" t="s">
        <v>4</v>
      </c>
      <c r="Q538" s="20" t="s">
        <v>68</v>
      </c>
      <c r="R538" s="25" t="s">
        <v>69</v>
      </c>
      <c r="S538" s="41" t="s">
        <v>137</v>
      </c>
      <c r="T538" s="41"/>
      <c r="U538" s="31" t="s">
        <v>367</v>
      </c>
      <c r="V538" s="25" t="s">
        <v>3</v>
      </c>
      <c r="W538" s="25">
        <v>1</v>
      </c>
      <c r="X538" s="595">
        <v>8000</v>
      </c>
      <c r="Y538" s="619"/>
      <c r="Z538" s="2"/>
      <c r="AA538" s="2"/>
      <c r="AB538" s="620"/>
      <c r="AC538" s="25">
        <v>0</v>
      </c>
      <c r="AD538" s="25">
        <v>30</v>
      </c>
      <c r="AE538" s="619"/>
      <c r="AF538" s="2"/>
      <c r="AG538" s="2"/>
      <c r="AH538" s="2"/>
      <c r="AI538" s="2"/>
      <c r="AJ538" s="621"/>
      <c r="AK538" s="596">
        <v>8000</v>
      </c>
      <c r="AL538" s="29" t="s">
        <v>73</v>
      </c>
      <c r="AM538" s="29" t="s">
        <v>73</v>
      </c>
      <c r="AN538" s="29" t="s">
        <v>73</v>
      </c>
      <c r="AO538" s="29" t="s">
        <v>73</v>
      </c>
      <c r="AP538" s="648">
        <v>0</v>
      </c>
      <c r="AQ538" s="478">
        <v>8000</v>
      </c>
      <c r="AR538" s="29" t="s">
        <v>73</v>
      </c>
      <c r="AS538" s="29" t="s">
        <v>73</v>
      </c>
      <c r="AT538" s="29" t="s">
        <v>73</v>
      </c>
      <c r="AU538" s="29" t="s">
        <v>73</v>
      </c>
      <c r="AV538" s="29" t="s">
        <v>73</v>
      </c>
      <c r="AW538" s="29" t="s">
        <v>73</v>
      </c>
      <c r="AX538" s="30">
        <v>8000</v>
      </c>
      <c r="AY538" s="479" t="s">
        <v>6</v>
      </c>
      <c r="AZ538" s="2" t="s">
        <v>74</v>
      </c>
      <c r="BA538" s="2"/>
      <c r="BK538" s="125" t="s">
        <v>790</v>
      </c>
      <c r="BL538" s="481" t="s">
        <v>791</v>
      </c>
      <c r="BM538" s="125" t="s">
        <v>1812</v>
      </c>
      <c r="BN538" s="177" t="s">
        <v>1813</v>
      </c>
      <c r="BO538" s="125" t="s">
        <v>1814</v>
      </c>
      <c r="BP538" s="129">
        <v>46156</v>
      </c>
      <c r="BQ538" s="18"/>
      <c r="BR538" s="262">
        <v>5049</v>
      </c>
      <c r="BS538" s="18"/>
      <c r="BT538" s="18"/>
      <c r="BU538" s="18" t="s">
        <v>1815</v>
      </c>
      <c r="BV538" s="125" t="s">
        <v>1358</v>
      </c>
      <c r="BW538" s="125" t="s">
        <v>1733</v>
      </c>
      <c r="BX538" s="125" t="s">
        <v>989</v>
      </c>
      <c r="BY538" s="125">
        <v>43446209</v>
      </c>
      <c r="BZ538" s="125">
        <v>10434462091</v>
      </c>
      <c r="CA538" s="126">
        <v>8000</v>
      </c>
      <c r="CB538" s="289">
        <v>46174</v>
      </c>
      <c r="CC538" s="289">
        <v>46203</v>
      </c>
      <c r="CD538" s="759"/>
      <c r="CE538" s="177">
        <f t="shared" si="689"/>
        <v>0</v>
      </c>
      <c r="CF538" s="1019">
        <f t="shared" si="690"/>
        <v>0</v>
      </c>
      <c r="CG538" s="177"/>
      <c r="CH538" s="1019">
        <f t="shared" si="691"/>
        <v>0</v>
      </c>
      <c r="CI538" s="177"/>
      <c r="CJ538" s="1019">
        <f t="shared" si="692"/>
        <v>0</v>
      </c>
      <c r="CK538" s="177">
        <f t="shared" si="693"/>
        <v>0</v>
      </c>
      <c r="CL538" s="177">
        <f t="shared" si="694"/>
        <v>0</v>
      </c>
      <c r="CM538" s="1006"/>
      <c r="CN538" s="177">
        <f t="shared" si="695"/>
        <v>30</v>
      </c>
      <c r="CO538" s="1019">
        <f t="shared" si="696"/>
        <v>8000</v>
      </c>
      <c r="CP538" s="177">
        <v>30</v>
      </c>
      <c r="CQ538" s="1019">
        <f t="shared" si="697"/>
        <v>8000.0000000000009</v>
      </c>
      <c r="CR538" s="1019">
        <v>30</v>
      </c>
      <c r="CS538" s="1019">
        <f t="shared" si="698"/>
        <v>8000.0000000000009</v>
      </c>
      <c r="CT538" s="177">
        <f t="shared" si="699"/>
        <v>0</v>
      </c>
      <c r="CU538" s="177">
        <f t="shared" si="700"/>
        <v>0</v>
      </c>
      <c r="CV538" s="1006"/>
      <c r="CW538" s="177">
        <f t="shared" si="701"/>
        <v>8000</v>
      </c>
      <c r="CX538" s="1019">
        <f t="shared" si="702"/>
        <v>8000.0000000000009</v>
      </c>
      <c r="CY538" s="177">
        <f t="shared" si="703"/>
        <v>8000.0000000000009</v>
      </c>
      <c r="CZ538" s="1019">
        <f t="shared" si="704"/>
        <v>0</v>
      </c>
      <c r="DA538" s="177">
        <f t="shared" si="705"/>
        <v>0</v>
      </c>
      <c r="DB538" s="126"/>
      <c r="DC538" s="125"/>
    </row>
    <row r="539" spans="1:107" ht="51" hidden="1" x14ac:dyDescent="0.25">
      <c r="A539" s="19">
        <v>2026</v>
      </c>
      <c r="B539" s="20">
        <v>479</v>
      </c>
      <c r="C539" s="21" t="s">
        <v>64</v>
      </c>
      <c r="D539" s="21" t="s">
        <v>65</v>
      </c>
      <c r="E539" s="20">
        <v>125</v>
      </c>
      <c r="F539" s="20">
        <v>3000654</v>
      </c>
      <c r="G539" s="20">
        <v>5005023</v>
      </c>
      <c r="H539" s="20">
        <v>3</v>
      </c>
      <c r="I539" s="20">
        <v>12</v>
      </c>
      <c r="J539" s="20">
        <v>24</v>
      </c>
      <c r="K539" s="20">
        <v>135560</v>
      </c>
      <c r="L539" s="21" t="s">
        <v>220</v>
      </c>
      <c r="M539" s="33" t="s">
        <v>221</v>
      </c>
      <c r="N539" s="19">
        <v>97</v>
      </c>
      <c r="O539" s="2"/>
      <c r="P539" s="2" t="s">
        <v>4</v>
      </c>
      <c r="Q539" s="20" t="s">
        <v>68</v>
      </c>
      <c r="R539" s="25" t="s">
        <v>69</v>
      </c>
      <c r="S539" s="41" t="s">
        <v>137</v>
      </c>
      <c r="T539" s="41"/>
      <c r="U539" s="31" t="s">
        <v>368</v>
      </c>
      <c r="V539" s="25" t="s">
        <v>3</v>
      </c>
      <c r="W539" s="25">
        <v>1</v>
      </c>
      <c r="X539" s="595">
        <v>12000</v>
      </c>
      <c r="Y539" s="619"/>
      <c r="Z539" s="2"/>
      <c r="AA539" s="2"/>
      <c r="AB539" s="620"/>
      <c r="AC539" s="25">
        <v>30</v>
      </c>
      <c r="AD539" s="25">
        <v>30</v>
      </c>
      <c r="AE539" s="619"/>
      <c r="AF539" s="2"/>
      <c r="AG539" s="2"/>
      <c r="AH539" s="2"/>
      <c r="AI539" s="2"/>
      <c r="AJ539" s="621"/>
      <c r="AK539" s="596">
        <v>24000</v>
      </c>
      <c r="AL539" s="29" t="s">
        <v>73</v>
      </c>
      <c r="AM539" s="29" t="s">
        <v>73</v>
      </c>
      <c r="AN539" s="29" t="s">
        <v>73</v>
      </c>
      <c r="AO539" s="29" t="s">
        <v>73</v>
      </c>
      <c r="AP539" s="478">
        <v>12000</v>
      </c>
      <c r="AQ539" s="478">
        <v>12000</v>
      </c>
      <c r="AR539" s="29" t="s">
        <v>73</v>
      </c>
      <c r="AS539" s="29" t="s">
        <v>73</v>
      </c>
      <c r="AT539" s="29" t="s">
        <v>73</v>
      </c>
      <c r="AU539" s="29" t="s">
        <v>73</v>
      </c>
      <c r="AV539" s="29" t="s">
        <v>73</v>
      </c>
      <c r="AW539" s="29" t="s">
        <v>73</v>
      </c>
      <c r="AX539" s="30">
        <v>24000</v>
      </c>
      <c r="AY539" s="479" t="s">
        <v>6</v>
      </c>
      <c r="AZ539" s="2" t="s">
        <v>74</v>
      </c>
      <c r="BA539" s="2"/>
      <c r="BK539" s="125" t="s">
        <v>790</v>
      </c>
      <c r="BL539" s="481" t="s">
        <v>791</v>
      </c>
      <c r="BM539" s="125" t="s">
        <v>1998</v>
      </c>
      <c r="BN539" s="177" t="s">
        <v>1999</v>
      </c>
      <c r="BO539" s="125" t="s">
        <v>2000</v>
      </c>
      <c r="BP539" s="129">
        <v>46134</v>
      </c>
      <c r="BQ539" s="18"/>
      <c r="BR539" s="505" t="s">
        <v>2353</v>
      </c>
      <c r="BS539" s="18"/>
      <c r="BT539" s="656" t="s">
        <v>2002</v>
      </c>
      <c r="BU539" s="947" t="s">
        <v>1841</v>
      </c>
      <c r="BV539" s="125" t="s">
        <v>848</v>
      </c>
      <c r="BW539" s="125" t="s">
        <v>2354</v>
      </c>
      <c r="BX539" s="125" t="s">
        <v>2355</v>
      </c>
      <c r="BY539" s="125">
        <v>46821663</v>
      </c>
      <c r="BZ539" s="125">
        <v>10468216634</v>
      </c>
      <c r="CA539" s="126">
        <v>12000</v>
      </c>
      <c r="CB539" s="289">
        <v>46143</v>
      </c>
      <c r="CC539" s="289">
        <v>46203</v>
      </c>
      <c r="CD539" s="759"/>
      <c r="CE539" s="177">
        <f t="shared" si="689"/>
        <v>30</v>
      </c>
      <c r="CF539" s="1019">
        <f t="shared" si="690"/>
        <v>12000</v>
      </c>
      <c r="CG539" s="177">
        <v>30</v>
      </c>
      <c r="CH539" s="1019">
        <f t="shared" si="691"/>
        <v>12000</v>
      </c>
      <c r="CI539" s="177">
        <v>30</v>
      </c>
      <c r="CJ539" s="1019">
        <f t="shared" si="692"/>
        <v>12000</v>
      </c>
      <c r="CK539" s="177">
        <f t="shared" si="693"/>
        <v>0</v>
      </c>
      <c r="CL539" s="177">
        <f t="shared" si="694"/>
        <v>0</v>
      </c>
      <c r="CM539" s="1006"/>
      <c r="CN539" s="177">
        <f t="shared" si="695"/>
        <v>30</v>
      </c>
      <c r="CO539" s="1019">
        <f t="shared" si="696"/>
        <v>12000</v>
      </c>
      <c r="CP539" s="177">
        <v>30</v>
      </c>
      <c r="CQ539" s="1019">
        <f t="shared" si="697"/>
        <v>12000</v>
      </c>
      <c r="CR539" s="1019">
        <v>30</v>
      </c>
      <c r="CS539" s="1019">
        <f t="shared" si="698"/>
        <v>12000</v>
      </c>
      <c r="CT539" s="177">
        <f t="shared" si="699"/>
        <v>0</v>
      </c>
      <c r="CU539" s="177">
        <f t="shared" si="700"/>
        <v>0</v>
      </c>
      <c r="CV539" s="1006"/>
      <c r="CW539" s="177">
        <f t="shared" si="701"/>
        <v>24000</v>
      </c>
      <c r="CX539" s="1019">
        <f t="shared" si="702"/>
        <v>24000</v>
      </c>
      <c r="CY539" s="177">
        <f t="shared" si="703"/>
        <v>24000</v>
      </c>
      <c r="CZ539" s="1019">
        <f t="shared" si="704"/>
        <v>0</v>
      </c>
      <c r="DA539" s="177">
        <f t="shared" si="705"/>
        <v>0</v>
      </c>
      <c r="DB539" s="126"/>
      <c r="DC539" s="125"/>
    </row>
    <row r="540" spans="1:107" s="81" customFormat="1" ht="51" hidden="1" x14ac:dyDescent="0.25">
      <c r="A540" s="166">
        <v>2026</v>
      </c>
      <c r="B540" s="167">
        <v>479</v>
      </c>
      <c r="C540" s="168" t="s">
        <v>64</v>
      </c>
      <c r="D540" s="168" t="s">
        <v>65</v>
      </c>
      <c r="E540" s="167">
        <v>125</v>
      </c>
      <c r="F540" s="167">
        <v>3000654</v>
      </c>
      <c r="G540" s="167">
        <v>5005023</v>
      </c>
      <c r="H540" s="167">
        <v>3</v>
      </c>
      <c r="I540" s="167">
        <v>12</v>
      </c>
      <c r="J540" s="167">
        <v>24</v>
      </c>
      <c r="K540" s="167">
        <v>135560</v>
      </c>
      <c r="L540" s="168" t="s">
        <v>220</v>
      </c>
      <c r="M540" s="169" t="s">
        <v>221</v>
      </c>
      <c r="N540" s="166">
        <v>97</v>
      </c>
      <c r="O540" s="170"/>
      <c r="P540" s="170" t="s">
        <v>4</v>
      </c>
      <c r="Q540" s="167" t="s">
        <v>68</v>
      </c>
      <c r="R540" s="37" t="s">
        <v>69</v>
      </c>
      <c r="S540" s="171" t="s">
        <v>137</v>
      </c>
      <c r="T540" s="171"/>
      <c r="U540" s="713" t="s">
        <v>2356</v>
      </c>
      <c r="V540" s="37" t="s">
        <v>3</v>
      </c>
      <c r="W540" s="37">
        <v>1</v>
      </c>
      <c r="X540" s="689">
        <v>9000</v>
      </c>
      <c r="Y540" s="865"/>
      <c r="Z540" s="170"/>
      <c r="AA540" s="170"/>
      <c r="AB540" s="866"/>
      <c r="AC540" s="37">
        <v>30</v>
      </c>
      <c r="AD540" s="37">
        <v>30</v>
      </c>
      <c r="AE540" s="865"/>
      <c r="AF540" s="170"/>
      <c r="AG540" s="170"/>
      <c r="AH540" s="170"/>
      <c r="AI540" s="170"/>
      <c r="AJ540" s="867"/>
      <c r="AK540" s="714">
        <v>18000</v>
      </c>
      <c r="AL540" s="173" t="s">
        <v>73</v>
      </c>
      <c r="AM540" s="173" t="s">
        <v>73</v>
      </c>
      <c r="AN540" s="173" t="s">
        <v>73</v>
      </c>
      <c r="AO540" s="173" t="s">
        <v>73</v>
      </c>
      <c r="AP540" s="502">
        <v>9000</v>
      </c>
      <c r="AQ540" s="502">
        <v>9000</v>
      </c>
      <c r="AR540" s="173" t="s">
        <v>73</v>
      </c>
      <c r="AS540" s="173" t="s">
        <v>73</v>
      </c>
      <c r="AT540" s="173" t="s">
        <v>73</v>
      </c>
      <c r="AU540" s="173" t="s">
        <v>73</v>
      </c>
      <c r="AV540" s="173" t="s">
        <v>73</v>
      </c>
      <c r="AW540" s="173" t="s">
        <v>73</v>
      </c>
      <c r="AX540" s="174">
        <v>18000</v>
      </c>
      <c r="AY540" s="503" t="s">
        <v>6</v>
      </c>
      <c r="AZ540" s="170" t="s">
        <v>74</v>
      </c>
      <c r="BA540" s="170"/>
      <c r="BK540" s="481" t="s">
        <v>790</v>
      </c>
      <c r="BL540" s="481" t="s">
        <v>791</v>
      </c>
      <c r="BM540" s="125" t="s">
        <v>1965</v>
      </c>
      <c r="BN540" s="177" t="s">
        <v>1966</v>
      </c>
      <c r="BO540" s="125" t="s">
        <v>1967</v>
      </c>
      <c r="BP540" s="129">
        <v>46154</v>
      </c>
      <c r="BQ540" s="175"/>
      <c r="BR540" s="287">
        <v>4348</v>
      </c>
      <c r="BS540" s="175"/>
      <c r="BT540" s="656"/>
      <c r="BU540" s="951" t="s">
        <v>1815</v>
      </c>
      <c r="BV540" s="284" t="s">
        <v>2357</v>
      </c>
      <c r="BW540" s="284" t="s">
        <v>2358</v>
      </c>
      <c r="BX540" s="284" t="s">
        <v>2359</v>
      </c>
      <c r="BY540" s="284">
        <v>10804916</v>
      </c>
      <c r="BZ540" s="284">
        <v>10108049168</v>
      </c>
      <c r="CA540" s="126">
        <v>9000</v>
      </c>
      <c r="CB540" s="289">
        <v>46160</v>
      </c>
      <c r="CC540" s="289">
        <v>46203</v>
      </c>
      <c r="CD540" s="759"/>
      <c r="CE540" s="177">
        <f t="shared" si="689"/>
        <v>30</v>
      </c>
      <c r="CF540" s="1019">
        <f>AP540</f>
        <v>9000</v>
      </c>
      <c r="CG540" s="177">
        <v>14</v>
      </c>
      <c r="CH540" s="1019">
        <f t="shared" si="691"/>
        <v>4200</v>
      </c>
      <c r="CI540" s="177">
        <v>14</v>
      </c>
      <c r="CJ540" s="1019">
        <f t="shared" si="692"/>
        <v>4200</v>
      </c>
      <c r="CK540" s="177">
        <f t="shared" si="693"/>
        <v>4800</v>
      </c>
      <c r="CL540" s="177">
        <f t="shared" si="694"/>
        <v>4800</v>
      </c>
      <c r="CM540" s="1006"/>
      <c r="CN540" s="1046">
        <f t="shared" si="695"/>
        <v>30</v>
      </c>
      <c r="CO540" s="1050">
        <f t="shared" si="696"/>
        <v>9000</v>
      </c>
      <c r="CP540" s="1046">
        <v>30</v>
      </c>
      <c r="CQ540" s="1050">
        <f t="shared" si="697"/>
        <v>9000</v>
      </c>
      <c r="CR540" s="1051">
        <v>30</v>
      </c>
      <c r="CS540" s="1050">
        <f t="shared" si="698"/>
        <v>9000</v>
      </c>
      <c r="CT540" s="1046">
        <f t="shared" si="699"/>
        <v>0</v>
      </c>
      <c r="CU540" s="1046">
        <f t="shared" si="700"/>
        <v>0</v>
      </c>
      <c r="CV540" s="1006"/>
      <c r="CW540" s="177">
        <f>AX540</f>
        <v>18000</v>
      </c>
      <c r="CX540" s="1019">
        <f t="shared" si="702"/>
        <v>13200</v>
      </c>
      <c r="CY540" s="177">
        <f t="shared" si="703"/>
        <v>13200</v>
      </c>
      <c r="CZ540" s="1019">
        <f t="shared" si="704"/>
        <v>4800</v>
      </c>
      <c r="DA540" s="177">
        <f t="shared" si="705"/>
        <v>4800</v>
      </c>
      <c r="DB540" s="248"/>
      <c r="DC540" s="239"/>
    </row>
    <row r="541" spans="1:107" ht="51" hidden="1" x14ac:dyDescent="0.25">
      <c r="A541" s="19">
        <v>2026</v>
      </c>
      <c r="B541" s="20">
        <v>479</v>
      </c>
      <c r="C541" s="21" t="s">
        <v>64</v>
      </c>
      <c r="D541" s="21" t="s">
        <v>65</v>
      </c>
      <c r="E541" s="20">
        <v>125</v>
      </c>
      <c r="F541" s="20">
        <v>3000654</v>
      </c>
      <c r="G541" s="20">
        <v>5005023</v>
      </c>
      <c r="H541" s="20">
        <v>3</v>
      </c>
      <c r="I541" s="20">
        <v>12</v>
      </c>
      <c r="J541" s="20">
        <v>24</v>
      </c>
      <c r="K541" s="20">
        <v>135560</v>
      </c>
      <c r="L541" s="21" t="s">
        <v>220</v>
      </c>
      <c r="M541" s="33" t="s">
        <v>221</v>
      </c>
      <c r="N541" s="19">
        <v>97</v>
      </c>
      <c r="O541" s="2"/>
      <c r="P541" s="2" t="s">
        <v>4</v>
      </c>
      <c r="Q541" s="20" t="s">
        <v>68</v>
      </c>
      <c r="R541" s="25" t="s">
        <v>69</v>
      </c>
      <c r="S541" s="41" t="s">
        <v>137</v>
      </c>
      <c r="T541" s="41"/>
      <c r="U541" s="31" t="s">
        <v>370</v>
      </c>
      <c r="V541" s="25" t="s">
        <v>3</v>
      </c>
      <c r="W541" s="25">
        <v>1</v>
      </c>
      <c r="X541" s="595">
        <v>10000</v>
      </c>
      <c r="Y541" s="619"/>
      <c r="Z541" s="2"/>
      <c r="AA541" s="2"/>
      <c r="AB541" s="620"/>
      <c r="AC541" s="25">
        <v>30</v>
      </c>
      <c r="AD541" s="25">
        <v>30</v>
      </c>
      <c r="AE541" s="619"/>
      <c r="AF541" s="2"/>
      <c r="AG541" s="2"/>
      <c r="AH541" s="2"/>
      <c r="AI541" s="2"/>
      <c r="AJ541" s="621"/>
      <c r="AK541" s="596">
        <v>20000</v>
      </c>
      <c r="AL541" s="29" t="s">
        <v>73</v>
      </c>
      <c r="AM541" s="29" t="s">
        <v>73</v>
      </c>
      <c r="AN541" s="29" t="s">
        <v>73</v>
      </c>
      <c r="AO541" s="29" t="s">
        <v>73</v>
      </c>
      <c r="AP541" s="478">
        <v>10000</v>
      </c>
      <c r="AQ541" s="478">
        <v>10000</v>
      </c>
      <c r="AR541" s="29" t="s">
        <v>73</v>
      </c>
      <c r="AS541" s="29" t="s">
        <v>73</v>
      </c>
      <c r="AT541" s="29" t="s">
        <v>73</v>
      </c>
      <c r="AU541" s="29" t="s">
        <v>73</v>
      </c>
      <c r="AV541" s="29" t="s">
        <v>73</v>
      </c>
      <c r="AW541" s="29" t="s">
        <v>73</v>
      </c>
      <c r="AX541" s="30">
        <v>20000</v>
      </c>
      <c r="AY541" s="479" t="s">
        <v>6</v>
      </c>
      <c r="AZ541" s="2" t="s">
        <v>74</v>
      </c>
      <c r="BA541" s="2"/>
      <c r="BK541" s="125" t="s">
        <v>790</v>
      </c>
      <c r="BL541" s="481" t="s">
        <v>791</v>
      </c>
      <c r="BM541" s="125" t="s">
        <v>1998</v>
      </c>
      <c r="BN541" s="177" t="s">
        <v>1999</v>
      </c>
      <c r="BO541" s="125" t="s">
        <v>2000</v>
      </c>
      <c r="BP541" s="129">
        <v>46134</v>
      </c>
      <c r="BQ541" s="18"/>
      <c r="BR541" s="505" t="s">
        <v>2360</v>
      </c>
      <c r="BS541" s="18"/>
      <c r="BT541" s="656" t="s">
        <v>2002</v>
      </c>
      <c r="BU541" s="947" t="s">
        <v>1841</v>
      </c>
      <c r="BV541" s="284" t="s">
        <v>845</v>
      </c>
      <c r="BW541" s="566" t="s">
        <v>2361</v>
      </c>
      <c r="BX541" s="566" t="s">
        <v>2362</v>
      </c>
      <c r="BY541" s="125">
        <v>41876597</v>
      </c>
      <c r="BZ541" s="125">
        <v>10418765971</v>
      </c>
      <c r="CA541" s="126"/>
      <c r="CB541" s="289">
        <v>46143</v>
      </c>
      <c r="CC541" s="289">
        <v>46203</v>
      </c>
      <c r="CD541" s="759"/>
      <c r="CE541" s="177">
        <f t="shared" si="689"/>
        <v>30</v>
      </c>
      <c r="CF541" s="1019">
        <f t="shared" si="690"/>
        <v>10000</v>
      </c>
      <c r="CG541" s="177">
        <v>30</v>
      </c>
      <c r="CH541" s="1019">
        <f t="shared" si="691"/>
        <v>10000</v>
      </c>
      <c r="CI541" s="177">
        <v>30</v>
      </c>
      <c r="CJ541" s="1019">
        <f t="shared" si="692"/>
        <v>10000</v>
      </c>
      <c r="CK541" s="177">
        <f t="shared" si="693"/>
        <v>0</v>
      </c>
      <c r="CL541" s="177">
        <f t="shared" si="694"/>
        <v>0</v>
      </c>
      <c r="CM541" s="1006"/>
      <c r="CN541" s="177">
        <f t="shared" si="695"/>
        <v>30</v>
      </c>
      <c r="CO541" s="1019">
        <f t="shared" si="696"/>
        <v>10000</v>
      </c>
      <c r="CP541" s="177">
        <v>30</v>
      </c>
      <c r="CQ541" s="1019">
        <f t="shared" si="697"/>
        <v>10000</v>
      </c>
      <c r="CR541" s="1019">
        <v>30</v>
      </c>
      <c r="CS541" s="1019">
        <f t="shared" si="698"/>
        <v>10000</v>
      </c>
      <c r="CT541" s="177">
        <f t="shared" si="699"/>
        <v>0</v>
      </c>
      <c r="CU541" s="177">
        <f t="shared" si="700"/>
        <v>0</v>
      </c>
      <c r="CV541" s="1006"/>
      <c r="CW541" s="177">
        <f t="shared" si="701"/>
        <v>20000</v>
      </c>
      <c r="CX541" s="1019">
        <f t="shared" si="702"/>
        <v>20000</v>
      </c>
      <c r="CY541" s="177">
        <f t="shared" si="703"/>
        <v>20000</v>
      </c>
      <c r="CZ541" s="1019">
        <f t="shared" si="704"/>
        <v>0</v>
      </c>
      <c r="DA541" s="177">
        <f t="shared" si="705"/>
        <v>0</v>
      </c>
      <c r="DB541" s="126"/>
      <c r="DC541" s="125"/>
    </row>
    <row r="542" spans="1:107" ht="51" hidden="1" x14ac:dyDescent="0.25">
      <c r="A542" s="19">
        <v>2026</v>
      </c>
      <c r="B542" s="20">
        <v>479</v>
      </c>
      <c r="C542" s="21" t="s">
        <v>64</v>
      </c>
      <c r="D542" s="21" t="s">
        <v>65</v>
      </c>
      <c r="E542" s="20">
        <v>125</v>
      </c>
      <c r="F542" s="20">
        <v>3000654</v>
      </c>
      <c r="G542" s="20">
        <v>5005023</v>
      </c>
      <c r="H542" s="20">
        <v>3</v>
      </c>
      <c r="I542" s="20">
        <v>12</v>
      </c>
      <c r="J542" s="20">
        <v>24</v>
      </c>
      <c r="K542" s="20">
        <v>135560</v>
      </c>
      <c r="L542" s="21" t="s">
        <v>220</v>
      </c>
      <c r="M542" s="33" t="s">
        <v>221</v>
      </c>
      <c r="N542" s="19">
        <v>97</v>
      </c>
      <c r="O542" s="2"/>
      <c r="P542" s="2" t="s">
        <v>4</v>
      </c>
      <c r="Q542" s="20" t="s">
        <v>68</v>
      </c>
      <c r="R542" s="25" t="s">
        <v>69</v>
      </c>
      <c r="S542" s="41" t="s">
        <v>137</v>
      </c>
      <c r="T542" s="41"/>
      <c r="U542" s="31" t="s">
        <v>371</v>
      </c>
      <c r="V542" s="25" t="s">
        <v>3</v>
      </c>
      <c r="W542" s="25">
        <v>1</v>
      </c>
      <c r="X542" s="595">
        <v>4500</v>
      </c>
      <c r="Y542" s="619"/>
      <c r="Z542" s="2"/>
      <c r="AA542" s="2"/>
      <c r="AB542" s="620"/>
      <c r="AC542" s="25">
        <v>30</v>
      </c>
      <c r="AD542" s="25">
        <v>30</v>
      </c>
      <c r="AE542" s="619"/>
      <c r="AF542" s="2"/>
      <c r="AG542" s="2"/>
      <c r="AH542" s="2"/>
      <c r="AI542" s="2"/>
      <c r="AJ542" s="621"/>
      <c r="AK542" s="596">
        <v>9000</v>
      </c>
      <c r="AL542" s="29" t="s">
        <v>73</v>
      </c>
      <c r="AM542" s="29" t="s">
        <v>73</v>
      </c>
      <c r="AN542" s="29" t="s">
        <v>73</v>
      </c>
      <c r="AO542" s="29" t="s">
        <v>73</v>
      </c>
      <c r="AP542" s="478">
        <v>4500</v>
      </c>
      <c r="AQ542" s="478">
        <v>4500</v>
      </c>
      <c r="AR542" s="29" t="s">
        <v>73</v>
      </c>
      <c r="AS542" s="29" t="s">
        <v>73</v>
      </c>
      <c r="AT542" s="29" t="s">
        <v>73</v>
      </c>
      <c r="AU542" s="29" t="s">
        <v>73</v>
      </c>
      <c r="AV542" s="29" t="s">
        <v>73</v>
      </c>
      <c r="AW542" s="29" t="s">
        <v>73</v>
      </c>
      <c r="AX542" s="30">
        <v>9000</v>
      </c>
      <c r="AY542" s="479" t="s">
        <v>6</v>
      </c>
      <c r="AZ542" s="2" t="s">
        <v>74</v>
      </c>
      <c r="BA542" s="2"/>
      <c r="BK542" s="125" t="s">
        <v>790</v>
      </c>
      <c r="BL542" s="481" t="s">
        <v>791</v>
      </c>
      <c r="BM542" s="125" t="s">
        <v>1998</v>
      </c>
      <c r="BN542" s="177" t="s">
        <v>1999</v>
      </c>
      <c r="BO542" s="125" t="s">
        <v>2000</v>
      </c>
      <c r="BP542" s="129">
        <v>46134</v>
      </c>
      <c r="BQ542" s="18"/>
      <c r="BR542" s="505" t="s">
        <v>2363</v>
      </c>
      <c r="BS542" s="18"/>
      <c r="BT542" s="656" t="s">
        <v>2002</v>
      </c>
      <c r="BU542" s="947" t="s">
        <v>1841</v>
      </c>
      <c r="BV542" s="125" t="s">
        <v>849</v>
      </c>
      <c r="BW542" s="125" t="s">
        <v>2364</v>
      </c>
      <c r="BX542" s="125" t="s">
        <v>2365</v>
      </c>
      <c r="BY542" s="125">
        <v>44157377</v>
      </c>
      <c r="BZ542" s="125">
        <v>10441573770</v>
      </c>
      <c r="CA542" s="126">
        <v>4500</v>
      </c>
      <c r="CB542" s="289">
        <v>46143</v>
      </c>
      <c r="CC542" s="289">
        <v>46203</v>
      </c>
      <c r="CD542" s="759"/>
      <c r="CE542" s="177">
        <f t="shared" si="689"/>
        <v>30</v>
      </c>
      <c r="CF542" s="1019">
        <f t="shared" si="690"/>
        <v>4500</v>
      </c>
      <c r="CG542" s="177">
        <v>30</v>
      </c>
      <c r="CH542" s="1019">
        <f t="shared" si="691"/>
        <v>4500</v>
      </c>
      <c r="CI542" s="177">
        <v>30</v>
      </c>
      <c r="CJ542" s="1019">
        <f t="shared" si="692"/>
        <v>4500</v>
      </c>
      <c r="CK542" s="177">
        <f t="shared" si="693"/>
        <v>0</v>
      </c>
      <c r="CL542" s="177">
        <f t="shared" si="694"/>
        <v>0</v>
      </c>
      <c r="CM542" s="1006"/>
      <c r="CN542" s="177">
        <f t="shared" si="695"/>
        <v>30</v>
      </c>
      <c r="CO542" s="1019">
        <f t="shared" si="696"/>
        <v>4500</v>
      </c>
      <c r="CP542" s="177">
        <v>30</v>
      </c>
      <c r="CQ542" s="1019">
        <f t="shared" si="697"/>
        <v>4500</v>
      </c>
      <c r="CR542" s="1019">
        <v>30</v>
      </c>
      <c r="CS542" s="1019">
        <f t="shared" si="698"/>
        <v>4500</v>
      </c>
      <c r="CT542" s="177">
        <f t="shared" si="699"/>
        <v>0</v>
      </c>
      <c r="CU542" s="177">
        <f t="shared" si="700"/>
        <v>0</v>
      </c>
      <c r="CV542" s="1006"/>
      <c r="CW542" s="177">
        <f t="shared" si="701"/>
        <v>9000</v>
      </c>
      <c r="CX542" s="1019">
        <f t="shared" si="702"/>
        <v>9000</v>
      </c>
      <c r="CY542" s="177">
        <f t="shared" si="703"/>
        <v>9000</v>
      </c>
      <c r="CZ542" s="1019">
        <f t="shared" si="704"/>
        <v>0</v>
      </c>
      <c r="DA542" s="177">
        <f t="shared" si="705"/>
        <v>0</v>
      </c>
      <c r="DB542" s="126"/>
      <c r="DC542" s="125"/>
    </row>
    <row r="543" spans="1:107" ht="51" hidden="1" x14ac:dyDescent="0.25">
      <c r="A543" s="19">
        <v>2026</v>
      </c>
      <c r="B543" s="20">
        <v>479</v>
      </c>
      <c r="C543" s="21" t="s">
        <v>64</v>
      </c>
      <c r="D543" s="21" t="s">
        <v>65</v>
      </c>
      <c r="E543" s="20">
        <v>125</v>
      </c>
      <c r="F543" s="20">
        <v>3000654</v>
      </c>
      <c r="G543" s="20">
        <v>5005023</v>
      </c>
      <c r="H543" s="20">
        <v>3</v>
      </c>
      <c r="I543" s="20">
        <v>12</v>
      </c>
      <c r="J543" s="20">
        <v>24</v>
      </c>
      <c r="K543" s="20">
        <v>135560</v>
      </c>
      <c r="L543" s="21" t="s">
        <v>220</v>
      </c>
      <c r="M543" s="33" t="s">
        <v>221</v>
      </c>
      <c r="N543" s="19">
        <v>97</v>
      </c>
      <c r="O543" s="2"/>
      <c r="P543" s="2" t="s">
        <v>4</v>
      </c>
      <c r="Q543" s="20" t="s">
        <v>68</v>
      </c>
      <c r="R543" s="25" t="s">
        <v>69</v>
      </c>
      <c r="S543" s="41" t="s">
        <v>137</v>
      </c>
      <c r="T543" s="41"/>
      <c r="U543" s="31" t="s">
        <v>372</v>
      </c>
      <c r="V543" s="25" t="s">
        <v>3</v>
      </c>
      <c r="W543" s="25">
        <v>1</v>
      </c>
      <c r="X543" s="595">
        <v>4500</v>
      </c>
      <c r="Y543" s="619"/>
      <c r="Z543" s="2"/>
      <c r="AA543" s="2"/>
      <c r="AB543" s="620"/>
      <c r="AC543" s="25">
        <v>30</v>
      </c>
      <c r="AD543" s="25">
        <v>30</v>
      </c>
      <c r="AE543" s="619"/>
      <c r="AF543" s="2"/>
      <c r="AG543" s="2"/>
      <c r="AH543" s="2"/>
      <c r="AI543" s="2"/>
      <c r="AJ543" s="621"/>
      <c r="AK543" s="596">
        <v>9000</v>
      </c>
      <c r="AL543" s="29" t="s">
        <v>73</v>
      </c>
      <c r="AM543" s="29" t="s">
        <v>73</v>
      </c>
      <c r="AN543" s="29" t="s">
        <v>73</v>
      </c>
      <c r="AO543" s="29" t="s">
        <v>73</v>
      </c>
      <c r="AP543" s="478">
        <v>4500</v>
      </c>
      <c r="AQ543" s="478">
        <v>4500</v>
      </c>
      <c r="AR543" s="29" t="s">
        <v>73</v>
      </c>
      <c r="AS543" s="29" t="s">
        <v>73</v>
      </c>
      <c r="AT543" s="29" t="s">
        <v>73</v>
      </c>
      <c r="AU543" s="29" t="s">
        <v>73</v>
      </c>
      <c r="AV543" s="29" t="s">
        <v>73</v>
      </c>
      <c r="AW543" s="29" t="s">
        <v>73</v>
      </c>
      <c r="AX543" s="30">
        <v>9000</v>
      </c>
      <c r="AY543" s="479" t="s">
        <v>6</v>
      </c>
      <c r="AZ543" s="2" t="s">
        <v>74</v>
      </c>
      <c r="BA543" s="2"/>
      <c r="BK543" s="125" t="s">
        <v>790</v>
      </c>
      <c r="BL543" s="481" t="s">
        <v>791</v>
      </c>
      <c r="BM543" s="125" t="s">
        <v>1998</v>
      </c>
      <c r="BN543" s="177" t="s">
        <v>1999</v>
      </c>
      <c r="BO543" s="125" t="s">
        <v>2000</v>
      </c>
      <c r="BP543" s="129">
        <v>46134</v>
      </c>
      <c r="BQ543" s="18"/>
      <c r="BR543" s="505" t="s">
        <v>2366</v>
      </c>
      <c r="BS543" s="18"/>
      <c r="BT543" s="656" t="s">
        <v>2002</v>
      </c>
      <c r="BU543" s="947" t="s">
        <v>1841</v>
      </c>
      <c r="BV543" s="125" t="s">
        <v>1249</v>
      </c>
      <c r="BW543" s="125" t="s">
        <v>2367</v>
      </c>
      <c r="BX543" s="125" t="s">
        <v>2368</v>
      </c>
      <c r="BY543" s="125">
        <v>47007071</v>
      </c>
      <c r="BZ543" s="125">
        <v>10470070710</v>
      </c>
      <c r="CA543" s="126">
        <v>4500</v>
      </c>
      <c r="CB543" s="289">
        <v>46143</v>
      </c>
      <c r="CC543" s="289">
        <v>46203</v>
      </c>
      <c r="CD543" s="759"/>
      <c r="CE543" s="177">
        <f t="shared" si="689"/>
        <v>30</v>
      </c>
      <c r="CF543" s="1019">
        <f t="shared" si="690"/>
        <v>4500</v>
      </c>
      <c r="CG543" s="177">
        <v>30</v>
      </c>
      <c r="CH543" s="1019">
        <f t="shared" si="691"/>
        <v>4500</v>
      </c>
      <c r="CI543" s="177">
        <v>30</v>
      </c>
      <c r="CJ543" s="1019">
        <f t="shared" si="692"/>
        <v>4500</v>
      </c>
      <c r="CK543" s="177">
        <f t="shared" si="693"/>
        <v>0</v>
      </c>
      <c r="CL543" s="177">
        <f t="shared" si="694"/>
        <v>0</v>
      </c>
      <c r="CM543" s="1006"/>
      <c r="CN543" s="177">
        <f t="shared" si="695"/>
        <v>30</v>
      </c>
      <c r="CO543" s="1019">
        <f t="shared" si="696"/>
        <v>4500</v>
      </c>
      <c r="CP543" s="177">
        <v>30</v>
      </c>
      <c r="CQ543" s="1019">
        <f t="shared" si="697"/>
        <v>4500</v>
      </c>
      <c r="CR543" s="1019">
        <v>30</v>
      </c>
      <c r="CS543" s="1019">
        <f t="shared" si="698"/>
        <v>4500</v>
      </c>
      <c r="CT543" s="177">
        <f t="shared" si="699"/>
        <v>0</v>
      </c>
      <c r="CU543" s="177">
        <f t="shared" si="700"/>
        <v>0</v>
      </c>
      <c r="CV543" s="1006"/>
      <c r="CW543" s="177">
        <f t="shared" si="701"/>
        <v>9000</v>
      </c>
      <c r="CX543" s="1019">
        <f t="shared" si="702"/>
        <v>9000</v>
      </c>
      <c r="CY543" s="177">
        <f t="shared" si="703"/>
        <v>9000</v>
      </c>
      <c r="CZ543" s="1019">
        <f t="shared" si="704"/>
        <v>0</v>
      </c>
      <c r="DA543" s="177">
        <f t="shared" si="705"/>
        <v>0</v>
      </c>
      <c r="DB543" s="126"/>
      <c r="DC543" s="125"/>
    </row>
    <row r="544" spans="1:107" ht="51" hidden="1" x14ac:dyDescent="0.25">
      <c r="A544" s="19">
        <v>2026</v>
      </c>
      <c r="B544" s="20">
        <v>479</v>
      </c>
      <c r="C544" s="21" t="s">
        <v>64</v>
      </c>
      <c r="D544" s="21" t="s">
        <v>65</v>
      </c>
      <c r="E544" s="20">
        <v>125</v>
      </c>
      <c r="F544" s="20">
        <v>3000654</v>
      </c>
      <c r="G544" s="20">
        <v>5005023</v>
      </c>
      <c r="H544" s="20">
        <v>3</v>
      </c>
      <c r="I544" s="20">
        <v>12</v>
      </c>
      <c r="J544" s="20">
        <v>24</v>
      </c>
      <c r="K544" s="20">
        <v>135560</v>
      </c>
      <c r="L544" s="21" t="s">
        <v>220</v>
      </c>
      <c r="M544" s="33" t="s">
        <v>221</v>
      </c>
      <c r="N544" s="19">
        <v>97</v>
      </c>
      <c r="O544" s="2"/>
      <c r="P544" s="2" t="s">
        <v>4</v>
      </c>
      <c r="Q544" s="20" t="s">
        <v>68</v>
      </c>
      <c r="R544" s="25" t="s">
        <v>69</v>
      </c>
      <c r="S544" s="41" t="s">
        <v>137</v>
      </c>
      <c r="T544" s="41"/>
      <c r="U544" s="31" t="s">
        <v>373</v>
      </c>
      <c r="V544" s="25" t="s">
        <v>3</v>
      </c>
      <c r="W544" s="25">
        <v>1</v>
      </c>
      <c r="X544" s="595">
        <v>4500</v>
      </c>
      <c r="Y544" s="619"/>
      <c r="Z544" s="2"/>
      <c r="AA544" s="2"/>
      <c r="AB544" s="620"/>
      <c r="AC544" s="25">
        <v>30</v>
      </c>
      <c r="AD544" s="25">
        <v>30</v>
      </c>
      <c r="AE544" s="619"/>
      <c r="AF544" s="2"/>
      <c r="AG544" s="2"/>
      <c r="AH544" s="2"/>
      <c r="AI544" s="2"/>
      <c r="AJ544" s="621"/>
      <c r="AK544" s="596">
        <v>9000</v>
      </c>
      <c r="AL544" s="29" t="s">
        <v>73</v>
      </c>
      <c r="AM544" s="29" t="s">
        <v>73</v>
      </c>
      <c r="AN544" s="29" t="s">
        <v>73</v>
      </c>
      <c r="AO544" s="29" t="s">
        <v>73</v>
      </c>
      <c r="AP544" s="478">
        <v>4500</v>
      </c>
      <c r="AQ544" s="478">
        <v>4500</v>
      </c>
      <c r="AR544" s="29" t="s">
        <v>73</v>
      </c>
      <c r="AS544" s="29" t="s">
        <v>73</v>
      </c>
      <c r="AT544" s="29" t="s">
        <v>73</v>
      </c>
      <c r="AU544" s="29" t="s">
        <v>73</v>
      </c>
      <c r="AV544" s="29" t="s">
        <v>73</v>
      </c>
      <c r="AW544" s="29" t="s">
        <v>73</v>
      </c>
      <c r="AX544" s="30">
        <v>9000</v>
      </c>
      <c r="AY544" s="479" t="s">
        <v>6</v>
      </c>
      <c r="AZ544" s="2" t="s">
        <v>74</v>
      </c>
      <c r="BA544" s="2"/>
      <c r="BK544" s="125" t="s">
        <v>790</v>
      </c>
      <c r="BL544" s="481" t="s">
        <v>791</v>
      </c>
      <c r="BM544" s="125" t="s">
        <v>1998</v>
      </c>
      <c r="BN544" s="177" t="s">
        <v>1999</v>
      </c>
      <c r="BO544" s="125" t="s">
        <v>2000</v>
      </c>
      <c r="BP544" s="129">
        <v>46134</v>
      </c>
      <c r="BQ544" s="18"/>
      <c r="BR544" s="505" t="s">
        <v>2369</v>
      </c>
      <c r="BS544" s="18"/>
      <c r="BT544" s="656" t="s">
        <v>2002</v>
      </c>
      <c r="BU544" s="947" t="s">
        <v>1841</v>
      </c>
      <c r="BV544" s="125" t="s">
        <v>849</v>
      </c>
      <c r="BW544" s="125" t="s">
        <v>1689</v>
      </c>
      <c r="BX544" s="125" t="s">
        <v>2370</v>
      </c>
      <c r="BY544" s="125">
        <v>71793168</v>
      </c>
      <c r="BZ544" s="125">
        <v>10717931683</v>
      </c>
      <c r="CA544" s="126">
        <v>4500</v>
      </c>
      <c r="CB544" s="289">
        <v>46143</v>
      </c>
      <c r="CC544" s="289">
        <v>46203</v>
      </c>
      <c r="CD544" s="759"/>
      <c r="CE544" s="177">
        <f t="shared" si="689"/>
        <v>30</v>
      </c>
      <c r="CF544" s="1019">
        <f t="shared" si="690"/>
        <v>4500</v>
      </c>
      <c r="CG544" s="177">
        <v>30</v>
      </c>
      <c r="CH544" s="1019">
        <f t="shared" si="691"/>
        <v>4500</v>
      </c>
      <c r="CI544" s="177">
        <v>30</v>
      </c>
      <c r="CJ544" s="1019">
        <f t="shared" si="692"/>
        <v>4500</v>
      </c>
      <c r="CK544" s="177">
        <f t="shared" si="693"/>
        <v>0</v>
      </c>
      <c r="CL544" s="177">
        <f t="shared" si="694"/>
        <v>0</v>
      </c>
      <c r="CM544" s="1006"/>
      <c r="CN544" s="177">
        <f t="shared" si="695"/>
        <v>30</v>
      </c>
      <c r="CO544" s="1019">
        <f t="shared" si="696"/>
        <v>4500</v>
      </c>
      <c r="CP544" s="177">
        <v>30</v>
      </c>
      <c r="CQ544" s="1019">
        <f t="shared" si="697"/>
        <v>4500</v>
      </c>
      <c r="CR544" s="1019">
        <v>30</v>
      </c>
      <c r="CS544" s="1019">
        <f t="shared" si="698"/>
        <v>4500</v>
      </c>
      <c r="CT544" s="177">
        <f t="shared" si="699"/>
        <v>0</v>
      </c>
      <c r="CU544" s="177">
        <f t="shared" si="700"/>
        <v>0</v>
      </c>
      <c r="CV544" s="1006"/>
      <c r="CW544" s="177">
        <f t="shared" si="701"/>
        <v>9000</v>
      </c>
      <c r="CX544" s="1019">
        <f t="shared" si="702"/>
        <v>9000</v>
      </c>
      <c r="CY544" s="177">
        <f t="shared" si="703"/>
        <v>9000</v>
      </c>
      <c r="CZ544" s="1019">
        <f t="shared" si="704"/>
        <v>0</v>
      </c>
      <c r="DA544" s="177">
        <f t="shared" si="705"/>
        <v>0</v>
      </c>
      <c r="DB544" s="126"/>
      <c r="DC544" s="125"/>
    </row>
    <row r="545" spans="1:107" ht="51" hidden="1" x14ac:dyDescent="0.25">
      <c r="A545" s="19">
        <v>2026</v>
      </c>
      <c r="B545" s="20">
        <v>479</v>
      </c>
      <c r="C545" s="21" t="s">
        <v>64</v>
      </c>
      <c r="D545" s="21" t="s">
        <v>65</v>
      </c>
      <c r="E545" s="20">
        <v>125</v>
      </c>
      <c r="F545" s="20">
        <v>3000654</v>
      </c>
      <c r="G545" s="20">
        <v>5005023</v>
      </c>
      <c r="H545" s="20">
        <v>3</v>
      </c>
      <c r="I545" s="20">
        <v>12</v>
      </c>
      <c r="J545" s="20">
        <v>24</v>
      </c>
      <c r="K545" s="20">
        <v>135560</v>
      </c>
      <c r="L545" s="21" t="s">
        <v>220</v>
      </c>
      <c r="M545" s="33" t="s">
        <v>221</v>
      </c>
      <c r="N545" s="19">
        <v>97</v>
      </c>
      <c r="O545" s="2"/>
      <c r="P545" s="2" t="s">
        <v>4</v>
      </c>
      <c r="Q545" s="20" t="s">
        <v>68</v>
      </c>
      <c r="R545" s="25" t="s">
        <v>69</v>
      </c>
      <c r="S545" s="41" t="s">
        <v>137</v>
      </c>
      <c r="T545" s="41"/>
      <c r="U545" s="31" t="s">
        <v>374</v>
      </c>
      <c r="V545" s="25" t="s">
        <v>3</v>
      </c>
      <c r="W545" s="25">
        <v>1</v>
      </c>
      <c r="X545" s="595">
        <v>4500</v>
      </c>
      <c r="Y545" s="619"/>
      <c r="Z545" s="2"/>
      <c r="AA545" s="2"/>
      <c r="AB545" s="620"/>
      <c r="AC545" s="25">
        <v>30</v>
      </c>
      <c r="AD545" s="25">
        <v>30</v>
      </c>
      <c r="AE545" s="619"/>
      <c r="AF545" s="2"/>
      <c r="AG545" s="2"/>
      <c r="AH545" s="2"/>
      <c r="AI545" s="2"/>
      <c r="AJ545" s="621"/>
      <c r="AK545" s="596">
        <v>9000</v>
      </c>
      <c r="AL545" s="29" t="s">
        <v>73</v>
      </c>
      <c r="AM545" s="29" t="s">
        <v>73</v>
      </c>
      <c r="AN545" s="29" t="s">
        <v>73</v>
      </c>
      <c r="AO545" s="29" t="s">
        <v>73</v>
      </c>
      <c r="AP545" s="478">
        <v>4500</v>
      </c>
      <c r="AQ545" s="478">
        <v>4500</v>
      </c>
      <c r="AR545" s="29" t="s">
        <v>73</v>
      </c>
      <c r="AS545" s="29" t="s">
        <v>73</v>
      </c>
      <c r="AT545" s="29" t="s">
        <v>73</v>
      </c>
      <c r="AU545" s="29" t="s">
        <v>73</v>
      </c>
      <c r="AV545" s="29" t="s">
        <v>73</v>
      </c>
      <c r="AW545" s="29" t="s">
        <v>73</v>
      </c>
      <c r="AX545" s="30">
        <v>9000</v>
      </c>
      <c r="AY545" s="479" t="s">
        <v>6</v>
      </c>
      <c r="AZ545" s="2" t="s">
        <v>74</v>
      </c>
      <c r="BA545" s="2"/>
      <c r="BK545" s="125" t="s">
        <v>790</v>
      </c>
      <c r="BL545" s="481" t="s">
        <v>791</v>
      </c>
      <c r="BM545" s="125" t="s">
        <v>1998</v>
      </c>
      <c r="BN545" s="177" t="s">
        <v>1999</v>
      </c>
      <c r="BO545" s="125" t="s">
        <v>2000</v>
      </c>
      <c r="BP545" s="129">
        <v>46134</v>
      </c>
      <c r="BQ545" s="18"/>
      <c r="BR545" s="505" t="s">
        <v>2371</v>
      </c>
      <c r="BS545" s="18"/>
      <c r="BT545" s="656" t="s">
        <v>2002</v>
      </c>
      <c r="BU545" s="947" t="s">
        <v>1841</v>
      </c>
      <c r="BV545" s="284" t="s">
        <v>845</v>
      </c>
      <c r="BW545" s="566" t="s">
        <v>2372</v>
      </c>
      <c r="BX545" s="566" t="s">
        <v>2373</v>
      </c>
      <c r="BY545" s="125">
        <v>48279034</v>
      </c>
      <c r="BZ545" s="125">
        <v>10482790343</v>
      </c>
      <c r="CA545" s="126">
        <v>4500</v>
      </c>
      <c r="CB545" s="289">
        <v>46143</v>
      </c>
      <c r="CC545" s="289">
        <v>46203</v>
      </c>
      <c r="CD545" s="759"/>
      <c r="CE545" s="177">
        <f t="shared" si="689"/>
        <v>30</v>
      </c>
      <c r="CF545" s="1019">
        <f t="shared" si="690"/>
        <v>4500</v>
      </c>
      <c r="CG545" s="177">
        <v>30</v>
      </c>
      <c r="CH545" s="1019">
        <f t="shared" si="691"/>
        <v>4500</v>
      </c>
      <c r="CI545" s="177">
        <v>30</v>
      </c>
      <c r="CJ545" s="1019">
        <f t="shared" si="692"/>
        <v>4500</v>
      </c>
      <c r="CK545" s="177">
        <f t="shared" si="693"/>
        <v>0</v>
      </c>
      <c r="CL545" s="177">
        <f t="shared" si="694"/>
        <v>0</v>
      </c>
      <c r="CM545" s="1006"/>
      <c r="CN545" s="177">
        <f t="shared" si="695"/>
        <v>30</v>
      </c>
      <c r="CO545" s="1019">
        <f t="shared" si="696"/>
        <v>4500</v>
      </c>
      <c r="CP545" s="177">
        <v>30</v>
      </c>
      <c r="CQ545" s="1019">
        <f t="shared" si="697"/>
        <v>4500</v>
      </c>
      <c r="CR545" s="1019">
        <v>30</v>
      </c>
      <c r="CS545" s="1019">
        <f t="shared" si="698"/>
        <v>4500</v>
      </c>
      <c r="CT545" s="177">
        <f t="shared" si="699"/>
        <v>0</v>
      </c>
      <c r="CU545" s="177">
        <f t="shared" si="700"/>
        <v>0</v>
      </c>
      <c r="CV545" s="1006"/>
      <c r="CW545" s="177">
        <f t="shared" si="701"/>
        <v>9000</v>
      </c>
      <c r="CX545" s="1019">
        <f t="shared" si="702"/>
        <v>9000</v>
      </c>
      <c r="CY545" s="177">
        <f t="shared" si="703"/>
        <v>9000</v>
      </c>
      <c r="CZ545" s="1019">
        <f t="shared" si="704"/>
        <v>0</v>
      </c>
      <c r="DA545" s="177">
        <f t="shared" si="705"/>
        <v>0</v>
      </c>
      <c r="DB545" s="126"/>
      <c r="DC545" s="125"/>
    </row>
    <row r="546" spans="1:107" ht="51" hidden="1" x14ac:dyDescent="0.25">
      <c r="A546" s="19">
        <v>2026</v>
      </c>
      <c r="B546" s="20">
        <v>479</v>
      </c>
      <c r="C546" s="21" t="s">
        <v>64</v>
      </c>
      <c r="D546" s="21" t="s">
        <v>65</v>
      </c>
      <c r="E546" s="20">
        <v>125</v>
      </c>
      <c r="F546" s="20">
        <v>3000654</v>
      </c>
      <c r="G546" s="20">
        <v>5005023</v>
      </c>
      <c r="H546" s="20">
        <v>3</v>
      </c>
      <c r="I546" s="20">
        <v>12</v>
      </c>
      <c r="J546" s="20">
        <v>24</v>
      </c>
      <c r="K546" s="20">
        <v>135560</v>
      </c>
      <c r="L546" s="21" t="s">
        <v>220</v>
      </c>
      <c r="M546" s="33" t="s">
        <v>221</v>
      </c>
      <c r="N546" s="19">
        <v>97</v>
      </c>
      <c r="O546" s="2"/>
      <c r="P546" s="2" t="s">
        <v>4</v>
      </c>
      <c r="Q546" s="20" t="s">
        <v>68</v>
      </c>
      <c r="R546" s="25" t="s">
        <v>69</v>
      </c>
      <c r="S546" s="41" t="s">
        <v>137</v>
      </c>
      <c r="T546" s="41"/>
      <c r="U546" s="31" t="s">
        <v>375</v>
      </c>
      <c r="V546" s="25" t="s">
        <v>3</v>
      </c>
      <c r="W546" s="25">
        <v>1</v>
      </c>
      <c r="X546" s="595">
        <v>4500</v>
      </c>
      <c r="Y546" s="619"/>
      <c r="Z546" s="2"/>
      <c r="AA546" s="2"/>
      <c r="AB546" s="620"/>
      <c r="AC546" s="25">
        <v>30</v>
      </c>
      <c r="AD546" s="25">
        <v>30</v>
      </c>
      <c r="AE546" s="619"/>
      <c r="AF546" s="2"/>
      <c r="AG546" s="2"/>
      <c r="AH546" s="2"/>
      <c r="AI546" s="2"/>
      <c r="AJ546" s="621"/>
      <c r="AK546" s="596">
        <v>9000</v>
      </c>
      <c r="AL546" s="29" t="s">
        <v>73</v>
      </c>
      <c r="AM546" s="29" t="s">
        <v>73</v>
      </c>
      <c r="AN546" s="29" t="s">
        <v>73</v>
      </c>
      <c r="AO546" s="29" t="s">
        <v>73</v>
      </c>
      <c r="AP546" s="478">
        <v>4500</v>
      </c>
      <c r="AQ546" s="478">
        <v>4500</v>
      </c>
      <c r="AR546" s="29" t="s">
        <v>73</v>
      </c>
      <c r="AS546" s="29" t="s">
        <v>73</v>
      </c>
      <c r="AT546" s="29" t="s">
        <v>73</v>
      </c>
      <c r="AU546" s="29" t="s">
        <v>73</v>
      </c>
      <c r="AV546" s="29" t="s">
        <v>73</v>
      </c>
      <c r="AW546" s="29" t="s">
        <v>73</v>
      </c>
      <c r="AX546" s="30">
        <v>9000</v>
      </c>
      <c r="AY546" s="479" t="s">
        <v>6</v>
      </c>
      <c r="AZ546" s="2" t="s">
        <v>74</v>
      </c>
      <c r="BA546" s="2"/>
      <c r="BK546" s="125" t="s">
        <v>790</v>
      </c>
      <c r="BL546" s="481" t="s">
        <v>791</v>
      </c>
      <c r="BM546" s="125" t="s">
        <v>1998</v>
      </c>
      <c r="BN546" s="177" t="s">
        <v>1999</v>
      </c>
      <c r="BO546" s="125" t="s">
        <v>2000</v>
      </c>
      <c r="BP546" s="129">
        <v>46134</v>
      </c>
      <c r="BQ546" s="18"/>
      <c r="BR546" s="505" t="s">
        <v>2374</v>
      </c>
      <c r="BS546" s="18"/>
      <c r="BT546" s="656" t="s">
        <v>2002</v>
      </c>
      <c r="BU546" s="947" t="s">
        <v>1841</v>
      </c>
      <c r="BV546" s="125" t="s">
        <v>966</v>
      </c>
      <c r="BW546" s="125" t="s">
        <v>2375</v>
      </c>
      <c r="BX546" s="125" t="s">
        <v>2376</v>
      </c>
      <c r="BY546" s="125">
        <v>45803443</v>
      </c>
      <c r="BZ546" s="125">
        <v>10458034431</v>
      </c>
      <c r="CA546" s="126">
        <v>4500</v>
      </c>
      <c r="CB546" s="289">
        <v>46143</v>
      </c>
      <c r="CC546" s="289">
        <v>46203</v>
      </c>
      <c r="CD546" s="759"/>
      <c r="CE546" s="177">
        <f t="shared" si="689"/>
        <v>30</v>
      </c>
      <c r="CF546" s="1019">
        <f t="shared" si="690"/>
        <v>4500</v>
      </c>
      <c r="CG546" s="177">
        <v>30</v>
      </c>
      <c r="CH546" s="1019">
        <f t="shared" si="691"/>
        <v>4500</v>
      </c>
      <c r="CI546" s="177">
        <v>30</v>
      </c>
      <c r="CJ546" s="1019">
        <f t="shared" si="692"/>
        <v>4500</v>
      </c>
      <c r="CK546" s="177">
        <f t="shared" si="693"/>
        <v>0</v>
      </c>
      <c r="CL546" s="177">
        <f t="shared" si="694"/>
        <v>0</v>
      </c>
      <c r="CM546" s="1006"/>
      <c r="CN546" s="177">
        <f t="shared" si="695"/>
        <v>30</v>
      </c>
      <c r="CO546" s="1019">
        <f t="shared" si="696"/>
        <v>4500</v>
      </c>
      <c r="CP546" s="177">
        <v>30</v>
      </c>
      <c r="CQ546" s="1019">
        <f t="shared" si="697"/>
        <v>4500</v>
      </c>
      <c r="CR546" s="1019">
        <v>30</v>
      </c>
      <c r="CS546" s="1019">
        <f t="shared" si="698"/>
        <v>4500</v>
      </c>
      <c r="CT546" s="177">
        <f t="shared" si="699"/>
        <v>0</v>
      </c>
      <c r="CU546" s="177">
        <f t="shared" si="700"/>
        <v>0</v>
      </c>
      <c r="CV546" s="1006"/>
      <c r="CW546" s="177">
        <f t="shared" si="701"/>
        <v>9000</v>
      </c>
      <c r="CX546" s="1019">
        <f t="shared" si="702"/>
        <v>9000</v>
      </c>
      <c r="CY546" s="177">
        <f t="shared" si="703"/>
        <v>9000</v>
      </c>
      <c r="CZ546" s="1019">
        <f t="shared" si="704"/>
        <v>0</v>
      </c>
      <c r="DA546" s="177">
        <f t="shared" si="705"/>
        <v>0</v>
      </c>
      <c r="DB546" s="126"/>
      <c r="DC546" s="125"/>
    </row>
    <row r="547" spans="1:107" ht="51" hidden="1" x14ac:dyDescent="0.25">
      <c r="A547" s="19">
        <v>2026</v>
      </c>
      <c r="B547" s="20">
        <v>479</v>
      </c>
      <c r="C547" s="21" t="s">
        <v>64</v>
      </c>
      <c r="D547" s="21" t="s">
        <v>65</v>
      </c>
      <c r="E547" s="20">
        <v>125</v>
      </c>
      <c r="F547" s="20">
        <v>3000654</v>
      </c>
      <c r="G547" s="20">
        <v>5005023</v>
      </c>
      <c r="H547" s="20">
        <v>3</v>
      </c>
      <c r="I547" s="20">
        <v>12</v>
      </c>
      <c r="J547" s="20">
        <v>24</v>
      </c>
      <c r="K547" s="20">
        <v>135560</v>
      </c>
      <c r="L547" s="21" t="s">
        <v>220</v>
      </c>
      <c r="M547" s="33" t="s">
        <v>221</v>
      </c>
      <c r="N547" s="19">
        <v>97</v>
      </c>
      <c r="O547" s="2"/>
      <c r="P547" s="2" t="s">
        <v>4</v>
      </c>
      <c r="Q547" s="20" t="s">
        <v>68</v>
      </c>
      <c r="R547" s="25" t="s">
        <v>69</v>
      </c>
      <c r="S547" s="41" t="s">
        <v>137</v>
      </c>
      <c r="T547" s="41"/>
      <c r="U547" s="31" t="s">
        <v>376</v>
      </c>
      <c r="V547" s="25" t="s">
        <v>3</v>
      </c>
      <c r="W547" s="25">
        <v>1</v>
      </c>
      <c r="X547" s="595">
        <v>4500</v>
      </c>
      <c r="Y547" s="619"/>
      <c r="Z547" s="2"/>
      <c r="AA547" s="2"/>
      <c r="AB547" s="620"/>
      <c r="AC547" s="25">
        <v>30</v>
      </c>
      <c r="AD547" s="25">
        <v>30</v>
      </c>
      <c r="AE547" s="619"/>
      <c r="AF547" s="2"/>
      <c r="AG547" s="2"/>
      <c r="AH547" s="2"/>
      <c r="AI547" s="2"/>
      <c r="AJ547" s="621"/>
      <c r="AK547" s="596">
        <v>9000</v>
      </c>
      <c r="AL547" s="29" t="s">
        <v>73</v>
      </c>
      <c r="AM547" s="29" t="s">
        <v>73</v>
      </c>
      <c r="AN547" s="29" t="s">
        <v>73</v>
      </c>
      <c r="AO547" s="29" t="s">
        <v>73</v>
      </c>
      <c r="AP547" s="478">
        <v>4500</v>
      </c>
      <c r="AQ547" s="478">
        <v>4500</v>
      </c>
      <c r="AR547" s="29" t="s">
        <v>73</v>
      </c>
      <c r="AS547" s="29" t="s">
        <v>73</v>
      </c>
      <c r="AT547" s="29" t="s">
        <v>73</v>
      </c>
      <c r="AU547" s="29" t="s">
        <v>73</v>
      </c>
      <c r="AV547" s="29" t="s">
        <v>73</v>
      </c>
      <c r="AW547" s="29" t="s">
        <v>73</v>
      </c>
      <c r="AX547" s="30">
        <v>9000</v>
      </c>
      <c r="AY547" s="479" t="s">
        <v>6</v>
      </c>
      <c r="AZ547" s="629" t="s">
        <v>74</v>
      </c>
      <c r="BA547" s="2"/>
      <c r="BK547" s="125" t="s">
        <v>790</v>
      </c>
      <c r="BL547" s="481" t="s">
        <v>791</v>
      </c>
      <c r="BM547" s="125" t="s">
        <v>1998</v>
      </c>
      <c r="BN547" s="177" t="s">
        <v>1999</v>
      </c>
      <c r="BO547" s="125" t="s">
        <v>2000</v>
      </c>
      <c r="BP547" s="129">
        <v>46134</v>
      </c>
      <c r="BQ547" s="18"/>
      <c r="BR547" s="505" t="s">
        <v>2377</v>
      </c>
      <c r="BS547" s="18"/>
      <c r="BT547" s="656" t="s">
        <v>2002</v>
      </c>
      <c r="BU547" s="947" t="s">
        <v>1841</v>
      </c>
      <c r="BV547" s="125" t="s">
        <v>2378</v>
      </c>
      <c r="BW547" s="125" t="s">
        <v>1240</v>
      </c>
      <c r="BX547" s="125" t="s">
        <v>2379</v>
      </c>
      <c r="BY547" s="125">
        <v>42973646</v>
      </c>
      <c r="BZ547" s="125">
        <v>10429736469</v>
      </c>
      <c r="CA547" s="126">
        <v>4500</v>
      </c>
      <c r="CB547" s="289">
        <v>46143</v>
      </c>
      <c r="CC547" s="289">
        <v>46203</v>
      </c>
      <c r="CD547" s="759"/>
      <c r="CE547" s="177">
        <f t="shared" si="689"/>
        <v>30</v>
      </c>
      <c r="CF547" s="1019">
        <f t="shared" si="690"/>
        <v>4500</v>
      </c>
      <c r="CG547" s="177">
        <v>30</v>
      </c>
      <c r="CH547" s="1019">
        <f t="shared" si="691"/>
        <v>4500</v>
      </c>
      <c r="CI547" s="177">
        <v>30</v>
      </c>
      <c r="CJ547" s="1019">
        <f t="shared" si="692"/>
        <v>4500</v>
      </c>
      <c r="CK547" s="177">
        <f t="shared" si="693"/>
        <v>0</v>
      </c>
      <c r="CL547" s="177">
        <f t="shared" si="694"/>
        <v>0</v>
      </c>
      <c r="CM547" s="1006"/>
      <c r="CN547" s="177">
        <f t="shared" si="695"/>
        <v>30</v>
      </c>
      <c r="CO547" s="1019">
        <f t="shared" si="696"/>
        <v>4500</v>
      </c>
      <c r="CP547" s="177">
        <v>30</v>
      </c>
      <c r="CQ547" s="1019">
        <f t="shared" si="697"/>
        <v>4500</v>
      </c>
      <c r="CR547" s="1019">
        <v>30</v>
      </c>
      <c r="CS547" s="1019">
        <f t="shared" si="698"/>
        <v>4500</v>
      </c>
      <c r="CT547" s="177">
        <f t="shared" si="699"/>
        <v>0</v>
      </c>
      <c r="CU547" s="177">
        <f t="shared" si="700"/>
        <v>0</v>
      </c>
      <c r="CV547" s="1006"/>
      <c r="CW547" s="177">
        <f t="shared" si="701"/>
        <v>9000</v>
      </c>
      <c r="CX547" s="1019">
        <f t="shared" si="702"/>
        <v>9000</v>
      </c>
      <c r="CY547" s="177">
        <f t="shared" si="703"/>
        <v>9000</v>
      </c>
      <c r="CZ547" s="1019">
        <f t="shared" si="704"/>
        <v>0</v>
      </c>
      <c r="DA547" s="177">
        <f t="shared" si="705"/>
        <v>0</v>
      </c>
      <c r="DB547" s="126"/>
      <c r="DC547" s="125"/>
    </row>
    <row r="548" spans="1:107" ht="51" hidden="1" x14ac:dyDescent="0.25">
      <c r="A548" s="19">
        <v>2026</v>
      </c>
      <c r="B548" s="20">
        <v>479</v>
      </c>
      <c r="C548" s="21" t="s">
        <v>64</v>
      </c>
      <c r="D548" s="21" t="s">
        <v>65</v>
      </c>
      <c r="E548" s="20">
        <v>125</v>
      </c>
      <c r="F548" s="204">
        <v>3000654</v>
      </c>
      <c r="G548" s="204">
        <v>5005023</v>
      </c>
      <c r="H548" s="204">
        <v>3</v>
      </c>
      <c r="I548" s="204">
        <v>12</v>
      </c>
      <c r="J548" s="204">
        <v>24</v>
      </c>
      <c r="K548" s="20">
        <v>135560</v>
      </c>
      <c r="L548" s="201" t="s">
        <v>220</v>
      </c>
      <c r="M548" s="715" t="s">
        <v>221</v>
      </c>
      <c r="N548" s="202">
        <v>97</v>
      </c>
      <c r="O548" s="200"/>
      <c r="P548" s="200" t="s">
        <v>4</v>
      </c>
      <c r="Q548" s="204" t="s">
        <v>68</v>
      </c>
      <c r="R548" s="203" t="s">
        <v>69</v>
      </c>
      <c r="S548" s="41" t="s">
        <v>137</v>
      </c>
      <c r="T548" s="41"/>
      <c r="U548" s="31" t="s">
        <v>376</v>
      </c>
      <c r="V548" s="25" t="s">
        <v>3</v>
      </c>
      <c r="W548" s="25">
        <v>1</v>
      </c>
      <c r="X548" s="595">
        <v>4500</v>
      </c>
      <c r="Y548" s="868"/>
      <c r="Z548" s="200"/>
      <c r="AA548" s="200"/>
      <c r="AB548" s="869"/>
      <c r="AC548" s="25">
        <v>30</v>
      </c>
      <c r="AD548" s="25">
        <v>30</v>
      </c>
      <c r="AE548" s="619"/>
      <c r="AF548" s="2"/>
      <c r="AG548" s="2"/>
      <c r="AH548" s="2"/>
      <c r="AI548" s="2"/>
      <c r="AJ548" s="621"/>
      <c r="AK548" s="596">
        <v>9000</v>
      </c>
      <c r="AL548" s="29"/>
      <c r="AM548" s="29"/>
      <c r="AN548" s="29"/>
      <c r="AO548" s="29"/>
      <c r="AP548" s="478">
        <v>4500</v>
      </c>
      <c r="AQ548" s="478">
        <v>4500</v>
      </c>
      <c r="AR548" s="29"/>
      <c r="AS548" s="29"/>
      <c r="AT548" s="29"/>
      <c r="AU548" s="29"/>
      <c r="AV548" s="29"/>
      <c r="AW548" s="29"/>
      <c r="AX548" s="30">
        <v>9000</v>
      </c>
      <c r="AY548" s="479" t="s">
        <v>6</v>
      </c>
      <c r="AZ548" s="629" t="s">
        <v>74</v>
      </c>
      <c r="BA548" s="2"/>
      <c r="BK548" s="125" t="s">
        <v>790</v>
      </c>
      <c r="BL548" s="481" t="s">
        <v>791</v>
      </c>
      <c r="BM548" s="125" t="s">
        <v>1998</v>
      </c>
      <c r="BN548" s="177" t="s">
        <v>1999</v>
      </c>
      <c r="BO548" s="125" t="s">
        <v>2000</v>
      </c>
      <c r="BP548" s="129">
        <v>46134</v>
      </c>
      <c r="BQ548" s="18"/>
      <c r="BR548" s="505" t="s">
        <v>2380</v>
      </c>
      <c r="BS548" s="18"/>
      <c r="BT548" s="656" t="s">
        <v>2002</v>
      </c>
      <c r="BU548" s="947" t="s">
        <v>1841</v>
      </c>
      <c r="BV548" s="125" t="s">
        <v>1554</v>
      </c>
      <c r="BW548" s="125" t="s">
        <v>1484</v>
      </c>
      <c r="BX548" s="125" t="s">
        <v>2381</v>
      </c>
      <c r="BY548" s="125">
        <v>77464233</v>
      </c>
      <c r="BZ548" s="125">
        <v>10774642337</v>
      </c>
      <c r="CA548" s="126">
        <v>4500</v>
      </c>
      <c r="CB548" s="289">
        <v>46143</v>
      </c>
      <c r="CC548" s="289">
        <v>46203</v>
      </c>
      <c r="CD548" s="759"/>
      <c r="CE548" s="177">
        <f>AC548</f>
        <v>30</v>
      </c>
      <c r="CF548" s="1019">
        <f>AP548</f>
        <v>4500</v>
      </c>
      <c r="CG548" s="177">
        <v>30</v>
      </c>
      <c r="CH548" s="1019">
        <f>(X548/30)*CG548</f>
        <v>4500</v>
      </c>
      <c r="CI548" s="177">
        <v>30</v>
      </c>
      <c r="CJ548" s="1019">
        <f>(X548/30)*CI548</f>
        <v>4500</v>
      </c>
      <c r="CK548" s="177">
        <f>CF548-CH548</f>
        <v>0</v>
      </c>
      <c r="CL548" s="177">
        <f>CF548-CJ548</f>
        <v>0</v>
      </c>
      <c r="CM548" s="1006"/>
      <c r="CN548" s="177">
        <f>AD548</f>
        <v>30</v>
      </c>
      <c r="CO548" s="1019">
        <f>AQ548</f>
        <v>4500</v>
      </c>
      <c r="CP548" s="177">
        <v>30</v>
      </c>
      <c r="CQ548" s="1019">
        <f>(X548/30)*CP548</f>
        <v>4500</v>
      </c>
      <c r="CR548" s="1019">
        <v>30</v>
      </c>
      <c r="CS548" s="1019">
        <f>(X548/30)*CR548</f>
        <v>4500</v>
      </c>
      <c r="CT548" s="177">
        <f>CO548-CQ548</f>
        <v>0</v>
      </c>
      <c r="CU548" s="177">
        <f>CO548-CS548</f>
        <v>0</v>
      </c>
      <c r="CV548" s="1006"/>
      <c r="CW548" s="177">
        <f t="shared" si="701"/>
        <v>9000</v>
      </c>
      <c r="CX548" s="1019">
        <f t="shared" si="702"/>
        <v>9000</v>
      </c>
      <c r="CY548" s="177">
        <f t="shared" si="703"/>
        <v>9000</v>
      </c>
      <c r="CZ548" s="1019">
        <f t="shared" si="704"/>
        <v>0</v>
      </c>
      <c r="DA548" s="177">
        <f t="shared" si="705"/>
        <v>0</v>
      </c>
      <c r="DB548" s="126"/>
      <c r="DC548" s="125"/>
    </row>
    <row r="549" spans="1:107" ht="51" hidden="1" x14ac:dyDescent="0.25">
      <c r="A549" s="19">
        <v>2026</v>
      </c>
      <c r="B549" s="20">
        <v>479</v>
      </c>
      <c r="C549" s="21" t="s">
        <v>64</v>
      </c>
      <c r="D549" s="21" t="s">
        <v>65</v>
      </c>
      <c r="E549" s="20">
        <v>125</v>
      </c>
      <c r="F549" s="204">
        <v>3000654</v>
      </c>
      <c r="G549" s="204">
        <v>5005023</v>
      </c>
      <c r="H549" s="204">
        <v>3</v>
      </c>
      <c r="I549" s="204">
        <v>12</v>
      </c>
      <c r="J549" s="204">
        <v>24</v>
      </c>
      <c r="K549" s="20">
        <v>135560</v>
      </c>
      <c r="L549" s="201" t="s">
        <v>220</v>
      </c>
      <c r="M549" s="715" t="s">
        <v>221</v>
      </c>
      <c r="N549" s="202">
        <v>97</v>
      </c>
      <c r="O549" s="200"/>
      <c r="P549" s="200" t="s">
        <v>4</v>
      </c>
      <c r="Q549" s="204" t="s">
        <v>68</v>
      </c>
      <c r="R549" s="203" t="s">
        <v>69</v>
      </c>
      <c r="S549" s="41" t="s">
        <v>137</v>
      </c>
      <c r="T549" s="41"/>
      <c r="U549" s="31" t="s">
        <v>376</v>
      </c>
      <c r="V549" s="25" t="s">
        <v>3</v>
      </c>
      <c r="W549" s="25">
        <v>1</v>
      </c>
      <c r="X549" s="595">
        <v>4500</v>
      </c>
      <c r="Y549" s="868"/>
      <c r="Z549" s="200"/>
      <c r="AA549" s="200"/>
      <c r="AB549" s="869"/>
      <c r="AC549" s="25">
        <v>30</v>
      </c>
      <c r="AD549" s="25">
        <v>30</v>
      </c>
      <c r="AE549" s="619"/>
      <c r="AF549" s="2"/>
      <c r="AG549" s="2"/>
      <c r="AH549" s="2"/>
      <c r="AI549" s="2"/>
      <c r="AJ549" s="621"/>
      <c r="AK549" s="596">
        <v>9000</v>
      </c>
      <c r="AL549" s="29"/>
      <c r="AM549" s="29"/>
      <c r="AN549" s="29"/>
      <c r="AO549" s="29"/>
      <c r="AP549" s="478">
        <v>4500</v>
      </c>
      <c r="AQ549" s="478">
        <v>4500</v>
      </c>
      <c r="AR549" s="29"/>
      <c r="AS549" s="29"/>
      <c r="AT549" s="29"/>
      <c r="AU549" s="29"/>
      <c r="AV549" s="29"/>
      <c r="AW549" s="29"/>
      <c r="AX549" s="30">
        <v>9000</v>
      </c>
      <c r="AY549" s="479" t="s">
        <v>6</v>
      </c>
      <c r="AZ549" s="629" t="s">
        <v>74</v>
      </c>
      <c r="BA549" s="2"/>
      <c r="BK549" s="125" t="s">
        <v>790</v>
      </c>
      <c r="BL549" s="481" t="s">
        <v>791</v>
      </c>
      <c r="BM549" s="125" t="s">
        <v>1998</v>
      </c>
      <c r="BN549" s="177" t="s">
        <v>1999</v>
      </c>
      <c r="BO549" s="125" t="s">
        <v>2000</v>
      </c>
      <c r="BP549" s="129">
        <v>46134</v>
      </c>
      <c r="BQ549" s="18"/>
      <c r="BR549" s="505" t="s">
        <v>2382</v>
      </c>
      <c r="BS549" s="18"/>
      <c r="BT549" s="656" t="s">
        <v>2002</v>
      </c>
      <c r="BU549" s="947" t="s">
        <v>1841</v>
      </c>
      <c r="BV549" s="125" t="s">
        <v>1035</v>
      </c>
      <c r="BW549" s="125" t="s">
        <v>1527</v>
      </c>
      <c r="BX549" s="125" t="s">
        <v>2383</v>
      </c>
      <c r="BY549" s="125">
        <v>73013472</v>
      </c>
      <c r="BZ549" s="125">
        <v>10730134725</v>
      </c>
      <c r="CA549" s="126">
        <v>4500</v>
      </c>
      <c r="CB549" s="289">
        <v>46143</v>
      </c>
      <c r="CC549" s="289">
        <v>46203</v>
      </c>
      <c r="CD549" s="759"/>
      <c r="CE549" s="177">
        <f>AC549</f>
        <v>30</v>
      </c>
      <c r="CF549" s="1019">
        <f>AP549</f>
        <v>4500</v>
      </c>
      <c r="CG549" s="177">
        <v>30</v>
      </c>
      <c r="CH549" s="1019">
        <f>(X549/30)*CG549</f>
        <v>4500</v>
      </c>
      <c r="CI549" s="177">
        <v>30</v>
      </c>
      <c r="CJ549" s="1019">
        <f>(X549/30)*CI549</f>
        <v>4500</v>
      </c>
      <c r="CK549" s="177">
        <f>CF549-CH549</f>
        <v>0</v>
      </c>
      <c r="CL549" s="177">
        <f>CF549-CJ549</f>
        <v>0</v>
      </c>
      <c r="CM549" s="1006"/>
      <c r="CN549" s="177">
        <f>AD549</f>
        <v>30</v>
      </c>
      <c r="CO549" s="1019">
        <f>AQ549</f>
        <v>4500</v>
      </c>
      <c r="CP549" s="177">
        <v>30</v>
      </c>
      <c r="CQ549" s="1019">
        <f>(X549/30)*CP549</f>
        <v>4500</v>
      </c>
      <c r="CR549" s="1019">
        <v>30</v>
      </c>
      <c r="CS549" s="1019">
        <f>(X549/30)*CR549</f>
        <v>4500</v>
      </c>
      <c r="CT549" s="177">
        <f>CO549-CQ549</f>
        <v>0</v>
      </c>
      <c r="CU549" s="177">
        <f>CO549-CS549</f>
        <v>0</v>
      </c>
      <c r="CV549" s="1006"/>
      <c r="CW549" s="177">
        <f t="shared" si="701"/>
        <v>9000</v>
      </c>
      <c r="CX549" s="1019">
        <f t="shared" si="702"/>
        <v>9000</v>
      </c>
      <c r="CY549" s="177">
        <f t="shared" si="703"/>
        <v>9000</v>
      </c>
      <c r="CZ549" s="1019">
        <f t="shared" si="704"/>
        <v>0</v>
      </c>
      <c r="DA549" s="177">
        <f t="shared" si="705"/>
        <v>0</v>
      </c>
      <c r="DB549" s="126"/>
      <c r="DC549" s="125"/>
    </row>
    <row r="550" spans="1:107" ht="51" hidden="1" x14ac:dyDescent="0.25">
      <c r="A550" s="19">
        <v>2026</v>
      </c>
      <c r="B550" s="20">
        <v>479</v>
      </c>
      <c r="C550" s="21" t="s">
        <v>64</v>
      </c>
      <c r="D550" s="21" t="s">
        <v>65</v>
      </c>
      <c r="E550" s="20">
        <v>125</v>
      </c>
      <c r="F550" s="20">
        <v>3000654</v>
      </c>
      <c r="G550" s="20">
        <v>5005023</v>
      </c>
      <c r="H550" s="20">
        <v>3</v>
      </c>
      <c r="I550" s="20">
        <v>12</v>
      </c>
      <c r="J550" s="20">
        <v>24</v>
      </c>
      <c r="K550" s="20">
        <v>135560</v>
      </c>
      <c r="L550" s="21" t="s">
        <v>98</v>
      </c>
      <c r="M550" s="33" t="s">
        <v>99</v>
      </c>
      <c r="N550" s="19">
        <v>94</v>
      </c>
      <c r="O550" s="2"/>
      <c r="P550" s="2" t="s">
        <v>4</v>
      </c>
      <c r="Q550" s="20" t="s">
        <v>68</v>
      </c>
      <c r="R550" s="25" t="s">
        <v>69</v>
      </c>
      <c r="S550" s="41" t="s">
        <v>137</v>
      </c>
      <c r="T550" s="41"/>
      <c r="U550" s="31" t="s">
        <v>377</v>
      </c>
      <c r="V550" s="25" t="s">
        <v>3</v>
      </c>
      <c r="W550" s="25">
        <v>1</v>
      </c>
      <c r="X550" s="595">
        <v>4500</v>
      </c>
      <c r="Y550" s="619"/>
      <c r="Z550" s="2"/>
      <c r="AA550" s="2"/>
      <c r="AB550" s="620"/>
      <c r="AC550" s="25">
        <v>30</v>
      </c>
      <c r="AD550" s="25">
        <v>0</v>
      </c>
      <c r="AE550" s="619"/>
      <c r="AF550" s="2"/>
      <c r="AG550" s="2"/>
      <c r="AH550" s="2"/>
      <c r="AI550" s="2"/>
      <c r="AJ550" s="621"/>
      <c r="AK550" s="596">
        <v>4500</v>
      </c>
      <c r="AL550" s="29" t="s">
        <v>73</v>
      </c>
      <c r="AM550" s="29" t="s">
        <v>73</v>
      </c>
      <c r="AN550" s="29" t="s">
        <v>73</v>
      </c>
      <c r="AO550" s="29" t="s">
        <v>73</v>
      </c>
      <c r="AP550" s="478">
        <v>4500</v>
      </c>
      <c r="AQ550" s="648">
        <v>0</v>
      </c>
      <c r="AR550" s="29" t="s">
        <v>73</v>
      </c>
      <c r="AS550" s="29" t="s">
        <v>73</v>
      </c>
      <c r="AT550" s="29" t="s">
        <v>73</v>
      </c>
      <c r="AU550" s="29" t="s">
        <v>73</v>
      </c>
      <c r="AV550" s="29" t="s">
        <v>73</v>
      </c>
      <c r="AW550" s="29" t="s">
        <v>73</v>
      </c>
      <c r="AX550" s="30">
        <v>4500</v>
      </c>
      <c r="AY550" s="165" t="s">
        <v>6</v>
      </c>
      <c r="AZ550" s="2" t="s">
        <v>74</v>
      </c>
      <c r="BA550" s="2"/>
      <c r="BK550" s="147" t="s">
        <v>790</v>
      </c>
      <c r="BL550" s="481" t="s">
        <v>791</v>
      </c>
      <c r="BM550" s="125" t="s">
        <v>1998</v>
      </c>
      <c r="BN550" s="177" t="s">
        <v>1999</v>
      </c>
      <c r="BO550" s="125" t="s">
        <v>2000</v>
      </c>
      <c r="BP550" s="129">
        <v>46134</v>
      </c>
      <c r="BQ550" s="18"/>
      <c r="BR550" s="505" t="s">
        <v>2384</v>
      </c>
      <c r="BS550" s="18"/>
      <c r="BT550" s="656" t="s">
        <v>2002</v>
      </c>
      <c r="BU550" s="18"/>
      <c r="BV550" s="125" t="s">
        <v>2385</v>
      </c>
      <c r="BW550" s="125" t="s">
        <v>836</v>
      </c>
      <c r="BX550" s="125" t="s">
        <v>2386</v>
      </c>
      <c r="BY550" s="125">
        <v>40538903</v>
      </c>
      <c r="BZ550" s="125">
        <v>10405389032</v>
      </c>
      <c r="CA550" s="126">
        <v>4500</v>
      </c>
      <c r="CB550" s="289">
        <v>46143</v>
      </c>
      <c r="CC550" s="289">
        <v>46173</v>
      </c>
      <c r="CD550" s="759"/>
      <c r="CE550" s="177">
        <f t="shared" si="689"/>
        <v>30</v>
      </c>
      <c r="CF550" s="1019">
        <f t="shared" si="690"/>
        <v>4500</v>
      </c>
      <c r="CG550" s="177">
        <v>30</v>
      </c>
      <c r="CH550" s="1019">
        <f t="shared" si="691"/>
        <v>4500</v>
      </c>
      <c r="CI550" s="177">
        <v>30</v>
      </c>
      <c r="CJ550" s="1019">
        <f t="shared" si="692"/>
        <v>4500</v>
      </c>
      <c r="CK550" s="177">
        <f t="shared" si="693"/>
        <v>0</v>
      </c>
      <c r="CL550" s="177">
        <f t="shared" si="694"/>
        <v>0</v>
      </c>
      <c r="CM550" s="1006"/>
      <c r="CN550" s="177">
        <f t="shared" si="695"/>
        <v>0</v>
      </c>
      <c r="CO550" s="1019">
        <f t="shared" si="696"/>
        <v>0</v>
      </c>
      <c r="CP550" s="177"/>
      <c r="CQ550" s="1019">
        <f t="shared" si="697"/>
        <v>0</v>
      </c>
      <c r="CR550" s="1019"/>
      <c r="CS550" s="1019">
        <f t="shared" si="698"/>
        <v>0</v>
      </c>
      <c r="CT550" s="177">
        <f t="shared" si="699"/>
        <v>0</v>
      </c>
      <c r="CU550" s="177">
        <f t="shared" si="700"/>
        <v>0</v>
      </c>
      <c r="CV550" s="1006"/>
      <c r="CW550" s="177">
        <f t="shared" si="701"/>
        <v>4500</v>
      </c>
      <c r="CX550" s="1019">
        <f t="shared" si="702"/>
        <v>4500</v>
      </c>
      <c r="CY550" s="177">
        <f t="shared" si="703"/>
        <v>4500</v>
      </c>
      <c r="CZ550" s="1019">
        <f t="shared" si="704"/>
        <v>0</v>
      </c>
      <c r="DA550" s="177">
        <f t="shared" si="705"/>
        <v>0</v>
      </c>
      <c r="DB550" s="126"/>
      <c r="DC550" s="125"/>
    </row>
    <row r="551" spans="1:107" ht="51" hidden="1" x14ac:dyDescent="0.25">
      <c r="A551" s="19">
        <v>2026</v>
      </c>
      <c r="B551" s="20">
        <v>479</v>
      </c>
      <c r="C551" s="21" t="s">
        <v>64</v>
      </c>
      <c r="D551" s="21" t="s">
        <v>65</v>
      </c>
      <c r="E551" s="20">
        <v>125</v>
      </c>
      <c r="F551" s="20">
        <v>3000654</v>
      </c>
      <c r="G551" s="20">
        <v>5005023</v>
      </c>
      <c r="H551" s="20">
        <v>3</v>
      </c>
      <c r="I551" s="20">
        <v>12</v>
      </c>
      <c r="J551" s="20">
        <v>24</v>
      </c>
      <c r="K551" s="20">
        <v>135560</v>
      </c>
      <c r="L551" s="21" t="s">
        <v>98</v>
      </c>
      <c r="M551" s="33" t="s">
        <v>99</v>
      </c>
      <c r="N551" s="19">
        <v>94</v>
      </c>
      <c r="O551" s="2"/>
      <c r="P551" s="2" t="s">
        <v>4</v>
      </c>
      <c r="Q551" s="20" t="s">
        <v>68</v>
      </c>
      <c r="R551" s="25" t="s">
        <v>69</v>
      </c>
      <c r="S551" s="41" t="s">
        <v>137</v>
      </c>
      <c r="T551" s="41"/>
      <c r="U551" s="31" t="s">
        <v>377</v>
      </c>
      <c r="V551" s="25" t="s">
        <v>3</v>
      </c>
      <c r="W551" s="25">
        <v>1</v>
      </c>
      <c r="X551" s="595">
        <v>4500</v>
      </c>
      <c r="Y551" s="868"/>
      <c r="Z551" s="200"/>
      <c r="AA551" s="200"/>
      <c r="AB551" s="869"/>
      <c r="AC551" s="25">
        <v>30</v>
      </c>
      <c r="AD551" s="25">
        <v>0</v>
      </c>
      <c r="AE551" s="868"/>
      <c r="AF551" s="200"/>
      <c r="AG551" s="200"/>
      <c r="AH551" s="200"/>
      <c r="AI551" s="200"/>
      <c r="AJ551" s="873"/>
      <c r="AK551" s="596">
        <v>4500</v>
      </c>
      <c r="AL551" s="29" t="s">
        <v>73</v>
      </c>
      <c r="AM551" s="29" t="s">
        <v>73</v>
      </c>
      <c r="AN551" s="29" t="s">
        <v>73</v>
      </c>
      <c r="AO551" s="29" t="s">
        <v>73</v>
      </c>
      <c r="AP551" s="478">
        <v>4500</v>
      </c>
      <c r="AQ551" s="998">
        <v>0</v>
      </c>
      <c r="AR551" s="29" t="s">
        <v>73</v>
      </c>
      <c r="AS551" s="29" t="s">
        <v>73</v>
      </c>
      <c r="AT551" s="29" t="s">
        <v>73</v>
      </c>
      <c r="AU551" s="29" t="s">
        <v>73</v>
      </c>
      <c r="AV551" s="29" t="s">
        <v>73</v>
      </c>
      <c r="AW551" s="29" t="s">
        <v>73</v>
      </c>
      <c r="AX551" s="30">
        <v>4500</v>
      </c>
      <c r="AY551" s="716" t="s">
        <v>6</v>
      </c>
      <c r="AZ551" s="2" t="s">
        <v>74</v>
      </c>
      <c r="BA551" s="2"/>
      <c r="BK551" s="147" t="s">
        <v>790</v>
      </c>
      <c r="BL551" s="481" t="s">
        <v>791</v>
      </c>
      <c r="BM551" s="125" t="s">
        <v>1998</v>
      </c>
      <c r="BN551" s="177" t="s">
        <v>1999</v>
      </c>
      <c r="BO551" s="125" t="s">
        <v>2000</v>
      </c>
      <c r="BP551" s="129">
        <v>46134</v>
      </c>
      <c r="BQ551" s="18"/>
      <c r="BR551" s="505" t="s">
        <v>2387</v>
      </c>
      <c r="BS551" s="18"/>
      <c r="BT551" s="656" t="s">
        <v>2002</v>
      </c>
      <c r="BU551" s="18"/>
      <c r="BV551" s="125" t="s">
        <v>2349</v>
      </c>
      <c r="BW551" s="125" t="s">
        <v>2350</v>
      </c>
      <c r="BX551" s="125" t="s">
        <v>2388</v>
      </c>
      <c r="BY551" s="125">
        <v>42138246</v>
      </c>
      <c r="BZ551" s="125">
        <v>10421382463</v>
      </c>
      <c r="CA551" s="126">
        <v>4500</v>
      </c>
      <c r="CB551" s="289">
        <v>46143</v>
      </c>
      <c r="CC551" s="289">
        <v>46173</v>
      </c>
      <c r="CD551" s="759"/>
      <c r="CE551" s="177">
        <f>AC551</f>
        <v>30</v>
      </c>
      <c r="CF551" s="1019">
        <f>AP551</f>
        <v>4500</v>
      </c>
      <c r="CG551" s="177">
        <v>30</v>
      </c>
      <c r="CH551" s="1019">
        <f>(X551/30)*CG551</f>
        <v>4500</v>
      </c>
      <c r="CI551" s="177">
        <v>30</v>
      </c>
      <c r="CJ551" s="1019">
        <f>(X551/30)*CI551</f>
        <v>4500</v>
      </c>
      <c r="CK551" s="177">
        <f>CF551-CH551</f>
        <v>0</v>
      </c>
      <c r="CL551" s="177">
        <f>CF551-CJ551</f>
        <v>0</v>
      </c>
      <c r="CM551" s="1006"/>
      <c r="CN551" s="177">
        <f>AD551</f>
        <v>0</v>
      </c>
      <c r="CO551" s="1019">
        <f>AQ551</f>
        <v>0</v>
      </c>
      <c r="CP551" s="177"/>
      <c r="CQ551" s="1019">
        <f>(X551/30)*CP551</f>
        <v>0</v>
      </c>
      <c r="CR551" s="1019"/>
      <c r="CS551" s="1019">
        <f>(X551/30)*CR551</f>
        <v>0</v>
      </c>
      <c r="CT551" s="177">
        <f>CO551-CQ551</f>
        <v>0</v>
      </c>
      <c r="CU551" s="177">
        <f>CO551-CS551</f>
        <v>0</v>
      </c>
      <c r="CV551" s="1006"/>
      <c r="CW551" s="177">
        <f t="shared" si="701"/>
        <v>4500</v>
      </c>
      <c r="CX551" s="1019">
        <f t="shared" si="702"/>
        <v>4500</v>
      </c>
      <c r="CY551" s="177">
        <f t="shared" si="703"/>
        <v>4500</v>
      </c>
      <c r="CZ551" s="1019">
        <f t="shared" si="704"/>
        <v>0</v>
      </c>
      <c r="DA551" s="177">
        <f t="shared" si="705"/>
        <v>0</v>
      </c>
      <c r="DB551" s="126"/>
      <c r="DC551" s="125"/>
    </row>
    <row r="552" spans="1:107" ht="51" hidden="1" x14ac:dyDescent="0.25">
      <c r="A552" s="19">
        <v>2026</v>
      </c>
      <c r="B552" s="20">
        <v>479</v>
      </c>
      <c r="C552" s="21" t="s">
        <v>64</v>
      </c>
      <c r="D552" s="21" t="s">
        <v>65</v>
      </c>
      <c r="E552" s="20">
        <v>125</v>
      </c>
      <c r="F552" s="20">
        <v>3000654</v>
      </c>
      <c r="G552" s="20">
        <v>5005023</v>
      </c>
      <c r="H552" s="20">
        <v>3</v>
      </c>
      <c r="I552" s="20">
        <v>12</v>
      </c>
      <c r="J552" s="20">
        <v>24</v>
      </c>
      <c r="K552" s="20">
        <v>135560</v>
      </c>
      <c r="L552" s="21" t="s">
        <v>220</v>
      </c>
      <c r="M552" s="33" t="s">
        <v>221</v>
      </c>
      <c r="N552" s="19">
        <v>97</v>
      </c>
      <c r="O552" s="2"/>
      <c r="P552" s="2" t="s">
        <v>4</v>
      </c>
      <c r="Q552" s="20" t="s">
        <v>68</v>
      </c>
      <c r="R552" s="25" t="s">
        <v>69</v>
      </c>
      <c r="S552" s="41" t="s">
        <v>137</v>
      </c>
      <c r="T552" s="41"/>
      <c r="U552" s="31" t="s">
        <v>377</v>
      </c>
      <c r="V552" s="25" t="s">
        <v>3</v>
      </c>
      <c r="W552" s="25">
        <v>1</v>
      </c>
      <c r="X552" s="595">
        <v>4500</v>
      </c>
      <c r="Y552" s="619"/>
      <c r="Z552" s="2"/>
      <c r="AA552" s="2"/>
      <c r="AB552" s="620"/>
      <c r="AC552" s="25">
        <v>0</v>
      </c>
      <c r="AD552" s="25">
        <v>30</v>
      </c>
      <c r="AE552" s="619"/>
      <c r="AF552" s="2"/>
      <c r="AG552" s="2"/>
      <c r="AH552" s="2"/>
      <c r="AI552" s="2"/>
      <c r="AJ552" s="621"/>
      <c r="AK552" s="596">
        <v>4500</v>
      </c>
      <c r="AL552" s="29" t="s">
        <v>73</v>
      </c>
      <c r="AM552" s="29" t="s">
        <v>73</v>
      </c>
      <c r="AN552" s="29" t="s">
        <v>73</v>
      </c>
      <c r="AO552" s="29" t="s">
        <v>73</v>
      </c>
      <c r="AP552" s="648">
        <v>0</v>
      </c>
      <c r="AQ552" s="478">
        <v>4500</v>
      </c>
      <c r="AR552" s="29" t="s">
        <v>73</v>
      </c>
      <c r="AS552" s="29" t="s">
        <v>73</v>
      </c>
      <c r="AT552" s="29" t="s">
        <v>73</v>
      </c>
      <c r="AU552" s="29" t="s">
        <v>73</v>
      </c>
      <c r="AV552" s="29" t="s">
        <v>73</v>
      </c>
      <c r="AW552" s="29" t="s">
        <v>73</v>
      </c>
      <c r="AX552" s="30">
        <v>4500</v>
      </c>
      <c r="AY552" s="479" t="s">
        <v>6</v>
      </c>
      <c r="AZ552" s="2" t="s">
        <v>74</v>
      </c>
      <c r="BA552" s="2"/>
      <c r="BK552" s="125" t="s">
        <v>790</v>
      </c>
      <c r="BL552" s="481" t="s">
        <v>791</v>
      </c>
      <c r="BM552" s="125" t="s">
        <v>1812</v>
      </c>
      <c r="BN552" s="177" t="s">
        <v>1813</v>
      </c>
      <c r="BO552" s="125" t="s">
        <v>1814</v>
      </c>
      <c r="BP552" s="129">
        <v>46156</v>
      </c>
      <c r="BQ552" s="18"/>
      <c r="BR552" s="505">
        <v>5053</v>
      </c>
      <c r="BS552" s="18"/>
      <c r="BT552" s="18"/>
      <c r="BU552" s="18" t="s">
        <v>1815</v>
      </c>
      <c r="BV552" s="125" t="s">
        <v>2385</v>
      </c>
      <c r="BW552" s="125" t="s">
        <v>836</v>
      </c>
      <c r="BX552" s="125" t="s">
        <v>2386</v>
      </c>
      <c r="BY552" s="125">
        <v>40538903</v>
      </c>
      <c r="BZ552" s="125">
        <v>10405389032</v>
      </c>
      <c r="CA552" s="261">
        <v>4500</v>
      </c>
      <c r="CB552" s="289">
        <v>46174</v>
      </c>
      <c r="CC552" s="289">
        <v>46203</v>
      </c>
      <c r="CD552" s="759"/>
      <c r="CE552" s="177">
        <f t="shared" si="689"/>
        <v>0</v>
      </c>
      <c r="CF552" s="1019">
        <f t="shared" si="690"/>
        <v>0</v>
      </c>
      <c r="CG552" s="177"/>
      <c r="CH552" s="1019">
        <f t="shared" si="691"/>
        <v>0</v>
      </c>
      <c r="CI552" s="177"/>
      <c r="CJ552" s="1019">
        <f t="shared" si="692"/>
        <v>0</v>
      </c>
      <c r="CK552" s="177">
        <f t="shared" si="693"/>
        <v>0</v>
      </c>
      <c r="CL552" s="177">
        <f t="shared" si="694"/>
        <v>0</v>
      </c>
      <c r="CM552" s="1006"/>
      <c r="CN552" s="177">
        <f t="shared" si="695"/>
        <v>30</v>
      </c>
      <c r="CO552" s="1019">
        <f t="shared" si="696"/>
        <v>4500</v>
      </c>
      <c r="CP552" s="177">
        <v>30</v>
      </c>
      <c r="CQ552" s="1019">
        <f t="shared" si="697"/>
        <v>4500</v>
      </c>
      <c r="CR552" s="177">
        <v>30</v>
      </c>
      <c r="CS552" s="1019">
        <f t="shared" si="698"/>
        <v>4500</v>
      </c>
      <c r="CT552" s="177">
        <f t="shared" si="699"/>
        <v>0</v>
      </c>
      <c r="CU552" s="177">
        <f t="shared" si="700"/>
        <v>0</v>
      </c>
      <c r="CV552" s="1006"/>
      <c r="CW552" s="177">
        <f t="shared" si="701"/>
        <v>4500</v>
      </c>
      <c r="CX552" s="1019">
        <f t="shared" si="702"/>
        <v>4500</v>
      </c>
      <c r="CY552" s="177">
        <f t="shared" si="703"/>
        <v>4500</v>
      </c>
      <c r="CZ552" s="1019">
        <f t="shared" si="704"/>
        <v>0</v>
      </c>
      <c r="DA552" s="177">
        <f t="shared" si="705"/>
        <v>0</v>
      </c>
      <c r="DB552" s="126"/>
      <c r="DC552" s="125"/>
    </row>
    <row r="553" spans="1:107" ht="51" hidden="1" x14ac:dyDescent="0.25">
      <c r="A553" s="19">
        <v>2026</v>
      </c>
      <c r="B553" s="20">
        <v>479</v>
      </c>
      <c r="C553" s="21" t="s">
        <v>64</v>
      </c>
      <c r="D553" s="21" t="s">
        <v>65</v>
      </c>
      <c r="E553" s="20">
        <v>125</v>
      </c>
      <c r="F553" s="20">
        <v>3000654</v>
      </c>
      <c r="G553" s="20">
        <v>5005023</v>
      </c>
      <c r="H553" s="20">
        <v>3</v>
      </c>
      <c r="I553" s="20">
        <v>12</v>
      </c>
      <c r="J553" s="20">
        <v>24</v>
      </c>
      <c r="K553" s="20">
        <v>135560</v>
      </c>
      <c r="L553" s="21" t="s">
        <v>220</v>
      </c>
      <c r="M553" s="33" t="s">
        <v>221</v>
      </c>
      <c r="N553" s="19">
        <v>97</v>
      </c>
      <c r="O553" s="2"/>
      <c r="P553" s="2" t="s">
        <v>4</v>
      </c>
      <c r="Q553" s="20" t="s">
        <v>68</v>
      </c>
      <c r="R553" s="25" t="s">
        <v>69</v>
      </c>
      <c r="S553" s="41" t="s">
        <v>137</v>
      </c>
      <c r="T553" s="41"/>
      <c r="U553" s="31" t="s">
        <v>377</v>
      </c>
      <c r="V553" s="25" t="s">
        <v>3</v>
      </c>
      <c r="W553" s="25">
        <v>1</v>
      </c>
      <c r="X553" s="595">
        <v>4500</v>
      </c>
      <c r="Y553" s="619"/>
      <c r="Z553" s="2"/>
      <c r="AA553" s="2"/>
      <c r="AB553" s="620"/>
      <c r="AC553" s="25">
        <v>0</v>
      </c>
      <c r="AD553" s="25">
        <v>30</v>
      </c>
      <c r="AE553" s="619"/>
      <c r="AF553" s="2"/>
      <c r="AG553" s="2"/>
      <c r="AH553" s="2"/>
      <c r="AI553" s="2"/>
      <c r="AJ553" s="621"/>
      <c r="AK553" s="596">
        <v>4500</v>
      </c>
      <c r="AL553" s="29" t="s">
        <v>73</v>
      </c>
      <c r="AM553" s="29" t="s">
        <v>73</v>
      </c>
      <c r="AN553" s="29" t="s">
        <v>73</v>
      </c>
      <c r="AO553" s="29" t="s">
        <v>73</v>
      </c>
      <c r="AP553" s="648">
        <v>0</v>
      </c>
      <c r="AQ553" s="478">
        <v>4500</v>
      </c>
      <c r="AR553" s="29" t="s">
        <v>73</v>
      </c>
      <c r="AS553" s="29" t="s">
        <v>73</v>
      </c>
      <c r="AT553" s="29" t="s">
        <v>73</v>
      </c>
      <c r="AU553" s="29" t="s">
        <v>73</v>
      </c>
      <c r="AV553" s="29" t="s">
        <v>73</v>
      </c>
      <c r="AW553" s="29" t="s">
        <v>73</v>
      </c>
      <c r="AX553" s="30">
        <v>4500</v>
      </c>
      <c r="AY553" s="479" t="s">
        <v>6</v>
      </c>
      <c r="AZ553" s="2" t="s">
        <v>74</v>
      </c>
      <c r="BA553" s="2"/>
      <c r="BK553" s="125" t="s">
        <v>790</v>
      </c>
      <c r="BL553" s="481" t="s">
        <v>791</v>
      </c>
      <c r="BM553" s="125" t="s">
        <v>1812</v>
      </c>
      <c r="BN553" s="177" t="s">
        <v>1813</v>
      </c>
      <c r="BO553" s="125" t="s">
        <v>1814</v>
      </c>
      <c r="BP553" s="129">
        <v>46156</v>
      </c>
      <c r="BQ553" s="18"/>
      <c r="BR553" s="287">
        <v>5005</v>
      </c>
      <c r="BS553" s="18"/>
      <c r="BT553" s="18"/>
      <c r="BU553" s="947" t="s">
        <v>1815</v>
      </c>
      <c r="BV553" s="125" t="s">
        <v>2349</v>
      </c>
      <c r="BW553" s="125" t="s">
        <v>2350</v>
      </c>
      <c r="BX553" s="125" t="s">
        <v>2388</v>
      </c>
      <c r="BY553" s="125">
        <v>42138246</v>
      </c>
      <c r="BZ553" s="125">
        <v>10421382463</v>
      </c>
      <c r="CA553" s="261">
        <v>4500</v>
      </c>
      <c r="CB553" s="289">
        <v>46174</v>
      </c>
      <c r="CC553" s="289">
        <v>46203</v>
      </c>
      <c r="CD553" s="759"/>
      <c r="CE553" s="177">
        <f t="shared" ref="CE553" si="706">AC553</f>
        <v>0</v>
      </c>
      <c r="CF553" s="1019">
        <f t="shared" ref="CF553" si="707">AP553</f>
        <v>0</v>
      </c>
      <c r="CG553" s="177"/>
      <c r="CH553" s="1019">
        <f t="shared" ref="CH553" si="708">(X553/30)*CG553</f>
        <v>0</v>
      </c>
      <c r="CI553" s="177"/>
      <c r="CJ553" s="1019">
        <f t="shared" ref="CJ553" si="709">(X553/30)*CI553</f>
        <v>0</v>
      </c>
      <c r="CK553" s="177">
        <f t="shared" ref="CK553" si="710">CF553-CH553</f>
        <v>0</v>
      </c>
      <c r="CL553" s="177">
        <f t="shared" ref="CL553" si="711">CF553-CJ553</f>
        <v>0</v>
      </c>
      <c r="CM553" s="1006"/>
      <c r="CN553" s="177">
        <f t="shared" ref="CN553" si="712">AD553</f>
        <v>30</v>
      </c>
      <c r="CO553" s="1019">
        <f t="shared" ref="CO553" si="713">AQ553</f>
        <v>4500</v>
      </c>
      <c r="CP553" s="177">
        <v>30</v>
      </c>
      <c r="CQ553" s="1019">
        <f t="shared" ref="CQ553" si="714">(X553/30)*CP553</f>
        <v>4500</v>
      </c>
      <c r="CR553" s="177">
        <v>30</v>
      </c>
      <c r="CS553" s="1019">
        <f t="shared" ref="CS553" si="715">(X553/30)*CR553</f>
        <v>4500</v>
      </c>
      <c r="CT553" s="177">
        <f t="shared" ref="CT553" si="716">CO553-CQ553</f>
        <v>0</v>
      </c>
      <c r="CU553" s="177">
        <f t="shared" ref="CU553" si="717">CO553-CS553</f>
        <v>0</v>
      </c>
      <c r="CV553" s="1006"/>
      <c r="CW553" s="177">
        <f t="shared" si="701"/>
        <v>4500</v>
      </c>
      <c r="CX553" s="1019">
        <f t="shared" si="702"/>
        <v>4500</v>
      </c>
      <c r="CY553" s="177">
        <f t="shared" si="703"/>
        <v>4500</v>
      </c>
      <c r="CZ553" s="1019">
        <f t="shared" si="704"/>
        <v>0</v>
      </c>
      <c r="DA553" s="177">
        <f t="shared" si="705"/>
        <v>0</v>
      </c>
      <c r="DB553" s="126"/>
      <c r="DC553" s="125"/>
    </row>
    <row r="554" spans="1:107" ht="51" hidden="1" x14ac:dyDescent="0.25">
      <c r="A554" s="19">
        <v>2026</v>
      </c>
      <c r="B554" s="20">
        <v>479</v>
      </c>
      <c r="C554" s="21" t="s">
        <v>64</v>
      </c>
      <c r="D554" s="21" t="s">
        <v>65</v>
      </c>
      <c r="E554" s="20">
        <v>125</v>
      </c>
      <c r="F554" s="20">
        <v>3000654</v>
      </c>
      <c r="G554" s="20">
        <v>5005023</v>
      </c>
      <c r="H554" s="20">
        <v>3</v>
      </c>
      <c r="I554" s="20">
        <v>12</v>
      </c>
      <c r="J554" s="20">
        <v>24</v>
      </c>
      <c r="K554" s="20">
        <v>135560</v>
      </c>
      <c r="L554" s="21" t="s">
        <v>98</v>
      </c>
      <c r="M554" s="33" t="s">
        <v>99</v>
      </c>
      <c r="N554" s="19">
        <v>94</v>
      </c>
      <c r="O554" s="2"/>
      <c r="P554" s="2" t="s">
        <v>4</v>
      </c>
      <c r="Q554" s="20" t="s">
        <v>68</v>
      </c>
      <c r="R554" s="25" t="s">
        <v>69</v>
      </c>
      <c r="S554" s="41" t="s">
        <v>137</v>
      </c>
      <c r="T554" s="41"/>
      <c r="U554" s="31" t="s">
        <v>378</v>
      </c>
      <c r="V554" s="25" t="s">
        <v>3</v>
      </c>
      <c r="W554" s="25">
        <v>1</v>
      </c>
      <c r="X554" s="595">
        <v>3000</v>
      </c>
      <c r="Y554" s="619"/>
      <c r="Z554" s="2"/>
      <c r="AA554" s="2"/>
      <c r="AB554" s="620"/>
      <c r="AC554" s="25">
        <v>30</v>
      </c>
      <c r="AD554" s="25">
        <v>0</v>
      </c>
      <c r="AE554" s="619"/>
      <c r="AF554" s="2"/>
      <c r="AG554" s="2"/>
      <c r="AH554" s="2"/>
      <c r="AI554" s="2"/>
      <c r="AJ554" s="621"/>
      <c r="AK554" s="596">
        <v>3000</v>
      </c>
      <c r="AL554" s="29" t="s">
        <v>73</v>
      </c>
      <c r="AM554" s="29" t="s">
        <v>73</v>
      </c>
      <c r="AN554" s="29" t="s">
        <v>73</v>
      </c>
      <c r="AO554" s="29" t="s">
        <v>73</v>
      </c>
      <c r="AP554" s="478">
        <v>3000</v>
      </c>
      <c r="AQ554" s="648">
        <v>0</v>
      </c>
      <c r="AR554" s="29" t="s">
        <v>73</v>
      </c>
      <c r="AS554" s="29" t="s">
        <v>73</v>
      </c>
      <c r="AT554" s="29" t="s">
        <v>73</v>
      </c>
      <c r="AU554" s="29" t="s">
        <v>73</v>
      </c>
      <c r="AV554" s="29" t="s">
        <v>73</v>
      </c>
      <c r="AW554" s="29" t="s">
        <v>73</v>
      </c>
      <c r="AX554" s="30">
        <v>3000</v>
      </c>
      <c r="AY554" s="165" t="s">
        <v>6</v>
      </c>
      <c r="AZ554" s="2" t="s">
        <v>74</v>
      </c>
      <c r="BA554" s="2"/>
      <c r="BK554" s="147" t="s">
        <v>790</v>
      </c>
      <c r="BL554" s="481" t="s">
        <v>791</v>
      </c>
      <c r="BM554" s="125" t="s">
        <v>1998</v>
      </c>
      <c r="BN554" s="177" t="s">
        <v>1999</v>
      </c>
      <c r="BO554" s="125" t="s">
        <v>2000</v>
      </c>
      <c r="BP554" s="129">
        <v>46134</v>
      </c>
      <c r="BQ554" s="18"/>
      <c r="BR554" s="505" t="s">
        <v>2389</v>
      </c>
      <c r="BS554" s="18"/>
      <c r="BT554" s="656" t="s">
        <v>2002</v>
      </c>
      <c r="BU554" s="18"/>
      <c r="BV554" s="125" t="s">
        <v>2390</v>
      </c>
      <c r="BW554" s="125" t="s">
        <v>2391</v>
      </c>
      <c r="BX554" s="125" t="s">
        <v>2392</v>
      </c>
      <c r="BY554" s="125">
        <v>9581131</v>
      </c>
      <c r="BZ554" s="125">
        <v>10095811316</v>
      </c>
      <c r="CA554" s="126">
        <v>3000</v>
      </c>
      <c r="CB554" s="289">
        <v>46143</v>
      </c>
      <c r="CC554" s="289">
        <v>46173</v>
      </c>
      <c r="CD554" s="759"/>
      <c r="CE554" s="177">
        <f t="shared" si="689"/>
        <v>30</v>
      </c>
      <c r="CF554" s="1019">
        <f t="shared" si="690"/>
        <v>3000</v>
      </c>
      <c r="CG554" s="177">
        <v>30</v>
      </c>
      <c r="CH554" s="1019">
        <f t="shared" si="691"/>
        <v>3000</v>
      </c>
      <c r="CI554" s="177">
        <v>30</v>
      </c>
      <c r="CJ554" s="1019">
        <f t="shared" si="692"/>
        <v>3000</v>
      </c>
      <c r="CK554" s="177">
        <f t="shared" si="693"/>
        <v>0</v>
      </c>
      <c r="CL554" s="177">
        <f t="shared" si="694"/>
        <v>0</v>
      </c>
      <c r="CM554" s="1006"/>
      <c r="CN554" s="177">
        <f t="shared" si="695"/>
        <v>0</v>
      </c>
      <c r="CO554" s="1019">
        <f t="shared" si="696"/>
        <v>0</v>
      </c>
      <c r="CP554" s="177"/>
      <c r="CQ554" s="1019">
        <f t="shared" si="697"/>
        <v>0</v>
      </c>
      <c r="CR554" s="1019"/>
      <c r="CS554" s="1019">
        <f t="shared" si="698"/>
        <v>0</v>
      </c>
      <c r="CT554" s="177">
        <f t="shared" si="699"/>
        <v>0</v>
      </c>
      <c r="CU554" s="177">
        <f t="shared" si="700"/>
        <v>0</v>
      </c>
      <c r="CV554" s="1006"/>
      <c r="CW554" s="177">
        <f t="shared" si="701"/>
        <v>3000</v>
      </c>
      <c r="CX554" s="1019">
        <f t="shared" si="702"/>
        <v>3000</v>
      </c>
      <c r="CY554" s="177">
        <f t="shared" si="703"/>
        <v>3000</v>
      </c>
      <c r="CZ554" s="1019">
        <f t="shared" si="704"/>
        <v>0</v>
      </c>
      <c r="DA554" s="177">
        <f t="shared" si="705"/>
        <v>0</v>
      </c>
      <c r="DB554" s="126"/>
      <c r="DC554" s="125"/>
    </row>
    <row r="555" spans="1:107" ht="51" hidden="1" x14ac:dyDescent="0.25">
      <c r="A555" s="19">
        <v>2026</v>
      </c>
      <c r="B555" s="20">
        <v>479</v>
      </c>
      <c r="C555" s="21" t="s">
        <v>64</v>
      </c>
      <c r="D555" s="21" t="s">
        <v>65</v>
      </c>
      <c r="E555" s="20">
        <v>125</v>
      </c>
      <c r="F555" s="20">
        <v>3000654</v>
      </c>
      <c r="G555" s="20">
        <v>5005023</v>
      </c>
      <c r="H555" s="20">
        <v>3</v>
      </c>
      <c r="I555" s="20">
        <v>12</v>
      </c>
      <c r="J555" s="20">
        <v>24</v>
      </c>
      <c r="K555" s="20">
        <v>135560</v>
      </c>
      <c r="L555" s="21" t="s">
        <v>220</v>
      </c>
      <c r="M555" s="33" t="s">
        <v>221</v>
      </c>
      <c r="N555" s="19">
        <v>97</v>
      </c>
      <c r="O555" s="2"/>
      <c r="P555" s="2" t="s">
        <v>4</v>
      </c>
      <c r="Q555" s="20" t="s">
        <v>68</v>
      </c>
      <c r="R555" s="25" t="s">
        <v>69</v>
      </c>
      <c r="S555" s="41" t="s">
        <v>137</v>
      </c>
      <c r="T555" s="41"/>
      <c r="U555" s="31" t="s">
        <v>378</v>
      </c>
      <c r="V555" s="25" t="s">
        <v>3</v>
      </c>
      <c r="W555" s="25">
        <v>1</v>
      </c>
      <c r="X555" s="595">
        <v>3000</v>
      </c>
      <c r="Y555" s="619"/>
      <c r="Z555" s="2"/>
      <c r="AA555" s="2"/>
      <c r="AB555" s="620"/>
      <c r="AC555" s="25">
        <v>0</v>
      </c>
      <c r="AD555" s="25">
        <v>30</v>
      </c>
      <c r="AE555" s="619"/>
      <c r="AF555" s="2"/>
      <c r="AG555" s="2"/>
      <c r="AH555" s="2"/>
      <c r="AI555" s="2"/>
      <c r="AJ555" s="621"/>
      <c r="AK555" s="596">
        <v>3000</v>
      </c>
      <c r="AL555" s="29" t="s">
        <v>73</v>
      </c>
      <c r="AM555" s="29" t="s">
        <v>73</v>
      </c>
      <c r="AN555" s="29" t="s">
        <v>73</v>
      </c>
      <c r="AO555" s="29" t="s">
        <v>73</v>
      </c>
      <c r="AP555" s="648">
        <v>0</v>
      </c>
      <c r="AQ555" s="478">
        <v>3000</v>
      </c>
      <c r="AR555" s="29" t="s">
        <v>73</v>
      </c>
      <c r="AS555" s="29" t="s">
        <v>73</v>
      </c>
      <c r="AT555" s="29" t="s">
        <v>73</v>
      </c>
      <c r="AU555" s="29" t="s">
        <v>73</v>
      </c>
      <c r="AV555" s="29" t="s">
        <v>73</v>
      </c>
      <c r="AW555" s="29" t="s">
        <v>73</v>
      </c>
      <c r="AX555" s="30">
        <v>3000</v>
      </c>
      <c r="AY555" s="479" t="s">
        <v>6</v>
      </c>
      <c r="AZ555" s="2" t="s">
        <v>74</v>
      </c>
      <c r="BA555" s="2"/>
      <c r="BK555" s="125" t="s">
        <v>790</v>
      </c>
      <c r="BL555" s="481" t="s">
        <v>791</v>
      </c>
      <c r="BM555" s="125" t="s">
        <v>1812</v>
      </c>
      <c r="BN555" s="177" t="s">
        <v>1813</v>
      </c>
      <c r="BO555" s="125" t="s">
        <v>1814</v>
      </c>
      <c r="BP555" s="129">
        <v>46156</v>
      </c>
      <c r="BQ555" s="18"/>
      <c r="BR555" s="505" t="s">
        <v>2389</v>
      </c>
      <c r="BS555" s="18"/>
      <c r="BT555" s="18"/>
      <c r="BU555" s="18"/>
      <c r="BV555" s="125" t="s">
        <v>2390</v>
      </c>
      <c r="BW555" s="177" t="s">
        <v>2391</v>
      </c>
      <c r="BX555" s="177" t="s">
        <v>2392</v>
      </c>
      <c r="BY555" s="125">
        <v>9581131</v>
      </c>
      <c r="BZ555" s="125">
        <v>10095811316</v>
      </c>
      <c r="CA555" s="261">
        <v>3000</v>
      </c>
      <c r="CB555" s="289">
        <v>46174</v>
      </c>
      <c r="CC555" s="289">
        <v>46203</v>
      </c>
      <c r="CD555" s="759"/>
      <c r="CE555" s="177">
        <f t="shared" si="689"/>
        <v>0</v>
      </c>
      <c r="CF555" s="1019">
        <f t="shared" si="690"/>
        <v>0</v>
      </c>
      <c r="CG555" s="177"/>
      <c r="CH555" s="1019">
        <f t="shared" si="691"/>
        <v>0</v>
      </c>
      <c r="CI555" s="177"/>
      <c r="CJ555" s="1019">
        <f t="shared" si="692"/>
        <v>0</v>
      </c>
      <c r="CK555" s="177">
        <f t="shared" si="693"/>
        <v>0</v>
      </c>
      <c r="CL555" s="177">
        <f t="shared" si="694"/>
        <v>0</v>
      </c>
      <c r="CM555" s="1006"/>
      <c r="CN555" s="177">
        <f t="shared" si="695"/>
        <v>30</v>
      </c>
      <c r="CO555" s="1019">
        <f t="shared" si="696"/>
        <v>3000</v>
      </c>
      <c r="CP555" s="177">
        <v>30</v>
      </c>
      <c r="CQ555" s="1019">
        <f t="shared" si="697"/>
        <v>3000</v>
      </c>
      <c r="CR555" s="1019">
        <v>30</v>
      </c>
      <c r="CS555" s="1019">
        <f t="shared" si="698"/>
        <v>3000</v>
      </c>
      <c r="CT555" s="177">
        <f t="shared" si="699"/>
        <v>0</v>
      </c>
      <c r="CU555" s="177">
        <f t="shared" si="700"/>
        <v>0</v>
      </c>
      <c r="CV555" s="1006"/>
      <c r="CW555" s="177">
        <f t="shared" si="701"/>
        <v>3000</v>
      </c>
      <c r="CX555" s="1019">
        <f t="shared" si="702"/>
        <v>3000</v>
      </c>
      <c r="CY555" s="177">
        <f t="shared" si="703"/>
        <v>3000</v>
      </c>
      <c r="CZ555" s="1019">
        <f t="shared" si="704"/>
        <v>0</v>
      </c>
      <c r="DA555" s="177">
        <f t="shared" si="705"/>
        <v>0</v>
      </c>
      <c r="DB555" s="126"/>
      <c r="DC555" s="125"/>
    </row>
    <row r="556" spans="1:107" ht="51" hidden="1" x14ac:dyDescent="0.25">
      <c r="A556" s="19">
        <v>2026</v>
      </c>
      <c r="B556" s="20">
        <v>479</v>
      </c>
      <c r="C556" s="21" t="s">
        <v>64</v>
      </c>
      <c r="D556" s="21" t="s">
        <v>65</v>
      </c>
      <c r="E556" s="20">
        <v>125</v>
      </c>
      <c r="F556" s="20">
        <v>3000654</v>
      </c>
      <c r="G556" s="20">
        <v>5005023</v>
      </c>
      <c r="H556" s="20">
        <v>3</v>
      </c>
      <c r="I556" s="20">
        <v>12</v>
      </c>
      <c r="J556" s="20">
        <v>24</v>
      </c>
      <c r="K556" s="20">
        <v>135560</v>
      </c>
      <c r="L556" s="21" t="s">
        <v>98</v>
      </c>
      <c r="M556" s="33" t="s">
        <v>99</v>
      </c>
      <c r="N556" s="19">
        <v>94</v>
      </c>
      <c r="O556" s="2"/>
      <c r="P556" s="2" t="s">
        <v>4</v>
      </c>
      <c r="Q556" s="20" t="s">
        <v>68</v>
      </c>
      <c r="R556" s="25" t="s">
        <v>69</v>
      </c>
      <c r="S556" s="41" t="s">
        <v>137</v>
      </c>
      <c r="T556" s="41"/>
      <c r="U556" s="31" t="s">
        <v>379</v>
      </c>
      <c r="V556" s="25" t="s">
        <v>3</v>
      </c>
      <c r="W556" s="25">
        <v>1</v>
      </c>
      <c r="X556" s="595">
        <v>3000</v>
      </c>
      <c r="Y556" s="619"/>
      <c r="Z556" s="2"/>
      <c r="AA556" s="2"/>
      <c r="AB556" s="620"/>
      <c r="AC556" s="25">
        <v>30</v>
      </c>
      <c r="AD556" s="25">
        <v>0</v>
      </c>
      <c r="AE556" s="619"/>
      <c r="AF556" s="2"/>
      <c r="AG556" s="2"/>
      <c r="AH556" s="2"/>
      <c r="AI556" s="2"/>
      <c r="AJ556" s="621"/>
      <c r="AK556" s="596">
        <v>3000</v>
      </c>
      <c r="AL556" s="29" t="s">
        <v>73</v>
      </c>
      <c r="AM556" s="29" t="s">
        <v>73</v>
      </c>
      <c r="AN556" s="29" t="s">
        <v>73</v>
      </c>
      <c r="AO556" s="29" t="s">
        <v>73</v>
      </c>
      <c r="AP556" s="478">
        <v>3000</v>
      </c>
      <c r="AQ556" s="648">
        <v>0</v>
      </c>
      <c r="AR556" s="29" t="s">
        <v>73</v>
      </c>
      <c r="AS556" s="29" t="s">
        <v>73</v>
      </c>
      <c r="AT556" s="29" t="s">
        <v>73</v>
      </c>
      <c r="AU556" s="29" t="s">
        <v>73</v>
      </c>
      <c r="AV556" s="29" t="s">
        <v>73</v>
      </c>
      <c r="AW556" s="29" t="s">
        <v>73</v>
      </c>
      <c r="AX556" s="30">
        <v>3000</v>
      </c>
      <c r="AY556" s="165" t="s">
        <v>6</v>
      </c>
      <c r="AZ556" s="2" t="s">
        <v>74</v>
      </c>
      <c r="BA556" s="2"/>
      <c r="BK556" s="147" t="s">
        <v>790</v>
      </c>
      <c r="BL556" s="481" t="s">
        <v>791</v>
      </c>
      <c r="BM556" s="125" t="s">
        <v>1998</v>
      </c>
      <c r="BN556" s="177" t="s">
        <v>1999</v>
      </c>
      <c r="BO556" s="125" t="s">
        <v>2000</v>
      </c>
      <c r="BP556" s="129">
        <v>46134</v>
      </c>
      <c r="BQ556" s="18"/>
      <c r="BR556" s="505" t="s">
        <v>2393</v>
      </c>
      <c r="BS556" s="18"/>
      <c r="BT556" s="656" t="s">
        <v>2002</v>
      </c>
      <c r="BU556" s="18"/>
      <c r="BV556" s="125" t="s">
        <v>2394</v>
      </c>
      <c r="BW556" s="125" t="s">
        <v>2395</v>
      </c>
      <c r="BX556" s="125" t="s">
        <v>2396</v>
      </c>
      <c r="BY556" s="125">
        <v>76836675</v>
      </c>
      <c r="BZ556" s="125">
        <v>10768366751</v>
      </c>
      <c r="CA556" s="126">
        <v>3000</v>
      </c>
      <c r="CB556" s="289">
        <v>46143</v>
      </c>
      <c r="CC556" s="289">
        <v>46173</v>
      </c>
      <c r="CD556" s="759"/>
      <c r="CE556" s="177">
        <f t="shared" si="689"/>
        <v>30</v>
      </c>
      <c r="CF556" s="1019">
        <f t="shared" si="690"/>
        <v>3000</v>
      </c>
      <c r="CG556" s="177">
        <v>30</v>
      </c>
      <c r="CH556" s="1019">
        <f t="shared" si="691"/>
        <v>3000</v>
      </c>
      <c r="CI556" s="177">
        <v>30</v>
      </c>
      <c r="CJ556" s="1019">
        <f t="shared" si="692"/>
        <v>3000</v>
      </c>
      <c r="CK556" s="177">
        <f t="shared" si="693"/>
        <v>0</v>
      </c>
      <c r="CL556" s="177">
        <f t="shared" si="694"/>
        <v>0</v>
      </c>
      <c r="CM556" s="1006"/>
      <c r="CN556" s="177">
        <f t="shared" si="695"/>
        <v>0</v>
      </c>
      <c r="CO556" s="1019">
        <f t="shared" si="696"/>
        <v>0</v>
      </c>
      <c r="CP556" s="177"/>
      <c r="CQ556" s="1019">
        <f t="shared" si="697"/>
        <v>0</v>
      </c>
      <c r="CR556" s="1019"/>
      <c r="CS556" s="1019">
        <f t="shared" si="698"/>
        <v>0</v>
      </c>
      <c r="CT556" s="177">
        <f t="shared" si="699"/>
        <v>0</v>
      </c>
      <c r="CU556" s="177">
        <f t="shared" si="700"/>
        <v>0</v>
      </c>
      <c r="CV556" s="1006"/>
      <c r="CW556" s="177">
        <f t="shared" si="701"/>
        <v>3000</v>
      </c>
      <c r="CX556" s="1019">
        <f t="shared" si="702"/>
        <v>3000</v>
      </c>
      <c r="CY556" s="177">
        <f t="shared" si="703"/>
        <v>3000</v>
      </c>
      <c r="CZ556" s="1019">
        <f t="shared" si="704"/>
        <v>0</v>
      </c>
      <c r="DA556" s="177">
        <f t="shared" si="705"/>
        <v>0</v>
      </c>
      <c r="DB556" s="126"/>
      <c r="DC556" s="125"/>
    </row>
    <row r="557" spans="1:107" ht="51" hidden="1" x14ac:dyDescent="0.25">
      <c r="A557" s="19">
        <v>2026</v>
      </c>
      <c r="B557" s="20">
        <v>479</v>
      </c>
      <c r="C557" s="21" t="s">
        <v>64</v>
      </c>
      <c r="D557" s="21" t="s">
        <v>65</v>
      </c>
      <c r="E557" s="20">
        <v>125</v>
      </c>
      <c r="F557" s="20">
        <v>3000654</v>
      </c>
      <c r="G557" s="20">
        <v>5005023</v>
      </c>
      <c r="H557" s="20">
        <v>3</v>
      </c>
      <c r="I557" s="20">
        <v>12</v>
      </c>
      <c r="J557" s="20">
        <v>24</v>
      </c>
      <c r="K557" s="20">
        <v>135560</v>
      </c>
      <c r="L557" s="21" t="s">
        <v>220</v>
      </c>
      <c r="M557" s="33" t="s">
        <v>221</v>
      </c>
      <c r="N557" s="19">
        <v>97</v>
      </c>
      <c r="O557" s="2"/>
      <c r="P557" s="2" t="s">
        <v>4</v>
      </c>
      <c r="Q557" s="20" t="s">
        <v>68</v>
      </c>
      <c r="R557" s="25" t="s">
        <v>69</v>
      </c>
      <c r="S557" s="41" t="s">
        <v>137</v>
      </c>
      <c r="T557" s="41"/>
      <c r="U557" s="31" t="s">
        <v>379</v>
      </c>
      <c r="V557" s="25" t="s">
        <v>3</v>
      </c>
      <c r="W557" s="25">
        <v>1</v>
      </c>
      <c r="X557" s="595">
        <v>3000</v>
      </c>
      <c r="Y557" s="619"/>
      <c r="Z557" s="2"/>
      <c r="AA557" s="2"/>
      <c r="AB557" s="620"/>
      <c r="AC557" s="25">
        <v>0</v>
      </c>
      <c r="AD557" s="25">
        <v>30</v>
      </c>
      <c r="AE557" s="619"/>
      <c r="AF557" s="2"/>
      <c r="AG557" s="2"/>
      <c r="AH557" s="2"/>
      <c r="AI557" s="2"/>
      <c r="AJ557" s="621"/>
      <c r="AK557" s="596">
        <v>3000</v>
      </c>
      <c r="AL557" s="29" t="s">
        <v>73</v>
      </c>
      <c r="AM557" s="29" t="s">
        <v>73</v>
      </c>
      <c r="AN557" s="29" t="s">
        <v>73</v>
      </c>
      <c r="AO557" s="29" t="s">
        <v>73</v>
      </c>
      <c r="AP557" s="648">
        <v>0</v>
      </c>
      <c r="AQ557" s="478">
        <v>3000</v>
      </c>
      <c r="AR557" s="29" t="s">
        <v>73</v>
      </c>
      <c r="AS557" s="29" t="s">
        <v>73</v>
      </c>
      <c r="AT557" s="29" t="s">
        <v>73</v>
      </c>
      <c r="AU557" s="29" t="s">
        <v>73</v>
      </c>
      <c r="AV557" s="29" t="s">
        <v>73</v>
      </c>
      <c r="AW557" s="29" t="s">
        <v>73</v>
      </c>
      <c r="AX557" s="30">
        <v>3000</v>
      </c>
      <c r="AY557" s="479" t="s">
        <v>6</v>
      </c>
      <c r="AZ557" s="2" t="s">
        <v>74</v>
      </c>
      <c r="BA557" s="2"/>
      <c r="BK557" s="125" t="s">
        <v>790</v>
      </c>
      <c r="BL557" s="481" t="s">
        <v>791</v>
      </c>
      <c r="BM557" s="125" t="s">
        <v>1812</v>
      </c>
      <c r="BN557" s="177" t="s">
        <v>1813</v>
      </c>
      <c r="BO557" s="125" t="s">
        <v>1814</v>
      </c>
      <c r="BP557" s="129">
        <v>46156</v>
      </c>
      <c r="BQ557" s="18"/>
      <c r="BR557" s="505" t="s">
        <v>2393</v>
      </c>
      <c r="BS557" s="18"/>
      <c r="BT557" s="18"/>
      <c r="BU557" s="18"/>
      <c r="BV557" s="125" t="s">
        <v>2394</v>
      </c>
      <c r="BW557" s="177" t="s">
        <v>2395</v>
      </c>
      <c r="BX557" s="177" t="s">
        <v>2396</v>
      </c>
      <c r="BY557" s="125">
        <v>76836675</v>
      </c>
      <c r="BZ557" s="125">
        <v>10768366751</v>
      </c>
      <c r="CA557" s="261">
        <v>3000</v>
      </c>
      <c r="CB557" s="289">
        <v>46174</v>
      </c>
      <c r="CC557" s="289">
        <v>46203</v>
      </c>
      <c r="CD557" s="759"/>
      <c r="CE557" s="177">
        <f t="shared" si="689"/>
        <v>0</v>
      </c>
      <c r="CF557" s="1019">
        <f t="shared" si="690"/>
        <v>0</v>
      </c>
      <c r="CG557" s="177"/>
      <c r="CH557" s="1019">
        <f t="shared" si="691"/>
        <v>0</v>
      </c>
      <c r="CI557" s="177"/>
      <c r="CJ557" s="1019">
        <f t="shared" si="692"/>
        <v>0</v>
      </c>
      <c r="CK557" s="177">
        <f t="shared" si="693"/>
        <v>0</v>
      </c>
      <c r="CL557" s="177">
        <f t="shared" si="694"/>
        <v>0</v>
      </c>
      <c r="CM557" s="1006"/>
      <c r="CN557" s="177">
        <f t="shared" si="695"/>
        <v>30</v>
      </c>
      <c r="CO557" s="1019">
        <f t="shared" si="696"/>
        <v>3000</v>
      </c>
      <c r="CP557" s="177">
        <v>30</v>
      </c>
      <c r="CQ557" s="1019">
        <f t="shared" si="697"/>
        <v>3000</v>
      </c>
      <c r="CR557" s="177">
        <v>30</v>
      </c>
      <c r="CS557" s="1019">
        <f t="shared" si="698"/>
        <v>3000</v>
      </c>
      <c r="CT557" s="177">
        <f t="shared" si="699"/>
        <v>0</v>
      </c>
      <c r="CU557" s="177">
        <f t="shared" si="700"/>
        <v>0</v>
      </c>
      <c r="CV557" s="1006"/>
      <c r="CW557" s="177">
        <f t="shared" si="701"/>
        <v>3000</v>
      </c>
      <c r="CX557" s="1019">
        <f t="shared" si="702"/>
        <v>3000</v>
      </c>
      <c r="CY557" s="177">
        <f t="shared" si="703"/>
        <v>3000</v>
      </c>
      <c r="CZ557" s="1019">
        <f t="shared" si="704"/>
        <v>0</v>
      </c>
      <c r="DA557" s="177">
        <f t="shared" si="705"/>
        <v>0</v>
      </c>
      <c r="DB557" s="126"/>
      <c r="DC557" s="125"/>
    </row>
    <row r="558" spans="1:107" ht="51" hidden="1" x14ac:dyDescent="0.25">
      <c r="A558" s="19">
        <v>2026</v>
      </c>
      <c r="B558" s="20">
        <v>479</v>
      </c>
      <c r="C558" s="21" t="s">
        <v>64</v>
      </c>
      <c r="D558" s="21" t="s">
        <v>65</v>
      </c>
      <c r="E558" s="20">
        <v>125</v>
      </c>
      <c r="F558" s="20">
        <v>3000654</v>
      </c>
      <c r="G558" s="20">
        <v>5005023</v>
      </c>
      <c r="H558" s="20">
        <v>3</v>
      </c>
      <c r="I558" s="20">
        <v>12</v>
      </c>
      <c r="J558" s="20">
        <v>24</v>
      </c>
      <c r="K558" s="20">
        <v>135560</v>
      </c>
      <c r="L558" s="21" t="s">
        <v>98</v>
      </c>
      <c r="M558" s="33" t="s">
        <v>99</v>
      </c>
      <c r="N558" s="19">
        <v>94</v>
      </c>
      <c r="O558" s="2"/>
      <c r="P558" s="2" t="s">
        <v>4</v>
      </c>
      <c r="Q558" s="20" t="s">
        <v>68</v>
      </c>
      <c r="R558" s="25" t="s">
        <v>69</v>
      </c>
      <c r="S558" s="41" t="s">
        <v>137</v>
      </c>
      <c r="T558" s="41"/>
      <c r="U558" s="31" t="s">
        <v>380</v>
      </c>
      <c r="V558" s="25" t="s">
        <v>3</v>
      </c>
      <c r="W558" s="25">
        <v>1</v>
      </c>
      <c r="X558" s="595">
        <v>2500</v>
      </c>
      <c r="Y558" s="619"/>
      <c r="Z558" s="2"/>
      <c r="AA558" s="2"/>
      <c r="AB558" s="620"/>
      <c r="AC558" s="25">
        <v>30</v>
      </c>
      <c r="AD558" s="25">
        <v>0</v>
      </c>
      <c r="AE558" s="619"/>
      <c r="AF558" s="2"/>
      <c r="AG558" s="2"/>
      <c r="AH558" s="2"/>
      <c r="AI558" s="2"/>
      <c r="AJ558" s="621"/>
      <c r="AK558" s="596">
        <v>2500</v>
      </c>
      <c r="AL558" s="29" t="s">
        <v>73</v>
      </c>
      <c r="AM558" s="29" t="s">
        <v>73</v>
      </c>
      <c r="AN558" s="29" t="s">
        <v>73</v>
      </c>
      <c r="AO558" s="29" t="s">
        <v>73</v>
      </c>
      <c r="AP558" s="478">
        <v>2500</v>
      </c>
      <c r="AQ558" s="648">
        <v>0</v>
      </c>
      <c r="AR558" s="29" t="s">
        <v>73</v>
      </c>
      <c r="AS558" s="29" t="s">
        <v>73</v>
      </c>
      <c r="AT558" s="29" t="s">
        <v>73</v>
      </c>
      <c r="AU558" s="29" t="s">
        <v>73</v>
      </c>
      <c r="AV558" s="29" t="s">
        <v>73</v>
      </c>
      <c r="AW558" s="29" t="s">
        <v>73</v>
      </c>
      <c r="AX558" s="30">
        <v>2500</v>
      </c>
      <c r="AY558" s="165" t="s">
        <v>6</v>
      </c>
      <c r="AZ558" s="2" t="s">
        <v>74</v>
      </c>
      <c r="BA558" s="2"/>
      <c r="BK558" s="147" t="s">
        <v>790</v>
      </c>
      <c r="BL558" s="481" t="s">
        <v>791</v>
      </c>
      <c r="BM558" s="125" t="s">
        <v>1998</v>
      </c>
      <c r="BN558" s="177" t="s">
        <v>1999</v>
      </c>
      <c r="BO558" s="125" t="s">
        <v>2000</v>
      </c>
      <c r="BP558" s="129">
        <v>46134</v>
      </c>
      <c r="BQ558" s="18"/>
      <c r="BR558" s="505" t="s">
        <v>2397</v>
      </c>
      <c r="BS558" s="18"/>
      <c r="BT558" s="656" t="s">
        <v>2002</v>
      </c>
      <c r="BU558" s="18"/>
      <c r="BV558" s="125" t="s">
        <v>2398</v>
      </c>
      <c r="BW558" s="125" t="s">
        <v>2399</v>
      </c>
      <c r="BX558" s="125" t="s">
        <v>2400</v>
      </c>
      <c r="BY558" s="125">
        <v>72867449</v>
      </c>
      <c r="BZ558" s="125">
        <v>10728674496</v>
      </c>
      <c r="CA558" s="126">
        <v>2500</v>
      </c>
      <c r="CB558" s="289">
        <v>46143</v>
      </c>
      <c r="CC558" s="289">
        <v>46173</v>
      </c>
      <c r="CD558" s="759"/>
      <c r="CE558" s="177">
        <f t="shared" si="689"/>
        <v>30</v>
      </c>
      <c r="CF558" s="1019">
        <f t="shared" si="690"/>
        <v>2500</v>
      </c>
      <c r="CG558" s="177">
        <v>30</v>
      </c>
      <c r="CH558" s="1019">
        <f t="shared" si="691"/>
        <v>2500</v>
      </c>
      <c r="CI558" s="177">
        <v>30</v>
      </c>
      <c r="CJ558" s="1019">
        <f t="shared" si="692"/>
        <v>2500</v>
      </c>
      <c r="CK558" s="177">
        <f t="shared" si="693"/>
        <v>0</v>
      </c>
      <c r="CL558" s="177">
        <f t="shared" si="694"/>
        <v>0</v>
      </c>
      <c r="CM558" s="1006"/>
      <c r="CN558" s="177">
        <f t="shared" si="695"/>
        <v>0</v>
      </c>
      <c r="CO558" s="1019">
        <f t="shared" si="696"/>
        <v>0</v>
      </c>
      <c r="CP558" s="177"/>
      <c r="CQ558" s="1019">
        <f t="shared" si="697"/>
        <v>0</v>
      </c>
      <c r="CR558" s="1019"/>
      <c r="CS558" s="1019">
        <f t="shared" si="698"/>
        <v>0</v>
      </c>
      <c r="CT558" s="177">
        <f t="shared" si="699"/>
        <v>0</v>
      </c>
      <c r="CU558" s="177">
        <f t="shared" si="700"/>
        <v>0</v>
      </c>
      <c r="CV558" s="1006"/>
      <c r="CW558" s="177">
        <f t="shared" si="701"/>
        <v>2500</v>
      </c>
      <c r="CX558" s="1019">
        <f t="shared" si="702"/>
        <v>2500</v>
      </c>
      <c r="CY558" s="177">
        <f t="shared" si="703"/>
        <v>2500</v>
      </c>
      <c r="CZ558" s="1019">
        <f t="shared" si="704"/>
        <v>0</v>
      </c>
      <c r="DA558" s="177">
        <f t="shared" si="705"/>
        <v>0</v>
      </c>
      <c r="DB558" s="126"/>
      <c r="DC558" s="125"/>
    </row>
    <row r="559" spans="1:107" ht="51" hidden="1" x14ac:dyDescent="0.25">
      <c r="A559" s="19">
        <v>2026</v>
      </c>
      <c r="B559" s="20">
        <v>479</v>
      </c>
      <c r="C559" s="21" t="s">
        <v>64</v>
      </c>
      <c r="D559" s="21" t="s">
        <v>65</v>
      </c>
      <c r="E559" s="20">
        <v>125</v>
      </c>
      <c r="F559" s="20">
        <v>3000654</v>
      </c>
      <c r="G559" s="20">
        <v>5005023</v>
      </c>
      <c r="H559" s="20">
        <v>3</v>
      </c>
      <c r="I559" s="20">
        <v>12</v>
      </c>
      <c r="J559" s="20">
        <v>24</v>
      </c>
      <c r="K559" s="20">
        <v>135560</v>
      </c>
      <c r="L559" s="21" t="s">
        <v>220</v>
      </c>
      <c r="M559" s="33" t="s">
        <v>221</v>
      </c>
      <c r="N559" s="19">
        <v>97</v>
      </c>
      <c r="O559" s="2"/>
      <c r="P559" s="2" t="s">
        <v>4</v>
      </c>
      <c r="Q559" s="20" t="s">
        <v>68</v>
      </c>
      <c r="R559" s="25" t="s">
        <v>69</v>
      </c>
      <c r="S559" s="41" t="s">
        <v>137</v>
      </c>
      <c r="T559" s="41"/>
      <c r="U559" s="31" t="s">
        <v>380</v>
      </c>
      <c r="V559" s="25" t="s">
        <v>3</v>
      </c>
      <c r="W559" s="25">
        <v>1</v>
      </c>
      <c r="X559" s="595">
        <v>2500</v>
      </c>
      <c r="Y559" s="619"/>
      <c r="Z559" s="2"/>
      <c r="AA559" s="2"/>
      <c r="AB559" s="620"/>
      <c r="AC559" s="25">
        <v>0</v>
      </c>
      <c r="AD559" s="25">
        <v>30</v>
      </c>
      <c r="AE559" s="619"/>
      <c r="AF559" s="2"/>
      <c r="AG559" s="2"/>
      <c r="AH559" s="2"/>
      <c r="AI559" s="2"/>
      <c r="AJ559" s="621"/>
      <c r="AK559" s="596">
        <v>2500</v>
      </c>
      <c r="AL559" s="29" t="s">
        <v>73</v>
      </c>
      <c r="AM559" s="29" t="s">
        <v>73</v>
      </c>
      <c r="AN559" s="29" t="s">
        <v>73</v>
      </c>
      <c r="AO559" s="29" t="s">
        <v>73</v>
      </c>
      <c r="AP559" s="648">
        <v>0</v>
      </c>
      <c r="AQ559" s="478">
        <v>2500</v>
      </c>
      <c r="AR559" s="29" t="s">
        <v>73</v>
      </c>
      <c r="AS559" s="29" t="s">
        <v>73</v>
      </c>
      <c r="AT559" s="29" t="s">
        <v>73</v>
      </c>
      <c r="AU559" s="29" t="s">
        <v>73</v>
      </c>
      <c r="AV559" s="29" t="s">
        <v>73</v>
      </c>
      <c r="AW559" s="29" t="s">
        <v>73</v>
      </c>
      <c r="AX559" s="30">
        <v>2500</v>
      </c>
      <c r="AY559" s="479" t="s">
        <v>6</v>
      </c>
      <c r="AZ559" s="2" t="s">
        <v>74</v>
      </c>
      <c r="BA559" s="2"/>
      <c r="BK559" s="125" t="s">
        <v>790</v>
      </c>
      <c r="BL559" s="481" t="s">
        <v>791</v>
      </c>
      <c r="BM559" s="125" t="s">
        <v>1812</v>
      </c>
      <c r="BN559" s="177" t="s">
        <v>1813</v>
      </c>
      <c r="BO559" s="125" t="s">
        <v>1814</v>
      </c>
      <c r="BP559" s="129">
        <v>46156</v>
      </c>
      <c r="BQ559" s="18"/>
      <c r="BR559" s="505" t="s">
        <v>2397</v>
      </c>
      <c r="BS559" s="18"/>
      <c r="BT559" s="18"/>
      <c r="BU559" s="18"/>
      <c r="BV559" s="125" t="s">
        <v>2398</v>
      </c>
      <c r="BW559" s="125" t="s">
        <v>2399</v>
      </c>
      <c r="BX559" s="125" t="s">
        <v>2400</v>
      </c>
      <c r="BY559" s="125">
        <v>72867449</v>
      </c>
      <c r="BZ559" s="125">
        <v>10728674496</v>
      </c>
      <c r="CA559" s="261">
        <v>2500</v>
      </c>
      <c r="CB559" s="289">
        <v>46174</v>
      </c>
      <c r="CC559" s="289">
        <v>46203</v>
      </c>
      <c r="CD559" s="759"/>
      <c r="CE559" s="177">
        <f t="shared" si="689"/>
        <v>0</v>
      </c>
      <c r="CF559" s="1019">
        <f t="shared" si="690"/>
        <v>0</v>
      </c>
      <c r="CG559" s="177"/>
      <c r="CH559" s="1019">
        <f t="shared" si="691"/>
        <v>0</v>
      </c>
      <c r="CI559" s="177"/>
      <c r="CJ559" s="1019">
        <f t="shared" si="692"/>
        <v>0</v>
      </c>
      <c r="CK559" s="177">
        <f t="shared" si="693"/>
        <v>0</v>
      </c>
      <c r="CL559" s="177">
        <f t="shared" si="694"/>
        <v>0</v>
      </c>
      <c r="CM559" s="1006"/>
      <c r="CN559" s="177">
        <f t="shared" si="695"/>
        <v>30</v>
      </c>
      <c r="CO559" s="1019">
        <f t="shared" si="696"/>
        <v>2500</v>
      </c>
      <c r="CP559" s="177">
        <v>30</v>
      </c>
      <c r="CQ559" s="1019">
        <f t="shared" si="697"/>
        <v>2500</v>
      </c>
      <c r="CR559" s="1019">
        <v>30</v>
      </c>
      <c r="CS559" s="1019">
        <f t="shared" si="698"/>
        <v>2500</v>
      </c>
      <c r="CT559" s="177">
        <f t="shared" si="699"/>
        <v>0</v>
      </c>
      <c r="CU559" s="177">
        <f t="shared" si="700"/>
        <v>0</v>
      </c>
      <c r="CV559" s="1006"/>
      <c r="CW559" s="177">
        <f t="shared" si="701"/>
        <v>2500</v>
      </c>
      <c r="CX559" s="1019">
        <f t="shared" si="702"/>
        <v>2500</v>
      </c>
      <c r="CY559" s="177">
        <f t="shared" si="703"/>
        <v>2500</v>
      </c>
      <c r="CZ559" s="1019">
        <f t="shared" si="704"/>
        <v>0</v>
      </c>
      <c r="DA559" s="177">
        <f t="shared" si="705"/>
        <v>0</v>
      </c>
      <c r="DB559" s="126"/>
      <c r="DC559" s="125"/>
    </row>
    <row r="560" spans="1:107" ht="51" hidden="1" x14ac:dyDescent="0.25">
      <c r="A560" s="19">
        <v>2026</v>
      </c>
      <c r="B560" s="20">
        <v>479</v>
      </c>
      <c r="C560" s="21" t="s">
        <v>64</v>
      </c>
      <c r="D560" s="21" t="s">
        <v>65</v>
      </c>
      <c r="E560" s="20">
        <v>125</v>
      </c>
      <c r="F560" s="20">
        <v>3000654</v>
      </c>
      <c r="G560" s="20">
        <v>5005023</v>
      </c>
      <c r="H560" s="20">
        <v>3</v>
      </c>
      <c r="I560" s="20">
        <v>12</v>
      </c>
      <c r="J560" s="20">
        <v>24</v>
      </c>
      <c r="K560" s="20">
        <v>135560</v>
      </c>
      <c r="L560" s="21" t="s">
        <v>98</v>
      </c>
      <c r="M560" s="33" t="s">
        <v>99</v>
      </c>
      <c r="N560" s="19">
        <v>94</v>
      </c>
      <c r="O560" s="2"/>
      <c r="P560" s="2" t="s">
        <v>4</v>
      </c>
      <c r="Q560" s="20" t="s">
        <v>68</v>
      </c>
      <c r="R560" s="25" t="s">
        <v>69</v>
      </c>
      <c r="S560" s="41" t="s">
        <v>137</v>
      </c>
      <c r="T560" s="41"/>
      <c r="U560" s="31" t="s">
        <v>381</v>
      </c>
      <c r="V560" s="25" t="s">
        <v>3</v>
      </c>
      <c r="W560" s="25">
        <v>1</v>
      </c>
      <c r="X560" s="595">
        <v>3000</v>
      </c>
      <c r="Y560" s="619"/>
      <c r="Z560" s="2"/>
      <c r="AA560" s="2"/>
      <c r="AB560" s="620"/>
      <c r="AC560" s="25">
        <v>30</v>
      </c>
      <c r="AD560" s="25">
        <v>0</v>
      </c>
      <c r="AE560" s="619"/>
      <c r="AF560" s="2"/>
      <c r="AG560" s="2"/>
      <c r="AH560" s="2"/>
      <c r="AI560" s="2"/>
      <c r="AJ560" s="621"/>
      <c r="AK560" s="596">
        <v>3000</v>
      </c>
      <c r="AL560" s="29" t="s">
        <v>73</v>
      </c>
      <c r="AM560" s="29" t="s">
        <v>73</v>
      </c>
      <c r="AN560" s="29" t="s">
        <v>73</v>
      </c>
      <c r="AO560" s="29" t="s">
        <v>73</v>
      </c>
      <c r="AP560" s="478">
        <v>3000</v>
      </c>
      <c r="AQ560" s="648">
        <v>0</v>
      </c>
      <c r="AR560" s="29" t="s">
        <v>73</v>
      </c>
      <c r="AS560" s="29" t="s">
        <v>73</v>
      </c>
      <c r="AT560" s="29" t="s">
        <v>73</v>
      </c>
      <c r="AU560" s="29" t="s">
        <v>73</v>
      </c>
      <c r="AV560" s="29" t="s">
        <v>73</v>
      </c>
      <c r="AW560" s="29" t="s">
        <v>73</v>
      </c>
      <c r="AX560" s="30">
        <v>3000</v>
      </c>
      <c r="AY560" s="165" t="s">
        <v>6</v>
      </c>
      <c r="AZ560" s="2" t="s">
        <v>74</v>
      </c>
      <c r="BA560" s="2"/>
      <c r="BK560" s="147" t="s">
        <v>790</v>
      </c>
      <c r="BL560" s="481" t="s">
        <v>791</v>
      </c>
      <c r="BM560" s="125" t="s">
        <v>1998</v>
      </c>
      <c r="BN560" s="177" t="s">
        <v>1999</v>
      </c>
      <c r="BO560" s="125" t="s">
        <v>2000</v>
      </c>
      <c r="BP560" s="129">
        <v>46134</v>
      </c>
      <c r="BQ560" s="18"/>
      <c r="BR560" s="505" t="s">
        <v>2401</v>
      </c>
      <c r="BS560" s="18"/>
      <c r="BT560" s="656" t="s">
        <v>2002</v>
      </c>
      <c r="BU560" s="18"/>
      <c r="BV560" s="125" t="s">
        <v>2402</v>
      </c>
      <c r="BW560" s="125" t="s">
        <v>2403</v>
      </c>
      <c r="BX560" s="125" t="s">
        <v>2404</v>
      </c>
      <c r="BY560" s="125">
        <v>76286818</v>
      </c>
      <c r="BZ560" s="125">
        <v>10762868186</v>
      </c>
      <c r="CA560" s="126">
        <v>3000</v>
      </c>
      <c r="CB560" s="289">
        <v>46143</v>
      </c>
      <c r="CC560" s="289">
        <v>46173</v>
      </c>
      <c r="CD560" s="759"/>
      <c r="CE560" s="177">
        <f t="shared" si="689"/>
        <v>30</v>
      </c>
      <c r="CF560" s="1019">
        <f t="shared" si="690"/>
        <v>3000</v>
      </c>
      <c r="CG560" s="177">
        <v>30</v>
      </c>
      <c r="CH560" s="1019">
        <f t="shared" si="691"/>
        <v>3000</v>
      </c>
      <c r="CI560" s="177">
        <v>30</v>
      </c>
      <c r="CJ560" s="1019">
        <f t="shared" si="692"/>
        <v>3000</v>
      </c>
      <c r="CK560" s="177">
        <f t="shared" si="693"/>
        <v>0</v>
      </c>
      <c r="CL560" s="177">
        <f t="shared" si="694"/>
        <v>0</v>
      </c>
      <c r="CM560" s="1006"/>
      <c r="CN560" s="177">
        <f t="shared" si="695"/>
        <v>0</v>
      </c>
      <c r="CO560" s="1019">
        <f t="shared" si="696"/>
        <v>0</v>
      </c>
      <c r="CP560" s="177"/>
      <c r="CQ560" s="1019">
        <f t="shared" si="697"/>
        <v>0</v>
      </c>
      <c r="CR560" s="1019"/>
      <c r="CS560" s="1019">
        <f t="shared" si="698"/>
        <v>0</v>
      </c>
      <c r="CT560" s="177">
        <f t="shared" si="699"/>
        <v>0</v>
      </c>
      <c r="CU560" s="177">
        <f t="shared" si="700"/>
        <v>0</v>
      </c>
      <c r="CV560" s="1006"/>
      <c r="CW560" s="177">
        <f t="shared" si="701"/>
        <v>3000</v>
      </c>
      <c r="CX560" s="1019">
        <f t="shared" si="702"/>
        <v>3000</v>
      </c>
      <c r="CY560" s="177">
        <f t="shared" si="703"/>
        <v>3000</v>
      </c>
      <c r="CZ560" s="1019">
        <f t="shared" si="704"/>
        <v>0</v>
      </c>
      <c r="DA560" s="177">
        <f t="shared" si="705"/>
        <v>0</v>
      </c>
      <c r="DB560" s="126"/>
      <c r="DC560" s="125"/>
    </row>
    <row r="561" spans="1:108" ht="51" hidden="1" x14ac:dyDescent="0.25">
      <c r="A561" s="19">
        <v>2026</v>
      </c>
      <c r="B561" s="20">
        <v>479</v>
      </c>
      <c r="C561" s="21" t="s">
        <v>64</v>
      </c>
      <c r="D561" s="21" t="s">
        <v>65</v>
      </c>
      <c r="E561" s="20">
        <v>125</v>
      </c>
      <c r="F561" s="20">
        <v>3000654</v>
      </c>
      <c r="G561" s="20">
        <v>5005023</v>
      </c>
      <c r="H561" s="20">
        <v>3</v>
      </c>
      <c r="I561" s="20">
        <v>12</v>
      </c>
      <c r="J561" s="20">
        <v>24</v>
      </c>
      <c r="K561" s="20">
        <v>135560</v>
      </c>
      <c r="L561" s="21" t="s">
        <v>220</v>
      </c>
      <c r="M561" s="33" t="s">
        <v>221</v>
      </c>
      <c r="N561" s="19">
        <v>97</v>
      </c>
      <c r="O561" s="2"/>
      <c r="P561" s="2" t="s">
        <v>4</v>
      </c>
      <c r="Q561" s="20" t="s">
        <v>68</v>
      </c>
      <c r="R561" s="25" t="s">
        <v>69</v>
      </c>
      <c r="S561" s="41" t="s">
        <v>137</v>
      </c>
      <c r="T561" s="41"/>
      <c r="U561" s="31" t="s">
        <v>381</v>
      </c>
      <c r="V561" s="25" t="s">
        <v>3</v>
      </c>
      <c r="W561" s="25">
        <v>1</v>
      </c>
      <c r="X561" s="595">
        <v>3000</v>
      </c>
      <c r="Y561" s="619"/>
      <c r="Z561" s="2"/>
      <c r="AA561" s="2"/>
      <c r="AB561" s="620"/>
      <c r="AC561" s="25">
        <v>0</v>
      </c>
      <c r="AD561" s="25">
        <v>30</v>
      </c>
      <c r="AE561" s="619"/>
      <c r="AF561" s="2"/>
      <c r="AG561" s="2"/>
      <c r="AH561" s="2"/>
      <c r="AI561" s="2"/>
      <c r="AJ561" s="621"/>
      <c r="AK561" s="596">
        <v>3000</v>
      </c>
      <c r="AL561" s="29" t="s">
        <v>73</v>
      </c>
      <c r="AM561" s="29" t="s">
        <v>73</v>
      </c>
      <c r="AN561" s="29" t="s">
        <v>73</v>
      </c>
      <c r="AO561" s="29" t="s">
        <v>73</v>
      </c>
      <c r="AP561" s="648">
        <v>0</v>
      </c>
      <c r="AQ561" s="478">
        <v>3000</v>
      </c>
      <c r="AR561" s="29" t="s">
        <v>73</v>
      </c>
      <c r="AS561" s="29" t="s">
        <v>73</v>
      </c>
      <c r="AT561" s="29" t="s">
        <v>73</v>
      </c>
      <c r="AU561" s="29" t="s">
        <v>73</v>
      </c>
      <c r="AV561" s="29" t="s">
        <v>73</v>
      </c>
      <c r="AW561" s="29" t="s">
        <v>73</v>
      </c>
      <c r="AX561" s="30">
        <v>3000</v>
      </c>
      <c r="AY561" s="479" t="s">
        <v>6</v>
      </c>
      <c r="AZ561" s="2" t="s">
        <v>74</v>
      </c>
      <c r="BA561" s="2"/>
      <c r="BK561" s="125" t="s">
        <v>790</v>
      </c>
      <c r="BL561" s="481" t="s">
        <v>791</v>
      </c>
      <c r="BM561" s="125" t="s">
        <v>1812</v>
      </c>
      <c r="BN561" s="177" t="s">
        <v>1813</v>
      </c>
      <c r="BO561" s="125" t="s">
        <v>1814</v>
      </c>
      <c r="BP561" s="129">
        <v>46156</v>
      </c>
      <c r="BQ561" s="18"/>
      <c r="BR561" s="505" t="s">
        <v>2401</v>
      </c>
      <c r="BS561" s="18"/>
      <c r="BT561" s="18"/>
      <c r="BU561" s="18"/>
      <c r="BV561" s="125" t="s">
        <v>2402</v>
      </c>
      <c r="BW561" s="177" t="s">
        <v>2403</v>
      </c>
      <c r="BX561" s="177" t="s">
        <v>2404</v>
      </c>
      <c r="BY561" s="125">
        <v>76286818</v>
      </c>
      <c r="BZ561" s="125">
        <v>10762868186</v>
      </c>
      <c r="CA561" s="261">
        <v>3000</v>
      </c>
      <c r="CB561" s="289">
        <v>46174</v>
      </c>
      <c r="CC561" s="289">
        <v>46203</v>
      </c>
      <c r="CD561" s="759"/>
      <c r="CE561" s="177">
        <f t="shared" si="689"/>
        <v>0</v>
      </c>
      <c r="CF561" s="1019">
        <f t="shared" si="690"/>
        <v>0</v>
      </c>
      <c r="CG561" s="177"/>
      <c r="CH561" s="1019">
        <f t="shared" si="691"/>
        <v>0</v>
      </c>
      <c r="CI561" s="177"/>
      <c r="CJ561" s="1019">
        <f t="shared" si="692"/>
        <v>0</v>
      </c>
      <c r="CK561" s="177">
        <f t="shared" si="693"/>
        <v>0</v>
      </c>
      <c r="CL561" s="177">
        <f t="shared" si="694"/>
        <v>0</v>
      </c>
      <c r="CM561" s="1006"/>
      <c r="CN561" s="177">
        <f t="shared" si="695"/>
        <v>30</v>
      </c>
      <c r="CO561" s="1019">
        <f t="shared" si="696"/>
        <v>3000</v>
      </c>
      <c r="CP561" s="177">
        <v>30</v>
      </c>
      <c r="CQ561" s="1019">
        <f t="shared" si="697"/>
        <v>3000</v>
      </c>
      <c r="CR561" s="1019">
        <v>30</v>
      </c>
      <c r="CS561" s="1019">
        <f t="shared" si="698"/>
        <v>3000</v>
      </c>
      <c r="CT561" s="177">
        <f t="shared" si="699"/>
        <v>0</v>
      </c>
      <c r="CU561" s="177">
        <f t="shared" si="700"/>
        <v>0</v>
      </c>
      <c r="CV561" s="1006"/>
      <c r="CW561" s="177">
        <f t="shared" si="701"/>
        <v>3000</v>
      </c>
      <c r="CX561" s="1019">
        <f t="shared" si="702"/>
        <v>3000</v>
      </c>
      <c r="CY561" s="177">
        <f t="shared" si="703"/>
        <v>3000</v>
      </c>
      <c r="CZ561" s="1019">
        <f t="shared" si="704"/>
        <v>0</v>
      </c>
      <c r="DA561" s="177">
        <f t="shared" si="705"/>
        <v>0</v>
      </c>
      <c r="DB561" s="126"/>
      <c r="DC561" s="125"/>
    </row>
    <row r="562" spans="1:108" ht="51" hidden="1" x14ac:dyDescent="0.25">
      <c r="A562" s="19">
        <v>2026</v>
      </c>
      <c r="B562" s="20">
        <v>479</v>
      </c>
      <c r="C562" s="21" t="s">
        <v>64</v>
      </c>
      <c r="D562" s="21" t="s">
        <v>65</v>
      </c>
      <c r="E562" s="20">
        <v>125</v>
      </c>
      <c r="F562" s="20">
        <v>3000654</v>
      </c>
      <c r="G562" s="20">
        <v>5005023</v>
      </c>
      <c r="H562" s="20">
        <v>3</v>
      </c>
      <c r="I562" s="20">
        <v>12</v>
      </c>
      <c r="J562" s="20">
        <v>24</v>
      </c>
      <c r="K562" s="20">
        <v>135560</v>
      </c>
      <c r="L562" s="21" t="s">
        <v>220</v>
      </c>
      <c r="M562" s="33" t="s">
        <v>221</v>
      </c>
      <c r="N562" s="19">
        <v>97</v>
      </c>
      <c r="O562" s="2"/>
      <c r="P562" s="2" t="s">
        <v>4</v>
      </c>
      <c r="Q562" s="20" t="s">
        <v>68</v>
      </c>
      <c r="R562" s="25" t="s">
        <v>69</v>
      </c>
      <c r="S562" s="41" t="s">
        <v>137</v>
      </c>
      <c r="T562" s="41"/>
      <c r="U562" s="31" t="s">
        <v>382</v>
      </c>
      <c r="V562" s="25" t="s">
        <v>3</v>
      </c>
      <c r="W562" s="25">
        <v>1</v>
      </c>
      <c r="X562" s="595">
        <v>7000</v>
      </c>
      <c r="Y562" s="619"/>
      <c r="Z562" s="2"/>
      <c r="AA562" s="2"/>
      <c r="AB562" s="620"/>
      <c r="AC562" s="25">
        <v>30</v>
      </c>
      <c r="AD562" s="25">
        <v>30</v>
      </c>
      <c r="AE562" s="619"/>
      <c r="AF562" s="2"/>
      <c r="AG562" s="2"/>
      <c r="AH562" s="2"/>
      <c r="AI562" s="2"/>
      <c r="AJ562" s="621"/>
      <c r="AK562" s="596">
        <v>14000</v>
      </c>
      <c r="AL562" s="29" t="s">
        <v>73</v>
      </c>
      <c r="AM562" s="29" t="s">
        <v>73</v>
      </c>
      <c r="AN562" s="29" t="s">
        <v>73</v>
      </c>
      <c r="AO562" s="29" t="s">
        <v>73</v>
      </c>
      <c r="AP562" s="478">
        <v>7000</v>
      </c>
      <c r="AQ562" s="478">
        <v>7000</v>
      </c>
      <c r="AR562" s="29" t="s">
        <v>73</v>
      </c>
      <c r="AS562" s="29" t="s">
        <v>73</v>
      </c>
      <c r="AT562" s="29" t="s">
        <v>73</v>
      </c>
      <c r="AU562" s="29" t="s">
        <v>73</v>
      </c>
      <c r="AV562" s="29" t="s">
        <v>73</v>
      </c>
      <c r="AW562" s="29" t="s">
        <v>73</v>
      </c>
      <c r="AX562" s="30">
        <v>14000</v>
      </c>
      <c r="AY562" s="479" t="s">
        <v>6</v>
      </c>
      <c r="AZ562" s="2" t="s">
        <v>74</v>
      </c>
      <c r="BA562" s="2"/>
      <c r="BK562" s="125" t="s">
        <v>790</v>
      </c>
      <c r="BL562" s="481" t="s">
        <v>791</v>
      </c>
      <c r="BM562" s="125" t="s">
        <v>2057</v>
      </c>
      <c r="BN562" s="655" t="s">
        <v>2058</v>
      </c>
      <c r="BO562" s="481" t="s">
        <v>2405</v>
      </c>
      <c r="BP562" s="129">
        <v>46134</v>
      </c>
      <c r="BQ562" s="18"/>
      <c r="BR562" s="505" t="s">
        <v>2406</v>
      </c>
      <c r="BS562" s="18"/>
      <c r="BT562" s="656" t="s">
        <v>1809</v>
      </c>
      <c r="BU562" s="656" t="s">
        <v>1841</v>
      </c>
      <c r="BV562" s="284" t="s">
        <v>2407</v>
      </c>
      <c r="BW562" s="566" t="s">
        <v>864</v>
      </c>
      <c r="BX562" s="566" t="s">
        <v>2408</v>
      </c>
      <c r="BY562" s="284">
        <v>47153325</v>
      </c>
      <c r="BZ562" s="284">
        <v>10471533250</v>
      </c>
      <c r="CA562" s="126">
        <v>7000</v>
      </c>
      <c r="CB562" s="289">
        <v>46143</v>
      </c>
      <c r="CC562" s="289">
        <v>46203</v>
      </c>
      <c r="CD562" s="759"/>
      <c r="CE562" s="177">
        <f t="shared" si="689"/>
        <v>30</v>
      </c>
      <c r="CF562" s="1019">
        <f t="shared" si="690"/>
        <v>7000</v>
      </c>
      <c r="CG562" s="177">
        <v>30</v>
      </c>
      <c r="CH562" s="1019">
        <f t="shared" si="691"/>
        <v>7000</v>
      </c>
      <c r="CI562" s="177">
        <v>30</v>
      </c>
      <c r="CJ562" s="1019">
        <f t="shared" si="692"/>
        <v>7000</v>
      </c>
      <c r="CK562" s="177">
        <f t="shared" si="693"/>
        <v>0</v>
      </c>
      <c r="CL562" s="177">
        <f t="shared" si="694"/>
        <v>0</v>
      </c>
      <c r="CM562" s="1006"/>
      <c r="CN562" s="177">
        <f t="shared" si="695"/>
        <v>30</v>
      </c>
      <c r="CO562" s="1019">
        <f t="shared" si="696"/>
        <v>7000</v>
      </c>
      <c r="CP562" s="177">
        <v>30</v>
      </c>
      <c r="CQ562" s="1019">
        <f t="shared" si="697"/>
        <v>7000</v>
      </c>
      <c r="CR562" s="1019">
        <v>30</v>
      </c>
      <c r="CS562" s="1019">
        <f t="shared" si="698"/>
        <v>7000</v>
      </c>
      <c r="CT562" s="177">
        <f t="shared" si="699"/>
        <v>0</v>
      </c>
      <c r="CU562" s="177">
        <f t="shared" si="700"/>
        <v>0</v>
      </c>
      <c r="CV562" s="1006"/>
      <c r="CW562" s="177">
        <f t="shared" si="701"/>
        <v>14000</v>
      </c>
      <c r="CX562" s="1019">
        <f t="shared" si="702"/>
        <v>14000</v>
      </c>
      <c r="CY562" s="177">
        <f t="shared" si="703"/>
        <v>14000</v>
      </c>
      <c r="CZ562" s="1019">
        <f t="shared" si="704"/>
        <v>0</v>
      </c>
      <c r="DA562" s="177">
        <f t="shared" si="705"/>
        <v>0</v>
      </c>
      <c r="DB562" s="126"/>
      <c r="DC562" s="125"/>
    </row>
    <row r="563" spans="1:108" ht="51" hidden="1" x14ac:dyDescent="0.25">
      <c r="A563" s="19">
        <v>2026</v>
      </c>
      <c r="B563" s="20">
        <v>479</v>
      </c>
      <c r="C563" s="21" t="s">
        <v>64</v>
      </c>
      <c r="D563" s="21" t="s">
        <v>65</v>
      </c>
      <c r="E563" s="20">
        <v>125</v>
      </c>
      <c r="F563" s="20">
        <v>3000654</v>
      </c>
      <c r="G563" s="20">
        <v>5005023</v>
      </c>
      <c r="H563" s="20">
        <v>3</v>
      </c>
      <c r="I563" s="20">
        <v>12</v>
      </c>
      <c r="J563" s="20">
        <v>24</v>
      </c>
      <c r="K563" s="20">
        <v>135560</v>
      </c>
      <c r="L563" s="21" t="s">
        <v>98</v>
      </c>
      <c r="M563" s="33" t="s">
        <v>99</v>
      </c>
      <c r="N563" s="19">
        <v>94</v>
      </c>
      <c r="O563" s="2"/>
      <c r="P563" s="2" t="s">
        <v>4</v>
      </c>
      <c r="Q563" s="20" t="s">
        <v>68</v>
      </c>
      <c r="R563" s="25" t="s">
        <v>69</v>
      </c>
      <c r="S563" s="41" t="s">
        <v>137</v>
      </c>
      <c r="T563" s="41"/>
      <c r="U563" s="31" t="s">
        <v>383</v>
      </c>
      <c r="V563" s="25" t="s">
        <v>3</v>
      </c>
      <c r="W563" s="25">
        <v>1</v>
      </c>
      <c r="X563" s="595">
        <v>5000</v>
      </c>
      <c r="Y563" s="619"/>
      <c r="Z563" s="2"/>
      <c r="AA563" s="2"/>
      <c r="AB563" s="620"/>
      <c r="AC563" s="25">
        <v>30</v>
      </c>
      <c r="AD563" s="25">
        <v>0</v>
      </c>
      <c r="AE563" s="619"/>
      <c r="AF563" s="2"/>
      <c r="AG563" s="2"/>
      <c r="AH563" s="2"/>
      <c r="AI563" s="2"/>
      <c r="AJ563" s="621"/>
      <c r="AK563" s="596">
        <v>5000</v>
      </c>
      <c r="AL563" s="29" t="s">
        <v>73</v>
      </c>
      <c r="AM563" s="29" t="s">
        <v>73</v>
      </c>
      <c r="AN563" s="29" t="s">
        <v>73</v>
      </c>
      <c r="AO563" s="29" t="s">
        <v>73</v>
      </c>
      <c r="AP563" s="478">
        <v>5000</v>
      </c>
      <c r="AQ563" s="648">
        <v>0</v>
      </c>
      <c r="AR563" s="29" t="s">
        <v>73</v>
      </c>
      <c r="AS563" s="29" t="s">
        <v>73</v>
      </c>
      <c r="AT563" s="29" t="s">
        <v>73</v>
      </c>
      <c r="AU563" s="29" t="s">
        <v>73</v>
      </c>
      <c r="AV563" s="29" t="s">
        <v>73</v>
      </c>
      <c r="AW563" s="29" t="s">
        <v>73</v>
      </c>
      <c r="AX563" s="30">
        <v>5000</v>
      </c>
      <c r="AY563" s="165" t="s">
        <v>6</v>
      </c>
      <c r="AZ563" s="2" t="s">
        <v>74</v>
      </c>
      <c r="BA563" s="2"/>
      <c r="BK563" s="147" t="s">
        <v>790</v>
      </c>
      <c r="BL563" s="481" t="s">
        <v>791</v>
      </c>
      <c r="BM563" s="125" t="s">
        <v>1998</v>
      </c>
      <c r="BN563" s="177" t="s">
        <v>1999</v>
      </c>
      <c r="BO563" s="125" t="s">
        <v>2000</v>
      </c>
      <c r="BP563" s="129">
        <v>46134</v>
      </c>
      <c r="BQ563" s="18"/>
      <c r="BR563" s="505" t="s">
        <v>2409</v>
      </c>
      <c r="BS563" s="18"/>
      <c r="BT563" s="656" t="s">
        <v>2002</v>
      </c>
      <c r="BU563" s="18"/>
      <c r="BV563" s="125" t="s">
        <v>2410</v>
      </c>
      <c r="BW563" s="125" t="s">
        <v>2411</v>
      </c>
      <c r="BX563" s="125" t="s">
        <v>2412</v>
      </c>
      <c r="BY563" s="125">
        <v>40457965</v>
      </c>
      <c r="BZ563" s="125">
        <v>10404579652</v>
      </c>
      <c r="CA563" s="126">
        <v>5000</v>
      </c>
      <c r="CB563" s="289">
        <v>46143</v>
      </c>
      <c r="CC563" s="289">
        <v>46173</v>
      </c>
      <c r="CD563" s="759"/>
      <c r="CE563" s="177">
        <f t="shared" si="689"/>
        <v>30</v>
      </c>
      <c r="CF563" s="1019">
        <f t="shared" si="690"/>
        <v>5000</v>
      </c>
      <c r="CG563" s="177">
        <v>30</v>
      </c>
      <c r="CH563" s="1019">
        <f t="shared" si="691"/>
        <v>5000</v>
      </c>
      <c r="CI563" s="177">
        <v>30</v>
      </c>
      <c r="CJ563" s="1019">
        <f t="shared" si="692"/>
        <v>5000</v>
      </c>
      <c r="CK563" s="177">
        <f t="shared" si="693"/>
        <v>0</v>
      </c>
      <c r="CL563" s="177">
        <f t="shared" si="694"/>
        <v>0</v>
      </c>
      <c r="CM563" s="1006"/>
      <c r="CN563" s="177">
        <f t="shared" si="695"/>
        <v>0</v>
      </c>
      <c r="CO563" s="1019">
        <f t="shared" si="696"/>
        <v>0</v>
      </c>
      <c r="CP563" s="177"/>
      <c r="CQ563" s="1019">
        <f t="shared" si="697"/>
        <v>0</v>
      </c>
      <c r="CR563" s="1019"/>
      <c r="CS563" s="1019">
        <f t="shared" si="698"/>
        <v>0</v>
      </c>
      <c r="CT563" s="177">
        <f t="shared" si="699"/>
        <v>0</v>
      </c>
      <c r="CU563" s="177">
        <f t="shared" si="700"/>
        <v>0</v>
      </c>
      <c r="CV563" s="1006"/>
      <c r="CW563" s="177">
        <f t="shared" si="701"/>
        <v>5000</v>
      </c>
      <c r="CX563" s="1019">
        <f t="shared" si="702"/>
        <v>5000</v>
      </c>
      <c r="CY563" s="177">
        <f t="shared" si="703"/>
        <v>5000</v>
      </c>
      <c r="CZ563" s="1019">
        <f t="shared" si="704"/>
        <v>0</v>
      </c>
      <c r="DA563" s="177">
        <f t="shared" si="705"/>
        <v>0</v>
      </c>
      <c r="DB563" s="126"/>
      <c r="DC563" s="125"/>
    </row>
    <row r="564" spans="1:108" ht="51" hidden="1" x14ac:dyDescent="0.25">
      <c r="A564" s="19">
        <v>2026</v>
      </c>
      <c r="B564" s="20">
        <v>479</v>
      </c>
      <c r="C564" s="21" t="s">
        <v>64</v>
      </c>
      <c r="D564" s="21" t="s">
        <v>65</v>
      </c>
      <c r="E564" s="20">
        <v>125</v>
      </c>
      <c r="F564" s="20">
        <v>3000654</v>
      </c>
      <c r="G564" s="20">
        <v>5005023</v>
      </c>
      <c r="H564" s="20">
        <v>3</v>
      </c>
      <c r="I564" s="20">
        <v>12</v>
      </c>
      <c r="J564" s="20">
        <v>24</v>
      </c>
      <c r="K564" s="20">
        <v>135560</v>
      </c>
      <c r="L564" s="21" t="s">
        <v>220</v>
      </c>
      <c r="M564" s="33" t="s">
        <v>221</v>
      </c>
      <c r="N564" s="19">
        <v>97</v>
      </c>
      <c r="O564" s="2"/>
      <c r="P564" s="2" t="s">
        <v>4</v>
      </c>
      <c r="Q564" s="20" t="s">
        <v>68</v>
      </c>
      <c r="R564" s="25" t="s">
        <v>69</v>
      </c>
      <c r="S564" s="41" t="s">
        <v>137</v>
      </c>
      <c r="T564" s="41"/>
      <c r="U564" s="31" t="s">
        <v>383</v>
      </c>
      <c r="V564" s="25" t="s">
        <v>3</v>
      </c>
      <c r="W564" s="25">
        <v>1</v>
      </c>
      <c r="X564" s="595">
        <v>5000</v>
      </c>
      <c r="Y564" s="619"/>
      <c r="Z564" s="2"/>
      <c r="AA564" s="2"/>
      <c r="AB564" s="620"/>
      <c r="AC564" s="25">
        <v>0</v>
      </c>
      <c r="AD564" s="25">
        <v>30</v>
      </c>
      <c r="AE564" s="619"/>
      <c r="AF564" s="2"/>
      <c r="AG564" s="2"/>
      <c r="AH564" s="2"/>
      <c r="AI564" s="2"/>
      <c r="AJ564" s="621"/>
      <c r="AK564" s="596">
        <v>5000</v>
      </c>
      <c r="AL564" s="29" t="s">
        <v>73</v>
      </c>
      <c r="AM564" s="29" t="s">
        <v>73</v>
      </c>
      <c r="AN564" s="29" t="s">
        <v>73</v>
      </c>
      <c r="AO564" s="29" t="s">
        <v>73</v>
      </c>
      <c r="AP564" s="648">
        <v>0</v>
      </c>
      <c r="AQ564" s="478">
        <v>5000</v>
      </c>
      <c r="AR564" s="29" t="s">
        <v>73</v>
      </c>
      <c r="AS564" s="29" t="s">
        <v>73</v>
      </c>
      <c r="AT564" s="29" t="s">
        <v>73</v>
      </c>
      <c r="AU564" s="29" t="s">
        <v>73</v>
      </c>
      <c r="AV564" s="29" t="s">
        <v>73</v>
      </c>
      <c r="AW564" s="29" t="s">
        <v>73</v>
      </c>
      <c r="AX564" s="30">
        <v>5000</v>
      </c>
      <c r="AY564" s="479" t="s">
        <v>6</v>
      </c>
      <c r="AZ564" s="2" t="s">
        <v>74</v>
      </c>
      <c r="BA564" s="2"/>
      <c r="BK564" s="125" t="s">
        <v>790</v>
      </c>
      <c r="BL564" s="481" t="s">
        <v>791</v>
      </c>
      <c r="BM564" s="125" t="s">
        <v>1812</v>
      </c>
      <c r="BN564" s="177" t="s">
        <v>1813</v>
      </c>
      <c r="BO564" s="125" t="s">
        <v>1814</v>
      </c>
      <c r="BP564" s="129">
        <v>46156</v>
      </c>
      <c r="BQ564" s="18"/>
      <c r="BR564" s="505" t="s">
        <v>2409</v>
      </c>
      <c r="BS564" s="18"/>
      <c r="BT564" s="18"/>
      <c r="BU564" s="18"/>
      <c r="BV564" s="284" t="s">
        <v>2410</v>
      </c>
      <c r="BW564" s="284" t="s">
        <v>2411</v>
      </c>
      <c r="BX564" s="284" t="s">
        <v>2412</v>
      </c>
      <c r="BY564" s="125">
        <v>40457965</v>
      </c>
      <c r="BZ564" s="125">
        <v>10404579652</v>
      </c>
      <c r="CA564" s="288">
        <v>5000</v>
      </c>
      <c r="CB564" s="289">
        <v>46174</v>
      </c>
      <c r="CC564" s="289">
        <v>46203</v>
      </c>
      <c r="CD564" s="759"/>
      <c r="CE564" s="177">
        <f t="shared" si="689"/>
        <v>0</v>
      </c>
      <c r="CF564" s="1019">
        <f t="shared" si="690"/>
        <v>0</v>
      </c>
      <c r="CG564" s="177"/>
      <c r="CH564" s="1019">
        <f t="shared" si="691"/>
        <v>0</v>
      </c>
      <c r="CI564" s="177"/>
      <c r="CJ564" s="1019">
        <f t="shared" si="692"/>
        <v>0</v>
      </c>
      <c r="CK564" s="177">
        <f t="shared" si="693"/>
        <v>0</v>
      </c>
      <c r="CL564" s="177">
        <f t="shared" si="694"/>
        <v>0</v>
      </c>
      <c r="CM564" s="1006"/>
      <c r="CN564" s="177">
        <f t="shared" si="695"/>
        <v>30</v>
      </c>
      <c r="CO564" s="1019">
        <f t="shared" si="696"/>
        <v>5000</v>
      </c>
      <c r="CP564" s="177">
        <v>30</v>
      </c>
      <c r="CQ564" s="1019">
        <f t="shared" si="697"/>
        <v>5000</v>
      </c>
      <c r="CR564" s="177">
        <v>30</v>
      </c>
      <c r="CS564" s="1019">
        <f t="shared" si="698"/>
        <v>5000</v>
      </c>
      <c r="CT564" s="177">
        <f t="shared" si="699"/>
        <v>0</v>
      </c>
      <c r="CU564" s="177">
        <f t="shared" si="700"/>
        <v>0</v>
      </c>
      <c r="CV564" s="1006"/>
      <c r="CW564" s="177">
        <f t="shared" si="701"/>
        <v>5000</v>
      </c>
      <c r="CX564" s="1019">
        <f t="shared" si="702"/>
        <v>5000</v>
      </c>
      <c r="CY564" s="177">
        <f t="shared" si="703"/>
        <v>5000</v>
      </c>
      <c r="CZ564" s="1019">
        <f t="shared" si="704"/>
        <v>0</v>
      </c>
      <c r="DA564" s="177">
        <f t="shared" si="705"/>
        <v>0</v>
      </c>
      <c r="DB564" s="126"/>
      <c r="DC564" s="125"/>
    </row>
    <row r="565" spans="1:108" ht="51" hidden="1" x14ac:dyDescent="0.25">
      <c r="A565" s="19">
        <v>2026</v>
      </c>
      <c r="B565" s="20">
        <v>479</v>
      </c>
      <c r="C565" s="21" t="s">
        <v>64</v>
      </c>
      <c r="D565" s="21" t="s">
        <v>65</v>
      </c>
      <c r="E565" s="20">
        <v>125</v>
      </c>
      <c r="F565" s="20">
        <v>3000654</v>
      </c>
      <c r="G565" s="20">
        <v>5005023</v>
      </c>
      <c r="H565" s="20">
        <v>3</v>
      </c>
      <c r="I565" s="20">
        <v>12</v>
      </c>
      <c r="J565" s="20">
        <v>24</v>
      </c>
      <c r="K565" s="20">
        <v>135560</v>
      </c>
      <c r="L565" s="21" t="s">
        <v>98</v>
      </c>
      <c r="M565" s="33" t="s">
        <v>99</v>
      </c>
      <c r="N565" s="19">
        <v>94</v>
      </c>
      <c r="O565" s="2"/>
      <c r="P565" s="2" t="s">
        <v>4</v>
      </c>
      <c r="Q565" s="20" t="s">
        <v>68</v>
      </c>
      <c r="R565" s="25" t="s">
        <v>69</v>
      </c>
      <c r="S565" s="41" t="s">
        <v>137</v>
      </c>
      <c r="T565" s="41"/>
      <c r="U565" s="31" t="s">
        <v>384</v>
      </c>
      <c r="V565" s="25" t="s">
        <v>3</v>
      </c>
      <c r="W565" s="25">
        <v>1</v>
      </c>
      <c r="X565" s="595">
        <v>5000</v>
      </c>
      <c r="Y565" s="619"/>
      <c r="Z565" s="2"/>
      <c r="AA565" s="2"/>
      <c r="AB565" s="620"/>
      <c r="AC565" s="25">
        <v>30</v>
      </c>
      <c r="AD565" s="25">
        <v>0</v>
      </c>
      <c r="AE565" s="619"/>
      <c r="AF565" s="2"/>
      <c r="AG565" s="2"/>
      <c r="AH565" s="2"/>
      <c r="AI565" s="2"/>
      <c r="AJ565" s="621"/>
      <c r="AK565" s="596">
        <v>5000</v>
      </c>
      <c r="AL565" s="29" t="s">
        <v>73</v>
      </c>
      <c r="AM565" s="29" t="s">
        <v>73</v>
      </c>
      <c r="AN565" s="29" t="s">
        <v>73</v>
      </c>
      <c r="AO565" s="29" t="s">
        <v>73</v>
      </c>
      <c r="AP565" s="478">
        <v>5000</v>
      </c>
      <c r="AQ565" s="648">
        <v>0</v>
      </c>
      <c r="AR565" s="29" t="s">
        <v>73</v>
      </c>
      <c r="AS565" s="29" t="s">
        <v>73</v>
      </c>
      <c r="AT565" s="29" t="s">
        <v>73</v>
      </c>
      <c r="AU565" s="29" t="s">
        <v>73</v>
      </c>
      <c r="AV565" s="29" t="s">
        <v>73</v>
      </c>
      <c r="AW565" s="29" t="s">
        <v>73</v>
      </c>
      <c r="AX565" s="30">
        <v>5000</v>
      </c>
      <c r="AY565" s="165" t="s">
        <v>6</v>
      </c>
      <c r="AZ565" s="2" t="s">
        <v>74</v>
      </c>
      <c r="BA565" s="2"/>
      <c r="BK565" s="147" t="s">
        <v>790</v>
      </c>
      <c r="BL565" s="481" t="s">
        <v>791</v>
      </c>
      <c r="BM565" s="125" t="s">
        <v>1998</v>
      </c>
      <c r="BN565" s="177" t="s">
        <v>1999</v>
      </c>
      <c r="BO565" s="125" t="s">
        <v>2000</v>
      </c>
      <c r="BP565" s="129">
        <v>46134</v>
      </c>
      <c r="BQ565" s="18"/>
      <c r="BR565" s="505" t="s">
        <v>2413</v>
      </c>
      <c r="BS565" s="18"/>
      <c r="BT565" s="656" t="s">
        <v>2002</v>
      </c>
      <c r="BU565" s="18"/>
      <c r="BV565" s="125" t="s">
        <v>2414</v>
      </c>
      <c r="BW565" s="125" t="s">
        <v>2415</v>
      </c>
      <c r="BX565" s="125" t="s">
        <v>2416</v>
      </c>
      <c r="BY565" s="125">
        <v>46439509</v>
      </c>
      <c r="BZ565" s="125">
        <v>10464395097</v>
      </c>
      <c r="CA565" s="126">
        <v>5000</v>
      </c>
      <c r="CB565" s="289">
        <v>46143</v>
      </c>
      <c r="CC565" s="289">
        <v>46173</v>
      </c>
      <c r="CD565" s="759"/>
      <c r="CE565" s="177">
        <f t="shared" si="689"/>
        <v>30</v>
      </c>
      <c r="CF565" s="1019">
        <f t="shared" si="690"/>
        <v>5000</v>
      </c>
      <c r="CG565" s="177">
        <v>30</v>
      </c>
      <c r="CH565" s="1019">
        <f t="shared" si="691"/>
        <v>5000</v>
      </c>
      <c r="CI565" s="177">
        <v>30</v>
      </c>
      <c r="CJ565" s="1019">
        <f t="shared" si="692"/>
        <v>5000</v>
      </c>
      <c r="CK565" s="177">
        <f t="shared" si="693"/>
        <v>0</v>
      </c>
      <c r="CL565" s="177">
        <f t="shared" si="694"/>
        <v>0</v>
      </c>
      <c r="CM565" s="1006"/>
      <c r="CN565" s="177">
        <f t="shared" si="695"/>
        <v>0</v>
      </c>
      <c r="CO565" s="1019">
        <f t="shared" si="696"/>
        <v>0</v>
      </c>
      <c r="CP565" s="177"/>
      <c r="CQ565" s="1019">
        <f t="shared" si="697"/>
        <v>0</v>
      </c>
      <c r="CR565" s="1019"/>
      <c r="CS565" s="1019">
        <f t="shared" si="698"/>
        <v>0</v>
      </c>
      <c r="CT565" s="177">
        <f t="shared" si="699"/>
        <v>0</v>
      </c>
      <c r="CU565" s="177">
        <f t="shared" si="700"/>
        <v>0</v>
      </c>
      <c r="CV565" s="1006"/>
      <c r="CW565" s="177">
        <f t="shared" si="701"/>
        <v>5000</v>
      </c>
      <c r="CX565" s="1019">
        <f t="shared" si="702"/>
        <v>5000</v>
      </c>
      <c r="CY565" s="177">
        <f t="shared" si="703"/>
        <v>5000</v>
      </c>
      <c r="CZ565" s="1019">
        <f t="shared" si="704"/>
        <v>0</v>
      </c>
      <c r="DA565" s="177">
        <f t="shared" si="705"/>
        <v>0</v>
      </c>
      <c r="DB565" s="126"/>
      <c r="DC565" s="125"/>
    </row>
    <row r="566" spans="1:108" ht="51" hidden="1" x14ac:dyDescent="0.25">
      <c r="A566" s="19">
        <v>2026</v>
      </c>
      <c r="B566" s="20">
        <v>479</v>
      </c>
      <c r="C566" s="21" t="s">
        <v>64</v>
      </c>
      <c r="D566" s="21" t="s">
        <v>65</v>
      </c>
      <c r="E566" s="20">
        <v>125</v>
      </c>
      <c r="F566" s="20">
        <v>3000654</v>
      </c>
      <c r="G566" s="20">
        <v>5005023</v>
      </c>
      <c r="H566" s="20">
        <v>3</v>
      </c>
      <c r="I566" s="20">
        <v>12</v>
      </c>
      <c r="J566" s="20">
        <v>24</v>
      </c>
      <c r="K566" s="20">
        <v>135560</v>
      </c>
      <c r="L566" s="21" t="s">
        <v>220</v>
      </c>
      <c r="M566" s="33" t="s">
        <v>221</v>
      </c>
      <c r="N566" s="19">
        <v>97</v>
      </c>
      <c r="O566" s="2"/>
      <c r="P566" s="2" t="s">
        <v>4</v>
      </c>
      <c r="Q566" s="20" t="s">
        <v>68</v>
      </c>
      <c r="R566" s="25" t="s">
        <v>69</v>
      </c>
      <c r="S566" s="41" t="s">
        <v>137</v>
      </c>
      <c r="T566" s="41"/>
      <c r="U566" s="31" t="s">
        <v>384</v>
      </c>
      <c r="V566" s="25" t="s">
        <v>3</v>
      </c>
      <c r="W566" s="25">
        <v>1</v>
      </c>
      <c r="X566" s="595">
        <v>5000</v>
      </c>
      <c r="Y566" s="619"/>
      <c r="Z566" s="2"/>
      <c r="AA566" s="2"/>
      <c r="AB566" s="620"/>
      <c r="AC566" s="25">
        <v>0</v>
      </c>
      <c r="AD566" s="25">
        <v>30</v>
      </c>
      <c r="AE566" s="619"/>
      <c r="AF566" s="2"/>
      <c r="AG566" s="2"/>
      <c r="AH566" s="2"/>
      <c r="AI566" s="2"/>
      <c r="AJ566" s="621"/>
      <c r="AK566" s="596">
        <v>5000</v>
      </c>
      <c r="AL566" s="29" t="s">
        <v>73</v>
      </c>
      <c r="AM566" s="29" t="s">
        <v>73</v>
      </c>
      <c r="AN566" s="29" t="s">
        <v>73</v>
      </c>
      <c r="AO566" s="29" t="s">
        <v>73</v>
      </c>
      <c r="AP566" s="648">
        <v>0</v>
      </c>
      <c r="AQ566" s="478">
        <v>5000</v>
      </c>
      <c r="AR566" s="29" t="s">
        <v>73</v>
      </c>
      <c r="AS566" s="29" t="s">
        <v>73</v>
      </c>
      <c r="AT566" s="29" t="s">
        <v>73</v>
      </c>
      <c r="AU566" s="29" t="s">
        <v>73</v>
      </c>
      <c r="AV566" s="29" t="s">
        <v>73</v>
      </c>
      <c r="AW566" s="29" t="s">
        <v>73</v>
      </c>
      <c r="AX566" s="30">
        <v>5000</v>
      </c>
      <c r="AY566" s="479" t="s">
        <v>6</v>
      </c>
      <c r="AZ566" s="2" t="s">
        <v>74</v>
      </c>
      <c r="BA566" s="2"/>
      <c r="BK566" s="125" t="s">
        <v>790</v>
      </c>
      <c r="BL566" s="481" t="s">
        <v>791</v>
      </c>
      <c r="BM566" s="125" t="s">
        <v>1812</v>
      </c>
      <c r="BN566" s="177" t="s">
        <v>1813</v>
      </c>
      <c r="BO566" s="125" t="s">
        <v>1814</v>
      </c>
      <c r="BP566" s="129">
        <v>46156</v>
      </c>
      <c r="BQ566" s="18"/>
      <c r="BR566" s="505" t="s">
        <v>2413</v>
      </c>
      <c r="BS566" s="18"/>
      <c r="BT566" s="18"/>
      <c r="BU566" s="18"/>
      <c r="BV566" s="284" t="s">
        <v>2414</v>
      </c>
      <c r="BW566" s="284" t="s">
        <v>2415</v>
      </c>
      <c r="BX566" s="284" t="s">
        <v>2416</v>
      </c>
      <c r="BY566" s="284">
        <v>46439509</v>
      </c>
      <c r="BZ566" s="284">
        <v>10464395097</v>
      </c>
      <c r="CA566" s="288">
        <v>5000</v>
      </c>
      <c r="CB566" s="289">
        <v>46174</v>
      </c>
      <c r="CC566" s="289">
        <v>46203</v>
      </c>
      <c r="CD566" s="759"/>
      <c r="CE566" s="177">
        <f t="shared" si="689"/>
        <v>0</v>
      </c>
      <c r="CF566" s="1019">
        <f t="shared" si="690"/>
        <v>0</v>
      </c>
      <c r="CG566" s="177"/>
      <c r="CH566" s="1019">
        <f t="shared" si="691"/>
        <v>0</v>
      </c>
      <c r="CI566" s="177"/>
      <c r="CJ566" s="1019">
        <f t="shared" si="692"/>
        <v>0</v>
      </c>
      <c r="CK566" s="177">
        <f t="shared" si="693"/>
        <v>0</v>
      </c>
      <c r="CL566" s="177">
        <f t="shared" si="694"/>
        <v>0</v>
      </c>
      <c r="CM566" s="1006"/>
      <c r="CN566" s="177">
        <f t="shared" si="695"/>
        <v>30</v>
      </c>
      <c r="CO566" s="1019">
        <f t="shared" si="696"/>
        <v>5000</v>
      </c>
      <c r="CP566" s="177">
        <v>30</v>
      </c>
      <c r="CQ566" s="1019">
        <f t="shared" si="697"/>
        <v>5000</v>
      </c>
      <c r="CR566" s="177">
        <v>30</v>
      </c>
      <c r="CS566" s="1019">
        <f t="shared" si="698"/>
        <v>5000</v>
      </c>
      <c r="CT566" s="177">
        <f t="shared" si="699"/>
        <v>0</v>
      </c>
      <c r="CU566" s="177">
        <f t="shared" si="700"/>
        <v>0</v>
      </c>
      <c r="CV566" s="1006"/>
      <c r="CW566" s="177">
        <f t="shared" si="701"/>
        <v>5000</v>
      </c>
      <c r="CX566" s="1019">
        <f t="shared" si="702"/>
        <v>5000</v>
      </c>
      <c r="CY566" s="177">
        <f t="shared" si="703"/>
        <v>5000</v>
      </c>
      <c r="CZ566" s="1019">
        <f t="shared" si="704"/>
        <v>0</v>
      </c>
      <c r="DA566" s="177">
        <f t="shared" si="705"/>
        <v>0</v>
      </c>
      <c r="DB566" s="126"/>
      <c r="DC566" s="125"/>
    </row>
    <row r="567" spans="1:108" ht="51" hidden="1" x14ac:dyDescent="0.25">
      <c r="A567" s="19">
        <v>2026</v>
      </c>
      <c r="B567" s="20">
        <v>479</v>
      </c>
      <c r="C567" s="21" t="s">
        <v>64</v>
      </c>
      <c r="D567" s="21" t="s">
        <v>65</v>
      </c>
      <c r="E567" s="20">
        <v>125</v>
      </c>
      <c r="F567" s="20">
        <v>3000654</v>
      </c>
      <c r="G567" s="20">
        <v>5005023</v>
      </c>
      <c r="H567" s="20">
        <v>3</v>
      </c>
      <c r="I567" s="20">
        <v>12</v>
      </c>
      <c r="J567" s="20">
        <v>24</v>
      </c>
      <c r="K567" s="20">
        <v>135560</v>
      </c>
      <c r="L567" s="21" t="s">
        <v>220</v>
      </c>
      <c r="M567" s="33" t="s">
        <v>221</v>
      </c>
      <c r="N567" s="19">
        <v>97</v>
      </c>
      <c r="O567" s="2"/>
      <c r="P567" s="2" t="s">
        <v>4</v>
      </c>
      <c r="Q567" s="20" t="s">
        <v>68</v>
      </c>
      <c r="R567" s="25" t="s">
        <v>69</v>
      </c>
      <c r="S567" s="41" t="s">
        <v>137</v>
      </c>
      <c r="T567" s="41"/>
      <c r="U567" s="31" t="s">
        <v>385</v>
      </c>
      <c r="V567" s="25" t="s">
        <v>3</v>
      </c>
      <c r="W567" s="25">
        <v>1</v>
      </c>
      <c r="X567" s="595">
        <v>5000</v>
      </c>
      <c r="Y567" s="619"/>
      <c r="Z567" s="2"/>
      <c r="AA567" s="2"/>
      <c r="AB567" s="620"/>
      <c r="AC567" s="25">
        <v>30</v>
      </c>
      <c r="AD567" s="25">
        <v>30</v>
      </c>
      <c r="AE567" s="619"/>
      <c r="AF567" s="2"/>
      <c r="AG567" s="2"/>
      <c r="AH567" s="2"/>
      <c r="AI567" s="2"/>
      <c r="AJ567" s="621"/>
      <c r="AK567" s="596">
        <v>10000</v>
      </c>
      <c r="AL567" s="29" t="s">
        <v>73</v>
      </c>
      <c r="AM567" s="29" t="s">
        <v>73</v>
      </c>
      <c r="AN567" s="29" t="s">
        <v>73</v>
      </c>
      <c r="AO567" s="29" t="s">
        <v>73</v>
      </c>
      <c r="AP567" s="478">
        <v>5000</v>
      </c>
      <c r="AQ567" s="478">
        <v>5000</v>
      </c>
      <c r="AR567" s="29" t="s">
        <v>73</v>
      </c>
      <c r="AS567" s="29" t="s">
        <v>73</v>
      </c>
      <c r="AT567" s="29" t="s">
        <v>73</v>
      </c>
      <c r="AU567" s="29" t="s">
        <v>73</v>
      </c>
      <c r="AV567" s="29" t="s">
        <v>73</v>
      </c>
      <c r="AW567" s="29" t="s">
        <v>73</v>
      </c>
      <c r="AX567" s="30">
        <v>10000</v>
      </c>
      <c r="AY567" s="479" t="s">
        <v>6</v>
      </c>
      <c r="AZ567" s="2" t="s">
        <v>74</v>
      </c>
      <c r="BA567" s="2"/>
      <c r="BK567" s="125" t="s">
        <v>790</v>
      </c>
      <c r="BL567" s="481" t="s">
        <v>791</v>
      </c>
      <c r="BM567" s="125" t="s">
        <v>1998</v>
      </c>
      <c r="BN567" s="177" t="s">
        <v>1999</v>
      </c>
      <c r="BO567" s="125" t="s">
        <v>2000</v>
      </c>
      <c r="BP567" s="129">
        <v>46134</v>
      </c>
      <c r="BQ567" s="18"/>
      <c r="BR567" s="505" t="s">
        <v>2417</v>
      </c>
      <c r="BS567" s="18"/>
      <c r="BT567" s="656" t="s">
        <v>2002</v>
      </c>
      <c r="BU567" s="947" t="s">
        <v>1841</v>
      </c>
      <c r="BV567" s="125" t="s">
        <v>2418</v>
      </c>
      <c r="BW567" s="125" t="s">
        <v>2419</v>
      </c>
      <c r="BX567" s="125" t="s">
        <v>2420</v>
      </c>
      <c r="BY567" s="125">
        <v>43670349</v>
      </c>
      <c r="BZ567" s="125">
        <v>10436703495</v>
      </c>
      <c r="CA567" s="126">
        <v>5000</v>
      </c>
      <c r="CB567" s="289">
        <v>46143</v>
      </c>
      <c r="CC567" s="289">
        <v>46203</v>
      </c>
      <c r="CD567" s="759"/>
      <c r="CE567" s="177">
        <f t="shared" si="689"/>
        <v>30</v>
      </c>
      <c r="CF567" s="1019">
        <f t="shared" si="690"/>
        <v>5000</v>
      </c>
      <c r="CG567" s="177">
        <v>30</v>
      </c>
      <c r="CH567" s="1019">
        <f t="shared" si="691"/>
        <v>5000</v>
      </c>
      <c r="CI567" s="177">
        <v>30</v>
      </c>
      <c r="CJ567" s="1019">
        <f t="shared" si="692"/>
        <v>5000</v>
      </c>
      <c r="CK567" s="177">
        <f t="shared" si="693"/>
        <v>0</v>
      </c>
      <c r="CL567" s="177">
        <f t="shared" si="694"/>
        <v>0</v>
      </c>
      <c r="CM567" s="1006"/>
      <c r="CN567" s="177">
        <f t="shared" si="695"/>
        <v>30</v>
      </c>
      <c r="CO567" s="1019">
        <f t="shared" si="696"/>
        <v>5000</v>
      </c>
      <c r="CP567" s="177">
        <v>30</v>
      </c>
      <c r="CQ567" s="1019">
        <f t="shared" si="697"/>
        <v>5000</v>
      </c>
      <c r="CR567" s="177">
        <v>30</v>
      </c>
      <c r="CS567" s="1019">
        <f t="shared" si="698"/>
        <v>5000</v>
      </c>
      <c r="CT567" s="177">
        <f t="shared" si="699"/>
        <v>0</v>
      </c>
      <c r="CU567" s="177">
        <f t="shared" si="700"/>
        <v>0</v>
      </c>
      <c r="CV567" s="1006"/>
      <c r="CW567" s="177">
        <f t="shared" si="701"/>
        <v>10000</v>
      </c>
      <c r="CX567" s="1019">
        <f t="shared" si="702"/>
        <v>10000</v>
      </c>
      <c r="CY567" s="177">
        <f t="shared" si="703"/>
        <v>10000</v>
      </c>
      <c r="CZ567" s="1019">
        <f t="shared" si="704"/>
        <v>0</v>
      </c>
      <c r="DA567" s="177">
        <f t="shared" si="705"/>
        <v>0</v>
      </c>
      <c r="DB567" s="126"/>
      <c r="DC567" s="125"/>
    </row>
    <row r="568" spans="1:108" ht="51" hidden="1" x14ac:dyDescent="0.25">
      <c r="A568" s="19">
        <v>2026</v>
      </c>
      <c r="B568" s="20">
        <v>479</v>
      </c>
      <c r="C568" s="21" t="s">
        <v>64</v>
      </c>
      <c r="D568" s="21" t="s">
        <v>65</v>
      </c>
      <c r="E568" s="20">
        <v>125</v>
      </c>
      <c r="F568" s="20">
        <v>3000654</v>
      </c>
      <c r="G568" s="20">
        <v>5005023</v>
      </c>
      <c r="H568" s="20">
        <v>3</v>
      </c>
      <c r="I568" s="20">
        <v>12</v>
      </c>
      <c r="J568" s="20">
        <v>24</v>
      </c>
      <c r="K568" s="20">
        <v>135560</v>
      </c>
      <c r="L568" s="21" t="s">
        <v>220</v>
      </c>
      <c r="M568" s="33" t="s">
        <v>221</v>
      </c>
      <c r="N568" s="19">
        <v>97</v>
      </c>
      <c r="O568" s="2"/>
      <c r="P568" s="2" t="s">
        <v>4</v>
      </c>
      <c r="Q568" s="20" t="s">
        <v>68</v>
      </c>
      <c r="R568" s="25" t="s">
        <v>69</v>
      </c>
      <c r="S568" s="41" t="s">
        <v>137</v>
      </c>
      <c r="T568" s="41"/>
      <c r="U568" s="31" t="s">
        <v>386</v>
      </c>
      <c r="V568" s="25" t="s">
        <v>3</v>
      </c>
      <c r="W568" s="25">
        <v>1</v>
      </c>
      <c r="X568" s="595">
        <v>5000</v>
      </c>
      <c r="Y568" s="619"/>
      <c r="Z568" s="2"/>
      <c r="AA568" s="2"/>
      <c r="AB568" s="620"/>
      <c r="AC568" s="25">
        <v>30</v>
      </c>
      <c r="AD568" s="25">
        <v>30</v>
      </c>
      <c r="AE568" s="619"/>
      <c r="AF568" s="2"/>
      <c r="AG568" s="2"/>
      <c r="AH568" s="2"/>
      <c r="AI568" s="2"/>
      <c r="AJ568" s="621"/>
      <c r="AK568" s="596">
        <v>10000</v>
      </c>
      <c r="AL568" s="29" t="s">
        <v>73</v>
      </c>
      <c r="AM568" s="29" t="s">
        <v>73</v>
      </c>
      <c r="AN568" s="29" t="s">
        <v>73</v>
      </c>
      <c r="AO568" s="29" t="s">
        <v>73</v>
      </c>
      <c r="AP568" s="478">
        <v>5000</v>
      </c>
      <c r="AQ568" s="478">
        <v>5000</v>
      </c>
      <c r="AR568" s="29" t="s">
        <v>73</v>
      </c>
      <c r="AS568" s="29" t="s">
        <v>73</v>
      </c>
      <c r="AT568" s="29" t="s">
        <v>73</v>
      </c>
      <c r="AU568" s="29" t="s">
        <v>73</v>
      </c>
      <c r="AV568" s="29" t="s">
        <v>73</v>
      </c>
      <c r="AW568" s="29" t="s">
        <v>73</v>
      </c>
      <c r="AX568" s="30">
        <v>10000</v>
      </c>
      <c r="AY568" s="479" t="s">
        <v>6</v>
      </c>
      <c r="AZ568" s="2" t="s">
        <v>74</v>
      </c>
      <c r="BA568" s="2"/>
      <c r="BK568" s="125" t="s">
        <v>790</v>
      </c>
      <c r="BL568" s="481" t="s">
        <v>791</v>
      </c>
      <c r="BM568" s="125" t="s">
        <v>1998</v>
      </c>
      <c r="BN568" s="177" t="s">
        <v>1999</v>
      </c>
      <c r="BO568" s="125" t="s">
        <v>2000</v>
      </c>
      <c r="BP568" s="129">
        <v>46134</v>
      </c>
      <c r="BQ568" s="18"/>
      <c r="BR568" s="505" t="s">
        <v>2421</v>
      </c>
      <c r="BS568" s="18"/>
      <c r="BT568" s="656" t="s">
        <v>2002</v>
      </c>
      <c r="BU568" s="947" t="s">
        <v>1841</v>
      </c>
      <c r="BV568" s="125" t="s">
        <v>1240</v>
      </c>
      <c r="BW568" s="125" t="s">
        <v>2422</v>
      </c>
      <c r="BX568" s="125" t="s">
        <v>2423</v>
      </c>
      <c r="BY568" s="125">
        <v>43639864</v>
      </c>
      <c r="BZ568" s="125">
        <v>10436398641</v>
      </c>
      <c r="CA568" s="126">
        <v>5000</v>
      </c>
      <c r="CB568" s="289">
        <v>46143</v>
      </c>
      <c r="CC568" s="289">
        <v>46203</v>
      </c>
      <c r="CD568" s="759"/>
      <c r="CE568" s="177">
        <f t="shared" si="689"/>
        <v>30</v>
      </c>
      <c r="CF568" s="1019">
        <f t="shared" si="690"/>
        <v>5000</v>
      </c>
      <c r="CG568" s="177">
        <v>30</v>
      </c>
      <c r="CH568" s="1019">
        <f t="shared" si="691"/>
        <v>5000</v>
      </c>
      <c r="CI568" s="177">
        <v>30</v>
      </c>
      <c r="CJ568" s="1019">
        <f t="shared" si="692"/>
        <v>5000</v>
      </c>
      <c r="CK568" s="177">
        <f t="shared" si="693"/>
        <v>0</v>
      </c>
      <c r="CL568" s="177">
        <f t="shared" si="694"/>
        <v>0</v>
      </c>
      <c r="CM568" s="1006"/>
      <c r="CN568" s="177">
        <f t="shared" si="695"/>
        <v>30</v>
      </c>
      <c r="CO568" s="1019">
        <f t="shared" si="696"/>
        <v>5000</v>
      </c>
      <c r="CP568" s="177">
        <v>30</v>
      </c>
      <c r="CQ568" s="1019">
        <f t="shared" si="697"/>
        <v>5000</v>
      </c>
      <c r="CR568" s="177">
        <v>30</v>
      </c>
      <c r="CS568" s="1019">
        <f t="shared" si="698"/>
        <v>5000</v>
      </c>
      <c r="CT568" s="177">
        <f t="shared" si="699"/>
        <v>0</v>
      </c>
      <c r="CU568" s="177">
        <f t="shared" si="700"/>
        <v>0</v>
      </c>
      <c r="CV568" s="1006"/>
      <c r="CW568" s="177">
        <f t="shared" si="701"/>
        <v>10000</v>
      </c>
      <c r="CX568" s="1019">
        <f t="shared" si="702"/>
        <v>10000</v>
      </c>
      <c r="CY568" s="177">
        <f t="shared" si="703"/>
        <v>10000</v>
      </c>
      <c r="CZ568" s="1019">
        <f t="shared" si="704"/>
        <v>0</v>
      </c>
      <c r="DA568" s="177">
        <f t="shared" si="705"/>
        <v>0</v>
      </c>
      <c r="DB568" s="126"/>
      <c r="DC568" s="125"/>
    </row>
    <row r="569" spans="1:108" ht="51" hidden="1" x14ac:dyDescent="0.25">
      <c r="A569" s="19">
        <v>2026</v>
      </c>
      <c r="B569" s="20">
        <v>479</v>
      </c>
      <c r="C569" s="21" t="s">
        <v>64</v>
      </c>
      <c r="D569" s="21" t="s">
        <v>65</v>
      </c>
      <c r="E569" s="20">
        <v>125</v>
      </c>
      <c r="F569" s="20">
        <v>3000654</v>
      </c>
      <c r="G569" s="20">
        <v>5005023</v>
      </c>
      <c r="H569" s="20">
        <v>3</v>
      </c>
      <c r="I569" s="20">
        <v>12</v>
      </c>
      <c r="J569" s="20">
        <v>24</v>
      </c>
      <c r="K569" s="20">
        <v>135560</v>
      </c>
      <c r="L569" s="21" t="s">
        <v>220</v>
      </c>
      <c r="M569" s="33" t="s">
        <v>221</v>
      </c>
      <c r="N569" s="19">
        <v>97</v>
      </c>
      <c r="O569" s="2"/>
      <c r="P569" s="2" t="s">
        <v>4</v>
      </c>
      <c r="Q569" s="20" t="s">
        <v>68</v>
      </c>
      <c r="R569" s="25" t="s">
        <v>69</v>
      </c>
      <c r="S569" s="41" t="s">
        <v>137</v>
      </c>
      <c r="T569" s="41"/>
      <c r="U569" s="31" t="s">
        <v>387</v>
      </c>
      <c r="V569" s="25" t="s">
        <v>3</v>
      </c>
      <c r="W569" s="25">
        <v>1</v>
      </c>
      <c r="X569" s="595">
        <v>5000</v>
      </c>
      <c r="Y569" s="619"/>
      <c r="Z569" s="2"/>
      <c r="AA569" s="2"/>
      <c r="AB569" s="620"/>
      <c r="AC569" s="25">
        <v>30</v>
      </c>
      <c r="AD569" s="25">
        <v>30</v>
      </c>
      <c r="AE569" s="619"/>
      <c r="AF569" s="2"/>
      <c r="AG569" s="2"/>
      <c r="AH569" s="2"/>
      <c r="AI569" s="2"/>
      <c r="AJ569" s="621"/>
      <c r="AK569" s="596">
        <v>10000</v>
      </c>
      <c r="AL569" s="29" t="s">
        <v>73</v>
      </c>
      <c r="AM569" s="29" t="s">
        <v>73</v>
      </c>
      <c r="AN569" s="29" t="s">
        <v>73</v>
      </c>
      <c r="AO569" s="29" t="s">
        <v>73</v>
      </c>
      <c r="AP569" s="478">
        <v>5000</v>
      </c>
      <c r="AQ569" s="478">
        <v>5000</v>
      </c>
      <c r="AR569" s="29" t="s">
        <v>73</v>
      </c>
      <c r="AS569" s="29" t="s">
        <v>73</v>
      </c>
      <c r="AT569" s="29" t="s">
        <v>73</v>
      </c>
      <c r="AU569" s="29" t="s">
        <v>73</v>
      </c>
      <c r="AV569" s="29" t="s">
        <v>73</v>
      </c>
      <c r="AW569" s="29" t="s">
        <v>73</v>
      </c>
      <c r="AX569" s="30">
        <v>10000</v>
      </c>
      <c r="AY569" s="479" t="s">
        <v>6</v>
      </c>
      <c r="AZ569" s="2" t="s">
        <v>74</v>
      </c>
      <c r="BA569" s="2"/>
      <c r="BK569" s="125" t="s">
        <v>790</v>
      </c>
      <c r="BL569" s="481" t="s">
        <v>791</v>
      </c>
      <c r="BM569" s="125" t="s">
        <v>1998</v>
      </c>
      <c r="BN569" s="177" t="s">
        <v>1999</v>
      </c>
      <c r="BO569" s="125" t="s">
        <v>2000</v>
      </c>
      <c r="BP569" s="129">
        <v>46134</v>
      </c>
      <c r="BQ569" s="18"/>
      <c r="BR569" s="505" t="s">
        <v>2424</v>
      </c>
      <c r="BS569" s="18"/>
      <c r="BT569" s="656" t="s">
        <v>2002</v>
      </c>
      <c r="BU569" s="947" t="s">
        <v>1841</v>
      </c>
      <c r="BV569" s="125" t="s">
        <v>2425</v>
      </c>
      <c r="BW569" s="125" t="s">
        <v>2426</v>
      </c>
      <c r="BX569" s="125" t="s">
        <v>2427</v>
      </c>
      <c r="BY569" s="125">
        <v>40825980</v>
      </c>
      <c r="BZ569" s="125">
        <v>10408259806</v>
      </c>
      <c r="CA569" s="126">
        <v>5000</v>
      </c>
      <c r="CB569" s="289">
        <v>46143</v>
      </c>
      <c r="CC569" s="289">
        <v>46203</v>
      </c>
      <c r="CD569" s="759"/>
      <c r="CE569" s="177">
        <f t="shared" si="689"/>
        <v>30</v>
      </c>
      <c r="CF569" s="1019">
        <f t="shared" si="690"/>
        <v>5000</v>
      </c>
      <c r="CG569" s="177">
        <v>30</v>
      </c>
      <c r="CH569" s="1019">
        <f t="shared" si="691"/>
        <v>5000</v>
      </c>
      <c r="CI569" s="177">
        <v>30</v>
      </c>
      <c r="CJ569" s="1019">
        <f t="shared" si="692"/>
        <v>5000</v>
      </c>
      <c r="CK569" s="177">
        <f t="shared" si="693"/>
        <v>0</v>
      </c>
      <c r="CL569" s="177">
        <f t="shared" si="694"/>
        <v>0</v>
      </c>
      <c r="CM569" s="1006"/>
      <c r="CN569" s="177">
        <f t="shared" si="695"/>
        <v>30</v>
      </c>
      <c r="CO569" s="1019">
        <f t="shared" si="696"/>
        <v>5000</v>
      </c>
      <c r="CP569" s="177">
        <v>30</v>
      </c>
      <c r="CQ569" s="1019">
        <f t="shared" si="697"/>
        <v>5000</v>
      </c>
      <c r="CR569" s="177">
        <v>30</v>
      </c>
      <c r="CS569" s="1019">
        <f t="shared" si="698"/>
        <v>5000</v>
      </c>
      <c r="CT569" s="177">
        <f t="shared" si="699"/>
        <v>0</v>
      </c>
      <c r="CU569" s="177">
        <f t="shared" si="700"/>
        <v>0</v>
      </c>
      <c r="CV569" s="1006"/>
      <c r="CW569" s="177">
        <f t="shared" si="701"/>
        <v>10000</v>
      </c>
      <c r="CX569" s="1019">
        <f t="shared" si="702"/>
        <v>10000</v>
      </c>
      <c r="CY569" s="177">
        <f t="shared" si="703"/>
        <v>10000</v>
      </c>
      <c r="CZ569" s="1019">
        <f t="shared" si="704"/>
        <v>0</v>
      </c>
      <c r="DA569" s="177">
        <f t="shared" si="705"/>
        <v>0</v>
      </c>
      <c r="DB569" s="126"/>
      <c r="DC569" s="125"/>
    </row>
    <row r="570" spans="1:108" ht="51" hidden="1" x14ac:dyDescent="0.25">
      <c r="A570" s="202">
        <v>2026</v>
      </c>
      <c r="B570" s="204">
        <v>479</v>
      </c>
      <c r="C570" s="201" t="s">
        <v>64</v>
      </c>
      <c r="D570" s="201" t="s">
        <v>65</v>
      </c>
      <c r="E570" s="204">
        <v>125</v>
      </c>
      <c r="F570" s="204">
        <v>3000654</v>
      </c>
      <c r="G570" s="204">
        <v>5005023</v>
      </c>
      <c r="H570" s="204">
        <v>3</v>
      </c>
      <c r="I570" s="204">
        <v>12</v>
      </c>
      <c r="J570" s="204">
        <v>24</v>
      </c>
      <c r="K570" s="204">
        <v>135560</v>
      </c>
      <c r="L570" s="201" t="s">
        <v>220</v>
      </c>
      <c r="M570" s="715" t="s">
        <v>221</v>
      </c>
      <c r="N570" s="202">
        <v>97</v>
      </c>
      <c r="O570" s="200"/>
      <c r="P570" s="200" t="s">
        <v>4</v>
      </c>
      <c r="Q570" s="204" t="s">
        <v>68</v>
      </c>
      <c r="R570" s="203" t="s">
        <v>69</v>
      </c>
      <c r="S570" s="717" t="s">
        <v>137</v>
      </c>
      <c r="T570" s="717"/>
      <c r="U570" s="491" t="s">
        <v>388</v>
      </c>
      <c r="V570" s="203" t="s">
        <v>3</v>
      </c>
      <c r="W570" s="203">
        <v>1</v>
      </c>
      <c r="X570" s="492">
        <v>5000</v>
      </c>
      <c r="Y570" s="868"/>
      <c r="Z570" s="200"/>
      <c r="AA570" s="200"/>
      <c r="AB570" s="869"/>
      <c r="AC570" s="203">
        <v>30</v>
      </c>
      <c r="AD570" s="203">
        <v>30</v>
      </c>
      <c r="AE570" s="868"/>
      <c r="AF570" s="200"/>
      <c r="AG570" s="200"/>
      <c r="AH570" s="200"/>
      <c r="AI570" s="200"/>
      <c r="AJ570" s="873"/>
      <c r="AK570" s="718">
        <v>10000</v>
      </c>
      <c r="AL570" s="719" t="s">
        <v>73</v>
      </c>
      <c r="AM570" s="719" t="s">
        <v>73</v>
      </c>
      <c r="AN570" s="719" t="s">
        <v>73</v>
      </c>
      <c r="AO570" s="719" t="s">
        <v>73</v>
      </c>
      <c r="AP570" s="564">
        <v>5000</v>
      </c>
      <c r="AQ570" s="564">
        <v>5000</v>
      </c>
      <c r="AR570" s="719" t="s">
        <v>73</v>
      </c>
      <c r="AS570" s="719" t="s">
        <v>73</v>
      </c>
      <c r="AT570" s="719" t="s">
        <v>73</v>
      </c>
      <c r="AU570" s="719" t="s">
        <v>73</v>
      </c>
      <c r="AV570" s="719" t="s">
        <v>73</v>
      </c>
      <c r="AW570" s="719" t="s">
        <v>73</v>
      </c>
      <c r="AX570" s="247">
        <v>10000</v>
      </c>
      <c r="AY570" s="720" t="s">
        <v>6</v>
      </c>
      <c r="AZ570" s="200" t="s">
        <v>74</v>
      </c>
      <c r="BA570" s="200"/>
      <c r="BK570" s="284" t="s">
        <v>790</v>
      </c>
      <c r="BL570" s="481" t="s">
        <v>791</v>
      </c>
      <c r="BM570" s="284" t="s">
        <v>1858</v>
      </c>
      <c r="BN570" s="414" t="s">
        <v>2171</v>
      </c>
      <c r="BO570" s="284" t="s">
        <v>2172</v>
      </c>
      <c r="BP570" s="285">
        <v>46162</v>
      </c>
      <c r="BQ570" s="286"/>
      <c r="BR570" s="287">
        <v>4912</v>
      </c>
      <c r="BS570" s="286"/>
      <c r="BT570" s="286"/>
      <c r="BU570" s="286" t="s">
        <v>1815</v>
      </c>
      <c r="BV570" s="284" t="s">
        <v>1110</v>
      </c>
      <c r="BW570" s="284" t="s">
        <v>1260</v>
      </c>
      <c r="BX570" s="284" t="s">
        <v>2428</v>
      </c>
      <c r="BY570" s="284">
        <v>42805944</v>
      </c>
      <c r="BZ570" s="284">
        <v>10428059447</v>
      </c>
      <c r="CA570" s="288">
        <v>5000</v>
      </c>
      <c r="CB570" s="289">
        <v>46174</v>
      </c>
      <c r="CC570" s="289">
        <v>46203</v>
      </c>
      <c r="CD570" s="759"/>
      <c r="CE570" s="414">
        <f t="shared" si="689"/>
        <v>30</v>
      </c>
      <c r="CF570" s="1037">
        <f t="shared" si="690"/>
        <v>5000</v>
      </c>
      <c r="CG570" s="414"/>
      <c r="CH570" s="1037">
        <v>5000</v>
      </c>
      <c r="CI570" s="414"/>
      <c r="CJ570" s="1037">
        <f t="shared" si="692"/>
        <v>0</v>
      </c>
      <c r="CK570" s="414">
        <f t="shared" si="693"/>
        <v>0</v>
      </c>
      <c r="CL570" s="414">
        <f t="shared" si="694"/>
        <v>5000</v>
      </c>
      <c r="CM570" s="1006"/>
      <c r="CN570" s="414">
        <f t="shared" si="695"/>
        <v>30</v>
      </c>
      <c r="CO570" s="1037">
        <f t="shared" si="696"/>
        <v>5000</v>
      </c>
      <c r="CP570" s="414">
        <v>30</v>
      </c>
      <c r="CQ570" s="1037">
        <v>5000</v>
      </c>
      <c r="CR570" s="414">
        <v>30</v>
      </c>
      <c r="CS570" s="1037">
        <v>5000</v>
      </c>
      <c r="CT570" s="414">
        <f t="shared" si="699"/>
        <v>0</v>
      </c>
      <c r="CU570" s="414">
        <f t="shared" si="700"/>
        <v>0</v>
      </c>
      <c r="CV570" s="1006"/>
      <c r="CW570" s="177">
        <f t="shared" si="701"/>
        <v>10000</v>
      </c>
      <c r="CX570" s="1019">
        <f t="shared" si="702"/>
        <v>10000</v>
      </c>
      <c r="CY570" s="177">
        <f t="shared" si="703"/>
        <v>5000</v>
      </c>
      <c r="CZ570" s="1019">
        <f t="shared" si="704"/>
        <v>0</v>
      </c>
      <c r="DA570" s="177">
        <f t="shared" si="705"/>
        <v>5000</v>
      </c>
      <c r="DB570" s="288"/>
      <c r="DC570" s="284"/>
      <c r="DD570" t="s">
        <v>2429</v>
      </c>
    </row>
    <row r="571" spans="1:108" ht="51" hidden="1" x14ac:dyDescent="0.25">
      <c r="A571" s="19">
        <v>2026</v>
      </c>
      <c r="B571" s="20">
        <v>479</v>
      </c>
      <c r="C571" s="21" t="s">
        <v>64</v>
      </c>
      <c r="D571" s="21" t="s">
        <v>65</v>
      </c>
      <c r="E571" s="20">
        <v>125</v>
      </c>
      <c r="F571" s="20">
        <v>3000654</v>
      </c>
      <c r="G571" s="20">
        <v>5005023</v>
      </c>
      <c r="H571" s="20">
        <v>3</v>
      </c>
      <c r="I571" s="20">
        <v>12</v>
      </c>
      <c r="J571" s="20">
        <v>24</v>
      </c>
      <c r="K571" s="20">
        <v>135560</v>
      </c>
      <c r="L571" s="21" t="s">
        <v>220</v>
      </c>
      <c r="M571" s="33" t="s">
        <v>221</v>
      </c>
      <c r="N571" s="19">
        <v>97</v>
      </c>
      <c r="O571" s="2"/>
      <c r="P571" s="2" t="s">
        <v>4</v>
      </c>
      <c r="Q571" s="20" t="s">
        <v>68</v>
      </c>
      <c r="R571" s="25" t="s">
        <v>69</v>
      </c>
      <c r="S571" s="41" t="s">
        <v>137</v>
      </c>
      <c r="T571" s="41"/>
      <c r="U571" s="31" t="s">
        <v>389</v>
      </c>
      <c r="V571" s="25" t="s">
        <v>3</v>
      </c>
      <c r="W571" s="25">
        <v>1</v>
      </c>
      <c r="X571" s="595">
        <v>5000</v>
      </c>
      <c r="Y571" s="619"/>
      <c r="Z571" s="2"/>
      <c r="AA571" s="2"/>
      <c r="AB571" s="620"/>
      <c r="AC571" s="25">
        <v>30</v>
      </c>
      <c r="AD571" s="25">
        <v>30</v>
      </c>
      <c r="AE571" s="619"/>
      <c r="AF571" s="2"/>
      <c r="AG571" s="2"/>
      <c r="AH571" s="2"/>
      <c r="AI571" s="2"/>
      <c r="AJ571" s="621"/>
      <c r="AK571" s="596">
        <v>10000</v>
      </c>
      <c r="AL571" s="29" t="s">
        <v>73</v>
      </c>
      <c r="AM571" s="29" t="s">
        <v>73</v>
      </c>
      <c r="AN571" s="29" t="s">
        <v>73</v>
      </c>
      <c r="AO571" s="29" t="s">
        <v>73</v>
      </c>
      <c r="AP571" s="478">
        <v>5000</v>
      </c>
      <c r="AQ571" s="478">
        <v>5000</v>
      </c>
      <c r="AR571" s="29" t="s">
        <v>73</v>
      </c>
      <c r="AS571" s="29" t="s">
        <v>73</v>
      </c>
      <c r="AT571" s="29" t="s">
        <v>73</v>
      </c>
      <c r="AU571" s="29" t="s">
        <v>73</v>
      </c>
      <c r="AV571" s="29" t="s">
        <v>73</v>
      </c>
      <c r="AW571" s="29" t="s">
        <v>73</v>
      </c>
      <c r="AX571" s="30">
        <v>10000</v>
      </c>
      <c r="AY571" s="479" t="s">
        <v>6</v>
      </c>
      <c r="AZ571" s="2" t="s">
        <v>74</v>
      </c>
      <c r="BA571" s="2"/>
      <c r="BK571" s="125" t="s">
        <v>790</v>
      </c>
      <c r="BL571" s="481" t="s">
        <v>791</v>
      </c>
      <c r="BM571" s="125" t="s">
        <v>1998</v>
      </c>
      <c r="BN571" s="177" t="s">
        <v>1999</v>
      </c>
      <c r="BO571" s="125" t="s">
        <v>2000</v>
      </c>
      <c r="BP571" s="129">
        <v>46134</v>
      </c>
      <c r="BQ571" s="18"/>
      <c r="BR571" s="505" t="s">
        <v>2430</v>
      </c>
      <c r="BS571" s="18"/>
      <c r="BT571" s="656" t="s">
        <v>2002</v>
      </c>
      <c r="BU571" s="947" t="s">
        <v>1841</v>
      </c>
      <c r="BV571" s="125" t="s">
        <v>2431</v>
      </c>
      <c r="BW571" s="125" t="s">
        <v>996</v>
      </c>
      <c r="BX571" s="125" t="s">
        <v>2432</v>
      </c>
      <c r="BY571" s="125">
        <v>71502732</v>
      </c>
      <c r="BZ571" s="125">
        <v>10715027327</v>
      </c>
      <c r="CA571" s="126">
        <v>5000</v>
      </c>
      <c r="CB571" s="289">
        <v>46143</v>
      </c>
      <c r="CC571" s="289">
        <v>46203</v>
      </c>
      <c r="CD571" s="759"/>
      <c r="CE571" s="177">
        <f t="shared" si="689"/>
        <v>30</v>
      </c>
      <c r="CF571" s="1019">
        <f t="shared" si="690"/>
        <v>5000</v>
      </c>
      <c r="CG571" s="177">
        <v>30</v>
      </c>
      <c r="CH571" s="1019">
        <f t="shared" si="691"/>
        <v>5000</v>
      </c>
      <c r="CI571" s="177">
        <v>30</v>
      </c>
      <c r="CJ571" s="1019">
        <f t="shared" si="692"/>
        <v>5000</v>
      </c>
      <c r="CK571" s="177">
        <f t="shared" si="693"/>
        <v>0</v>
      </c>
      <c r="CL571" s="177">
        <f t="shared" si="694"/>
        <v>0</v>
      </c>
      <c r="CM571" s="1006"/>
      <c r="CN571" s="177">
        <f t="shared" si="695"/>
        <v>30</v>
      </c>
      <c r="CO571" s="1019">
        <f t="shared" si="696"/>
        <v>5000</v>
      </c>
      <c r="CP571" s="177">
        <v>30</v>
      </c>
      <c r="CQ571" s="1019">
        <f t="shared" si="697"/>
        <v>5000</v>
      </c>
      <c r="CR571" s="177">
        <v>30</v>
      </c>
      <c r="CS571" s="1019">
        <f t="shared" si="698"/>
        <v>5000</v>
      </c>
      <c r="CT571" s="177">
        <f t="shared" si="699"/>
        <v>0</v>
      </c>
      <c r="CU571" s="177">
        <f t="shared" si="700"/>
        <v>0</v>
      </c>
      <c r="CV571" s="1006"/>
      <c r="CW571" s="177">
        <f t="shared" si="701"/>
        <v>10000</v>
      </c>
      <c r="CX571" s="1019">
        <f t="shared" si="702"/>
        <v>10000</v>
      </c>
      <c r="CY571" s="177">
        <f t="shared" si="703"/>
        <v>10000</v>
      </c>
      <c r="CZ571" s="1019">
        <f t="shared" si="704"/>
        <v>0</v>
      </c>
      <c r="DA571" s="177">
        <f t="shared" si="705"/>
        <v>0</v>
      </c>
      <c r="DB571" s="126"/>
      <c r="DC571" s="125"/>
    </row>
    <row r="572" spans="1:108" ht="51" hidden="1" x14ac:dyDescent="0.25">
      <c r="A572" s="19">
        <v>2026</v>
      </c>
      <c r="B572" s="20">
        <v>479</v>
      </c>
      <c r="C572" s="21" t="s">
        <v>64</v>
      </c>
      <c r="D572" s="21" t="s">
        <v>65</v>
      </c>
      <c r="E572" s="20">
        <v>125</v>
      </c>
      <c r="F572" s="20">
        <v>3000654</v>
      </c>
      <c r="G572" s="20">
        <v>5005023</v>
      </c>
      <c r="H572" s="20">
        <v>3</v>
      </c>
      <c r="I572" s="20">
        <v>12</v>
      </c>
      <c r="J572" s="20">
        <v>24</v>
      </c>
      <c r="K572" s="20">
        <v>135560</v>
      </c>
      <c r="L572" s="21" t="s">
        <v>220</v>
      </c>
      <c r="M572" s="33" t="s">
        <v>221</v>
      </c>
      <c r="N572" s="19">
        <v>97</v>
      </c>
      <c r="O572" s="2"/>
      <c r="P572" s="2" t="s">
        <v>4</v>
      </c>
      <c r="Q572" s="20" t="s">
        <v>68</v>
      </c>
      <c r="R572" s="25" t="s">
        <v>69</v>
      </c>
      <c r="S572" s="41" t="s">
        <v>137</v>
      </c>
      <c r="T572" s="41"/>
      <c r="U572" s="31" t="s">
        <v>389</v>
      </c>
      <c r="V572" s="25" t="s">
        <v>3</v>
      </c>
      <c r="W572" s="25">
        <v>1</v>
      </c>
      <c r="X572" s="595">
        <v>5000</v>
      </c>
      <c r="Y572" s="619"/>
      <c r="Z572" s="2"/>
      <c r="AA572" s="2"/>
      <c r="AB572" s="620"/>
      <c r="AC572" s="25">
        <v>30</v>
      </c>
      <c r="AD572" s="25">
        <v>30</v>
      </c>
      <c r="AE572" s="619"/>
      <c r="AF572" s="2"/>
      <c r="AG572" s="2"/>
      <c r="AH572" s="2"/>
      <c r="AI572" s="2"/>
      <c r="AJ572" s="621"/>
      <c r="AK572" s="596">
        <v>10000</v>
      </c>
      <c r="AL572" s="29" t="s">
        <v>73</v>
      </c>
      <c r="AM572" s="29" t="s">
        <v>73</v>
      </c>
      <c r="AN572" s="29" t="s">
        <v>73</v>
      </c>
      <c r="AO572" s="29" t="s">
        <v>73</v>
      </c>
      <c r="AP572" s="478">
        <v>5000</v>
      </c>
      <c r="AQ572" s="478">
        <v>5000</v>
      </c>
      <c r="AR572" s="29"/>
      <c r="AS572" s="29"/>
      <c r="AT572" s="29"/>
      <c r="AU572" s="29"/>
      <c r="AV572" s="29"/>
      <c r="AW572" s="29"/>
      <c r="AX572" s="30">
        <v>10000</v>
      </c>
      <c r="AY572" s="479" t="s">
        <v>6</v>
      </c>
      <c r="AZ572" s="2" t="s">
        <v>74</v>
      </c>
      <c r="BA572" s="2"/>
      <c r="BK572" s="125" t="s">
        <v>790</v>
      </c>
      <c r="BL572" s="481" t="s">
        <v>791</v>
      </c>
      <c r="BM572" s="125" t="s">
        <v>1998</v>
      </c>
      <c r="BN572" s="177" t="s">
        <v>1999</v>
      </c>
      <c r="BO572" s="125" t="s">
        <v>2000</v>
      </c>
      <c r="BP572" s="129">
        <v>46134</v>
      </c>
      <c r="BQ572" s="18"/>
      <c r="BR572" s="505" t="s">
        <v>2433</v>
      </c>
      <c r="BS572" s="18"/>
      <c r="BT572" s="656" t="s">
        <v>2002</v>
      </c>
      <c r="BU572" s="947" t="s">
        <v>1841</v>
      </c>
      <c r="BV572" s="125" t="s">
        <v>2434</v>
      </c>
      <c r="BW572" s="125" t="s">
        <v>2435</v>
      </c>
      <c r="BX572" s="125" t="s">
        <v>2436</v>
      </c>
      <c r="BY572" s="125">
        <v>71605169</v>
      </c>
      <c r="BZ572" s="125">
        <v>10716051698</v>
      </c>
      <c r="CA572" s="126">
        <v>5000</v>
      </c>
      <c r="CB572" s="289">
        <v>46143</v>
      </c>
      <c r="CC572" s="289">
        <v>46203</v>
      </c>
      <c r="CD572" s="759"/>
      <c r="CE572" s="177">
        <f t="shared" ref="CE572" si="718">AC572</f>
        <v>30</v>
      </c>
      <c r="CF572" s="1019">
        <f t="shared" ref="CF572" si="719">AP572</f>
        <v>5000</v>
      </c>
      <c r="CG572" s="177">
        <v>30</v>
      </c>
      <c r="CH572" s="1019">
        <f t="shared" si="691"/>
        <v>5000</v>
      </c>
      <c r="CI572" s="177">
        <v>30</v>
      </c>
      <c r="CJ572" s="1019">
        <f t="shared" ref="CJ572" si="720">(X572/30)*CI572</f>
        <v>5000</v>
      </c>
      <c r="CK572" s="177">
        <f t="shared" ref="CK572" si="721">CF572-CH572</f>
        <v>0</v>
      </c>
      <c r="CL572" s="177">
        <f t="shared" ref="CL572" si="722">CF572-CJ572</f>
        <v>0</v>
      </c>
      <c r="CM572" s="1006"/>
      <c r="CN572" s="177">
        <f t="shared" ref="CN572" si="723">AD572</f>
        <v>30</v>
      </c>
      <c r="CO572" s="1019">
        <f t="shared" ref="CO572" si="724">AQ572</f>
        <v>5000</v>
      </c>
      <c r="CP572" s="177">
        <v>30</v>
      </c>
      <c r="CQ572" s="1019">
        <f t="shared" ref="CQ572" si="725">(X572/30)*CP572</f>
        <v>5000</v>
      </c>
      <c r="CR572" s="177">
        <v>30</v>
      </c>
      <c r="CS572" s="1019">
        <f t="shared" ref="CS572:CS585" si="726">(X572/30)*CR572</f>
        <v>5000</v>
      </c>
      <c r="CT572" s="177">
        <f t="shared" ref="CT572" si="727">CO572-CQ572</f>
        <v>0</v>
      </c>
      <c r="CU572" s="177">
        <f t="shared" ref="CU572" si="728">CO572-CS572</f>
        <v>0</v>
      </c>
      <c r="CV572" s="1006"/>
      <c r="CW572" s="177">
        <f t="shared" si="701"/>
        <v>10000</v>
      </c>
      <c r="CX572" s="1019">
        <f t="shared" si="702"/>
        <v>10000</v>
      </c>
      <c r="CY572" s="177">
        <f t="shared" si="703"/>
        <v>10000</v>
      </c>
      <c r="CZ572" s="1019">
        <f t="shared" si="704"/>
        <v>0</v>
      </c>
      <c r="DA572" s="177">
        <f t="shared" si="705"/>
        <v>0</v>
      </c>
      <c r="DB572" s="126"/>
      <c r="DC572" s="125"/>
    </row>
    <row r="573" spans="1:108" ht="51" hidden="1" x14ac:dyDescent="0.25">
      <c r="A573" s="19">
        <v>2026</v>
      </c>
      <c r="B573" s="20">
        <v>479</v>
      </c>
      <c r="C573" s="21" t="s">
        <v>64</v>
      </c>
      <c r="D573" s="21" t="s">
        <v>65</v>
      </c>
      <c r="E573" s="20">
        <v>125</v>
      </c>
      <c r="F573" s="20">
        <v>3000654</v>
      </c>
      <c r="G573" s="20">
        <v>5005023</v>
      </c>
      <c r="H573" s="20">
        <v>3</v>
      </c>
      <c r="I573" s="20">
        <v>12</v>
      </c>
      <c r="J573" s="20">
        <v>24</v>
      </c>
      <c r="K573" s="20">
        <v>135560</v>
      </c>
      <c r="L573" s="21" t="s">
        <v>220</v>
      </c>
      <c r="M573" s="33" t="s">
        <v>221</v>
      </c>
      <c r="N573" s="19">
        <v>97</v>
      </c>
      <c r="O573" s="2"/>
      <c r="P573" s="2" t="s">
        <v>4</v>
      </c>
      <c r="Q573" s="20" t="s">
        <v>68</v>
      </c>
      <c r="R573" s="25" t="s">
        <v>69</v>
      </c>
      <c r="S573" s="41" t="s">
        <v>137</v>
      </c>
      <c r="T573" s="41"/>
      <c r="U573" s="31" t="s">
        <v>390</v>
      </c>
      <c r="V573" s="25" t="s">
        <v>3</v>
      </c>
      <c r="W573" s="25">
        <v>1</v>
      </c>
      <c r="X573" s="595">
        <v>5000</v>
      </c>
      <c r="Y573" s="619"/>
      <c r="Z573" s="2"/>
      <c r="AA573" s="2"/>
      <c r="AB573" s="620"/>
      <c r="AC573" s="25">
        <v>30</v>
      </c>
      <c r="AD573" s="25">
        <v>30</v>
      </c>
      <c r="AE573" s="619"/>
      <c r="AF573" s="2"/>
      <c r="AG573" s="2"/>
      <c r="AH573" s="2"/>
      <c r="AI573" s="2"/>
      <c r="AJ573" s="621"/>
      <c r="AK573" s="596">
        <v>10000</v>
      </c>
      <c r="AL573" s="29" t="s">
        <v>73</v>
      </c>
      <c r="AM573" s="29" t="s">
        <v>73</v>
      </c>
      <c r="AN573" s="29" t="s">
        <v>73</v>
      </c>
      <c r="AO573" s="29" t="s">
        <v>73</v>
      </c>
      <c r="AP573" s="478">
        <v>5000</v>
      </c>
      <c r="AQ573" s="478">
        <v>5000</v>
      </c>
      <c r="AR573" s="29" t="s">
        <v>73</v>
      </c>
      <c r="AS573" s="29" t="s">
        <v>73</v>
      </c>
      <c r="AT573" s="29" t="s">
        <v>73</v>
      </c>
      <c r="AU573" s="29" t="s">
        <v>73</v>
      </c>
      <c r="AV573" s="29" t="s">
        <v>73</v>
      </c>
      <c r="AW573" s="29" t="s">
        <v>73</v>
      </c>
      <c r="AX573" s="30">
        <v>10000</v>
      </c>
      <c r="AY573" s="479" t="s">
        <v>6</v>
      </c>
      <c r="AZ573" s="2" t="s">
        <v>74</v>
      </c>
      <c r="BA573" s="2"/>
      <c r="BK573" s="125" t="s">
        <v>790</v>
      </c>
      <c r="BL573" s="481" t="s">
        <v>791</v>
      </c>
      <c r="BM573" s="125" t="s">
        <v>1998</v>
      </c>
      <c r="BN573" s="177" t="s">
        <v>1999</v>
      </c>
      <c r="BO573" s="125" t="s">
        <v>2000</v>
      </c>
      <c r="BP573" s="129">
        <v>46134</v>
      </c>
      <c r="BQ573" s="18"/>
      <c r="BR573" s="505" t="s">
        <v>2437</v>
      </c>
      <c r="BS573" s="18"/>
      <c r="BT573" s="656" t="s">
        <v>2002</v>
      </c>
      <c r="BU573" s="947" t="s">
        <v>1841</v>
      </c>
      <c r="BV573" s="125" t="s">
        <v>2438</v>
      </c>
      <c r="BW573" s="125" t="s">
        <v>2439</v>
      </c>
      <c r="BX573" s="125" t="s">
        <v>2440</v>
      </c>
      <c r="BY573" s="125">
        <v>47225254</v>
      </c>
      <c r="BZ573" s="125">
        <v>10472252548</v>
      </c>
      <c r="CA573" s="126">
        <v>5000</v>
      </c>
      <c r="CB573" s="289">
        <v>46143</v>
      </c>
      <c r="CC573" s="289">
        <v>46203</v>
      </c>
      <c r="CD573" s="759"/>
      <c r="CE573" s="177">
        <f t="shared" si="689"/>
        <v>30</v>
      </c>
      <c r="CF573" s="1019">
        <f t="shared" si="690"/>
        <v>5000</v>
      </c>
      <c r="CG573" s="177">
        <v>30</v>
      </c>
      <c r="CH573" s="1019">
        <f t="shared" si="691"/>
        <v>5000</v>
      </c>
      <c r="CI573" s="177">
        <v>30</v>
      </c>
      <c r="CJ573" s="1019">
        <f t="shared" si="692"/>
        <v>5000</v>
      </c>
      <c r="CK573" s="177">
        <f t="shared" si="693"/>
        <v>0</v>
      </c>
      <c r="CL573" s="177">
        <f t="shared" si="694"/>
        <v>0</v>
      </c>
      <c r="CM573" s="1006"/>
      <c r="CN573" s="177">
        <f t="shared" si="695"/>
        <v>30</v>
      </c>
      <c r="CO573" s="1019">
        <f t="shared" si="696"/>
        <v>5000</v>
      </c>
      <c r="CP573" s="177">
        <v>30</v>
      </c>
      <c r="CQ573" s="1019">
        <f t="shared" si="697"/>
        <v>5000</v>
      </c>
      <c r="CR573" s="177">
        <v>30</v>
      </c>
      <c r="CS573" s="1019">
        <f t="shared" si="726"/>
        <v>5000</v>
      </c>
      <c r="CT573" s="177">
        <f t="shared" ref="CT573:CT585" si="729">CO573-CQ573</f>
        <v>0</v>
      </c>
      <c r="CU573" s="177">
        <f t="shared" ref="CU573:CU585" si="730">CO573-CS573</f>
        <v>0</v>
      </c>
      <c r="CV573" s="1006"/>
      <c r="CW573" s="177">
        <f t="shared" si="701"/>
        <v>10000</v>
      </c>
      <c r="CX573" s="1019">
        <f t="shared" si="702"/>
        <v>10000</v>
      </c>
      <c r="CY573" s="177">
        <f t="shared" si="703"/>
        <v>10000</v>
      </c>
      <c r="CZ573" s="1019">
        <f t="shared" si="704"/>
        <v>0</v>
      </c>
      <c r="DA573" s="177">
        <f t="shared" si="705"/>
        <v>0</v>
      </c>
      <c r="DB573" s="126"/>
      <c r="DC573" s="125"/>
    </row>
    <row r="574" spans="1:108" ht="51" hidden="1" x14ac:dyDescent="0.25">
      <c r="A574" s="19">
        <v>2026</v>
      </c>
      <c r="B574" s="20">
        <v>479</v>
      </c>
      <c r="C574" s="21" t="s">
        <v>64</v>
      </c>
      <c r="D574" s="21" t="s">
        <v>65</v>
      </c>
      <c r="E574" s="20">
        <v>125</v>
      </c>
      <c r="F574" s="20">
        <v>3000654</v>
      </c>
      <c r="G574" s="20">
        <v>5005023</v>
      </c>
      <c r="H574" s="20">
        <v>3</v>
      </c>
      <c r="I574" s="20">
        <v>12</v>
      </c>
      <c r="J574" s="20">
        <v>24</v>
      </c>
      <c r="K574" s="20">
        <v>135560</v>
      </c>
      <c r="L574" s="21" t="s">
        <v>220</v>
      </c>
      <c r="M574" s="33" t="s">
        <v>221</v>
      </c>
      <c r="N574" s="19">
        <v>97</v>
      </c>
      <c r="O574" s="2"/>
      <c r="P574" s="2" t="s">
        <v>4</v>
      </c>
      <c r="Q574" s="20" t="s">
        <v>68</v>
      </c>
      <c r="R574" s="25" t="s">
        <v>69</v>
      </c>
      <c r="S574" s="41" t="s">
        <v>137</v>
      </c>
      <c r="T574" s="41"/>
      <c r="U574" s="31" t="s">
        <v>390</v>
      </c>
      <c r="V574" s="25" t="s">
        <v>3</v>
      </c>
      <c r="W574" s="25">
        <v>1</v>
      </c>
      <c r="X574" s="595">
        <v>5000</v>
      </c>
      <c r="Y574" s="619"/>
      <c r="Z574" s="2"/>
      <c r="AA574" s="2"/>
      <c r="AB574" s="620"/>
      <c r="AC574" s="25">
        <v>30</v>
      </c>
      <c r="AD574" s="25">
        <v>30</v>
      </c>
      <c r="AE574" s="619"/>
      <c r="AF574" s="2"/>
      <c r="AG574" s="2"/>
      <c r="AH574" s="2"/>
      <c r="AI574" s="2"/>
      <c r="AJ574" s="621"/>
      <c r="AK574" s="596">
        <v>10000</v>
      </c>
      <c r="AL574" s="29"/>
      <c r="AM574" s="29"/>
      <c r="AN574" s="29"/>
      <c r="AO574" s="29"/>
      <c r="AP574" s="478">
        <v>5000</v>
      </c>
      <c r="AQ574" s="478">
        <v>5000</v>
      </c>
      <c r="AR574" s="29"/>
      <c r="AS574" s="29"/>
      <c r="AT574" s="29"/>
      <c r="AU574" s="29"/>
      <c r="AV574" s="29"/>
      <c r="AW574" s="29"/>
      <c r="AX574" s="30">
        <v>10000</v>
      </c>
      <c r="AY574" s="479" t="s">
        <v>6</v>
      </c>
      <c r="AZ574" s="2" t="s">
        <v>74</v>
      </c>
      <c r="BA574" s="2"/>
      <c r="BK574" s="125" t="s">
        <v>790</v>
      </c>
      <c r="BL574" s="481" t="s">
        <v>791</v>
      </c>
      <c r="BM574" s="125" t="s">
        <v>1998</v>
      </c>
      <c r="BN574" s="177" t="s">
        <v>1999</v>
      </c>
      <c r="BO574" s="125" t="s">
        <v>2000</v>
      </c>
      <c r="BP574" s="129">
        <v>46134</v>
      </c>
      <c r="BQ574" s="18"/>
      <c r="BR574" s="505" t="s">
        <v>2441</v>
      </c>
      <c r="BS574" s="18"/>
      <c r="BT574" s="656" t="s">
        <v>2002</v>
      </c>
      <c r="BU574" s="947" t="s">
        <v>1841</v>
      </c>
      <c r="BV574" s="125" t="s">
        <v>822</v>
      </c>
      <c r="BW574" s="125" t="s">
        <v>2442</v>
      </c>
      <c r="BX574" s="125" t="s">
        <v>2443</v>
      </c>
      <c r="BY574" s="125">
        <v>47093005</v>
      </c>
      <c r="BZ574" s="125">
        <v>10470930051</v>
      </c>
      <c r="CA574" s="126">
        <v>5000</v>
      </c>
      <c r="CB574" s="289">
        <v>46143</v>
      </c>
      <c r="CC574" s="289">
        <v>46203</v>
      </c>
      <c r="CD574" s="759"/>
      <c r="CE574" s="177">
        <f t="shared" si="689"/>
        <v>30</v>
      </c>
      <c r="CF574" s="1019">
        <f t="shared" si="690"/>
        <v>5000</v>
      </c>
      <c r="CG574" s="177">
        <v>30</v>
      </c>
      <c r="CH574" s="1019">
        <f t="shared" si="691"/>
        <v>5000</v>
      </c>
      <c r="CI574" s="177">
        <v>30</v>
      </c>
      <c r="CJ574" s="1019">
        <f t="shared" si="692"/>
        <v>5000</v>
      </c>
      <c r="CK574" s="177">
        <f t="shared" ref="CK574:CK585" si="731">CF574-CH574</f>
        <v>0</v>
      </c>
      <c r="CL574" s="177">
        <f t="shared" ref="CL574:CL585" si="732">CF574-CJ574</f>
        <v>0</v>
      </c>
      <c r="CM574" s="1006"/>
      <c r="CN574" s="177">
        <f t="shared" si="695"/>
        <v>30</v>
      </c>
      <c r="CO574" s="1019">
        <f t="shared" si="696"/>
        <v>5000</v>
      </c>
      <c r="CP574" s="177">
        <v>30</v>
      </c>
      <c r="CQ574" s="1019">
        <f t="shared" si="697"/>
        <v>5000</v>
      </c>
      <c r="CR574" s="177">
        <v>30</v>
      </c>
      <c r="CS574" s="1019">
        <f t="shared" si="726"/>
        <v>5000</v>
      </c>
      <c r="CT574" s="177">
        <f t="shared" si="729"/>
        <v>0</v>
      </c>
      <c r="CU574" s="177">
        <f t="shared" si="730"/>
        <v>0</v>
      </c>
      <c r="CV574" s="1006"/>
      <c r="CW574" s="177">
        <f t="shared" si="701"/>
        <v>10000</v>
      </c>
      <c r="CX574" s="1019">
        <f t="shared" si="702"/>
        <v>10000</v>
      </c>
      <c r="CY574" s="177">
        <f t="shared" si="703"/>
        <v>10000</v>
      </c>
      <c r="CZ574" s="1019">
        <f t="shared" si="704"/>
        <v>0</v>
      </c>
      <c r="DA574" s="177">
        <f t="shared" si="705"/>
        <v>0</v>
      </c>
      <c r="DB574" s="126"/>
      <c r="DC574" s="125"/>
    </row>
    <row r="575" spans="1:108" ht="51" hidden="1" x14ac:dyDescent="0.25">
      <c r="A575" s="19">
        <v>2026</v>
      </c>
      <c r="B575" s="20">
        <v>479</v>
      </c>
      <c r="C575" s="21" t="s">
        <v>64</v>
      </c>
      <c r="D575" s="21" t="s">
        <v>65</v>
      </c>
      <c r="E575" s="20">
        <v>125</v>
      </c>
      <c r="F575" s="20">
        <v>3000654</v>
      </c>
      <c r="G575" s="20">
        <v>5005023</v>
      </c>
      <c r="H575" s="20">
        <v>3</v>
      </c>
      <c r="I575" s="20">
        <v>12</v>
      </c>
      <c r="J575" s="20">
        <v>24</v>
      </c>
      <c r="K575" s="20">
        <v>135560</v>
      </c>
      <c r="L575" s="21" t="s">
        <v>220</v>
      </c>
      <c r="M575" s="33" t="s">
        <v>221</v>
      </c>
      <c r="N575" s="19">
        <v>97</v>
      </c>
      <c r="O575" s="2"/>
      <c r="P575" s="2" t="s">
        <v>4</v>
      </c>
      <c r="Q575" s="20" t="s">
        <v>68</v>
      </c>
      <c r="R575" s="25" t="s">
        <v>69</v>
      </c>
      <c r="S575" s="41" t="s">
        <v>137</v>
      </c>
      <c r="T575" s="41"/>
      <c r="U575" s="31" t="s">
        <v>391</v>
      </c>
      <c r="V575" s="25" t="s">
        <v>3</v>
      </c>
      <c r="W575" s="25">
        <v>1</v>
      </c>
      <c r="X575" s="595">
        <v>5000</v>
      </c>
      <c r="Y575" s="619"/>
      <c r="Z575" s="2"/>
      <c r="AA575" s="2"/>
      <c r="AB575" s="620"/>
      <c r="AC575" s="25">
        <v>30</v>
      </c>
      <c r="AD575" s="25">
        <v>30</v>
      </c>
      <c r="AE575" s="619"/>
      <c r="AF575" s="2"/>
      <c r="AG575" s="2"/>
      <c r="AH575" s="2"/>
      <c r="AI575" s="2"/>
      <c r="AJ575" s="621"/>
      <c r="AK575" s="596">
        <v>10000</v>
      </c>
      <c r="AL575" s="29" t="s">
        <v>73</v>
      </c>
      <c r="AM575" s="29" t="s">
        <v>73</v>
      </c>
      <c r="AN575" s="29" t="s">
        <v>73</v>
      </c>
      <c r="AO575" s="29" t="s">
        <v>73</v>
      </c>
      <c r="AP575" s="478">
        <v>5000</v>
      </c>
      <c r="AQ575" s="478">
        <v>5000</v>
      </c>
      <c r="AR575" s="29" t="s">
        <v>73</v>
      </c>
      <c r="AS575" s="29" t="s">
        <v>73</v>
      </c>
      <c r="AT575" s="29" t="s">
        <v>73</v>
      </c>
      <c r="AU575" s="29" t="s">
        <v>73</v>
      </c>
      <c r="AV575" s="29" t="s">
        <v>73</v>
      </c>
      <c r="AW575" s="29" t="s">
        <v>73</v>
      </c>
      <c r="AX575" s="30">
        <v>10000</v>
      </c>
      <c r="AY575" s="479" t="s">
        <v>6</v>
      </c>
      <c r="AZ575" s="2" t="s">
        <v>74</v>
      </c>
      <c r="BA575" s="2"/>
      <c r="BK575" s="125" t="s">
        <v>790</v>
      </c>
      <c r="BL575" s="481" t="s">
        <v>791</v>
      </c>
      <c r="BM575" s="125" t="s">
        <v>1998</v>
      </c>
      <c r="BN575" s="177" t="s">
        <v>1999</v>
      </c>
      <c r="BO575" s="125" t="s">
        <v>2000</v>
      </c>
      <c r="BP575" s="129">
        <v>46134</v>
      </c>
      <c r="BQ575" s="18"/>
      <c r="BR575" s="505" t="s">
        <v>2444</v>
      </c>
      <c r="BS575" s="18"/>
      <c r="BT575" s="656" t="s">
        <v>2002</v>
      </c>
      <c r="BU575" s="947" t="s">
        <v>1841</v>
      </c>
      <c r="BV575" s="125" t="s">
        <v>941</v>
      </c>
      <c r="BW575" s="125" t="s">
        <v>1142</v>
      </c>
      <c r="BX575" s="125" t="s">
        <v>2445</v>
      </c>
      <c r="BY575" s="125">
        <v>45586520</v>
      </c>
      <c r="BZ575" s="125">
        <v>10455865200</v>
      </c>
      <c r="CA575" s="126">
        <v>5000</v>
      </c>
      <c r="CB575" s="289">
        <v>46143</v>
      </c>
      <c r="CC575" s="289">
        <v>46203</v>
      </c>
      <c r="CD575" s="759"/>
      <c r="CE575" s="177">
        <f t="shared" si="689"/>
        <v>30</v>
      </c>
      <c r="CF575" s="1019">
        <f t="shared" si="690"/>
        <v>5000</v>
      </c>
      <c r="CG575" s="177">
        <v>30</v>
      </c>
      <c r="CH575" s="1019">
        <f t="shared" si="691"/>
        <v>5000</v>
      </c>
      <c r="CI575" s="177">
        <v>30</v>
      </c>
      <c r="CJ575" s="1019">
        <f t="shared" si="692"/>
        <v>5000</v>
      </c>
      <c r="CK575" s="177">
        <f t="shared" si="731"/>
        <v>0</v>
      </c>
      <c r="CL575" s="177">
        <f t="shared" si="732"/>
        <v>0</v>
      </c>
      <c r="CM575" s="1006"/>
      <c r="CN575" s="177">
        <f t="shared" si="695"/>
        <v>30</v>
      </c>
      <c r="CO575" s="1019">
        <f t="shared" si="696"/>
        <v>5000</v>
      </c>
      <c r="CP575" s="177">
        <v>30</v>
      </c>
      <c r="CQ575" s="1019">
        <f t="shared" si="697"/>
        <v>5000</v>
      </c>
      <c r="CR575" s="177">
        <v>30</v>
      </c>
      <c r="CS575" s="1019">
        <f t="shared" si="726"/>
        <v>5000</v>
      </c>
      <c r="CT575" s="177">
        <f t="shared" si="729"/>
        <v>0</v>
      </c>
      <c r="CU575" s="177">
        <f t="shared" si="730"/>
        <v>0</v>
      </c>
      <c r="CV575" s="1006"/>
      <c r="CW575" s="177">
        <f t="shared" si="701"/>
        <v>10000</v>
      </c>
      <c r="CX575" s="1019">
        <f t="shared" si="702"/>
        <v>10000</v>
      </c>
      <c r="CY575" s="177">
        <f t="shared" si="703"/>
        <v>10000</v>
      </c>
      <c r="CZ575" s="1019">
        <f t="shared" si="704"/>
        <v>0</v>
      </c>
      <c r="DA575" s="177">
        <f t="shared" si="705"/>
        <v>0</v>
      </c>
      <c r="DB575" s="126"/>
      <c r="DC575" s="125"/>
    </row>
    <row r="576" spans="1:108" ht="51" hidden="1" x14ac:dyDescent="0.25">
      <c r="A576" s="19">
        <v>2026</v>
      </c>
      <c r="B576" s="20">
        <v>479</v>
      </c>
      <c r="C576" s="21" t="s">
        <v>64</v>
      </c>
      <c r="D576" s="21" t="s">
        <v>65</v>
      </c>
      <c r="E576" s="20">
        <v>125</v>
      </c>
      <c r="F576" s="20">
        <v>3000654</v>
      </c>
      <c r="G576" s="20">
        <v>5005023</v>
      </c>
      <c r="H576" s="20">
        <v>3</v>
      </c>
      <c r="I576" s="20">
        <v>12</v>
      </c>
      <c r="J576" s="20">
        <v>24</v>
      </c>
      <c r="K576" s="20">
        <v>135560</v>
      </c>
      <c r="L576" s="21" t="s">
        <v>220</v>
      </c>
      <c r="M576" s="33" t="s">
        <v>221</v>
      </c>
      <c r="N576" s="19">
        <v>97</v>
      </c>
      <c r="O576" s="2"/>
      <c r="P576" s="2" t="s">
        <v>4</v>
      </c>
      <c r="Q576" s="20" t="s">
        <v>68</v>
      </c>
      <c r="R576" s="25" t="s">
        <v>69</v>
      </c>
      <c r="S576" s="41" t="s">
        <v>137</v>
      </c>
      <c r="T576" s="41"/>
      <c r="U576" s="31" t="s">
        <v>391</v>
      </c>
      <c r="V576" s="25" t="s">
        <v>3</v>
      </c>
      <c r="W576" s="25">
        <v>1</v>
      </c>
      <c r="X576" s="595">
        <v>5000</v>
      </c>
      <c r="Y576" s="619"/>
      <c r="Z576" s="2"/>
      <c r="AA576" s="2"/>
      <c r="AB576" s="620"/>
      <c r="AC576" s="25">
        <v>30</v>
      </c>
      <c r="AD576" s="25">
        <v>30</v>
      </c>
      <c r="AE576" s="619"/>
      <c r="AF576" s="2"/>
      <c r="AG576" s="2"/>
      <c r="AH576" s="2"/>
      <c r="AI576" s="2"/>
      <c r="AJ576" s="621"/>
      <c r="AK576" s="596">
        <v>10000</v>
      </c>
      <c r="AL576" s="29"/>
      <c r="AM576" s="29"/>
      <c r="AN576" s="29"/>
      <c r="AO576" s="29"/>
      <c r="AP576" s="478">
        <v>5000</v>
      </c>
      <c r="AQ576" s="478">
        <v>5000</v>
      </c>
      <c r="AR576" s="29"/>
      <c r="AS576" s="29"/>
      <c r="AT576" s="29"/>
      <c r="AU576" s="29"/>
      <c r="AV576" s="29"/>
      <c r="AW576" s="29"/>
      <c r="AX576" s="30">
        <v>10000</v>
      </c>
      <c r="AY576" s="479" t="s">
        <v>6</v>
      </c>
      <c r="AZ576" s="2" t="s">
        <v>74</v>
      </c>
      <c r="BA576" s="2"/>
      <c r="BK576" s="125" t="s">
        <v>790</v>
      </c>
      <c r="BL576" s="481" t="s">
        <v>791</v>
      </c>
      <c r="BM576" s="125" t="s">
        <v>1998</v>
      </c>
      <c r="BN576" s="177" t="s">
        <v>1999</v>
      </c>
      <c r="BO576" s="125" t="s">
        <v>2000</v>
      </c>
      <c r="BP576" s="129">
        <v>46134</v>
      </c>
      <c r="BQ576" s="18"/>
      <c r="BR576" s="505" t="s">
        <v>2446</v>
      </c>
      <c r="BS576" s="18"/>
      <c r="BT576" s="656" t="s">
        <v>2002</v>
      </c>
      <c r="BU576" s="947" t="s">
        <v>1841</v>
      </c>
      <c r="BV576" s="125" t="s">
        <v>910</v>
      </c>
      <c r="BW576" s="125" t="s">
        <v>849</v>
      </c>
      <c r="BX576" s="125" t="s">
        <v>2447</v>
      </c>
      <c r="BY576" s="125">
        <v>46724271</v>
      </c>
      <c r="BZ576" s="125">
        <v>10467242712</v>
      </c>
      <c r="CA576" s="126">
        <v>5000</v>
      </c>
      <c r="CB576" s="289">
        <v>46143</v>
      </c>
      <c r="CC576" s="289">
        <v>46203</v>
      </c>
      <c r="CD576" s="759"/>
      <c r="CE576" s="177">
        <f t="shared" si="689"/>
        <v>30</v>
      </c>
      <c r="CF576" s="1019">
        <f t="shared" si="690"/>
        <v>5000</v>
      </c>
      <c r="CG576" s="177">
        <v>30</v>
      </c>
      <c r="CH576" s="1019">
        <f t="shared" si="691"/>
        <v>5000</v>
      </c>
      <c r="CI576" s="177">
        <v>30</v>
      </c>
      <c r="CJ576" s="1019">
        <f t="shared" si="692"/>
        <v>5000</v>
      </c>
      <c r="CK576" s="177">
        <f t="shared" si="731"/>
        <v>0</v>
      </c>
      <c r="CL576" s="177">
        <f t="shared" si="732"/>
        <v>0</v>
      </c>
      <c r="CM576" s="1006"/>
      <c r="CN576" s="177">
        <f t="shared" si="695"/>
        <v>30</v>
      </c>
      <c r="CO576" s="1019">
        <f t="shared" si="696"/>
        <v>5000</v>
      </c>
      <c r="CP576" s="177">
        <v>30</v>
      </c>
      <c r="CQ576" s="1019">
        <f t="shared" si="697"/>
        <v>5000</v>
      </c>
      <c r="CR576" s="177">
        <v>30</v>
      </c>
      <c r="CS576" s="1019">
        <f t="shared" si="726"/>
        <v>5000</v>
      </c>
      <c r="CT576" s="177">
        <f t="shared" si="729"/>
        <v>0</v>
      </c>
      <c r="CU576" s="177">
        <f t="shared" si="730"/>
        <v>0</v>
      </c>
      <c r="CV576" s="1006"/>
      <c r="CW576" s="177">
        <f t="shared" si="701"/>
        <v>10000</v>
      </c>
      <c r="CX576" s="1019">
        <f t="shared" si="702"/>
        <v>10000</v>
      </c>
      <c r="CY576" s="177">
        <f t="shared" si="703"/>
        <v>10000</v>
      </c>
      <c r="CZ576" s="1019">
        <f t="shared" si="704"/>
        <v>0</v>
      </c>
      <c r="DA576" s="177">
        <f t="shared" si="705"/>
        <v>0</v>
      </c>
      <c r="DB576" s="126"/>
      <c r="DC576" s="125"/>
    </row>
    <row r="577" spans="1:108" ht="51" hidden="1" x14ac:dyDescent="0.25">
      <c r="A577" s="19">
        <v>2026</v>
      </c>
      <c r="B577" s="20">
        <v>479</v>
      </c>
      <c r="C577" s="21" t="s">
        <v>64</v>
      </c>
      <c r="D577" s="21" t="s">
        <v>65</v>
      </c>
      <c r="E577" s="20">
        <v>125</v>
      </c>
      <c r="F577" s="20">
        <v>3000654</v>
      </c>
      <c r="G577" s="20">
        <v>5005023</v>
      </c>
      <c r="H577" s="20">
        <v>3</v>
      </c>
      <c r="I577" s="20">
        <v>12</v>
      </c>
      <c r="J577" s="20">
        <v>24</v>
      </c>
      <c r="K577" s="20">
        <v>135560</v>
      </c>
      <c r="L577" s="21" t="s">
        <v>220</v>
      </c>
      <c r="M577" s="33" t="s">
        <v>221</v>
      </c>
      <c r="N577" s="19">
        <v>97</v>
      </c>
      <c r="O577" s="2"/>
      <c r="P577" s="2" t="s">
        <v>4</v>
      </c>
      <c r="Q577" s="20" t="s">
        <v>68</v>
      </c>
      <c r="R577" s="25" t="s">
        <v>69</v>
      </c>
      <c r="S577" s="41" t="s">
        <v>137</v>
      </c>
      <c r="T577" s="41"/>
      <c r="U577" s="31" t="s">
        <v>392</v>
      </c>
      <c r="V577" s="25" t="s">
        <v>3</v>
      </c>
      <c r="W577" s="25">
        <v>1</v>
      </c>
      <c r="X577" s="595">
        <v>5000</v>
      </c>
      <c r="Y577" s="619"/>
      <c r="Z577" s="2"/>
      <c r="AA577" s="2"/>
      <c r="AB577" s="620"/>
      <c r="AC577" s="25">
        <v>30</v>
      </c>
      <c r="AD577" s="25">
        <v>30</v>
      </c>
      <c r="AE577" s="619"/>
      <c r="AF577" s="2"/>
      <c r="AG577" s="2"/>
      <c r="AH577" s="2"/>
      <c r="AI577" s="2"/>
      <c r="AJ577" s="621"/>
      <c r="AK577" s="596">
        <v>10000</v>
      </c>
      <c r="AL577" s="29" t="s">
        <v>73</v>
      </c>
      <c r="AM577" s="29" t="s">
        <v>73</v>
      </c>
      <c r="AN577" s="29" t="s">
        <v>73</v>
      </c>
      <c r="AO577" s="29" t="s">
        <v>73</v>
      </c>
      <c r="AP577" s="478">
        <v>5000</v>
      </c>
      <c r="AQ577" s="478">
        <v>5000</v>
      </c>
      <c r="AR577" s="29" t="s">
        <v>73</v>
      </c>
      <c r="AS577" s="29" t="s">
        <v>73</v>
      </c>
      <c r="AT577" s="29" t="s">
        <v>73</v>
      </c>
      <c r="AU577" s="29" t="s">
        <v>73</v>
      </c>
      <c r="AV577" s="29" t="s">
        <v>73</v>
      </c>
      <c r="AW577" s="29" t="s">
        <v>73</v>
      </c>
      <c r="AX577" s="30">
        <v>10000</v>
      </c>
      <c r="AY577" s="479" t="s">
        <v>6</v>
      </c>
      <c r="AZ577" s="2" t="s">
        <v>74</v>
      </c>
      <c r="BA577" s="2"/>
      <c r="BK577" s="125" t="s">
        <v>790</v>
      </c>
      <c r="BL577" s="481" t="s">
        <v>791</v>
      </c>
      <c r="BM577" s="125" t="s">
        <v>1998</v>
      </c>
      <c r="BN577" s="177" t="s">
        <v>1999</v>
      </c>
      <c r="BO577" s="125" t="s">
        <v>2000</v>
      </c>
      <c r="BP577" s="129">
        <v>46134</v>
      </c>
      <c r="BQ577" s="18"/>
      <c r="BR577" s="505" t="s">
        <v>2448</v>
      </c>
      <c r="BS577" s="18"/>
      <c r="BT577" s="656" t="s">
        <v>2002</v>
      </c>
      <c r="BU577" s="947" t="s">
        <v>1841</v>
      </c>
      <c r="BV577" s="125" t="s">
        <v>2449</v>
      </c>
      <c r="BW577" s="125" t="s">
        <v>2450</v>
      </c>
      <c r="BX577" s="125" t="s">
        <v>2451</v>
      </c>
      <c r="BY577" s="125">
        <v>44937147</v>
      </c>
      <c r="BZ577" s="125">
        <v>10449371475</v>
      </c>
      <c r="CA577" s="126">
        <v>5000</v>
      </c>
      <c r="CB577" s="289">
        <v>46143</v>
      </c>
      <c r="CC577" s="289">
        <v>46203</v>
      </c>
      <c r="CD577" s="759"/>
      <c r="CE577" s="177">
        <f t="shared" si="689"/>
        <v>30</v>
      </c>
      <c r="CF577" s="1019">
        <f t="shared" si="690"/>
        <v>5000</v>
      </c>
      <c r="CG577" s="177">
        <v>30</v>
      </c>
      <c r="CH577" s="1019">
        <f t="shared" si="691"/>
        <v>5000</v>
      </c>
      <c r="CI577" s="177">
        <v>30</v>
      </c>
      <c r="CJ577" s="1019">
        <f t="shared" si="692"/>
        <v>5000</v>
      </c>
      <c r="CK577" s="177">
        <f t="shared" si="731"/>
        <v>0</v>
      </c>
      <c r="CL577" s="177">
        <f t="shared" si="732"/>
        <v>0</v>
      </c>
      <c r="CM577" s="1006"/>
      <c r="CN577" s="177">
        <f t="shared" si="695"/>
        <v>30</v>
      </c>
      <c r="CO577" s="1019">
        <f t="shared" si="696"/>
        <v>5000</v>
      </c>
      <c r="CP577" s="177">
        <v>30</v>
      </c>
      <c r="CQ577" s="1019">
        <f t="shared" si="697"/>
        <v>5000</v>
      </c>
      <c r="CR577" s="177">
        <v>30</v>
      </c>
      <c r="CS577" s="1019">
        <f t="shared" si="726"/>
        <v>5000</v>
      </c>
      <c r="CT577" s="177">
        <f t="shared" si="729"/>
        <v>0</v>
      </c>
      <c r="CU577" s="177">
        <f t="shared" si="730"/>
        <v>0</v>
      </c>
      <c r="CV577" s="1006"/>
      <c r="CW577" s="177">
        <f t="shared" si="701"/>
        <v>10000</v>
      </c>
      <c r="CX577" s="1019">
        <f t="shared" si="702"/>
        <v>10000</v>
      </c>
      <c r="CY577" s="177">
        <f t="shared" si="703"/>
        <v>10000</v>
      </c>
      <c r="CZ577" s="1019">
        <f t="shared" si="704"/>
        <v>0</v>
      </c>
      <c r="DA577" s="177">
        <f t="shared" si="705"/>
        <v>0</v>
      </c>
      <c r="DB577" s="126"/>
      <c r="DC577" s="125"/>
    </row>
    <row r="578" spans="1:108" ht="51" hidden="1" x14ac:dyDescent="0.25">
      <c r="A578" s="19">
        <v>2026</v>
      </c>
      <c r="B578" s="20">
        <v>479</v>
      </c>
      <c r="C578" s="21" t="s">
        <v>64</v>
      </c>
      <c r="D578" s="21" t="s">
        <v>65</v>
      </c>
      <c r="E578" s="20">
        <v>125</v>
      </c>
      <c r="F578" s="20">
        <v>3000654</v>
      </c>
      <c r="G578" s="20">
        <v>5005023</v>
      </c>
      <c r="H578" s="20">
        <v>3</v>
      </c>
      <c r="I578" s="20">
        <v>12</v>
      </c>
      <c r="J578" s="20">
        <v>24</v>
      </c>
      <c r="K578" s="20">
        <v>135560</v>
      </c>
      <c r="L578" s="21" t="s">
        <v>220</v>
      </c>
      <c r="M578" s="33" t="s">
        <v>221</v>
      </c>
      <c r="N578" s="19">
        <v>97</v>
      </c>
      <c r="O578" s="2"/>
      <c r="P578" s="2" t="s">
        <v>4</v>
      </c>
      <c r="Q578" s="20" t="s">
        <v>68</v>
      </c>
      <c r="R578" s="25" t="s">
        <v>69</v>
      </c>
      <c r="S578" s="41" t="s">
        <v>137</v>
      </c>
      <c r="T578" s="41"/>
      <c r="U578" s="31" t="s">
        <v>393</v>
      </c>
      <c r="V578" s="25" t="s">
        <v>3</v>
      </c>
      <c r="W578" s="25">
        <v>1</v>
      </c>
      <c r="X578" s="595">
        <v>5000</v>
      </c>
      <c r="Y578" s="619"/>
      <c r="Z578" s="2"/>
      <c r="AA578" s="2"/>
      <c r="AB578" s="620"/>
      <c r="AC578" s="25">
        <v>30</v>
      </c>
      <c r="AD578" s="25">
        <v>30</v>
      </c>
      <c r="AE578" s="619"/>
      <c r="AF578" s="2"/>
      <c r="AG578" s="2"/>
      <c r="AH578" s="2"/>
      <c r="AI578" s="2"/>
      <c r="AJ578" s="621"/>
      <c r="AK578" s="596">
        <v>10000</v>
      </c>
      <c r="AL578" s="29" t="s">
        <v>73</v>
      </c>
      <c r="AM578" s="29" t="s">
        <v>73</v>
      </c>
      <c r="AN578" s="29" t="s">
        <v>73</v>
      </c>
      <c r="AO578" s="29" t="s">
        <v>73</v>
      </c>
      <c r="AP578" s="478">
        <v>5000</v>
      </c>
      <c r="AQ578" s="478">
        <v>5000</v>
      </c>
      <c r="AR578" s="29" t="s">
        <v>73</v>
      </c>
      <c r="AS578" s="29" t="s">
        <v>73</v>
      </c>
      <c r="AT578" s="29" t="s">
        <v>73</v>
      </c>
      <c r="AU578" s="29" t="s">
        <v>73</v>
      </c>
      <c r="AV578" s="29" t="s">
        <v>73</v>
      </c>
      <c r="AW578" s="29" t="s">
        <v>73</v>
      </c>
      <c r="AX578" s="30">
        <v>10000</v>
      </c>
      <c r="AY578" s="479" t="s">
        <v>6</v>
      </c>
      <c r="AZ578" s="2" t="s">
        <v>74</v>
      </c>
      <c r="BA578" s="2"/>
      <c r="BK578" s="125" t="s">
        <v>790</v>
      </c>
      <c r="BL578" s="481" t="s">
        <v>791</v>
      </c>
      <c r="BM578" s="125" t="s">
        <v>1998</v>
      </c>
      <c r="BN578" s="177" t="s">
        <v>1999</v>
      </c>
      <c r="BO578" s="125" t="s">
        <v>2000</v>
      </c>
      <c r="BP578" s="129">
        <v>46134</v>
      </c>
      <c r="BQ578" s="18"/>
      <c r="BR578" s="505" t="s">
        <v>2452</v>
      </c>
      <c r="BS578" s="18"/>
      <c r="BT578" s="656" t="s">
        <v>2002</v>
      </c>
      <c r="BU578" s="947" t="s">
        <v>1841</v>
      </c>
      <c r="BV578" s="125" t="s">
        <v>856</v>
      </c>
      <c r="BW578" s="125" t="s">
        <v>910</v>
      </c>
      <c r="BX578" s="125" t="s">
        <v>2453</v>
      </c>
      <c r="BY578" s="125">
        <v>43078648</v>
      </c>
      <c r="BZ578" s="125">
        <v>10430786488</v>
      </c>
      <c r="CA578" s="126">
        <v>5000</v>
      </c>
      <c r="CB578" s="289">
        <v>46143</v>
      </c>
      <c r="CC578" s="289">
        <v>46203</v>
      </c>
      <c r="CD578" s="759"/>
      <c r="CE578" s="177">
        <f t="shared" si="689"/>
        <v>30</v>
      </c>
      <c r="CF578" s="1019">
        <f t="shared" si="690"/>
        <v>5000</v>
      </c>
      <c r="CG578" s="177">
        <v>30</v>
      </c>
      <c r="CH578" s="1019">
        <f t="shared" si="691"/>
        <v>5000</v>
      </c>
      <c r="CI578" s="177">
        <v>30</v>
      </c>
      <c r="CJ578" s="1019">
        <f t="shared" si="692"/>
        <v>5000</v>
      </c>
      <c r="CK578" s="177">
        <f t="shared" si="731"/>
        <v>0</v>
      </c>
      <c r="CL578" s="177">
        <f t="shared" si="732"/>
        <v>0</v>
      </c>
      <c r="CM578" s="1006"/>
      <c r="CN578" s="177">
        <f t="shared" si="695"/>
        <v>30</v>
      </c>
      <c r="CO578" s="1019">
        <f t="shared" si="696"/>
        <v>5000</v>
      </c>
      <c r="CP578" s="177">
        <v>30</v>
      </c>
      <c r="CQ578" s="1019">
        <f t="shared" si="697"/>
        <v>5000</v>
      </c>
      <c r="CR578" s="177">
        <v>30</v>
      </c>
      <c r="CS578" s="1019">
        <f t="shared" si="726"/>
        <v>5000</v>
      </c>
      <c r="CT578" s="177">
        <f t="shared" si="729"/>
        <v>0</v>
      </c>
      <c r="CU578" s="177">
        <f t="shared" si="730"/>
        <v>0</v>
      </c>
      <c r="CV578" s="1006"/>
      <c r="CW578" s="177">
        <f t="shared" si="701"/>
        <v>10000</v>
      </c>
      <c r="CX578" s="1019">
        <f t="shared" si="702"/>
        <v>10000</v>
      </c>
      <c r="CY578" s="177">
        <f t="shared" si="703"/>
        <v>10000</v>
      </c>
      <c r="CZ578" s="1019">
        <f t="shared" si="704"/>
        <v>0</v>
      </c>
      <c r="DA578" s="177">
        <f t="shared" si="705"/>
        <v>0</v>
      </c>
      <c r="DB578" s="126"/>
      <c r="DC578" s="125"/>
    </row>
    <row r="579" spans="1:108" ht="51" hidden="1" x14ac:dyDescent="0.25">
      <c r="A579" s="19">
        <v>2026</v>
      </c>
      <c r="B579" s="20">
        <v>479</v>
      </c>
      <c r="C579" s="21" t="s">
        <v>64</v>
      </c>
      <c r="D579" s="21" t="s">
        <v>65</v>
      </c>
      <c r="E579" s="20">
        <v>125</v>
      </c>
      <c r="F579" s="20">
        <v>3000654</v>
      </c>
      <c r="G579" s="20">
        <v>5005023</v>
      </c>
      <c r="H579" s="20">
        <v>3</v>
      </c>
      <c r="I579" s="20">
        <v>12</v>
      </c>
      <c r="J579" s="20">
        <v>24</v>
      </c>
      <c r="K579" s="20">
        <v>135560</v>
      </c>
      <c r="L579" s="21" t="s">
        <v>220</v>
      </c>
      <c r="M579" s="33" t="s">
        <v>221</v>
      </c>
      <c r="N579" s="19">
        <v>97</v>
      </c>
      <c r="O579" s="2"/>
      <c r="P579" s="2" t="s">
        <v>4</v>
      </c>
      <c r="Q579" s="20" t="s">
        <v>68</v>
      </c>
      <c r="R579" s="25" t="s">
        <v>69</v>
      </c>
      <c r="S579" s="41" t="s">
        <v>137</v>
      </c>
      <c r="T579" s="41"/>
      <c r="U579" s="31" t="s">
        <v>394</v>
      </c>
      <c r="V579" s="25" t="s">
        <v>3</v>
      </c>
      <c r="W579" s="25">
        <v>1</v>
      </c>
      <c r="X579" s="595">
        <v>5000</v>
      </c>
      <c r="Y579" s="619"/>
      <c r="Z579" s="2"/>
      <c r="AA579" s="2"/>
      <c r="AB579" s="620"/>
      <c r="AC579" s="25">
        <v>30</v>
      </c>
      <c r="AD579" s="25">
        <v>30</v>
      </c>
      <c r="AE579" s="619"/>
      <c r="AF579" s="2"/>
      <c r="AG579" s="2"/>
      <c r="AH579" s="2"/>
      <c r="AI579" s="2"/>
      <c r="AJ579" s="621"/>
      <c r="AK579" s="596">
        <v>10000</v>
      </c>
      <c r="AL579" s="29" t="s">
        <v>73</v>
      </c>
      <c r="AM579" s="29" t="s">
        <v>73</v>
      </c>
      <c r="AN579" s="29" t="s">
        <v>73</v>
      </c>
      <c r="AO579" s="29" t="s">
        <v>73</v>
      </c>
      <c r="AP579" s="478">
        <v>5000</v>
      </c>
      <c r="AQ579" s="478">
        <v>5000</v>
      </c>
      <c r="AR579" s="29" t="s">
        <v>73</v>
      </c>
      <c r="AS579" s="29" t="s">
        <v>73</v>
      </c>
      <c r="AT579" s="29" t="s">
        <v>73</v>
      </c>
      <c r="AU579" s="29" t="s">
        <v>73</v>
      </c>
      <c r="AV579" s="29" t="s">
        <v>73</v>
      </c>
      <c r="AW579" s="29" t="s">
        <v>73</v>
      </c>
      <c r="AX579" s="30">
        <v>10000</v>
      </c>
      <c r="AY579" s="479" t="s">
        <v>6</v>
      </c>
      <c r="AZ579" s="2" t="s">
        <v>74</v>
      </c>
      <c r="BA579" s="2"/>
      <c r="BK579" s="125" t="s">
        <v>790</v>
      </c>
      <c r="BL579" s="481" t="s">
        <v>791</v>
      </c>
      <c r="BM579" s="125" t="s">
        <v>1998</v>
      </c>
      <c r="BN579" s="177" t="s">
        <v>1999</v>
      </c>
      <c r="BO579" s="125" t="s">
        <v>2000</v>
      </c>
      <c r="BP579" s="129">
        <v>46134</v>
      </c>
      <c r="BQ579" s="18"/>
      <c r="BR579" s="505" t="s">
        <v>2454</v>
      </c>
      <c r="BS579" s="18"/>
      <c r="BT579" s="656" t="s">
        <v>2002</v>
      </c>
      <c r="BU579" s="947" t="s">
        <v>1841</v>
      </c>
      <c r="BV579" s="125" t="s">
        <v>1469</v>
      </c>
      <c r="BW579" s="125" t="s">
        <v>2455</v>
      </c>
      <c r="BX579" s="125" t="s">
        <v>2456</v>
      </c>
      <c r="BY579" s="125">
        <v>73034223</v>
      </c>
      <c r="BZ579" s="125">
        <v>10730342239</v>
      </c>
      <c r="CA579" s="126">
        <v>5000</v>
      </c>
      <c r="CB579" s="289">
        <v>46143</v>
      </c>
      <c r="CC579" s="289">
        <v>46203</v>
      </c>
      <c r="CD579" s="759"/>
      <c r="CE579" s="177">
        <f t="shared" si="689"/>
        <v>30</v>
      </c>
      <c r="CF579" s="1019">
        <f t="shared" si="690"/>
        <v>5000</v>
      </c>
      <c r="CG579" s="177">
        <v>30</v>
      </c>
      <c r="CH579" s="1019">
        <f t="shared" si="691"/>
        <v>5000</v>
      </c>
      <c r="CI579" s="177">
        <v>30</v>
      </c>
      <c r="CJ579" s="1019">
        <f t="shared" si="692"/>
        <v>5000</v>
      </c>
      <c r="CK579" s="177">
        <f t="shared" si="731"/>
        <v>0</v>
      </c>
      <c r="CL579" s="177">
        <f t="shared" si="732"/>
        <v>0</v>
      </c>
      <c r="CM579" s="1006"/>
      <c r="CN579" s="177">
        <f t="shared" si="695"/>
        <v>30</v>
      </c>
      <c r="CO579" s="1019">
        <f t="shared" si="696"/>
        <v>5000</v>
      </c>
      <c r="CP579" s="177">
        <v>30</v>
      </c>
      <c r="CQ579" s="1019">
        <f t="shared" si="697"/>
        <v>5000</v>
      </c>
      <c r="CR579" s="177">
        <v>30</v>
      </c>
      <c r="CS579" s="1019">
        <f t="shared" si="726"/>
        <v>5000</v>
      </c>
      <c r="CT579" s="177">
        <f t="shared" si="729"/>
        <v>0</v>
      </c>
      <c r="CU579" s="177">
        <f t="shared" si="730"/>
        <v>0</v>
      </c>
      <c r="CV579" s="1006"/>
      <c r="CW579" s="177">
        <f t="shared" si="701"/>
        <v>10000</v>
      </c>
      <c r="CX579" s="1019">
        <f t="shared" si="702"/>
        <v>10000</v>
      </c>
      <c r="CY579" s="177">
        <f t="shared" si="703"/>
        <v>10000</v>
      </c>
      <c r="CZ579" s="1019">
        <f t="shared" si="704"/>
        <v>0</v>
      </c>
      <c r="DA579" s="177">
        <f t="shared" si="705"/>
        <v>0</v>
      </c>
      <c r="DB579" s="126"/>
      <c r="DC579" s="125"/>
    </row>
    <row r="580" spans="1:108" ht="51" hidden="1" x14ac:dyDescent="0.25">
      <c r="A580" s="19">
        <v>2026</v>
      </c>
      <c r="B580" s="20">
        <v>479</v>
      </c>
      <c r="C580" s="21" t="s">
        <v>64</v>
      </c>
      <c r="D580" s="21" t="s">
        <v>65</v>
      </c>
      <c r="E580" s="20">
        <v>125</v>
      </c>
      <c r="F580" s="20">
        <v>3000654</v>
      </c>
      <c r="G580" s="20">
        <v>5005023</v>
      </c>
      <c r="H580" s="20">
        <v>3</v>
      </c>
      <c r="I580" s="20">
        <v>12</v>
      </c>
      <c r="J580" s="20">
        <v>24</v>
      </c>
      <c r="K580" s="20">
        <v>135560</v>
      </c>
      <c r="L580" s="21" t="s">
        <v>220</v>
      </c>
      <c r="M580" s="33" t="s">
        <v>221</v>
      </c>
      <c r="N580" s="19">
        <v>97</v>
      </c>
      <c r="O580" s="2"/>
      <c r="P580" s="2" t="s">
        <v>4</v>
      </c>
      <c r="Q580" s="20" t="s">
        <v>68</v>
      </c>
      <c r="R580" s="25" t="s">
        <v>69</v>
      </c>
      <c r="S580" s="41" t="s">
        <v>137</v>
      </c>
      <c r="T580" s="41"/>
      <c r="U580" s="31" t="s">
        <v>394</v>
      </c>
      <c r="V580" s="25" t="s">
        <v>3</v>
      </c>
      <c r="W580" s="25">
        <v>1</v>
      </c>
      <c r="X580" s="595">
        <v>5000</v>
      </c>
      <c r="Y580" s="619"/>
      <c r="Z580" s="2"/>
      <c r="AA580" s="2"/>
      <c r="AB580" s="620"/>
      <c r="AC580" s="25">
        <v>30</v>
      </c>
      <c r="AD580" s="25">
        <v>30</v>
      </c>
      <c r="AE580" s="619"/>
      <c r="AF580" s="2"/>
      <c r="AG580" s="2"/>
      <c r="AH580" s="2"/>
      <c r="AI580" s="2"/>
      <c r="AJ580" s="621"/>
      <c r="AK580" s="596">
        <v>10000</v>
      </c>
      <c r="AL580" s="29"/>
      <c r="AM580" s="29"/>
      <c r="AN580" s="29"/>
      <c r="AO580" s="29"/>
      <c r="AP580" s="478">
        <v>5000</v>
      </c>
      <c r="AQ580" s="478">
        <v>5000</v>
      </c>
      <c r="AR580" s="29"/>
      <c r="AS580" s="29"/>
      <c r="AT580" s="29"/>
      <c r="AU580" s="29"/>
      <c r="AV580" s="29"/>
      <c r="AW580" s="29"/>
      <c r="AX580" s="30">
        <v>10000</v>
      </c>
      <c r="AY580" s="479" t="s">
        <v>6</v>
      </c>
      <c r="AZ580" s="2" t="s">
        <v>74</v>
      </c>
      <c r="BA580" s="2"/>
      <c r="BK580" s="125" t="s">
        <v>790</v>
      </c>
      <c r="BL580" s="481" t="s">
        <v>791</v>
      </c>
      <c r="BM580" s="125" t="s">
        <v>1998</v>
      </c>
      <c r="BN580" s="177" t="s">
        <v>1999</v>
      </c>
      <c r="BO580" s="125" t="s">
        <v>2000</v>
      </c>
      <c r="BP580" s="129">
        <v>46134</v>
      </c>
      <c r="BQ580" s="18"/>
      <c r="BR580" s="505" t="s">
        <v>2457</v>
      </c>
      <c r="BS580" s="18"/>
      <c r="BT580" s="656" t="s">
        <v>2002</v>
      </c>
      <c r="BU580" s="947" t="s">
        <v>1841</v>
      </c>
      <c r="BV580" s="125" t="s">
        <v>2458</v>
      </c>
      <c r="BW580" s="125" t="s">
        <v>2459</v>
      </c>
      <c r="BX580" s="125" t="s">
        <v>2460</v>
      </c>
      <c r="BY580" s="125">
        <v>48548829</v>
      </c>
      <c r="BZ580" s="125">
        <v>10485488290</v>
      </c>
      <c r="CA580" s="126">
        <v>5000</v>
      </c>
      <c r="CB580" s="289">
        <v>46143</v>
      </c>
      <c r="CC580" s="289">
        <v>46203</v>
      </c>
      <c r="CD580" s="759"/>
      <c r="CE580" s="177">
        <f t="shared" si="689"/>
        <v>30</v>
      </c>
      <c r="CF580" s="1019">
        <f t="shared" si="690"/>
        <v>5000</v>
      </c>
      <c r="CG580" s="177">
        <v>30</v>
      </c>
      <c r="CH580" s="1019">
        <f t="shared" si="691"/>
        <v>5000</v>
      </c>
      <c r="CI580" s="177">
        <v>30</v>
      </c>
      <c r="CJ580" s="1019">
        <f t="shared" si="692"/>
        <v>5000</v>
      </c>
      <c r="CK580" s="177">
        <f t="shared" si="731"/>
        <v>0</v>
      </c>
      <c r="CL580" s="177">
        <f t="shared" si="732"/>
        <v>0</v>
      </c>
      <c r="CM580" s="1006"/>
      <c r="CN580" s="177">
        <f t="shared" si="695"/>
        <v>30</v>
      </c>
      <c r="CO580" s="1019">
        <f t="shared" si="696"/>
        <v>5000</v>
      </c>
      <c r="CP580" s="177">
        <v>30</v>
      </c>
      <c r="CQ580" s="1019">
        <f t="shared" si="697"/>
        <v>5000</v>
      </c>
      <c r="CR580" s="177">
        <v>30</v>
      </c>
      <c r="CS580" s="1019">
        <f t="shared" si="726"/>
        <v>5000</v>
      </c>
      <c r="CT580" s="177">
        <f t="shared" si="729"/>
        <v>0</v>
      </c>
      <c r="CU580" s="177">
        <f t="shared" si="730"/>
        <v>0</v>
      </c>
      <c r="CV580" s="1006"/>
      <c r="CW580" s="177">
        <f t="shared" si="701"/>
        <v>10000</v>
      </c>
      <c r="CX580" s="1019">
        <f t="shared" si="702"/>
        <v>10000</v>
      </c>
      <c r="CY580" s="177">
        <f t="shared" si="703"/>
        <v>10000</v>
      </c>
      <c r="CZ580" s="1019">
        <f t="shared" si="704"/>
        <v>0</v>
      </c>
      <c r="DA580" s="177">
        <f t="shared" si="705"/>
        <v>0</v>
      </c>
      <c r="DB580" s="126"/>
      <c r="DC580" s="125"/>
    </row>
    <row r="581" spans="1:108" ht="51" hidden="1" x14ac:dyDescent="0.25">
      <c r="A581" s="19">
        <v>2026</v>
      </c>
      <c r="B581" s="20">
        <v>479</v>
      </c>
      <c r="C581" s="21" t="s">
        <v>64</v>
      </c>
      <c r="D581" s="21" t="s">
        <v>65</v>
      </c>
      <c r="E581" s="20">
        <v>125</v>
      </c>
      <c r="F581" s="20">
        <v>3000654</v>
      </c>
      <c r="G581" s="20">
        <v>5005023</v>
      </c>
      <c r="H581" s="20">
        <v>3</v>
      </c>
      <c r="I581" s="20">
        <v>12</v>
      </c>
      <c r="J581" s="20">
        <v>24</v>
      </c>
      <c r="K581" s="20">
        <v>135560</v>
      </c>
      <c r="L581" s="21" t="s">
        <v>220</v>
      </c>
      <c r="M581" s="33" t="s">
        <v>221</v>
      </c>
      <c r="N581" s="19">
        <v>97</v>
      </c>
      <c r="O581" s="2"/>
      <c r="P581" s="2" t="s">
        <v>4</v>
      </c>
      <c r="Q581" s="20" t="s">
        <v>68</v>
      </c>
      <c r="R581" s="25" t="s">
        <v>69</v>
      </c>
      <c r="S581" s="41" t="s">
        <v>137</v>
      </c>
      <c r="T581" s="41"/>
      <c r="U581" s="31" t="s">
        <v>395</v>
      </c>
      <c r="V581" s="25" t="s">
        <v>3</v>
      </c>
      <c r="W581" s="25">
        <v>1</v>
      </c>
      <c r="X581" s="595">
        <v>5000</v>
      </c>
      <c r="Y581" s="619"/>
      <c r="Z581" s="2"/>
      <c r="AA581" s="2"/>
      <c r="AB581" s="620"/>
      <c r="AC581" s="25">
        <v>30</v>
      </c>
      <c r="AD581" s="25">
        <v>30</v>
      </c>
      <c r="AE581" s="619"/>
      <c r="AF581" s="2"/>
      <c r="AG581" s="2"/>
      <c r="AH581" s="2"/>
      <c r="AI581" s="2"/>
      <c r="AJ581" s="621"/>
      <c r="AK581" s="596">
        <v>10000</v>
      </c>
      <c r="AL581" s="29" t="s">
        <v>73</v>
      </c>
      <c r="AM581" s="29" t="s">
        <v>73</v>
      </c>
      <c r="AN581" s="29" t="s">
        <v>73</v>
      </c>
      <c r="AO581" s="29" t="s">
        <v>73</v>
      </c>
      <c r="AP581" s="478">
        <v>5000</v>
      </c>
      <c r="AQ581" s="478">
        <v>5000</v>
      </c>
      <c r="AR581" s="29" t="s">
        <v>73</v>
      </c>
      <c r="AS581" s="29" t="s">
        <v>73</v>
      </c>
      <c r="AT581" s="29" t="s">
        <v>73</v>
      </c>
      <c r="AU581" s="29" t="s">
        <v>73</v>
      </c>
      <c r="AV581" s="29" t="s">
        <v>73</v>
      </c>
      <c r="AW581" s="29" t="s">
        <v>73</v>
      </c>
      <c r="AX581" s="30">
        <v>10000</v>
      </c>
      <c r="AY581" s="479" t="s">
        <v>6</v>
      </c>
      <c r="AZ581" s="2" t="s">
        <v>74</v>
      </c>
      <c r="BA581" s="2"/>
      <c r="BK581" s="125" t="s">
        <v>790</v>
      </c>
      <c r="BL581" s="481" t="s">
        <v>791</v>
      </c>
      <c r="BM581" s="125" t="s">
        <v>1998</v>
      </c>
      <c r="BN581" s="177" t="s">
        <v>1999</v>
      </c>
      <c r="BO581" s="125" t="s">
        <v>2000</v>
      </c>
      <c r="BP581" s="129">
        <v>46134</v>
      </c>
      <c r="BQ581" s="18"/>
      <c r="BR581" s="505" t="s">
        <v>2461</v>
      </c>
      <c r="BS581" s="18"/>
      <c r="BT581" s="656" t="s">
        <v>2002</v>
      </c>
      <c r="BU581" s="947" t="s">
        <v>1841</v>
      </c>
      <c r="BV581" s="125" t="s">
        <v>2462</v>
      </c>
      <c r="BW581" s="125" t="s">
        <v>2463</v>
      </c>
      <c r="BX581" s="125" t="s">
        <v>2464</v>
      </c>
      <c r="BY581" s="125">
        <v>41800998</v>
      </c>
      <c r="BZ581" s="125">
        <v>10418009981</v>
      </c>
      <c r="CA581" s="126">
        <v>5000</v>
      </c>
      <c r="CB581" s="289">
        <v>46143</v>
      </c>
      <c r="CC581" s="289">
        <v>46203</v>
      </c>
      <c r="CD581" s="759"/>
      <c r="CE581" s="177">
        <f t="shared" si="689"/>
        <v>30</v>
      </c>
      <c r="CF581" s="1019">
        <f t="shared" si="690"/>
        <v>5000</v>
      </c>
      <c r="CG581" s="177">
        <v>30</v>
      </c>
      <c r="CH581" s="1019">
        <f t="shared" si="691"/>
        <v>5000</v>
      </c>
      <c r="CI581" s="177">
        <v>30</v>
      </c>
      <c r="CJ581" s="1019">
        <f t="shared" si="692"/>
        <v>5000</v>
      </c>
      <c r="CK581" s="177">
        <f t="shared" si="731"/>
        <v>0</v>
      </c>
      <c r="CL581" s="177">
        <f t="shared" si="732"/>
        <v>0</v>
      </c>
      <c r="CM581" s="1006"/>
      <c r="CN581" s="177">
        <f t="shared" si="695"/>
        <v>30</v>
      </c>
      <c r="CO581" s="1019">
        <f t="shared" si="696"/>
        <v>5000</v>
      </c>
      <c r="CP581" s="177">
        <v>30</v>
      </c>
      <c r="CQ581" s="1019">
        <f t="shared" si="697"/>
        <v>5000</v>
      </c>
      <c r="CR581" s="177">
        <v>30</v>
      </c>
      <c r="CS581" s="1019">
        <f t="shared" si="726"/>
        <v>5000</v>
      </c>
      <c r="CT581" s="177">
        <f t="shared" si="729"/>
        <v>0</v>
      </c>
      <c r="CU581" s="177">
        <f t="shared" si="730"/>
        <v>0</v>
      </c>
      <c r="CV581" s="1006"/>
      <c r="CW581" s="177">
        <f t="shared" si="701"/>
        <v>10000</v>
      </c>
      <c r="CX581" s="1019">
        <f t="shared" si="702"/>
        <v>10000</v>
      </c>
      <c r="CY581" s="177">
        <f t="shared" si="703"/>
        <v>10000</v>
      </c>
      <c r="CZ581" s="1019">
        <f t="shared" si="704"/>
        <v>0</v>
      </c>
      <c r="DA581" s="177">
        <f t="shared" si="705"/>
        <v>0</v>
      </c>
      <c r="DB581" s="126"/>
      <c r="DC581" s="125"/>
    </row>
    <row r="582" spans="1:108" ht="51" hidden="1" x14ac:dyDescent="0.25">
      <c r="A582" s="19">
        <v>2026</v>
      </c>
      <c r="B582" s="20">
        <v>479</v>
      </c>
      <c r="C582" s="21" t="s">
        <v>64</v>
      </c>
      <c r="D582" s="21" t="s">
        <v>65</v>
      </c>
      <c r="E582" s="20">
        <v>125</v>
      </c>
      <c r="F582" s="20">
        <v>3000654</v>
      </c>
      <c r="G582" s="20">
        <v>5005023</v>
      </c>
      <c r="H582" s="20">
        <v>3</v>
      </c>
      <c r="I582" s="20">
        <v>12</v>
      </c>
      <c r="J582" s="20">
        <v>24</v>
      </c>
      <c r="K582" s="20">
        <v>135560</v>
      </c>
      <c r="L582" s="21" t="s">
        <v>220</v>
      </c>
      <c r="M582" s="33" t="s">
        <v>221</v>
      </c>
      <c r="N582" s="19">
        <v>97</v>
      </c>
      <c r="O582" s="2"/>
      <c r="P582" s="2" t="s">
        <v>4</v>
      </c>
      <c r="Q582" s="20" t="s">
        <v>68</v>
      </c>
      <c r="R582" s="25" t="s">
        <v>69</v>
      </c>
      <c r="S582" s="41" t="s">
        <v>137</v>
      </c>
      <c r="T582" s="41"/>
      <c r="U582" s="31" t="s">
        <v>395</v>
      </c>
      <c r="V582" s="25" t="s">
        <v>3</v>
      </c>
      <c r="W582" s="25">
        <v>1</v>
      </c>
      <c r="X582" s="595">
        <v>5000</v>
      </c>
      <c r="Y582" s="619"/>
      <c r="Z582" s="2"/>
      <c r="AA582" s="2"/>
      <c r="AB582" s="620"/>
      <c r="AC582" s="25">
        <v>30</v>
      </c>
      <c r="AD582" s="25">
        <v>30</v>
      </c>
      <c r="AE582" s="619"/>
      <c r="AF582" s="2"/>
      <c r="AG582" s="2"/>
      <c r="AH582" s="2"/>
      <c r="AI582" s="2"/>
      <c r="AJ582" s="621"/>
      <c r="AK582" s="596">
        <v>10000</v>
      </c>
      <c r="AL582" s="29"/>
      <c r="AM582" s="29"/>
      <c r="AN582" s="29"/>
      <c r="AO582" s="29"/>
      <c r="AP582" s="478">
        <v>5000</v>
      </c>
      <c r="AQ582" s="478">
        <v>5000</v>
      </c>
      <c r="AR582" s="29"/>
      <c r="AS582" s="29"/>
      <c r="AT582" s="29"/>
      <c r="AU582" s="29"/>
      <c r="AV582" s="29"/>
      <c r="AW582" s="29"/>
      <c r="AX582" s="30">
        <v>10000</v>
      </c>
      <c r="AY582" s="479" t="s">
        <v>6</v>
      </c>
      <c r="AZ582" s="2" t="s">
        <v>74</v>
      </c>
      <c r="BA582" s="2"/>
      <c r="BK582" s="125" t="s">
        <v>790</v>
      </c>
      <c r="BL582" s="481" t="s">
        <v>791</v>
      </c>
      <c r="BM582" s="125" t="s">
        <v>1998</v>
      </c>
      <c r="BN582" s="177" t="s">
        <v>1999</v>
      </c>
      <c r="BO582" s="125" t="s">
        <v>2000</v>
      </c>
      <c r="BP582" s="129">
        <v>46134</v>
      </c>
      <c r="BQ582" s="18"/>
      <c r="BR582" s="505" t="s">
        <v>2465</v>
      </c>
      <c r="BS582" s="18"/>
      <c r="BT582" s="656" t="s">
        <v>2002</v>
      </c>
      <c r="BU582" s="947" t="s">
        <v>1841</v>
      </c>
      <c r="BV582" s="125" t="s">
        <v>1165</v>
      </c>
      <c r="BW582" s="125" t="s">
        <v>2466</v>
      </c>
      <c r="BX582" s="125" t="s">
        <v>2467</v>
      </c>
      <c r="BY582" s="125">
        <v>46846249</v>
      </c>
      <c r="BZ582" s="125">
        <v>10468462490</v>
      </c>
      <c r="CA582" s="126">
        <v>5000</v>
      </c>
      <c r="CB582" s="289">
        <v>46143</v>
      </c>
      <c r="CC582" s="289">
        <v>46203</v>
      </c>
      <c r="CD582" s="759"/>
      <c r="CE582" s="177">
        <f t="shared" si="689"/>
        <v>30</v>
      </c>
      <c r="CF582" s="1019">
        <f t="shared" si="690"/>
        <v>5000</v>
      </c>
      <c r="CG582" s="177">
        <v>30</v>
      </c>
      <c r="CH582" s="1019">
        <f t="shared" si="691"/>
        <v>5000</v>
      </c>
      <c r="CI582" s="177">
        <v>30</v>
      </c>
      <c r="CJ582" s="1019">
        <f t="shared" si="692"/>
        <v>5000</v>
      </c>
      <c r="CK582" s="177">
        <f t="shared" si="731"/>
        <v>0</v>
      </c>
      <c r="CL582" s="177">
        <f t="shared" si="732"/>
        <v>0</v>
      </c>
      <c r="CM582" s="1006"/>
      <c r="CN582" s="177">
        <f t="shared" si="695"/>
        <v>30</v>
      </c>
      <c r="CO582" s="1019">
        <f t="shared" si="696"/>
        <v>5000</v>
      </c>
      <c r="CP582" s="177">
        <v>30</v>
      </c>
      <c r="CQ582" s="1019">
        <f t="shared" si="697"/>
        <v>5000</v>
      </c>
      <c r="CR582" s="177">
        <v>30</v>
      </c>
      <c r="CS582" s="1019">
        <f t="shared" si="726"/>
        <v>5000</v>
      </c>
      <c r="CT582" s="177">
        <f t="shared" si="729"/>
        <v>0</v>
      </c>
      <c r="CU582" s="177">
        <f t="shared" si="730"/>
        <v>0</v>
      </c>
      <c r="CV582" s="1006"/>
      <c r="CW582" s="177">
        <f t="shared" si="701"/>
        <v>10000</v>
      </c>
      <c r="CX582" s="1019">
        <f t="shared" si="702"/>
        <v>10000</v>
      </c>
      <c r="CY582" s="177">
        <f t="shared" si="703"/>
        <v>10000</v>
      </c>
      <c r="CZ582" s="1019">
        <f t="shared" si="704"/>
        <v>0</v>
      </c>
      <c r="DA582" s="177">
        <f t="shared" si="705"/>
        <v>0</v>
      </c>
      <c r="DB582" s="126"/>
      <c r="DC582" s="125"/>
    </row>
    <row r="583" spans="1:108" ht="51" hidden="1" x14ac:dyDescent="0.25">
      <c r="A583" s="19">
        <v>2026</v>
      </c>
      <c r="B583" s="20">
        <v>479</v>
      </c>
      <c r="C583" s="21" t="s">
        <v>64</v>
      </c>
      <c r="D583" s="21" t="s">
        <v>65</v>
      </c>
      <c r="E583" s="20">
        <v>125</v>
      </c>
      <c r="F583" s="20">
        <v>3000654</v>
      </c>
      <c r="G583" s="20">
        <v>5005023</v>
      </c>
      <c r="H583" s="20">
        <v>3</v>
      </c>
      <c r="I583" s="20">
        <v>12</v>
      </c>
      <c r="J583" s="20">
        <v>24</v>
      </c>
      <c r="K583" s="20">
        <v>135560</v>
      </c>
      <c r="L583" s="21" t="s">
        <v>220</v>
      </c>
      <c r="M583" s="33" t="s">
        <v>221</v>
      </c>
      <c r="N583" s="19">
        <v>97</v>
      </c>
      <c r="O583" s="2"/>
      <c r="P583" s="2" t="s">
        <v>4</v>
      </c>
      <c r="Q583" s="20" t="s">
        <v>68</v>
      </c>
      <c r="R583" s="25" t="s">
        <v>69</v>
      </c>
      <c r="S583" s="41" t="s">
        <v>137</v>
      </c>
      <c r="T583" s="41"/>
      <c r="U583" s="31" t="s">
        <v>396</v>
      </c>
      <c r="V583" s="25" t="s">
        <v>3</v>
      </c>
      <c r="W583" s="25">
        <v>1</v>
      </c>
      <c r="X583" s="595">
        <v>5000</v>
      </c>
      <c r="Y583" s="619"/>
      <c r="Z583" s="2"/>
      <c r="AA583" s="2"/>
      <c r="AB583" s="620"/>
      <c r="AC583" s="25">
        <v>30</v>
      </c>
      <c r="AD583" s="25">
        <v>30</v>
      </c>
      <c r="AE583" s="619"/>
      <c r="AF583" s="2"/>
      <c r="AG583" s="2"/>
      <c r="AH583" s="2"/>
      <c r="AI583" s="2"/>
      <c r="AJ583" s="621"/>
      <c r="AK583" s="596">
        <v>10000</v>
      </c>
      <c r="AL583" s="29" t="s">
        <v>73</v>
      </c>
      <c r="AM583" s="29" t="s">
        <v>73</v>
      </c>
      <c r="AN583" s="29" t="s">
        <v>73</v>
      </c>
      <c r="AO583" s="29" t="s">
        <v>73</v>
      </c>
      <c r="AP583" s="478">
        <v>5000</v>
      </c>
      <c r="AQ583" s="478">
        <v>5000</v>
      </c>
      <c r="AR583" s="29" t="s">
        <v>73</v>
      </c>
      <c r="AS583" s="29" t="s">
        <v>73</v>
      </c>
      <c r="AT583" s="29" t="s">
        <v>73</v>
      </c>
      <c r="AU583" s="29" t="s">
        <v>73</v>
      </c>
      <c r="AV583" s="29" t="s">
        <v>73</v>
      </c>
      <c r="AW583" s="29" t="s">
        <v>73</v>
      </c>
      <c r="AX583" s="30">
        <v>10000</v>
      </c>
      <c r="AY583" s="479" t="s">
        <v>6</v>
      </c>
      <c r="AZ583" s="2" t="s">
        <v>74</v>
      </c>
      <c r="BA583" s="2"/>
      <c r="BK583" s="125" t="s">
        <v>790</v>
      </c>
      <c r="BL583" s="481" t="s">
        <v>791</v>
      </c>
      <c r="BM583" s="125" t="s">
        <v>1998</v>
      </c>
      <c r="BN583" s="177" t="s">
        <v>1999</v>
      </c>
      <c r="BO583" s="125" t="s">
        <v>2000</v>
      </c>
      <c r="BP583" s="129">
        <v>46134</v>
      </c>
      <c r="BQ583" s="18"/>
      <c r="BR583" s="505" t="s">
        <v>2468</v>
      </c>
      <c r="BS583" s="18"/>
      <c r="BT583" s="656" t="s">
        <v>2002</v>
      </c>
      <c r="BU583" s="947" t="s">
        <v>1841</v>
      </c>
      <c r="BV583" s="125" t="s">
        <v>2469</v>
      </c>
      <c r="BW583" s="125" t="s">
        <v>2470</v>
      </c>
      <c r="BX583" s="125" t="s">
        <v>2471</v>
      </c>
      <c r="BY583" s="125">
        <v>45206589</v>
      </c>
      <c r="BZ583" s="125">
        <v>10452065890</v>
      </c>
      <c r="CA583" s="126">
        <v>5000</v>
      </c>
      <c r="CB583" s="289">
        <v>46143</v>
      </c>
      <c r="CC583" s="289">
        <v>46203</v>
      </c>
      <c r="CD583" s="759"/>
      <c r="CE583" s="177">
        <f t="shared" si="689"/>
        <v>30</v>
      </c>
      <c r="CF583" s="1019">
        <f t="shared" si="690"/>
        <v>5000</v>
      </c>
      <c r="CG583" s="177">
        <v>30</v>
      </c>
      <c r="CH583" s="1019">
        <f t="shared" si="691"/>
        <v>5000</v>
      </c>
      <c r="CI583" s="177">
        <v>30</v>
      </c>
      <c r="CJ583" s="1019">
        <f t="shared" si="692"/>
        <v>5000</v>
      </c>
      <c r="CK583" s="177">
        <f t="shared" si="731"/>
        <v>0</v>
      </c>
      <c r="CL583" s="177">
        <f t="shared" si="732"/>
        <v>0</v>
      </c>
      <c r="CM583" s="1006"/>
      <c r="CN583" s="177">
        <f t="shared" si="695"/>
        <v>30</v>
      </c>
      <c r="CO583" s="1019">
        <f t="shared" si="696"/>
        <v>5000</v>
      </c>
      <c r="CP583" s="177">
        <v>30</v>
      </c>
      <c r="CQ583" s="1019">
        <f t="shared" si="697"/>
        <v>5000</v>
      </c>
      <c r="CR583" s="177">
        <v>30</v>
      </c>
      <c r="CS583" s="1019">
        <f t="shared" si="726"/>
        <v>5000</v>
      </c>
      <c r="CT583" s="177">
        <f t="shared" si="729"/>
        <v>0</v>
      </c>
      <c r="CU583" s="177">
        <f t="shared" si="730"/>
        <v>0</v>
      </c>
      <c r="CV583" s="1006"/>
      <c r="CW583" s="177">
        <f t="shared" si="701"/>
        <v>10000</v>
      </c>
      <c r="CX583" s="1019">
        <f t="shared" si="702"/>
        <v>10000</v>
      </c>
      <c r="CY583" s="177">
        <f t="shared" si="703"/>
        <v>10000</v>
      </c>
      <c r="CZ583" s="1019">
        <f t="shared" si="704"/>
        <v>0</v>
      </c>
      <c r="DA583" s="177">
        <f t="shared" si="705"/>
        <v>0</v>
      </c>
      <c r="DB583" s="126"/>
      <c r="DC583" s="125"/>
    </row>
    <row r="584" spans="1:108" ht="51" hidden="1" x14ac:dyDescent="0.25">
      <c r="A584" s="19">
        <v>2026</v>
      </c>
      <c r="B584" s="20">
        <v>479</v>
      </c>
      <c r="C584" s="21" t="s">
        <v>64</v>
      </c>
      <c r="D584" s="21" t="s">
        <v>65</v>
      </c>
      <c r="E584" s="20">
        <v>125</v>
      </c>
      <c r="F584" s="20">
        <v>3000654</v>
      </c>
      <c r="G584" s="20">
        <v>5005023</v>
      </c>
      <c r="H584" s="20">
        <v>3</v>
      </c>
      <c r="I584" s="20">
        <v>12</v>
      </c>
      <c r="J584" s="20">
        <v>24</v>
      </c>
      <c r="K584" s="20">
        <v>135560</v>
      </c>
      <c r="L584" s="21" t="s">
        <v>220</v>
      </c>
      <c r="M584" s="33" t="s">
        <v>221</v>
      </c>
      <c r="N584" s="19">
        <v>97</v>
      </c>
      <c r="O584" s="2"/>
      <c r="P584" s="2" t="s">
        <v>4</v>
      </c>
      <c r="Q584" s="20" t="s">
        <v>68</v>
      </c>
      <c r="R584" s="25" t="s">
        <v>69</v>
      </c>
      <c r="S584" s="41" t="s">
        <v>137</v>
      </c>
      <c r="T584" s="41"/>
      <c r="U584" s="31" t="s">
        <v>396</v>
      </c>
      <c r="V584" s="25" t="s">
        <v>3</v>
      </c>
      <c r="W584" s="25">
        <v>1</v>
      </c>
      <c r="X584" s="595">
        <v>5000</v>
      </c>
      <c r="Y584" s="619"/>
      <c r="Z584" s="2"/>
      <c r="AA584" s="2"/>
      <c r="AB584" s="620"/>
      <c r="AC584" s="25">
        <v>30</v>
      </c>
      <c r="AD584" s="25">
        <v>30</v>
      </c>
      <c r="AE584" s="619"/>
      <c r="AF584" s="2"/>
      <c r="AG584" s="2"/>
      <c r="AH584" s="2"/>
      <c r="AI584" s="2"/>
      <c r="AJ584" s="621"/>
      <c r="AK584" s="596">
        <v>10000</v>
      </c>
      <c r="AL584" s="29"/>
      <c r="AM584" s="29"/>
      <c r="AN584" s="29"/>
      <c r="AO584" s="29"/>
      <c r="AP584" s="478">
        <v>5000</v>
      </c>
      <c r="AQ584" s="478">
        <v>5000</v>
      </c>
      <c r="AR584" s="29"/>
      <c r="AS584" s="29"/>
      <c r="AT584" s="29"/>
      <c r="AU584" s="29"/>
      <c r="AV584" s="29"/>
      <c r="AW584" s="29"/>
      <c r="AX584" s="30">
        <v>10000</v>
      </c>
      <c r="AY584" s="479" t="s">
        <v>6</v>
      </c>
      <c r="AZ584" s="2" t="s">
        <v>74</v>
      </c>
      <c r="BA584" s="2"/>
      <c r="BK584" s="125" t="s">
        <v>790</v>
      </c>
      <c r="BL584" s="481" t="s">
        <v>791</v>
      </c>
      <c r="BM584" s="125" t="s">
        <v>1998</v>
      </c>
      <c r="BN584" s="177" t="s">
        <v>1999</v>
      </c>
      <c r="BO584" s="125" t="s">
        <v>2000</v>
      </c>
      <c r="BP584" s="129">
        <v>46134</v>
      </c>
      <c r="BQ584" s="18"/>
      <c r="BR584" s="505" t="s">
        <v>2472</v>
      </c>
      <c r="BS584" s="18"/>
      <c r="BT584" s="656" t="s">
        <v>2002</v>
      </c>
      <c r="BU584" s="947" t="s">
        <v>1841</v>
      </c>
      <c r="BV584" s="125" t="s">
        <v>2473</v>
      </c>
      <c r="BW584" s="125" t="s">
        <v>1115</v>
      </c>
      <c r="BX584" s="125" t="s">
        <v>2474</v>
      </c>
      <c r="BY584" s="125">
        <v>45128337</v>
      </c>
      <c r="BZ584" s="125">
        <v>10451283371</v>
      </c>
      <c r="CA584" s="126">
        <v>5000</v>
      </c>
      <c r="CB584" s="289">
        <v>46143</v>
      </c>
      <c r="CC584" s="289">
        <v>46203</v>
      </c>
      <c r="CD584" s="759"/>
      <c r="CE584" s="177">
        <f t="shared" si="689"/>
        <v>30</v>
      </c>
      <c r="CF584" s="1019">
        <f t="shared" si="690"/>
        <v>5000</v>
      </c>
      <c r="CG584" s="177">
        <v>30</v>
      </c>
      <c r="CH584" s="1019">
        <f t="shared" si="691"/>
        <v>5000</v>
      </c>
      <c r="CI584" s="177">
        <v>30</v>
      </c>
      <c r="CJ584" s="1019">
        <f t="shared" si="692"/>
        <v>5000</v>
      </c>
      <c r="CK584" s="177">
        <f t="shared" si="731"/>
        <v>0</v>
      </c>
      <c r="CL584" s="177">
        <f t="shared" si="732"/>
        <v>0</v>
      </c>
      <c r="CM584" s="1006"/>
      <c r="CN584" s="177">
        <f t="shared" si="695"/>
        <v>30</v>
      </c>
      <c r="CO584" s="1019">
        <f t="shared" si="696"/>
        <v>5000</v>
      </c>
      <c r="CP584" s="177">
        <v>30</v>
      </c>
      <c r="CQ584" s="1019">
        <f t="shared" si="697"/>
        <v>5000</v>
      </c>
      <c r="CR584" s="177">
        <v>30</v>
      </c>
      <c r="CS584" s="1019">
        <f t="shared" si="726"/>
        <v>5000</v>
      </c>
      <c r="CT584" s="177">
        <f t="shared" si="729"/>
        <v>0</v>
      </c>
      <c r="CU584" s="177">
        <f t="shared" si="730"/>
        <v>0</v>
      </c>
      <c r="CV584" s="1006"/>
      <c r="CW584" s="177">
        <f t="shared" si="701"/>
        <v>10000</v>
      </c>
      <c r="CX584" s="1019">
        <f t="shared" si="702"/>
        <v>10000</v>
      </c>
      <c r="CY584" s="177">
        <f t="shared" si="703"/>
        <v>10000</v>
      </c>
      <c r="CZ584" s="1019">
        <f t="shared" si="704"/>
        <v>0</v>
      </c>
      <c r="DA584" s="177">
        <f t="shared" si="705"/>
        <v>0</v>
      </c>
      <c r="DB584" s="126"/>
      <c r="DC584" s="125"/>
    </row>
    <row r="585" spans="1:108" ht="51" hidden="1" x14ac:dyDescent="0.25">
      <c r="A585" s="19">
        <v>2026</v>
      </c>
      <c r="B585" s="20">
        <v>479</v>
      </c>
      <c r="C585" s="21" t="s">
        <v>64</v>
      </c>
      <c r="D585" s="21" t="s">
        <v>65</v>
      </c>
      <c r="E585" s="20">
        <v>125</v>
      </c>
      <c r="F585" s="20">
        <v>3000654</v>
      </c>
      <c r="G585" s="20">
        <v>5005023</v>
      </c>
      <c r="H585" s="20">
        <v>3</v>
      </c>
      <c r="I585" s="20">
        <v>12</v>
      </c>
      <c r="J585" s="20">
        <v>24</v>
      </c>
      <c r="K585" s="20">
        <v>135560</v>
      </c>
      <c r="L585" s="21" t="s">
        <v>220</v>
      </c>
      <c r="M585" s="33" t="s">
        <v>221</v>
      </c>
      <c r="N585" s="19">
        <v>97</v>
      </c>
      <c r="O585" s="2"/>
      <c r="P585" s="2" t="s">
        <v>4</v>
      </c>
      <c r="Q585" s="20" t="s">
        <v>68</v>
      </c>
      <c r="R585" s="25" t="s">
        <v>69</v>
      </c>
      <c r="S585" s="41" t="s">
        <v>137</v>
      </c>
      <c r="T585" s="41"/>
      <c r="U585" s="31" t="s">
        <v>397</v>
      </c>
      <c r="V585" s="25" t="s">
        <v>3</v>
      </c>
      <c r="W585" s="25">
        <v>1</v>
      </c>
      <c r="X585" s="595">
        <v>5000</v>
      </c>
      <c r="Y585" s="619"/>
      <c r="Z585" s="2"/>
      <c r="AA585" s="2"/>
      <c r="AB585" s="620"/>
      <c r="AC585" s="25">
        <v>30</v>
      </c>
      <c r="AD585" s="25">
        <v>30</v>
      </c>
      <c r="AE585" s="619"/>
      <c r="AF585" s="2"/>
      <c r="AG585" s="2"/>
      <c r="AH585" s="2"/>
      <c r="AI585" s="2"/>
      <c r="AJ585" s="621"/>
      <c r="AK585" s="596">
        <v>10000</v>
      </c>
      <c r="AL585" s="29" t="s">
        <v>73</v>
      </c>
      <c r="AM585" s="29" t="s">
        <v>73</v>
      </c>
      <c r="AN585" s="29" t="s">
        <v>73</v>
      </c>
      <c r="AO585" s="29" t="s">
        <v>73</v>
      </c>
      <c r="AP585" s="478">
        <v>5000</v>
      </c>
      <c r="AQ585" s="478">
        <v>5000</v>
      </c>
      <c r="AR585" s="29" t="s">
        <v>73</v>
      </c>
      <c r="AS585" s="29" t="s">
        <v>73</v>
      </c>
      <c r="AT585" s="29" t="s">
        <v>73</v>
      </c>
      <c r="AU585" s="29" t="s">
        <v>73</v>
      </c>
      <c r="AV585" s="29" t="s">
        <v>73</v>
      </c>
      <c r="AW585" s="29" t="s">
        <v>73</v>
      </c>
      <c r="AX585" s="30">
        <v>10000</v>
      </c>
      <c r="AY585" s="479" t="s">
        <v>6</v>
      </c>
      <c r="AZ585" s="2" t="s">
        <v>74</v>
      </c>
      <c r="BA585" s="2"/>
      <c r="BK585" s="125" t="s">
        <v>790</v>
      </c>
      <c r="BL585" s="481" t="s">
        <v>791</v>
      </c>
      <c r="BM585" s="125" t="s">
        <v>1998</v>
      </c>
      <c r="BN585" s="177" t="s">
        <v>1999</v>
      </c>
      <c r="BO585" s="125" t="s">
        <v>2000</v>
      </c>
      <c r="BP585" s="129">
        <v>46134</v>
      </c>
      <c r="BQ585" s="18"/>
      <c r="BR585" s="505" t="s">
        <v>2475</v>
      </c>
      <c r="BS585" s="18"/>
      <c r="BT585" s="656" t="s">
        <v>2002</v>
      </c>
      <c r="BU585" s="947" t="s">
        <v>1841</v>
      </c>
      <c r="BV585" s="125" t="s">
        <v>2476</v>
      </c>
      <c r="BW585" s="125" t="s">
        <v>2477</v>
      </c>
      <c r="BX585" s="125" t="s">
        <v>2478</v>
      </c>
      <c r="BY585" s="125">
        <v>71301456</v>
      </c>
      <c r="BZ585" s="125">
        <v>10713014562</v>
      </c>
      <c r="CA585" s="126">
        <v>5000</v>
      </c>
      <c r="CB585" s="289">
        <v>46143</v>
      </c>
      <c r="CC585" s="289">
        <v>46203</v>
      </c>
      <c r="CD585" s="759"/>
      <c r="CE585" s="177">
        <f t="shared" si="689"/>
        <v>30</v>
      </c>
      <c r="CF585" s="1019">
        <f t="shared" si="690"/>
        <v>5000</v>
      </c>
      <c r="CG585" s="177">
        <v>30</v>
      </c>
      <c r="CH585" s="1019">
        <f t="shared" si="691"/>
        <v>5000</v>
      </c>
      <c r="CI585" s="177">
        <v>30</v>
      </c>
      <c r="CJ585" s="1019">
        <f t="shared" si="692"/>
        <v>5000</v>
      </c>
      <c r="CK585" s="177">
        <f t="shared" si="731"/>
        <v>0</v>
      </c>
      <c r="CL585" s="177">
        <f t="shared" si="732"/>
        <v>0</v>
      </c>
      <c r="CM585" s="1006"/>
      <c r="CN585" s="177">
        <f t="shared" si="695"/>
        <v>30</v>
      </c>
      <c r="CO585" s="1019">
        <f t="shared" si="696"/>
        <v>5000</v>
      </c>
      <c r="CP585" s="177">
        <v>30</v>
      </c>
      <c r="CQ585" s="1019">
        <f t="shared" si="697"/>
        <v>5000</v>
      </c>
      <c r="CR585" s="177">
        <v>30</v>
      </c>
      <c r="CS585" s="1019">
        <f t="shared" si="726"/>
        <v>5000</v>
      </c>
      <c r="CT585" s="177">
        <f t="shared" si="729"/>
        <v>0</v>
      </c>
      <c r="CU585" s="177">
        <f t="shared" si="730"/>
        <v>0</v>
      </c>
      <c r="CV585" s="1006"/>
      <c r="CW585" s="177">
        <f t="shared" si="701"/>
        <v>10000</v>
      </c>
      <c r="CX585" s="1019">
        <f t="shared" si="702"/>
        <v>10000</v>
      </c>
      <c r="CY585" s="177">
        <f t="shared" si="703"/>
        <v>10000</v>
      </c>
      <c r="CZ585" s="1019">
        <f t="shared" si="704"/>
        <v>0</v>
      </c>
      <c r="DA585" s="177">
        <f t="shared" si="705"/>
        <v>0</v>
      </c>
      <c r="DB585" s="126"/>
      <c r="DC585" s="125"/>
    </row>
    <row r="586" spans="1:108" s="836" customFormat="1" ht="38.25" hidden="1" x14ac:dyDescent="0.25">
      <c r="A586" s="824">
        <v>2026</v>
      </c>
      <c r="B586" s="825">
        <v>479</v>
      </c>
      <c r="C586" s="826" t="s">
        <v>64</v>
      </c>
      <c r="D586" s="826" t="s">
        <v>65</v>
      </c>
      <c r="E586" s="825">
        <v>125</v>
      </c>
      <c r="F586" s="825">
        <v>3000654</v>
      </c>
      <c r="G586" s="825">
        <v>5005023</v>
      </c>
      <c r="H586" s="825">
        <v>3</v>
      </c>
      <c r="I586" s="825">
        <v>12</v>
      </c>
      <c r="J586" s="825">
        <v>24</v>
      </c>
      <c r="K586" s="825">
        <v>135560</v>
      </c>
      <c r="L586" s="826" t="s">
        <v>98</v>
      </c>
      <c r="M586" s="827" t="s">
        <v>99</v>
      </c>
      <c r="N586" s="824">
        <v>94</v>
      </c>
      <c r="O586" s="828"/>
      <c r="P586" s="828" t="s">
        <v>4</v>
      </c>
      <c r="Q586" s="825" t="s">
        <v>68</v>
      </c>
      <c r="R586" s="829" t="s">
        <v>69</v>
      </c>
      <c r="S586" s="830" t="s">
        <v>137</v>
      </c>
      <c r="T586" s="830"/>
      <c r="U586" s="849" t="s">
        <v>2479</v>
      </c>
      <c r="V586" s="829" t="s">
        <v>3</v>
      </c>
      <c r="W586" s="829">
        <v>1</v>
      </c>
      <c r="X586" s="832">
        <v>6000</v>
      </c>
      <c r="Y586" s="874"/>
      <c r="Z586" s="828"/>
      <c r="AA586" s="828"/>
      <c r="AB586" s="875"/>
      <c r="AC586" s="829">
        <v>30</v>
      </c>
      <c r="AD586" s="829">
        <v>0</v>
      </c>
      <c r="AE586" s="874"/>
      <c r="AF586" s="828"/>
      <c r="AG586" s="828"/>
      <c r="AH586" s="828"/>
      <c r="AI586" s="828"/>
      <c r="AJ586" s="876"/>
      <c r="AK586" s="833">
        <v>6000</v>
      </c>
      <c r="AL586" s="29" t="s">
        <v>73</v>
      </c>
      <c r="AM586" s="29" t="s">
        <v>73</v>
      </c>
      <c r="AN586" s="29" t="s">
        <v>73</v>
      </c>
      <c r="AO586" s="29" t="s">
        <v>73</v>
      </c>
      <c r="AP586" s="478">
        <v>6000</v>
      </c>
      <c r="AQ586" s="648">
        <v>0</v>
      </c>
      <c r="AR586" s="29" t="s">
        <v>73</v>
      </c>
      <c r="AS586" s="29" t="s">
        <v>73</v>
      </c>
      <c r="AT586" s="29" t="s">
        <v>73</v>
      </c>
      <c r="AU586" s="29" t="s">
        <v>73</v>
      </c>
      <c r="AV586" s="29" t="s">
        <v>73</v>
      </c>
      <c r="AW586" s="29" t="s">
        <v>73</v>
      </c>
      <c r="AX586" s="834">
        <v>6000</v>
      </c>
      <c r="AY586" s="835" t="s">
        <v>6</v>
      </c>
      <c r="AZ586" s="828" t="s">
        <v>74</v>
      </c>
      <c r="BA586" s="828"/>
      <c r="BD586"/>
      <c r="BE586"/>
      <c r="BF586"/>
      <c r="BG586"/>
      <c r="BH586"/>
      <c r="BI586"/>
      <c r="BJ586"/>
      <c r="BK586" s="481" t="s">
        <v>802</v>
      </c>
      <c r="BL586" s="837" t="s">
        <v>803</v>
      </c>
      <c r="BM586" s="845"/>
      <c r="BN586" s="850"/>
      <c r="BO586" s="845"/>
      <c r="BP586" s="851"/>
      <c r="BQ586" s="841"/>
      <c r="BR586" s="841"/>
      <c r="BS586" s="841"/>
      <c r="BT586" s="841"/>
      <c r="BU586" s="841"/>
      <c r="BV586" s="481"/>
      <c r="BW586" s="481"/>
      <c r="BX586" s="481"/>
      <c r="BY586" s="284"/>
      <c r="BZ586" s="284"/>
      <c r="CA586" s="126"/>
      <c r="CB586" s="289"/>
      <c r="CC586" s="842"/>
      <c r="CD586" s="759"/>
      <c r="CE586" s="177">
        <f t="shared" si="689"/>
        <v>30</v>
      </c>
      <c r="CF586" s="1019">
        <f t="shared" si="690"/>
        <v>6000</v>
      </c>
      <c r="CG586" s="177"/>
      <c r="CH586" s="1019">
        <f t="shared" si="691"/>
        <v>0</v>
      </c>
      <c r="CI586" s="177"/>
      <c r="CJ586" s="1019">
        <f t="shared" si="692"/>
        <v>0</v>
      </c>
      <c r="CK586" s="177">
        <f t="shared" si="693"/>
        <v>6000</v>
      </c>
      <c r="CL586" s="177">
        <f t="shared" si="694"/>
        <v>6000</v>
      </c>
      <c r="CM586" s="1006"/>
      <c r="CN586" s="177">
        <f t="shared" si="695"/>
        <v>0</v>
      </c>
      <c r="CO586" s="1019">
        <f t="shared" si="696"/>
        <v>0</v>
      </c>
      <c r="CP586" s="177"/>
      <c r="CQ586" s="1019">
        <f t="shared" si="697"/>
        <v>0</v>
      </c>
      <c r="CR586" s="1019"/>
      <c r="CS586" s="1019">
        <f t="shared" si="698"/>
        <v>0</v>
      </c>
      <c r="CT586" s="177">
        <f t="shared" si="699"/>
        <v>0</v>
      </c>
      <c r="CU586" s="839">
        <f t="shared" si="700"/>
        <v>0</v>
      </c>
      <c r="CV586" s="1020"/>
      <c r="CW586" s="839">
        <f t="shared" si="701"/>
        <v>6000</v>
      </c>
      <c r="CX586" s="1021">
        <f t="shared" si="702"/>
        <v>0</v>
      </c>
      <c r="CY586" s="839">
        <f t="shared" si="703"/>
        <v>0</v>
      </c>
      <c r="CZ586" s="1019">
        <f t="shared" si="704"/>
        <v>6000</v>
      </c>
      <c r="DA586" s="839">
        <f t="shared" si="705"/>
        <v>6000</v>
      </c>
      <c r="DB586" s="843"/>
      <c r="DC586" s="838"/>
    </row>
    <row r="587" spans="1:108" ht="51" hidden="1" x14ac:dyDescent="0.25">
      <c r="A587" s="19">
        <v>2026</v>
      </c>
      <c r="B587" s="20">
        <v>479</v>
      </c>
      <c r="C587" s="21" t="s">
        <v>64</v>
      </c>
      <c r="D587" s="21" t="s">
        <v>65</v>
      </c>
      <c r="E587" s="20">
        <v>125</v>
      </c>
      <c r="F587" s="20">
        <v>3000654</v>
      </c>
      <c r="G587" s="20">
        <v>5005023</v>
      </c>
      <c r="H587" s="20">
        <v>3</v>
      </c>
      <c r="I587" s="20">
        <v>12</v>
      </c>
      <c r="J587" s="20">
        <v>24</v>
      </c>
      <c r="K587" s="20">
        <v>135560</v>
      </c>
      <c r="L587" s="21" t="s">
        <v>220</v>
      </c>
      <c r="M587" s="33" t="s">
        <v>221</v>
      </c>
      <c r="N587" s="19">
        <v>97</v>
      </c>
      <c r="O587" s="2"/>
      <c r="P587" s="2" t="s">
        <v>4</v>
      </c>
      <c r="Q587" s="20" t="s">
        <v>68</v>
      </c>
      <c r="R587" s="25" t="s">
        <v>69</v>
      </c>
      <c r="S587" s="41" t="s">
        <v>137</v>
      </c>
      <c r="T587" s="41"/>
      <c r="U587" s="651" t="s">
        <v>2480</v>
      </c>
      <c r="V587" s="25" t="s">
        <v>3</v>
      </c>
      <c r="W587" s="25">
        <v>1</v>
      </c>
      <c r="X587" s="595">
        <v>6000</v>
      </c>
      <c r="Y587" s="619"/>
      <c r="Z587" s="2"/>
      <c r="AA587" s="2"/>
      <c r="AB587" s="620"/>
      <c r="AC587" s="25">
        <v>0</v>
      </c>
      <c r="AD587" s="25">
        <v>30</v>
      </c>
      <c r="AE587" s="619"/>
      <c r="AF587" s="2"/>
      <c r="AG587" s="2"/>
      <c r="AH587" s="2"/>
      <c r="AI587" s="2"/>
      <c r="AJ587" s="621"/>
      <c r="AK587" s="596">
        <v>6000</v>
      </c>
      <c r="AL587" s="29" t="s">
        <v>73</v>
      </c>
      <c r="AM587" s="29" t="s">
        <v>73</v>
      </c>
      <c r="AN587" s="29" t="s">
        <v>73</v>
      </c>
      <c r="AO587" s="29" t="s">
        <v>73</v>
      </c>
      <c r="AP587" s="648">
        <v>0</v>
      </c>
      <c r="AQ587" s="478">
        <v>6000</v>
      </c>
      <c r="AR587" s="29" t="s">
        <v>73</v>
      </c>
      <c r="AS587" s="29" t="s">
        <v>73</v>
      </c>
      <c r="AT587" s="29" t="s">
        <v>73</v>
      </c>
      <c r="AU587" s="29" t="s">
        <v>73</v>
      </c>
      <c r="AV587" s="29" t="s">
        <v>73</v>
      </c>
      <c r="AW587" s="29" t="s">
        <v>73</v>
      </c>
      <c r="AX587" s="30">
        <v>6000</v>
      </c>
      <c r="AY587" s="479" t="s">
        <v>6</v>
      </c>
      <c r="AZ587" s="2" t="s">
        <v>74</v>
      </c>
      <c r="BA587" s="2"/>
      <c r="BK587" s="481" t="s">
        <v>790</v>
      </c>
      <c r="BL587" s="481" t="s">
        <v>791</v>
      </c>
      <c r="BM587" s="284" t="s">
        <v>1830</v>
      </c>
      <c r="BN587" s="565" t="s">
        <v>1831</v>
      </c>
      <c r="BO587" s="284" t="s">
        <v>1832</v>
      </c>
      <c r="BP587" s="285">
        <v>46175</v>
      </c>
      <c r="BQ587" s="18"/>
      <c r="BR587" s="18"/>
      <c r="BS587" s="18"/>
      <c r="BT587" s="18"/>
      <c r="BU587" s="18"/>
      <c r="BV587" s="481" t="s">
        <v>2481</v>
      </c>
      <c r="BW587" s="481" t="s">
        <v>2482</v>
      </c>
      <c r="BX587" s="481" t="s">
        <v>2483</v>
      </c>
      <c r="BY587" s="125">
        <v>80639112</v>
      </c>
      <c r="BZ587" s="125">
        <v>10806391129</v>
      </c>
      <c r="CA587" s="288">
        <v>6000</v>
      </c>
      <c r="CB587" s="289">
        <v>46178</v>
      </c>
      <c r="CC587" s="289">
        <v>46203</v>
      </c>
      <c r="CD587" s="759"/>
      <c r="CE587" s="414">
        <f>AC587</f>
        <v>0</v>
      </c>
      <c r="CF587" s="1037">
        <f>AP587</f>
        <v>0</v>
      </c>
      <c r="CG587" s="177"/>
      <c r="CH587" s="1019">
        <f t="shared" si="691"/>
        <v>0</v>
      </c>
      <c r="CI587" s="177"/>
      <c r="CJ587" s="1019">
        <f t="shared" si="692"/>
        <v>0</v>
      </c>
      <c r="CK587" s="177">
        <f t="shared" si="693"/>
        <v>0</v>
      </c>
      <c r="CL587" s="177">
        <f t="shared" si="694"/>
        <v>0</v>
      </c>
      <c r="CM587" s="1006"/>
      <c r="CN587" s="177">
        <f t="shared" si="695"/>
        <v>30</v>
      </c>
      <c r="CO587" s="1019">
        <f t="shared" si="696"/>
        <v>6000</v>
      </c>
      <c r="CP587" s="177">
        <v>26</v>
      </c>
      <c r="CQ587" s="1019">
        <f t="shared" si="697"/>
        <v>5200</v>
      </c>
      <c r="CR587" s="414">
        <v>26</v>
      </c>
      <c r="CS587" s="1019">
        <f t="shared" si="698"/>
        <v>5200</v>
      </c>
      <c r="CT587" s="177">
        <f t="shared" si="699"/>
        <v>800</v>
      </c>
      <c r="CU587" s="177">
        <f t="shared" si="700"/>
        <v>800</v>
      </c>
      <c r="CV587" s="1006"/>
      <c r="CW587" s="177">
        <f t="shared" si="701"/>
        <v>6000</v>
      </c>
      <c r="CX587" s="1019">
        <f t="shared" si="702"/>
        <v>5200</v>
      </c>
      <c r="CY587" s="177">
        <f t="shared" si="703"/>
        <v>5200</v>
      </c>
      <c r="CZ587" s="1019">
        <f t="shared" si="704"/>
        <v>800</v>
      </c>
      <c r="DA587" s="177">
        <f t="shared" si="705"/>
        <v>800</v>
      </c>
      <c r="DB587" s="126"/>
      <c r="DC587" s="125"/>
    </row>
    <row r="588" spans="1:108" ht="51" hidden="1" x14ac:dyDescent="0.25">
      <c r="A588" s="19">
        <v>2026</v>
      </c>
      <c r="B588" s="20">
        <v>479</v>
      </c>
      <c r="C588" s="21" t="s">
        <v>64</v>
      </c>
      <c r="D588" s="21" t="s">
        <v>65</v>
      </c>
      <c r="E588" s="20">
        <v>125</v>
      </c>
      <c r="F588" s="20">
        <v>3000654</v>
      </c>
      <c r="G588" s="20">
        <v>5005023</v>
      </c>
      <c r="H588" s="20">
        <v>3</v>
      </c>
      <c r="I588" s="20">
        <v>12</v>
      </c>
      <c r="J588" s="20">
        <v>24</v>
      </c>
      <c r="K588" s="20">
        <v>135560</v>
      </c>
      <c r="L588" s="21" t="s">
        <v>98</v>
      </c>
      <c r="M588" s="33" t="s">
        <v>99</v>
      </c>
      <c r="N588" s="19">
        <v>94</v>
      </c>
      <c r="O588" s="2"/>
      <c r="P588" s="2" t="s">
        <v>4</v>
      </c>
      <c r="Q588" s="20" t="s">
        <v>68</v>
      </c>
      <c r="R588" s="25" t="s">
        <v>69</v>
      </c>
      <c r="S588" s="41" t="s">
        <v>137</v>
      </c>
      <c r="T588" s="41"/>
      <c r="U588" s="31" t="s">
        <v>240</v>
      </c>
      <c r="V588" s="25" t="s">
        <v>3</v>
      </c>
      <c r="W588" s="25">
        <v>1</v>
      </c>
      <c r="X588" s="595">
        <v>5500</v>
      </c>
      <c r="Y588" s="619"/>
      <c r="Z588" s="2"/>
      <c r="AA588" s="2"/>
      <c r="AB588" s="620"/>
      <c r="AC588" s="25">
        <v>30</v>
      </c>
      <c r="AD588" s="25">
        <v>0</v>
      </c>
      <c r="AE588" s="619"/>
      <c r="AF588" s="2"/>
      <c r="AG588" s="2"/>
      <c r="AH588" s="2"/>
      <c r="AI588" s="2"/>
      <c r="AJ588" s="621"/>
      <c r="AK588" s="596">
        <v>5500</v>
      </c>
      <c r="AL588" s="29" t="s">
        <v>73</v>
      </c>
      <c r="AM588" s="29" t="s">
        <v>73</v>
      </c>
      <c r="AN588" s="29" t="s">
        <v>73</v>
      </c>
      <c r="AO588" s="29" t="s">
        <v>73</v>
      </c>
      <c r="AP588" s="478">
        <v>5500</v>
      </c>
      <c r="AQ588" s="648">
        <v>0</v>
      </c>
      <c r="AR588" s="29" t="s">
        <v>73</v>
      </c>
      <c r="AS588" s="29" t="s">
        <v>73</v>
      </c>
      <c r="AT588" s="29" t="s">
        <v>73</v>
      </c>
      <c r="AU588" s="29" t="s">
        <v>73</v>
      </c>
      <c r="AV588" s="29" t="s">
        <v>73</v>
      </c>
      <c r="AW588" s="29" t="s">
        <v>73</v>
      </c>
      <c r="AX588" s="30">
        <v>5500</v>
      </c>
      <c r="AY588" s="165" t="s">
        <v>6</v>
      </c>
      <c r="AZ588" s="2" t="s">
        <v>74</v>
      </c>
      <c r="BA588" s="2"/>
      <c r="BK588" s="147" t="s">
        <v>790</v>
      </c>
      <c r="BL588" s="481" t="s">
        <v>791</v>
      </c>
      <c r="BM588" s="125" t="s">
        <v>1806</v>
      </c>
      <c r="BN588" s="649" t="s">
        <v>1807</v>
      </c>
      <c r="BO588" s="125" t="s">
        <v>1808</v>
      </c>
      <c r="BP588" s="129">
        <v>46134</v>
      </c>
      <c r="BQ588" s="18"/>
      <c r="BR588" s="505" t="s">
        <v>2484</v>
      </c>
      <c r="BS588" s="18"/>
      <c r="BT588" s="656" t="s">
        <v>2485</v>
      </c>
      <c r="BU588" s="18"/>
      <c r="BV588" s="552" t="s">
        <v>996</v>
      </c>
      <c r="BW588" s="646" t="s">
        <v>2486</v>
      </c>
      <c r="BX588" s="646" t="s">
        <v>2487</v>
      </c>
      <c r="BY588" s="552">
        <v>46901338</v>
      </c>
      <c r="BZ588" s="552">
        <v>10469013389</v>
      </c>
      <c r="CA588" s="552">
        <v>5500</v>
      </c>
      <c r="CB588" s="289">
        <v>46143</v>
      </c>
      <c r="CC588" s="289">
        <v>46173</v>
      </c>
      <c r="CD588" s="759"/>
      <c r="CE588" s="177">
        <f t="shared" si="689"/>
        <v>30</v>
      </c>
      <c r="CF588" s="1019">
        <f t="shared" si="690"/>
        <v>5500</v>
      </c>
      <c r="CG588" s="177">
        <v>30</v>
      </c>
      <c r="CH588" s="1019">
        <f t="shared" si="691"/>
        <v>5500</v>
      </c>
      <c r="CI588" s="177">
        <v>30</v>
      </c>
      <c r="CJ588" s="1019">
        <f t="shared" si="692"/>
        <v>5500</v>
      </c>
      <c r="CK588" s="177">
        <f t="shared" si="693"/>
        <v>0</v>
      </c>
      <c r="CL588" s="177">
        <f t="shared" si="694"/>
        <v>0</v>
      </c>
      <c r="CM588" s="1006"/>
      <c r="CN588" s="177">
        <f t="shared" si="695"/>
        <v>0</v>
      </c>
      <c r="CO588" s="1019">
        <f t="shared" si="696"/>
        <v>0</v>
      </c>
      <c r="CP588" s="177"/>
      <c r="CQ588" s="1019">
        <f t="shared" si="697"/>
        <v>0</v>
      </c>
      <c r="CR588" s="1019"/>
      <c r="CS588" s="1019">
        <f t="shared" si="698"/>
        <v>0</v>
      </c>
      <c r="CT588" s="177">
        <f t="shared" si="699"/>
        <v>0</v>
      </c>
      <c r="CU588" s="177">
        <f t="shared" si="700"/>
        <v>0</v>
      </c>
      <c r="CV588" s="1006"/>
      <c r="CW588" s="177">
        <f t="shared" si="701"/>
        <v>5500</v>
      </c>
      <c r="CX588" s="1019">
        <f t="shared" si="702"/>
        <v>5500</v>
      </c>
      <c r="CY588" s="177">
        <f t="shared" si="703"/>
        <v>5500</v>
      </c>
      <c r="CZ588" s="1019">
        <f t="shared" si="704"/>
        <v>0</v>
      </c>
      <c r="DA588" s="177">
        <f t="shared" si="705"/>
        <v>0</v>
      </c>
      <c r="DB588" s="126"/>
      <c r="DC588" s="125"/>
    </row>
    <row r="589" spans="1:108" ht="51" hidden="1" x14ac:dyDescent="0.25">
      <c r="A589" s="19">
        <v>2026</v>
      </c>
      <c r="B589" s="20">
        <v>479</v>
      </c>
      <c r="C589" s="21" t="s">
        <v>64</v>
      </c>
      <c r="D589" s="21" t="s">
        <v>65</v>
      </c>
      <c r="E589" s="20">
        <v>125</v>
      </c>
      <c r="F589" s="20">
        <v>3000654</v>
      </c>
      <c r="G589" s="20">
        <v>5005023</v>
      </c>
      <c r="H589" s="20">
        <v>3</v>
      </c>
      <c r="I589" s="20">
        <v>12</v>
      </c>
      <c r="J589" s="20">
        <v>24</v>
      </c>
      <c r="K589" s="20">
        <v>135560</v>
      </c>
      <c r="L589" s="21" t="s">
        <v>220</v>
      </c>
      <c r="M589" s="33" t="s">
        <v>221</v>
      </c>
      <c r="N589" s="19">
        <v>97</v>
      </c>
      <c r="O589" s="2"/>
      <c r="P589" s="2" t="s">
        <v>4</v>
      </c>
      <c r="Q589" s="20" t="s">
        <v>68</v>
      </c>
      <c r="R589" s="25" t="s">
        <v>69</v>
      </c>
      <c r="S589" s="41" t="s">
        <v>137</v>
      </c>
      <c r="T589" s="41"/>
      <c r="U589" s="31" t="s">
        <v>240</v>
      </c>
      <c r="V589" s="25" t="s">
        <v>3</v>
      </c>
      <c r="W589" s="25">
        <v>1</v>
      </c>
      <c r="X589" s="595">
        <v>5500</v>
      </c>
      <c r="Y589" s="619"/>
      <c r="Z589" s="2"/>
      <c r="AA589" s="2"/>
      <c r="AB589" s="620"/>
      <c r="AC589" s="25">
        <v>0</v>
      </c>
      <c r="AD589" s="25">
        <v>30</v>
      </c>
      <c r="AE589" s="619"/>
      <c r="AF589" s="2"/>
      <c r="AG589" s="2"/>
      <c r="AH589" s="2"/>
      <c r="AI589" s="2"/>
      <c r="AJ589" s="621"/>
      <c r="AK589" s="596">
        <v>5500</v>
      </c>
      <c r="AL589" s="29" t="s">
        <v>73</v>
      </c>
      <c r="AM589" s="29" t="s">
        <v>73</v>
      </c>
      <c r="AN589" s="29" t="s">
        <v>73</v>
      </c>
      <c r="AO589" s="29" t="s">
        <v>73</v>
      </c>
      <c r="AP589" s="648">
        <v>0</v>
      </c>
      <c r="AQ589" s="478">
        <v>5500</v>
      </c>
      <c r="AR589" s="29" t="s">
        <v>73</v>
      </c>
      <c r="AS589" s="29" t="s">
        <v>73</v>
      </c>
      <c r="AT589" s="29" t="s">
        <v>73</v>
      </c>
      <c r="AU589" s="29" t="s">
        <v>73</v>
      </c>
      <c r="AV589" s="29" t="s">
        <v>73</v>
      </c>
      <c r="AW589" s="29" t="s">
        <v>73</v>
      </c>
      <c r="AX589" s="30">
        <v>5500</v>
      </c>
      <c r="AY589" s="479" t="s">
        <v>6</v>
      </c>
      <c r="AZ589" s="2" t="s">
        <v>74</v>
      </c>
      <c r="BA589" s="2"/>
      <c r="BK589" s="125" t="s">
        <v>790</v>
      </c>
      <c r="BL589" s="481" t="s">
        <v>791</v>
      </c>
      <c r="BM589" s="125" t="s">
        <v>1812</v>
      </c>
      <c r="BN589" s="177" t="s">
        <v>1813</v>
      </c>
      <c r="BO589" s="125" t="s">
        <v>1814</v>
      </c>
      <c r="BP589" s="129">
        <v>46156</v>
      </c>
      <c r="BQ589" s="18"/>
      <c r="BR589" s="287">
        <v>5014</v>
      </c>
      <c r="BS589" s="18"/>
      <c r="BT589" s="18"/>
      <c r="BU589" s="951" t="s">
        <v>1815</v>
      </c>
      <c r="BV589" s="552" t="s">
        <v>996</v>
      </c>
      <c r="BW589" s="649" t="s">
        <v>2486</v>
      </c>
      <c r="BX589" s="649" t="s">
        <v>2487</v>
      </c>
      <c r="BY589" s="552">
        <v>46901338</v>
      </c>
      <c r="BZ589" s="552">
        <v>10469013389</v>
      </c>
      <c r="CA589" s="650">
        <v>5500</v>
      </c>
      <c r="CB589" s="289">
        <v>46174</v>
      </c>
      <c r="CC589" s="289">
        <v>46203</v>
      </c>
      <c r="CD589" s="759"/>
      <c r="CE589" s="177">
        <f t="shared" ref="CE589:CE623" si="733">AC589</f>
        <v>0</v>
      </c>
      <c r="CF589" s="1019">
        <f t="shared" ref="CF589:CF622" si="734">AP589</f>
        <v>0</v>
      </c>
      <c r="CG589" s="177"/>
      <c r="CH589" s="1019">
        <f t="shared" ref="CH589:CH622" si="735">(X589/30)*CG589</f>
        <v>0</v>
      </c>
      <c r="CI589" s="177"/>
      <c r="CJ589" s="1019">
        <f t="shared" ref="CJ589:CJ622" si="736">(X589/30)*CI589</f>
        <v>0</v>
      </c>
      <c r="CK589" s="177">
        <f t="shared" ref="CK589:CK623" si="737">CF589-CH589</f>
        <v>0</v>
      </c>
      <c r="CL589" s="177">
        <f t="shared" ref="CL589:CL623" si="738">CF589-CJ589</f>
        <v>0</v>
      </c>
      <c r="CM589" s="1006"/>
      <c r="CN589" s="177">
        <f t="shared" ref="CN589:CN623" si="739">AD589</f>
        <v>30</v>
      </c>
      <c r="CO589" s="1019">
        <f t="shared" ref="CO589:CO621" si="740">AQ589</f>
        <v>5500</v>
      </c>
      <c r="CP589" s="177">
        <v>30</v>
      </c>
      <c r="CQ589" s="1019">
        <f t="shared" ref="CQ589:CQ623" si="741">(X589/30)*CP589</f>
        <v>5500</v>
      </c>
      <c r="CR589" s="1019">
        <v>30</v>
      </c>
      <c r="CS589" s="1019">
        <f t="shared" ref="CS589:CS623" si="742">(X589/30)*CR589</f>
        <v>5500</v>
      </c>
      <c r="CT589" s="177">
        <f t="shared" ref="CT589:CT622" si="743">CO589-CQ589</f>
        <v>0</v>
      </c>
      <c r="CU589" s="177">
        <f t="shared" ref="CU589:CU622" si="744">CO589-CS589</f>
        <v>0</v>
      </c>
      <c r="CV589" s="1006"/>
      <c r="CW589" s="177">
        <f t="shared" si="701"/>
        <v>5500</v>
      </c>
      <c r="CX589" s="1019">
        <f t="shared" si="702"/>
        <v>5500</v>
      </c>
      <c r="CY589" s="177">
        <f t="shared" si="703"/>
        <v>5500</v>
      </c>
      <c r="CZ589" s="1019">
        <f t="shared" si="704"/>
        <v>0</v>
      </c>
      <c r="DA589" s="177">
        <f t="shared" si="705"/>
        <v>0</v>
      </c>
      <c r="DB589" s="126"/>
      <c r="DC589" s="125"/>
    </row>
    <row r="590" spans="1:108" ht="51" hidden="1" x14ac:dyDescent="0.25">
      <c r="A590" s="19">
        <v>2026</v>
      </c>
      <c r="B590" s="20">
        <v>479</v>
      </c>
      <c r="C590" s="21" t="s">
        <v>64</v>
      </c>
      <c r="D590" s="21" t="s">
        <v>65</v>
      </c>
      <c r="E590" s="20">
        <v>125</v>
      </c>
      <c r="F590" s="20">
        <v>3000654</v>
      </c>
      <c r="G590" s="20">
        <v>5005023</v>
      </c>
      <c r="H590" s="20">
        <v>3</v>
      </c>
      <c r="I590" s="20">
        <v>12</v>
      </c>
      <c r="J590" s="20">
        <v>24</v>
      </c>
      <c r="K590" s="20">
        <v>135560</v>
      </c>
      <c r="L590" s="21" t="s">
        <v>98</v>
      </c>
      <c r="M590" s="33" t="s">
        <v>99</v>
      </c>
      <c r="N590" s="19">
        <v>94</v>
      </c>
      <c r="O590" s="2"/>
      <c r="P590" s="2" t="s">
        <v>4</v>
      </c>
      <c r="Q590" s="20" t="s">
        <v>68</v>
      </c>
      <c r="R590" s="25" t="s">
        <v>69</v>
      </c>
      <c r="S590" s="41" t="s">
        <v>137</v>
      </c>
      <c r="T590" s="41"/>
      <c r="U590" s="31" t="s">
        <v>259</v>
      </c>
      <c r="V590" s="25" t="s">
        <v>3</v>
      </c>
      <c r="W590" s="25">
        <v>1</v>
      </c>
      <c r="X590" s="595">
        <v>7000</v>
      </c>
      <c r="Y590" s="619"/>
      <c r="Z590" s="2"/>
      <c r="AA590" s="2"/>
      <c r="AB590" s="620"/>
      <c r="AC590" s="25">
        <v>30</v>
      </c>
      <c r="AD590" s="25">
        <v>0</v>
      </c>
      <c r="AE590" s="619"/>
      <c r="AF590" s="2"/>
      <c r="AG590" s="2"/>
      <c r="AH590" s="2"/>
      <c r="AI590" s="2"/>
      <c r="AJ590" s="621"/>
      <c r="AK590" s="596">
        <v>7000</v>
      </c>
      <c r="AL590" s="29" t="s">
        <v>73</v>
      </c>
      <c r="AM590" s="29" t="s">
        <v>73</v>
      </c>
      <c r="AN590" s="29" t="s">
        <v>73</v>
      </c>
      <c r="AO590" s="29" t="s">
        <v>73</v>
      </c>
      <c r="AP590" s="478">
        <v>7000</v>
      </c>
      <c r="AQ590" s="648">
        <v>0</v>
      </c>
      <c r="AR590" s="29" t="s">
        <v>73</v>
      </c>
      <c r="AS590" s="29" t="s">
        <v>73</v>
      </c>
      <c r="AT590" s="29" t="s">
        <v>73</v>
      </c>
      <c r="AU590" s="29" t="s">
        <v>73</v>
      </c>
      <c r="AV590" s="29" t="s">
        <v>73</v>
      </c>
      <c r="AW590" s="29" t="s">
        <v>73</v>
      </c>
      <c r="AX590" s="30">
        <v>7000</v>
      </c>
      <c r="AY590" s="165" t="s">
        <v>6</v>
      </c>
      <c r="AZ590" s="2" t="s">
        <v>74</v>
      </c>
      <c r="BA590" s="2"/>
      <c r="BK590" s="147" t="s">
        <v>790</v>
      </c>
      <c r="BL590" s="481" t="s">
        <v>791</v>
      </c>
      <c r="BM590" s="125" t="s">
        <v>1806</v>
      </c>
      <c r="BN590" s="649" t="s">
        <v>1959</v>
      </c>
      <c r="BO590" s="125" t="s">
        <v>1808</v>
      </c>
      <c r="BP590" s="129">
        <v>46134</v>
      </c>
      <c r="BQ590" s="18"/>
      <c r="BR590" s="505" t="s">
        <v>2488</v>
      </c>
      <c r="BS590" s="18"/>
      <c r="BT590" s="656" t="s">
        <v>1809</v>
      </c>
      <c r="BU590" s="18"/>
      <c r="BV590" s="125" t="s">
        <v>856</v>
      </c>
      <c r="BW590" s="125" t="s">
        <v>2489</v>
      </c>
      <c r="BX590" s="125" t="s">
        <v>2490</v>
      </c>
      <c r="BY590" s="125">
        <v>45153030</v>
      </c>
      <c r="BZ590" s="125">
        <v>10451530301</v>
      </c>
      <c r="CA590" s="126">
        <v>7000</v>
      </c>
      <c r="CB590" s="289">
        <v>46143</v>
      </c>
      <c r="CC590" s="289">
        <v>46173</v>
      </c>
      <c r="CD590" s="759"/>
      <c r="CE590" s="177">
        <f t="shared" si="733"/>
        <v>30</v>
      </c>
      <c r="CF590" s="1019">
        <f t="shared" si="734"/>
        <v>7000</v>
      </c>
      <c r="CG590" s="177">
        <v>30</v>
      </c>
      <c r="CH590" s="1019">
        <f t="shared" si="735"/>
        <v>7000</v>
      </c>
      <c r="CI590" s="177">
        <v>30</v>
      </c>
      <c r="CJ590" s="1019">
        <f t="shared" si="736"/>
        <v>7000</v>
      </c>
      <c r="CK590" s="177">
        <f t="shared" si="737"/>
        <v>0</v>
      </c>
      <c r="CL590" s="177">
        <f t="shared" si="738"/>
        <v>0</v>
      </c>
      <c r="CM590" s="1006"/>
      <c r="CN590" s="177">
        <f t="shared" si="739"/>
        <v>0</v>
      </c>
      <c r="CO590" s="1019">
        <f t="shared" si="740"/>
        <v>0</v>
      </c>
      <c r="CP590" s="177">
        <v>0</v>
      </c>
      <c r="CQ590" s="1019">
        <f t="shared" si="741"/>
        <v>0</v>
      </c>
      <c r="CR590" s="1019">
        <v>0</v>
      </c>
      <c r="CS590" s="1019">
        <f t="shared" si="742"/>
        <v>0</v>
      </c>
      <c r="CT590" s="177">
        <f>CO590-CQ590</f>
        <v>0</v>
      </c>
      <c r="CU590" s="177">
        <f t="shared" si="744"/>
        <v>0</v>
      </c>
      <c r="CV590" s="1006"/>
      <c r="CW590" s="177">
        <f t="shared" si="701"/>
        <v>7000</v>
      </c>
      <c r="CX590" s="1019">
        <f t="shared" si="702"/>
        <v>7000</v>
      </c>
      <c r="CY590" s="177">
        <f t="shared" si="703"/>
        <v>7000</v>
      </c>
      <c r="CZ590" s="1019">
        <f t="shared" si="704"/>
        <v>0</v>
      </c>
      <c r="DA590" s="177">
        <f t="shared" si="705"/>
        <v>0</v>
      </c>
      <c r="DB590" s="126"/>
      <c r="DC590" s="125"/>
    </row>
    <row r="591" spans="1:108" ht="51" hidden="1" x14ac:dyDescent="0.25">
      <c r="A591" s="19">
        <v>2026</v>
      </c>
      <c r="B591" s="20">
        <v>479</v>
      </c>
      <c r="C591" s="21" t="s">
        <v>64</v>
      </c>
      <c r="D591" s="21" t="s">
        <v>65</v>
      </c>
      <c r="E591" s="20">
        <v>125</v>
      </c>
      <c r="F591" s="20">
        <v>3000654</v>
      </c>
      <c r="G591" s="20">
        <v>5005023</v>
      </c>
      <c r="H591" s="20">
        <v>3</v>
      </c>
      <c r="I591" s="20">
        <v>12</v>
      </c>
      <c r="J591" s="20">
        <v>24</v>
      </c>
      <c r="K591" s="20">
        <v>135560</v>
      </c>
      <c r="L591" s="21" t="s">
        <v>220</v>
      </c>
      <c r="M591" s="33" t="s">
        <v>221</v>
      </c>
      <c r="N591" s="19">
        <v>97</v>
      </c>
      <c r="O591" s="2"/>
      <c r="P591" s="2" t="s">
        <v>4</v>
      </c>
      <c r="Q591" s="20" t="s">
        <v>68</v>
      </c>
      <c r="R591" s="25" t="s">
        <v>69</v>
      </c>
      <c r="S591" s="41" t="s">
        <v>137</v>
      </c>
      <c r="T591" s="41"/>
      <c r="U591" s="31" t="s">
        <v>259</v>
      </c>
      <c r="V591" s="25" t="s">
        <v>3</v>
      </c>
      <c r="W591" s="25">
        <v>1</v>
      </c>
      <c r="X591" s="595">
        <v>7000</v>
      </c>
      <c r="Y591" s="619"/>
      <c r="Z591" s="2"/>
      <c r="AA591" s="2"/>
      <c r="AB591" s="620"/>
      <c r="AC591" s="25">
        <v>0</v>
      </c>
      <c r="AD591" s="25">
        <v>30</v>
      </c>
      <c r="AE591" s="619"/>
      <c r="AF591" s="2"/>
      <c r="AG591" s="2"/>
      <c r="AH591" s="2"/>
      <c r="AI591" s="2"/>
      <c r="AJ591" s="621"/>
      <c r="AK591" s="596">
        <v>7000</v>
      </c>
      <c r="AL591" s="29" t="s">
        <v>73</v>
      </c>
      <c r="AM591" s="29" t="s">
        <v>73</v>
      </c>
      <c r="AN591" s="29" t="s">
        <v>73</v>
      </c>
      <c r="AO591" s="29" t="s">
        <v>73</v>
      </c>
      <c r="AP591" s="648">
        <v>0</v>
      </c>
      <c r="AQ591" s="478">
        <v>7000</v>
      </c>
      <c r="AR591" s="29" t="s">
        <v>73</v>
      </c>
      <c r="AS591" s="29" t="s">
        <v>73</v>
      </c>
      <c r="AT591" s="29" t="s">
        <v>73</v>
      </c>
      <c r="AU591" s="29" t="s">
        <v>73</v>
      </c>
      <c r="AV591" s="29" t="s">
        <v>73</v>
      </c>
      <c r="AW591" s="29" t="s">
        <v>73</v>
      </c>
      <c r="AX591" s="30">
        <v>7000</v>
      </c>
      <c r="AY591" s="479" t="s">
        <v>6</v>
      </c>
      <c r="AZ591" s="2" t="s">
        <v>74</v>
      </c>
      <c r="BA591" s="2"/>
      <c r="BK591" s="125" t="s">
        <v>790</v>
      </c>
      <c r="BL591" s="481" t="s">
        <v>791</v>
      </c>
      <c r="BM591" s="125" t="s">
        <v>2227</v>
      </c>
      <c r="BN591" s="177" t="s">
        <v>2228</v>
      </c>
      <c r="BO591" s="125" t="s">
        <v>2229</v>
      </c>
      <c r="BP591" s="129">
        <v>46156</v>
      </c>
      <c r="BQ591" s="18"/>
      <c r="BR591" s="262"/>
      <c r="BS591" s="18"/>
      <c r="BT591" s="18"/>
      <c r="BU591" s="18"/>
      <c r="BV591" s="125" t="s">
        <v>922</v>
      </c>
      <c r="BW591" s="125" t="s">
        <v>1715</v>
      </c>
      <c r="BX591" s="125" t="s">
        <v>2491</v>
      </c>
      <c r="BY591" s="125">
        <v>41979561</v>
      </c>
      <c r="BZ591" s="125">
        <v>10419795611</v>
      </c>
      <c r="CA591" s="650">
        <v>7000</v>
      </c>
      <c r="CB591" s="289">
        <v>46175</v>
      </c>
      <c r="CC591" s="289">
        <v>46203</v>
      </c>
      <c r="CD591" s="759"/>
      <c r="CE591" s="177">
        <f t="shared" si="733"/>
        <v>0</v>
      </c>
      <c r="CF591" s="1019">
        <f t="shared" si="734"/>
        <v>0</v>
      </c>
      <c r="CG591" s="177"/>
      <c r="CH591" s="1019">
        <f t="shared" si="735"/>
        <v>0</v>
      </c>
      <c r="CI591" s="177"/>
      <c r="CJ591" s="1019">
        <f t="shared" si="736"/>
        <v>0</v>
      </c>
      <c r="CK591" s="177">
        <f t="shared" si="737"/>
        <v>0</v>
      </c>
      <c r="CL591" s="177">
        <f t="shared" si="738"/>
        <v>0</v>
      </c>
      <c r="CM591" s="1006"/>
      <c r="CN591" s="177">
        <f t="shared" si="739"/>
        <v>30</v>
      </c>
      <c r="CO591" s="1019">
        <f t="shared" si="740"/>
        <v>7000</v>
      </c>
      <c r="CP591" s="177">
        <v>29</v>
      </c>
      <c r="CQ591" s="1019">
        <f t="shared" si="741"/>
        <v>6766.666666666667</v>
      </c>
      <c r="CR591" s="1019">
        <v>29</v>
      </c>
      <c r="CS591" s="1019">
        <f t="shared" si="742"/>
        <v>6766.666666666667</v>
      </c>
      <c r="CT591" s="177">
        <f t="shared" si="743"/>
        <v>233.33333333333303</v>
      </c>
      <c r="CU591" s="177">
        <f t="shared" si="744"/>
        <v>233.33333333333303</v>
      </c>
      <c r="CV591" s="1006"/>
      <c r="CW591" s="177">
        <f t="shared" si="701"/>
        <v>7000</v>
      </c>
      <c r="CX591" s="1019">
        <f t="shared" si="702"/>
        <v>6766.666666666667</v>
      </c>
      <c r="CY591" s="177">
        <f t="shared" si="703"/>
        <v>6766.666666666667</v>
      </c>
      <c r="CZ591" s="1019">
        <f t="shared" si="704"/>
        <v>233.33333333333303</v>
      </c>
      <c r="DA591" s="177">
        <f t="shared" si="705"/>
        <v>233.33333333333303</v>
      </c>
      <c r="DB591" s="126"/>
      <c r="DC591" s="125"/>
      <c r="DD591" s="82" t="s">
        <v>2492</v>
      </c>
    </row>
    <row r="592" spans="1:108" ht="51" hidden="1" x14ac:dyDescent="0.25">
      <c r="A592" s="19">
        <v>2026</v>
      </c>
      <c r="B592" s="20">
        <v>479</v>
      </c>
      <c r="C592" s="21" t="s">
        <v>64</v>
      </c>
      <c r="D592" s="21" t="s">
        <v>65</v>
      </c>
      <c r="E592" s="20">
        <v>125</v>
      </c>
      <c r="F592" s="20">
        <v>3000654</v>
      </c>
      <c r="G592" s="20">
        <v>5005023</v>
      </c>
      <c r="H592" s="20">
        <v>3</v>
      </c>
      <c r="I592" s="20">
        <v>12</v>
      </c>
      <c r="J592" s="20">
        <v>24</v>
      </c>
      <c r="K592" s="20">
        <v>135560</v>
      </c>
      <c r="L592" s="21" t="s">
        <v>98</v>
      </c>
      <c r="M592" s="33" t="s">
        <v>99</v>
      </c>
      <c r="N592" s="19">
        <v>94</v>
      </c>
      <c r="O592" s="2"/>
      <c r="P592" s="2" t="s">
        <v>4</v>
      </c>
      <c r="Q592" s="20" t="s">
        <v>68</v>
      </c>
      <c r="R592" s="25" t="s">
        <v>69</v>
      </c>
      <c r="S592" s="41" t="s">
        <v>137</v>
      </c>
      <c r="T592" s="41"/>
      <c r="U592" s="31" t="s">
        <v>272</v>
      </c>
      <c r="V592" s="25" t="s">
        <v>3</v>
      </c>
      <c r="W592" s="25">
        <v>1</v>
      </c>
      <c r="X592" s="595">
        <v>6000</v>
      </c>
      <c r="Y592" s="619"/>
      <c r="Z592" s="2"/>
      <c r="AA592" s="2"/>
      <c r="AB592" s="620"/>
      <c r="AC592" s="25">
        <v>30</v>
      </c>
      <c r="AD592" s="25">
        <v>0</v>
      </c>
      <c r="AE592" s="619"/>
      <c r="AF592" s="2"/>
      <c r="AG592" s="2"/>
      <c r="AH592" s="2"/>
      <c r="AI592" s="2"/>
      <c r="AJ592" s="621"/>
      <c r="AK592" s="596">
        <v>6000</v>
      </c>
      <c r="AL592" s="29" t="s">
        <v>73</v>
      </c>
      <c r="AM592" s="29" t="s">
        <v>73</v>
      </c>
      <c r="AN592" s="29" t="s">
        <v>73</v>
      </c>
      <c r="AO592" s="29" t="s">
        <v>73</v>
      </c>
      <c r="AP592" s="478">
        <v>6000</v>
      </c>
      <c r="AQ592" s="648">
        <v>0</v>
      </c>
      <c r="AR592" s="29" t="s">
        <v>73</v>
      </c>
      <c r="AS592" s="29" t="s">
        <v>73</v>
      </c>
      <c r="AT592" s="29" t="s">
        <v>73</v>
      </c>
      <c r="AU592" s="29" t="s">
        <v>73</v>
      </c>
      <c r="AV592" s="29" t="s">
        <v>73</v>
      </c>
      <c r="AW592" s="29" t="s">
        <v>73</v>
      </c>
      <c r="AX592" s="30">
        <v>6000</v>
      </c>
      <c r="AY592" s="165" t="s">
        <v>6</v>
      </c>
      <c r="AZ592" s="2" t="s">
        <v>74</v>
      </c>
      <c r="BA592" s="2"/>
      <c r="BK592" s="147" t="s">
        <v>790</v>
      </c>
      <c r="BL592" s="481" t="s">
        <v>791</v>
      </c>
      <c r="BM592" s="125" t="s">
        <v>1806</v>
      </c>
      <c r="BN592" s="649" t="s">
        <v>1807</v>
      </c>
      <c r="BO592" s="125" t="s">
        <v>1808</v>
      </c>
      <c r="BP592" s="129">
        <v>46134</v>
      </c>
      <c r="BQ592" s="18"/>
      <c r="BR592" s="505" t="s">
        <v>2493</v>
      </c>
      <c r="BS592" s="18"/>
      <c r="BT592" s="656" t="s">
        <v>1809</v>
      </c>
      <c r="BU592" s="18"/>
      <c r="BV592" s="552" t="s">
        <v>2494</v>
      </c>
      <c r="BW592" s="646" t="s">
        <v>2495</v>
      </c>
      <c r="BX592" s="646" t="s">
        <v>2496</v>
      </c>
      <c r="BY592" s="552">
        <v>70443940</v>
      </c>
      <c r="BZ592" s="552">
        <v>10704439402</v>
      </c>
      <c r="CA592" s="126">
        <v>6000</v>
      </c>
      <c r="CB592" s="289">
        <v>46143</v>
      </c>
      <c r="CC592" s="289">
        <v>46173</v>
      </c>
      <c r="CD592" s="759"/>
      <c r="CE592" s="177">
        <f t="shared" si="733"/>
        <v>30</v>
      </c>
      <c r="CF592" s="1019">
        <f t="shared" si="734"/>
        <v>6000</v>
      </c>
      <c r="CG592" s="177">
        <v>30</v>
      </c>
      <c r="CH592" s="1019">
        <f t="shared" si="735"/>
        <v>6000</v>
      </c>
      <c r="CI592" s="177">
        <v>30</v>
      </c>
      <c r="CJ592" s="1019">
        <f t="shared" si="736"/>
        <v>6000</v>
      </c>
      <c r="CK592" s="177">
        <f t="shared" si="737"/>
        <v>0</v>
      </c>
      <c r="CL592" s="177">
        <f t="shared" si="738"/>
        <v>0</v>
      </c>
      <c r="CM592" s="1006"/>
      <c r="CN592" s="177">
        <f t="shared" si="739"/>
        <v>0</v>
      </c>
      <c r="CO592" s="1019">
        <f t="shared" si="740"/>
        <v>0</v>
      </c>
      <c r="CP592" s="177"/>
      <c r="CQ592" s="1019">
        <f t="shared" si="741"/>
        <v>0</v>
      </c>
      <c r="CR592" s="1019"/>
      <c r="CS592" s="1019">
        <f t="shared" si="742"/>
        <v>0</v>
      </c>
      <c r="CT592" s="177">
        <f t="shared" si="743"/>
        <v>0</v>
      </c>
      <c r="CU592" s="177">
        <f t="shared" si="744"/>
        <v>0</v>
      </c>
      <c r="CV592" s="1006"/>
      <c r="CW592" s="177">
        <f t="shared" si="701"/>
        <v>6000</v>
      </c>
      <c r="CX592" s="1019">
        <f t="shared" si="702"/>
        <v>6000</v>
      </c>
      <c r="CY592" s="177">
        <f t="shared" si="703"/>
        <v>6000</v>
      </c>
      <c r="CZ592" s="1019">
        <f t="shared" si="704"/>
        <v>0</v>
      </c>
      <c r="DA592" s="177">
        <f t="shared" si="705"/>
        <v>0</v>
      </c>
      <c r="DB592" s="126"/>
      <c r="DC592" s="125"/>
    </row>
    <row r="593" spans="1:107" ht="51" hidden="1" x14ac:dyDescent="0.25">
      <c r="A593" s="19">
        <v>2026</v>
      </c>
      <c r="B593" s="20">
        <v>479</v>
      </c>
      <c r="C593" s="21" t="s">
        <v>64</v>
      </c>
      <c r="D593" s="21" t="s">
        <v>65</v>
      </c>
      <c r="E593" s="20">
        <v>125</v>
      </c>
      <c r="F593" s="20">
        <v>3000654</v>
      </c>
      <c r="G593" s="20">
        <v>5005023</v>
      </c>
      <c r="H593" s="20">
        <v>3</v>
      </c>
      <c r="I593" s="20">
        <v>12</v>
      </c>
      <c r="J593" s="20">
        <v>24</v>
      </c>
      <c r="K593" s="20">
        <v>135560</v>
      </c>
      <c r="L593" s="21" t="s">
        <v>220</v>
      </c>
      <c r="M593" s="33" t="s">
        <v>221</v>
      </c>
      <c r="N593" s="19">
        <v>97</v>
      </c>
      <c r="O593" s="2"/>
      <c r="P593" s="2" t="s">
        <v>4</v>
      </c>
      <c r="Q593" s="20" t="s">
        <v>68</v>
      </c>
      <c r="R593" s="25" t="s">
        <v>69</v>
      </c>
      <c r="S593" s="41" t="s">
        <v>137</v>
      </c>
      <c r="T593" s="41"/>
      <c r="U593" s="31" t="s">
        <v>272</v>
      </c>
      <c r="V593" s="25" t="s">
        <v>3</v>
      </c>
      <c r="W593" s="25">
        <v>1</v>
      </c>
      <c r="X593" s="595">
        <v>6000</v>
      </c>
      <c r="Y593" s="619"/>
      <c r="Z593" s="2"/>
      <c r="AA593" s="2"/>
      <c r="AB593" s="620"/>
      <c r="AC593" s="25">
        <v>0</v>
      </c>
      <c r="AD593" s="25">
        <v>30</v>
      </c>
      <c r="AE593" s="619"/>
      <c r="AF593" s="2"/>
      <c r="AG593" s="2"/>
      <c r="AH593" s="2"/>
      <c r="AI593" s="2"/>
      <c r="AJ593" s="621"/>
      <c r="AK593" s="596">
        <v>6000</v>
      </c>
      <c r="AL593" s="29" t="s">
        <v>73</v>
      </c>
      <c r="AM593" s="29" t="s">
        <v>73</v>
      </c>
      <c r="AN593" s="29" t="s">
        <v>73</v>
      </c>
      <c r="AO593" s="29" t="s">
        <v>73</v>
      </c>
      <c r="AP593" s="648">
        <v>0</v>
      </c>
      <c r="AQ593" s="478">
        <v>6000</v>
      </c>
      <c r="AR593" s="29" t="s">
        <v>73</v>
      </c>
      <c r="AS593" s="29" t="s">
        <v>73</v>
      </c>
      <c r="AT593" s="29" t="s">
        <v>73</v>
      </c>
      <c r="AU593" s="29" t="s">
        <v>73</v>
      </c>
      <c r="AV593" s="29" t="s">
        <v>73</v>
      </c>
      <c r="AW593" s="29" t="s">
        <v>73</v>
      </c>
      <c r="AX593" s="30">
        <v>6000</v>
      </c>
      <c r="AY593" s="479" t="s">
        <v>6</v>
      </c>
      <c r="AZ593" s="2" t="s">
        <v>74</v>
      </c>
      <c r="BA593" s="2"/>
      <c r="BK593" s="125" t="s">
        <v>790</v>
      </c>
      <c r="BL593" s="481" t="s">
        <v>791</v>
      </c>
      <c r="BM593" s="125" t="s">
        <v>1812</v>
      </c>
      <c r="BN593" s="177" t="s">
        <v>1813</v>
      </c>
      <c r="BO593" s="125" t="s">
        <v>1814</v>
      </c>
      <c r="BP593" s="129">
        <v>46156</v>
      </c>
      <c r="BQ593" s="18"/>
      <c r="BR593" s="952">
        <v>5023</v>
      </c>
      <c r="BS593" s="18"/>
      <c r="BT593" s="18"/>
      <c r="BU593" s="18" t="s">
        <v>1815</v>
      </c>
      <c r="BV593" s="552" t="s">
        <v>2494</v>
      </c>
      <c r="BW593" s="649" t="s">
        <v>2495</v>
      </c>
      <c r="BX593" s="649" t="s">
        <v>2496</v>
      </c>
      <c r="BY593" s="552">
        <v>70443940</v>
      </c>
      <c r="BZ593" s="552">
        <v>10704439402</v>
      </c>
      <c r="CA593" s="650">
        <v>6000</v>
      </c>
      <c r="CB593" s="289">
        <v>46174</v>
      </c>
      <c r="CC593" s="289">
        <v>46203</v>
      </c>
      <c r="CD593" s="759"/>
      <c r="CE593" s="177">
        <f t="shared" si="733"/>
        <v>0</v>
      </c>
      <c r="CF593" s="1019">
        <f t="shared" si="734"/>
        <v>0</v>
      </c>
      <c r="CG593" s="177"/>
      <c r="CH593" s="1019">
        <f t="shared" si="735"/>
        <v>0</v>
      </c>
      <c r="CI593" s="177"/>
      <c r="CJ593" s="1019">
        <f t="shared" si="736"/>
        <v>0</v>
      </c>
      <c r="CK593" s="177">
        <f t="shared" si="737"/>
        <v>0</v>
      </c>
      <c r="CL593" s="177">
        <f t="shared" si="738"/>
        <v>0</v>
      </c>
      <c r="CM593" s="1006"/>
      <c r="CN593" s="177">
        <f t="shared" si="739"/>
        <v>30</v>
      </c>
      <c r="CO593" s="1019">
        <f t="shared" si="740"/>
        <v>6000</v>
      </c>
      <c r="CP593" s="177">
        <v>30</v>
      </c>
      <c r="CQ593" s="1019">
        <f t="shared" si="741"/>
        <v>6000</v>
      </c>
      <c r="CR593" s="1019">
        <v>30</v>
      </c>
      <c r="CS593" s="1019">
        <f t="shared" si="742"/>
        <v>6000</v>
      </c>
      <c r="CT593" s="177">
        <f t="shared" si="743"/>
        <v>0</v>
      </c>
      <c r="CU593" s="177">
        <f t="shared" si="744"/>
        <v>0</v>
      </c>
      <c r="CV593" s="1006"/>
      <c r="CW593" s="177">
        <f t="shared" si="701"/>
        <v>6000</v>
      </c>
      <c r="CX593" s="1019">
        <f t="shared" si="702"/>
        <v>6000</v>
      </c>
      <c r="CY593" s="177">
        <f t="shared" si="703"/>
        <v>6000</v>
      </c>
      <c r="CZ593" s="1019">
        <f t="shared" si="704"/>
        <v>0</v>
      </c>
      <c r="DA593" s="177">
        <f t="shared" si="705"/>
        <v>0</v>
      </c>
      <c r="DB593" s="126"/>
      <c r="DC593" s="125"/>
    </row>
    <row r="594" spans="1:107" ht="51" hidden="1" x14ac:dyDescent="0.25">
      <c r="A594" s="19">
        <v>2026</v>
      </c>
      <c r="B594" s="20">
        <v>479</v>
      </c>
      <c r="C594" s="21" t="s">
        <v>64</v>
      </c>
      <c r="D594" s="21" t="s">
        <v>65</v>
      </c>
      <c r="E594" s="20">
        <v>125</v>
      </c>
      <c r="F594" s="20">
        <v>3000654</v>
      </c>
      <c r="G594" s="20">
        <v>5005023</v>
      </c>
      <c r="H594" s="20">
        <v>3</v>
      </c>
      <c r="I594" s="20">
        <v>12</v>
      </c>
      <c r="J594" s="20">
        <v>24</v>
      </c>
      <c r="K594" s="20">
        <v>135560</v>
      </c>
      <c r="L594" s="21" t="s">
        <v>98</v>
      </c>
      <c r="M594" s="33" t="s">
        <v>99</v>
      </c>
      <c r="N594" s="19">
        <v>94</v>
      </c>
      <c r="O594" s="2"/>
      <c r="P594" s="2" t="s">
        <v>4</v>
      </c>
      <c r="Q594" s="20" t="s">
        <v>68</v>
      </c>
      <c r="R594" s="25" t="s">
        <v>69</v>
      </c>
      <c r="S594" s="41" t="s">
        <v>137</v>
      </c>
      <c r="T594" s="41"/>
      <c r="U594" s="31" t="s">
        <v>273</v>
      </c>
      <c r="V594" s="25" t="s">
        <v>3</v>
      </c>
      <c r="W594" s="25">
        <v>1</v>
      </c>
      <c r="X594" s="595">
        <v>6000</v>
      </c>
      <c r="Y594" s="619"/>
      <c r="Z594" s="2"/>
      <c r="AA594" s="2"/>
      <c r="AB594" s="620"/>
      <c r="AC594" s="25">
        <v>30</v>
      </c>
      <c r="AD594" s="25">
        <v>0</v>
      </c>
      <c r="AE594" s="619"/>
      <c r="AF594" s="2"/>
      <c r="AG594" s="2"/>
      <c r="AH594" s="2"/>
      <c r="AI594" s="2"/>
      <c r="AJ594" s="621"/>
      <c r="AK594" s="596">
        <v>6000</v>
      </c>
      <c r="AL594" s="29" t="s">
        <v>73</v>
      </c>
      <c r="AM594" s="29" t="s">
        <v>73</v>
      </c>
      <c r="AN594" s="29" t="s">
        <v>73</v>
      </c>
      <c r="AO594" s="29" t="s">
        <v>73</v>
      </c>
      <c r="AP594" s="478">
        <v>6000</v>
      </c>
      <c r="AQ594" s="648">
        <v>0</v>
      </c>
      <c r="AR594" s="29" t="s">
        <v>73</v>
      </c>
      <c r="AS594" s="29" t="s">
        <v>73</v>
      </c>
      <c r="AT594" s="29" t="s">
        <v>73</v>
      </c>
      <c r="AU594" s="29" t="s">
        <v>73</v>
      </c>
      <c r="AV594" s="29" t="s">
        <v>73</v>
      </c>
      <c r="AW594" s="29" t="s">
        <v>73</v>
      </c>
      <c r="AX594" s="30">
        <v>6000</v>
      </c>
      <c r="AY594" s="165" t="s">
        <v>6</v>
      </c>
      <c r="AZ594" s="2" t="s">
        <v>74</v>
      </c>
      <c r="BA594" s="2"/>
      <c r="BK594" s="147" t="s">
        <v>790</v>
      </c>
      <c r="BL594" s="481" t="s">
        <v>791</v>
      </c>
      <c r="BM594" s="125" t="s">
        <v>1806</v>
      </c>
      <c r="BN594" s="649" t="s">
        <v>1807</v>
      </c>
      <c r="BO594" s="125" t="s">
        <v>1808</v>
      </c>
      <c r="BP594" s="129">
        <v>46134</v>
      </c>
      <c r="BQ594" s="18"/>
      <c r="BR594" s="505" t="s">
        <v>2497</v>
      </c>
      <c r="BS594" s="18"/>
      <c r="BT594" s="656" t="s">
        <v>1809</v>
      </c>
      <c r="BU594" s="18"/>
      <c r="BV594" s="552" t="s">
        <v>2498</v>
      </c>
      <c r="BW594" s="646" t="s">
        <v>2499</v>
      </c>
      <c r="BX594" s="646" t="s">
        <v>2500</v>
      </c>
      <c r="BY594" s="552">
        <v>73827602</v>
      </c>
      <c r="BZ594" s="552">
        <v>10738276022</v>
      </c>
      <c r="CA594" s="552">
        <v>6000</v>
      </c>
      <c r="CB594" s="289">
        <v>46143</v>
      </c>
      <c r="CC594" s="289">
        <v>46173</v>
      </c>
      <c r="CD594" s="759"/>
      <c r="CE594" s="177">
        <f t="shared" si="733"/>
        <v>30</v>
      </c>
      <c r="CF594" s="1019">
        <f t="shared" si="734"/>
        <v>6000</v>
      </c>
      <c r="CG594" s="177">
        <v>30</v>
      </c>
      <c r="CH594" s="1019">
        <f t="shared" si="735"/>
        <v>6000</v>
      </c>
      <c r="CI594" s="177">
        <v>30</v>
      </c>
      <c r="CJ594" s="1019">
        <f t="shared" si="736"/>
        <v>6000</v>
      </c>
      <c r="CK594" s="177">
        <f t="shared" si="737"/>
        <v>0</v>
      </c>
      <c r="CL594" s="177">
        <f t="shared" si="738"/>
        <v>0</v>
      </c>
      <c r="CM594" s="1006"/>
      <c r="CN594" s="177">
        <f t="shared" si="739"/>
        <v>0</v>
      </c>
      <c r="CO594" s="1019">
        <f t="shared" si="740"/>
        <v>0</v>
      </c>
      <c r="CP594" s="177"/>
      <c r="CQ594" s="1019">
        <f t="shared" si="741"/>
        <v>0</v>
      </c>
      <c r="CR594" s="1019"/>
      <c r="CS594" s="1019">
        <f t="shared" si="742"/>
        <v>0</v>
      </c>
      <c r="CT594" s="177">
        <f t="shared" si="743"/>
        <v>0</v>
      </c>
      <c r="CU594" s="177">
        <f t="shared" si="744"/>
        <v>0</v>
      </c>
      <c r="CV594" s="1006"/>
      <c r="CW594" s="177">
        <f t="shared" ref="CW594:CW637" si="745">AX594</f>
        <v>6000</v>
      </c>
      <c r="CX594" s="1019">
        <f t="shared" ref="CX594:CX637" si="746">CH594+CQ594</f>
        <v>6000</v>
      </c>
      <c r="CY594" s="177">
        <f t="shared" ref="CY594:CY637" si="747">CJ594+CS594</f>
        <v>6000</v>
      </c>
      <c r="CZ594" s="1019">
        <f t="shared" ref="CZ594:CZ637" si="748">CW594-CX594</f>
        <v>0</v>
      </c>
      <c r="DA594" s="177">
        <f t="shared" ref="DA594:DA637" si="749">CW594-CY594</f>
        <v>0</v>
      </c>
      <c r="DB594" s="126"/>
      <c r="DC594" s="125"/>
    </row>
    <row r="595" spans="1:107" ht="51" hidden="1" x14ac:dyDescent="0.25">
      <c r="A595" s="19">
        <v>2026</v>
      </c>
      <c r="B595" s="20">
        <v>479</v>
      </c>
      <c r="C595" s="21" t="s">
        <v>64</v>
      </c>
      <c r="D595" s="21" t="s">
        <v>65</v>
      </c>
      <c r="E595" s="20">
        <v>125</v>
      </c>
      <c r="F595" s="20">
        <v>3000654</v>
      </c>
      <c r="G595" s="20">
        <v>5005023</v>
      </c>
      <c r="H595" s="20">
        <v>3</v>
      </c>
      <c r="I595" s="20">
        <v>12</v>
      </c>
      <c r="J595" s="20">
        <v>24</v>
      </c>
      <c r="K595" s="20">
        <v>135560</v>
      </c>
      <c r="L595" s="21" t="s">
        <v>220</v>
      </c>
      <c r="M595" s="33" t="s">
        <v>221</v>
      </c>
      <c r="N595" s="19">
        <v>97</v>
      </c>
      <c r="O595" s="2"/>
      <c r="P595" s="2" t="s">
        <v>4</v>
      </c>
      <c r="Q595" s="20" t="s">
        <v>68</v>
      </c>
      <c r="R595" s="25" t="s">
        <v>69</v>
      </c>
      <c r="S595" s="41" t="s">
        <v>137</v>
      </c>
      <c r="T595" s="41"/>
      <c r="U595" s="31" t="s">
        <v>273</v>
      </c>
      <c r="V595" s="25" t="s">
        <v>3</v>
      </c>
      <c r="W595" s="25">
        <v>1</v>
      </c>
      <c r="X595" s="595">
        <v>6000</v>
      </c>
      <c r="Y595" s="619"/>
      <c r="Z595" s="2"/>
      <c r="AA595" s="2"/>
      <c r="AB595" s="620"/>
      <c r="AC595" s="25">
        <v>0</v>
      </c>
      <c r="AD595" s="25">
        <v>30</v>
      </c>
      <c r="AE595" s="619"/>
      <c r="AF595" s="2"/>
      <c r="AG595" s="2"/>
      <c r="AH595" s="2"/>
      <c r="AI595" s="2"/>
      <c r="AJ595" s="621"/>
      <c r="AK595" s="596">
        <v>6000</v>
      </c>
      <c r="AL595" s="29" t="s">
        <v>73</v>
      </c>
      <c r="AM595" s="29" t="s">
        <v>73</v>
      </c>
      <c r="AN595" s="29" t="s">
        <v>73</v>
      </c>
      <c r="AO595" s="29" t="s">
        <v>73</v>
      </c>
      <c r="AP595" s="648">
        <v>0</v>
      </c>
      <c r="AQ595" s="478">
        <v>6000</v>
      </c>
      <c r="AR595" s="29" t="s">
        <v>73</v>
      </c>
      <c r="AS595" s="29" t="s">
        <v>73</v>
      </c>
      <c r="AT595" s="29" t="s">
        <v>73</v>
      </c>
      <c r="AU595" s="29" t="s">
        <v>73</v>
      </c>
      <c r="AV595" s="29" t="s">
        <v>73</v>
      </c>
      <c r="AW595" s="29" t="s">
        <v>73</v>
      </c>
      <c r="AX595" s="30">
        <v>6000</v>
      </c>
      <c r="AY595" s="479" t="s">
        <v>6</v>
      </c>
      <c r="AZ595" s="2" t="s">
        <v>74</v>
      </c>
      <c r="BA595" s="2"/>
      <c r="BK595" s="125" t="s">
        <v>790</v>
      </c>
      <c r="BL595" s="481" t="s">
        <v>791</v>
      </c>
      <c r="BM595" s="125" t="s">
        <v>1812</v>
      </c>
      <c r="BN595" s="177" t="s">
        <v>1813</v>
      </c>
      <c r="BO595" s="125" t="s">
        <v>1814</v>
      </c>
      <c r="BP595" s="129">
        <v>46156</v>
      </c>
      <c r="BQ595" s="18"/>
      <c r="BR595" s="952">
        <v>5025</v>
      </c>
      <c r="BS595" s="18"/>
      <c r="BT595" s="18"/>
      <c r="BU595" s="18" t="s">
        <v>1815</v>
      </c>
      <c r="BV595" s="552" t="s">
        <v>2498</v>
      </c>
      <c r="BW595" s="649" t="s">
        <v>2499</v>
      </c>
      <c r="BX595" s="649" t="s">
        <v>2500</v>
      </c>
      <c r="BY595" s="552">
        <v>73827602</v>
      </c>
      <c r="BZ595" s="552">
        <v>10738276022</v>
      </c>
      <c r="CA595" s="650">
        <v>6000</v>
      </c>
      <c r="CB595" s="289">
        <v>46174</v>
      </c>
      <c r="CC595" s="289">
        <v>46203</v>
      </c>
      <c r="CD595" s="759"/>
      <c r="CE595" s="177">
        <f t="shared" si="733"/>
        <v>0</v>
      </c>
      <c r="CF595" s="1019">
        <f t="shared" si="734"/>
        <v>0</v>
      </c>
      <c r="CG595" s="177"/>
      <c r="CH595" s="1019">
        <f t="shared" si="735"/>
        <v>0</v>
      </c>
      <c r="CI595" s="177"/>
      <c r="CJ595" s="1019">
        <f t="shared" si="736"/>
        <v>0</v>
      </c>
      <c r="CK595" s="177">
        <f t="shared" si="737"/>
        <v>0</v>
      </c>
      <c r="CL595" s="177">
        <f t="shared" si="738"/>
        <v>0</v>
      </c>
      <c r="CM595" s="1006"/>
      <c r="CN595" s="177">
        <f t="shared" si="739"/>
        <v>30</v>
      </c>
      <c r="CO595" s="1019">
        <f t="shared" si="740"/>
        <v>6000</v>
      </c>
      <c r="CP595" s="177">
        <v>30</v>
      </c>
      <c r="CQ595" s="1019">
        <f t="shared" si="741"/>
        <v>6000</v>
      </c>
      <c r="CR595" s="1019">
        <v>30</v>
      </c>
      <c r="CS595" s="1019">
        <f t="shared" si="742"/>
        <v>6000</v>
      </c>
      <c r="CT595" s="177">
        <f t="shared" si="743"/>
        <v>0</v>
      </c>
      <c r="CU595" s="177">
        <f t="shared" si="744"/>
        <v>0</v>
      </c>
      <c r="CV595" s="1006"/>
      <c r="CW595" s="177">
        <f t="shared" si="745"/>
        <v>6000</v>
      </c>
      <c r="CX595" s="1019">
        <f t="shared" si="746"/>
        <v>6000</v>
      </c>
      <c r="CY595" s="177">
        <f t="shared" si="747"/>
        <v>6000</v>
      </c>
      <c r="CZ595" s="1019">
        <f t="shared" si="748"/>
        <v>0</v>
      </c>
      <c r="DA595" s="177">
        <f t="shared" si="749"/>
        <v>0</v>
      </c>
      <c r="DB595" s="126"/>
      <c r="DC595" s="125"/>
    </row>
    <row r="596" spans="1:107" ht="51" hidden="1" x14ac:dyDescent="0.25">
      <c r="A596" s="19">
        <v>2026</v>
      </c>
      <c r="B596" s="20">
        <v>479</v>
      </c>
      <c r="C596" s="21" t="s">
        <v>64</v>
      </c>
      <c r="D596" s="21" t="s">
        <v>65</v>
      </c>
      <c r="E596" s="20">
        <v>125</v>
      </c>
      <c r="F596" s="20">
        <v>3000654</v>
      </c>
      <c r="G596" s="20">
        <v>5005023</v>
      </c>
      <c r="H596" s="20">
        <v>3</v>
      </c>
      <c r="I596" s="20">
        <v>12</v>
      </c>
      <c r="J596" s="20">
        <v>24</v>
      </c>
      <c r="K596" s="20">
        <v>135560</v>
      </c>
      <c r="L596" s="21" t="s">
        <v>98</v>
      </c>
      <c r="M596" s="33" t="s">
        <v>99</v>
      </c>
      <c r="N596" s="19">
        <v>94</v>
      </c>
      <c r="O596" s="2"/>
      <c r="P596" s="2" t="s">
        <v>4</v>
      </c>
      <c r="Q596" s="20" t="s">
        <v>68</v>
      </c>
      <c r="R596" s="25" t="s">
        <v>69</v>
      </c>
      <c r="S596" s="41" t="s">
        <v>137</v>
      </c>
      <c r="T596" s="41"/>
      <c r="U596" s="31" t="s">
        <v>311</v>
      </c>
      <c r="V596" s="25" t="s">
        <v>3</v>
      </c>
      <c r="W596" s="25">
        <v>1</v>
      </c>
      <c r="X596" s="595">
        <v>7000</v>
      </c>
      <c r="Y596" s="619"/>
      <c r="Z596" s="2"/>
      <c r="AA596" s="2"/>
      <c r="AB596" s="620"/>
      <c r="AC596" s="25">
        <v>30</v>
      </c>
      <c r="AD596" s="25">
        <v>0</v>
      </c>
      <c r="AE596" s="619"/>
      <c r="AF596" s="2"/>
      <c r="AG596" s="2"/>
      <c r="AH596" s="2"/>
      <c r="AI596" s="2"/>
      <c r="AJ596" s="621"/>
      <c r="AK596" s="596">
        <v>7000</v>
      </c>
      <c r="AL596" s="29" t="s">
        <v>73</v>
      </c>
      <c r="AM596" s="29" t="s">
        <v>73</v>
      </c>
      <c r="AN596" s="29" t="s">
        <v>73</v>
      </c>
      <c r="AO596" s="29" t="s">
        <v>73</v>
      </c>
      <c r="AP596" s="478">
        <v>7000</v>
      </c>
      <c r="AQ596" s="648">
        <v>0</v>
      </c>
      <c r="AR596" s="29" t="s">
        <v>73</v>
      </c>
      <c r="AS596" s="29" t="s">
        <v>73</v>
      </c>
      <c r="AT596" s="29" t="s">
        <v>73</v>
      </c>
      <c r="AU596" s="29" t="s">
        <v>73</v>
      </c>
      <c r="AV596" s="29" t="s">
        <v>73</v>
      </c>
      <c r="AW596" s="29" t="s">
        <v>73</v>
      </c>
      <c r="AX596" s="30">
        <v>7000</v>
      </c>
      <c r="AY596" s="165" t="s">
        <v>6</v>
      </c>
      <c r="AZ596" s="2" t="s">
        <v>74</v>
      </c>
      <c r="BA596" s="2"/>
      <c r="BK596" s="147" t="s">
        <v>790</v>
      </c>
      <c r="BL596" s="481" t="s">
        <v>791</v>
      </c>
      <c r="BM596" s="125" t="s">
        <v>2057</v>
      </c>
      <c r="BN596" s="655" t="s">
        <v>2058</v>
      </c>
      <c r="BO596" s="481" t="s">
        <v>2405</v>
      </c>
      <c r="BP596" s="129">
        <v>46134</v>
      </c>
      <c r="BQ596" s="18"/>
      <c r="BR596" s="505" t="s">
        <v>2501</v>
      </c>
      <c r="BS596" s="18"/>
      <c r="BT596" s="656" t="s">
        <v>2002</v>
      </c>
      <c r="BU596" s="18"/>
      <c r="BV596" s="284" t="s">
        <v>2502</v>
      </c>
      <c r="BW596" s="566" t="s">
        <v>2503</v>
      </c>
      <c r="BX596" s="566" t="s">
        <v>1135</v>
      </c>
      <c r="BY596" s="284">
        <v>77037007</v>
      </c>
      <c r="BZ596" s="284">
        <v>10770370073</v>
      </c>
      <c r="CA596" s="288">
        <v>7000</v>
      </c>
      <c r="CB596" s="289">
        <v>46143</v>
      </c>
      <c r="CC596" s="289">
        <v>46173</v>
      </c>
      <c r="CD596" s="759"/>
      <c r="CE596" s="177">
        <f t="shared" si="733"/>
        <v>30</v>
      </c>
      <c r="CF596" s="1019">
        <f t="shared" si="734"/>
        <v>7000</v>
      </c>
      <c r="CG596" s="177">
        <v>30</v>
      </c>
      <c r="CH596" s="1019">
        <f t="shared" si="735"/>
        <v>7000</v>
      </c>
      <c r="CI596" s="177">
        <v>30</v>
      </c>
      <c r="CJ596" s="1019">
        <f t="shared" si="736"/>
        <v>7000</v>
      </c>
      <c r="CK596" s="177">
        <f t="shared" si="737"/>
        <v>0</v>
      </c>
      <c r="CL596" s="177">
        <f t="shared" si="738"/>
        <v>0</v>
      </c>
      <c r="CM596" s="1006"/>
      <c r="CN596" s="177">
        <f t="shared" si="739"/>
        <v>0</v>
      </c>
      <c r="CO596" s="1019">
        <f t="shared" si="740"/>
        <v>0</v>
      </c>
      <c r="CP596" s="177"/>
      <c r="CQ596" s="1019">
        <f t="shared" si="741"/>
        <v>0</v>
      </c>
      <c r="CR596" s="1019"/>
      <c r="CS596" s="1019">
        <f t="shared" si="742"/>
        <v>0</v>
      </c>
      <c r="CT596" s="177">
        <f t="shared" si="743"/>
        <v>0</v>
      </c>
      <c r="CU596" s="177">
        <f t="shared" si="744"/>
        <v>0</v>
      </c>
      <c r="CV596" s="1006"/>
      <c r="CW596" s="177">
        <f t="shared" si="745"/>
        <v>7000</v>
      </c>
      <c r="CX596" s="1019">
        <f t="shared" si="746"/>
        <v>7000</v>
      </c>
      <c r="CY596" s="177">
        <f t="shared" si="747"/>
        <v>7000</v>
      </c>
      <c r="CZ596" s="1019">
        <f t="shared" si="748"/>
        <v>0</v>
      </c>
      <c r="DA596" s="177">
        <f t="shared" si="749"/>
        <v>0</v>
      </c>
      <c r="DB596" s="126"/>
      <c r="DC596" s="125"/>
    </row>
    <row r="597" spans="1:107" ht="51" hidden="1" x14ac:dyDescent="0.25">
      <c r="A597" s="19">
        <v>2026</v>
      </c>
      <c r="B597" s="20">
        <v>479</v>
      </c>
      <c r="C597" s="21" t="s">
        <v>64</v>
      </c>
      <c r="D597" s="21" t="s">
        <v>65</v>
      </c>
      <c r="E597" s="20">
        <v>125</v>
      </c>
      <c r="F597" s="20">
        <v>3000654</v>
      </c>
      <c r="G597" s="20">
        <v>5005023</v>
      </c>
      <c r="H597" s="20">
        <v>3</v>
      </c>
      <c r="I597" s="20">
        <v>12</v>
      </c>
      <c r="J597" s="20">
        <v>24</v>
      </c>
      <c r="K597" s="20">
        <v>135560</v>
      </c>
      <c r="L597" s="21" t="s">
        <v>220</v>
      </c>
      <c r="M597" s="33" t="s">
        <v>221</v>
      </c>
      <c r="N597" s="19">
        <v>97</v>
      </c>
      <c r="O597" s="2"/>
      <c r="P597" s="2" t="s">
        <v>4</v>
      </c>
      <c r="Q597" s="20" t="s">
        <v>68</v>
      </c>
      <c r="R597" s="25" t="s">
        <v>69</v>
      </c>
      <c r="S597" s="41" t="s">
        <v>137</v>
      </c>
      <c r="T597" s="41"/>
      <c r="U597" s="31" t="s">
        <v>311</v>
      </c>
      <c r="V597" s="25" t="s">
        <v>3</v>
      </c>
      <c r="W597" s="25">
        <v>1</v>
      </c>
      <c r="X597" s="595">
        <v>7000</v>
      </c>
      <c r="Y597" s="619"/>
      <c r="Z597" s="2"/>
      <c r="AA597" s="2"/>
      <c r="AB597" s="620"/>
      <c r="AC597" s="25">
        <v>0</v>
      </c>
      <c r="AD597" s="25">
        <v>30</v>
      </c>
      <c r="AE597" s="619"/>
      <c r="AF597" s="2"/>
      <c r="AG597" s="2"/>
      <c r="AH597" s="2"/>
      <c r="AI597" s="2"/>
      <c r="AJ597" s="621"/>
      <c r="AK597" s="596">
        <v>7000</v>
      </c>
      <c r="AL597" s="29" t="s">
        <v>73</v>
      </c>
      <c r="AM597" s="29" t="s">
        <v>73</v>
      </c>
      <c r="AN597" s="29" t="s">
        <v>73</v>
      </c>
      <c r="AO597" s="29" t="s">
        <v>73</v>
      </c>
      <c r="AP597" s="648">
        <v>0</v>
      </c>
      <c r="AQ597" s="478">
        <v>7000</v>
      </c>
      <c r="AR597" s="29" t="s">
        <v>73</v>
      </c>
      <c r="AS597" s="29" t="s">
        <v>73</v>
      </c>
      <c r="AT597" s="29" t="s">
        <v>73</v>
      </c>
      <c r="AU597" s="29" t="s">
        <v>73</v>
      </c>
      <c r="AV597" s="29" t="s">
        <v>73</v>
      </c>
      <c r="AW597" s="29" t="s">
        <v>73</v>
      </c>
      <c r="AX597" s="30">
        <v>7000</v>
      </c>
      <c r="AY597" s="479" t="s">
        <v>6</v>
      </c>
      <c r="AZ597" s="2" t="s">
        <v>74</v>
      </c>
      <c r="BA597" s="2"/>
      <c r="BK597" s="125" t="s">
        <v>790</v>
      </c>
      <c r="BL597" s="481" t="s">
        <v>791</v>
      </c>
      <c r="BM597" s="125" t="s">
        <v>1812</v>
      </c>
      <c r="BN597" s="177" t="s">
        <v>1813</v>
      </c>
      <c r="BO597" s="125" t="s">
        <v>1814</v>
      </c>
      <c r="BP597" s="129">
        <v>46156</v>
      </c>
      <c r="BQ597" s="18"/>
      <c r="BR597" s="287">
        <v>5037</v>
      </c>
      <c r="BS597" s="18"/>
      <c r="BT597" s="18"/>
      <c r="BU597" s="18" t="s">
        <v>1815</v>
      </c>
      <c r="BV597" s="284" t="s">
        <v>2502</v>
      </c>
      <c r="BW597" s="566" t="s">
        <v>2503</v>
      </c>
      <c r="BX597" s="566" t="s">
        <v>1135</v>
      </c>
      <c r="BY597" s="284">
        <v>77037007</v>
      </c>
      <c r="BZ597" s="284">
        <v>10770370073</v>
      </c>
      <c r="CA597" s="721">
        <v>7000</v>
      </c>
      <c r="CB597" s="289">
        <v>46174</v>
      </c>
      <c r="CC597" s="289">
        <v>46203</v>
      </c>
      <c r="CD597" s="759"/>
      <c r="CE597" s="177">
        <f t="shared" si="733"/>
        <v>0</v>
      </c>
      <c r="CF597" s="1019">
        <f t="shared" si="734"/>
        <v>0</v>
      </c>
      <c r="CG597" s="177"/>
      <c r="CH597" s="1019">
        <f t="shared" si="735"/>
        <v>0</v>
      </c>
      <c r="CI597" s="177"/>
      <c r="CJ597" s="1019">
        <f t="shared" si="736"/>
        <v>0</v>
      </c>
      <c r="CK597" s="177">
        <f t="shared" si="737"/>
        <v>0</v>
      </c>
      <c r="CL597" s="177">
        <f t="shared" si="738"/>
        <v>0</v>
      </c>
      <c r="CM597" s="1006"/>
      <c r="CN597" s="177">
        <f t="shared" si="739"/>
        <v>30</v>
      </c>
      <c r="CO597" s="1019">
        <f t="shared" si="740"/>
        <v>7000</v>
      </c>
      <c r="CP597" s="177">
        <v>30</v>
      </c>
      <c r="CQ597" s="1019">
        <f t="shared" si="741"/>
        <v>7000</v>
      </c>
      <c r="CR597" s="1019">
        <v>30</v>
      </c>
      <c r="CS597" s="1019">
        <f t="shared" si="742"/>
        <v>7000</v>
      </c>
      <c r="CT597" s="177">
        <f t="shared" si="743"/>
        <v>0</v>
      </c>
      <c r="CU597" s="177">
        <f t="shared" si="744"/>
        <v>0</v>
      </c>
      <c r="CV597" s="1006"/>
      <c r="CW597" s="177">
        <f t="shared" si="745"/>
        <v>7000</v>
      </c>
      <c r="CX597" s="1019">
        <f t="shared" si="746"/>
        <v>7000</v>
      </c>
      <c r="CY597" s="177">
        <f t="shared" si="747"/>
        <v>7000</v>
      </c>
      <c r="CZ597" s="1019">
        <f t="shared" si="748"/>
        <v>0</v>
      </c>
      <c r="DA597" s="177">
        <f t="shared" si="749"/>
        <v>0</v>
      </c>
      <c r="DB597" s="126"/>
      <c r="DC597" s="125"/>
    </row>
    <row r="598" spans="1:107" ht="51" hidden="1" x14ac:dyDescent="0.25">
      <c r="A598" s="19">
        <v>2026</v>
      </c>
      <c r="B598" s="20">
        <v>479</v>
      </c>
      <c r="C598" s="21" t="s">
        <v>64</v>
      </c>
      <c r="D598" s="21" t="s">
        <v>65</v>
      </c>
      <c r="E598" s="20">
        <v>125</v>
      </c>
      <c r="F598" s="20">
        <v>3000654</v>
      </c>
      <c r="G598" s="20">
        <v>5005023</v>
      </c>
      <c r="H598" s="20">
        <v>3</v>
      </c>
      <c r="I598" s="20">
        <v>12</v>
      </c>
      <c r="J598" s="20">
        <v>24</v>
      </c>
      <c r="K598" s="20">
        <v>135560</v>
      </c>
      <c r="L598" s="21" t="s">
        <v>98</v>
      </c>
      <c r="M598" s="33" t="s">
        <v>99</v>
      </c>
      <c r="N598" s="19">
        <v>94</v>
      </c>
      <c r="O598" s="2"/>
      <c r="P598" s="2" t="s">
        <v>4</v>
      </c>
      <c r="Q598" s="20" t="s">
        <v>68</v>
      </c>
      <c r="R598" s="25" t="s">
        <v>69</v>
      </c>
      <c r="S598" s="41" t="s">
        <v>137</v>
      </c>
      <c r="T598" s="41"/>
      <c r="U598" s="31" t="s">
        <v>398</v>
      </c>
      <c r="V598" s="25" t="s">
        <v>3</v>
      </c>
      <c r="W598" s="25">
        <v>1</v>
      </c>
      <c r="X598" s="595">
        <v>7000</v>
      </c>
      <c r="Y598" s="619"/>
      <c r="Z598" s="2"/>
      <c r="AA598" s="2"/>
      <c r="AB598" s="620"/>
      <c r="AC598" s="25">
        <v>30</v>
      </c>
      <c r="AD598" s="25">
        <v>0</v>
      </c>
      <c r="AE598" s="619"/>
      <c r="AF598" s="2"/>
      <c r="AG598" s="2"/>
      <c r="AH598" s="2"/>
      <c r="AI598" s="2"/>
      <c r="AJ598" s="621"/>
      <c r="AK598" s="596">
        <v>7000</v>
      </c>
      <c r="AL598" s="29" t="s">
        <v>73</v>
      </c>
      <c r="AM598" s="29" t="s">
        <v>73</v>
      </c>
      <c r="AN598" s="29" t="s">
        <v>73</v>
      </c>
      <c r="AO598" s="29" t="s">
        <v>73</v>
      </c>
      <c r="AP598" s="478">
        <v>7000</v>
      </c>
      <c r="AQ598" s="648">
        <v>0</v>
      </c>
      <c r="AR598" s="29" t="s">
        <v>73</v>
      </c>
      <c r="AS598" s="29" t="s">
        <v>73</v>
      </c>
      <c r="AT598" s="29" t="s">
        <v>73</v>
      </c>
      <c r="AU598" s="29" t="s">
        <v>73</v>
      </c>
      <c r="AV598" s="29" t="s">
        <v>73</v>
      </c>
      <c r="AW598" s="29" t="s">
        <v>73</v>
      </c>
      <c r="AX598" s="30">
        <v>7000</v>
      </c>
      <c r="AY598" s="165" t="s">
        <v>6</v>
      </c>
      <c r="AZ598" s="2" t="s">
        <v>74</v>
      </c>
      <c r="BA598" s="2"/>
      <c r="BK598" s="147" t="s">
        <v>790</v>
      </c>
      <c r="BL598" s="481" t="s">
        <v>791</v>
      </c>
      <c r="BM598" s="125" t="s">
        <v>1998</v>
      </c>
      <c r="BN598" s="177" t="s">
        <v>1999</v>
      </c>
      <c r="BO598" s="125" t="s">
        <v>2000</v>
      </c>
      <c r="BP598" s="129">
        <v>46134</v>
      </c>
      <c r="BQ598" s="18"/>
      <c r="BR598" s="505" t="s">
        <v>2504</v>
      </c>
      <c r="BS598" s="18"/>
      <c r="BT598" s="656" t="s">
        <v>2002</v>
      </c>
      <c r="BU598" s="18"/>
      <c r="BV598" s="125" t="s">
        <v>2505</v>
      </c>
      <c r="BW598" s="125" t="s">
        <v>1416</v>
      </c>
      <c r="BX598" s="125" t="s">
        <v>2506</v>
      </c>
      <c r="BY598" s="125">
        <v>74438705</v>
      </c>
      <c r="BZ598" s="125">
        <v>10744387057</v>
      </c>
      <c r="CA598" s="126">
        <v>7000</v>
      </c>
      <c r="CB598" s="289">
        <v>46143</v>
      </c>
      <c r="CC598" s="289">
        <v>46173</v>
      </c>
      <c r="CD598" s="759"/>
      <c r="CE598" s="177">
        <f t="shared" si="733"/>
        <v>30</v>
      </c>
      <c r="CF598" s="1019">
        <f t="shared" si="734"/>
        <v>7000</v>
      </c>
      <c r="CG598" s="177">
        <v>30</v>
      </c>
      <c r="CH598" s="1019">
        <f t="shared" si="735"/>
        <v>7000</v>
      </c>
      <c r="CI598" s="177">
        <v>30</v>
      </c>
      <c r="CJ598" s="1019">
        <f t="shared" si="736"/>
        <v>7000</v>
      </c>
      <c r="CK598" s="177">
        <f t="shared" si="737"/>
        <v>0</v>
      </c>
      <c r="CL598" s="177">
        <f t="shared" si="738"/>
        <v>0</v>
      </c>
      <c r="CM598" s="1006"/>
      <c r="CN598" s="177">
        <f t="shared" si="739"/>
        <v>0</v>
      </c>
      <c r="CO598" s="1019">
        <f t="shared" si="740"/>
        <v>0</v>
      </c>
      <c r="CP598" s="177"/>
      <c r="CQ598" s="1019">
        <f t="shared" si="741"/>
        <v>0</v>
      </c>
      <c r="CR598" s="1019"/>
      <c r="CS598" s="1019">
        <f t="shared" si="742"/>
        <v>0</v>
      </c>
      <c r="CT598" s="177">
        <f t="shared" si="743"/>
        <v>0</v>
      </c>
      <c r="CU598" s="177">
        <f t="shared" si="744"/>
        <v>0</v>
      </c>
      <c r="CV598" s="1006"/>
      <c r="CW598" s="177">
        <f t="shared" si="745"/>
        <v>7000</v>
      </c>
      <c r="CX598" s="1019">
        <f t="shared" si="746"/>
        <v>7000</v>
      </c>
      <c r="CY598" s="177">
        <f t="shared" si="747"/>
        <v>7000</v>
      </c>
      <c r="CZ598" s="1019">
        <f t="shared" si="748"/>
        <v>0</v>
      </c>
      <c r="DA598" s="177">
        <f t="shared" si="749"/>
        <v>0</v>
      </c>
      <c r="DB598" s="126"/>
      <c r="DC598" s="125"/>
    </row>
    <row r="599" spans="1:107" ht="51" hidden="1" x14ac:dyDescent="0.25">
      <c r="A599" s="19">
        <v>2026</v>
      </c>
      <c r="B599" s="20">
        <v>479</v>
      </c>
      <c r="C599" s="21" t="s">
        <v>64</v>
      </c>
      <c r="D599" s="21" t="s">
        <v>65</v>
      </c>
      <c r="E599" s="20">
        <v>125</v>
      </c>
      <c r="F599" s="20">
        <v>3000654</v>
      </c>
      <c r="G599" s="20">
        <v>5005023</v>
      </c>
      <c r="H599" s="20">
        <v>3</v>
      </c>
      <c r="I599" s="20">
        <v>12</v>
      </c>
      <c r="J599" s="20">
        <v>24</v>
      </c>
      <c r="K599" s="20">
        <v>135560</v>
      </c>
      <c r="L599" s="21" t="s">
        <v>220</v>
      </c>
      <c r="M599" s="33" t="s">
        <v>221</v>
      </c>
      <c r="N599" s="19">
        <v>97</v>
      </c>
      <c r="O599" s="2"/>
      <c r="P599" s="2" t="s">
        <v>4</v>
      </c>
      <c r="Q599" s="20" t="s">
        <v>68</v>
      </c>
      <c r="R599" s="25" t="s">
        <v>69</v>
      </c>
      <c r="S599" s="41" t="s">
        <v>137</v>
      </c>
      <c r="T599" s="41"/>
      <c r="U599" s="31" t="s">
        <v>398</v>
      </c>
      <c r="V599" s="25" t="s">
        <v>3</v>
      </c>
      <c r="W599" s="25">
        <v>1</v>
      </c>
      <c r="X599" s="595">
        <v>7000</v>
      </c>
      <c r="Y599" s="619"/>
      <c r="Z599" s="2"/>
      <c r="AA599" s="2"/>
      <c r="AB599" s="620"/>
      <c r="AC599" s="25">
        <v>0</v>
      </c>
      <c r="AD599" s="25">
        <v>30</v>
      </c>
      <c r="AE599" s="619"/>
      <c r="AF599" s="2"/>
      <c r="AG599" s="2"/>
      <c r="AH599" s="2"/>
      <c r="AI599" s="2"/>
      <c r="AJ599" s="621"/>
      <c r="AK599" s="596">
        <v>7000</v>
      </c>
      <c r="AL599" s="29" t="s">
        <v>73</v>
      </c>
      <c r="AM599" s="29" t="s">
        <v>73</v>
      </c>
      <c r="AN599" s="29" t="s">
        <v>73</v>
      </c>
      <c r="AO599" s="29" t="s">
        <v>73</v>
      </c>
      <c r="AP599" s="648">
        <v>0</v>
      </c>
      <c r="AQ599" s="478">
        <v>7000</v>
      </c>
      <c r="AR599" s="29" t="s">
        <v>73</v>
      </c>
      <c r="AS599" s="29" t="s">
        <v>73</v>
      </c>
      <c r="AT599" s="29" t="s">
        <v>73</v>
      </c>
      <c r="AU599" s="29" t="s">
        <v>73</v>
      </c>
      <c r="AV599" s="29" t="s">
        <v>73</v>
      </c>
      <c r="AW599" s="29" t="s">
        <v>73</v>
      </c>
      <c r="AX599" s="30">
        <v>7000</v>
      </c>
      <c r="AY599" s="479" t="s">
        <v>6</v>
      </c>
      <c r="AZ599" s="2" t="s">
        <v>74</v>
      </c>
      <c r="BA599" s="2"/>
      <c r="BK599" s="125" t="s">
        <v>790</v>
      </c>
      <c r="BL599" s="481" t="s">
        <v>791</v>
      </c>
      <c r="BM599" s="125" t="s">
        <v>1812</v>
      </c>
      <c r="BN599" s="177" t="s">
        <v>1813</v>
      </c>
      <c r="BO599" s="125" t="s">
        <v>1814</v>
      </c>
      <c r="BP599" s="129">
        <v>46156</v>
      </c>
      <c r="BQ599" s="18"/>
      <c r="BR599" s="948">
        <v>5047</v>
      </c>
      <c r="BS599" s="253"/>
      <c r="BT599" s="253"/>
      <c r="BU599" s="949" t="s">
        <v>1815</v>
      </c>
      <c r="BV599" s="251" t="s">
        <v>2505</v>
      </c>
      <c r="BW599" s="177" t="s">
        <v>1416</v>
      </c>
      <c r="BX599" s="177" t="s">
        <v>2506</v>
      </c>
      <c r="BY599" s="125">
        <v>74438705</v>
      </c>
      <c r="BZ599" s="125">
        <v>10744387057</v>
      </c>
      <c r="CA599" s="261">
        <v>7000</v>
      </c>
      <c r="CB599" s="289">
        <v>46174</v>
      </c>
      <c r="CC599" s="289">
        <v>46203</v>
      </c>
      <c r="CD599" s="759"/>
      <c r="CE599" s="177">
        <f t="shared" si="733"/>
        <v>0</v>
      </c>
      <c r="CF599" s="1019">
        <f t="shared" si="734"/>
        <v>0</v>
      </c>
      <c r="CG599" s="177"/>
      <c r="CH599" s="1019">
        <f t="shared" si="735"/>
        <v>0</v>
      </c>
      <c r="CI599" s="177"/>
      <c r="CJ599" s="1019">
        <f t="shared" si="736"/>
        <v>0</v>
      </c>
      <c r="CK599" s="177">
        <f t="shared" si="737"/>
        <v>0</v>
      </c>
      <c r="CL599" s="177">
        <f t="shared" si="738"/>
        <v>0</v>
      </c>
      <c r="CM599" s="1006"/>
      <c r="CN599" s="177">
        <f t="shared" si="739"/>
        <v>30</v>
      </c>
      <c r="CO599" s="1019">
        <f t="shared" si="740"/>
        <v>7000</v>
      </c>
      <c r="CP599" s="177">
        <v>30</v>
      </c>
      <c r="CQ599" s="1019">
        <f t="shared" si="741"/>
        <v>7000</v>
      </c>
      <c r="CR599" s="1019">
        <v>30</v>
      </c>
      <c r="CS599" s="1019">
        <f t="shared" si="742"/>
        <v>7000</v>
      </c>
      <c r="CT599" s="177">
        <f t="shared" si="743"/>
        <v>0</v>
      </c>
      <c r="CU599" s="177">
        <f t="shared" si="744"/>
        <v>0</v>
      </c>
      <c r="CV599" s="1006"/>
      <c r="CW599" s="177">
        <f t="shared" si="745"/>
        <v>7000</v>
      </c>
      <c r="CX599" s="1019">
        <f t="shared" si="746"/>
        <v>7000</v>
      </c>
      <c r="CY599" s="177">
        <f t="shared" si="747"/>
        <v>7000</v>
      </c>
      <c r="CZ599" s="1019">
        <f t="shared" si="748"/>
        <v>0</v>
      </c>
      <c r="DA599" s="177">
        <f t="shared" si="749"/>
        <v>0</v>
      </c>
      <c r="DB599" s="126"/>
      <c r="DC599" s="125"/>
    </row>
    <row r="600" spans="1:107" ht="51" hidden="1" x14ac:dyDescent="0.25">
      <c r="A600" s="19">
        <v>2026</v>
      </c>
      <c r="B600" s="20">
        <v>479</v>
      </c>
      <c r="C600" s="21" t="s">
        <v>64</v>
      </c>
      <c r="D600" s="21" t="s">
        <v>65</v>
      </c>
      <c r="E600" s="20">
        <v>125</v>
      </c>
      <c r="F600" s="20">
        <v>3000654</v>
      </c>
      <c r="G600" s="20">
        <v>5005023</v>
      </c>
      <c r="H600" s="20">
        <v>3</v>
      </c>
      <c r="I600" s="20">
        <v>12</v>
      </c>
      <c r="J600" s="20">
        <v>24</v>
      </c>
      <c r="K600" s="20">
        <v>135560</v>
      </c>
      <c r="L600" s="21" t="s">
        <v>98</v>
      </c>
      <c r="M600" s="33" t="s">
        <v>99</v>
      </c>
      <c r="N600" s="19">
        <v>94</v>
      </c>
      <c r="O600" s="2"/>
      <c r="P600" s="2" t="s">
        <v>4</v>
      </c>
      <c r="Q600" s="20" t="s">
        <v>68</v>
      </c>
      <c r="R600" s="25" t="s">
        <v>69</v>
      </c>
      <c r="S600" s="41" t="s">
        <v>137</v>
      </c>
      <c r="T600" s="41"/>
      <c r="U600" s="31" t="s">
        <v>372</v>
      </c>
      <c r="V600" s="25" t="s">
        <v>3</v>
      </c>
      <c r="W600" s="25">
        <v>1</v>
      </c>
      <c r="X600" s="595">
        <v>4500</v>
      </c>
      <c r="Y600" s="619"/>
      <c r="Z600" s="2"/>
      <c r="AA600" s="2"/>
      <c r="AB600" s="620"/>
      <c r="AC600" s="25">
        <v>30</v>
      </c>
      <c r="AD600" s="25">
        <v>0</v>
      </c>
      <c r="AE600" s="619"/>
      <c r="AF600" s="2"/>
      <c r="AG600" s="2"/>
      <c r="AH600" s="2"/>
      <c r="AI600" s="2"/>
      <c r="AJ600" s="621"/>
      <c r="AK600" s="596">
        <v>4500</v>
      </c>
      <c r="AL600" s="29" t="s">
        <v>73</v>
      </c>
      <c r="AM600" s="29" t="s">
        <v>73</v>
      </c>
      <c r="AN600" s="29" t="s">
        <v>73</v>
      </c>
      <c r="AO600" s="29" t="s">
        <v>73</v>
      </c>
      <c r="AP600" s="478">
        <v>4500</v>
      </c>
      <c r="AQ600" s="648">
        <v>0</v>
      </c>
      <c r="AR600" s="29" t="s">
        <v>73</v>
      </c>
      <c r="AS600" s="29" t="s">
        <v>73</v>
      </c>
      <c r="AT600" s="29" t="s">
        <v>73</v>
      </c>
      <c r="AU600" s="29" t="s">
        <v>73</v>
      </c>
      <c r="AV600" s="29" t="s">
        <v>73</v>
      </c>
      <c r="AW600" s="29" t="s">
        <v>73</v>
      </c>
      <c r="AX600" s="30">
        <v>4500</v>
      </c>
      <c r="AY600" s="165" t="s">
        <v>6</v>
      </c>
      <c r="AZ600" s="2" t="s">
        <v>74</v>
      </c>
      <c r="BA600" s="2"/>
      <c r="BK600" s="147" t="s">
        <v>790</v>
      </c>
      <c r="BL600" s="481" t="s">
        <v>791</v>
      </c>
      <c r="BM600" s="125" t="s">
        <v>1998</v>
      </c>
      <c r="BN600" s="177" t="s">
        <v>1999</v>
      </c>
      <c r="BO600" s="125" t="s">
        <v>2000</v>
      </c>
      <c r="BP600" s="129">
        <v>46134</v>
      </c>
      <c r="BQ600" s="18"/>
      <c r="BR600" s="505" t="s">
        <v>2507</v>
      </c>
      <c r="BS600" s="18"/>
      <c r="BT600" s="656" t="s">
        <v>2002</v>
      </c>
      <c r="BU600" s="18"/>
      <c r="BV600" s="284" t="s">
        <v>932</v>
      </c>
      <c r="BW600" s="566" t="s">
        <v>2508</v>
      </c>
      <c r="BX600" s="566" t="s">
        <v>2509</v>
      </c>
      <c r="BY600" s="125">
        <v>44329546</v>
      </c>
      <c r="BZ600" s="125">
        <v>10443295467</v>
      </c>
      <c r="CA600" s="126">
        <v>4500</v>
      </c>
      <c r="CB600" s="289">
        <v>46143</v>
      </c>
      <c r="CC600" s="289">
        <v>46173</v>
      </c>
      <c r="CD600" s="759"/>
      <c r="CE600" s="177">
        <f t="shared" si="733"/>
        <v>30</v>
      </c>
      <c r="CF600" s="1019">
        <f t="shared" si="734"/>
        <v>4500</v>
      </c>
      <c r="CG600" s="177">
        <v>30</v>
      </c>
      <c r="CH600" s="1019">
        <f t="shared" si="735"/>
        <v>4500</v>
      </c>
      <c r="CI600" s="177">
        <v>30</v>
      </c>
      <c r="CJ600" s="1019">
        <f t="shared" si="736"/>
        <v>4500</v>
      </c>
      <c r="CK600" s="177">
        <f t="shared" si="737"/>
        <v>0</v>
      </c>
      <c r="CL600" s="177">
        <f t="shared" si="738"/>
        <v>0</v>
      </c>
      <c r="CM600" s="1006"/>
      <c r="CN600" s="177">
        <f t="shared" si="739"/>
        <v>0</v>
      </c>
      <c r="CO600" s="1019">
        <f t="shared" si="740"/>
        <v>0</v>
      </c>
      <c r="CP600" s="177"/>
      <c r="CQ600" s="1019">
        <f t="shared" si="741"/>
        <v>0</v>
      </c>
      <c r="CR600" s="1019"/>
      <c r="CS600" s="1019">
        <f t="shared" si="742"/>
        <v>0</v>
      </c>
      <c r="CT600" s="177">
        <f t="shared" si="743"/>
        <v>0</v>
      </c>
      <c r="CU600" s="177">
        <f t="shared" si="744"/>
        <v>0</v>
      </c>
      <c r="CV600" s="1006"/>
      <c r="CW600" s="177">
        <f t="shared" si="745"/>
        <v>4500</v>
      </c>
      <c r="CX600" s="1019">
        <f t="shared" si="746"/>
        <v>4500</v>
      </c>
      <c r="CY600" s="177">
        <f t="shared" si="747"/>
        <v>4500</v>
      </c>
      <c r="CZ600" s="1019">
        <f t="shared" si="748"/>
        <v>0</v>
      </c>
      <c r="DA600" s="177">
        <f t="shared" si="749"/>
        <v>0</v>
      </c>
      <c r="DB600" s="126"/>
      <c r="DC600" s="125"/>
    </row>
    <row r="601" spans="1:107" ht="51" hidden="1" x14ac:dyDescent="0.25">
      <c r="A601" s="19">
        <v>2026</v>
      </c>
      <c r="B601" s="20">
        <v>479</v>
      </c>
      <c r="C601" s="21" t="s">
        <v>64</v>
      </c>
      <c r="D601" s="21" t="s">
        <v>65</v>
      </c>
      <c r="E601" s="20">
        <v>125</v>
      </c>
      <c r="F601" s="20">
        <v>3000654</v>
      </c>
      <c r="G601" s="20">
        <v>5005023</v>
      </c>
      <c r="H601" s="20">
        <v>3</v>
      </c>
      <c r="I601" s="20">
        <v>12</v>
      </c>
      <c r="J601" s="20">
        <v>24</v>
      </c>
      <c r="K601" s="20">
        <v>135560</v>
      </c>
      <c r="L601" s="21" t="s">
        <v>220</v>
      </c>
      <c r="M601" s="33" t="s">
        <v>221</v>
      </c>
      <c r="N601" s="19">
        <v>97</v>
      </c>
      <c r="O601" s="2"/>
      <c r="P601" s="2" t="s">
        <v>4</v>
      </c>
      <c r="Q601" s="20" t="s">
        <v>68</v>
      </c>
      <c r="R601" s="25" t="s">
        <v>69</v>
      </c>
      <c r="S601" s="41" t="s">
        <v>137</v>
      </c>
      <c r="T601" s="41"/>
      <c r="U601" s="31" t="s">
        <v>372</v>
      </c>
      <c r="V601" s="25" t="s">
        <v>3</v>
      </c>
      <c r="W601" s="25">
        <v>1</v>
      </c>
      <c r="X601" s="595">
        <v>4500</v>
      </c>
      <c r="Y601" s="619"/>
      <c r="Z601" s="2"/>
      <c r="AA601" s="2"/>
      <c r="AB601" s="620"/>
      <c r="AC601" s="25">
        <v>0</v>
      </c>
      <c r="AD601" s="25">
        <v>30</v>
      </c>
      <c r="AE601" s="619"/>
      <c r="AF601" s="2"/>
      <c r="AG601" s="2"/>
      <c r="AH601" s="2"/>
      <c r="AI601" s="2"/>
      <c r="AJ601" s="621"/>
      <c r="AK601" s="596">
        <v>4500</v>
      </c>
      <c r="AL601" s="29" t="s">
        <v>73</v>
      </c>
      <c r="AM601" s="29" t="s">
        <v>73</v>
      </c>
      <c r="AN601" s="29" t="s">
        <v>73</v>
      </c>
      <c r="AO601" s="29" t="s">
        <v>73</v>
      </c>
      <c r="AP601" s="648">
        <v>0</v>
      </c>
      <c r="AQ601" s="478">
        <v>4500</v>
      </c>
      <c r="AR601" s="29" t="s">
        <v>73</v>
      </c>
      <c r="AS601" s="29" t="s">
        <v>73</v>
      </c>
      <c r="AT601" s="29" t="s">
        <v>73</v>
      </c>
      <c r="AU601" s="29" t="s">
        <v>73</v>
      </c>
      <c r="AV601" s="29" t="s">
        <v>73</v>
      </c>
      <c r="AW601" s="29" t="s">
        <v>73</v>
      </c>
      <c r="AX601" s="30">
        <v>4500</v>
      </c>
      <c r="AY601" s="479" t="s">
        <v>6</v>
      </c>
      <c r="AZ601" s="2" t="s">
        <v>74</v>
      </c>
      <c r="BA601" s="2"/>
      <c r="BK601" s="125" t="s">
        <v>790</v>
      </c>
      <c r="BL601" s="481" t="s">
        <v>791</v>
      </c>
      <c r="BM601" s="125" t="s">
        <v>1812</v>
      </c>
      <c r="BN601" s="177" t="s">
        <v>1813</v>
      </c>
      <c r="BO601" s="125" t="s">
        <v>1814</v>
      </c>
      <c r="BP601" s="129">
        <v>46156</v>
      </c>
      <c r="BQ601" s="18"/>
      <c r="BR601" s="505">
        <v>5052</v>
      </c>
      <c r="BS601" s="18"/>
      <c r="BT601" s="18"/>
      <c r="BU601" s="18" t="s">
        <v>1815</v>
      </c>
      <c r="BV601" s="284" t="s">
        <v>932</v>
      </c>
      <c r="BW601" s="566" t="s">
        <v>2508</v>
      </c>
      <c r="BX601" s="566" t="s">
        <v>2509</v>
      </c>
      <c r="BY601" s="125">
        <v>44329546</v>
      </c>
      <c r="BZ601" s="125">
        <v>10443295467</v>
      </c>
      <c r="CA601" s="261">
        <v>4500</v>
      </c>
      <c r="CB601" s="289">
        <v>46174</v>
      </c>
      <c r="CC601" s="289">
        <v>46203</v>
      </c>
      <c r="CD601" s="759"/>
      <c r="CE601" s="177">
        <f t="shared" si="733"/>
        <v>0</v>
      </c>
      <c r="CF601" s="1019">
        <f t="shared" si="734"/>
        <v>0</v>
      </c>
      <c r="CG601" s="177"/>
      <c r="CH601" s="1019">
        <f t="shared" si="735"/>
        <v>0</v>
      </c>
      <c r="CI601" s="177"/>
      <c r="CJ601" s="1019">
        <f t="shared" si="736"/>
        <v>0</v>
      </c>
      <c r="CK601" s="177">
        <f t="shared" si="737"/>
        <v>0</v>
      </c>
      <c r="CL601" s="177">
        <f t="shared" si="738"/>
        <v>0</v>
      </c>
      <c r="CM601" s="1006"/>
      <c r="CN601" s="177">
        <f t="shared" si="739"/>
        <v>30</v>
      </c>
      <c r="CO601" s="1019">
        <f t="shared" si="740"/>
        <v>4500</v>
      </c>
      <c r="CP601" s="177">
        <v>30</v>
      </c>
      <c r="CQ601" s="1019">
        <f t="shared" si="741"/>
        <v>4500</v>
      </c>
      <c r="CR601" s="1019">
        <v>30</v>
      </c>
      <c r="CS601" s="1019">
        <f t="shared" si="742"/>
        <v>4500</v>
      </c>
      <c r="CT601" s="177">
        <f t="shared" si="743"/>
        <v>0</v>
      </c>
      <c r="CU601" s="177">
        <f t="shared" si="744"/>
        <v>0</v>
      </c>
      <c r="CV601" s="1006"/>
      <c r="CW601" s="177">
        <f t="shared" si="745"/>
        <v>4500</v>
      </c>
      <c r="CX601" s="1019">
        <f t="shared" si="746"/>
        <v>4500</v>
      </c>
      <c r="CY601" s="177">
        <f t="shared" si="747"/>
        <v>4500</v>
      </c>
      <c r="CZ601" s="1019">
        <f t="shared" si="748"/>
        <v>0</v>
      </c>
      <c r="DA601" s="177">
        <f t="shared" si="749"/>
        <v>0</v>
      </c>
      <c r="DB601" s="126"/>
      <c r="DC601" s="125"/>
    </row>
    <row r="602" spans="1:107" ht="51" hidden="1" x14ac:dyDescent="0.25">
      <c r="A602" s="19">
        <v>2026</v>
      </c>
      <c r="B602" s="20">
        <v>479</v>
      </c>
      <c r="C602" s="21" t="s">
        <v>64</v>
      </c>
      <c r="D602" s="21" t="s">
        <v>65</v>
      </c>
      <c r="E602" s="20">
        <v>125</v>
      </c>
      <c r="F602" s="20">
        <v>3000654</v>
      </c>
      <c r="G602" s="20">
        <v>5005023</v>
      </c>
      <c r="H602" s="20">
        <v>3</v>
      </c>
      <c r="I602" s="20">
        <v>12</v>
      </c>
      <c r="J602" s="20">
        <v>24</v>
      </c>
      <c r="K602" s="20">
        <v>135560</v>
      </c>
      <c r="L602" s="21" t="s">
        <v>98</v>
      </c>
      <c r="M602" s="33" t="s">
        <v>99</v>
      </c>
      <c r="N602" s="19">
        <v>94</v>
      </c>
      <c r="O602" s="2"/>
      <c r="P602" s="2" t="s">
        <v>4</v>
      </c>
      <c r="Q602" s="20" t="s">
        <v>68</v>
      </c>
      <c r="R602" s="25" t="s">
        <v>69</v>
      </c>
      <c r="S602" s="41" t="s">
        <v>137</v>
      </c>
      <c r="T602" s="41"/>
      <c r="U602" s="31" t="s">
        <v>399</v>
      </c>
      <c r="V602" s="25" t="s">
        <v>3</v>
      </c>
      <c r="W602" s="25">
        <v>1</v>
      </c>
      <c r="X602" s="595">
        <v>8000</v>
      </c>
      <c r="Y602" s="619"/>
      <c r="Z602" s="2"/>
      <c r="AA602" s="2"/>
      <c r="AB602" s="620"/>
      <c r="AC602" s="25">
        <v>30</v>
      </c>
      <c r="AD602" s="25">
        <v>0</v>
      </c>
      <c r="AE602" s="619"/>
      <c r="AF602" s="2"/>
      <c r="AG602" s="2"/>
      <c r="AH602" s="2"/>
      <c r="AI602" s="2"/>
      <c r="AJ602" s="621"/>
      <c r="AK602" s="596">
        <v>8000</v>
      </c>
      <c r="AL602" s="29" t="s">
        <v>73</v>
      </c>
      <c r="AM602" s="29" t="s">
        <v>73</v>
      </c>
      <c r="AN602" s="29" t="s">
        <v>73</v>
      </c>
      <c r="AO602" s="29" t="s">
        <v>73</v>
      </c>
      <c r="AP602" s="478">
        <v>8000</v>
      </c>
      <c r="AQ602" s="648">
        <v>0</v>
      </c>
      <c r="AR602" s="29" t="s">
        <v>73</v>
      </c>
      <c r="AS602" s="29" t="s">
        <v>73</v>
      </c>
      <c r="AT602" s="29" t="s">
        <v>73</v>
      </c>
      <c r="AU602" s="29" t="s">
        <v>73</v>
      </c>
      <c r="AV602" s="29" t="s">
        <v>73</v>
      </c>
      <c r="AW602" s="29" t="s">
        <v>73</v>
      </c>
      <c r="AX602" s="30">
        <v>8000</v>
      </c>
      <c r="AY602" s="165" t="s">
        <v>6</v>
      </c>
      <c r="AZ602" s="2" t="s">
        <v>74</v>
      </c>
      <c r="BA602" s="2"/>
      <c r="BK602" s="147" t="s">
        <v>790</v>
      </c>
      <c r="BL602" s="481" t="s">
        <v>791</v>
      </c>
      <c r="BM602" s="125" t="s">
        <v>1998</v>
      </c>
      <c r="BN602" s="177" t="s">
        <v>1999</v>
      </c>
      <c r="BO602" s="125" t="s">
        <v>2000</v>
      </c>
      <c r="BP602" s="129">
        <v>46134</v>
      </c>
      <c r="BQ602" s="18"/>
      <c r="BR602" s="505" t="s">
        <v>2510</v>
      </c>
      <c r="BS602" s="18"/>
      <c r="BT602" s="656" t="s">
        <v>2002</v>
      </c>
      <c r="BU602" s="18"/>
      <c r="BV602" s="125" t="s">
        <v>2511</v>
      </c>
      <c r="BW602" s="125" t="s">
        <v>1240</v>
      </c>
      <c r="BX602" s="125" t="s">
        <v>2512</v>
      </c>
      <c r="BY602" s="125">
        <v>41915781</v>
      </c>
      <c r="BZ602" s="125">
        <v>10419157819</v>
      </c>
      <c r="CA602" s="126">
        <v>8000</v>
      </c>
      <c r="CB602" s="289">
        <v>46143</v>
      </c>
      <c r="CC602" s="289">
        <v>46173</v>
      </c>
      <c r="CD602" s="759"/>
      <c r="CE602" s="177">
        <f t="shared" si="733"/>
        <v>30</v>
      </c>
      <c r="CF602" s="1019">
        <f t="shared" si="734"/>
        <v>8000</v>
      </c>
      <c r="CG602" s="177">
        <v>30</v>
      </c>
      <c r="CH602" s="1019">
        <f t="shared" si="735"/>
        <v>8000.0000000000009</v>
      </c>
      <c r="CI602" s="177">
        <v>30</v>
      </c>
      <c r="CJ602" s="1019">
        <f t="shared" si="736"/>
        <v>8000.0000000000009</v>
      </c>
      <c r="CK602" s="177">
        <f t="shared" si="737"/>
        <v>0</v>
      </c>
      <c r="CL602" s="177">
        <f t="shared" si="738"/>
        <v>0</v>
      </c>
      <c r="CM602" s="1006"/>
      <c r="CN602" s="177">
        <f t="shared" si="739"/>
        <v>0</v>
      </c>
      <c r="CO602" s="1019">
        <f t="shared" si="740"/>
        <v>0</v>
      </c>
      <c r="CP602" s="177"/>
      <c r="CQ602" s="1019">
        <f t="shared" si="741"/>
        <v>0</v>
      </c>
      <c r="CR602" s="1019"/>
      <c r="CS602" s="1019">
        <f t="shared" si="742"/>
        <v>0</v>
      </c>
      <c r="CT602" s="177">
        <f t="shared" si="743"/>
        <v>0</v>
      </c>
      <c r="CU602" s="177">
        <f t="shared" si="744"/>
        <v>0</v>
      </c>
      <c r="CV602" s="1006"/>
      <c r="CW602" s="177">
        <f t="shared" si="745"/>
        <v>8000</v>
      </c>
      <c r="CX602" s="1019">
        <f t="shared" si="746"/>
        <v>8000.0000000000009</v>
      </c>
      <c r="CY602" s="177">
        <f t="shared" si="747"/>
        <v>8000.0000000000009</v>
      </c>
      <c r="CZ602" s="1019">
        <f t="shared" si="748"/>
        <v>0</v>
      </c>
      <c r="DA602" s="177">
        <f t="shared" si="749"/>
        <v>0</v>
      </c>
      <c r="DB602" s="126"/>
      <c r="DC602" s="125"/>
    </row>
    <row r="603" spans="1:107" ht="51" hidden="1" x14ac:dyDescent="0.25">
      <c r="A603" s="19">
        <v>2026</v>
      </c>
      <c r="B603" s="20">
        <v>479</v>
      </c>
      <c r="C603" s="21" t="s">
        <v>64</v>
      </c>
      <c r="D603" s="21" t="s">
        <v>65</v>
      </c>
      <c r="E603" s="20">
        <v>125</v>
      </c>
      <c r="F603" s="20">
        <v>3000654</v>
      </c>
      <c r="G603" s="20">
        <v>5005023</v>
      </c>
      <c r="H603" s="20">
        <v>3</v>
      </c>
      <c r="I603" s="20">
        <v>12</v>
      </c>
      <c r="J603" s="20">
        <v>24</v>
      </c>
      <c r="K603" s="20">
        <v>135560</v>
      </c>
      <c r="L603" s="21" t="s">
        <v>220</v>
      </c>
      <c r="M603" s="33" t="s">
        <v>221</v>
      </c>
      <c r="N603" s="19">
        <v>97</v>
      </c>
      <c r="O603" s="2"/>
      <c r="P603" s="2" t="s">
        <v>4</v>
      </c>
      <c r="Q603" s="20" t="s">
        <v>68</v>
      </c>
      <c r="R603" s="25" t="s">
        <v>69</v>
      </c>
      <c r="S603" s="41" t="s">
        <v>137</v>
      </c>
      <c r="T603" s="41"/>
      <c r="U603" s="31" t="s">
        <v>399</v>
      </c>
      <c r="V603" s="25" t="s">
        <v>3</v>
      </c>
      <c r="W603" s="25">
        <v>1</v>
      </c>
      <c r="X603" s="595">
        <v>8000</v>
      </c>
      <c r="Y603" s="619"/>
      <c r="Z603" s="2"/>
      <c r="AA603" s="2"/>
      <c r="AB603" s="620"/>
      <c r="AC603" s="25">
        <v>0</v>
      </c>
      <c r="AD603" s="25">
        <v>30</v>
      </c>
      <c r="AE603" s="619"/>
      <c r="AF603" s="2"/>
      <c r="AG603" s="2"/>
      <c r="AH603" s="2"/>
      <c r="AI603" s="2"/>
      <c r="AJ603" s="621"/>
      <c r="AK603" s="596">
        <v>8000</v>
      </c>
      <c r="AL603" s="29" t="s">
        <v>73</v>
      </c>
      <c r="AM603" s="29" t="s">
        <v>73</v>
      </c>
      <c r="AN603" s="29" t="s">
        <v>73</v>
      </c>
      <c r="AO603" s="29" t="s">
        <v>73</v>
      </c>
      <c r="AP603" s="648">
        <v>0</v>
      </c>
      <c r="AQ603" s="478">
        <v>8000</v>
      </c>
      <c r="AR603" s="29" t="s">
        <v>73</v>
      </c>
      <c r="AS603" s="29" t="s">
        <v>73</v>
      </c>
      <c r="AT603" s="29" t="s">
        <v>73</v>
      </c>
      <c r="AU603" s="29" t="s">
        <v>73</v>
      </c>
      <c r="AV603" s="29" t="s">
        <v>73</v>
      </c>
      <c r="AW603" s="29" t="s">
        <v>73</v>
      </c>
      <c r="AX603" s="30">
        <v>8000</v>
      </c>
      <c r="AY603" s="479" t="s">
        <v>6</v>
      </c>
      <c r="AZ603" s="2" t="s">
        <v>74</v>
      </c>
      <c r="BA603" s="2"/>
      <c r="BK603" s="125" t="s">
        <v>790</v>
      </c>
      <c r="BL603" s="481" t="s">
        <v>791</v>
      </c>
      <c r="BM603" s="125" t="s">
        <v>1812</v>
      </c>
      <c r="BN603" s="177" t="s">
        <v>1813</v>
      </c>
      <c r="BO603" s="125" t="s">
        <v>1814</v>
      </c>
      <c r="BP603" s="129">
        <v>46156</v>
      </c>
      <c r="BQ603" s="18"/>
      <c r="BR603" s="505" t="s">
        <v>2510</v>
      </c>
      <c r="BS603" s="18"/>
      <c r="BT603" s="18"/>
      <c r="BU603" s="18"/>
      <c r="BV603" s="125" t="s">
        <v>2511</v>
      </c>
      <c r="BW603" s="177" t="s">
        <v>1240</v>
      </c>
      <c r="BX603" s="177" t="s">
        <v>2512</v>
      </c>
      <c r="BY603" s="125">
        <v>41915781</v>
      </c>
      <c r="BZ603" s="125">
        <v>10419157819</v>
      </c>
      <c r="CA603" s="261">
        <v>8000</v>
      </c>
      <c r="CB603" s="289">
        <v>46174</v>
      </c>
      <c r="CC603" s="289">
        <v>46203</v>
      </c>
      <c r="CD603" s="759"/>
      <c r="CE603" s="177">
        <f t="shared" si="733"/>
        <v>0</v>
      </c>
      <c r="CF603" s="1019">
        <f t="shared" si="734"/>
        <v>0</v>
      </c>
      <c r="CG603" s="177"/>
      <c r="CH603" s="1019">
        <f t="shared" si="735"/>
        <v>0</v>
      </c>
      <c r="CI603" s="177"/>
      <c r="CJ603" s="1019">
        <f t="shared" si="736"/>
        <v>0</v>
      </c>
      <c r="CK603" s="177">
        <f t="shared" si="737"/>
        <v>0</v>
      </c>
      <c r="CL603" s="177">
        <f t="shared" si="738"/>
        <v>0</v>
      </c>
      <c r="CM603" s="1006"/>
      <c r="CN603" s="177">
        <f t="shared" si="739"/>
        <v>30</v>
      </c>
      <c r="CO603" s="1019">
        <f t="shared" si="740"/>
        <v>8000</v>
      </c>
      <c r="CP603" s="177">
        <v>30</v>
      </c>
      <c r="CQ603" s="1019">
        <f t="shared" si="741"/>
        <v>8000.0000000000009</v>
      </c>
      <c r="CR603" s="1019">
        <v>30</v>
      </c>
      <c r="CS603" s="1019">
        <f t="shared" si="742"/>
        <v>8000.0000000000009</v>
      </c>
      <c r="CT603" s="177">
        <f t="shared" si="743"/>
        <v>0</v>
      </c>
      <c r="CU603" s="177">
        <f t="shared" si="744"/>
        <v>0</v>
      </c>
      <c r="CV603" s="1006"/>
      <c r="CW603" s="177">
        <f t="shared" si="745"/>
        <v>8000</v>
      </c>
      <c r="CX603" s="1019">
        <f t="shared" si="746"/>
        <v>8000.0000000000009</v>
      </c>
      <c r="CY603" s="177">
        <f t="shared" si="747"/>
        <v>8000.0000000000009</v>
      </c>
      <c r="CZ603" s="1019">
        <f t="shared" si="748"/>
        <v>0</v>
      </c>
      <c r="DA603" s="177">
        <f t="shared" si="749"/>
        <v>0</v>
      </c>
      <c r="DB603" s="126"/>
      <c r="DC603" s="125"/>
    </row>
    <row r="604" spans="1:107" ht="51" hidden="1" x14ac:dyDescent="0.25">
      <c r="A604" s="19">
        <v>2026</v>
      </c>
      <c r="B604" s="20">
        <v>479</v>
      </c>
      <c r="C604" s="21" t="s">
        <v>64</v>
      </c>
      <c r="D604" s="21" t="s">
        <v>65</v>
      </c>
      <c r="E604" s="20">
        <v>125</v>
      </c>
      <c r="F604" s="20">
        <v>3000654</v>
      </c>
      <c r="G604" s="20">
        <v>5005023</v>
      </c>
      <c r="H604" s="20">
        <v>3</v>
      </c>
      <c r="I604" s="20">
        <v>12</v>
      </c>
      <c r="J604" s="20">
        <v>24</v>
      </c>
      <c r="K604" s="20">
        <v>135560</v>
      </c>
      <c r="L604" s="21" t="s">
        <v>98</v>
      </c>
      <c r="M604" s="33" t="s">
        <v>99</v>
      </c>
      <c r="N604" s="19">
        <v>94</v>
      </c>
      <c r="O604" s="2"/>
      <c r="P604" s="2" t="s">
        <v>4</v>
      </c>
      <c r="Q604" s="20" t="s">
        <v>68</v>
      </c>
      <c r="R604" s="25" t="s">
        <v>69</v>
      </c>
      <c r="S604" s="41" t="s">
        <v>137</v>
      </c>
      <c r="T604" s="41"/>
      <c r="U604" s="31" t="s">
        <v>400</v>
      </c>
      <c r="V604" s="25" t="s">
        <v>3</v>
      </c>
      <c r="W604" s="25">
        <v>1</v>
      </c>
      <c r="X604" s="595">
        <v>8500</v>
      </c>
      <c r="Y604" s="619"/>
      <c r="Z604" s="2"/>
      <c r="AA604" s="2"/>
      <c r="AB604" s="620"/>
      <c r="AC604" s="25">
        <v>30</v>
      </c>
      <c r="AD604" s="25">
        <v>0</v>
      </c>
      <c r="AE604" s="619"/>
      <c r="AF604" s="2"/>
      <c r="AG604" s="2"/>
      <c r="AH604" s="2"/>
      <c r="AI604" s="2"/>
      <c r="AJ604" s="621"/>
      <c r="AK604" s="596">
        <v>8500</v>
      </c>
      <c r="AL604" s="29" t="s">
        <v>73</v>
      </c>
      <c r="AM604" s="29" t="s">
        <v>73</v>
      </c>
      <c r="AN604" s="29" t="s">
        <v>73</v>
      </c>
      <c r="AO604" s="29" t="s">
        <v>73</v>
      </c>
      <c r="AP604" s="478">
        <v>8500</v>
      </c>
      <c r="AQ604" s="648">
        <v>0</v>
      </c>
      <c r="AR604" s="29" t="s">
        <v>73</v>
      </c>
      <c r="AS604" s="29" t="s">
        <v>73</v>
      </c>
      <c r="AT604" s="29" t="s">
        <v>73</v>
      </c>
      <c r="AU604" s="29" t="s">
        <v>73</v>
      </c>
      <c r="AV604" s="29" t="s">
        <v>73</v>
      </c>
      <c r="AW604" s="29" t="s">
        <v>73</v>
      </c>
      <c r="AX604" s="30">
        <v>8500</v>
      </c>
      <c r="AY604" s="165" t="s">
        <v>6</v>
      </c>
      <c r="AZ604" s="2" t="s">
        <v>74</v>
      </c>
      <c r="BA604" s="2"/>
      <c r="BK604" s="147" t="s">
        <v>790</v>
      </c>
      <c r="BL604" s="481" t="s">
        <v>791</v>
      </c>
      <c r="BM604" s="125" t="s">
        <v>1998</v>
      </c>
      <c r="BN604" s="177" t="s">
        <v>1999</v>
      </c>
      <c r="BO604" s="125" t="s">
        <v>2000</v>
      </c>
      <c r="BP604" s="129">
        <v>46134</v>
      </c>
      <c r="BQ604" s="18"/>
      <c r="BR604" s="505" t="s">
        <v>2513</v>
      </c>
      <c r="BS604" s="18"/>
      <c r="BT604" s="656" t="s">
        <v>2002</v>
      </c>
      <c r="BU604" s="18"/>
      <c r="BV604" s="125" t="s">
        <v>1240</v>
      </c>
      <c r="BW604" s="125" t="s">
        <v>1000</v>
      </c>
      <c r="BX604" s="125" t="s">
        <v>2514</v>
      </c>
      <c r="BY604" s="125">
        <v>43306779</v>
      </c>
      <c r="BZ604" s="125">
        <v>10433067792</v>
      </c>
      <c r="CA604" s="126">
        <v>8500</v>
      </c>
      <c r="CB604" s="289">
        <v>46143</v>
      </c>
      <c r="CC604" s="289">
        <v>46173</v>
      </c>
      <c r="CD604" s="759"/>
      <c r="CE604" s="177">
        <f t="shared" si="733"/>
        <v>30</v>
      </c>
      <c r="CF604" s="1019">
        <f t="shared" si="734"/>
        <v>8500</v>
      </c>
      <c r="CG604" s="177">
        <v>30</v>
      </c>
      <c r="CH604" s="1019">
        <f t="shared" si="735"/>
        <v>8500</v>
      </c>
      <c r="CI604" s="177">
        <v>30</v>
      </c>
      <c r="CJ604" s="1019">
        <f t="shared" si="736"/>
        <v>8500</v>
      </c>
      <c r="CK604" s="177">
        <f t="shared" si="737"/>
        <v>0</v>
      </c>
      <c r="CL604" s="177">
        <f t="shared" si="738"/>
        <v>0</v>
      </c>
      <c r="CM604" s="1006"/>
      <c r="CN604" s="177">
        <v>0</v>
      </c>
      <c r="CO604" s="1019">
        <f t="shared" si="740"/>
        <v>0</v>
      </c>
      <c r="CP604" s="177"/>
      <c r="CQ604" s="1019">
        <f t="shared" si="741"/>
        <v>0</v>
      </c>
      <c r="CR604" s="1019"/>
      <c r="CS604" s="1019">
        <f t="shared" si="742"/>
        <v>0</v>
      </c>
      <c r="CT604" s="177">
        <f t="shared" si="743"/>
        <v>0</v>
      </c>
      <c r="CU604" s="177">
        <f t="shared" si="744"/>
        <v>0</v>
      </c>
      <c r="CV604" s="1006"/>
      <c r="CW604" s="177">
        <f t="shared" si="745"/>
        <v>8500</v>
      </c>
      <c r="CX604" s="1019">
        <f t="shared" si="746"/>
        <v>8500</v>
      </c>
      <c r="CY604" s="177">
        <f t="shared" si="747"/>
        <v>8500</v>
      </c>
      <c r="CZ604" s="1019">
        <f t="shared" si="748"/>
        <v>0</v>
      </c>
      <c r="DA604" s="177">
        <f t="shared" si="749"/>
        <v>0</v>
      </c>
      <c r="DB604" s="126"/>
      <c r="DC604" s="125"/>
    </row>
    <row r="605" spans="1:107" ht="51" hidden="1" x14ac:dyDescent="0.25">
      <c r="A605" s="19">
        <v>2026</v>
      </c>
      <c r="B605" s="20">
        <v>479</v>
      </c>
      <c r="C605" s="21" t="s">
        <v>64</v>
      </c>
      <c r="D605" s="21" t="s">
        <v>65</v>
      </c>
      <c r="E605" s="20">
        <v>125</v>
      </c>
      <c r="F605" s="20">
        <v>3000654</v>
      </c>
      <c r="G605" s="20">
        <v>5005023</v>
      </c>
      <c r="H605" s="20">
        <v>3</v>
      </c>
      <c r="I605" s="20">
        <v>12</v>
      </c>
      <c r="J605" s="20">
        <v>24</v>
      </c>
      <c r="K605" s="20">
        <v>135560</v>
      </c>
      <c r="L605" s="21" t="s">
        <v>220</v>
      </c>
      <c r="M605" s="33" t="s">
        <v>221</v>
      </c>
      <c r="N605" s="19">
        <v>97</v>
      </c>
      <c r="O605" s="2"/>
      <c r="P605" s="2" t="s">
        <v>4</v>
      </c>
      <c r="Q605" s="20" t="s">
        <v>68</v>
      </c>
      <c r="R605" s="25" t="s">
        <v>69</v>
      </c>
      <c r="S605" s="41" t="s">
        <v>137</v>
      </c>
      <c r="T605" s="41"/>
      <c r="U605" s="31" t="s">
        <v>400</v>
      </c>
      <c r="V605" s="25" t="s">
        <v>3</v>
      </c>
      <c r="W605" s="25">
        <v>1</v>
      </c>
      <c r="X605" s="595">
        <v>8500</v>
      </c>
      <c r="Y605" s="619"/>
      <c r="Z605" s="2"/>
      <c r="AA605" s="2"/>
      <c r="AB605" s="620"/>
      <c r="AC605" s="25">
        <v>0</v>
      </c>
      <c r="AD605" s="25">
        <v>30</v>
      </c>
      <c r="AE605" s="619"/>
      <c r="AF605" s="2"/>
      <c r="AG605" s="2"/>
      <c r="AH605" s="2"/>
      <c r="AI605" s="2"/>
      <c r="AJ605" s="621"/>
      <c r="AK605" s="596">
        <v>8500</v>
      </c>
      <c r="AL605" s="29" t="s">
        <v>73</v>
      </c>
      <c r="AM605" s="29" t="s">
        <v>73</v>
      </c>
      <c r="AN605" s="29" t="s">
        <v>73</v>
      </c>
      <c r="AO605" s="29" t="s">
        <v>73</v>
      </c>
      <c r="AP605" s="648">
        <v>0</v>
      </c>
      <c r="AQ605" s="478">
        <v>8500</v>
      </c>
      <c r="AR605" s="29" t="s">
        <v>73</v>
      </c>
      <c r="AS605" s="29" t="s">
        <v>73</v>
      </c>
      <c r="AT605" s="29" t="s">
        <v>73</v>
      </c>
      <c r="AU605" s="29" t="s">
        <v>73</v>
      </c>
      <c r="AV605" s="29" t="s">
        <v>73</v>
      </c>
      <c r="AW605" s="29" t="s">
        <v>73</v>
      </c>
      <c r="AX605" s="30">
        <v>8500</v>
      </c>
      <c r="AY605" s="479" t="s">
        <v>6</v>
      </c>
      <c r="AZ605" s="2" t="s">
        <v>74</v>
      </c>
      <c r="BA605" s="2"/>
      <c r="BK605" s="125" t="s">
        <v>790</v>
      </c>
      <c r="BL605" s="481" t="s">
        <v>791</v>
      </c>
      <c r="BM605" s="125" t="s">
        <v>1812</v>
      </c>
      <c r="BN605" s="177" t="s">
        <v>1813</v>
      </c>
      <c r="BO605" s="125" t="s">
        <v>1814</v>
      </c>
      <c r="BP605" s="129">
        <v>46156</v>
      </c>
      <c r="BQ605" s="18"/>
      <c r="BR605" s="505" t="s">
        <v>2513</v>
      </c>
      <c r="BS605" s="18"/>
      <c r="BT605" s="18"/>
      <c r="BU605" s="18"/>
      <c r="BV605" s="284" t="s">
        <v>1240</v>
      </c>
      <c r="BW605" s="284" t="s">
        <v>1000</v>
      </c>
      <c r="BX605" s="284" t="s">
        <v>2514</v>
      </c>
      <c r="BY605" s="125">
        <v>43306779</v>
      </c>
      <c r="BZ605" s="125">
        <v>10433067792</v>
      </c>
      <c r="CA605" s="288">
        <v>8500</v>
      </c>
      <c r="CB605" s="289">
        <v>46174</v>
      </c>
      <c r="CC605" s="289">
        <v>46203</v>
      </c>
      <c r="CD605" s="759"/>
      <c r="CE605" s="177">
        <f t="shared" si="733"/>
        <v>0</v>
      </c>
      <c r="CF605" s="1019">
        <f t="shared" si="734"/>
        <v>0</v>
      </c>
      <c r="CG605" s="177"/>
      <c r="CH605" s="1019">
        <f t="shared" si="735"/>
        <v>0</v>
      </c>
      <c r="CI605" s="177"/>
      <c r="CJ605" s="1019">
        <f t="shared" si="736"/>
        <v>0</v>
      </c>
      <c r="CK605" s="177">
        <f t="shared" si="737"/>
        <v>0</v>
      </c>
      <c r="CL605" s="177">
        <f t="shared" si="738"/>
        <v>0</v>
      </c>
      <c r="CM605" s="1006"/>
      <c r="CN605" s="177">
        <f t="shared" si="739"/>
        <v>30</v>
      </c>
      <c r="CO605" s="1019">
        <f t="shared" si="740"/>
        <v>8500</v>
      </c>
      <c r="CP605" s="177">
        <v>30</v>
      </c>
      <c r="CQ605" s="1019">
        <f t="shared" si="741"/>
        <v>8500</v>
      </c>
      <c r="CR605" s="1019">
        <v>30</v>
      </c>
      <c r="CS605" s="1019">
        <f t="shared" si="742"/>
        <v>8500</v>
      </c>
      <c r="CT605" s="177">
        <f t="shared" si="743"/>
        <v>0</v>
      </c>
      <c r="CU605" s="177">
        <f t="shared" si="744"/>
        <v>0</v>
      </c>
      <c r="CV605" s="1006"/>
      <c r="CW605" s="177">
        <f t="shared" si="745"/>
        <v>8500</v>
      </c>
      <c r="CX605" s="1019">
        <f t="shared" si="746"/>
        <v>8500</v>
      </c>
      <c r="CY605" s="177">
        <f t="shared" si="747"/>
        <v>8500</v>
      </c>
      <c r="CZ605" s="1019">
        <f t="shared" si="748"/>
        <v>0</v>
      </c>
      <c r="DA605" s="177">
        <f t="shared" si="749"/>
        <v>0</v>
      </c>
      <c r="DB605" s="126"/>
      <c r="DC605" s="125"/>
    </row>
    <row r="606" spans="1:107" ht="51" hidden="1" x14ac:dyDescent="0.25">
      <c r="A606" s="19">
        <v>2026</v>
      </c>
      <c r="B606" s="20">
        <v>479</v>
      </c>
      <c r="C606" s="21" t="s">
        <v>64</v>
      </c>
      <c r="D606" s="21" t="s">
        <v>65</v>
      </c>
      <c r="E606" s="20">
        <v>125</v>
      </c>
      <c r="F606" s="20">
        <v>3000654</v>
      </c>
      <c r="G606" s="20">
        <v>5005023</v>
      </c>
      <c r="H606" s="20">
        <v>3</v>
      </c>
      <c r="I606" s="20">
        <v>12</v>
      </c>
      <c r="J606" s="20">
        <v>24</v>
      </c>
      <c r="K606" s="20">
        <v>135560</v>
      </c>
      <c r="L606" s="21" t="s">
        <v>220</v>
      </c>
      <c r="M606" s="45" t="s">
        <v>221</v>
      </c>
      <c r="N606" s="19">
        <v>97</v>
      </c>
      <c r="O606" s="2"/>
      <c r="P606" s="2" t="s">
        <v>4</v>
      </c>
      <c r="Q606" s="46" t="s">
        <v>68</v>
      </c>
      <c r="R606" s="25" t="s">
        <v>69</v>
      </c>
      <c r="S606" s="47" t="s">
        <v>137</v>
      </c>
      <c r="T606" s="41"/>
      <c r="U606" s="48" t="s">
        <v>401</v>
      </c>
      <c r="V606" s="49" t="s">
        <v>3</v>
      </c>
      <c r="W606" s="49">
        <v>1</v>
      </c>
      <c r="X606" s="595">
        <v>4000</v>
      </c>
      <c r="Y606" s="619"/>
      <c r="Z606" s="2"/>
      <c r="AA606" s="2"/>
      <c r="AB606" s="620"/>
      <c r="AC606" s="25">
        <v>30</v>
      </c>
      <c r="AD606" s="25">
        <v>30</v>
      </c>
      <c r="AE606" s="619"/>
      <c r="AF606" s="2"/>
      <c r="AG606" s="2"/>
      <c r="AH606" s="2"/>
      <c r="AI606" s="2"/>
      <c r="AJ606" s="621"/>
      <c r="AK606" s="600">
        <v>8000</v>
      </c>
      <c r="AL606" s="29" t="s">
        <v>73</v>
      </c>
      <c r="AM606" s="29" t="s">
        <v>73</v>
      </c>
      <c r="AN606" s="29" t="s">
        <v>73</v>
      </c>
      <c r="AO606" s="29" t="s">
        <v>73</v>
      </c>
      <c r="AP606" s="478">
        <v>4000</v>
      </c>
      <c r="AQ606" s="478">
        <v>4000</v>
      </c>
      <c r="AR606" s="29" t="s">
        <v>73</v>
      </c>
      <c r="AS606" s="29" t="s">
        <v>73</v>
      </c>
      <c r="AT606" s="29" t="s">
        <v>73</v>
      </c>
      <c r="AU606" s="29" t="s">
        <v>73</v>
      </c>
      <c r="AV606" s="29" t="s">
        <v>73</v>
      </c>
      <c r="AW606" s="29" t="s">
        <v>73</v>
      </c>
      <c r="AX606" s="30">
        <v>8000</v>
      </c>
      <c r="AY606" s="479" t="s">
        <v>6</v>
      </c>
      <c r="AZ606" s="2" t="s">
        <v>74</v>
      </c>
      <c r="BA606" s="2"/>
      <c r="BK606" s="125" t="s">
        <v>790</v>
      </c>
      <c r="BL606" s="481" t="s">
        <v>791</v>
      </c>
      <c r="BM606" s="125" t="s">
        <v>1998</v>
      </c>
      <c r="BN606" s="177" t="s">
        <v>1999</v>
      </c>
      <c r="BO606" s="125" t="s">
        <v>2000</v>
      </c>
      <c r="BP606" s="129">
        <v>46134</v>
      </c>
      <c r="BQ606" s="18"/>
      <c r="BR606" s="505" t="s">
        <v>2515</v>
      </c>
      <c r="BS606" s="18"/>
      <c r="BT606" s="656" t="s">
        <v>2002</v>
      </c>
      <c r="BU606" s="947" t="s">
        <v>1841</v>
      </c>
      <c r="BV606" s="125" t="s">
        <v>2516</v>
      </c>
      <c r="BW606" s="125" t="s">
        <v>856</v>
      </c>
      <c r="BX606" s="125" t="s">
        <v>2517</v>
      </c>
      <c r="BY606" s="125">
        <v>71558948</v>
      </c>
      <c r="BZ606" s="125">
        <v>10715589481</v>
      </c>
      <c r="CA606" s="126">
        <v>4000</v>
      </c>
      <c r="CB606" s="289">
        <v>46143</v>
      </c>
      <c r="CC606" s="289">
        <v>46203</v>
      </c>
      <c r="CD606" s="759"/>
      <c r="CE606" s="177">
        <f t="shared" si="733"/>
        <v>30</v>
      </c>
      <c r="CF606" s="1019">
        <f t="shared" si="734"/>
        <v>4000</v>
      </c>
      <c r="CG606" s="177">
        <v>30</v>
      </c>
      <c r="CH606" s="1019">
        <f t="shared" si="735"/>
        <v>4000.0000000000005</v>
      </c>
      <c r="CI606" s="177">
        <v>30</v>
      </c>
      <c r="CJ606" s="1019">
        <f t="shared" si="736"/>
        <v>4000.0000000000005</v>
      </c>
      <c r="CK606" s="177">
        <f t="shared" si="737"/>
        <v>0</v>
      </c>
      <c r="CL606" s="177">
        <f t="shared" si="738"/>
        <v>0</v>
      </c>
      <c r="CM606" s="1006"/>
      <c r="CN606" s="177">
        <f t="shared" si="739"/>
        <v>30</v>
      </c>
      <c r="CO606" s="1019">
        <f t="shared" si="740"/>
        <v>4000</v>
      </c>
      <c r="CP606" s="177">
        <v>30</v>
      </c>
      <c r="CQ606" s="1019">
        <f t="shared" si="741"/>
        <v>4000.0000000000005</v>
      </c>
      <c r="CR606" s="177">
        <v>30</v>
      </c>
      <c r="CS606" s="1019">
        <f t="shared" si="742"/>
        <v>4000.0000000000005</v>
      </c>
      <c r="CT606" s="177">
        <f t="shared" si="743"/>
        <v>0</v>
      </c>
      <c r="CU606" s="177">
        <f t="shared" si="744"/>
        <v>0</v>
      </c>
      <c r="CV606" s="1006"/>
      <c r="CW606" s="177">
        <f t="shared" si="745"/>
        <v>8000</v>
      </c>
      <c r="CX606" s="1019">
        <f t="shared" si="746"/>
        <v>8000.0000000000009</v>
      </c>
      <c r="CY606" s="177">
        <f t="shared" si="747"/>
        <v>8000.0000000000009</v>
      </c>
      <c r="CZ606" s="1019">
        <f t="shared" si="748"/>
        <v>0</v>
      </c>
      <c r="DA606" s="177">
        <f t="shared" si="749"/>
        <v>0</v>
      </c>
      <c r="DB606" s="126"/>
      <c r="DC606" s="125"/>
    </row>
    <row r="607" spans="1:107" ht="28.5" customHeight="1" x14ac:dyDescent="0.25">
      <c r="A607" s="19">
        <v>2026</v>
      </c>
      <c r="B607" s="20">
        <v>479</v>
      </c>
      <c r="C607" s="21" t="s">
        <v>64</v>
      </c>
      <c r="D607" s="21" t="s">
        <v>65</v>
      </c>
      <c r="E607" s="20">
        <v>125</v>
      </c>
      <c r="F607" s="20">
        <v>3000654</v>
      </c>
      <c r="G607" s="20">
        <v>5005023</v>
      </c>
      <c r="H607" s="20">
        <v>3</v>
      </c>
      <c r="I607" s="20">
        <v>12</v>
      </c>
      <c r="J607" s="20">
        <v>24</v>
      </c>
      <c r="K607" s="20">
        <v>135560</v>
      </c>
      <c r="L607" s="21" t="s">
        <v>98</v>
      </c>
      <c r="M607" s="26" t="s">
        <v>99</v>
      </c>
      <c r="N607" s="19">
        <v>94</v>
      </c>
      <c r="O607" s="2"/>
      <c r="P607" s="2" t="s">
        <v>4</v>
      </c>
      <c r="Q607" s="23" t="s">
        <v>68</v>
      </c>
      <c r="R607" s="25" t="s">
        <v>69</v>
      </c>
      <c r="S607" s="60" t="s">
        <v>137</v>
      </c>
      <c r="T607" s="41"/>
      <c r="U607" s="61" t="s">
        <v>404</v>
      </c>
      <c r="V607" s="24" t="s">
        <v>3</v>
      </c>
      <c r="W607" s="24">
        <v>1</v>
      </c>
      <c r="X607" s="595">
        <v>10000</v>
      </c>
      <c r="Y607" s="619"/>
      <c r="Z607" s="2"/>
      <c r="AA607" s="2"/>
      <c r="AB607" s="620"/>
      <c r="AC607" s="25">
        <v>30</v>
      </c>
      <c r="AD607" s="25">
        <v>30</v>
      </c>
      <c r="AE607" s="619"/>
      <c r="AF607" s="2"/>
      <c r="AG607" s="2"/>
      <c r="AH607" s="2"/>
      <c r="AI607" s="2"/>
      <c r="AJ607" s="621"/>
      <c r="AK607" s="593">
        <v>20000</v>
      </c>
      <c r="AL607" s="29" t="s">
        <v>73</v>
      </c>
      <c r="AM607" s="29" t="s">
        <v>73</v>
      </c>
      <c r="AN607" s="29" t="s">
        <v>73</v>
      </c>
      <c r="AO607" s="29" t="s">
        <v>73</v>
      </c>
      <c r="AP607" s="478">
        <v>10000</v>
      </c>
      <c r="AQ607" s="478">
        <v>10000</v>
      </c>
      <c r="AR607" s="29" t="s">
        <v>73</v>
      </c>
      <c r="AS607" s="29" t="s">
        <v>73</v>
      </c>
      <c r="AT607" s="29" t="s">
        <v>73</v>
      </c>
      <c r="AU607" s="29" t="s">
        <v>73</v>
      </c>
      <c r="AV607" s="29" t="s">
        <v>73</v>
      </c>
      <c r="AW607" s="29" t="s">
        <v>73</v>
      </c>
      <c r="AX607" s="30">
        <v>20000</v>
      </c>
      <c r="AY607" s="165" t="s">
        <v>4</v>
      </c>
      <c r="AZ607" s="2" t="s">
        <v>74</v>
      </c>
      <c r="BA607" s="2"/>
      <c r="BK607" s="147" t="s">
        <v>790</v>
      </c>
      <c r="BL607" s="481" t="s">
        <v>791</v>
      </c>
      <c r="BM607" s="125"/>
      <c r="BN607" s="177" t="s">
        <v>2518</v>
      </c>
      <c r="BO607" s="125" t="s">
        <v>2519</v>
      </c>
      <c r="BP607" s="129">
        <v>46133</v>
      </c>
      <c r="BQ607" s="18"/>
      <c r="BR607" s="505" t="s">
        <v>2520</v>
      </c>
      <c r="BS607" s="18"/>
      <c r="BT607" s="945" t="s">
        <v>2521</v>
      </c>
      <c r="BU607" s="945" t="s">
        <v>2522</v>
      </c>
      <c r="BV607" s="125" t="s">
        <v>2206</v>
      </c>
      <c r="BW607" s="125" t="s">
        <v>1050</v>
      </c>
      <c r="BX607" s="125" t="s">
        <v>2523</v>
      </c>
      <c r="BY607" s="125">
        <v>3898117</v>
      </c>
      <c r="BZ607" s="125">
        <v>10038981175</v>
      </c>
      <c r="CA607" s="126">
        <v>10000</v>
      </c>
      <c r="CB607" s="128">
        <v>46143</v>
      </c>
      <c r="CC607" s="128">
        <v>46203</v>
      </c>
      <c r="CD607" s="759"/>
      <c r="CE607" s="177">
        <f t="shared" si="733"/>
        <v>30</v>
      </c>
      <c r="CF607" s="1019">
        <f t="shared" si="734"/>
        <v>10000</v>
      </c>
      <c r="CG607" s="177">
        <v>30</v>
      </c>
      <c r="CH607" s="1019">
        <f t="shared" si="735"/>
        <v>10000</v>
      </c>
      <c r="CI607" s="177">
        <v>30</v>
      </c>
      <c r="CJ607" s="1019">
        <f t="shared" si="736"/>
        <v>10000</v>
      </c>
      <c r="CK607" s="177">
        <f t="shared" si="737"/>
        <v>0</v>
      </c>
      <c r="CL607" s="177">
        <f t="shared" si="738"/>
        <v>0</v>
      </c>
      <c r="CM607" s="1006"/>
      <c r="CN607" s="177">
        <f t="shared" si="739"/>
        <v>30</v>
      </c>
      <c r="CO607" s="1019">
        <f t="shared" si="740"/>
        <v>10000</v>
      </c>
      <c r="CP607" s="177">
        <v>30</v>
      </c>
      <c r="CQ607" s="1019">
        <f t="shared" si="741"/>
        <v>10000</v>
      </c>
      <c r="CR607" s="177">
        <v>30</v>
      </c>
      <c r="CS607" s="1019">
        <f t="shared" si="742"/>
        <v>10000</v>
      </c>
      <c r="CT607" s="177">
        <f t="shared" si="743"/>
        <v>0</v>
      </c>
      <c r="CU607" s="177">
        <f t="shared" si="744"/>
        <v>0</v>
      </c>
      <c r="CV607" s="1006"/>
      <c r="CW607" s="177">
        <f t="shared" si="745"/>
        <v>20000</v>
      </c>
      <c r="CX607" s="1019">
        <f t="shared" si="746"/>
        <v>20000</v>
      </c>
      <c r="CY607" s="177">
        <f t="shared" si="747"/>
        <v>20000</v>
      </c>
      <c r="CZ607" s="1019">
        <f t="shared" si="748"/>
        <v>0</v>
      </c>
      <c r="DA607" s="177">
        <f t="shared" si="749"/>
        <v>0</v>
      </c>
      <c r="DB607" s="126"/>
      <c r="DC607" s="125"/>
    </row>
    <row r="608" spans="1:107" ht="28.5" customHeight="1" x14ac:dyDescent="0.25">
      <c r="A608" s="19">
        <v>2026</v>
      </c>
      <c r="B608" s="20">
        <v>479</v>
      </c>
      <c r="C608" s="21" t="s">
        <v>64</v>
      </c>
      <c r="D608" s="21" t="s">
        <v>65</v>
      </c>
      <c r="E608" s="20">
        <v>125</v>
      </c>
      <c r="F608" s="20">
        <v>3000654</v>
      </c>
      <c r="G608" s="20">
        <v>5005023</v>
      </c>
      <c r="H608" s="20">
        <v>3</v>
      </c>
      <c r="I608" s="20">
        <v>12</v>
      </c>
      <c r="J608" s="20">
        <v>24</v>
      </c>
      <c r="K608" s="20">
        <v>135560</v>
      </c>
      <c r="L608" s="21" t="s">
        <v>98</v>
      </c>
      <c r="M608" s="33" t="s">
        <v>99</v>
      </c>
      <c r="N608" s="19">
        <v>94</v>
      </c>
      <c r="O608" s="2"/>
      <c r="P608" s="2" t="s">
        <v>4</v>
      </c>
      <c r="Q608" s="20" t="s">
        <v>68</v>
      </c>
      <c r="R608" s="25" t="s">
        <v>69</v>
      </c>
      <c r="S608" s="41" t="s">
        <v>137</v>
      </c>
      <c r="T608" s="41"/>
      <c r="U608" s="31" t="s">
        <v>405</v>
      </c>
      <c r="V608" s="25" t="s">
        <v>3</v>
      </c>
      <c r="W608" s="25">
        <v>1</v>
      </c>
      <c r="X608" s="595">
        <v>10000</v>
      </c>
      <c r="Y608" s="619"/>
      <c r="Z608" s="2"/>
      <c r="AA608" s="2"/>
      <c r="AB608" s="620"/>
      <c r="AC608" s="25">
        <v>30</v>
      </c>
      <c r="AD608" s="25">
        <v>30</v>
      </c>
      <c r="AE608" s="619"/>
      <c r="AF608" s="2"/>
      <c r="AG608" s="2"/>
      <c r="AH608" s="2"/>
      <c r="AI608" s="2"/>
      <c r="AJ608" s="621"/>
      <c r="AK608" s="596">
        <v>20000</v>
      </c>
      <c r="AL608" s="29" t="s">
        <v>73</v>
      </c>
      <c r="AM608" s="29" t="s">
        <v>73</v>
      </c>
      <c r="AN608" s="29" t="s">
        <v>73</v>
      </c>
      <c r="AO608" s="29" t="s">
        <v>73</v>
      </c>
      <c r="AP608" s="478">
        <v>10000</v>
      </c>
      <c r="AQ608" s="478">
        <v>10000</v>
      </c>
      <c r="AR608" s="29" t="s">
        <v>73</v>
      </c>
      <c r="AS608" s="29" t="s">
        <v>73</v>
      </c>
      <c r="AT608" s="29" t="s">
        <v>73</v>
      </c>
      <c r="AU608" s="29" t="s">
        <v>73</v>
      </c>
      <c r="AV608" s="29" t="s">
        <v>73</v>
      </c>
      <c r="AW608" s="29" t="s">
        <v>73</v>
      </c>
      <c r="AX608" s="30">
        <v>20000</v>
      </c>
      <c r="AY608" s="165" t="s">
        <v>4</v>
      </c>
      <c r="AZ608" s="2" t="s">
        <v>74</v>
      </c>
      <c r="BA608" s="2"/>
      <c r="BK608" s="147" t="s">
        <v>790</v>
      </c>
      <c r="BL608" s="481" t="s">
        <v>791</v>
      </c>
      <c r="BM608" s="125"/>
      <c r="BN608" s="177" t="s">
        <v>2518</v>
      </c>
      <c r="BO608" s="125" t="s">
        <v>2519</v>
      </c>
      <c r="BP608" s="129">
        <v>46133</v>
      </c>
      <c r="BQ608" s="18"/>
      <c r="BR608" s="505" t="s">
        <v>2524</v>
      </c>
      <c r="BS608" s="18"/>
      <c r="BT608" s="945" t="s">
        <v>2521</v>
      </c>
      <c r="BU608" s="945" t="s">
        <v>2522</v>
      </c>
      <c r="BV608" s="125" t="s">
        <v>2525</v>
      </c>
      <c r="BW608" s="125" t="s">
        <v>1127</v>
      </c>
      <c r="BX608" s="125" t="s">
        <v>2526</v>
      </c>
      <c r="BY608" s="125">
        <v>44095082</v>
      </c>
      <c r="BZ608" s="125">
        <v>10440950821</v>
      </c>
      <c r="CA608" s="126">
        <v>10000</v>
      </c>
      <c r="CB608" s="128">
        <v>46143</v>
      </c>
      <c r="CC608" s="128">
        <v>46203</v>
      </c>
      <c r="CD608" s="759"/>
      <c r="CE608" s="177">
        <f t="shared" si="733"/>
        <v>30</v>
      </c>
      <c r="CF608" s="1019">
        <f t="shared" si="734"/>
        <v>10000</v>
      </c>
      <c r="CG608" s="177">
        <v>30</v>
      </c>
      <c r="CH608" s="1019">
        <f t="shared" si="735"/>
        <v>10000</v>
      </c>
      <c r="CI608" s="177">
        <v>30</v>
      </c>
      <c r="CJ608" s="1019">
        <f t="shared" si="736"/>
        <v>10000</v>
      </c>
      <c r="CK608" s="177">
        <f t="shared" si="737"/>
        <v>0</v>
      </c>
      <c r="CL608" s="177">
        <f t="shared" si="738"/>
        <v>0</v>
      </c>
      <c r="CM608" s="1006"/>
      <c r="CN608" s="177">
        <f t="shared" si="739"/>
        <v>30</v>
      </c>
      <c r="CO608" s="1019">
        <f t="shared" si="740"/>
        <v>10000</v>
      </c>
      <c r="CP608" s="177">
        <v>30</v>
      </c>
      <c r="CQ608" s="1019">
        <f t="shared" si="741"/>
        <v>10000</v>
      </c>
      <c r="CR608" s="177">
        <v>30</v>
      </c>
      <c r="CS608" s="1019">
        <f t="shared" si="742"/>
        <v>10000</v>
      </c>
      <c r="CT608" s="177">
        <f t="shared" si="743"/>
        <v>0</v>
      </c>
      <c r="CU608" s="177">
        <f t="shared" si="744"/>
        <v>0</v>
      </c>
      <c r="CV608" s="1006"/>
      <c r="CW608" s="177">
        <f t="shared" si="745"/>
        <v>20000</v>
      </c>
      <c r="CX608" s="1019">
        <f t="shared" si="746"/>
        <v>20000</v>
      </c>
      <c r="CY608" s="177">
        <f t="shared" si="747"/>
        <v>20000</v>
      </c>
      <c r="CZ608" s="1019">
        <f t="shared" si="748"/>
        <v>0</v>
      </c>
      <c r="DA608" s="177">
        <f t="shared" si="749"/>
        <v>0</v>
      </c>
      <c r="DB608" s="126"/>
      <c r="DC608" s="125"/>
    </row>
    <row r="609" spans="1:107" ht="28.5" customHeight="1" x14ac:dyDescent="0.25">
      <c r="A609" s="19">
        <v>2026</v>
      </c>
      <c r="B609" s="20">
        <v>479</v>
      </c>
      <c r="C609" s="21" t="s">
        <v>64</v>
      </c>
      <c r="D609" s="21" t="s">
        <v>65</v>
      </c>
      <c r="E609" s="20">
        <v>125</v>
      </c>
      <c r="F609" s="20">
        <v>3000654</v>
      </c>
      <c r="G609" s="20">
        <v>5005023</v>
      </c>
      <c r="H609" s="20">
        <v>3</v>
      </c>
      <c r="I609" s="20">
        <v>12</v>
      </c>
      <c r="J609" s="20">
        <v>24</v>
      </c>
      <c r="K609" s="20">
        <v>135560</v>
      </c>
      <c r="L609" s="21" t="s">
        <v>98</v>
      </c>
      <c r="M609" s="33" t="s">
        <v>99</v>
      </c>
      <c r="N609" s="19">
        <v>94</v>
      </c>
      <c r="O609" s="2"/>
      <c r="P609" s="2" t="s">
        <v>4</v>
      </c>
      <c r="Q609" s="20" t="s">
        <v>68</v>
      </c>
      <c r="R609" s="25" t="s">
        <v>69</v>
      </c>
      <c r="S609" s="41" t="s">
        <v>137</v>
      </c>
      <c r="T609" s="41"/>
      <c r="U609" s="31" t="s">
        <v>406</v>
      </c>
      <c r="V609" s="25" t="s">
        <v>3</v>
      </c>
      <c r="W609" s="25">
        <v>1</v>
      </c>
      <c r="X609" s="595">
        <v>10000</v>
      </c>
      <c r="Y609" s="619"/>
      <c r="Z609" s="2"/>
      <c r="AA609" s="2"/>
      <c r="AB609" s="620"/>
      <c r="AC609" s="25">
        <v>30</v>
      </c>
      <c r="AD609" s="25">
        <v>30</v>
      </c>
      <c r="AE609" s="619"/>
      <c r="AF609" s="2"/>
      <c r="AG609" s="2"/>
      <c r="AH609" s="2"/>
      <c r="AI609" s="2"/>
      <c r="AJ609" s="621"/>
      <c r="AK609" s="596">
        <v>20000</v>
      </c>
      <c r="AL609" s="29" t="s">
        <v>73</v>
      </c>
      <c r="AM609" s="29" t="s">
        <v>73</v>
      </c>
      <c r="AN609" s="29" t="s">
        <v>73</v>
      </c>
      <c r="AO609" s="29" t="s">
        <v>73</v>
      </c>
      <c r="AP609" s="478">
        <v>10000</v>
      </c>
      <c r="AQ609" s="478">
        <v>10000</v>
      </c>
      <c r="AR609" s="29" t="s">
        <v>73</v>
      </c>
      <c r="AS609" s="29" t="s">
        <v>73</v>
      </c>
      <c r="AT609" s="29" t="s">
        <v>73</v>
      </c>
      <c r="AU609" s="29" t="s">
        <v>73</v>
      </c>
      <c r="AV609" s="29" t="s">
        <v>73</v>
      </c>
      <c r="AW609" s="29" t="s">
        <v>73</v>
      </c>
      <c r="AX609" s="30">
        <v>20000</v>
      </c>
      <c r="AY609" s="165" t="s">
        <v>4</v>
      </c>
      <c r="AZ609" s="2" t="s">
        <v>74</v>
      </c>
      <c r="BA609" s="2"/>
      <c r="BK609" s="481" t="s">
        <v>802</v>
      </c>
      <c r="BL609" s="481" t="s">
        <v>803</v>
      </c>
      <c r="BM609" s="125"/>
      <c r="BN609" s="177"/>
      <c r="BO609" s="125"/>
      <c r="BP609" s="129"/>
      <c r="BQ609" s="18"/>
      <c r="BR609" s="287"/>
      <c r="BS609" s="18"/>
      <c r="BT609" s="18"/>
      <c r="BU609" s="18"/>
      <c r="BV609" s="125"/>
      <c r="BW609" s="125"/>
      <c r="BX609" s="125"/>
      <c r="BY609" s="125"/>
      <c r="BZ609" s="125"/>
      <c r="CA609" s="126"/>
      <c r="CB609" s="128"/>
      <c r="CC609" s="128"/>
      <c r="CD609" s="759"/>
      <c r="CE609" s="177">
        <f t="shared" si="733"/>
        <v>30</v>
      </c>
      <c r="CF609" s="1019">
        <f t="shared" si="734"/>
        <v>10000</v>
      </c>
      <c r="CG609" s="177"/>
      <c r="CH609" s="1019">
        <f t="shared" si="735"/>
        <v>0</v>
      </c>
      <c r="CI609" s="177"/>
      <c r="CJ609" s="1019">
        <f t="shared" si="736"/>
        <v>0</v>
      </c>
      <c r="CK609" s="177">
        <f t="shared" si="737"/>
        <v>10000</v>
      </c>
      <c r="CL609" s="177">
        <f t="shared" si="738"/>
        <v>10000</v>
      </c>
      <c r="CM609" s="1006"/>
      <c r="CN609" s="177">
        <f t="shared" si="739"/>
        <v>30</v>
      </c>
      <c r="CO609" s="1019">
        <f t="shared" si="740"/>
        <v>10000</v>
      </c>
      <c r="CP609" s="177"/>
      <c r="CQ609" s="1019">
        <f t="shared" si="741"/>
        <v>0</v>
      </c>
      <c r="CR609" s="1019"/>
      <c r="CS609" s="1019">
        <f t="shared" si="742"/>
        <v>0</v>
      </c>
      <c r="CT609" s="177">
        <f t="shared" si="743"/>
        <v>10000</v>
      </c>
      <c r="CU609" s="177">
        <f t="shared" si="744"/>
        <v>10000</v>
      </c>
      <c r="CV609" s="1006"/>
      <c r="CW609" s="177">
        <f t="shared" si="745"/>
        <v>20000</v>
      </c>
      <c r="CX609" s="1019">
        <f t="shared" si="746"/>
        <v>0</v>
      </c>
      <c r="CY609" s="177">
        <f t="shared" si="747"/>
        <v>0</v>
      </c>
      <c r="CZ609" s="1019">
        <f t="shared" si="748"/>
        <v>20000</v>
      </c>
      <c r="DA609" s="177">
        <f t="shared" si="749"/>
        <v>20000</v>
      </c>
      <c r="DB609" s="126"/>
      <c r="DC609" s="125"/>
    </row>
    <row r="610" spans="1:107" ht="28.5" customHeight="1" x14ac:dyDescent="0.25">
      <c r="A610" s="19">
        <v>2026</v>
      </c>
      <c r="B610" s="20">
        <v>479</v>
      </c>
      <c r="C610" s="21" t="s">
        <v>64</v>
      </c>
      <c r="D610" s="21" t="s">
        <v>65</v>
      </c>
      <c r="E610" s="20">
        <v>125</v>
      </c>
      <c r="F610" s="20">
        <v>3000654</v>
      </c>
      <c r="G610" s="20">
        <v>5005023</v>
      </c>
      <c r="H610" s="20">
        <v>3</v>
      </c>
      <c r="I610" s="20">
        <v>12</v>
      </c>
      <c r="J610" s="20">
        <v>24</v>
      </c>
      <c r="K610" s="20">
        <v>135560</v>
      </c>
      <c r="L610" s="21" t="s">
        <v>82</v>
      </c>
      <c r="M610" s="33" t="s">
        <v>83</v>
      </c>
      <c r="N610" s="19">
        <v>96</v>
      </c>
      <c r="O610" s="2"/>
      <c r="P610" s="2" t="s">
        <v>4</v>
      </c>
      <c r="Q610" s="20" t="s">
        <v>68</v>
      </c>
      <c r="R610" s="25" t="s">
        <v>69</v>
      </c>
      <c r="S610" s="41" t="s">
        <v>137</v>
      </c>
      <c r="T610" s="41"/>
      <c r="U610" s="31" t="s">
        <v>407</v>
      </c>
      <c r="V610" s="25" t="s">
        <v>3</v>
      </c>
      <c r="W610" s="25">
        <v>1</v>
      </c>
      <c r="X610" s="595">
        <v>10000</v>
      </c>
      <c r="Y610" s="619"/>
      <c r="Z610" s="2"/>
      <c r="AA610" s="2"/>
      <c r="AB610" s="620"/>
      <c r="AC610" s="25">
        <v>30</v>
      </c>
      <c r="AD610" s="25">
        <v>30</v>
      </c>
      <c r="AE610" s="619"/>
      <c r="AF610" s="2"/>
      <c r="AG610" s="2"/>
      <c r="AH610" s="2"/>
      <c r="AI610" s="2"/>
      <c r="AJ610" s="621"/>
      <c r="AK610" s="596">
        <v>20000</v>
      </c>
      <c r="AL610" s="29" t="s">
        <v>73</v>
      </c>
      <c r="AM610" s="29" t="s">
        <v>73</v>
      </c>
      <c r="AN610" s="29" t="s">
        <v>73</v>
      </c>
      <c r="AO610" s="29" t="s">
        <v>73</v>
      </c>
      <c r="AP610" s="478">
        <v>10000</v>
      </c>
      <c r="AQ610" s="478">
        <v>10000</v>
      </c>
      <c r="AR610" s="29" t="s">
        <v>73</v>
      </c>
      <c r="AS610" s="29" t="s">
        <v>73</v>
      </c>
      <c r="AT610" s="29" t="s">
        <v>73</v>
      </c>
      <c r="AU610" s="29" t="s">
        <v>73</v>
      </c>
      <c r="AV610" s="29" t="s">
        <v>73</v>
      </c>
      <c r="AW610" s="29" t="s">
        <v>73</v>
      </c>
      <c r="AX610" s="30">
        <v>20000</v>
      </c>
      <c r="AY610" s="165" t="s">
        <v>4</v>
      </c>
      <c r="AZ610" s="2" t="s">
        <v>74</v>
      </c>
      <c r="BA610" s="2"/>
      <c r="BK610" s="125" t="s">
        <v>790</v>
      </c>
      <c r="BL610" s="481" t="s">
        <v>791</v>
      </c>
      <c r="BM610" s="125"/>
      <c r="BN610" s="177" t="s">
        <v>2518</v>
      </c>
      <c r="BO610" s="125" t="s">
        <v>2519</v>
      </c>
      <c r="BP610" s="129">
        <v>46133</v>
      </c>
      <c r="BQ610" s="18"/>
      <c r="BR610" s="505" t="s">
        <v>2527</v>
      </c>
      <c r="BS610" s="18"/>
      <c r="BT610" s="945" t="s">
        <v>2521</v>
      </c>
      <c r="BU610" s="945" t="s">
        <v>2522</v>
      </c>
      <c r="BV610" s="125" t="s">
        <v>2528</v>
      </c>
      <c r="BW610" s="125" t="s">
        <v>1652</v>
      </c>
      <c r="BX610" s="125" t="s">
        <v>2529</v>
      </c>
      <c r="BY610" s="125">
        <v>8679106</v>
      </c>
      <c r="BZ610" s="125">
        <v>10086791060</v>
      </c>
      <c r="CA610" s="126">
        <v>10000</v>
      </c>
      <c r="CB610" s="128">
        <v>46143</v>
      </c>
      <c r="CC610" s="128">
        <v>46203</v>
      </c>
      <c r="CD610" s="759"/>
      <c r="CE610" s="177">
        <f t="shared" si="733"/>
        <v>30</v>
      </c>
      <c r="CF610" s="1019">
        <f t="shared" si="734"/>
        <v>10000</v>
      </c>
      <c r="CG610" s="177">
        <v>30</v>
      </c>
      <c r="CH610" s="1019">
        <f t="shared" si="735"/>
        <v>10000</v>
      </c>
      <c r="CI610" s="177">
        <v>30</v>
      </c>
      <c r="CJ610" s="1019">
        <f t="shared" si="736"/>
        <v>10000</v>
      </c>
      <c r="CK610" s="177">
        <f t="shared" si="737"/>
        <v>0</v>
      </c>
      <c r="CL610" s="177">
        <f t="shared" si="738"/>
        <v>0</v>
      </c>
      <c r="CM610" s="1006"/>
      <c r="CN610" s="177">
        <f t="shared" si="739"/>
        <v>30</v>
      </c>
      <c r="CO610" s="1019">
        <f t="shared" si="740"/>
        <v>10000</v>
      </c>
      <c r="CP610" s="177">
        <v>30</v>
      </c>
      <c r="CQ610" s="1019">
        <f t="shared" si="741"/>
        <v>10000</v>
      </c>
      <c r="CR610" s="177">
        <v>30</v>
      </c>
      <c r="CS610" s="1019">
        <f t="shared" si="742"/>
        <v>10000</v>
      </c>
      <c r="CT610" s="177">
        <f t="shared" si="743"/>
        <v>0</v>
      </c>
      <c r="CU610" s="177">
        <f t="shared" si="744"/>
        <v>0</v>
      </c>
      <c r="CV610" s="1006"/>
      <c r="CW610" s="177">
        <f t="shared" si="745"/>
        <v>20000</v>
      </c>
      <c r="CX610" s="1019">
        <f t="shared" si="746"/>
        <v>20000</v>
      </c>
      <c r="CY610" s="177">
        <f t="shared" si="747"/>
        <v>20000</v>
      </c>
      <c r="CZ610" s="1019">
        <f t="shared" si="748"/>
        <v>0</v>
      </c>
      <c r="DA610" s="177">
        <f t="shared" si="749"/>
        <v>0</v>
      </c>
      <c r="DB610" s="126"/>
      <c r="DC610" s="125"/>
    </row>
    <row r="611" spans="1:107" ht="28.5" customHeight="1" x14ac:dyDescent="0.25">
      <c r="A611" s="19">
        <v>2026</v>
      </c>
      <c r="B611" s="20">
        <v>479</v>
      </c>
      <c r="C611" s="21" t="s">
        <v>64</v>
      </c>
      <c r="D611" s="21" t="s">
        <v>65</v>
      </c>
      <c r="E611" s="20">
        <v>125</v>
      </c>
      <c r="F611" s="20">
        <v>3000654</v>
      </c>
      <c r="G611" s="20">
        <v>5005023</v>
      </c>
      <c r="H611" s="20">
        <v>3</v>
      </c>
      <c r="I611" s="20">
        <v>12</v>
      </c>
      <c r="J611" s="20">
        <v>24</v>
      </c>
      <c r="K611" s="20">
        <v>135560</v>
      </c>
      <c r="L611" s="21" t="s">
        <v>98</v>
      </c>
      <c r="M611" s="33" t="s">
        <v>99</v>
      </c>
      <c r="N611" s="19">
        <v>94</v>
      </c>
      <c r="O611" s="2"/>
      <c r="P611" s="2" t="s">
        <v>4</v>
      </c>
      <c r="Q611" s="20" t="s">
        <v>68</v>
      </c>
      <c r="R611" s="25" t="s">
        <v>69</v>
      </c>
      <c r="S611" s="41" t="s">
        <v>137</v>
      </c>
      <c r="T611" s="41"/>
      <c r="U611" s="31" t="s">
        <v>408</v>
      </c>
      <c r="V611" s="25" t="s">
        <v>3</v>
      </c>
      <c r="W611" s="25">
        <v>1</v>
      </c>
      <c r="X611" s="595">
        <v>10000</v>
      </c>
      <c r="Y611" s="619"/>
      <c r="Z611" s="2"/>
      <c r="AA611" s="2"/>
      <c r="AB611" s="620"/>
      <c r="AC611" s="25">
        <v>30</v>
      </c>
      <c r="AD611" s="25">
        <v>30</v>
      </c>
      <c r="AE611" s="619"/>
      <c r="AF611" s="2"/>
      <c r="AG611" s="2"/>
      <c r="AH611" s="2"/>
      <c r="AI611" s="2"/>
      <c r="AJ611" s="621"/>
      <c r="AK611" s="596">
        <v>20000</v>
      </c>
      <c r="AL611" s="29" t="s">
        <v>73</v>
      </c>
      <c r="AM611" s="29" t="s">
        <v>73</v>
      </c>
      <c r="AN611" s="29" t="s">
        <v>73</v>
      </c>
      <c r="AO611" s="29" t="s">
        <v>73</v>
      </c>
      <c r="AP611" s="478">
        <v>10000</v>
      </c>
      <c r="AQ611" s="478">
        <v>10000</v>
      </c>
      <c r="AR611" s="29" t="s">
        <v>73</v>
      </c>
      <c r="AS611" s="29" t="s">
        <v>73</v>
      </c>
      <c r="AT611" s="29" t="s">
        <v>73</v>
      </c>
      <c r="AU611" s="29" t="s">
        <v>73</v>
      </c>
      <c r="AV611" s="29" t="s">
        <v>73</v>
      </c>
      <c r="AW611" s="29" t="s">
        <v>73</v>
      </c>
      <c r="AX611" s="30">
        <v>20000</v>
      </c>
      <c r="AY611" s="165" t="s">
        <v>4</v>
      </c>
      <c r="AZ611" s="2" t="s">
        <v>74</v>
      </c>
      <c r="BA611" s="2"/>
      <c r="BK611" s="147" t="s">
        <v>790</v>
      </c>
      <c r="BL611" s="481" t="s">
        <v>791</v>
      </c>
      <c r="BM611" s="125"/>
      <c r="BN611" s="177" t="s">
        <v>2518</v>
      </c>
      <c r="BO611" s="125" t="s">
        <v>2519</v>
      </c>
      <c r="BP611" s="129">
        <v>46133</v>
      </c>
      <c r="BQ611" s="18"/>
      <c r="BR611" s="505" t="s">
        <v>2530</v>
      </c>
      <c r="BS611" s="18"/>
      <c r="BT611" s="945" t="s">
        <v>2521</v>
      </c>
      <c r="BU611" s="945" t="s">
        <v>2522</v>
      </c>
      <c r="BV611" s="125" t="s">
        <v>2531</v>
      </c>
      <c r="BW611" s="125" t="s">
        <v>2532</v>
      </c>
      <c r="BX611" s="125" t="s">
        <v>2533</v>
      </c>
      <c r="BY611" s="125">
        <v>6086296</v>
      </c>
      <c r="BZ611" s="125">
        <v>10060862961</v>
      </c>
      <c r="CA611" s="126">
        <v>10000</v>
      </c>
      <c r="CB611" s="128">
        <v>46143</v>
      </c>
      <c r="CC611" s="128">
        <v>46203</v>
      </c>
      <c r="CD611" s="759"/>
      <c r="CE611" s="177">
        <f t="shared" si="733"/>
        <v>30</v>
      </c>
      <c r="CF611" s="1019">
        <f t="shared" si="734"/>
        <v>10000</v>
      </c>
      <c r="CG611" s="177">
        <v>30</v>
      </c>
      <c r="CH611" s="1019">
        <f t="shared" si="735"/>
        <v>10000</v>
      </c>
      <c r="CI611" s="177">
        <v>30</v>
      </c>
      <c r="CJ611" s="1019">
        <f t="shared" si="736"/>
        <v>10000</v>
      </c>
      <c r="CK611" s="177">
        <f t="shared" si="737"/>
        <v>0</v>
      </c>
      <c r="CL611" s="177">
        <f t="shared" si="738"/>
        <v>0</v>
      </c>
      <c r="CM611" s="1006"/>
      <c r="CN611" s="177">
        <f t="shared" si="739"/>
        <v>30</v>
      </c>
      <c r="CO611" s="1019">
        <f t="shared" si="740"/>
        <v>10000</v>
      </c>
      <c r="CP611" s="177">
        <v>30</v>
      </c>
      <c r="CQ611" s="1019">
        <f t="shared" si="741"/>
        <v>10000</v>
      </c>
      <c r="CR611" s="177">
        <v>30</v>
      </c>
      <c r="CS611" s="1019">
        <f t="shared" si="742"/>
        <v>10000</v>
      </c>
      <c r="CT611" s="177">
        <f t="shared" si="743"/>
        <v>0</v>
      </c>
      <c r="CU611" s="177">
        <f t="shared" si="744"/>
        <v>0</v>
      </c>
      <c r="CV611" s="1006"/>
      <c r="CW611" s="177">
        <f t="shared" si="745"/>
        <v>20000</v>
      </c>
      <c r="CX611" s="1019">
        <f t="shared" si="746"/>
        <v>20000</v>
      </c>
      <c r="CY611" s="177">
        <f t="shared" si="747"/>
        <v>20000</v>
      </c>
      <c r="CZ611" s="1019">
        <f t="shared" si="748"/>
        <v>0</v>
      </c>
      <c r="DA611" s="177">
        <f t="shared" si="749"/>
        <v>0</v>
      </c>
      <c r="DB611" s="126"/>
      <c r="DC611" s="125"/>
    </row>
    <row r="612" spans="1:107" ht="28.5" customHeight="1" x14ac:dyDescent="0.25">
      <c r="A612" s="19">
        <v>2026</v>
      </c>
      <c r="B612" s="20">
        <v>479</v>
      </c>
      <c r="C612" s="21" t="s">
        <v>64</v>
      </c>
      <c r="D612" s="21" t="s">
        <v>65</v>
      </c>
      <c r="E612" s="20">
        <v>125</v>
      </c>
      <c r="F612" s="20">
        <v>3000654</v>
      </c>
      <c r="G612" s="20">
        <v>5005023</v>
      </c>
      <c r="H612" s="20">
        <v>3</v>
      </c>
      <c r="I612" s="20">
        <v>12</v>
      </c>
      <c r="J612" s="20">
        <v>24</v>
      </c>
      <c r="K612" s="20">
        <v>135560</v>
      </c>
      <c r="L612" s="21" t="s">
        <v>82</v>
      </c>
      <c r="M612" s="33" t="s">
        <v>83</v>
      </c>
      <c r="N612" s="19">
        <v>96</v>
      </c>
      <c r="O612" s="2"/>
      <c r="P612" s="2" t="s">
        <v>4</v>
      </c>
      <c r="Q612" s="20" t="s">
        <v>68</v>
      </c>
      <c r="R612" s="25" t="s">
        <v>69</v>
      </c>
      <c r="S612" s="41" t="s">
        <v>137</v>
      </c>
      <c r="T612" s="41"/>
      <c r="U612" s="31" t="s">
        <v>409</v>
      </c>
      <c r="V612" s="25" t="s">
        <v>3</v>
      </c>
      <c r="W612" s="25">
        <v>1</v>
      </c>
      <c r="X612" s="595">
        <v>6000</v>
      </c>
      <c r="Y612" s="619"/>
      <c r="Z612" s="2"/>
      <c r="AA612" s="2"/>
      <c r="AB612" s="620"/>
      <c r="AC612" s="25">
        <v>30</v>
      </c>
      <c r="AD612" s="25">
        <v>30</v>
      </c>
      <c r="AE612" s="619"/>
      <c r="AF612" s="2"/>
      <c r="AG612" s="2"/>
      <c r="AH612" s="2"/>
      <c r="AI612" s="2"/>
      <c r="AJ612" s="621"/>
      <c r="AK612" s="596">
        <v>12000</v>
      </c>
      <c r="AL612" s="29" t="s">
        <v>73</v>
      </c>
      <c r="AM612" s="29" t="s">
        <v>73</v>
      </c>
      <c r="AN612" s="29" t="s">
        <v>73</v>
      </c>
      <c r="AO612" s="29" t="s">
        <v>73</v>
      </c>
      <c r="AP612" s="478">
        <v>6000</v>
      </c>
      <c r="AQ612" s="478">
        <v>6000</v>
      </c>
      <c r="AR612" s="29" t="s">
        <v>73</v>
      </c>
      <c r="AS612" s="29" t="s">
        <v>73</v>
      </c>
      <c r="AT612" s="29" t="s">
        <v>73</v>
      </c>
      <c r="AU612" s="29" t="s">
        <v>73</v>
      </c>
      <c r="AV612" s="29" t="s">
        <v>73</v>
      </c>
      <c r="AW612" s="29" t="s">
        <v>73</v>
      </c>
      <c r="AX612" s="30">
        <v>12000</v>
      </c>
      <c r="AY612" s="165" t="s">
        <v>4</v>
      </c>
      <c r="AZ612" s="2" t="s">
        <v>74</v>
      </c>
      <c r="BA612" s="2"/>
      <c r="BK612" s="125" t="s">
        <v>790</v>
      </c>
      <c r="BL612" s="481" t="s">
        <v>791</v>
      </c>
      <c r="BM612" s="125"/>
      <c r="BN612" s="177" t="s">
        <v>2518</v>
      </c>
      <c r="BO612" s="125" t="s">
        <v>2519</v>
      </c>
      <c r="BP612" s="129">
        <v>46133</v>
      </c>
      <c r="BQ612" s="18"/>
      <c r="BR612" s="505" t="s">
        <v>2534</v>
      </c>
      <c r="BS612" s="18"/>
      <c r="BT612" s="945" t="s">
        <v>2521</v>
      </c>
      <c r="BU612" s="945" t="s">
        <v>2522</v>
      </c>
      <c r="BV612" s="125" t="s">
        <v>2350</v>
      </c>
      <c r="BW612" s="125" t="s">
        <v>989</v>
      </c>
      <c r="BX612" s="125" t="s">
        <v>1111</v>
      </c>
      <c r="BY612" s="125">
        <v>41401296</v>
      </c>
      <c r="BZ612" s="125">
        <v>10414012961</v>
      </c>
      <c r="CA612" s="126">
        <v>6000</v>
      </c>
      <c r="CB612" s="128">
        <v>46143</v>
      </c>
      <c r="CC612" s="128">
        <v>46203</v>
      </c>
      <c r="CD612" s="759"/>
      <c r="CE612" s="177">
        <f t="shared" si="733"/>
        <v>30</v>
      </c>
      <c r="CF612" s="1019">
        <f t="shared" si="734"/>
        <v>6000</v>
      </c>
      <c r="CG612" s="177">
        <v>30</v>
      </c>
      <c r="CH612" s="1019">
        <f t="shared" si="735"/>
        <v>6000</v>
      </c>
      <c r="CI612" s="177">
        <v>30</v>
      </c>
      <c r="CJ612" s="1019">
        <f t="shared" si="736"/>
        <v>6000</v>
      </c>
      <c r="CK612" s="177">
        <f t="shared" si="737"/>
        <v>0</v>
      </c>
      <c r="CL612" s="177">
        <f t="shared" si="738"/>
        <v>0</v>
      </c>
      <c r="CM612" s="1006"/>
      <c r="CN612" s="177">
        <f t="shared" si="739"/>
        <v>30</v>
      </c>
      <c r="CO612" s="1019">
        <f t="shared" si="740"/>
        <v>6000</v>
      </c>
      <c r="CP612" s="177">
        <v>30</v>
      </c>
      <c r="CQ612" s="1019">
        <f t="shared" si="741"/>
        <v>6000</v>
      </c>
      <c r="CR612" s="177">
        <v>30</v>
      </c>
      <c r="CS612" s="1019">
        <f t="shared" si="742"/>
        <v>6000</v>
      </c>
      <c r="CT612" s="177">
        <f t="shared" si="743"/>
        <v>0</v>
      </c>
      <c r="CU612" s="177">
        <f t="shared" si="744"/>
        <v>0</v>
      </c>
      <c r="CV612" s="1006"/>
      <c r="CW612" s="177">
        <f t="shared" si="745"/>
        <v>12000</v>
      </c>
      <c r="CX612" s="1019">
        <f t="shared" si="746"/>
        <v>12000</v>
      </c>
      <c r="CY612" s="177">
        <f t="shared" si="747"/>
        <v>12000</v>
      </c>
      <c r="CZ612" s="1019">
        <f t="shared" si="748"/>
        <v>0</v>
      </c>
      <c r="DA612" s="177">
        <f t="shared" si="749"/>
        <v>0</v>
      </c>
      <c r="DB612" s="126"/>
      <c r="DC612" s="125"/>
    </row>
    <row r="613" spans="1:107" s="737" customFormat="1" ht="36.75" customHeight="1" x14ac:dyDescent="0.25">
      <c r="A613" s="722">
        <v>2026</v>
      </c>
      <c r="B613" s="723">
        <v>479</v>
      </c>
      <c r="C613" s="724" t="s">
        <v>64</v>
      </c>
      <c r="D613" s="724" t="s">
        <v>65</v>
      </c>
      <c r="E613" s="723">
        <v>125</v>
      </c>
      <c r="F613" s="723">
        <v>3000654</v>
      </c>
      <c r="G613" s="723">
        <v>5005023</v>
      </c>
      <c r="H613" s="723">
        <v>3</v>
      </c>
      <c r="I613" s="723">
        <v>12</v>
      </c>
      <c r="J613" s="723">
        <v>24</v>
      </c>
      <c r="K613" s="723">
        <v>135560</v>
      </c>
      <c r="L613" s="725" t="s">
        <v>82</v>
      </c>
      <c r="M613" s="726" t="s">
        <v>83</v>
      </c>
      <c r="N613" s="722">
        <v>96</v>
      </c>
      <c r="O613" s="727"/>
      <c r="P613" s="727" t="s">
        <v>4</v>
      </c>
      <c r="Q613" s="723" t="s">
        <v>68</v>
      </c>
      <c r="R613" s="728" t="s">
        <v>69</v>
      </c>
      <c r="S613" s="729" t="s">
        <v>137</v>
      </c>
      <c r="T613" s="729"/>
      <c r="U613" s="730" t="s">
        <v>410</v>
      </c>
      <c r="V613" s="728" t="s">
        <v>3</v>
      </c>
      <c r="W613" s="728">
        <v>1</v>
      </c>
      <c r="X613" s="731">
        <v>5000</v>
      </c>
      <c r="Y613" s="861"/>
      <c r="Z613" s="862"/>
      <c r="AA613" s="862"/>
      <c r="AB613" s="863"/>
      <c r="AC613" s="732">
        <v>30</v>
      </c>
      <c r="AD613" s="732">
        <v>30</v>
      </c>
      <c r="AE613" s="861"/>
      <c r="AF613" s="862"/>
      <c r="AG613" s="862"/>
      <c r="AH613" s="862"/>
      <c r="AI613" s="862"/>
      <c r="AJ613" s="864"/>
      <c r="AK613" s="733">
        <v>10000</v>
      </c>
      <c r="AL613" s="734" t="s">
        <v>73</v>
      </c>
      <c r="AM613" s="734" t="s">
        <v>73</v>
      </c>
      <c r="AN613" s="734" t="s">
        <v>73</v>
      </c>
      <c r="AO613" s="734" t="s">
        <v>73</v>
      </c>
      <c r="AP613" s="735">
        <v>5000</v>
      </c>
      <c r="AQ613" s="735">
        <v>5000</v>
      </c>
      <c r="AR613" s="734" t="s">
        <v>73</v>
      </c>
      <c r="AS613" s="734" t="s">
        <v>73</v>
      </c>
      <c r="AT613" s="734" t="s">
        <v>73</v>
      </c>
      <c r="AU613" s="734" t="s">
        <v>73</v>
      </c>
      <c r="AV613" s="734" t="s">
        <v>73</v>
      </c>
      <c r="AW613" s="734" t="s">
        <v>73</v>
      </c>
      <c r="AX613" s="736">
        <f>10000-1100-7200</f>
        <v>1700</v>
      </c>
      <c r="AY613" s="345" t="s">
        <v>4</v>
      </c>
      <c r="AZ613" s="727" t="s">
        <v>74</v>
      </c>
      <c r="BA613" s="727"/>
      <c r="BD613" s="143" t="s">
        <v>2535</v>
      </c>
      <c r="BE613" s="143" t="s">
        <v>2535</v>
      </c>
      <c r="BF613" s="738" t="s">
        <v>2536</v>
      </c>
      <c r="BG613" s="143" t="s">
        <v>2537</v>
      </c>
      <c r="BH613" s="739">
        <v>46161</v>
      </c>
      <c r="BJ613" s="143" t="s">
        <v>2538</v>
      </c>
      <c r="BK613" s="256" t="s">
        <v>1533</v>
      </c>
      <c r="BL613" s="256"/>
      <c r="BM613" s="256"/>
      <c r="BN613" s="415"/>
      <c r="BO613" s="256"/>
      <c r="BP613" s="257"/>
      <c r="BQ613" s="255"/>
      <c r="BR613" s="287"/>
      <c r="BS613" s="255"/>
      <c r="BT613" s="255"/>
      <c r="BU613" s="255"/>
      <c r="BV613" s="256"/>
      <c r="BW613" s="256"/>
      <c r="BX613" s="256"/>
      <c r="BY613" s="125"/>
      <c r="BZ613" s="125"/>
      <c r="CA613" s="258"/>
      <c r="CB613" s="259"/>
      <c r="CC613" s="259"/>
      <c r="CD613" s="759"/>
      <c r="CE613" s="1043">
        <f t="shared" si="733"/>
        <v>30</v>
      </c>
      <c r="CF613" s="1044">
        <f t="shared" si="734"/>
        <v>5000</v>
      </c>
      <c r="CG613" s="1043"/>
      <c r="CH613" s="1044">
        <f t="shared" si="735"/>
        <v>0</v>
      </c>
      <c r="CI613" s="1043"/>
      <c r="CJ613" s="1044">
        <f t="shared" si="736"/>
        <v>0</v>
      </c>
      <c r="CK613" s="1043">
        <f t="shared" si="737"/>
        <v>5000</v>
      </c>
      <c r="CL613" s="1043">
        <f t="shared" si="738"/>
        <v>5000</v>
      </c>
      <c r="CM613" s="1006"/>
      <c r="CN613" s="415">
        <f t="shared" si="739"/>
        <v>30</v>
      </c>
      <c r="CO613" s="1052">
        <f t="shared" si="740"/>
        <v>5000</v>
      </c>
      <c r="CP613" s="415"/>
      <c r="CQ613" s="1052">
        <f t="shared" si="741"/>
        <v>0</v>
      </c>
      <c r="CR613" s="1052"/>
      <c r="CS613" s="1052">
        <f t="shared" si="742"/>
        <v>0</v>
      </c>
      <c r="CT613" s="415">
        <f t="shared" si="743"/>
        <v>5000</v>
      </c>
      <c r="CU613" s="415">
        <f t="shared" si="744"/>
        <v>5000</v>
      </c>
      <c r="CV613" s="1006"/>
      <c r="CW613" s="177">
        <f t="shared" si="745"/>
        <v>1700</v>
      </c>
      <c r="CX613" s="1019">
        <f t="shared" si="746"/>
        <v>0</v>
      </c>
      <c r="CY613" s="177">
        <f t="shared" si="747"/>
        <v>0</v>
      </c>
      <c r="CZ613" s="1019">
        <f t="shared" si="748"/>
        <v>1700</v>
      </c>
      <c r="DA613" s="177">
        <f t="shared" si="749"/>
        <v>1700</v>
      </c>
      <c r="DB613" s="258"/>
      <c r="DC613" s="256"/>
    </row>
    <row r="614" spans="1:107" ht="31.5" customHeight="1" x14ac:dyDescent="0.25">
      <c r="A614" s="19">
        <v>2026</v>
      </c>
      <c r="B614" s="20">
        <v>479</v>
      </c>
      <c r="C614" s="21" t="s">
        <v>64</v>
      </c>
      <c r="D614" s="21" t="s">
        <v>411</v>
      </c>
      <c r="E614" s="20">
        <v>125</v>
      </c>
      <c r="F614" s="20">
        <v>3000001</v>
      </c>
      <c r="G614" s="20">
        <v>5000276</v>
      </c>
      <c r="H614" s="20">
        <v>3</v>
      </c>
      <c r="I614" s="20">
        <v>12</v>
      </c>
      <c r="J614" s="20">
        <v>24</v>
      </c>
      <c r="K614" s="20">
        <v>47173</v>
      </c>
      <c r="L614" s="21" t="s">
        <v>412</v>
      </c>
      <c r="M614" s="33" t="s">
        <v>413</v>
      </c>
      <c r="N614" s="19">
        <v>92</v>
      </c>
      <c r="O614" s="2"/>
      <c r="P614" s="2" t="s">
        <v>4</v>
      </c>
      <c r="Q614" s="20" t="s">
        <v>68</v>
      </c>
      <c r="R614" s="25" t="s">
        <v>69</v>
      </c>
      <c r="S614" s="41" t="s">
        <v>137</v>
      </c>
      <c r="T614" s="41"/>
      <c r="U614" s="31" t="s">
        <v>414</v>
      </c>
      <c r="V614" s="25" t="s">
        <v>3</v>
      </c>
      <c r="W614" s="25">
        <v>1</v>
      </c>
      <c r="X614" s="595">
        <v>9000</v>
      </c>
      <c r="Y614" s="619"/>
      <c r="Z614" s="2"/>
      <c r="AA614" s="2"/>
      <c r="AB614" s="620"/>
      <c r="AC614" s="25">
        <v>30</v>
      </c>
      <c r="AD614" s="25">
        <v>30</v>
      </c>
      <c r="AE614" s="619"/>
      <c r="AF614" s="2"/>
      <c r="AG614" s="2"/>
      <c r="AH614" s="2"/>
      <c r="AI614" s="2"/>
      <c r="AJ614" s="621"/>
      <c r="AK614" s="596">
        <v>18000</v>
      </c>
      <c r="AL614" s="29" t="s">
        <v>73</v>
      </c>
      <c r="AM614" s="29" t="s">
        <v>73</v>
      </c>
      <c r="AN614" s="29" t="s">
        <v>73</v>
      </c>
      <c r="AO614" s="29" t="s">
        <v>73</v>
      </c>
      <c r="AP614" s="478">
        <v>9000</v>
      </c>
      <c r="AQ614" s="478">
        <v>9000</v>
      </c>
      <c r="AR614" s="29" t="s">
        <v>73</v>
      </c>
      <c r="AS614" s="29" t="s">
        <v>73</v>
      </c>
      <c r="AT614" s="29" t="s">
        <v>73</v>
      </c>
      <c r="AU614" s="29" t="s">
        <v>73</v>
      </c>
      <c r="AV614" s="29" t="s">
        <v>73</v>
      </c>
      <c r="AW614" s="29" t="s">
        <v>73</v>
      </c>
      <c r="AX614" s="30">
        <v>18000</v>
      </c>
      <c r="AY614" s="479" t="s">
        <v>4</v>
      </c>
      <c r="AZ614" s="2" t="s">
        <v>74</v>
      </c>
      <c r="BA614" s="2"/>
      <c r="BK614" s="125" t="s">
        <v>790</v>
      </c>
      <c r="BL614" s="481" t="s">
        <v>791</v>
      </c>
      <c r="BM614" s="125"/>
      <c r="BN614" s="177" t="s">
        <v>2518</v>
      </c>
      <c r="BO614" s="125" t="s">
        <v>2519</v>
      </c>
      <c r="BP614" s="129">
        <v>46133</v>
      </c>
      <c r="BQ614" s="18"/>
      <c r="BR614" s="505" t="s">
        <v>2539</v>
      </c>
      <c r="BS614" s="18"/>
      <c r="BT614" s="945" t="s">
        <v>2521</v>
      </c>
      <c r="BU614" s="945" t="s">
        <v>2522</v>
      </c>
      <c r="BV614" s="125" t="s">
        <v>830</v>
      </c>
      <c r="BW614" s="125" t="s">
        <v>2540</v>
      </c>
      <c r="BX614" s="125" t="s">
        <v>1135</v>
      </c>
      <c r="BY614" s="125">
        <v>9439449</v>
      </c>
      <c r="BZ614" s="125">
        <v>10094394495</v>
      </c>
      <c r="CA614" s="126">
        <v>9000</v>
      </c>
      <c r="CB614" s="128">
        <v>46143</v>
      </c>
      <c r="CC614" s="128">
        <v>46203</v>
      </c>
      <c r="CD614" s="759"/>
      <c r="CE614" s="177">
        <f t="shared" si="733"/>
        <v>30</v>
      </c>
      <c r="CF614" s="1019">
        <f t="shared" si="734"/>
        <v>9000</v>
      </c>
      <c r="CG614" s="177">
        <v>30</v>
      </c>
      <c r="CH614" s="1019">
        <f t="shared" si="735"/>
        <v>9000</v>
      </c>
      <c r="CI614" s="177">
        <v>30</v>
      </c>
      <c r="CJ614" s="1019">
        <f t="shared" si="736"/>
        <v>9000</v>
      </c>
      <c r="CK614" s="177">
        <f t="shared" si="737"/>
        <v>0</v>
      </c>
      <c r="CL614" s="177">
        <f t="shared" si="738"/>
        <v>0</v>
      </c>
      <c r="CM614" s="1006"/>
      <c r="CN614" s="177">
        <f t="shared" si="739"/>
        <v>30</v>
      </c>
      <c r="CO614" s="1019">
        <f t="shared" si="740"/>
        <v>9000</v>
      </c>
      <c r="CP614" s="177">
        <v>30</v>
      </c>
      <c r="CQ614" s="1019">
        <f t="shared" si="741"/>
        <v>9000</v>
      </c>
      <c r="CR614" s="177">
        <v>30</v>
      </c>
      <c r="CS614" s="1019">
        <f t="shared" si="742"/>
        <v>9000</v>
      </c>
      <c r="CT614" s="177">
        <f t="shared" si="743"/>
        <v>0</v>
      </c>
      <c r="CU614" s="177">
        <f t="shared" si="744"/>
        <v>0</v>
      </c>
      <c r="CV614" s="1006"/>
      <c r="CW614" s="177">
        <f t="shared" si="745"/>
        <v>18000</v>
      </c>
      <c r="CX614" s="1019">
        <f t="shared" si="746"/>
        <v>18000</v>
      </c>
      <c r="CY614" s="177">
        <f t="shared" si="747"/>
        <v>18000</v>
      </c>
      <c r="CZ614" s="1019">
        <f t="shared" si="748"/>
        <v>0</v>
      </c>
      <c r="DA614" s="177">
        <f t="shared" si="749"/>
        <v>0</v>
      </c>
      <c r="DB614" s="126"/>
      <c r="DC614" s="125"/>
    </row>
    <row r="615" spans="1:107" ht="31.5" customHeight="1" x14ac:dyDescent="0.25">
      <c r="A615" s="19">
        <v>2026</v>
      </c>
      <c r="B615" s="20">
        <v>479</v>
      </c>
      <c r="C615" s="21" t="s">
        <v>64</v>
      </c>
      <c r="D615" s="21" t="s">
        <v>411</v>
      </c>
      <c r="E615" s="20">
        <v>125</v>
      </c>
      <c r="F615" s="20">
        <v>3000001</v>
      </c>
      <c r="G615" s="20">
        <v>5000276</v>
      </c>
      <c r="H615" s="20">
        <v>3</v>
      </c>
      <c r="I615" s="20">
        <v>12</v>
      </c>
      <c r="J615" s="20">
        <v>24</v>
      </c>
      <c r="K615" s="20">
        <v>47173</v>
      </c>
      <c r="L615" s="21" t="s">
        <v>412</v>
      </c>
      <c r="M615" s="33" t="s">
        <v>413</v>
      </c>
      <c r="N615" s="19">
        <v>92</v>
      </c>
      <c r="O615" s="2"/>
      <c r="P615" s="2" t="s">
        <v>4</v>
      </c>
      <c r="Q615" s="20" t="s">
        <v>68</v>
      </c>
      <c r="R615" s="25" t="s">
        <v>69</v>
      </c>
      <c r="S615" s="41" t="s">
        <v>137</v>
      </c>
      <c r="T615" s="41"/>
      <c r="U615" s="31" t="s">
        <v>415</v>
      </c>
      <c r="V615" s="25" t="s">
        <v>3</v>
      </c>
      <c r="W615" s="25">
        <v>1</v>
      </c>
      <c r="X615" s="595">
        <v>9000</v>
      </c>
      <c r="Y615" s="619"/>
      <c r="Z615" s="2"/>
      <c r="AA615" s="2"/>
      <c r="AB615" s="620"/>
      <c r="AC615" s="25">
        <v>30</v>
      </c>
      <c r="AD615" s="25">
        <v>30</v>
      </c>
      <c r="AE615" s="619"/>
      <c r="AF615" s="2"/>
      <c r="AG615" s="2"/>
      <c r="AH615" s="2"/>
      <c r="AI615" s="2"/>
      <c r="AJ615" s="621"/>
      <c r="AK615" s="596">
        <v>18000</v>
      </c>
      <c r="AL615" s="29" t="s">
        <v>73</v>
      </c>
      <c r="AM615" s="29" t="s">
        <v>73</v>
      </c>
      <c r="AN615" s="29" t="s">
        <v>73</v>
      </c>
      <c r="AO615" s="29" t="s">
        <v>73</v>
      </c>
      <c r="AP615" s="478">
        <v>9000</v>
      </c>
      <c r="AQ615" s="478">
        <v>9000</v>
      </c>
      <c r="AR615" s="29" t="s">
        <v>73</v>
      </c>
      <c r="AS615" s="29" t="s">
        <v>73</v>
      </c>
      <c r="AT615" s="29" t="s">
        <v>73</v>
      </c>
      <c r="AU615" s="29" t="s">
        <v>73</v>
      </c>
      <c r="AV615" s="29" t="s">
        <v>73</v>
      </c>
      <c r="AW615" s="29" t="s">
        <v>73</v>
      </c>
      <c r="AX615" s="30">
        <v>18000</v>
      </c>
      <c r="AY615" s="479" t="s">
        <v>4</v>
      </c>
      <c r="AZ615" s="2" t="s">
        <v>74</v>
      </c>
      <c r="BA615" s="2"/>
      <c r="BK615" s="125" t="s">
        <v>790</v>
      </c>
      <c r="BL615" s="481" t="s">
        <v>791</v>
      </c>
      <c r="BM615" s="125"/>
      <c r="BN615" s="177" t="s">
        <v>2518</v>
      </c>
      <c r="BO615" s="125" t="s">
        <v>2519</v>
      </c>
      <c r="BP615" s="129">
        <v>46133</v>
      </c>
      <c r="BQ615" s="18"/>
      <c r="BR615" s="505" t="s">
        <v>2541</v>
      </c>
      <c r="BS615" s="18"/>
      <c r="BT615" s="945" t="s">
        <v>2521</v>
      </c>
      <c r="BU615" s="945" t="s">
        <v>2522</v>
      </c>
      <c r="BV615" s="125" t="s">
        <v>2542</v>
      </c>
      <c r="BW615" s="125" t="s">
        <v>2543</v>
      </c>
      <c r="BX615" s="125" t="s">
        <v>877</v>
      </c>
      <c r="BY615" s="125">
        <v>7220467</v>
      </c>
      <c r="BZ615" s="125">
        <v>10072204676</v>
      </c>
      <c r="CA615" s="126">
        <v>9000</v>
      </c>
      <c r="CB615" s="128">
        <v>46143</v>
      </c>
      <c r="CC615" s="128">
        <v>46203</v>
      </c>
      <c r="CD615" s="759"/>
      <c r="CE615" s="177">
        <f t="shared" si="733"/>
        <v>30</v>
      </c>
      <c r="CF615" s="1019">
        <f t="shared" si="734"/>
        <v>9000</v>
      </c>
      <c r="CG615" s="177">
        <v>30</v>
      </c>
      <c r="CH615" s="1019">
        <f t="shared" si="735"/>
        <v>9000</v>
      </c>
      <c r="CI615" s="177">
        <v>30</v>
      </c>
      <c r="CJ615" s="1019">
        <f t="shared" si="736"/>
        <v>9000</v>
      </c>
      <c r="CK615" s="177">
        <f t="shared" si="737"/>
        <v>0</v>
      </c>
      <c r="CL615" s="177">
        <f t="shared" si="738"/>
        <v>0</v>
      </c>
      <c r="CM615" s="1006"/>
      <c r="CN615" s="177">
        <f t="shared" si="739"/>
        <v>30</v>
      </c>
      <c r="CO615" s="1019">
        <f t="shared" si="740"/>
        <v>9000</v>
      </c>
      <c r="CP615" s="177">
        <v>30</v>
      </c>
      <c r="CQ615" s="1019">
        <f t="shared" si="741"/>
        <v>9000</v>
      </c>
      <c r="CR615" s="177">
        <v>30</v>
      </c>
      <c r="CS615" s="1019">
        <f t="shared" si="742"/>
        <v>9000</v>
      </c>
      <c r="CT615" s="177">
        <f t="shared" si="743"/>
        <v>0</v>
      </c>
      <c r="CU615" s="177">
        <f t="shared" si="744"/>
        <v>0</v>
      </c>
      <c r="CV615" s="1006"/>
      <c r="CW615" s="177">
        <f t="shared" si="745"/>
        <v>18000</v>
      </c>
      <c r="CX615" s="1019">
        <f t="shared" si="746"/>
        <v>18000</v>
      </c>
      <c r="CY615" s="177">
        <f t="shared" si="747"/>
        <v>18000</v>
      </c>
      <c r="CZ615" s="1019">
        <f t="shared" si="748"/>
        <v>0</v>
      </c>
      <c r="DA615" s="177">
        <f t="shared" si="749"/>
        <v>0</v>
      </c>
      <c r="DB615" s="126"/>
      <c r="DC615" s="125"/>
    </row>
    <row r="616" spans="1:107" ht="31.5" customHeight="1" x14ac:dyDescent="0.25">
      <c r="A616" s="19">
        <v>2026</v>
      </c>
      <c r="B616" s="20">
        <v>479</v>
      </c>
      <c r="C616" s="21" t="s">
        <v>64</v>
      </c>
      <c r="D616" s="21" t="s">
        <v>411</v>
      </c>
      <c r="E616" s="20">
        <v>125</v>
      </c>
      <c r="F616" s="20">
        <v>3000001</v>
      </c>
      <c r="G616" s="20">
        <v>5000276</v>
      </c>
      <c r="H616" s="20">
        <v>3</v>
      </c>
      <c r="I616" s="20">
        <v>12</v>
      </c>
      <c r="J616" s="20">
        <v>24</v>
      </c>
      <c r="K616" s="20">
        <v>47173</v>
      </c>
      <c r="L616" s="21" t="s">
        <v>412</v>
      </c>
      <c r="M616" s="33" t="s">
        <v>413</v>
      </c>
      <c r="N616" s="19">
        <v>92</v>
      </c>
      <c r="O616" s="2"/>
      <c r="P616" s="2" t="s">
        <v>4</v>
      </c>
      <c r="Q616" s="20" t="s">
        <v>68</v>
      </c>
      <c r="R616" s="25" t="s">
        <v>69</v>
      </c>
      <c r="S616" s="41" t="s">
        <v>137</v>
      </c>
      <c r="T616" s="41"/>
      <c r="U616" s="31" t="s">
        <v>416</v>
      </c>
      <c r="V616" s="25" t="s">
        <v>3</v>
      </c>
      <c r="W616" s="25">
        <v>1</v>
      </c>
      <c r="X616" s="595">
        <v>8000</v>
      </c>
      <c r="Y616" s="619"/>
      <c r="Z616" s="2"/>
      <c r="AA616" s="2"/>
      <c r="AB616" s="620"/>
      <c r="AC616" s="25">
        <v>30</v>
      </c>
      <c r="AD616" s="25">
        <v>30</v>
      </c>
      <c r="AE616" s="619"/>
      <c r="AF616" s="2"/>
      <c r="AG616" s="2"/>
      <c r="AH616" s="2"/>
      <c r="AI616" s="2"/>
      <c r="AJ616" s="621"/>
      <c r="AK616" s="596">
        <v>16000</v>
      </c>
      <c r="AL616" s="29" t="s">
        <v>73</v>
      </c>
      <c r="AM616" s="29" t="s">
        <v>73</v>
      </c>
      <c r="AN616" s="29" t="s">
        <v>73</v>
      </c>
      <c r="AO616" s="29" t="s">
        <v>73</v>
      </c>
      <c r="AP616" s="478">
        <v>8000</v>
      </c>
      <c r="AQ616" s="478">
        <v>8000</v>
      </c>
      <c r="AR616" s="29" t="s">
        <v>73</v>
      </c>
      <c r="AS616" s="29" t="s">
        <v>73</v>
      </c>
      <c r="AT616" s="29" t="s">
        <v>73</v>
      </c>
      <c r="AU616" s="29" t="s">
        <v>73</v>
      </c>
      <c r="AV616" s="29" t="s">
        <v>73</v>
      </c>
      <c r="AW616" s="29" t="s">
        <v>73</v>
      </c>
      <c r="AX616" s="30">
        <v>16000</v>
      </c>
      <c r="AY616" s="479" t="s">
        <v>4</v>
      </c>
      <c r="AZ616" s="2" t="s">
        <v>74</v>
      </c>
      <c r="BA616" s="2"/>
      <c r="BK616" s="125" t="s">
        <v>790</v>
      </c>
      <c r="BL616" s="481" t="s">
        <v>791</v>
      </c>
      <c r="BM616" s="125"/>
      <c r="BN616" s="177" t="s">
        <v>2518</v>
      </c>
      <c r="BO616" s="125" t="s">
        <v>2519</v>
      </c>
      <c r="BP616" s="129">
        <v>46133</v>
      </c>
      <c r="BQ616" s="18"/>
      <c r="BR616" s="505" t="s">
        <v>2544</v>
      </c>
      <c r="BS616" s="18"/>
      <c r="BT616" s="945" t="s">
        <v>2521</v>
      </c>
      <c r="BU616" s="945" t="s">
        <v>2522</v>
      </c>
      <c r="BV616" s="125" t="s">
        <v>1124</v>
      </c>
      <c r="BW616" s="125" t="s">
        <v>2545</v>
      </c>
      <c r="BX616" s="125" t="s">
        <v>1135</v>
      </c>
      <c r="BY616" s="125">
        <v>45801976</v>
      </c>
      <c r="BZ616" s="125">
        <v>10458019768</v>
      </c>
      <c r="CA616" s="126">
        <v>8000</v>
      </c>
      <c r="CB616" s="128">
        <v>46143</v>
      </c>
      <c r="CC616" s="128">
        <v>46203</v>
      </c>
      <c r="CD616" s="759"/>
      <c r="CE616" s="177">
        <f t="shared" si="733"/>
        <v>30</v>
      </c>
      <c r="CF616" s="1019">
        <f t="shared" si="734"/>
        <v>8000</v>
      </c>
      <c r="CG616" s="177">
        <v>30</v>
      </c>
      <c r="CH616" s="1019">
        <f t="shared" si="735"/>
        <v>8000.0000000000009</v>
      </c>
      <c r="CI616" s="177">
        <v>30</v>
      </c>
      <c r="CJ616" s="1019">
        <f t="shared" si="736"/>
        <v>8000.0000000000009</v>
      </c>
      <c r="CK616" s="177">
        <f t="shared" si="737"/>
        <v>0</v>
      </c>
      <c r="CL616" s="177">
        <f t="shared" si="738"/>
        <v>0</v>
      </c>
      <c r="CM616" s="1006"/>
      <c r="CN616" s="177">
        <f t="shared" si="739"/>
        <v>30</v>
      </c>
      <c r="CO616" s="1019">
        <f t="shared" si="740"/>
        <v>8000</v>
      </c>
      <c r="CP616" s="177">
        <v>30</v>
      </c>
      <c r="CQ616" s="1019">
        <f t="shared" si="741"/>
        <v>8000.0000000000009</v>
      </c>
      <c r="CR616" s="177">
        <v>30</v>
      </c>
      <c r="CS616" s="1019">
        <f t="shared" si="742"/>
        <v>8000.0000000000009</v>
      </c>
      <c r="CT616" s="177">
        <f t="shared" si="743"/>
        <v>0</v>
      </c>
      <c r="CU616" s="177">
        <f t="shared" si="744"/>
        <v>0</v>
      </c>
      <c r="CV616" s="1006"/>
      <c r="CW616" s="177">
        <f t="shared" si="745"/>
        <v>16000</v>
      </c>
      <c r="CX616" s="1019">
        <f t="shared" si="746"/>
        <v>16000.000000000002</v>
      </c>
      <c r="CY616" s="177">
        <f t="shared" si="747"/>
        <v>16000.000000000002</v>
      </c>
      <c r="CZ616" s="1019">
        <f t="shared" si="748"/>
        <v>0</v>
      </c>
      <c r="DA616" s="177">
        <f t="shared" si="749"/>
        <v>0</v>
      </c>
      <c r="DB616" s="126"/>
      <c r="DC616" s="125"/>
    </row>
    <row r="617" spans="1:107" ht="31.5" customHeight="1" x14ac:dyDescent="0.25">
      <c r="A617" s="19">
        <v>2026</v>
      </c>
      <c r="B617" s="20">
        <v>479</v>
      </c>
      <c r="C617" s="21" t="s">
        <v>64</v>
      </c>
      <c r="D617" s="21" t="s">
        <v>411</v>
      </c>
      <c r="E617" s="20">
        <v>125</v>
      </c>
      <c r="F617" s="20">
        <v>3000001</v>
      </c>
      <c r="G617" s="20">
        <v>5000276</v>
      </c>
      <c r="H617" s="20">
        <v>3</v>
      </c>
      <c r="I617" s="20">
        <v>12</v>
      </c>
      <c r="J617" s="20">
        <v>24</v>
      </c>
      <c r="K617" s="20">
        <v>47173</v>
      </c>
      <c r="L617" s="21" t="s">
        <v>412</v>
      </c>
      <c r="M617" s="33" t="s">
        <v>413</v>
      </c>
      <c r="N617" s="19">
        <v>92</v>
      </c>
      <c r="O617" s="2"/>
      <c r="P617" s="2" t="s">
        <v>4</v>
      </c>
      <c r="Q617" s="20" t="s">
        <v>68</v>
      </c>
      <c r="R617" s="25" t="s">
        <v>69</v>
      </c>
      <c r="S617" s="41" t="s">
        <v>137</v>
      </c>
      <c r="T617" s="41"/>
      <c r="U617" s="31" t="s">
        <v>417</v>
      </c>
      <c r="V617" s="25" t="s">
        <v>3</v>
      </c>
      <c r="W617" s="25">
        <v>1</v>
      </c>
      <c r="X617" s="595">
        <v>6000</v>
      </c>
      <c r="Y617" s="619"/>
      <c r="Z617" s="2"/>
      <c r="AA617" s="2"/>
      <c r="AB617" s="620"/>
      <c r="AC617" s="25">
        <v>30</v>
      </c>
      <c r="AD617" s="25">
        <v>30</v>
      </c>
      <c r="AE617" s="619"/>
      <c r="AF617" s="2"/>
      <c r="AG617" s="2"/>
      <c r="AH617" s="2"/>
      <c r="AI617" s="2"/>
      <c r="AJ617" s="621"/>
      <c r="AK617" s="596">
        <v>12000</v>
      </c>
      <c r="AL617" s="29" t="s">
        <v>73</v>
      </c>
      <c r="AM617" s="29" t="s">
        <v>73</v>
      </c>
      <c r="AN617" s="29" t="s">
        <v>73</v>
      </c>
      <c r="AO617" s="29" t="s">
        <v>73</v>
      </c>
      <c r="AP617" s="478">
        <v>6000</v>
      </c>
      <c r="AQ617" s="478">
        <v>6000</v>
      </c>
      <c r="AR617" s="29" t="s">
        <v>73</v>
      </c>
      <c r="AS617" s="29" t="s">
        <v>73</v>
      </c>
      <c r="AT617" s="29" t="s">
        <v>73</v>
      </c>
      <c r="AU617" s="29" t="s">
        <v>73</v>
      </c>
      <c r="AV617" s="29" t="s">
        <v>73</v>
      </c>
      <c r="AW617" s="29" t="s">
        <v>73</v>
      </c>
      <c r="AX617" s="30">
        <v>12000</v>
      </c>
      <c r="AY617" s="479" t="s">
        <v>4</v>
      </c>
      <c r="AZ617" s="2" t="s">
        <v>74</v>
      </c>
      <c r="BA617" s="2"/>
      <c r="BK617" s="481" t="s">
        <v>802</v>
      </c>
      <c r="BL617" s="481" t="s">
        <v>803</v>
      </c>
      <c r="BM617" s="125"/>
      <c r="BN617" s="177"/>
      <c r="BO617" s="125"/>
      <c r="BP617" s="129"/>
      <c r="BQ617" s="18"/>
      <c r="BR617" s="287"/>
      <c r="BS617" s="18"/>
      <c r="BT617" s="18"/>
      <c r="BU617" s="18"/>
      <c r="BV617" s="125"/>
      <c r="BW617" s="125"/>
      <c r="BX617" s="125"/>
      <c r="BY617" s="125"/>
      <c r="BZ617" s="125"/>
      <c r="CA617" s="126"/>
      <c r="CB617" s="128"/>
      <c r="CC617" s="128"/>
      <c r="CD617" s="759"/>
      <c r="CE617" s="177">
        <f t="shared" si="733"/>
        <v>30</v>
      </c>
      <c r="CF617" s="1019">
        <f t="shared" si="734"/>
        <v>6000</v>
      </c>
      <c r="CG617" s="177"/>
      <c r="CH617" s="1019">
        <f t="shared" si="735"/>
        <v>0</v>
      </c>
      <c r="CI617" s="177"/>
      <c r="CJ617" s="1019">
        <f t="shared" si="736"/>
        <v>0</v>
      </c>
      <c r="CK617" s="177">
        <f t="shared" si="737"/>
        <v>6000</v>
      </c>
      <c r="CL617" s="177">
        <f t="shared" si="738"/>
        <v>6000</v>
      </c>
      <c r="CM617" s="1006"/>
      <c r="CN617" s="177">
        <f t="shared" si="739"/>
        <v>30</v>
      </c>
      <c r="CO617" s="1019">
        <f t="shared" si="740"/>
        <v>6000</v>
      </c>
      <c r="CP617" s="177"/>
      <c r="CQ617" s="1019">
        <f t="shared" si="741"/>
        <v>0</v>
      </c>
      <c r="CR617" s="1019"/>
      <c r="CS617" s="1019">
        <f t="shared" si="742"/>
        <v>0</v>
      </c>
      <c r="CT617" s="177">
        <f t="shared" si="743"/>
        <v>6000</v>
      </c>
      <c r="CU617" s="177">
        <f t="shared" si="744"/>
        <v>6000</v>
      </c>
      <c r="CV617" s="1006"/>
      <c r="CW617" s="177">
        <f t="shared" si="745"/>
        <v>12000</v>
      </c>
      <c r="CX617" s="1019">
        <f t="shared" si="746"/>
        <v>0</v>
      </c>
      <c r="CY617" s="177">
        <f t="shared" si="747"/>
        <v>0</v>
      </c>
      <c r="CZ617" s="1019">
        <f t="shared" si="748"/>
        <v>12000</v>
      </c>
      <c r="DA617" s="177">
        <f t="shared" si="749"/>
        <v>12000</v>
      </c>
      <c r="DB617" s="126"/>
      <c r="DC617" s="125"/>
    </row>
    <row r="618" spans="1:107" ht="31.5" customHeight="1" x14ac:dyDescent="0.25">
      <c r="A618" s="19">
        <v>2026</v>
      </c>
      <c r="B618" s="20">
        <v>479</v>
      </c>
      <c r="C618" s="21" t="s">
        <v>64</v>
      </c>
      <c r="D618" s="21" t="s">
        <v>411</v>
      </c>
      <c r="E618" s="20">
        <v>125</v>
      </c>
      <c r="F618" s="20">
        <v>3000001</v>
      </c>
      <c r="G618" s="20">
        <v>5000276</v>
      </c>
      <c r="H618" s="20">
        <v>3</v>
      </c>
      <c r="I618" s="20">
        <v>12</v>
      </c>
      <c r="J618" s="20">
        <v>24</v>
      </c>
      <c r="K618" s="20">
        <v>47173</v>
      </c>
      <c r="L618" s="21" t="s">
        <v>412</v>
      </c>
      <c r="M618" s="33" t="s">
        <v>413</v>
      </c>
      <c r="N618" s="19">
        <v>92</v>
      </c>
      <c r="O618" s="2"/>
      <c r="P618" s="2" t="s">
        <v>4</v>
      </c>
      <c r="Q618" s="20" t="s">
        <v>68</v>
      </c>
      <c r="R618" s="25" t="s">
        <v>69</v>
      </c>
      <c r="S618" s="41" t="s">
        <v>137</v>
      </c>
      <c r="T618" s="41"/>
      <c r="U618" s="31" t="s">
        <v>418</v>
      </c>
      <c r="V618" s="25" t="s">
        <v>3</v>
      </c>
      <c r="W618" s="25">
        <v>1</v>
      </c>
      <c r="X618" s="595">
        <v>6500</v>
      </c>
      <c r="Y618" s="619"/>
      <c r="Z618" s="2"/>
      <c r="AA618" s="2"/>
      <c r="AB618" s="620"/>
      <c r="AC618" s="25">
        <v>30</v>
      </c>
      <c r="AD618" s="25">
        <v>30</v>
      </c>
      <c r="AE618" s="619"/>
      <c r="AF618" s="2"/>
      <c r="AG618" s="2"/>
      <c r="AH618" s="2"/>
      <c r="AI618" s="2"/>
      <c r="AJ618" s="621"/>
      <c r="AK618" s="596">
        <v>13000</v>
      </c>
      <c r="AL618" s="29" t="s">
        <v>73</v>
      </c>
      <c r="AM618" s="29" t="s">
        <v>73</v>
      </c>
      <c r="AN618" s="29" t="s">
        <v>73</v>
      </c>
      <c r="AO618" s="29" t="s">
        <v>73</v>
      </c>
      <c r="AP618" s="478">
        <v>6500</v>
      </c>
      <c r="AQ618" s="478">
        <v>6500</v>
      </c>
      <c r="AR618" s="29" t="s">
        <v>73</v>
      </c>
      <c r="AS618" s="29" t="s">
        <v>73</v>
      </c>
      <c r="AT618" s="29" t="s">
        <v>73</v>
      </c>
      <c r="AU618" s="29" t="s">
        <v>73</v>
      </c>
      <c r="AV618" s="29" t="s">
        <v>73</v>
      </c>
      <c r="AW618" s="29" t="s">
        <v>73</v>
      </c>
      <c r="AX618" s="30">
        <v>13000</v>
      </c>
      <c r="AY618" s="479" t="s">
        <v>4</v>
      </c>
      <c r="AZ618" s="2" t="s">
        <v>74</v>
      </c>
      <c r="BA618" s="2"/>
      <c r="BK618" s="125" t="s">
        <v>790</v>
      </c>
      <c r="BL618" s="481" t="s">
        <v>791</v>
      </c>
      <c r="BM618" s="125"/>
      <c r="BN618" s="177" t="s">
        <v>2518</v>
      </c>
      <c r="BO618" s="125" t="s">
        <v>2519</v>
      </c>
      <c r="BP618" s="129">
        <v>46133</v>
      </c>
      <c r="BQ618" s="18"/>
      <c r="BR618" s="505" t="s">
        <v>2546</v>
      </c>
      <c r="BS618" s="18"/>
      <c r="BT618" s="945" t="s">
        <v>2521</v>
      </c>
      <c r="BU618" s="945" t="s">
        <v>2522</v>
      </c>
      <c r="BV618" s="125" t="s">
        <v>1249</v>
      </c>
      <c r="BW618" s="125" t="s">
        <v>2358</v>
      </c>
      <c r="BX618" s="125" t="s">
        <v>2547</v>
      </c>
      <c r="BY618" s="125">
        <v>43524820</v>
      </c>
      <c r="BZ618" s="125">
        <v>10435248204</v>
      </c>
      <c r="CA618" s="126">
        <v>6500</v>
      </c>
      <c r="CB618" s="128">
        <v>46143</v>
      </c>
      <c r="CC618" s="128">
        <v>46203</v>
      </c>
      <c r="CD618" s="759"/>
      <c r="CE618" s="177">
        <f t="shared" si="733"/>
        <v>30</v>
      </c>
      <c r="CF618" s="1019">
        <f t="shared" si="734"/>
        <v>6500</v>
      </c>
      <c r="CG618" s="177">
        <v>30</v>
      </c>
      <c r="CH618" s="1019">
        <f t="shared" si="735"/>
        <v>6500</v>
      </c>
      <c r="CI618" s="177">
        <v>30</v>
      </c>
      <c r="CJ618" s="1019">
        <f t="shared" si="736"/>
        <v>6500</v>
      </c>
      <c r="CK618" s="177">
        <f t="shared" si="737"/>
        <v>0</v>
      </c>
      <c r="CL618" s="177">
        <f t="shared" si="738"/>
        <v>0</v>
      </c>
      <c r="CM618" s="1006"/>
      <c r="CN618" s="177">
        <f t="shared" si="739"/>
        <v>30</v>
      </c>
      <c r="CO618" s="1019">
        <f t="shared" si="740"/>
        <v>6500</v>
      </c>
      <c r="CP618" s="177">
        <v>30</v>
      </c>
      <c r="CQ618" s="1019">
        <f t="shared" si="741"/>
        <v>6500</v>
      </c>
      <c r="CR618" s="177">
        <v>30</v>
      </c>
      <c r="CS618" s="1019">
        <f t="shared" si="742"/>
        <v>6500</v>
      </c>
      <c r="CT618" s="177">
        <f t="shared" si="743"/>
        <v>0</v>
      </c>
      <c r="CU618" s="177">
        <f t="shared" si="744"/>
        <v>0</v>
      </c>
      <c r="CV618" s="1006"/>
      <c r="CW618" s="177">
        <f t="shared" si="745"/>
        <v>13000</v>
      </c>
      <c r="CX618" s="1019">
        <f t="shared" si="746"/>
        <v>13000</v>
      </c>
      <c r="CY618" s="177">
        <f t="shared" si="747"/>
        <v>13000</v>
      </c>
      <c r="CZ618" s="1019">
        <f t="shared" si="748"/>
        <v>0</v>
      </c>
      <c r="DA618" s="177">
        <f t="shared" si="749"/>
        <v>0</v>
      </c>
      <c r="DB618" s="126"/>
      <c r="DC618" s="125"/>
    </row>
    <row r="619" spans="1:107" ht="31.5" customHeight="1" x14ac:dyDescent="0.25">
      <c r="A619" s="19">
        <v>2026</v>
      </c>
      <c r="B619" s="20">
        <v>479</v>
      </c>
      <c r="C619" s="21" t="s">
        <v>64</v>
      </c>
      <c r="D619" s="21" t="s">
        <v>411</v>
      </c>
      <c r="E619" s="20">
        <v>125</v>
      </c>
      <c r="F619" s="20">
        <v>3000001</v>
      </c>
      <c r="G619" s="20">
        <v>5000276</v>
      </c>
      <c r="H619" s="20">
        <v>3</v>
      </c>
      <c r="I619" s="20">
        <v>12</v>
      </c>
      <c r="J619" s="20">
        <v>24</v>
      </c>
      <c r="K619" s="20">
        <v>47173</v>
      </c>
      <c r="L619" s="21" t="s">
        <v>412</v>
      </c>
      <c r="M619" s="33" t="s">
        <v>413</v>
      </c>
      <c r="N619" s="19">
        <v>92</v>
      </c>
      <c r="O619" s="2"/>
      <c r="P619" s="2" t="s">
        <v>4</v>
      </c>
      <c r="Q619" s="20" t="s">
        <v>68</v>
      </c>
      <c r="R619" s="25" t="s">
        <v>69</v>
      </c>
      <c r="S619" s="41" t="s">
        <v>137</v>
      </c>
      <c r="T619" s="41"/>
      <c r="U619" s="31" t="s">
        <v>419</v>
      </c>
      <c r="V619" s="25" t="s">
        <v>3</v>
      </c>
      <c r="W619" s="25">
        <v>1</v>
      </c>
      <c r="X619" s="595">
        <v>5500</v>
      </c>
      <c r="Y619" s="619"/>
      <c r="Z619" s="2"/>
      <c r="AA619" s="2"/>
      <c r="AB619" s="620"/>
      <c r="AC619" s="25">
        <v>30</v>
      </c>
      <c r="AD619" s="25">
        <v>30</v>
      </c>
      <c r="AE619" s="619"/>
      <c r="AF619" s="2"/>
      <c r="AG619" s="2"/>
      <c r="AH619" s="2"/>
      <c r="AI619" s="2"/>
      <c r="AJ619" s="621"/>
      <c r="AK619" s="596">
        <v>11000</v>
      </c>
      <c r="AL619" s="29" t="s">
        <v>73</v>
      </c>
      <c r="AM619" s="29" t="s">
        <v>73</v>
      </c>
      <c r="AN619" s="29" t="s">
        <v>73</v>
      </c>
      <c r="AO619" s="29" t="s">
        <v>73</v>
      </c>
      <c r="AP619" s="478">
        <v>5500</v>
      </c>
      <c r="AQ619" s="478">
        <v>5500</v>
      </c>
      <c r="AR619" s="29" t="s">
        <v>73</v>
      </c>
      <c r="AS619" s="29" t="s">
        <v>73</v>
      </c>
      <c r="AT619" s="29" t="s">
        <v>73</v>
      </c>
      <c r="AU619" s="29" t="s">
        <v>73</v>
      </c>
      <c r="AV619" s="29" t="s">
        <v>73</v>
      </c>
      <c r="AW619" s="29" t="s">
        <v>73</v>
      </c>
      <c r="AX619" s="30">
        <v>11000</v>
      </c>
      <c r="AY619" s="479" t="s">
        <v>4</v>
      </c>
      <c r="AZ619" s="2" t="s">
        <v>74</v>
      </c>
      <c r="BA619" s="2"/>
      <c r="BK619" s="125" t="s">
        <v>790</v>
      </c>
      <c r="BL619" s="481" t="s">
        <v>791</v>
      </c>
      <c r="BM619" s="125"/>
      <c r="BN619" s="177" t="s">
        <v>2518</v>
      </c>
      <c r="BO619" s="125" t="s">
        <v>2519</v>
      </c>
      <c r="BP619" s="129">
        <v>46133</v>
      </c>
      <c r="BQ619" s="18"/>
      <c r="BR619" s="505" t="s">
        <v>2548</v>
      </c>
      <c r="BS619" s="18"/>
      <c r="BT619" s="945" t="s">
        <v>2521</v>
      </c>
      <c r="BU619" s="945" t="s">
        <v>2522</v>
      </c>
      <c r="BV619" s="125" t="s">
        <v>2549</v>
      </c>
      <c r="BW619" s="125" t="s">
        <v>2550</v>
      </c>
      <c r="BX619" s="125" t="s">
        <v>2551</v>
      </c>
      <c r="BY619" s="125">
        <v>40128698</v>
      </c>
      <c r="BZ619" s="125">
        <v>10401286981</v>
      </c>
      <c r="CA619" s="126">
        <v>5500</v>
      </c>
      <c r="CB619" s="128">
        <v>46143</v>
      </c>
      <c r="CC619" s="128">
        <v>46203</v>
      </c>
      <c r="CD619" s="759"/>
      <c r="CE619" s="177">
        <f t="shared" si="733"/>
        <v>30</v>
      </c>
      <c r="CF619" s="1019">
        <f t="shared" si="734"/>
        <v>5500</v>
      </c>
      <c r="CG619" s="177">
        <v>30</v>
      </c>
      <c r="CH619" s="1019">
        <f t="shared" si="735"/>
        <v>5500</v>
      </c>
      <c r="CI619" s="177">
        <v>30</v>
      </c>
      <c r="CJ619" s="1019">
        <f t="shared" si="736"/>
        <v>5500</v>
      </c>
      <c r="CK619" s="177">
        <f t="shared" si="737"/>
        <v>0</v>
      </c>
      <c r="CL619" s="177">
        <f t="shared" si="738"/>
        <v>0</v>
      </c>
      <c r="CM619" s="1006"/>
      <c r="CN619" s="177">
        <f t="shared" si="739"/>
        <v>30</v>
      </c>
      <c r="CO619" s="1019">
        <f t="shared" si="740"/>
        <v>5500</v>
      </c>
      <c r="CP619" s="177">
        <v>30</v>
      </c>
      <c r="CQ619" s="1019">
        <f t="shared" si="741"/>
        <v>5500</v>
      </c>
      <c r="CR619" s="177">
        <v>30</v>
      </c>
      <c r="CS619" s="1019">
        <f t="shared" si="742"/>
        <v>5500</v>
      </c>
      <c r="CT619" s="177">
        <f t="shared" si="743"/>
        <v>0</v>
      </c>
      <c r="CU619" s="177">
        <f t="shared" si="744"/>
        <v>0</v>
      </c>
      <c r="CV619" s="1006"/>
      <c r="CW619" s="177">
        <f t="shared" si="745"/>
        <v>11000</v>
      </c>
      <c r="CX619" s="1019">
        <f t="shared" si="746"/>
        <v>11000</v>
      </c>
      <c r="CY619" s="177">
        <f t="shared" si="747"/>
        <v>11000</v>
      </c>
      <c r="CZ619" s="1019">
        <f t="shared" si="748"/>
        <v>0</v>
      </c>
      <c r="DA619" s="177">
        <f t="shared" si="749"/>
        <v>0</v>
      </c>
      <c r="DB619" s="126"/>
      <c r="DC619" s="125"/>
    </row>
    <row r="620" spans="1:107" ht="31.5" customHeight="1" x14ac:dyDescent="0.25">
      <c r="A620" s="19">
        <v>2026</v>
      </c>
      <c r="B620" s="20">
        <v>479</v>
      </c>
      <c r="C620" s="21" t="s">
        <v>64</v>
      </c>
      <c r="D620" s="21" t="s">
        <v>411</v>
      </c>
      <c r="E620" s="20">
        <v>125</v>
      </c>
      <c r="F620" s="20">
        <v>3000001</v>
      </c>
      <c r="G620" s="20">
        <v>5000276</v>
      </c>
      <c r="H620" s="20">
        <v>3</v>
      </c>
      <c r="I620" s="20">
        <v>12</v>
      </c>
      <c r="J620" s="20">
        <v>24</v>
      </c>
      <c r="K620" s="20">
        <v>47173</v>
      </c>
      <c r="L620" s="21" t="s">
        <v>412</v>
      </c>
      <c r="M620" s="63" t="s">
        <v>413</v>
      </c>
      <c r="N620" s="19">
        <v>92</v>
      </c>
      <c r="O620" s="2"/>
      <c r="P620" s="2" t="s">
        <v>4</v>
      </c>
      <c r="Q620" s="20" t="s">
        <v>68</v>
      </c>
      <c r="R620" s="25" t="s">
        <v>69</v>
      </c>
      <c r="S620" s="41" t="s">
        <v>137</v>
      </c>
      <c r="T620" s="41"/>
      <c r="U620" s="31" t="s">
        <v>420</v>
      </c>
      <c r="V620" s="25" t="s">
        <v>3</v>
      </c>
      <c r="W620" s="25">
        <v>1</v>
      </c>
      <c r="X620" s="595">
        <v>5500</v>
      </c>
      <c r="Y620" s="619"/>
      <c r="Z620" s="2"/>
      <c r="AA620" s="2"/>
      <c r="AB620" s="620"/>
      <c r="AC620" s="25">
        <v>30</v>
      </c>
      <c r="AD620" s="25">
        <v>30</v>
      </c>
      <c r="AE620" s="619"/>
      <c r="AF620" s="2"/>
      <c r="AG620" s="2"/>
      <c r="AH620" s="2"/>
      <c r="AI620" s="2"/>
      <c r="AJ620" s="621"/>
      <c r="AK620" s="596">
        <v>11000</v>
      </c>
      <c r="AL620" s="29" t="s">
        <v>73</v>
      </c>
      <c r="AM620" s="29" t="s">
        <v>73</v>
      </c>
      <c r="AN620" s="29" t="s">
        <v>73</v>
      </c>
      <c r="AO620" s="29" t="s">
        <v>73</v>
      </c>
      <c r="AP620" s="478">
        <v>5500</v>
      </c>
      <c r="AQ620" s="478">
        <v>5500</v>
      </c>
      <c r="AR620" s="29" t="s">
        <v>73</v>
      </c>
      <c r="AS620" s="29" t="s">
        <v>73</v>
      </c>
      <c r="AT620" s="29" t="s">
        <v>73</v>
      </c>
      <c r="AU620" s="29" t="s">
        <v>73</v>
      </c>
      <c r="AV620" s="29" t="s">
        <v>73</v>
      </c>
      <c r="AW620" s="29" t="s">
        <v>73</v>
      </c>
      <c r="AX620" s="30">
        <v>11000</v>
      </c>
      <c r="AY620" s="479" t="s">
        <v>4</v>
      </c>
      <c r="AZ620" s="2" t="s">
        <v>74</v>
      </c>
      <c r="BA620" s="2"/>
      <c r="BK620" s="481" t="s">
        <v>802</v>
      </c>
      <c r="BL620" s="481" t="s">
        <v>803</v>
      </c>
      <c r="BM620" s="125"/>
      <c r="BN620" s="177"/>
      <c r="BO620" s="125"/>
      <c r="BP620" s="129"/>
      <c r="BQ620" s="18"/>
      <c r="BR620" s="287"/>
      <c r="BS620" s="18"/>
      <c r="BT620" s="18"/>
      <c r="BU620" s="18"/>
      <c r="BV620" s="125"/>
      <c r="BW620" s="125"/>
      <c r="BX620" s="125"/>
      <c r="BY620" s="125"/>
      <c r="BZ620" s="125"/>
      <c r="CA620" s="126"/>
      <c r="CB620" s="128"/>
      <c r="CC620" s="128"/>
      <c r="CD620" s="759"/>
      <c r="CE620" s="177">
        <f t="shared" si="733"/>
        <v>30</v>
      </c>
      <c r="CF620" s="1019">
        <f t="shared" si="734"/>
        <v>5500</v>
      </c>
      <c r="CG620" s="177"/>
      <c r="CH620" s="1019">
        <f t="shared" si="735"/>
        <v>0</v>
      </c>
      <c r="CI620" s="177"/>
      <c r="CJ620" s="1019">
        <f t="shared" si="736"/>
        <v>0</v>
      </c>
      <c r="CK620" s="177">
        <f t="shared" si="737"/>
        <v>5500</v>
      </c>
      <c r="CL620" s="177">
        <f t="shared" si="738"/>
        <v>5500</v>
      </c>
      <c r="CM620" s="1006"/>
      <c r="CN620" s="177">
        <f t="shared" si="739"/>
        <v>30</v>
      </c>
      <c r="CO620" s="1019">
        <f t="shared" si="740"/>
        <v>5500</v>
      </c>
      <c r="CP620" s="177"/>
      <c r="CQ620" s="1019">
        <f t="shared" si="741"/>
        <v>0</v>
      </c>
      <c r="CR620" s="1019"/>
      <c r="CS620" s="1019">
        <f t="shared" si="742"/>
        <v>0</v>
      </c>
      <c r="CT620" s="177">
        <f t="shared" si="743"/>
        <v>5500</v>
      </c>
      <c r="CU620" s="177">
        <f t="shared" si="744"/>
        <v>5500</v>
      </c>
      <c r="CV620" s="1006"/>
      <c r="CW620" s="177">
        <f t="shared" si="745"/>
        <v>11000</v>
      </c>
      <c r="CX620" s="1019">
        <f t="shared" si="746"/>
        <v>0</v>
      </c>
      <c r="CY620" s="177">
        <f t="shared" si="747"/>
        <v>0</v>
      </c>
      <c r="CZ620" s="1019">
        <f t="shared" si="748"/>
        <v>11000</v>
      </c>
      <c r="DA620" s="177">
        <f t="shared" si="749"/>
        <v>11000</v>
      </c>
      <c r="DB620" s="126"/>
      <c r="DC620" s="125"/>
    </row>
    <row r="621" spans="1:107" ht="31.5" customHeight="1" x14ac:dyDescent="0.25">
      <c r="A621" s="19">
        <v>2026</v>
      </c>
      <c r="B621" s="20">
        <v>479</v>
      </c>
      <c r="C621" s="21" t="s">
        <v>64</v>
      </c>
      <c r="D621" s="21" t="s">
        <v>411</v>
      </c>
      <c r="E621" s="20">
        <v>125</v>
      </c>
      <c r="F621" s="20">
        <v>3000001</v>
      </c>
      <c r="G621" s="20">
        <v>5000276</v>
      </c>
      <c r="H621" s="20">
        <v>3</v>
      </c>
      <c r="I621" s="20">
        <v>12</v>
      </c>
      <c r="J621" s="20">
        <v>24</v>
      </c>
      <c r="K621" s="20">
        <v>47173</v>
      </c>
      <c r="L621" s="21" t="s">
        <v>412</v>
      </c>
      <c r="M621" s="63" t="s">
        <v>413</v>
      </c>
      <c r="N621" s="19">
        <v>92</v>
      </c>
      <c r="O621" s="2"/>
      <c r="P621" s="2" t="s">
        <v>4</v>
      </c>
      <c r="Q621" s="20" t="s">
        <v>68</v>
      </c>
      <c r="R621" s="25" t="s">
        <v>69</v>
      </c>
      <c r="S621" s="41" t="s">
        <v>137</v>
      </c>
      <c r="T621" s="41"/>
      <c r="U621" s="31" t="s">
        <v>421</v>
      </c>
      <c r="V621" s="25" t="s">
        <v>3</v>
      </c>
      <c r="W621" s="25">
        <v>1</v>
      </c>
      <c r="X621" s="595">
        <v>5000</v>
      </c>
      <c r="Y621" s="619"/>
      <c r="Z621" s="2"/>
      <c r="AA621" s="2"/>
      <c r="AB621" s="620"/>
      <c r="AC621" s="25">
        <v>30</v>
      </c>
      <c r="AD621" s="25">
        <v>30</v>
      </c>
      <c r="AE621" s="619"/>
      <c r="AF621" s="2"/>
      <c r="AG621" s="2"/>
      <c r="AH621" s="2"/>
      <c r="AI621" s="2"/>
      <c r="AJ621" s="621"/>
      <c r="AK621" s="596">
        <v>10000</v>
      </c>
      <c r="AL621" s="29" t="s">
        <v>73</v>
      </c>
      <c r="AM621" s="29" t="s">
        <v>73</v>
      </c>
      <c r="AN621" s="29" t="s">
        <v>73</v>
      </c>
      <c r="AO621" s="29" t="s">
        <v>73</v>
      </c>
      <c r="AP621" s="478">
        <v>5000</v>
      </c>
      <c r="AQ621" s="478">
        <v>5000</v>
      </c>
      <c r="AR621" s="29" t="s">
        <v>73</v>
      </c>
      <c r="AS621" s="29" t="s">
        <v>73</v>
      </c>
      <c r="AT621" s="29" t="s">
        <v>73</v>
      </c>
      <c r="AU621" s="29" t="s">
        <v>73</v>
      </c>
      <c r="AV621" s="29" t="s">
        <v>73</v>
      </c>
      <c r="AW621" s="29" t="s">
        <v>73</v>
      </c>
      <c r="AX621" s="30">
        <v>10000</v>
      </c>
      <c r="AY621" s="479" t="s">
        <v>4</v>
      </c>
      <c r="AZ621" s="2" t="s">
        <v>74</v>
      </c>
      <c r="BA621" s="2"/>
      <c r="BK621" s="125" t="s">
        <v>790</v>
      </c>
      <c r="BL621" s="481" t="s">
        <v>791</v>
      </c>
      <c r="BM621" s="125"/>
      <c r="BN621" s="177" t="s">
        <v>2518</v>
      </c>
      <c r="BO621" s="125" t="s">
        <v>2519</v>
      </c>
      <c r="BP621" s="129">
        <v>46133</v>
      </c>
      <c r="BQ621" s="18"/>
      <c r="BR621" s="505" t="s">
        <v>2552</v>
      </c>
      <c r="BS621" s="18"/>
      <c r="BT621" s="945" t="s">
        <v>2521</v>
      </c>
      <c r="BU621" s="945" t="s">
        <v>2522</v>
      </c>
      <c r="BV621" s="125" t="s">
        <v>2553</v>
      </c>
      <c r="BW621" s="125" t="s">
        <v>2554</v>
      </c>
      <c r="BX621" s="125" t="s">
        <v>2555</v>
      </c>
      <c r="BY621" s="125">
        <v>25844628</v>
      </c>
      <c r="BZ621" s="125">
        <v>10258446289</v>
      </c>
      <c r="CA621" s="126">
        <v>5000</v>
      </c>
      <c r="CB621" s="128">
        <v>46143</v>
      </c>
      <c r="CC621" s="128">
        <v>46203</v>
      </c>
      <c r="CD621" s="759"/>
      <c r="CE621" s="177">
        <f t="shared" si="733"/>
        <v>30</v>
      </c>
      <c r="CF621" s="1019">
        <f t="shared" si="734"/>
        <v>5000</v>
      </c>
      <c r="CG621" s="177">
        <v>30</v>
      </c>
      <c r="CH621" s="1019">
        <f t="shared" si="735"/>
        <v>5000</v>
      </c>
      <c r="CI621" s="177">
        <v>30</v>
      </c>
      <c r="CJ621" s="1019">
        <f t="shared" si="736"/>
        <v>5000</v>
      </c>
      <c r="CK621" s="1019">
        <f>CF621-CH621</f>
        <v>0</v>
      </c>
      <c r="CL621" s="177">
        <f t="shared" si="738"/>
        <v>0</v>
      </c>
      <c r="CM621" s="1006"/>
      <c r="CN621" s="177">
        <f t="shared" si="739"/>
        <v>30</v>
      </c>
      <c r="CO621" s="1019">
        <f t="shared" si="740"/>
        <v>5000</v>
      </c>
      <c r="CP621" s="177">
        <v>30</v>
      </c>
      <c r="CQ621" s="1019">
        <f t="shared" si="741"/>
        <v>5000</v>
      </c>
      <c r="CR621" s="177">
        <v>30</v>
      </c>
      <c r="CS621" s="1019">
        <f t="shared" si="742"/>
        <v>5000</v>
      </c>
      <c r="CT621" s="177">
        <f t="shared" si="743"/>
        <v>0</v>
      </c>
      <c r="CU621" s="177">
        <f t="shared" si="744"/>
        <v>0</v>
      </c>
      <c r="CV621" s="1006"/>
      <c r="CW621" s="177">
        <f t="shared" si="745"/>
        <v>10000</v>
      </c>
      <c r="CX621" s="1019">
        <f t="shared" si="746"/>
        <v>10000</v>
      </c>
      <c r="CY621" s="177">
        <f t="shared" si="747"/>
        <v>10000</v>
      </c>
      <c r="CZ621" s="1019">
        <f t="shared" si="748"/>
        <v>0</v>
      </c>
      <c r="DA621" s="177">
        <f t="shared" si="749"/>
        <v>0</v>
      </c>
      <c r="DB621" s="126"/>
      <c r="DC621" s="125"/>
    </row>
    <row r="622" spans="1:107" ht="31.5" customHeight="1" x14ac:dyDescent="0.25">
      <c r="A622" s="19">
        <v>2026</v>
      </c>
      <c r="B622" s="46">
        <v>479</v>
      </c>
      <c r="C622" s="598" t="s">
        <v>64</v>
      </c>
      <c r="D622" s="598" t="s">
        <v>65</v>
      </c>
      <c r="E622" s="46">
        <v>125</v>
      </c>
      <c r="F622" s="46">
        <v>3000654</v>
      </c>
      <c r="G622" s="46">
        <v>5005023</v>
      </c>
      <c r="H622" s="46">
        <v>3</v>
      </c>
      <c r="I622" s="46">
        <v>12</v>
      </c>
      <c r="J622" s="46">
        <v>24</v>
      </c>
      <c r="K622" s="46">
        <v>135560</v>
      </c>
      <c r="L622" s="598" t="s">
        <v>98</v>
      </c>
      <c r="M622" s="45" t="s">
        <v>99</v>
      </c>
      <c r="N622" s="19">
        <v>94</v>
      </c>
      <c r="O622" s="2"/>
      <c r="P622" s="2" t="s">
        <v>4</v>
      </c>
      <c r="Q622" s="46" t="s">
        <v>68</v>
      </c>
      <c r="R622" s="49" t="s">
        <v>69</v>
      </c>
      <c r="S622" s="47" t="s">
        <v>137</v>
      </c>
      <c r="T622" s="47"/>
      <c r="U622" s="48" t="s">
        <v>422</v>
      </c>
      <c r="V622" s="49" t="s">
        <v>3</v>
      </c>
      <c r="W622" s="49">
        <v>1</v>
      </c>
      <c r="X622" s="599">
        <v>6000</v>
      </c>
      <c r="Y622" s="619"/>
      <c r="Z622" s="2"/>
      <c r="AA622" s="2"/>
      <c r="AB622" s="620"/>
      <c r="AC622" s="49">
        <v>30</v>
      </c>
      <c r="AD622" s="49">
        <v>30</v>
      </c>
      <c r="AE622" s="619"/>
      <c r="AF622" s="2"/>
      <c r="AG622" s="2"/>
      <c r="AH622" s="2"/>
      <c r="AI622" s="2"/>
      <c r="AJ622" s="621"/>
      <c r="AK622" s="600">
        <v>12000</v>
      </c>
      <c r="AL622" s="29" t="s">
        <v>73</v>
      </c>
      <c r="AM622" s="29" t="s">
        <v>73</v>
      </c>
      <c r="AN622" s="29" t="s">
        <v>73</v>
      </c>
      <c r="AO622" s="29" t="s">
        <v>73</v>
      </c>
      <c r="AP622" s="478">
        <v>6000</v>
      </c>
      <c r="AQ622" s="478">
        <v>6000</v>
      </c>
      <c r="AR622" s="29" t="s">
        <v>73</v>
      </c>
      <c r="AS622" s="29" t="s">
        <v>73</v>
      </c>
      <c r="AT622" s="29" t="s">
        <v>73</v>
      </c>
      <c r="AU622" s="29" t="s">
        <v>73</v>
      </c>
      <c r="AV622" s="29" t="s">
        <v>73</v>
      </c>
      <c r="AW622" s="29" t="s">
        <v>73</v>
      </c>
      <c r="AX622" s="30">
        <v>12000</v>
      </c>
      <c r="AY622" s="346" t="s">
        <v>4</v>
      </c>
      <c r="AZ622" s="2" t="s">
        <v>74</v>
      </c>
      <c r="BA622" s="2"/>
      <c r="BK622" s="147" t="s">
        <v>790</v>
      </c>
      <c r="BL622" s="481" t="s">
        <v>791</v>
      </c>
      <c r="BM622" s="125"/>
      <c r="BN622" s="177" t="s">
        <v>2518</v>
      </c>
      <c r="BO622" s="125" t="s">
        <v>2519</v>
      </c>
      <c r="BP622" s="129">
        <v>46133</v>
      </c>
      <c r="BQ622" s="18"/>
      <c r="BR622" s="505" t="s">
        <v>2556</v>
      </c>
      <c r="BS622" s="18"/>
      <c r="BT622" s="945" t="s">
        <v>2521</v>
      </c>
      <c r="BU622" s="945" t="s">
        <v>2522</v>
      </c>
      <c r="BV622" s="125" t="s">
        <v>2557</v>
      </c>
      <c r="BW622" s="125" t="s">
        <v>2558</v>
      </c>
      <c r="BX622" s="125" t="s">
        <v>904</v>
      </c>
      <c r="BY622" s="125">
        <v>46480250</v>
      </c>
      <c r="BZ622" s="125">
        <v>10464802504</v>
      </c>
      <c r="CA622" s="126">
        <v>6000</v>
      </c>
      <c r="CB622" s="128">
        <v>46143</v>
      </c>
      <c r="CC622" s="128">
        <v>46203</v>
      </c>
      <c r="CD622" s="759"/>
      <c r="CE622" s="177">
        <f t="shared" si="733"/>
        <v>30</v>
      </c>
      <c r="CF622" s="1019">
        <f t="shared" si="734"/>
        <v>6000</v>
      </c>
      <c r="CG622" s="177">
        <v>30</v>
      </c>
      <c r="CH622" s="1019">
        <f t="shared" si="735"/>
        <v>6000</v>
      </c>
      <c r="CI622" s="177">
        <v>30</v>
      </c>
      <c r="CJ622" s="1019">
        <f t="shared" si="736"/>
        <v>6000</v>
      </c>
      <c r="CK622" s="177">
        <f t="shared" si="737"/>
        <v>0</v>
      </c>
      <c r="CL622" s="177">
        <f t="shared" si="738"/>
        <v>0</v>
      </c>
      <c r="CM622" s="1006"/>
      <c r="CN622" s="177">
        <f t="shared" si="739"/>
        <v>30</v>
      </c>
      <c r="CO622" s="1019">
        <f>AQ622</f>
        <v>6000</v>
      </c>
      <c r="CP622" s="177">
        <v>30</v>
      </c>
      <c r="CQ622" s="1019">
        <f t="shared" si="741"/>
        <v>6000</v>
      </c>
      <c r="CR622" s="177">
        <v>30</v>
      </c>
      <c r="CS622" s="1019">
        <f t="shared" si="742"/>
        <v>6000</v>
      </c>
      <c r="CT622" s="177">
        <f t="shared" si="743"/>
        <v>0</v>
      </c>
      <c r="CU622" s="177">
        <f t="shared" si="744"/>
        <v>0</v>
      </c>
      <c r="CV622" s="1006"/>
      <c r="CW622" s="177">
        <f t="shared" si="745"/>
        <v>12000</v>
      </c>
      <c r="CX622" s="1019">
        <f t="shared" si="746"/>
        <v>12000</v>
      </c>
      <c r="CY622" s="177">
        <f t="shared" si="747"/>
        <v>12000</v>
      </c>
      <c r="CZ622" s="1019">
        <f t="shared" si="748"/>
        <v>0</v>
      </c>
      <c r="DA622" s="177">
        <f t="shared" si="749"/>
        <v>0</v>
      </c>
      <c r="DB622" s="126"/>
      <c r="DC622" s="125"/>
    </row>
    <row r="623" spans="1:107" ht="43.5" hidden="1" customHeight="1" x14ac:dyDescent="0.25">
      <c r="A623" s="19">
        <v>2026</v>
      </c>
      <c r="B623" s="20">
        <v>479</v>
      </c>
      <c r="C623" s="21" t="s">
        <v>64</v>
      </c>
      <c r="D623" s="21" t="s">
        <v>65</v>
      </c>
      <c r="E623" s="20">
        <v>125</v>
      </c>
      <c r="F623" s="20">
        <v>3000654</v>
      </c>
      <c r="G623" s="20">
        <v>5005023</v>
      </c>
      <c r="H623" s="20">
        <v>3</v>
      </c>
      <c r="I623" s="20">
        <v>12</v>
      </c>
      <c r="J623" s="20">
        <v>24</v>
      </c>
      <c r="K623" s="20">
        <v>135560</v>
      </c>
      <c r="L623" s="21" t="s">
        <v>98</v>
      </c>
      <c r="M623" s="33" t="s">
        <v>99</v>
      </c>
      <c r="N623" s="19">
        <v>94</v>
      </c>
      <c r="O623" s="2"/>
      <c r="P623" s="2" t="s">
        <v>4</v>
      </c>
      <c r="Q623" s="20" t="s">
        <v>68</v>
      </c>
      <c r="R623" s="25" t="s">
        <v>69</v>
      </c>
      <c r="S623" s="25" t="s">
        <v>137</v>
      </c>
      <c r="T623" s="25"/>
      <c r="U623" s="33" t="s">
        <v>2559</v>
      </c>
      <c r="V623" s="25" t="s">
        <v>3</v>
      </c>
      <c r="W623" s="121">
        <v>1</v>
      </c>
      <c r="X623" s="595">
        <v>6500</v>
      </c>
      <c r="Y623" s="2"/>
      <c r="Z623" s="2"/>
      <c r="AA623" s="2"/>
      <c r="AB623" s="2"/>
      <c r="AC623" s="25">
        <v>30</v>
      </c>
      <c r="AD623" s="25">
        <v>30</v>
      </c>
      <c r="AE623" s="2"/>
      <c r="AF623" s="2"/>
      <c r="AG623" s="2"/>
      <c r="AH623" s="2"/>
      <c r="AI623" s="2"/>
      <c r="AJ623" s="2"/>
      <c r="AK623" s="741">
        <v>13000</v>
      </c>
      <c r="AL623" s="29"/>
      <c r="AM623" s="29"/>
      <c r="AN623" s="29"/>
      <c r="AO623" s="29"/>
      <c r="AP623" s="478">
        <v>6500</v>
      </c>
      <c r="AQ623" s="478">
        <v>6500</v>
      </c>
      <c r="AR623" s="29"/>
      <c r="AS623" s="29"/>
      <c r="AT623" s="29"/>
      <c r="AU623" s="29"/>
      <c r="AV623" s="29"/>
      <c r="AW623" s="29"/>
      <c r="AX623" s="742">
        <v>13000</v>
      </c>
      <c r="AY623" s="597" t="s">
        <v>5</v>
      </c>
      <c r="AZ623" s="2"/>
      <c r="BA623" s="2"/>
      <c r="BC623" s="504" t="s">
        <v>1638</v>
      </c>
      <c r="BK623" s="147" t="s">
        <v>790</v>
      </c>
      <c r="BL623" s="481" t="s">
        <v>791</v>
      </c>
      <c r="BM623" s="284" t="s">
        <v>1611</v>
      </c>
      <c r="BN623" s="177" t="s">
        <v>1612</v>
      </c>
      <c r="BO623" s="125" t="s">
        <v>1613</v>
      </c>
      <c r="BP623" s="129">
        <v>46135</v>
      </c>
      <c r="BQ623" s="18"/>
      <c r="BR623" s="505" t="s">
        <v>2560</v>
      </c>
      <c r="BS623" s="18"/>
      <c r="BT623" s="656" t="s">
        <v>1567</v>
      </c>
      <c r="BU623" s="946" t="s">
        <v>1568</v>
      </c>
      <c r="BV623" s="566" t="s">
        <v>2561</v>
      </c>
      <c r="BW623" s="566" t="s">
        <v>902</v>
      </c>
      <c r="BX623" s="566" t="s">
        <v>2562</v>
      </c>
      <c r="BY623" s="566">
        <v>47532113</v>
      </c>
      <c r="BZ623" s="125"/>
      <c r="CA623" s="622">
        <v>6500</v>
      </c>
      <c r="CB623" s="183">
        <v>46143</v>
      </c>
      <c r="CC623" s="183">
        <v>46203</v>
      </c>
      <c r="CD623" s="759"/>
      <c r="CE623" s="177">
        <f t="shared" si="733"/>
        <v>30</v>
      </c>
      <c r="CF623" s="1019">
        <f>AP623</f>
        <v>6500</v>
      </c>
      <c r="CG623" s="177">
        <v>30</v>
      </c>
      <c r="CH623" s="1019">
        <v>6500</v>
      </c>
      <c r="CI623" s="177">
        <v>30</v>
      </c>
      <c r="CJ623" s="1019">
        <v>6500</v>
      </c>
      <c r="CK623" s="177">
        <f t="shared" si="737"/>
        <v>0</v>
      </c>
      <c r="CL623" s="177">
        <f t="shared" si="738"/>
        <v>0</v>
      </c>
      <c r="CM623" s="1006"/>
      <c r="CN623" s="177">
        <f t="shared" si="739"/>
        <v>30</v>
      </c>
      <c r="CO623" s="1053">
        <v>6500</v>
      </c>
      <c r="CP623" s="177">
        <v>30</v>
      </c>
      <c r="CQ623" s="1019">
        <f t="shared" si="741"/>
        <v>6500</v>
      </c>
      <c r="CR623" s="1032">
        <v>30</v>
      </c>
      <c r="CS623" s="1019">
        <f t="shared" si="742"/>
        <v>6500</v>
      </c>
      <c r="CT623" s="1032">
        <v>0</v>
      </c>
      <c r="CU623" s="1032">
        <v>0</v>
      </c>
      <c r="CV623" s="1006"/>
      <c r="CW623" s="177">
        <f t="shared" si="745"/>
        <v>13000</v>
      </c>
      <c r="CX623" s="1019">
        <f t="shared" si="746"/>
        <v>13000</v>
      </c>
      <c r="CY623" s="177">
        <f t="shared" si="747"/>
        <v>13000</v>
      </c>
      <c r="CZ623" s="1019">
        <f t="shared" si="748"/>
        <v>0</v>
      </c>
      <c r="DA623" s="177">
        <f t="shared" si="749"/>
        <v>0</v>
      </c>
      <c r="DB623" s="126"/>
      <c r="DC623" s="125"/>
    </row>
    <row r="624" spans="1:107" ht="43.5" hidden="1" customHeight="1" x14ac:dyDescent="0.25">
      <c r="A624" s="19">
        <v>2026</v>
      </c>
      <c r="B624" s="20">
        <v>479</v>
      </c>
      <c r="C624" s="21" t="s">
        <v>64</v>
      </c>
      <c r="D624" s="21" t="s">
        <v>65</v>
      </c>
      <c r="E624" s="20">
        <v>125</v>
      </c>
      <c r="F624" s="20">
        <v>3000654</v>
      </c>
      <c r="G624" s="20">
        <v>5005023</v>
      </c>
      <c r="H624" s="20">
        <v>3</v>
      </c>
      <c r="I624" s="20">
        <v>12</v>
      </c>
      <c r="J624" s="20">
        <v>24</v>
      </c>
      <c r="K624" s="20">
        <v>135560</v>
      </c>
      <c r="L624" s="21" t="s">
        <v>98</v>
      </c>
      <c r="M624" s="33" t="s">
        <v>99</v>
      </c>
      <c r="N624" s="19">
        <v>94</v>
      </c>
      <c r="O624" s="2"/>
      <c r="P624" s="2" t="s">
        <v>4</v>
      </c>
      <c r="Q624" s="20" t="s">
        <v>68</v>
      </c>
      <c r="R624" s="25" t="s">
        <v>69</v>
      </c>
      <c r="S624" s="25" t="s">
        <v>137</v>
      </c>
      <c r="T624" s="49"/>
      <c r="U624" s="33" t="s">
        <v>2559</v>
      </c>
      <c r="V624" s="25" t="s">
        <v>3</v>
      </c>
      <c r="W624" s="121">
        <v>1</v>
      </c>
      <c r="X624" s="595">
        <v>6500</v>
      </c>
      <c r="Y624" s="2"/>
      <c r="Z624" s="2"/>
      <c r="AA624" s="2"/>
      <c r="AB624" s="2"/>
      <c r="AC624" s="25">
        <v>30</v>
      </c>
      <c r="AD624" s="25">
        <v>30</v>
      </c>
      <c r="AE624" s="2"/>
      <c r="AF624" s="2"/>
      <c r="AG624" s="2"/>
      <c r="AH624" s="2"/>
      <c r="AI624" s="2"/>
      <c r="AJ624" s="2"/>
      <c r="AK624" s="741">
        <v>13000</v>
      </c>
      <c r="AL624" s="29"/>
      <c r="AM624" s="29"/>
      <c r="AN624" s="29"/>
      <c r="AO624" s="29"/>
      <c r="AP624" s="478">
        <v>6500</v>
      </c>
      <c r="AQ624" s="478">
        <v>6500</v>
      </c>
      <c r="AR624" s="29"/>
      <c r="AS624" s="29"/>
      <c r="AT624" s="29"/>
      <c r="AU624" s="29"/>
      <c r="AV624" s="29"/>
      <c r="AW624" s="29"/>
      <c r="AX624" s="742">
        <v>13000</v>
      </c>
      <c r="AY624" s="597" t="s">
        <v>5</v>
      </c>
      <c r="AZ624" s="2"/>
      <c r="BA624" s="2"/>
      <c r="BC624" s="504" t="s">
        <v>1638</v>
      </c>
      <c r="BK624" s="147" t="s">
        <v>790</v>
      </c>
      <c r="BL624" s="481" t="s">
        <v>791</v>
      </c>
      <c r="BM624" s="284" t="s">
        <v>1698</v>
      </c>
      <c r="BN624" s="414" t="s">
        <v>1699</v>
      </c>
      <c r="BO624" s="284" t="s">
        <v>1700</v>
      </c>
      <c r="BP624" s="129">
        <v>46135</v>
      </c>
      <c r="BQ624" s="66"/>
      <c r="BR624" s="505" t="s">
        <v>2563</v>
      </c>
      <c r="BS624" s="66"/>
      <c r="BT624" s="656" t="s">
        <v>1567</v>
      </c>
      <c r="BU624" s="946" t="s">
        <v>1568</v>
      </c>
      <c r="BV624" s="566" t="s">
        <v>1035</v>
      </c>
      <c r="BW624" s="566" t="s">
        <v>830</v>
      </c>
      <c r="BX624" s="566" t="s">
        <v>2564</v>
      </c>
      <c r="BY624" s="566">
        <v>43711999</v>
      </c>
      <c r="BZ624" s="743"/>
      <c r="CA624" s="622">
        <v>6500</v>
      </c>
      <c r="CB624" s="183">
        <v>46143</v>
      </c>
      <c r="CC624" s="183">
        <v>46203</v>
      </c>
      <c r="CD624" s="759"/>
      <c r="CE624" s="1054">
        <v>30</v>
      </c>
      <c r="CF624" s="1019">
        <v>6500</v>
      </c>
      <c r="CG624" s="1054">
        <v>30</v>
      </c>
      <c r="CH624" s="1019">
        <v>6500</v>
      </c>
      <c r="CI624" s="1054">
        <v>30</v>
      </c>
      <c r="CJ624" s="1019">
        <v>6500</v>
      </c>
      <c r="CK624" s="177">
        <f t="shared" ref="CK624:CL633" si="750">CF624-CH624</f>
        <v>0</v>
      </c>
      <c r="CL624" s="177">
        <f t="shared" ref="CL624:CL631" si="751">CF624-CJ624</f>
        <v>0</v>
      </c>
      <c r="CM624" s="1006"/>
      <c r="CN624" s="1054">
        <v>30</v>
      </c>
      <c r="CO624" s="1053">
        <v>6500</v>
      </c>
      <c r="CP624" s="177">
        <v>30</v>
      </c>
      <c r="CQ624" s="1019">
        <f t="shared" ref="CQ624:CQ632" si="752">(X624/30)*CP624</f>
        <v>6500</v>
      </c>
      <c r="CR624" s="1032">
        <v>30</v>
      </c>
      <c r="CS624" s="1019">
        <f t="shared" ref="CS624:CS632" si="753">(X624/30)*CR624</f>
        <v>6500</v>
      </c>
      <c r="CT624" s="1032">
        <v>0</v>
      </c>
      <c r="CU624" s="1032">
        <v>0</v>
      </c>
      <c r="CV624" s="1006"/>
      <c r="CW624" s="177">
        <f t="shared" si="745"/>
        <v>13000</v>
      </c>
      <c r="CX624" s="1019">
        <f t="shared" si="746"/>
        <v>13000</v>
      </c>
      <c r="CY624" s="177">
        <f t="shared" si="747"/>
        <v>13000</v>
      </c>
      <c r="CZ624" s="1019">
        <f t="shared" si="748"/>
        <v>0</v>
      </c>
      <c r="DA624" s="177">
        <f t="shared" si="749"/>
        <v>0</v>
      </c>
      <c r="DB624" s="126"/>
      <c r="DC624" s="125"/>
    </row>
    <row r="625" spans="1:108" ht="67.5" hidden="1" customHeight="1" x14ac:dyDescent="0.25">
      <c r="A625" s="19">
        <v>2026</v>
      </c>
      <c r="B625" s="46">
        <v>479</v>
      </c>
      <c r="C625" s="598" t="s">
        <v>64</v>
      </c>
      <c r="D625" s="598" t="s">
        <v>65</v>
      </c>
      <c r="E625" s="46">
        <v>125</v>
      </c>
      <c r="F625" s="46">
        <v>3000654</v>
      </c>
      <c r="G625" s="46">
        <v>5005023</v>
      </c>
      <c r="H625" s="46">
        <v>3</v>
      </c>
      <c r="I625" s="46">
        <v>12</v>
      </c>
      <c r="J625" s="46">
        <v>24</v>
      </c>
      <c r="K625" s="46">
        <v>135560</v>
      </c>
      <c r="L625" s="598" t="s">
        <v>98</v>
      </c>
      <c r="M625" s="45" t="s">
        <v>99</v>
      </c>
      <c r="N625" s="19">
        <v>94</v>
      </c>
      <c r="O625" s="2"/>
      <c r="P625" s="2" t="s">
        <v>4</v>
      </c>
      <c r="Q625" s="46" t="s">
        <v>68</v>
      </c>
      <c r="R625" s="49" t="s">
        <v>69</v>
      </c>
      <c r="S625" s="49" t="s">
        <v>137</v>
      </c>
      <c r="T625" s="49"/>
      <c r="U625" s="45" t="s">
        <v>2565</v>
      </c>
      <c r="V625" s="49" t="s">
        <v>3</v>
      </c>
      <c r="W625" s="121">
        <v>1</v>
      </c>
      <c r="X625" s="599">
        <v>6500</v>
      </c>
      <c r="Y625" s="2"/>
      <c r="Z625" s="2"/>
      <c r="AA625" s="2"/>
      <c r="AB625" s="2"/>
      <c r="AC625" s="49">
        <v>30</v>
      </c>
      <c r="AD625" s="49">
        <v>30</v>
      </c>
      <c r="AE625" s="2"/>
      <c r="AF625" s="2"/>
      <c r="AG625" s="2"/>
      <c r="AH625" s="2"/>
      <c r="AI625" s="2"/>
      <c r="AJ625" s="2"/>
      <c r="AK625" s="19">
        <v>13000</v>
      </c>
      <c r="AL625" s="29"/>
      <c r="AM625" s="29"/>
      <c r="AN625" s="29"/>
      <c r="AO625" s="29"/>
      <c r="AP625" s="478">
        <v>6500</v>
      </c>
      <c r="AQ625" s="478">
        <v>6500</v>
      </c>
      <c r="AR625" s="29"/>
      <c r="AS625" s="29"/>
      <c r="AT625" s="29"/>
      <c r="AU625" s="29"/>
      <c r="AV625" s="29"/>
      <c r="AW625" s="29"/>
      <c r="AX625" s="30">
        <v>13000</v>
      </c>
      <c r="AY625" s="601" t="s">
        <v>5</v>
      </c>
      <c r="AZ625" s="2"/>
      <c r="BA625" s="2"/>
      <c r="BC625" s="504" t="s">
        <v>1638</v>
      </c>
      <c r="BK625" s="147" t="s">
        <v>790</v>
      </c>
      <c r="BL625" s="481" t="s">
        <v>791</v>
      </c>
      <c r="BM625" s="284" t="s">
        <v>1574</v>
      </c>
      <c r="BN625" s="177" t="s">
        <v>1575</v>
      </c>
      <c r="BO625" s="125" t="s">
        <v>1576</v>
      </c>
      <c r="BP625" s="602">
        <v>46135</v>
      </c>
      <c r="BQ625" s="66"/>
      <c r="BR625" s="287">
        <v>3243</v>
      </c>
      <c r="BS625" s="66"/>
      <c r="BT625" s="656" t="s">
        <v>1567</v>
      </c>
      <c r="BU625" s="946" t="s">
        <v>1568</v>
      </c>
      <c r="BV625" s="566" t="s">
        <v>2566</v>
      </c>
      <c r="BW625" s="566" t="s">
        <v>2567</v>
      </c>
      <c r="BX625" s="566" t="s">
        <v>2568</v>
      </c>
      <c r="BY625" s="284">
        <v>76970393</v>
      </c>
      <c r="BZ625" s="744"/>
      <c r="CA625" s="126">
        <v>6500</v>
      </c>
      <c r="CB625" s="128">
        <v>46144</v>
      </c>
      <c r="CC625" s="128">
        <v>46203</v>
      </c>
      <c r="CD625" s="759"/>
      <c r="CE625" s="1054">
        <v>30</v>
      </c>
      <c r="CF625" s="1019">
        <f t="shared" ref="CF625:CF632" si="754">AP625</f>
        <v>6500</v>
      </c>
      <c r="CG625" s="1054">
        <v>30</v>
      </c>
      <c r="CH625" s="1019">
        <f t="shared" ref="CH625:CH632" si="755">(X625/30)*CG625</f>
        <v>6500</v>
      </c>
      <c r="CI625" s="1054">
        <v>30</v>
      </c>
      <c r="CJ625" s="1019">
        <f t="shared" ref="CJ625:CJ632" si="756">(X625/30)*CI625</f>
        <v>6500</v>
      </c>
      <c r="CK625" s="177">
        <f t="shared" si="750"/>
        <v>0</v>
      </c>
      <c r="CL625" s="177">
        <f t="shared" si="751"/>
        <v>0</v>
      </c>
      <c r="CM625" s="1006"/>
      <c r="CN625" s="1054">
        <v>30</v>
      </c>
      <c r="CO625" s="1053">
        <v>6500</v>
      </c>
      <c r="CP625" s="177">
        <v>30</v>
      </c>
      <c r="CQ625" s="1019">
        <f t="shared" si="752"/>
        <v>6500</v>
      </c>
      <c r="CR625" s="177">
        <v>30</v>
      </c>
      <c r="CS625" s="1019">
        <f t="shared" si="753"/>
        <v>6500</v>
      </c>
      <c r="CT625" s="1032">
        <v>0</v>
      </c>
      <c r="CU625" s="1032">
        <v>0</v>
      </c>
      <c r="CV625" s="1006"/>
      <c r="CW625" s="177">
        <f t="shared" si="745"/>
        <v>13000</v>
      </c>
      <c r="CX625" s="1019">
        <f t="shared" si="746"/>
        <v>13000</v>
      </c>
      <c r="CY625" s="177">
        <f t="shared" si="747"/>
        <v>13000</v>
      </c>
      <c r="CZ625" s="1019">
        <f t="shared" si="748"/>
        <v>0</v>
      </c>
      <c r="DA625" s="177">
        <f t="shared" si="749"/>
        <v>0</v>
      </c>
      <c r="DB625" s="126"/>
      <c r="DC625" s="125"/>
    </row>
    <row r="626" spans="1:108" ht="67.5" hidden="1" customHeight="1" x14ac:dyDescent="0.25">
      <c r="A626" s="19">
        <v>2026</v>
      </c>
      <c r="B626" s="46">
        <v>479</v>
      </c>
      <c r="C626" s="598" t="s">
        <v>64</v>
      </c>
      <c r="D626" s="598" t="s">
        <v>65</v>
      </c>
      <c r="E626" s="46">
        <v>125</v>
      </c>
      <c r="F626" s="46">
        <v>3000654</v>
      </c>
      <c r="G626" s="46">
        <v>5005023</v>
      </c>
      <c r="H626" s="46">
        <v>3</v>
      </c>
      <c r="I626" s="46">
        <v>12</v>
      </c>
      <c r="J626" s="46">
        <v>24</v>
      </c>
      <c r="K626" s="46">
        <v>135560</v>
      </c>
      <c r="L626" s="598" t="s">
        <v>98</v>
      </c>
      <c r="M626" s="45" t="s">
        <v>99</v>
      </c>
      <c r="N626" s="19">
        <v>94</v>
      </c>
      <c r="O626" s="2"/>
      <c r="P626" s="2" t="s">
        <v>4</v>
      </c>
      <c r="Q626" s="46" t="s">
        <v>68</v>
      </c>
      <c r="R626" s="49" t="s">
        <v>69</v>
      </c>
      <c r="S626" s="49" t="s">
        <v>137</v>
      </c>
      <c r="T626" s="49"/>
      <c r="U626" s="45" t="s">
        <v>2565</v>
      </c>
      <c r="V626" s="49" t="s">
        <v>3</v>
      </c>
      <c r="W626" s="121">
        <v>1</v>
      </c>
      <c r="X626" s="599">
        <v>6500</v>
      </c>
      <c r="Y626" s="2"/>
      <c r="Z626" s="2"/>
      <c r="AA626" s="2"/>
      <c r="AB626" s="2"/>
      <c r="AC626" s="49">
        <v>30</v>
      </c>
      <c r="AD626" s="49">
        <v>30</v>
      </c>
      <c r="AE626" s="2"/>
      <c r="AF626" s="2"/>
      <c r="AG626" s="2"/>
      <c r="AH626" s="2"/>
      <c r="AI626" s="2"/>
      <c r="AJ626" s="2"/>
      <c r="AK626" s="19">
        <v>13000</v>
      </c>
      <c r="AL626" s="29"/>
      <c r="AM626" s="29"/>
      <c r="AN626" s="29"/>
      <c r="AO626" s="29"/>
      <c r="AP626" s="478">
        <v>6500</v>
      </c>
      <c r="AQ626" s="478">
        <v>6500</v>
      </c>
      <c r="AR626" s="29"/>
      <c r="AS626" s="29"/>
      <c r="AT626" s="29"/>
      <c r="AU626" s="29"/>
      <c r="AV626" s="29"/>
      <c r="AW626" s="29"/>
      <c r="AX626" s="30">
        <v>13000</v>
      </c>
      <c r="AY626" s="601" t="s">
        <v>5</v>
      </c>
      <c r="AZ626" s="2"/>
      <c r="BA626" s="2"/>
      <c r="BC626" s="504" t="s">
        <v>1638</v>
      </c>
      <c r="BK626" s="147" t="s">
        <v>790</v>
      </c>
      <c r="BL626" s="481" t="s">
        <v>791</v>
      </c>
      <c r="BM626" s="284" t="s">
        <v>1574</v>
      </c>
      <c r="BN626" s="177" t="s">
        <v>1575</v>
      </c>
      <c r="BO626" s="125" t="s">
        <v>1576</v>
      </c>
      <c r="BP626" s="602">
        <v>46135</v>
      </c>
      <c r="BQ626" s="66"/>
      <c r="BR626" s="287">
        <v>3244</v>
      </c>
      <c r="BS626" s="66"/>
      <c r="BT626" s="656" t="s">
        <v>1567</v>
      </c>
      <c r="BU626" s="946" t="s">
        <v>1568</v>
      </c>
      <c r="BV626" s="566" t="s">
        <v>2569</v>
      </c>
      <c r="BW626" s="566" t="s">
        <v>2570</v>
      </c>
      <c r="BX626" s="566" t="s">
        <v>2106</v>
      </c>
      <c r="BY626" s="284">
        <v>46707555</v>
      </c>
      <c r="BZ626" s="744"/>
      <c r="CA626" s="126">
        <v>6500</v>
      </c>
      <c r="CB626" s="128">
        <v>46144</v>
      </c>
      <c r="CC626" s="128">
        <v>46203</v>
      </c>
      <c r="CD626" s="759"/>
      <c r="CE626" s="1054">
        <v>30</v>
      </c>
      <c r="CF626" s="1019">
        <f t="shared" si="754"/>
        <v>6500</v>
      </c>
      <c r="CG626" s="1054">
        <v>30</v>
      </c>
      <c r="CH626" s="1019">
        <f t="shared" si="755"/>
        <v>6500</v>
      </c>
      <c r="CI626" s="1054">
        <v>30</v>
      </c>
      <c r="CJ626" s="1019">
        <f t="shared" si="756"/>
        <v>6500</v>
      </c>
      <c r="CK626" s="177">
        <f t="shared" si="750"/>
        <v>0</v>
      </c>
      <c r="CL626" s="177">
        <f t="shared" si="751"/>
        <v>0</v>
      </c>
      <c r="CM626" s="1006"/>
      <c r="CN626" s="1054">
        <v>30</v>
      </c>
      <c r="CO626" s="1053">
        <v>6500</v>
      </c>
      <c r="CP626" s="177">
        <v>30</v>
      </c>
      <c r="CQ626" s="1019">
        <f t="shared" si="752"/>
        <v>6500</v>
      </c>
      <c r="CR626" s="177">
        <v>30</v>
      </c>
      <c r="CS626" s="1019">
        <f t="shared" si="753"/>
        <v>6500</v>
      </c>
      <c r="CT626" s="1032">
        <v>0</v>
      </c>
      <c r="CU626" s="1032">
        <v>0</v>
      </c>
      <c r="CV626" s="1006"/>
      <c r="CW626" s="177">
        <f t="shared" si="745"/>
        <v>13000</v>
      </c>
      <c r="CX626" s="1019">
        <f t="shared" si="746"/>
        <v>13000</v>
      </c>
      <c r="CY626" s="177">
        <f t="shared" si="747"/>
        <v>13000</v>
      </c>
      <c r="CZ626" s="1019">
        <f t="shared" si="748"/>
        <v>0</v>
      </c>
      <c r="DA626" s="177">
        <f t="shared" si="749"/>
        <v>0</v>
      </c>
      <c r="DB626" s="126"/>
      <c r="DC626" s="125"/>
    </row>
    <row r="627" spans="1:108" ht="67.5" hidden="1" customHeight="1" x14ac:dyDescent="0.25">
      <c r="A627" s="19">
        <v>2026</v>
      </c>
      <c r="B627" s="46">
        <v>479</v>
      </c>
      <c r="C627" s="598" t="s">
        <v>64</v>
      </c>
      <c r="D627" s="598" t="s">
        <v>65</v>
      </c>
      <c r="E627" s="46">
        <v>125</v>
      </c>
      <c r="F627" s="46">
        <v>3000654</v>
      </c>
      <c r="G627" s="46">
        <v>5005023</v>
      </c>
      <c r="H627" s="46">
        <v>3</v>
      </c>
      <c r="I627" s="46">
        <v>12</v>
      </c>
      <c r="J627" s="46">
        <v>24</v>
      </c>
      <c r="K627" s="46">
        <v>135560</v>
      </c>
      <c r="L627" s="598" t="s">
        <v>98</v>
      </c>
      <c r="M627" s="45" t="s">
        <v>99</v>
      </c>
      <c r="N627" s="19">
        <v>94</v>
      </c>
      <c r="O627" s="2"/>
      <c r="P627" s="2" t="s">
        <v>4</v>
      </c>
      <c r="Q627" s="46" t="s">
        <v>68</v>
      </c>
      <c r="R627" s="49" t="s">
        <v>69</v>
      </c>
      <c r="S627" s="49" t="s">
        <v>137</v>
      </c>
      <c r="T627" s="49"/>
      <c r="U627" s="45" t="s">
        <v>2565</v>
      </c>
      <c r="V627" s="49" t="s">
        <v>3</v>
      </c>
      <c r="W627" s="121">
        <v>1</v>
      </c>
      <c r="X627" s="599">
        <v>6500</v>
      </c>
      <c r="Y627" s="2"/>
      <c r="Z627" s="2"/>
      <c r="AA627" s="2"/>
      <c r="AB627" s="2"/>
      <c r="AC627" s="49">
        <v>30</v>
      </c>
      <c r="AD627" s="49">
        <v>30</v>
      </c>
      <c r="AE627" s="2"/>
      <c r="AF627" s="2"/>
      <c r="AG627" s="2"/>
      <c r="AH627" s="2"/>
      <c r="AI627" s="2"/>
      <c r="AJ627" s="2"/>
      <c r="AK627" s="19">
        <v>13000</v>
      </c>
      <c r="AL627" s="29"/>
      <c r="AM627" s="29"/>
      <c r="AN627" s="29"/>
      <c r="AO627" s="29"/>
      <c r="AP627" s="478">
        <v>6500</v>
      </c>
      <c r="AQ627" s="478">
        <v>6500</v>
      </c>
      <c r="AR627" s="29"/>
      <c r="AS627" s="29"/>
      <c r="AT627" s="29"/>
      <c r="AU627" s="29"/>
      <c r="AV627" s="29"/>
      <c r="AW627" s="29"/>
      <c r="AX627" s="30">
        <v>13000</v>
      </c>
      <c r="AY627" s="601" t="s">
        <v>5</v>
      </c>
      <c r="AZ627" s="2"/>
      <c r="BA627" s="2"/>
      <c r="BC627" s="504" t="s">
        <v>1638</v>
      </c>
      <c r="BK627" s="147" t="s">
        <v>790</v>
      </c>
      <c r="BL627" s="481" t="s">
        <v>791</v>
      </c>
      <c r="BM627" s="284" t="s">
        <v>1574</v>
      </c>
      <c r="BN627" s="177" t="s">
        <v>1575</v>
      </c>
      <c r="BO627" s="125" t="s">
        <v>1576</v>
      </c>
      <c r="BP627" s="602">
        <v>46135</v>
      </c>
      <c r="BQ627" s="66"/>
      <c r="BR627" s="287">
        <v>3245</v>
      </c>
      <c r="BS627" s="66"/>
      <c r="BT627" s="656" t="s">
        <v>1567</v>
      </c>
      <c r="BU627" s="946" t="s">
        <v>1568</v>
      </c>
      <c r="BV627" s="566" t="s">
        <v>848</v>
      </c>
      <c r="BW627" s="566" t="s">
        <v>1188</v>
      </c>
      <c r="BX627" s="566" t="s">
        <v>2571</v>
      </c>
      <c r="BY627" s="284">
        <v>45112144</v>
      </c>
      <c r="BZ627" s="744"/>
      <c r="CA627" s="126">
        <v>6500</v>
      </c>
      <c r="CB627" s="128">
        <v>46144</v>
      </c>
      <c r="CC627" s="128">
        <v>46203</v>
      </c>
      <c r="CD627" s="759"/>
      <c r="CE627" s="1054">
        <v>30</v>
      </c>
      <c r="CF627" s="1019">
        <f t="shared" si="754"/>
        <v>6500</v>
      </c>
      <c r="CG627" s="1054">
        <v>30</v>
      </c>
      <c r="CH627" s="1019">
        <f t="shared" si="755"/>
        <v>6500</v>
      </c>
      <c r="CI627" s="1054">
        <v>30</v>
      </c>
      <c r="CJ627" s="1019">
        <f t="shared" si="756"/>
        <v>6500</v>
      </c>
      <c r="CK627" s="177">
        <f t="shared" si="750"/>
        <v>0</v>
      </c>
      <c r="CL627" s="177">
        <f t="shared" si="751"/>
        <v>0</v>
      </c>
      <c r="CM627" s="1006"/>
      <c r="CN627" s="1054">
        <v>30</v>
      </c>
      <c r="CO627" s="1053">
        <v>6500</v>
      </c>
      <c r="CP627" s="177">
        <v>30</v>
      </c>
      <c r="CQ627" s="1019">
        <f t="shared" si="752"/>
        <v>6500</v>
      </c>
      <c r="CR627" s="177">
        <v>30</v>
      </c>
      <c r="CS627" s="1019">
        <f t="shared" si="753"/>
        <v>6500</v>
      </c>
      <c r="CT627" s="1032">
        <v>0</v>
      </c>
      <c r="CU627" s="1032">
        <v>0</v>
      </c>
      <c r="CV627" s="1006"/>
      <c r="CW627" s="177">
        <f t="shared" si="745"/>
        <v>13000</v>
      </c>
      <c r="CX627" s="1019">
        <f t="shared" si="746"/>
        <v>13000</v>
      </c>
      <c r="CY627" s="177">
        <f t="shared" si="747"/>
        <v>13000</v>
      </c>
      <c r="CZ627" s="1019">
        <f t="shared" si="748"/>
        <v>0</v>
      </c>
      <c r="DA627" s="177">
        <f t="shared" si="749"/>
        <v>0</v>
      </c>
      <c r="DB627" s="126"/>
      <c r="DC627" s="125"/>
    </row>
    <row r="628" spans="1:108" ht="67.5" hidden="1" customHeight="1" x14ac:dyDescent="0.25">
      <c r="A628" s="19">
        <v>2026</v>
      </c>
      <c r="B628" s="46">
        <v>479</v>
      </c>
      <c r="C628" s="598" t="s">
        <v>64</v>
      </c>
      <c r="D628" s="598" t="s">
        <v>65</v>
      </c>
      <c r="E628" s="46">
        <v>125</v>
      </c>
      <c r="F628" s="46">
        <v>3000654</v>
      </c>
      <c r="G628" s="46">
        <v>5005023</v>
      </c>
      <c r="H628" s="46">
        <v>3</v>
      </c>
      <c r="I628" s="46">
        <v>12</v>
      </c>
      <c r="J628" s="46">
        <v>24</v>
      </c>
      <c r="K628" s="46">
        <v>135560</v>
      </c>
      <c r="L628" s="598" t="s">
        <v>98</v>
      </c>
      <c r="M628" s="45" t="s">
        <v>99</v>
      </c>
      <c r="N628" s="19">
        <v>94</v>
      </c>
      <c r="O628" s="2"/>
      <c r="P628" s="2" t="s">
        <v>4</v>
      </c>
      <c r="Q628" s="46" t="s">
        <v>68</v>
      </c>
      <c r="R628" s="49" t="s">
        <v>69</v>
      </c>
      <c r="S628" s="49" t="s">
        <v>137</v>
      </c>
      <c r="T628" s="49"/>
      <c r="U628" s="45" t="s">
        <v>2565</v>
      </c>
      <c r="V628" s="49" t="s">
        <v>3</v>
      </c>
      <c r="W628" s="121">
        <v>1</v>
      </c>
      <c r="X628" s="599">
        <v>6500</v>
      </c>
      <c r="Y628" s="2"/>
      <c r="Z628" s="2"/>
      <c r="AA628" s="2"/>
      <c r="AB628" s="2"/>
      <c r="AC628" s="49">
        <v>30</v>
      </c>
      <c r="AD628" s="49">
        <v>30</v>
      </c>
      <c r="AE628" s="2"/>
      <c r="AF628" s="2"/>
      <c r="AG628" s="2"/>
      <c r="AH628" s="2"/>
      <c r="AI628" s="2"/>
      <c r="AJ628" s="2"/>
      <c r="AK628" s="19">
        <v>13000</v>
      </c>
      <c r="AL628" s="29"/>
      <c r="AM628" s="29"/>
      <c r="AN628" s="29"/>
      <c r="AO628" s="29"/>
      <c r="AP628" s="478">
        <v>6500</v>
      </c>
      <c r="AQ628" s="478">
        <v>6500</v>
      </c>
      <c r="AR628" s="29"/>
      <c r="AS628" s="29"/>
      <c r="AT628" s="29"/>
      <c r="AU628" s="29"/>
      <c r="AV628" s="29"/>
      <c r="AW628" s="29"/>
      <c r="AX628" s="30">
        <v>13000</v>
      </c>
      <c r="AY628" s="601" t="s">
        <v>5</v>
      </c>
      <c r="AZ628" s="2"/>
      <c r="BA628" s="2"/>
      <c r="BC628" s="504" t="s">
        <v>1638</v>
      </c>
      <c r="BK628" s="147" t="s">
        <v>790</v>
      </c>
      <c r="BL628" s="481" t="s">
        <v>791</v>
      </c>
      <c r="BM628" s="284" t="s">
        <v>1574</v>
      </c>
      <c r="BN628" s="177" t="s">
        <v>1575</v>
      </c>
      <c r="BO628" s="125" t="s">
        <v>1576</v>
      </c>
      <c r="BP628" s="602">
        <v>46135</v>
      </c>
      <c r="BQ628" s="66"/>
      <c r="BR628" s="287">
        <v>3309</v>
      </c>
      <c r="BS628" s="66"/>
      <c r="BT628" s="656" t="s">
        <v>1567</v>
      </c>
      <c r="BU628" s="946" t="s">
        <v>1568</v>
      </c>
      <c r="BV628" s="566" t="s">
        <v>1165</v>
      </c>
      <c r="BW628" s="566" t="s">
        <v>899</v>
      </c>
      <c r="BX628" s="566" t="s">
        <v>2572</v>
      </c>
      <c r="BY628" s="284">
        <v>73002607</v>
      </c>
      <c r="BZ628" s="744"/>
      <c r="CA628" s="126">
        <v>6500</v>
      </c>
      <c r="CB628" s="128">
        <v>46144</v>
      </c>
      <c r="CC628" s="128">
        <v>46203</v>
      </c>
      <c r="CD628" s="759"/>
      <c r="CE628" s="1054">
        <v>30</v>
      </c>
      <c r="CF628" s="1019">
        <f t="shared" si="754"/>
        <v>6500</v>
      </c>
      <c r="CG628" s="1054">
        <v>30</v>
      </c>
      <c r="CH628" s="1019">
        <f t="shared" si="755"/>
        <v>6500</v>
      </c>
      <c r="CI628" s="1054">
        <v>30</v>
      </c>
      <c r="CJ628" s="1019">
        <f t="shared" si="756"/>
        <v>6500</v>
      </c>
      <c r="CK628" s="177">
        <f t="shared" si="750"/>
        <v>0</v>
      </c>
      <c r="CL628" s="177">
        <f t="shared" si="751"/>
        <v>0</v>
      </c>
      <c r="CM628" s="1006"/>
      <c r="CN628" s="1054">
        <v>30</v>
      </c>
      <c r="CO628" s="1053">
        <v>6500</v>
      </c>
      <c r="CP628" s="177">
        <v>30</v>
      </c>
      <c r="CQ628" s="1019">
        <f t="shared" si="752"/>
        <v>6500</v>
      </c>
      <c r="CR628" s="177">
        <v>30</v>
      </c>
      <c r="CS628" s="1019">
        <f t="shared" si="753"/>
        <v>6500</v>
      </c>
      <c r="CT628" s="1032">
        <v>0</v>
      </c>
      <c r="CU628" s="1032">
        <v>0</v>
      </c>
      <c r="CV628" s="1006"/>
      <c r="CW628" s="177">
        <f t="shared" si="745"/>
        <v>13000</v>
      </c>
      <c r="CX628" s="1019">
        <f t="shared" si="746"/>
        <v>13000</v>
      </c>
      <c r="CY628" s="177">
        <f t="shared" si="747"/>
        <v>13000</v>
      </c>
      <c r="CZ628" s="1019">
        <f t="shared" si="748"/>
        <v>0</v>
      </c>
      <c r="DA628" s="177">
        <f t="shared" si="749"/>
        <v>0</v>
      </c>
      <c r="DB628" s="126"/>
      <c r="DC628" s="125"/>
    </row>
    <row r="629" spans="1:108" ht="67.5" hidden="1" customHeight="1" x14ac:dyDescent="0.25">
      <c r="A629" s="19">
        <v>2026</v>
      </c>
      <c r="B629" s="46">
        <v>479</v>
      </c>
      <c r="C629" s="598" t="s">
        <v>64</v>
      </c>
      <c r="D629" s="598" t="s">
        <v>65</v>
      </c>
      <c r="E629" s="46">
        <v>125</v>
      </c>
      <c r="F629" s="46">
        <v>3000654</v>
      </c>
      <c r="G629" s="46">
        <v>5005023</v>
      </c>
      <c r="H629" s="46">
        <v>3</v>
      </c>
      <c r="I629" s="46">
        <v>12</v>
      </c>
      <c r="J629" s="46">
        <v>24</v>
      </c>
      <c r="K629" s="46">
        <v>135560</v>
      </c>
      <c r="L629" s="598" t="s">
        <v>98</v>
      </c>
      <c r="M629" s="45" t="s">
        <v>99</v>
      </c>
      <c r="N629" s="19">
        <v>94</v>
      </c>
      <c r="O629" s="2"/>
      <c r="P629" s="2" t="s">
        <v>4</v>
      </c>
      <c r="Q629" s="46" t="s">
        <v>68</v>
      </c>
      <c r="R629" s="49" t="s">
        <v>69</v>
      </c>
      <c r="S629" s="49" t="s">
        <v>137</v>
      </c>
      <c r="T629" s="49"/>
      <c r="U629" s="45" t="s">
        <v>2565</v>
      </c>
      <c r="V629" s="49" t="s">
        <v>3</v>
      </c>
      <c r="W629" s="121">
        <v>1</v>
      </c>
      <c r="X629" s="599">
        <v>6500</v>
      </c>
      <c r="Y629" s="2"/>
      <c r="Z629" s="2"/>
      <c r="AA629" s="2"/>
      <c r="AB629" s="2"/>
      <c r="AC629" s="49">
        <v>30</v>
      </c>
      <c r="AD629" s="49">
        <v>30</v>
      </c>
      <c r="AE629" s="2"/>
      <c r="AF629" s="2"/>
      <c r="AG629" s="2"/>
      <c r="AH629" s="2"/>
      <c r="AI629" s="2"/>
      <c r="AJ629" s="2"/>
      <c r="AK629" s="19">
        <v>13000</v>
      </c>
      <c r="AL629" s="29"/>
      <c r="AM629" s="29"/>
      <c r="AN629" s="29"/>
      <c r="AO629" s="29"/>
      <c r="AP629" s="478">
        <v>6500</v>
      </c>
      <c r="AQ629" s="478">
        <v>6500</v>
      </c>
      <c r="AR629" s="29"/>
      <c r="AS629" s="29"/>
      <c r="AT629" s="29"/>
      <c r="AU629" s="29"/>
      <c r="AV629" s="29"/>
      <c r="AW629" s="29"/>
      <c r="AX629" s="30">
        <v>13000</v>
      </c>
      <c r="AY629" s="601" t="s">
        <v>5</v>
      </c>
      <c r="AZ629" s="2"/>
      <c r="BA629" s="2"/>
      <c r="BC629" s="504" t="s">
        <v>1638</v>
      </c>
      <c r="BK629" s="147" t="s">
        <v>790</v>
      </c>
      <c r="BL629" s="481" t="s">
        <v>791</v>
      </c>
      <c r="BM629" s="284" t="s">
        <v>1574</v>
      </c>
      <c r="BN629" s="177" t="s">
        <v>1575</v>
      </c>
      <c r="BO629" s="125" t="s">
        <v>1576</v>
      </c>
      <c r="BP629" s="602">
        <v>46135</v>
      </c>
      <c r="BQ629" s="66"/>
      <c r="BR629" s="287">
        <v>3246</v>
      </c>
      <c r="BS629" s="66"/>
      <c r="BT629" s="656" t="s">
        <v>1567</v>
      </c>
      <c r="BU629" s="946" t="s">
        <v>1568</v>
      </c>
      <c r="BV629" s="566" t="s">
        <v>2573</v>
      </c>
      <c r="BW629" s="566" t="s">
        <v>1290</v>
      </c>
      <c r="BX629" s="566" t="s">
        <v>2574</v>
      </c>
      <c r="BY629" s="284">
        <v>70033475</v>
      </c>
      <c r="BZ629" s="744"/>
      <c r="CA629" s="126">
        <v>6500</v>
      </c>
      <c r="CB629" s="128">
        <v>46144</v>
      </c>
      <c r="CC629" s="128">
        <v>46203</v>
      </c>
      <c r="CD629" s="759"/>
      <c r="CE629" s="1054">
        <v>30</v>
      </c>
      <c r="CF629" s="1019">
        <f t="shared" si="754"/>
        <v>6500</v>
      </c>
      <c r="CG629" s="1054">
        <v>30</v>
      </c>
      <c r="CH629" s="1019">
        <f t="shared" si="755"/>
        <v>6500</v>
      </c>
      <c r="CI629" s="1054">
        <v>30</v>
      </c>
      <c r="CJ629" s="1019">
        <f t="shared" si="756"/>
        <v>6500</v>
      </c>
      <c r="CK629" s="177">
        <f t="shared" si="750"/>
        <v>0</v>
      </c>
      <c r="CL629" s="177">
        <f t="shared" si="751"/>
        <v>0</v>
      </c>
      <c r="CM629" s="1006"/>
      <c r="CN629" s="1054">
        <v>30</v>
      </c>
      <c r="CO629" s="1053">
        <v>6500</v>
      </c>
      <c r="CP629" s="177">
        <v>30</v>
      </c>
      <c r="CQ629" s="1019">
        <f t="shared" si="752"/>
        <v>6500</v>
      </c>
      <c r="CR629" s="177">
        <v>30</v>
      </c>
      <c r="CS629" s="1019">
        <f t="shared" si="753"/>
        <v>6500</v>
      </c>
      <c r="CT629" s="1032">
        <v>0</v>
      </c>
      <c r="CU629" s="1032">
        <v>0</v>
      </c>
      <c r="CV629" s="1006"/>
      <c r="CW629" s="177">
        <f t="shared" si="745"/>
        <v>13000</v>
      </c>
      <c r="CX629" s="1019">
        <f t="shared" si="746"/>
        <v>13000</v>
      </c>
      <c r="CY629" s="177">
        <f t="shared" si="747"/>
        <v>13000</v>
      </c>
      <c r="CZ629" s="1019">
        <f t="shared" si="748"/>
        <v>0</v>
      </c>
      <c r="DA629" s="177">
        <f t="shared" si="749"/>
        <v>0</v>
      </c>
      <c r="DB629" s="126"/>
      <c r="DC629" s="125"/>
    </row>
    <row r="630" spans="1:108" ht="67.5" hidden="1" customHeight="1" x14ac:dyDescent="0.25">
      <c r="A630" s="19">
        <v>2026</v>
      </c>
      <c r="B630" s="46">
        <v>479</v>
      </c>
      <c r="C630" s="598" t="s">
        <v>64</v>
      </c>
      <c r="D630" s="598" t="s">
        <v>65</v>
      </c>
      <c r="E630" s="46">
        <v>125</v>
      </c>
      <c r="F630" s="46">
        <v>3000654</v>
      </c>
      <c r="G630" s="46">
        <v>5005023</v>
      </c>
      <c r="H630" s="46">
        <v>3</v>
      </c>
      <c r="I630" s="46">
        <v>12</v>
      </c>
      <c r="J630" s="46">
        <v>24</v>
      </c>
      <c r="K630" s="46">
        <v>135560</v>
      </c>
      <c r="L630" s="598" t="s">
        <v>98</v>
      </c>
      <c r="M630" s="45" t="s">
        <v>99</v>
      </c>
      <c r="N630" s="19">
        <v>94</v>
      </c>
      <c r="O630" s="2"/>
      <c r="P630" s="2" t="s">
        <v>4</v>
      </c>
      <c r="Q630" s="46" t="s">
        <v>68</v>
      </c>
      <c r="R630" s="49" t="s">
        <v>69</v>
      </c>
      <c r="S630" s="49" t="s">
        <v>137</v>
      </c>
      <c r="T630" s="49"/>
      <c r="U630" s="45" t="s">
        <v>2565</v>
      </c>
      <c r="V630" s="49" t="s">
        <v>3</v>
      </c>
      <c r="W630" s="121">
        <v>1</v>
      </c>
      <c r="X630" s="599">
        <v>6500</v>
      </c>
      <c r="Y630" s="2"/>
      <c r="Z630" s="2"/>
      <c r="AA630" s="2"/>
      <c r="AB630" s="2"/>
      <c r="AC630" s="49">
        <v>30</v>
      </c>
      <c r="AD630" s="49">
        <v>30</v>
      </c>
      <c r="AE630" s="2"/>
      <c r="AF630" s="2"/>
      <c r="AG630" s="2"/>
      <c r="AH630" s="2"/>
      <c r="AI630" s="2"/>
      <c r="AJ630" s="2"/>
      <c r="AK630" s="19">
        <v>13000</v>
      </c>
      <c r="AL630" s="29"/>
      <c r="AM630" s="29"/>
      <c r="AN630" s="29"/>
      <c r="AO630" s="29"/>
      <c r="AP630" s="478">
        <v>6500</v>
      </c>
      <c r="AQ630" s="478">
        <v>6500</v>
      </c>
      <c r="AR630" s="29"/>
      <c r="AS630" s="29"/>
      <c r="AT630" s="29"/>
      <c r="AU630" s="29"/>
      <c r="AV630" s="29"/>
      <c r="AW630" s="29"/>
      <c r="AX630" s="30">
        <v>13000</v>
      </c>
      <c r="AY630" s="601" t="s">
        <v>5</v>
      </c>
      <c r="AZ630" s="2"/>
      <c r="BA630" s="2"/>
      <c r="BC630" s="504" t="s">
        <v>1638</v>
      </c>
      <c r="BK630" s="147" t="s">
        <v>790</v>
      </c>
      <c r="BL630" s="481" t="s">
        <v>791</v>
      </c>
      <c r="BM630" s="284" t="s">
        <v>1574</v>
      </c>
      <c r="BN630" s="177" t="s">
        <v>1575</v>
      </c>
      <c r="BO630" s="125" t="s">
        <v>1576</v>
      </c>
      <c r="BP630" s="602">
        <v>46135</v>
      </c>
      <c r="BQ630" s="66"/>
      <c r="BR630" s="287">
        <v>3247</v>
      </c>
      <c r="BS630" s="66"/>
      <c r="BT630" s="656" t="s">
        <v>1567</v>
      </c>
      <c r="BU630" s="946" t="s">
        <v>1568</v>
      </c>
      <c r="BV630" s="566" t="s">
        <v>902</v>
      </c>
      <c r="BW630" s="566" t="s">
        <v>932</v>
      </c>
      <c r="BX630" s="566" t="s">
        <v>842</v>
      </c>
      <c r="BY630" s="284">
        <v>74500488</v>
      </c>
      <c r="BZ630" s="744"/>
      <c r="CA630" s="126">
        <v>6500</v>
      </c>
      <c r="CB630" s="128">
        <v>46144</v>
      </c>
      <c r="CC630" s="128">
        <v>46203</v>
      </c>
      <c r="CD630" s="759"/>
      <c r="CE630" s="1054">
        <v>30</v>
      </c>
      <c r="CF630" s="1019">
        <f t="shared" si="754"/>
        <v>6500</v>
      </c>
      <c r="CG630" s="1054">
        <v>30</v>
      </c>
      <c r="CH630" s="1019">
        <f t="shared" si="755"/>
        <v>6500</v>
      </c>
      <c r="CI630" s="1054">
        <v>30</v>
      </c>
      <c r="CJ630" s="1019">
        <f t="shared" si="756"/>
        <v>6500</v>
      </c>
      <c r="CK630" s="177">
        <f t="shared" si="750"/>
        <v>0</v>
      </c>
      <c r="CL630" s="177">
        <f t="shared" si="751"/>
        <v>0</v>
      </c>
      <c r="CM630" s="1006"/>
      <c r="CN630" s="1054">
        <v>30</v>
      </c>
      <c r="CO630" s="1053">
        <v>6500</v>
      </c>
      <c r="CP630" s="177">
        <v>30</v>
      </c>
      <c r="CQ630" s="1019">
        <f t="shared" si="752"/>
        <v>6500</v>
      </c>
      <c r="CR630" s="177">
        <v>30</v>
      </c>
      <c r="CS630" s="1019">
        <f t="shared" si="753"/>
        <v>6500</v>
      </c>
      <c r="CT630" s="1032">
        <v>0</v>
      </c>
      <c r="CU630" s="1032">
        <v>0</v>
      </c>
      <c r="CV630" s="1006"/>
      <c r="CW630" s="177">
        <f t="shared" si="745"/>
        <v>13000</v>
      </c>
      <c r="CX630" s="1019">
        <f t="shared" si="746"/>
        <v>13000</v>
      </c>
      <c r="CY630" s="177">
        <f t="shared" si="747"/>
        <v>13000</v>
      </c>
      <c r="CZ630" s="1019">
        <f t="shared" si="748"/>
        <v>0</v>
      </c>
      <c r="DA630" s="177">
        <f t="shared" si="749"/>
        <v>0</v>
      </c>
      <c r="DB630" s="126"/>
      <c r="DC630" s="125"/>
    </row>
    <row r="631" spans="1:108" ht="67.5" hidden="1" customHeight="1" x14ac:dyDescent="0.25">
      <c r="A631" s="19">
        <v>2026</v>
      </c>
      <c r="B631" s="46">
        <v>479</v>
      </c>
      <c r="C631" s="598" t="s">
        <v>64</v>
      </c>
      <c r="D631" s="598" t="s">
        <v>65</v>
      </c>
      <c r="E631" s="46">
        <v>125</v>
      </c>
      <c r="F631" s="46">
        <v>3000654</v>
      </c>
      <c r="G631" s="46">
        <v>5005023</v>
      </c>
      <c r="H631" s="46">
        <v>3</v>
      </c>
      <c r="I631" s="46">
        <v>12</v>
      </c>
      <c r="J631" s="46">
        <v>24</v>
      </c>
      <c r="K631" s="46">
        <v>135560</v>
      </c>
      <c r="L631" s="598" t="s">
        <v>98</v>
      </c>
      <c r="M631" s="45" t="s">
        <v>99</v>
      </c>
      <c r="N631" s="19">
        <v>94</v>
      </c>
      <c r="O631" s="2"/>
      <c r="P631" s="2" t="s">
        <v>4</v>
      </c>
      <c r="Q631" s="46" t="s">
        <v>68</v>
      </c>
      <c r="R631" s="49" t="s">
        <v>69</v>
      </c>
      <c r="S631" s="49" t="s">
        <v>137</v>
      </c>
      <c r="T631" s="49"/>
      <c r="U631" s="45" t="s">
        <v>2565</v>
      </c>
      <c r="V631" s="49" t="s">
        <v>3</v>
      </c>
      <c r="W631" s="121">
        <v>1</v>
      </c>
      <c r="X631" s="599">
        <v>6500</v>
      </c>
      <c r="Y631" s="2"/>
      <c r="Z631" s="2"/>
      <c r="AA631" s="2"/>
      <c r="AB631" s="2"/>
      <c r="AC631" s="49">
        <v>30</v>
      </c>
      <c r="AD631" s="49">
        <v>30</v>
      </c>
      <c r="AE631" s="2"/>
      <c r="AF631" s="2"/>
      <c r="AG631" s="2"/>
      <c r="AH631" s="2"/>
      <c r="AI631" s="2"/>
      <c r="AJ631" s="2"/>
      <c r="AK631" s="19">
        <v>13000</v>
      </c>
      <c r="AL631" s="29"/>
      <c r="AM631" s="29"/>
      <c r="AN631" s="29"/>
      <c r="AO631" s="29"/>
      <c r="AP631" s="478">
        <v>6500</v>
      </c>
      <c r="AQ631" s="478">
        <v>6500</v>
      </c>
      <c r="AR631" s="29"/>
      <c r="AS631" s="29"/>
      <c r="AT631" s="29"/>
      <c r="AU631" s="29"/>
      <c r="AV631" s="29"/>
      <c r="AW631" s="29"/>
      <c r="AX631" s="30">
        <v>13000</v>
      </c>
      <c r="AY631" s="601" t="s">
        <v>5</v>
      </c>
      <c r="AZ631" s="2"/>
      <c r="BA631" s="2"/>
      <c r="BC631" s="504" t="s">
        <v>1638</v>
      </c>
      <c r="BK631" s="147" t="s">
        <v>790</v>
      </c>
      <c r="BL631" s="481" t="s">
        <v>791</v>
      </c>
      <c r="BM631" s="284" t="s">
        <v>1574</v>
      </c>
      <c r="BN631" s="177" t="s">
        <v>1575</v>
      </c>
      <c r="BO631" s="125" t="s">
        <v>1576</v>
      </c>
      <c r="BP631" s="602">
        <v>46135</v>
      </c>
      <c r="BQ631" s="66"/>
      <c r="BR631" s="287">
        <v>3248</v>
      </c>
      <c r="BS631" s="66"/>
      <c r="BT631" s="656" t="s">
        <v>1567</v>
      </c>
      <c r="BU631" s="946" t="s">
        <v>1568</v>
      </c>
      <c r="BV631" s="566" t="s">
        <v>2575</v>
      </c>
      <c r="BW631" s="566" t="s">
        <v>2576</v>
      </c>
      <c r="BX631" s="566" t="s">
        <v>2577</v>
      </c>
      <c r="BY631" s="284">
        <v>74762589</v>
      </c>
      <c r="BZ631" s="744"/>
      <c r="CA631" s="126">
        <v>6500</v>
      </c>
      <c r="CB631" s="128">
        <v>46144</v>
      </c>
      <c r="CC631" s="128">
        <v>46203</v>
      </c>
      <c r="CD631" s="759"/>
      <c r="CE631" s="1054">
        <v>30</v>
      </c>
      <c r="CF631" s="1019">
        <f t="shared" si="754"/>
        <v>6500</v>
      </c>
      <c r="CG631" s="1054">
        <v>30</v>
      </c>
      <c r="CH631" s="1019">
        <f t="shared" si="755"/>
        <v>6500</v>
      </c>
      <c r="CI631" s="1054">
        <v>30</v>
      </c>
      <c r="CJ631" s="1019">
        <f t="shared" si="756"/>
        <v>6500</v>
      </c>
      <c r="CK631" s="177">
        <f t="shared" si="750"/>
        <v>0</v>
      </c>
      <c r="CL631" s="177">
        <f t="shared" si="751"/>
        <v>0</v>
      </c>
      <c r="CM631" s="1006"/>
      <c r="CN631" s="1054">
        <v>30</v>
      </c>
      <c r="CO631" s="1053">
        <v>6500</v>
      </c>
      <c r="CP631" s="177">
        <v>30</v>
      </c>
      <c r="CQ631" s="1019">
        <f t="shared" si="752"/>
        <v>6500</v>
      </c>
      <c r="CR631" s="177">
        <v>30</v>
      </c>
      <c r="CS631" s="1019">
        <f t="shared" si="753"/>
        <v>6500</v>
      </c>
      <c r="CT631" s="1032">
        <v>0</v>
      </c>
      <c r="CU631" s="1032">
        <v>0</v>
      </c>
      <c r="CV631" s="1006"/>
      <c r="CW631" s="177">
        <f t="shared" si="745"/>
        <v>13000</v>
      </c>
      <c r="CX631" s="1019">
        <f t="shared" si="746"/>
        <v>13000</v>
      </c>
      <c r="CY631" s="177">
        <f t="shared" si="747"/>
        <v>13000</v>
      </c>
      <c r="CZ631" s="1019">
        <f t="shared" si="748"/>
        <v>0</v>
      </c>
      <c r="DA631" s="177">
        <f t="shared" si="749"/>
        <v>0</v>
      </c>
      <c r="DB631" s="126"/>
      <c r="DC631" s="125"/>
    </row>
    <row r="632" spans="1:108" ht="31.5" customHeight="1" x14ac:dyDescent="0.25">
      <c r="A632" s="19">
        <v>2026</v>
      </c>
      <c r="B632" s="46">
        <v>479</v>
      </c>
      <c r="C632" s="598" t="s">
        <v>64</v>
      </c>
      <c r="D632" s="598" t="s">
        <v>65</v>
      </c>
      <c r="E632" s="46">
        <v>125</v>
      </c>
      <c r="F632" s="46">
        <v>3000654</v>
      </c>
      <c r="G632" s="46">
        <v>5005023</v>
      </c>
      <c r="H632" s="46">
        <v>3</v>
      </c>
      <c r="I632" s="46">
        <v>12</v>
      </c>
      <c r="J632" s="46">
        <v>24</v>
      </c>
      <c r="K632" s="46">
        <v>135560</v>
      </c>
      <c r="L632" s="598" t="s">
        <v>98</v>
      </c>
      <c r="M632" s="45" t="s">
        <v>99</v>
      </c>
      <c r="N632" s="19">
        <v>94</v>
      </c>
      <c r="O632" s="2"/>
      <c r="P632" s="2" t="s">
        <v>4</v>
      </c>
      <c r="Q632" s="46" t="s">
        <v>68</v>
      </c>
      <c r="R632" s="49" t="s">
        <v>69</v>
      </c>
      <c r="S632" s="47" t="s">
        <v>137</v>
      </c>
      <c r="T632" s="121"/>
      <c r="U632" s="124" t="s">
        <v>2578</v>
      </c>
      <c r="V632" s="49" t="s">
        <v>3</v>
      </c>
      <c r="W632" s="49">
        <v>1</v>
      </c>
      <c r="X632" s="476">
        <v>10000</v>
      </c>
      <c r="Y632" s="2"/>
      <c r="Z632" s="2"/>
      <c r="AA632" s="2"/>
      <c r="AB632" s="2"/>
      <c r="AC632" s="121">
        <v>30</v>
      </c>
      <c r="AD632" s="121">
        <v>30</v>
      </c>
      <c r="AE632" s="2"/>
      <c r="AF632" s="2"/>
      <c r="AG632" s="2"/>
      <c r="AH632" s="2"/>
      <c r="AI632" s="2"/>
      <c r="AJ632" s="2"/>
      <c r="AK632" s="477" t="s">
        <v>585</v>
      </c>
      <c r="AL632" s="29"/>
      <c r="AM632" s="29"/>
      <c r="AN632" s="29"/>
      <c r="AO632" s="29"/>
      <c r="AP632" s="478">
        <v>10000</v>
      </c>
      <c r="AQ632" s="478">
        <v>10000</v>
      </c>
      <c r="AR632" s="29"/>
      <c r="AS632" s="29"/>
      <c r="AT632" s="29"/>
      <c r="AU632" s="29"/>
      <c r="AV632" s="29"/>
      <c r="AW632" s="29"/>
      <c r="AX632" s="30">
        <v>20000</v>
      </c>
      <c r="AY632" s="536" t="s">
        <v>4</v>
      </c>
      <c r="AZ632" s="2"/>
      <c r="BA632" s="2"/>
      <c r="BC632" s="504"/>
      <c r="BD632" t="s">
        <v>2579</v>
      </c>
      <c r="BE632" t="s">
        <v>2579</v>
      </c>
      <c r="BF632" s="140">
        <v>46133</v>
      </c>
      <c r="BG632" t="s">
        <v>2580</v>
      </c>
      <c r="BH632" s="140">
        <v>46140</v>
      </c>
      <c r="BJ632" s="94" t="s">
        <v>2581</v>
      </c>
      <c r="BK632" s="147" t="s">
        <v>790</v>
      </c>
      <c r="BL632" s="481" t="s">
        <v>791</v>
      </c>
      <c r="BM632" s="159"/>
      <c r="BN632" s="177" t="s">
        <v>2518</v>
      </c>
      <c r="BO632" s="125" t="s">
        <v>2519</v>
      </c>
      <c r="BP632" s="129">
        <v>46133</v>
      </c>
      <c r="BQ632" s="160"/>
      <c r="BR632" s="287">
        <v>3306</v>
      </c>
      <c r="BS632" s="286"/>
      <c r="BT632" s="945" t="s">
        <v>2521</v>
      </c>
      <c r="BU632" s="945" t="s">
        <v>2522</v>
      </c>
      <c r="BV632" s="125" t="s">
        <v>932</v>
      </c>
      <c r="BW632" s="125" t="s">
        <v>836</v>
      </c>
      <c r="BX632" s="125" t="s">
        <v>2582</v>
      </c>
      <c r="BY632" s="125">
        <v>44671699</v>
      </c>
      <c r="BZ632" s="125">
        <v>10446716994</v>
      </c>
      <c r="CA632" s="161">
        <v>10000</v>
      </c>
      <c r="CB632" s="162">
        <v>46143</v>
      </c>
      <c r="CC632" s="162">
        <v>46203</v>
      </c>
      <c r="CD632" s="759"/>
      <c r="CE632" s="1055">
        <v>30</v>
      </c>
      <c r="CF632" s="1019">
        <f t="shared" si="754"/>
        <v>10000</v>
      </c>
      <c r="CG632" s="1055">
        <v>30</v>
      </c>
      <c r="CH632" s="1019">
        <f t="shared" si="755"/>
        <v>10000</v>
      </c>
      <c r="CI632" s="1055">
        <v>30</v>
      </c>
      <c r="CJ632" s="1019">
        <f t="shared" si="756"/>
        <v>10000</v>
      </c>
      <c r="CK632" s="177">
        <f t="shared" si="750"/>
        <v>0</v>
      </c>
      <c r="CL632" s="177">
        <f t="shared" si="750"/>
        <v>0</v>
      </c>
      <c r="CM632" s="1006"/>
      <c r="CN632" s="177">
        <v>30</v>
      </c>
      <c r="CO632" s="1053">
        <v>10000</v>
      </c>
      <c r="CP632" s="177">
        <v>30</v>
      </c>
      <c r="CQ632" s="1019">
        <f t="shared" si="752"/>
        <v>10000</v>
      </c>
      <c r="CR632" s="177">
        <v>30</v>
      </c>
      <c r="CS632" s="1019">
        <f t="shared" si="753"/>
        <v>10000</v>
      </c>
      <c r="CT632" s="1037"/>
      <c r="CU632" s="1037"/>
      <c r="CV632" s="1006"/>
      <c r="CW632" s="177">
        <f>AX632</f>
        <v>20000</v>
      </c>
      <c r="CX632" s="1019">
        <f t="shared" si="746"/>
        <v>20000</v>
      </c>
      <c r="CY632" s="177">
        <f t="shared" si="747"/>
        <v>20000</v>
      </c>
      <c r="CZ632" s="1019">
        <f t="shared" si="748"/>
        <v>0</v>
      </c>
      <c r="DA632" s="177">
        <f t="shared" si="749"/>
        <v>0</v>
      </c>
      <c r="DB632" s="161"/>
      <c r="DC632" s="159"/>
    </row>
    <row r="633" spans="1:108" ht="31.5" customHeight="1" x14ac:dyDescent="0.25">
      <c r="A633" s="19">
        <v>2026</v>
      </c>
      <c r="B633" s="46">
        <v>479</v>
      </c>
      <c r="C633" s="598" t="s">
        <v>64</v>
      </c>
      <c r="D633" s="598" t="s">
        <v>65</v>
      </c>
      <c r="E633" s="46">
        <v>125</v>
      </c>
      <c r="F633" s="46">
        <v>3000654</v>
      </c>
      <c r="G633" s="46">
        <v>5005023</v>
      </c>
      <c r="H633" s="46">
        <v>3</v>
      </c>
      <c r="I633" s="46">
        <v>12</v>
      </c>
      <c r="J633" s="46">
        <v>24</v>
      </c>
      <c r="K633" s="46">
        <v>135560</v>
      </c>
      <c r="L633" s="598" t="s">
        <v>98</v>
      </c>
      <c r="M633" s="33" t="s">
        <v>413</v>
      </c>
      <c r="N633" s="19">
        <v>94</v>
      </c>
      <c r="O633" s="2"/>
      <c r="P633" s="2" t="s">
        <v>4</v>
      </c>
      <c r="Q633" s="46" t="s">
        <v>68</v>
      </c>
      <c r="R633" s="49" t="s">
        <v>69</v>
      </c>
      <c r="S633" s="47" t="s">
        <v>137</v>
      </c>
      <c r="T633" s="121"/>
      <c r="U633" s="124" t="s">
        <v>2583</v>
      </c>
      <c r="V633" s="49" t="s">
        <v>3</v>
      </c>
      <c r="W633" s="49">
        <v>1</v>
      </c>
      <c r="X633" s="476">
        <v>4500</v>
      </c>
      <c r="Y633" s="2"/>
      <c r="Z633" s="2"/>
      <c r="AA633" s="2"/>
      <c r="AB633" s="2"/>
      <c r="AC633" s="121">
        <v>18</v>
      </c>
      <c r="AD633" s="121">
        <v>30</v>
      </c>
      <c r="AE633" s="2"/>
      <c r="AF633" s="2"/>
      <c r="AG633" s="2"/>
      <c r="AH633" s="2"/>
      <c r="AI633" s="2"/>
      <c r="AJ633" s="2"/>
      <c r="AK633" s="477" t="s">
        <v>585</v>
      </c>
      <c r="AL633" s="29"/>
      <c r="AM633" s="29"/>
      <c r="AN633" s="29"/>
      <c r="AO633" s="29"/>
      <c r="AP633" s="478">
        <v>2700</v>
      </c>
      <c r="AQ633" s="478">
        <v>4500</v>
      </c>
      <c r="AR633" s="29"/>
      <c r="AS633" s="29"/>
      <c r="AT633" s="29"/>
      <c r="AU633" s="29"/>
      <c r="AV633" s="29"/>
      <c r="AW633" s="29"/>
      <c r="AX633" s="30">
        <v>7200</v>
      </c>
      <c r="AY633" s="536" t="s">
        <v>4</v>
      </c>
      <c r="AZ633" s="2"/>
      <c r="BA633" s="2"/>
      <c r="BC633" s="504"/>
      <c r="BD633" t="s">
        <v>2584</v>
      </c>
      <c r="BE633" t="s">
        <v>2584</v>
      </c>
      <c r="BF633" s="140">
        <v>46154</v>
      </c>
      <c r="BG633" s="140" t="s">
        <v>2585</v>
      </c>
      <c r="BH633" s="140">
        <v>46155</v>
      </c>
      <c r="BJ633" s="94" t="s">
        <v>2586</v>
      </c>
      <c r="BK633" s="159" t="s">
        <v>790</v>
      </c>
      <c r="BL633" s="481" t="s">
        <v>791</v>
      </c>
      <c r="BM633" s="159"/>
      <c r="BN633" s="177" t="s">
        <v>2587</v>
      </c>
      <c r="BO633" s="125" t="s">
        <v>2588</v>
      </c>
      <c r="BP633" s="129">
        <v>46155</v>
      </c>
      <c r="BQ633" s="160"/>
      <c r="BR633" s="287">
        <v>3805</v>
      </c>
      <c r="BS633" s="286"/>
      <c r="BT633" s="945" t="s">
        <v>2589</v>
      </c>
      <c r="BU633" s="945" t="s">
        <v>2522</v>
      </c>
      <c r="BV633" s="125" t="s">
        <v>1777</v>
      </c>
      <c r="BW633" s="125" t="s">
        <v>1706</v>
      </c>
      <c r="BX633" s="125" t="s">
        <v>2590</v>
      </c>
      <c r="BY633" s="125">
        <v>71448944</v>
      </c>
      <c r="BZ633" s="125">
        <v>10714489441</v>
      </c>
      <c r="CA633" s="161">
        <v>4500</v>
      </c>
      <c r="CB633" s="162" t="s">
        <v>2591</v>
      </c>
      <c r="CC633" s="162">
        <v>46203</v>
      </c>
      <c r="CD633" s="759"/>
      <c r="CE633" s="1055">
        <v>18</v>
      </c>
      <c r="CF633" s="1019">
        <f t="shared" ref="CF633:CF637" si="757">AP633</f>
        <v>2700</v>
      </c>
      <c r="CG633" s="1055">
        <v>18</v>
      </c>
      <c r="CH633" s="1019">
        <f t="shared" ref="CH633:CH637" si="758">(X633/30)*CG633</f>
        <v>2700</v>
      </c>
      <c r="CI633" s="1055">
        <v>18</v>
      </c>
      <c r="CJ633" s="1019">
        <f t="shared" ref="CJ633:CJ637" si="759">(X633/30)*CI633</f>
        <v>2700</v>
      </c>
      <c r="CK633" s="177">
        <f t="shared" si="750"/>
        <v>0</v>
      </c>
      <c r="CL633" s="177">
        <f t="shared" si="750"/>
        <v>0</v>
      </c>
      <c r="CM633" s="1006"/>
      <c r="CN633" s="177">
        <v>30</v>
      </c>
      <c r="CO633" s="1053">
        <v>4500</v>
      </c>
      <c r="CP633" s="177">
        <v>30</v>
      </c>
      <c r="CQ633" s="1019">
        <f t="shared" ref="CQ633:CQ637" si="760">(X633/30)*CP633</f>
        <v>4500</v>
      </c>
      <c r="CR633" s="177">
        <v>30</v>
      </c>
      <c r="CS633" s="1019">
        <f t="shared" ref="CS633:CS637" si="761">(X633/30)*CR633</f>
        <v>4500</v>
      </c>
      <c r="CT633" s="1037"/>
      <c r="CU633" s="1037"/>
      <c r="CV633" s="1006"/>
      <c r="CW633" s="177">
        <f>AX633</f>
        <v>7200</v>
      </c>
      <c r="CX633" s="1019">
        <f t="shared" si="746"/>
        <v>7200</v>
      </c>
      <c r="CY633" s="177">
        <f t="shared" si="747"/>
        <v>7200</v>
      </c>
      <c r="CZ633" s="1019">
        <f t="shared" si="748"/>
        <v>0</v>
      </c>
      <c r="DA633" s="177">
        <f t="shared" si="749"/>
        <v>0</v>
      </c>
      <c r="DB633" s="161"/>
      <c r="DC633" s="159"/>
    </row>
    <row r="634" spans="1:108" s="486" customFormat="1" ht="31.5" hidden="1" customHeight="1" x14ac:dyDescent="0.25">
      <c r="A634" s="745">
        <v>2026</v>
      </c>
      <c r="B634" s="746">
        <v>479</v>
      </c>
      <c r="C634" s="747" t="s">
        <v>64</v>
      </c>
      <c r="D634" s="747" t="s">
        <v>65</v>
      </c>
      <c r="E634" s="746">
        <v>125</v>
      </c>
      <c r="F634" s="746">
        <v>3000654</v>
      </c>
      <c r="G634" s="746">
        <v>5005023</v>
      </c>
      <c r="H634" s="746">
        <v>3</v>
      </c>
      <c r="I634" s="746">
        <v>12</v>
      </c>
      <c r="J634" s="746">
        <v>24</v>
      </c>
      <c r="K634" s="746">
        <v>135560</v>
      </c>
      <c r="L634" s="747" t="s">
        <v>98</v>
      </c>
      <c r="M634" s="124" t="s">
        <v>99</v>
      </c>
      <c r="N634" s="19">
        <v>94</v>
      </c>
      <c r="O634" s="625"/>
      <c r="P634" s="474" t="s">
        <v>4</v>
      </c>
      <c r="Q634" s="472" t="s">
        <v>68</v>
      </c>
      <c r="R634" s="475" t="s">
        <v>69</v>
      </c>
      <c r="S634" s="475" t="s">
        <v>137</v>
      </c>
      <c r="T634" s="475"/>
      <c r="U634" s="124" t="s">
        <v>2592</v>
      </c>
      <c r="V634" s="475" t="s">
        <v>3</v>
      </c>
      <c r="W634" s="121">
        <v>1</v>
      </c>
      <c r="X634" s="476">
        <v>3000</v>
      </c>
      <c r="Y634" s="2"/>
      <c r="Z634" s="2"/>
      <c r="AA634" s="2"/>
      <c r="AB634" s="2"/>
      <c r="AC634" s="121">
        <v>14</v>
      </c>
      <c r="AD634" s="121">
        <v>30</v>
      </c>
      <c r="AE634" s="2"/>
      <c r="AF634" s="2"/>
      <c r="AG634" s="2"/>
      <c r="AH634" s="2"/>
      <c r="AI634" s="2"/>
      <c r="AJ634" s="2"/>
      <c r="AK634" s="748" t="s">
        <v>585</v>
      </c>
      <c r="AL634" s="472" t="s">
        <v>73</v>
      </c>
      <c r="AM634" s="472" t="s">
        <v>73</v>
      </c>
      <c r="AN634" s="472" t="s">
        <v>73</v>
      </c>
      <c r="AO634" s="472" t="s">
        <v>73</v>
      </c>
      <c r="AP634" s="478">
        <v>1400</v>
      </c>
      <c r="AQ634" s="478">
        <v>3000</v>
      </c>
      <c r="AR634" s="472" t="s">
        <v>73</v>
      </c>
      <c r="AS634" s="472" t="s">
        <v>73</v>
      </c>
      <c r="AT634" s="472" t="s">
        <v>73</v>
      </c>
      <c r="AU634" s="472" t="s">
        <v>73</v>
      </c>
      <c r="AV634" s="472" t="s">
        <v>73</v>
      </c>
      <c r="AW634" s="472" t="s">
        <v>73</v>
      </c>
      <c r="AX634" s="478">
        <v>4400</v>
      </c>
      <c r="AY634" s="749" t="s">
        <v>5</v>
      </c>
      <c r="AZ634" s="625"/>
      <c r="BA634" s="625"/>
      <c r="BC634" s="750" t="s">
        <v>2593</v>
      </c>
      <c r="BD634" s="751" t="s">
        <v>586</v>
      </c>
      <c r="BE634" s="751" t="s">
        <v>586</v>
      </c>
      <c r="BF634" s="752">
        <v>46157</v>
      </c>
      <c r="BG634" s="751" t="s">
        <v>587</v>
      </c>
      <c r="BH634" s="752">
        <v>46161</v>
      </c>
      <c r="BI634" s="753"/>
      <c r="BJ634" s="754" t="s">
        <v>588</v>
      </c>
      <c r="BK634" s="147" t="s">
        <v>790</v>
      </c>
      <c r="BL634" s="481" t="s">
        <v>791</v>
      </c>
      <c r="BM634" s="284" t="s">
        <v>2594</v>
      </c>
      <c r="BN634" s="414" t="s">
        <v>2595</v>
      </c>
      <c r="BO634" s="284" t="s">
        <v>2596</v>
      </c>
      <c r="BP634" s="285">
        <v>46170</v>
      </c>
      <c r="BQ634" s="482"/>
      <c r="BR634" s="287">
        <v>4831</v>
      </c>
      <c r="BS634" s="482"/>
      <c r="BT634" s="656"/>
      <c r="BU634" s="946" t="s">
        <v>1568</v>
      </c>
      <c r="BV634" s="566" t="s">
        <v>2597</v>
      </c>
      <c r="BW634" s="284" t="s">
        <v>2598</v>
      </c>
      <c r="BX634" s="284" t="s">
        <v>2599</v>
      </c>
      <c r="BY634" s="284">
        <v>10050111</v>
      </c>
      <c r="BZ634" s="284"/>
      <c r="CA634" s="288">
        <v>3000</v>
      </c>
      <c r="CB634" s="550">
        <v>46171</v>
      </c>
      <c r="CC634" s="483">
        <v>46203</v>
      </c>
      <c r="CD634" s="759"/>
      <c r="CE634" s="1056">
        <f t="shared" ref="CE634:CE637" si="762">AC634</f>
        <v>14</v>
      </c>
      <c r="CF634" s="1037">
        <f t="shared" si="757"/>
        <v>1400</v>
      </c>
      <c r="CG634" s="1056">
        <v>3</v>
      </c>
      <c r="CH634" s="1037">
        <f>(X634/30)*CG634</f>
        <v>300</v>
      </c>
      <c r="CI634" s="1056">
        <v>3</v>
      </c>
      <c r="CJ634" s="1037">
        <f t="shared" ref="CJ634" si="763">(X634/30)*CI634</f>
        <v>300</v>
      </c>
      <c r="CK634" s="1037">
        <f t="shared" ref="CK634:CK637" si="764">CF634-CH634</f>
        <v>1100</v>
      </c>
      <c r="CL634" s="1037">
        <f t="shared" ref="CL634:CL637" si="765">CF634-CJ634</f>
        <v>1100</v>
      </c>
      <c r="CM634" s="1006"/>
      <c r="CN634" s="414">
        <v>30</v>
      </c>
      <c r="CO634" s="1057">
        <f t="shared" ref="CO634:CO637" si="766">AQ634</f>
        <v>3000</v>
      </c>
      <c r="CP634" s="414">
        <v>30</v>
      </c>
      <c r="CQ634" s="1037">
        <f>(X634/30)*CP634</f>
        <v>3000</v>
      </c>
      <c r="CR634" s="414">
        <v>30</v>
      </c>
      <c r="CS634" s="1037">
        <f>(X634/30)*CR634</f>
        <v>3000</v>
      </c>
      <c r="CT634" s="1037">
        <f t="shared" ref="CT634:CT637" si="767">CO634-CQ634</f>
        <v>0</v>
      </c>
      <c r="CU634" s="1037">
        <f t="shared" ref="CU634:CU637" si="768">CO634-CS634</f>
        <v>0</v>
      </c>
      <c r="CV634" s="1006"/>
      <c r="CW634" s="177">
        <f t="shared" si="745"/>
        <v>4400</v>
      </c>
      <c r="CX634" s="1019">
        <f t="shared" si="746"/>
        <v>3300</v>
      </c>
      <c r="CY634" s="177">
        <f>CJ634+CS634</f>
        <v>3300</v>
      </c>
      <c r="CZ634" s="1019">
        <f>CW634-CX634</f>
        <v>1100</v>
      </c>
      <c r="DA634" s="177">
        <f t="shared" si="749"/>
        <v>1100</v>
      </c>
      <c r="DB634" s="161"/>
      <c r="DC634" s="159"/>
      <c r="DD634" s="755" t="s">
        <v>2600</v>
      </c>
    </row>
    <row r="635" spans="1:108" s="486" customFormat="1" ht="31.5" hidden="1" customHeight="1" x14ac:dyDescent="0.25">
      <c r="A635" s="745">
        <v>2026</v>
      </c>
      <c r="B635" s="746">
        <v>479</v>
      </c>
      <c r="C635" s="747" t="s">
        <v>64</v>
      </c>
      <c r="D635" s="747" t="s">
        <v>65</v>
      </c>
      <c r="E635" s="746">
        <v>125</v>
      </c>
      <c r="F635" s="746">
        <v>3000654</v>
      </c>
      <c r="G635" s="746">
        <v>5005023</v>
      </c>
      <c r="H635" s="746">
        <v>3</v>
      </c>
      <c r="I635" s="746">
        <v>12</v>
      </c>
      <c r="J635" s="746">
        <v>24</v>
      </c>
      <c r="K635" s="746">
        <v>135560</v>
      </c>
      <c r="L635" s="747" t="s">
        <v>98</v>
      </c>
      <c r="M635" s="124" t="s">
        <v>99</v>
      </c>
      <c r="N635" s="19">
        <v>94</v>
      </c>
      <c r="O635" s="625"/>
      <c r="P635" s="474" t="s">
        <v>4</v>
      </c>
      <c r="Q635" s="472" t="s">
        <v>68</v>
      </c>
      <c r="R635" s="475" t="s">
        <v>69</v>
      </c>
      <c r="S635" s="475" t="s">
        <v>137</v>
      </c>
      <c r="T635" s="475"/>
      <c r="U635" s="124" t="s">
        <v>2592</v>
      </c>
      <c r="V635" s="475" t="s">
        <v>3</v>
      </c>
      <c r="W635" s="121">
        <v>1</v>
      </c>
      <c r="X635" s="476">
        <v>3000</v>
      </c>
      <c r="Y635" s="625"/>
      <c r="Z635" s="625"/>
      <c r="AA635" s="625"/>
      <c r="AC635" s="121">
        <v>14</v>
      </c>
      <c r="AD635" s="121">
        <v>30</v>
      </c>
      <c r="AF635" s="756"/>
      <c r="AH635" s="756"/>
      <c r="AI635" s="757"/>
      <c r="AK635" s="748" t="s">
        <v>585</v>
      </c>
      <c r="AL635" s="472" t="s">
        <v>73</v>
      </c>
      <c r="AM635" s="472" t="s">
        <v>73</v>
      </c>
      <c r="AN635" s="472" t="s">
        <v>73</v>
      </c>
      <c r="AO635" s="472" t="s">
        <v>73</v>
      </c>
      <c r="AP635" s="478">
        <v>1400</v>
      </c>
      <c r="AQ635" s="478">
        <v>3000</v>
      </c>
      <c r="AR635" s="472" t="s">
        <v>73</v>
      </c>
      <c r="AS635" s="472" t="s">
        <v>73</v>
      </c>
      <c r="AT635" s="472" t="s">
        <v>73</v>
      </c>
      <c r="AU635" s="472" t="s">
        <v>73</v>
      </c>
      <c r="AV635" s="472" t="s">
        <v>73</v>
      </c>
      <c r="AW635" s="472" t="s">
        <v>73</v>
      </c>
      <c r="AX635" s="478">
        <v>4400</v>
      </c>
      <c r="AY635" s="551" t="s">
        <v>5</v>
      </c>
      <c r="AZ635" s="625"/>
      <c r="BA635" s="625"/>
      <c r="BC635" s="750" t="s">
        <v>2593</v>
      </c>
      <c r="BD635" s="751" t="s">
        <v>586</v>
      </c>
      <c r="BE635" s="751" t="s">
        <v>586</v>
      </c>
      <c r="BF635" s="752">
        <v>46157</v>
      </c>
      <c r="BG635" s="751" t="s">
        <v>587</v>
      </c>
      <c r="BH635" s="752">
        <v>46161</v>
      </c>
      <c r="BI635" s="753"/>
      <c r="BJ635" s="754" t="s">
        <v>588</v>
      </c>
      <c r="BK635" s="147" t="s">
        <v>790</v>
      </c>
      <c r="BL635" s="481" t="s">
        <v>791</v>
      </c>
      <c r="BM635" s="284" t="s">
        <v>2601</v>
      </c>
      <c r="BN635" s="414" t="s">
        <v>2595</v>
      </c>
      <c r="BO635" s="284" t="s">
        <v>2602</v>
      </c>
      <c r="BP635" s="285">
        <v>46161</v>
      </c>
      <c r="BQ635" s="482"/>
      <c r="BR635" s="287">
        <v>4784</v>
      </c>
      <c r="BS635" s="482"/>
      <c r="BT635" s="656"/>
      <c r="BU635" s="946" t="s">
        <v>1568</v>
      </c>
      <c r="BV635" s="566" t="s">
        <v>2603</v>
      </c>
      <c r="BW635" s="284" t="s">
        <v>1361</v>
      </c>
      <c r="BX635" s="284" t="s">
        <v>2604</v>
      </c>
      <c r="BY635" s="284">
        <v>46358360</v>
      </c>
      <c r="BZ635" s="284"/>
      <c r="CA635" s="288">
        <v>3000</v>
      </c>
      <c r="CB635" s="550">
        <v>46164</v>
      </c>
      <c r="CC635" s="483">
        <v>46203</v>
      </c>
      <c r="CD635" s="759"/>
      <c r="CE635" s="1056">
        <f t="shared" si="762"/>
        <v>14</v>
      </c>
      <c r="CF635" s="1037">
        <f t="shared" si="757"/>
        <v>1400</v>
      </c>
      <c r="CG635" s="1056">
        <v>10</v>
      </c>
      <c r="CH635" s="1037">
        <f t="shared" si="758"/>
        <v>1000</v>
      </c>
      <c r="CI635" s="1056">
        <v>10</v>
      </c>
      <c r="CJ635" s="1037">
        <f t="shared" si="759"/>
        <v>1000</v>
      </c>
      <c r="CK635" s="1037">
        <f t="shared" si="764"/>
        <v>400</v>
      </c>
      <c r="CL635" s="1037">
        <f t="shared" si="765"/>
        <v>400</v>
      </c>
      <c r="CM635" s="1006"/>
      <c r="CN635" s="414">
        <v>30</v>
      </c>
      <c r="CO635" s="1057">
        <f t="shared" si="766"/>
        <v>3000</v>
      </c>
      <c r="CP635" s="414">
        <v>30</v>
      </c>
      <c r="CQ635" s="1037">
        <f>(X635/30)*CP635</f>
        <v>3000</v>
      </c>
      <c r="CR635" s="414">
        <v>30</v>
      </c>
      <c r="CS635" s="1037">
        <f>(X635/30)*CR635</f>
        <v>3000</v>
      </c>
      <c r="CT635" s="1037">
        <f t="shared" si="767"/>
        <v>0</v>
      </c>
      <c r="CU635" s="1037">
        <f t="shared" si="768"/>
        <v>0</v>
      </c>
      <c r="CV635" s="1006"/>
      <c r="CW635" s="177">
        <f t="shared" si="745"/>
        <v>4400</v>
      </c>
      <c r="CX635" s="1019">
        <f t="shared" si="746"/>
        <v>4000</v>
      </c>
      <c r="CY635" s="177">
        <f t="shared" si="747"/>
        <v>4000</v>
      </c>
      <c r="CZ635" s="1019">
        <f t="shared" si="748"/>
        <v>400</v>
      </c>
      <c r="DA635" s="177">
        <f t="shared" si="749"/>
        <v>400</v>
      </c>
      <c r="DB635" s="161"/>
      <c r="DC635" s="159"/>
    </row>
    <row r="636" spans="1:108" s="486" customFormat="1" ht="31.5" hidden="1" customHeight="1" x14ac:dyDescent="0.25">
      <c r="A636" s="745">
        <v>2026</v>
      </c>
      <c r="B636" s="746">
        <v>479</v>
      </c>
      <c r="C636" s="747" t="s">
        <v>64</v>
      </c>
      <c r="D636" s="747" t="s">
        <v>65</v>
      </c>
      <c r="E636" s="746">
        <v>125</v>
      </c>
      <c r="F636" s="746">
        <v>3000654</v>
      </c>
      <c r="G636" s="746">
        <v>5005023</v>
      </c>
      <c r="H636" s="746">
        <v>3</v>
      </c>
      <c r="I636" s="746">
        <v>12</v>
      </c>
      <c r="J636" s="746">
        <v>24</v>
      </c>
      <c r="K636" s="746">
        <v>135560</v>
      </c>
      <c r="L636" s="747" t="s">
        <v>98</v>
      </c>
      <c r="M636" s="124" t="s">
        <v>99</v>
      </c>
      <c r="N636" s="19">
        <v>94</v>
      </c>
      <c r="O636" s="625"/>
      <c r="P636" s="474" t="s">
        <v>4</v>
      </c>
      <c r="Q636" s="472" t="s">
        <v>68</v>
      </c>
      <c r="R636" s="475" t="s">
        <v>69</v>
      </c>
      <c r="S636" s="475" t="s">
        <v>137</v>
      </c>
      <c r="T636" s="475"/>
      <c r="U636" s="124" t="s">
        <v>2592</v>
      </c>
      <c r="V636" s="475" t="s">
        <v>3</v>
      </c>
      <c r="W636" s="121">
        <v>1</v>
      </c>
      <c r="X636" s="476">
        <v>3000</v>
      </c>
      <c r="Y636" s="625"/>
      <c r="Z636" s="625"/>
      <c r="AA636" s="625"/>
      <c r="AC636" s="121">
        <v>14</v>
      </c>
      <c r="AD636" s="121">
        <v>30</v>
      </c>
      <c r="AF636" s="756"/>
      <c r="AH636" s="756"/>
      <c r="AI636" s="757"/>
      <c r="AK636" s="748" t="s">
        <v>585</v>
      </c>
      <c r="AL636" s="472" t="s">
        <v>73</v>
      </c>
      <c r="AM636" s="472" t="s">
        <v>73</v>
      </c>
      <c r="AN636" s="472" t="s">
        <v>73</v>
      </c>
      <c r="AO636" s="472" t="s">
        <v>73</v>
      </c>
      <c r="AP636" s="478">
        <v>1400</v>
      </c>
      <c r="AQ636" s="478">
        <v>3000</v>
      </c>
      <c r="AR636" s="472" t="s">
        <v>73</v>
      </c>
      <c r="AS636" s="472" t="s">
        <v>73</v>
      </c>
      <c r="AT636" s="472" t="s">
        <v>73</v>
      </c>
      <c r="AU636" s="472" t="s">
        <v>73</v>
      </c>
      <c r="AV636" s="472" t="s">
        <v>73</v>
      </c>
      <c r="AW636" s="472" t="s">
        <v>73</v>
      </c>
      <c r="AX636" s="478">
        <v>4400</v>
      </c>
      <c r="AY636" s="551" t="s">
        <v>5</v>
      </c>
      <c r="AZ636" s="625"/>
      <c r="BA636" s="625"/>
      <c r="BC636" s="750" t="s">
        <v>2593</v>
      </c>
      <c r="BD636" s="751" t="s">
        <v>586</v>
      </c>
      <c r="BE636" s="751" t="s">
        <v>586</v>
      </c>
      <c r="BF636" s="752">
        <v>46157</v>
      </c>
      <c r="BG636" s="751" t="s">
        <v>587</v>
      </c>
      <c r="BH636" s="752">
        <v>46161</v>
      </c>
      <c r="BI636" s="753"/>
      <c r="BJ636" s="754" t="s">
        <v>588</v>
      </c>
      <c r="BK636" s="147" t="s">
        <v>790</v>
      </c>
      <c r="BL636" s="481" t="s">
        <v>791</v>
      </c>
      <c r="BM636" s="284" t="s">
        <v>2601</v>
      </c>
      <c r="BN636" s="414" t="s">
        <v>2595</v>
      </c>
      <c r="BO636" s="284" t="s">
        <v>2602</v>
      </c>
      <c r="BP636" s="285">
        <v>46161</v>
      </c>
      <c r="BQ636" s="482"/>
      <c r="BR636" s="287">
        <v>4785</v>
      </c>
      <c r="BS636" s="482"/>
      <c r="BT636" s="656"/>
      <c r="BU636" s="946" t="s">
        <v>1568</v>
      </c>
      <c r="BV636" s="566" t="s">
        <v>2605</v>
      </c>
      <c r="BW636" s="284" t="s">
        <v>1240</v>
      </c>
      <c r="BX636" s="284" t="s">
        <v>2606</v>
      </c>
      <c r="BY636" s="284">
        <v>73191230</v>
      </c>
      <c r="BZ636" s="284"/>
      <c r="CA636" s="288">
        <v>3000</v>
      </c>
      <c r="CB636" s="550">
        <v>46164</v>
      </c>
      <c r="CC636" s="483">
        <v>46203</v>
      </c>
      <c r="CD636" s="759"/>
      <c r="CE636" s="1056">
        <f t="shared" si="762"/>
        <v>14</v>
      </c>
      <c r="CF636" s="1037">
        <f t="shared" si="757"/>
        <v>1400</v>
      </c>
      <c r="CG636" s="1056">
        <v>10</v>
      </c>
      <c r="CH636" s="1037">
        <f t="shared" si="758"/>
        <v>1000</v>
      </c>
      <c r="CI636" s="1056">
        <v>10</v>
      </c>
      <c r="CJ636" s="1037">
        <f t="shared" si="759"/>
        <v>1000</v>
      </c>
      <c r="CK636" s="1037">
        <f t="shared" si="764"/>
        <v>400</v>
      </c>
      <c r="CL636" s="1037">
        <f t="shared" si="765"/>
        <v>400</v>
      </c>
      <c r="CM636" s="1006"/>
      <c r="CN636" s="414">
        <v>30</v>
      </c>
      <c r="CO636" s="1057">
        <f t="shared" si="766"/>
        <v>3000</v>
      </c>
      <c r="CP636" s="414">
        <v>30</v>
      </c>
      <c r="CQ636" s="1037">
        <f t="shared" si="760"/>
        <v>3000</v>
      </c>
      <c r="CR636" s="414">
        <v>30</v>
      </c>
      <c r="CS636" s="1037">
        <f t="shared" si="761"/>
        <v>3000</v>
      </c>
      <c r="CT636" s="1037">
        <f t="shared" si="767"/>
        <v>0</v>
      </c>
      <c r="CU636" s="1037">
        <f t="shared" si="768"/>
        <v>0</v>
      </c>
      <c r="CV636" s="1006"/>
      <c r="CW636" s="177">
        <f t="shared" si="745"/>
        <v>4400</v>
      </c>
      <c r="CX636" s="1019">
        <f t="shared" si="746"/>
        <v>4000</v>
      </c>
      <c r="CY636" s="177">
        <f t="shared" si="747"/>
        <v>4000</v>
      </c>
      <c r="CZ636" s="1019">
        <f t="shared" si="748"/>
        <v>400</v>
      </c>
      <c r="DA636" s="177">
        <f t="shared" si="749"/>
        <v>400</v>
      </c>
      <c r="DB636" s="161"/>
      <c r="DC636" s="159"/>
    </row>
    <row r="637" spans="1:108" s="486" customFormat="1" ht="31.5" hidden="1" customHeight="1" x14ac:dyDescent="0.25">
      <c r="A637" s="745">
        <v>2026</v>
      </c>
      <c r="B637" s="746">
        <v>479</v>
      </c>
      <c r="C637" s="747" t="s">
        <v>64</v>
      </c>
      <c r="D637" s="747" t="s">
        <v>65</v>
      </c>
      <c r="E637" s="746">
        <v>125</v>
      </c>
      <c r="F637" s="746">
        <v>3000654</v>
      </c>
      <c r="G637" s="746">
        <v>5005023</v>
      </c>
      <c r="H637" s="746">
        <v>3</v>
      </c>
      <c r="I637" s="746">
        <v>12</v>
      </c>
      <c r="J637" s="746">
        <v>24</v>
      </c>
      <c r="K637" s="746">
        <v>135560</v>
      </c>
      <c r="L637" s="747" t="s">
        <v>98</v>
      </c>
      <c r="M637" s="124" t="s">
        <v>99</v>
      </c>
      <c r="N637" s="19">
        <v>94</v>
      </c>
      <c r="O637" s="625"/>
      <c r="P637" s="474" t="s">
        <v>4</v>
      </c>
      <c r="Q637" s="472" t="s">
        <v>68</v>
      </c>
      <c r="R637" s="475" t="s">
        <v>69</v>
      </c>
      <c r="S637" s="475" t="s">
        <v>137</v>
      </c>
      <c r="T637" s="475"/>
      <c r="U637" s="124" t="s">
        <v>2592</v>
      </c>
      <c r="V637" s="475" t="s">
        <v>3</v>
      </c>
      <c r="W637" s="121">
        <v>1</v>
      </c>
      <c r="X637" s="476">
        <v>3000</v>
      </c>
      <c r="Y637" s="625"/>
      <c r="Z637" s="625"/>
      <c r="AA637" s="625"/>
      <c r="AC637" s="121">
        <v>14</v>
      </c>
      <c r="AD637" s="121">
        <v>30</v>
      </c>
      <c r="AF637" s="756"/>
      <c r="AH637" s="756"/>
      <c r="AI637" s="757"/>
      <c r="AK637" s="748" t="s">
        <v>585</v>
      </c>
      <c r="AL637" s="472" t="s">
        <v>73</v>
      </c>
      <c r="AM637" s="472" t="s">
        <v>73</v>
      </c>
      <c r="AN637" s="472" t="s">
        <v>73</v>
      </c>
      <c r="AO637" s="472" t="s">
        <v>73</v>
      </c>
      <c r="AP637" s="478">
        <v>1400</v>
      </c>
      <c r="AQ637" s="478">
        <v>3000</v>
      </c>
      <c r="AR637" s="472" t="s">
        <v>73</v>
      </c>
      <c r="AS637" s="472" t="s">
        <v>73</v>
      </c>
      <c r="AT637" s="472" t="s">
        <v>73</v>
      </c>
      <c r="AU637" s="472" t="s">
        <v>73</v>
      </c>
      <c r="AV637" s="472" t="s">
        <v>73</v>
      </c>
      <c r="AW637" s="472" t="s">
        <v>73</v>
      </c>
      <c r="AX637" s="478">
        <v>4400</v>
      </c>
      <c r="AY637" s="551" t="s">
        <v>5</v>
      </c>
      <c r="AZ637" s="625"/>
      <c r="BA637" s="625"/>
      <c r="BC637" s="750" t="s">
        <v>2593</v>
      </c>
      <c r="BD637" s="751" t="s">
        <v>586</v>
      </c>
      <c r="BE637" s="751" t="s">
        <v>586</v>
      </c>
      <c r="BF637" s="752">
        <v>46157</v>
      </c>
      <c r="BG637" s="751" t="s">
        <v>587</v>
      </c>
      <c r="BH637" s="752">
        <v>46161</v>
      </c>
      <c r="BI637" s="753"/>
      <c r="BJ637" s="754" t="s">
        <v>588</v>
      </c>
      <c r="BK637" s="147" t="s">
        <v>790</v>
      </c>
      <c r="BL637" s="481" t="s">
        <v>791</v>
      </c>
      <c r="BM637" s="284" t="s">
        <v>2601</v>
      </c>
      <c r="BN637" s="414" t="s">
        <v>2595</v>
      </c>
      <c r="BO637" s="284" t="s">
        <v>2602</v>
      </c>
      <c r="BP637" s="285">
        <v>46161</v>
      </c>
      <c r="BQ637" s="482"/>
      <c r="BR637" s="287">
        <v>4786</v>
      </c>
      <c r="BS637" s="482"/>
      <c r="BT637" s="656"/>
      <c r="BU637" s="946" t="s">
        <v>1568</v>
      </c>
      <c r="BV637" s="566" t="s">
        <v>845</v>
      </c>
      <c r="BW637" s="284" t="s">
        <v>2607</v>
      </c>
      <c r="BX637" s="284" t="s">
        <v>2608</v>
      </c>
      <c r="BY637" s="284">
        <v>75116964</v>
      </c>
      <c r="BZ637" s="284"/>
      <c r="CA637" s="288">
        <v>3000</v>
      </c>
      <c r="CB637" s="550">
        <v>46164</v>
      </c>
      <c r="CC637" s="483">
        <v>46203</v>
      </c>
      <c r="CD637" s="759"/>
      <c r="CE637" s="1056">
        <f t="shared" si="762"/>
        <v>14</v>
      </c>
      <c r="CF637" s="1037">
        <f t="shared" si="757"/>
        <v>1400</v>
      </c>
      <c r="CG637" s="1056">
        <v>10</v>
      </c>
      <c r="CH637" s="1037">
        <f t="shared" si="758"/>
        <v>1000</v>
      </c>
      <c r="CI637" s="1056">
        <v>10</v>
      </c>
      <c r="CJ637" s="1037">
        <f t="shared" si="759"/>
        <v>1000</v>
      </c>
      <c r="CK637" s="1037">
        <f t="shared" si="764"/>
        <v>400</v>
      </c>
      <c r="CL637" s="1037">
        <f t="shared" si="765"/>
        <v>400</v>
      </c>
      <c r="CM637" s="1006"/>
      <c r="CN637" s="414">
        <v>30</v>
      </c>
      <c r="CO637" s="1057">
        <f t="shared" si="766"/>
        <v>3000</v>
      </c>
      <c r="CP637" s="414">
        <v>30</v>
      </c>
      <c r="CQ637" s="1037">
        <f t="shared" si="760"/>
        <v>3000</v>
      </c>
      <c r="CR637" s="414">
        <v>30</v>
      </c>
      <c r="CS637" s="1037">
        <f t="shared" si="761"/>
        <v>3000</v>
      </c>
      <c r="CT637" s="1037">
        <f t="shared" si="767"/>
        <v>0</v>
      </c>
      <c r="CU637" s="1037">
        <f t="shared" si="768"/>
        <v>0</v>
      </c>
      <c r="CV637" s="1042"/>
      <c r="CW637" s="177">
        <f t="shared" si="745"/>
        <v>4400</v>
      </c>
      <c r="CX637" s="1019">
        <f t="shared" si="746"/>
        <v>4000</v>
      </c>
      <c r="CY637" s="177">
        <f t="shared" si="747"/>
        <v>4000</v>
      </c>
      <c r="CZ637" s="1019">
        <f t="shared" si="748"/>
        <v>400</v>
      </c>
      <c r="DA637" s="177">
        <f t="shared" si="749"/>
        <v>400</v>
      </c>
      <c r="DB637" s="161"/>
      <c r="DC637" s="159"/>
    </row>
    <row r="638" spans="1:108" s="67" customFormat="1" x14ac:dyDescent="0.25">
      <c r="A638" s="150"/>
      <c r="B638" s="150"/>
      <c r="C638" s="150"/>
      <c r="D638" s="150"/>
      <c r="E638" s="150"/>
      <c r="F638" s="150"/>
      <c r="G638" s="150"/>
      <c r="H638" s="150"/>
      <c r="I638" s="150"/>
      <c r="J638" s="150"/>
      <c r="K638" s="150"/>
      <c r="L638" s="150"/>
      <c r="M638" s="150"/>
      <c r="N638" s="265"/>
      <c r="O638" s="150"/>
      <c r="P638" s="150"/>
      <c r="Q638" s="150"/>
      <c r="R638" s="150"/>
      <c r="S638" s="150"/>
      <c r="T638" s="151"/>
      <c r="U638" s="150"/>
      <c r="V638" s="150"/>
      <c r="W638" s="265"/>
      <c r="X638" s="296"/>
      <c r="Y638" s="150"/>
      <c r="Z638" s="150"/>
      <c r="AA638" s="150"/>
      <c r="AB638" s="150"/>
      <c r="AC638" s="265"/>
      <c r="AD638" s="265"/>
      <c r="AE638" s="150"/>
      <c r="AF638" s="150"/>
      <c r="AG638" s="150"/>
      <c r="AH638" s="150"/>
      <c r="AI638" s="150"/>
      <c r="AJ638" s="150"/>
      <c r="AK638" s="269">
        <f>SUBTOTAL(9,AK3:AK637)</f>
        <v>243000</v>
      </c>
      <c r="AL638" s="152">
        <f>SUBTOTAL(9,AL3:AL625)</f>
        <v>0</v>
      </c>
      <c r="AM638" s="152">
        <f>SUBTOTAL(9,AM3:AM625)</f>
        <v>0</v>
      </c>
      <c r="AN638" s="152">
        <f>SUBTOTAL(9,AN3:AN625)</f>
        <v>0</v>
      </c>
      <c r="AO638" s="152">
        <f>SUBTOTAL(9,AO3:AO625)</f>
        <v>0</v>
      </c>
      <c r="AP638" s="268">
        <f>SUBTOTAL(9,AP3:AP632)</f>
        <v>131500</v>
      </c>
      <c r="AQ638" s="268">
        <f>SUBTOTAL(9,AQ3:AQ632)</f>
        <v>131500</v>
      </c>
      <c r="AR638" s="152">
        <f t="shared" ref="AR638:AW638" si="769">SUBTOTAL(9,AR3:AR625)</f>
        <v>0</v>
      </c>
      <c r="AS638" s="152">
        <f t="shared" si="769"/>
        <v>0</v>
      </c>
      <c r="AT638" s="152">
        <f t="shared" si="769"/>
        <v>0</v>
      </c>
      <c r="AU638" s="152">
        <f t="shared" si="769"/>
        <v>0</v>
      </c>
      <c r="AV638" s="152">
        <f t="shared" si="769"/>
        <v>0</v>
      </c>
      <c r="AW638" s="152">
        <f t="shared" si="769"/>
        <v>0</v>
      </c>
      <c r="AX638" s="268">
        <f>SUBTOTAL(9,AX3:AX637)</f>
        <v>261900</v>
      </c>
      <c r="AY638" s="150"/>
      <c r="AZ638" s="150"/>
      <c r="BA638" s="150"/>
      <c r="BB638" s="150"/>
      <c r="BC638" s="150"/>
      <c r="BD638" s="146"/>
      <c r="BK638" s="214"/>
      <c r="BL638" s="214"/>
      <c r="BM638" s="214"/>
      <c r="BN638" s="416"/>
      <c r="BO638" s="214"/>
      <c r="BP638" s="214"/>
      <c r="BQ638" s="150"/>
      <c r="BR638" s="961"/>
      <c r="BS638" s="150"/>
      <c r="BT638" s="150"/>
      <c r="BU638" s="150"/>
      <c r="BV638" s="153"/>
      <c r="BW638" s="153"/>
      <c r="BX638" s="153"/>
      <c r="BY638" s="214"/>
      <c r="BZ638" s="214"/>
      <c r="CA638" s="153"/>
      <c r="CB638" s="153"/>
      <c r="CC638" s="153"/>
      <c r="CD638" s="154"/>
      <c r="CE638" s="1059"/>
      <c r="CF638" s="273">
        <f>SUBTOTAL(9,CF3:CF622)</f>
        <v>121500</v>
      </c>
      <c r="CG638" s="273"/>
      <c r="CH638" s="273">
        <f>SUBTOTAL(9,CH3:CH622)</f>
        <v>95000</v>
      </c>
      <c r="CI638" s="273"/>
      <c r="CJ638" s="273">
        <f>SUBTOTAL(9,CJ3:CJ622)</f>
        <v>95000</v>
      </c>
      <c r="CK638" s="273">
        <f>SUBTOTAL(9,CK3:CK622)</f>
        <v>26500</v>
      </c>
      <c r="CL638" s="273">
        <f>SUBTOTAL(9,CL3:CL622)</f>
        <v>26500</v>
      </c>
      <c r="CM638" s="1058"/>
      <c r="CN638" s="273"/>
      <c r="CO638" s="273">
        <f>SUBTOTAL(9,CO3:CO622)</f>
        <v>121500</v>
      </c>
      <c r="CP638" s="273"/>
      <c r="CQ638" s="273">
        <f>SUBTOTAL(9,CQ3:CQ622)</f>
        <v>95000</v>
      </c>
      <c r="CR638" s="273"/>
      <c r="CS638" s="273">
        <f>SUBTOTAL(9,CS3:CS622)</f>
        <v>95000</v>
      </c>
      <c r="CT638" s="273">
        <f t="shared" ref="CT638" si="770">SUBTOTAL(9,CT3:CT622)</f>
        <v>26500</v>
      </c>
      <c r="CU638" s="273">
        <f>SUBTOTAL(9,CU3:CU622)</f>
        <v>26500</v>
      </c>
      <c r="CV638" s="1060"/>
      <c r="CW638" s="1061">
        <f>SUBTOTAL(9,CW3:CW637)</f>
        <v>261900</v>
      </c>
      <c r="CX638" s="1061">
        <f>SUBTOTAL(9,CX3:CX637)</f>
        <v>217200</v>
      </c>
      <c r="CY638" s="1061">
        <f>SUBTOTAL(9,CY3:CY637)</f>
        <v>217200</v>
      </c>
      <c r="CZ638" s="1061">
        <f>SUBTOTAL(9,CZ3:CZ637)</f>
        <v>44700</v>
      </c>
      <c r="DA638" s="1061">
        <f t="shared" ref="DA638" si="771">SUBTOTAL(9,DA3:DA637)</f>
        <v>44700</v>
      </c>
      <c r="DB638" s="127"/>
      <c r="DC638" s="127"/>
      <c r="DD638" s="887"/>
    </row>
    <row r="639" spans="1:108" x14ac:dyDescent="0.25">
      <c r="CM639" s="759"/>
    </row>
    <row r="640" spans="1:108" x14ac:dyDescent="0.25">
      <c r="CM640" s="759"/>
    </row>
    <row r="641" spans="50:105" ht="39.75" customHeight="1" x14ac:dyDescent="0.25">
      <c r="AX641" s="389"/>
      <c r="AY641" s="165"/>
      <c r="BF641" s="140"/>
      <c r="BG641" s="140"/>
      <c r="BH641" s="140"/>
      <c r="CM641" s="759"/>
      <c r="CW641" s="340"/>
      <c r="CX641" s="212"/>
      <c r="CY641" s="212"/>
      <c r="CZ641" s="340"/>
      <c r="DA641" s="340"/>
    </row>
    <row r="642" spans="50:105" x14ac:dyDescent="0.25">
      <c r="CM642" s="759"/>
    </row>
    <row r="643" spans="50:105" x14ac:dyDescent="0.25">
      <c r="AX643" s="403"/>
      <c r="AY643" s="402"/>
      <c r="CM643" s="759"/>
      <c r="CX643" s="212"/>
    </row>
    <row r="644" spans="50:105" x14ac:dyDescent="0.25">
      <c r="AX644" s="389"/>
      <c r="CM644" s="759"/>
    </row>
    <row r="645" spans="50:105" x14ac:dyDescent="0.25">
      <c r="CM645" s="759"/>
    </row>
    <row r="646" spans="50:105" x14ac:dyDescent="0.25">
      <c r="BP646" s="71" t="s">
        <v>2609</v>
      </c>
      <c r="CM646" s="759"/>
    </row>
    <row r="647" spans="50:105" x14ac:dyDescent="0.25">
      <c r="CM647" s="759"/>
    </row>
    <row r="648" spans="50:105" x14ac:dyDescent="0.25">
      <c r="CM648" s="759"/>
    </row>
    <row r="649" spans="50:105" x14ac:dyDescent="0.25">
      <c r="CM649" s="759"/>
    </row>
    <row r="650" spans="50:105" x14ac:dyDescent="0.25">
      <c r="CM650" s="759"/>
    </row>
    <row r="651" spans="50:105" x14ac:dyDescent="0.25">
      <c r="CM651" s="759"/>
    </row>
    <row r="652" spans="50:105" x14ac:dyDescent="0.25">
      <c r="CM652" s="759"/>
    </row>
    <row r="653" spans="50:105" x14ac:dyDescent="0.25">
      <c r="CM653" s="759"/>
    </row>
    <row r="654" spans="50:105" x14ac:dyDescent="0.25">
      <c r="CM654" s="759"/>
    </row>
    <row r="655" spans="50:105" x14ac:dyDescent="0.25">
      <c r="CM655" s="759"/>
    </row>
    <row r="656" spans="50:105" x14ac:dyDescent="0.25">
      <c r="CM656" s="759"/>
    </row>
    <row r="657" spans="91:91" x14ac:dyDescent="0.25">
      <c r="CM657" s="759"/>
    </row>
    <row r="658" spans="91:91" x14ac:dyDescent="0.25">
      <c r="CM658" s="759"/>
    </row>
    <row r="659" spans="91:91" x14ac:dyDescent="0.25">
      <c r="CM659" s="759"/>
    </row>
    <row r="660" spans="91:91" x14ac:dyDescent="0.25">
      <c r="CM660" s="759"/>
    </row>
    <row r="661" spans="91:91" x14ac:dyDescent="0.25">
      <c r="CM661" s="759"/>
    </row>
    <row r="662" spans="91:91" x14ac:dyDescent="0.25">
      <c r="CM662" s="759"/>
    </row>
    <row r="663" spans="91:91" x14ac:dyDescent="0.25">
      <c r="CM663" s="759"/>
    </row>
    <row r="664" spans="91:91" x14ac:dyDescent="0.25">
      <c r="CM664" s="759"/>
    </row>
    <row r="665" spans="91:91" x14ac:dyDescent="0.25">
      <c r="CM665" s="759"/>
    </row>
    <row r="666" spans="91:91" x14ac:dyDescent="0.25">
      <c r="CM666" s="759"/>
    </row>
    <row r="667" spans="91:91" x14ac:dyDescent="0.25">
      <c r="CM667" s="759"/>
    </row>
    <row r="668" spans="91:91" x14ac:dyDescent="0.25">
      <c r="CM668" s="759"/>
    </row>
    <row r="669" spans="91:91" x14ac:dyDescent="0.25">
      <c r="CM669" s="759"/>
    </row>
    <row r="670" spans="91:91" x14ac:dyDescent="0.25">
      <c r="CM670" s="759"/>
    </row>
    <row r="671" spans="91:91" x14ac:dyDescent="0.25">
      <c r="CM671" s="759"/>
    </row>
    <row r="672" spans="91:91" x14ac:dyDescent="0.25">
      <c r="CM672" s="759"/>
    </row>
    <row r="673" spans="91:91" x14ac:dyDescent="0.25">
      <c r="CM673" s="759"/>
    </row>
    <row r="674" spans="91:91" x14ac:dyDescent="0.25">
      <c r="CM674" s="759"/>
    </row>
    <row r="675" spans="91:91" x14ac:dyDescent="0.25">
      <c r="CM675" s="759"/>
    </row>
    <row r="676" spans="91:91" x14ac:dyDescent="0.25">
      <c r="CM676" s="759"/>
    </row>
    <row r="677" spans="91:91" x14ac:dyDescent="0.25">
      <c r="CM677" s="759"/>
    </row>
    <row r="678" spans="91:91" x14ac:dyDescent="0.25">
      <c r="CM678" s="759"/>
    </row>
    <row r="679" spans="91:91" x14ac:dyDescent="0.25">
      <c r="CM679" s="759"/>
    </row>
    <row r="680" spans="91:91" x14ac:dyDescent="0.25">
      <c r="CM680" s="759"/>
    </row>
    <row r="681" spans="91:91" x14ac:dyDescent="0.25">
      <c r="CM681" s="759"/>
    </row>
    <row r="682" spans="91:91" x14ac:dyDescent="0.25">
      <c r="CM682" s="759"/>
    </row>
    <row r="683" spans="91:91" x14ac:dyDescent="0.25">
      <c r="CM683" s="759"/>
    </row>
    <row r="684" spans="91:91" x14ac:dyDescent="0.25">
      <c r="CM684" s="759"/>
    </row>
    <row r="685" spans="91:91" x14ac:dyDescent="0.25">
      <c r="CM685" s="759"/>
    </row>
    <row r="686" spans="91:91" x14ac:dyDescent="0.25">
      <c r="CM686" s="759"/>
    </row>
    <row r="687" spans="91:91" x14ac:dyDescent="0.25">
      <c r="CM687" s="759"/>
    </row>
    <row r="688" spans="91:91" x14ac:dyDescent="0.25">
      <c r="CM688" s="759"/>
    </row>
    <row r="689" spans="91:91" x14ac:dyDescent="0.25">
      <c r="CM689" s="759"/>
    </row>
    <row r="690" spans="91:91" x14ac:dyDescent="0.25">
      <c r="CM690" s="759"/>
    </row>
    <row r="691" spans="91:91" x14ac:dyDescent="0.25">
      <c r="CM691" s="759"/>
    </row>
    <row r="692" spans="91:91" x14ac:dyDescent="0.25">
      <c r="CM692" s="759"/>
    </row>
    <row r="693" spans="91:91" x14ac:dyDescent="0.25">
      <c r="CM693" s="759"/>
    </row>
    <row r="694" spans="91:91" x14ac:dyDescent="0.25">
      <c r="CM694" s="759"/>
    </row>
    <row r="695" spans="91:91" x14ac:dyDescent="0.25">
      <c r="CM695" s="759"/>
    </row>
    <row r="696" spans="91:91" x14ac:dyDescent="0.25">
      <c r="CM696" s="759"/>
    </row>
    <row r="697" spans="91:91" x14ac:dyDescent="0.25">
      <c r="CM697" s="759"/>
    </row>
    <row r="698" spans="91:91" x14ac:dyDescent="0.25">
      <c r="CM698" s="759"/>
    </row>
    <row r="699" spans="91:91" x14ac:dyDescent="0.25">
      <c r="CM699" s="759"/>
    </row>
    <row r="700" spans="91:91" x14ac:dyDescent="0.25">
      <c r="CM700" s="759"/>
    </row>
    <row r="701" spans="91:91" x14ac:dyDescent="0.25">
      <c r="CM701" s="759"/>
    </row>
    <row r="702" spans="91:91" x14ac:dyDescent="0.25">
      <c r="CM702" s="759"/>
    </row>
    <row r="703" spans="91:91" x14ac:dyDescent="0.25">
      <c r="CM703" s="759"/>
    </row>
    <row r="704" spans="91:91" x14ac:dyDescent="0.25">
      <c r="CM704" s="759"/>
    </row>
    <row r="705" spans="91:91" x14ac:dyDescent="0.25">
      <c r="CM705" s="759"/>
    </row>
    <row r="706" spans="91:91" x14ac:dyDescent="0.25">
      <c r="CM706" s="759"/>
    </row>
    <row r="707" spans="91:91" x14ac:dyDescent="0.25">
      <c r="CM707" s="759"/>
    </row>
    <row r="708" spans="91:91" x14ac:dyDescent="0.25">
      <c r="CM708" s="759"/>
    </row>
    <row r="709" spans="91:91" x14ac:dyDescent="0.25">
      <c r="CM709" s="759"/>
    </row>
    <row r="710" spans="91:91" x14ac:dyDescent="0.25">
      <c r="CM710" s="759"/>
    </row>
    <row r="711" spans="91:91" x14ac:dyDescent="0.25">
      <c r="CM711" s="759"/>
    </row>
    <row r="712" spans="91:91" x14ac:dyDescent="0.25">
      <c r="CM712" s="759"/>
    </row>
    <row r="713" spans="91:91" x14ac:dyDescent="0.25">
      <c r="CM713" s="759"/>
    </row>
    <row r="714" spans="91:91" x14ac:dyDescent="0.25">
      <c r="CM714" s="759"/>
    </row>
    <row r="715" spans="91:91" x14ac:dyDescent="0.25">
      <c r="CM715" s="759"/>
    </row>
    <row r="716" spans="91:91" x14ac:dyDescent="0.25">
      <c r="CM716" s="759"/>
    </row>
    <row r="717" spans="91:91" x14ac:dyDescent="0.25">
      <c r="CM717" s="759"/>
    </row>
    <row r="718" spans="91:91" x14ac:dyDescent="0.25">
      <c r="CM718" s="759"/>
    </row>
    <row r="719" spans="91:91" x14ac:dyDescent="0.25">
      <c r="CM719" s="759"/>
    </row>
    <row r="720" spans="91:91" x14ac:dyDescent="0.25">
      <c r="CM720" s="759"/>
    </row>
    <row r="721" spans="91:91" x14ac:dyDescent="0.25">
      <c r="CM721" s="759"/>
    </row>
    <row r="722" spans="91:91" x14ac:dyDescent="0.25">
      <c r="CM722" s="759"/>
    </row>
    <row r="723" spans="91:91" x14ac:dyDescent="0.25">
      <c r="CM723" s="759"/>
    </row>
    <row r="724" spans="91:91" x14ac:dyDescent="0.25">
      <c r="CM724" s="759"/>
    </row>
    <row r="725" spans="91:91" x14ac:dyDescent="0.25">
      <c r="CM725" s="759"/>
    </row>
    <row r="726" spans="91:91" x14ac:dyDescent="0.25">
      <c r="CM726" s="759"/>
    </row>
    <row r="727" spans="91:91" x14ac:dyDescent="0.25">
      <c r="CM727" s="759"/>
    </row>
    <row r="728" spans="91:91" x14ac:dyDescent="0.25">
      <c r="CM728" s="759"/>
    </row>
    <row r="729" spans="91:91" x14ac:dyDescent="0.25">
      <c r="CM729" s="759"/>
    </row>
    <row r="730" spans="91:91" x14ac:dyDescent="0.25">
      <c r="CM730" s="759"/>
    </row>
    <row r="731" spans="91:91" x14ac:dyDescent="0.25">
      <c r="CM731" s="759"/>
    </row>
    <row r="732" spans="91:91" x14ac:dyDescent="0.25">
      <c r="CM732" s="759"/>
    </row>
    <row r="733" spans="91:91" x14ac:dyDescent="0.25">
      <c r="CM733" s="759"/>
    </row>
    <row r="734" spans="91:91" x14ac:dyDescent="0.25">
      <c r="CM734" s="759"/>
    </row>
    <row r="735" spans="91:91" x14ac:dyDescent="0.25">
      <c r="CM735" s="759"/>
    </row>
    <row r="736" spans="91:91" x14ac:dyDescent="0.25">
      <c r="CM736" s="759"/>
    </row>
    <row r="737" spans="91:91" x14ac:dyDescent="0.25">
      <c r="CM737" s="759"/>
    </row>
    <row r="738" spans="91:91" x14ac:dyDescent="0.25">
      <c r="CM738" s="759"/>
    </row>
    <row r="739" spans="91:91" x14ac:dyDescent="0.25">
      <c r="CM739" s="759"/>
    </row>
    <row r="740" spans="91:91" x14ac:dyDescent="0.25">
      <c r="CM740" s="759"/>
    </row>
    <row r="741" spans="91:91" x14ac:dyDescent="0.25">
      <c r="CM741" s="759"/>
    </row>
    <row r="742" spans="91:91" x14ac:dyDescent="0.25">
      <c r="CM742" s="759"/>
    </row>
    <row r="743" spans="91:91" x14ac:dyDescent="0.25">
      <c r="CM743" s="759"/>
    </row>
    <row r="744" spans="91:91" x14ac:dyDescent="0.25">
      <c r="CM744" s="759"/>
    </row>
    <row r="745" spans="91:91" x14ac:dyDescent="0.25">
      <c r="CM745" s="759"/>
    </row>
    <row r="746" spans="91:91" x14ac:dyDescent="0.25">
      <c r="CM746" s="759"/>
    </row>
    <row r="747" spans="91:91" x14ac:dyDescent="0.25">
      <c r="CM747" s="759"/>
    </row>
    <row r="748" spans="91:91" x14ac:dyDescent="0.25">
      <c r="CM748" s="759"/>
    </row>
    <row r="749" spans="91:91" x14ac:dyDescent="0.25">
      <c r="CM749" s="759"/>
    </row>
    <row r="750" spans="91:91" x14ac:dyDescent="0.25">
      <c r="CM750" s="759"/>
    </row>
    <row r="751" spans="91:91" x14ac:dyDescent="0.25">
      <c r="CM751" s="759"/>
    </row>
    <row r="752" spans="91:91" x14ac:dyDescent="0.25">
      <c r="CM752" s="759"/>
    </row>
    <row r="753" spans="91:91" x14ac:dyDescent="0.25">
      <c r="CM753" s="759"/>
    </row>
    <row r="754" spans="91:91" x14ac:dyDescent="0.25">
      <c r="CM754" s="759"/>
    </row>
    <row r="755" spans="91:91" x14ac:dyDescent="0.25">
      <c r="CM755" s="759"/>
    </row>
    <row r="756" spans="91:91" x14ac:dyDescent="0.25">
      <c r="CM756" s="759"/>
    </row>
    <row r="757" spans="91:91" x14ac:dyDescent="0.25">
      <c r="CM757" s="759"/>
    </row>
    <row r="758" spans="91:91" x14ac:dyDescent="0.25">
      <c r="CM758" s="759"/>
    </row>
    <row r="759" spans="91:91" x14ac:dyDescent="0.25">
      <c r="CM759" s="759"/>
    </row>
    <row r="760" spans="91:91" x14ac:dyDescent="0.25">
      <c r="CM760" s="759"/>
    </row>
    <row r="761" spans="91:91" x14ac:dyDescent="0.25">
      <c r="CM761" s="759"/>
    </row>
    <row r="762" spans="91:91" x14ac:dyDescent="0.25">
      <c r="CM762" s="759"/>
    </row>
    <row r="763" spans="91:91" x14ac:dyDescent="0.25">
      <c r="CM763" s="759"/>
    </row>
    <row r="764" spans="91:91" x14ac:dyDescent="0.25">
      <c r="CM764" s="759"/>
    </row>
    <row r="765" spans="91:91" x14ac:dyDescent="0.25">
      <c r="CM765" s="759"/>
    </row>
    <row r="766" spans="91:91" x14ac:dyDescent="0.25">
      <c r="CM766" s="759"/>
    </row>
    <row r="767" spans="91:91" x14ac:dyDescent="0.25">
      <c r="CM767" s="759"/>
    </row>
    <row r="768" spans="91:91" x14ac:dyDescent="0.25">
      <c r="CM768" s="759"/>
    </row>
    <row r="769" spans="91:91" x14ac:dyDescent="0.25">
      <c r="CM769" s="759"/>
    </row>
    <row r="770" spans="91:91" x14ac:dyDescent="0.25">
      <c r="CM770" s="759"/>
    </row>
    <row r="771" spans="91:91" x14ac:dyDescent="0.25">
      <c r="CM771" s="759"/>
    </row>
    <row r="772" spans="91:91" x14ac:dyDescent="0.25">
      <c r="CM772" s="759"/>
    </row>
    <row r="773" spans="91:91" x14ac:dyDescent="0.25">
      <c r="CM773" s="759"/>
    </row>
    <row r="774" spans="91:91" x14ac:dyDescent="0.25">
      <c r="CM774" s="759"/>
    </row>
    <row r="775" spans="91:91" x14ac:dyDescent="0.25">
      <c r="CM775" s="759"/>
    </row>
    <row r="776" spans="91:91" x14ac:dyDescent="0.25">
      <c r="CM776" s="759"/>
    </row>
    <row r="777" spans="91:91" x14ac:dyDescent="0.25">
      <c r="CM777" s="759"/>
    </row>
    <row r="778" spans="91:91" x14ac:dyDescent="0.25">
      <c r="CM778" s="759"/>
    </row>
    <row r="779" spans="91:91" x14ac:dyDescent="0.25">
      <c r="CM779" s="759"/>
    </row>
    <row r="780" spans="91:91" x14ac:dyDescent="0.25">
      <c r="CM780" s="759"/>
    </row>
    <row r="781" spans="91:91" x14ac:dyDescent="0.25">
      <c r="CM781" s="759"/>
    </row>
    <row r="782" spans="91:91" x14ac:dyDescent="0.25">
      <c r="CM782" s="759"/>
    </row>
    <row r="783" spans="91:91" x14ac:dyDescent="0.25">
      <c r="CM783" s="759"/>
    </row>
    <row r="784" spans="91:91" x14ac:dyDescent="0.25">
      <c r="CM784" s="759"/>
    </row>
    <row r="785" spans="91:91" x14ac:dyDescent="0.25">
      <c r="CM785" s="759"/>
    </row>
    <row r="786" spans="91:91" x14ac:dyDescent="0.25">
      <c r="CM786" s="759"/>
    </row>
    <row r="787" spans="91:91" x14ac:dyDescent="0.25">
      <c r="CM787" s="759"/>
    </row>
    <row r="788" spans="91:91" x14ac:dyDescent="0.25">
      <c r="CM788" s="759"/>
    </row>
    <row r="789" spans="91:91" x14ac:dyDescent="0.25">
      <c r="CM789" s="759"/>
    </row>
    <row r="790" spans="91:91" x14ac:dyDescent="0.25">
      <c r="CM790" s="759"/>
    </row>
    <row r="791" spans="91:91" x14ac:dyDescent="0.25">
      <c r="CM791" s="759"/>
    </row>
    <row r="792" spans="91:91" x14ac:dyDescent="0.25">
      <c r="CM792" s="759"/>
    </row>
    <row r="793" spans="91:91" x14ac:dyDescent="0.25">
      <c r="CM793" s="759"/>
    </row>
    <row r="794" spans="91:91" x14ac:dyDescent="0.25">
      <c r="CM794" s="759"/>
    </row>
    <row r="795" spans="91:91" x14ac:dyDescent="0.25">
      <c r="CM795" s="759"/>
    </row>
    <row r="796" spans="91:91" x14ac:dyDescent="0.25">
      <c r="CM796" s="759"/>
    </row>
    <row r="797" spans="91:91" x14ac:dyDescent="0.25">
      <c r="CM797" s="760"/>
    </row>
  </sheetData>
  <autoFilter ref="A2:XEX637" xr:uid="{20A526A2-E432-4A9A-AAC7-044978E38A4C}">
    <filterColumn colId="50">
      <filters>
        <filter val="GITE"/>
      </filters>
    </filterColumn>
  </autoFilter>
  <mergeCells count="4">
    <mergeCell ref="BK1:BU1"/>
    <mergeCell ref="CN1:CU1"/>
    <mergeCell ref="BV1:CC1"/>
    <mergeCell ref="CE1:CL1"/>
  </mergeCell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224E1-65FC-4C06-89E7-72D8124921EB}">
  <dimension ref="A3:I42"/>
  <sheetViews>
    <sheetView topLeftCell="A19" zoomScale="55" zoomScaleNormal="55" workbookViewId="0">
      <selection activeCell="A23" sqref="A23"/>
    </sheetView>
  </sheetViews>
  <sheetFormatPr baseColWidth="10" defaultColWidth="9.140625" defaultRowHeight="15" x14ac:dyDescent="0.25"/>
  <cols>
    <col min="1" max="1" width="89.28515625" bestFit="1" customWidth="1"/>
    <col min="2" max="2" width="24.140625" customWidth="1"/>
    <col min="3" max="3" width="25" customWidth="1"/>
    <col min="4" max="4" width="18.7109375" customWidth="1"/>
    <col min="5" max="5" width="16.5703125" customWidth="1"/>
    <col min="6" max="6" width="18.7109375" customWidth="1"/>
    <col min="7" max="7" width="24.7109375" customWidth="1"/>
    <col min="8" max="8" width="23.7109375" customWidth="1"/>
    <col min="9" max="9" width="52.42578125" bestFit="1" customWidth="1"/>
    <col min="10" max="10" width="11.85546875" bestFit="1" customWidth="1"/>
    <col min="11" max="11" width="13" bestFit="1" customWidth="1"/>
    <col min="12" max="13" width="12.85546875" bestFit="1" customWidth="1"/>
    <col min="14" max="14" width="13" bestFit="1" customWidth="1"/>
    <col min="15" max="15" width="12.85546875" bestFit="1" customWidth="1"/>
    <col min="16" max="16" width="13" bestFit="1" customWidth="1"/>
    <col min="17" max="17" width="12.85546875" bestFit="1" customWidth="1"/>
    <col min="18" max="18" width="14.140625" bestFit="1" customWidth="1"/>
    <col min="19" max="19" width="12.85546875" bestFit="1" customWidth="1"/>
    <col min="20" max="20" width="13" bestFit="1" customWidth="1"/>
    <col min="21" max="21" width="12.85546875" bestFit="1" customWidth="1"/>
    <col min="22" max="22" width="14.140625" bestFit="1" customWidth="1"/>
    <col min="23" max="23" width="11.85546875" bestFit="1" customWidth="1"/>
    <col min="24" max="25" width="13" bestFit="1" customWidth="1"/>
    <col min="26" max="26" width="14.140625" bestFit="1" customWidth="1"/>
    <col min="27" max="27" width="13" bestFit="1" customWidth="1"/>
    <col min="28" max="28" width="12.85546875" bestFit="1" customWidth="1"/>
    <col min="29" max="29" width="13" bestFit="1" customWidth="1"/>
    <col min="30" max="30" width="14.140625" bestFit="1" customWidth="1"/>
    <col min="31" max="31" width="13" bestFit="1" customWidth="1"/>
    <col min="32" max="32" width="14.140625" bestFit="1" customWidth="1"/>
    <col min="33" max="33" width="13" bestFit="1" customWidth="1"/>
    <col min="34" max="34" width="12.85546875" bestFit="1" customWidth="1"/>
    <col min="35" max="37" width="14.140625" bestFit="1" customWidth="1"/>
    <col min="38" max="39" width="12.85546875" bestFit="1" customWidth="1"/>
    <col min="40" max="41" width="14.140625" bestFit="1" customWidth="1"/>
    <col min="42" max="42" width="12.85546875" bestFit="1" customWidth="1"/>
    <col min="43" max="43" width="14.140625" bestFit="1" customWidth="1"/>
    <col min="44" max="44" width="12.85546875" bestFit="1" customWidth="1"/>
    <col min="45" max="46" width="14.140625" bestFit="1" customWidth="1"/>
    <col min="47" max="47" width="13" bestFit="1" customWidth="1"/>
    <col min="48" max="48" width="11.140625" bestFit="1" customWidth="1"/>
    <col min="49" max="49" width="15.85546875" bestFit="1" customWidth="1"/>
    <col min="50" max="50" width="14.140625" bestFit="1" customWidth="1"/>
    <col min="51" max="51" width="13" bestFit="1" customWidth="1"/>
    <col min="52" max="52" width="21" bestFit="1" customWidth="1"/>
    <col min="53" max="53" width="15.85546875" bestFit="1" customWidth="1"/>
    <col min="54" max="54" width="11.42578125" bestFit="1" customWidth="1"/>
    <col min="55" max="55" width="24.140625" bestFit="1" customWidth="1"/>
    <col min="56" max="56" width="16" bestFit="1" customWidth="1"/>
    <col min="57" max="57" width="11.42578125" bestFit="1" customWidth="1"/>
    <col min="58" max="58" width="24.140625" bestFit="1" customWidth="1"/>
    <col min="59" max="59" width="11.42578125" bestFit="1" customWidth="1"/>
    <col min="60" max="60" width="16" bestFit="1" customWidth="1"/>
    <col min="61" max="61" width="11.42578125" bestFit="1" customWidth="1"/>
    <col min="62" max="62" width="24.140625" bestFit="1" customWidth="1"/>
    <col min="63" max="63" width="11.42578125" bestFit="1" customWidth="1"/>
    <col min="64" max="64" width="24.140625" bestFit="1" customWidth="1"/>
    <col min="65" max="65" width="12.42578125" bestFit="1" customWidth="1"/>
    <col min="66" max="66" width="24.140625" bestFit="1" customWidth="1"/>
    <col min="67" max="67" width="12.42578125" bestFit="1" customWidth="1"/>
    <col min="68" max="68" width="19.5703125" bestFit="1" customWidth="1"/>
    <col min="69" max="69" width="22.7109375" bestFit="1" customWidth="1"/>
    <col min="70" max="70" width="13" bestFit="1" customWidth="1"/>
    <col min="71" max="71" width="16.140625" bestFit="1" customWidth="1"/>
    <col min="72" max="72" width="12.5703125" bestFit="1" customWidth="1"/>
  </cols>
  <sheetData>
    <row r="3" spans="1:9" x14ac:dyDescent="0.25">
      <c r="B3" s="298" t="s">
        <v>2610</v>
      </c>
    </row>
    <row r="4" spans="1:9" x14ac:dyDescent="0.25">
      <c r="B4" t="s">
        <v>803</v>
      </c>
      <c r="D4" t="s">
        <v>1533</v>
      </c>
      <c r="F4" t="s">
        <v>790</v>
      </c>
      <c r="H4" t="s">
        <v>2611</v>
      </c>
      <c r="I4" t="s">
        <v>2612</v>
      </c>
    </row>
    <row r="5" spans="1:9" x14ac:dyDescent="0.25">
      <c r="A5" s="298" t="s">
        <v>2613</v>
      </c>
      <c r="B5" t="s">
        <v>2614</v>
      </c>
      <c r="C5" t="s">
        <v>2615</v>
      </c>
      <c r="D5" t="s">
        <v>2614</v>
      </c>
      <c r="E5" t="s">
        <v>2615</v>
      </c>
      <c r="F5" t="s">
        <v>2614</v>
      </c>
      <c r="G5" t="s">
        <v>2615</v>
      </c>
    </row>
    <row r="6" spans="1:9" x14ac:dyDescent="0.25">
      <c r="A6" s="80" t="s">
        <v>67</v>
      </c>
      <c r="B6" s="331"/>
      <c r="C6" s="331"/>
      <c r="D6" s="331"/>
      <c r="E6" s="331"/>
      <c r="F6" s="331"/>
      <c r="G6" s="331"/>
      <c r="H6" s="331"/>
      <c r="I6" s="331"/>
    </row>
    <row r="7" spans="1:9" x14ac:dyDescent="0.25">
      <c r="A7" s="332" t="s">
        <v>7</v>
      </c>
      <c r="B7" s="331">
        <v>259500</v>
      </c>
      <c r="C7" s="331">
        <v>259500</v>
      </c>
      <c r="D7" s="331">
        <v>0</v>
      </c>
      <c r="E7" s="331"/>
      <c r="F7" s="331">
        <v>1640500</v>
      </c>
      <c r="G7" s="331">
        <v>29900</v>
      </c>
      <c r="H7" s="331">
        <v>1900000</v>
      </c>
      <c r="I7" s="331">
        <v>289400</v>
      </c>
    </row>
    <row r="8" spans="1:9" x14ac:dyDescent="0.25">
      <c r="A8" s="80" t="s">
        <v>99</v>
      </c>
      <c r="B8" s="331"/>
      <c r="C8" s="331"/>
      <c r="D8" s="331"/>
      <c r="E8" s="331"/>
      <c r="F8" s="331"/>
      <c r="G8" s="331"/>
      <c r="H8" s="331"/>
      <c r="I8" s="331"/>
    </row>
    <row r="9" spans="1:9" x14ac:dyDescent="0.25">
      <c r="A9" s="332" t="s">
        <v>4</v>
      </c>
      <c r="B9" s="331">
        <v>20000</v>
      </c>
      <c r="C9" s="331">
        <v>20000</v>
      </c>
      <c r="D9" s="331"/>
      <c r="E9" s="331"/>
      <c r="F9" s="331">
        <v>92000</v>
      </c>
      <c r="G9" s="331">
        <v>0</v>
      </c>
      <c r="H9" s="331">
        <v>112000</v>
      </c>
      <c r="I9" s="331">
        <v>20000</v>
      </c>
    </row>
    <row r="10" spans="1:9" x14ac:dyDescent="0.25">
      <c r="A10" s="332" t="s">
        <v>5</v>
      </c>
      <c r="B10" s="331"/>
      <c r="C10" s="331"/>
      <c r="D10" s="331"/>
      <c r="E10" s="331">
        <v>0</v>
      </c>
      <c r="F10" s="331">
        <v>1117600</v>
      </c>
      <c r="G10" s="331">
        <v>2300</v>
      </c>
      <c r="H10" s="331">
        <v>1117600</v>
      </c>
      <c r="I10" s="331">
        <v>2300</v>
      </c>
    </row>
    <row r="11" spans="1:9" x14ac:dyDescent="0.25">
      <c r="A11" s="332" t="s">
        <v>6</v>
      </c>
      <c r="B11" s="331">
        <v>21000</v>
      </c>
      <c r="C11" s="331">
        <v>21000</v>
      </c>
      <c r="D11" s="331"/>
      <c r="E11" s="331"/>
      <c r="F11" s="331">
        <v>386500</v>
      </c>
      <c r="G11" s="331">
        <v>1800</v>
      </c>
      <c r="H11" s="331">
        <v>407500</v>
      </c>
      <c r="I11" s="331">
        <v>22800</v>
      </c>
    </row>
    <row r="12" spans="1:9" x14ac:dyDescent="0.25">
      <c r="A12" s="80" t="s">
        <v>83</v>
      </c>
      <c r="B12" s="331"/>
      <c r="C12" s="331"/>
      <c r="D12" s="331"/>
      <c r="E12" s="331"/>
      <c r="F12" s="331"/>
      <c r="G12" s="331"/>
      <c r="H12" s="331"/>
      <c r="I12" s="331"/>
    </row>
    <row r="13" spans="1:9" x14ac:dyDescent="0.25">
      <c r="A13" s="332" t="s">
        <v>4</v>
      </c>
      <c r="B13" s="331"/>
      <c r="C13" s="331"/>
      <c r="D13" s="331">
        <v>1700</v>
      </c>
      <c r="E13" s="331">
        <v>1700</v>
      </c>
      <c r="F13" s="331">
        <v>32000</v>
      </c>
      <c r="G13" s="331">
        <v>0</v>
      </c>
      <c r="H13" s="331">
        <v>33700</v>
      </c>
      <c r="I13" s="331">
        <v>1700</v>
      </c>
    </row>
    <row r="14" spans="1:9" x14ac:dyDescent="0.25">
      <c r="A14" s="332" t="s">
        <v>7</v>
      </c>
      <c r="B14" s="331">
        <v>29000</v>
      </c>
      <c r="C14" s="331">
        <v>29000</v>
      </c>
      <c r="D14" s="331"/>
      <c r="E14" s="331"/>
      <c r="F14" s="331">
        <v>36000</v>
      </c>
      <c r="G14" s="331">
        <v>0</v>
      </c>
      <c r="H14" s="331">
        <v>65000</v>
      </c>
      <c r="I14" s="331">
        <v>29000</v>
      </c>
    </row>
    <row r="15" spans="1:9" x14ac:dyDescent="0.25">
      <c r="A15" s="80" t="s">
        <v>413</v>
      </c>
      <c r="B15" s="331"/>
      <c r="C15" s="331"/>
      <c r="D15" s="331"/>
      <c r="E15" s="331"/>
      <c r="F15" s="331"/>
      <c r="G15" s="331"/>
      <c r="H15" s="331"/>
      <c r="I15" s="331"/>
    </row>
    <row r="16" spans="1:9" x14ac:dyDescent="0.25">
      <c r="A16" s="332" t="s">
        <v>4</v>
      </c>
      <c r="B16" s="331">
        <v>23000</v>
      </c>
      <c r="C16" s="331">
        <v>23000</v>
      </c>
      <c r="D16" s="331"/>
      <c r="E16" s="331"/>
      <c r="F16" s="331">
        <v>93200</v>
      </c>
      <c r="G16" s="331">
        <v>0</v>
      </c>
      <c r="H16" s="331">
        <v>116200</v>
      </c>
      <c r="I16" s="331">
        <v>23000</v>
      </c>
    </row>
    <row r="17" spans="1:9" x14ac:dyDescent="0.25">
      <c r="A17" s="80" t="s">
        <v>221</v>
      </c>
      <c r="B17" s="331"/>
      <c r="C17" s="331"/>
      <c r="D17" s="331"/>
      <c r="E17" s="331"/>
      <c r="F17" s="331"/>
      <c r="G17" s="331"/>
      <c r="H17" s="331"/>
      <c r="I17" s="331"/>
    </row>
    <row r="18" spans="1:9" x14ac:dyDescent="0.25">
      <c r="A18" s="332" t="s">
        <v>6</v>
      </c>
      <c r="B18" s="331"/>
      <c r="C18" s="331"/>
      <c r="D18" s="331"/>
      <c r="E18" s="331"/>
      <c r="F18" s="331">
        <v>2176500</v>
      </c>
      <c r="G18" s="331">
        <v>107633.33333333333</v>
      </c>
      <c r="H18" s="331">
        <v>2176500</v>
      </c>
      <c r="I18" s="331">
        <v>107633.33333333333</v>
      </c>
    </row>
    <row r="19" spans="1:9" x14ac:dyDescent="0.25">
      <c r="A19" s="80" t="s">
        <v>8</v>
      </c>
      <c r="B19" s="331">
        <v>352500</v>
      </c>
      <c r="C19" s="331">
        <v>352500</v>
      </c>
      <c r="D19" s="331">
        <v>1700</v>
      </c>
      <c r="E19" s="331">
        <v>1700</v>
      </c>
      <c r="F19" s="331">
        <v>5574300</v>
      </c>
      <c r="G19" s="331">
        <v>141633.33333333331</v>
      </c>
      <c r="H19" s="331">
        <v>5928500</v>
      </c>
      <c r="I19" s="331">
        <v>495833.33333333331</v>
      </c>
    </row>
    <row r="28" spans="1:9" ht="45" x14ac:dyDescent="0.25">
      <c r="A28" s="299" t="s">
        <v>21</v>
      </c>
      <c r="B28" s="299" t="s">
        <v>2616</v>
      </c>
      <c r="C28" s="299" t="s">
        <v>2617</v>
      </c>
      <c r="D28" s="919" t="s">
        <v>803</v>
      </c>
      <c r="E28" s="919" t="s">
        <v>1533</v>
      </c>
      <c r="F28" s="919" t="s">
        <v>2618</v>
      </c>
      <c r="G28" s="919" t="s">
        <v>785</v>
      </c>
      <c r="H28" s="919" t="s">
        <v>2619</v>
      </c>
    </row>
    <row r="29" spans="1:9" x14ac:dyDescent="0.25">
      <c r="A29" s="333" t="s">
        <v>67</v>
      </c>
      <c r="B29" s="920"/>
      <c r="C29" s="334"/>
      <c r="D29" s="920"/>
      <c r="E29" s="920"/>
      <c r="F29" s="920"/>
      <c r="G29" s="920"/>
      <c r="H29" s="920"/>
    </row>
    <row r="30" spans="1:9" x14ac:dyDescent="0.25">
      <c r="A30" s="335" t="s">
        <v>7</v>
      </c>
      <c r="B30" s="921">
        <v>1900000</v>
      </c>
      <c r="C30" s="918">
        <v>1900000</v>
      </c>
      <c r="D30" s="921">
        <v>259500</v>
      </c>
      <c r="E30" s="921"/>
      <c r="F30" s="921">
        <v>1612799.9999999998</v>
      </c>
      <c r="G30" s="921">
        <v>1610599.9999999998</v>
      </c>
      <c r="H30" s="921">
        <v>29900</v>
      </c>
    </row>
    <row r="31" spans="1:9" x14ac:dyDescent="0.25">
      <c r="A31" s="333" t="s">
        <v>99</v>
      </c>
      <c r="B31" s="920"/>
      <c r="C31" s="334"/>
      <c r="D31" s="920"/>
      <c r="E31" s="920"/>
      <c r="F31" s="920"/>
      <c r="G31" s="920"/>
      <c r="H31" s="920"/>
    </row>
    <row r="32" spans="1:9" x14ac:dyDescent="0.25">
      <c r="A32" s="336" t="s">
        <v>4</v>
      </c>
      <c r="B32" s="920">
        <v>92000</v>
      </c>
      <c r="C32" s="334">
        <v>112000</v>
      </c>
      <c r="D32" s="920">
        <v>20000</v>
      </c>
      <c r="E32" s="920"/>
      <c r="F32" s="920">
        <v>92000</v>
      </c>
      <c r="G32" s="920">
        <v>92000</v>
      </c>
      <c r="H32" s="920">
        <v>0</v>
      </c>
    </row>
    <row r="33" spans="1:8" x14ac:dyDescent="0.25">
      <c r="A33" s="336" t="s">
        <v>5</v>
      </c>
      <c r="B33" s="920">
        <v>1100000</v>
      </c>
      <c r="C33" s="334">
        <v>1117600</v>
      </c>
      <c r="D33" s="920"/>
      <c r="E33" s="920"/>
      <c r="F33" s="920">
        <v>1115300</v>
      </c>
      <c r="G33" s="920">
        <v>1115300</v>
      </c>
      <c r="H33" s="920">
        <v>2300</v>
      </c>
    </row>
    <row r="34" spans="1:8" x14ac:dyDescent="0.25">
      <c r="A34" s="335" t="s">
        <v>6</v>
      </c>
      <c r="B34" s="921">
        <v>407000</v>
      </c>
      <c r="C34" s="918">
        <v>407500</v>
      </c>
      <c r="D34" s="921">
        <v>21000</v>
      </c>
      <c r="E34" s="921"/>
      <c r="F34" s="921">
        <v>384700</v>
      </c>
      <c r="G34" s="921">
        <v>384700</v>
      </c>
      <c r="H34" s="921">
        <v>1800</v>
      </c>
    </row>
    <row r="35" spans="1:8" x14ac:dyDescent="0.25">
      <c r="A35" s="333" t="s">
        <v>83</v>
      </c>
      <c r="B35" s="920"/>
      <c r="C35" s="334"/>
      <c r="D35" s="920"/>
      <c r="E35" s="920"/>
      <c r="F35" s="920"/>
      <c r="G35" s="920"/>
      <c r="H35" s="920"/>
    </row>
    <row r="36" spans="1:8" x14ac:dyDescent="0.25">
      <c r="A36" s="336" t="s">
        <v>4</v>
      </c>
      <c r="B36" s="920">
        <v>42000</v>
      </c>
      <c r="C36" s="334">
        <v>33700</v>
      </c>
      <c r="D36" s="920"/>
      <c r="E36" s="920">
        <v>1700</v>
      </c>
      <c r="F36" s="920">
        <v>32000</v>
      </c>
      <c r="G36" s="920">
        <v>32000</v>
      </c>
      <c r="H36" s="920">
        <v>0</v>
      </c>
    </row>
    <row r="37" spans="1:8" x14ac:dyDescent="0.25">
      <c r="A37" s="335" t="s">
        <v>7</v>
      </c>
      <c r="B37" s="921">
        <v>65000</v>
      </c>
      <c r="C37" s="918">
        <v>65000</v>
      </c>
      <c r="D37" s="921">
        <v>29000</v>
      </c>
      <c r="E37" s="921"/>
      <c r="F37" s="921">
        <v>36000</v>
      </c>
      <c r="G37" s="921">
        <v>36000</v>
      </c>
      <c r="H37" s="921">
        <v>0</v>
      </c>
    </row>
    <row r="38" spans="1:8" x14ac:dyDescent="0.25">
      <c r="A38" s="333" t="s">
        <v>413</v>
      </c>
      <c r="B38" s="920"/>
      <c r="C38" s="334"/>
      <c r="D38" s="920"/>
      <c r="E38" s="920"/>
      <c r="F38" s="920"/>
      <c r="G38" s="920"/>
      <c r="H38" s="920"/>
    </row>
    <row r="39" spans="1:8" x14ac:dyDescent="0.25">
      <c r="A39" s="335" t="s">
        <v>4</v>
      </c>
      <c r="B39" s="921">
        <v>109000</v>
      </c>
      <c r="C39" s="918">
        <v>116200</v>
      </c>
      <c r="D39" s="921">
        <v>23000</v>
      </c>
      <c r="E39" s="921"/>
      <c r="F39" s="921">
        <v>93200</v>
      </c>
      <c r="G39" s="921">
        <v>93200</v>
      </c>
      <c r="H39" s="921">
        <v>0</v>
      </c>
    </row>
    <row r="40" spans="1:8" x14ac:dyDescent="0.25">
      <c r="A40" s="333" t="s">
        <v>221</v>
      </c>
      <c r="B40" s="920"/>
      <c r="C40" s="334"/>
      <c r="D40" s="920"/>
      <c r="E40" s="920"/>
      <c r="F40" s="920"/>
      <c r="G40" s="920"/>
      <c r="H40" s="920"/>
    </row>
    <row r="41" spans="1:8" x14ac:dyDescent="0.25">
      <c r="A41" s="332" t="s">
        <v>6</v>
      </c>
      <c r="B41" s="922">
        <v>2176500</v>
      </c>
      <c r="C41" s="331">
        <v>2176500</v>
      </c>
      <c r="D41" s="922"/>
      <c r="E41" s="922"/>
      <c r="F41" s="922">
        <v>2073666.6666666667</v>
      </c>
      <c r="G41" s="922">
        <v>2068866.6666666667</v>
      </c>
      <c r="H41" s="922">
        <v>107633.33333333333</v>
      </c>
    </row>
    <row r="42" spans="1:8" x14ac:dyDescent="0.25">
      <c r="A42" s="337" t="s">
        <v>8</v>
      </c>
      <c r="B42" s="923">
        <v>5891500</v>
      </c>
      <c r="C42" s="338">
        <v>5928500</v>
      </c>
      <c r="D42" s="923">
        <v>352500</v>
      </c>
      <c r="E42" s="923">
        <v>1700</v>
      </c>
      <c r="F42" s="923">
        <v>5365500</v>
      </c>
      <c r="G42" s="923">
        <v>5432666.666666667</v>
      </c>
      <c r="H42" s="923">
        <v>141633.33333333331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39861-6A06-486E-957E-6FA4C11B3B34}">
  <dimension ref="E2:T25"/>
  <sheetViews>
    <sheetView topLeftCell="B16" zoomScale="85" zoomScaleNormal="85" workbookViewId="0">
      <selection activeCell="K24" sqref="K24"/>
    </sheetView>
  </sheetViews>
  <sheetFormatPr baseColWidth="10" defaultColWidth="11.42578125" defaultRowHeight="15" x14ac:dyDescent="0.25"/>
  <cols>
    <col min="5" max="5" width="8.140625" customWidth="1"/>
    <col min="6" max="6" width="35" customWidth="1"/>
    <col min="11" max="11" width="16.42578125" customWidth="1"/>
    <col min="12" max="12" width="42.42578125" customWidth="1"/>
    <col min="13" max="13" width="10.42578125" customWidth="1"/>
    <col min="14" max="14" width="42" customWidth="1"/>
    <col min="19" max="19" width="18.140625" customWidth="1"/>
    <col min="20" max="20" width="26.140625" customWidth="1"/>
  </cols>
  <sheetData>
    <row r="2" spans="5:20" ht="48" customHeight="1" x14ac:dyDescent="0.25">
      <c r="E2" s="1192" t="s">
        <v>2620</v>
      </c>
      <c r="F2" s="1192"/>
      <c r="G2" s="1192"/>
      <c r="H2" s="1192"/>
      <c r="I2" s="1192"/>
      <c r="J2" s="1192"/>
      <c r="K2" s="1192"/>
      <c r="L2" s="1192"/>
      <c r="M2" s="1192"/>
      <c r="N2" s="1192"/>
      <c r="O2" s="1192"/>
      <c r="P2" s="1192"/>
      <c r="Q2" s="1192"/>
      <c r="R2" s="1192"/>
      <c r="S2" s="1192"/>
      <c r="T2" s="1192"/>
    </row>
    <row r="3" spans="5:20" x14ac:dyDescent="0.25">
      <c r="E3" s="143"/>
      <c r="F3" s="143"/>
      <c r="G3" s="143"/>
      <c r="H3" s="143"/>
      <c r="I3" s="143"/>
      <c r="J3" s="143"/>
      <c r="K3" s="143"/>
      <c r="L3" s="143"/>
      <c r="M3" s="143"/>
      <c r="N3" s="143"/>
      <c r="O3" s="143"/>
      <c r="P3" s="143"/>
      <c r="Q3" s="143"/>
      <c r="R3" s="143"/>
      <c r="S3" s="143"/>
      <c r="T3" s="143"/>
    </row>
    <row r="4" spans="5:20" x14ac:dyDescent="0.25">
      <c r="E4" s="143"/>
      <c r="F4" s="143"/>
      <c r="G4" s="143"/>
      <c r="H4" s="143"/>
      <c r="I4" s="143"/>
      <c r="J4" s="143"/>
      <c r="K4" s="143"/>
      <c r="L4" s="143"/>
      <c r="M4" s="143"/>
      <c r="N4" s="143"/>
      <c r="O4" s="143"/>
      <c r="P4" s="143"/>
      <c r="Q4" s="143"/>
      <c r="R4" s="143"/>
      <c r="S4" s="143"/>
      <c r="T4" s="143"/>
    </row>
    <row r="5" spans="5:20" x14ac:dyDescent="0.25">
      <c r="E5" s="143"/>
      <c r="F5" s="143"/>
      <c r="G5" s="143"/>
      <c r="H5" s="143"/>
      <c r="I5" s="143"/>
      <c r="J5" s="143"/>
      <c r="K5" s="143"/>
      <c r="L5" s="143"/>
      <c r="M5" s="143"/>
      <c r="N5" s="143"/>
      <c r="O5" s="143"/>
      <c r="P5" s="143"/>
      <c r="Q5" s="143"/>
      <c r="R5" s="143"/>
      <c r="S5" s="143"/>
      <c r="T5" s="143"/>
    </row>
    <row r="6" spans="5:20" ht="45" customHeight="1" thickBot="1" x14ac:dyDescent="0.3">
      <c r="E6" s="143" t="s">
        <v>2621</v>
      </c>
      <c r="F6" s="143" t="s">
        <v>2622</v>
      </c>
      <c r="G6" s="143" t="s">
        <v>695</v>
      </c>
      <c r="H6" s="143" t="s">
        <v>2623</v>
      </c>
      <c r="I6" s="143" t="s">
        <v>2624</v>
      </c>
      <c r="J6" s="143" t="s">
        <v>2623</v>
      </c>
      <c r="K6" s="143" t="s">
        <v>2625</v>
      </c>
      <c r="L6" s="143" t="s">
        <v>756</v>
      </c>
      <c r="M6" s="143" t="s">
        <v>2621</v>
      </c>
      <c r="N6" s="143" t="s">
        <v>2626</v>
      </c>
      <c r="O6" s="143" t="s">
        <v>2627</v>
      </c>
      <c r="P6" s="143" t="s">
        <v>2623</v>
      </c>
      <c r="Q6" s="143" t="s">
        <v>2624</v>
      </c>
      <c r="R6" s="143" t="s">
        <v>2623</v>
      </c>
      <c r="S6" s="143" t="s">
        <v>2625</v>
      </c>
      <c r="T6" s="143" t="s">
        <v>756</v>
      </c>
    </row>
    <row r="7" spans="5:20" ht="15.75" customHeight="1" thickBot="1" x14ac:dyDescent="0.3">
      <c r="E7" s="1237" t="s">
        <v>2628</v>
      </c>
      <c r="F7" s="1237"/>
      <c r="G7" s="1237"/>
      <c r="H7" s="1237"/>
      <c r="I7" s="1237"/>
      <c r="J7" s="1237"/>
      <c r="K7" s="144">
        <v>30891334</v>
      </c>
      <c r="M7" s="1237" t="s">
        <v>2628</v>
      </c>
      <c r="N7" s="1237"/>
      <c r="O7" s="1237"/>
      <c r="P7" s="1237"/>
      <c r="Q7" s="1237"/>
      <c r="R7" s="1237"/>
      <c r="S7" s="144">
        <v>5891500</v>
      </c>
      <c r="T7" s="330"/>
    </row>
    <row r="8" spans="5:20" ht="45.75" customHeight="1" thickBot="1" x14ac:dyDescent="0.3">
      <c r="E8">
        <v>1</v>
      </c>
      <c r="F8" s="94" t="s">
        <v>2629</v>
      </c>
      <c r="G8" t="s">
        <v>2630</v>
      </c>
      <c r="H8" s="140">
        <v>46132</v>
      </c>
      <c r="I8" t="s">
        <v>2631</v>
      </c>
      <c r="J8" s="140">
        <v>46136</v>
      </c>
      <c r="K8" s="145">
        <v>63000</v>
      </c>
      <c r="L8" s="143" t="s">
        <v>2632</v>
      </c>
      <c r="M8">
        <v>1</v>
      </c>
      <c r="N8" s="94" t="s">
        <v>2633</v>
      </c>
      <c r="O8">
        <v>26</v>
      </c>
      <c r="P8" s="140">
        <v>46133</v>
      </c>
      <c r="Q8" t="s">
        <v>2580</v>
      </c>
      <c r="R8" s="140">
        <v>46140</v>
      </c>
      <c r="S8" s="145">
        <v>20000</v>
      </c>
      <c r="T8" s="94" t="s">
        <v>2634</v>
      </c>
    </row>
    <row r="9" spans="5:20" ht="19.5" customHeight="1" thickBot="1" x14ac:dyDescent="0.3">
      <c r="E9" s="1237" t="s">
        <v>2628</v>
      </c>
      <c r="F9" s="1237"/>
      <c r="G9" s="1237"/>
      <c r="H9" s="1237"/>
      <c r="I9" s="1237"/>
      <c r="J9" s="1237"/>
      <c r="K9" s="144">
        <f>K7+K8</f>
        <v>30954334</v>
      </c>
      <c r="L9" s="94"/>
      <c r="M9" s="1237" t="s">
        <v>2628</v>
      </c>
      <c r="N9" s="1237"/>
      <c r="O9" s="1237"/>
      <c r="P9" s="1237"/>
      <c r="Q9" s="1237"/>
      <c r="R9" s="1237"/>
      <c r="S9" s="144">
        <f>S7+S8</f>
        <v>5911500</v>
      </c>
    </row>
    <row r="10" spans="5:20" ht="34.5" customHeight="1" x14ac:dyDescent="0.25">
      <c r="E10">
        <v>2</v>
      </c>
      <c r="F10" s="94" t="s">
        <v>2635</v>
      </c>
      <c r="G10" t="s">
        <v>2636</v>
      </c>
      <c r="H10" s="140">
        <v>46142</v>
      </c>
      <c r="I10" t="s">
        <v>2637</v>
      </c>
      <c r="J10" s="140">
        <v>46149</v>
      </c>
      <c r="K10" s="145">
        <v>40000</v>
      </c>
      <c r="L10" s="94" t="s">
        <v>2638</v>
      </c>
      <c r="M10">
        <v>2</v>
      </c>
      <c r="N10" s="94" t="s">
        <v>2639</v>
      </c>
      <c r="O10" t="s">
        <v>2640</v>
      </c>
      <c r="P10" s="140">
        <v>46140</v>
      </c>
      <c r="Q10" t="s">
        <v>2641</v>
      </c>
      <c r="R10" s="140">
        <v>46147</v>
      </c>
      <c r="S10" s="145">
        <v>500</v>
      </c>
      <c r="T10" t="s">
        <v>2642</v>
      </c>
    </row>
    <row r="11" spans="5:20" x14ac:dyDescent="0.25">
      <c r="E11" s="1237" t="s">
        <v>2628</v>
      </c>
      <c r="F11" s="1237"/>
      <c r="G11" s="1237"/>
      <c r="H11" s="1237"/>
      <c r="I11" s="1237"/>
      <c r="J11" s="1237"/>
      <c r="K11" s="231">
        <f>K9+K10-K10</f>
        <v>30954334</v>
      </c>
      <c r="M11" s="1237" t="s">
        <v>2628</v>
      </c>
      <c r="N11" s="1237"/>
      <c r="O11" s="1237"/>
      <c r="P11" s="1237"/>
      <c r="Q11" s="1237"/>
      <c r="R11" s="1237"/>
      <c r="S11" s="231">
        <f>S9+S10</f>
        <v>5912000</v>
      </c>
    </row>
    <row r="12" spans="5:20" ht="60" x14ac:dyDescent="0.25">
      <c r="E12">
        <v>3</v>
      </c>
      <c r="F12" s="94" t="s">
        <v>2643</v>
      </c>
      <c r="G12" s="263" t="s">
        <v>2644</v>
      </c>
      <c r="H12" s="140">
        <v>46160</v>
      </c>
      <c r="I12" t="s">
        <v>2645</v>
      </c>
      <c r="J12" s="140">
        <v>46160</v>
      </c>
      <c r="K12" s="145">
        <v>11129942</v>
      </c>
      <c r="L12" s="94" t="s">
        <v>2646</v>
      </c>
      <c r="M12">
        <v>3</v>
      </c>
      <c r="N12" s="94" t="s">
        <v>2647</v>
      </c>
      <c r="O12" t="s">
        <v>2648</v>
      </c>
      <c r="P12" s="140">
        <v>46157</v>
      </c>
      <c r="Q12" t="s">
        <v>587</v>
      </c>
      <c r="R12" s="140">
        <v>46161</v>
      </c>
      <c r="S12" s="145">
        <v>1100</v>
      </c>
      <c r="T12" s="139" t="s">
        <v>2649</v>
      </c>
    </row>
    <row r="13" spans="5:20" ht="67.5" customHeight="1" x14ac:dyDescent="0.25">
      <c r="E13" s="1237" t="s">
        <v>2628</v>
      </c>
      <c r="F13" s="1237"/>
      <c r="G13" s="1237"/>
      <c r="H13" s="1237"/>
      <c r="I13" s="1237"/>
      <c r="J13" s="1237"/>
      <c r="K13" s="231">
        <f>K11+K12</f>
        <v>42084276</v>
      </c>
      <c r="M13">
        <v>4</v>
      </c>
      <c r="N13" s="94" t="s">
        <v>2647</v>
      </c>
      <c r="O13" t="s">
        <v>2648</v>
      </c>
      <c r="P13" s="140">
        <v>46157</v>
      </c>
      <c r="Q13" t="s">
        <v>587</v>
      </c>
      <c r="R13" s="140">
        <v>46161</v>
      </c>
      <c r="S13" s="145">
        <v>17600</v>
      </c>
      <c r="T13" s="139" t="s">
        <v>2650</v>
      </c>
    </row>
    <row r="14" spans="5:20" ht="60" x14ac:dyDescent="0.25">
      <c r="E14">
        <v>4</v>
      </c>
      <c r="F14" s="94" t="s">
        <v>2647</v>
      </c>
      <c r="G14" t="s">
        <v>2648</v>
      </c>
      <c r="H14" s="140">
        <v>46157</v>
      </c>
      <c r="I14" t="s">
        <v>587</v>
      </c>
      <c r="J14" s="140">
        <v>46161</v>
      </c>
      <c r="K14" s="145">
        <v>16500</v>
      </c>
      <c r="L14" s="94" t="s">
        <v>2651</v>
      </c>
      <c r="M14" s="1237" t="s">
        <v>2652</v>
      </c>
      <c r="N14" s="1237"/>
      <c r="O14" s="1237"/>
      <c r="P14" s="1237"/>
      <c r="Q14" s="1237"/>
      <c r="R14" s="1237"/>
      <c r="S14" s="231">
        <f>S11-S12+S13</f>
        <v>5928500</v>
      </c>
    </row>
    <row r="15" spans="5:20" ht="38.25" customHeight="1" x14ac:dyDescent="0.25">
      <c r="E15" s="1237" t="s">
        <v>2652</v>
      </c>
      <c r="F15" s="1237"/>
      <c r="G15" s="1237"/>
      <c r="H15" s="1237"/>
      <c r="I15" s="1237"/>
      <c r="J15" s="1237"/>
      <c r="K15" s="231">
        <f>K13-K14</f>
        <v>42067776</v>
      </c>
      <c r="L15" s="94"/>
      <c r="M15">
        <v>5</v>
      </c>
      <c r="N15" t="s">
        <v>2653</v>
      </c>
      <c r="O15" t="s">
        <v>2654</v>
      </c>
      <c r="P15" s="140">
        <v>46169</v>
      </c>
      <c r="Q15" t="s">
        <v>2655</v>
      </c>
      <c r="R15" s="140">
        <v>46171</v>
      </c>
      <c r="S15" s="145">
        <v>56000</v>
      </c>
    </row>
    <row r="16" spans="5:20" ht="26.25" customHeight="1" x14ac:dyDescent="0.25">
      <c r="E16">
        <v>5</v>
      </c>
      <c r="F16" s="94" t="s">
        <v>2656</v>
      </c>
      <c r="G16" t="s">
        <v>2657</v>
      </c>
      <c r="H16" s="140">
        <v>46158</v>
      </c>
      <c r="I16" t="s">
        <v>2658</v>
      </c>
      <c r="J16" s="140">
        <v>46160</v>
      </c>
      <c r="K16" s="145">
        <v>43456744</v>
      </c>
      <c r="L16" s="94" t="s">
        <v>2659</v>
      </c>
      <c r="M16" s="1237" t="s">
        <v>2660</v>
      </c>
      <c r="N16" s="1237"/>
      <c r="O16" s="1237"/>
      <c r="P16" s="1237"/>
      <c r="Q16" s="1237"/>
      <c r="R16" s="1237"/>
      <c r="S16" s="231">
        <f>S14+S15-S15</f>
        <v>5928500</v>
      </c>
    </row>
    <row r="17" spans="5:12" ht="29.25" customHeight="1" x14ac:dyDescent="0.25">
      <c r="E17" s="1237" t="s">
        <v>2652</v>
      </c>
      <c r="F17" s="1237"/>
      <c r="G17" s="1237"/>
      <c r="H17" s="1237"/>
      <c r="I17" s="1237"/>
      <c r="J17" s="1237"/>
      <c r="K17" s="231">
        <f>K15+K16</f>
        <v>85524520</v>
      </c>
    </row>
    <row r="18" spans="5:12" ht="60" x14ac:dyDescent="0.25">
      <c r="E18">
        <v>6</v>
      </c>
      <c r="F18" s="94" t="s">
        <v>646</v>
      </c>
      <c r="G18" t="s">
        <v>500</v>
      </c>
      <c r="H18" s="140">
        <v>46160</v>
      </c>
      <c r="I18" t="s">
        <v>501</v>
      </c>
      <c r="J18" t="s">
        <v>2661</v>
      </c>
      <c r="K18" s="145">
        <v>2022146</v>
      </c>
      <c r="L18" s="94" t="s">
        <v>2662</v>
      </c>
    </row>
    <row r="19" spans="5:12" ht="27" customHeight="1" x14ac:dyDescent="0.25">
      <c r="E19" s="1237" t="s">
        <v>2663</v>
      </c>
      <c r="F19" s="1237"/>
      <c r="G19" s="1237"/>
      <c r="H19" s="1237"/>
      <c r="I19" s="1237"/>
      <c r="J19" s="1237"/>
      <c r="K19" s="231">
        <f>K17+K18</f>
        <v>87546666</v>
      </c>
    </row>
    <row r="20" spans="5:12" ht="60" x14ac:dyDescent="0.25">
      <c r="E20">
        <v>7</v>
      </c>
      <c r="F20" s="94" t="s">
        <v>647</v>
      </c>
      <c r="G20" t="s">
        <v>613</v>
      </c>
      <c r="H20" s="140">
        <v>46185</v>
      </c>
      <c r="I20" t="s">
        <v>2664</v>
      </c>
      <c r="J20" s="140">
        <v>46189</v>
      </c>
      <c r="K20" s="145">
        <v>6444512</v>
      </c>
      <c r="L20" s="94" t="s">
        <v>2665</v>
      </c>
    </row>
    <row r="21" spans="5:12" ht="15.75" thickBot="1" x14ac:dyDescent="0.3">
      <c r="E21" s="1237" t="s">
        <v>2666</v>
      </c>
      <c r="F21" s="1237"/>
      <c r="G21" s="1237"/>
      <c r="H21" s="1237"/>
      <c r="I21" s="1237"/>
      <c r="J21" s="1237"/>
      <c r="K21" s="231">
        <f>K19+K20</f>
        <v>93991178</v>
      </c>
    </row>
    <row r="22" spans="5:12" ht="27" customHeight="1" thickBot="1" x14ac:dyDescent="0.3">
      <c r="E22">
        <v>8</v>
      </c>
      <c r="F22" s="94" t="s">
        <v>648</v>
      </c>
      <c r="G22" t="s">
        <v>2667</v>
      </c>
      <c r="H22" s="140">
        <v>46188</v>
      </c>
      <c r="I22" t="s">
        <v>2668</v>
      </c>
      <c r="J22" s="140">
        <v>46190</v>
      </c>
      <c r="K22" s="145">
        <v>55829</v>
      </c>
    </row>
    <row r="23" spans="5:12" ht="15.75" thickBot="1" x14ac:dyDescent="0.3">
      <c r="E23" s="1237" t="s">
        <v>2666</v>
      </c>
      <c r="F23" s="1237"/>
      <c r="G23" s="1237"/>
      <c r="H23" s="1237"/>
      <c r="I23" s="1237"/>
      <c r="J23" s="1237"/>
      <c r="K23" s="231">
        <f>K21+K22</f>
        <v>94047007</v>
      </c>
    </row>
    <row r="24" spans="5:12" ht="45.75" thickBot="1" x14ac:dyDescent="0.3">
      <c r="E24">
        <v>9</v>
      </c>
      <c r="F24" s="94" t="s">
        <v>2822</v>
      </c>
      <c r="G24" s="94" t="s">
        <v>2817</v>
      </c>
      <c r="H24" s="94"/>
      <c r="I24" s="94" t="s">
        <v>2818</v>
      </c>
      <c r="J24" s="471">
        <v>46190</v>
      </c>
      <c r="K24" s="145">
        <v>760927</v>
      </c>
      <c r="L24" s="94" t="s">
        <v>2824</v>
      </c>
    </row>
    <row r="25" spans="5:12" ht="15.75" thickBot="1" x14ac:dyDescent="0.3">
      <c r="E25" s="1237" t="s">
        <v>2823</v>
      </c>
      <c r="F25" s="1237"/>
      <c r="G25" s="1237"/>
      <c r="H25" s="1237"/>
      <c r="I25" s="1237"/>
      <c r="J25" s="1237"/>
      <c r="K25" s="231">
        <f>K23+K24</f>
        <v>94807934</v>
      </c>
    </row>
  </sheetData>
  <mergeCells count="16">
    <mergeCell ref="E25:J25"/>
    <mergeCell ref="E23:J23"/>
    <mergeCell ref="E21:J21"/>
    <mergeCell ref="E19:J19"/>
    <mergeCell ref="E15:J15"/>
    <mergeCell ref="M14:R14"/>
    <mergeCell ref="E17:J17"/>
    <mergeCell ref="E13:J13"/>
    <mergeCell ref="M16:R16"/>
    <mergeCell ref="E11:J11"/>
    <mergeCell ref="M11:R11"/>
    <mergeCell ref="E2:T2"/>
    <mergeCell ref="E7:J7"/>
    <mergeCell ref="M7:R7"/>
    <mergeCell ref="E9:J9"/>
    <mergeCell ref="M9:R9"/>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4847A-140D-4753-8140-576680B519DD}">
  <dimension ref="C2:Z21"/>
  <sheetViews>
    <sheetView workbookViewId="0">
      <selection activeCell="T7" sqref="T7:T21"/>
    </sheetView>
  </sheetViews>
  <sheetFormatPr baseColWidth="10" defaultColWidth="9.140625" defaultRowHeight="15" x14ac:dyDescent="0.25"/>
  <cols>
    <col min="5" max="5" width="13.85546875" customWidth="1"/>
    <col min="6" max="6" width="13.28515625" customWidth="1"/>
    <col min="7" max="7" width="14" customWidth="1"/>
    <col min="14" max="14" width="13.85546875" customWidth="1"/>
    <col min="20" max="20" width="10.7109375" customWidth="1"/>
    <col min="25" max="25" width="12.42578125" customWidth="1"/>
  </cols>
  <sheetData>
    <row r="2" spans="3:26" x14ac:dyDescent="0.25">
      <c r="E2" t="s">
        <v>697</v>
      </c>
      <c r="F2" t="s">
        <v>1533</v>
      </c>
    </row>
    <row r="4" spans="3:26" x14ac:dyDescent="0.25">
      <c r="C4" t="s">
        <v>2669</v>
      </c>
      <c r="E4">
        <v>263000</v>
      </c>
      <c r="F4">
        <v>-1700</v>
      </c>
      <c r="G4">
        <f>E4+F4</f>
        <v>261300</v>
      </c>
    </row>
    <row r="6" spans="3:26" x14ac:dyDescent="0.25">
      <c r="N6" t="s">
        <v>7</v>
      </c>
      <c r="T6" t="s">
        <v>6</v>
      </c>
      <c r="Y6" s="250">
        <v>686500</v>
      </c>
      <c r="Z6">
        <v>683000</v>
      </c>
    </row>
    <row r="7" spans="3:26" x14ac:dyDescent="0.25">
      <c r="T7" s="250">
        <v>693500</v>
      </c>
      <c r="V7">
        <v>683500</v>
      </c>
      <c r="Y7" s="250">
        <v>584500</v>
      </c>
    </row>
    <row r="8" spans="3:26" x14ac:dyDescent="0.25">
      <c r="N8" s="342">
        <v>1096000</v>
      </c>
      <c r="P8">
        <v>1091000</v>
      </c>
      <c r="T8" s="250">
        <v>608500</v>
      </c>
      <c r="Y8" s="250">
        <v>619500</v>
      </c>
    </row>
    <row r="9" spans="3:26" x14ac:dyDescent="0.25">
      <c r="N9" s="342">
        <v>48000</v>
      </c>
      <c r="T9" s="250">
        <v>629500</v>
      </c>
      <c r="Y9" s="250">
        <v>13533.33</v>
      </c>
    </row>
    <row r="10" spans="3:26" x14ac:dyDescent="0.25">
      <c r="N10" s="342">
        <v>11000</v>
      </c>
      <c r="T10" s="250">
        <v>13533.33</v>
      </c>
      <c r="V10">
        <v>14000</v>
      </c>
      <c r="Y10" s="250">
        <v>14000</v>
      </c>
    </row>
    <row r="11" spans="3:26" x14ac:dyDescent="0.25">
      <c r="N11" s="342">
        <v>20533.34</v>
      </c>
      <c r="T11" s="250">
        <v>14000</v>
      </c>
      <c r="Y11" s="250">
        <v>4200</v>
      </c>
    </row>
    <row r="12" spans="3:26" x14ac:dyDescent="0.25">
      <c r="N12" s="342">
        <v>52800</v>
      </c>
      <c r="T12" s="250">
        <v>4200</v>
      </c>
      <c r="V12">
        <v>6000</v>
      </c>
      <c r="Y12" s="250">
        <v>11200</v>
      </c>
    </row>
    <row r="13" spans="3:26" x14ac:dyDescent="0.25">
      <c r="N13" s="342">
        <v>8166.67</v>
      </c>
      <c r="P13">
        <v>8000</v>
      </c>
      <c r="T13" s="250">
        <v>11200</v>
      </c>
      <c r="V13">
        <v>12000</v>
      </c>
      <c r="Y13" s="250">
        <v>7500</v>
      </c>
    </row>
    <row r="14" spans="3:26" x14ac:dyDescent="0.25">
      <c r="N14" s="342">
        <v>9533.33</v>
      </c>
      <c r="T14" s="250">
        <v>7500</v>
      </c>
      <c r="V14">
        <v>9000</v>
      </c>
      <c r="Y14" s="250">
        <v>23466.67</v>
      </c>
    </row>
    <row r="15" spans="3:26" x14ac:dyDescent="0.25">
      <c r="N15" s="342">
        <v>264000</v>
      </c>
      <c r="T15" s="250">
        <v>23466.67</v>
      </c>
      <c r="V15">
        <v>32000</v>
      </c>
      <c r="Y15" s="250">
        <v>13200</v>
      </c>
    </row>
    <row r="16" spans="3:26" x14ac:dyDescent="0.25">
      <c r="N16" s="342">
        <v>102000</v>
      </c>
      <c r="T16" s="250">
        <v>13200</v>
      </c>
      <c r="Y16" s="250">
        <v>386500</v>
      </c>
    </row>
    <row r="17" spans="14:25" x14ac:dyDescent="0.25">
      <c r="N17" s="342">
        <v>56000</v>
      </c>
      <c r="T17" s="250">
        <v>386500</v>
      </c>
      <c r="Y17" s="250">
        <v>7400</v>
      </c>
    </row>
    <row r="18" spans="14:25" x14ac:dyDescent="0.25">
      <c r="N18" s="212">
        <f>SUM(N8:N17)</f>
        <v>1668033.34</v>
      </c>
      <c r="T18" s="250">
        <v>7400</v>
      </c>
      <c r="V18">
        <v>12000</v>
      </c>
      <c r="Y18" s="250">
        <v>18000</v>
      </c>
    </row>
    <row r="19" spans="14:25" x14ac:dyDescent="0.25">
      <c r="T19" s="250">
        <v>18000</v>
      </c>
      <c r="V19">
        <v>10000</v>
      </c>
      <c r="Y19" s="250">
        <v>5500</v>
      </c>
    </row>
    <row r="20" spans="14:25" x14ac:dyDescent="0.25">
      <c r="T20" s="250">
        <v>5500</v>
      </c>
      <c r="V20">
        <v>11500</v>
      </c>
      <c r="Y20" s="250">
        <v>10000</v>
      </c>
    </row>
    <row r="21" spans="14:25" x14ac:dyDescent="0.25">
      <c r="T21" s="250">
        <v>10000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94B99-F551-4BBC-85CA-8A733A4096DF}">
  <sheetPr>
    <pageSetUpPr fitToPage="1"/>
  </sheetPr>
  <dimension ref="B1:AD64"/>
  <sheetViews>
    <sheetView showGridLines="0" topLeftCell="K14" workbookViewId="0">
      <selection activeCell="Q28" sqref="Q28:Q47"/>
    </sheetView>
  </sheetViews>
  <sheetFormatPr baseColWidth="10" defaultColWidth="9.140625" defaultRowHeight="15" x14ac:dyDescent="0.25"/>
  <cols>
    <col min="2" max="2" width="13.85546875" customWidth="1"/>
    <col min="3" max="3" width="32.42578125" customWidth="1"/>
    <col min="4" max="4" width="9.5703125" customWidth="1"/>
    <col min="5" max="5" width="18.28515625" customWidth="1"/>
    <col min="6" max="6" width="13.7109375" customWidth="1"/>
    <col min="7" max="7" width="14.7109375" customWidth="1"/>
    <col min="8" max="8" width="14.42578125" customWidth="1"/>
    <col min="9" max="9" width="13.5703125" bestFit="1" customWidth="1"/>
    <col min="10" max="10" width="14.140625" customWidth="1"/>
    <col min="11" max="11" width="15.7109375" customWidth="1"/>
    <col min="12" max="12" width="0.5703125" customWidth="1"/>
    <col min="13" max="13" width="11.140625" customWidth="1"/>
    <col min="14" max="14" width="15.42578125" customWidth="1"/>
    <col min="15" max="15" width="17.85546875" customWidth="1"/>
    <col min="16" max="17" width="18" customWidth="1"/>
    <col min="18" max="18" width="11.140625" customWidth="1"/>
    <col min="19" max="19" width="13.28515625" customWidth="1"/>
    <col min="20" max="20" width="13.28515625" hidden="1" customWidth="1"/>
    <col min="21" max="21" width="16.140625" hidden="1" customWidth="1"/>
    <col min="22" max="22" width="14.140625" hidden="1" customWidth="1"/>
    <col min="23" max="23" width="13" hidden="1" customWidth="1"/>
    <col min="24" max="24" width="6.42578125" customWidth="1"/>
    <col min="25" max="25" width="16.42578125" customWidth="1"/>
    <col min="26" max="26" width="24.140625" style="71" customWidth="1"/>
    <col min="27" max="27" width="15.85546875" customWidth="1"/>
    <col min="28" max="28" width="13.7109375" customWidth="1"/>
    <col min="29" max="29" width="28.42578125" customWidth="1"/>
    <col min="30" max="30" width="78.5703125" customWidth="1"/>
    <col min="31" max="41" width="9.140625" customWidth="1"/>
  </cols>
  <sheetData>
    <row r="1" spans="2:30" ht="15.75" customHeight="1" x14ac:dyDescent="0.25">
      <c r="B1" s="380" t="s">
        <v>2670</v>
      </c>
      <c r="C1" s="380"/>
      <c r="D1" s="380"/>
      <c r="E1" s="380"/>
      <c r="F1" s="380"/>
      <c r="G1" s="380"/>
      <c r="H1" s="380"/>
      <c r="I1" s="380"/>
      <c r="J1" s="380"/>
      <c r="K1" s="380"/>
      <c r="L1" s="380"/>
      <c r="M1" s="380"/>
      <c r="N1" s="380"/>
      <c r="O1" s="380"/>
      <c r="P1" s="380"/>
      <c r="Q1" s="380"/>
      <c r="R1" s="380"/>
      <c r="S1" s="380"/>
      <c r="T1" s="380"/>
      <c r="U1" s="380"/>
      <c r="V1" s="380"/>
      <c r="W1" s="380"/>
      <c r="Z1"/>
    </row>
    <row r="2" spans="2:30" ht="15" customHeight="1" x14ac:dyDescent="0.25">
      <c r="B2" s="380"/>
      <c r="C2" s="380"/>
      <c r="D2" s="380"/>
      <c r="E2" s="380"/>
      <c r="F2" s="380"/>
      <c r="G2" s="380"/>
      <c r="H2" s="380"/>
      <c r="I2" s="380"/>
      <c r="J2" s="380"/>
      <c r="K2" s="380"/>
      <c r="L2" s="380"/>
      <c r="M2" s="380"/>
      <c r="N2" s="380"/>
      <c r="O2" s="380"/>
      <c r="P2" s="380"/>
      <c r="Q2" s="380"/>
      <c r="R2" s="380"/>
      <c r="S2" s="380"/>
      <c r="T2" s="380"/>
      <c r="U2" s="380"/>
      <c r="V2" s="380"/>
      <c r="W2" s="380"/>
    </row>
    <row r="3" spans="2:30" x14ac:dyDescent="0.25">
      <c r="B3" s="233">
        <v>46161</v>
      </c>
      <c r="C3" s="215"/>
      <c r="Y3" s="1287" t="s">
        <v>756</v>
      </c>
      <c r="Z3" s="1288"/>
      <c r="AA3" s="1288"/>
      <c r="AB3" s="1288"/>
      <c r="AC3" s="1289"/>
    </row>
    <row r="4" spans="2:30" ht="71.25" customHeight="1" x14ac:dyDescent="0.25">
      <c r="B4" s="206" t="s">
        <v>2671</v>
      </c>
      <c r="C4" s="208" t="s">
        <v>2672</v>
      </c>
      <c r="D4" s="208" t="s">
        <v>0</v>
      </c>
      <c r="E4" s="208" t="s">
        <v>2673</v>
      </c>
      <c r="F4" s="207" t="s">
        <v>2674</v>
      </c>
      <c r="G4" s="208" t="s">
        <v>2675</v>
      </c>
      <c r="H4" s="207" t="s">
        <v>2676</v>
      </c>
      <c r="I4" s="207" t="s">
        <v>2677</v>
      </c>
      <c r="J4" s="210" t="s">
        <v>2678</v>
      </c>
      <c r="K4" s="232" t="s">
        <v>2679</v>
      </c>
      <c r="L4" s="234"/>
      <c r="M4" s="217" t="s">
        <v>2680</v>
      </c>
      <c r="N4" s="209" t="s">
        <v>2681</v>
      </c>
      <c r="O4" s="209" t="s">
        <v>2682</v>
      </c>
      <c r="P4" s="209" t="s">
        <v>2683</v>
      </c>
      <c r="Q4" s="209" t="s">
        <v>2684</v>
      </c>
      <c r="R4" s="217" t="s">
        <v>2685</v>
      </c>
      <c r="S4" s="217" t="s">
        <v>2686</v>
      </c>
      <c r="T4" s="217" t="s">
        <v>2687</v>
      </c>
      <c r="U4" s="209" t="s">
        <v>2688</v>
      </c>
      <c r="V4" s="217" t="s">
        <v>2689</v>
      </c>
      <c r="W4" s="217" t="s">
        <v>2690</v>
      </c>
      <c r="Y4" s="217" t="s">
        <v>2623</v>
      </c>
      <c r="Z4" s="217" t="s">
        <v>2691</v>
      </c>
      <c r="AA4" s="217" t="s">
        <v>2692</v>
      </c>
      <c r="AB4" s="217" t="s">
        <v>2623</v>
      </c>
      <c r="AC4" s="217" t="s">
        <v>2693</v>
      </c>
    </row>
    <row r="5" spans="2:30" ht="24" customHeight="1" x14ac:dyDescent="0.25">
      <c r="B5" s="1281" t="s">
        <v>4</v>
      </c>
      <c r="C5" s="282" t="s">
        <v>413</v>
      </c>
      <c r="D5" s="283">
        <v>92</v>
      </c>
      <c r="E5" s="281">
        <v>109000</v>
      </c>
      <c r="F5" s="1264">
        <v>16</v>
      </c>
      <c r="G5" s="1266">
        <f>E5+E6+E7</f>
        <v>243000</v>
      </c>
      <c r="H5" s="205"/>
      <c r="I5" s="205"/>
      <c r="J5" s="1274">
        <f>G5+H6-1100</f>
        <v>261900</v>
      </c>
      <c r="K5" s="1276">
        <v>17</v>
      </c>
      <c r="L5" s="372"/>
      <c r="M5" s="1271">
        <v>13</v>
      </c>
      <c r="N5" s="1278">
        <v>210000</v>
      </c>
      <c r="O5" s="1263">
        <v>210000</v>
      </c>
      <c r="P5" s="1270">
        <f>N5-O5</f>
        <v>0</v>
      </c>
      <c r="Q5" s="1247">
        <f>P5+P8</f>
        <v>0</v>
      </c>
      <c r="R5" s="1301">
        <f xml:space="preserve"> K5-M5-M8</f>
        <v>3</v>
      </c>
      <c r="S5" s="1247">
        <f>J5-N5-N8-1700</f>
        <v>43000</v>
      </c>
      <c r="T5" s="1298"/>
      <c r="W5" s="1262">
        <f>J5-O5-O8-1100</f>
        <v>43600</v>
      </c>
      <c r="Y5" s="1293"/>
      <c r="Z5" s="1293"/>
      <c r="AA5" s="1295">
        <v>12</v>
      </c>
      <c r="AB5" s="1297">
        <v>46133</v>
      </c>
      <c r="AC5" s="1290" t="s">
        <v>2694</v>
      </c>
      <c r="AD5" t="s">
        <v>2695</v>
      </c>
    </row>
    <row r="6" spans="2:30" ht="30.75" customHeight="1" x14ac:dyDescent="0.25">
      <c r="B6" s="1281"/>
      <c r="C6" s="277" t="s">
        <v>99</v>
      </c>
      <c r="D6" s="283">
        <v>94</v>
      </c>
      <c r="E6" s="281">
        <v>92000</v>
      </c>
      <c r="F6" s="1264">
        <v>5</v>
      </c>
      <c r="G6" s="1267"/>
      <c r="H6" s="275">
        <v>20000</v>
      </c>
      <c r="I6" s="211">
        <v>1</v>
      </c>
      <c r="J6" s="1268" t="s">
        <v>2696</v>
      </c>
      <c r="K6" s="1276"/>
      <c r="L6" s="372"/>
      <c r="M6" s="1272"/>
      <c r="N6" s="1279"/>
      <c r="O6" s="1263"/>
      <c r="P6" s="1270"/>
      <c r="Q6" s="1248"/>
      <c r="R6" s="1302"/>
      <c r="S6" s="1239"/>
      <c r="T6" s="1298"/>
      <c r="W6" s="1262"/>
      <c r="Y6" s="1294"/>
      <c r="Z6" s="1294"/>
      <c r="AA6" s="1296"/>
      <c r="AB6" s="1296"/>
      <c r="AC6" s="1291"/>
      <c r="AD6" t="s">
        <v>2697</v>
      </c>
    </row>
    <row r="7" spans="2:30" ht="15" customHeight="1" x14ac:dyDescent="0.25">
      <c r="B7" s="1281"/>
      <c r="C7" s="1238" t="s">
        <v>2698</v>
      </c>
      <c r="D7" s="1285">
        <v>96</v>
      </c>
      <c r="E7" s="1284">
        <v>42000</v>
      </c>
      <c r="F7" s="1264"/>
      <c r="G7" s="1268"/>
      <c r="H7" s="250"/>
      <c r="I7" s="276"/>
      <c r="J7" s="1275"/>
      <c r="K7" s="1276"/>
      <c r="L7" s="372"/>
      <c r="M7" s="1273"/>
      <c r="N7" s="1280"/>
      <c r="O7" s="1263"/>
      <c r="P7" s="1270"/>
      <c r="Q7" s="1248"/>
      <c r="R7" s="1302"/>
      <c r="S7" s="1239"/>
      <c r="T7" s="1298"/>
      <c r="W7" s="1262"/>
      <c r="Y7" s="260"/>
      <c r="Z7" s="260"/>
      <c r="AA7" s="219">
        <v>1</v>
      </c>
      <c r="AB7" s="222">
        <v>46133</v>
      </c>
      <c r="AC7" s="1292"/>
    </row>
    <row r="8" spans="2:30" ht="52.5" customHeight="1" x14ac:dyDescent="0.25">
      <c r="B8" s="1281"/>
      <c r="C8" s="1239"/>
      <c r="D8" s="1254"/>
      <c r="E8" s="1250"/>
      <c r="F8" s="1264">
        <v>3</v>
      </c>
      <c r="G8" s="1268"/>
      <c r="H8" s="339"/>
      <c r="I8" s="277"/>
      <c r="J8" s="1275"/>
      <c r="K8" s="1277"/>
      <c r="L8" s="372"/>
      <c r="M8" s="366">
        <v>1</v>
      </c>
      <c r="N8" s="367">
        <v>7200</v>
      </c>
      <c r="O8" s="361">
        <v>7200</v>
      </c>
      <c r="P8" s="377">
        <f t="shared" ref="P8:P38" si="0">N8-O8</f>
        <v>0</v>
      </c>
      <c r="Q8" s="1248"/>
      <c r="R8" s="1302"/>
      <c r="S8" s="1239"/>
      <c r="T8" s="1298"/>
      <c r="W8" s="1262"/>
      <c r="Y8" s="260"/>
      <c r="Z8" s="260"/>
      <c r="AA8" s="219">
        <v>1</v>
      </c>
      <c r="AB8" s="222">
        <v>46155</v>
      </c>
      <c r="AC8" s="297" t="s">
        <v>2699</v>
      </c>
      <c r="AD8" s="94" t="s">
        <v>2700</v>
      </c>
    </row>
    <row r="9" spans="2:30" ht="28.5" customHeight="1" x14ac:dyDescent="0.25">
      <c r="B9" s="1286" t="s">
        <v>7</v>
      </c>
      <c r="C9" s="1282" t="s">
        <v>2701</v>
      </c>
      <c r="D9" s="1282">
        <v>95</v>
      </c>
      <c r="E9" s="1283">
        <v>1900000</v>
      </c>
      <c r="F9" s="1252">
        <v>280</v>
      </c>
      <c r="G9" s="1306">
        <f>E9+E12</f>
        <v>1965000</v>
      </c>
      <c r="H9" s="1282"/>
      <c r="I9" s="1282"/>
      <c r="J9" s="1262">
        <f>G9+H9</f>
        <v>1965000</v>
      </c>
      <c r="K9" s="1307">
        <f>F9</f>
        <v>280</v>
      </c>
      <c r="L9" s="378"/>
      <c r="M9" s="278">
        <v>98</v>
      </c>
      <c r="N9" s="381">
        <v>1091000</v>
      </c>
      <c r="O9" s="382">
        <v>1091000</v>
      </c>
      <c r="P9" s="388">
        <f t="shared" si="0"/>
        <v>0</v>
      </c>
      <c r="Q9" s="1303">
        <f>SUM(P9:P20)</f>
        <v>27700</v>
      </c>
      <c r="R9" s="1304">
        <v>32</v>
      </c>
      <c r="S9" s="1303">
        <f>J9-SUM(N9:N20)</f>
        <v>288500</v>
      </c>
      <c r="T9" s="1299"/>
      <c r="V9" s="369">
        <f t="shared" ref="V9:V18" si="1">N9-O9</f>
        <v>0</v>
      </c>
      <c r="W9" s="275">
        <f>SUM(V9:V18)</f>
        <v>23300</v>
      </c>
      <c r="Y9" s="343">
        <v>46133</v>
      </c>
      <c r="Z9" s="218" t="s">
        <v>2702</v>
      </c>
      <c r="AA9" s="218">
        <v>98</v>
      </c>
      <c r="AB9" s="221">
        <v>46134</v>
      </c>
      <c r="AC9" s="220" t="s">
        <v>2703</v>
      </c>
      <c r="AD9" s="143" t="s">
        <v>2704</v>
      </c>
    </row>
    <row r="10" spans="2:30" ht="14.25" customHeight="1" x14ac:dyDescent="0.25">
      <c r="B10" s="1286"/>
      <c r="C10" s="1282"/>
      <c r="D10" s="1282"/>
      <c r="E10" s="1283"/>
      <c r="F10" s="1252"/>
      <c r="G10" s="1306"/>
      <c r="H10" s="1282"/>
      <c r="I10" s="1282"/>
      <c r="J10" s="1262"/>
      <c r="K10" s="1307"/>
      <c r="L10" s="378"/>
      <c r="M10" s="218">
        <v>2</v>
      </c>
      <c r="N10" s="373">
        <v>48000</v>
      </c>
      <c r="O10" s="363">
        <v>48000</v>
      </c>
      <c r="P10" s="388">
        <f t="shared" si="0"/>
        <v>0</v>
      </c>
      <c r="Q10" s="1303"/>
      <c r="R10" s="1222"/>
      <c r="S10" s="1303"/>
      <c r="T10" s="1299"/>
      <c r="V10" s="369">
        <f t="shared" si="1"/>
        <v>0</v>
      </c>
      <c r="W10" s="362"/>
      <c r="Y10" s="343">
        <v>46133</v>
      </c>
      <c r="Z10" s="218" t="s">
        <v>2705</v>
      </c>
      <c r="AA10" s="218">
        <v>2</v>
      </c>
      <c r="AB10" s="221">
        <v>46134</v>
      </c>
      <c r="AC10" s="220" t="s">
        <v>853</v>
      </c>
      <c r="AD10" s="143"/>
    </row>
    <row r="11" spans="2:30" ht="14.25" customHeight="1" x14ac:dyDescent="0.25">
      <c r="B11" s="1286"/>
      <c r="C11" s="1282"/>
      <c r="D11" s="1282"/>
      <c r="E11" s="1283"/>
      <c r="F11" s="1252"/>
      <c r="G11" s="1306"/>
      <c r="H11" s="1282"/>
      <c r="I11" s="1282"/>
      <c r="J11" s="1262"/>
      <c r="K11" s="1307"/>
      <c r="L11" s="378"/>
      <c r="M11" s="218">
        <v>1</v>
      </c>
      <c r="N11" s="373">
        <v>11000</v>
      </c>
      <c r="O11" s="363">
        <v>11000</v>
      </c>
      <c r="P11" s="388">
        <f t="shared" si="0"/>
        <v>0</v>
      </c>
      <c r="Q11" s="1303"/>
      <c r="R11" s="1222"/>
      <c r="S11" s="1303"/>
      <c r="T11" s="1299"/>
      <c r="V11" s="369">
        <f t="shared" si="1"/>
        <v>0</v>
      </c>
      <c r="W11" s="362"/>
      <c r="Y11" s="343">
        <v>46136</v>
      </c>
      <c r="Z11" s="218" t="s">
        <v>2706</v>
      </c>
      <c r="AA11" s="218">
        <v>1</v>
      </c>
      <c r="AB11" s="221">
        <v>46136</v>
      </c>
      <c r="AC11" s="220" t="s">
        <v>2707</v>
      </c>
      <c r="AD11" s="245" t="s">
        <v>2708</v>
      </c>
    </row>
    <row r="12" spans="2:30" ht="14.25" customHeight="1" x14ac:dyDescent="0.25">
      <c r="B12" s="1286"/>
      <c r="C12" s="1282" t="s">
        <v>2698</v>
      </c>
      <c r="D12" s="1282">
        <v>96</v>
      </c>
      <c r="E12" s="1263">
        <v>65000</v>
      </c>
      <c r="F12" s="1252"/>
      <c r="G12" s="1306"/>
      <c r="H12" s="1282"/>
      <c r="I12" s="1282"/>
      <c r="J12" s="1262"/>
      <c r="K12" s="1307"/>
      <c r="L12" s="378"/>
      <c r="M12" s="218">
        <v>2</v>
      </c>
      <c r="N12" s="373">
        <v>22000</v>
      </c>
      <c r="O12" s="363">
        <v>20166.669999999998</v>
      </c>
      <c r="P12" s="388">
        <f t="shared" si="0"/>
        <v>1833.3300000000017</v>
      </c>
      <c r="Q12" s="1303"/>
      <c r="R12" s="1222"/>
      <c r="S12" s="1303"/>
      <c r="T12" s="1299"/>
      <c r="V12" s="369">
        <f t="shared" si="1"/>
        <v>1833.3300000000017</v>
      </c>
      <c r="W12" s="362"/>
      <c r="Y12" s="343">
        <v>46146</v>
      </c>
      <c r="Z12" s="218" t="s">
        <v>2709</v>
      </c>
      <c r="AA12" s="218">
        <v>2</v>
      </c>
      <c r="AB12" s="221">
        <v>46147</v>
      </c>
      <c r="AC12" s="220" t="s">
        <v>2710</v>
      </c>
      <c r="AD12" s="245" t="s">
        <v>2708</v>
      </c>
    </row>
    <row r="13" spans="2:30" ht="18" customHeight="1" x14ac:dyDescent="0.25">
      <c r="B13" s="1286"/>
      <c r="C13" s="1282"/>
      <c r="D13" s="1282"/>
      <c r="E13" s="1263"/>
      <c r="F13" s="1252"/>
      <c r="G13" s="1306"/>
      <c r="H13" s="1282"/>
      <c r="I13" s="1282"/>
      <c r="J13" s="1262"/>
      <c r="K13" s="1307"/>
      <c r="L13" s="378"/>
      <c r="M13" s="218">
        <v>6</v>
      </c>
      <c r="N13" s="373">
        <v>66000</v>
      </c>
      <c r="O13" s="363">
        <v>52800</v>
      </c>
      <c r="P13" s="388">
        <f t="shared" si="0"/>
        <v>13200</v>
      </c>
      <c r="Q13" s="1303"/>
      <c r="R13" s="1222"/>
      <c r="S13" s="1303"/>
      <c r="T13" s="1299"/>
      <c r="V13" s="369">
        <f t="shared" si="1"/>
        <v>13200</v>
      </c>
      <c r="W13" s="362"/>
      <c r="Y13" s="343">
        <v>46154</v>
      </c>
      <c r="Z13" s="218" t="s">
        <v>2711</v>
      </c>
      <c r="AA13" s="218">
        <v>6</v>
      </c>
      <c r="AB13" s="221">
        <v>46153</v>
      </c>
      <c r="AC13" s="220" t="s">
        <v>2712</v>
      </c>
      <c r="AD13" s="228"/>
    </row>
    <row r="14" spans="2:30" ht="18" customHeight="1" x14ac:dyDescent="0.25">
      <c r="B14" s="1286"/>
      <c r="C14" s="1282"/>
      <c r="D14" s="1282"/>
      <c r="E14" s="1263"/>
      <c r="F14" s="1252"/>
      <c r="G14" s="1306"/>
      <c r="H14" s="1282"/>
      <c r="I14" s="1282"/>
      <c r="J14" s="1262"/>
      <c r="K14" s="1307"/>
      <c r="L14" s="378"/>
      <c r="M14" s="218">
        <v>1</v>
      </c>
      <c r="N14" s="373">
        <v>10000</v>
      </c>
      <c r="O14" s="363">
        <v>8000</v>
      </c>
      <c r="P14" s="388">
        <f t="shared" si="0"/>
        <v>2000</v>
      </c>
      <c r="Q14" s="1303"/>
      <c r="R14" s="1222"/>
      <c r="S14" s="1303"/>
      <c r="T14" s="1299"/>
      <c r="V14" s="369">
        <f t="shared" si="1"/>
        <v>2000</v>
      </c>
      <c r="W14" s="362"/>
      <c r="Y14" s="343">
        <v>46153</v>
      </c>
      <c r="Z14" s="218" t="s">
        <v>2713</v>
      </c>
      <c r="AA14" s="218">
        <v>1</v>
      </c>
      <c r="AB14" s="221">
        <v>46153</v>
      </c>
      <c r="AC14" s="359" t="s">
        <v>2714</v>
      </c>
      <c r="AD14" s="245" t="s">
        <v>2708</v>
      </c>
    </row>
    <row r="15" spans="2:30" ht="18" customHeight="1" x14ac:dyDescent="0.25">
      <c r="B15" s="1286"/>
      <c r="C15" s="1282"/>
      <c r="D15" s="1282"/>
      <c r="E15" s="1263"/>
      <c r="F15" s="1252"/>
      <c r="G15" s="1306"/>
      <c r="H15" s="1282"/>
      <c r="I15" s="1282"/>
      <c r="J15" s="1262"/>
      <c r="K15" s="1307"/>
      <c r="L15" s="378"/>
      <c r="M15" s="218">
        <v>1</v>
      </c>
      <c r="N15" s="373">
        <v>13000</v>
      </c>
      <c r="O15" s="363">
        <v>9533.33</v>
      </c>
      <c r="P15" s="388">
        <f t="shared" si="0"/>
        <v>3466.67</v>
      </c>
      <c r="Q15" s="1303"/>
      <c r="R15" s="1222"/>
      <c r="S15" s="1303"/>
      <c r="T15" s="1299"/>
      <c r="V15" s="369">
        <f t="shared" si="1"/>
        <v>3466.67</v>
      </c>
      <c r="W15" s="362"/>
      <c r="Y15" s="343">
        <v>46155</v>
      </c>
      <c r="Z15" s="218" t="s">
        <v>2715</v>
      </c>
      <c r="AA15" s="218">
        <v>1</v>
      </c>
      <c r="AB15" s="221">
        <v>46155</v>
      </c>
      <c r="AC15" s="359" t="s">
        <v>2716</v>
      </c>
      <c r="AD15" s="245"/>
    </row>
    <row r="16" spans="2:30" ht="18" customHeight="1" x14ac:dyDescent="0.25">
      <c r="B16" s="1286"/>
      <c r="C16" s="1282"/>
      <c r="D16" s="1282"/>
      <c r="E16" s="1263"/>
      <c r="F16" s="1252"/>
      <c r="G16" s="1306"/>
      <c r="H16" s="1282"/>
      <c r="I16" s="1282"/>
      <c r="J16" s="1262"/>
      <c r="K16" s="1307"/>
      <c r="L16" s="378"/>
      <c r="M16" s="218">
        <v>86</v>
      </c>
      <c r="N16" s="373">
        <v>258000</v>
      </c>
      <c r="O16" s="363">
        <v>258000</v>
      </c>
      <c r="P16" s="388">
        <f t="shared" si="0"/>
        <v>0</v>
      </c>
      <c r="Q16" s="1303"/>
      <c r="R16" s="1222"/>
      <c r="S16" s="1303"/>
      <c r="T16" s="1299"/>
      <c r="V16" s="369">
        <f t="shared" si="1"/>
        <v>0</v>
      </c>
      <c r="W16" s="362"/>
      <c r="Y16" s="343">
        <v>46164</v>
      </c>
      <c r="Z16" s="218" t="s">
        <v>1251</v>
      </c>
      <c r="AA16" s="218">
        <v>86</v>
      </c>
      <c r="AB16" s="221">
        <v>46167</v>
      </c>
      <c r="AC16" s="359" t="s">
        <v>1253</v>
      </c>
      <c r="AD16" s="280" t="s">
        <v>2717</v>
      </c>
    </row>
    <row r="17" spans="2:30" ht="18" customHeight="1" x14ac:dyDescent="0.25">
      <c r="B17" s="1286"/>
      <c r="C17" s="1282"/>
      <c r="D17" s="1282"/>
      <c r="E17" s="1263"/>
      <c r="F17" s="1252"/>
      <c r="G17" s="1306"/>
      <c r="H17" s="1282"/>
      <c r="I17" s="1282"/>
      <c r="J17" s="1262"/>
      <c r="K17" s="1307"/>
      <c r="L17" s="378"/>
      <c r="M17" s="219">
        <v>31</v>
      </c>
      <c r="N17" s="373">
        <v>93000</v>
      </c>
      <c r="O17" s="363">
        <v>90200</v>
      </c>
      <c r="P17" s="387">
        <f t="shared" si="0"/>
        <v>2800</v>
      </c>
      <c r="Q17" s="1303"/>
      <c r="R17" s="1222"/>
      <c r="S17" s="1303"/>
      <c r="T17" s="1299"/>
      <c r="V17" s="369">
        <f t="shared" si="1"/>
        <v>2800</v>
      </c>
      <c r="W17" s="362"/>
      <c r="Y17" s="343">
        <v>46167</v>
      </c>
      <c r="Z17" s="218" t="s">
        <v>2718</v>
      </c>
      <c r="AA17" s="218">
        <v>31</v>
      </c>
      <c r="AB17" s="221">
        <v>46167</v>
      </c>
      <c r="AC17" s="359" t="s">
        <v>2719</v>
      </c>
      <c r="AD17" s="280" t="s">
        <v>2720</v>
      </c>
    </row>
    <row r="18" spans="2:30" ht="18" customHeight="1" x14ac:dyDescent="0.25">
      <c r="B18" s="1286"/>
      <c r="C18" s="1282"/>
      <c r="D18" s="1282"/>
      <c r="E18" s="1263"/>
      <c r="F18" s="1252"/>
      <c r="G18" s="1306"/>
      <c r="H18" s="1282"/>
      <c r="I18" s="1282"/>
      <c r="J18" s="1262"/>
      <c r="K18" s="1307"/>
      <c r="M18" s="218">
        <v>11</v>
      </c>
      <c r="N18" s="374">
        <v>51500</v>
      </c>
      <c r="O18" s="377">
        <v>51500</v>
      </c>
      <c r="P18" s="388">
        <f t="shared" si="0"/>
        <v>0</v>
      </c>
      <c r="Q18" s="1303"/>
      <c r="R18" s="1222"/>
      <c r="S18" s="1303"/>
      <c r="T18" s="1300"/>
      <c r="V18" s="376">
        <f t="shared" si="1"/>
        <v>0</v>
      </c>
      <c r="W18" s="362"/>
      <c r="Y18" s="343">
        <v>46170</v>
      </c>
      <c r="Z18" s="218" t="s">
        <v>2721</v>
      </c>
      <c r="AA18" s="218">
        <v>11</v>
      </c>
      <c r="AB18" s="221">
        <v>46170</v>
      </c>
      <c r="AC18" s="359" t="s">
        <v>2722</v>
      </c>
      <c r="AD18" s="280" t="s">
        <v>2723</v>
      </c>
    </row>
    <row r="19" spans="2:30" ht="18" customHeight="1" x14ac:dyDescent="0.25">
      <c r="B19" s="1286"/>
      <c r="C19" s="1282"/>
      <c r="D19" s="1282"/>
      <c r="E19" s="1263"/>
      <c r="F19" s="1252"/>
      <c r="G19" s="1306"/>
      <c r="H19" s="1282"/>
      <c r="I19" s="1282"/>
      <c r="J19" s="1262"/>
      <c r="K19" s="1307"/>
      <c r="M19" s="218">
        <v>1</v>
      </c>
      <c r="N19" s="374">
        <v>8000</v>
      </c>
      <c r="O19" s="377">
        <v>3600</v>
      </c>
      <c r="P19" s="388">
        <f t="shared" si="0"/>
        <v>4400</v>
      </c>
      <c r="Q19" s="1303"/>
      <c r="R19" s="1222"/>
      <c r="S19" s="1303"/>
      <c r="T19" s="811"/>
      <c r="V19" s="810"/>
      <c r="W19" s="362"/>
      <c r="Y19" s="360">
        <v>46176</v>
      </c>
      <c r="Z19" s="352" t="s">
        <v>2724</v>
      </c>
      <c r="AA19" s="278">
        <v>1</v>
      </c>
      <c r="AB19" s="279">
        <v>46176</v>
      </c>
      <c r="AC19" s="359" t="s">
        <v>1069</v>
      </c>
      <c r="AD19" s="280"/>
    </row>
    <row r="20" spans="2:30" ht="18" customHeight="1" x14ac:dyDescent="0.25">
      <c r="B20" s="1286"/>
      <c r="C20" s="1282"/>
      <c r="D20" s="1282"/>
      <c r="E20" s="1263"/>
      <c r="F20" s="1252"/>
      <c r="G20" s="1306"/>
      <c r="H20" s="1282"/>
      <c r="I20" s="1282"/>
      <c r="J20" s="1262"/>
      <c r="K20" s="1307"/>
      <c r="M20" s="218">
        <v>1</v>
      </c>
      <c r="N20" s="374">
        <v>5000</v>
      </c>
      <c r="O20" s="377">
        <v>5000</v>
      </c>
      <c r="P20" s="388">
        <f t="shared" si="0"/>
        <v>0</v>
      </c>
      <c r="Q20" s="1303"/>
      <c r="R20" s="1305"/>
      <c r="S20" s="1303"/>
      <c r="T20" s="811"/>
      <c r="V20" s="810"/>
      <c r="W20" s="362"/>
      <c r="Y20" s="360">
        <v>46181</v>
      </c>
      <c r="Z20" s="352" t="s">
        <v>2725</v>
      </c>
      <c r="AA20" s="278">
        <v>1</v>
      </c>
      <c r="AB20" s="279">
        <v>46181</v>
      </c>
      <c r="AC20" s="916" t="s">
        <v>2726</v>
      </c>
      <c r="AD20" s="280" t="s">
        <v>2727</v>
      </c>
    </row>
    <row r="21" spans="2:30" ht="18" customHeight="1" x14ac:dyDescent="0.25">
      <c r="B21" s="1251" t="s">
        <v>5</v>
      </c>
      <c r="C21" s="1254" t="s">
        <v>99</v>
      </c>
      <c r="D21" s="1254">
        <v>94</v>
      </c>
      <c r="E21" s="1250">
        <v>1100000</v>
      </c>
      <c r="F21" s="1239">
        <v>78</v>
      </c>
      <c r="G21" s="1269">
        <f>E21</f>
        <v>1100000</v>
      </c>
      <c r="H21" s="1269">
        <v>17600</v>
      </c>
      <c r="I21" s="1239">
        <v>4</v>
      </c>
      <c r="J21" s="1248">
        <f>G21+H21</f>
        <v>1117600</v>
      </c>
      <c r="K21" s="1265">
        <f>F21+I21</f>
        <v>82</v>
      </c>
      <c r="L21" s="372"/>
      <c r="M21" s="218">
        <v>5</v>
      </c>
      <c r="N21" s="374">
        <v>82000</v>
      </c>
      <c r="O21" s="363">
        <v>82000</v>
      </c>
      <c r="P21" s="361">
        <f t="shared" si="0"/>
        <v>0</v>
      </c>
      <c r="Q21" s="1248">
        <f>SUM(P21:P27)</f>
        <v>2300</v>
      </c>
      <c r="R21" s="1308">
        <v>0</v>
      </c>
      <c r="S21" s="1309">
        <f>J21-SUM(N21:N27)</f>
        <v>0</v>
      </c>
      <c r="T21" s="370"/>
      <c r="U21" s="281">
        <f t="shared" ref="U21:U27" si="2">N21-O21</f>
        <v>0</v>
      </c>
      <c r="V21" s="375"/>
      <c r="W21" s="1261">
        <f>J21-SUM(U21:U27)</f>
        <v>1115300</v>
      </c>
      <c r="Y21" s="360">
        <v>46133</v>
      </c>
      <c r="Z21" s="352" t="s">
        <v>1563</v>
      </c>
      <c r="AA21" s="278">
        <v>5</v>
      </c>
      <c r="AB21" s="279">
        <v>46134</v>
      </c>
      <c r="AC21" s="351" t="s">
        <v>2728</v>
      </c>
    </row>
    <row r="22" spans="2:30" ht="18" customHeight="1" x14ac:dyDescent="0.25">
      <c r="B22" s="1252"/>
      <c r="C22" s="1254"/>
      <c r="D22" s="1254"/>
      <c r="E22" s="1250"/>
      <c r="F22" s="1239"/>
      <c r="G22" s="1269"/>
      <c r="H22" s="1269"/>
      <c r="I22" s="1239"/>
      <c r="J22" s="1248"/>
      <c r="K22" s="1265"/>
      <c r="L22" s="234"/>
      <c r="M22" s="278">
        <v>5</v>
      </c>
      <c r="N22" s="374">
        <v>68000</v>
      </c>
      <c r="O22" s="363">
        <v>68000</v>
      </c>
      <c r="P22" s="361">
        <f t="shared" si="0"/>
        <v>0</v>
      </c>
      <c r="Q22" s="1248"/>
      <c r="R22" s="1309"/>
      <c r="S22" s="1309"/>
      <c r="T22" s="371"/>
      <c r="U22" s="281">
        <f t="shared" si="2"/>
        <v>0</v>
      </c>
      <c r="V22" s="375"/>
      <c r="W22" s="1252"/>
      <c r="Y22" s="343">
        <v>46134</v>
      </c>
      <c r="Z22" s="353" t="s">
        <v>1586</v>
      </c>
      <c r="AA22" s="218">
        <v>5</v>
      </c>
      <c r="AB22" s="221">
        <v>46134</v>
      </c>
      <c r="AC22" s="220" t="s">
        <v>2729</v>
      </c>
    </row>
    <row r="23" spans="2:30" ht="18" customHeight="1" x14ac:dyDescent="0.25">
      <c r="B23" s="1252"/>
      <c r="C23" s="1254"/>
      <c r="D23" s="1254"/>
      <c r="E23" s="1250"/>
      <c r="F23" s="1239"/>
      <c r="G23" s="1269"/>
      <c r="H23" s="1269"/>
      <c r="I23" s="1239"/>
      <c r="J23" s="1248"/>
      <c r="K23" s="1265"/>
      <c r="L23" s="234"/>
      <c r="M23" s="218">
        <v>16</v>
      </c>
      <c r="N23" s="374">
        <v>210000</v>
      </c>
      <c r="O23" s="363">
        <v>210000</v>
      </c>
      <c r="P23" s="361">
        <f t="shared" si="0"/>
        <v>0</v>
      </c>
      <c r="Q23" s="1248"/>
      <c r="R23" s="1309"/>
      <c r="S23" s="1309"/>
      <c r="T23" s="371"/>
      <c r="U23" s="281">
        <f t="shared" si="2"/>
        <v>0</v>
      </c>
      <c r="V23" s="375"/>
      <c r="W23" s="1252"/>
      <c r="Y23" s="343">
        <v>46134</v>
      </c>
      <c r="Z23" s="353" t="s">
        <v>1574</v>
      </c>
      <c r="AA23" s="218">
        <v>16</v>
      </c>
      <c r="AB23" s="221">
        <v>46135</v>
      </c>
      <c r="AC23" s="220" t="s">
        <v>2730</v>
      </c>
    </row>
    <row r="24" spans="2:30" ht="18" customHeight="1" x14ac:dyDescent="0.25">
      <c r="B24" s="1252"/>
      <c r="C24" s="1254"/>
      <c r="D24" s="1254"/>
      <c r="E24" s="1250"/>
      <c r="F24" s="1239"/>
      <c r="G24" s="1269"/>
      <c r="H24" s="1269"/>
      <c r="I24" s="1239"/>
      <c r="J24" s="1248"/>
      <c r="K24" s="1265"/>
      <c r="L24" s="234"/>
      <c r="M24" s="218">
        <v>48</v>
      </c>
      <c r="N24" s="374">
        <v>684000</v>
      </c>
      <c r="O24" s="363">
        <v>684000</v>
      </c>
      <c r="P24" s="361">
        <f t="shared" si="0"/>
        <v>0</v>
      </c>
      <c r="Q24" s="1248"/>
      <c r="R24" s="1309"/>
      <c r="S24" s="1309"/>
      <c r="T24" s="371"/>
      <c r="U24" s="281">
        <f t="shared" si="2"/>
        <v>0</v>
      </c>
      <c r="V24" s="375"/>
      <c r="W24" s="1252"/>
      <c r="Y24" s="343">
        <v>46135</v>
      </c>
      <c r="Z24" s="353" t="s">
        <v>2731</v>
      </c>
      <c r="AA24" s="218">
        <v>48</v>
      </c>
      <c r="AB24" s="221">
        <v>46135</v>
      </c>
      <c r="AC24" s="220" t="s">
        <v>2732</v>
      </c>
    </row>
    <row r="25" spans="2:30" ht="17.25" customHeight="1" x14ac:dyDescent="0.25">
      <c r="B25" s="1252"/>
      <c r="C25" s="1254"/>
      <c r="D25" s="1254"/>
      <c r="E25" s="1250"/>
      <c r="F25" s="1239"/>
      <c r="G25" s="1269"/>
      <c r="H25" s="1269"/>
      <c r="I25" s="1239"/>
      <c r="J25" s="1248"/>
      <c r="K25" s="1265"/>
      <c r="L25" s="234"/>
      <c r="M25" s="218">
        <v>4</v>
      </c>
      <c r="N25" s="374">
        <v>56000</v>
      </c>
      <c r="O25" s="363">
        <v>56000</v>
      </c>
      <c r="P25" s="361">
        <f t="shared" si="0"/>
        <v>0</v>
      </c>
      <c r="Q25" s="1248"/>
      <c r="R25" s="1309"/>
      <c r="S25" s="1309"/>
      <c r="T25" s="371"/>
      <c r="U25" s="281">
        <f t="shared" si="2"/>
        <v>0</v>
      </c>
      <c r="V25" s="375"/>
      <c r="W25" s="1252"/>
      <c r="Y25" s="343">
        <v>46135</v>
      </c>
      <c r="Z25" s="353" t="s">
        <v>2733</v>
      </c>
      <c r="AA25" s="218">
        <v>4</v>
      </c>
      <c r="AB25" s="221">
        <v>46134</v>
      </c>
      <c r="AC25" s="220" t="s">
        <v>2734</v>
      </c>
    </row>
    <row r="26" spans="2:30" ht="18" customHeight="1" x14ac:dyDescent="0.25">
      <c r="B26" s="1252"/>
      <c r="C26" s="1254"/>
      <c r="D26" s="1254"/>
      <c r="E26" s="1250"/>
      <c r="F26" s="1239"/>
      <c r="G26" s="1269"/>
      <c r="H26" s="1269"/>
      <c r="I26" s="1239"/>
      <c r="J26" s="1248"/>
      <c r="K26" s="1265"/>
      <c r="L26" s="234"/>
      <c r="M26" s="326">
        <v>3</v>
      </c>
      <c r="N26" s="374">
        <v>13200</v>
      </c>
      <c r="O26" s="363">
        <v>12000</v>
      </c>
      <c r="P26" s="361">
        <f t="shared" si="0"/>
        <v>1200</v>
      </c>
      <c r="Q26" s="1248"/>
      <c r="R26" s="1309"/>
      <c r="S26" s="1309"/>
      <c r="T26" s="371"/>
      <c r="U26" s="281">
        <f t="shared" si="2"/>
        <v>1200</v>
      </c>
      <c r="V26" s="375"/>
      <c r="W26" s="1252"/>
      <c r="Y26" s="347">
        <v>46161</v>
      </c>
      <c r="Z26" s="354" t="s">
        <v>2735</v>
      </c>
      <c r="AA26" s="326">
        <v>3</v>
      </c>
      <c r="AB26" s="327">
        <v>46161</v>
      </c>
      <c r="AC26" s="328" t="s">
        <v>2736</v>
      </c>
      <c r="AD26" s="244" t="s">
        <v>2737</v>
      </c>
    </row>
    <row r="27" spans="2:30" ht="18" customHeight="1" x14ac:dyDescent="0.25">
      <c r="B27" s="1253"/>
      <c r="C27" s="1254"/>
      <c r="D27" s="1254"/>
      <c r="E27" s="1250"/>
      <c r="F27" s="1239"/>
      <c r="G27" s="1269"/>
      <c r="H27" s="1269"/>
      <c r="I27" s="1239"/>
      <c r="J27" s="1249"/>
      <c r="K27" s="1265"/>
      <c r="L27" s="234"/>
      <c r="M27" s="326">
        <v>1</v>
      </c>
      <c r="N27" s="374">
        <v>4400</v>
      </c>
      <c r="O27" s="363">
        <v>3300</v>
      </c>
      <c r="P27" s="361">
        <f t="shared" si="0"/>
        <v>1100</v>
      </c>
      <c r="Q27" s="1248"/>
      <c r="R27" s="1310"/>
      <c r="S27" s="1310"/>
      <c r="T27" s="371"/>
      <c r="U27" s="281">
        <f t="shared" si="2"/>
        <v>1100</v>
      </c>
      <c r="V27" s="375"/>
      <c r="W27" s="1252"/>
      <c r="Y27" s="347">
        <v>46170</v>
      </c>
      <c r="Z27" s="354" t="s">
        <v>2738</v>
      </c>
      <c r="AA27" s="326">
        <v>1</v>
      </c>
      <c r="AB27" s="327">
        <v>46170</v>
      </c>
      <c r="AC27" s="328" t="s">
        <v>2739</v>
      </c>
      <c r="AD27" t="s">
        <v>2740</v>
      </c>
    </row>
    <row r="28" spans="2:30" ht="18" customHeight="1" x14ac:dyDescent="0.25">
      <c r="B28" s="1241" t="s">
        <v>6</v>
      </c>
      <c r="C28" s="1238" t="s">
        <v>99</v>
      </c>
      <c r="D28" s="1238">
        <v>94</v>
      </c>
      <c r="E28" s="1244">
        <v>407000</v>
      </c>
      <c r="F28" s="1258">
        <v>267</v>
      </c>
      <c r="G28" s="1255">
        <f>E28+E31</f>
        <v>2583500</v>
      </c>
      <c r="H28" s="1244">
        <v>500</v>
      </c>
      <c r="I28" s="1255"/>
      <c r="J28" s="1255">
        <f>G28+H28</f>
        <v>2584000</v>
      </c>
      <c r="K28" s="1258">
        <v>267</v>
      </c>
      <c r="M28" s="218">
        <v>61</v>
      </c>
      <c r="N28" s="374">
        <v>678500</v>
      </c>
      <c r="O28" s="385">
        <v>675000</v>
      </c>
      <c r="P28" s="363">
        <f t="shared" si="0"/>
        <v>3500</v>
      </c>
      <c r="Q28" s="1247">
        <f>SUM(P28:P47)</f>
        <v>109433.33</v>
      </c>
      <c r="R28" s="1238">
        <v>3</v>
      </c>
      <c r="S28" s="1247">
        <f>J28-SUM(N28:N47)</f>
        <v>21000</v>
      </c>
      <c r="T28" s="383"/>
      <c r="V28" s="364">
        <f t="shared" ref="V28:V43" si="3">N28-O28</f>
        <v>3500</v>
      </c>
      <c r="W28" s="365">
        <f>J28-SUM(O28:O43)</f>
        <v>196100</v>
      </c>
      <c r="Y28" s="343">
        <v>46133</v>
      </c>
      <c r="Z28" s="353" t="s">
        <v>2057</v>
      </c>
      <c r="AA28" s="218">
        <v>60</v>
      </c>
      <c r="AB28" s="221">
        <v>46134</v>
      </c>
      <c r="AC28" s="220" t="s">
        <v>2741</v>
      </c>
      <c r="AD28" t="s">
        <v>2742</v>
      </c>
    </row>
    <row r="29" spans="2:30" ht="18" customHeight="1" x14ac:dyDescent="0.25">
      <c r="B29" s="1242"/>
      <c r="C29" s="1239"/>
      <c r="D29" s="1239"/>
      <c r="E29" s="1245"/>
      <c r="F29" s="1259"/>
      <c r="G29" s="1256"/>
      <c r="H29" s="1245"/>
      <c r="I29" s="1256"/>
      <c r="J29" s="1256"/>
      <c r="K29" s="1259"/>
      <c r="M29" s="218">
        <v>60</v>
      </c>
      <c r="N29" s="374">
        <v>584500</v>
      </c>
      <c r="O29" s="377">
        <v>584500</v>
      </c>
      <c r="P29" s="363">
        <f t="shared" si="0"/>
        <v>0</v>
      </c>
      <c r="Q29" s="1248"/>
      <c r="R29" s="1239"/>
      <c r="S29" s="1248"/>
      <c r="T29" s="383"/>
      <c r="V29" s="364">
        <f t="shared" si="3"/>
        <v>0</v>
      </c>
      <c r="W29" s="341"/>
      <c r="Y29" s="343">
        <v>46133</v>
      </c>
      <c r="Z29" s="355" t="s">
        <v>2743</v>
      </c>
      <c r="AA29" s="348">
        <v>60</v>
      </c>
      <c r="AB29" s="349">
        <v>46134</v>
      </c>
      <c r="AC29" s="350" t="s">
        <v>2744</v>
      </c>
      <c r="AD29" s="94" t="s">
        <v>2745</v>
      </c>
    </row>
    <row r="30" spans="2:30" ht="18" customHeight="1" x14ac:dyDescent="0.25">
      <c r="B30" s="1242"/>
      <c r="C30" s="1240"/>
      <c r="D30" s="1240"/>
      <c r="E30" s="1246"/>
      <c r="F30" s="1259"/>
      <c r="G30" s="1256"/>
      <c r="H30" s="1246"/>
      <c r="I30" s="1256"/>
      <c r="J30" s="1256"/>
      <c r="K30" s="1259"/>
      <c r="M30" s="218">
        <v>60</v>
      </c>
      <c r="N30" s="374">
        <v>619500</v>
      </c>
      <c r="O30" s="377">
        <v>619500</v>
      </c>
      <c r="P30" s="363">
        <f t="shared" si="0"/>
        <v>0</v>
      </c>
      <c r="Q30" s="1248"/>
      <c r="R30" s="1239"/>
      <c r="S30" s="1248"/>
      <c r="T30" s="383"/>
      <c r="V30" s="364">
        <f t="shared" si="3"/>
        <v>0</v>
      </c>
      <c r="W30" s="341"/>
      <c r="Y30" s="343">
        <v>46133</v>
      </c>
      <c r="Z30" s="356" t="s">
        <v>1998</v>
      </c>
      <c r="AA30" s="219">
        <v>60</v>
      </c>
      <c r="AB30" s="225">
        <v>46134</v>
      </c>
      <c r="AC30" s="223" t="s">
        <v>2746</v>
      </c>
      <c r="AD30" s="227" t="s">
        <v>2747</v>
      </c>
    </row>
    <row r="31" spans="2:30" ht="18" customHeight="1" x14ac:dyDescent="0.25">
      <c r="B31" s="1242"/>
      <c r="C31" s="1238" t="s">
        <v>221</v>
      </c>
      <c r="D31" s="1238">
        <v>97</v>
      </c>
      <c r="E31" s="1244">
        <v>2176500</v>
      </c>
      <c r="F31" s="1259"/>
      <c r="G31" s="1256"/>
      <c r="H31" s="1247"/>
      <c r="I31" s="1256"/>
      <c r="J31" s="1256"/>
      <c r="K31" s="1259"/>
      <c r="M31" s="218">
        <v>1</v>
      </c>
      <c r="N31" s="374">
        <v>14000</v>
      </c>
      <c r="O31" s="377">
        <v>13533.33</v>
      </c>
      <c r="P31" s="363">
        <f t="shared" si="0"/>
        <v>466.67000000000007</v>
      </c>
      <c r="Q31" s="1248"/>
      <c r="R31" s="1239"/>
      <c r="S31" s="1248"/>
      <c r="T31" s="383"/>
      <c r="V31" s="364">
        <f t="shared" si="3"/>
        <v>466.67000000000007</v>
      </c>
      <c r="W31" s="341"/>
      <c r="Y31" s="343">
        <v>46139</v>
      </c>
      <c r="Z31" s="356" t="s">
        <v>2748</v>
      </c>
      <c r="AA31" s="219">
        <v>1</v>
      </c>
      <c r="AB31" s="225">
        <v>46140</v>
      </c>
      <c r="AC31" s="223" t="s">
        <v>2749</v>
      </c>
    </row>
    <row r="32" spans="2:30" ht="18" customHeight="1" x14ac:dyDescent="0.25">
      <c r="B32" s="1242"/>
      <c r="C32" s="1239"/>
      <c r="D32" s="1239"/>
      <c r="E32" s="1245"/>
      <c r="F32" s="1259"/>
      <c r="G32" s="1256"/>
      <c r="H32" s="1248"/>
      <c r="I32" s="1256"/>
      <c r="J32" s="1256"/>
      <c r="K32" s="1259"/>
      <c r="M32" s="218">
        <v>1</v>
      </c>
      <c r="N32" s="374">
        <v>14000</v>
      </c>
      <c r="O32" s="377">
        <v>14000</v>
      </c>
      <c r="P32" s="363">
        <f t="shared" si="0"/>
        <v>0</v>
      </c>
      <c r="Q32" s="1248"/>
      <c r="R32" s="1239"/>
      <c r="S32" s="1248"/>
      <c r="T32" s="383"/>
      <c r="V32" s="364">
        <f t="shared" si="3"/>
        <v>0</v>
      </c>
      <c r="W32" s="341"/>
      <c r="Y32" s="343">
        <v>46140</v>
      </c>
      <c r="Z32" s="356" t="s">
        <v>2750</v>
      </c>
      <c r="AA32" s="219">
        <v>1</v>
      </c>
      <c r="AB32" s="225">
        <v>46140</v>
      </c>
      <c r="AC32" s="223" t="s">
        <v>2751</v>
      </c>
    </row>
    <row r="33" spans="2:30" ht="18" customHeight="1" x14ac:dyDescent="0.25">
      <c r="B33" s="1242"/>
      <c r="C33" s="1239"/>
      <c r="D33" s="1239"/>
      <c r="E33" s="1245"/>
      <c r="F33" s="1259"/>
      <c r="G33" s="1256"/>
      <c r="H33" s="1248"/>
      <c r="I33" s="1256"/>
      <c r="J33" s="1256"/>
      <c r="K33" s="1259"/>
      <c r="M33" s="218">
        <v>1</v>
      </c>
      <c r="N33" s="374">
        <v>6000</v>
      </c>
      <c r="O33" s="377">
        <v>4200</v>
      </c>
      <c r="P33" s="363">
        <f t="shared" si="0"/>
        <v>1800</v>
      </c>
      <c r="Q33" s="1248"/>
      <c r="R33" s="1239"/>
      <c r="S33" s="1248"/>
      <c r="T33" s="383"/>
      <c r="V33" s="364">
        <f t="shared" si="3"/>
        <v>1800</v>
      </c>
      <c r="W33" s="341"/>
      <c r="Y33" s="343">
        <v>46146</v>
      </c>
      <c r="Z33" s="356" t="s">
        <v>2752</v>
      </c>
      <c r="AA33" s="219">
        <v>1</v>
      </c>
      <c r="AB33" s="225">
        <v>46147</v>
      </c>
      <c r="AC33" s="223" t="s">
        <v>2753</v>
      </c>
      <c r="AD33" s="228"/>
    </row>
    <row r="34" spans="2:30" ht="18" customHeight="1" x14ac:dyDescent="0.25">
      <c r="B34" s="1242"/>
      <c r="C34" s="1239"/>
      <c r="D34" s="1239"/>
      <c r="E34" s="1245"/>
      <c r="F34" s="1259"/>
      <c r="G34" s="1256"/>
      <c r="H34" s="1248"/>
      <c r="I34" s="1256"/>
      <c r="J34" s="1256"/>
      <c r="K34" s="1259"/>
      <c r="M34" s="218">
        <v>1</v>
      </c>
      <c r="N34" s="374">
        <v>12000</v>
      </c>
      <c r="O34" s="377">
        <v>12000</v>
      </c>
      <c r="P34" s="363">
        <f t="shared" si="0"/>
        <v>0</v>
      </c>
      <c r="Q34" s="1248"/>
      <c r="R34" s="1239"/>
      <c r="S34" s="1248"/>
      <c r="T34" s="383"/>
      <c r="V34" s="364">
        <f t="shared" si="3"/>
        <v>0</v>
      </c>
      <c r="W34" s="341"/>
      <c r="Y34" s="343">
        <v>46146</v>
      </c>
      <c r="Z34" s="353" t="s">
        <v>2754</v>
      </c>
      <c r="AA34" s="218">
        <v>1</v>
      </c>
      <c r="AB34" s="224">
        <v>46147</v>
      </c>
      <c r="AC34" s="220" t="s">
        <v>2755</v>
      </c>
      <c r="AD34" t="s">
        <v>2756</v>
      </c>
    </row>
    <row r="35" spans="2:30" ht="18" customHeight="1" x14ac:dyDescent="0.25">
      <c r="B35" s="1242"/>
      <c r="C35" s="1239"/>
      <c r="D35" s="1239"/>
      <c r="E35" s="1245"/>
      <c r="F35" s="1259"/>
      <c r="G35" s="1256"/>
      <c r="H35" s="1248"/>
      <c r="I35" s="1256"/>
      <c r="J35" s="1256"/>
      <c r="K35" s="1259"/>
      <c r="M35" s="218">
        <v>1</v>
      </c>
      <c r="N35" s="374">
        <v>9000</v>
      </c>
      <c r="O35" s="377">
        <v>7500</v>
      </c>
      <c r="P35" s="363">
        <f t="shared" si="0"/>
        <v>1500</v>
      </c>
      <c r="Q35" s="1248"/>
      <c r="R35" s="1239"/>
      <c r="S35" s="1248"/>
      <c r="T35" s="383"/>
      <c r="V35" s="364">
        <f t="shared" si="3"/>
        <v>1500</v>
      </c>
      <c r="W35" s="341"/>
      <c r="Y35" s="343">
        <v>46149</v>
      </c>
      <c r="Z35" s="353" t="s">
        <v>2757</v>
      </c>
      <c r="AA35" s="218">
        <v>1</v>
      </c>
      <c r="AB35" s="224">
        <v>46147</v>
      </c>
      <c r="AC35" s="220" t="s">
        <v>2755</v>
      </c>
    </row>
    <row r="36" spans="2:30" ht="18" customHeight="1" x14ac:dyDescent="0.25">
      <c r="B36" s="1242"/>
      <c r="C36" s="1239"/>
      <c r="D36" s="1239"/>
      <c r="E36" s="1245"/>
      <c r="F36" s="1259"/>
      <c r="G36" s="1256"/>
      <c r="H36" s="1248"/>
      <c r="I36" s="1256"/>
      <c r="J36" s="1256"/>
      <c r="K36" s="1259"/>
      <c r="M36" s="218">
        <v>2</v>
      </c>
      <c r="N36" s="374">
        <v>32000</v>
      </c>
      <c r="O36" s="377">
        <v>23466.67</v>
      </c>
      <c r="P36" s="363">
        <f t="shared" si="0"/>
        <v>8533.3300000000017</v>
      </c>
      <c r="Q36" s="1248"/>
      <c r="R36" s="1239"/>
      <c r="S36" s="1248"/>
      <c r="T36" s="383"/>
      <c r="V36" s="364">
        <f t="shared" si="3"/>
        <v>8533.3300000000017</v>
      </c>
      <c r="W36" s="341"/>
      <c r="Y36" s="343">
        <v>46154</v>
      </c>
      <c r="Z36" s="353" t="s">
        <v>1965</v>
      </c>
      <c r="AA36" s="218">
        <v>2</v>
      </c>
      <c r="AB36" s="224">
        <v>46154</v>
      </c>
      <c r="AC36" s="220" t="s">
        <v>2758</v>
      </c>
      <c r="AD36" s="228"/>
    </row>
    <row r="37" spans="2:30" ht="18" customHeight="1" x14ac:dyDescent="0.25">
      <c r="B37" s="1242"/>
      <c r="C37" s="1239"/>
      <c r="D37" s="1239"/>
      <c r="E37" s="1245"/>
      <c r="F37" s="1259"/>
      <c r="G37" s="1256"/>
      <c r="H37" s="1248"/>
      <c r="I37" s="1256"/>
      <c r="J37" s="1256"/>
      <c r="K37" s="1259"/>
      <c r="M37" s="218">
        <v>1</v>
      </c>
      <c r="N37" s="374">
        <v>18000</v>
      </c>
      <c r="O37" s="377">
        <v>13200</v>
      </c>
      <c r="P37" s="363">
        <f t="shared" si="0"/>
        <v>4800</v>
      </c>
      <c r="Q37" s="1248"/>
      <c r="R37" s="1239"/>
      <c r="S37" s="1248"/>
      <c r="T37" s="383"/>
      <c r="V37" s="364">
        <f t="shared" si="3"/>
        <v>4800</v>
      </c>
      <c r="W37" s="341"/>
      <c r="Y37" s="343">
        <v>46154</v>
      </c>
      <c r="Z37" s="356" t="s">
        <v>2759</v>
      </c>
      <c r="AA37" s="219">
        <v>1</v>
      </c>
      <c r="AB37" s="225">
        <v>46155</v>
      </c>
      <c r="AC37" s="223" t="s">
        <v>2760</v>
      </c>
      <c r="AD37" s="182" t="s">
        <v>2761</v>
      </c>
    </row>
    <row r="38" spans="2:30" ht="18" customHeight="1" x14ac:dyDescent="0.25">
      <c r="B38" s="1242"/>
      <c r="C38" s="1239"/>
      <c r="D38" s="1239"/>
      <c r="E38" s="1245"/>
      <c r="F38" s="1259"/>
      <c r="G38" s="1256"/>
      <c r="H38" s="1248"/>
      <c r="I38" s="1256"/>
      <c r="J38" s="1256"/>
      <c r="K38" s="1259"/>
      <c r="M38" s="218">
        <v>60</v>
      </c>
      <c r="N38" s="374">
        <v>379500</v>
      </c>
      <c r="O38" s="377">
        <v>379500</v>
      </c>
      <c r="P38" s="363">
        <f t="shared" si="0"/>
        <v>0</v>
      </c>
      <c r="Q38" s="1248"/>
      <c r="R38" s="1239"/>
      <c r="S38" s="1248"/>
      <c r="T38" s="383"/>
      <c r="V38" s="364">
        <f t="shared" si="3"/>
        <v>0</v>
      </c>
      <c r="W38" s="341"/>
      <c r="Y38" s="343">
        <v>46156</v>
      </c>
      <c r="Z38" s="353" t="s">
        <v>2762</v>
      </c>
      <c r="AA38" s="218">
        <v>60</v>
      </c>
      <c r="AB38" s="221">
        <v>46156</v>
      </c>
      <c r="AC38" s="220" t="s">
        <v>2763</v>
      </c>
      <c r="AD38" s="182" t="s">
        <v>2764</v>
      </c>
    </row>
    <row r="39" spans="2:30" ht="18" customHeight="1" x14ac:dyDescent="0.25">
      <c r="B39" s="1242"/>
      <c r="C39" s="1239"/>
      <c r="D39" s="1239"/>
      <c r="E39" s="1245"/>
      <c r="F39" s="1259"/>
      <c r="G39" s="1256"/>
      <c r="H39" s="1248"/>
      <c r="I39" s="1256"/>
      <c r="J39" s="1256"/>
      <c r="K39" s="1259"/>
      <c r="M39" s="218">
        <v>0</v>
      </c>
      <c r="N39" s="374">
        <v>0</v>
      </c>
      <c r="O39" s="377">
        <v>0</v>
      </c>
      <c r="P39" s="363">
        <v>0</v>
      </c>
      <c r="Q39" s="1248"/>
      <c r="R39" s="1239"/>
      <c r="S39" s="1248"/>
      <c r="T39" s="383"/>
      <c r="V39" s="364">
        <f t="shared" si="3"/>
        <v>0</v>
      </c>
      <c r="W39" s="341"/>
      <c r="Y39" s="347">
        <v>46160</v>
      </c>
      <c r="Z39" s="354" t="s">
        <v>2765</v>
      </c>
      <c r="AA39" s="326">
        <v>0</v>
      </c>
      <c r="AB39" s="327">
        <v>46161</v>
      </c>
      <c r="AC39" s="328" t="s">
        <v>2766</v>
      </c>
      <c r="AD39" s="182" t="s">
        <v>2767</v>
      </c>
    </row>
    <row r="40" spans="2:30" s="228" customFormat="1" ht="17.25" customHeight="1" x14ac:dyDescent="0.25">
      <c r="B40" s="1242"/>
      <c r="C40" s="1239"/>
      <c r="D40" s="1239"/>
      <c r="E40" s="1245"/>
      <c r="F40" s="1259"/>
      <c r="G40" s="1256"/>
      <c r="H40" s="1248"/>
      <c r="I40" s="1256"/>
      <c r="J40" s="1256"/>
      <c r="K40" s="1259"/>
      <c r="M40" s="812">
        <v>3</v>
      </c>
      <c r="N40" s="813">
        <v>29000</v>
      </c>
      <c r="O40" s="814">
        <v>18000</v>
      </c>
      <c r="P40" s="815">
        <v>11000</v>
      </c>
      <c r="Q40" s="1248"/>
      <c r="R40" s="1239"/>
      <c r="S40" s="1248"/>
      <c r="T40" s="816"/>
      <c r="V40" s="817">
        <f t="shared" si="3"/>
        <v>11000</v>
      </c>
      <c r="W40" s="818"/>
      <c r="Y40" s="819">
        <v>46162</v>
      </c>
      <c r="Z40" s="820" t="s">
        <v>2768</v>
      </c>
      <c r="AA40" s="812">
        <v>3</v>
      </c>
      <c r="AB40" s="821">
        <v>46162</v>
      </c>
      <c r="AC40" s="822" t="s">
        <v>2172</v>
      </c>
      <c r="AD40" s="228" t="s">
        <v>2769</v>
      </c>
    </row>
    <row r="41" spans="2:30" ht="12.75" customHeight="1" x14ac:dyDescent="0.25">
      <c r="B41" s="1242"/>
      <c r="C41" s="1239"/>
      <c r="D41" s="1239"/>
      <c r="E41" s="1245"/>
      <c r="F41" s="1259"/>
      <c r="G41" s="1256"/>
      <c r="H41" s="1248"/>
      <c r="I41" s="1256"/>
      <c r="J41" s="1256"/>
      <c r="K41" s="1259"/>
      <c r="M41" s="446">
        <v>1</v>
      </c>
      <c r="N41" s="374">
        <v>12000</v>
      </c>
      <c r="O41" s="377">
        <v>5500</v>
      </c>
      <c r="P41" s="363">
        <f>N41-O41</f>
        <v>6500</v>
      </c>
      <c r="Q41" s="1248"/>
      <c r="R41" s="1239"/>
      <c r="S41" s="1248"/>
      <c r="T41" s="383"/>
      <c r="V41" s="364">
        <f t="shared" si="3"/>
        <v>6500</v>
      </c>
      <c r="W41" s="341"/>
      <c r="Y41" s="444">
        <v>46168</v>
      </c>
      <c r="Z41" s="445" t="s">
        <v>2770</v>
      </c>
      <c r="AA41" s="446">
        <v>1</v>
      </c>
      <c r="AB41" s="444">
        <v>46168</v>
      </c>
      <c r="AC41" s="447" t="s">
        <v>2771</v>
      </c>
      <c r="AD41" s="245" t="s">
        <v>2769</v>
      </c>
    </row>
    <row r="42" spans="2:30" ht="12.75" customHeight="1" x14ac:dyDescent="0.25">
      <c r="B42" s="1242"/>
      <c r="C42" s="1239"/>
      <c r="D42" s="1239"/>
      <c r="E42" s="1245"/>
      <c r="F42" s="1259"/>
      <c r="G42" s="1256"/>
      <c r="H42" s="1248"/>
      <c r="I42" s="1256"/>
      <c r="J42" s="1256"/>
      <c r="K42" s="1259"/>
      <c r="M42" s="446">
        <v>1</v>
      </c>
      <c r="N42" s="374">
        <v>20000</v>
      </c>
      <c r="O42" s="377">
        <v>10000</v>
      </c>
      <c r="P42" s="377">
        <f>N42-O42</f>
        <v>10000</v>
      </c>
      <c r="Q42" s="1248"/>
      <c r="R42" s="1239"/>
      <c r="S42" s="1248"/>
      <c r="T42" s="383"/>
      <c r="V42" s="364">
        <f t="shared" si="3"/>
        <v>10000</v>
      </c>
      <c r="W42" s="341"/>
      <c r="Y42" s="444">
        <v>46169</v>
      </c>
      <c r="Z42" s="445" t="s">
        <v>2772</v>
      </c>
      <c r="AA42" s="446">
        <v>1</v>
      </c>
      <c r="AB42" s="444">
        <v>46169</v>
      </c>
      <c r="AC42" s="447" t="s">
        <v>2773</v>
      </c>
      <c r="AD42" s="245" t="s">
        <v>2769</v>
      </c>
    </row>
    <row r="43" spans="2:30" ht="14.25" customHeight="1" x14ac:dyDescent="0.25">
      <c r="B43" s="1242"/>
      <c r="C43" s="1239"/>
      <c r="D43" s="1239"/>
      <c r="E43" s="1245"/>
      <c r="F43" s="1259"/>
      <c r="G43" s="1256"/>
      <c r="H43" s="1248"/>
      <c r="I43" s="1256"/>
      <c r="J43" s="1256"/>
      <c r="K43" s="1259"/>
      <c r="M43" s="446">
        <v>1</v>
      </c>
      <c r="N43" s="456">
        <v>8000</v>
      </c>
      <c r="O43" s="361">
        <v>8000</v>
      </c>
      <c r="P43" s="361">
        <f>N43-O43</f>
        <v>0</v>
      </c>
      <c r="Q43" s="1248"/>
      <c r="R43" s="1239"/>
      <c r="S43" s="1248"/>
      <c r="T43" s="383"/>
      <c r="V43" s="364">
        <f t="shared" si="3"/>
        <v>0</v>
      </c>
      <c r="W43" s="441"/>
      <c r="Y43" s="448">
        <v>46170</v>
      </c>
      <c r="Z43" s="449" t="s">
        <v>2774</v>
      </c>
      <c r="AA43" s="450">
        <v>1</v>
      </c>
      <c r="AB43" s="448">
        <v>46171</v>
      </c>
      <c r="AC43" s="451" t="s">
        <v>2775</v>
      </c>
      <c r="AD43" s="245" t="s">
        <v>2769</v>
      </c>
    </row>
    <row r="44" spans="2:30" ht="14.25" customHeight="1" x14ac:dyDescent="0.25">
      <c r="B44" s="1242"/>
      <c r="C44" s="1239"/>
      <c r="D44" s="1239"/>
      <c r="E44" s="1245"/>
      <c r="F44" s="1259"/>
      <c r="G44" s="1256"/>
      <c r="H44" s="1248"/>
      <c r="I44" s="1256"/>
      <c r="J44" s="1256"/>
      <c r="K44" s="1259"/>
      <c r="M44" s="446">
        <v>2</v>
      </c>
      <c r="N44" s="456">
        <f>12000+7000</f>
        <v>19000</v>
      </c>
      <c r="O44" s="361">
        <v>12766.67</v>
      </c>
      <c r="P44" s="361">
        <f t="shared" ref="P44" si="4">N44-O44</f>
        <v>6233.33</v>
      </c>
      <c r="Q44" s="1248"/>
      <c r="R44" s="1239"/>
      <c r="S44" s="1248"/>
      <c r="T44" s="383"/>
      <c r="V44" s="364"/>
      <c r="W44" s="441"/>
      <c r="Y44" s="444">
        <v>46171</v>
      </c>
      <c r="Z44" s="446" t="s">
        <v>2227</v>
      </c>
      <c r="AA44" s="446">
        <v>2</v>
      </c>
      <c r="AB44" s="444">
        <v>46174</v>
      </c>
      <c r="AC44" s="804" t="s">
        <v>2776</v>
      </c>
      <c r="AD44" s="245" t="s">
        <v>2777</v>
      </c>
    </row>
    <row r="45" spans="2:30" ht="14.25" customHeight="1" x14ac:dyDescent="0.25">
      <c r="B45" s="1242"/>
      <c r="C45" s="1239"/>
      <c r="D45" s="1239"/>
      <c r="E45" s="1245"/>
      <c r="F45" s="1259"/>
      <c r="G45" s="1256"/>
      <c r="H45" s="1248"/>
      <c r="I45" s="1256"/>
      <c r="J45" s="1256"/>
      <c r="K45" s="1259"/>
      <c r="M45" s="446">
        <v>4</v>
      </c>
      <c r="N45" s="456">
        <v>51000</v>
      </c>
      <c r="O45" s="361">
        <v>27066.67</v>
      </c>
      <c r="P45" s="361">
        <f>N45-O45</f>
        <v>23933.33</v>
      </c>
      <c r="Q45" s="1248"/>
      <c r="R45" s="1239"/>
      <c r="S45" s="1248"/>
      <c r="T45" s="383"/>
      <c r="V45" s="364"/>
      <c r="W45" s="441"/>
      <c r="Y45" s="444">
        <v>46172</v>
      </c>
      <c r="Z45" s="446" t="s">
        <v>1951</v>
      </c>
      <c r="AA45" s="446">
        <v>4</v>
      </c>
      <c r="AB45" s="444">
        <v>46174</v>
      </c>
      <c r="AC45" s="447" t="s">
        <v>1953</v>
      </c>
      <c r="AD45" s="245" t="s">
        <v>2778</v>
      </c>
    </row>
    <row r="46" spans="2:30" ht="14.25" customHeight="1" x14ac:dyDescent="0.25">
      <c r="B46" s="1242"/>
      <c r="C46" s="1239"/>
      <c r="D46" s="1240"/>
      <c r="E46" s="1246"/>
      <c r="F46" s="1260"/>
      <c r="G46" s="1257"/>
      <c r="H46" s="1249"/>
      <c r="I46" s="1257"/>
      <c r="J46" s="1257"/>
      <c r="K46" s="1260"/>
      <c r="M46" s="446">
        <v>4</v>
      </c>
      <c r="N46" s="456">
        <v>44000</v>
      </c>
      <c r="O46" s="361">
        <v>21233.33</v>
      </c>
      <c r="P46" s="361">
        <f>N46-O46</f>
        <v>22766.67</v>
      </c>
      <c r="Q46" s="1248"/>
      <c r="R46" s="1239"/>
      <c r="S46" s="1248"/>
      <c r="T46" s="383"/>
      <c r="V46" s="364"/>
      <c r="W46" s="441"/>
      <c r="Y46" s="444">
        <v>46175</v>
      </c>
      <c r="Z46" s="446" t="s">
        <v>2779</v>
      </c>
      <c r="AA46" s="446">
        <v>4</v>
      </c>
      <c r="AB46" s="444">
        <v>46175</v>
      </c>
      <c r="AC46" s="447" t="s">
        <v>1832</v>
      </c>
      <c r="AD46" s="245" t="s">
        <v>2780</v>
      </c>
    </row>
    <row r="47" spans="2:30" s="244" customFormat="1" ht="14.25" customHeight="1" x14ac:dyDescent="0.25">
      <c r="B47" s="1243"/>
      <c r="C47" s="1240"/>
      <c r="D47" s="459"/>
      <c r="E47" s="460"/>
      <c r="F47" s="461"/>
      <c r="G47" s="462"/>
      <c r="H47" s="463"/>
      <c r="I47" s="462"/>
      <c r="J47" s="462"/>
      <c r="K47" s="461"/>
      <c r="M47" s="464">
        <v>1</v>
      </c>
      <c r="N47" s="465">
        <v>13000</v>
      </c>
      <c r="O47" s="460">
        <v>4600</v>
      </c>
      <c r="P47" s="361">
        <f>N47-O47</f>
        <v>8400</v>
      </c>
      <c r="Q47" s="1249"/>
      <c r="R47" s="1240"/>
      <c r="S47" s="1249"/>
      <c r="T47" s="466"/>
      <c r="V47" s="467"/>
      <c r="W47" s="468"/>
      <c r="Y47" s="469">
        <v>46176</v>
      </c>
      <c r="Z47" s="464" t="s">
        <v>2781</v>
      </c>
      <c r="AA47" s="464">
        <v>1</v>
      </c>
      <c r="AB47" s="469">
        <v>46176</v>
      </c>
      <c r="AC47" s="470" t="s">
        <v>2782</v>
      </c>
      <c r="AD47" s="182" t="s">
        <v>2783</v>
      </c>
    </row>
    <row r="48" spans="2:30" x14ac:dyDescent="0.25">
      <c r="B48" s="452"/>
      <c r="C48" s="453" t="s">
        <v>2784</v>
      </c>
      <c r="D48" s="452"/>
      <c r="E48" s="454">
        <f>SUM(E5:E43)</f>
        <v>5891500</v>
      </c>
      <c r="F48" s="440">
        <f>F5+F9+F21+F28</f>
        <v>641</v>
      </c>
      <c r="G48" s="235">
        <f>SUM(G5:G43)</f>
        <v>5891500</v>
      </c>
      <c r="H48" s="235">
        <f>SUM(H5:H43)</f>
        <v>38100</v>
      </c>
      <c r="I48" s="236">
        <f>SUM(I5:I43)</f>
        <v>5</v>
      </c>
      <c r="J48" s="237">
        <f>SUM(J5:J41)</f>
        <v>5928500</v>
      </c>
      <c r="K48" s="238">
        <f>SUM(K5:K41)</f>
        <v>646</v>
      </c>
      <c r="L48" s="455"/>
      <c r="M48" s="341">
        <f>SUM(M5:M47)</f>
        <v>603</v>
      </c>
      <c r="N48" s="457">
        <f>SUM(N5:N47)</f>
        <v>5574300</v>
      </c>
      <c r="O48" s="365">
        <f>SUM(O5:O47)</f>
        <v>5434866.6699999999</v>
      </c>
      <c r="P48" s="365">
        <f>SUM(P5:P47)</f>
        <v>139433.33000000002</v>
      </c>
      <c r="Q48" s="368">
        <f>SUM(Q5:Q47)</f>
        <v>139433.33000000002</v>
      </c>
      <c r="R48" s="341">
        <f>R5+R9+R28</f>
        <v>38</v>
      </c>
      <c r="S48" s="379">
        <f>SUM(S5:S47)</f>
        <v>352500</v>
      </c>
      <c r="T48" s="368"/>
      <c r="U48" s="386"/>
      <c r="V48" s="358"/>
      <c r="W48" s="357">
        <f>SUM(W5:W43)</f>
        <v>1378300</v>
      </c>
    </row>
    <row r="49" spans="5:23" x14ac:dyDescent="0.25">
      <c r="E49" s="212"/>
    </row>
    <row r="50" spans="5:23" x14ac:dyDescent="0.25">
      <c r="S50" s="212"/>
      <c r="W50" s="212"/>
    </row>
    <row r="51" spans="5:23" x14ac:dyDescent="0.25">
      <c r="S51" s="141"/>
      <c r="T51" s="141"/>
    </row>
    <row r="52" spans="5:23" x14ac:dyDescent="0.25">
      <c r="S52" s="212"/>
    </row>
    <row r="53" spans="5:23" ht="41.25" customHeight="1" x14ac:dyDescent="0.25">
      <c r="Q53" s="212">
        <f>+Q48-'RESUMEN DE LS POR META'!L34</f>
        <v>-10000.000000000058</v>
      </c>
    </row>
    <row r="54" spans="5:23" ht="15.75" customHeight="1" x14ac:dyDescent="0.25"/>
    <row r="56" spans="5:23" ht="4.5" customHeight="1" x14ac:dyDescent="0.25"/>
    <row r="58" spans="5:23" ht="46.5" customHeight="1" x14ac:dyDescent="0.25"/>
    <row r="59" spans="5:23" ht="49.5" customHeight="1" x14ac:dyDescent="0.25"/>
    <row r="60" spans="5:23" ht="49.5" customHeight="1" x14ac:dyDescent="0.25"/>
    <row r="61" spans="5:23" ht="55.5" customHeight="1" x14ac:dyDescent="0.25"/>
    <row r="62" spans="5:23" ht="47.25" customHeight="1" x14ac:dyDescent="0.25"/>
    <row r="63" spans="5:23" ht="47.25" customHeight="1" x14ac:dyDescent="0.25"/>
    <row r="64" spans="5:23" ht="43.5" customHeight="1" x14ac:dyDescent="0.25"/>
  </sheetData>
  <mergeCells count="71">
    <mergeCell ref="S28:S47"/>
    <mergeCell ref="R28:R47"/>
    <mergeCell ref="K28:K46"/>
    <mergeCell ref="J28:J46"/>
    <mergeCell ref="G9:G20"/>
    <mergeCell ref="H9:H20"/>
    <mergeCell ref="I9:I20"/>
    <mergeCell ref="J9:J20"/>
    <mergeCell ref="K9:K20"/>
    <mergeCell ref="I28:I46"/>
    <mergeCell ref="Q21:Q27"/>
    <mergeCell ref="R21:R27"/>
    <mergeCell ref="S21:S27"/>
    <mergeCell ref="Q28:Q47"/>
    <mergeCell ref="T5:T8"/>
    <mergeCell ref="T9:T18"/>
    <mergeCell ref="Q5:Q8"/>
    <mergeCell ref="R5:R8"/>
    <mergeCell ref="S5:S8"/>
    <mergeCell ref="Q9:Q20"/>
    <mergeCell ref="R9:R20"/>
    <mergeCell ref="S9:S20"/>
    <mergeCell ref="Y3:AC3"/>
    <mergeCell ref="AC5:AC7"/>
    <mergeCell ref="Y5:Y6"/>
    <mergeCell ref="Z5:Z6"/>
    <mergeCell ref="AA5:AA6"/>
    <mergeCell ref="AB5:AB6"/>
    <mergeCell ref="B5:B8"/>
    <mergeCell ref="C7:C8"/>
    <mergeCell ref="C9:C11"/>
    <mergeCell ref="D9:D11"/>
    <mergeCell ref="E9:E11"/>
    <mergeCell ref="E7:E8"/>
    <mergeCell ref="D7:D8"/>
    <mergeCell ref="B9:B20"/>
    <mergeCell ref="C12:C20"/>
    <mergeCell ref="D12:D20"/>
    <mergeCell ref="E12:E20"/>
    <mergeCell ref="W21:W27"/>
    <mergeCell ref="W5:W8"/>
    <mergeCell ref="O5:O7"/>
    <mergeCell ref="F5:F8"/>
    <mergeCell ref="K21:K27"/>
    <mergeCell ref="G5:G8"/>
    <mergeCell ref="J21:J27"/>
    <mergeCell ref="H21:H27"/>
    <mergeCell ref="G21:G27"/>
    <mergeCell ref="F21:F27"/>
    <mergeCell ref="P5:P7"/>
    <mergeCell ref="M5:M7"/>
    <mergeCell ref="J5:J8"/>
    <mergeCell ref="F9:F20"/>
    <mergeCell ref="K5:K8"/>
    <mergeCell ref="N5:N7"/>
    <mergeCell ref="C31:C47"/>
    <mergeCell ref="B28:B47"/>
    <mergeCell ref="I21:I27"/>
    <mergeCell ref="H28:H30"/>
    <mergeCell ref="H31:H46"/>
    <mergeCell ref="E21:E27"/>
    <mergeCell ref="B21:B27"/>
    <mergeCell ref="C21:C27"/>
    <mergeCell ref="D21:D27"/>
    <mergeCell ref="C28:C30"/>
    <mergeCell ref="G28:G46"/>
    <mergeCell ref="D31:D46"/>
    <mergeCell ref="E31:E46"/>
    <mergeCell ref="F28:F46"/>
    <mergeCell ref="D28:D30"/>
    <mergeCell ref="E28:E30"/>
  </mergeCells>
  <pageMargins left="0.7" right="0.7" top="0.75" bottom="0.75" header="0.3" footer="0.3"/>
  <pageSetup paperSize="9"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6C60C-625E-4E99-90D7-35BCCABFAE36}">
  <dimension ref="E3:S85"/>
  <sheetViews>
    <sheetView showGridLines="0" topLeftCell="D57" workbookViewId="0">
      <selection activeCell="R72" sqref="R72"/>
    </sheetView>
  </sheetViews>
  <sheetFormatPr baseColWidth="10" defaultColWidth="9.140625" defaultRowHeight="15" x14ac:dyDescent="0.25"/>
  <cols>
    <col min="5" max="5" width="11" customWidth="1"/>
    <col min="6" max="6" width="7.42578125" customWidth="1"/>
    <col min="7" max="7" width="26.42578125" customWidth="1"/>
    <col min="8" max="8" width="14.85546875" customWidth="1"/>
    <col min="9" max="9" width="13.7109375" customWidth="1"/>
    <col min="10" max="10" width="17.28515625" customWidth="1"/>
    <col min="11" max="11" width="13.5703125" customWidth="1"/>
    <col min="12" max="12" width="14.5703125" customWidth="1"/>
    <col min="13" max="13" width="9.42578125" customWidth="1"/>
    <col min="14" max="14" width="14.42578125" customWidth="1"/>
    <col min="15" max="15" width="9" customWidth="1"/>
    <col min="17" max="17" width="15.42578125" customWidth="1"/>
    <col min="19" max="19" width="15.85546875" customWidth="1"/>
  </cols>
  <sheetData>
    <row r="3" spans="5:16" ht="39" customHeight="1" x14ac:dyDescent="0.25">
      <c r="E3" s="1325" t="s">
        <v>2785</v>
      </c>
      <c r="F3" s="1326"/>
      <c r="G3" s="1326"/>
      <c r="H3" s="1326"/>
      <c r="I3" s="1326"/>
      <c r="J3" s="1326"/>
      <c r="K3" s="1326"/>
      <c r="L3" s="1326"/>
      <c r="M3" s="1326"/>
      <c r="N3" s="1326"/>
      <c r="O3" s="1327"/>
    </row>
    <row r="4" spans="5:16" ht="6" customHeight="1" x14ac:dyDescent="0.25">
      <c r="E4" s="1328"/>
      <c r="F4" s="1329"/>
      <c r="G4" s="1329"/>
      <c r="H4" s="1329"/>
      <c r="I4" s="1329"/>
      <c r="J4" s="1329"/>
      <c r="K4" s="1329"/>
      <c r="L4" s="1329"/>
      <c r="M4" s="1329"/>
      <c r="N4" s="1329"/>
      <c r="O4" s="1330"/>
    </row>
    <row r="5" spans="5:16" ht="17.25" customHeight="1" x14ac:dyDescent="0.25">
      <c r="E5" s="1331" t="s">
        <v>2786</v>
      </c>
      <c r="F5" s="1331" t="s">
        <v>0</v>
      </c>
      <c r="G5" s="1331" t="s">
        <v>2672</v>
      </c>
      <c r="H5" s="1331" t="s">
        <v>2678</v>
      </c>
      <c r="I5" s="1332" t="s">
        <v>2787</v>
      </c>
      <c r="J5" s="1333" t="s">
        <v>2788</v>
      </c>
      <c r="K5" s="1334"/>
      <c r="L5" s="1334"/>
      <c r="M5" s="1335"/>
      <c r="N5" s="1333" t="s">
        <v>803</v>
      </c>
      <c r="O5" s="1335"/>
    </row>
    <row r="6" spans="5:16" s="142" customFormat="1" ht="33" customHeight="1" x14ac:dyDescent="0.25">
      <c r="E6" s="1331"/>
      <c r="F6" s="1331"/>
      <c r="G6" s="1331"/>
      <c r="H6" s="1331"/>
      <c r="I6" s="1331"/>
      <c r="J6" s="423" t="s">
        <v>2789</v>
      </c>
      <c r="K6" s="423" t="s">
        <v>2790</v>
      </c>
      <c r="L6" s="424" t="s">
        <v>651</v>
      </c>
      <c r="M6" s="424" t="s">
        <v>2791</v>
      </c>
      <c r="N6" s="423" t="s">
        <v>2792</v>
      </c>
      <c r="O6" s="423" t="s">
        <v>2793</v>
      </c>
    </row>
    <row r="7" spans="5:16" ht="6.75" customHeight="1" x14ac:dyDescent="0.25">
      <c r="E7" s="1313"/>
      <c r="F7" s="1314"/>
      <c r="G7" s="1314"/>
      <c r="H7" s="1314"/>
      <c r="I7" s="1314"/>
      <c r="J7" s="1315"/>
      <c r="K7" s="1315"/>
      <c r="L7" s="1316"/>
      <c r="M7" s="1316"/>
      <c r="N7" s="1316"/>
      <c r="O7" s="1317"/>
    </row>
    <row r="8" spans="5:16" ht="39.75" customHeight="1" x14ac:dyDescent="0.25">
      <c r="E8" s="1318" t="s">
        <v>4</v>
      </c>
      <c r="F8" s="404">
        <v>94</v>
      </c>
      <c r="G8" s="419" t="s">
        <v>99</v>
      </c>
      <c r="H8" s="425">
        <f>92000+20000+7200</f>
        <v>119200</v>
      </c>
      <c r="I8" s="426">
        <v>7</v>
      </c>
      <c r="J8" s="425">
        <v>99200</v>
      </c>
      <c r="K8" s="427">
        <v>99200</v>
      </c>
      <c r="L8" s="425">
        <f t="shared" ref="L8:L15" si="0">J8-K8</f>
        <v>0</v>
      </c>
      <c r="M8" s="442">
        <v>6</v>
      </c>
      <c r="N8" s="425">
        <f>H8-J8</f>
        <v>20000</v>
      </c>
      <c r="O8" s="426">
        <f>I8-M8</f>
        <v>1</v>
      </c>
    </row>
    <row r="9" spans="5:16" ht="32.25" customHeight="1" x14ac:dyDescent="0.25">
      <c r="E9" s="1318"/>
      <c r="F9" s="404">
        <v>92</v>
      </c>
      <c r="G9" s="420" t="s">
        <v>413</v>
      </c>
      <c r="H9" s="425">
        <v>109000</v>
      </c>
      <c r="I9" s="426">
        <v>8</v>
      </c>
      <c r="J9" s="425">
        <v>86000</v>
      </c>
      <c r="K9" s="427">
        <v>86000</v>
      </c>
      <c r="L9" s="425">
        <f t="shared" si="0"/>
        <v>0</v>
      </c>
      <c r="M9" s="442">
        <v>6</v>
      </c>
      <c r="N9" s="425">
        <f>H9-J9</f>
        <v>23000</v>
      </c>
      <c r="O9" s="426">
        <f>I9-M9</f>
        <v>2</v>
      </c>
    </row>
    <row r="10" spans="5:16" ht="46.5" customHeight="1" x14ac:dyDescent="0.25">
      <c r="E10" s="1318"/>
      <c r="F10" s="404">
        <v>96</v>
      </c>
      <c r="G10" s="420" t="s">
        <v>83</v>
      </c>
      <c r="H10" s="425">
        <f>42000-8300</f>
        <v>33700</v>
      </c>
      <c r="I10" s="426">
        <v>2</v>
      </c>
      <c r="J10" s="425">
        <f>33700-1700</f>
        <v>32000</v>
      </c>
      <c r="K10" s="428">
        <v>32000</v>
      </c>
      <c r="L10" s="429">
        <f t="shared" si="0"/>
        <v>0</v>
      </c>
      <c r="M10" s="442">
        <v>2</v>
      </c>
      <c r="N10" s="425">
        <v>0</v>
      </c>
      <c r="O10" s="426">
        <v>0</v>
      </c>
    </row>
    <row r="11" spans="5:16" ht="38.25" customHeight="1" x14ac:dyDescent="0.25">
      <c r="E11" s="1319" t="s">
        <v>7</v>
      </c>
      <c r="F11" s="430">
        <v>95</v>
      </c>
      <c r="G11" s="421" t="s">
        <v>67</v>
      </c>
      <c r="H11" s="431">
        <v>1900000</v>
      </c>
      <c r="I11" s="432">
        <v>275</v>
      </c>
      <c r="J11" s="433">
        <v>1652000</v>
      </c>
      <c r="K11" s="427">
        <v>1626500</v>
      </c>
      <c r="L11" s="429">
        <f t="shared" si="0"/>
        <v>25500</v>
      </c>
      <c r="M11" s="442">
        <v>243</v>
      </c>
      <c r="N11" s="425">
        <f>H11-J11</f>
        <v>248000</v>
      </c>
      <c r="O11" s="426">
        <v>25</v>
      </c>
    </row>
    <row r="12" spans="5:16" ht="45" customHeight="1" x14ac:dyDescent="0.25">
      <c r="E12" s="1320"/>
      <c r="F12" s="434">
        <v>96</v>
      </c>
      <c r="G12" s="422" t="s">
        <v>2794</v>
      </c>
      <c r="H12" s="425">
        <v>65000</v>
      </c>
      <c r="I12" s="426">
        <v>5</v>
      </c>
      <c r="J12" s="428">
        <v>36000</v>
      </c>
      <c r="K12" s="427">
        <v>36000</v>
      </c>
      <c r="L12" s="429">
        <f t="shared" si="0"/>
        <v>0</v>
      </c>
      <c r="M12" s="442">
        <v>3</v>
      </c>
      <c r="N12" s="425">
        <f>H12-J12</f>
        <v>29000</v>
      </c>
      <c r="O12" s="426">
        <f>I12-M12</f>
        <v>2</v>
      </c>
    </row>
    <row r="13" spans="5:16" ht="44.25" customHeight="1" x14ac:dyDescent="0.25">
      <c r="E13" s="1321" t="s">
        <v>6</v>
      </c>
      <c r="F13" s="435">
        <v>94</v>
      </c>
      <c r="G13" s="419" t="s">
        <v>99</v>
      </c>
      <c r="H13" s="431">
        <v>407500</v>
      </c>
      <c r="I13" s="436">
        <v>64</v>
      </c>
      <c r="J13" s="427">
        <v>394500</v>
      </c>
      <c r="K13" s="427">
        <v>392700</v>
      </c>
      <c r="L13" s="429">
        <f t="shared" si="0"/>
        <v>1800</v>
      </c>
      <c r="M13" s="442">
        <v>62</v>
      </c>
      <c r="N13" s="425">
        <f>H13-J13</f>
        <v>13000</v>
      </c>
      <c r="O13" s="426">
        <v>2</v>
      </c>
      <c r="P13" s="212"/>
    </row>
    <row r="14" spans="5:16" ht="36.75" customHeight="1" x14ac:dyDescent="0.25">
      <c r="E14" s="1320"/>
      <c r="F14" s="435">
        <v>97</v>
      </c>
      <c r="G14" s="419" t="s">
        <v>221</v>
      </c>
      <c r="H14" s="437">
        <v>2176500</v>
      </c>
      <c r="I14" s="438">
        <v>203</v>
      </c>
      <c r="J14" s="433">
        <v>2068500</v>
      </c>
      <c r="K14" s="427">
        <v>2017600</v>
      </c>
      <c r="L14" s="429">
        <f t="shared" si="0"/>
        <v>50900</v>
      </c>
      <c r="M14" s="442">
        <v>195</v>
      </c>
      <c r="N14" s="425">
        <f>H14-J14</f>
        <v>108000</v>
      </c>
      <c r="O14" s="426">
        <f>I14-M14</f>
        <v>8</v>
      </c>
    </row>
    <row r="15" spans="5:16" ht="45.75" customHeight="1" x14ac:dyDescent="0.25">
      <c r="E15" s="405" t="s">
        <v>5</v>
      </c>
      <c r="F15" s="435">
        <v>94</v>
      </c>
      <c r="G15" s="419" t="s">
        <v>99</v>
      </c>
      <c r="H15" s="425">
        <v>1117600</v>
      </c>
      <c r="I15" s="426">
        <v>82</v>
      </c>
      <c r="J15" s="439">
        <v>1117600</v>
      </c>
      <c r="K15" s="427">
        <v>1115300</v>
      </c>
      <c r="L15" s="429">
        <f t="shared" si="0"/>
        <v>2300</v>
      </c>
      <c r="M15" s="442">
        <v>82</v>
      </c>
      <c r="N15" s="425">
        <v>0</v>
      </c>
      <c r="O15" s="426">
        <f>I15-M15</f>
        <v>0</v>
      </c>
    </row>
    <row r="16" spans="5:16" x14ac:dyDescent="0.25">
      <c r="E16" s="1322" t="s">
        <v>2795</v>
      </c>
      <c r="F16" s="1323"/>
      <c r="G16" s="1324"/>
      <c r="H16" s="406">
        <f t="shared" ref="H16:O16" si="1">SUM(H8:H15)</f>
        <v>5928500</v>
      </c>
      <c r="I16" s="409">
        <f t="shared" si="1"/>
        <v>646</v>
      </c>
      <c r="J16" s="406">
        <f t="shared" si="1"/>
        <v>5485800</v>
      </c>
      <c r="K16" s="406">
        <f t="shared" si="1"/>
        <v>5405300</v>
      </c>
      <c r="L16" s="418">
        <f t="shared" si="1"/>
        <v>80500</v>
      </c>
      <c r="M16" s="443">
        <f t="shared" si="1"/>
        <v>599</v>
      </c>
      <c r="N16" s="418">
        <f t="shared" si="1"/>
        <v>441000</v>
      </c>
      <c r="O16" s="417">
        <f t="shared" si="1"/>
        <v>40</v>
      </c>
    </row>
    <row r="17" spans="5:15" ht="12" customHeight="1" x14ac:dyDescent="0.25">
      <c r="N17" s="71" t="s">
        <v>2796</v>
      </c>
      <c r="O17" s="71" t="s">
        <v>2797</v>
      </c>
    </row>
    <row r="18" spans="5:15" ht="44.25" customHeight="1" x14ac:dyDescent="0.25">
      <c r="E18" s="1336" t="s">
        <v>2798</v>
      </c>
      <c r="F18" s="1312"/>
      <c r="G18" s="1312"/>
      <c r="H18" s="1312"/>
      <c r="I18" s="1312"/>
      <c r="J18" s="1312"/>
    </row>
    <row r="19" spans="5:15" x14ac:dyDescent="0.25">
      <c r="J19" s="410"/>
      <c r="K19" s="410"/>
      <c r="L19" s="410"/>
      <c r="M19" s="212"/>
      <c r="N19" s="212"/>
    </row>
    <row r="20" spans="5:15" x14ac:dyDescent="0.25">
      <c r="J20" s="410"/>
      <c r="K20" s="410"/>
      <c r="L20" s="410"/>
    </row>
    <row r="21" spans="5:15" ht="15.75" x14ac:dyDescent="0.25">
      <c r="E21" s="1325" t="s">
        <v>2799</v>
      </c>
      <c r="F21" s="1326"/>
      <c r="G21" s="1326"/>
      <c r="H21" s="1326"/>
      <c r="I21" s="1326"/>
      <c r="J21" s="1326"/>
      <c r="K21" s="1326"/>
      <c r="L21" s="1326"/>
      <c r="M21" s="1326"/>
      <c r="N21" s="1326"/>
      <c r="O21" s="1327"/>
    </row>
    <row r="22" spans="5:15" ht="15.75" x14ac:dyDescent="0.25">
      <c r="E22" s="1328"/>
      <c r="F22" s="1329"/>
      <c r="G22" s="1329"/>
      <c r="H22" s="1329"/>
      <c r="I22" s="1329"/>
      <c r="J22" s="1329"/>
      <c r="K22" s="1329"/>
      <c r="L22" s="1329"/>
      <c r="M22" s="1329"/>
      <c r="N22" s="1329"/>
      <c r="O22" s="1330"/>
    </row>
    <row r="23" spans="5:15" x14ac:dyDescent="0.25">
      <c r="E23" s="1331" t="s">
        <v>2786</v>
      </c>
      <c r="F23" s="1331" t="s">
        <v>0</v>
      </c>
      <c r="G23" s="1331" t="s">
        <v>2672</v>
      </c>
      <c r="H23" s="1331" t="s">
        <v>2678</v>
      </c>
      <c r="I23" s="1332" t="s">
        <v>2787</v>
      </c>
      <c r="J23" s="1333" t="s">
        <v>2788</v>
      </c>
      <c r="K23" s="1334"/>
      <c r="L23" s="1334"/>
      <c r="M23" s="1335"/>
      <c r="N23" s="1333" t="s">
        <v>803</v>
      </c>
      <c r="O23" s="1335"/>
    </row>
    <row r="24" spans="5:15" ht="51" x14ac:dyDescent="0.25">
      <c r="E24" s="1331"/>
      <c r="F24" s="1331"/>
      <c r="G24" s="1331"/>
      <c r="H24" s="1331"/>
      <c r="I24" s="1331"/>
      <c r="J24" s="423" t="s">
        <v>2789</v>
      </c>
      <c r="K24" s="423" t="s">
        <v>2790</v>
      </c>
      <c r="L24" s="424" t="s">
        <v>651</v>
      </c>
      <c r="M24" s="424" t="s">
        <v>2791</v>
      </c>
      <c r="N24" s="423" t="s">
        <v>2792</v>
      </c>
      <c r="O24" s="423" t="s">
        <v>2793</v>
      </c>
    </row>
    <row r="25" spans="5:15" x14ac:dyDescent="0.25">
      <c r="E25" s="1313"/>
      <c r="F25" s="1314"/>
      <c r="G25" s="1314"/>
      <c r="H25" s="1314"/>
      <c r="I25" s="1314"/>
      <c r="J25" s="1315"/>
      <c r="K25" s="1315"/>
      <c r="L25" s="1316"/>
      <c r="M25" s="1316"/>
      <c r="N25" s="1316"/>
      <c r="O25" s="1317"/>
    </row>
    <row r="26" spans="5:15" ht="40.5" x14ac:dyDescent="0.25">
      <c r="E26" s="1318" t="s">
        <v>4</v>
      </c>
      <c r="F26" s="404">
        <v>94</v>
      </c>
      <c r="G26" s="419" t="s">
        <v>99</v>
      </c>
      <c r="H26" s="425">
        <f>92000+20000+7200</f>
        <v>119200</v>
      </c>
      <c r="I26" s="426">
        <v>7</v>
      </c>
      <c r="J26" s="425">
        <v>99200</v>
      </c>
      <c r="K26" s="427">
        <v>99200</v>
      </c>
      <c r="L26" s="425">
        <f t="shared" ref="L26:L33" si="2">J26-K26</f>
        <v>0</v>
      </c>
      <c r="M26" s="442">
        <v>6</v>
      </c>
      <c r="N26" s="425">
        <f>H26-J26</f>
        <v>20000</v>
      </c>
      <c r="O26" s="426">
        <f>I26-M26</f>
        <v>1</v>
      </c>
    </row>
    <row r="27" spans="5:15" ht="34.5" customHeight="1" x14ac:dyDescent="0.25">
      <c r="E27" s="1318"/>
      <c r="F27" s="404">
        <v>92</v>
      </c>
      <c r="G27" s="420" t="s">
        <v>413</v>
      </c>
      <c r="H27" s="425">
        <v>109000</v>
      </c>
      <c r="I27" s="426">
        <v>8</v>
      </c>
      <c r="J27" s="425">
        <v>86000</v>
      </c>
      <c r="K27" s="427">
        <v>86000</v>
      </c>
      <c r="L27" s="425">
        <f t="shared" si="2"/>
        <v>0</v>
      </c>
      <c r="M27" s="442">
        <v>6</v>
      </c>
      <c r="N27" s="425">
        <f>H27-J27</f>
        <v>23000</v>
      </c>
      <c r="O27" s="426">
        <f>I27-M27</f>
        <v>2</v>
      </c>
    </row>
    <row r="28" spans="5:15" ht="40.5" x14ac:dyDescent="0.25">
      <c r="E28" s="1318"/>
      <c r="F28" s="404">
        <v>96</v>
      </c>
      <c r="G28" s="420" t="s">
        <v>83</v>
      </c>
      <c r="H28" s="425">
        <f>42000-8300</f>
        <v>33700</v>
      </c>
      <c r="I28" s="426">
        <v>2</v>
      </c>
      <c r="J28" s="425">
        <f>33700-1700</f>
        <v>32000</v>
      </c>
      <c r="K28" s="428">
        <v>32000</v>
      </c>
      <c r="L28" s="429">
        <f t="shared" si="2"/>
        <v>0</v>
      </c>
      <c r="M28" s="442">
        <v>2</v>
      </c>
      <c r="N28" s="425">
        <v>0</v>
      </c>
      <c r="O28" s="426">
        <v>0</v>
      </c>
    </row>
    <row r="29" spans="5:15" ht="40.5" x14ac:dyDescent="0.25">
      <c r="E29" s="1319" t="s">
        <v>7</v>
      </c>
      <c r="F29" s="430">
        <v>95</v>
      </c>
      <c r="G29" s="421" t="s">
        <v>67</v>
      </c>
      <c r="H29" s="431">
        <v>1900000</v>
      </c>
      <c r="I29" s="432">
        <v>275</v>
      </c>
      <c r="J29" s="433">
        <v>1640500</v>
      </c>
      <c r="K29" s="427">
        <v>1602800</v>
      </c>
      <c r="L29" s="429">
        <f t="shared" si="2"/>
        <v>37700</v>
      </c>
      <c r="M29" s="442">
        <v>238</v>
      </c>
      <c r="N29" s="425">
        <f>H29-J29</f>
        <v>259500</v>
      </c>
      <c r="O29" s="426">
        <v>30</v>
      </c>
    </row>
    <row r="30" spans="5:15" ht="67.5" x14ac:dyDescent="0.25">
      <c r="E30" s="1320"/>
      <c r="F30" s="434">
        <v>96</v>
      </c>
      <c r="G30" s="422" t="s">
        <v>2794</v>
      </c>
      <c r="H30" s="425">
        <v>65000</v>
      </c>
      <c r="I30" s="426">
        <v>5</v>
      </c>
      <c r="J30" s="428">
        <v>36000</v>
      </c>
      <c r="K30" s="427">
        <v>36000</v>
      </c>
      <c r="L30" s="429">
        <f t="shared" si="2"/>
        <v>0</v>
      </c>
      <c r="M30" s="442">
        <v>3</v>
      </c>
      <c r="N30" s="425">
        <f>H30-J30</f>
        <v>29000</v>
      </c>
      <c r="O30" s="426">
        <f>I30-M30</f>
        <v>2</v>
      </c>
    </row>
    <row r="31" spans="5:15" ht="40.5" x14ac:dyDescent="0.25">
      <c r="E31" s="1321" t="s">
        <v>6</v>
      </c>
      <c r="F31" s="435">
        <v>94</v>
      </c>
      <c r="G31" s="419" t="s">
        <v>99</v>
      </c>
      <c r="H31" s="431">
        <v>407500</v>
      </c>
      <c r="I31" s="436">
        <v>64</v>
      </c>
      <c r="J31" s="427">
        <v>386500</v>
      </c>
      <c r="K31" s="427">
        <v>384700</v>
      </c>
      <c r="L31" s="429">
        <f t="shared" si="2"/>
        <v>1800</v>
      </c>
      <c r="M31" s="442">
        <v>61</v>
      </c>
      <c r="N31" s="425">
        <f>H31-J31</f>
        <v>21000</v>
      </c>
      <c r="O31" s="426">
        <f>I31-M31</f>
        <v>3</v>
      </c>
    </row>
    <row r="32" spans="5:15" ht="40.5" x14ac:dyDescent="0.25">
      <c r="E32" s="1320"/>
      <c r="F32" s="435">
        <v>97</v>
      </c>
      <c r="G32" s="419" t="s">
        <v>221</v>
      </c>
      <c r="H32" s="437">
        <v>2176500</v>
      </c>
      <c r="I32" s="438">
        <v>203</v>
      </c>
      <c r="J32" s="433">
        <v>2176500</v>
      </c>
      <c r="K32" s="427">
        <v>2068866.67</v>
      </c>
      <c r="L32" s="429">
        <f t="shared" si="2"/>
        <v>107633.33000000007</v>
      </c>
      <c r="M32" s="442">
        <v>203</v>
      </c>
      <c r="N32" s="425">
        <f>H32-J32</f>
        <v>0</v>
      </c>
      <c r="O32" s="426">
        <f>I32-M32</f>
        <v>0</v>
      </c>
    </row>
    <row r="33" spans="5:15" ht="40.5" x14ac:dyDescent="0.25">
      <c r="E33" s="405" t="s">
        <v>5</v>
      </c>
      <c r="F33" s="435">
        <v>94</v>
      </c>
      <c r="G33" s="419" t="s">
        <v>99</v>
      </c>
      <c r="H33" s="425">
        <v>1117600</v>
      </c>
      <c r="I33" s="426">
        <v>82</v>
      </c>
      <c r="J33" s="439">
        <v>1117600</v>
      </c>
      <c r="K33" s="427">
        <v>1115300</v>
      </c>
      <c r="L33" s="429">
        <f t="shared" si="2"/>
        <v>2300</v>
      </c>
      <c r="M33" s="442">
        <v>82</v>
      </c>
      <c r="N33" s="425">
        <v>0</v>
      </c>
      <c r="O33" s="426">
        <f>I33-M33</f>
        <v>0</v>
      </c>
    </row>
    <row r="34" spans="5:15" x14ac:dyDescent="0.25">
      <c r="E34" s="1322" t="s">
        <v>2795</v>
      </c>
      <c r="F34" s="1323"/>
      <c r="G34" s="1324"/>
      <c r="H34" s="406">
        <f t="shared" ref="H34:O34" si="3">SUM(H26:H33)</f>
        <v>5928500</v>
      </c>
      <c r="I34" s="409">
        <f t="shared" si="3"/>
        <v>646</v>
      </c>
      <c r="J34" s="406">
        <f t="shared" si="3"/>
        <v>5574300</v>
      </c>
      <c r="K34" s="406">
        <f t="shared" si="3"/>
        <v>5424866.6699999999</v>
      </c>
      <c r="L34" s="418">
        <f t="shared" si="3"/>
        <v>149433.33000000007</v>
      </c>
      <c r="M34" s="443">
        <f t="shared" si="3"/>
        <v>601</v>
      </c>
      <c r="N34" s="418">
        <f t="shared" si="3"/>
        <v>352500</v>
      </c>
      <c r="O34" s="417">
        <f t="shared" si="3"/>
        <v>38</v>
      </c>
    </row>
    <row r="35" spans="5:15" x14ac:dyDescent="0.25">
      <c r="N35" s="71" t="s">
        <v>2796</v>
      </c>
      <c r="O35" s="71" t="s">
        <v>2797</v>
      </c>
    </row>
    <row r="36" spans="5:15" ht="56.25" customHeight="1" x14ac:dyDescent="0.25">
      <c r="E36" s="1311" t="s">
        <v>2800</v>
      </c>
      <c r="F36" s="1312"/>
      <c r="G36" s="1312"/>
      <c r="H36" s="1312"/>
      <c r="I36" s="1312"/>
      <c r="J36" s="1312"/>
    </row>
    <row r="40" spans="5:15" ht="15.75" x14ac:dyDescent="0.25">
      <c r="E40" s="1325" t="s">
        <v>2801</v>
      </c>
      <c r="F40" s="1326"/>
      <c r="G40" s="1326"/>
      <c r="H40" s="1326"/>
      <c r="I40" s="1326"/>
      <c r="J40" s="1326"/>
      <c r="K40" s="1326"/>
      <c r="L40" s="1326"/>
      <c r="M40" s="1326"/>
      <c r="N40" s="1326"/>
      <c r="O40" s="1327"/>
    </row>
    <row r="41" spans="5:15" ht="15.75" x14ac:dyDescent="0.25">
      <c r="E41" s="1328"/>
      <c r="F41" s="1329"/>
      <c r="G41" s="1329"/>
      <c r="H41" s="1329"/>
      <c r="I41" s="1329"/>
      <c r="J41" s="1329"/>
      <c r="K41" s="1329"/>
      <c r="L41" s="1329"/>
      <c r="M41" s="1329"/>
      <c r="N41" s="1329"/>
      <c r="O41" s="1330"/>
    </row>
    <row r="42" spans="5:15" x14ac:dyDescent="0.25">
      <c r="E42" s="1331" t="s">
        <v>2786</v>
      </c>
      <c r="F42" s="1331" t="s">
        <v>0</v>
      </c>
      <c r="G42" s="1331" t="s">
        <v>2672</v>
      </c>
      <c r="H42" s="1331" t="s">
        <v>2678</v>
      </c>
      <c r="I42" s="1332" t="s">
        <v>2787</v>
      </c>
      <c r="J42" s="1333" t="s">
        <v>2788</v>
      </c>
      <c r="K42" s="1334"/>
      <c r="L42" s="1334"/>
      <c r="M42" s="1335"/>
      <c r="N42" s="1333" t="s">
        <v>803</v>
      </c>
      <c r="O42" s="1335"/>
    </row>
    <row r="43" spans="5:15" ht="33.75" customHeight="1" x14ac:dyDescent="0.25">
      <c r="E43" s="1331"/>
      <c r="F43" s="1331"/>
      <c r="G43" s="1331"/>
      <c r="H43" s="1331"/>
      <c r="I43" s="1331"/>
      <c r="J43" s="423" t="s">
        <v>2789</v>
      </c>
      <c r="K43" s="423" t="s">
        <v>2790</v>
      </c>
      <c r="L43" s="424" t="s">
        <v>651</v>
      </c>
      <c r="M43" s="424" t="s">
        <v>2791</v>
      </c>
      <c r="N43" s="423" t="s">
        <v>2792</v>
      </c>
      <c r="O43" s="423" t="s">
        <v>2793</v>
      </c>
    </row>
    <row r="44" spans="5:15" x14ac:dyDescent="0.25">
      <c r="E44" s="1313"/>
      <c r="F44" s="1314"/>
      <c r="G44" s="1314"/>
      <c r="H44" s="1314"/>
      <c r="I44" s="1314"/>
      <c r="J44" s="1315"/>
      <c r="K44" s="1315"/>
      <c r="L44" s="1316"/>
      <c r="M44" s="1316"/>
      <c r="N44" s="1316"/>
      <c r="O44" s="1317"/>
    </row>
    <row r="45" spans="5:15" ht="37.5" customHeight="1" x14ac:dyDescent="0.25">
      <c r="E45" s="1318" t="s">
        <v>4</v>
      </c>
      <c r="F45" s="404">
        <v>94</v>
      </c>
      <c r="G45" s="419" t="s">
        <v>99</v>
      </c>
      <c r="H45" s="425">
        <f>92000+20000+7200</f>
        <v>119200</v>
      </c>
      <c r="I45" s="426">
        <v>7</v>
      </c>
      <c r="J45" s="425">
        <v>99200</v>
      </c>
      <c r="K45" s="427">
        <v>99200</v>
      </c>
      <c r="L45" s="425">
        <f t="shared" ref="L45:L52" si="4">J45-K45</f>
        <v>0</v>
      </c>
      <c r="M45" s="442">
        <v>6</v>
      </c>
      <c r="N45" s="425">
        <f>H45-J45</f>
        <v>20000</v>
      </c>
      <c r="O45" s="426">
        <f>I45-M45</f>
        <v>1</v>
      </c>
    </row>
    <row r="46" spans="5:15" ht="30.75" customHeight="1" x14ac:dyDescent="0.25">
      <c r="E46" s="1318"/>
      <c r="F46" s="404">
        <v>92</v>
      </c>
      <c r="G46" s="420" t="s">
        <v>413</v>
      </c>
      <c r="H46" s="425">
        <v>109000</v>
      </c>
      <c r="I46" s="426">
        <v>8</v>
      </c>
      <c r="J46" s="425">
        <v>86000</v>
      </c>
      <c r="K46" s="427">
        <v>86000</v>
      </c>
      <c r="L46" s="425">
        <f t="shared" si="4"/>
        <v>0</v>
      </c>
      <c r="M46" s="442">
        <v>6</v>
      </c>
      <c r="N46" s="425">
        <f>H46-J46</f>
        <v>23000</v>
      </c>
      <c r="O46" s="426">
        <f>I46-M46</f>
        <v>2</v>
      </c>
    </row>
    <row r="47" spans="5:15" ht="44.25" customHeight="1" x14ac:dyDescent="0.25">
      <c r="E47" s="1318"/>
      <c r="F47" s="404">
        <v>96</v>
      </c>
      <c r="G47" s="420" t="s">
        <v>83</v>
      </c>
      <c r="H47" s="425">
        <f>42000-8300</f>
        <v>33700</v>
      </c>
      <c r="I47" s="426">
        <v>2</v>
      </c>
      <c r="J47" s="425">
        <f>33700-1700</f>
        <v>32000</v>
      </c>
      <c r="K47" s="428">
        <v>32000</v>
      </c>
      <c r="L47" s="429">
        <f t="shared" si="4"/>
        <v>0</v>
      </c>
      <c r="M47" s="442">
        <v>2</v>
      </c>
      <c r="N47" s="425">
        <v>0</v>
      </c>
      <c r="O47" s="426">
        <v>0</v>
      </c>
    </row>
    <row r="48" spans="5:15" ht="30.75" customHeight="1" x14ac:dyDescent="0.25">
      <c r="E48" s="1319" t="s">
        <v>7</v>
      </c>
      <c r="F48" s="430">
        <v>95</v>
      </c>
      <c r="G48" s="421" t="s">
        <v>67</v>
      </c>
      <c r="H48" s="431">
        <v>1900000</v>
      </c>
      <c r="I48" s="432">
        <v>275</v>
      </c>
      <c r="J48" s="433">
        <v>1640500</v>
      </c>
      <c r="K48" s="427">
        <v>1602800</v>
      </c>
      <c r="L48" s="429">
        <f t="shared" si="4"/>
        <v>37700</v>
      </c>
      <c r="M48" s="442">
        <v>238</v>
      </c>
      <c r="N48" s="425">
        <f>H48-J48</f>
        <v>259500</v>
      </c>
      <c r="O48" s="426">
        <v>30</v>
      </c>
    </row>
    <row r="49" spans="5:15" ht="48" customHeight="1" x14ac:dyDescent="0.25">
      <c r="E49" s="1320"/>
      <c r="F49" s="434">
        <v>96</v>
      </c>
      <c r="G49" s="422" t="s">
        <v>2794</v>
      </c>
      <c r="H49" s="425">
        <v>65000</v>
      </c>
      <c r="I49" s="426">
        <v>5</v>
      </c>
      <c r="J49" s="428">
        <v>36000</v>
      </c>
      <c r="K49" s="427">
        <v>36000</v>
      </c>
      <c r="L49" s="429">
        <f t="shared" si="4"/>
        <v>0</v>
      </c>
      <c r="M49" s="442">
        <v>3</v>
      </c>
      <c r="N49" s="425">
        <f>H49-J49</f>
        <v>29000</v>
      </c>
      <c r="O49" s="426">
        <f>I49-M49</f>
        <v>2</v>
      </c>
    </row>
    <row r="50" spans="5:15" ht="39" customHeight="1" x14ac:dyDescent="0.25">
      <c r="E50" s="1321" t="s">
        <v>6</v>
      </c>
      <c r="F50" s="435">
        <v>94</v>
      </c>
      <c r="G50" s="419" t="s">
        <v>99</v>
      </c>
      <c r="H50" s="431">
        <v>407500</v>
      </c>
      <c r="I50" s="436">
        <v>64</v>
      </c>
      <c r="J50" s="427">
        <v>386500</v>
      </c>
      <c r="K50" s="427">
        <v>384700</v>
      </c>
      <c r="L50" s="429">
        <f t="shared" si="4"/>
        <v>1800</v>
      </c>
      <c r="M50" s="442">
        <v>61</v>
      </c>
      <c r="N50" s="425">
        <f>H50-J50</f>
        <v>21000</v>
      </c>
      <c r="O50" s="426">
        <f>I50-M50</f>
        <v>3</v>
      </c>
    </row>
    <row r="51" spans="5:15" ht="32.25" customHeight="1" x14ac:dyDescent="0.25">
      <c r="E51" s="1320"/>
      <c r="F51" s="435">
        <v>97</v>
      </c>
      <c r="G51" s="419" t="s">
        <v>221</v>
      </c>
      <c r="H51" s="437">
        <v>2176500</v>
      </c>
      <c r="I51" s="438">
        <v>203</v>
      </c>
      <c r="J51" s="433">
        <v>2176500</v>
      </c>
      <c r="K51" s="427">
        <v>2068866.67</v>
      </c>
      <c r="L51" s="429">
        <f t="shared" si="4"/>
        <v>107633.33000000007</v>
      </c>
      <c r="M51" s="442">
        <v>203</v>
      </c>
      <c r="N51" s="425">
        <f>H51-J51</f>
        <v>0</v>
      </c>
      <c r="O51" s="426">
        <f>I51-M51</f>
        <v>0</v>
      </c>
    </row>
    <row r="52" spans="5:15" ht="45.75" customHeight="1" x14ac:dyDescent="0.25">
      <c r="E52" s="405" t="s">
        <v>5</v>
      </c>
      <c r="F52" s="435">
        <v>94</v>
      </c>
      <c r="G52" s="419" t="s">
        <v>99</v>
      </c>
      <c r="H52" s="425">
        <v>1117600</v>
      </c>
      <c r="I52" s="426">
        <v>82</v>
      </c>
      <c r="J52" s="439">
        <v>1117600</v>
      </c>
      <c r="K52" s="427">
        <v>1115300</v>
      </c>
      <c r="L52" s="429">
        <f t="shared" si="4"/>
        <v>2300</v>
      </c>
      <c r="M52" s="442">
        <v>82</v>
      </c>
      <c r="N52" s="425">
        <v>0</v>
      </c>
      <c r="O52" s="426">
        <f>I52-M52</f>
        <v>0</v>
      </c>
    </row>
    <row r="53" spans="5:15" x14ac:dyDescent="0.25">
      <c r="E53" s="1322" t="s">
        <v>2795</v>
      </c>
      <c r="F53" s="1323"/>
      <c r="G53" s="1324"/>
      <c r="H53" s="406">
        <f t="shared" ref="H53:O53" si="5">SUM(H45:H52)</f>
        <v>5928500</v>
      </c>
      <c r="I53" s="409">
        <f t="shared" si="5"/>
        <v>646</v>
      </c>
      <c r="J53" s="406">
        <f t="shared" si="5"/>
        <v>5574300</v>
      </c>
      <c r="K53" s="406">
        <f t="shared" si="5"/>
        <v>5424866.6699999999</v>
      </c>
      <c r="L53" s="418">
        <f t="shared" si="5"/>
        <v>149433.33000000007</v>
      </c>
      <c r="M53" s="443">
        <f t="shared" si="5"/>
        <v>601</v>
      </c>
      <c r="N53" s="418">
        <f t="shared" si="5"/>
        <v>352500</v>
      </c>
      <c r="O53" s="417">
        <f t="shared" si="5"/>
        <v>38</v>
      </c>
    </row>
    <row r="54" spans="5:15" x14ac:dyDescent="0.25">
      <c r="N54" s="71" t="s">
        <v>2796</v>
      </c>
      <c r="O54" s="71" t="s">
        <v>2797</v>
      </c>
    </row>
    <row r="55" spans="5:15" ht="39.75" customHeight="1" x14ac:dyDescent="0.25">
      <c r="E55" s="1311" t="s">
        <v>2800</v>
      </c>
      <c r="F55" s="1312"/>
      <c r="G55" s="1312"/>
      <c r="H55" s="1312"/>
      <c r="I55" s="1312"/>
      <c r="J55" s="1312"/>
    </row>
    <row r="60" spans="5:15" ht="15.75" customHeight="1" x14ac:dyDescent="0.25">
      <c r="E60" s="1325" t="s">
        <v>2830</v>
      </c>
      <c r="F60" s="1326"/>
      <c r="G60" s="1326"/>
      <c r="H60" s="1326"/>
      <c r="I60" s="1326"/>
      <c r="J60" s="1326"/>
      <c r="K60" s="1326"/>
      <c r="L60" s="1326"/>
      <c r="M60" s="1326"/>
      <c r="N60" s="1326"/>
      <c r="O60" s="1327"/>
    </row>
    <row r="61" spans="5:15" ht="15.75" customHeight="1" x14ac:dyDescent="0.25">
      <c r="E61" s="1328"/>
      <c r="F61" s="1329"/>
      <c r="G61" s="1329"/>
      <c r="H61" s="1329"/>
      <c r="I61" s="1329"/>
      <c r="J61" s="1329"/>
      <c r="K61" s="1329"/>
      <c r="L61" s="1329"/>
      <c r="M61" s="1329"/>
      <c r="N61" s="1329"/>
      <c r="O61" s="1330"/>
    </row>
    <row r="62" spans="5:15" ht="15" customHeight="1" x14ac:dyDescent="0.25">
      <c r="E62" s="1331" t="s">
        <v>2786</v>
      </c>
      <c r="F62" s="1331" t="s">
        <v>0</v>
      </c>
      <c r="G62" s="1331" t="s">
        <v>2672</v>
      </c>
      <c r="H62" s="1331" t="s">
        <v>2678</v>
      </c>
      <c r="I62" s="1332" t="s">
        <v>2787</v>
      </c>
      <c r="J62" s="1333" t="s">
        <v>2788</v>
      </c>
      <c r="K62" s="1334"/>
      <c r="L62" s="1334"/>
      <c r="M62" s="1335"/>
      <c r="N62" s="1333" t="s">
        <v>803</v>
      </c>
      <c r="O62" s="1335"/>
    </row>
    <row r="63" spans="5:15" ht="33.75" customHeight="1" x14ac:dyDescent="0.25">
      <c r="E63" s="1331"/>
      <c r="F63" s="1331"/>
      <c r="G63" s="1331"/>
      <c r="H63" s="1331"/>
      <c r="I63" s="1331"/>
      <c r="J63" s="423" t="s">
        <v>2789</v>
      </c>
      <c r="K63" s="423" t="s">
        <v>2790</v>
      </c>
      <c r="L63" s="424" t="s">
        <v>651</v>
      </c>
      <c r="M63" s="424" t="s">
        <v>2791</v>
      </c>
      <c r="N63" s="423" t="s">
        <v>2792</v>
      </c>
      <c r="O63" s="423" t="s">
        <v>2793</v>
      </c>
    </row>
    <row r="64" spans="5:15" x14ac:dyDescent="0.25">
      <c r="E64" s="1313"/>
      <c r="F64" s="1314"/>
      <c r="G64" s="1314"/>
      <c r="H64" s="1314"/>
      <c r="I64" s="1314"/>
      <c r="J64" s="1315"/>
      <c r="K64" s="1315"/>
      <c r="L64" s="1316"/>
      <c r="M64" s="1316"/>
      <c r="N64" s="1316"/>
      <c r="O64" s="1317"/>
    </row>
    <row r="65" spans="5:19" ht="36" customHeight="1" x14ac:dyDescent="0.25">
      <c r="E65" s="1318" t="s">
        <v>4</v>
      </c>
      <c r="F65" s="404">
        <v>94</v>
      </c>
      <c r="G65" s="419" t="s">
        <v>99</v>
      </c>
      <c r="H65" s="429">
        <f>92000+20000+7200</f>
        <v>119200</v>
      </c>
      <c r="I65" s="927">
        <v>7</v>
      </c>
      <c r="J65" s="429">
        <v>99200</v>
      </c>
      <c r="K65" s="928">
        <v>99200</v>
      </c>
      <c r="L65" s="429">
        <f t="shared" ref="L65:L72" si="6">J65-K65</f>
        <v>0</v>
      </c>
      <c r="M65" s="929">
        <v>6</v>
      </c>
      <c r="N65" s="429">
        <f>H65-J65</f>
        <v>20000</v>
      </c>
      <c r="O65" s="927">
        <f>I65-M65</f>
        <v>1</v>
      </c>
    </row>
    <row r="66" spans="5:19" ht="20.25" customHeight="1" x14ac:dyDescent="0.25">
      <c r="E66" s="1318"/>
      <c r="F66" s="404">
        <v>92</v>
      </c>
      <c r="G66" s="420" t="s">
        <v>413</v>
      </c>
      <c r="H66" s="429">
        <v>109000</v>
      </c>
      <c r="I66" s="927">
        <v>8</v>
      </c>
      <c r="J66" s="429">
        <v>86000</v>
      </c>
      <c r="K66" s="928">
        <v>86000</v>
      </c>
      <c r="L66" s="429">
        <f t="shared" si="6"/>
        <v>0</v>
      </c>
      <c r="M66" s="929">
        <v>6</v>
      </c>
      <c r="N66" s="429">
        <f>H66-J66</f>
        <v>23000</v>
      </c>
      <c r="O66" s="927">
        <f>I66-M66</f>
        <v>2</v>
      </c>
    </row>
    <row r="67" spans="5:19" ht="39" customHeight="1" x14ac:dyDescent="0.25">
      <c r="E67" s="1318"/>
      <c r="F67" s="404">
        <v>96</v>
      </c>
      <c r="G67" s="420" t="s">
        <v>83</v>
      </c>
      <c r="H67" s="429">
        <f>42000-8300</f>
        <v>33700</v>
      </c>
      <c r="I67" s="927">
        <v>2</v>
      </c>
      <c r="J67" s="429">
        <f>33700-1700</f>
        <v>32000</v>
      </c>
      <c r="K67" s="930">
        <v>32000</v>
      </c>
      <c r="L67" s="429">
        <f t="shared" si="6"/>
        <v>0</v>
      </c>
      <c r="M67" s="929">
        <v>2</v>
      </c>
      <c r="N67" s="429">
        <v>0</v>
      </c>
      <c r="O67" s="927">
        <v>0</v>
      </c>
    </row>
    <row r="68" spans="5:19" ht="34.5" customHeight="1" x14ac:dyDescent="0.25">
      <c r="E68" s="1319" t="s">
        <v>7</v>
      </c>
      <c r="F68" s="430">
        <v>95</v>
      </c>
      <c r="G68" s="421" t="s">
        <v>67</v>
      </c>
      <c r="H68" s="931">
        <v>1900000</v>
      </c>
      <c r="I68" s="932">
        <v>275</v>
      </c>
      <c r="J68" s="933">
        <v>1635500</v>
      </c>
      <c r="K68" s="928">
        <v>1603600</v>
      </c>
      <c r="L68" s="429">
        <f t="shared" si="6"/>
        <v>31900</v>
      </c>
      <c r="M68" s="929">
        <v>237</v>
      </c>
      <c r="N68" s="429">
        <f>H68-J68</f>
        <v>264500</v>
      </c>
      <c r="O68" s="927">
        <v>31</v>
      </c>
    </row>
    <row r="69" spans="5:19" ht="47.25" customHeight="1" x14ac:dyDescent="0.25">
      <c r="E69" s="1320"/>
      <c r="F69" s="434">
        <v>96</v>
      </c>
      <c r="G69" s="422" t="s">
        <v>2794</v>
      </c>
      <c r="H69" s="429">
        <v>65000</v>
      </c>
      <c r="I69" s="927">
        <v>5</v>
      </c>
      <c r="J69" s="930">
        <v>36000</v>
      </c>
      <c r="K69" s="928">
        <v>36000</v>
      </c>
      <c r="L69" s="429">
        <f t="shared" si="6"/>
        <v>0</v>
      </c>
      <c r="M69" s="929">
        <v>3</v>
      </c>
      <c r="N69" s="429">
        <f>H69-J69</f>
        <v>29000</v>
      </c>
      <c r="O69" s="927">
        <f>I69-M69</f>
        <v>2</v>
      </c>
    </row>
    <row r="70" spans="5:19" ht="39" customHeight="1" x14ac:dyDescent="0.25">
      <c r="E70" s="1321" t="s">
        <v>6</v>
      </c>
      <c r="F70" s="435">
        <v>94</v>
      </c>
      <c r="G70" s="419" t="s">
        <v>99</v>
      </c>
      <c r="H70" s="931">
        <v>407500</v>
      </c>
      <c r="I70" s="934">
        <v>64</v>
      </c>
      <c r="J70" s="928">
        <v>386500</v>
      </c>
      <c r="K70" s="928">
        <v>384700</v>
      </c>
      <c r="L70" s="429">
        <f t="shared" si="6"/>
        <v>1800</v>
      </c>
      <c r="M70" s="929">
        <v>61</v>
      </c>
      <c r="N70" s="429">
        <f>H70-J70</f>
        <v>21000</v>
      </c>
      <c r="O70" s="927">
        <f>I70-M70</f>
        <v>3</v>
      </c>
    </row>
    <row r="71" spans="5:19" ht="33" customHeight="1" x14ac:dyDescent="0.25">
      <c r="E71" s="1320"/>
      <c r="F71" s="435">
        <v>97</v>
      </c>
      <c r="G71" s="419" t="s">
        <v>221</v>
      </c>
      <c r="H71" s="935">
        <v>2176500</v>
      </c>
      <c r="I71" s="936">
        <v>203</v>
      </c>
      <c r="J71" s="933">
        <v>2176500</v>
      </c>
      <c r="K71" s="928">
        <v>2065566.67</v>
      </c>
      <c r="L71" s="429">
        <f t="shared" si="6"/>
        <v>110933.33000000007</v>
      </c>
      <c r="M71" s="929">
        <v>203</v>
      </c>
      <c r="N71" s="429">
        <f>H71-J71</f>
        <v>0</v>
      </c>
      <c r="O71" s="927">
        <f>I71-M71</f>
        <v>0</v>
      </c>
    </row>
    <row r="72" spans="5:19" ht="40.5" x14ac:dyDescent="0.25">
      <c r="E72" s="405" t="s">
        <v>5</v>
      </c>
      <c r="F72" s="435">
        <v>94</v>
      </c>
      <c r="G72" s="419" t="s">
        <v>99</v>
      </c>
      <c r="H72" s="429">
        <v>1117600</v>
      </c>
      <c r="I72" s="927">
        <v>82</v>
      </c>
      <c r="J72" s="937">
        <v>1117600</v>
      </c>
      <c r="K72" s="928">
        <v>1115300</v>
      </c>
      <c r="L72" s="429">
        <f t="shared" si="6"/>
        <v>2300</v>
      </c>
      <c r="M72" s="929">
        <v>82</v>
      </c>
      <c r="N72" s="429">
        <v>0</v>
      </c>
      <c r="O72" s="927">
        <f>I72-M72</f>
        <v>0</v>
      </c>
      <c r="S72" s="212"/>
    </row>
    <row r="73" spans="5:19" x14ac:dyDescent="0.25">
      <c r="E73" s="1322" t="s">
        <v>2795</v>
      </c>
      <c r="F73" s="1323"/>
      <c r="G73" s="1324"/>
      <c r="H73" s="938">
        <f t="shared" ref="H73:O73" si="7">SUM(H65:H72)</f>
        <v>5928500</v>
      </c>
      <c r="I73" s="939">
        <f t="shared" si="7"/>
        <v>646</v>
      </c>
      <c r="J73" s="938">
        <f t="shared" si="7"/>
        <v>5569300</v>
      </c>
      <c r="K73" s="938">
        <f t="shared" si="7"/>
        <v>5422366.6699999999</v>
      </c>
      <c r="L73" s="940">
        <f t="shared" si="7"/>
        <v>146933.33000000007</v>
      </c>
      <c r="M73" s="941">
        <f t="shared" si="7"/>
        <v>600</v>
      </c>
      <c r="N73" s="940">
        <f t="shared" si="7"/>
        <v>357500</v>
      </c>
      <c r="O73" s="942">
        <f t="shared" si="7"/>
        <v>39</v>
      </c>
      <c r="S73" s="999">
        <f>+L73+N73+1700</f>
        <v>506133.33000000007</v>
      </c>
    </row>
    <row r="74" spans="5:19" ht="16.5" customHeight="1" x14ac:dyDescent="0.25">
      <c r="N74" s="71" t="s">
        <v>2796</v>
      </c>
      <c r="O74" s="71" t="s">
        <v>2797</v>
      </c>
    </row>
    <row r="75" spans="5:19" ht="54.75" customHeight="1" x14ac:dyDescent="0.25">
      <c r="E75" s="1337" t="s">
        <v>2802</v>
      </c>
      <c r="F75" s="1338"/>
      <c r="G75" s="1338"/>
      <c r="H75" s="1338"/>
      <c r="I75" s="1338"/>
      <c r="J75" s="1338"/>
    </row>
    <row r="85" spans="12:12" x14ac:dyDescent="0.25">
      <c r="L85" s="212"/>
    </row>
  </sheetData>
  <mergeCells count="60">
    <mergeCell ref="E75:J75"/>
    <mergeCell ref="E60:O60"/>
    <mergeCell ref="E64:O64"/>
    <mergeCell ref="E65:E67"/>
    <mergeCell ref="E68:E69"/>
    <mergeCell ref="E70:E71"/>
    <mergeCell ref="E73:G73"/>
    <mergeCell ref="E61:O61"/>
    <mergeCell ref="E62:E63"/>
    <mergeCell ref="F62:F63"/>
    <mergeCell ref="G62:G63"/>
    <mergeCell ref="H62:H63"/>
    <mergeCell ref="I62:I63"/>
    <mergeCell ref="J62:M62"/>
    <mergeCell ref="N62:O62"/>
    <mergeCell ref="E36:J36"/>
    <mergeCell ref="E3:O3"/>
    <mergeCell ref="E18:J18"/>
    <mergeCell ref="E4:O4"/>
    <mergeCell ref="E7:O7"/>
    <mergeCell ref="E5:E6"/>
    <mergeCell ref="F5:F6"/>
    <mergeCell ref="G5:G6"/>
    <mergeCell ref="H5:H6"/>
    <mergeCell ref="E13:E14"/>
    <mergeCell ref="E8:E10"/>
    <mergeCell ref="E11:E12"/>
    <mergeCell ref="I5:I6"/>
    <mergeCell ref="N5:O5"/>
    <mergeCell ref="E16:G16"/>
    <mergeCell ref="J5:M5"/>
    <mergeCell ref="E21:O21"/>
    <mergeCell ref="E22:O22"/>
    <mergeCell ref="E23:E24"/>
    <mergeCell ref="F23:F24"/>
    <mergeCell ref="G23:G24"/>
    <mergeCell ref="H23:H24"/>
    <mergeCell ref="I23:I24"/>
    <mergeCell ref="J23:M23"/>
    <mergeCell ref="N23:O23"/>
    <mergeCell ref="E25:O25"/>
    <mergeCell ref="E26:E28"/>
    <mergeCell ref="E29:E30"/>
    <mergeCell ref="E31:E32"/>
    <mergeCell ref="E34:G34"/>
    <mergeCell ref="E40:O40"/>
    <mergeCell ref="E41:O41"/>
    <mergeCell ref="E42:E43"/>
    <mergeCell ref="F42:F43"/>
    <mergeCell ref="G42:G43"/>
    <mergeCell ref="H42:H43"/>
    <mergeCell ref="I42:I43"/>
    <mergeCell ref="J42:M42"/>
    <mergeCell ref="N42:O42"/>
    <mergeCell ref="E55:J55"/>
    <mergeCell ref="E44:O44"/>
    <mergeCell ref="E45:E47"/>
    <mergeCell ref="E48:E49"/>
    <mergeCell ref="E50:E51"/>
    <mergeCell ref="E53:G5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C0681-947F-4F7E-966F-0AF7184FA3C9}">
  <dimension ref="C5:H13"/>
  <sheetViews>
    <sheetView showGridLines="0" workbookViewId="0">
      <selection activeCell="C5" sqref="C5:F5"/>
    </sheetView>
  </sheetViews>
  <sheetFormatPr baseColWidth="10" defaultColWidth="9.140625" defaultRowHeight="15" x14ac:dyDescent="0.25"/>
  <cols>
    <col min="3" max="3" width="30.5703125" customWidth="1"/>
    <col min="4" max="4" width="15.42578125" customWidth="1"/>
    <col min="5" max="5" width="21" customWidth="1"/>
    <col min="6" max="6" width="16" customWidth="1"/>
    <col min="7" max="7" width="4.85546875" customWidth="1"/>
    <col min="8" max="8" width="129.42578125" customWidth="1"/>
  </cols>
  <sheetData>
    <row r="5" spans="3:8" ht="30" customHeight="1" x14ac:dyDescent="0.25">
      <c r="C5" s="1339" t="s">
        <v>2803</v>
      </c>
      <c r="D5" s="1339"/>
      <c r="E5" s="1339"/>
      <c r="F5" s="1339"/>
    </row>
    <row r="6" spans="3:8" ht="62.25" customHeight="1" x14ac:dyDescent="0.25">
      <c r="C6" s="987" t="s">
        <v>4</v>
      </c>
      <c r="D6" s="988" t="s">
        <v>2804</v>
      </c>
      <c r="E6" s="988" t="s">
        <v>2805</v>
      </c>
      <c r="F6" s="988" t="s">
        <v>2806</v>
      </c>
    </row>
    <row r="7" spans="3:8" ht="27.75" customHeight="1" x14ac:dyDescent="0.25">
      <c r="C7" s="1340" t="s">
        <v>2807</v>
      </c>
      <c r="D7" s="1342">
        <v>1762</v>
      </c>
      <c r="E7" s="1342">
        <v>1542</v>
      </c>
      <c r="F7" s="1342">
        <v>220</v>
      </c>
      <c r="H7" t="s">
        <v>2808</v>
      </c>
    </row>
    <row r="8" spans="3:8" ht="14.25" customHeight="1" x14ac:dyDescent="0.25">
      <c r="C8" s="1341"/>
      <c r="D8" s="1343"/>
      <c r="E8" s="1343"/>
      <c r="F8" s="1343"/>
      <c r="H8" t="s">
        <v>2809</v>
      </c>
    </row>
    <row r="9" spans="3:8" x14ac:dyDescent="0.25">
      <c r="C9" s="959" t="s">
        <v>2810</v>
      </c>
      <c r="D9" s="986">
        <v>646</v>
      </c>
      <c r="E9" s="942">
        <v>601</v>
      </c>
      <c r="F9" s="942">
        <v>38</v>
      </c>
    </row>
    <row r="10" spans="3:8" x14ac:dyDescent="0.25">
      <c r="C10" s="959" t="s">
        <v>2811</v>
      </c>
      <c r="D10" s="986">
        <v>51</v>
      </c>
      <c r="E10" s="942">
        <v>25</v>
      </c>
      <c r="F10" s="942">
        <v>26</v>
      </c>
    </row>
    <row r="11" spans="3:8" x14ac:dyDescent="0.25">
      <c r="C11" s="959" t="s">
        <v>2812</v>
      </c>
      <c r="D11" s="986">
        <v>0</v>
      </c>
      <c r="E11" s="942">
        <v>0</v>
      </c>
      <c r="F11" s="942">
        <v>0</v>
      </c>
      <c r="G11" t="s">
        <v>2796</v>
      </c>
    </row>
    <row r="13" spans="3:8" ht="18" customHeight="1" x14ac:dyDescent="0.25">
      <c r="C13" s="1312" t="s">
        <v>2813</v>
      </c>
      <c r="D13" s="1312"/>
      <c r="E13" s="1312"/>
      <c r="F13" s="1312"/>
    </row>
  </sheetData>
  <mergeCells count="6">
    <mergeCell ref="C5:F5"/>
    <mergeCell ref="C13:F13"/>
    <mergeCell ref="C7:C8"/>
    <mergeCell ref="D7:D8"/>
    <mergeCell ref="E7:E8"/>
    <mergeCell ref="F7: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Hoja1</vt:lpstr>
      <vt:lpstr>BD APROBADA (2)</vt:lpstr>
      <vt:lpstr>BIENES Y SERVICIOS</vt:lpstr>
      <vt:lpstr>RES. EJECUCION</vt:lpstr>
      <vt:lpstr>CONFORMIDAD DE SERVICIOS</vt:lpstr>
      <vt:lpstr>LOCADORES</vt:lpstr>
      <vt:lpstr>reporte LS</vt:lpstr>
      <vt:lpstr>modifi-priorizacio</vt:lpstr>
      <vt:lpstr>Hoja2</vt:lpstr>
      <vt:lpstr>RESUMEN SEG LS-SEP</vt:lpstr>
      <vt:lpstr>RESUMEN DE LS POR META</vt:lpstr>
      <vt:lpstr>Hoja3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Edwin F. Sanchez Gonzales</dc:creator>
  <cp:keywords/>
  <dc:description/>
  <cp:lastModifiedBy>Carlos G. Saavedra Lopez</cp:lastModifiedBy>
  <cp:revision/>
  <cp:lastPrinted>2026-06-30T19:53:14Z</cp:lastPrinted>
  <dcterms:created xsi:type="dcterms:W3CDTF">2026-04-20T14:30:00Z</dcterms:created>
  <dcterms:modified xsi:type="dcterms:W3CDTF">2026-07-22T16:16:08Z</dcterms:modified>
  <cp:category/>
  <cp:contentStatus/>
</cp:coreProperties>
</file>